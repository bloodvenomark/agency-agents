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klärung" sheetId="1" state="visible" r:id="rId1"/>
    <sheet name="Einstellungen" sheetId="2" state="visible" r:id="rId2"/>
    <sheet name="Mitarbeiter" sheetId="3" state="visible" r:id="rId3"/>
    <sheet name="Erfassung" sheetId="4" state="visible" r:id="rId4"/>
    <sheet name="Krankenquote Objekte" sheetId="5" state="visible" r:id="rId5"/>
    <sheet name="KQuote Mitarbeiter" sheetId="6" state="visible" r:id="rId6"/>
    <sheet name="Auswertung Objekte" sheetId="7" state="visible" r:id="rId7"/>
    <sheet name="Stundenauswertun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%"/>
    <numFmt numFmtId="166" formatCode="DD.MM.YYYY"/>
    <numFmt numFmtId="167" formatCode="#,##0;-#,##0;&quot;-&quot;"/>
    <numFmt numFmtId="168" formatCode="yyyy-mm-dd"/>
    <numFmt numFmtId="169" formatCode="MMMM"/>
    <numFmt numFmtId="170" formatCode="#,##0.0;-#,##0.0;&quot;-&quot;"/>
    <numFmt numFmtId="171" formatCode="0.0%;-0.0%;&quot;-&quot;"/>
    <numFmt numFmtId="172" formatCode="0.000"/>
    <numFmt numFmtId="173" formatCode="+0.0%;-0.0%;&quot;±0,0%&quot;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color rgb="00006100"/>
    </font>
    <font>
      <name val="Arial"/>
      <b val="1"/>
      <color rgb="009C5700"/>
    </font>
    <font>
      <name val="Arial"/>
      <b val="1"/>
      <color rgb="009C0006"/>
    </font>
    <font>
      <name val="Arial"/>
      <color rgb="000563C1"/>
      <sz val="10"/>
      <u val="single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F5597"/>
      </patternFill>
    </fill>
    <fill>
      <patternFill patternType="solid">
        <fgColor rgb="00548235"/>
      </patternFill>
    </fill>
    <fill>
      <patternFill patternType="solid">
        <fgColor rgb="007F7F7F"/>
      </patternFill>
    </fill>
    <fill>
      <patternFill patternType="solid">
        <fgColor rgb="00C55A11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7" fillId="3" borderId="1" pivotButton="0" quotePrefix="0" xfId="0"/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7" fontId="4" fillId="2" borderId="1" applyAlignment="1" pivotButton="0" quotePrefix="0" xfId="0">
      <alignment horizontal="center" vertical="center" wrapText="1"/>
    </xf>
    <xf numFmtId="0" fontId="3" fillId="4" borderId="1" pivotButton="0" quotePrefix="0" xfId="0"/>
    <xf numFmtId="167" fontId="3" fillId="4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7" fontId="3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170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7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70" fontId="6" fillId="4" borderId="1" applyAlignment="1" pivotButton="0" quotePrefix="0" xfId="0">
      <alignment horizontal="center" vertical="center" wrapText="1"/>
    </xf>
    <xf numFmtId="170" fontId="3" fillId="0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applyAlignment="1" pivotButton="0" quotePrefix="0" xfId="0">
      <alignment horizontal="center" vertical="center" wrapText="1"/>
    </xf>
    <xf numFmtId="0" fontId="5" fillId="7" borderId="1" pivotButton="0" quotePrefix="0" xfId="0"/>
    <xf numFmtId="169" fontId="3" fillId="0" borderId="1" applyAlignment="1" pivotButton="0" quotePrefix="0" xfId="0">
      <alignment horizontal="center" vertical="center" wrapText="1"/>
    </xf>
    <xf numFmtId="170" fontId="6" fillId="0" borderId="1" applyAlignment="1" pivotButton="0" quotePrefix="0" xfId="0">
      <alignment horizontal="center" vertical="center" wrapText="1"/>
    </xf>
    <xf numFmtId="171" fontId="3" fillId="4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72" fontId="2" fillId="0" borderId="1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wrapText="1"/>
    </xf>
    <xf numFmtId="173" fontId="6" fillId="0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171" fontId="5" fillId="3" borderId="1" applyAlignment="1" pivotButton="0" quotePrefix="0" xfId="0">
      <alignment horizontal="center" vertical="center" wrapText="1"/>
    </xf>
    <xf numFmtId="170" fontId="5" fillId="3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ont>
        <name val="Arial"/>
        <color rgb="007F7F7F"/>
      </font>
      <fill>
        <patternFill patternType="solid">
          <fgColor rgb="00EDEDED"/>
        </patternFill>
      </fill>
    </dxf>
    <dxf>
      <font>
        <name val="Arial"/>
        <b val="1"/>
        <color rgb="00006100"/>
      </font>
    </dxf>
    <dxf>
      <fill>
        <patternFill patternType="solid">
          <fgColor rgb="00FFC7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Eintritte / Austritte je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'Mitarbeiter'!J5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'Mitarbeiter'!$I$7:$I$18</f>
            </numRef>
          </cat>
          <val>
            <numRef>
              <f>'Mitarbeiter'!$J$6:$J$18</f>
            </numRef>
          </val>
        </ser>
        <ser>
          <idx val="1"/>
          <order val="1"/>
          <tx>
            <strRef>
              <f>'Mitarbeiter'!K5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'Mitarbeiter'!$I$7:$I$18</f>
            </numRef>
          </cat>
          <val>
            <numRef>
              <f>'Mitarbeiter'!$K$6:$K$18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Personalbestand &amp; Bewegungen</a:t>
            </a:r>
          </a:p>
        </rich>
      </tx>
    </title>
    <plotArea>
      <lineChart>
        <grouping val="standard"/>
        <ser>
          <idx val="0"/>
          <order val="0"/>
          <tx>
            <v>Bestand Monatsende</v>
          </tx>
          <spPr>
            <a:ln w="28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'Mitarbeiter'!$I$7:$I$18</f>
            </numRef>
          </cat>
          <val>
            <numRef>
              <f>'Mitarbeiter'!$L$6:$L$18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Krankenquote im Monatsverlauf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Objekte'!$B$4</f>
            </strRef>
          </tx>
          <spPr>
            <a:ln w="24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Objekte'!$D$6:$D$17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Objekte'!$I$6:$I$17</f>
            </numRef>
          </val>
        </ser>
        <ser>
          <idx val="2"/>
          <order val="2"/>
          <tx>
            <strRef>
              <f>'Krankenquote Objekte'!$L$4</f>
            </strRef>
          </tx>
          <spPr>
            <a:ln w="24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Objekte'!$N$6:$N$17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Quote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Mitarbeiter'!P18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Mitarbeiter'!$O$19:$O$21</f>
            </numRef>
          </cat>
          <val>
            <numRef>
              <f>'KQuote Mitarbeiter'!$P$19:$P$21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Krankenquote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Mitarbeiter'!Q25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'KQuote Mitarbeiter'!$P$26:$P$35</f>
            </numRef>
          </cat>
          <val>
            <numRef>
              <f>'KQuote Mitarbeiter'!$Q$26:$Q$35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Objekte'!$C$5:$C$6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Geleistete 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Objekte'!$B$5:$B$6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Krankstunden je Monat und Objekt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'Krankenquote Objekte'!$B$4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Objekte'!$C$6:$C$17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Objekte'!$H$6:$H$17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Stunden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A5" authorId="0" shapeId="0">
      <text>
        <t>Personalnummer muss eindeutig sein – doppelte Nummern werden rot markiert.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26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43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3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37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11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79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1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2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3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4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1">
      <c r="B1" s="1" t="inlineStr">
        <is>
          <t>Erklärung – Operative Krankenquote</t>
        </is>
      </c>
    </row>
    <row r="4">
      <c r="B4" s="2" t="inlineStr">
        <is>
          <t>Grundprinzip</t>
        </is>
      </c>
      <c r="C4" s="2" t="n"/>
    </row>
    <row r="5" ht="42" customHeight="1">
      <c r="B5" s="3" t="inlineStr">
        <is>
          <t>Aufbau</t>
        </is>
      </c>
      <c r="C5" s="4" t="inlineStr">
        <is>
          <t>Die Datei ist für wechselnde Einsätze gebaut: Jede Person steht EINMAL in der Mitarbeiterliste. Jeder Einsatz (Objekt, Stunden, Krankheitstage) ist eine Zeile in der Erfassung. Alle Auswertungen rechnen automatisch – auch wenn Mitarbeiter täglich zwischen den Objekten wechseln oder kommen und gehen.</t>
        </is>
      </c>
    </row>
    <row r="6" ht="14" customHeight="1">
      <c r="B6" s="3" t="inlineStr">
        <is>
          <t>Kapazität</t>
        </is>
      </c>
      <c r="C6" s="4" t="inlineStr">
        <is>
          <t>Mitarbeiterliste: 200 Personen (inkl. Ausgeschiedene). Erfassung: 5000 Zeilen.</t>
        </is>
      </c>
    </row>
    <row r="7" ht="28" customHeight="1">
      <c r="B7" s="3" t="inlineStr">
        <is>
          <t>Beispieldaten</t>
        </is>
      </c>
      <c r="C7" s="4" t="inlineStr">
        <is>
          <t>76 Beispiel-Mitarbeiter mit Ein-/Austritten und 789 Erfassungszeilen (Monatssummen Jan–Sep). Vor dem Echtbetrieb in „Mitarbeiter“ und „Erfassung“ die blauen Werte löschen.</t>
        </is>
      </c>
    </row>
    <row r="9">
      <c r="B9" s="2" t="inlineStr">
        <is>
          <t>So wird die Datei bedient</t>
        </is>
      </c>
      <c r="C9" s="2" t="n"/>
    </row>
    <row r="10" ht="14" customHeight="1">
      <c r="B10" s="3" t="inlineStr">
        <is>
          <t>Schritt 1 – Einstellungen</t>
        </is>
      </c>
      <c r="C10" s="4" t="inlineStr">
        <is>
          <t>Auswertungsjahr, Objektnamen, Arbeitstage je Monat, Vollzeit-Wochenstunden und Ampelgrenzen prüfen.</t>
        </is>
      </c>
    </row>
    <row r="11" ht="28" customHeight="1">
      <c r="B11" s="3" t="inlineStr">
        <is>
          <t>Schritt 2 – Mitarbeiter</t>
        </is>
      </c>
      <c r="C11" s="4" t="inlineStr">
        <is>
          <t>Jede Person einmal anlegen: Pers.-Nr. (eindeutig), Name, Eintritt, Wochenstunden. Bei Austritt nur das Austrittsdatum eintragen – Zeile nie löschen. Neue Mitarbeiter unten anfügen.</t>
        </is>
      </c>
    </row>
    <row r="12" ht="28" customHeight="1">
      <c r="B12" s="3" t="inlineStr">
        <is>
          <t>Schritt 3 – Erfassung</t>
        </is>
      </c>
      <c r="C12" s="4" t="inlineStr">
        <is>
          <t>Je Einsatz eine Zeile: Datum, Pers.-Nr. (Auswahlliste), Objekt (Auswahlliste), geleistete Stunden, Krankheitstage. Name, Krankstunden und Prüfung füllen sich selbst.</t>
        </is>
      </c>
    </row>
    <row r="13" ht="42" customHeight="1">
      <c r="B13" s="3" t="inlineStr">
        <is>
          <t>Täglich oder monatlich?</t>
        </is>
      </c>
      <c r="C13" s="4" t="inlineStr">
        <is>
          <t>Beides möglich und mischbar. Täglich: Datum = Einsatztag (ein Krankheitstag = 1). Monatlich: je MA und Objekt eine Summenzeile, Datum = beliebiger Tag im Monat. Bei täglicher Erfassung reichen 5000 Zeilen für ca. 22 Vollzeitkräfte pro Jahr – bei Bedarf Monatssummen nutzen oder Zeilen ergänzen.</t>
        </is>
      </c>
    </row>
    <row r="14" ht="28" customHeight="1">
      <c r="B14" s="3" t="inlineStr">
        <is>
          <t>Objektwechsel</t>
        </is>
      </c>
      <c r="C14" s="4" t="inlineStr">
        <is>
          <t>Arbeitet ein MA im selben Zeitraum in beiden Objekten: zwei Zeilen (eine je Objekt). Krankheitstag dem Objekt zuordnen, in dem der MA an dem Tag eingeplant war.</t>
        </is>
      </c>
    </row>
    <row r="15" ht="28" customHeight="1">
      <c r="B15" s="3" t="inlineStr">
        <is>
          <t>Spalte „Prüfung“</t>
        </is>
      </c>
      <c r="C15" s="4" t="inlineStr">
        <is>
          <t>Rot markiert Fehler: Pers.-Nr. unbekannt, Datum/Objekt fehlt, anderes Jahr, vor Eintritt, nach Austritt. Oben rechts in der Erfassung steht die Anzahl fehlerhafter Zeilen.</t>
        </is>
      </c>
    </row>
    <row r="17">
      <c r="B17" s="2" t="inlineStr">
        <is>
          <t>Die Tabs</t>
        </is>
      </c>
      <c r="C17" s="2" t="n"/>
    </row>
    <row r="18" ht="14" customHeight="1">
      <c r="B18" s="3" t="inlineStr">
        <is>
          <t>Einstellungen</t>
        </is>
      </c>
      <c r="C18" s="4" t="inlineStr">
        <is>
          <t>Zentrale Vorgaben (Jahr, Objektnamen, Arbeitstage, Ampel, Stichtag).</t>
        </is>
      </c>
    </row>
    <row r="19" ht="28" customHeight="1">
      <c r="B19" s="3" t="inlineStr">
        <is>
          <t>Mitarbeiter</t>
        </is>
      </c>
      <c r="C19" s="4" t="inlineStr">
        <is>
          <t>Stammdaten mit Status (aktiv / ausgeschieden / künftig) und Fluktuationsauswertung: Eintritte, Austritte, Bestand je Monat, Fluktuationsquote, Ø Betriebszugehörigkeit, Diagramme.</t>
        </is>
      </c>
    </row>
    <row r="20" ht="14" customHeight="1">
      <c r="B20" s="3" t="inlineStr">
        <is>
          <t>Erfassung</t>
        </is>
      </c>
      <c r="C20" s="4" t="inlineStr">
        <is>
          <t>Eingabeliste aller Einsätze, geleisteten Stunden und Krankheitstage.</t>
        </is>
      </c>
    </row>
    <row r="21" ht="28" customHeight="1">
      <c r="B21" s="3" t="inlineStr">
        <is>
          <t>Krankenquote Objekte</t>
        </is>
      </c>
      <c r="C21" s="4" t="inlineStr">
        <is>
          <t>Monatstabelle je Objekt und gesamt: geleistete Std., Krankstunden, Quote, Krankheitstage, eingesetzte MA. Ampelfarben bei Überschreitung, Liniendiagramm Monatsverlauf.</t>
        </is>
      </c>
    </row>
    <row r="22" ht="28" customHeight="1">
      <c r="B22" s="3" t="inlineStr">
        <is>
          <t>KQuote Mitarbeiter</t>
        </is>
      </c>
      <c r="C22" s="4" t="inlineStr">
        <is>
          <t>Je Person über alle Objekte: Stunden, Einsatzanteil Objekt 1, Krankstunden je Objekt, Quote, Rang, Ampel. Kennzahlen, Kuchendiagramm Bewertung, Top-10-Liste mit Diagramm.</t>
        </is>
      </c>
    </row>
    <row r="23" ht="28" customHeight="1">
      <c r="B23" s="3" t="inlineStr">
        <is>
          <t>Auswertung Objekte</t>
        </is>
      </c>
      <c r="C23" s="4" t="inlineStr">
        <is>
          <t>Jahresvergleich der Objekte mit Kuchendiagrammen (Krankstunden und geleistete Stunden je Objekt) und Säulendiagramm Krankstunden je Monat.</t>
        </is>
      </c>
    </row>
    <row r="24" ht="14" customHeight="1">
      <c r="B24" s="3" t="inlineStr">
        <is>
          <t>Stundenauswertung</t>
        </is>
      </c>
      <c r="C24" s="4" t="inlineStr">
        <is>
          <t>Geleistete Stunden und Krankstunden je Mitarbeiter und Monat.</t>
        </is>
      </c>
    </row>
    <row r="26">
      <c r="B26" s="2" t="inlineStr">
        <is>
          <t>Formeln &amp; Begriffe</t>
        </is>
      </c>
      <c r="C26" s="2" t="n"/>
    </row>
    <row r="27" ht="14" customHeight="1">
      <c r="B27" s="3" t="inlineStr">
        <is>
          <t>Krankstunden</t>
        </is>
      </c>
      <c r="C27" s="4" t="inlineStr">
        <is>
          <t>Krankheitstage × Std./Tag des Mitarbeiters (Wochenstunden ÷ 5).</t>
        </is>
      </c>
    </row>
    <row r="28" ht="28" customHeight="1">
      <c r="B28" s="3" t="inlineStr">
        <is>
          <t>Krankenquote</t>
        </is>
      </c>
      <c r="C28" s="4" t="inlineStr">
        <is>
          <t>Krankstunden ÷ (geleistete Stunden + Krankstunden). Beispiel: 40 Krankstd. ÷ (760 + 40) = 5,0 %. Stundenbasiert, damit Teilzeit und Objektwechsel korrekt gewichtet werden.</t>
        </is>
      </c>
    </row>
    <row r="29" ht="14" customHeight="1">
      <c r="B29" s="3" t="inlineStr">
        <is>
          <t>Eingesetzte MA</t>
        </is>
      </c>
      <c r="C29" s="4" t="inlineStr">
        <is>
          <t>Anzahl verschiedener Personen mit mind. einer Zeile im Objekt/Zeitraum. Springer zählen in beiden Objekten.</t>
        </is>
      </c>
    </row>
    <row r="30" ht="14" customHeight="1">
      <c r="B30" s="3" t="inlineStr">
        <is>
          <t>Ø gewichtet / je MA</t>
        </is>
      </c>
      <c r="C30" s="4" t="inlineStr">
        <is>
          <t>Gewichtet = alle Krankstunden ÷ alle Stunden (aussagekräftiger). Je MA = Durchschnitt der Einzelquoten.</t>
        </is>
      </c>
    </row>
    <row r="31" ht="14" customHeight="1">
      <c r="B31" s="3" t="inlineStr">
        <is>
          <t>Ampel</t>
        </is>
      </c>
      <c r="C31" s="4" t="inlineStr">
        <is>
          <t>unauffällig ≤ Schwelle 1, auffällig ≤ Schwelle 2, darüber kritisch (Einstellungen).</t>
        </is>
      </c>
    </row>
    <row r="32" ht="14" customHeight="1">
      <c r="B32" s="3" t="inlineStr">
        <is>
          <t>Fluktuationsquote</t>
        </is>
      </c>
      <c r="C32" s="4" t="inlineStr">
        <is>
          <t>Austritte im Jahr ÷ Ø Personalbestand (BDA-Formel). Ø Bestand = Mittel aus Jahresbeginn und 12 Monatsenden.</t>
        </is>
      </c>
    </row>
    <row r="33" ht="14" customHeight="1">
      <c r="B33" s="3" t="inlineStr">
        <is>
          <t>Bestand Monatsende</t>
        </is>
      </c>
      <c r="C33" s="4" t="inlineStr">
        <is>
          <t>Personen mit Eintritt ≤ Monatsende und (kein Austritt oder Austritt nach Monatsende).</t>
        </is>
      </c>
    </row>
    <row r="34" ht="14" customHeight="1">
      <c r="B34" s="3" t="inlineStr">
        <is>
          <t>Ausfall VZ-Stellen</t>
        </is>
      </c>
      <c r="C34" s="4" t="inlineStr">
        <is>
          <t>Krankstunden ÷ Jahres-Sollstunden einer Vollzeitkraft (Arbeitstage × Vollzeit-Wochenstunden ÷ 5).</t>
        </is>
      </c>
    </row>
    <row r="36">
      <c r="B36" s="2" t="inlineStr">
        <is>
          <t>Hinweise</t>
        </is>
      </c>
      <c r="C36" s="2" t="n"/>
    </row>
    <row r="37" ht="14" customHeight="1">
      <c r="B37" s="3" t="inlineStr">
        <is>
          <t>Annahmen</t>
        </is>
      </c>
      <c r="C37" s="4" t="inlineStr">
        <is>
          <t>Arbeitstage = Richtwert ohne Landesfeiertage; Ampelgrenzen 3 % / 6 % frei gewählt, keine gesetzliche Vorgabe.</t>
        </is>
      </c>
    </row>
    <row r="38" ht="14" customHeight="1">
      <c r="B38" s="3" t="inlineStr">
        <is>
          <t>Neues Jahr</t>
        </is>
      </c>
      <c r="C38" s="4" t="inlineStr">
        <is>
          <t>Datei kopieren, Auswertungsjahr ändern, Erfassung leeren – Mitarbeiterliste bleibt bestehen.</t>
        </is>
      </c>
    </row>
    <row r="39" ht="28" customHeight="1">
      <c r="B39" s="3" t="inlineStr">
        <is>
          <t>Datenschutz</t>
        </is>
      </c>
      <c r="C39" s="4" t="inlineStr">
        <is>
          <t>Gesundheitsdaten sind besonders schützenswert (Art. 9 DSGVO). Zugriff nur für Berechtigte, Datei mit Passwort schützen.</t>
        </is>
      </c>
    </row>
    <row r="41">
      <c r="B41" s="2" t="inlineStr">
        <is>
          <t>Farblegende</t>
        </is>
      </c>
      <c r="C41" s="2" t="n"/>
    </row>
    <row r="42">
      <c r="B42" s="5" t="inlineStr">
        <is>
          <t>123</t>
        </is>
      </c>
      <c r="C42" s="6" t="inlineStr">
        <is>
          <t>Eingabe (blaue Schrift / gelbes Feld)</t>
        </is>
      </c>
    </row>
    <row r="43">
      <c r="B43" s="7" t="inlineStr">
        <is>
          <t>123</t>
        </is>
      </c>
      <c r="C43" s="6" t="inlineStr">
        <is>
          <t>Verknüpfung aus anderem Tab (grün)</t>
        </is>
      </c>
    </row>
    <row r="44">
      <c r="B44" s="8" t="inlineStr">
        <is>
          <t>123</t>
        </is>
      </c>
      <c r="C44" s="6" t="inlineStr">
        <is>
          <t>Automatisch berechnet – nicht überschreiben</t>
        </is>
      </c>
    </row>
    <row r="45">
      <c r="B45" s="9" t="inlineStr">
        <is>
          <t>unauffällig</t>
        </is>
      </c>
      <c r="C45" s="6" t="inlineStr">
        <is>
          <t>Ampel grün</t>
        </is>
      </c>
    </row>
    <row r="46">
      <c r="B46" s="10" t="inlineStr">
        <is>
          <t>auffällig</t>
        </is>
      </c>
      <c r="C46" s="6" t="inlineStr">
        <is>
          <t>Ampel gelb</t>
        </is>
      </c>
    </row>
    <row r="47">
      <c r="B47" s="11" t="inlineStr">
        <is>
          <t>kritisch</t>
        </is>
      </c>
      <c r="C47" s="6" t="inlineStr">
        <is>
          <t>Ampel rot / Fehler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80" customWidth="1" min="4" max="4"/>
  </cols>
  <sheetData>
    <row r="1">
      <c r="A1" s="1" t="inlineStr">
        <is>
          <t>Einstellungen</t>
        </is>
      </c>
      <c r="F1" s="12" t="inlineStr">
        <is>
          <t>→ Erklärung</t>
        </is>
      </c>
    </row>
    <row r="2" ht="28" customHeight="1">
      <c r="A2" s="13" t="inlineStr">
        <is>
          <t>Zentrale Vorgaben – gelbe Felder anpassen. Alle Tabs beziehen sich auf diese Werte.</t>
        </is>
      </c>
    </row>
    <row r="3">
      <c r="B3" s="14" t="inlineStr">
        <is>
          <t>Auswertungsjahr</t>
        </is>
      </c>
      <c r="C3" s="15" t="n">
        <v>2026</v>
      </c>
      <c r="D3" s="16" t="inlineStr">
        <is>
          <t>Jahr, für das alle Auswertungen rechnen.</t>
        </is>
      </c>
    </row>
    <row r="4">
      <c r="B4" s="14" t="inlineStr">
        <is>
          <t>Name Objekt 1</t>
        </is>
      </c>
      <c r="C4" s="5" t="inlineStr">
        <is>
          <t>Objekt 1</t>
        </is>
      </c>
      <c r="D4" s="16" t="inlineStr">
        <is>
          <t>Wird in Erfassung (Auswahlliste) und allen Auswertungen verwendet.</t>
        </is>
      </c>
    </row>
    <row r="5">
      <c r="B5" s="14" t="inlineStr">
        <is>
          <t>Name Objekt 2</t>
        </is>
      </c>
      <c r="C5" s="5" t="inlineStr">
        <is>
          <t>Objekt 2</t>
        </is>
      </c>
      <c r="D5" s="16" t="inlineStr"/>
    </row>
    <row r="6">
      <c r="B6" s="14" t="inlineStr">
        <is>
          <t>Vollzeit-Wochenstunden</t>
        </is>
      </c>
      <c r="C6" s="17" t="n">
        <v>40</v>
      </c>
      <c r="D6" s="16" t="inlineStr">
        <is>
          <t>Für Ausfall in Vollzeitstellen.</t>
        </is>
      </c>
    </row>
    <row r="7">
      <c r="B7" s="14" t="inlineStr">
        <is>
          <t>Ampel: unauffällig bis</t>
        </is>
      </c>
      <c r="C7" s="18" t="n">
        <v>0.03</v>
      </c>
      <c r="D7" s="16" t="inlineStr">
        <is>
          <t>Krankenquote bis zu diesem Wert = grün.</t>
        </is>
      </c>
    </row>
    <row r="8">
      <c r="B8" s="14" t="inlineStr">
        <is>
          <t>Ampel: auffällig bis</t>
        </is>
      </c>
      <c r="C8" s="18" t="n">
        <v>0.06</v>
      </c>
      <c r="D8" s="16" t="inlineStr">
        <is>
          <t>Bis zu diesem Wert = gelb, darüber = rot (kritisch).</t>
        </is>
      </c>
    </row>
    <row r="9">
      <c r="B9" s="14" t="inlineStr">
        <is>
          <t>Stichtag Status</t>
        </is>
      </c>
      <c r="C9" s="19">
        <f>MIN(TODAY(),DATE(C3,12,31))</f>
        <v/>
      </c>
      <c r="D9" s="16" t="inlineStr">
        <is>
          <t>Für Status aktiv/ausgeschieden. Standard: heute (max. Jahresende); bei Bedarf festes Datum eintragen.</t>
        </is>
      </c>
    </row>
    <row r="11" ht="18" customHeight="1">
      <c r="B11" s="20" t="inlineStr">
        <is>
          <t>Monat</t>
        </is>
      </c>
      <c r="C11" s="20" t="inlineStr">
        <is>
          <t>Arbeitstage</t>
        </is>
      </c>
    </row>
    <row r="12">
      <c r="B12" s="6" t="inlineStr">
        <is>
          <t>Januar</t>
        </is>
      </c>
      <c r="C12" s="21" t="n">
        <v>21</v>
      </c>
      <c r="D12" s="16" t="inlineStr">
        <is>
          <t>Arbeitstage 2026: Mo–Fr abzgl. bundesweiter Feiertage (Richtwert) – an Bundesland anpassen.</t>
        </is>
      </c>
    </row>
    <row r="13">
      <c r="B13" s="6" t="inlineStr">
        <is>
          <t>Februar</t>
        </is>
      </c>
      <c r="C13" s="21" t="n">
        <v>20</v>
      </c>
    </row>
    <row r="14">
      <c r="B14" s="6" t="inlineStr">
        <is>
          <t>März</t>
        </is>
      </c>
      <c r="C14" s="21" t="n">
        <v>22</v>
      </c>
    </row>
    <row r="15">
      <c r="B15" s="6" t="inlineStr">
        <is>
          <t>April</t>
        </is>
      </c>
      <c r="C15" s="21" t="n">
        <v>20</v>
      </c>
    </row>
    <row r="16">
      <c r="B16" s="6" t="inlineStr">
        <is>
          <t>Mai</t>
        </is>
      </c>
      <c r="C16" s="21" t="n">
        <v>18</v>
      </c>
    </row>
    <row r="17">
      <c r="B17" s="6" t="inlineStr">
        <is>
          <t>Juni</t>
        </is>
      </c>
      <c r="C17" s="21" t="n">
        <v>21</v>
      </c>
    </row>
    <row r="18">
      <c r="B18" s="6" t="inlineStr">
        <is>
          <t>Juli</t>
        </is>
      </c>
      <c r="C18" s="21" t="n">
        <v>23</v>
      </c>
    </row>
    <row r="19">
      <c r="B19" s="6" t="inlineStr">
        <is>
          <t>August</t>
        </is>
      </c>
      <c r="C19" s="21" t="n">
        <v>21</v>
      </c>
    </row>
    <row r="20">
      <c r="B20" s="6" t="inlineStr">
        <is>
          <t>September</t>
        </is>
      </c>
      <c r="C20" s="21" t="n">
        <v>22</v>
      </c>
    </row>
    <row r="21">
      <c r="B21" s="6" t="inlineStr">
        <is>
          <t>Oktober</t>
        </is>
      </c>
      <c r="C21" s="21" t="n">
        <v>21</v>
      </c>
    </row>
    <row r="22">
      <c r="B22" s="6" t="inlineStr">
        <is>
          <t>November</t>
        </is>
      </c>
      <c r="C22" s="21" t="n">
        <v>21</v>
      </c>
    </row>
    <row r="23">
      <c r="B23" s="6" t="inlineStr">
        <is>
          <t>Dezember</t>
        </is>
      </c>
      <c r="C23" s="21" t="n">
        <v>20</v>
      </c>
    </row>
    <row r="24">
      <c r="B24" s="22" t="inlineStr">
        <is>
          <t>Summe</t>
        </is>
      </c>
      <c r="C24" s="23">
        <f>SUM(C12:C23)</f>
        <v/>
      </c>
    </row>
  </sheetData>
  <mergeCells count="1">
    <mergeCell ref="A2:E2"/>
  </mergeCells>
  <hyperlinks>
    <hyperlink xmlns:r="http://schemas.openxmlformats.org/officeDocument/2006/relationships" ref="F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1" customWidth="1" min="3" max="3"/>
    <col width="11" customWidth="1" min="4" max="4"/>
    <col width="9" customWidth="1" min="5" max="5"/>
    <col width="8" customWidth="1" min="6" max="6"/>
    <col width="13" customWidth="1" min="7" max="7"/>
    <col width="3" customWidth="1" min="8" max="8"/>
    <col width="12" customWidth="1" min="9" max="9"/>
    <col width="10" customWidth="1" min="10" max="10"/>
    <col width="10" customWidth="1" min="11" max="11"/>
    <col width="11" customWidth="1" min="12" max="12"/>
    <col width="30" customWidth="1" min="13" max="13"/>
  </cols>
  <sheetData>
    <row r="1">
      <c r="A1" s="1" t="inlineStr">
        <is>
          <t>Mitarbeiter – Stammdaten &amp; Fluktuation</t>
        </is>
      </c>
      <c r="N1" s="12" t="inlineStr">
        <is>
          <t>→ Erklärung</t>
        </is>
      </c>
    </row>
    <row r="2" ht="28" customHeight="1">
      <c r="A2" s="13" t="inlineStr">
        <is>
          <t>Jede Person nur EINMAL eintragen (unabhängig vom Objekt). Bei Austritt Datum eintragen – Zeile NICHT löschen, damit Auswertung und Fluktuation stimmen. Neue Mitarbeiter unten anfügen.</t>
        </is>
      </c>
    </row>
    <row r="4">
      <c r="I4" s="2" t="inlineStr">
        <is>
          <t>Fluktuation im Auswertungsjahr</t>
        </is>
      </c>
      <c r="J4" s="2" t="n"/>
      <c r="K4" s="2" t="n"/>
      <c r="L4" s="2" t="n"/>
    </row>
    <row r="5" ht="30" customHeight="1">
      <c r="A5" s="20" t="inlineStr">
        <is>
          <t>Pers.-Nr.</t>
        </is>
      </c>
      <c r="B5" s="20" t="inlineStr">
        <is>
          <t>Name</t>
        </is>
      </c>
      <c r="C5" s="20" t="inlineStr">
        <is>
          <t>Eintritt</t>
        </is>
      </c>
      <c r="D5" s="20" t="inlineStr">
        <is>
          <t>Austritt</t>
        </is>
      </c>
      <c r="E5" s="20" t="inlineStr">
        <is>
          <t>Wochen-
stunden</t>
        </is>
      </c>
      <c r="F5" s="20" t="inlineStr">
        <is>
          <t>Std./Tag</t>
        </is>
      </c>
      <c r="G5" s="20" t="inlineStr">
        <is>
          <t>Status</t>
        </is>
      </c>
      <c r="I5" s="20" t="inlineStr">
        <is>
          <t>Monat</t>
        </is>
      </c>
      <c r="J5" s="20" t="inlineStr">
        <is>
          <t>Eintritte</t>
        </is>
      </c>
      <c r="K5" s="20" t="inlineStr">
        <is>
          <t>Austritte</t>
        </is>
      </c>
      <c r="L5" s="20" t="inlineStr">
        <is>
          <t>Bestand
Monatsende</t>
        </is>
      </c>
    </row>
    <row r="6">
      <c r="A6" s="24" t="n">
        <v>1001</v>
      </c>
      <c r="B6" s="25" t="inlineStr">
        <is>
          <t>Mitarbeiter 001</t>
        </is>
      </c>
      <c r="C6" s="26" t="n">
        <v>45901</v>
      </c>
      <c r="D6" s="26" t="n"/>
      <c r="E6" s="27" t="n">
        <v>20</v>
      </c>
      <c r="F6" s="28">
        <f>IF(E6="","",E6/5)</f>
        <v/>
      </c>
      <c r="G6" s="29">
        <f>IF(B6="","",IF(C6&gt;Einstellungen!$C$9,"künftig",IF(AND(D6&lt;&gt;"",D6&lt;Einstellungen!$C$9),"ausgeschieden","aktiv")))</f>
        <v/>
      </c>
      <c r="I6" s="30">
        <f>DATE(Einstellungen!$C$3,1,1)-1</f>
        <v/>
      </c>
      <c r="J6" s="31" t="inlineStr">
        <is>
          <t>Bestand Jahresbeginn →</t>
        </is>
      </c>
      <c r="K6" s="6" t="n"/>
      <c r="L6" s="32">
        <f>COUNTIFS($C$6:$C$205,"&lt;="&amp;I6,$D$6:$D$205,"&gt;"&amp;I6)+COUNTIFS($C$6:$C$205,"&lt;="&amp;I6,$D$6:$D$205,"")</f>
        <v/>
      </c>
    </row>
    <row r="7">
      <c r="A7" s="24" t="n">
        <v>1002</v>
      </c>
      <c r="B7" s="25" t="inlineStr">
        <is>
          <t>Mitarbeiter 002</t>
        </is>
      </c>
      <c r="C7" s="26" t="n">
        <v>45870</v>
      </c>
      <c r="D7" s="26" t="n"/>
      <c r="E7" s="27" t="n">
        <v>30</v>
      </c>
      <c r="F7" s="28">
        <f>IF(E7="","",E7/5)</f>
        <v/>
      </c>
      <c r="G7" s="29">
        <f>IF(B7="","",IF(C7&gt;Einstellungen!$C$9,"künftig",IF(AND(D7&lt;&gt;"",D7&lt;Einstellungen!$C$9),"ausgeschieden","aktiv")))</f>
        <v/>
      </c>
      <c r="I7" s="33">
        <f>DATE(Einstellungen!$C$3,1,1)</f>
        <v/>
      </c>
      <c r="J7" s="34">
        <f>COUNTIFS($C$6:$C$205,"&gt;="&amp;I7,$C$6:$C$205,"&lt;="&amp;DATE(Einstellungen!$C$3,2,1)-1)</f>
        <v/>
      </c>
      <c r="K7" s="34">
        <f>COUNTIFS($D$6:$D$205,"&gt;="&amp;I7,$D$6:$D$205,"&lt;="&amp;DATE(Einstellungen!$C$3,2,1)-1)</f>
        <v/>
      </c>
      <c r="L7" s="34">
        <f>COUNTIFS($C$6:$C$205,"&lt;="&amp;DATE(Einstellungen!$C$3,2,1)-1,$D$6:$D$205,"&gt;"&amp;DATE(Einstellungen!$C$3,2,1)-1)+COUNTIFS($C$6:$C$205,"&lt;="&amp;DATE(Einstellungen!$C$3,2,1)-1,$D$6:$D$205,"")</f>
        <v/>
      </c>
    </row>
    <row r="8">
      <c r="A8" s="24" t="n">
        <v>1003</v>
      </c>
      <c r="B8" s="25" t="inlineStr">
        <is>
          <t>Mitarbeiter 003</t>
        </is>
      </c>
      <c r="C8" s="26" t="n">
        <v>44256</v>
      </c>
      <c r="D8" s="26" t="n"/>
      <c r="E8" s="27" t="n">
        <v>40</v>
      </c>
      <c r="F8" s="28">
        <f>IF(E8="","",E8/5)</f>
        <v/>
      </c>
      <c r="G8" s="29">
        <f>IF(B8="","",IF(C8&gt;Einstellungen!$C$9,"künftig",IF(AND(D8&lt;&gt;"",D8&lt;Einstellungen!$C$9),"ausgeschieden","aktiv")))</f>
        <v/>
      </c>
      <c r="I8" s="33">
        <f>DATE(Einstellungen!$C$3,2,1)</f>
        <v/>
      </c>
      <c r="J8" s="34">
        <f>COUNTIFS($C$6:$C$205,"&gt;="&amp;I8,$C$6:$C$205,"&lt;="&amp;DATE(Einstellungen!$C$3,3,1)-1)</f>
        <v/>
      </c>
      <c r="K8" s="34">
        <f>COUNTIFS($D$6:$D$205,"&gt;="&amp;I8,$D$6:$D$205,"&lt;="&amp;DATE(Einstellungen!$C$3,3,1)-1)</f>
        <v/>
      </c>
      <c r="L8" s="34">
        <f>COUNTIFS($C$6:$C$205,"&lt;="&amp;DATE(Einstellungen!$C$3,3,1)-1,$D$6:$D$205,"&gt;"&amp;DATE(Einstellungen!$C$3,3,1)-1)+COUNTIFS($C$6:$C$205,"&lt;="&amp;DATE(Einstellungen!$C$3,3,1)-1,$D$6:$D$205,"")</f>
        <v/>
      </c>
    </row>
    <row r="9">
      <c r="A9" s="24" t="n">
        <v>1004</v>
      </c>
      <c r="B9" s="25" t="inlineStr">
        <is>
          <t>Mitarbeiter 004</t>
        </is>
      </c>
      <c r="C9" s="26" t="n">
        <v>43862</v>
      </c>
      <c r="D9" s="26" t="n"/>
      <c r="E9" s="27" t="n">
        <v>40</v>
      </c>
      <c r="F9" s="28">
        <f>IF(E9="","",E9/5)</f>
        <v/>
      </c>
      <c r="G9" s="29">
        <f>IF(B9="","",IF(C9&gt;Einstellungen!$C$9,"künftig",IF(AND(D9&lt;&gt;"",D9&lt;Einstellungen!$C$9),"ausgeschieden","aktiv")))</f>
        <v/>
      </c>
      <c r="I9" s="33">
        <f>DATE(Einstellungen!$C$3,3,1)</f>
        <v/>
      </c>
      <c r="J9" s="34">
        <f>COUNTIFS($C$6:$C$205,"&gt;="&amp;I9,$C$6:$C$205,"&lt;="&amp;DATE(Einstellungen!$C$3,4,1)-1)</f>
        <v/>
      </c>
      <c r="K9" s="34">
        <f>COUNTIFS($D$6:$D$205,"&gt;="&amp;I9,$D$6:$D$205,"&lt;="&amp;DATE(Einstellungen!$C$3,4,1)-1)</f>
        <v/>
      </c>
      <c r="L9" s="34">
        <f>COUNTIFS($C$6:$C$205,"&lt;="&amp;DATE(Einstellungen!$C$3,4,1)-1,$D$6:$D$205,"&gt;"&amp;DATE(Einstellungen!$C$3,4,1)-1)+COUNTIFS($C$6:$C$205,"&lt;="&amp;DATE(Einstellungen!$C$3,4,1)-1,$D$6:$D$205,"")</f>
        <v/>
      </c>
    </row>
    <row r="10">
      <c r="A10" s="24" t="n">
        <v>1005</v>
      </c>
      <c r="B10" s="25" t="inlineStr">
        <is>
          <t>Mitarbeiter 005</t>
        </is>
      </c>
      <c r="C10" s="26" t="n">
        <v>43709</v>
      </c>
      <c r="D10" s="26" t="n"/>
      <c r="E10" s="27" t="n">
        <v>30</v>
      </c>
      <c r="F10" s="28">
        <f>IF(E10="","",E10/5)</f>
        <v/>
      </c>
      <c r="G10" s="29">
        <f>IF(B10="","",IF(C10&gt;Einstellungen!$C$9,"künftig",IF(AND(D10&lt;&gt;"",D10&lt;Einstellungen!$C$9),"ausgeschieden","aktiv")))</f>
        <v/>
      </c>
      <c r="I10" s="33">
        <f>DATE(Einstellungen!$C$3,4,1)</f>
        <v/>
      </c>
      <c r="J10" s="34">
        <f>COUNTIFS($C$6:$C$205,"&gt;="&amp;I10,$C$6:$C$205,"&lt;="&amp;DATE(Einstellungen!$C$3,5,1)-1)</f>
        <v/>
      </c>
      <c r="K10" s="34">
        <f>COUNTIFS($D$6:$D$205,"&gt;="&amp;I10,$D$6:$D$205,"&lt;="&amp;DATE(Einstellungen!$C$3,5,1)-1)</f>
        <v/>
      </c>
      <c r="L10" s="34">
        <f>COUNTIFS($C$6:$C$205,"&lt;="&amp;DATE(Einstellungen!$C$3,5,1)-1,$D$6:$D$205,"&gt;"&amp;DATE(Einstellungen!$C$3,5,1)-1)+COUNTIFS($C$6:$C$205,"&lt;="&amp;DATE(Einstellungen!$C$3,5,1)-1,$D$6:$D$205,"")</f>
        <v/>
      </c>
    </row>
    <row r="11">
      <c r="A11" s="24" t="n">
        <v>1006</v>
      </c>
      <c r="B11" s="25" t="inlineStr">
        <is>
          <t>Mitarbeiter 006</t>
        </is>
      </c>
      <c r="C11" s="26" t="n">
        <v>43374</v>
      </c>
      <c r="D11" s="26" t="n"/>
      <c r="E11" s="27" t="n">
        <v>40</v>
      </c>
      <c r="F11" s="28">
        <f>IF(E11="","",E11/5)</f>
        <v/>
      </c>
      <c r="G11" s="29">
        <f>IF(B11="","",IF(C11&gt;Einstellungen!$C$9,"künftig",IF(AND(D11&lt;&gt;"",D11&lt;Einstellungen!$C$9),"ausgeschieden","aktiv")))</f>
        <v/>
      </c>
      <c r="I11" s="33">
        <f>DATE(Einstellungen!$C$3,5,1)</f>
        <v/>
      </c>
      <c r="J11" s="34">
        <f>COUNTIFS($C$6:$C$205,"&gt;="&amp;I11,$C$6:$C$205,"&lt;="&amp;DATE(Einstellungen!$C$3,6,1)-1)</f>
        <v/>
      </c>
      <c r="K11" s="34">
        <f>COUNTIFS($D$6:$D$205,"&gt;="&amp;I11,$D$6:$D$205,"&lt;="&amp;DATE(Einstellungen!$C$3,6,1)-1)</f>
        <v/>
      </c>
      <c r="L11" s="34">
        <f>COUNTIFS($C$6:$C$205,"&lt;="&amp;DATE(Einstellungen!$C$3,6,1)-1,$D$6:$D$205,"&gt;"&amp;DATE(Einstellungen!$C$3,6,1)-1)+COUNTIFS($C$6:$C$205,"&lt;="&amp;DATE(Einstellungen!$C$3,6,1)-1,$D$6:$D$205,"")</f>
        <v/>
      </c>
    </row>
    <row r="12">
      <c r="A12" s="24" t="n">
        <v>1007</v>
      </c>
      <c r="B12" s="25" t="inlineStr">
        <is>
          <t>Mitarbeiter 007</t>
        </is>
      </c>
      <c r="C12" s="26" t="n">
        <v>44105</v>
      </c>
      <c r="D12" s="26" t="n">
        <v>46280</v>
      </c>
      <c r="E12" s="27" t="n">
        <v>40</v>
      </c>
      <c r="F12" s="28">
        <f>IF(E12="","",E12/5)</f>
        <v/>
      </c>
      <c r="G12" s="29">
        <f>IF(B12="","",IF(C12&gt;Einstellungen!$C$9,"künftig",IF(AND(D12&lt;&gt;"",D12&lt;Einstellungen!$C$9),"ausgeschieden","aktiv")))</f>
        <v/>
      </c>
      <c r="I12" s="33">
        <f>DATE(Einstellungen!$C$3,6,1)</f>
        <v/>
      </c>
      <c r="J12" s="34">
        <f>COUNTIFS($C$6:$C$205,"&gt;="&amp;I12,$C$6:$C$205,"&lt;="&amp;DATE(Einstellungen!$C$3,7,1)-1)</f>
        <v/>
      </c>
      <c r="K12" s="34">
        <f>COUNTIFS($D$6:$D$205,"&gt;="&amp;I12,$D$6:$D$205,"&lt;="&amp;DATE(Einstellungen!$C$3,7,1)-1)</f>
        <v/>
      </c>
      <c r="L12" s="34">
        <f>COUNTIFS($C$6:$C$205,"&lt;="&amp;DATE(Einstellungen!$C$3,7,1)-1,$D$6:$D$205,"&gt;"&amp;DATE(Einstellungen!$C$3,7,1)-1)+COUNTIFS($C$6:$C$205,"&lt;="&amp;DATE(Einstellungen!$C$3,7,1)-1,$D$6:$D$205,"")</f>
        <v/>
      </c>
    </row>
    <row r="13">
      <c r="A13" s="24" t="n">
        <v>1008</v>
      </c>
      <c r="B13" s="25" t="inlineStr">
        <is>
          <t>Mitarbeiter 008</t>
        </is>
      </c>
      <c r="C13" s="26" t="n">
        <v>44287</v>
      </c>
      <c r="D13" s="26" t="n"/>
      <c r="E13" s="27" t="n">
        <v>20</v>
      </c>
      <c r="F13" s="28">
        <f>IF(E13="","",E13/5)</f>
        <v/>
      </c>
      <c r="G13" s="29">
        <f>IF(B13="","",IF(C13&gt;Einstellungen!$C$9,"künftig",IF(AND(D13&lt;&gt;"",D13&lt;Einstellungen!$C$9),"ausgeschieden","aktiv")))</f>
        <v/>
      </c>
      <c r="I13" s="33">
        <f>DATE(Einstellungen!$C$3,7,1)</f>
        <v/>
      </c>
      <c r="J13" s="34">
        <f>COUNTIFS($C$6:$C$205,"&gt;="&amp;I13,$C$6:$C$205,"&lt;="&amp;DATE(Einstellungen!$C$3,8,1)-1)</f>
        <v/>
      </c>
      <c r="K13" s="34">
        <f>COUNTIFS($D$6:$D$205,"&gt;="&amp;I13,$D$6:$D$205,"&lt;="&amp;DATE(Einstellungen!$C$3,8,1)-1)</f>
        <v/>
      </c>
      <c r="L13" s="34">
        <f>COUNTIFS($C$6:$C$205,"&lt;="&amp;DATE(Einstellungen!$C$3,8,1)-1,$D$6:$D$205,"&gt;"&amp;DATE(Einstellungen!$C$3,8,1)-1)+COUNTIFS($C$6:$C$205,"&lt;="&amp;DATE(Einstellungen!$C$3,8,1)-1,$D$6:$D$205,"")</f>
        <v/>
      </c>
    </row>
    <row r="14">
      <c r="A14" s="24" t="n">
        <v>1009</v>
      </c>
      <c r="B14" s="25" t="inlineStr">
        <is>
          <t>Mitarbeiter 009</t>
        </is>
      </c>
      <c r="C14" s="26" t="n">
        <v>45809</v>
      </c>
      <c r="D14" s="26" t="n"/>
      <c r="E14" s="27" t="n">
        <v>20</v>
      </c>
      <c r="F14" s="28">
        <f>IF(E14="","",E14/5)</f>
        <v/>
      </c>
      <c r="G14" s="29">
        <f>IF(B14="","",IF(C14&gt;Einstellungen!$C$9,"künftig",IF(AND(D14&lt;&gt;"",D14&lt;Einstellungen!$C$9),"ausgeschieden","aktiv")))</f>
        <v/>
      </c>
      <c r="I14" s="33">
        <f>DATE(Einstellungen!$C$3,8,1)</f>
        <v/>
      </c>
      <c r="J14" s="34">
        <f>COUNTIFS($C$6:$C$205,"&gt;="&amp;I14,$C$6:$C$205,"&lt;="&amp;DATE(Einstellungen!$C$3,9,1)-1)</f>
        <v/>
      </c>
      <c r="K14" s="34">
        <f>COUNTIFS($D$6:$D$205,"&gt;="&amp;I14,$D$6:$D$205,"&lt;="&amp;DATE(Einstellungen!$C$3,9,1)-1)</f>
        <v/>
      </c>
      <c r="L14" s="34">
        <f>COUNTIFS($C$6:$C$205,"&lt;="&amp;DATE(Einstellungen!$C$3,9,1)-1,$D$6:$D$205,"&gt;"&amp;DATE(Einstellungen!$C$3,9,1)-1)+COUNTIFS($C$6:$C$205,"&lt;="&amp;DATE(Einstellungen!$C$3,9,1)-1,$D$6:$D$205,"")</f>
        <v/>
      </c>
    </row>
    <row r="15">
      <c r="A15" s="24" t="n">
        <v>1010</v>
      </c>
      <c r="B15" s="25" t="inlineStr">
        <is>
          <t>Mitarbeiter 010</t>
        </is>
      </c>
      <c r="C15" s="26" t="n">
        <v>44440</v>
      </c>
      <c r="D15" s="26" t="n">
        <v>46173</v>
      </c>
      <c r="E15" s="27" t="n">
        <v>30</v>
      </c>
      <c r="F15" s="28">
        <f>IF(E15="","",E15/5)</f>
        <v/>
      </c>
      <c r="G15" s="29">
        <f>IF(B15="","",IF(C15&gt;Einstellungen!$C$9,"künftig",IF(AND(D15&lt;&gt;"",D15&lt;Einstellungen!$C$9),"ausgeschieden","aktiv")))</f>
        <v/>
      </c>
      <c r="I15" s="33">
        <f>DATE(Einstellungen!$C$3,9,1)</f>
        <v/>
      </c>
      <c r="J15" s="34">
        <f>COUNTIFS($C$6:$C$205,"&gt;="&amp;I15,$C$6:$C$205,"&lt;="&amp;DATE(Einstellungen!$C$3,10,1)-1)</f>
        <v/>
      </c>
      <c r="K15" s="34">
        <f>COUNTIFS($D$6:$D$205,"&gt;="&amp;I15,$D$6:$D$205,"&lt;="&amp;DATE(Einstellungen!$C$3,10,1)-1)</f>
        <v/>
      </c>
      <c r="L15" s="34">
        <f>COUNTIFS($C$6:$C$205,"&lt;="&amp;DATE(Einstellungen!$C$3,10,1)-1,$D$6:$D$205,"&gt;"&amp;DATE(Einstellungen!$C$3,10,1)-1)+COUNTIFS($C$6:$C$205,"&lt;="&amp;DATE(Einstellungen!$C$3,10,1)-1,$D$6:$D$205,"")</f>
        <v/>
      </c>
    </row>
    <row r="16">
      <c r="A16" s="24" t="n">
        <v>1011</v>
      </c>
      <c r="B16" s="25" t="inlineStr">
        <is>
          <t>Mitarbeiter 011</t>
        </is>
      </c>
      <c r="C16" s="26" t="n">
        <v>43678</v>
      </c>
      <c r="D16" s="26" t="n"/>
      <c r="E16" s="27" t="n">
        <v>40</v>
      </c>
      <c r="F16" s="28">
        <f>IF(E16="","",E16/5)</f>
        <v/>
      </c>
      <c r="G16" s="29">
        <f>IF(B16="","",IF(C16&gt;Einstellungen!$C$9,"künftig",IF(AND(D16&lt;&gt;"",D16&lt;Einstellungen!$C$9),"ausgeschieden","aktiv")))</f>
        <v/>
      </c>
      <c r="I16" s="33">
        <f>DATE(Einstellungen!$C$3,10,1)</f>
        <v/>
      </c>
      <c r="J16" s="34">
        <f>COUNTIFS($C$6:$C$205,"&gt;="&amp;I16,$C$6:$C$205,"&lt;="&amp;DATE(Einstellungen!$C$3,11,1)-1)</f>
        <v/>
      </c>
      <c r="K16" s="34">
        <f>COUNTIFS($D$6:$D$205,"&gt;="&amp;I16,$D$6:$D$205,"&lt;="&amp;DATE(Einstellungen!$C$3,11,1)-1)</f>
        <v/>
      </c>
      <c r="L16" s="34">
        <f>COUNTIFS($C$6:$C$205,"&lt;="&amp;DATE(Einstellungen!$C$3,11,1)-1,$D$6:$D$205,"&gt;"&amp;DATE(Einstellungen!$C$3,11,1)-1)+COUNTIFS($C$6:$C$205,"&lt;="&amp;DATE(Einstellungen!$C$3,11,1)-1,$D$6:$D$205,"")</f>
        <v/>
      </c>
    </row>
    <row r="17">
      <c r="A17" s="24" t="n">
        <v>1012</v>
      </c>
      <c r="B17" s="25" t="inlineStr">
        <is>
          <t>Mitarbeiter 012</t>
        </is>
      </c>
      <c r="C17" s="26" t="n">
        <v>43800</v>
      </c>
      <c r="D17" s="26" t="n">
        <v>46142</v>
      </c>
      <c r="E17" s="27" t="n">
        <v>40</v>
      </c>
      <c r="F17" s="28">
        <f>IF(E17="","",E17/5)</f>
        <v/>
      </c>
      <c r="G17" s="29">
        <f>IF(B17="","",IF(C17&gt;Einstellungen!$C$9,"künftig",IF(AND(D17&lt;&gt;"",D17&lt;Einstellungen!$C$9),"ausgeschieden","aktiv")))</f>
        <v/>
      </c>
      <c r="I17" s="33">
        <f>DATE(Einstellungen!$C$3,11,1)</f>
        <v/>
      </c>
      <c r="J17" s="34">
        <f>COUNTIFS($C$6:$C$205,"&gt;="&amp;I17,$C$6:$C$205,"&lt;="&amp;DATE(Einstellungen!$C$3,12,1)-1)</f>
        <v/>
      </c>
      <c r="K17" s="34">
        <f>COUNTIFS($D$6:$D$205,"&gt;="&amp;I17,$D$6:$D$205,"&lt;="&amp;DATE(Einstellungen!$C$3,12,1)-1)</f>
        <v/>
      </c>
      <c r="L17" s="34">
        <f>COUNTIFS($C$6:$C$205,"&lt;="&amp;DATE(Einstellungen!$C$3,12,1)-1,$D$6:$D$205,"&gt;"&amp;DATE(Einstellungen!$C$3,12,1)-1)+COUNTIFS($C$6:$C$205,"&lt;="&amp;DATE(Einstellungen!$C$3,12,1)-1,$D$6:$D$205,"")</f>
        <v/>
      </c>
    </row>
    <row r="18">
      <c r="A18" s="24" t="n">
        <v>1013</v>
      </c>
      <c r="B18" s="25" t="inlineStr">
        <is>
          <t>Mitarbeiter 013</t>
        </is>
      </c>
      <c r="C18" s="26" t="n">
        <v>43739</v>
      </c>
      <c r="D18" s="26" t="n"/>
      <c r="E18" s="27" t="n">
        <v>40</v>
      </c>
      <c r="F18" s="28">
        <f>IF(E18="","",E18/5)</f>
        <v/>
      </c>
      <c r="G18" s="29">
        <f>IF(B18="","",IF(C18&gt;Einstellungen!$C$9,"künftig",IF(AND(D18&lt;&gt;"",D18&lt;Einstellungen!$C$9),"ausgeschieden","aktiv")))</f>
        <v/>
      </c>
      <c r="I18" s="33">
        <f>DATE(Einstellungen!$C$3,12,1)</f>
        <v/>
      </c>
      <c r="J18" s="34">
        <f>COUNTIFS($C$6:$C$205,"&gt;="&amp;I18,$C$6:$C$205,"&lt;="&amp;DATE(Einstellungen!$C$3,13,1)-1)</f>
        <v/>
      </c>
      <c r="K18" s="34">
        <f>COUNTIFS($D$6:$D$205,"&gt;="&amp;I18,$D$6:$D$205,"&lt;="&amp;DATE(Einstellungen!$C$3,13,1)-1)</f>
        <v/>
      </c>
      <c r="L18" s="34">
        <f>COUNTIFS($C$6:$C$205,"&lt;="&amp;DATE(Einstellungen!$C$3,13,1)-1,$D$6:$D$205,"&gt;"&amp;DATE(Einstellungen!$C$3,13,1)-1)+COUNTIFS($C$6:$C$205,"&lt;="&amp;DATE(Einstellungen!$C$3,13,1)-1,$D$6:$D$205,"")</f>
        <v/>
      </c>
    </row>
    <row r="19">
      <c r="A19" s="24" t="n">
        <v>1014</v>
      </c>
      <c r="B19" s="25" t="inlineStr">
        <is>
          <t>Mitarbeiter 014</t>
        </is>
      </c>
      <c r="C19" s="26" t="n">
        <v>43586</v>
      </c>
      <c r="D19" s="26" t="n"/>
      <c r="E19" s="27" t="n">
        <v>40</v>
      </c>
      <c r="F19" s="28">
        <f>IF(E19="","",E19/5)</f>
        <v/>
      </c>
      <c r="G19" s="29">
        <f>IF(B19="","",IF(C19&gt;Einstellungen!$C$9,"künftig",IF(AND(D19&lt;&gt;"",D19&lt;Einstellungen!$C$9),"ausgeschieden","aktiv")))</f>
        <v/>
      </c>
      <c r="I19" s="22" t="inlineStr">
        <is>
          <t>Summe / Ø</t>
        </is>
      </c>
      <c r="J19" s="23">
        <f>SUM(J7:J18)</f>
        <v/>
      </c>
      <c r="K19" s="23">
        <f>SUM(K7:K18)</f>
        <v/>
      </c>
      <c r="L19" s="35">
        <f>AVERAGE(L6:L18)</f>
        <v/>
      </c>
    </row>
    <row r="20">
      <c r="A20" s="24" t="n">
        <v>1015</v>
      </c>
      <c r="B20" s="25" t="inlineStr">
        <is>
          <t>Mitarbeiter 015</t>
        </is>
      </c>
      <c r="C20" s="26" t="n">
        <v>43191</v>
      </c>
      <c r="D20" s="26" t="n">
        <v>46053</v>
      </c>
      <c r="E20" s="27" t="n">
        <v>30</v>
      </c>
      <c r="F20" s="28">
        <f>IF(E20="","",E20/5)</f>
        <v/>
      </c>
      <c r="G20" s="29">
        <f>IF(B20="","",IF(C20&gt;Einstellungen!$C$9,"künftig",IF(AND(D20&lt;&gt;"",D20&lt;Einstellungen!$C$9),"ausgeschieden","aktiv")))</f>
        <v/>
      </c>
    </row>
    <row r="21">
      <c r="A21" s="24" t="n">
        <v>1016</v>
      </c>
      <c r="B21" s="25" t="inlineStr">
        <is>
          <t>Mitarbeiter 016</t>
        </is>
      </c>
      <c r="C21" s="26" t="n">
        <v>45474</v>
      </c>
      <c r="D21" s="26" t="n">
        <v>46142</v>
      </c>
      <c r="E21" s="27" t="n">
        <v>40</v>
      </c>
      <c r="F21" s="28">
        <f>IF(E21="","",E21/5)</f>
        <v/>
      </c>
      <c r="G21" s="29">
        <f>IF(B21="","",IF(C21&gt;Einstellungen!$C$9,"künftig",IF(AND(D21&lt;&gt;"",D21&lt;Einstellungen!$C$9),"ausgeschieden","aktiv")))</f>
        <v/>
      </c>
      <c r="I21" s="14" t="inlineStr">
        <is>
          <t>Fluktuationsquote (BDA)</t>
        </is>
      </c>
      <c r="J21" s="36" t="n"/>
      <c r="K21" s="37" t="n"/>
      <c r="L21" s="38">
        <f>IF(L19&gt;0,K19/L19,0)</f>
        <v/>
      </c>
      <c r="M21" s="16" t="inlineStr">
        <is>
          <t>Austritte ÷ Ø Personalbestand</t>
        </is>
      </c>
    </row>
    <row r="22">
      <c r="A22" s="24" t="n">
        <v>1017</v>
      </c>
      <c r="B22" s="25" t="inlineStr">
        <is>
          <t>Mitarbeiter 017</t>
        </is>
      </c>
      <c r="C22" s="26" t="n">
        <v>44958</v>
      </c>
      <c r="D22" s="26" t="n"/>
      <c r="E22" s="27" t="n">
        <v>40</v>
      </c>
      <c r="F22" s="28">
        <f>IF(E22="","",E22/5)</f>
        <v/>
      </c>
      <c r="G22" s="29">
        <f>IF(B22="","",IF(C22&gt;Einstellungen!$C$9,"künftig",IF(AND(D22&lt;&gt;"",D22&lt;Einstellungen!$C$9),"ausgeschieden","aktiv")))</f>
        <v/>
      </c>
      <c r="I22" s="14" t="inlineStr">
        <is>
          <t>Aktive Mitarbeiter (Stichtag)</t>
        </is>
      </c>
      <c r="J22" s="36" t="n"/>
      <c r="K22" s="37" t="n"/>
      <c r="L22" s="32">
        <f>COUNTIF($G$6:$G$205,"aktiv")</f>
        <v/>
      </c>
      <c r="M22" s="16" t="inlineStr"/>
    </row>
    <row r="23">
      <c r="A23" s="24" t="n">
        <v>1018</v>
      </c>
      <c r="B23" s="25" t="inlineStr">
        <is>
          <t>Mitarbeiter 018</t>
        </is>
      </c>
      <c r="C23" s="26" t="n">
        <v>45323</v>
      </c>
      <c r="D23" s="26" t="n">
        <v>46068</v>
      </c>
      <c r="E23" s="27" t="n">
        <v>40</v>
      </c>
      <c r="F23" s="28">
        <f>IF(E23="","",E23/5)</f>
        <v/>
      </c>
      <c r="G23" s="29">
        <f>IF(B23="","",IF(C23&gt;Einstellungen!$C$9,"künftig",IF(AND(D23&lt;&gt;"",D23&lt;Einstellungen!$C$9),"ausgeschieden","aktiv")))</f>
        <v/>
      </c>
      <c r="I23" s="14" t="inlineStr">
        <is>
          <t>Ausgeschiedene gesamt</t>
        </is>
      </c>
      <c r="J23" s="36" t="n"/>
      <c r="K23" s="37" t="n"/>
      <c r="L23" s="32">
        <f>COUNTIF($G$6:$G$205,"ausgeschieden")</f>
        <v/>
      </c>
      <c r="M23" s="16" t="inlineStr">
        <is>
          <t>inkl. Vorjahre</t>
        </is>
      </c>
    </row>
    <row r="24">
      <c r="A24" s="24" t="n">
        <v>1019</v>
      </c>
      <c r="B24" s="25" t="inlineStr">
        <is>
          <t>Mitarbeiter 019</t>
        </is>
      </c>
      <c r="C24" s="26" t="n">
        <v>45717</v>
      </c>
      <c r="D24" s="26" t="n"/>
      <c r="E24" s="27" t="n">
        <v>40</v>
      </c>
      <c r="F24" s="28">
        <f>IF(E24="","",E24/5)</f>
        <v/>
      </c>
      <c r="G24" s="29">
        <f>IF(B24="","",IF(C24&gt;Einstellungen!$C$9,"künftig",IF(AND(D24&lt;&gt;"",D24&lt;Einstellungen!$C$9),"ausgeschieden","aktiv")))</f>
        <v/>
      </c>
      <c r="I24" s="14" t="inlineStr">
        <is>
          <t>Ø Betriebszugehörigkeit Aktive (Jahre)</t>
        </is>
      </c>
      <c r="J24" s="36" t="n"/>
      <c r="K24" s="37" t="n"/>
      <c r="L24" s="39">
        <f>IFERROR(SUMPRODUCT(($G$6:$G$205="aktiv")*(Einstellungen!$C$9-$C$6:$C$205))/365.25/COUNTIF($G$6:$G$205,"aktiv"),0)</f>
        <v/>
      </c>
      <c r="M24" s="16" t="inlineStr"/>
    </row>
    <row r="25">
      <c r="A25" s="24" t="n">
        <v>1020</v>
      </c>
      <c r="B25" s="25" t="inlineStr">
        <is>
          <t>Mitarbeiter 020</t>
        </is>
      </c>
      <c r="C25" s="26" t="n">
        <v>45901</v>
      </c>
      <c r="D25" s="26" t="n">
        <v>46112</v>
      </c>
      <c r="E25" s="27" t="n">
        <v>40</v>
      </c>
      <c r="F25" s="28">
        <f>IF(E25="","",E25/5)</f>
        <v/>
      </c>
      <c r="G25" s="29">
        <f>IF(B25="","",IF(C25&gt;Einstellungen!$C$9,"künftig",IF(AND(D25&lt;&gt;"",D25&lt;Einstellungen!$C$9),"ausgeschieden","aktiv")))</f>
        <v/>
      </c>
    </row>
    <row r="26">
      <c r="A26" s="24" t="n">
        <v>1021</v>
      </c>
      <c r="B26" s="25" t="inlineStr">
        <is>
          <t>Mitarbeiter 021</t>
        </is>
      </c>
      <c r="C26" s="26" t="n">
        <v>43647</v>
      </c>
      <c r="D26" s="26" t="n"/>
      <c r="E26" s="27" t="n">
        <v>40</v>
      </c>
      <c r="F26" s="28">
        <f>IF(E26="","",E26/5)</f>
        <v/>
      </c>
      <c r="G26" s="29">
        <f>IF(B26="","",IF(C26&gt;Einstellungen!$C$9,"künftig",IF(AND(D26&lt;&gt;"",D26&lt;Einstellungen!$C$9),"ausgeschieden","aktiv")))</f>
        <v/>
      </c>
    </row>
    <row r="27">
      <c r="A27" s="24" t="n">
        <v>1022</v>
      </c>
      <c r="B27" s="25" t="inlineStr">
        <is>
          <t>Mitarbeiter 022</t>
        </is>
      </c>
      <c r="C27" s="26" t="n">
        <v>43221</v>
      </c>
      <c r="D27" s="26" t="n"/>
      <c r="E27" s="27" t="n">
        <v>20</v>
      </c>
      <c r="F27" s="28">
        <f>IF(E27="","",E27/5)</f>
        <v/>
      </c>
      <c r="G27" s="29">
        <f>IF(B27="","",IF(C27&gt;Einstellungen!$C$9,"künftig",IF(AND(D27&lt;&gt;"",D27&lt;Einstellungen!$C$9),"ausgeschieden","aktiv")))</f>
        <v/>
      </c>
    </row>
    <row r="28">
      <c r="A28" s="24" t="n">
        <v>1023</v>
      </c>
      <c r="B28" s="25" t="inlineStr">
        <is>
          <t>Mitarbeiter 023</t>
        </is>
      </c>
      <c r="C28" s="26" t="n">
        <v>44562</v>
      </c>
      <c r="D28" s="26" t="n">
        <v>46234</v>
      </c>
      <c r="E28" s="27" t="n">
        <v>30</v>
      </c>
      <c r="F28" s="28">
        <f>IF(E28="","",E28/5)</f>
        <v/>
      </c>
      <c r="G28" s="29">
        <f>IF(B28="","",IF(C28&gt;Einstellungen!$C$9,"künftig",IF(AND(D28&lt;&gt;"",D28&lt;Einstellungen!$C$9),"ausgeschieden","aktiv")))</f>
        <v/>
      </c>
    </row>
    <row r="29">
      <c r="A29" s="24" t="n">
        <v>1024</v>
      </c>
      <c r="B29" s="25" t="inlineStr">
        <is>
          <t>Mitarbeiter 024</t>
        </is>
      </c>
      <c r="C29" s="26" t="n">
        <v>43466</v>
      </c>
      <c r="D29" s="26" t="n"/>
      <c r="E29" s="27" t="n">
        <v>40</v>
      </c>
      <c r="F29" s="28">
        <f>IF(E29="","",E29/5)</f>
        <v/>
      </c>
      <c r="G29" s="29">
        <f>IF(B29="","",IF(C29&gt;Einstellungen!$C$9,"künftig",IF(AND(D29&lt;&gt;"",D29&lt;Einstellungen!$C$9),"ausgeschieden","aktiv")))</f>
        <v/>
      </c>
    </row>
    <row r="30">
      <c r="A30" s="24" t="n">
        <v>1025</v>
      </c>
      <c r="B30" s="25" t="inlineStr">
        <is>
          <t>Mitarbeiter 025</t>
        </is>
      </c>
      <c r="C30" s="26" t="n">
        <v>45778</v>
      </c>
      <c r="D30" s="26" t="n">
        <v>46203</v>
      </c>
      <c r="E30" s="27" t="n">
        <v>40</v>
      </c>
      <c r="F30" s="28">
        <f>IF(E30="","",E30/5)</f>
        <v/>
      </c>
      <c r="G30" s="29">
        <f>IF(B30="","",IF(C30&gt;Einstellungen!$C$9,"künftig",IF(AND(D30&lt;&gt;"",D30&lt;Einstellungen!$C$9),"ausgeschieden","aktiv")))</f>
        <v/>
      </c>
    </row>
    <row r="31">
      <c r="A31" s="24" t="n">
        <v>1026</v>
      </c>
      <c r="B31" s="25" t="inlineStr">
        <is>
          <t>Mitarbeiter 026</t>
        </is>
      </c>
      <c r="C31" s="26" t="n">
        <v>43497</v>
      </c>
      <c r="D31" s="26" t="n">
        <v>46127</v>
      </c>
      <c r="E31" s="27" t="n">
        <v>40</v>
      </c>
      <c r="F31" s="28">
        <f>IF(E31="","",E31/5)</f>
        <v/>
      </c>
      <c r="G31" s="29">
        <f>IF(B31="","",IF(C31&gt;Einstellungen!$C$9,"künftig",IF(AND(D31&lt;&gt;"",D31&lt;Einstellungen!$C$9),"ausgeschieden","aktiv")))</f>
        <v/>
      </c>
    </row>
    <row r="32">
      <c r="A32" s="24" t="n">
        <v>1027</v>
      </c>
      <c r="B32" s="25" t="inlineStr">
        <is>
          <t>Mitarbeiter 027</t>
        </is>
      </c>
      <c r="C32" s="26" t="n">
        <v>45200</v>
      </c>
      <c r="D32" s="26" t="n"/>
      <c r="E32" s="27" t="n">
        <v>30</v>
      </c>
      <c r="F32" s="28">
        <f>IF(E32="","",E32/5)</f>
        <v/>
      </c>
      <c r="G32" s="29">
        <f>IF(B32="","",IF(C32&gt;Einstellungen!$C$9,"künftig",IF(AND(D32&lt;&gt;"",D32&lt;Einstellungen!$C$9),"ausgeschieden","aktiv")))</f>
        <v/>
      </c>
    </row>
    <row r="33">
      <c r="A33" s="24" t="n">
        <v>1028</v>
      </c>
      <c r="B33" s="25" t="inlineStr">
        <is>
          <t>Mitarbeiter 028</t>
        </is>
      </c>
      <c r="C33" s="26" t="n">
        <v>45931</v>
      </c>
      <c r="D33" s="26" t="n">
        <v>46218</v>
      </c>
      <c r="E33" s="27" t="n">
        <v>40</v>
      </c>
      <c r="F33" s="28">
        <f>IF(E33="","",E33/5)</f>
        <v/>
      </c>
      <c r="G33" s="29">
        <f>IF(B33="","",IF(C33&gt;Einstellungen!$C$9,"künftig",IF(AND(D33&lt;&gt;"",D33&lt;Einstellungen!$C$9),"ausgeschieden","aktiv")))</f>
        <v/>
      </c>
    </row>
    <row r="34">
      <c r="A34" s="24" t="n">
        <v>1029</v>
      </c>
      <c r="B34" s="25" t="inlineStr">
        <is>
          <t>Mitarbeiter 029</t>
        </is>
      </c>
      <c r="C34" s="26" t="n">
        <v>44652</v>
      </c>
      <c r="D34" s="26" t="n"/>
      <c r="E34" s="27" t="n">
        <v>40</v>
      </c>
      <c r="F34" s="28">
        <f>IF(E34="","",E34/5)</f>
        <v/>
      </c>
      <c r="G34" s="29">
        <f>IF(B34="","",IF(C34&gt;Einstellungen!$C$9,"künftig",IF(AND(D34&lt;&gt;"",D34&lt;Einstellungen!$C$9),"ausgeschieden","aktiv")))</f>
        <v/>
      </c>
    </row>
    <row r="35">
      <c r="A35" s="24" t="n">
        <v>1030</v>
      </c>
      <c r="B35" s="25" t="inlineStr">
        <is>
          <t>Mitarbeiter 030</t>
        </is>
      </c>
      <c r="C35" s="26" t="n">
        <v>44256</v>
      </c>
      <c r="D35" s="26" t="n"/>
      <c r="E35" s="27" t="n">
        <v>30</v>
      </c>
      <c r="F35" s="28">
        <f>IF(E35="","",E35/5)</f>
        <v/>
      </c>
      <c r="G35" s="29">
        <f>IF(B35="","",IF(C35&gt;Einstellungen!$C$9,"künftig",IF(AND(D35&lt;&gt;"",D35&lt;Einstellungen!$C$9),"ausgeschieden","aktiv")))</f>
        <v/>
      </c>
    </row>
    <row r="36">
      <c r="A36" s="24" t="n">
        <v>1031</v>
      </c>
      <c r="B36" s="25" t="inlineStr">
        <is>
          <t>Mitarbeiter 031</t>
        </is>
      </c>
      <c r="C36" s="26" t="n">
        <v>44501</v>
      </c>
      <c r="D36" s="26" t="n"/>
      <c r="E36" s="27" t="n">
        <v>40</v>
      </c>
      <c r="F36" s="28">
        <f>IF(E36="","",E36/5)</f>
        <v/>
      </c>
      <c r="G36" s="29">
        <f>IF(B36="","",IF(C36&gt;Einstellungen!$C$9,"künftig",IF(AND(D36&lt;&gt;"",D36&lt;Einstellungen!$C$9),"ausgeschieden","aktiv")))</f>
        <v/>
      </c>
    </row>
    <row r="37">
      <c r="A37" s="24" t="n">
        <v>1032</v>
      </c>
      <c r="B37" s="25" t="inlineStr">
        <is>
          <t>Mitarbeiter 032</t>
        </is>
      </c>
      <c r="C37" s="26" t="n">
        <v>43647</v>
      </c>
      <c r="D37" s="26" t="n">
        <v>46068</v>
      </c>
      <c r="E37" s="27" t="n">
        <v>40</v>
      </c>
      <c r="F37" s="28">
        <f>IF(E37="","",E37/5)</f>
        <v/>
      </c>
      <c r="G37" s="29">
        <f>IF(B37="","",IF(C37&gt;Einstellungen!$C$9,"künftig",IF(AND(D37&lt;&gt;"",D37&lt;Einstellungen!$C$9),"ausgeschieden","aktiv")))</f>
        <v/>
      </c>
    </row>
    <row r="38">
      <c r="A38" s="24" t="n">
        <v>1033</v>
      </c>
      <c r="B38" s="25" t="inlineStr">
        <is>
          <t>Mitarbeiter 033</t>
        </is>
      </c>
      <c r="C38" s="26" t="n">
        <v>44531</v>
      </c>
      <c r="D38" s="26" t="n"/>
      <c r="E38" s="27" t="n">
        <v>40</v>
      </c>
      <c r="F38" s="28">
        <f>IF(E38="","",E38/5)</f>
        <v/>
      </c>
      <c r="G38" s="29">
        <f>IF(B38="","",IF(C38&gt;Einstellungen!$C$9,"künftig",IF(AND(D38&lt;&gt;"",D38&lt;Einstellungen!$C$9),"ausgeschieden","aktiv")))</f>
        <v/>
      </c>
    </row>
    <row r="39">
      <c r="A39" s="24" t="n">
        <v>1034</v>
      </c>
      <c r="B39" s="25" t="inlineStr">
        <is>
          <t>Mitarbeiter 034</t>
        </is>
      </c>
      <c r="C39" s="26" t="n">
        <v>45566</v>
      </c>
      <c r="D39" s="26" t="n"/>
      <c r="E39" s="27" t="n">
        <v>30</v>
      </c>
      <c r="F39" s="28">
        <f>IF(E39="","",E39/5)</f>
        <v/>
      </c>
      <c r="G39" s="29">
        <f>IF(B39="","",IF(C39&gt;Einstellungen!$C$9,"künftig",IF(AND(D39&lt;&gt;"",D39&lt;Einstellungen!$C$9),"ausgeschieden","aktiv")))</f>
        <v/>
      </c>
    </row>
    <row r="40">
      <c r="A40" s="24" t="n">
        <v>1035</v>
      </c>
      <c r="B40" s="25" t="inlineStr">
        <is>
          <t>Mitarbeiter 035</t>
        </is>
      </c>
      <c r="C40" s="26" t="n">
        <v>44166</v>
      </c>
      <c r="D40" s="26" t="n"/>
      <c r="E40" s="27" t="n">
        <v>40</v>
      </c>
      <c r="F40" s="28">
        <f>IF(E40="","",E40/5)</f>
        <v/>
      </c>
      <c r="G40" s="29">
        <f>IF(B40="","",IF(C40&gt;Einstellungen!$C$9,"künftig",IF(AND(D40&lt;&gt;"",D40&lt;Einstellungen!$C$9),"ausgeschieden","aktiv")))</f>
        <v/>
      </c>
    </row>
    <row r="41">
      <c r="A41" s="24" t="n">
        <v>1036</v>
      </c>
      <c r="B41" s="25" t="inlineStr">
        <is>
          <t>Mitarbeiter 036</t>
        </is>
      </c>
      <c r="C41" s="26" t="n">
        <v>44409</v>
      </c>
      <c r="D41" s="26" t="n"/>
      <c r="E41" s="27" t="n">
        <v>20</v>
      </c>
      <c r="F41" s="28">
        <f>IF(E41="","",E41/5)</f>
        <v/>
      </c>
      <c r="G41" s="29">
        <f>IF(B41="","",IF(C41&gt;Einstellungen!$C$9,"künftig",IF(AND(D41&lt;&gt;"",D41&lt;Einstellungen!$C$9),"ausgeschieden","aktiv")))</f>
        <v/>
      </c>
    </row>
    <row r="42">
      <c r="A42" s="24" t="n">
        <v>1037</v>
      </c>
      <c r="B42" s="25" t="inlineStr">
        <is>
          <t>Mitarbeiter 037</t>
        </is>
      </c>
      <c r="C42" s="26" t="n">
        <v>43586</v>
      </c>
      <c r="D42" s="26" t="n">
        <v>46142</v>
      </c>
      <c r="E42" s="27" t="n">
        <v>40</v>
      </c>
      <c r="F42" s="28">
        <f>IF(E42="","",E42/5)</f>
        <v/>
      </c>
      <c r="G42" s="29">
        <f>IF(B42="","",IF(C42&gt;Einstellungen!$C$9,"künftig",IF(AND(D42&lt;&gt;"",D42&lt;Einstellungen!$C$9),"ausgeschieden","aktiv")))</f>
        <v/>
      </c>
    </row>
    <row r="43">
      <c r="A43" s="24" t="n">
        <v>1038</v>
      </c>
      <c r="B43" s="25" t="inlineStr">
        <is>
          <t>Mitarbeiter 038</t>
        </is>
      </c>
      <c r="C43" s="26" t="n">
        <v>44743</v>
      </c>
      <c r="D43" s="26" t="n"/>
      <c r="E43" s="27" t="n">
        <v>40</v>
      </c>
      <c r="F43" s="28">
        <f>IF(E43="","",E43/5)</f>
        <v/>
      </c>
      <c r="G43" s="29">
        <f>IF(B43="","",IF(C43&gt;Einstellungen!$C$9,"künftig",IF(AND(D43&lt;&gt;"",D43&lt;Einstellungen!$C$9),"ausgeschieden","aktiv")))</f>
        <v/>
      </c>
    </row>
    <row r="44">
      <c r="A44" s="24" t="n">
        <v>1039</v>
      </c>
      <c r="B44" s="25" t="inlineStr">
        <is>
          <t>Mitarbeiter 039</t>
        </is>
      </c>
      <c r="C44" s="26" t="n">
        <v>43160</v>
      </c>
      <c r="D44" s="26" t="n">
        <v>46295</v>
      </c>
      <c r="E44" s="27" t="n">
        <v>40</v>
      </c>
      <c r="F44" s="28">
        <f>IF(E44="","",E44/5)</f>
        <v/>
      </c>
      <c r="G44" s="29">
        <f>IF(B44="","",IF(C44&gt;Einstellungen!$C$9,"künftig",IF(AND(D44&lt;&gt;"",D44&lt;Einstellungen!$C$9),"ausgeschieden","aktiv")))</f>
        <v/>
      </c>
    </row>
    <row r="45">
      <c r="A45" s="24" t="n">
        <v>1040</v>
      </c>
      <c r="B45" s="25" t="inlineStr">
        <is>
          <t>Mitarbeiter 040</t>
        </is>
      </c>
      <c r="C45" s="26" t="n">
        <v>43617</v>
      </c>
      <c r="D45" s="26" t="n">
        <v>46265</v>
      </c>
      <c r="E45" s="27" t="n">
        <v>30</v>
      </c>
      <c r="F45" s="28">
        <f>IF(E45="","",E45/5)</f>
        <v/>
      </c>
      <c r="G45" s="29">
        <f>IF(B45="","",IF(C45&gt;Einstellungen!$C$9,"künftig",IF(AND(D45&lt;&gt;"",D45&lt;Einstellungen!$C$9),"ausgeschieden","aktiv")))</f>
        <v/>
      </c>
    </row>
    <row r="46">
      <c r="A46" s="24" t="n">
        <v>1041</v>
      </c>
      <c r="B46" s="25" t="inlineStr">
        <is>
          <t>Mitarbeiter 041</t>
        </is>
      </c>
      <c r="C46" s="26" t="n">
        <v>44105</v>
      </c>
      <c r="D46" s="26" t="n">
        <v>46053</v>
      </c>
      <c r="E46" s="27" t="n">
        <v>40</v>
      </c>
      <c r="F46" s="28">
        <f>IF(E46="","",E46/5)</f>
        <v/>
      </c>
      <c r="G46" s="29">
        <f>IF(B46="","",IF(C46&gt;Einstellungen!$C$9,"künftig",IF(AND(D46&lt;&gt;"",D46&lt;Einstellungen!$C$9),"ausgeschieden","aktiv")))</f>
        <v/>
      </c>
    </row>
    <row r="47">
      <c r="A47" s="24" t="n">
        <v>1042</v>
      </c>
      <c r="B47" s="25" t="inlineStr">
        <is>
          <t>Mitarbeiter 042</t>
        </is>
      </c>
      <c r="C47" s="26" t="n">
        <v>44562</v>
      </c>
      <c r="D47" s="26" t="n">
        <v>46081</v>
      </c>
      <c r="E47" s="27" t="n">
        <v>30</v>
      </c>
      <c r="F47" s="28">
        <f>IF(E47="","",E47/5)</f>
        <v/>
      </c>
      <c r="G47" s="29">
        <f>IF(B47="","",IF(C47&gt;Einstellungen!$C$9,"künftig",IF(AND(D47&lt;&gt;"",D47&lt;Einstellungen!$C$9),"ausgeschieden","aktiv")))</f>
        <v/>
      </c>
    </row>
    <row r="48">
      <c r="A48" s="24" t="n">
        <v>1043</v>
      </c>
      <c r="B48" s="25" t="inlineStr">
        <is>
          <t>Mitarbeiter 043</t>
        </is>
      </c>
      <c r="C48" s="26" t="n">
        <v>44713</v>
      </c>
      <c r="D48" s="26" t="n">
        <v>46068</v>
      </c>
      <c r="E48" s="27" t="n">
        <v>30</v>
      </c>
      <c r="F48" s="28">
        <f>IF(E48="","",E48/5)</f>
        <v/>
      </c>
      <c r="G48" s="29">
        <f>IF(B48="","",IF(C48&gt;Einstellungen!$C$9,"künftig",IF(AND(D48&lt;&gt;"",D48&lt;Einstellungen!$C$9),"ausgeschieden","aktiv")))</f>
        <v/>
      </c>
    </row>
    <row r="49">
      <c r="A49" s="24" t="n">
        <v>1044</v>
      </c>
      <c r="B49" s="25" t="inlineStr">
        <is>
          <t>Mitarbeiter 044</t>
        </is>
      </c>
      <c r="C49" s="26" t="n">
        <v>45261</v>
      </c>
      <c r="D49" s="26" t="n">
        <v>46112</v>
      </c>
      <c r="E49" s="27" t="n">
        <v>40</v>
      </c>
      <c r="F49" s="28">
        <f>IF(E49="","",E49/5)</f>
        <v/>
      </c>
      <c r="G49" s="29">
        <f>IF(B49="","",IF(C49&gt;Einstellungen!$C$9,"künftig",IF(AND(D49&lt;&gt;"",D49&lt;Einstellungen!$C$9),"ausgeschieden","aktiv")))</f>
        <v/>
      </c>
    </row>
    <row r="50">
      <c r="A50" s="24" t="n">
        <v>1045</v>
      </c>
      <c r="B50" s="25" t="inlineStr">
        <is>
          <t>Mitarbeiter 045</t>
        </is>
      </c>
      <c r="C50" s="26" t="n">
        <v>44958</v>
      </c>
      <c r="D50" s="26" t="n"/>
      <c r="E50" s="27" t="n">
        <v>40</v>
      </c>
      <c r="F50" s="28">
        <f>IF(E50="","",E50/5)</f>
        <v/>
      </c>
      <c r="G50" s="29">
        <f>IF(B50="","",IF(C50&gt;Einstellungen!$C$9,"künftig",IF(AND(D50&lt;&gt;"",D50&lt;Einstellungen!$C$9),"ausgeschieden","aktiv")))</f>
        <v/>
      </c>
    </row>
    <row r="51">
      <c r="A51" s="24" t="n">
        <v>1046</v>
      </c>
      <c r="B51" s="25" t="inlineStr">
        <is>
          <t>Mitarbeiter 046</t>
        </is>
      </c>
      <c r="C51" s="26" t="n">
        <v>45292</v>
      </c>
      <c r="D51" s="26" t="n"/>
      <c r="E51" s="27" t="n">
        <v>30</v>
      </c>
      <c r="F51" s="28">
        <f>IF(E51="","",E51/5)</f>
        <v/>
      </c>
      <c r="G51" s="29">
        <f>IF(B51="","",IF(C51&gt;Einstellungen!$C$9,"künftig",IF(AND(D51&lt;&gt;"",D51&lt;Einstellungen!$C$9),"ausgeschieden","aktiv")))</f>
        <v/>
      </c>
    </row>
    <row r="52">
      <c r="A52" s="24" t="n">
        <v>1047</v>
      </c>
      <c r="B52" s="25" t="inlineStr">
        <is>
          <t>Mitarbeiter 047</t>
        </is>
      </c>
      <c r="C52" s="26" t="n">
        <v>43374</v>
      </c>
      <c r="D52" s="26" t="n"/>
      <c r="E52" s="27" t="n">
        <v>40</v>
      </c>
      <c r="F52" s="28">
        <f>IF(E52="","",E52/5)</f>
        <v/>
      </c>
      <c r="G52" s="29">
        <f>IF(B52="","",IF(C52&gt;Einstellungen!$C$9,"künftig",IF(AND(D52&lt;&gt;"",D52&lt;Einstellungen!$C$9),"ausgeschieden","aktiv")))</f>
        <v/>
      </c>
    </row>
    <row r="53">
      <c r="A53" s="24" t="n">
        <v>1048</v>
      </c>
      <c r="B53" s="25" t="inlineStr">
        <is>
          <t>Mitarbeiter 048</t>
        </is>
      </c>
      <c r="C53" s="26" t="n">
        <v>43374</v>
      </c>
      <c r="D53" s="26" t="n">
        <v>46081</v>
      </c>
      <c r="E53" s="27" t="n">
        <v>40</v>
      </c>
      <c r="F53" s="28">
        <f>IF(E53="","",E53/5)</f>
        <v/>
      </c>
      <c r="G53" s="29">
        <f>IF(B53="","",IF(C53&gt;Einstellungen!$C$9,"künftig",IF(AND(D53&lt;&gt;"",D53&lt;Einstellungen!$C$9),"ausgeschieden","aktiv")))</f>
        <v/>
      </c>
    </row>
    <row r="54">
      <c r="A54" s="24" t="n">
        <v>1049</v>
      </c>
      <c r="B54" s="25" t="inlineStr">
        <is>
          <t>Mitarbeiter 049</t>
        </is>
      </c>
      <c r="C54" s="26" t="n">
        <v>45627</v>
      </c>
      <c r="D54" s="26" t="n"/>
      <c r="E54" s="27" t="n">
        <v>30</v>
      </c>
      <c r="F54" s="28">
        <f>IF(E54="","",E54/5)</f>
        <v/>
      </c>
      <c r="G54" s="29">
        <f>IF(B54="","",IF(C54&gt;Einstellungen!$C$9,"künftig",IF(AND(D54&lt;&gt;"",D54&lt;Einstellungen!$C$9),"ausgeschieden","aktiv")))</f>
        <v/>
      </c>
    </row>
    <row r="55">
      <c r="A55" s="24" t="n">
        <v>1050</v>
      </c>
      <c r="B55" s="25" t="inlineStr">
        <is>
          <t>Mitarbeiter 050</t>
        </is>
      </c>
      <c r="C55" s="26" t="n">
        <v>45870</v>
      </c>
      <c r="D55" s="26" t="n"/>
      <c r="E55" s="27" t="n">
        <v>30</v>
      </c>
      <c r="F55" s="28">
        <f>IF(E55="","",E55/5)</f>
        <v/>
      </c>
      <c r="G55" s="29">
        <f>IF(B55="","",IF(C55&gt;Einstellungen!$C$9,"künftig",IF(AND(D55&lt;&gt;"",D55&lt;Einstellungen!$C$9),"ausgeschieden","aktiv")))</f>
        <v/>
      </c>
    </row>
    <row r="56">
      <c r="A56" s="24" t="n">
        <v>1051</v>
      </c>
      <c r="B56" s="25" t="inlineStr">
        <is>
          <t>Mitarbeiter 051</t>
        </is>
      </c>
      <c r="C56" s="26" t="n">
        <v>43709</v>
      </c>
      <c r="D56" s="26" t="n"/>
      <c r="E56" s="27" t="n">
        <v>40</v>
      </c>
      <c r="F56" s="28">
        <f>IF(E56="","",E56/5)</f>
        <v/>
      </c>
      <c r="G56" s="29">
        <f>IF(B56="","",IF(C56&gt;Einstellungen!$C$9,"künftig",IF(AND(D56&lt;&gt;"",D56&lt;Einstellungen!$C$9),"ausgeschieden","aktiv")))</f>
        <v/>
      </c>
    </row>
    <row r="57">
      <c r="A57" s="24" t="n">
        <v>1052</v>
      </c>
      <c r="B57" s="25" t="inlineStr">
        <is>
          <t>Mitarbeiter 052</t>
        </is>
      </c>
      <c r="C57" s="26" t="n">
        <v>44835</v>
      </c>
      <c r="D57" s="26" t="n">
        <v>46037</v>
      </c>
      <c r="E57" s="27" t="n">
        <v>30</v>
      </c>
      <c r="F57" s="28">
        <f>IF(E57="","",E57/5)</f>
        <v/>
      </c>
      <c r="G57" s="29">
        <f>IF(B57="","",IF(C57&gt;Einstellungen!$C$9,"künftig",IF(AND(D57&lt;&gt;"",D57&lt;Einstellungen!$C$9),"ausgeschieden","aktiv")))</f>
        <v/>
      </c>
    </row>
    <row r="58">
      <c r="A58" s="24" t="n">
        <v>1053</v>
      </c>
      <c r="B58" s="25" t="inlineStr">
        <is>
          <t>Mitarbeiter 053</t>
        </is>
      </c>
      <c r="C58" s="26" t="n">
        <v>43678</v>
      </c>
      <c r="D58" s="26" t="n"/>
      <c r="E58" s="27" t="n">
        <v>30</v>
      </c>
      <c r="F58" s="28">
        <f>IF(E58="","",E58/5)</f>
        <v/>
      </c>
      <c r="G58" s="29">
        <f>IF(B58="","",IF(C58&gt;Einstellungen!$C$9,"künftig",IF(AND(D58&lt;&gt;"",D58&lt;Einstellungen!$C$9),"ausgeschieden","aktiv")))</f>
        <v/>
      </c>
    </row>
    <row r="59">
      <c r="A59" s="24" t="n">
        <v>1054</v>
      </c>
      <c r="B59" s="25" t="inlineStr">
        <is>
          <t>Mitarbeiter 054</t>
        </is>
      </c>
      <c r="C59" s="26" t="n">
        <v>45778</v>
      </c>
      <c r="D59" s="26" t="n"/>
      <c r="E59" s="27" t="n">
        <v>40</v>
      </c>
      <c r="F59" s="28">
        <f>IF(E59="","",E59/5)</f>
        <v/>
      </c>
      <c r="G59" s="29">
        <f>IF(B59="","",IF(C59&gt;Einstellungen!$C$9,"künftig",IF(AND(D59&lt;&gt;"",D59&lt;Einstellungen!$C$9),"ausgeschieden","aktiv")))</f>
        <v/>
      </c>
    </row>
    <row r="60">
      <c r="A60" s="24" t="n">
        <v>1055</v>
      </c>
      <c r="B60" s="25" t="inlineStr">
        <is>
          <t>Mitarbeiter 055</t>
        </is>
      </c>
      <c r="C60" s="26" t="n">
        <v>46143</v>
      </c>
      <c r="D60" s="26" t="n"/>
      <c r="E60" s="27" t="n">
        <v>40</v>
      </c>
      <c r="F60" s="28">
        <f>IF(E60="","",E60/5)</f>
        <v/>
      </c>
      <c r="G60" s="29">
        <f>IF(B60="","",IF(C60&gt;Einstellungen!$C$9,"künftig",IF(AND(D60&lt;&gt;"",D60&lt;Einstellungen!$C$9),"ausgeschieden","aktiv")))</f>
        <v/>
      </c>
    </row>
    <row r="61">
      <c r="A61" s="24" t="n">
        <v>1056</v>
      </c>
      <c r="B61" s="25" t="inlineStr">
        <is>
          <t>Mitarbeiter 056</t>
        </is>
      </c>
      <c r="C61" s="26" t="n">
        <v>46266</v>
      </c>
      <c r="D61" s="26" t="n"/>
      <c r="E61" s="27" t="n">
        <v>40</v>
      </c>
      <c r="F61" s="28">
        <f>IF(E61="","",E61/5)</f>
        <v/>
      </c>
      <c r="G61" s="29">
        <f>IF(B61="","",IF(C61&gt;Einstellungen!$C$9,"künftig",IF(AND(D61&lt;&gt;"",D61&lt;Einstellungen!$C$9),"ausgeschieden","aktiv")))</f>
        <v/>
      </c>
    </row>
    <row r="62">
      <c r="A62" s="24" t="n">
        <v>1057</v>
      </c>
      <c r="B62" s="25" t="inlineStr">
        <is>
          <t>Mitarbeiter 057</t>
        </is>
      </c>
      <c r="C62" s="26" t="n">
        <v>46235</v>
      </c>
      <c r="D62" s="26" t="n"/>
      <c r="E62" s="27" t="n">
        <v>40</v>
      </c>
      <c r="F62" s="28">
        <f>IF(E62="","",E62/5)</f>
        <v/>
      </c>
      <c r="G62" s="29">
        <f>IF(B62="","",IF(C62&gt;Einstellungen!$C$9,"künftig",IF(AND(D62&lt;&gt;"",D62&lt;Einstellungen!$C$9),"ausgeschieden","aktiv")))</f>
        <v/>
      </c>
    </row>
    <row r="63">
      <c r="A63" s="24" t="n">
        <v>1058</v>
      </c>
      <c r="B63" s="25" t="inlineStr">
        <is>
          <t>Mitarbeiter 058</t>
        </is>
      </c>
      <c r="C63" s="26" t="n">
        <v>46218</v>
      </c>
      <c r="D63" s="26" t="n"/>
      <c r="E63" s="27" t="n">
        <v>30</v>
      </c>
      <c r="F63" s="28">
        <f>IF(E63="","",E63/5)</f>
        <v/>
      </c>
      <c r="G63" s="29">
        <f>IF(B63="","",IF(C63&gt;Einstellungen!$C$9,"künftig",IF(AND(D63&lt;&gt;"",D63&lt;Einstellungen!$C$9),"ausgeschieden","aktiv")))</f>
        <v/>
      </c>
    </row>
    <row r="64">
      <c r="A64" s="24" t="n">
        <v>1059</v>
      </c>
      <c r="B64" s="25" t="inlineStr">
        <is>
          <t>Mitarbeiter 059</t>
        </is>
      </c>
      <c r="C64" s="26" t="n">
        <v>46113</v>
      </c>
      <c r="D64" s="26" t="n"/>
      <c r="E64" s="27" t="n">
        <v>20</v>
      </c>
      <c r="F64" s="28">
        <f>IF(E64="","",E64/5)</f>
        <v/>
      </c>
      <c r="G64" s="29">
        <f>IF(B64="","",IF(C64&gt;Einstellungen!$C$9,"künftig",IF(AND(D64&lt;&gt;"",D64&lt;Einstellungen!$C$9),"ausgeschieden","aktiv")))</f>
        <v/>
      </c>
    </row>
    <row r="65">
      <c r="A65" s="24" t="n">
        <v>1060</v>
      </c>
      <c r="B65" s="25" t="inlineStr">
        <is>
          <t>Mitarbeiter 060</t>
        </is>
      </c>
      <c r="C65" s="26" t="n">
        <v>46174</v>
      </c>
      <c r="D65" s="26" t="n">
        <v>46265</v>
      </c>
      <c r="E65" s="27" t="n">
        <v>40</v>
      </c>
      <c r="F65" s="28">
        <f>IF(E65="","",E65/5)</f>
        <v/>
      </c>
      <c r="G65" s="29">
        <f>IF(B65="","",IF(C65&gt;Einstellungen!$C$9,"künftig",IF(AND(D65&lt;&gt;"",D65&lt;Einstellungen!$C$9),"ausgeschieden","aktiv")))</f>
        <v/>
      </c>
    </row>
    <row r="66">
      <c r="A66" s="24" t="n">
        <v>1061</v>
      </c>
      <c r="B66" s="25" t="inlineStr">
        <is>
          <t>Mitarbeiter 061</t>
        </is>
      </c>
      <c r="C66" s="26" t="n">
        <v>46037</v>
      </c>
      <c r="D66" s="26" t="n">
        <v>46203</v>
      </c>
      <c r="E66" s="27" t="n">
        <v>40</v>
      </c>
      <c r="F66" s="28">
        <f>IF(E66="","",E66/5)</f>
        <v/>
      </c>
      <c r="G66" s="29">
        <f>IF(B66="","",IF(C66&gt;Einstellungen!$C$9,"künftig",IF(AND(D66&lt;&gt;"",D66&lt;Einstellungen!$C$9),"ausgeschieden","aktiv")))</f>
        <v/>
      </c>
    </row>
    <row r="67">
      <c r="A67" s="24" t="n">
        <v>1062</v>
      </c>
      <c r="B67" s="25" t="inlineStr">
        <is>
          <t>Mitarbeiter 062</t>
        </is>
      </c>
      <c r="C67" s="26" t="n">
        <v>46054</v>
      </c>
      <c r="D67" s="26" t="n"/>
      <c r="E67" s="27" t="n">
        <v>40</v>
      </c>
      <c r="F67" s="28">
        <f>IF(E67="","",E67/5)</f>
        <v/>
      </c>
      <c r="G67" s="29">
        <f>IF(B67="","",IF(C67&gt;Einstellungen!$C$9,"künftig",IF(AND(D67&lt;&gt;"",D67&lt;Einstellungen!$C$9),"ausgeschieden","aktiv")))</f>
        <v/>
      </c>
    </row>
    <row r="68">
      <c r="A68" s="24" t="n">
        <v>1063</v>
      </c>
      <c r="B68" s="25" t="inlineStr">
        <is>
          <t>Mitarbeiter 063</t>
        </is>
      </c>
      <c r="C68" s="26" t="n">
        <v>46204</v>
      </c>
      <c r="D68" s="26" t="n"/>
      <c r="E68" s="27" t="n">
        <v>30</v>
      </c>
      <c r="F68" s="28">
        <f>IF(E68="","",E68/5)</f>
        <v/>
      </c>
      <c r="G68" s="29">
        <f>IF(B68="","",IF(C68&gt;Einstellungen!$C$9,"künftig",IF(AND(D68&lt;&gt;"",D68&lt;Einstellungen!$C$9),"ausgeschieden","aktiv")))</f>
        <v/>
      </c>
    </row>
    <row r="69">
      <c r="A69" s="24" t="n">
        <v>1064</v>
      </c>
      <c r="B69" s="25" t="inlineStr">
        <is>
          <t>Mitarbeiter 064</t>
        </is>
      </c>
      <c r="C69" s="26" t="n">
        <v>46188</v>
      </c>
      <c r="D69" s="26" t="n"/>
      <c r="E69" s="27" t="n">
        <v>20</v>
      </c>
      <c r="F69" s="28">
        <f>IF(E69="","",E69/5)</f>
        <v/>
      </c>
      <c r="G69" s="29">
        <f>IF(B69="","",IF(C69&gt;Einstellungen!$C$9,"künftig",IF(AND(D69&lt;&gt;"",D69&lt;Einstellungen!$C$9),"ausgeschieden","aktiv")))</f>
        <v/>
      </c>
    </row>
    <row r="70">
      <c r="A70" s="24" t="n">
        <v>1065</v>
      </c>
      <c r="B70" s="25" t="inlineStr">
        <is>
          <t>Mitarbeiter 065</t>
        </is>
      </c>
      <c r="C70" s="26" t="n">
        <v>46235</v>
      </c>
      <c r="D70" s="26" t="n">
        <v>46295</v>
      </c>
      <c r="E70" s="27" t="n">
        <v>40</v>
      </c>
      <c r="F70" s="28">
        <f>IF(E70="","",E70/5)</f>
        <v/>
      </c>
      <c r="G70" s="29">
        <f>IF(B70="","",IF(C70&gt;Einstellungen!$C$9,"künftig",IF(AND(D70&lt;&gt;"",D70&lt;Einstellungen!$C$9),"ausgeschieden","aktiv")))</f>
        <v/>
      </c>
    </row>
    <row r="71">
      <c r="A71" s="24" t="n">
        <v>1066</v>
      </c>
      <c r="B71" s="25" t="inlineStr">
        <is>
          <t>Mitarbeiter 066</t>
        </is>
      </c>
      <c r="C71" s="26" t="n">
        <v>46037</v>
      </c>
      <c r="D71" s="26" t="n"/>
      <c r="E71" s="27" t="n">
        <v>20</v>
      </c>
      <c r="F71" s="28">
        <f>IF(E71="","",E71/5)</f>
        <v/>
      </c>
      <c r="G71" s="29">
        <f>IF(B71="","",IF(C71&gt;Einstellungen!$C$9,"künftig",IF(AND(D71&lt;&gt;"",D71&lt;Einstellungen!$C$9),"ausgeschieden","aktiv")))</f>
        <v/>
      </c>
    </row>
    <row r="72">
      <c r="A72" s="24" t="n">
        <v>1067</v>
      </c>
      <c r="B72" s="25" t="inlineStr">
        <is>
          <t>Mitarbeiter 067</t>
        </is>
      </c>
      <c r="C72" s="26" t="n">
        <v>46174</v>
      </c>
      <c r="D72" s="26" t="n"/>
      <c r="E72" s="27" t="n">
        <v>20</v>
      </c>
      <c r="F72" s="28">
        <f>IF(E72="","",E72/5)</f>
        <v/>
      </c>
      <c r="G72" s="29">
        <f>IF(B72="","",IF(C72&gt;Einstellungen!$C$9,"künftig",IF(AND(D72&lt;&gt;"",D72&lt;Einstellungen!$C$9),"ausgeschieden","aktiv")))</f>
        <v/>
      </c>
    </row>
    <row r="73">
      <c r="A73" s="24" t="n">
        <v>1068</v>
      </c>
      <c r="B73" s="25" t="inlineStr">
        <is>
          <t>Mitarbeiter 068</t>
        </is>
      </c>
      <c r="C73" s="26" t="n">
        <v>46037</v>
      </c>
      <c r="D73" s="26" t="n">
        <v>46295</v>
      </c>
      <c r="E73" s="27" t="n">
        <v>40</v>
      </c>
      <c r="F73" s="28">
        <f>IF(E73="","",E73/5)</f>
        <v/>
      </c>
      <c r="G73" s="29">
        <f>IF(B73="","",IF(C73&gt;Einstellungen!$C$9,"künftig",IF(AND(D73&lt;&gt;"",D73&lt;Einstellungen!$C$9),"ausgeschieden","aktiv")))</f>
        <v/>
      </c>
    </row>
    <row r="74">
      <c r="A74" s="24" t="n">
        <v>1069</v>
      </c>
      <c r="B74" s="25" t="inlineStr">
        <is>
          <t>Mitarbeiter 069</t>
        </is>
      </c>
      <c r="C74" s="26" t="n">
        <v>46023</v>
      </c>
      <c r="D74" s="26" t="n">
        <v>46142</v>
      </c>
      <c r="E74" s="27" t="n">
        <v>40</v>
      </c>
      <c r="F74" s="28">
        <f>IF(E74="","",E74/5)</f>
        <v/>
      </c>
      <c r="G74" s="29">
        <f>IF(B74="","",IF(C74&gt;Einstellungen!$C$9,"künftig",IF(AND(D74&lt;&gt;"",D74&lt;Einstellungen!$C$9),"ausgeschieden","aktiv")))</f>
        <v/>
      </c>
    </row>
    <row r="75">
      <c r="A75" s="24" t="n">
        <v>1070</v>
      </c>
      <c r="B75" s="25" t="inlineStr">
        <is>
          <t>Mitarbeiter 070</t>
        </is>
      </c>
      <c r="C75" s="26" t="n">
        <v>46054</v>
      </c>
      <c r="D75" s="26" t="n">
        <v>46234</v>
      </c>
      <c r="E75" s="27" t="n">
        <v>40</v>
      </c>
      <c r="F75" s="28">
        <f>IF(E75="","",E75/5)</f>
        <v/>
      </c>
      <c r="G75" s="29">
        <f>IF(B75="","",IF(C75&gt;Einstellungen!$C$9,"künftig",IF(AND(D75&lt;&gt;"",D75&lt;Einstellungen!$C$9),"ausgeschieden","aktiv")))</f>
        <v/>
      </c>
    </row>
    <row r="76">
      <c r="A76" s="24" t="n">
        <v>1071</v>
      </c>
      <c r="B76" s="25" t="inlineStr">
        <is>
          <t>Mitarbeiter 071</t>
        </is>
      </c>
      <c r="C76" s="26" t="n">
        <v>46068</v>
      </c>
      <c r="D76" s="26" t="n">
        <v>46295</v>
      </c>
      <c r="E76" s="27" t="n">
        <v>30</v>
      </c>
      <c r="F76" s="28">
        <f>IF(E76="","",E76/5)</f>
        <v/>
      </c>
      <c r="G76" s="29">
        <f>IF(B76="","",IF(C76&gt;Einstellungen!$C$9,"künftig",IF(AND(D76&lt;&gt;"",D76&lt;Einstellungen!$C$9),"ausgeschieden","aktiv")))</f>
        <v/>
      </c>
    </row>
    <row r="77">
      <c r="A77" s="24" t="n">
        <v>1072</v>
      </c>
      <c r="B77" s="25" t="inlineStr">
        <is>
          <t>Mitarbeiter 072</t>
        </is>
      </c>
      <c r="C77" s="26" t="n">
        <v>46143</v>
      </c>
      <c r="D77" s="26" t="n"/>
      <c r="E77" s="27" t="n">
        <v>30</v>
      </c>
      <c r="F77" s="28">
        <f>IF(E77="","",E77/5)</f>
        <v/>
      </c>
      <c r="G77" s="29">
        <f>IF(B77="","",IF(C77&gt;Einstellungen!$C$9,"künftig",IF(AND(D77&lt;&gt;"",D77&lt;Einstellungen!$C$9),"ausgeschieden","aktiv")))</f>
        <v/>
      </c>
    </row>
    <row r="78">
      <c r="A78" s="24" t="n">
        <v>1073</v>
      </c>
      <c r="B78" s="25" t="inlineStr">
        <is>
          <t>Mitarbeiter 073</t>
        </is>
      </c>
      <c r="C78" s="26" t="n">
        <v>46280</v>
      </c>
      <c r="D78" s="26" t="n"/>
      <c r="E78" s="27" t="n">
        <v>40</v>
      </c>
      <c r="F78" s="28">
        <f>IF(E78="","",E78/5)</f>
        <v/>
      </c>
      <c r="G78" s="29">
        <f>IF(B78="","",IF(C78&gt;Einstellungen!$C$9,"künftig",IF(AND(D78&lt;&gt;"",D78&lt;Einstellungen!$C$9),"ausgeschieden","aktiv")))</f>
        <v/>
      </c>
    </row>
    <row r="79">
      <c r="A79" s="24" t="n">
        <v>1074</v>
      </c>
      <c r="B79" s="25" t="inlineStr">
        <is>
          <t>Mitarbeiter 074</t>
        </is>
      </c>
      <c r="C79" s="26" t="n">
        <v>46143</v>
      </c>
      <c r="D79" s="26" t="n"/>
      <c r="E79" s="27" t="n">
        <v>20</v>
      </c>
      <c r="F79" s="28">
        <f>IF(E79="","",E79/5)</f>
        <v/>
      </c>
      <c r="G79" s="29">
        <f>IF(B79="","",IF(C79&gt;Einstellungen!$C$9,"künftig",IF(AND(D79&lt;&gt;"",D79&lt;Einstellungen!$C$9),"ausgeschieden","aktiv")))</f>
        <v/>
      </c>
    </row>
    <row r="80">
      <c r="A80" s="24" t="n">
        <v>1075</v>
      </c>
      <c r="B80" s="25" t="inlineStr">
        <is>
          <t>Mitarbeiter 075</t>
        </is>
      </c>
      <c r="C80" s="26" t="n">
        <v>46280</v>
      </c>
      <c r="D80" s="26" t="n"/>
      <c r="E80" s="27" t="n">
        <v>40</v>
      </c>
      <c r="F80" s="28">
        <f>IF(E80="","",E80/5)</f>
        <v/>
      </c>
      <c r="G80" s="29">
        <f>IF(B80="","",IF(C80&gt;Einstellungen!$C$9,"künftig",IF(AND(D80&lt;&gt;"",D80&lt;Einstellungen!$C$9),"ausgeschieden","aktiv")))</f>
        <v/>
      </c>
    </row>
    <row r="81">
      <c r="A81" s="24" t="n">
        <v>1076</v>
      </c>
      <c r="B81" s="25" t="inlineStr">
        <is>
          <t>Mitarbeiter 076</t>
        </is>
      </c>
      <c r="C81" s="26" t="n">
        <v>46218</v>
      </c>
      <c r="D81" s="26" t="n"/>
      <c r="E81" s="27" t="n">
        <v>40</v>
      </c>
      <c r="F81" s="28">
        <f>IF(E81="","",E81/5)</f>
        <v/>
      </c>
      <c r="G81" s="29">
        <f>IF(B81="","",IF(C81&gt;Einstellungen!$C$9,"künftig",IF(AND(D81&lt;&gt;"",D81&lt;Einstellungen!$C$9),"ausgeschieden","aktiv")))</f>
        <v/>
      </c>
    </row>
    <row r="82">
      <c r="A82" s="24" t="n"/>
      <c r="B82" s="25" t="n"/>
      <c r="C82" s="26" t="n"/>
      <c r="D82" s="26" t="n"/>
      <c r="E82" s="27" t="n"/>
      <c r="F82" s="28">
        <f>IF(E82="","",E82/5)</f>
        <v/>
      </c>
      <c r="G82" s="29">
        <f>IF(B82="","",IF(C82&gt;Einstellungen!$C$9,"künftig",IF(AND(D82&lt;&gt;"",D82&lt;Einstellungen!$C$9),"ausgeschieden","aktiv")))</f>
        <v/>
      </c>
    </row>
    <row r="83">
      <c r="A83" s="24" t="n"/>
      <c r="B83" s="25" t="n"/>
      <c r="C83" s="26" t="n"/>
      <c r="D83" s="26" t="n"/>
      <c r="E83" s="27" t="n"/>
      <c r="F83" s="28">
        <f>IF(E83="","",E83/5)</f>
        <v/>
      </c>
      <c r="G83" s="29">
        <f>IF(B83="","",IF(C83&gt;Einstellungen!$C$9,"künftig",IF(AND(D83&lt;&gt;"",D83&lt;Einstellungen!$C$9),"ausgeschieden","aktiv")))</f>
        <v/>
      </c>
    </row>
    <row r="84">
      <c r="A84" s="24" t="n"/>
      <c r="B84" s="25" t="n"/>
      <c r="C84" s="26" t="n"/>
      <c r="D84" s="26" t="n"/>
      <c r="E84" s="27" t="n"/>
      <c r="F84" s="28">
        <f>IF(E84="","",E84/5)</f>
        <v/>
      </c>
      <c r="G84" s="29">
        <f>IF(B84="","",IF(C84&gt;Einstellungen!$C$9,"künftig",IF(AND(D84&lt;&gt;"",D84&lt;Einstellungen!$C$9),"ausgeschieden","aktiv")))</f>
        <v/>
      </c>
    </row>
    <row r="85">
      <c r="A85" s="24" t="n"/>
      <c r="B85" s="25" t="n"/>
      <c r="C85" s="26" t="n"/>
      <c r="D85" s="26" t="n"/>
      <c r="E85" s="27" t="n"/>
      <c r="F85" s="28">
        <f>IF(E85="","",E85/5)</f>
        <v/>
      </c>
      <c r="G85" s="29">
        <f>IF(B85="","",IF(C85&gt;Einstellungen!$C$9,"künftig",IF(AND(D85&lt;&gt;"",D85&lt;Einstellungen!$C$9),"ausgeschieden","aktiv")))</f>
        <v/>
      </c>
    </row>
    <row r="86">
      <c r="A86" s="24" t="n"/>
      <c r="B86" s="25" t="n"/>
      <c r="C86" s="26" t="n"/>
      <c r="D86" s="26" t="n"/>
      <c r="E86" s="27" t="n"/>
      <c r="F86" s="28">
        <f>IF(E86="","",E86/5)</f>
        <v/>
      </c>
      <c r="G86" s="29">
        <f>IF(B86="","",IF(C86&gt;Einstellungen!$C$9,"künftig",IF(AND(D86&lt;&gt;"",D86&lt;Einstellungen!$C$9),"ausgeschieden","aktiv")))</f>
        <v/>
      </c>
    </row>
    <row r="87">
      <c r="A87" s="24" t="n"/>
      <c r="B87" s="25" t="n"/>
      <c r="C87" s="26" t="n"/>
      <c r="D87" s="26" t="n"/>
      <c r="E87" s="27" t="n"/>
      <c r="F87" s="28">
        <f>IF(E87="","",E87/5)</f>
        <v/>
      </c>
      <c r="G87" s="29">
        <f>IF(B87="","",IF(C87&gt;Einstellungen!$C$9,"künftig",IF(AND(D87&lt;&gt;"",D87&lt;Einstellungen!$C$9),"ausgeschieden","aktiv")))</f>
        <v/>
      </c>
    </row>
    <row r="88">
      <c r="A88" s="24" t="n"/>
      <c r="B88" s="25" t="n"/>
      <c r="C88" s="26" t="n"/>
      <c r="D88" s="26" t="n"/>
      <c r="E88" s="27" t="n"/>
      <c r="F88" s="28">
        <f>IF(E88="","",E88/5)</f>
        <v/>
      </c>
      <c r="G88" s="29">
        <f>IF(B88="","",IF(C88&gt;Einstellungen!$C$9,"künftig",IF(AND(D88&lt;&gt;"",D88&lt;Einstellungen!$C$9),"ausgeschieden","aktiv")))</f>
        <v/>
      </c>
    </row>
    <row r="89">
      <c r="A89" s="24" t="n"/>
      <c r="B89" s="25" t="n"/>
      <c r="C89" s="26" t="n"/>
      <c r="D89" s="26" t="n"/>
      <c r="E89" s="27" t="n"/>
      <c r="F89" s="28">
        <f>IF(E89="","",E89/5)</f>
        <v/>
      </c>
      <c r="G89" s="29">
        <f>IF(B89="","",IF(C89&gt;Einstellungen!$C$9,"künftig",IF(AND(D89&lt;&gt;"",D89&lt;Einstellungen!$C$9),"ausgeschieden","aktiv")))</f>
        <v/>
      </c>
    </row>
    <row r="90">
      <c r="A90" s="24" t="n"/>
      <c r="B90" s="25" t="n"/>
      <c r="C90" s="26" t="n"/>
      <c r="D90" s="26" t="n"/>
      <c r="E90" s="27" t="n"/>
      <c r="F90" s="28">
        <f>IF(E90="","",E90/5)</f>
        <v/>
      </c>
      <c r="G90" s="29">
        <f>IF(B90="","",IF(C90&gt;Einstellungen!$C$9,"künftig",IF(AND(D90&lt;&gt;"",D90&lt;Einstellungen!$C$9),"ausgeschieden","aktiv")))</f>
        <v/>
      </c>
    </row>
    <row r="91">
      <c r="A91" s="24" t="n"/>
      <c r="B91" s="25" t="n"/>
      <c r="C91" s="26" t="n"/>
      <c r="D91" s="26" t="n"/>
      <c r="E91" s="27" t="n"/>
      <c r="F91" s="28">
        <f>IF(E91="","",E91/5)</f>
        <v/>
      </c>
      <c r="G91" s="29">
        <f>IF(B91="","",IF(C91&gt;Einstellungen!$C$9,"künftig",IF(AND(D91&lt;&gt;"",D91&lt;Einstellungen!$C$9),"ausgeschieden","aktiv")))</f>
        <v/>
      </c>
    </row>
    <row r="92">
      <c r="A92" s="24" t="n"/>
      <c r="B92" s="25" t="n"/>
      <c r="C92" s="26" t="n"/>
      <c r="D92" s="26" t="n"/>
      <c r="E92" s="27" t="n"/>
      <c r="F92" s="28">
        <f>IF(E92="","",E92/5)</f>
        <v/>
      </c>
      <c r="G92" s="29">
        <f>IF(B92="","",IF(C92&gt;Einstellungen!$C$9,"künftig",IF(AND(D92&lt;&gt;"",D92&lt;Einstellungen!$C$9),"ausgeschieden","aktiv")))</f>
        <v/>
      </c>
    </row>
    <row r="93">
      <c r="A93" s="24" t="n"/>
      <c r="B93" s="25" t="n"/>
      <c r="C93" s="26" t="n"/>
      <c r="D93" s="26" t="n"/>
      <c r="E93" s="27" t="n"/>
      <c r="F93" s="28">
        <f>IF(E93="","",E93/5)</f>
        <v/>
      </c>
      <c r="G93" s="29">
        <f>IF(B93="","",IF(C93&gt;Einstellungen!$C$9,"künftig",IF(AND(D93&lt;&gt;"",D93&lt;Einstellungen!$C$9),"ausgeschieden","aktiv")))</f>
        <v/>
      </c>
    </row>
    <row r="94">
      <c r="A94" s="24" t="n"/>
      <c r="B94" s="25" t="n"/>
      <c r="C94" s="26" t="n"/>
      <c r="D94" s="26" t="n"/>
      <c r="E94" s="27" t="n"/>
      <c r="F94" s="28">
        <f>IF(E94="","",E94/5)</f>
        <v/>
      </c>
      <c r="G94" s="29">
        <f>IF(B94="","",IF(C94&gt;Einstellungen!$C$9,"künftig",IF(AND(D94&lt;&gt;"",D94&lt;Einstellungen!$C$9),"ausgeschieden","aktiv")))</f>
        <v/>
      </c>
    </row>
    <row r="95">
      <c r="A95" s="24" t="n"/>
      <c r="B95" s="25" t="n"/>
      <c r="C95" s="26" t="n"/>
      <c r="D95" s="26" t="n"/>
      <c r="E95" s="27" t="n"/>
      <c r="F95" s="28">
        <f>IF(E95="","",E95/5)</f>
        <v/>
      </c>
      <c r="G95" s="29">
        <f>IF(B95="","",IF(C95&gt;Einstellungen!$C$9,"künftig",IF(AND(D95&lt;&gt;"",D95&lt;Einstellungen!$C$9),"ausgeschieden","aktiv")))</f>
        <v/>
      </c>
    </row>
    <row r="96">
      <c r="A96" s="24" t="n"/>
      <c r="B96" s="25" t="n"/>
      <c r="C96" s="26" t="n"/>
      <c r="D96" s="26" t="n"/>
      <c r="E96" s="27" t="n"/>
      <c r="F96" s="28">
        <f>IF(E96="","",E96/5)</f>
        <v/>
      </c>
      <c r="G96" s="29">
        <f>IF(B96="","",IF(C96&gt;Einstellungen!$C$9,"künftig",IF(AND(D96&lt;&gt;"",D96&lt;Einstellungen!$C$9),"ausgeschieden","aktiv")))</f>
        <v/>
      </c>
    </row>
    <row r="97">
      <c r="A97" s="24" t="n"/>
      <c r="B97" s="25" t="n"/>
      <c r="C97" s="26" t="n"/>
      <c r="D97" s="26" t="n"/>
      <c r="E97" s="27" t="n"/>
      <c r="F97" s="28">
        <f>IF(E97="","",E97/5)</f>
        <v/>
      </c>
      <c r="G97" s="29">
        <f>IF(B97="","",IF(C97&gt;Einstellungen!$C$9,"künftig",IF(AND(D97&lt;&gt;"",D97&lt;Einstellungen!$C$9),"ausgeschieden","aktiv")))</f>
        <v/>
      </c>
    </row>
    <row r="98">
      <c r="A98" s="24" t="n"/>
      <c r="B98" s="25" t="n"/>
      <c r="C98" s="26" t="n"/>
      <c r="D98" s="26" t="n"/>
      <c r="E98" s="27" t="n"/>
      <c r="F98" s="28">
        <f>IF(E98="","",E98/5)</f>
        <v/>
      </c>
      <c r="G98" s="29">
        <f>IF(B98="","",IF(C98&gt;Einstellungen!$C$9,"künftig",IF(AND(D98&lt;&gt;"",D98&lt;Einstellungen!$C$9),"ausgeschieden","aktiv")))</f>
        <v/>
      </c>
    </row>
    <row r="99">
      <c r="A99" s="24" t="n"/>
      <c r="B99" s="25" t="n"/>
      <c r="C99" s="26" t="n"/>
      <c r="D99" s="26" t="n"/>
      <c r="E99" s="27" t="n"/>
      <c r="F99" s="28">
        <f>IF(E99="","",E99/5)</f>
        <v/>
      </c>
      <c r="G99" s="29">
        <f>IF(B99="","",IF(C99&gt;Einstellungen!$C$9,"künftig",IF(AND(D99&lt;&gt;"",D99&lt;Einstellungen!$C$9),"ausgeschieden","aktiv")))</f>
        <v/>
      </c>
    </row>
    <row r="100">
      <c r="A100" s="24" t="n"/>
      <c r="B100" s="25" t="n"/>
      <c r="C100" s="26" t="n"/>
      <c r="D100" s="26" t="n"/>
      <c r="E100" s="27" t="n"/>
      <c r="F100" s="28">
        <f>IF(E100="","",E100/5)</f>
        <v/>
      </c>
      <c r="G100" s="29">
        <f>IF(B100="","",IF(C100&gt;Einstellungen!$C$9,"künftig",IF(AND(D100&lt;&gt;"",D100&lt;Einstellungen!$C$9),"ausgeschieden","aktiv")))</f>
        <v/>
      </c>
    </row>
    <row r="101">
      <c r="A101" s="24" t="n"/>
      <c r="B101" s="25" t="n"/>
      <c r="C101" s="26" t="n"/>
      <c r="D101" s="26" t="n"/>
      <c r="E101" s="27" t="n"/>
      <c r="F101" s="28">
        <f>IF(E101="","",E101/5)</f>
        <v/>
      </c>
      <c r="G101" s="29">
        <f>IF(B101="","",IF(C101&gt;Einstellungen!$C$9,"künftig",IF(AND(D101&lt;&gt;"",D101&lt;Einstellungen!$C$9),"ausgeschieden","aktiv")))</f>
        <v/>
      </c>
    </row>
    <row r="102">
      <c r="A102" s="24" t="n"/>
      <c r="B102" s="25" t="n"/>
      <c r="C102" s="26" t="n"/>
      <c r="D102" s="26" t="n"/>
      <c r="E102" s="27" t="n"/>
      <c r="F102" s="28">
        <f>IF(E102="","",E102/5)</f>
        <v/>
      </c>
      <c r="G102" s="29">
        <f>IF(B102="","",IF(C102&gt;Einstellungen!$C$9,"künftig",IF(AND(D102&lt;&gt;"",D102&lt;Einstellungen!$C$9),"ausgeschieden","aktiv")))</f>
        <v/>
      </c>
    </row>
    <row r="103">
      <c r="A103" s="24" t="n"/>
      <c r="B103" s="25" t="n"/>
      <c r="C103" s="26" t="n"/>
      <c r="D103" s="26" t="n"/>
      <c r="E103" s="27" t="n"/>
      <c r="F103" s="28">
        <f>IF(E103="","",E103/5)</f>
        <v/>
      </c>
      <c r="G103" s="29">
        <f>IF(B103="","",IF(C103&gt;Einstellungen!$C$9,"künftig",IF(AND(D103&lt;&gt;"",D103&lt;Einstellungen!$C$9),"ausgeschieden","aktiv")))</f>
        <v/>
      </c>
    </row>
    <row r="104">
      <c r="A104" s="24" t="n"/>
      <c r="B104" s="25" t="n"/>
      <c r="C104" s="26" t="n"/>
      <c r="D104" s="26" t="n"/>
      <c r="E104" s="27" t="n"/>
      <c r="F104" s="28">
        <f>IF(E104="","",E104/5)</f>
        <v/>
      </c>
      <c r="G104" s="29">
        <f>IF(B104="","",IF(C104&gt;Einstellungen!$C$9,"künftig",IF(AND(D104&lt;&gt;"",D104&lt;Einstellungen!$C$9),"ausgeschieden","aktiv")))</f>
        <v/>
      </c>
    </row>
    <row r="105">
      <c r="A105" s="24" t="n"/>
      <c r="B105" s="25" t="n"/>
      <c r="C105" s="26" t="n"/>
      <c r="D105" s="26" t="n"/>
      <c r="E105" s="27" t="n"/>
      <c r="F105" s="28">
        <f>IF(E105="","",E105/5)</f>
        <v/>
      </c>
      <c r="G105" s="29">
        <f>IF(B105="","",IF(C105&gt;Einstellungen!$C$9,"künftig",IF(AND(D105&lt;&gt;"",D105&lt;Einstellungen!$C$9),"ausgeschieden","aktiv")))</f>
        <v/>
      </c>
    </row>
    <row r="106">
      <c r="A106" s="24" t="n"/>
      <c r="B106" s="25" t="n"/>
      <c r="C106" s="26" t="n"/>
      <c r="D106" s="26" t="n"/>
      <c r="E106" s="27" t="n"/>
      <c r="F106" s="28">
        <f>IF(E106="","",E106/5)</f>
        <v/>
      </c>
      <c r="G106" s="29">
        <f>IF(B106="","",IF(C106&gt;Einstellungen!$C$9,"künftig",IF(AND(D106&lt;&gt;"",D106&lt;Einstellungen!$C$9),"ausgeschieden","aktiv")))</f>
        <v/>
      </c>
    </row>
    <row r="107">
      <c r="A107" s="24" t="n"/>
      <c r="B107" s="25" t="n"/>
      <c r="C107" s="26" t="n"/>
      <c r="D107" s="26" t="n"/>
      <c r="E107" s="27" t="n"/>
      <c r="F107" s="28">
        <f>IF(E107="","",E107/5)</f>
        <v/>
      </c>
      <c r="G107" s="29">
        <f>IF(B107="","",IF(C107&gt;Einstellungen!$C$9,"künftig",IF(AND(D107&lt;&gt;"",D107&lt;Einstellungen!$C$9),"ausgeschieden","aktiv")))</f>
        <v/>
      </c>
    </row>
    <row r="108">
      <c r="A108" s="24" t="n"/>
      <c r="B108" s="25" t="n"/>
      <c r="C108" s="26" t="n"/>
      <c r="D108" s="26" t="n"/>
      <c r="E108" s="27" t="n"/>
      <c r="F108" s="28">
        <f>IF(E108="","",E108/5)</f>
        <v/>
      </c>
      <c r="G108" s="29">
        <f>IF(B108="","",IF(C108&gt;Einstellungen!$C$9,"künftig",IF(AND(D108&lt;&gt;"",D108&lt;Einstellungen!$C$9),"ausgeschieden","aktiv")))</f>
        <v/>
      </c>
    </row>
    <row r="109">
      <c r="A109" s="24" t="n"/>
      <c r="B109" s="25" t="n"/>
      <c r="C109" s="26" t="n"/>
      <c r="D109" s="26" t="n"/>
      <c r="E109" s="27" t="n"/>
      <c r="F109" s="28">
        <f>IF(E109="","",E109/5)</f>
        <v/>
      </c>
      <c r="G109" s="29">
        <f>IF(B109="","",IF(C109&gt;Einstellungen!$C$9,"künftig",IF(AND(D109&lt;&gt;"",D109&lt;Einstellungen!$C$9),"ausgeschieden","aktiv")))</f>
        <v/>
      </c>
    </row>
    <row r="110">
      <c r="A110" s="24" t="n"/>
      <c r="B110" s="25" t="n"/>
      <c r="C110" s="26" t="n"/>
      <c r="D110" s="26" t="n"/>
      <c r="E110" s="27" t="n"/>
      <c r="F110" s="28">
        <f>IF(E110="","",E110/5)</f>
        <v/>
      </c>
      <c r="G110" s="29">
        <f>IF(B110="","",IF(C110&gt;Einstellungen!$C$9,"künftig",IF(AND(D110&lt;&gt;"",D110&lt;Einstellungen!$C$9),"ausgeschieden","aktiv")))</f>
        <v/>
      </c>
    </row>
    <row r="111">
      <c r="A111" s="24" t="n"/>
      <c r="B111" s="25" t="n"/>
      <c r="C111" s="26" t="n"/>
      <c r="D111" s="26" t="n"/>
      <c r="E111" s="27" t="n"/>
      <c r="F111" s="28">
        <f>IF(E111="","",E111/5)</f>
        <v/>
      </c>
      <c r="G111" s="29">
        <f>IF(B111="","",IF(C111&gt;Einstellungen!$C$9,"künftig",IF(AND(D111&lt;&gt;"",D111&lt;Einstellungen!$C$9),"ausgeschieden","aktiv")))</f>
        <v/>
      </c>
    </row>
    <row r="112">
      <c r="A112" s="24" t="n"/>
      <c r="B112" s="25" t="n"/>
      <c r="C112" s="26" t="n"/>
      <c r="D112" s="26" t="n"/>
      <c r="E112" s="27" t="n"/>
      <c r="F112" s="28">
        <f>IF(E112="","",E112/5)</f>
        <v/>
      </c>
      <c r="G112" s="29">
        <f>IF(B112="","",IF(C112&gt;Einstellungen!$C$9,"künftig",IF(AND(D112&lt;&gt;"",D112&lt;Einstellungen!$C$9),"ausgeschieden","aktiv")))</f>
        <v/>
      </c>
    </row>
    <row r="113">
      <c r="A113" s="24" t="n"/>
      <c r="B113" s="25" t="n"/>
      <c r="C113" s="26" t="n"/>
      <c r="D113" s="26" t="n"/>
      <c r="E113" s="27" t="n"/>
      <c r="F113" s="28">
        <f>IF(E113="","",E113/5)</f>
        <v/>
      </c>
      <c r="G113" s="29">
        <f>IF(B113="","",IF(C113&gt;Einstellungen!$C$9,"künftig",IF(AND(D113&lt;&gt;"",D113&lt;Einstellungen!$C$9),"ausgeschieden","aktiv")))</f>
        <v/>
      </c>
    </row>
    <row r="114">
      <c r="A114" s="24" t="n"/>
      <c r="B114" s="25" t="n"/>
      <c r="C114" s="26" t="n"/>
      <c r="D114" s="26" t="n"/>
      <c r="E114" s="27" t="n"/>
      <c r="F114" s="28">
        <f>IF(E114="","",E114/5)</f>
        <v/>
      </c>
      <c r="G114" s="29">
        <f>IF(B114="","",IF(C114&gt;Einstellungen!$C$9,"künftig",IF(AND(D114&lt;&gt;"",D114&lt;Einstellungen!$C$9),"ausgeschieden","aktiv")))</f>
        <v/>
      </c>
    </row>
    <row r="115">
      <c r="A115" s="24" t="n"/>
      <c r="B115" s="25" t="n"/>
      <c r="C115" s="26" t="n"/>
      <c r="D115" s="26" t="n"/>
      <c r="E115" s="27" t="n"/>
      <c r="F115" s="28">
        <f>IF(E115="","",E115/5)</f>
        <v/>
      </c>
      <c r="G115" s="29">
        <f>IF(B115="","",IF(C115&gt;Einstellungen!$C$9,"künftig",IF(AND(D115&lt;&gt;"",D115&lt;Einstellungen!$C$9),"ausgeschieden","aktiv")))</f>
        <v/>
      </c>
    </row>
    <row r="116">
      <c r="A116" s="24" t="n"/>
      <c r="B116" s="25" t="n"/>
      <c r="C116" s="26" t="n"/>
      <c r="D116" s="26" t="n"/>
      <c r="E116" s="27" t="n"/>
      <c r="F116" s="28">
        <f>IF(E116="","",E116/5)</f>
        <v/>
      </c>
      <c r="G116" s="29">
        <f>IF(B116="","",IF(C116&gt;Einstellungen!$C$9,"künftig",IF(AND(D116&lt;&gt;"",D116&lt;Einstellungen!$C$9),"ausgeschieden","aktiv")))</f>
        <v/>
      </c>
    </row>
    <row r="117">
      <c r="A117" s="24" t="n"/>
      <c r="B117" s="25" t="n"/>
      <c r="C117" s="26" t="n"/>
      <c r="D117" s="26" t="n"/>
      <c r="E117" s="27" t="n"/>
      <c r="F117" s="28">
        <f>IF(E117="","",E117/5)</f>
        <v/>
      </c>
      <c r="G117" s="29">
        <f>IF(B117="","",IF(C117&gt;Einstellungen!$C$9,"künftig",IF(AND(D117&lt;&gt;"",D117&lt;Einstellungen!$C$9),"ausgeschieden","aktiv")))</f>
        <v/>
      </c>
    </row>
    <row r="118">
      <c r="A118" s="24" t="n"/>
      <c r="B118" s="25" t="n"/>
      <c r="C118" s="26" t="n"/>
      <c r="D118" s="26" t="n"/>
      <c r="E118" s="27" t="n"/>
      <c r="F118" s="28">
        <f>IF(E118="","",E118/5)</f>
        <v/>
      </c>
      <c r="G118" s="29">
        <f>IF(B118="","",IF(C118&gt;Einstellungen!$C$9,"künftig",IF(AND(D118&lt;&gt;"",D118&lt;Einstellungen!$C$9),"ausgeschieden","aktiv")))</f>
        <v/>
      </c>
    </row>
    <row r="119">
      <c r="A119" s="24" t="n"/>
      <c r="B119" s="25" t="n"/>
      <c r="C119" s="26" t="n"/>
      <c r="D119" s="26" t="n"/>
      <c r="E119" s="27" t="n"/>
      <c r="F119" s="28">
        <f>IF(E119="","",E119/5)</f>
        <v/>
      </c>
      <c r="G119" s="29">
        <f>IF(B119="","",IF(C119&gt;Einstellungen!$C$9,"künftig",IF(AND(D119&lt;&gt;"",D119&lt;Einstellungen!$C$9),"ausgeschieden","aktiv")))</f>
        <v/>
      </c>
    </row>
    <row r="120">
      <c r="A120" s="24" t="n"/>
      <c r="B120" s="25" t="n"/>
      <c r="C120" s="26" t="n"/>
      <c r="D120" s="26" t="n"/>
      <c r="E120" s="27" t="n"/>
      <c r="F120" s="28">
        <f>IF(E120="","",E120/5)</f>
        <v/>
      </c>
      <c r="G120" s="29">
        <f>IF(B120="","",IF(C120&gt;Einstellungen!$C$9,"künftig",IF(AND(D120&lt;&gt;"",D120&lt;Einstellungen!$C$9),"ausgeschieden","aktiv")))</f>
        <v/>
      </c>
    </row>
    <row r="121">
      <c r="A121" s="24" t="n"/>
      <c r="B121" s="25" t="n"/>
      <c r="C121" s="26" t="n"/>
      <c r="D121" s="26" t="n"/>
      <c r="E121" s="27" t="n"/>
      <c r="F121" s="28">
        <f>IF(E121="","",E121/5)</f>
        <v/>
      </c>
      <c r="G121" s="29">
        <f>IF(B121="","",IF(C121&gt;Einstellungen!$C$9,"künftig",IF(AND(D121&lt;&gt;"",D121&lt;Einstellungen!$C$9),"ausgeschieden","aktiv")))</f>
        <v/>
      </c>
    </row>
    <row r="122">
      <c r="A122" s="24" t="n"/>
      <c r="B122" s="25" t="n"/>
      <c r="C122" s="26" t="n"/>
      <c r="D122" s="26" t="n"/>
      <c r="E122" s="27" t="n"/>
      <c r="F122" s="28">
        <f>IF(E122="","",E122/5)</f>
        <v/>
      </c>
      <c r="G122" s="29">
        <f>IF(B122="","",IF(C122&gt;Einstellungen!$C$9,"künftig",IF(AND(D122&lt;&gt;"",D122&lt;Einstellungen!$C$9),"ausgeschieden","aktiv")))</f>
        <v/>
      </c>
    </row>
    <row r="123">
      <c r="A123" s="24" t="n"/>
      <c r="B123" s="25" t="n"/>
      <c r="C123" s="26" t="n"/>
      <c r="D123" s="26" t="n"/>
      <c r="E123" s="27" t="n"/>
      <c r="F123" s="28">
        <f>IF(E123="","",E123/5)</f>
        <v/>
      </c>
      <c r="G123" s="29">
        <f>IF(B123="","",IF(C123&gt;Einstellungen!$C$9,"künftig",IF(AND(D123&lt;&gt;"",D123&lt;Einstellungen!$C$9),"ausgeschieden","aktiv")))</f>
        <v/>
      </c>
    </row>
    <row r="124">
      <c r="A124" s="24" t="n"/>
      <c r="B124" s="25" t="n"/>
      <c r="C124" s="26" t="n"/>
      <c r="D124" s="26" t="n"/>
      <c r="E124" s="27" t="n"/>
      <c r="F124" s="28">
        <f>IF(E124="","",E124/5)</f>
        <v/>
      </c>
      <c r="G124" s="29">
        <f>IF(B124="","",IF(C124&gt;Einstellungen!$C$9,"künftig",IF(AND(D124&lt;&gt;"",D124&lt;Einstellungen!$C$9),"ausgeschieden","aktiv")))</f>
        <v/>
      </c>
    </row>
    <row r="125">
      <c r="A125" s="24" t="n"/>
      <c r="B125" s="25" t="n"/>
      <c r="C125" s="26" t="n"/>
      <c r="D125" s="26" t="n"/>
      <c r="E125" s="27" t="n"/>
      <c r="F125" s="28">
        <f>IF(E125="","",E125/5)</f>
        <v/>
      </c>
      <c r="G125" s="29">
        <f>IF(B125="","",IF(C125&gt;Einstellungen!$C$9,"künftig",IF(AND(D125&lt;&gt;"",D125&lt;Einstellungen!$C$9),"ausgeschieden","aktiv")))</f>
        <v/>
      </c>
    </row>
    <row r="126">
      <c r="A126" s="24" t="n"/>
      <c r="B126" s="25" t="n"/>
      <c r="C126" s="26" t="n"/>
      <c r="D126" s="26" t="n"/>
      <c r="E126" s="27" t="n"/>
      <c r="F126" s="28">
        <f>IF(E126="","",E126/5)</f>
        <v/>
      </c>
      <c r="G126" s="29">
        <f>IF(B126="","",IF(C126&gt;Einstellungen!$C$9,"künftig",IF(AND(D126&lt;&gt;"",D126&lt;Einstellungen!$C$9),"ausgeschieden","aktiv")))</f>
        <v/>
      </c>
    </row>
    <row r="127">
      <c r="A127" s="24" t="n"/>
      <c r="B127" s="25" t="n"/>
      <c r="C127" s="26" t="n"/>
      <c r="D127" s="26" t="n"/>
      <c r="E127" s="27" t="n"/>
      <c r="F127" s="28">
        <f>IF(E127="","",E127/5)</f>
        <v/>
      </c>
      <c r="G127" s="29">
        <f>IF(B127="","",IF(C127&gt;Einstellungen!$C$9,"künftig",IF(AND(D127&lt;&gt;"",D127&lt;Einstellungen!$C$9),"ausgeschieden","aktiv")))</f>
        <v/>
      </c>
    </row>
    <row r="128">
      <c r="A128" s="24" t="n"/>
      <c r="B128" s="25" t="n"/>
      <c r="C128" s="26" t="n"/>
      <c r="D128" s="26" t="n"/>
      <c r="E128" s="27" t="n"/>
      <c r="F128" s="28">
        <f>IF(E128="","",E128/5)</f>
        <v/>
      </c>
      <c r="G128" s="29">
        <f>IF(B128="","",IF(C128&gt;Einstellungen!$C$9,"künftig",IF(AND(D128&lt;&gt;"",D128&lt;Einstellungen!$C$9),"ausgeschieden","aktiv")))</f>
        <v/>
      </c>
    </row>
    <row r="129">
      <c r="A129" s="24" t="n"/>
      <c r="B129" s="25" t="n"/>
      <c r="C129" s="26" t="n"/>
      <c r="D129" s="26" t="n"/>
      <c r="E129" s="27" t="n"/>
      <c r="F129" s="28">
        <f>IF(E129="","",E129/5)</f>
        <v/>
      </c>
      <c r="G129" s="29">
        <f>IF(B129="","",IF(C129&gt;Einstellungen!$C$9,"künftig",IF(AND(D129&lt;&gt;"",D129&lt;Einstellungen!$C$9),"ausgeschieden","aktiv")))</f>
        <v/>
      </c>
    </row>
    <row r="130">
      <c r="A130" s="24" t="n"/>
      <c r="B130" s="25" t="n"/>
      <c r="C130" s="26" t="n"/>
      <c r="D130" s="26" t="n"/>
      <c r="E130" s="27" t="n"/>
      <c r="F130" s="28">
        <f>IF(E130="","",E130/5)</f>
        <v/>
      </c>
      <c r="G130" s="29">
        <f>IF(B130="","",IF(C130&gt;Einstellungen!$C$9,"künftig",IF(AND(D130&lt;&gt;"",D130&lt;Einstellungen!$C$9),"ausgeschieden","aktiv")))</f>
        <v/>
      </c>
    </row>
    <row r="131">
      <c r="A131" s="24" t="n"/>
      <c r="B131" s="25" t="n"/>
      <c r="C131" s="26" t="n"/>
      <c r="D131" s="26" t="n"/>
      <c r="E131" s="27" t="n"/>
      <c r="F131" s="28">
        <f>IF(E131="","",E131/5)</f>
        <v/>
      </c>
      <c r="G131" s="29">
        <f>IF(B131="","",IF(C131&gt;Einstellungen!$C$9,"künftig",IF(AND(D131&lt;&gt;"",D131&lt;Einstellungen!$C$9),"ausgeschieden","aktiv")))</f>
        <v/>
      </c>
    </row>
    <row r="132">
      <c r="A132" s="24" t="n"/>
      <c r="B132" s="25" t="n"/>
      <c r="C132" s="26" t="n"/>
      <c r="D132" s="26" t="n"/>
      <c r="E132" s="27" t="n"/>
      <c r="F132" s="28">
        <f>IF(E132="","",E132/5)</f>
        <v/>
      </c>
      <c r="G132" s="29">
        <f>IF(B132="","",IF(C132&gt;Einstellungen!$C$9,"künftig",IF(AND(D132&lt;&gt;"",D132&lt;Einstellungen!$C$9),"ausgeschieden","aktiv")))</f>
        <v/>
      </c>
    </row>
    <row r="133">
      <c r="A133" s="24" t="n"/>
      <c r="B133" s="25" t="n"/>
      <c r="C133" s="26" t="n"/>
      <c r="D133" s="26" t="n"/>
      <c r="E133" s="27" t="n"/>
      <c r="F133" s="28">
        <f>IF(E133="","",E133/5)</f>
        <v/>
      </c>
      <c r="G133" s="29">
        <f>IF(B133="","",IF(C133&gt;Einstellungen!$C$9,"künftig",IF(AND(D133&lt;&gt;"",D133&lt;Einstellungen!$C$9),"ausgeschieden","aktiv")))</f>
        <v/>
      </c>
    </row>
    <row r="134">
      <c r="A134" s="24" t="n"/>
      <c r="B134" s="25" t="n"/>
      <c r="C134" s="26" t="n"/>
      <c r="D134" s="26" t="n"/>
      <c r="E134" s="27" t="n"/>
      <c r="F134" s="28">
        <f>IF(E134="","",E134/5)</f>
        <v/>
      </c>
      <c r="G134" s="29">
        <f>IF(B134="","",IF(C134&gt;Einstellungen!$C$9,"künftig",IF(AND(D134&lt;&gt;"",D134&lt;Einstellungen!$C$9),"ausgeschieden","aktiv")))</f>
        <v/>
      </c>
    </row>
    <row r="135">
      <c r="A135" s="24" t="n"/>
      <c r="B135" s="25" t="n"/>
      <c r="C135" s="26" t="n"/>
      <c r="D135" s="26" t="n"/>
      <c r="E135" s="27" t="n"/>
      <c r="F135" s="28">
        <f>IF(E135="","",E135/5)</f>
        <v/>
      </c>
      <c r="G135" s="29">
        <f>IF(B135="","",IF(C135&gt;Einstellungen!$C$9,"künftig",IF(AND(D135&lt;&gt;"",D135&lt;Einstellungen!$C$9),"ausgeschieden","aktiv")))</f>
        <v/>
      </c>
    </row>
    <row r="136">
      <c r="A136" s="24" t="n"/>
      <c r="B136" s="25" t="n"/>
      <c r="C136" s="26" t="n"/>
      <c r="D136" s="26" t="n"/>
      <c r="E136" s="27" t="n"/>
      <c r="F136" s="28">
        <f>IF(E136="","",E136/5)</f>
        <v/>
      </c>
      <c r="G136" s="29">
        <f>IF(B136="","",IF(C136&gt;Einstellungen!$C$9,"künftig",IF(AND(D136&lt;&gt;"",D136&lt;Einstellungen!$C$9),"ausgeschieden","aktiv")))</f>
        <v/>
      </c>
    </row>
    <row r="137">
      <c r="A137" s="24" t="n"/>
      <c r="B137" s="25" t="n"/>
      <c r="C137" s="26" t="n"/>
      <c r="D137" s="26" t="n"/>
      <c r="E137" s="27" t="n"/>
      <c r="F137" s="28">
        <f>IF(E137="","",E137/5)</f>
        <v/>
      </c>
      <c r="G137" s="29">
        <f>IF(B137="","",IF(C137&gt;Einstellungen!$C$9,"künftig",IF(AND(D137&lt;&gt;"",D137&lt;Einstellungen!$C$9),"ausgeschieden","aktiv")))</f>
        <v/>
      </c>
    </row>
    <row r="138">
      <c r="A138" s="24" t="n"/>
      <c r="B138" s="25" t="n"/>
      <c r="C138" s="26" t="n"/>
      <c r="D138" s="26" t="n"/>
      <c r="E138" s="27" t="n"/>
      <c r="F138" s="28">
        <f>IF(E138="","",E138/5)</f>
        <v/>
      </c>
      <c r="G138" s="29">
        <f>IF(B138="","",IF(C138&gt;Einstellungen!$C$9,"künftig",IF(AND(D138&lt;&gt;"",D138&lt;Einstellungen!$C$9),"ausgeschieden","aktiv")))</f>
        <v/>
      </c>
    </row>
    <row r="139">
      <c r="A139" s="24" t="n"/>
      <c r="B139" s="25" t="n"/>
      <c r="C139" s="26" t="n"/>
      <c r="D139" s="26" t="n"/>
      <c r="E139" s="27" t="n"/>
      <c r="F139" s="28">
        <f>IF(E139="","",E139/5)</f>
        <v/>
      </c>
      <c r="G139" s="29">
        <f>IF(B139="","",IF(C139&gt;Einstellungen!$C$9,"künftig",IF(AND(D139&lt;&gt;"",D139&lt;Einstellungen!$C$9),"ausgeschieden","aktiv")))</f>
        <v/>
      </c>
    </row>
    <row r="140">
      <c r="A140" s="24" t="n"/>
      <c r="B140" s="25" t="n"/>
      <c r="C140" s="26" t="n"/>
      <c r="D140" s="26" t="n"/>
      <c r="E140" s="27" t="n"/>
      <c r="F140" s="28">
        <f>IF(E140="","",E140/5)</f>
        <v/>
      </c>
      <c r="G140" s="29">
        <f>IF(B140="","",IF(C140&gt;Einstellungen!$C$9,"künftig",IF(AND(D140&lt;&gt;"",D140&lt;Einstellungen!$C$9),"ausgeschieden","aktiv")))</f>
        <v/>
      </c>
    </row>
    <row r="141">
      <c r="A141" s="24" t="n"/>
      <c r="B141" s="25" t="n"/>
      <c r="C141" s="26" t="n"/>
      <c r="D141" s="26" t="n"/>
      <c r="E141" s="27" t="n"/>
      <c r="F141" s="28">
        <f>IF(E141="","",E141/5)</f>
        <v/>
      </c>
      <c r="G141" s="29">
        <f>IF(B141="","",IF(C141&gt;Einstellungen!$C$9,"künftig",IF(AND(D141&lt;&gt;"",D141&lt;Einstellungen!$C$9),"ausgeschieden","aktiv")))</f>
        <v/>
      </c>
    </row>
    <row r="142">
      <c r="A142" s="24" t="n"/>
      <c r="B142" s="25" t="n"/>
      <c r="C142" s="26" t="n"/>
      <c r="D142" s="26" t="n"/>
      <c r="E142" s="27" t="n"/>
      <c r="F142" s="28">
        <f>IF(E142="","",E142/5)</f>
        <v/>
      </c>
      <c r="G142" s="29">
        <f>IF(B142="","",IF(C142&gt;Einstellungen!$C$9,"künftig",IF(AND(D142&lt;&gt;"",D142&lt;Einstellungen!$C$9),"ausgeschieden","aktiv")))</f>
        <v/>
      </c>
    </row>
    <row r="143">
      <c r="A143" s="24" t="n"/>
      <c r="B143" s="25" t="n"/>
      <c r="C143" s="26" t="n"/>
      <c r="D143" s="26" t="n"/>
      <c r="E143" s="27" t="n"/>
      <c r="F143" s="28">
        <f>IF(E143="","",E143/5)</f>
        <v/>
      </c>
      <c r="G143" s="29">
        <f>IF(B143="","",IF(C143&gt;Einstellungen!$C$9,"künftig",IF(AND(D143&lt;&gt;"",D143&lt;Einstellungen!$C$9),"ausgeschieden","aktiv")))</f>
        <v/>
      </c>
    </row>
    <row r="144">
      <c r="A144" s="24" t="n"/>
      <c r="B144" s="25" t="n"/>
      <c r="C144" s="26" t="n"/>
      <c r="D144" s="26" t="n"/>
      <c r="E144" s="27" t="n"/>
      <c r="F144" s="28">
        <f>IF(E144="","",E144/5)</f>
        <v/>
      </c>
      <c r="G144" s="29">
        <f>IF(B144="","",IF(C144&gt;Einstellungen!$C$9,"künftig",IF(AND(D144&lt;&gt;"",D144&lt;Einstellungen!$C$9),"ausgeschieden","aktiv")))</f>
        <v/>
      </c>
    </row>
    <row r="145">
      <c r="A145" s="24" t="n"/>
      <c r="B145" s="25" t="n"/>
      <c r="C145" s="26" t="n"/>
      <c r="D145" s="26" t="n"/>
      <c r="E145" s="27" t="n"/>
      <c r="F145" s="28">
        <f>IF(E145="","",E145/5)</f>
        <v/>
      </c>
      <c r="G145" s="29">
        <f>IF(B145="","",IF(C145&gt;Einstellungen!$C$9,"künftig",IF(AND(D145&lt;&gt;"",D145&lt;Einstellungen!$C$9),"ausgeschieden","aktiv")))</f>
        <v/>
      </c>
    </row>
    <row r="146">
      <c r="A146" s="24" t="n"/>
      <c r="B146" s="25" t="n"/>
      <c r="C146" s="26" t="n"/>
      <c r="D146" s="26" t="n"/>
      <c r="E146" s="27" t="n"/>
      <c r="F146" s="28">
        <f>IF(E146="","",E146/5)</f>
        <v/>
      </c>
      <c r="G146" s="29">
        <f>IF(B146="","",IF(C146&gt;Einstellungen!$C$9,"künftig",IF(AND(D146&lt;&gt;"",D146&lt;Einstellungen!$C$9),"ausgeschieden","aktiv")))</f>
        <v/>
      </c>
    </row>
    <row r="147">
      <c r="A147" s="24" t="n"/>
      <c r="B147" s="25" t="n"/>
      <c r="C147" s="26" t="n"/>
      <c r="D147" s="26" t="n"/>
      <c r="E147" s="27" t="n"/>
      <c r="F147" s="28">
        <f>IF(E147="","",E147/5)</f>
        <v/>
      </c>
      <c r="G147" s="29">
        <f>IF(B147="","",IF(C147&gt;Einstellungen!$C$9,"künftig",IF(AND(D147&lt;&gt;"",D147&lt;Einstellungen!$C$9),"ausgeschieden","aktiv")))</f>
        <v/>
      </c>
    </row>
    <row r="148">
      <c r="A148" s="24" t="n"/>
      <c r="B148" s="25" t="n"/>
      <c r="C148" s="26" t="n"/>
      <c r="D148" s="26" t="n"/>
      <c r="E148" s="27" t="n"/>
      <c r="F148" s="28">
        <f>IF(E148="","",E148/5)</f>
        <v/>
      </c>
      <c r="G148" s="29">
        <f>IF(B148="","",IF(C148&gt;Einstellungen!$C$9,"künftig",IF(AND(D148&lt;&gt;"",D148&lt;Einstellungen!$C$9),"ausgeschieden","aktiv")))</f>
        <v/>
      </c>
    </row>
    <row r="149">
      <c r="A149" s="24" t="n"/>
      <c r="B149" s="25" t="n"/>
      <c r="C149" s="26" t="n"/>
      <c r="D149" s="26" t="n"/>
      <c r="E149" s="27" t="n"/>
      <c r="F149" s="28">
        <f>IF(E149="","",E149/5)</f>
        <v/>
      </c>
      <c r="G149" s="29">
        <f>IF(B149="","",IF(C149&gt;Einstellungen!$C$9,"künftig",IF(AND(D149&lt;&gt;"",D149&lt;Einstellungen!$C$9),"ausgeschieden","aktiv")))</f>
        <v/>
      </c>
    </row>
    <row r="150">
      <c r="A150" s="24" t="n"/>
      <c r="B150" s="25" t="n"/>
      <c r="C150" s="26" t="n"/>
      <c r="D150" s="26" t="n"/>
      <c r="E150" s="27" t="n"/>
      <c r="F150" s="28">
        <f>IF(E150="","",E150/5)</f>
        <v/>
      </c>
      <c r="G150" s="29">
        <f>IF(B150="","",IF(C150&gt;Einstellungen!$C$9,"künftig",IF(AND(D150&lt;&gt;"",D150&lt;Einstellungen!$C$9),"ausgeschieden","aktiv")))</f>
        <v/>
      </c>
    </row>
    <row r="151">
      <c r="A151" s="24" t="n"/>
      <c r="B151" s="25" t="n"/>
      <c r="C151" s="26" t="n"/>
      <c r="D151" s="26" t="n"/>
      <c r="E151" s="27" t="n"/>
      <c r="F151" s="28">
        <f>IF(E151="","",E151/5)</f>
        <v/>
      </c>
      <c r="G151" s="29">
        <f>IF(B151="","",IF(C151&gt;Einstellungen!$C$9,"künftig",IF(AND(D151&lt;&gt;"",D151&lt;Einstellungen!$C$9),"ausgeschieden","aktiv")))</f>
        <v/>
      </c>
    </row>
    <row r="152">
      <c r="A152" s="24" t="n"/>
      <c r="B152" s="25" t="n"/>
      <c r="C152" s="26" t="n"/>
      <c r="D152" s="26" t="n"/>
      <c r="E152" s="27" t="n"/>
      <c r="F152" s="28">
        <f>IF(E152="","",E152/5)</f>
        <v/>
      </c>
      <c r="G152" s="29">
        <f>IF(B152="","",IF(C152&gt;Einstellungen!$C$9,"künftig",IF(AND(D152&lt;&gt;"",D152&lt;Einstellungen!$C$9),"ausgeschieden","aktiv")))</f>
        <v/>
      </c>
    </row>
    <row r="153">
      <c r="A153" s="24" t="n"/>
      <c r="B153" s="25" t="n"/>
      <c r="C153" s="26" t="n"/>
      <c r="D153" s="26" t="n"/>
      <c r="E153" s="27" t="n"/>
      <c r="F153" s="28">
        <f>IF(E153="","",E153/5)</f>
        <v/>
      </c>
      <c r="G153" s="29">
        <f>IF(B153="","",IF(C153&gt;Einstellungen!$C$9,"künftig",IF(AND(D153&lt;&gt;"",D153&lt;Einstellungen!$C$9),"ausgeschieden","aktiv")))</f>
        <v/>
      </c>
    </row>
    <row r="154">
      <c r="A154" s="24" t="n"/>
      <c r="B154" s="25" t="n"/>
      <c r="C154" s="26" t="n"/>
      <c r="D154" s="26" t="n"/>
      <c r="E154" s="27" t="n"/>
      <c r="F154" s="28">
        <f>IF(E154="","",E154/5)</f>
        <v/>
      </c>
      <c r="G154" s="29">
        <f>IF(B154="","",IF(C154&gt;Einstellungen!$C$9,"künftig",IF(AND(D154&lt;&gt;"",D154&lt;Einstellungen!$C$9),"ausgeschieden","aktiv")))</f>
        <v/>
      </c>
    </row>
    <row r="155">
      <c r="A155" s="24" t="n"/>
      <c r="B155" s="25" t="n"/>
      <c r="C155" s="26" t="n"/>
      <c r="D155" s="26" t="n"/>
      <c r="E155" s="27" t="n"/>
      <c r="F155" s="28">
        <f>IF(E155="","",E155/5)</f>
        <v/>
      </c>
      <c r="G155" s="29">
        <f>IF(B155="","",IF(C155&gt;Einstellungen!$C$9,"künftig",IF(AND(D155&lt;&gt;"",D155&lt;Einstellungen!$C$9),"ausgeschieden","aktiv")))</f>
        <v/>
      </c>
    </row>
    <row r="156">
      <c r="A156" s="24" t="n"/>
      <c r="B156" s="25" t="n"/>
      <c r="C156" s="26" t="n"/>
      <c r="D156" s="26" t="n"/>
      <c r="E156" s="27" t="n"/>
      <c r="F156" s="28">
        <f>IF(E156="","",E156/5)</f>
        <v/>
      </c>
      <c r="G156" s="29">
        <f>IF(B156="","",IF(C156&gt;Einstellungen!$C$9,"künftig",IF(AND(D156&lt;&gt;"",D156&lt;Einstellungen!$C$9),"ausgeschieden","aktiv")))</f>
        <v/>
      </c>
    </row>
    <row r="157">
      <c r="A157" s="24" t="n"/>
      <c r="B157" s="25" t="n"/>
      <c r="C157" s="26" t="n"/>
      <c r="D157" s="26" t="n"/>
      <c r="E157" s="27" t="n"/>
      <c r="F157" s="28">
        <f>IF(E157="","",E157/5)</f>
        <v/>
      </c>
      <c r="G157" s="29">
        <f>IF(B157="","",IF(C157&gt;Einstellungen!$C$9,"künftig",IF(AND(D157&lt;&gt;"",D157&lt;Einstellungen!$C$9),"ausgeschieden","aktiv")))</f>
        <v/>
      </c>
    </row>
    <row r="158">
      <c r="A158" s="24" t="n"/>
      <c r="B158" s="25" t="n"/>
      <c r="C158" s="26" t="n"/>
      <c r="D158" s="26" t="n"/>
      <c r="E158" s="27" t="n"/>
      <c r="F158" s="28">
        <f>IF(E158="","",E158/5)</f>
        <v/>
      </c>
      <c r="G158" s="29">
        <f>IF(B158="","",IF(C158&gt;Einstellungen!$C$9,"künftig",IF(AND(D158&lt;&gt;"",D158&lt;Einstellungen!$C$9),"ausgeschieden","aktiv")))</f>
        <v/>
      </c>
    </row>
    <row r="159">
      <c r="A159" s="24" t="n"/>
      <c r="B159" s="25" t="n"/>
      <c r="C159" s="26" t="n"/>
      <c r="D159" s="26" t="n"/>
      <c r="E159" s="27" t="n"/>
      <c r="F159" s="28">
        <f>IF(E159="","",E159/5)</f>
        <v/>
      </c>
      <c r="G159" s="29">
        <f>IF(B159="","",IF(C159&gt;Einstellungen!$C$9,"künftig",IF(AND(D159&lt;&gt;"",D159&lt;Einstellungen!$C$9),"ausgeschieden","aktiv")))</f>
        <v/>
      </c>
    </row>
    <row r="160">
      <c r="A160" s="24" t="n"/>
      <c r="B160" s="25" t="n"/>
      <c r="C160" s="26" t="n"/>
      <c r="D160" s="26" t="n"/>
      <c r="E160" s="27" t="n"/>
      <c r="F160" s="28">
        <f>IF(E160="","",E160/5)</f>
        <v/>
      </c>
      <c r="G160" s="29">
        <f>IF(B160="","",IF(C160&gt;Einstellungen!$C$9,"künftig",IF(AND(D160&lt;&gt;"",D160&lt;Einstellungen!$C$9),"ausgeschieden","aktiv")))</f>
        <v/>
      </c>
    </row>
    <row r="161">
      <c r="A161" s="24" t="n"/>
      <c r="B161" s="25" t="n"/>
      <c r="C161" s="26" t="n"/>
      <c r="D161" s="26" t="n"/>
      <c r="E161" s="27" t="n"/>
      <c r="F161" s="28">
        <f>IF(E161="","",E161/5)</f>
        <v/>
      </c>
      <c r="G161" s="29">
        <f>IF(B161="","",IF(C161&gt;Einstellungen!$C$9,"künftig",IF(AND(D161&lt;&gt;"",D161&lt;Einstellungen!$C$9),"ausgeschieden","aktiv")))</f>
        <v/>
      </c>
    </row>
    <row r="162">
      <c r="A162" s="24" t="n"/>
      <c r="B162" s="25" t="n"/>
      <c r="C162" s="26" t="n"/>
      <c r="D162" s="26" t="n"/>
      <c r="E162" s="27" t="n"/>
      <c r="F162" s="28">
        <f>IF(E162="","",E162/5)</f>
        <v/>
      </c>
      <c r="G162" s="29">
        <f>IF(B162="","",IF(C162&gt;Einstellungen!$C$9,"künftig",IF(AND(D162&lt;&gt;"",D162&lt;Einstellungen!$C$9),"ausgeschieden","aktiv")))</f>
        <v/>
      </c>
    </row>
    <row r="163">
      <c r="A163" s="24" t="n"/>
      <c r="B163" s="25" t="n"/>
      <c r="C163" s="26" t="n"/>
      <c r="D163" s="26" t="n"/>
      <c r="E163" s="27" t="n"/>
      <c r="F163" s="28">
        <f>IF(E163="","",E163/5)</f>
        <v/>
      </c>
      <c r="G163" s="29">
        <f>IF(B163="","",IF(C163&gt;Einstellungen!$C$9,"künftig",IF(AND(D163&lt;&gt;"",D163&lt;Einstellungen!$C$9),"ausgeschieden","aktiv")))</f>
        <v/>
      </c>
    </row>
    <row r="164">
      <c r="A164" s="24" t="n"/>
      <c r="B164" s="25" t="n"/>
      <c r="C164" s="26" t="n"/>
      <c r="D164" s="26" t="n"/>
      <c r="E164" s="27" t="n"/>
      <c r="F164" s="28">
        <f>IF(E164="","",E164/5)</f>
        <v/>
      </c>
      <c r="G164" s="29">
        <f>IF(B164="","",IF(C164&gt;Einstellungen!$C$9,"künftig",IF(AND(D164&lt;&gt;"",D164&lt;Einstellungen!$C$9),"ausgeschieden","aktiv")))</f>
        <v/>
      </c>
    </row>
    <row r="165">
      <c r="A165" s="24" t="n"/>
      <c r="B165" s="25" t="n"/>
      <c r="C165" s="26" t="n"/>
      <c r="D165" s="26" t="n"/>
      <c r="E165" s="27" t="n"/>
      <c r="F165" s="28">
        <f>IF(E165="","",E165/5)</f>
        <v/>
      </c>
      <c r="G165" s="29">
        <f>IF(B165="","",IF(C165&gt;Einstellungen!$C$9,"künftig",IF(AND(D165&lt;&gt;"",D165&lt;Einstellungen!$C$9),"ausgeschieden","aktiv")))</f>
        <v/>
      </c>
    </row>
    <row r="166">
      <c r="A166" s="24" t="n"/>
      <c r="B166" s="25" t="n"/>
      <c r="C166" s="26" t="n"/>
      <c r="D166" s="26" t="n"/>
      <c r="E166" s="27" t="n"/>
      <c r="F166" s="28">
        <f>IF(E166="","",E166/5)</f>
        <v/>
      </c>
      <c r="G166" s="29">
        <f>IF(B166="","",IF(C166&gt;Einstellungen!$C$9,"künftig",IF(AND(D166&lt;&gt;"",D166&lt;Einstellungen!$C$9),"ausgeschieden","aktiv")))</f>
        <v/>
      </c>
    </row>
    <row r="167">
      <c r="A167" s="24" t="n"/>
      <c r="B167" s="25" t="n"/>
      <c r="C167" s="26" t="n"/>
      <c r="D167" s="26" t="n"/>
      <c r="E167" s="27" t="n"/>
      <c r="F167" s="28">
        <f>IF(E167="","",E167/5)</f>
        <v/>
      </c>
      <c r="G167" s="29">
        <f>IF(B167="","",IF(C167&gt;Einstellungen!$C$9,"künftig",IF(AND(D167&lt;&gt;"",D167&lt;Einstellungen!$C$9),"ausgeschieden","aktiv")))</f>
        <v/>
      </c>
    </row>
    <row r="168">
      <c r="A168" s="24" t="n"/>
      <c r="B168" s="25" t="n"/>
      <c r="C168" s="26" t="n"/>
      <c r="D168" s="26" t="n"/>
      <c r="E168" s="27" t="n"/>
      <c r="F168" s="28">
        <f>IF(E168="","",E168/5)</f>
        <v/>
      </c>
      <c r="G168" s="29">
        <f>IF(B168="","",IF(C168&gt;Einstellungen!$C$9,"künftig",IF(AND(D168&lt;&gt;"",D168&lt;Einstellungen!$C$9),"ausgeschieden","aktiv")))</f>
        <v/>
      </c>
    </row>
    <row r="169">
      <c r="A169" s="24" t="n"/>
      <c r="B169" s="25" t="n"/>
      <c r="C169" s="26" t="n"/>
      <c r="D169" s="26" t="n"/>
      <c r="E169" s="27" t="n"/>
      <c r="F169" s="28">
        <f>IF(E169="","",E169/5)</f>
        <v/>
      </c>
      <c r="G169" s="29">
        <f>IF(B169="","",IF(C169&gt;Einstellungen!$C$9,"künftig",IF(AND(D169&lt;&gt;"",D169&lt;Einstellungen!$C$9),"ausgeschieden","aktiv")))</f>
        <v/>
      </c>
    </row>
    <row r="170">
      <c r="A170" s="24" t="n"/>
      <c r="B170" s="25" t="n"/>
      <c r="C170" s="26" t="n"/>
      <c r="D170" s="26" t="n"/>
      <c r="E170" s="27" t="n"/>
      <c r="F170" s="28">
        <f>IF(E170="","",E170/5)</f>
        <v/>
      </c>
      <c r="G170" s="29">
        <f>IF(B170="","",IF(C170&gt;Einstellungen!$C$9,"künftig",IF(AND(D170&lt;&gt;"",D170&lt;Einstellungen!$C$9),"ausgeschieden","aktiv")))</f>
        <v/>
      </c>
    </row>
    <row r="171">
      <c r="A171" s="24" t="n"/>
      <c r="B171" s="25" t="n"/>
      <c r="C171" s="26" t="n"/>
      <c r="D171" s="26" t="n"/>
      <c r="E171" s="27" t="n"/>
      <c r="F171" s="28">
        <f>IF(E171="","",E171/5)</f>
        <v/>
      </c>
      <c r="G171" s="29">
        <f>IF(B171="","",IF(C171&gt;Einstellungen!$C$9,"künftig",IF(AND(D171&lt;&gt;"",D171&lt;Einstellungen!$C$9),"ausgeschieden","aktiv")))</f>
        <v/>
      </c>
    </row>
    <row r="172">
      <c r="A172" s="24" t="n"/>
      <c r="B172" s="25" t="n"/>
      <c r="C172" s="26" t="n"/>
      <c r="D172" s="26" t="n"/>
      <c r="E172" s="27" t="n"/>
      <c r="F172" s="28">
        <f>IF(E172="","",E172/5)</f>
        <v/>
      </c>
      <c r="G172" s="29">
        <f>IF(B172="","",IF(C172&gt;Einstellungen!$C$9,"künftig",IF(AND(D172&lt;&gt;"",D172&lt;Einstellungen!$C$9),"ausgeschieden","aktiv")))</f>
        <v/>
      </c>
    </row>
    <row r="173">
      <c r="A173" s="24" t="n"/>
      <c r="B173" s="25" t="n"/>
      <c r="C173" s="26" t="n"/>
      <c r="D173" s="26" t="n"/>
      <c r="E173" s="27" t="n"/>
      <c r="F173" s="28">
        <f>IF(E173="","",E173/5)</f>
        <v/>
      </c>
      <c r="G173" s="29">
        <f>IF(B173="","",IF(C173&gt;Einstellungen!$C$9,"künftig",IF(AND(D173&lt;&gt;"",D173&lt;Einstellungen!$C$9),"ausgeschieden","aktiv")))</f>
        <v/>
      </c>
    </row>
    <row r="174">
      <c r="A174" s="24" t="n"/>
      <c r="B174" s="25" t="n"/>
      <c r="C174" s="26" t="n"/>
      <c r="D174" s="26" t="n"/>
      <c r="E174" s="27" t="n"/>
      <c r="F174" s="28">
        <f>IF(E174="","",E174/5)</f>
        <v/>
      </c>
      <c r="G174" s="29">
        <f>IF(B174="","",IF(C174&gt;Einstellungen!$C$9,"künftig",IF(AND(D174&lt;&gt;"",D174&lt;Einstellungen!$C$9),"ausgeschieden","aktiv")))</f>
        <v/>
      </c>
    </row>
    <row r="175">
      <c r="A175" s="24" t="n"/>
      <c r="B175" s="25" t="n"/>
      <c r="C175" s="26" t="n"/>
      <c r="D175" s="26" t="n"/>
      <c r="E175" s="27" t="n"/>
      <c r="F175" s="28">
        <f>IF(E175="","",E175/5)</f>
        <v/>
      </c>
      <c r="G175" s="29">
        <f>IF(B175="","",IF(C175&gt;Einstellungen!$C$9,"künftig",IF(AND(D175&lt;&gt;"",D175&lt;Einstellungen!$C$9),"ausgeschieden","aktiv")))</f>
        <v/>
      </c>
    </row>
    <row r="176">
      <c r="A176" s="24" t="n"/>
      <c r="B176" s="25" t="n"/>
      <c r="C176" s="26" t="n"/>
      <c r="D176" s="26" t="n"/>
      <c r="E176" s="27" t="n"/>
      <c r="F176" s="28">
        <f>IF(E176="","",E176/5)</f>
        <v/>
      </c>
      <c r="G176" s="29">
        <f>IF(B176="","",IF(C176&gt;Einstellungen!$C$9,"künftig",IF(AND(D176&lt;&gt;"",D176&lt;Einstellungen!$C$9),"ausgeschieden","aktiv")))</f>
        <v/>
      </c>
    </row>
    <row r="177">
      <c r="A177" s="24" t="n"/>
      <c r="B177" s="25" t="n"/>
      <c r="C177" s="26" t="n"/>
      <c r="D177" s="26" t="n"/>
      <c r="E177" s="27" t="n"/>
      <c r="F177" s="28">
        <f>IF(E177="","",E177/5)</f>
        <v/>
      </c>
      <c r="G177" s="29">
        <f>IF(B177="","",IF(C177&gt;Einstellungen!$C$9,"künftig",IF(AND(D177&lt;&gt;"",D177&lt;Einstellungen!$C$9),"ausgeschieden","aktiv")))</f>
        <v/>
      </c>
    </row>
    <row r="178">
      <c r="A178" s="24" t="n"/>
      <c r="B178" s="25" t="n"/>
      <c r="C178" s="26" t="n"/>
      <c r="D178" s="26" t="n"/>
      <c r="E178" s="27" t="n"/>
      <c r="F178" s="28">
        <f>IF(E178="","",E178/5)</f>
        <v/>
      </c>
      <c r="G178" s="29">
        <f>IF(B178="","",IF(C178&gt;Einstellungen!$C$9,"künftig",IF(AND(D178&lt;&gt;"",D178&lt;Einstellungen!$C$9),"ausgeschieden","aktiv")))</f>
        <v/>
      </c>
    </row>
    <row r="179">
      <c r="A179" s="24" t="n"/>
      <c r="B179" s="25" t="n"/>
      <c r="C179" s="26" t="n"/>
      <c r="D179" s="26" t="n"/>
      <c r="E179" s="27" t="n"/>
      <c r="F179" s="28">
        <f>IF(E179="","",E179/5)</f>
        <v/>
      </c>
      <c r="G179" s="29">
        <f>IF(B179="","",IF(C179&gt;Einstellungen!$C$9,"künftig",IF(AND(D179&lt;&gt;"",D179&lt;Einstellungen!$C$9),"ausgeschieden","aktiv")))</f>
        <v/>
      </c>
    </row>
    <row r="180">
      <c r="A180" s="24" t="n"/>
      <c r="B180" s="25" t="n"/>
      <c r="C180" s="26" t="n"/>
      <c r="D180" s="26" t="n"/>
      <c r="E180" s="27" t="n"/>
      <c r="F180" s="28">
        <f>IF(E180="","",E180/5)</f>
        <v/>
      </c>
      <c r="G180" s="29">
        <f>IF(B180="","",IF(C180&gt;Einstellungen!$C$9,"künftig",IF(AND(D180&lt;&gt;"",D180&lt;Einstellungen!$C$9),"ausgeschieden","aktiv")))</f>
        <v/>
      </c>
    </row>
    <row r="181">
      <c r="A181" s="24" t="n"/>
      <c r="B181" s="25" t="n"/>
      <c r="C181" s="26" t="n"/>
      <c r="D181" s="26" t="n"/>
      <c r="E181" s="27" t="n"/>
      <c r="F181" s="28">
        <f>IF(E181="","",E181/5)</f>
        <v/>
      </c>
      <c r="G181" s="29">
        <f>IF(B181="","",IF(C181&gt;Einstellungen!$C$9,"künftig",IF(AND(D181&lt;&gt;"",D181&lt;Einstellungen!$C$9),"ausgeschieden","aktiv")))</f>
        <v/>
      </c>
    </row>
    <row r="182">
      <c r="A182" s="24" t="n"/>
      <c r="B182" s="25" t="n"/>
      <c r="C182" s="26" t="n"/>
      <c r="D182" s="26" t="n"/>
      <c r="E182" s="27" t="n"/>
      <c r="F182" s="28">
        <f>IF(E182="","",E182/5)</f>
        <v/>
      </c>
      <c r="G182" s="29">
        <f>IF(B182="","",IF(C182&gt;Einstellungen!$C$9,"künftig",IF(AND(D182&lt;&gt;"",D182&lt;Einstellungen!$C$9),"ausgeschieden","aktiv")))</f>
        <v/>
      </c>
    </row>
    <row r="183">
      <c r="A183" s="24" t="n"/>
      <c r="B183" s="25" t="n"/>
      <c r="C183" s="26" t="n"/>
      <c r="D183" s="26" t="n"/>
      <c r="E183" s="27" t="n"/>
      <c r="F183" s="28">
        <f>IF(E183="","",E183/5)</f>
        <v/>
      </c>
      <c r="G183" s="29">
        <f>IF(B183="","",IF(C183&gt;Einstellungen!$C$9,"künftig",IF(AND(D183&lt;&gt;"",D183&lt;Einstellungen!$C$9),"ausgeschieden","aktiv")))</f>
        <v/>
      </c>
    </row>
    <row r="184">
      <c r="A184" s="24" t="n"/>
      <c r="B184" s="25" t="n"/>
      <c r="C184" s="26" t="n"/>
      <c r="D184" s="26" t="n"/>
      <c r="E184" s="27" t="n"/>
      <c r="F184" s="28">
        <f>IF(E184="","",E184/5)</f>
        <v/>
      </c>
      <c r="G184" s="29">
        <f>IF(B184="","",IF(C184&gt;Einstellungen!$C$9,"künftig",IF(AND(D184&lt;&gt;"",D184&lt;Einstellungen!$C$9),"ausgeschieden","aktiv")))</f>
        <v/>
      </c>
    </row>
    <row r="185">
      <c r="A185" s="24" t="n"/>
      <c r="B185" s="25" t="n"/>
      <c r="C185" s="26" t="n"/>
      <c r="D185" s="26" t="n"/>
      <c r="E185" s="27" t="n"/>
      <c r="F185" s="28">
        <f>IF(E185="","",E185/5)</f>
        <v/>
      </c>
      <c r="G185" s="29">
        <f>IF(B185="","",IF(C185&gt;Einstellungen!$C$9,"künftig",IF(AND(D185&lt;&gt;"",D185&lt;Einstellungen!$C$9),"ausgeschieden","aktiv")))</f>
        <v/>
      </c>
    </row>
    <row r="186">
      <c r="A186" s="24" t="n"/>
      <c r="B186" s="25" t="n"/>
      <c r="C186" s="26" t="n"/>
      <c r="D186" s="26" t="n"/>
      <c r="E186" s="27" t="n"/>
      <c r="F186" s="28">
        <f>IF(E186="","",E186/5)</f>
        <v/>
      </c>
      <c r="G186" s="29">
        <f>IF(B186="","",IF(C186&gt;Einstellungen!$C$9,"künftig",IF(AND(D186&lt;&gt;"",D186&lt;Einstellungen!$C$9),"ausgeschieden","aktiv")))</f>
        <v/>
      </c>
    </row>
    <row r="187">
      <c r="A187" s="24" t="n"/>
      <c r="B187" s="25" t="n"/>
      <c r="C187" s="26" t="n"/>
      <c r="D187" s="26" t="n"/>
      <c r="E187" s="27" t="n"/>
      <c r="F187" s="28">
        <f>IF(E187="","",E187/5)</f>
        <v/>
      </c>
      <c r="G187" s="29">
        <f>IF(B187="","",IF(C187&gt;Einstellungen!$C$9,"künftig",IF(AND(D187&lt;&gt;"",D187&lt;Einstellungen!$C$9),"ausgeschieden","aktiv")))</f>
        <v/>
      </c>
    </row>
    <row r="188">
      <c r="A188" s="24" t="n"/>
      <c r="B188" s="25" t="n"/>
      <c r="C188" s="26" t="n"/>
      <c r="D188" s="26" t="n"/>
      <c r="E188" s="27" t="n"/>
      <c r="F188" s="28">
        <f>IF(E188="","",E188/5)</f>
        <v/>
      </c>
      <c r="G188" s="29">
        <f>IF(B188="","",IF(C188&gt;Einstellungen!$C$9,"künftig",IF(AND(D188&lt;&gt;"",D188&lt;Einstellungen!$C$9),"ausgeschieden","aktiv")))</f>
        <v/>
      </c>
    </row>
    <row r="189">
      <c r="A189" s="24" t="n"/>
      <c r="B189" s="25" t="n"/>
      <c r="C189" s="26" t="n"/>
      <c r="D189" s="26" t="n"/>
      <c r="E189" s="27" t="n"/>
      <c r="F189" s="28">
        <f>IF(E189="","",E189/5)</f>
        <v/>
      </c>
      <c r="G189" s="29">
        <f>IF(B189="","",IF(C189&gt;Einstellungen!$C$9,"künftig",IF(AND(D189&lt;&gt;"",D189&lt;Einstellungen!$C$9),"ausgeschieden","aktiv")))</f>
        <v/>
      </c>
    </row>
    <row r="190">
      <c r="A190" s="24" t="n"/>
      <c r="B190" s="25" t="n"/>
      <c r="C190" s="26" t="n"/>
      <c r="D190" s="26" t="n"/>
      <c r="E190" s="27" t="n"/>
      <c r="F190" s="28">
        <f>IF(E190="","",E190/5)</f>
        <v/>
      </c>
      <c r="G190" s="29">
        <f>IF(B190="","",IF(C190&gt;Einstellungen!$C$9,"künftig",IF(AND(D190&lt;&gt;"",D190&lt;Einstellungen!$C$9),"ausgeschieden","aktiv")))</f>
        <v/>
      </c>
    </row>
    <row r="191">
      <c r="A191" s="24" t="n"/>
      <c r="B191" s="25" t="n"/>
      <c r="C191" s="26" t="n"/>
      <c r="D191" s="26" t="n"/>
      <c r="E191" s="27" t="n"/>
      <c r="F191" s="28">
        <f>IF(E191="","",E191/5)</f>
        <v/>
      </c>
      <c r="G191" s="29">
        <f>IF(B191="","",IF(C191&gt;Einstellungen!$C$9,"künftig",IF(AND(D191&lt;&gt;"",D191&lt;Einstellungen!$C$9),"ausgeschieden","aktiv")))</f>
        <v/>
      </c>
    </row>
    <row r="192">
      <c r="A192" s="24" t="n"/>
      <c r="B192" s="25" t="n"/>
      <c r="C192" s="26" t="n"/>
      <c r="D192" s="26" t="n"/>
      <c r="E192" s="27" t="n"/>
      <c r="F192" s="28">
        <f>IF(E192="","",E192/5)</f>
        <v/>
      </c>
      <c r="G192" s="29">
        <f>IF(B192="","",IF(C192&gt;Einstellungen!$C$9,"künftig",IF(AND(D192&lt;&gt;"",D192&lt;Einstellungen!$C$9),"ausgeschieden","aktiv")))</f>
        <v/>
      </c>
    </row>
    <row r="193">
      <c r="A193" s="24" t="n"/>
      <c r="B193" s="25" t="n"/>
      <c r="C193" s="26" t="n"/>
      <c r="D193" s="26" t="n"/>
      <c r="E193" s="27" t="n"/>
      <c r="F193" s="28">
        <f>IF(E193="","",E193/5)</f>
        <v/>
      </c>
      <c r="G193" s="29">
        <f>IF(B193="","",IF(C193&gt;Einstellungen!$C$9,"künftig",IF(AND(D193&lt;&gt;"",D193&lt;Einstellungen!$C$9),"ausgeschieden","aktiv")))</f>
        <v/>
      </c>
    </row>
    <row r="194">
      <c r="A194" s="24" t="n"/>
      <c r="B194" s="25" t="n"/>
      <c r="C194" s="26" t="n"/>
      <c r="D194" s="26" t="n"/>
      <c r="E194" s="27" t="n"/>
      <c r="F194" s="28">
        <f>IF(E194="","",E194/5)</f>
        <v/>
      </c>
      <c r="G194" s="29">
        <f>IF(B194="","",IF(C194&gt;Einstellungen!$C$9,"künftig",IF(AND(D194&lt;&gt;"",D194&lt;Einstellungen!$C$9),"ausgeschieden","aktiv")))</f>
        <v/>
      </c>
    </row>
    <row r="195">
      <c r="A195" s="24" t="n"/>
      <c r="B195" s="25" t="n"/>
      <c r="C195" s="26" t="n"/>
      <c r="D195" s="26" t="n"/>
      <c r="E195" s="27" t="n"/>
      <c r="F195" s="28">
        <f>IF(E195="","",E195/5)</f>
        <v/>
      </c>
      <c r="G195" s="29">
        <f>IF(B195="","",IF(C195&gt;Einstellungen!$C$9,"künftig",IF(AND(D195&lt;&gt;"",D195&lt;Einstellungen!$C$9),"ausgeschieden","aktiv")))</f>
        <v/>
      </c>
    </row>
    <row r="196">
      <c r="A196" s="24" t="n"/>
      <c r="B196" s="25" t="n"/>
      <c r="C196" s="26" t="n"/>
      <c r="D196" s="26" t="n"/>
      <c r="E196" s="27" t="n"/>
      <c r="F196" s="28">
        <f>IF(E196="","",E196/5)</f>
        <v/>
      </c>
      <c r="G196" s="29">
        <f>IF(B196="","",IF(C196&gt;Einstellungen!$C$9,"künftig",IF(AND(D196&lt;&gt;"",D196&lt;Einstellungen!$C$9),"ausgeschieden","aktiv")))</f>
        <v/>
      </c>
    </row>
    <row r="197">
      <c r="A197" s="24" t="n"/>
      <c r="B197" s="25" t="n"/>
      <c r="C197" s="26" t="n"/>
      <c r="D197" s="26" t="n"/>
      <c r="E197" s="27" t="n"/>
      <c r="F197" s="28">
        <f>IF(E197="","",E197/5)</f>
        <v/>
      </c>
      <c r="G197" s="29">
        <f>IF(B197="","",IF(C197&gt;Einstellungen!$C$9,"künftig",IF(AND(D197&lt;&gt;"",D197&lt;Einstellungen!$C$9),"ausgeschieden","aktiv")))</f>
        <v/>
      </c>
    </row>
    <row r="198">
      <c r="A198" s="24" t="n"/>
      <c r="B198" s="25" t="n"/>
      <c r="C198" s="26" t="n"/>
      <c r="D198" s="26" t="n"/>
      <c r="E198" s="27" t="n"/>
      <c r="F198" s="28">
        <f>IF(E198="","",E198/5)</f>
        <v/>
      </c>
      <c r="G198" s="29">
        <f>IF(B198="","",IF(C198&gt;Einstellungen!$C$9,"künftig",IF(AND(D198&lt;&gt;"",D198&lt;Einstellungen!$C$9),"ausgeschieden","aktiv")))</f>
        <v/>
      </c>
    </row>
    <row r="199">
      <c r="A199" s="24" t="n"/>
      <c r="B199" s="25" t="n"/>
      <c r="C199" s="26" t="n"/>
      <c r="D199" s="26" t="n"/>
      <c r="E199" s="27" t="n"/>
      <c r="F199" s="28">
        <f>IF(E199="","",E199/5)</f>
        <v/>
      </c>
      <c r="G199" s="29">
        <f>IF(B199="","",IF(C199&gt;Einstellungen!$C$9,"künftig",IF(AND(D199&lt;&gt;"",D199&lt;Einstellungen!$C$9),"ausgeschieden","aktiv")))</f>
        <v/>
      </c>
    </row>
    <row r="200">
      <c r="A200" s="24" t="n"/>
      <c r="B200" s="25" t="n"/>
      <c r="C200" s="26" t="n"/>
      <c r="D200" s="26" t="n"/>
      <c r="E200" s="27" t="n"/>
      <c r="F200" s="28">
        <f>IF(E200="","",E200/5)</f>
        <v/>
      </c>
      <c r="G200" s="29">
        <f>IF(B200="","",IF(C200&gt;Einstellungen!$C$9,"künftig",IF(AND(D200&lt;&gt;"",D200&lt;Einstellungen!$C$9),"ausgeschieden","aktiv")))</f>
        <v/>
      </c>
    </row>
    <row r="201">
      <c r="A201" s="24" t="n"/>
      <c r="B201" s="25" t="n"/>
      <c r="C201" s="26" t="n"/>
      <c r="D201" s="26" t="n"/>
      <c r="E201" s="27" t="n"/>
      <c r="F201" s="28">
        <f>IF(E201="","",E201/5)</f>
        <v/>
      </c>
      <c r="G201" s="29">
        <f>IF(B201="","",IF(C201&gt;Einstellungen!$C$9,"künftig",IF(AND(D201&lt;&gt;"",D201&lt;Einstellungen!$C$9),"ausgeschieden","aktiv")))</f>
        <v/>
      </c>
    </row>
    <row r="202">
      <c r="A202" s="24" t="n"/>
      <c r="B202" s="25" t="n"/>
      <c r="C202" s="26" t="n"/>
      <c r="D202" s="26" t="n"/>
      <c r="E202" s="27" t="n"/>
      <c r="F202" s="28">
        <f>IF(E202="","",E202/5)</f>
        <v/>
      </c>
      <c r="G202" s="29">
        <f>IF(B202="","",IF(C202&gt;Einstellungen!$C$9,"künftig",IF(AND(D202&lt;&gt;"",D202&lt;Einstellungen!$C$9),"ausgeschieden","aktiv")))</f>
        <v/>
      </c>
    </row>
    <row r="203">
      <c r="A203" s="24" t="n"/>
      <c r="B203" s="25" t="n"/>
      <c r="C203" s="26" t="n"/>
      <c r="D203" s="26" t="n"/>
      <c r="E203" s="27" t="n"/>
      <c r="F203" s="28">
        <f>IF(E203="","",E203/5)</f>
        <v/>
      </c>
      <c r="G203" s="29">
        <f>IF(B203="","",IF(C203&gt;Einstellungen!$C$9,"künftig",IF(AND(D203&lt;&gt;"",D203&lt;Einstellungen!$C$9),"ausgeschieden","aktiv")))</f>
        <v/>
      </c>
    </row>
    <row r="204">
      <c r="A204" s="24" t="n"/>
      <c r="B204" s="25" t="n"/>
      <c r="C204" s="26" t="n"/>
      <c r="D204" s="26" t="n"/>
      <c r="E204" s="27" t="n"/>
      <c r="F204" s="28">
        <f>IF(E204="","",E204/5)</f>
        <v/>
      </c>
      <c r="G204" s="29">
        <f>IF(B204="","",IF(C204&gt;Einstellungen!$C$9,"künftig",IF(AND(D204&lt;&gt;"",D204&lt;Einstellungen!$C$9),"ausgeschieden","aktiv")))</f>
        <v/>
      </c>
    </row>
    <row r="205">
      <c r="A205" s="24" t="n"/>
      <c r="B205" s="25" t="n"/>
      <c r="C205" s="26" t="n"/>
      <c r="D205" s="26" t="n"/>
      <c r="E205" s="27" t="n"/>
      <c r="F205" s="28">
        <f>IF(E205="","",E205/5)</f>
        <v/>
      </c>
      <c r="G205" s="29">
        <f>IF(B205="","",IF(C205&gt;Einstellungen!$C$9,"künftig",IF(AND(D205&lt;&gt;"",D205&lt;Einstellungen!$C$9),"ausgeschieden","aktiv")))</f>
        <v/>
      </c>
    </row>
  </sheetData>
  <mergeCells count="5">
    <mergeCell ref="I24:K24"/>
    <mergeCell ref="I22:K22"/>
    <mergeCell ref="I23:K23"/>
    <mergeCell ref="I21:K21"/>
    <mergeCell ref="A2:M2"/>
  </mergeCells>
  <conditionalFormatting sqref="G6:G205">
    <cfRule type="cellIs" priority="1" operator="equal" dxfId="0">
      <formula>"ausgeschieden"</formula>
    </cfRule>
    <cfRule type="cellIs" priority="2" operator="equal" dxfId="1">
      <formula>"aktiv"</formula>
    </cfRule>
  </conditionalFormatting>
  <conditionalFormatting sqref="A6:A205">
    <cfRule type="expression" priority="3" dxfId="2">
      <formula>AND(A6&lt;&gt;"",COUNTIF($A$6:$A$205,A6)&gt;1)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20" customWidth="1" min="3" max="3"/>
    <col width="11" customWidth="1" min="4" max="4"/>
    <col width="10" customWidth="1" min="5" max="5"/>
    <col width="8" customWidth="1" min="6" max="6"/>
    <col width="11" customWidth="1" min="7" max="7"/>
    <col width="16" customWidth="1" min="8" max="8"/>
    <col width="3" customWidth="1" min="9" max="9"/>
    <col width="22" customWidth="1" min="10" max="10"/>
    <col width="12" customWidth="1" min="11" max="11"/>
  </cols>
  <sheetData>
    <row r="1">
      <c r="A1" s="1" t="inlineStr">
        <is>
          <t>Erfassung – Einsätze, geleistete Stunden &amp; Krankheitstage</t>
        </is>
      </c>
      <c r="N1" s="12" t="inlineStr">
        <is>
          <t>→ Erklärung</t>
        </is>
      </c>
    </row>
    <row r="2" ht="28" customHeight="1">
      <c r="A2" s="13" t="inlineStr">
        <is>
          <t>Eine Zeile je Mitarbeiter, Objekt und Zeitraum. Täglich (Datum = Einsatztag) ODER als Monatssumme je Objekt (Datum = beliebiger Tag im Monat). Wechselt ein MA das Objekt, einfach weitere Zeile. Krankheitstag dem Objekt zuordnen, in dem der MA an dem Tag eingeplant war. Grau = automatisch.</t>
        </is>
      </c>
    </row>
    <row r="4">
      <c r="J4" s="2" t="inlineStr">
        <is>
          <t>Kontrolle</t>
        </is>
      </c>
      <c r="K4" s="2" t="n"/>
    </row>
    <row r="5" ht="30" customHeight="1">
      <c r="A5" s="20" t="inlineStr">
        <is>
          <t>Datum</t>
        </is>
      </c>
      <c r="B5" s="20" t="inlineStr">
        <is>
          <t>Pers.-Nr.</t>
        </is>
      </c>
      <c r="C5" s="20" t="inlineStr">
        <is>
          <t>Name (auto)</t>
        </is>
      </c>
      <c r="D5" s="20" t="inlineStr">
        <is>
          <t>Objekt</t>
        </is>
      </c>
      <c r="E5" s="20" t="inlineStr">
        <is>
          <t>Geleistete
Stunden</t>
        </is>
      </c>
      <c r="F5" s="20" t="inlineStr">
        <is>
          <t>Krank-
tage</t>
        </is>
      </c>
      <c r="G5" s="20" t="inlineStr">
        <is>
          <t>Krank-
stunden (auto)</t>
        </is>
      </c>
      <c r="H5" s="20" t="inlineStr">
        <is>
          <t>Prüfung (auto)</t>
        </is>
      </c>
      <c r="J5" s="6" t="inlineStr">
        <is>
          <t>Erfasste Zeilen</t>
        </is>
      </c>
      <c r="K5" s="32">
        <f>COUNT(Erfassung!$B$6:$B$5005)</f>
        <v/>
      </c>
    </row>
    <row r="6">
      <c r="A6" s="26" t="n">
        <v>46023</v>
      </c>
      <c r="B6" s="24" t="n">
        <v>1001</v>
      </c>
      <c r="C6" s="40">
        <f>IF(B6="","",IFERROR(INDEX(Mitarbeiter!$B$6:$B$205,MATCH(B6,Mitarbeiter!$A$6:$A$205,0)),"?"))</f>
        <v/>
      </c>
      <c r="D6" s="41" t="inlineStr">
        <is>
          <t>Objekt 1</t>
        </is>
      </c>
      <c r="E6" s="42" t="n">
        <v>37.5</v>
      </c>
      <c r="F6" s="43" t="n">
        <v>1</v>
      </c>
      <c r="G6" s="44">
        <f>IF(OR(B6="",F6=""),"",IFERROR(F6*INDEX(Mitarbeiter!$F$6:$F$205,MATCH(B6,Mitarbeiter!$A$6:$A$205,0)),0))</f>
        <v/>
      </c>
      <c r="H6" s="8">
        <f>IF(B6="","",IF(ISNA(MATCH(B6,Mitarbeiter!$A$6:$A$205,0)),"Pers.-Nr. unbekannt",IF(A6="","Datum fehlt",IF(AND(D6&lt;&gt;Einstellungen!$C$4,D6&lt;&gt;Einstellungen!$C$5),"Objekt fehlt",IF(YEAR(A6)&lt;&gt;Einstellungen!$C$3,"anderes Jahr",IF(A6&lt;INDEX(Mitarbeiter!$C$6:$C$205,MATCH(B6,Mitarbeiter!$A$6:$A$205,0)),"vor Eintritt",IF(AND(INDEX(Mitarbeiter!$D$6:$D$205,MATCH(B6,Mitarbeiter!$A$6:$A$205,0))&lt;&gt;"",A6&gt;INDEX(Mitarbeiter!$D$6:$D$205,MATCH(B6,Mitarbeiter!$A$6:$A$205,0))),"nach Austritt","ok")))))))</f>
        <v/>
      </c>
      <c r="J6" s="6" t="inlineStr">
        <is>
          <t>Zeilen mit Fehler</t>
        </is>
      </c>
      <c r="K6" s="32">
        <f>SUMPRODUCT((Erfassung!$B$6:$B$5005&lt;&gt;"")*(Erfassung!$H$6:$H$5005&lt;&gt;"ok"))</f>
        <v/>
      </c>
    </row>
    <row r="7">
      <c r="A7" s="26" t="n">
        <v>46023</v>
      </c>
      <c r="B7" s="24" t="n">
        <v>1001</v>
      </c>
      <c r="C7" s="40">
        <f>IF(B7="","",IFERROR(INDEX(Mitarbeiter!$B$6:$B$205,MATCH(B7,Mitarbeiter!$A$6:$A$205,0)),"?"))</f>
        <v/>
      </c>
      <c r="D7" s="41" t="inlineStr">
        <is>
          <t>Objekt 2</t>
        </is>
      </c>
      <c r="E7" s="42" t="n">
        <v>37.5</v>
      </c>
      <c r="F7" s="43" t="n">
        <v>2</v>
      </c>
      <c r="G7" s="44">
        <f>IF(OR(B7="",F7=""),"",IFERROR(F7*INDEX(Mitarbeiter!$F$6:$F$205,MATCH(B7,Mitarbeiter!$A$6:$A$205,0)),0))</f>
        <v/>
      </c>
      <c r="H7" s="8">
        <f>IF(B7="","",IF(ISNA(MATCH(B7,Mitarbeiter!$A$6:$A$205,0)),"Pers.-Nr. unbekannt",IF(A7="","Datum fehlt",IF(AND(D7&lt;&gt;Einstellungen!$C$4,D7&lt;&gt;Einstellungen!$C$5),"Objekt fehlt",IF(YEAR(A7)&lt;&gt;Einstellungen!$C$3,"anderes Jahr",IF(A7&lt;INDEX(Mitarbeiter!$C$6:$C$205,MATCH(B7,Mitarbeiter!$A$6:$A$205,0)),"vor Eintritt",IF(AND(INDEX(Mitarbeiter!$D$6:$D$205,MATCH(B7,Mitarbeiter!$A$6:$A$205,0))&lt;&gt;"",A7&gt;INDEX(Mitarbeiter!$D$6:$D$205,MATCH(B7,Mitarbeiter!$A$6:$A$205,0))),"nach Austritt","ok")))))))</f>
        <v/>
      </c>
      <c r="J7" s="6" t="inlineStr">
        <is>
          <t>Freie Zeilen</t>
        </is>
      </c>
      <c r="K7" s="32">
        <f>5000-COUNT(Erfassung!$B$6:$B$5005)</f>
        <v/>
      </c>
    </row>
    <row r="8">
      <c r="A8" s="26" t="n">
        <v>46023</v>
      </c>
      <c r="B8" s="24" t="n">
        <v>1002</v>
      </c>
      <c r="C8" s="40">
        <f>IF(B8="","",IFERROR(INDEX(Mitarbeiter!$B$6:$B$205,MATCH(B8,Mitarbeiter!$A$6:$A$205,0)),"?"))</f>
        <v/>
      </c>
      <c r="D8" s="41" t="inlineStr">
        <is>
          <t>Objekt 1</t>
        </is>
      </c>
      <c r="E8" s="42" t="n">
        <v>72</v>
      </c>
      <c r="F8" s="43" t="n">
        <v>1</v>
      </c>
      <c r="G8" s="44">
        <f>IF(OR(B8="",F8=""),"",IFERROR(F8*INDEX(Mitarbeiter!$F$6:$F$205,MATCH(B8,Mitarbeiter!$A$6:$A$205,0)),0))</f>
        <v/>
      </c>
      <c r="H8" s="8">
        <f>IF(B8="","",IF(ISNA(MATCH(B8,Mitarbeiter!$A$6:$A$205,0)),"Pers.-Nr. unbekannt",IF(A8="","Datum fehlt",IF(AND(D8&lt;&gt;Einstellungen!$C$4,D8&lt;&gt;Einstellungen!$C$5),"Objekt fehlt",IF(YEAR(A8)&lt;&gt;Einstellungen!$C$3,"anderes Jahr",IF(A8&lt;INDEX(Mitarbeiter!$C$6:$C$205,MATCH(B8,Mitarbeiter!$A$6:$A$205,0)),"vor Eintritt",IF(AND(INDEX(Mitarbeiter!$D$6:$D$205,MATCH(B8,Mitarbeiter!$A$6:$A$205,0))&lt;&gt;"",A8&gt;INDEX(Mitarbeiter!$D$6:$D$205,MATCH(B8,Mitarbeiter!$A$6:$A$205,0))),"nach Austritt","ok")))))))</f>
        <v/>
      </c>
      <c r="J8" s="6" t="inlineStr">
        <is>
          <t>Geleistete Std. gesamt</t>
        </is>
      </c>
      <c r="K8" s="45">
        <f>SUM(Erfassung!$E$6:$E$5005)</f>
        <v/>
      </c>
    </row>
    <row r="9">
      <c r="A9" s="26" t="n">
        <v>46023</v>
      </c>
      <c r="B9" s="24" t="n">
        <v>1002</v>
      </c>
      <c r="C9" s="40">
        <f>IF(B9="","",IFERROR(INDEX(Mitarbeiter!$B$6:$B$205,MATCH(B9,Mitarbeiter!$A$6:$A$205,0)),"?"))</f>
        <v/>
      </c>
      <c r="D9" s="41" t="inlineStr">
        <is>
          <t>Objekt 2</t>
        </is>
      </c>
      <c r="E9" s="42" t="n">
        <v>48</v>
      </c>
      <c r="F9" s="43" t="n">
        <v>0</v>
      </c>
      <c r="G9" s="44">
        <f>IF(OR(B9="",F9=""),"",IFERROR(F9*INDEX(Mitarbeiter!$F$6:$F$205,MATCH(B9,Mitarbeiter!$A$6:$A$205,0)),0))</f>
        <v/>
      </c>
      <c r="H9" s="8">
        <f>IF(B9="","",IF(ISNA(MATCH(B9,Mitarbeiter!$A$6:$A$205,0)),"Pers.-Nr. unbekannt",IF(A9="","Datum fehlt",IF(AND(D9&lt;&gt;Einstellungen!$C$4,D9&lt;&gt;Einstellungen!$C$5),"Objekt fehlt",IF(YEAR(A9)&lt;&gt;Einstellungen!$C$3,"anderes Jahr",IF(A9&lt;INDEX(Mitarbeiter!$C$6:$C$205,MATCH(B9,Mitarbeiter!$A$6:$A$205,0)),"vor Eintritt",IF(AND(INDEX(Mitarbeiter!$D$6:$D$205,MATCH(B9,Mitarbeiter!$A$6:$A$205,0))&lt;&gt;"",A9&gt;INDEX(Mitarbeiter!$D$6:$D$205,MATCH(B9,Mitarbeiter!$A$6:$A$205,0))),"nach Austritt","ok")))))))</f>
        <v/>
      </c>
      <c r="J9" s="6" t="inlineStr">
        <is>
          <t>Krankstunden gesamt</t>
        </is>
      </c>
      <c r="K9" s="45">
        <f>SUM(Erfassung!$G$6:$G$5005)</f>
        <v/>
      </c>
    </row>
    <row r="10">
      <c r="A10" s="26" t="n">
        <v>46023</v>
      </c>
      <c r="B10" s="24" t="n">
        <v>1003</v>
      </c>
      <c r="C10" s="40">
        <f>IF(B10="","",IFERROR(INDEX(Mitarbeiter!$B$6:$B$205,MATCH(B10,Mitarbeiter!$A$6:$A$205,0)),"?"))</f>
        <v/>
      </c>
      <c r="D10" s="41" t="inlineStr">
        <is>
          <t>Objekt 2</t>
        </is>
      </c>
      <c r="E10" s="42" t="n">
        <v>169.5</v>
      </c>
      <c r="F10" s="43" t="n">
        <v>0</v>
      </c>
      <c r="G10" s="44">
        <f>IF(OR(B10="",F10=""),"",IFERROR(F10*INDEX(Mitarbeiter!$F$6:$F$205,MATCH(B10,Mitarbeiter!$A$6:$A$205,0)),0))</f>
        <v/>
      </c>
      <c r="H10" s="8">
        <f>IF(B10="","",IF(ISNA(MATCH(B10,Mitarbeiter!$A$6:$A$205,0)),"Pers.-Nr. unbekannt",IF(A10="","Datum fehlt",IF(AND(D10&lt;&gt;Einstellungen!$C$4,D10&lt;&gt;Einstellungen!$C$5),"Objekt fehlt",IF(YEAR(A10)&lt;&gt;Einstellungen!$C$3,"anderes Jahr",IF(A10&lt;INDEX(Mitarbeiter!$C$6:$C$205,MATCH(B10,Mitarbeiter!$A$6:$A$205,0)),"vor Eintritt",IF(AND(INDEX(Mitarbeiter!$D$6:$D$205,MATCH(B10,Mitarbeiter!$A$6:$A$205,0))&lt;&gt;"",A10&gt;INDEX(Mitarbeiter!$D$6:$D$205,MATCH(B10,Mitarbeiter!$A$6:$A$205,0))),"nach Austritt","ok")))))))</f>
        <v/>
      </c>
    </row>
    <row r="11">
      <c r="A11" s="26" t="n">
        <v>46023</v>
      </c>
      <c r="B11" s="24" t="n">
        <v>1004</v>
      </c>
      <c r="C11" s="40">
        <f>IF(B11="","",IFERROR(INDEX(Mitarbeiter!$B$6:$B$205,MATCH(B11,Mitarbeiter!$A$6:$A$205,0)),"?"))</f>
        <v/>
      </c>
      <c r="D11" s="41" t="inlineStr">
        <is>
          <t>Objekt 1</t>
        </is>
      </c>
      <c r="E11" s="42" t="n">
        <v>80</v>
      </c>
      <c r="F11" s="43" t="n">
        <v>0</v>
      </c>
      <c r="G11" s="44">
        <f>IF(OR(B11="",F11=""),"",IFERROR(F11*INDEX(Mitarbeiter!$F$6:$F$205,MATCH(B11,Mitarbeiter!$A$6:$A$205,0)),0))</f>
        <v/>
      </c>
      <c r="H11" s="8">
        <f>IF(B11="","",IF(ISNA(MATCH(B11,Mitarbeiter!$A$6:$A$205,0)),"Pers.-Nr. unbekannt",IF(A11="","Datum fehlt",IF(AND(D11&lt;&gt;Einstellungen!$C$4,D11&lt;&gt;Einstellungen!$C$5),"Objekt fehlt",IF(YEAR(A11)&lt;&gt;Einstellungen!$C$3,"anderes Jahr",IF(A11&lt;INDEX(Mitarbeiter!$C$6:$C$205,MATCH(B11,Mitarbeiter!$A$6:$A$205,0)),"vor Eintritt",IF(AND(INDEX(Mitarbeiter!$D$6:$D$205,MATCH(B11,Mitarbeiter!$A$6:$A$205,0))&lt;&gt;"",A11&gt;INDEX(Mitarbeiter!$D$6:$D$205,MATCH(B11,Mitarbeiter!$A$6:$A$205,0))),"nach Austritt","ok")))))))</f>
        <v/>
      </c>
    </row>
    <row r="12">
      <c r="A12" s="26" t="n">
        <v>46023</v>
      </c>
      <c r="B12" s="24" t="n">
        <v>1004</v>
      </c>
      <c r="C12" s="40">
        <f>IF(B12="","",IFERROR(INDEX(Mitarbeiter!$B$6:$B$205,MATCH(B12,Mitarbeiter!$A$6:$A$205,0)),"?"))</f>
        <v/>
      </c>
      <c r="D12" s="41" t="inlineStr">
        <is>
          <t>Objekt 2</t>
        </is>
      </c>
      <c r="E12" s="42" t="n">
        <v>86.5</v>
      </c>
      <c r="F12" s="43" t="n">
        <v>0</v>
      </c>
      <c r="G12" s="44">
        <f>IF(OR(B12="",F12=""),"",IFERROR(F12*INDEX(Mitarbeiter!$F$6:$F$205,MATCH(B12,Mitarbeiter!$A$6:$A$205,0)),0))</f>
        <v/>
      </c>
      <c r="H12" s="8">
        <f>IF(B12="","",IF(ISNA(MATCH(B12,Mitarbeiter!$A$6:$A$205,0)),"Pers.-Nr. unbekannt",IF(A12="","Datum fehlt",IF(AND(D12&lt;&gt;Einstellungen!$C$4,D12&lt;&gt;Einstellungen!$C$5),"Objekt fehlt",IF(YEAR(A12)&lt;&gt;Einstellungen!$C$3,"anderes Jahr",IF(A12&lt;INDEX(Mitarbeiter!$C$6:$C$205,MATCH(B12,Mitarbeiter!$A$6:$A$205,0)),"vor Eintritt",IF(AND(INDEX(Mitarbeiter!$D$6:$D$205,MATCH(B12,Mitarbeiter!$A$6:$A$205,0))&lt;&gt;"",A12&gt;INDEX(Mitarbeiter!$D$6:$D$205,MATCH(B12,Mitarbeiter!$A$6:$A$205,0))),"nach Austritt","ok")))))))</f>
        <v/>
      </c>
    </row>
    <row r="13">
      <c r="A13" s="26" t="n">
        <v>46023</v>
      </c>
      <c r="B13" s="24" t="n">
        <v>1005</v>
      </c>
      <c r="C13" s="40">
        <f>IF(B13="","",IFERROR(INDEX(Mitarbeiter!$B$6:$B$205,MATCH(B13,Mitarbeiter!$A$6:$A$205,0)),"?"))</f>
        <v/>
      </c>
      <c r="D13" s="41" t="inlineStr">
        <is>
          <t>Objekt 1</t>
        </is>
      </c>
      <c r="E13" s="42" t="n">
        <v>58.5</v>
      </c>
      <c r="F13" s="43" t="n">
        <v>0</v>
      </c>
      <c r="G13" s="44">
        <f>IF(OR(B13="",F13=""),"",IFERROR(F13*INDEX(Mitarbeiter!$F$6:$F$205,MATCH(B13,Mitarbeiter!$A$6:$A$205,0)),0))</f>
        <v/>
      </c>
      <c r="H13" s="8">
        <f>IF(B13="","",IF(ISNA(MATCH(B13,Mitarbeiter!$A$6:$A$205,0)),"Pers.-Nr. unbekannt",IF(A13="","Datum fehlt",IF(AND(D13&lt;&gt;Einstellungen!$C$4,D13&lt;&gt;Einstellungen!$C$5),"Objekt fehlt",IF(YEAR(A13)&lt;&gt;Einstellungen!$C$3,"anderes Jahr",IF(A13&lt;INDEX(Mitarbeiter!$C$6:$C$205,MATCH(B13,Mitarbeiter!$A$6:$A$205,0)),"vor Eintritt",IF(AND(INDEX(Mitarbeiter!$D$6:$D$205,MATCH(B13,Mitarbeiter!$A$6:$A$205,0))&lt;&gt;"",A13&gt;INDEX(Mitarbeiter!$D$6:$D$205,MATCH(B13,Mitarbeiter!$A$6:$A$205,0))),"nach Austritt","ok")))))))</f>
        <v/>
      </c>
    </row>
    <row r="14">
      <c r="A14" s="26" t="n">
        <v>46023</v>
      </c>
      <c r="B14" s="24" t="n">
        <v>1005</v>
      </c>
      <c r="C14" s="40">
        <f>IF(B14="","",IFERROR(INDEX(Mitarbeiter!$B$6:$B$205,MATCH(B14,Mitarbeiter!$A$6:$A$205,0)),"?"))</f>
        <v/>
      </c>
      <c r="D14" s="41" t="inlineStr">
        <is>
          <t>Objekt 2</t>
        </is>
      </c>
      <c r="E14" s="42" t="n">
        <v>66</v>
      </c>
      <c r="F14" s="43" t="n">
        <v>0</v>
      </c>
      <c r="G14" s="44">
        <f>IF(OR(B14="",F14=""),"",IFERROR(F14*INDEX(Mitarbeiter!$F$6:$F$205,MATCH(B14,Mitarbeiter!$A$6:$A$205,0)),0))</f>
        <v/>
      </c>
      <c r="H14" s="8">
        <f>IF(B14="","",IF(ISNA(MATCH(B14,Mitarbeiter!$A$6:$A$205,0)),"Pers.-Nr. unbekannt",IF(A14="","Datum fehlt",IF(AND(D14&lt;&gt;Einstellungen!$C$4,D14&lt;&gt;Einstellungen!$C$5),"Objekt fehlt",IF(YEAR(A14)&lt;&gt;Einstellungen!$C$3,"anderes Jahr",IF(A14&lt;INDEX(Mitarbeiter!$C$6:$C$205,MATCH(B14,Mitarbeiter!$A$6:$A$205,0)),"vor Eintritt",IF(AND(INDEX(Mitarbeiter!$D$6:$D$205,MATCH(B14,Mitarbeiter!$A$6:$A$205,0))&lt;&gt;"",A14&gt;INDEX(Mitarbeiter!$D$6:$D$205,MATCH(B14,Mitarbeiter!$A$6:$A$205,0))),"nach Austritt","ok")))))))</f>
        <v/>
      </c>
    </row>
    <row r="15">
      <c r="A15" s="26" t="n">
        <v>46023</v>
      </c>
      <c r="B15" s="24" t="n">
        <v>1006</v>
      </c>
      <c r="C15" s="40">
        <f>IF(B15="","",IFERROR(INDEX(Mitarbeiter!$B$6:$B$205,MATCH(B15,Mitarbeiter!$A$6:$A$205,0)),"?"))</f>
        <v/>
      </c>
      <c r="D15" s="41" t="inlineStr">
        <is>
          <t>Objekt 1</t>
        </is>
      </c>
      <c r="E15" s="42" t="n">
        <v>94.5</v>
      </c>
      <c r="F15" s="43" t="n">
        <v>1</v>
      </c>
      <c r="G15" s="44">
        <f>IF(OR(B15="",F15=""),"",IFERROR(F15*INDEX(Mitarbeiter!$F$6:$F$205,MATCH(B15,Mitarbeiter!$A$6:$A$205,0)),0))</f>
        <v/>
      </c>
      <c r="H15" s="8">
        <f>IF(B15="","",IF(ISNA(MATCH(B15,Mitarbeiter!$A$6:$A$205,0)),"Pers.-Nr. unbekannt",IF(A15="","Datum fehlt",IF(AND(D15&lt;&gt;Einstellungen!$C$4,D15&lt;&gt;Einstellungen!$C$5),"Objekt fehlt",IF(YEAR(A15)&lt;&gt;Einstellungen!$C$3,"anderes Jahr",IF(A15&lt;INDEX(Mitarbeiter!$C$6:$C$205,MATCH(B15,Mitarbeiter!$A$6:$A$205,0)),"vor Eintritt",IF(AND(INDEX(Mitarbeiter!$D$6:$D$205,MATCH(B15,Mitarbeiter!$A$6:$A$205,0))&lt;&gt;"",A15&gt;INDEX(Mitarbeiter!$D$6:$D$205,MATCH(B15,Mitarbeiter!$A$6:$A$205,0))),"nach Austritt","ok")))))))</f>
        <v/>
      </c>
    </row>
    <row r="16">
      <c r="A16" s="26" t="n">
        <v>46023</v>
      </c>
      <c r="B16" s="24" t="n">
        <v>1006</v>
      </c>
      <c r="C16" s="40">
        <f>IF(B16="","",IFERROR(INDEX(Mitarbeiter!$B$6:$B$205,MATCH(B16,Mitarbeiter!$A$6:$A$205,0)),"?"))</f>
        <v/>
      </c>
      <c r="D16" s="41" t="inlineStr">
        <is>
          <t>Objekt 2</t>
        </is>
      </c>
      <c r="E16" s="42" t="n">
        <v>64</v>
      </c>
      <c r="F16" s="43" t="n">
        <v>0</v>
      </c>
      <c r="G16" s="44">
        <f>IF(OR(B16="",F16=""),"",IFERROR(F16*INDEX(Mitarbeiter!$F$6:$F$205,MATCH(B16,Mitarbeiter!$A$6:$A$205,0)),0))</f>
        <v/>
      </c>
      <c r="H16" s="8">
        <f>IF(B16="","",IF(ISNA(MATCH(B16,Mitarbeiter!$A$6:$A$205,0)),"Pers.-Nr. unbekannt",IF(A16="","Datum fehlt",IF(AND(D16&lt;&gt;Einstellungen!$C$4,D16&lt;&gt;Einstellungen!$C$5),"Objekt fehlt",IF(YEAR(A16)&lt;&gt;Einstellungen!$C$3,"anderes Jahr",IF(A16&lt;INDEX(Mitarbeiter!$C$6:$C$205,MATCH(B16,Mitarbeiter!$A$6:$A$205,0)),"vor Eintritt",IF(AND(INDEX(Mitarbeiter!$D$6:$D$205,MATCH(B16,Mitarbeiter!$A$6:$A$205,0))&lt;&gt;"",A16&gt;INDEX(Mitarbeiter!$D$6:$D$205,MATCH(B16,Mitarbeiter!$A$6:$A$205,0))),"nach Austritt","ok")))))))</f>
        <v/>
      </c>
    </row>
    <row r="17">
      <c r="A17" s="26" t="n">
        <v>46023</v>
      </c>
      <c r="B17" s="24" t="n">
        <v>1007</v>
      </c>
      <c r="C17" s="40">
        <f>IF(B17="","",IFERROR(INDEX(Mitarbeiter!$B$6:$B$205,MATCH(B17,Mitarbeiter!$A$6:$A$205,0)),"?"))</f>
        <v/>
      </c>
      <c r="D17" s="41" t="inlineStr">
        <is>
          <t>Objekt 2</t>
        </is>
      </c>
      <c r="E17" s="42" t="n">
        <v>169.5</v>
      </c>
      <c r="F17" s="43" t="n">
        <v>0</v>
      </c>
      <c r="G17" s="44">
        <f>IF(OR(B17="",F17=""),"",IFERROR(F17*INDEX(Mitarbeiter!$F$6:$F$205,MATCH(B17,Mitarbeiter!$A$6:$A$205,0)),0))</f>
        <v/>
      </c>
      <c r="H17" s="8">
        <f>IF(B17="","",IF(ISNA(MATCH(B17,Mitarbeiter!$A$6:$A$205,0)),"Pers.-Nr. unbekannt",IF(A17="","Datum fehlt",IF(AND(D17&lt;&gt;Einstellungen!$C$4,D17&lt;&gt;Einstellungen!$C$5),"Objekt fehlt",IF(YEAR(A17)&lt;&gt;Einstellungen!$C$3,"anderes Jahr",IF(A17&lt;INDEX(Mitarbeiter!$C$6:$C$205,MATCH(B17,Mitarbeiter!$A$6:$A$205,0)),"vor Eintritt",IF(AND(INDEX(Mitarbeiter!$D$6:$D$205,MATCH(B17,Mitarbeiter!$A$6:$A$205,0))&lt;&gt;"",A17&gt;INDEX(Mitarbeiter!$D$6:$D$205,MATCH(B17,Mitarbeiter!$A$6:$A$205,0))),"nach Austritt","ok")))))))</f>
        <v/>
      </c>
    </row>
    <row r="18">
      <c r="A18" s="26" t="n">
        <v>46023</v>
      </c>
      <c r="B18" s="24" t="n">
        <v>1008</v>
      </c>
      <c r="C18" s="40">
        <f>IF(B18="","",IFERROR(INDEX(Mitarbeiter!$B$6:$B$205,MATCH(B18,Mitarbeiter!$A$6:$A$205,0)),"?"))</f>
        <v/>
      </c>
      <c r="D18" s="41" t="inlineStr">
        <is>
          <t>Objekt 1</t>
        </is>
      </c>
      <c r="E18" s="42" t="n">
        <v>14.5</v>
      </c>
      <c r="F18" s="43" t="n">
        <v>0</v>
      </c>
      <c r="G18" s="44">
        <f>IF(OR(B18="",F18=""),"",IFERROR(F18*INDEX(Mitarbeiter!$F$6:$F$205,MATCH(B18,Mitarbeiter!$A$6:$A$205,0)),0))</f>
        <v/>
      </c>
      <c r="H18" s="8">
        <f>IF(B18="","",IF(ISNA(MATCH(B18,Mitarbeiter!$A$6:$A$205,0)),"Pers.-Nr. unbekannt",IF(A18="","Datum fehlt",IF(AND(D18&lt;&gt;Einstellungen!$C$4,D18&lt;&gt;Einstellungen!$C$5),"Objekt fehlt",IF(YEAR(A18)&lt;&gt;Einstellungen!$C$3,"anderes Jahr",IF(A18&lt;INDEX(Mitarbeiter!$C$6:$C$205,MATCH(B18,Mitarbeiter!$A$6:$A$205,0)),"vor Eintritt",IF(AND(INDEX(Mitarbeiter!$D$6:$D$205,MATCH(B18,Mitarbeiter!$A$6:$A$205,0))&lt;&gt;"",A18&gt;INDEX(Mitarbeiter!$D$6:$D$205,MATCH(B18,Mitarbeiter!$A$6:$A$205,0))),"nach Austritt","ok")))))))</f>
        <v/>
      </c>
    </row>
    <row r="19">
      <c r="A19" s="26" t="n">
        <v>46023</v>
      </c>
      <c r="B19" s="24" t="n">
        <v>1008</v>
      </c>
      <c r="C19" s="40">
        <f>IF(B19="","",IFERROR(INDEX(Mitarbeiter!$B$6:$B$205,MATCH(B19,Mitarbeiter!$A$6:$A$205,0)),"?"))</f>
        <v/>
      </c>
      <c r="D19" s="41" t="inlineStr">
        <is>
          <t>Objekt 2</t>
        </is>
      </c>
      <c r="E19" s="42" t="n">
        <v>71</v>
      </c>
      <c r="F19" s="43" t="n">
        <v>0</v>
      </c>
      <c r="G19" s="44">
        <f>IF(OR(B19="",F19=""),"",IFERROR(F19*INDEX(Mitarbeiter!$F$6:$F$205,MATCH(B19,Mitarbeiter!$A$6:$A$205,0)),0))</f>
        <v/>
      </c>
      <c r="H19" s="8">
        <f>IF(B19="","",IF(ISNA(MATCH(B19,Mitarbeiter!$A$6:$A$205,0)),"Pers.-Nr. unbekannt",IF(A19="","Datum fehlt",IF(AND(D19&lt;&gt;Einstellungen!$C$4,D19&lt;&gt;Einstellungen!$C$5),"Objekt fehlt",IF(YEAR(A19)&lt;&gt;Einstellungen!$C$3,"anderes Jahr",IF(A19&lt;INDEX(Mitarbeiter!$C$6:$C$205,MATCH(B19,Mitarbeiter!$A$6:$A$205,0)),"vor Eintritt",IF(AND(INDEX(Mitarbeiter!$D$6:$D$205,MATCH(B19,Mitarbeiter!$A$6:$A$205,0))&lt;&gt;"",A19&gt;INDEX(Mitarbeiter!$D$6:$D$205,MATCH(B19,Mitarbeiter!$A$6:$A$205,0))),"nach Austritt","ok")))))))</f>
        <v/>
      </c>
    </row>
    <row r="20">
      <c r="A20" s="26" t="n">
        <v>46023</v>
      </c>
      <c r="B20" s="24" t="n">
        <v>1009</v>
      </c>
      <c r="C20" s="40">
        <f>IF(B20="","",IFERROR(INDEX(Mitarbeiter!$B$6:$B$205,MATCH(B20,Mitarbeiter!$A$6:$A$205,0)),"?"))</f>
        <v/>
      </c>
      <c r="D20" s="41" t="inlineStr">
        <is>
          <t>Objekt 1</t>
        </is>
      </c>
      <c r="E20" s="42" t="n">
        <v>43</v>
      </c>
      <c r="F20" s="43" t="n">
        <v>0</v>
      </c>
      <c r="G20" s="44">
        <f>IF(OR(B20="",F20=""),"",IFERROR(F20*INDEX(Mitarbeiter!$F$6:$F$205,MATCH(B20,Mitarbeiter!$A$6:$A$205,0)),0))</f>
        <v/>
      </c>
      <c r="H20" s="8">
        <f>IF(B20="","",IF(ISNA(MATCH(B20,Mitarbeiter!$A$6:$A$205,0)),"Pers.-Nr. unbekannt",IF(A20="","Datum fehlt",IF(AND(D20&lt;&gt;Einstellungen!$C$4,D20&lt;&gt;Einstellungen!$C$5),"Objekt fehlt",IF(YEAR(A20)&lt;&gt;Einstellungen!$C$3,"anderes Jahr",IF(A20&lt;INDEX(Mitarbeiter!$C$6:$C$205,MATCH(B20,Mitarbeiter!$A$6:$A$205,0)),"vor Eintritt",IF(AND(INDEX(Mitarbeiter!$D$6:$D$205,MATCH(B20,Mitarbeiter!$A$6:$A$205,0))&lt;&gt;"",A20&gt;INDEX(Mitarbeiter!$D$6:$D$205,MATCH(B20,Mitarbeiter!$A$6:$A$205,0))),"nach Austritt","ok")))))))</f>
        <v/>
      </c>
    </row>
    <row r="21">
      <c r="A21" s="26" t="n">
        <v>46023</v>
      </c>
      <c r="B21" s="24" t="n">
        <v>1009</v>
      </c>
      <c r="C21" s="40">
        <f>IF(B21="","",IFERROR(INDEX(Mitarbeiter!$B$6:$B$205,MATCH(B21,Mitarbeiter!$A$6:$A$205,0)),"?"))</f>
        <v/>
      </c>
      <c r="D21" s="41" t="inlineStr">
        <is>
          <t>Objekt 2</t>
        </is>
      </c>
      <c r="E21" s="42" t="n">
        <v>44</v>
      </c>
      <c r="F21" s="43" t="n">
        <v>0</v>
      </c>
      <c r="G21" s="44">
        <f>IF(OR(B21="",F21=""),"",IFERROR(F21*INDEX(Mitarbeiter!$F$6:$F$205,MATCH(B21,Mitarbeiter!$A$6:$A$205,0)),0))</f>
        <v/>
      </c>
      <c r="H21" s="8">
        <f>IF(B21="","",IF(ISNA(MATCH(B21,Mitarbeiter!$A$6:$A$205,0)),"Pers.-Nr. unbekannt",IF(A21="","Datum fehlt",IF(AND(D21&lt;&gt;Einstellungen!$C$4,D21&lt;&gt;Einstellungen!$C$5),"Objekt fehlt",IF(YEAR(A21)&lt;&gt;Einstellungen!$C$3,"anderes Jahr",IF(A21&lt;INDEX(Mitarbeiter!$C$6:$C$205,MATCH(B21,Mitarbeiter!$A$6:$A$205,0)),"vor Eintritt",IF(AND(INDEX(Mitarbeiter!$D$6:$D$205,MATCH(B21,Mitarbeiter!$A$6:$A$205,0))&lt;&gt;"",A21&gt;INDEX(Mitarbeiter!$D$6:$D$205,MATCH(B21,Mitarbeiter!$A$6:$A$205,0))),"nach Austritt","ok")))))))</f>
        <v/>
      </c>
    </row>
    <row r="22">
      <c r="A22" s="26" t="n">
        <v>46023</v>
      </c>
      <c r="B22" s="24" t="n">
        <v>1010</v>
      </c>
      <c r="C22" s="40">
        <f>IF(B22="","",IFERROR(INDEX(Mitarbeiter!$B$6:$B$205,MATCH(B22,Mitarbeiter!$A$6:$A$205,0)),"?"))</f>
        <v/>
      </c>
      <c r="D22" s="41" t="inlineStr">
        <is>
          <t>Objekt 2</t>
        </is>
      </c>
      <c r="E22" s="42" t="n">
        <v>120</v>
      </c>
      <c r="F22" s="43" t="n">
        <v>1</v>
      </c>
      <c r="G22" s="44">
        <f>IF(OR(B22="",F22=""),"",IFERROR(F22*INDEX(Mitarbeiter!$F$6:$F$205,MATCH(B22,Mitarbeiter!$A$6:$A$205,0)),0))</f>
        <v/>
      </c>
      <c r="H22" s="8">
        <f>IF(B22="","",IF(ISNA(MATCH(B22,Mitarbeiter!$A$6:$A$205,0)),"Pers.-Nr. unbekannt",IF(A22="","Datum fehlt",IF(AND(D22&lt;&gt;Einstellungen!$C$4,D22&lt;&gt;Einstellungen!$C$5),"Objekt fehlt",IF(YEAR(A22)&lt;&gt;Einstellungen!$C$3,"anderes Jahr",IF(A22&lt;INDEX(Mitarbeiter!$C$6:$C$205,MATCH(B22,Mitarbeiter!$A$6:$A$205,0)),"vor Eintritt",IF(AND(INDEX(Mitarbeiter!$D$6:$D$205,MATCH(B22,Mitarbeiter!$A$6:$A$205,0))&lt;&gt;"",A22&gt;INDEX(Mitarbeiter!$D$6:$D$205,MATCH(B22,Mitarbeiter!$A$6:$A$205,0))),"nach Austritt","ok")))))))</f>
        <v/>
      </c>
    </row>
    <row r="23">
      <c r="A23" s="26" t="n">
        <v>46023</v>
      </c>
      <c r="B23" s="24" t="n">
        <v>1011</v>
      </c>
      <c r="C23" s="40">
        <f>IF(B23="","",IFERROR(INDEX(Mitarbeiter!$B$6:$B$205,MATCH(B23,Mitarbeiter!$A$6:$A$205,0)),"?"))</f>
        <v/>
      </c>
      <c r="D23" s="41" t="inlineStr">
        <is>
          <t>Objekt 1</t>
        </is>
      </c>
      <c r="E23" s="42" t="n">
        <v>78.5</v>
      </c>
      <c r="F23" s="43" t="n">
        <v>0</v>
      </c>
      <c r="G23" s="44">
        <f>IF(OR(B23="",F23=""),"",IFERROR(F23*INDEX(Mitarbeiter!$F$6:$F$205,MATCH(B23,Mitarbeiter!$A$6:$A$205,0)),0))</f>
        <v/>
      </c>
      <c r="H23" s="8">
        <f>IF(B23="","",IF(ISNA(MATCH(B23,Mitarbeiter!$A$6:$A$205,0)),"Pers.-Nr. unbekannt",IF(A23="","Datum fehlt",IF(AND(D23&lt;&gt;Einstellungen!$C$4,D23&lt;&gt;Einstellungen!$C$5),"Objekt fehlt",IF(YEAR(A23)&lt;&gt;Einstellungen!$C$3,"anderes Jahr",IF(A23&lt;INDEX(Mitarbeiter!$C$6:$C$205,MATCH(B23,Mitarbeiter!$A$6:$A$205,0)),"vor Eintritt",IF(AND(INDEX(Mitarbeiter!$D$6:$D$205,MATCH(B23,Mitarbeiter!$A$6:$A$205,0))&lt;&gt;"",A23&gt;INDEX(Mitarbeiter!$D$6:$D$205,MATCH(B23,Mitarbeiter!$A$6:$A$205,0))),"nach Austritt","ok")))))))</f>
        <v/>
      </c>
    </row>
    <row r="24">
      <c r="A24" s="26" t="n">
        <v>46023</v>
      </c>
      <c r="B24" s="24" t="n">
        <v>1011</v>
      </c>
      <c r="C24" s="40">
        <f>IF(B24="","",IFERROR(INDEX(Mitarbeiter!$B$6:$B$205,MATCH(B24,Mitarbeiter!$A$6:$A$205,0)),"?"))</f>
        <v/>
      </c>
      <c r="D24" s="41" t="inlineStr">
        <is>
          <t>Objekt 2</t>
        </is>
      </c>
      <c r="E24" s="42" t="n">
        <v>88</v>
      </c>
      <c r="F24" s="43" t="n">
        <v>0</v>
      </c>
      <c r="G24" s="44">
        <f>IF(OR(B24="",F24=""),"",IFERROR(F24*INDEX(Mitarbeiter!$F$6:$F$205,MATCH(B24,Mitarbeiter!$A$6:$A$205,0)),0))</f>
        <v/>
      </c>
      <c r="H24" s="8">
        <f>IF(B24="","",IF(ISNA(MATCH(B24,Mitarbeiter!$A$6:$A$205,0)),"Pers.-Nr. unbekannt",IF(A24="","Datum fehlt",IF(AND(D24&lt;&gt;Einstellungen!$C$4,D24&lt;&gt;Einstellungen!$C$5),"Objekt fehlt",IF(YEAR(A24)&lt;&gt;Einstellungen!$C$3,"anderes Jahr",IF(A24&lt;INDEX(Mitarbeiter!$C$6:$C$205,MATCH(B24,Mitarbeiter!$A$6:$A$205,0)),"vor Eintritt",IF(AND(INDEX(Mitarbeiter!$D$6:$D$205,MATCH(B24,Mitarbeiter!$A$6:$A$205,0))&lt;&gt;"",A24&gt;INDEX(Mitarbeiter!$D$6:$D$205,MATCH(B24,Mitarbeiter!$A$6:$A$205,0))),"nach Austritt","ok")))))))</f>
        <v/>
      </c>
    </row>
    <row r="25">
      <c r="A25" s="26" t="n">
        <v>46023</v>
      </c>
      <c r="B25" s="24" t="n">
        <v>1012</v>
      </c>
      <c r="C25" s="40">
        <f>IF(B25="","",IFERROR(INDEX(Mitarbeiter!$B$6:$B$205,MATCH(B25,Mitarbeiter!$A$6:$A$205,0)),"?"))</f>
        <v/>
      </c>
      <c r="D25" s="41" t="inlineStr">
        <is>
          <t>Objekt 1</t>
        </is>
      </c>
      <c r="E25" s="42" t="n">
        <v>171</v>
      </c>
      <c r="F25" s="43" t="n">
        <v>0</v>
      </c>
      <c r="G25" s="44">
        <f>IF(OR(B25="",F25=""),"",IFERROR(F25*INDEX(Mitarbeiter!$F$6:$F$205,MATCH(B25,Mitarbeiter!$A$6:$A$205,0)),0))</f>
        <v/>
      </c>
      <c r="H25" s="8">
        <f>IF(B25="","",IF(ISNA(MATCH(B25,Mitarbeiter!$A$6:$A$205,0)),"Pers.-Nr. unbekannt",IF(A25="","Datum fehlt",IF(AND(D25&lt;&gt;Einstellungen!$C$4,D25&lt;&gt;Einstellungen!$C$5),"Objekt fehlt",IF(YEAR(A25)&lt;&gt;Einstellungen!$C$3,"anderes Jahr",IF(A25&lt;INDEX(Mitarbeiter!$C$6:$C$205,MATCH(B25,Mitarbeiter!$A$6:$A$205,0)),"vor Eintritt",IF(AND(INDEX(Mitarbeiter!$D$6:$D$205,MATCH(B25,Mitarbeiter!$A$6:$A$205,0))&lt;&gt;"",A25&gt;INDEX(Mitarbeiter!$D$6:$D$205,MATCH(B25,Mitarbeiter!$A$6:$A$205,0))),"nach Austritt","ok")))))))</f>
        <v/>
      </c>
    </row>
    <row r="26">
      <c r="A26" s="26" t="n">
        <v>46023</v>
      </c>
      <c r="B26" s="24" t="n">
        <v>1013</v>
      </c>
      <c r="C26" s="40">
        <f>IF(B26="","",IFERROR(INDEX(Mitarbeiter!$B$6:$B$205,MATCH(B26,Mitarbeiter!$A$6:$A$205,0)),"?"))</f>
        <v/>
      </c>
      <c r="D26" s="41" t="inlineStr">
        <is>
          <t>Objekt 1</t>
        </is>
      </c>
      <c r="E26" s="42" t="n">
        <v>96</v>
      </c>
      <c r="F26" s="43" t="n">
        <v>1</v>
      </c>
      <c r="G26" s="44">
        <f>IF(OR(B26="",F26=""),"",IFERROR(F26*INDEX(Mitarbeiter!$F$6:$F$205,MATCH(B26,Mitarbeiter!$A$6:$A$205,0)),0))</f>
        <v/>
      </c>
      <c r="H26" s="8">
        <f>IF(B26="","",IF(ISNA(MATCH(B26,Mitarbeiter!$A$6:$A$205,0)),"Pers.-Nr. unbekannt",IF(A26="","Datum fehlt",IF(AND(D26&lt;&gt;Einstellungen!$C$4,D26&lt;&gt;Einstellungen!$C$5),"Objekt fehlt",IF(YEAR(A26)&lt;&gt;Einstellungen!$C$3,"anderes Jahr",IF(A26&lt;INDEX(Mitarbeiter!$C$6:$C$205,MATCH(B26,Mitarbeiter!$A$6:$A$205,0)),"vor Eintritt",IF(AND(INDEX(Mitarbeiter!$D$6:$D$205,MATCH(B26,Mitarbeiter!$A$6:$A$205,0))&lt;&gt;"",A26&gt;INDEX(Mitarbeiter!$D$6:$D$205,MATCH(B26,Mitarbeiter!$A$6:$A$205,0))),"nach Austritt","ok")))))))</f>
        <v/>
      </c>
    </row>
    <row r="27">
      <c r="A27" s="26" t="n">
        <v>46023</v>
      </c>
      <c r="B27" s="24" t="n">
        <v>1013</v>
      </c>
      <c r="C27" s="40">
        <f>IF(B27="","",IFERROR(INDEX(Mitarbeiter!$B$6:$B$205,MATCH(B27,Mitarbeiter!$A$6:$A$205,0)),"?"))</f>
        <v/>
      </c>
      <c r="D27" s="41" t="inlineStr">
        <is>
          <t>Objekt 2</t>
        </is>
      </c>
      <c r="E27" s="42" t="n">
        <v>62.5</v>
      </c>
      <c r="F27" s="43" t="n">
        <v>0</v>
      </c>
      <c r="G27" s="44">
        <f>IF(OR(B27="",F27=""),"",IFERROR(F27*INDEX(Mitarbeiter!$F$6:$F$205,MATCH(B27,Mitarbeiter!$A$6:$A$205,0)),0))</f>
        <v/>
      </c>
      <c r="H27" s="8">
        <f>IF(B27="","",IF(ISNA(MATCH(B27,Mitarbeiter!$A$6:$A$205,0)),"Pers.-Nr. unbekannt",IF(A27="","Datum fehlt",IF(AND(D27&lt;&gt;Einstellungen!$C$4,D27&lt;&gt;Einstellungen!$C$5),"Objekt fehlt",IF(YEAR(A27)&lt;&gt;Einstellungen!$C$3,"anderes Jahr",IF(A27&lt;INDEX(Mitarbeiter!$C$6:$C$205,MATCH(B27,Mitarbeiter!$A$6:$A$205,0)),"vor Eintritt",IF(AND(INDEX(Mitarbeiter!$D$6:$D$205,MATCH(B27,Mitarbeiter!$A$6:$A$205,0))&lt;&gt;"",A27&gt;INDEX(Mitarbeiter!$D$6:$D$205,MATCH(B27,Mitarbeiter!$A$6:$A$205,0))),"nach Austritt","ok")))))))</f>
        <v/>
      </c>
    </row>
    <row r="28">
      <c r="A28" s="26" t="n">
        <v>46023</v>
      </c>
      <c r="B28" s="24" t="n">
        <v>1014</v>
      </c>
      <c r="C28" s="40">
        <f>IF(B28="","",IFERROR(INDEX(Mitarbeiter!$B$6:$B$205,MATCH(B28,Mitarbeiter!$A$6:$A$205,0)),"?"))</f>
        <v/>
      </c>
      <c r="D28" s="41" t="inlineStr">
        <is>
          <t>Objekt 1</t>
        </is>
      </c>
      <c r="E28" s="42" t="n">
        <v>32</v>
      </c>
      <c r="F28" s="43" t="n">
        <v>0</v>
      </c>
      <c r="G28" s="44">
        <f>IF(OR(B28="",F28=""),"",IFERROR(F28*INDEX(Mitarbeiter!$F$6:$F$205,MATCH(B28,Mitarbeiter!$A$6:$A$205,0)),0))</f>
        <v/>
      </c>
      <c r="H28" s="8">
        <f>IF(B28="","",IF(ISNA(MATCH(B28,Mitarbeiter!$A$6:$A$205,0)),"Pers.-Nr. unbekannt",IF(A28="","Datum fehlt",IF(AND(D28&lt;&gt;Einstellungen!$C$4,D28&lt;&gt;Einstellungen!$C$5),"Objekt fehlt",IF(YEAR(A28)&lt;&gt;Einstellungen!$C$3,"anderes Jahr",IF(A28&lt;INDEX(Mitarbeiter!$C$6:$C$205,MATCH(B28,Mitarbeiter!$A$6:$A$205,0)),"vor Eintritt",IF(AND(INDEX(Mitarbeiter!$D$6:$D$205,MATCH(B28,Mitarbeiter!$A$6:$A$205,0))&lt;&gt;"",A28&gt;INDEX(Mitarbeiter!$D$6:$D$205,MATCH(B28,Mitarbeiter!$A$6:$A$205,0))),"nach Austritt","ok")))))))</f>
        <v/>
      </c>
    </row>
    <row r="29">
      <c r="A29" s="26" t="n">
        <v>46023</v>
      </c>
      <c r="B29" s="24" t="n">
        <v>1014</v>
      </c>
      <c r="C29" s="40">
        <f>IF(B29="","",IFERROR(INDEX(Mitarbeiter!$B$6:$B$205,MATCH(B29,Mitarbeiter!$A$6:$A$205,0)),"?"))</f>
        <v/>
      </c>
      <c r="D29" s="41" t="inlineStr">
        <is>
          <t>Objekt 2</t>
        </is>
      </c>
      <c r="E29" s="42" t="n">
        <v>134.5</v>
      </c>
      <c r="F29" s="43" t="n">
        <v>0</v>
      </c>
      <c r="G29" s="44">
        <f>IF(OR(B29="",F29=""),"",IFERROR(F29*INDEX(Mitarbeiter!$F$6:$F$205,MATCH(B29,Mitarbeiter!$A$6:$A$205,0)),0))</f>
        <v/>
      </c>
      <c r="H29" s="8">
        <f>IF(B29="","",IF(ISNA(MATCH(B29,Mitarbeiter!$A$6:$A$205,0)),"Pers.-Nr. unbekannt",IF(A29="","Datum fehlt",IF(AND(D29&lt;&gt;Einstellungen!$C$4,D29&lt;&gt;Einstellungen!$C$5),"Objekt fehlt",IF(YEAR(A29)&lt;&gt;Einstellungen!$C$3,"anderes Jahr",IF(A29&lt;INDEX(Mitarbeiter!$C$6:$C$205,MATCH(B29,Mitarbeiter!$A$6:$A$205,0)),"vor Eintritt",IF(AND(INDEX(Mitarbeiter!$D$6:$D$205,MATCH(B29,Mitarbeiter!$A$6:$A$205,0))&lt;&gt;"",A29&gt;INDEX(Mitarbeiter!$D$6:$D$205,MATCH(B29,Mitarbeiter!$A$6:$A$205,0))),"nach Austritt","ok")))))))</f>
        <v/>
      </c>
    </row>
    <row r="30">
      <c r="A30" s="26" t="n">
        <v>46023</v>
      </c>
      <c r="B30" s="24" t="n">
        <v>1015</v>
      </c>
      <c r="C30" s="40">
        <f>IF(B30="","",IFERROR(INDEX(Mitarbeiter!$B$6:$B$205,MATCH(B30,Mitarbeiter!$A$6:$A$205,0)),"?"))</f>
        <v/>
      </c>
      <c r="D30" s="41" t="inlineStr">
        <is>
          <t>Objekt 1</t>
        </is>
      </c>
      <c r="E30" s="42" t="n">
        <v>81</v>
      </c>
      <c r="F30" s="43" t="n">
        <v>4</v>
      </c>
      <c r="G30" s="44">
        <f>IF(OR(B30="",F30=""),"",IFERROR(F30*INDEX(Mitarbeiter!$F$6:$F$205,MATCH(B30,Mitarbeiter!$A$6:$A$205,0)),0))</f>
        <v/>
      </c>
      <c r="H30" s="8">
        <f>IF(B30="","",IF(ISNA(MATCH(B30,Mitarbeiter!$A$6:$A$205,0)),"Pers.-Nr. unbekannt",IF(A30="","Datum fehlt",IF(AND(D30&lt;&gt;Einstellungen!$C$4,D30&lt;&gt;Einstellungen!$C$5),"Objekt fehlt",IF(YEAR(A30)&lt;&gt;Einstellungen!$C$3,"anderes Jahr",IF(A30&lt;INDEX(Mitarbeiter!$C$6:$C$205,MATCH(B30,Mitarbeiter!$A$6:$A$205,0)),"vor Eintritt",IF(AND(INDEX(Mitarbeiter!$D$6:$D$205,MATCH(B30,Mitarbeiter!$A$6:$A$205,0))&lt;&gt;"",A30&gt;INDEX(Mitarbeiter!$D$6:$D$205,MATCH(B30,Mitarbeiter!$A$6:$A$205,0))),"nach Austritt","ok")))))))</f>
        <v/>
      </c>
    </row>
    <row r="31">
      <c r="A31" s="26" t="n">
        <v>46023</v>
      </c>
      <c r="B31" s="24" t="n">
        <v>1015</v>
      </c>
      <c r="C31" s="40">
        <f>IF(B31="","",IFERROR(INDEX(Mitarbeiter!$B$6:$B$205,MATCH(B31,Mitarbeiter!$A$6:$A$205,0)),"?"))</f>
        <v/>
      </c>
      <c r="D31" s="41" t="inlineStr">
        <is>
          <t>Objekt 2</t>
        </is>
      </c>
      <c r="E31" s="42" t="n">
        <v>19.5</v>
      </c>
      <c r="F31" s="43" t="n">
        <v>1</v>
      </c>
      <c r="G31" s="44">
        <f>IF(OR(B31="",F31=""),"",IFERROR(F31*INDEX(Mitarbeiter!$F$6:$F$205,MATCH(B31,Mitarbeiter!$A$6:$A$205,0)),0))</f>
        <v/>
      </c>
      <c r="H31" s="8">
        <f>IF(B31="","",IF(ISNA(MATCH(B31,Mitarbeiter!$A$6:$A$205,0)),"Pers.-Nr. unbekannt",IF(A31="","Datum fehlt",IF(AND(D31&lt;&gt;Einstellungen!$C$4,D31&lt;&gt;Einstellungen!$C$5),"Objekt fehlt",IF(YEAR(A31)&lt;&gt;Einstellungen!$C$3,"anderes Jahr",IF(A31&lt;INDEX(Mitarbeiter!$C$6:$C$205,MATCH(B31,Mitarbeiter!$A$6:$A$205,0)),"vor Eintritt",IF(AND(INDEX(Mitarbeiter!$D$6:$D$205,MATCH(B31,Mitarbeiter!$A$6:$A$205,0))&lt;&gt;"",A31&gt;INDEX(Mitarbeiter!$D$6:$D$205,MATCH(B31,Mitarbeiter!$A$6:$A$205,0))),"nach Austritt","ok")))))))</f>
        <v/>
      </c>
    </row>
    <row r="32">
      <c r="A32" s="26" t="n">
        <v>46023</v>
      </c>
      <c r="B32" s="24" t="n">
        <v>1016</v>
      </c>
      <c r="C32" s="40">
        <f>IF(B32="","",IFERROR(INDEX(Mitarbeiter!$B$6:$B$205,MATCH(B32,Mitarbeiter!$A$6:$A$205,0)),"?"))</f>
        <v/>
      </c>
      <c r="D32" s="41" t="inlineStr">
        <is>
          <t>Objekt 1</t>
        </is>
      </c>
      <c r="E32" s="42" t="n">
        <v>160</v>
      </c>
      <c r="F32" s="43" t="n">
        <v>1</v>
      </c>
      <c r="G32" s="44">
        <f>IF(OR(B32="",F32=""),"",IFERROR(F32*INDEX(Mitarbeiter!$F$6:$F$205,MATCH(B32,Mitarbeiter!$A$6:$A$205,0)),0))</f>
        <v/>
      </c>
      <c r="H32" s="8">
        <f>IF(B32="","",IF(ISNA(MATCH(B32,Mitarbeiter!$A$6:$A$205,0)),"Pers.-Nr. unbekannt",IF(A32="","Datum fehlt",IF(AND(D32&lt;&gt;Einstellungen!$C$4,D32&lt;&gt;Einstellungen!$C$5),"Objekt fehlt",IF(YEAR(A32)&lt;&gt;Einstellungen!$C$3,"anderes Jahr",IF(A32&lt;INDEX(Mitarbeiter!$C$6:$C$205,MATCH(B32,Mitarbeiter!$A$6:$A$205,0)),"vor Eintritt",IF(AND(INDEX(Mitarbeiter!$D$6:$D$205,MATCH(B32,Mitarbeiter!$A$6:$A$205,0))&lt;&gt;"",A32&gt;INDEX(Mitarbeiter!$D$6:$D$205,MATCH(B32,Mitarbeiter!$A$6:$A$205,0))),"nach Austritt","ok")))))))</f>
        <v/>
      </c>
    </row>
    <row r="33">
      <c r="A33" s="26" t="n">
        <v>46023</v>
      </c>
      <c r="B33" s="24" t="n">
        <v>1017</v>
      </c>
      <c r="C33" s="40">
        <f>IF(B33="","",IFERROR(INDEX(Mitarbeiter!$B$6:$B$205,MATCH(B33,Mitarbeiter!$A$6:$A$205,0)),"?"))</f>
        <v/>
      </c>
      <c r="D33" s="41" t="inlineStr">
        <is>
          <t>Objekt 1</t>
        </is>
      </c>
      <c r="E33" s="42" t="n">
        <v>128</v>
      </c>
      <c r="F33" s="43" t="n">
        <v>1</v>
      </c>
      <c r="G33" s="44">
        <f>IF(OR(B33="",F33=""),"",IFERROR(F33*INDEX(Mitarbeiter!$F$6:$F$205,MATCH(B33,Mitarbeiter!$A$6:$A$205,0)),0))</f>
        <v/>
      </c>
      <c r="H33" s="8">
        <f>IF(B33="","",IF(ISNA(MATCH(B33,Mitarbeiter!$A$6:$A$205,0)),"Pers.-Nr. unbekannt",IF(A33="","Datum fehlt",IF(AND(D33&lt;&gt;Einstellungen!$C$4,D33&lt;&gt;Einstellungen!$C$5),"Objekt fehlt",IF(YEAR(A33)&lt;&gt;Einstellungen!$C$3,"anderes Jahr",IF(A33&lt;INDEX(Mitarbeiter!$C$6:$C$205,MATCH(B33,Mitarbeiter!$A$6:$A$205,0)),"vor Eintritt",IF(AND(INDEX(Mitarbeiter!$D$6:$D$205,MATCH(B33,Mitarbeiter!$A$6:$A$205,0))&lt;&gt;"",A33&gt;INDEX(Mitarbeiter!$D$6:$D$205,MATCH(B33,Mitarbeiter!$A$6:$A$205,0))),"nach Austritt","ok")))))))</f>
        <v/>
      </c>
    </row>
    <row r="34">
      <c r="A34" s="26" t="n">
        <v>46023</v>
      </c>
      <c r="B34" s="24" t="n">
        <v>1017</v>
      </c>
      <c r="C34" s="40">
        <f>IF(B34="","",IFERROR(INDEX(Mitarbeiter!$B$6:$B$205,MATCH(B34,Mitarbeiter!$A$6:$A$205,0)),"?"))</f>
        <v/>
      </c>
      <c r="D34" s="41" t="inlineStr">
        <is>
          <t>Objekt 2</t>
        </is>
      </c>
      <c r="E34" s="42" t="n">
        <v>32</v>
      </c>
      <c r="F34" s="43" t="n">
        <v>0</v>
      </c>
      <c r="G34" s="44">
        <f>IF(OR(B34="",F34=""),"",IFERROR(F34*INDEX(Mitarbeiter!$F$6:$F$205,MATCH(B34,Mitarbeiter!$A$6:$A$205,0)),0))</f>
        <v/>
      </c>
      <c r="H34" s="8">
        <f>IF(B34="","",IF(ISNA(MATCH(B34,Mitarbeiter!$A$6:$A$205,0)),"Pers.-Nr. unbekannt",IF(A34="","Datum fehlt",IF(AND(D34&lt;&gt;Einstellungen!$C$4,D34&lt;&gt;Einstellungen!$C$5),"Objekt fehlt",IF(YEAR(A34)&lt;&gt;Einstellungen!$C$3,"anderes Jahr",IF(A34&lt;INDEX(Mitarbeiter!$C$6:$C$205,MATCH(B34,Mitarbeiter!$A$6:$A$205,0)),"vor Eintritt",IF(AND(INDEX(Mitarbeiter!$D$6:$D$205,MATCH(B34,Mitarbeiter!$A$6:$A$205,0))&lt;&gt;"",A34&gt;INDEX(Mitarbeiter!$D$6:$D$205,MATCH(B34,Mitarbeiter!$A$6:$A$205,0))),"nach Austritt","ok")))))))</f>
        <v/>
      </c>
    </row>
    <row r="35">
      <c r="A35" s="26" t="n">
        <v>46023</v>
      </c>
      <c r="B35" s="24" t="n">
        <v>1018</v>
      </c>
      <c r="C35" s="40">
        <f>IF(B35="","",IFERROR(INDEX(Mitarbeiter!$B$6:$B$205,MATCH(B35,Mitarbeiter!$A$6:$A$205,0)),"?"))</f>
        <v/>
      </c>
      <c r="D35" s="41" t="inlineStr">
        <is>
          <t>Objekt 1</t>
        </is>
      </c>
      <c r="E35" s="42" t="n">
        <v>169.5</v>
      </c>
      <c r="F35" s="43" t="n">
        <v>0</v>
      </c>
      <c r="G35" s="44">
        <f>IF(OR(B35="",F35=""),"",IFERROR(F35*INDEX(Mitarbeiter!$F$6:$F$205,MATCH(B35,Mitarbeiter!$A$6:$A$205,0)),0))</f>
        <v/>
      </c>
      <c r="H35" s="8">
        <f>IF(B35="","",IF(ISNA(MATCH(B35,Mitarbeiter!$A$6:$A$205,0)),"Pers.-Nr. unbekannt",IF(A35="","Datum fehlt",IF(AND(D35&lt;&gt;Einstellungen!$C$4,D35&lt;&gt;Einstellungen!$C$5),"Objekt fehlt",IF(YEAR(A35)&lt;&gt;Einstellungen!$C$3,"anderes Jahr",IF(A35&lt;INDEX(Mitarbeiter!$C$6:$C$205,MATCH(B35,Mitarbeiter!$A$6:$A$205,0)),"vor Eintritt",IF(AND(INDEX(Mitarbeiter!$D$6:$D$205,MATCH(B35,Mitarbeiter!$A$6:$A$205,0))&lt;&gt;"",A35&gt;INDEX(Mitarbeiter!$D$6:$D$205,MATCH(B35,Mitarbeiter!$A$6:$A$205,0))),"nach Austritt","ok")))))))</f>
        <v/>
      </c>
    </row>
    <row r="36">
      <c r="A36" s="26" t="n">
        <v>46023</v>
      </c>
      <c r="B36" s="24" t="n">
        <v>1019</v>
      </c>
      <c r="C36" s="40">
        <f>IF(B36="","",IFERROR(INDEX(Mitarbeiter!$B$6:$B$205,MATCH(B36,Mitarbeiter!$A$6:$A$205,0)),"?"))</f>
        <v/>
      </c>
      <c r="D36" s="41" t="inlineStr">
        <is>
          <t>Objekt 1</t>
        </is>
      </c>
      <c r="E36" s="42" t="n">
        <v>62.5</v>
      </c>
      <c r="F36" s="43" t="n">
        <v>0</v>
      </c>
      <c r="G36" s="44">
        <f>IF(OR(B36="",F36=""),"",IFERROR(F36*INDEX(Mitarbeiter!$F$6:$F$205,MATCH(B36,Mitarbeiter!$A$6:$A$205,0)),0))</f>
        <v/>
      </c>
      <c r="H36" s="8">
        <f>IF(B36="","",IF(ISNA(MATCH(B36,Mitarbeiter!$A$6:$A$205,0)),"Pers.-Nr. unbekannt",IF(A36="","Datum fehlt",IF(AND(D36&lt;&gt;Einstellungen!$C$4,D36&lt;&gt;Einstellungen!$C$5),"Objekt fehlt",IF(YEAR(A36)&lt;&gt;Einstellungen!$C$3,"anderes Jahr",IF(A36&lt;INDEX(Mitarbeiter!$C$6:$C$205,MATCH(B36,Mitarbeiter!$A$6:$A$205,0)),"vor Eintritt",IF(AND(INDEX(Mitarbeiter!$D$6:$D$205,MATCH(B36,Mitarbeiter!$A$6:$A$205,0))&lt;&gt;"",A36&gt;INDEX(Mitarbeiter!$D$6:$D$205,MATCH(B36,Mitarbeiter!$A$6:$A$205,0))),"nach Austritt","ok")))))))</f>
        <v/>
      </c>
    </row>
    <row r="37">
      <c r="A37" s="26" t="n">
        <v>46023</v>
      </c>
      <c r="B37" s="24" t="n">
        <v>1019</v>
      </c>
      <c r="C37" s="40">
        <f>IF(B37="","",IFERROR(INDEX(Mitarbeiter!$B$6:$B$205,MATCH(B37,Mitarbeiter!$A$6:$A$205,0)),"?"))</f>
        <v/>
      </c>
      <c r="D37" s="41" t="inlineStr">
        <is>
          <t>Objekt 2</t>
        </is>
      </c>
      <c r="E37" s="42" t="n">
        <v>96</v>
      </c>
      <c r="F37" s="43" t="n">
        <v>1</v>
      </c>
      <c r="G37" s="44">
        <f>IF(OR(B37="",F37=""),"",IFERROR(F37*INDEX(Mitarbeiter!$F$6:$F$205,MATCH(B37,Mitarbeiter!$A$6:$A$205,0)),0))</f>
        <v/>
      </c>
      <c r="H37" s="8">
        <f>IF(B37="","",IF(ISNA(MATCH(B37,Mitarbeiter!$A$6:$A$205,0)),"Pers.-Nr. unbekannt",IF(A37="","Datum fehlt",IF(AND(D37&lt;&gt;Einstellungen!$C$4,D37&lt;&gt;Einstellungen!$C$5),"Objekt fehlt",IF(YEAR(A37)&lt;&gt;Einstellungen!$C$3,"anderes Jahr",IF(A37&lt;INDEX(Mitarbeiter!$C$6:$C$205,MATCH(B37,Mitarbeiter!$A$6:$A$205,0)),"vor Eintritt",IF(AND(INDEX(Mitarbeiter!$D$6:$D$205,MATCH(B37,Mitarbeiter!$A$6:$A$205,0))&lt;&gt;"",A37&gt;INDEX(Mitarbeiter!$D$6:$D$205,MATCH(B37,Mitarbeiter!$A$6:$A$205,0))),"nach Austritt","ok")))))))</f>
        <v/>
      </c>
    </row>
    <row r="38">
      <c r="A38" s="26" t="n">
        <v>46023</v>
      </c>
      <c r="B38" s="24" t="n">
        <v>1020</v>
      </c>
      <c r="C38" s="40">
        <f>IF(B38="","",IFERROR(INDEX(Mitarbeiter!$B$6:$B$205,MATCH(B38,Mitarbeiter!$A$6:$A$205,0)),"?"))</f>
        <v/>
      </c>
      <c r="D38" s="41" t="inlineStr">
        <is>
          <t>Objekt 1</t>
        </is>
      </c>
      <c r="E38" s="42" t="n">
        <v>32</v>
      </c>
      <c r="F38" s="43" t="n">
        <v>0</v>
      </c>
      <c r="G38" s="44">
        <f>IF(OR(B38="",F38=""),"",IFERROR(F38*INDEX(Mitarbeiter!$F$6:$F$205,MATCH(B38,Mitarbeiter!$A$6:$A$205,0)),0))</f>
        <v/>
      </c>
      <c r="H38" s="8">
        <f>IF(B38="","",IF(ISNA(MATCH(B38,Mitarbeiter!$A$6:$A$205,0)),"Pers.-Nr. unbekannt",IF(A38="","Datum fehlt",IF(AND(D38&lt;&gt;Einstellungen!$C$4,D38&lt;&gt;Einstellungen!$C$5),"Objekt fehlt",IF(YEAR(A38)&lt;&gt;Einstellungen!$C$3,"anderes Jahr",IF(A38&lt;INDEX(Mitarbeiter!$C$6:$C$205,MATCH(B38,Mitarbeiter!$A$6:$A$205,0)),"vor Eintritt",IF(AND(INDEX(Mitarbeiter!$D$6:$D$205,MATCH(B38,Mitarbeiter!$A$6:$A$205,0))&lt;&gt;"",A38&gt;INDEX(Mitarbeiter!$D$6:$D$205,MATCH(B38,Mitarbeiter!$A$6:$A$205,0))),"nach Austritt","ok")))))))</f>
        <v/>
      </c>
    </row>
    <row r="39">
      <c r="A39" s="26" t="n">
        <v>46023</v>
      </c>
      <c r="B39" s="24" t="n">
        <v>1020</v>
      </c>
      <c r="C39" s="40">
        <f>IF(B39="","",IFERROR(INDEX(Mitarbeiter!$B$6:$B$205,MATCH(B39,Mitarbeiter!$A$6:$A$205,0)),"?"))</f>
        <v/>
      </c>
      <c r="D39" s="41" t="inlineStr">
        <is>
          <t>Objekt 2</t>
        </is>
      </c>
      <c r="E39" s="42" t="n">
        <v>128</v>
      </c>
      <c r="F39" s="43" t="n">
        <v>1</v>
      </c>
      <c r="G39" s="44">
        <f>IF(OR(B39="",F39=""),"",IFERROR(F39*INDEX(Mitarbeiter!$F$6:$F$205,MATCH(B39,Mitarbeiter!$A$6:$A$205,0)),0))</f>
        <v/>
      </c>
      <c r="H39" s="8">
        <f>IF(B39="","",IF(ISNA(MATCH(B39,Mitarbeiter!$A$6:$A$205,0)),"Pers.-Nr. unbekannt",IF(A39="","Datum fehlt",IF(AND(D39&lt;&gt;Einstellungen!$C$4,D39&lt;&gt;Einstellungen!$C$5),"Objekt fehlt",IF(YEAR(A39)&lt;&gt;Einstellungen!$C$3,"anderes Jahr",IF(A39&lt;INDEX(Mitarbeiter!$C$6:$C$205,MATCH(B39,Mitarbeiter!$A$6:$A$205,0)),"vor Eintritt",IF(AND(INDEX(Mitarbeiter!$D$6:$D$205,MATCH(B39,Mitarbeiter!$A$6:$A$205,0))&lt;&gt;"",A39&gt;INDEX(Mitarbeiter!$D$6:$D$205,MATCH(B39,Mitarbeiter!$A$6:$A$205,0))),"nach Austritt","ok")))))))</f>
        <v/>
      </c>
    </row>
    <row r="40">
      <c r="A40" s="26" t="n">
        <v>46023</v>
      </c>
      <c r="B40" s="24" t="n">
        <v>1021</v>
      </c>
      <c r="C40" s="40">
        <f>IF(B40="","",IFERROR(INDEX(Mitarbeiter!$B$6:$B$205,MATCH(B40,Mitarbeiter!$A$6:$A$205,0)),"?"))</f>
        <v/>
      </c>
      <c r="D40" s="41" t="inlineStr">
        <is>
          <t>Objekt 1</t>
        </is>
      </c>
      <c r="E40" s="42" t="n">
        <v>83</v>
      </c>
      <c r="F40" s="43" t="n">
        <v>0</v>
      </c>
      <c r="G40" s="44">
        <f>IF(OR(B40="",F40=""),"",IFERROR(F40*INDEX(Mitarbeiter!$F$6:$F$205,MATCH(B40,Mitarbeiter!$A$6:$A$205,0)),0))</f>
        <v/>
      </c>
      <c r="H40" s="8">
        <f>IF(B40="","",IF(ISNA(MATCH(B40,Mitarbeiter!$A$6:$A$205,0)),"Pers.-Nr. unbekannt",IF(A40="","Datum fehlt",IF(AND(D40&lt;&gt;Einstellungen!$C$4,D40&lt;&gt;Einstellungen!$C$5),"Objekt fehlt",IF(YEAR(A40)&lt;&gt;Einstellungen!$C$3,"anderes Jahr",IF(A40&lt;INDEX(Mitarbeiter!$C$6:$C$205,MATCH(B40,Mitarbeiter!$A$6:$A$205,0)),"vor Eintritt",IF(AND(INDEX(Mitarbeiter!$D$6:$D$205,MATCH(B40,Mitarbeiter!$A$6:$A$205,0))&lt;&gt;"",A40&gt;INDEX(Mitarbeiter!$D$6:$D$205,MATCH(B40,Mitarbeiter!$A$6:$A$205,0))),"nach Austritt","ok")))))))</f>
        <v/>
      </c>
    </row>
    <row r="41">
      <c r="A41" s="26" t="n">
        <v>46023</v>
      </c>
      <c r="B41" s="24" t="n">
        <v>1021</v>
      </c>
      <c r="C41" s="40">
        <f>IF(B41="","",IFERROR(INDEX(Mitarbeiter!$B$6:$B$205,MATCH(B41,Mitarbeiter!$A$6:$A$205,0)),"?"))</f>
        <v/>
      </c>
      <c r="D41" s="41" t="inlineStr">
        <is>
          <t>Objekt 2</t>
        </is>
      </c>
      <c r="E41" s="42" t="n">
        <v>88</v>
      </c>
      <c r="F41" s="43" t="n">
        <v>0</v>
      </c>
      <c r="G41" s="44">
        <f>IF(OR(B41="",F41=""),"",IFERROR(F41*INDEX(Mitarbeiter!$F$6:$F$205,MATCH(B41,Mitarbeiter!$A$6:$A$205,0)),0))</f>
        <v/>
      </c>
      <c r="H41" s="8">
        <f>IF(B41="","",IF(ISNA(MATCH(B41,Mitarbeiter!$A$6:$A$205,0)),"Pers.-Nr. unbekannt",IF(A41="","Datum fehlt",IF(AND(D41&lt;&gt;Einstellungen!$C$4,D41&lt;&gt;Einstellungen!$C$5),"Objekt fehlt",IF(YEAR(A41)&lt;&gt;Einstellungen!$C$3,"anderes Jahr",IF(A41&lt;INDEX(Mitarbeiter!$C$6:$C$205,MATCH(B41,Mitarbeiter!$A$6:$A$205,0)),"vor Eintritt",IF(AND(INDEX(Mitarbeiter!$D$6:$D$205,MATCH(B41,Mitarbeiter!$A$6:$A$205,0))&lt;&gt;"",A41&gt;INDEX(Mitarbeiter!$D$6:$D$205,MATCH(B41,Mitarbeiter!$A$6:$A$205,0))),"nach Austritt","ok")))))))</f>
        <v/>
      </c>
    </row>
    <row r="42">
      <c r="A42" s="26" t="n">
        <v>46023</v>
      </c>
      <c r="B42" s="24" t="n">
        <v>1022</v>
      </c>
      <c r="C42" s="40">
        <f>IF(B42="","",IFERROR(INDEX(Mitarbeiter!$B$6:$B$205,MATCH(B42,Mitarbeiter!$A$6:$A$205,0)),"?"))</f>
        <v/>
      </c>
      <c r="D42" s="41" t="inlineStr">
        <is>
          <t>Objekt 1</t>
        </is>
      </c>
      <c r="E42" s="42" t="n">
        <v>33.5</v>
      </c>
      <c r="F42" s="43" t="n">
        <v>0</v>
      </c>
      <c r="G42" s="44">
        <f>IF(OR(B42="",F42=""),"",IFERROR(F42*INDEX(Mitarbeiter!$F$6:$F$205,MATCH(B42,Mitarbeiter!$A$6:$A$205,0)),0))</f>
        <v/>
      </c>
      <c r="H42" s="8">
        <f>IF(B42="","",IF(ISNA(MATCH(B42,Mitarbeiter!$A$6:$A$205,0)),"Pers.-Nr. unbekannt",IF(A42="","Datum fehlt",IF(AND(D42&lt;&gt;Einstellungen!$C$4,D42&lt;&gt;Einstellungen!$C$5),"Objekt fehlt",IF(YEAR(A42)&lt;&gt;Einstellungen!$C$3,"anderes Jahr",IF(A42&lt;INDEX(Mitarbeiter!$C$6:$C$205,MATCH(B42,Mitarbeiter!$A$6:$A$205,0)),"vor Eintritt",IF(AND(INDEX(Mitarbeiter!$D$6:$D$205,MATCH(B42,Mitarbeiter!$A$6:$A$205,0))&lt;&gt;"",A42&gt;INDEX(Mitarbeiter!$D$6:$D$205,MATCH(B42,Mitarbeiter!$A$6:$A$205,0))),"nach Austritt","ok")))))))</f>
        <v/>
      </c>
    </row>
    <row r="43">
      <c r="A43" s="26" t="n">
        <v>46023</v>
      </c>
      <c r="B43" s="24" t="n">
        <v>1022</v>
      </c>
      <c r="C43" s="40">
        <f>IF(B43="","",IFERROR(INDEX(Mitarbeiter!$B$6:$B$205,MATCH(B43,Mitarbeiter!$A$6:$A$205,0)),"?"))</f>
        <v/>
      </c>
      <c r="D43" s="41" t="inlineStr">
        <is>
          <t>Objekt 2</t>
        </is>
      </c>
      <c r="E43" s="42" t="n">
        <v>55</v>
      </c>
      <c r="F43" s="43" t="n">
        <v>0</v>
      </c>
      <c r="G43" s="44">
        <f>IF(OR(B43="",F43=""),"",IFERROR(F43*INDEX(Mitarbeiter!$F$6:$F$205,MATCH(B43,Mitarbeiter!$A$6:$A$205,0)),0))</f>
        <v/>
      </c>
      <c r="H43" s="8">
        <f>IF(B43="","",IF(ISNA(MATCH(B43,Mitarbeiter!$A$6:$A$205,0)),"Pers.-Nr. unbekannt",IF(A43="","Datum fehlt",IF(AND(D43&lt;&gt;Einstellungen!$C$4,D43&lt;&gt;Einstellungen!$C$5),"Objekt fehlt",IF(YEAR(A43)&lt;&gt;Einstellungen!$C$3,"anderes Jahr",IF(A43&lt;INDEX(Mitarbeiter!$C$6:$C$205,MATCH(B43,Mitarbeiter!$A$6:$A$205,0)),"vor Eintritt",IF(AND(INDEX(Mitarbeiter!$D$6:$D$205,MATCH(B43,Mitarbeiter!$A$6:$A$205,0))&lt;&gt;"",A43&gt;INDEX(Mitarbeiter!$D$6:$D$205,MATCH(B43,Mitarbeiter!$A$6:$A$205,0))),"nach Austritt","ok")))))))</f>
        <v/>
      </c>
    </row>
    <row r="44">
      <c r="A44" s="26" t="n">
        <v>46023</v>
      </c>
      <c r="B44" s="24" t="n">
        <v>1023</v>
      </c>
      <c r="C44" s="40">
        <f>IF(B44="","",IFERROR(INDEX(Mitarbeiter!$B$6:$B$205,MATCH(B44,Mitarbeiter!$A$6:$A$205,0)),"?"))</f>
        <v/>
      </c>
      <c r="D44" s="41" t="inlineStr">
        <is>
          <t>Objekt 1</t>
        </is>
      </c>
      <c r="E44" s="42" t="n">
        <v>124.5</v>
      </c>
      <c r="F44" s="43" t="n">
        <v>0</v>
      </c>
      <c r="G44" s="44">
        <f>IF(OR(B44="",F44=""),"",IFERROR(F44*INDEX(Mitarbeiter!$F$6:$F$205,MATCH(B44,Mitarbeiter!$A$6:$A$205,0)),0))</f>
        <v/>
      </c>
      <c r="H44" s="8">
        <f>IF(B44="","",IF(ISNA(MATCH(B44,Mitarbeiter!$A$6:$A$205,0)),"Pers.-Nr. unbekannt",IF(A44="","Datum fehlt",IF(AND(D44&lt;&gt;Einstellungen!$C$4,D44&lt;&gt;Einstellungen!$C$5),"Objekt fehlt",IF(YEAR(A44)&lt;&gt;Einstellungen!$C$3,"anderes Jahr",IF(A44&lt;INDEX(Mitarbeiter!$C$6:$C$205,MATCH(B44,Mitarbeiter!$A$6:$A$205,0)),"vor Eintritt",IF(AND(INDEX(Mitarbeiter!$D$6:$D$205,MATCH(B44,Mitarbeiter!$A$6:$A$205,0))&lt;&gt;"",A44&gt;INDEX(Mitarbeiter!$D$6:$D$205,MATCH(B44,Mitarbeiter!$A$6:$A$205,0))),"nach Austritt","ok")))))))</f>
        <v/>
      </c>
    </row>
    <row r="45">
      <c r="A45" s="26" t="n">
        <v>46023</v>
      </c>
      <c r="B45" s="24" t="n">
        <v>1024</v>
      </c>
      <c r="C45" s="40">
        <f>IF(B45="","",IFERROR(INDEX(Mitarbeiter!$B$6:$B$205,MATCH(B45,Mitarbeiter!$A$6:$A$205,0)),"?"))</f>
        <v/>
      </c>
      <c r="D45" s="41" t="inlineStr">
        <is>
          <t>Objekt 1</t>
        </is>
      </c>
      <c r="E45" s="42" t="n">
        <v>64</v>
      </c>
      <c r="F45" s="43" t="n">
        <v>0</v>
      </c>
      <c r="G45" s="44">
        <f>IF(OR(B45="",F45=""),"",IFERROR(F45*INDEX(Mitarbeiter!$F$6:$F$205,MATCH(B45,Mitarbeiter!$A$6:$A$205,0)),0))</f>
        <v/>
      </c>
      <c r="H45" s="8">
        <f>IF(B45="","",IF(ISNA(MATCH(B45,Mitarbeiter!$A$6:$A$205,0)),"Pers.-Nr. unbekannt",IF(A45="","Datum fehlt",IF(AND(D45&lt;&gt;Einstellungen!$C$4,D45&lt;&gt;Einstellungen!$C$5),"Objekt fehlt",IF(YEAR(A45)&lt;&gt;Einstellungen!$C$3,"anderes Jahr",IF(A45&lt;INDEX(Mitarbeiter!$C$6:$C$205,MATCH(B45,Mitarbeiter!$A$6:$A$205,0)),"vor Eintritt",IF(AND(INDEX(Mitarbeiter!$D$6:$D$205,MATCH(B45,Mitarbeiter!$A$6:$A$205,0))&lt;&gt;"",A45&gt;INDEX(Mitarbeiter!$D$6:$D$205,MATCH(B45,Mitarbeiter!$A$6:$A$205,0))),"nach Austritt","ok")))))))</f>
        <v/>
      </c>
    </row>
    <row r="46">
      <c r="A46" s="26" t="n">
        <v>46023</v>
      </c>
      <c r="B46" s="24" t="n">
        <v>1024</v>
      </c>
      <c r="C46" s="40">
        <f>IF(B46="","",IFERROR(INDEX(Mitarbeiter!$B$6:$B$205,MATCH(B46,Mitarbeiter!$A$6:$A$205,0)),"?"))</f>
        <v/>
      </c>
      <c r="D46" s="41" t="inlineStr">
        <is>
          <t>Objekt 2</t>
        </is>
      </c>
      <c r="E46" s="42" t="n">
        <v>105.5</v>
      </c>
      <c r="F46" s="43" t="n">
        <v>0</v>
      </c>
      <c r="G46" s="44">
        <f>IF(OR(B46="",F46=""),"",IFERROR(F46*INDEX(Mitarbeiter!$F$6:$F$205,MATCH(B46,Mitarbeiter!$A$6:$A$205,0)),0))</f>
        <v/>
      </c>
      <c r="H46" s="8">
        <f>IF(B46="","",IF(ISNA(MATCH(B46,Mitarbeiter!$A$6:$A$205,0)),"Pers.-Nr. unbekannt",IF(A46="","Datum fehlt",IF(AND(D46&lt;&gt;Einstellungen!$C$4,D46&lt;&gt;Einstellungen!$C$5),"Objekt fehlt",IF(YEAR(A46)&lt;&gt;Einstellungen!$C$3,"anderes Jahr",IF(A46&lt;INDEX(Mitarbeiter!$C$6:$C$205,MATCH(B46,Mitarbeiter!$A$6:$A$205,0)),"vor Eintritt",IF(AND(INDEX(Mitarbeiter!$D$6:$D$205,MATCH(B46,Mitarbeiter!$A$6:$A$205,0))&lt;&gt;"",A46&gt;INDEX(Mitarbeiter!$D$6:$D$205,MATCH(B46,Mitarbeiter!$A$6:$A$205,0))),"nach Austritt","ok")))))))</f>
        <v/>
      </c>
    </row>
    <row r="47">
      <c r="A47" s="26" t="n">
        <v>46023</v>
      </c>
      <c r="B47" s="24" t="n">
        <v>1025</v>
      </c>
      <c r="C47" s="40">
        <f>IF(B47="","",IFERROR(INDEX(Mitarbeiter!$B$6:$B$205,MATCH(B47,Mitarbeiter!$A$6:$A$205,0)),"?"))</f>
        <v/>
      </c>
      <c r="D47" s="41" t="inlineStr">
        <is>
          <t>Objekt 1</t>
        </is>
      </c>
      <c r="E47" s="42" t="n">
        <v>64</v>
      </c>
      <c r="F47" s="43" t="n">
        <v>0</v>
      </c>
      <c r="G47" s="44">
        <f>IF(OR(B47="",F47=""),"",IFERROR(F47*INDEX(Mitarbeiter!$F$6:$F$205,MATCH(B47,Mitarbeiter!$A$6:$A$205,0)),0))</f>
        <v/>
      </c>
      <c r="H47" s="8">
        <f>IF(B47="","",IF(ISNA(MATCH(B47,Mitarbeiter!$A$6:$A$205,0)),"Pers.-Nr. unbekannt",IF(A47="","Datum fehlt",IF(AND(D47&lt;&gt;Einstellungen!$C$4,D47&lt;&gt;Einstellungen!$C$5),"Objekt fehlt",IF(YEAR(A47)&lt;&gt;Einstellungen!$C$3,"anderes Jahr",IF(A47&lt;INDEX(Mitarbeiter!$C$6:$C$205,MATCH(B47,Mitarbeiter!$A$6:$A$205,0)),"vor Eintritt",IF(AND(INDEX(Mitarbeiter!$D$6:$D$205,MATCH(B47,Mitarbeiter!$A$6:$A$205,0))&lt;&gt;"",A47&gt;INDEX(Mitarbeiter!$D$6:$D$205,MATCH(B47,Mitarbeiter!$A$6:$A$205,0))),"nach Austritt","ok")))))))</f>
        <v/>
      </c>
    </row>
    <row r="48">
      <c r="A48" s="26" t="n">
        <v>46023</v>
      </c>
      <c r="B48" s="24" t="n">
        <v>1025</v>
      </c>
      <c r="C48" s="40">
        <f>IF(B48="","",IFERROR(INDEX(Mitarbeiter!$B$6:$B$205,MATCH(B48,Mitarbeiter!$A$6:$A$205,0)),"?"))</f>
        <v/>
      </c>
      <c r="D48" s="41" t="inlineStr">
        <is>
          <t>Objekt 2</t>
        </is>
      </c>
      <c r="E48" s="42" t="n">
        <v>102.5</v>
      </c>
      <c r="F48" s="43" t="n">
        <v>0</v>
      </c>
      <c r="G48" s="44">
        <f>IF(OR(B48="",F48=""),"",IFERROR(F48*INDEX(Mitarbeiter!$F$6:$F$205,MATCH(B48,Mitarbeiter!$A$6:$A$205,0)),0))</f>
        <v/>
      </c>
      <c r="H48" s="8">
        <f>IF(B48="","",IF(ISNA(MATCH(B48,Mitarbeiter!$A$6:$A$205,0)),"Pers.-Nr. unbekannt",IF(A48="","Datum fehlt",IF(AND(D48&lt;&gt;Einstellungen!$C$4,D48&lt;&gt;Einstellungen!$C$5),"Objekt fehlt",IF(YEAR(A48)&lt;&gt;Einstellungen!$C$3,"anderes Jahr",IF(A48&lt;INDEX(Mitarbeiter!$C$6:$C$205,MATCH(B48,Mitarbeiter!$A$6:$A$205,0)),"vor Eintritt",IF(AND(INDEX(Mitarbeiter!$D$6:$D$205,MATCH(B48,Mitarbeiter!$A$6:$A$205,0))&lt;&gt;"",A48&gt;INDEX(Mitarbeiter!$D$6:$D$205,MATCH(B48,Mitarbeiter!$A$6:$A$205,0))),"nach Austritt","ok")))))))</f>
        <v/>
      </c>
    </row>
    <row r="49">
      <c r="A49" s="26" t="n">
        <v>46023</v>
      </c>
      <c r="B49" s="24" t="n">
        <v>1026</v>
      </c>
      <c r="C49" s="40">
        <f>IF(B49="","",IFERROR(INDEX(Mitarbeiter!$B$6:$B$205,MATCH(B49,Mitarbeiter!$A$6:$A$205,0)),"?"))</f>
        <v/>
      </c>
      <c r="D49" s="41" t="inlineStr">
        <is>
          <t>Objekt 1</t>
        </is>
      </c>
      <c r="E49" s="42" t="n">
        <v>107</v>
      </c>
      <c r="F49" s="43" t="n">
        <v>0</v>
      </c>
      <c r="G49" s="44">
        <f>IF(OR(B49="",F49=""),"",IFERROR(F49*INDEX(Mitarbeiter!$F$6:$F$205,MATCH(B49,Mitarbeiter!$A$6:$A$205,0)),0))</f>
        <v/>
      </c>
      <c r="H49" s="8">
        <f>IF(B49="","",IF(ISNA(MATCH(B49,Mitarbeiter!$A$6:$A$205,0)),"Pers.-Nr. unbekannt",IF(A49="","Datum fehlt",IF(AND(D49&lt;&gt;Einstellungen!$C$4,D49&lt;&gt;Einstellungen!$C$5),"Objekt fehlt",IF(YEAR(A49)&lt;&gt;Einstellungen!$C$3,"anderes Jahr",IF(A49&lt;INDEX(Mitarbeiter!$C$6:$C$205,MATCH(B49,Mitarbeiter!$A$6:$A$205,0)),"vor Eintritt",IF(AND(INDEX(Mitarbeiter!$D$6:$D$205,MATCH(B49,Mitarbeiter!$A$6:$A$205,0))&lt;&gt;"",A49&gt;INDEX(Mitarbeiter!$D$6:$D$205,MATCH(B49,Mitarbeiter!$A$6:$A$205,0))),"nach Austritt","ok")))))))</f>
        <v/>
      </c>
    </row>
    <row r="50">
      <c r="A50" s="26" t="n">
        <v>46023</v>
      </c>
      <c r="B50" s="24" t="n">
        <v>1026</v>
      </c>
      <c r="C50" s="40">
        <f>IF(B50="","",IFERROR(INDEX(Mitarbeiter!$B$6:$B$205,MATCH(B50,Mitarbeiter!$A$6:$A$205,0)),"?"))</f>
        <v/>
      </c>
      <c r="D50" s="41" t="inlineStr">
        <is>
          <t>Objekt 2</t>
        </is>
      </c>
      <c r="E50" s="42" t="n">
        <v>67</v>
      </c>
      <c r="F50" s="43" t="n">
        <v>0</v>
      </c>
      <c r="G50" s="44">
        <f>IF(OR(B50="",F50=""),"",IFERROR(F50*INDEX(Mitarbeiter!$F$6:$F$205,MATCH(B50,Mitarbeiter!$A$6:$A$205,0)),0))</f>
        <v/>
      </c>
      <c r="H50" s="8">
        <f>IF(B50="","",IF(ISNA(MATCH(B50,Mitarbeiter!$A$6:$A$205,0)),"Pers.-Nr. unbekannt",IF(A50="","Datum fehlt",IF(AND(D50&lt;&gt;Einstellungen!$C$4,D50&lt;&gt;Einstellungen!$C$5),"Objekt fehlt",IF(YEAR(A50)&lt;&gt;Einstellungen!$C$3,"anderes Jahr",IF(A50&lt;INDEX(Mitarbeiter!$C$6:$C$205,MATCH(B50,Mitarbeiter!$A$6:$A$205,0)),"vor Eintritt",IF(AND(INDEX(Mitarbeiter!$D$6:$D$205,MATCH(B50,Mitarbeiter!$A$6:$A$205,0))&lt;&gt;"",A50&gt;INDEX(Mitarbeiter!$D$6:$D$205,MATCH(B50,Mitarbeiter!$A$6:$A$205,0))),"nach Austritt","ok")))))))</f>
        <v/>
      </c>
    </row>
    <row r="51">
      <c r="A51" s="26" t="n">
        <v>46023</v>
      </c>
      <c r="B51" s="24" t="n">
        <v>1027</v>
      </c>
      <c r="C51" s="40">
        <f>IF(B51="","",IFERROR(INDEX(Mitarbeiter!$B$6:$B$205,MATCH(B51,Mitarbeiter!$A$6:$A$205,0)),"?"))</f>
        <v/>
      </c>
      <c r="D51" s="41" t="inlineStr">
        <is>
          <t>Objekt 1</t>
        </is>
      </c>
      <c r="E51" s="42" t="n">
        <v>55.5</v>
      </c>
      <c r="F51" s="43" t="n">
        <v>1</v>
      </c>
      <c r="G51" s="44">
        <f>IF(OR(B51="",F51=""),"",IFERROR(F51*INDEX(Mitarbeiter!$F$6:$F$205,MATCH(B51,Mitarbeiter!$A$6:$A$205,0)),0))</f>
        <v/>
      </c>
      <c r="H51" s="8">
        <f>IF(B51="","",IF(ISNA(MATCH(B51,Mitarbeiter!$A$6:$A$205,0)),"Pers.-Nr. unbekannt",IF(A51="","Datum fehlt",IF(AND(D51&lt;&gt;Einstellungen!$C$4,D51&lt;&gt;Einstellungen!$C$5),"Objekt fehlt",IF(YEAR(A51)&lt;&gt;Einstellungen!$C$3,"anderes Jahr",IF(A51&lt;INDEX(Mitarbeiter!$C$6:$C$205,MATCH(B51,Mitarbeiter!$A$6:$A$205,0)),"vor Eintritt",IF(AND(INDEX(Mitarbeiter!$D$6:$D$205,MATCH(B51,Mitarbeiter!$A$6:$A$205,0))&lt;&gt;"",A51&gt;INDEX(Mitarbeiter!$D$6:$D$205,MATCH(B51,Mitarbeiter!$A$6:$A$205,0))),"nach Austritt","ok")))))))</f>
        <v/>
      </c>
    </row>
    <row r="52">
      <c r="A52" s="26" t="n">
        <v>46023</v>
      </c>
      <c r="B52" s="24" t="n">
        <v>1027</v>
      </c>
      <c r="C52" s="40">
        <f>IF(B52="","",IFERROR(INDEX(Mitarbeiter!$B$6:$B$205,MATCH(B52,Mitarbeiter!$A$6:$A$205,0)),"?"))</f>
        <v/>
      </c>
      <c r="D52" s="41" t="inlineStr">
        <is>
          <t>Objekt 2</t>
        </is>
      </c>
      <c r="E52" s="42" t="n">
        <v>54</v>
      </c>
      <c r="F52" s="43" t="n">
        <v>2</v>
      </c>
      <c r="G52" s="44">
        <f>IF(OR(B52="",F52=""),"",IFERROR(F52*INDEX(Mitarbeiter!$F$6:$F$205,MATCH(B52,Mitarbeiter!$A$6:$A$205,0)),0))</f>
        <v/>
      </c>
      <c r="H52" s="8">
        <f>IF(B52="","",IF(ISNA(MATCH(B52,Mitarbeiter!$A$6:$A$205,0)),"Pers.-Nr. unbekannt",IF(A52="","Datum fehlt",IF(AND(D52&lt;&gt;Einstellungen!$C$4,D52&lt;&gt;Einstellungen!$C$5),"Objekt fehlt",IF(YEAR(A52)&lt;&gt;Einstellungen!$C$3,"anderes Jahr",IF(A52&lt;INDEX(Mitarbeiter!$C$6:$C$205,MATCH(B52,Mitarbeiter!$A$6:$A$205,0)),"vor Eintritt",IF(AND(INDEX(Mitarbeiter!$D$6:$D$205,MATCH(B52,Mitarbeiter!$A$6:$A$205,0))&lt;&gt;"",A52&gt;INDEX(Mitarbeiter!$D$6:$D$205,MATCH(B52,Mitarbeiter!$A$6:$A$205,0))),"nach Austritt","ok")))))))</f>
        <v/>
      </c>
    </row>
    <row r="53">
      <c r="A53" s="26" t="n">
        <v>46023</v>
      </c>
      <c r="B53" s="24" t="n">
        <v>1028</v>
      </c>
      <c r="C53" s="40">
        <f>IF(B53="","",IFERROR(INDEX(Mitarbeiter!$B$6:$B$205,MATCH(B53,Mitarbeiter!$A$6:$A$205,0)),"?"))</f>
        <v/>
      </c>
      <c r="D53" s="41" t="inlineStr">
        <is>
          <t>Objekt 1</t>
        </is>
      </c>
      <c r="E53" s="42" t="n">
        <v>33.5</v>
      </c>
      <c r="F53" s="43" t="n">
        <v>0</v>
      </c>
      <c r="G53" s="44">
        <f>IF(OR(B53="",F53=""),"",IFERROR(F53*INDEX(Mitarbeiter!$F$6:$F$205,MATCH(B53,Mitarbeiter!$A$6:$A$205,0)),0))</f>
        <v/>
      </c>
      <c r="H53" s="8">
        <f>IF(B53="","",IF(ISNA(MATCH(B53,Mitarbeiter!$A$6:$A$205,0)),"Pers.-Nr. unbekannt",IF(A53="","Datum fehlt",IF(AND(D53&lt;&gt;Einstellungen!$C$4,D53&lt;&gt;Einstellungen!$C$5),"Objekt fehlt",IF(YEAR(A53)&lt;&gt;Einstellungen!$C$3,"anderes Jahr",IF(A53&lt;INDEX(Mitarbeiter!$C$6:$C$205,MATCH(B53,Mitarbeiter!$A$6:$A$205,0)),"vor Eintritt",IF(AND(INDEX(Mitarbeiter!$D$6:$D$205,MATCH(B53,Mitarbeiter!$A$6:$A$205,0))&lt;&gt;"",A53&gt;INDEX(Mitarbeiter!$D$6:$D$205,MATCH(B53,Mitarbeiter!$A$6:$A$205,0))),"nach Austritt","ok")))))))</f>
        <v/>
      </c>
    </row>
    <row r="54">
      <c r="A54" s="26" t="n">
        <v>46023</v>
      </c>
      <c r="B54" s="24" t="n">
        <v>1028</v>
      </c>
      <c r="C54" s="40">
        <f>IF(B54="","",IFERROR(INDEX(Mitarbeiter!$B$6:$B$205,MATCH(B54,Mitarbeiter!$A$6:$A$205,0)),"?"))</f>
        <v/>
      </c>
      <c r="D54" s="41" t="inlineStr">
        <is>
          <t>Objekt 2</t>
        </is>
      </c>
      <c r="E54" s="42" t="n">
        <v>126.5</v>
      </c>
      <c r="F54" s="43" t="n">
        <v>1</v>
      </c>
      <c r="G54" s="44">
        <f>IF(OR(B54="",F54=""),"",IFERROR(F54*INDEX(Mitarbeiter!$F$6:$F$205,MATCH(B54,Mitarbeiter!$A$6:$A$205,0)),0))</f>
        <v/>
      </c>
      <c r="H54" s="8">
        <f>IF(B54="","",IF(ISNA(MATCH(B54,Mitarbeiter!$A$6:$A$205,0)),"Pers.-Nr. unbekannt",IF(A54="","Datum fehlt",IF(AND(D54&lt;&gt;Einstellungen!$C$4,D54&lt;&gt;Einstellungen!$C$5),"Objekt fehlt",IF(YEAR(A54)&lt;&gt;Einstellungen!$C$3,"anderes Jahr",IF(A54&lt;INDEX(Mitarbeiter!$C$6:$C$205,MATCH(B54,Mitarbeiter!$A$6:$A$205,0)),"vor Eintritt",IF(AND(INDEX(Mitarbeiter!$D$6:$D$205,MATCH(B54,Mitarbeiter!$A$6:$A$205,0))&lt;&gt;"",A54&gt;INDEX(Mitarbeiter!$D$6:$D$205,MATCH(B54,Mitarbeiter!$A$6:$A$205,0))),"nach Austritt","ok")))))))</f>
        <v/>
      </c>
    </row>
    <row r="55">
      <c r="A55" s="26" t="n">
        <v>46023</v>
      </c>
      <c r="B55" s="24" t="n">
        <v>1029</v>
      </c>
      <c r="C55" s="40">
        <f>IF(B55="","",IFERROR(INDEX(Mitarbeiter!$B$6:$B$205,MATCH(B55,Mitarbeiter!$A$6:$A$205,0)),"?"))</f>
        <v/>
      </c>
      <c r="D55" s="41" t="inlineStr">
        <is>
          <t>Objekt 1</t>
        </is>
      </c>
      <c r="E55" s="42" t="n">
        <v>161.5</v>
      </c>
      <c r="F55" s="43" t="n">
        <v>1</v>
      </c>
      <c r="G55" s="44">
        <f>IF(OR(B55="",F55=""),"",IFERROR(F55*INDEX(Mitarbeiter!$F$6:$F$205,MATCH(B55,Mitarbeiter!$A$6:$A$205,0)),0))</f>
        <v/>
      </c>
      <c r="H55" s="8">
        <f>IF(B55="","",IF(ISNA(MATCH(B55,Mitarbeiter!$A$6:$A$205,0)),"Pers.-Nr. unbekannt",IF(A55="","Datum fehlt",IF(AND(D55&lt;&gt;Einstellungen!$C$4,D55&lt;&gt;Einstellungen!$C$5),"Objekt fehlt",IF(YEAR(A55)&lt;&gt;Einstellungen!$C$3,"anderes Jahr",IF(A55&lt;INDEX(Mitarbeiter!$C$6:$C$205,MATCH(B55,Mitarbeiter!$A$6:$A$205,0)),"vor Eintritt",IF(AND(INDEX(Mitarbeiter!$D$6:$D$205,MATCH(B55,Mitarbeiter!$A$6:$A$205,0))&lt;&gt;"",A55&gt;INDEX(Mitarbeiter!$D$6:$D$205,MATCH(B55,Mitarbeiter!$A$6:$A$205,0))),"nach Austritt","ok")))))))</f>
        <v/>
      </c>
    </row>
    <row r="56">
      <c r="A56" s="26" t="n">
        <v>46023</v>
      </c>
      <c r="B56" s="24" t="n">
        <v>1030</v>
      </c>
      <c r="C56" s="40">
        <f>IF(B56="","",IFERROR(INDEX(Mitarbeiter!$B$6:$B$205,MATCH(B56,Mitarbeiter!$A$6:$A$205,0)),"?"))</f>
        <v/>
      </c>
      <c r="D56" s="41" t="inlineStr">
        <is>
          <t>Objekt 2</t>
        </is>
      </c>
      <c r="E56" s="42" t="n">
        <v>127.5</v>
      </c>
      <c r="F56" s="43" t="n">
        <v>0</v>
      </c>
      <c r="G56" s="44">
        <f>IF(OR(B56="",F56=""),"",IFERROR(F56*INDEX(Mitarbeiter!$F$6:$F$205,MATCH(B56,Mitarbeiter!$A$6:$A$205,0)),0))</f>
        <v/>
      </c>
      <c r="H56" s="8">
        <f>IF(B56="","",IF(ISNA(MATCH(B56,Mitarbeiter!$A$6:$A$205,0)),"Pers.-Nr. unbekannt",IF(A56="","Datum fehlt",IF(AND(D56&lt;&gt;Einstellungen!$C$4,D56&lt;&gt;Einstellungen!$C$5),"Objekt fehlt",IF(YEAR(A56)&lt;&gt;Einstellungen!$C$3,"anderes Jahr",IF(A56&lt;INDEX(Mitarbeiter!$C$6:$C$205,MATCH(B56,Mitarbeiter!$A$6:$A$205,0)),"vor Eintritt",IF(AND(INDEX(Mitarbeiter!$D$6:$D$205,MATCH(B56,Mitarbeiter!$A$6:$A$205,0))&lt;&gt;"",A56&gt;INDEX(Mitarbeiter!$D$6:$D$205,MATCH(B56,Mitarbeiter!$A$6:$A$205,0))),"nach Austritt","ok")))))))</f>
        <v/>
      </c>
    </row>
    <row r="57">
      <c r="A57" s="26" t="n">
        <v>46023</v>
      </c>
      <c r="B57" s="24" t="n">
        <v>1031</v>
      </c>
      <c r="C57" s="40">
        <f>IF(B57="","",IFERROR(INDEX(Mitarbeiter!$B$6:$B$205,MATCH(B57,Mitarbeiter!$A$6:$A$205,0)),"?"))</f>
        <v/>
      </c>
      <c r="D57" s="41" t="inlineStr">
        <is>
          <t>Objekt 2</t>
        </is>
      </c>
      <c r="E57" s="42" t="n">
        <v>169.5</v>
      </c>
      <c r="F57" s="43" t="n">
        <v>0</v>
      </c>
      <c r="G57" s="44">
        <f>IF(OR(B57="",F57=""),"",IFERROR(F57*INDEX(Mitarbeiter!$F$6:$F$205,MATCH(B57,Mitarbeiter!$A$6:$A$205,0)),0))</f>
        <v/>
      </c>
      <c r="H57" s="8">
        <f>IF(B57="","",IF(ISNA(MATCH(B57,Mitarbeiter!$A$6:$A$205,0)),"Pers.-Nr. unbekannt",IF(A57="","Datum fehlt",IF(AND(D57&lt;&gt;Einstellungen!$C$4,D57&lt;&gt;Einstellungen!$C$5),"Objekt fehlt",IF(YEAR(A57)&lt;&gt;Einstellungen!$C$3,"anderes Jahr",IF(A57&lt;INDEX(Mitarbeiter!$C$6:$C$205,MATCH(B57,Mitarbeiter!$A$6:$A$205,0)),"vor Eintritt",IF(AND(INDEX(Mitarbeiter!$D$6:$D$205,MATCH(B57,Mitarbeiter!$A$6:$A$205,0))&lt;&gt;"",A57&gt;INDEX(Mitarbeiter!$D$6:$D$205,MATCH(B57,Mitarbeiter!$A$6:$A$205,0))),"nach Austritt","ok")))))))</f>
        <v/>
      </c>
    </row>
    <row r="58">
      <c r="A58" s="26" t="n">
        <v>46023</v>
      </c>
      <c r="B58" s="24" t="n">
        <v>1032</v>
      </c>
      <c r="C58" s="40">
        <f>IF(B58="","",IFERROR(INDEX(Mitarbeiter!$B$6:$B$205,MATCH(B58,Mitarbeiter!$A$6:$A$205,0)),"?"))</f>
        <v/>
      </c>
      <c r="D58" s="41" t="inlineStr">
        <is>
          <t>Objekt 1</t>
        </is>
      </c>
      <c r="E58" s="42" t="n">
        <v>64</v>
      </c>
      <c r="F58" s="43" t="n">
        <v>0</v>
      </c>
      <c r="G58" s="44">
        <f>IF(OR(B58="",F58=""),"",IFERROR(F58*INDEX(Mitarbeiter!$F$6:$F$205,MATCH(B58,Mitarbeiter!$A$6:$A$205,0)),0))</f>
        <v/>
      </c>
      <c r="H58" s="8">
        <f>IF(B58="","",IF(ISNA(MATCH(B58,Mitarbeiter!$A$6:$A$205,0)),"Pers.-Nr. unbekannt",IF(A58="","Datum fehlt",IF(AND(D58&lt;&gt;Einstellungen!$C$4,D58&lt;&gt;Einstellungen!$C$5),"Objekt fehlt",IF(YEAR(A58)&lt;&gt;Einstellungen!$C$3,"anderes Jahr",IF(A58&lt;INDEX(Mitarbeiter!$C$6:$C$205,MATCH(B58,Mitarbeiter!$A$6:$A$205,0)),"vor Eintritt",IF(AND(INDEX(Mitarbeiter!$D$6:$D$205,MATCH(B58,Mitarbeiter!$A$6:$A$205,0))&lt;&gt;"",A58&gt;INDEX(Mitarbeiter!$D$6:$D$205,MATCH(B58,Mitarbeiter!$A$6:$A$205,0))),"nach Austritt","ok")))))))</f>
        <v/>
      </c>
    </row>
    <row r="59">
      <c r="A59" s="26" t="n">
        <v>46023</v>
      </c>
      <c r="B59" s="24" t="n">
        <v>1032</v>
      </c>
      <c r="C59" s="40">
        <f>IF(B59="","",IFERROR(INDEX(Mitarbeiter!$B$6:$B$205,MATCH(B59,Mitarbeiter!$A$6:$A$205,0)),"?"))</f>
        <v/>
      </c>
      <c r="D59" s="41" t="inlineStr">
        <is>
          <t>Objekt 2</t>
        </is>
      </c>
      <c r="E59" s="42" t="n">
        <v>94.5</v>
      </c>
      <c r="F59" s="43" t="n">
        <v>1</v>
      </c>
      <c r="G59" s="44">
        <f>IF(OR(B59="",F59=""),"",IFERROR(F59*INDEX(Mitarbeiter!$F$6:$F$205,MATCH(B59,Mitarbeiter!$A$6:$A$205,0)),0))</f>
        <v/>
      </c>
      <c r="H59" s="8">
        <f>IF(B59="","",IF(ISNA(MATCH(B59,Mitarbeiter!$A$6:$A$205,0)),"Pers.-Nr. unbekannt",IF(A59="","Datum fehlt",IF(AND(D59&lt;&gt;Einstellungen!$C$4,D59&lt;&gt;Einstellungen!$C$5),"Objekt fehlt",IF(YEAR(A59)&lt;&gt;Einstellungen!$C$3,"anderes Jahr",IF(A59&lt;INDEX(Mitarbeiter!$C$6:$C$205,MATCH(B59,Mitarbeiter!$A$6:$A$205,0)),"vor Eintritt",IF(AND(INDEX(Mitarbeiter!$D$6:$D$205,MATCH(B59,Mitarbeiter!$A$6:$A$205,0))&lt;&gt;"",A59&gt;INDEX(Mitarbeiter!$D$6:$D$205,MATCH(B59,Mitarbeiter!$A$6:$A$205,0))),"nach Austritt","ok")))))))</f>
        <v/>
      </c>
    </row>
    <row r="60">
      <c r="A60" s="26" t="n">
        <v>46023</v>
      </c>
      <c r="B60" s="24" t="n">
        <v>1033</v>
      </c>
      <c r="C60" s="40">
        <f>IF(B60="","",IFERROR(INDEX(Mitarbeiter!$B$6:$B$205,MATCH(B60,Mitarbeiter!$A$6:$A$205,0)),"?"))</f>
        <v/>
      </c>
      <c r="D60" s="41" t="inlineStr">
        <is>
          <t>Objekt 1</t>
        </is>
      </c>
      <c r="E60" s="42" t="n">
        <v>168</v>
      </c>
      <c r="F60" s="43" t="n">
        <v>0</v>
      </c>
      <c r="G60" s="44">
        <f>IF(OR(B60="",F60=""),"",IFERROR(F60*INDEX(Mitarbeiter!$F$6:$F$205,MATCH(B60,Mitarbeiter!$A$6:$A$205,0)),0))</f>
        <v/>
      </c>
      <c r="H60" s="8">
        <f>IF(B60="","",IF(ISNA(MATCH(B60,Mitarbeiter!$A$6:$A$205,0)),"Pers.-Nr. unbekannt",IF(A60="","Datum fehlt",IF(AND(D60&lt;&gt;Einstellungen!$C$4,D60&lt;&gt;Einstellungen!$C$5),"Objekt fehlt",IF(YEAR(A60)&lt;&gt;Einstellungen!$C$3,"anderes Jahr",IF(A60&lt;INDEX(Mitarbeiter!$C$6:$C$205,MATCH(B60,Mitarbeiter!$A$6:$A$205,0)),"vor Eintritt",IF(AND(INDEX(Mitarbeiter!$D$6:$D$205,MATCH(B60,Mitarbeiter!$A$6:$A$205,0))&lt;&gt;"",A60&gt;INDEX(Mitarbeiter!$D$6:$D$205,MATCH(B60,Mitarbeiter!$A$6:$A$205,0))),"nach Austritt","ok")))))))</f>
        <v/>
      </c>
    </row>
    <row r="61">
      <c r="A61" s="26" t="n">
        <v>46023</v>
      </c>
      <c r="B61" s="24" t="n">
        <v>1034</v>
      </c>
      <c r="C61" s="40">
        <f>IF(B61="","",IFERROR(INDEX(Mitarbeiter!$B$6:$B$205,MATCH(B61,Mitarbeiter!$A$6:$A$205,0)),"?"))</f>
        <v/>
      </c>
      <c r="D61" s="41" t="inlineStr">
        <is>
          <t>Objekt 1</t>
        </is>
      </c>
      <c r="E61" s="42" t="n">
        <v>46.5</v>
      </c>
      <c r="F61" s="43" t="n">
        <v>0</v>
      </c>
      <c r="G61" s="44">
        <f>IF(OR(B61="",F61=""),"",IFERROR(F61*INDEX(Mitarbeiter!$F$6:$F$205,MATCH(B61,Mitarbeiter!$A$6:$A$205,0)),0))</f>
        <v/>
      </c>
      <c r="H61" s="8">
        <f>IF(B61="","",IF(ISNA(MATCH(B61,Mitarbeiter!$A$6:$A$205,0)),"Pers.-Nr. unbekannt",IF(A61="","Datum fehlt",IF(AND(D61&lt;&gt;Einstellungen!$C$4,D61&lt;&gt;Einstellungen!$C$5),"Objekt fehlt",IF(YEAR(A61)&lt;&gt;Einstellungen!$C$3,"anderes Jahr",IF(A61&lt;INDEX(Mitarbeiter!$C$6:$C$205,MATCH(B61,Mitarbeiter!$A$6:$A$205,0)),"vor Eintritt",IF(AND(INDEX(Mitarbeiter!$D$6:$D$205,MATCH(B61,Mitarbeiter!$A$6:$A$205,0))&lt;&gt;"",A61&gt;INDEX(Mitarbeiter!$D$6:$D$205,MATCH(B61,Mitarbeiter!$A$6:$A$205,0))),"nach Austritt","ok")))))))</f>
        <v/>
      </c>
    </row>
    <row r="62">
      <c r="A62" s="26" t="n">
        <v>46023</v>
      </c>
      <c r="B62" s="24" t="n">
        <v>1034</v>
      </c>
      <c r="C62" s="40">
        <f>IF(B62="","",IFERROR(INDEX(Mitarbeiter!$B$6:$B$205,MATCH(B62,Mitarbeiter!$A$6:$A$205,0)),"?"))</f>
        <v/>
      </c>
      <c r="D62" s="41" t="inlineStr">
        <is>
          <t>Objekt 2</t>
        </is>
      </c>
      <c r="E62" s="42" t="n">
        <v>76.5</v>
      </c>
      <c r="F62" s="43" t="n">
        <v>0</v>
      </c>
      <c r="G62" s="44">
        <f>IF(OR(B62="",F62=""),"",IFERROR(F62*INDEX(Mitarbeiter!$F$6:$F$205,MATCH(B62,Mitarbeiter!$A$6:$A$205,0)),0))</f>
        <v/>
      </c>
      <c r="H62" s="8">
        <f>IF(B62="","",IF(ISNA(MATCH(B62,Mitarbeiter!$A$6:$A$205,0)),"Pers.-Nr. unbekannt",IF(A62="","Datum fehlt",IF(AND(D62&lt;&gt;Einstellungen!$C$4,D62&lt;&gt;Einstellungen!$C$5),"Objekt fehlt",IF(YEAR(A62)&lt;&gt;Einstellungen!$C$3,"anderes Jahr",IF(A62&lt;INDEX(Mitarbeiter!$C$6:$C$205,MATCH(B62,Mitarbeiter!$A$6:$A$205,0)),"vor Eintritt",IF(AND(INDEX(Mitarbeiter!$D$6:$D$205,MATCH(B62,Mitarbeiter!$A$6:$A$205,0))&lt;&gt;"",A62&gt;INDEX(Mitarbeiter!$D$6:$D$205,MATCH(B62,Mitarbeiter!$A$6:$A$205,0))),"nach Austritt","ok")))))))</f>
        <v/>
      </c>
    </row>
    <row r="63">
      <c r="A63" s="26" t="n">
        <v>46023</v>
      </c>
      <c r="B63" s="24" t="n">
        <v>1035</v>
      </c>
      <c r="C63" s="40">
        <f>IF(B63="","",IFERROR(INDEX(Mitarbeiter!$B$6:$B$205,MATCH(B63,Mitarbeiter!$A$6:$A$205,0)),"?"))</f>
        <v/>
      </c>
      <c r="D63" s="41" t="inlineStr">
        <is>
          <t>Objekt 2</t>
        </is>
      </c>
      <c r="E63" s="42" t="n">
        <v>160</v>
      </c>
      <c r="F63" s="43" t="n">
        <v>1</v>
      </c>
      <c r="G63" s="44">
        <f>IF(OR(B63="",F63=""),"",IFERROR(F63*INDEX(Mitarbeiter!$F$6:$F$205,MATCH(B63,Mitarbeiter!$A$6:$A$205,0)),0))</f>
        <v/>
      </c>
      <c r="H63" s="8">
        <f>IF(B63="","",IF(ISNA(MATCH(B63,Mitarbeiter!$A$6:$A$205,0)),"Pers.-Nr. unbekannt",IF(A63="","Datum fehlt",IF(AND(D63&lt;&gt;Einstellungen!$C$4,D63&lt;&gt;Einstellungen!$C$5),"Objekt fehlt",IF(YEAR(A63)&lt;&gt;Einstellungen!$C$3,"anderes Jahr",IF(A63&lt;INDEX(Mitarbeiter!$C$6:$C$205,MATCH(B63,Mitarbeiter!$A$6:$A$205,0)),"vor Eintritt",IF(AND(INDEX(Mitarbeiter!$D$6:$D$205,MATCH(B63,Mitarbeiter!$A$6:$A$205,0))&lt;&gt;"",A63&gt;INDEX(Mitarbeiter!$D$6:$D$205,MATCH(B63,Mitarbeiter!$A$6:$A$205,0))),"nach Austritt","ok")))))))</f>
        <v/>
      </c>
    </row>
    <row r="64">
      <c r="A64" s="26" t="n">
        <v>46023</v>
      </c>
      <c r="B64" s="24" t="n">
        <v>1036</v>
      </c>
      <c r="C64" s="40">
        <f>IF(B64="","",IFERROR(INDEX(Mitarbeiter!$B$6:$B$205,MATCH(B64,Mitarbeiter!$A$6:$A$205,0)),"?"))</f>
        <v/>
      </c>
      <c r="D64" s="41" t="inlineStr">
        <is>
          <t>Objekt 1</t>
        </is>
      </c>
      <c r="E64" s="42" t="n">
        <v>33.5</v>
      </c>
      <c r="F64" s="43" t="n">
        <v>0</v>
      </c>
      <c r="G64" s="44">
        <f>IF(OR(B64="",F64=""),"",IFERROR(F64*INDEX(Mitarbeiter!$F$6:$F$205,MATCH(B64,Mitarbeiter!$A$6:$A$205,0)),0))</f>
        <v/>
      </c>
      <c r="H64" s="8">
        <f>IF(B64="","",IF(ISNA(MATCH(B64,Mitarbeiter!$A$6:$A$205,0)),"Pers.-Nr. unbekannt",IF(A64="","Datum fehlt",IF(AND(D64&lt;&gt;Einstellungen!$C$4,D64&lt;&gt;Einstellungen!$C$5),"Objekt fehlt",IF(YEAR(A64)&lt;&gt;Einstellungen!$C$3,"anderes Jahr",IF(A64&lt;INDEX(Mitarbeiter!$C$6:$C$205,MATCH(B64,Mitarbeiter!$A$6:$A$205,0)),"vor Eintritt",IF(AND(INDEX(Mitarbeiter!$D$6:$D$205,MATCH(B64,Mitarbeiter!$A$6:$A$205,0))&lt;&gt;"",A64&gt;INDEX(Mitarbeiter!$D$6:$D$205,MATCH(B64,Mitarbeiter!$A$6:$A$205,0))),"nach Austritt","ok")))))))</f>
        <v/>
      </c>
    </row>
    <row r="65">
      <c r="A65" s="26" t="n">
        <v>46023</v>
      </c>
      <c r="B65" s="24" t="n">
        <v>1036</v>
      </c>
      <c r="C65" s="40">
        <f>IF(B65="","",IFERROR(INDEX(Mitarbeiter!$B$6:$B$205,MATCH(B65,Mitarbeiter!$A$6:$A$205,0)),"?"))</f>
        <v/>
      </c>
      <c r="D65" s="41" t="inlineStr">
        <is>
          <t>Objekt 2</t>
        </is>
      </c>
      <c r="E65" s="42" t="n">
        <v>52</v>
      </c>
      <c r="F65" s="43" t="n">
        <v>0</v>
      </c>
      <c r="G65" s="44">
        <f>IF(OR(B65="",F65=""),"",IFERROR(F65*INDEX(Mitarbeiter!$F$6:$F$205,MATCH(B65,Mitarbeiter!$A$6:$A$205,0)),0))</f>
        <v/>
      </c>
      <c r="H65" s="8">
        <f>IF(B65="","",IF(ISNA(MATCH(B65,Mitarbeiter!$A$6:$A$205,0)),"Pers.-Nr. unbekannt",IF(A65="","Datum fehlt",IF(AND(D65&lt;&gt;Einstellungen!$C$4,D65&lt;&gt;Einstellungen!$C$5),"Objekt fehlt",IF(YEAR(A65)&lt;&gt;Einstellungen!$C$3,"anderes Jahr",IF(A65&lt;INDEX(Mitarbeiter!$C$6:$C$205,MATCH(B65,Mitarbeiter!$A$6:$A$205,0)),"vor Eintritt",IF(AND(INDEX(Mitarbeiter!$D$6:$D$205,MATCH(B65,Mitarbeiter!$A$6:$A$205,0))&lt;&gt;"",A65&gt;INDEX(Mitarbeiter!$D$6:$D$205,MATCH(B65,Mitarbeiter!$A$6:$A$205,0))),"nach Austritt","ok")))))))</f>
        <v/>
      </c>
    </row>
    <row r="66">
      <c r="A66" s="26" t="n">
        <v>46023</v>
      </c>
      <c r="B66" s="24" t="n">
        <v>1037</v>
      </c>
      <c r="C66" s="40">
        <f>IF(B66="","",IFERROR(INDEX(Mitarbeiter!$B$6:$B$205,MATCH(B66,Mitarbeiter!$A$6:$A$205,0)),"?"))</f>
        <v/>
      </c>
      <c r="D66" s="41" t="inlineStr">
        <is>
          <t>Objekt 1</t>
        </is>
      </c>
      <c r="E66" s="42" t="n">
        <v>107</v>
      </c>
      <c r="F66" s="43" t="n">
        <v>0</v>
      </c>
      <c r="G66" s="44">
        <f>IF(OR(B66="",F66=""),"",IFERROR(F66*INDEX(Mitarbeiter!$F$6:$F$205,MATCH(B66,Mitarbeiter!$A$6:$A$205,0)),0))</f>
        <v/>
      </c>
      <c r="H66" s="8">
        <f>IF(B66="","",IF(ISNA(MATCH(B66,Mitarbeiter!$A$6:$A$205,0)),"Pers.-Nr. unbekannt",IF(A66="","Datum fehlt",IF(AND(D66&lt;&gt;Einstellungen!$C$4,D66&lt;&gt;Einstellungen!$C$5),"Objekt fehlt",IF(YEAR(A66)&lt;&gt;Einstellungen!$C$3,"anderes Jahr",IF(A66&lt;INDEX(Mitarbeiter!$C$6:$C$205,MATCH(B66,Mitarbeiter!$A$6:$A$205,0)),"vor Eintritt",IF(AND(INDEX(Mitarbeiter!$D$6:$D$205,MATCH(B66,Mitarbeiter!$A$6:$A$205,0))&lt;&gt;"",A66&gt;INDEX(Mitarbeiter!$D$6:$D$205,MATCH(B66,Mitarbeiter!$A$6:$A$205,0))),"nach Austritt","ok")))))))</f>
        <v/>
      </c>
    </row>
    <row r="67">
      <c r="A67" s="26" t="n">
        <v>46023</v>
      </c>
      <c r="B67" s="24" t="n">
        <v>1037</v>
      </c>
      <c r="C67" s="40">
        <f>IF(B67="","",IFERROR(INDEX(Mitarbeiter!$B$6:$B$205,MATCH(B67,Mitarbeiter!$A$6:$A$205,0)),"?"))</f>
        <v/>
      </c>
      <c r="D67" s="41" t="inlineStr">
        <is>
          <t>Objekt 2</t>
        </is>
      </c>
      <c r="E67" s="42" t="n">
        <v>65.5</v>
      </c>
      <c r="F67" s="43" t="n">
        <v>0</v>
      </c>
      <c r="G67" s="44">
        <f>IF(OR(B67="",F67=""),"",IFERROR(F67*INDEX(Mitarbeiter!$F$6:$F$205,MATCH(B67,Mitarbeiter!$A$6:$A$205,0)),0))</f>
        <v/>
      </c>
      <c r="H67" s="8">
        <f>IF(B67="","",IF(ISNA(MATCH(B67,Mitarbeiter!$A$6:$A$205,0)),"Pers.-Nr. unbekannt",IF(A67="","Datum fehlt",IF(AND(D67&lt;&gt;Einstellungen!$C$4,D67&lt;&gt;Einstellungen!$C$5),"Objekt fehlt",IF(YEAR(A67)&lt;&gt;Einstellungen!$C$3,"anderes Jahr",IF(A67&lt;INDEX(Mitarbeiter!$C$6:$C$205,MATCH(B67,Mitarbeiter!$A$6:$A$205,0)),"vor Eintritt",IF(AND(INDEX(Mitarbeiter!$D$6:$D$205,MATCH(B67,Mitarbeiter!$A$6:$A$205,0))&lt;&gt;"",A67&gt;INDEX(Mitarbeiter!$D$6:$D$205,MATCH(B67,Mitarbeiter!$A$6:$A$205,0))),"nach Austritt","ok")))))))</f>
        <v/>
      </c>
    </row>
    <row r="68">
      <c r="A68" s="26" t="n">
        <v>46023</v>
      </c>
      <c r="B68" s="24" t="n">
        <v>1038</v>
      </c>
      <c r="C68" s="40">
        <f>IF(B68="","",IFERROR(INDEX(Mitarbeiter!$B$6:$B$205,MATCH(B68,Mitarbeiter!$A$6:$A$205,0)),"?"))</f>
        <v/>
      </c>
      <c r="D68" s="41" t="inlineStr">
        <is>
          <t>Objekt 1</t>
        </is>
      </c>
      <c r="E68" s="42" t="n">
        <v>83</v>
      </c>
      <c r="F68" s="43" t="n">
        <v>0</v>
      </c>
      <c r="G68" s="44">
        <f>IF(OR(B68="",F68=""),"",IFERROR(F68*INDEX(Mitarbeiter!$F$6:$F$205,MATCH(B68,Mitarbeiter!$A$6:$A$205,0)),0))</f>
        <v/>
      </c>
      <c r="H68" s="8">
        <f>IF(B68="","",IF(ISNA(MATCH(B68,Mitarbeiter!$A$6:$A$205,0)),"Pers.-Nr. unbekannt",IF(A68="","Datum fehlt",IF(AND(D68&lt;&gt;Einstellungen!$C$4,D68&lt;&gt;Einstellungen!$C$5),"Objekt fehlt",IF(YEAR(A68)&lt;&gt;Einstellungen!$C$3,"anderes Jahr",IF(A68&lt;INDEX(Mitarbeiter!$C$6:$C$205,MATCH(B68,Mitarbeiter!$A$6:$A$205,0)),"vor Eintritt",IF(AND(INDEX(Mitarbeiter!$D$6:$D$205,MATCH(B68,Mitarbeiter!$A$6:$A$205,0))&lt;&gt;"",A68&gt;INDEX(Mitarbeiter!$D$6:$D$205,MATCH(B68,Mitarbeiter!$A$6:$A$205,0))),"nach Austritt","ok")))))))</f>
        <v/>
      </c>
    </row>
    <row r="69">
      <c r="A69" s="26" t="n">
        <v>46023</v>
      </c>
      <c r="B69" s="24" t="n">
        <v>1038</v>
      </c>
      <c r="C69" s="40">
        <f>IF(B69="","",IFERROR(INDEX(Mitarbeiter!$B$6:$B$205,MATCH(B69,Mitarbeiter!$A$6:$A$205,0)),"?"))</f>
        <v/>
      </c>
      <c r="D69" s="41" t="inlineStr">
        <is>
          <t>Objekt 2</t>
        </is>
      </c>
      <c r="E69" s="42" t="n">
        <v>89.5</v>
      </c>
      <c r="F69" s="43" t="n">
        <v>0</v>
      </c>
      <c r="G69" s="44">
        <f>IF(OR(B69="",F69=""),"",IFERROR(F69*INDEX(Mitarbeiter!$F$6:$F$205,MATCH(B69,Mitarbeiter!$A$6:$A$205,0)),0))</f>
        <v/>
      </c>
      <c r="H69" s="8">
        <f>IF(B69="","",IF(ISNA(MATCH(B69,Mitarbeiter!$A$6:$A$205,0)),"Pers.-Nr. unbekannt",IF(A69="","Datum fehlt",IF(AND(D69&lt;&gt;Einstellungen!$C$4,D69&lt;&gt;Einstellungen!$C$5),"Objekt fehlt",IF(YEAR(A69)&lt;&gt;Einstellungen!$C$3,"anderes Jahr",IF(A69&lt;INDEX(Mitarbeiter!$C$6:$C$205,MATCH(B69,Mitarbeiter!$A$6:$A$205,0)),"vor Eintritt",IF(AND(INDEX(Mitarbeiter!$D$6:$D$205,MATCH(B69,Mitarbeiter!$A$6:$A$205,0))&lt;&gt;"",A69&gt;INDEX(Mitarbeiter!$D$6:$D$205,MATCH(B69,Mitarbeiter!$A$6:$A$205,0))),"nach Austritt","ok")))))))</f>
        <v/>
      </c>
    </row>
    <row r="70">
      <c r="A70" s="26" t="n">
        <v>46023</v>
      </c>
      <c r="B70" s="24" t="n">
        <v>1039</v>
      </c>
      <c r="C70" s="40">
        <f>IF(B70="","",IFERROR(INDEX(Mitarbeiter!$B$6:$B$205,MATCH(B70,Mitarbeiter!$A$6:$A$205,0)),"?"))</f>
        <v/>
      </c>
      <c r="D70" s="41" t="inlineStr">
        <is>
          <t>Objekt 2</t>
        </is>
      </c>
      <c r="E70" s="42" t="n">
        <v>160</v>
      </c>
      <c r="F70" s="43" t="n">
        <v>1</v>
      </c>
      <c r="G70" s="44">
        <f>IF(OR(B70="",F70=""),"",IFERROR(F70*INDEX(Mitarbeiter!$F$6:$F$205,MATCH(B70,Mitarbeiter!$A$6:$A$205,0)),0))</f>
        <v/>
      </c>
      <c r="H70" s="8">
        <f>IF(B70="","",IF(ISNA(MATCH(B70,Mitarbeiter!$A$6:$A$205,0)),"Pers.-Nr. unbekannt",IF(A70="","Datum fehlt",IF(AND(D70&lt;&gt;Einstellungen!$C$4,D70&lt;&gt;Einstellungen!$C$5),"Objekt fehlt",IF(YEAR(A70)&lt;&gt;Einstellungen!$C$3,"anderes Jahr",IF(A70&lt;INDEX(Mitarbeiter!$C$6:$C$205,MATCH(B70,Mitarbeiter!$A$6:$A$205,0)),"vor Eintritt",IF(AND(INDEX(Mitarbeiter!$D$6:$D$205,MATCH(B70,Mitarbeiter!$A$6:$A$205,0))&lt;&gt;"",A70&gt;INDEX(Mitarbeiter!$D$6:$D$205,MATCH(B70,Mitarbeiter!$A$6:$A$205,0))),"nach Austritt","ok")))))))</f>
        <v/>
      </c>
    </row>
    <row r="71">
      <c r="A71" s="26" t="n">
        <v>46023</v>
      </c>
      <c r="B71" s="24" t="n">
        <v>1040</v>
      </c>
      <c r="C71" s="40">
        <f>IF(B71="","",IFERROR(INDEX(Mitarbeiter!$B$6:$B$205,MATCH(B71,Mitarbeiter!$A$6:$A$205,0)),"?"))</f>
        <v/>
      </c>
      <c r="D71" s="41" t="inlineStr">
        <is>
          <t>Objekt 1</t>
        </is>
      </c>
      <c r="E71" s="42" t="n">
        <v>102</v>
      </c>
      <c r="F71" s="43" t="n">
        <v>0</v>
      </c>
      <c r="G71" s="44">
        <f>IF(OR(B71="",F71=""),"",IFERROR(F71*INDEX(Mitarbeiter!$F$6:$F$205,MATCH(B71,Mitarbeiter!$A$6:$A$205,0)),0))</f>
        <v/>
      </c>
      <c r="H71" s="8">
        <f>IF(B71="","",IF(ISNA(MATCH(B71,Mitarbeiter!$A$6:$A$205,0)),"Pers.-Nr. unbekannt",IF(A71="","Datum fehlt",IF(AND(D71&lt;&gt;Einstellungen!$C$4,D71&lt;&gt;Einstellungen!$C$5),"Objekt fehlt",IF(YEAR(A71)&lt;&gt;Einstellungen!$C$3,"anderes Jahr",IF(A71&lt;INDEX(Mitarbeiter!$C$6:$C$205,MATCH(B71,Mitarbeiter!$A$6:$A$205,0)),"vor Eintritt",IF(AND(INDEX(Mitarbeiter!$D$6:$D$205,MATCH(B71,Mitarbeiter!$A$6:$A$205,0))&lt;&gt;"",A71&gt;INDEX(Mitarbeiter!$D$6:$D$205,MATCH(B71,Mitarbeiter!$A$6:$A$205,0))),"nach Austritt","ok")))))))</f>
        <v/>
      </c>
    </row>
    <row r="72">
      <c r="A72" s="26" t="n">
        <v>46023</v>
      </c>
      <c r="B72" s="24" t="n">
        <v>1040</v>
      </c>
      <c r="C72" s="40">
        <f>IF(B72="","",IFERROR(INDEX(Mitarbeiter!$B$6:$B$205,MATCH(B72,Mitarbeiter!$A$6:$A$205,0)),"?"))</f>
        <v/>
      </c>
      <c r="D72" s="41" t="inlineStr">
        <is>
          <t>Objekt 2</t>
        </is>
      </c>
      <c r="E72" s="42" t="n">
        <v>24</v>
      </c>
      <c r="F72" s="43" t="n">
        <v>0</v>
      </c>
      <c r="G72" s="44">
        <f>IF(OR(B72="",F72=""),"",IFERROR(F72*INDEX(Mitarbeiter!$F$6:$F$205,MATCH(B72,Mitarbeiter!$A$6:$A$205,0)),0))</f>
        <v/>
      </c>
      <c r="H72" s="8">
        <f>IF(B72="","",IF(ISNA(MATCH(B72,Mitarbeiter!$A$6:$A$205,0)),"Pers.-Nr. unbekannt",IF(A72="","Datum fehlt",IF(AND(D72&lt;&gt;Einstellungen!$C$4,D72&lt;&gt;Einstellungen!$C$5),"Objekt fehlt",IF(YEAR(A72)&lt;&gt;Einstellungen!$C$3,"anderes Jahr",IF(A72&lt;INDEX(Mitarbeiter!$C$6:$C$205,MATCH(B72,Mitarbeiter!$A$6:$A$205,0)),"vor Eintritt",IF(AND(INDEX(Mitarbeiter!$D$6:$D$205,MATCH(B72,Mitarbeiter!$A$6:$A$205,0))&lt;&gt;"",A72&gt;INDEX(Mitarbeiter!$D$6:$D$205,MATCH(B72,Mitarbeiter!$A$6:$A$205,0))),"nach Austritt","ok")))))))</f>
        <v/>
      </c>
    </row>
    <row r="73">
      <c r="A73" s="26" t="n">
        <v>46023</v>
      </c>
      <c r="B73" s="24" t="n">
        <v>1041</v>
      </c>
      <c r="C73" s="40">
        <f>IF(B73="","",IFERROR(INDEX(Mitarbeiter!$B$6:$B$205,MATCH(B73,Mitarbeiter!$A$6:$A$205,0)),"?"))</f>
        <v/>
      </c>
      <c r="D73" s="41" t="inlineStr">
        <is>
          <t>Objekt 1</t>
        </is>
      </c>
      <c r="E73" s="42" t="n">
        <v>168</v>
      </c>
      <c r="F73" s="43" t="n">
        <v>0</v>
      </c>
      <c r="G73" s="44">
        <f>IF(OR(B73="",F73=""),"",IFERROR(F73*INDEX(Mitarbeiter!$F$6:$F$205,MATCH(B73,Mitarbeiter!$A$6:$A$205,0)),0))</f>
        <v/>
      </c>
      <c r="H73" s="8">
        <f>IF(B73="","",IF(ISNA(MATCH(B73,Mitarbeiter!$A$6:$A$205,0)),"Pers.-Nr. unbekannt",IF(A73="","Datum fehlt",IF(AND(D73&lt;&gt;Einstellungen!$C$4,D73&lt;&gt;Einstellungen!$C$5),"Objekt fehlt",IF(YEAR(A73)&lt;&gt;Einstellungen!$C$3,"anderes Jahr",IF(A73&lt;INDEX(Mitarbeiter!$C$6:$C$205,MATCH(B73,Mitarbeiter!$A$6:$A$205,0)),"vor Eintritt",IF(AND(INDEX(Mitarbeiter!$D$6:$D$205,MATCH(B73,Mitarbeiter!$A$6:$A$205,0))&lt;&gt;"",A73&gt;INDEX(Mitarbeiter!$D$6:$D$205,MATCH(B73,Mitarbeiter!$A$6:$A$205,0))),"nach Austritt","ok")))))))</f>
        <v/>
      </c>
    </row>
    <row r="74">
      <c r="A74" s="26" t="n">
        <v>46023</v>
      </c>
      <c r="B74" s="24" t="n">
        <v>1042</v>
      </c>
      <c r="C74" s="40">
        <f>IF(B74="","",IFERROR(INDEX(Mitarbeiter!$B$6:$B$205,MATCH(B74,Mitarbeiter!$A$6:$A$205,0)),"?"))</f>
        <v/>
      </c>
      <c r="D74" s="41" t="inlineStr">
        <is>
          <t>Objekt 1</t>
        </is>
      </c>
      <c r="E74" s="42" t="n">
        <v>24</v>
      </c>
      <c r="F74" s="43" t="n">
        <v>0</v>
      </c>
      <c r="G74" s="44">
        <f>IF(OR(B74="",F74=""),"",IFERROR(F74*INDEX(Mitarbeiter!$F$6:$F$205,MATCH(B74,Mitarbeiter!$A$6:$A$205,0)),0))</f>
        <v/>
      </c>
      <c r="H74" s="8">
        <f>IF(B74="","",IF(ISNA(MATCH(B74,Mitarbeiter!$A$6:$A$205,0)),"Pers.-Nr. unbekannt",IF(A74="","Datum fehlt",IF(AND(D74&lt;&gt;Einstellungen!$C$4,D74&lt;&gt;Einstellungen!$C$5),"Objekt fehlt",IF(YEAR(A74)&lt;&gt;Einstellungen!$C$3,"anderes Jahr",IF(A74&lt;INDEX(Mitarbeiter!$C$6:$C$205,MATCH(B74,Mitarbeiter!$A$6:$A$205,0)),"vor Eintritt",IF(AND(INDEX(Mitarbeiter!$D$6:$D$205,MATCH(B74,Mitarbeiter!$A$6:$A$205,0))&lt;&gt;"",A74&gt;INDEX(Mitarbeiter!$D$6:$D$205,MATCH(B74,Mitarbeiter!$A$6:$A$205,0))),"nach Austritt","ok")))))))</f>
        <v/>
      </c>
    </row>
    <row r="75">
      <c r="A75" s="26" t="n">
        <v>46023</v>
      </c>
      <c r="B75" s="24" t="n">
        <v>1042</v>
      </c>
      <c r="C75" s="40">
        <f>IF(B75="","",IFERROR(INDEX(Mitarbeiter!$B$6:$B$205,MATCH(B75,Mitarbeiter!$A$6:$A$205,0)),"?"))</f>
        <v/>
      </c>
      <c r="D75" s="41" t="inlineStr">
        <is>
          <t>Objekt 2</t>
        </is>
      </c>
      <c r="E75" s="42" t="n">
        <v>102</v>
      </c>
      <c r="F75" s="43" t="n">
        <v>0</v>
      </c>
      <c r="G75" s="44">
        <f>IF(OR(B75="",F75=""),"",IFERROR(F75*INDEX(Mitarbeiter!$F$6:$F$205,MATCH(B75,Mitarbeiter!$A$6:$A$205,0)),0))</f>
        <v/>
      </c>
      <c r="H75" s="8">
        <f>IF(B75="","",IF(ISNA(MATCH(B75,Mitarbeiter!$A$6:$A$205,0)),"Pers.-Nr. unbekannt",IF(A75="","Datum fehlt",IF(AND(D75&lt;&gt;Einstellungen!$C$4,D75&lt;&gt;Einstellungen!$C$5),"Objekt fehlt",IF(YEAR(A75)&lt;&gt;Einstellungen!$C$3,"anderes Jahr",IF(A75&lt;INDEX(Mitarbeiter!$C$6:$C$205,MATCH(B75,Mitarbeiter!$A$6:$A$205,0)),"vor Eintritt",IF(AND(INDEX(Mitarbeiter!$D$6:$D$205,MATCH(B75,Mitarbeiter!$A$6:$A$205,0))&lt;&gt;"",A75&gt;INDEX(Mitarbeiter!$D$6:$D$205,MATCH(B75,Mitarbeiter!$A$6:$A$205,0))),"nach Austritt","ok")))))))</f>
        <v/>
      </c>
    </row>
    <row r="76">
      <c r="A76" s="26" t="n">
        <v>46023</v>
      </c>
      <c r="B76" s="24" t="n">
        <v>1043</v>
      </c>
      <c r="C76" s="40">
        <f>IF(B76="","",IFERROR(INDEX(Mitarbeiter!$B$6:$B$205,MATCH(B76,Mitarbeiter!$A$6:$A$205,0)),"?"))</f>
        <v/>
      </c>
      <c r="D76" s="41" t="inlineStr">
        <is>
          <t>Objekt 1</t>
        </is>
      </c>
      <c r="E76" s="42" t="n">
        <v>24</v>
      </c>
      <c r="F76" s="43" t="n">
        <v>0</v>
      </c>
      <c r="G76" s="44">
        <f>IF(OR(B76="",F76=""),"",IFERROR(F76*INDEX(Mitarbeiter!$F$6:$F$205,MATCH(B76,Mitarbeiter!$A$6:$A$205,0)),0))</f>
        <v/>
      </c>
      <c r="H76" s="8">
        <f>IF(B76="","",IF(ISNA(MATCH(B76,Mitarbeiter!$A$6:$A$205,0)),"Pers.-Nr. unbekannt",IF(A76="","Datum fehlt",IF(AND(D76&lt;&gt;Einstellungen!$C$4,D76&lt;&gt;Einstellungen!$C$5),"Objekt fehlt",IF(YEAR(A76)&lt;&gt;Einstellungen!$C$3,"anderes Jahr",IF(A76&lt;INDEX(Mitarbeiter!$C$6:$C$205,MATCH(B76,Mitarbeiter!$A$6:$A$205,0)),"vor Eintritt",IF(AND(INDEX(Mitarbeiter!$D$6:$D$205,MATCH(B76,Mitarbeiter!$A$6:$A$205,0))&lt;&gt;"",A76&gt;INDEX(Mitarbeiter!$D$6:$D$205,MATCH(B76,Mitarbeiter!$A$6:$A$205,0))),"nach Austritt","ok")))))))</f>
        <v/>
      </c>
    </row>
    <row r="77">
      <c r="A77" s="26" t="n">
        <v>46023</v>
      </c>
      <c r="B77" s="24" t="n">
        <v>1043</v>
      </c>
      <c r="C77" s="40">
        <f>IF(B77="","",IFERROR(INDEX(Mitarbeiter!$B$6:$B$205,MATCH(B77,Mitarbeiter!$A$6:$A$205,0)),"?"))</f>
        <v/>
      </c>
      <c r="D77" s="41" t="inlineStr">
        <is>
          <t>Objekt 2</t>
        </is>
      </c>
      <c r="E77" s="42" t="n">
        <v>102</v>
      </c>
      <c r="F77" s="43" t="n">
        <v>0</v>
      </c>
      <c r="G77" s="44">
        <f>IF(OR(B77="",F77=""),"",IFERROR(F77*INDEX(Mitarbeiter!$F$6:$F$205,MATCH(B77,Mitarbeiter!$A$6:$A$205,0)),0))</f>
        <v/>
      </c>
      <c r="H77" s="8">
        <f>IF(B77="","",IF(ISNA(MATCH(B77,Mitarbeiter!$A$6:$A$205,0)),"Pers.-Nr. unbekannt",IF(A77="","Datum fehlt",IF(AND(D77&lt;&gt;Einstellungen!$C$4,D77&lt;&gt;Einstellungen!$C$5),"Objekt fehlt",IF(YEAR(A77)&lt;&gt;Einstellungen!$C$3,"anderes Jahr",IF(A77&lt;INDEX(Mitarbeiter!$C$6:$C$205,MATCH(B77,Mitarbeiter!$A$6:$A$205,0)),"vor Eintritt",IF(AND(INDEX(Mitarbeiter!$D$6:$D$205,MATCH(B77,Mitarbeiter!$A$6:$A$205,0))&lt;&gt;"",A77&gt;INDEX(Mitarbeiter!$D$6:$D$205,MATCH(B77,Mitarbeiter!$A$6:$A$205,0))),"nach Austritt","ok")))))))</f>
        <v/>
      </c>
    </row>
    <row r="78">
      <c r="A78" s="26" t="n">
        <v>46023</v>
      </c>
      <c r="B78" s="24" t="n">
        <v>1044</v>
      </c>
      <c r="C78" s="40">
        <f>IF(B78="","",IFERROR(INDEX(Mitarbeiter!$B$6:$B$205,MATCH(B78,Mitarbeiter!$A$6:$A$205,0)),"?"))</f>
        <v/>
      </c>
      <c r="D78" s="41" t="inlineStr">
        <is>
          <t>Objekt 1</t>
        </is>
      </c>
      <c r="E78" s="42" t="n">
        <v>102.5</v>
      </c>
      <c r="F78" s="43" t="n">
        <v>0</v>
      </c>
      <c r="G78" s="44">
        <f>IF(OR(B78="",F78=""),"",IFERROR(F78*INDEX(Mitarbeiter!$F$6:$F$205,MATCH(B78,Mitarbeiter!$A$6:$A$205,0)),0))</f>
        <v/>
      </c>
      <c r="H78" s="8">
        <f>IF(B78="","",IF(ISNA(MATCH(B78,Mitarbeiter!$A$6:$A$205,0)),"Pers.-Nr. unbekannt",IF(A78="","Datum fehlt",IF(AND(D78&lt;&gt;Einstellungen!$C$4,D78&lt;&gt;Einstellungen!$C$5),"Objekt fehlt",IF(YEAR(A78)&lt;&gt;Einstellungen!$C$3,"anderes Jahr",IF(A78&lt;INDEX(Mitarbeiter!$C$6:$C$205,MATCH(B78,Mitarbeiter!$A$6:$A$205,0)),"vor Eintritt",IF(AND(INDEX(Mitarbeiter!$D$6:$D$205,MATCH(B78,Mitarbeiter!$A$6:$A$205,0))&lt;&gt;"",A78&gt;INDEX(Mitarbeiter!$D$6:$D$205,MATCH(B78,Mitarbeiter!$A$6:$A$205,0))),"nach Austritt","ok")))))))</f>
        <v/>
      </c>
    </row>
    <row r="79">
      <c r="A79" s="26" t="n">
        <v>46023</v>
      </c>
      <c r="B79" s="24" t="n">
        <v>1044</v>
      </c>
      <c r="C79" s="40">
        <f>IF(B79="","",IFERROR(INDEX(Mitarbeiter!$B$6:$B$205,MATCH(B79,Mitarbeiter!$A$6:$A$205,0)),"?"))</f>
        <v/>
      </c>
      <c r="D79" s="41" t="inlineStr">
        <is>
          <t>Objekt 2</t>
        </is>
      </c>
      <c r="E79" s="42" t="n">
        <v>65.5</v>
      </c>
      <c r="F79" s="43" t="n">
        <v>0</v>
      </c>
      <c r="G79" s="44">
        <f>IF(OR(B79="",F79=""),"",IFERROR(F79*INDEX(Mitarbeiter!$F$6:$F$205,MATCH(B79,Mitarbeiter!$A$6:$A$205,0)),0))</f>
        <v/>
      </c>
      <c r="H79" s="8">
        <f>IF(B79="","",IF(ISNA(MATCH(B79,Mitarbeiter!$A$6:$A$205,0)),"Pers.-Nr. unbekannt",IF(A79="","Datum fehlt",IF(AND(D79&lt;&gt;Einstellungen!$C$4,D79&lt;&gt;Einstellungen!$C$5),"Objekt fehlt",IF(YEAR(A79)&lt;&gt;Einstellungen!$C$3,"anderes Jahr",IF(A79&lt;INDEX(Mitarbeiter!$C$6:$C$205,MATCH(B79,Mitarbeiter!$A$6:$A$205,0)),"vor Eintritt",IF(AND(INDEX(Mitarbeiter!$D$6:$D$205,MATCH(B79,Mitarbeiter!$A$6:$A$205,0))&lt;&gt;"",A79&gt;INDEX(Mitarbeiter!$D$6:$D$205,MATCH(B79,Mitarbeiter!$A$6:$A$205,0))),"nach Austritt","ok")))))))</f>
        <v/>
      </c>
    </row>
    <row r="80">
      <c r="A80" s="26" t="n">
        <v>46023</v>
      </c>
      <c r="B80" s="24" t="n">
        <v>1045</v>
      </c>
      <c r="C80" s="40">
        <f>IF(B80="","",IFERROR(INDEX(Mitarbeiter!$B$6:$B$205,MATCH(B80,Mitarbeiter!$A$6:$A$205,0)),"?"))</f>
        <v/>
      </c>
      <c r="D80" s="41" t="inlineStr">
        <is>
          <t>Objekt 1</t>
        </is>
      </c>
      <c r="E80" s="42" t="n">
        <v>102.5</v>
      </c>
      <c r="F80" s="43" t="n">
        <v>0</v>
      </c>
      <c r="G80" s="44">
        <f>IF(OR(B80="",F80=""),"",IFERROR(F80*INDEX(Mitarbeiter!$F$6:$F$205,MATCH(B80,Mitarbeiter!$A$6:$A$205,0)),0))</f>
        <v/>
      </c>
      <c r="H80" s="8">
        <f>IF(B80="","",IF(ISNA(MATCH(B80,Mitarbeiter!$A$6:$A$205,0)),"Pers.-Nr. unbekannt",IF(A80="","Datum fehlt",IF(AND(D80&lt;&gt;Einstellungen!$C$4,D80&lt;&gt;Einstellungen!$C$5),"Objekt fehlt",IF(YEAR(A80)&lt;&gt;Einstellungen!$C$3,"anderes Jahr",IF(A80&lt;INDEX(Mitarbeiter!$C$6:$C$205,MATCH(B80,Mitarbeiter!$A$6:$A$205,0)),"vor Eintritt",IF(AND(INDEX(Mitarbeiter!$D$6:$D$205,MATCH(B80,Mitarbeiter!$A$6:$A$205,0))&lt;&gt;"",A80&gt;INDEX(Mitarbeiter!$D$6:$D$205,MATCH(B80,Mitarbeiter!$A$6:$A$205,0))),"nach Austritt","ok")))))))</f>
        <v/>
      </c>
    </row>
    <row r="81">
      <c r="A81" s="26" t="n">
        <v>46023</v>
      </c>
      <c r="B81" s="24" t="n">
        <v>1045</v>
      </c>
      <c r="C81" s="40">
        <f>IF(B81="","",IFERROR(INDEX(Mitarbeiter!$B$6:$B$205,MATCH(B81,Mitarbeiter!$A$6:$A$205,0)),"?"))</f>
        <v/>
      </c>
      <c r="D81" s="41" t="inlineStr">
        <is>
          <t>Objekt 2</t>
        </is>
      </c>
      <c r="E81" s="42" t="n">
        <v>62.5</v>
      </c>
      <c r="F81" s="43" t="n">
        <v>0</v>
      </c>
      <c r="G81" s="44">
        <f>IF(OR(B81="",F81=""),"",IFERROR(F81*INDEX(Mitarbeiter!$F$6:$F$205,MATCH(B81,Mitarbeiter!$A$6:$A$205,0)),0))</f>
        <v/>
      </c>
      <c r="H81" s="8">
        <f>IF(B81="","",IF(ISNA(MATCH(B81,Mitarbeiter!$A$6:$A$205,0)),"Pers.-Nr. unbekannt",IF(A81="","Datum fehlt",IF(AND(D81&lt;&gt;Einstellungen!$C$4,D81&lt;&gt;Einstellungen!$C$5),"Objekt fehlt",IF(YEAR(A81)&lt;&gt;Einstellungen!$C$3,"anderes Jahr",IF(A81&lt;INDEX(Mitarbeiter!$C$6:$C$205,MATCH(B81,Mitarbeiter!$A$6:$A$205,0)),"vor Eintritt",IF(AND(INDEX(Mitarbeiter!$D$6:$D$205,MATCH(B81,Mitarbeiter!$A$6:$A$205,0))&lt;&gt;"",A81&gt;INDEX(Mitarbeiter!$D$6:$D$205,MATCH(B81,Mitarbeiter!$A$6:$A$205,0))),"nach Austritt","ok")))))))</f>
        <v/>
      </c>
    </row>
    <row r="82">
      <c r="A82" s="26" t="n">
        <v>46023</v>
      </c>
      <c r="B82" s="24" t="n">
        <v>1046</v>
      </c>
      <c r="C82" s="40">
        <f>IF(B82="","",IFERROR(INDEX(Mitarbeiter!$B$6:$B$205,MATCH(B82,Mitarbeiter!$A$6:$A$205,0)),"?"))</f>
        <v/>
      </c>
      <c r="D82" s="41" t="inlineStr">
        <is>
          <t>Objekt 1</t>
        </is>
      </c>
      <c r="E82" s="42" t="n">
        <v>105</v>
      </c>
      <c r="F82" s="43" t="n">
        <v>0</v>
      </c>
      <c r="G82" s="44">
        <f>IF(OR(B82="",F82=""),"",IFERROR(F82*INDEX(Mitarbeiter!$F$6:$F$205,MATCH(B82,Mitarbeiter!$A$6:$A$205,0)),0))</f>
        <v/>
      </c>
      <c r="H82" s="8">
        <f>IF(B82="","",IF(ISNA(MATCH(B82,Mitarbeiter!$A$6:$A$205,0)),"Pers.-Nr. unbekannt",IF(A82="","Datum fehlt",IF(AND(D82&lt;&gt;Einstellungen!$C$4,D82&lt;&gt;Einstellungen!$C$5),"Objekt fehlt",IF(YEAR(A82)&lt;&gt;Einstellungen!$C$3,"anderes Jahr",IF(A82&lt;INDEX(Mitarbeiter!$C$6:$C$205,MATCH(B82,Mitarbeiter!$A$6:$A$205,0)),"vor Eintritt",IF(AND(INDEX(Mitarbeiter!$D$6:$D$205,MATCH(B82,Mitarbeiter!$A$6:$A$205,0))&lt;&gt;"",A82&gt;INDEX(Mitarbeiter!$D$6:$D$205,MATCH(B82,Mitarbeiter!$A$6:$A$205,0))),"nach Austritt","ok")))))))</f>
        <v/>
      </c>
    </row>
    <row r="83">
      <c r="A83" s="26" t="n">
        <v>46023</v>
      </c>
      <c r="B83" s="24" t="n">
        <v>1046</v>
      </c>
      <c r="C83" s="40">
        <f>IF(B83="","",IFERROR(INDEX(Mitarbeiter!$B$6:$B$205,MATCH(B83,Mitarbeiter!$A$6:$A$205,0)),"?"))</f>
        <v/>
      </c>
      <c r="D83" s="41" t="inlineStr">
        <is>
          <t>Objekt 2</t>
        </is>
      </c>
      <c r="E83" s="42" t="n">
        <v>22.5</v>
      </c>
      <c r="F83" s="43" t="n">
        <v>0</v>
      </c>
      <c r="G83" s="44">
        <f>IF(OR(B83="",F83=""),"",IFERROR(F83*INDEX(Mitarbeiter!$F$6:$F$205,MATCH(B83,Mitarbeiter!$A$6:$A$205,0)),0))</f>
        <v/>
      </c>
      <c r="H83" s="8">
        <f>IF(B83="","",IF(ISNA(MATCH(B83,Mitarbeiter!$A$6:$A$205,0)),"Pers.-Nr. unbekannt",IF(A83="","Datum fehlt",IF(AND(D83&lt;&gt;Einstellungen!$C$4,D83&lt;&gt;Einstellungen!$C$5),"Objekt fehlt",IF(YEAR(A83)&lt;&gt;Einstellungen!$C$3,"anderes Jahr",IF(A83&lt;INDEX(Mitarbeiter!$C$6:$C$205,MATCH(B83,Mitarbeiter!$A$6:$A$205,0)),"vor Eintritt",IF(AND(INDEX(Mitarbeiter!$D$6:$D$205,MATCH(B83,Mitarbeiter!$A$6:$A$205,0))&lt;&gt;"",A83&gt;INDEX(Mitarbeiter!$D$6:$D$205,MATCH(B83,Mitarbeiter!$A$6:$A$205,0))),"nach Austritt","ok")))))))</f>
        <v/>
      </c>
    </row>
    <row r="84">
      <c r="A84" s="26" t="n">
        <v>46023</v>
      </c>
      <c r="B84" s="24" t="n">
        <v>1047</v>
      </c>
      <c r="C84" s="40">
        <f>IF(B84="","",IFERROR(INDEX(Mitarbeiter!$B$6:$B$205,MATCH(B84,Mitarbeiter!$A$6:$A$205,0)),"?"))</f>
        <v/>
      </c>
      <c r="D84" s="41" t="inlineStr">
        <is>
          <t>Objekt 2</t>
        </is>
      </c>
      <c r="E84" s="42" t="n">
        <v>152</v>
      </c>
      <c r="F84" s="43" t="n">
        <v>2</v>
      </c>
      <c r="G84" s="44">
        <f>IF(OR(B84="",F84=""),"",IFERROR(F84*INDEX(Mitarbeiter!$F$6:$F$205,MATCH(B84,Mitarbeiter!$A$6:$A$205,0)),0))</f>
        <v/>
      </c>
      <c r="H84" s="8">
        <f>IF(B84="","",IF(ISNA(MATCH(B84,Mitarbeiter!$A$6:$A$205,0)),"Pers.-Nr. unbekannt",IF(A84="","Datum fehlt",IF(AND(D84&lt;&gt;Einstellungen!$C$4,D84&lt;&gt;Einstellungen!$C$5),"Objekt fehlt",IF(YEAR(A84)&lt;&gt;Einstellungen!$C$3,"anderes Jahr",IF(A84&lt;INDEX(Mitarbeiter!$C$6:$C$205,MATCH(B84,Mitarbeiter!$A$6:$A$205,0)),"vor Eintritt",IF(AND(INDEX(Mitarbeiter!$D$6:$D$205,MATCH(B84,Mitarbeiter!$A$6:$A$205,0))&lt;&gt;"",A84&gt;INDEX(Mitarbeiter!$D$6:$D$205,MATCH(B84,Mitarbeiter!$A$6:$A$205,0))),"nach Austritt","ok")))))))</f>
        <v/>
      </c>
    </row>
    <row r="85">
      <c r="A85" s="26" t="n">
        <v>46023</v>
      </c>
      <c r="B85" s="24" t="n">
        <v>1048</v>
      </c>
      <c r="C85" s="40">
        <f>IF(B85="","",IFERROR(INDEX(Mitarbeiter!$B$6:$B$205,MATCH(B85,Mitarbeiter!$A$6:$A$205,0)),"?"))</f>
        <v/>
      </c>
      <c r="D85" s="41" t="inlineStr">
        <is>
          <t>Objekt 1</t>
        </is>
      </c>
      <c r="E85" s="42" t="n">
        <v>32</v>
      </c>
      <c r="F85" s="43" t="n">
        <v>0</v>
      </c>
      <c r="G85" s="44">
        <f>IF(OR(B85="",F85=""),"",IFERROR(F85*INDEX(Mitarbeiter!$F$6:$F$205,MATCH(B85,Mitarbeiter!$A$6:$A$205,0)),0))</f>
        <v/>
      </c>
      <c r="H85" s="8">
        <f>IF(B85="","",IF(ISNA(MATCH(B85,Mitarbeiter!$A$6:$A$205,0)),"Pers.-Nr. unbekannt",IF(A85="","Datum fehlt",IF(AND(D85&lt;&gt;Einstellungen!$C$4,D85&lt;&gt;Einstellungen!$C$5),"Objekt fehlt",IF(YEAR(A85)&lt;&gt;Einstellungen!$C$3,"anderes Jahr",IF(A85&lt;INDEX(Mitarbeiter!$C$6:$C$205,MATCH(B85,Mitarbeiter!$A$6:$A$205,0)),"vor Eintritt",IF(AND(INDEX(Mitarbeiter!$D$6:$D$205,MATCH(B85,Mitarbeiter!$A$6:$A$205,0))&lt;&gt;"",A85&gt;INDEX(Mitarbeiter!$D$6:$D$205,MATCH(B85,Mitarbeiter!$A$6:$A$205,0))),"nach Austritt","ok")))))))</f>
        <v/>
      </c>
    </row>
    <row r="86">
      <c r="A86" s="26" t="n">
        <v>46023</v>
      </c>
      <c r="B86" s="24" t="n">
        <v>1048</v>
      </c>
      <c r="C86" s="40">
        <f>IF(B86="","",IFERROR(INDEX(Mitarbeiter!$B$6:$B$205,MATCH(B86,Mitarbeiter!$A$6:$A$205,0)),"?"))</f>
        <v/>
      </c>
      <c r="D86" s="41" t="inlineStr">
        <is>
          <t>Objekt 2</t>
        </is>
      </c>
      <c r="E86" s="42" t="n">
        <v>123</v>
      </c>
      <c r="F86" s="43" t="n">
        <v>2</v>
      </c>
      <c r="G86" s="44">
        <f>IF(OR(B86="",F86=""),"",IFERROR(F86*INDEX(Mitarbeiter!$F$6:$F$205,MATCH(B86,Mitarbeiter!$A$6:$A$205,0)),0))</f>
        <v/>
      </c>
      <c r="H86" s="8">
        <f>IF(B86="","",IF(ISNA(MATCH(B86,Mitarbeiter!$A$6:$A$205,0)),"Pers.-Nr. unbekannt",IF(A86="","Datum fehlt",IF(AND(D86&lt;&gt;Einstellungen!$C$4,D86&lt;&gt;Einstellungen!$C$5),"Objekt fehlt",IF(YEAR(A86)&lt;&gt;Einstellungen!$C$3,"anderes Jahr",IF(A86&lt;INDEX(Mitarbeiter!$C$6:$C$205,MATCH(B86,Mitarbeiter!$A$6:$A$205,0)),"vor Eintritt",IF(AND(INDEX(Mitarbeiter!$D$6:$D$205,MATCH(B86,Mitarbeiter!$A$6:$A$205,0))&lt;&gt;"",A86&gt;INDEX(Mitarbeiter!$D$6:$D$205,MATCH(B86,Mitarbeiter!$A$6:$A$205,0))),"nach Austritt","ok")))))))</f>
        <v/>
      </c>
    </row>
    <row r="87">
      <c r="A87" s="26" t="n">
        <v>46023</v>
      </c>
      <c r="B87" s="24" t="n">
        <v>1049</v>
      </c>
      <c r="C87" s="40">
        <f>IF(B87="","",IFERROR(INDEX(Mitarbeiter!$B$6:$B$205,MATCH(B87,Mitarbeiter!$A$6:$A$205,0)),"?"))</f>
        <v/>
      </c>
      <c r="D87" s="41" t="inlineStr">
        <is>
          <t>Objekt 1</t>
        </is>
      </c>
      <c r="E87" s="42" t="n">
        <v>126</v>
      </c>
      <c r="F87" s="43" t="n">
        <v>0</v>
      </c>
      <c r="G87" s="44">
        <f>IF(OR(B87="",F87=""),"",IFERROR(F87*INDEX(Mitarbeiter!$F$6:$F$205,MATCH(B87,Mitarbeiter!$A$6:$A$205,0)),0))</f>
        <v/>
      </c>
      <c r="H87" s="8">
        <f>IF(B87="","",IF(ISNA(MATCH(B87,Mitarbeiter!$A$6:$A$205,0)),"Pers.-Nr. unbekannt",IF(A87="","Datum fehlt",IF(AND(D87&lt;&gt;Einstellungen!$C$4,D87&lt;&gt;Einstellungen!$C$5),"Objekt fehlt",IF(YEAR(A87)&lt;&gt;Einstellungen!$C$3,"anderes Jahr",IF(A87&lt;INDEX(Mitarbeiter!$C$6:$C$205,MATCH(B87,Mitarbeiter!$A$6:$A$205,0)),"vor Eintritt",IF(AND(INDEX(Mitarbeiter!$D$6:$D$205,MATCH(B87,Mitarbeiter!$A$6:$A$205,0))&lt;&gt;"",A87&gt;INDEX(Mitarbeiter!$D$6:$D$205,MATCH(B87,Mitarbeiter!$A$6:$A$205,0))),"nach Austritt","ok")))))))</f>
        <v/>
      </c>
    </row>
    <row r="88">
      <c r="A88" s="26" t="n">
        <v>46023</v>
      </c>
      <c r="B88" s="24" t="n">
        <v>1050</v>
      </c>
      <c r="C88" s="40">
        <f>IF(B88="","",IFERROR(INDEX(Mitarbeiter!$B$6:$B$205,MATCH(B88,Mitarbeiter!$A$6:$A$205,0)),"?"))</f>
        <v/>
      </c>
      <c r="D88" s="41" t="inlineStr">
        <is>
          <t>Objekt 1</t>
        </is>
      </c>
      <c r="E88" s="42" t="n">
        <v>25.5</v>
      </c>
      <c r="F88" s="43" t="n">
        <v>0</v>
      </c>
      <c r="G88" s="44">
        <f>IF(OR(B88="",F88=""),"",IFERROR(F88*INDEX(Mitarbeiter!$F$6:$F$205,MATCH(B88,Mitarbeiter!$A$6:$A$205,0)),0))</f>
        <v/>
      </c>
      <c r="H88" s="8">
        <f>IF(B88="","",IF(ISNA(MATCH(B88,Mitarbeiter!$A$6:$A$205,0)),"Pers.-Nr. unbekannt",IF(A88="","Datum fehlt",IF(AND(D88&lt;&gt;Einstellungen!$C$4,D88&lt;&gt;Einstellungen!$C$5),"Objekt fehlt",IF(YEAR(A88)&lt;&gt;Einstellungen!$C$3,"anderes Jahr",IF(A88&lt;INDEX(Mitarbeiter!$C$6:$C$205,MATCH(B88,Mitarbeiter!$A$6:$A$205,0)),"vor Eintritt",IF(AND(INDEX(Mitarbeiter!$D$6:$D$205,MATCH(B88,Mitarbeiter!$A$6:$A$205,0))&lt;&gt;"",A88&gt;INDEX(Mitarbeiter!$D$6:$D$205,MATCH(B88,Mitarbeiter!$A$6:$A$205,0))),"nach Austritt","ok")))))))</f>
        <v/>
      </c>
    </row>
    <row r="89">
      <c r="A89" s="26" t="n">
        <v>46023</v>
      </c>
      <c r="B89" s="24" t="n">
        <v>1050</v>
      </c>
      <c r="C89" s="40">
        <f>IF(B89="","",IFERROR(INDEX(Mitarbeiter!$B$6:$B$205,MATCH(B89,Mitarbeiter!$A$6:$A$205,0)),"?"))</f>
        <v/>
      </c>
      <c r="D89" s="41" t="inlineStr">
        <is>
          <t>Objekt 2</t>
        </is>
      </c>
      <c r="E89" s="42" t="n">
        <v>103.5</v>
      </c>
      <c r="F89" s="43" t="n">
        <v>0</v>
      </c>
      <c r="G89" s="44">
        <f>IF(OR(B89="",F89=""),"",IFERROR(F89*INDEX(Mitarbeiter!$F$6:$F$205,MATCH(B89,Mitarbeiter!$A$6:$A$205,0)),0))</f>
        <v/>
      </c>
      <c r="H89" s="8">
        <f>IF(B89="","",IF(ISNA(MATCH(B89,Mitarbeiter!$A$6:$A$205,0)),"Pers.-Nr. unbekannt",IF(A89="","Datum fehlt",IF(AND(D89&lt;&gt;Einstellungen!$C$4,D89&lt;&gt;Einstellungen!$C$5),"Objekt fehlt",IF(YEAR(A89)&lt;&gt;Einstellungen!$C$3,"anderes Jahr",IF(A89&lt;INDEX(Mitarbeiter!$C$6:$C$205,MATCH(B89,Mitarbeiter!$A$6:$A$205,0)),"vor Eintritt",IF(AND(INDEX(Mitarbeiter!$D$6:$D$205,MATCH(B89,Mitarbeiter!$A$6:$A$205,0))&lt;&gt;"",A89&gt;INDEX(Mitarbeiter!$D$6:$D$205,MATCH(B89,Mitarbeiter!$A$6:$A$205,0))),"nach Austritt","ok")))))))</f>
        <v/>
      </c>
    </row>
    <row r="90">
      <c r="A90" s="26" t="n">
        <v>46023</v>
      </c>
      <c r="B90" s="24" t="n">
        <v>1051</v>
      </c>
      <c r="C90" s="40">
        <f>IF(B90="","",IFERROR(INDEX(Mitarbeiter!$B$6:$B$205,MATCH(B90,Mitarbeiter!$A$6:$A$205,0)),"?"))</f>
        <v/>
      </c>
      <c r="D90" s="41" t="inlineStr">
        <is>
          <t>Objekt 2</t>
        </is>
      </c>
      <c r="E90" s="42" t="n">
        <v>166.5</v>
      </c>
      <c r="F90" s="43" t="n">
        <v>0</v>
      </c>
      <c r="G90" s="44">
        <f>IF(OR(B90="",F90=""),"",IFERROR(F90*INDEX(Mitarbeiter!$F$6:$F$205,MATCH(B90,Mitarbeiter!$A$6:$A$205,0)),0))</f>
        <v/>
      </c>
      <c r="H90" s="8">
        <f>IF(B90="","",IF(ISNA(MATCH(B90,Mitarbeiter!$A$6:$A$205,0)),"Pers.-Nr. unbekannt",IF(A90="","Datum fehlt",IF(AND(D90&lt;&gt;Einstellungen!$C$4,D90&lt;&gt;Einstellungen!$C$5),"Objekt fehlt",IF(YEAR(A90)&lt;&gt;Einstellungen!$C$3,"anderes Jahr",IF(A90&lt;INDEX(Mitarbeiter!$C$6:$C$205,MATCH(B90,Mitarbeiter!$A$6:$A$205,0)),"vor Eintritt",IF(AND(INDEX(Mitarbeiter!$D$6:$D$205,MATCH(B90,Mitarbeiter!$A$6:$A$205,0))&lt;&gt;"",A90&gt;INDEX(Mitarbeiter!$D$6:$D$205,MATCH(B90,Mitarbeiter!$A$6:$A$205,0))),"nach Austritt","ok")))))))</f>
        <v/>
      </c>
    </row>
    <row r="91">
      <c r="A91" s="26" t="n">
        <v>46023</v>
      </c>
      <c r="B91" s="24" t="n">
        <v>1052</v>
      </c>
      <c r="C91" s="40">
        <f>IF(B91="","",IFERROR(INDEX(Mitarbeiter!$B$6:$B$205,MATCH(B91,Mitarbeiter!$A$6:$A$205,0)),"?"))</f>
        <v/>
      </c>
      <c r="D91" s="41" t="inlineStr">
        <is>
          <t>Objekt 2</t>
        </is>
      </c>
      <c r="E91" s="42" t="n">
        <v>60</v>
      </c>
      <c r="F91" s="43" t="n">
        <v>0</v>
      </c>
      <c r="G91" s="44">
        <f>IF(OR(B91="",F91=""),"",IFERROR(F91*INDEX(Mitarbeiter!$F$6:$F$205,MATCH(B91,Mitarbeiter!$A$6:$A$205,0)),0))</f>
        <v/>
      </c>
      <c r="H91" s="8">
        <f>IF(B91="","",IF(ISNA(MATCH(B91,Mitarbeiter!$A$6:$A$205,0)),"Pers.-Nr. unbekannt",IF(A91="","Datum fehlt",IF(AND(D91&lt;&gt;Einstellungen!$C$4,D91&lt;&gt;Einstellungen!$C$5),"Objekt fehlt",IF(YEAR(A91)&lt;&gt;Einstellungen!$C$3,"anderes Jahr",IF(A91&lt;INDEX(Mitarbeiter!$C$6:$C$205,MATCH(B91,Mitarbeiter!$A$6:$A$205,0)),"vor Eintritt",IF(AND(INDEX(Mitarbeiter!$D$6:$D$205,MATCH(B91,Mitarbeiter!$A$6:$A$205,0))&lt;&gt;"",A91&gt;INDEX(Mitarbeiter!$D$6:$D$205,MATCH(B91,Mitarbeiter!$A$6:$A$205,0))),"nach Austritt","ok")))))))</f>
        <v/>
      </c>
    </row>
    <row r="92">
      <c r="A92" s="26" t="n">
        <v>46023</v>
      </c>
      <c r="B92" s="24" t="n">
        <v>1053</v>
      </c>
      <c r="C92" s="40">
        <f>IF(B92="","",IFERROR(INDEX(Mitarbeiter!$B$6:$B$205,MATCH(B92,Mitarbeiter!$A$6:$A$205,0)),"?"))</f>
        <v/>
      </c>
      <c r="D92" s="41" t="inlineStr">
        <is>
          <t>Objekt 1</t>
        </is>
      </c>
      <c r="E92" s="42" t="n">
        <v>48</v>
      </c>
      <c r="F92" s="43" t="n">
        <v>0</v>
      </c>
      <c r="G92" s="44">
        <f>IF(OR(B92="",F92=""),"",IFERROR(F92*INDEX(Mitarbeiter!$F$6:$F$205,MATCH(B92,Mitarbeiter!$A$6:$A$205,0)),0))</f>
        <v/>
      </c>
      <c r="H92" s="8">
        <f>IF(B92="","",IF(ISNA(MATCH(B92,Mitarbeiter!$A$6:$A$205,0)),"Pers.-Nr. unbekannt",IF(A92="","Datum fehlt",IF(AND(D92&lt;&gt;Einstellungen!$C$4,D92&lt;&gt;Einstellungen!$C$5),"Objekt fehlt",IF(YEAR(A92)&lt;&gt;Einstellungen!$C$3,"anderes Jahr",IF(A92&lt;INDEX(Mitarbeiter!$C$6:$C$205,MATCH(B92,Mitarbeiter!$A$6:$A$205,0)),"vor Eintritt",IF(AND(INDEX(Mitarbeiter!$D$6:$D$205,MATCH(B92,Mitarbeiter!$A$6:$A$205,0))&lt;&gt;"",A92&gt;INDEX(Mitarbeiter!$D$6:$D$205,MATCH(B92,Mitarbeiter!$A$6:$A$205,0))),"nach Austritt","ok")))))))</f>
        <v/>
      </c>
    </row>
    <row r="93">
      <c r="A93" s="26" t="n">
        <v>46023</v>
      </c>
      <c r="B93" s="24" t="n">
        <v>1053</v>
      </c>
      <c r="C93" s="40">
        <f>IF(B93="","",IFERROR(INDEX(Mitarbeiter!$B$6:$B$205,MATCH(B93,Mitarbeiter!$A$6:$A$205,0)),"?"))</f>
        <v/>
      </c>
      <c r="D93" s="41" t="inlineStr">
        <is>
          <t>Objekt 2</t>
        </is>
      </c>
      <c r="E93" s="42" t="n">
        <v>76.5</v>
      </c>
      <c r="F93" s="43" t="n">
        <v>0</v>
      </c>
      <c r="G93" s="44">
        <f>IF(OR(B93="",F93=""),"",IFERROR(F93*INDEX(Mitarbeiter!$F$6:$F$205,MATCH(B93,Mitarbeiter!$A$6:$A$205,0)),0))</f>
        <v/>
      </c>
      <c r="H93" s="8">
        <f>IF(B93="","",IF(ISNA(MATCH(B93,Mitarbeiter!$A$6:$A$205,0)),"Pers.-Nr. unbekannt",IF(A93="","Datum fehlt",IF(AND(D93&lt;&gt;Einstellungen!$C$4,D93&lt;&gt;Einstellungen!$C$5),"Objekt fehlt",IF(YEAR(A93)&lt;&gt;Einstellungen!$C$3,"anderes Jahr",IF(A93&lt;INDEX(Mitarbeiter!$C$6:$C$205,MATCH(B93,Mitarbeiter!$A$6:$A$205,0)),"vor Eintritt",IF(AND(INDEX(Mitarbeiter!$D$6:$D$205,MATCH(B93,Mitarbeiter!$A$6:$A$205,0))&lt;&gt;"",A93&gt;INDEX(Mitarbeiter!$D$6:$D$205,MATCH(B93,Mitarbeiter!$A$6:$A$205,0))),"nach Austritt","ok")))))))</f>
        <v/>
      </c>
    </row>
    <row r="94">
      <c r="A94" s="26" t="n">
        <v>46023</v>
      </c>
      <c r="B94" s="24" t="n">
        <v>1054</v>
      </c>
      <c r="C94" s="40">
        <f>IF(B94="","",IFERROR(INDEX(Mitarbeiter!$B$6:$B$205,MATCH(B94,Mitarbeiter!$A$6:$A$205,0)),"?"))</f>
        <v/>
      </c>
      <c r="D94" s="41" t="inlineStr">
        <is>
          <t>Objekt 2</t>
        </is>
      </c>
      <c r="E94" s="42" t="n">
        <v>169.5</v>
      </c>
      <c r="F94" s="43" t="n">
        <v>0</v>
      </c>
      <c r="G94" s="44">
        <f>IF(OR(B94="",F94=""),"",IFERROR(F94*INDEX(Mitarbeiter!$F$6:$F$205,MATCH(B94,Mitarbeiter!$A$6:$A$205,0)),0))</f>
        <v/>
      </c>
      <c r="H94" s="8">
        <f>IF(B94="","",IF(ISNA(MATCH(B94,Mitarbeiter!$A$6:$A$205,0)),"Pers.-Nr. unbekannt",IF(A94="","Datum fehlt",IF(AND(D94&lt;&gt;Einstellungen!$C$4,D94&lt;&gt;Einstellungen!$C$5),"Objekt fehlt",IF(YEAR(A94)&lt;&gt;Einstellungen!$C$3,"anderes Jahr",IF(A94&lt;INDEX(Mitarbeiter!$C$6:$C$205,MATCH(B94,Mitarbeiter!$A$6:$A$205,0)),"vor Eintritt",IF(AND(INDEX(Mitarbeiter!$D$6:$D$205,MATCH(B94,Mitarbeiter!$A$6:$A$205,0))&lt;&gt;"",A94&gt;INDEX(Mitarbeiter!$D$6:$D$205,MATCH(B94,Mitarbeiter!$A$6:$A$205,0))),"nach Austritt","ok")))))))</f>
        <v/>
      </c>
    </row>
    <row r="95">
      <c r="A95" s="26" t="n">
        <v>46023</v>
      </c>
      <c r="B95" s="24" t="n">
        <v>1069</v>
      </c>
      <c r="C95" s="40">
        <f>IF(B95="","",IFERROR(INDEX(Mitarbeiter!$B$6:$B$205,MATCH(B95,Mitarbeiter!$A$6:$A$205,0)),"?"))</f>
        <v/>
      </c>
      <c r="D95" s="41" t="inlineStr">
        <is>
          <t>Objekt 1</t>
        </is>
      </c>
      <c r="E95" s="42" t="n">
        <v>161.5</v>
      </c>
      <c r="F95" s="43" t="n">
        <v>1</v>
      </c>
      <c r="G95" s="44">
        <f>IF(OR(B95="",F95=""),"",IFERROR(F95*INDEX(Mitarbeiter!$F$6:$F$205,MATCH(B95,Mitarbeiter!$A$6:$A$205,0)),0))</f>
        <v/>
      </c>
      <c r="H95" s="8">
        <f>IF(B95="","",IF(ISNA(MATCH(B95,Mitarbeiter!$A$6:$A$205,0)),"Pers.-Nr. unbekannt",IF(A95="","Datum fehlt",IF(AND(D95&lt;&gt;Einstellungen!$C$4,D95&lt;&gt;Einstellungen!$C$5),"Objekt fehlt",IF(YEAR(A95)&lt;&gt;Einstellungen!$C$3,"anderes Jahr",IF(A95&lt;INDEX(Mitarbeiter!$C$6:$C$205,MATCH(B95,Mitarbeiter!$A$6:$A$205,0)),"vor Eintritt",IF(AND(INDEX(Mitarbeiter!$D$6:$D$205,MATCH(B95,Mitarbeiter!$A$6:$A$205,0))&lt;&gt;"",A95&gt;INDEX(Mitarbeiter!$D$6:$D$205,MATCH(B95,Mitarbeiter!$A$6:$A$205,0))),"nach Austritt","ok")))))))</f>
        <v/>
      </c>
    </row>
    <row r="96">
      <c r="A96" s="26" t="n">
        <v>46037</v>
      </c>
      <c r="B96" s="24" t="n">
        <v>1061</v>
      </c>
      <c r="C96" s="40">
        <f>IF(B96="","",IFERROR(INDEX(Mitarbeiter!$B$6:$B$205,MATCH(B96,Mitarbeiter!$A$6:$A$205,0)),"?"))</f>
        <v/>
      </c>
      <c r="D96" s="41" t="inlineStr">
        <is>
          <t>Objekt 1</t>
        </is>
      </c>
      <c r="E96" s="42" t="n">
        <v>51</v>
      </c>
      <c r="F96" s="43" t="n">
        <v>0</v>
      </c>
      <c r="G96" s="44">
        <f>IF(OR(B96="",F96=""),"",IFERROR(F96*INDEX(Mitarbeiter!$F$6:$F$205,MATCH(B96,Mitarbeiter!$A$6:$A$205,0)),0))</f>
        <v/>
      </c>
      <c r="H96" s="8">
        <f>IF(B96="","",IF(ISNA(MATCH(B96,Mitarbeiter!$A$6:$A$205,0)),"Pers.-Nr. unbekannt",IF(A96="","Datum fehlt",IF(AND(D96&lt;&gt;Einstellungen!$C$4,D96&lt;&gt;Einstellungen!$C$5),"Objekt fehlt",IF(YEAR(A96)&lt;&gt;Einstellungen!$C$3,"anderes Jahr",IF(A96&lt;INDEX(Mitarbeiter!$C$6:$C$205,MATCH(B96,Mitarbeiter!$A$6:$A$205,0)),"vor Eintritt",IF(AND(INDEX(Mitarbeiter!$D$6:$D$205,MATCH(B96,Mitarbeiter!$A$6:$A$205,0))&lt;&gt;"",A96&gt;INDEX(Mitarbeiter!$D$6:$D$205,MATCH(B96,Mitarbeiter!$A$6:$A$205,0))),"nach Austritt","ok")))))))</f>
        <v/>
      </c>
    </row>
    <row r="97">
      <c r="A97" s="26" t="n">
        <v>46037</v>
      </c>
      <c r="B97" s="24" t="n">
        <v>1061</v>
      </c>
      <c r="C97" s="40">
        <f>IF(B97="","",IFERROR(INDEX(Mitarbeiter!$B$6:$B$205,MATCH(B97,Mitarbeiter!$A$6:$A$205,0)),"?"))</f>
        <v/>
      </c>
      <c r="D97" s="41" t="inlineStr">
        <is>
          <t>Objekt 2</t>
        </is>
      </c>
      <c r="E97" s="42" t="n">
        <v>48</v>
      </c>
      <c r="F97" s="43" t="n">
        <v>0</v>
      </c>
      <c r="G97" s="44">
        <f>IF(OR(B97="",F97=""),"",IFERROR(F97*INDEX(Mitarbeiter!$F$6:$F$205,MATCH(B97,Mitarbeiter!$A$6:$A$205,0)),0))</f>
        <v/>
      </c>
      <c r="H97" s="8">
        <f>IF(B97="","",IF(ISNA(MATCH(B97,Mitarbeiter!$A$6:$A$205,0)),"Pers.-Nr. unbekannt",IF(A97="","Datum fehlt",IF(AND(D97&lt;&gt;Einstellungen!$C$4,D97&lt;&gt;Einstellungen!$C$5),"Objekt fehlt",IF(YEAR(A97)&lt;&gt;Einstellungen!$C$3,"anderes Jahr",IF(A97&lt;INDEX(Mitarbeiter!$C$6:$C$205,MATCH(B97,Mitarbeiter!$A$6:$A$205,0)),"vor Eintritt",IF(AND(INDEX(Mitarbeiter!$D$6:$D$205,MATCH(B97,Mitarbeiter!$A$6:$A$205,0))&lt;&gt;"",A97&gt;INDEX(Mitarbeiter!$D$6:$D$205,MATCH(B97,Mitarbeiter!$A$6:$A$205,0))),"nach Austritt","ok")))))))</f>
        <v/>
      </c>
    </row>
    <row r="98">
      <c r="A98" s="26" t="n">
        <v>46037</v>
      </c>
      <c r="B98" s="24" t="n">
        <v>1066</v>
      </c>
      <c r="C98" s="40">
        <f>IF(B98="","",IFERROR(INDEX(Mitarbeiter!$B$6:$B$205,MATCH(B98,Mitarbeiter!$A$6:$A$205,0)),"?"))</f>
        <v/>
      </c>
      <c r="D98" s="41" t="inlineStr">
        <is>
          <t>Objekt 1</t>
        </is>
      </c>
      <c r="E98" s="42" t="n">
        <v>39</v>
      </c>
      <c r="F98" s="43" t="n">
        <v>1</v>
      </c>
      <c r="G98" s="44">
        <f>IF(OR(B98="",F98=""),"",IFERROR(F98*INDEX(Mitarbeiter!$F$6:$F$205,MATCH(B98,Mitarbeiter!$A$6:$A$205,0)),0))</f>
        <v/>
      </c>
      <c r="H98" s="8">
        <f>IF(B98="","",IF(ISNA(MATCH(B98,Mitarbeiter!$A$6:$A$205,0)),"Pers.-Nr. unbekannt",IF(A98="","Datum fehlt",IF(AND(D98&lt;&gt;Einstellungen!$C$4,D98&lt;&gt;Einstellungen!$C$5),"Objekt fehlt",IF(YEAR(A98)&lt;&gt;Einstellungen!$C$3,"anderes Jahr",IF(A98&lt;INDEX(Mitarbeiter!$C$6:$C$205,MATCH(B98,Mitarbeiter!$A$6:$A$205,0)),"vor Eintritt",IF(AND(INDEX(Mitarbeiter!$D$6:$D$205,MATCH(B98,Mitarbeiter!$A$6:$A$205,0))&lt;&gt;"",A98&gt;INDEX(Mitarbeiter!$D$6:$D$205,MATCH(B98,Mitarbeiter!$A$6:$A$205,0))),"nach Austritt","ok")))))))</f>
        <v/>
      </c>
    </row>
    <row r="99">
      <c r="A99" s="26" t="n">
        <v>46037</v>
      </c>
      <c r="B99" s="24" t="n">
        <v>1066</v>
      </c>
      <c r="C99" s="40">
        <f>IF(B99="","",IFERROR(INDEX(Mitarbeiter!$B$6:$B$205,MATCH(B99,Mitarbeiter!$A$6:$A$205,0)),"?"))</f>
        <v/>
      </c>
      <c r="D99" s="41" t="inlineStr">
        <is>
          <t>Objekt 2</t>
        </is>
      </c>
      <c r="E99" s="42" t="n">
        <v>8</v>
      </c>
      <c r="F99" s="43" t="n">
        <v>0</v>
      </c>
      <c r="G99" s="44">
        <f>IF(OR(B99="",F99=""),"",IFERROR(F99*INDEX(Mitarbeiter!$F$6:$F$205,MATCH(B99,Mitarbeiter!$A$6:$A$205,0)),0))</f>
        <v/>
      </c>
      <c r="H99" s="8">
        <f>IF(B99="","",IF(ISNA(MATCH(B99,Mitarbeiter!$A$6:$A$205,0)),"Pers.-Nr. unbekannt",IF(A99="","Datum fehlt",IF(AND(D99&lt;&gt;Einstellungen!$C$4,D99&lt;&gt;Einstellungen!$C$5),"Objekt fehlt",IF(YEAR(A99)&lt;&gt;Einstellungen!$C$3,"anderes Jahr",IF(A99&lt;INDEX(Mitarbeiter!$C$6:$C$205,MATCH(B99,Mitarbeiter!$A$6:$A$205,0)),"vor Eintritt",IF(AND(INDEX(Mitarbeiter!$D$6:$D$205,MATCH(B99,Mitarbeiter!$A$6:$A$205,0))&lt;&gt;"",A99&gt;INDEX(Mitarbeiter!$D$6:$D$205,MATCH(B99,Mitarbeiter!$A$6:$A$205,0))),"nach Austritt","ok")))))))</f>
        <v/>
      </c>
    </row>
    <row r="100">
      <c r="A100" s="26" t="n">
        <v>46037</v>
      </c>
      <c r="B100" s="24" t="n">
        <v>1068</v>
      </c>
      <c r="C100" s="40">
        <f>IF(B100="","",IFERROR(INDEX(Mitarbeiter!$B$6:$B$205,MATCH(B100,Mitarbeiter!$A$6:$A$205,0)),"?"))</f>
        <v/>
      </c>
      <c r="D100" s="41" t="inlineStr">
        <is>
          <t>Objekt 1</t>
        </is>
      </c>
      <c r="E100" s="42" t="n">
        <v>56</v>
      </c>
      <c r="F100" s="43" t="n">
        <v>0</v>
      </c>
      <c r="G100" s="44">
        <f>IF(OR(B100="",F100=""),"",IFERROR(F100*INDEX(Mitarbeiter!$F$6:$F$205,MATCH(B100,Mitarbeiter!$A$6:$A$205,0)),0))</f>
        <v/>
      </c>
      <c r="H100" s="8">
        <f>IF(B100="","",IF(ISNA(MATCH(B100,Mitarbeiter!$A$6:$A$205,0)),"Pers.-Nr. unbekannt",IF(A100="","Datum fehlt",IF(AND(D100&lt;&gt;Einstellungen!$C$4,D100&lt;&gt;Einstellungen!$C$5),"Objekt fehlt",IF(YEAR(A100)&lt;&gt;Einstellungen!$C$3,"anderes Jahr",IF(A100&lt;INDEX(Mitarbeiter!$C$6:$C$205,MATCH(B100,Mitarbeiter!$A$6:$A$205,0)),"vor Eintritt",IF(AND(INDEX(Mitarbeiter!$D$6:$D$205,MATCH(B100,Mitarbeiter!$A$6:$A$205,0))&lt;&gt;"",A100&gt;INDEX(Mitarbeiter!$D$6:$D$205,MATCH(B100,Mitarbeiter!$A$6:$A$205,0))),"nach Austritt","ok")))))))</f>
        <v/>
      </c>
    </row>
    <row r="101">
      <c r="A101" s="26" t="n">
        <v>46037</v>
      </c>
      <c r="B101" s="24" t="n">
        <v>1068</v>
      </c>
      <c r="C101" s="40">
        <f>IF(B101="","",IFERROR(INDEX(Mitarbeiter!$B$6:$B$205,MATCH(B101,Mitarbeiter!$A$6:$A$205,0)),"?"))</f>
        <v/>
      </c>
      <c r="D101" s="41" t="inlineStr">
        <is>
          <t>Objekt 2</t>
        </is>
      </c>
      <c r="E101" s="42" t="n">
        <v>40</v>
      </c>
      <c r="F101" s="43" t="n">
        <v>0</v>
      </c>
      <c r="G101" s="44">
        <f>IF(OR(B101="",F101=""),"",IFERROR(F101*INDEX(Mitarbeiter!$F$6:$F$205,MATCH(B101,Mitarbeiter!$A$6:$A$205,0)),0))</f>
        <v/>
      </c>
      <c r="H101" s="8">
        <f>IF(B101="","",IF(ISNA(MATCH(B101,Mitarbeiter!$A$6:$A$205,0)),"Pers.-Nr. unbekannt",IF(A101="","Datum fehlt",IF(AND(D101&lt;&gt;Einstellungen!$C$4,D101&lt;&gt;Einstellungen!$C$5),"Objekt fehlt",IF(YEAR(A101)&lt;&gt;Einstellungen!$C$3,"anderes Jahr",IF(A101&lt;INDEX(Mitarbeiter!$C$6:$C$205,MATCH(B101,Mitarbeiter!$A$6:$A$205,0)),"vor Eintritt",IF(AND(INDEX(Mitarbeiter!$D$6:$D$205,MATCH(B101,Mitarbeiter!$A$6:$A$205,0))&lt;&gt;"",A101&gt;INDEX(Mitarbeiter!$D$6:$D$205,MATCH(B101,Mitarbeiter!$A$6:$A$205,0))),"nach Austritt","ok")))))))</f>
        <v/>
      </c>
    </row>
    <row r="102">
      <c r="A102" s="26" t="n">
        <v>46054</v>
      </c>
      <c r="B102" s="24" t="n">
        <v>1001</v>
      </c>
      <c r="C102" s="40">
        <f>IF(B102="","",IFERROR(INDEX(Mitarbeiter!$B$6:$B$205,MATCH(B102,Mitarbeiter!$A$6:$A$205,0)),"?"))</f>
        <v/>
      </c>
      <c r="D102" s="41" t="inlineStr">
        <is>
          <t>Objekt 1</t>
        </is>
      </c>
      <c r="E102" s="42" t="n">
        <v>35</v>
      </c>
      <c r="F102" s="43" t="n">
        <v>2</v>
      </c>
      <c r="G102" s="44">
        <f>IF(OR(B102="",F102=""),"",IFERROR(F102*INDEX(Mitarbeiter!$F$6:$F$205,MATCH(B102,Mitarbeiter!$A$6:$A$205,0)),0))</f>
        <v/>
      </c>
      <c r="H102" s="8">
        <f>IF(B102="","",IF(ISNA(MATCH(B102,Mitarbeiter!$A$6:$A$205,0)),"Pers.-Nr. unbekannt",IF(A102="","Datum fehlt",IF(AND(D102&lt;&gt;Einstellungen!$C$4,D102&lt;&gt;Einstellungen!$C$5),"Objekt fehlt",IF(YEAR(A102)&lt;&gt;Einstellungen!$C$3,"anderes Jahr",IF(A102&lt;INDEX(Mitarbeiter!$C$6:$C$205,MATCH(B102,Mitarbeiter!$A$6:$A$205,0)),"vor Eintritt",IF(AND(INDEX(Mitarbeiter!$D$6:$D$205,MATCH(B102,Mitarbeiter!$A$6:$A$205,0))&lt;&gt;"",A102&gt;INDEX(Mitarbeiter!$D$6:$D$205,MATCH(B102,Mitarbeiter!$A$6:$A$205,0))),"nach Austritt","ok")))))))</f>
        <v/>
      </c>
    </row>
    <row r="103">
      <c r="A103" s="26" t="n">
        <v>46054</v>
      </c>
      <c r="B103" s="24" t="n">
        <v>1001</v>
      </c>
      <c r="C103" s="40">
        <f>IF(B103="","",IFERROR(INDEX(Mitarbeiter!$B$6:$B$205,MATCH(B103,Mitarbeiter!$A$6:$A$205,0)),"?"))</f>
        <v/>
      </c>
      <c r="D103" s="41" t="inlineStr">
        <is>
          <t>Objekt 2</t>
        </is>
      </c>
      <c r="E103" s="42" t="n">
        <v>35</v>
      </c>
      <c r="F103" s="43" t="n">
        <v>2</v>
      </c>
      <c r="G103" s="44">
        <f>IF(OR(B103="",F103=""),"",IFERROR(F103*INDEX(Mitarbeiter!$F$6:$F$205,MATCH(B103,Mitarbeiter!$A$6:$A$205,0)),0))</f>
        <v/>
      </c>
      <c r="H103" s="8">
        <f>IF(B103="","",IF(ISNA(MATCH(B103,Mitarbeiter!$A$6:$A$205,0)),"Pers.-Nr. unbekannt",IF(A103="","Datum fehlt",IF(AND(D103&lt;&gt;Einstellungen!$C$4,D103&lt;&gt;Einstellungen!$C$5),"Objekt fehlt",IF(YEAR(A103)&lt;&gt;Einstellungen!$C$3,"anderes Jahr",IF(A103&lt;INDEX(Mitarbeiter!$C$6:$C$205,MATCH(B103,Mitarbeiter!$A$6:$A$205,0)),"vor Eintritt",IF(AND(INDEX(Mitarbeiter!$D$6:$D$205,MATCH(B103,Mitarbeiter!$A$6:$A$205,0))&lt;&gt;"",A103&gt;INDEX(Mitarbeiter!$D$6:$D$205,MATCH(B103,Mitarbeiter!$A$6:$A$205,0))),"nach Austritt","ok")))))))</f>
        <v/>
      </c>
    </row>
    <row r="104">
      <c r="A104" s="26" t="n">
        <v>46054</v>
      </c>
      <c r="B104" s="24" t="n">
        <v>1002</v>
      </c>
      <c r="C104" s="40">
        <f>IF(B104="","",IFERROR(INDEX(Mitarbeiter!$B$6:$B$205,MATCH(B104,Mitarbeiter!$A$6:$A$205,0)),"?"))</f>
        <v/>
      </c>
      <c r="D104" s="41" t="inlineStr">
        <is>
          <t>Objekt 1</t>
        </is>
      </c>
      <c r="E104" s="42" t="n">
        <v>66</v>
      </c>
      <c r="F104" s="43" t="n">
        <v>1</v>
      </c>
      <c r="G104" s="44">
        <f>IF(OR(B104="",F104=""),"",IFERROR(F104*INDEX(Mitarbeiter!$F$6:$F$205,MATCH(B104,Mitarbeiter!$A$6:$A$205,0)),0))</f>
        <v/>
      </c>
      <c r="H104" s="8">
        <f>IF(B104="","",IF(ISNA(MATCH(B104,Mitarbeiter!$A$6:$A$205,0)),"Pers.-Nr. unbekannt",IF(A104="","Datum fehlt",IF(AND(D104&lt;&gt;Einstellungen!$C$4,D104&lt;&gt;Einstellungen!$C$5),"Objekt fehlt",IF(YEAR(A104)&lt;&gt;Einstellungen!$C$3,"anderes Jahr",IF(A104&lt;INDEX(Mitarbeiter!$C$6:$C$205,MATCH(B104,Mitarbeiter!$A$6:$A$205,0)),"vor Eintritt",IF(AND(INDEX(Mitarbeiter!$D$6:$D$205,MATCH(B104,Mitarbeiter!$A$6:$A$205,0))&lt;&gt;"",A104&gt;INDEX(Mitarbeiter!$D$6:$D$205,MATCH(B104,Mitarbeiter!$A$6:$A$205,0))),"nach Austritt","ok")))))))</f>
        <v/>
      </c>
    </row>
    <row r="105">
      <c r="A105" s="26" t="n">
        <v>46054</v>
      </c>
      <c r="B105" s="24" t="n">
        <v>1002</v>
      </c>
      <c r="C105" s="40">
        <f>IF(B105="","",IFERROR(INDEX(Mitarbeiter!$B$6:$B$205,MATCH(B105,Mitarbeiter!$A$6:$A$205,0)),"?"))</f>
        <v/>
      </c>
      <c r="D105" s="41" t="inlineStr">
        <is>
          <t>Objekt 2</t>
        </is>
      </c>
      <c r="E105" s="42" t="n">
        <v>40.5</v>
      </c>
      <c r="F105" s="43" t="n">
        <v>1</v>
      </c>
      <c r="G105" s="44">
        <f>IF(OR(B105="",F105=""),"",IFERROR(F105*INDEX(Mitarbeiter!$F$6:$F$205,MATCH(B105,Mitarbeiter!$A$6:$A$205,0)),0))</f>
        <v/>
      </c>
      <c r="H105" s="8">
        <f>IF(B105="","",IF(ISNA(MATCH(B105,Mitarbeiter!$A$6:$A$205,0)),"Pers.-Nr. unbekannt",IF(A105="","Datum fehlt",IF(AND(D105&lt;&gt;Einstellungen!$C$4,D105&lt;&gt;Einstellungen!$C$5),"Objekt fehlt",IF(YEAR(A105)&lt;&gt;Einstellungen!$C$3,"anderes Jahr",IF(A105&lt;INDEX(Mitarbeiter!$C$6:$C$205,MATCH(B105,Mitarbeiter!$A$6:$A$205,0)),"vor Eintritt",IF(AND(INDEX(Mitarbeiter!$D$6:$D$205,MATCH(B105,Mitarbeiter!$A$6:$A$205,0))&lt;&gt;"",A105&gt;INDEX(Mitarbeiter!$D$6:$D$205,MATCH(B105,Mitarbeiter!$A$6:$A$205,0))),"nach Austritt","ok")))))))</f>
        <v/>
      </c>
    </row>
    <row r="106">
      <c r="A106" s="26" t="n">
        <v>46054</v>
      </c>
      <c r="B106" s="24" t="n">
        <v>1003</v>
      </c>
      <c r="C106" s="40">
        <f>IF(B106="","",IFERROR(INDEX(Mitarbeiter!$B$6:$B$205,MATCH(B106,Mitarbeiter!$A$6:$A$205,0)),"?"))</f>
        <v/>
      </c>
      <c r="D106" s="41" t="inlineStr">
        <is>
          <t>Objekt 2</t>
        </is>
      </c>
      <c r="E106" s="42" t="n">
        <v>160</v>
      </c>
      <c r="F106" s="43" t="n">
        <v>0</v>
      </c>
      <c r="G106" s="44">
        <f>IF(OR(B106="",F106=""),"",IFERROR(F106*INDEX(Mitarbeiter!$F$6:$F$205,MATCH(B106,Mitarbeiter!$A$6:$A$205,0)),0))</f>
        <v/>
      </c>
      <c r="H106" s="8">
        <f>IF(B106="","",IF(ISNA(MATCH(B106,Mitarbeiter!$A$6:$A$205,0)),"Pers.-Nr. unbekannt",IF(A106="","Datum fehlt",IF(AND(D106&lt;&gt;Einstellungen!$C$4,D106&lt;&gt;Einstellungen!$C$5),"Objekt fehlt",IF(YEAR(A106)&lt;&gt;Einstellungen!$C$3,"anderes Jahr",IF(A106&lt;INDEX(Mitarbeiter!$C$6:$C$205,MATCH(B106,Mitarbeiter!$A$6:$A$205,0)),"vor Eintritt",IF(AND(INDEX(Mitarbeiter!$D$6:$D$205,MATCH(B106,Mitarbeiter!$A$6:$A$205,0))&lt;&gt;"",A106&gt;INDEX(Mitarbeiter!$D$6:$D$205,MATCH(B106,Mitarbeiter!$A$6:$A$205,0))),"nach Austritt","ok")))))))</f>
        <v/>
      </c>
    </row>
    <row r="107">
      <c r="A107" s="26" t="n">
        <v>46054</v>
      </c>
      <c r="B107" s="24" t="n">
        <v>1004</v>
      </c>
      <c r="C107" s="40">
        <f>IF(B107="","",IFERROR(INDEX(Mitarbeiter!$B$6:$B$205,MATCH(B107,Mitarbeiter!$A$6:$A$205,0)),"?"))</f>
        <v/>
      </c>
      <c r="D107" s="41" t="inlineStr">
        <is>
          <t>Objekt 1</t>
        </is>
      </c>
      <c r="E107" s="42" t="n">
        <v>80</v>
      </c>
      <c r="F107" s="43" t="n">
        <v>0</v>
      </c>
      <c r="G107" s="44">
        <f>IF(OR(B107="",F107=""),"",IFERROR(F107*INDEX(Mitarbeiter!$F$6:$F$205,MATCH(B107,Mitarbeiter!$A$6:$A$205,0)),0))</f>
        <v/>
      </c>
      <c r="H107" s="8">
        <f>IF(B107="","",IF(ISNA(MATCH(B107,Mitarbeiter!$A$6:$A$205,0)),"Pers.-Nr. unbekannt",IF(A107="","Datum fehlt",IF(AND(D107&lt;&gt;Einstellungen!$C$4,D107&lt;&gt;Einstellungen!$C$5),"Objekt fehlt",IF(YEAR(A107)&lt;&gt;Einstellungen!$C$3,"anderes Jahr",IF(A107&lt;INDEX(Mitarbeiter!$C$6:$C$205,MATCH(B107,Mitarbeiter!$A$6:$A$205,0)),"vor Eintritt",IF(AND(INDEX(Mitarbeiter!$D$6:$D$205,MATCH(B107,Mitarbeiter!$A$6:$A$205,0))&lt;&gt;"",A107&gt;INDEX(Mitarbeiter!$D$6:$D$205,MATCH(B107,Mitarbeiter!$A$6:$A$205,0))),"nach Austritt","ok")))))))</f>
        <v/>
      </c>
    </row>
    <row r="108">
      <c r="A108" s="26" t="n">
        <v>46054</v>
      </c>
      <c r="B108" s="24" t="n">
        <v>1004</v>
      </c>
      <c r="C108" s="40">
        <f>IF(B108="","",IFERROR(INDEX(Mitarbeiter!$B$6:$B$205,MATCH(B108,Mitarbeiter!$A$6:$A$205,0)),"?"))</f>
        <v/>
      </c>
      <c r="D108" s="41" t="inlineStr">
        <is>
          <t>Objekt 2</t>
        </is>
      </c>
      <c r="E108" s="42" t="n">
        <v>78.5</v>
      </c>
      <c r="F108" s="43" t="n">
        <v>0</v>
      </c>
      <c r="G108" s="44">
        <f>IF(OR(B108="",F108=""),"",IFERROR(F108*INDEX(Mitarbeiter!$F$6:$F$205,MATCH(B108,Mitarbeiter!$A$6:$A$205,0)),0))</f>
        <v/>
      </c>
      <c r="H108" s="8">
        <f>IF(B108="","",IF(ISNA(MATCH(B108,Mitarbeiter!$A$6:$A$205,0)),"Pers.-Nr. unbekannt",IF(A108="","Datum fehlt",IF(AND(D108&lt;&gt;Einstellungen!$C$4,D108&lt;&gt;Einstellungen!$C$5),"Objekt fehlt",IF(YEAR(A108)&lt;&gt;Einstellungen!$C$3,"anderes Jahr",IF(A108&lt;INDEX(Mitarbeiter!$C$6:$C$205,MATCH(B108,Mitarbeiter!$A$6:$A$205,0)),"vor Eintritt",IF(AND(INDEX(Mitarbeiter!$D$6:$D$205,MATCH(B108,Mitarbeiter!$A$6:$A$205,0))&lt;&gt;"",A108&gt;INDEX(Mitarbeiter!$D$6:$D$205,MATCH(B108,Mitarbeiter!$A$6:$A$205,0))),"nach Austritt","ok")))))))</f>
        <v/>
      </c>
    </row>
    <row r="109">
      <c r="A109" s="26" t="n">
        <v>46054</v>
      </c>
      <c r="B109" s="24" t="n">
        <v>1005</v>
      </c>
      <c r="C109" s="40">
        <f>IF(B109="","",IFERROR(INDEX(Mitarbeiter!$B$6:$B$205,MATCH(B109,Mitarbeiter!$A$6:$A$205,0)),"?"))</f>
        <v/>
      </c>
      <c r="D109" s="41" t="inlineStr">
        <is>
          <t>Objekt 1</t>
        </is>
      </c>
      <c r="E109" s="42" t="n">
        <v>63</v>
      </c>
      <c r="F109" s="43" t="n">
        <v>0</v>
      </c>
      <c r="G109" s="44">
        <f>IF(OR(B109="",F109=""),"",IFERROR(F109*INDEX(Mitarbeiter!$F$6:$F$205,MATCH(B109,Mitarbeiter!$A$6:$A$205,0)),0))</f>
        <v/>
      </c>
      <c r="H109" s="8">
        <f>IF(B109="","",IF(ISNA(MATCH(B109,Mitarbeiter!$A$6:$A$205,0)),"Pers.-Nr. unbekannt",IF(A109="","Datum fehlt",IF(AND(D109&lt;&gt;Einstellungen!$C$4,D109&lt;&gt;Einstellungen!$C$5),"Objekt fehlt",IF(YEAR(A109)&lt;&gt;Einstellungen!$C$3,"anderes Jahr",IF(A109&lt;INDEX(Mitarbeiter!$C$6:$C$205,MATCH(B109,Mitarbeiter!$A$6:$A$205,0)),"vor Eintritt",IF(AND(INDEX(Mitarbeiter!$D$6:$D$205,MATCH(B109,Mitarbeiter!$A$6:$A$205,0))&lt;&gt;"",A109&gt;INDEX(Mitarbeiter!$D$6:$D$205,MATCH(B109,Mitarbeiter!$A$6:$A$205,0))),"nach Austritt","ok")))))))</f>
        <v/>
      </c>
    </row>
    <row r="110">
      <c r="A110" s="26" t="n">
        <v>46054</v>
      </c>
      <c r="B110" s="24" t="n">
        <v>1005</v>
      </c>
      <c r="C110" s="40">
        <f>IF(B110="","",IFERROR(INDEX(Mitarbeiter!$B$6:$B$205,MATCH(B110,Mitarbeiter!$A$6:$A$205,0)),"?"))</f>
        <v/>
      </c>
      <c r="D110" s="41" t="inlineStr">
        <is>
          <t>Objekt 2</t>
        </is>
      </c>
      <c r="E110" s="42" t="n">
        <v>60</v>
      </c>
      <c r="F110" s="43" t="n">
        <v>0</v>
      </c>
      <c r="G110" s="44">
        <f>IF(OR(B110="",F110=""),"",IFERROR(F110*INDEX(Mitarbeiter!$F$6:$F$205,MATCH(B110,Mitarbeiter!$A$6:$A$205,0)),0))</f>
        <v/>
      </c>
      <c r="H110" s="8">
        <f>IF(B110="","",IF(ISNA(MATCH(B110,Mitarbeiter!$A$6:$A$205,0)),"Pers.-Nr. unbekannt",IF(A110="","Datum fehlt",IF(AND(D110&lt;&gt;Einstellungen!$C$4,D110&lt;&gt;Einstellungen!$C$5),"Objekt fehlt",IF(YEAR(A110)&lt;&gt;Einstellungen!$C$3,"anderes Jahr",IF(A110&lt;INDEX(Mitarbeiter!$C$6:$C$205,MATCH(B110,Mitarbeiter!$A$6:$A$205,0)),"vor Eintritt",IF(AND(INDEX(Mitarbeiter!$D$6:$D$205,MATCH(B110,Mitarbeiter!$A$6:$A$205,0))&lt;&gt;"",A110&gt;INDEX(Mitarbeiter!$D$6:$D$205,MATCH(B110,Mitarbeiter!$A$6:$A$205,0))),"nach Austritt","ok")))))))</f>
        <v/>
      </c>
    </row>
    <row r="111">
      <c r="A111" s="26" t="n">
        <v>46054</v>
      </c>
      <c r="B111" s="24" t="n">
        <v>1006</v>
      </c>
      <c r="C111" s="40">
        <f>IF(B111="","",IFERROR(INDEX(Mitarbeiter!$B$6:$B$205,MATCH(B111,Mitarbeiter!$A$6:$A$205,0)),"?"))</f>
        <v/>
      </c>
      <c r="D111" s="41" t="inlineStr">
        <is>
          <t>Objekt 1</t>
        </is>
      </c>
      <c r="E111" s="42" t="n">
        <v>96</v>
      </c>
      <c r="F111" s="43" t="n">
        <v>0</v>
      </c>
      <c r="G111" s="44">
        <f>IF(OR(B111="",F111=""),"",IFERROR(F111*INDEX(Mitarbeiter!$F$6:$F$205,MATCH(B111,Mitarbeiter!$A$6:$A$205,0)),0))</f>
        <v/>
      </c>
      <c r="H111" s="8">
        <f>IF(B111="","",IF(ISNA(MATCH(B111,Mitarbeiter!$A$6:$A$205,0)),"Pers.-Nr. unbekannt",IF(A111="","Datum fehlt",IF(AND(D111&lt;&gt;Einstellungen!$C$4,D111&lt;&gt;Einstellungen!$C$5),"Objekt fehlt",IF(YEAR(A111)&lt;&gt;Einstellungen!$C$3,"anderes Jahr",IF(A111&lt;INDEX(Mitarbeiter!$C$6:$C$205,MATCH(B111,Mitarbeiter!$A$6:$A$205,0)),"vor Eintritt",IF(AND(INDEX(Mitarbeiter!$D$6:$D$205,MATCH(B111,Mitarbeiter!$A$6:$A$205,0))&lt;&gt;"",A111&gt;INDEX(Mitarbeiter!$D$6:$D$205,MATCH(B111,Mitarbeiter!$A$6:$A$205,0))),"nach Austritt","ok")))))))</f>
        <v/>
      </c>
    </row>
    <row r="112">
      <c r="A112" s="26" t="n">
        <v>46054</v>
      </c>
      <c r="B112" s="24" t="n">
        <v>1006</v>
      </c>
      <c r="C112" s="40">
        <f>IF(B112="","",IFERROR(INDEX(Mitarbeiter!$B$6:$B$205,MATCH(B112,Mitarbeiter!$A$6:$A$205,0)),"?"))</f>
        <v/>
      </c>
      <c r="D112" s="41" t="inlineStr">
        <is>
          <t>Objekt 2</t>
        </is>
      </c>
      <c r="E112" s="42" t="n">
        <v>67</v>
      </c>
      <c r="F112" s="43" t="n">
        <v>0</v>
      </c>
      <c r="G112" s="44">
        <f>IF(OR(B112="",F112=""),"",IFERROR(F112*INDEX(Mitarbeiter!$F$6:$F$205,MATCH(B112,Mitarbeiter!$A$6:$A$205,0)),0))</f>
        <v/>
      </c>
      <c r="H112" s="8">
        <f>IF(B112="","",IF(ISNA(MATCH(B112,Mitarbeiter!$A$6:$A$205,0)),"Pers.-Nr. unbekannt",IF(A112="","Datum fehlt",IF(AND(D112&lt;&gt;Einstellungen!$C$4,D112&lt;&gt;Einstellungen!$C$5),"Objekt fehlt",IF(YEAR(A112)&lt;&gt;Einstellungen!$C$3,"anderes Jahr",IF(A112&lt;INDEX(Mitarbeiter!$C$6:$C$205,MATCH(B112,Mitarbeiter!$A$6:$A$205,0)),"vor Eintritt",IF(AND(INDEX(Mitarbeiter!$D$6:$D$205,MATCH(B112,Mitarbeiter!$A$6:$A$205,0))&lt;&gt;"",A112&gt;INDEX(Mitarbeiter!$D$6:$D$205,MATCH(B112,Mitarbeiter!$A$6:$A$205,0))),"nach Austritt","ok")))))))</f>
        <v/>
      </c>
    </row>
    <row r="113">
      <c r="A113" s="26" t="n">
        <v>46054</v>
      </c>
      <c r="B113" s="24" t="n">
        <v>1007</v>
      </c>
      <c r="C113" s="40">
        <f>IF(B113="","",IFERROR(INDEX(Mitarbeiter!$B$6:$B$205,MATCH(B113,Mitarbeiter!$A$6:$A$205,0)),"?"))</f>
        <v/>
      </c>
      <c r="D113" s="41" t="inlineStr">
        <is>
          <t>Objekt 2</t>
        </is>
      </c>
      <c r="E113" s="42" t="n">
        <v>161.5</v>
      </c>
      <c r="F113" s="43" t="n">
        <v>0</v>
      </c>
      <c r="G113" s="44">
        <f>IF(OR(B113="",F113=""),"",IFERROR(F113*INDEX(Mitarbeiter!$F$6:$F$205,MATCH(B113,Mitarbeiter!$A$6:$A$205,0)),0))</f>
        <v/>
      </c>
      <c r="H113" s="8">
        <f>IF(B113="","",IF(ISNA(MATCH(B113,Mitarbeiter!$A$6:$A$205,0)),"Pers.-Nr. unbekannt",IF(A113="","Datum fehlt",IF(AND(D113&lt;&gt;Einstellungen!$C$4,D113&lt;&gt;Einstellungen!$C$5),"Objekt fehlt",IF(YEAR(A113)&lt;&gt;Einstellungen!$C$3,"anderes Jahr",IF(A113&lt;INDEX(Mitarbeiter!$C$6:$C$205,MATCH(B113,Mitarbeiter!$A$6:$A$205,0)),"vor Eintritt",IF(AND(INDEX(Mitarbeiter!$D$6:$D$205,MATCH(B113,Mitarbeiter!$A$6:$A$205,0))&lt;&gt;"",A113&gt;INDEX(Mitarbeiter!$D$6:$D$205,MATCH(B113,Mitarbeiter!$A$6:$A$205,0))),"nach Austritt","ok")))))))</f>
        <v/>
      </c>
    </row>
    <row r="114">
      <c r="A114" s="26" t="n">
        <v>46054</v>
      </c>
      <c r="B114" s="24" t="n">
        <v>1008</v>
      </c>
      <c r="C114" s="40">
        <f>IF(B114="","",IFERROR(INDEX(Mitarbeiter!$B$6:$B$205,MATCH(B114,Mitarbeiter!$A$6:$A$205,0)),"?"))</f>
        <v/>
      </c>
      <c r="D114" s="41" t="inlineStr">
        <is>
          <t>Objekt 1</t>
        </is>
      </c>
      <c r="E114" s="42" t="n">
        <v>19</v>
      </c>
      <c r="F114" s="43" t="n">
        <v>0</v>
      </c>
      <c r="G114" s="44">
        <f>IF(OR(B114="",F114=""),"",IFERROR(F114*INDEX(Mitarbeiter!$F$6:$F$205,MATCH(B114,Mitarbeiter!$A$6:$A$205,0)),0))</f>
        <v/>
      </c>
      <c r="H114" s="8">
        <f>IF(B114="","",IF(ISNA(MATCH(B114,Mitarbeiter!$A$6:$A$205,0)),"Pers.-Nr. unbekannt",IF(A114="","Datum fehlt",IF(AND(D114&lt;&gt;Einstellungen!$C$4,D114&lt;&gt;Einstellungen!$C$5),"Objekt fehlt",IF(YEAR(A114)&lt;&gt;Einstellungen!$C$3,"anderes Jahr",IF(A114&lt;INDEX(Mitarbeiter!$C$6:$C$205,MATCH(B114,Mitarbeiter!$A$6:$A$205,0)),"vor Eintritt",IF(AND(INDEX(Mitarbeiter!$D$6:$D$205,MATCH(B114,Mitarbeiter!$A$6:$A$205,0))&lt;&gt;"",A114&gt;INDEX(Mitarbeiter!$D$6:$D$205,MATCH(B114,Mitarbeiter!$A$6:$A$205,0))),"nach Austritt","ok")))))))</f>
        <v/>
      </c>
    </row>
    <row r="115">
      <c r="A115" s="26" t="n">
        <v>46054</v>
      </c>
      <c r="B115" s="24" t="n">
        <v>1008</v>
      </c>
      <c r="C115" s="40">
        <f>IF(B115="","",IFERROR(INDEX(Mitarbeiter!$B$6:$B$205,MATCH(B115,Mitarbeiter!$A$6:$A$205,0)),"?"))</f>
        <v/>
      </c>
      <c r="D115" s="41" t="inlineStr">
        <is>
          <t>Objekt 2</t>
        </is>
      </c>
      <c r="E115" s="42" t="n">
        <v>64</v>
      </c>
      <c r="F115" s="43" t="n">
        <v>0</v>
      </c>
      <c r="G115" s="44">
        <f>IF(OR(B115="",F115=""),"",IFERROR(F115*INDEX(Mitarbeiter!$F$6:$F$205,MATCH(B115,Mitarbeiter!$A$6:$A$205,0)),0))</f>
        <v/>
      </c>
      <c r="H115" s="8">
        <f>IF(B115="","",IF(ISNA(MATCH(B115,Mitarbeiter!$A$6:$A$205,0)),"Pers.-Nr. unbekannt",IF(A115="","Datum fehlt",IF(AND(D115&lt;&gt;Einstellungen!$C$4,D115&lt;&gt;Einstellungen!$C$5),"Objekt fehlt",IF(YEAR(A115)&lt;&gt;Einstellungen!$C$3,"anderes Jahr",IF(A115&lt;INDEX(Mitarbeiter!$C$6:$C$205,MATCH(B115,Mitarbeiter!$A$6:$A$205,0)),"vor Eintritt",IF(AND(INDEX(Mitarbeiter!$D$6:$D$205,MATCH(B115,Mitarbeiter!$A$6:$A$205,0))&lt;&gt;"",A115&gt;INDEX(Mitarbeiter!$D$6:$D$205,MATCH(B115,Mitarbeiter!$A$6:$A$205,0))),"nach Austritt","ok")))))))</f>
        <v/>
      </c>
    </row>
    <row r="116">
      <c r="A116" s="26" t="n">
        <v>46054</v>
      </c>
      <c r="B116" s="24" t="n">
        <v>1009</v>
      </c>
      <c r="C116" s="40">
        <f>IF(B116="","",IFERROR(INDEX(Mitarbeiter!$B$6:$B$205,MATCH(B116,Mitarbeiter!$A$6:$A$205,0)),"?"))</f>
        <v/>
      </c>
      <c r="D116" s="41" t="inlineStr">
        <is>
          <t>Objekt 1</t>
        </is>
      </c>
      <c r="E116" s="42" t="n">
        <v>40</v>
      </c>
      <c r="F116" s="43" t="n">
        <v>0</v>
      </c>
      <c r="G116" s="44">
        <f>IF(OR(B116="",F116=""),"",IFERROR(F116*INDEX(Mitarbeiter!$F$6:$F$205,MATCH(B116,Mitarbeiter!$A$6:$A$205,0)),0))</f>
        <v/>
      </c>
      <c r="H116" s="8">
        <f>IF(B116="","",IF(ISNA(MATCH(B116,Mitarbeiter!$A$6:$A$205,0)),"Pers.-Nr. unbekannt",IF(A116="","Datum fehlt",IF(AND(D116&lt;&gt;Einstellungen!$C$4,D116&lt;&gt;Einstellungen!$C$5),"Objekt fehlt",IF(YEAR(A116)&lt;&gt;Einstellungen!$C$3,"anderes Jahr",IF(A116&lt;INDEX(Mitarbeiter!$C$6:$C$205,MATCH(B116,Mitarbeiter!$A$6:$A$205,0)),"vor Eintritt",IF(AND(INDEX(Mitarbeiter!$D$6:$D$205,MATCH(B116,Mitarbeiter!$A$6:$A$205,0))&lt;&gt;"",A116&gt;INDEX(Mitarbeiter!$D$6:$D$205,MATCH(B116,Mitarbeiter!$A$6:$A$205,0))),"nach Austritt","ok")))))))</f>
        <v/>
      </c>
    </row>
    <row r="117">
      <c r="A117" s="26" t="n">
        <v>46054</v>
      </c>
      <c r="B117" s="24" t="n">
        <v>1009</v>
      </c>
      <c r="C117" s="40">
        <f>IF(B117="","",IFERROR(INDEX(Mitarbeiter!$B$6:$B$205,MATCH(B117,Mitarbeiter!$A$6:$A$205,0)),"?"))</f>
        <v/>
      </c>
      <c r="D117" s="41" t="inlineStr">
        <is>
          <t>Objekt 2</t>
        </is>
      </c>
      <c r="E117" s="42" t="n">
        <v>43</v>
      </c>
      <c r="F117" s="43" t="n">
        <v>0</v>
      </c>
      <c r="G117" s="44">
        <f>IF(OR(B117="",F117=""),"",IFERROR(F117*INDEX(Mitarbeiter!$F$6:$F$205,MATCH(B117,Mitarbeiter!$A$6:$A$205,0)),0))</f>
        <v/>
      </c>
      <c r="H117" s="8">
        <f>IF(B117="","",IF(ISNA(MATCH(B117,Mitarbeiter!$A$6:$A$205,0)),"Pers.-Nr. unbekannt",IF(A117="","Datum fehlt",IF(AND(D117&lt;&gt;Einstellungen!$C$4,D117&lt;&gt;Einstellungen!$C$5),"Objekt fehlt",IF(YEAR(A117)&lt;&gt;Einstellungen!$C$3,"anderes Jahr",IF(A117&lt;INDEX(Mitarbeiter!$C$6:$C$205,MATCH(B117,Mitarbeiter!$A$6:$A$205,0)),"vor Eintritt",IF(AND(INDEX(Mitarbeiter!$D$6:$D$205,MATCH(B117,Mitarbeiter!$A$6:$A$205,0))&lt;&gt;"",A117&gt;INDEX(Mitarbeiter!$D$6:$D$205,MATCH(B117,Mitarbeiter!$A$6:$A$205,0))),"nach Austritt","ok")))))))</f>
        <v/>
      </c>
    </row>
    <row r="118">
      <c r="A118" s="26" t="n">
        <v>46054</v>
      </c>
      <c r="B118" s="24" t="n">
        <v>1010</v>
      </c>
      <c r="C118" s="40">
        <f>IF(B118="","",IFERROR(INDEX(Mitarbeiter!$B$6:$B$205,MATCH(B118,Mitarbeiter!$A$6:$A$205,0)),"?"))</f>
        <v/>
      </c>
      <c r="D118" s="41" t="inlineStr">
        <is>
          <t>Objekt 2</t>
        </is>
      </c>
      <c r="E118" s="42" t="n">
        <v>112.5</v>
      </c>
      <c r="F118" s="43" t="n">
        <v>1</v>
      </c>
      <c r="G118" s="44">
        <f>IF(OR(B118="",F118=""),"",IFERROR(F118*INDEX(Mitarbeiter!$F$6:$F$205,MATCH(B118,Mitarbeiter!$A$6:$A$205,0)),0))</f>
        <v/>
      </c>
      <c r="H118" s="8">
        <f>IF(B118="","",IF(ISNA(MATCH(B118,Mitarbeiter!$A$6:$A$205,0)),"Pers.-Nr. unbekannt",IF(A118="","Datum fehlt",IF(AND(D118&lt;&gt;Einstellungen!$C$4,D118&lt;&gt;Einstellungen!$C$5),"Objekt fehlt",IF(YEAR(A118)&lt;&gt;Einstellungen!$C$3,"anderes Jahr",IF(A118&lt;INDEX(Mitarbeiter!$C$6:$C$205,MATCH(B118,Mitarbeiter!$A$6:$A$205,0)),"vor Eintritt",IF(AND(INDEX(Mitarbeiter!$D$6:$D$205,MATCH(B118,Mitarbeiter!$A$6:$A$205,0))&lt;&gt;"",A118&gt;INDEX(Mitarbeiter!$D$6:$D$205,MATCH(B118,Mitarbeiter!$A$6:$A$205,0))),"nach Austritt","ok")))))))</f>
        <v/>
      </c>
    </row>
    <row r="119">
      <c r="A119" s="26" t="n">
        <v>46054</v>
      </c>
      <c r="B119" s="24" t="n">
        <v>1011</v>
      </c>
      <c r="C119" s="40">
        <f>IF(B119="","",IFERROR(INDEX(Mitarbeiter!$B$6:$B$205,MATCH(B119,Mitarbeiter!$A$6:$A$205,0)),"?"))</f>
        <v/>
      </c>
      <c r="D119" s="41" t="inlineStr">
        <is>
          <t>Objekt 1</t>
        </is>
      </c>
      <c r="E119" s="42" t="n">
        <v>83</v>
      </c>
      <c r="F119" s="43" t="n">
        <v>0</v>
      </c>
      <c r="G119" s="44">
        <f>IF(OR(B119="",F119=""),"",IFERROR(F119*INDEX(Mitarbeiter!$F$6:$F$205,MATCH(B119,Mitarbeiter!$A$6:$A$205,0)),0))</f>
        <v/>
      </c>
      <c r="H119" s="8">
        <f>IF(B119="","",IF(ISNA(MATCH(B119,Mitarbeiter!$A$6:$A$205,0)),"Pers.-Nr. unbekannt",IF(A119="","Datum fehlt",IF(AND(D119&lt;&gt;Einstellungen!$C$4,D119&lt;&gt;Einstellungen!$C$5),"Objekt fehlt",IF(YEAR(A119)&lt;&gt;Einstellungen!$C$3,"anderes Jahr",IF(A119&lt;INDEX(Mitarbeiter!$C$6:$C$205,MATCH(B119,Mitarbeiter!$A$6:$A$205,0)),"vor Eintritt",IF(AND(INDEX(Mitarbeiter!$D$6:$D$205,MATCH(B119,Mitarbeiter!$A$6:$A$205,0))&lt;&gt;"",A119&gt;INDEX(Mitarbeiter!$D$6:$D$205,MATCH(B119,Mitarbeiter!$A$6:$A$205,0))),"nach Austritt","ok")))))))</f>
        <v/>
      </c>
    </row>
    <row r="120">
      <c r="A120" s="26" t="n">
        <v>46054</v>
      </c>
      <c r="B120" s="24" t="n">
        <v>1011</v>
      </c>
      <c r="C120" s="40">
        <f>IF(B120="","",IFERROR(INDEX(Mitarbeiter!$B$6:$B$205,MATCH(B120,Mitarbeiter!$A$6:$A$205,0)),"?"))</f>
        <v/>
      </c>
      <c r="D120" s="41" t="inlineStr">
        <is>
          <t>Objekt 2</t>
        </is>
      </c>
      <c r="E120" s="42" t="n">
        <v>80</v>
      </c>
      <c r="F120" s="43" t="n">
        <v>0</v>
      </c>
      <c r="G120" s="44">
        <f>IF(OR(B120="",F120=""),"",IFERROR(F120*INDEX(Mitarbeiter!$F$6:$F$205,MATCH(B120,Mitarbeiter!$A$6:$A$205,0)),0))</f>
        <v/>
      </c>
      <c r="H120" s="8">
        <f>IF(B120="","",IF(ISNA(MATCH(B120,Mitarbeiter!$A$6:$A$205,0)),"Pers.-Nr. unbekannt",IF(A120="","Datum fehlt",IF(AND(D120&lt;&gt;Einstellungen!$C$4,D120&lt;&gt;Einstellungen!$C$5),"Objekt fehlt",IF(YEAR(A120)&lt;&gt;Einstellungen!$C$3,"anderes Jahr",IF(A120&lt;INDEX(Mitarbeiter!$C$6:$C$205,MATCH(B120,Mitarbeiter!$A$6:$A$205,0)),"vor Eintritt",IF(AND(INDEX(Mitarbeiter!$D$6:$D$205,MATCH(B120,Mitarbeiter!$A$6:$A$205,0))&lt;&gt;"",A120&gt;INDEX(Mitarbeiter!$D$6:$D$205,MATCH(B120,Mitarbeiter!$A$6:$A$205,0))),"nach Austritt","ok")))))))</f>
        <v/>
      </c>
    </row>
    <row r="121">
      <c r="A121" s="26" t="n">
        <v>46054</v>
      </c>
      <c r="B121" s="24" t="n">
        <v>1012</v>
      </c>
      <c r="C121" s="40">
        <f>IF(B121="","",IFERROR(INDEX(Mitarbeiter!$B$6:$B$205,MATCH(B121,Mitarbeiter!$A$6:$A$205,0)),"?"))</f>
        <v/>
      </c>
      <c r="D121" s="41" t="inlineStr">
        <is>
          <t>Objekt 1</t>
        </is>
      </c>
      <c r="E121" s="42" t="n">
        <v>160</v>
      </c>
      <c r="F121" s="43" t="n">
        <v>0</v>
      </c>
      <c r="G121" s="44">
        <f>IF(OR(B121="",F121=""),"",IFERROR(F121*INDEX(Mitarbeiter!$F$6:$F$205,MATCH(B121,Mitarbeiter!$A$6:$A$205,0)),0))</f>
        <v/>
      </c>
      <c r="H121" s="8">
        <f>IF(B121="","",IF(ISNA(MATCH(B121,Mitarbeiter!$A$6:$A$205,0)),"Pers.-Nr. unbekannt",IF(A121="","Datum fehlt",IF(AND(D121&lt;&gt;Einstellungen!$C$4,D121&lt;&gt;Einstellungen!$C$5),"Objekt fehlt",IF(YEAR(A121)&lt;&gt;Einstellungen!$C$3,"anderes Jahr",IF(A121&lt;INDEX(Mitarbeiter!$C$6:$C$205,MATCH(B121,Mitarbeiter!$A$6:$A$205,0)),"vor Eintritt",IF(AND(INDEX(Mitarbeiter!$D$6:$D$205,MATCH(B121,Mitarbeiter!$A$6:$A$205,0))&lt;&gt;"",A121&gt;INDEX(Mitarbeiter!$D$6:$D$205,MATCH(B121,Mitarbeiter!$A$6:$A$205,0))),"nach Austritt","ok")))))))</f>
        <v/>
      </c>
    </row>
    <row r="122">
      <c r="A122" s="26" t="n">
        <v>46054</v>
      </c>
      <c r="B122" s="24" t="n">
        <v>1013</v>
      </c>
      <c r="C122" s="40">
        <f>IF(B122="","",IFERROR(INDEX(Mitarbeiter!$B$6:$B$205,MATCH(B122,Mitarbeiter!$A$6:$A$205,0)),"?"))</f>
        <v/>
      </c>
      <c r="D122" s="41" t="inlineStr">
        <is>
          <t>Objekt 1</t>
        </is>
      </c>
      <c r="E122" s="42" t="n">
        <v>83</v>
      </c>
      <c r="F122" s="43" t="n">
        <v>2</v>
      </c>
      <c r="G122" s="44">
        <f>IF(OR(B122="",F122=""),"",IFERROR(F122*INDEX(Mitarbeiter!$F$6:$F$205,MATCH(B122,Mitarbeiter!$A$6:$A$205,0)),0))</f>
        <v/>
      </c>
      <c r="H122" s="8">
        <f>IF(B122="","",IF(ISNA(MATCH(B122,Mitarbeiter!$A$6:$A$205,0)),"Pers.-Nr. unbekannt",IF(A122="","Datum fehlt",IF(AND(D122&lt;&gt;Einstellungen!$C$4,D122&lt;&gt;Einstellungen!$C$5),"Objekt fehlt",IF(YEAR(A122)&lt;&gt;Einstellungen!$C$3,"anderes Jahr",IF(A122&lt;INDEX(Mitarbeiter!$C$6:$C$205,MATCH(B122,Mitarbeiter!$A$6:$A$205,0)),"vor Eintritt",IF(AND(INDEX(Mitarbeiter!$D$6:$D$205,MATCH(B122,Mitarbeiter!$A$6:$A$205,0))&lt;&gt;"",A122&gt;INDEX(Mitarbeiter!$D$6:$D$205,MATCH(B122,Mitarbeiter!$A$6:$A$205,0))),"nach Austritt","ok")))))))</f>
        <v/>
      </c>
    </row>
    <row r="123">
      <c r="A123" s="26" t="n">
        <v>46054</v>
      </c>
      <c r="B123" s="24" t="n">
        <v>1013</v>
      </c>
      <c r="C123" s="40">
        <f>IF(B123="","",IFERROR(INDEX(Mitarbeiter!$B$6:$B$205,MATCH(B123,Mitarbeiter!$A$6:$A$205,0)),"?"))</f>
        <v/>
      </c>
      <c r="D123" s="41" t="inlineStr">
        <is>
          <t>Objekt 2</t>
        </is>
      </c>
      <c r="E123" s="42" t="n">
        <v>54.5</v>
      </c>
      <c r="F123" s="43" t="n">
        <v>1</v>
      </c>
      <c r="G123" s="44">
        <f>IF(OR(B123="",F123=""),"",IFERROR(F123*INDEX(Mitarbeiter!$F$6:$F$205,MATCH(B123,Mitarbeiter!$A$6:$A$205,0)),0))</f>
        <v/>
      </c>
      <c r="H123" s="8">
        <f>IF(B123="","",IF(ISNA(MATCH(B123,Mitarbeiter!$A$6:$A$205,0)),"Pers.-Nr. unbekannt",IF(A123="","Datum fehlt",IF(AND(D123&lt;&gt;Einstellungen!$C$4,D123&lt;&gt;Einstellungen!$C$5),"Objekt fehlt",IF(YEAR(A123)&lt;&gt;Einstellungen!$C$3,"anderes Jahr",IF(A123&lt;INDEX(Mitarbeiter!$C$6:$C$205,MATCH(B123,Mitarbeiter!$A$6:$A$205,0)),"vor Eintritt",IF(AND(INDEX(Mitarbeiter!$D$6:$D$205,MATCH(B123,Mitarbeiter!$A$6:$A$205,0))&lt;&gt;"",A123&gt;INDEX(Mitarbeiter!$D$6:$D$205,MATCH(B123,Mitarbeiter!$A$6:$A$205,0))),"nach Austritt","ok")))))))</f>
        <v/>
      </c>
    </row>
    <row r="124">
      <c r="A124" s="26" t="n">
        <v>46054</v>
      </c>
      <c r="B124" s="24" t="n">
        <v>1014</v>
      </c>
      <c r="C124" s="40">
        <f>IF(B124="","",IFERROR(INDEX(Mitarbeiter!$B$6:$B$205,MATCH(B124,Mitarbeiter!$A$6:$A$205,0)),"?"))</f>
        <v/>
      </c>
      <c r="D124" s="41" t="inlineStr">
        <is>
          <t>Objekt 1</t>
        </is>
      </c>
      <c r="E124" s="42" t="n">
        <v>30.5</v>
      </c>
      <c r="F124" s="43" t="n">
        <v>0</v>
      </c>
      <c r="G124" s="44">
        <f>IF(OR(B124="",F124=""),"",IFERROR(F124*INDEX(Mitarbeiter!$F$6:$F$205,MATCH(B124,Mitarbeiter!$A$6:$A$205,0)),0))</f>
        <v/>
      </c>
      <c r="H124" s="8">
        <f>IF(B124="","",IF(ISNA(MATCH(B124,Mitarbeiter!$A$6:$A$205,0)),"Pers.-Nr. unbekannt",IF(A124="","Datum fehlt",IF(AND(D124&lt;&gt;Einstellungen!$C$4,D124&lt;&gt;Einstellungen!$C$5),"Objekt fehlt",IF(YEAR(A124)&lt;&gt;Einstellungen!$C$3,"anderes Jahr",IF(A124&lt;INDEX(Mitarbeiter!$C$6:$C$205,MATCH(B124,Mitarbeiter!$A$6:$A$205,0)),"vor Eintritt",IF(AND(INDEX(Mitarbeiter!$D$6:$D$205,MATCH(B124,Mitarbeiter!$A$6:$A$205,0))&lt;&gt;"",A124&gt;INDEX(Mitarbeiter!$D$6:$D$205,MATCH(B124,Mitarbeiter!$A$6:$A$205,0))),"nach Austritt","ok")))))))</f>
        <v/>
      </c>
    </row>
    <row r="125">
      <c r="A125" s="26" t="n">
        <v>46054</v>
      </c>
      <c r="B125" s="24" t="n">
        <v>1014</v>
      </c>
      <c r="C125" s="40">
        <f>IF(B125="","",IFERROR(INDEX(Mitarbeiter!$B$6:$B$205,MATCH(B125,Mitarbeiter!$A$6:$A$205,0)),"?"))</f>
        <v/>
      </c>
      <c r="D125" s="41" t="inlineStr">
        <is>
          <t>Objekt 2</t>
        </is>
      </c>
      <c r="E125" s="42" t="n">
        <v>120</v>
      </c>
      <c r="F125" s="43" t="n">
        <v>1</v>
      </c>
      <c r="G125" s="44">
        <f>IF(OR(B125="",F125=""),"",IFERROR(F125*INDEX(Mitarbeiter!$F$6:$F$205,MATCH(B125,Mitarbeiter!$A$6:$A$205,0)),0))</f>
        <v/>
      </c>
      <c r="H125" s="8">
        <f>IF(B125="","",IF(ISNA(MATCH(B125,Mitarbeiter!$A$6:$A$205,0)),"Pers.-Nr. unbekannt",IF(A125="","Datum fehlt",IF(AND(D125&lt;&gt;Einstellungen!$C$4,D125&lt;&gt;Einstellungen!$C$5),"Objekt fehlt",IF(YEAR(A125)&lt;&gt;Einstellungen!$C$3,"anderes Jahr",IF(A125&lt;INDEX(Mitarbeiter!$C$6:$C$205,MATCH(B125,Mitarbeiter!$A$6:$A$205,0)),"vor Eintritt",IF(AND(INDEX(Mitarbeiter!$D$6:$D$205,MATCH(B125,Mitarbeiter!$A$6:$A$205,0))&lt;&gt;"",A125&gt;INDEX(Mitarbeiter!$D$6:$D$205,MATCH(B125,Mitarbeiter!$A$6:$A$205,0))),"nach Austritt","ok")))))))</f>
        <v/>
      </c>
    </row>
    <row r="126">
      <c r="A126" s="26" t="n">
        <v>46054</v>
      </c>
      <c r="B126" s="24" t="n">
        <v>1016</v>
      </c>
      <c r="C126" s="40">
        <f>IF(B126="","",IFERROR(INDEX(Mitarbeiter!$B$6:$B$205,MATCH(B126,Mitarbeiter!$A$6:$A$205,0)),"?"))</f>
        <v/>
      </c>
      <c r="D126" s="41" t="inlineStr">
        <is>
          <t>Objekt 1</t>
        </is>
      </c>
      <c r="E126" s="42" t="n">
        <v>160</v>
      </c>
      <c r="F126" s="43" t="n">
        <v>0</v>
      </c>
      <c r="G126" s="44">
        <f>IF(OR(B126="",F126=""),"",IFERROR(F126*INDEX(Mitarbeiter!$F$6:$F$205,MATCH(B126,Mitarbeiter!$A$6:$A$205,0)),0))</f>
        <v/>
      </c>
      <c r="H126" s="8">
        <f>IF(B126="","",IF(ISNA(MATCH(B126,Mitarbeiter!$A$6:$A$205,0)),"Pers.-Nr. unbekannt",IF(A126="","Datum fehlt",IF(AND(D126&lt;&gt;Einstellungen!$C$4,D126&lt;&gt;Einstellungen!$C$5),"Objekt fehlt",IF(YEAR(A126)&lt;&gt;Einstellungen!$C$3,"anderes Jahr",IF(A126&lt;INDEX(Mitarbeiter!$C$6:$C$205,MATCH(B126,Mitarbeiter!$A$6:$A$205,0)),"vor Eintritt",IF(AND(INDEX(Mitarbeiter!$D$6:$D$205,MATCH(B126,Mitarbeiter!$A$6:$A$205,0))&lt;&gt;"",A126&gt;INDEX(Mitarbeiter!$D$6:$D$205,MATCH(B126,Mitarbeiter!$A$6:$A$205,0))),"nach Austritt","ok")))))))</f>
        <v/>
      </c>
    </row>
    <row r="127">
      <c r="A127" s="26" t="n">
        <v>46054</v>
      </c>
      <c r="B127" s="24" t="n">
        <v>1017</v>
      </c>
      <c r="C127" s="40">
        <f>IF(B127="","",IFERROR(INDEX(Mitarbeiter!$B$6:$B$205,MATCH(B127,Mitarbeiter!$A$6:$A$205,0)),"?"))</f>
        <v/>
      </c>
      <c r="D127" s="41" t="inlineStr">
        <is>
          <t>Objekt 1</t>
        </is>
      </c>
      <c r="E127" s="42" t="n">
        <v>120</v>
      </c>
      <c r="F127" s="43" t="n">
        <v>1</v>
      </c>
      <c r="G127" s="44">
        <f>IF(OR(B127="",F127=""),"",IFERROR(F127*INDEX(Mitarbeiter!$F$6:$F$205,MATCH(B127,Mitarbeiter!$A$6:$A$205,0)),0))</f>
        <v/>
      </c>
      <c r="H127" s="8">
        <f>IF(B127="","",IF(ISNA(MATCH(B127,Mitarbeiter!$A$6:$A$205,0)),"Pers.-Nr. unbekannt",IF(A127="","Datum fehlt",IF(AND(D127&lt;&gt;Einstellungen!$C$4,D127&lt;&gt;Einstellungen!$C$5),"Objekt fehlt",IF(YEAR(A127)&lt;&gt;Einstellungen!$C$3,"anderes Jahr",IF(A127&lt;INDEX(Mitarbeiter!$C$6:$C$205,MATCH(B127,Mitarbeiter!$A$6:$A$205,0)),"vor Eintritt",IF(AND(INDEX(Mitarbeiter!$D$6:$D$205,MATCH(B127,Mitarbeiter!$A$6:$A$205,0))&lt;&gt;"",A127&gt;INDEX(Mitarbeiter!$D$6:$D$205,MATCH(B127,Mitarbeiter!$A$6:$A$205,0))),"nach Austritt","ok")))))))</f>
        <v/>
      </c>
    </row>
    <row r="128">
      <c r="A128" s="26" t="n">
        <v>46054</v>
      </c>
      <c r="B128" s="24" t="n">
        <v>1017</v>
      </c>
      <c r="C128" s="40">
        <f>IF(B128="","",IFERROR(INDEX(Mitarbeiter!$B$6:$B$205,MATCH(B128,Mitarbeiter!$A$6:$A$205,0)),"?"))</f>
        <v/>
      </c>
      <c r="D128" s="41" t="inlineStr">
        <is>
          <t>Objekt 2</t>
        </is>
      </c>
      <c r="E128" s="42" t="n">
        <v>32</v>
      </c>
      <c r="F128" s="43" t="n">
        <v>0</v>
      </c>
      <c r="G128" s="44">
        <f>IF(OR(B128="",F128=""),"",IFERROR(F128*INDEX(Mitarbeiter!$F$6:$F$205,MATCH(B128,Mitarbeiter!$A$6:$A$205,0)),0))</f>
        <v/>
      </c>
      <c r="H128" s="8">
        <f>IF(B128="","",IF(ISNA(MATCH(B128,Mitarbeiter!$A$6:$A$205,0)),"Pers.-Nr. unbekannt",IF(A128="","Datum fehlt",IF(AND(D128&lt;&gt;Einstellungen!$C$4,D128&lt;&gt;Einstellungen!$C$5),"Objekt fehlt",IF(YEAR(A128)&lt;&gt;Einstellungen!$C$3,"anderes Jahr",IF(A128&lt;INDEX(Mitarbeiter!$C$6:$C$205,MATCH(B128,Mitarbeiter!$A$6:$A$205,0)),"vor Eintritt",IF(AND(INDEX(Mitarbeiter!$D$6:$D$205,MATCH(B128,Mitarbeiter!$A$6:$A$205,0))&lt;&gt;"",A128&gt;INDEX(Mitarbeiter!$D$6:$D$205,MATCH(B128,Mitarbeiter!$A$6:$A$205,0))),"nach Austritt","ok")))))))</f>
        <v/>
      </c>
    </row>
    <row r="129">
      <c r="A129" s="26" t="n">
        <v>46054</v>
      </c>
      <c r="B129" s="24" t="n">
        <v>1018</v>
      </c>
      <c r="C129" s="40">
        <f>IF(B129="","",IFERROR(INDEX(Mitarbeiter!$B$6:$B$205,MATCH(B129,Mitarbeiter!$A$6:$A$205,0)),"?"))</f>
        <v/>
      </c>
      <c r="D129" s="41" t="inlineStr">
        <is>
          <t>Objekt 1</t>
        </is>
      </c>
      <c r="E129" s="42" t="n">
        <v>86.5</v>
      </c>
      <c r="F129" s="43" t="n">
        <v>0</v>
      </c>
      <c r="G129" s="44">
        <f>IF(OR(B129="",F129=""),"",IFERROR(F129*INDEX(Mitarbeiter!$F$6:$F$205,MATCH(B129,Mitarbeiter!$A$6:$A$205,0)),0))</f>
        <v/>
      </c>
      <c r="H129" s="8">
        <f>IF(B129="","",IF(ISNA(MATCH(B129,Mitarbeiter!$A$6:$A$205,0)),"Pers.-Nr. unbekannt",IF(A129="","Datum fehlt",IF(AND(D129&lt;&gt;Einstellungen!$C$4,D129&lt;&gt;Einstellungen!$C$5),"Objekt fehlt",IF(YEAR(A129)&lt;&gt;Einstellungen!$C$3,"anderes Jahr",IF(A129&lt;INDEX(Mitarbeiter!$C$6:$C$205,MATCH(B129,Mitarbeiter!$A$6:$A$205,0)),"vor Eintritt",IF(AND(INDEX(Mitarbeiter!$D$6:$D$205,MATCH(B129,Mitarbeiter!$A$6:$A$205,0))&lt;&gt;"",A129&gt;INDEX(Mitarbeiter!$D$6:$D$205,MATCH(B129,Mitarbeiter!$A$6:$A$205,0))),"nach Austritt","ok")))))))</f>
        <v/>
      </c>
    </row>
    <row r="130">
      <c r="A130" s="26" t="n">
        <v>46054</v>
      </c>
      <c r="B130" s="24" t="n">
        <v>1019</v>
      </c>
      <c r="C130" s="40">
        <f>IF(B130="","",IFERROR(INDEX(Mitarbeiter!$B$6:$B$205,MATCH(B130,Mitarbeiter!$A$6:$A$205,0)),"?"))</f>
        <v/>
      </c>
      <c r="D130" s="41" t="inlineStr">
        <is>
          <t>Objekt 1</t>
        </is>
      </c>
      <c r="E130" s="42" t="n">
        <v>67</v>
      </c>
      <c r="F130" s="43" t="n">
        <v>0</v>
      </c>
      <c r="G130" s="44">
        <f>IF(OR(B130="",F130=""),"",IFERROR(F130*INDEX(Mitarbeiter!$F$6:$F$205,MATCH(B130,Mitarbeiter!$A$6:$A$205,0)),0))</f>
        <v/>
      </c>
      <c r="H130" s="8">
        <f>IF(B130="","",IF(ISNA(MATCH(B130,Mitarbeiter!$A$6:$A$205,0)),"Pers.-Nr. unbekannt",IF(A130="","Datum fehlt",IF(AND(D130&lt;&gt;Einstellungen!$C$4,D130&lt;&gt;Einstellungen!$C$5),"Objekt fehlt",IF(YEAR(A130)&lt;&gt;Einstellungen!$C$3,"anderes Jahr",IF(A130&lt;INDEX(Mitarbeiter!$C$6:$C$205,MATCH(B130,Mitarbeiter!$A$6:$A$205,0)),"vor Eintritt",IF(AND(INDEX(Mitarbeiter!$D$6:$D$205,MATCH(B130,Mitarbeiter!$A$6:$A$205,0))&lt;&gt;"",A130&gt;INDEX(Mitarbeiter!$D$6:$D$205,MATCH(B130,Mitarbeiter!$A$6:$A$205,0))),"nach Austritt","ok")))))))</f>
        <v/>
      </c>
    </row>
    <row r="131">
      <c r="A131" s="26" t="n">
        <v>46054</v>
      </c>
      <c r="B131" s="24" t="n">
        <v>1019</v>
      </c>
      <c r="C131" s="40">
        <f>IF(B131="","",IFERROR(INDEX(Mitarbeiter!$B$6:$B$205,MATCH(B131,Mitarbeiter!$A$6:$A$205,0)),"?"))</f>
        <v/>
      </c>
      <c r="D131" s="41" t="inlineStr">
        <is>
          <t>Objekt 2</t>
        </is>
      </c>
      <c r="E131" s="42" t="n">
        <v>86.5</v>
      </c>
      <c r="F131" s="43" t="n">
        <v>1</v>
      </c>
      <c r="G131" s="44">
        <f>IF(OR(B131="",F131=""),"",IFERROR(F131*INDEX(Mitarbeiter!$F$6:$F$205,MATCH(B131,Mitarbeiter!$A$6:$A$205,0)),0))</f>
        <v/>
      </c>
      <c r="H131" s="8">
        <f>IF(B131="","",IF(ISNA(MATCH(B131,Mitarbeiter!$A$6:$A$205,0)),"Pers.-Nr. unbekannt",IF(A131="","Datum fehlt",IF(AND(D131&lt;&gt;Einstellungen!$C$4,D131&lt;&gt;Einstellungen!$C$5),"Objekt fehlt",IF(YEAR(A131)&lt;&gt;Einstellungen!$C$3,"anderes Jahr",IF(A131&lt;INDEX(Mitarbeiter!$C$6:$C$205,MATCH(B131,Mitarbeiter!$A$6:$A$205,0)),"vor Eintritt",IF(AND(INDEX(Mitarbeiter!$D$6:$D$205,MATCH(B131,Mitarbeiter!$A$6:$A$205,0))&lt;&gt;"",A131&gt;INDEX(Mitarbeiter!$D$6:$D$205,MATCH(B131,Mitarbeiter!$A$6:$A$205,0))),"nach Austritt","ok")))))))</f>
        <v/>
      </c>
    </row>
    <row r="132">
      <c r="A132" s="26" t="n">
        <v>46054</v>
      </c>
      <c r="B132" s="24" t="n">
        <v>1020</v>
      </c>
      <c r="C132" s="40">
        <f>IF(B132="","",IFERROR(INDEX(Mitarbeiter!$B$6:$B$205,MATCH(B132,Mitarbeiter!$A$6:$A$205,0)),"?"))</f>
        <v/>
      </c>
      <c r="D132" s="41" t="inlineStr">
        <is>
          <t>Objekt 1</t>
        </is>
      </c>
      <c r="E132" s="42" t="n">
        <v>30.5</v>
      </c>
      <c r="F132" s="43" t="n">
        <v>0</v>
      </c>
      <c r="G132" s="44">
        <f>IF(OR(B132="",F132=""),"",IFERROR(F132*INDEX(Mitarbeiter!$F$6:$F$205,MATCH(B132,Mitarbeiter!$A$6:$A$205,0)),0))</f>
        <v/>
      </c>
      <c r="H132" s="8">
        <f>IF(B132="","",IF(ISNA(MATCH(B132,Mitarbeiter!$A$6:$A$205,0)),"Pers.-Nr. unbekannt",IF(A132="","Datum fehlt",IF(AND(D132&lt;&gt;Einstellungen!$C$4,D132&lt;&gt;Einstellungen!$C$5),"Objekt fehlt",IF(YEAR(A132)&lt;&gt;Einstellungen!$C$3,"anderes Jahr",IF(A132&lt;INDEX(Mitarbeiter!$C$6:$C$205,MATCH(B132,Mitarbeiter!$A$6:$A$205,0)),"vor Eintritt",IF(AND(INDEX(Mitarbeiter!$D$6:$D$205,MATCH(B132,Mitarbeiter!$A$6:$A$205,0))&lt;&gt;"",A132&gt;INDEX(Mitarbeiter!$D$6:$D$205,MATCH(B132,Mitarbeiter!$A$6:$A$205,0))),"nach Austritt","ok")))))))</f>
        <v/>
      </c>
    </row>
    <row r="133">
      <c r="A133" s="26" t="n">
        <v>46054</v>
      </c>
      <c r="B133" s="24" t="n">
        <v>1020</v>
      </c>
      <c r="C133" s="40">
        <f>IF(B133="","",IFERROR(INDEX(Mitarbeiter!$B$6:$B$205,MATCH(B133,Mitarbeiter!$A$6:$A$205,0)),"?"))</f>
        <v/>
      </c>
      <c r="D133" s="41" t="inlineStr">
        <is>
          <t>Objekt 2</t>
        </is>
      </c>
      <c r="E133" s="42" t="n">
        <v>115</v>
      </c>
      <c r="F133" s="43" t="n">
        <v>2</v>
      </c>
      <c r="G133" s="44">
        <f>IF(OR(B133="",F133=""),"",IFERROR(F133*INDEX(Mitarbeiter!$F$6:$F$205,MATCH(B133,Mitarbeiter!$A$6:$A$205,0)),0))</f>
        <v/>
      </c>
      <c r="H133" s="8">
        <f>IF(B133="","",IF(ISNA(MATCH(B133,Mitarbeiter!$A$6:$A$205,0)),"Pers.-Nr. unbekannt",IF(A133="","Datum fehlt",IF(AND(D133&lt;&gt;Einstellungen!$C$4,D133&lt;&gt;Einstellungen!$C$5),"Objekt fehlt",IF(YEAR(A133)&lt;&gt;Einstellungen!$C$3,"anderes Jahr",IF(A133&lt;INDEX(Mitarbeiter!$C$6:$C$205,MATCH(B133,Mitarbeiter!$A$6:$A$205,0)),"vor Eintritt",IF(AND(INDEX(Mitarbeiter!$D$6:$D$205,MATCH(B133,Mitarbeiter!$A$6:$A$205,0))&lt;&gt;"",A133&gt;INDEX(Mitarbeiter!$D$6:$D$205,MATCH(B133,Mitarbeiter!$A$6:$A$205,0))),"nach Austritt","ok")))))))</f>
        <v/>
      </c>
    </row>
    <row r="134">
      <c r="A134" s="26" t="n">
        <v>46054</v>
      </c>
      <c r="B134" s="24" t="n">
        <v>1021</v>
      </c>
      <c r="C134" s="40">
        <f>IF(B134="","",IFERROR(INDEX(Mitarbeiter!$B$6:$B$205,MATCH(B134,Mitarbeiter!$A$6:$A$205,0)),"?"))</f>
        <v/>
      </c>
      <c r="D134" s="41" t="inlineStr">
        <is>
          <t>Objekt 1</t>
        </is>
      </c>
      <c r="E134" s="42" t="n">
        <v>83</v>
      </c>
      <c r="F134" s="43" t="n">
        <v>0</v>
      </c>
      <c r="G134" s="44">
        <f>IF(OR(B134="",F134=""),"",IFERROR(F134*INDEX(Mitarbeiter!$F$6:$F$205,MATCH(B134,Mitarbeiter!$A$6:$A$205,0)),0))</f>
        <v/>
      </c>
      <c r="H134" s="8">
        <f>IF(B134="","",IF(ISNA(MATCH(B134,Mitarbeiter!$A$6:$A$205,0)),"Pers.-Nr. unbekannt",IF(A134="","Datum fehlt",IF(AND(D134&lt;&gt;Einstellungen!$C$4,D134&lt;&gt;Einstellungen!$C$5),"Objekt fehlt",IF(YEAR(A134)&lt;&gt;Einstellungen!$C$3,"anderes Jahr",IF(A134&lt;INDEX(Mitarbeiter!$C$6:$C$205,MATCH(B134,Mitarbeiter!$A$6:$A$205,0)),"vor Eintritt",IF(AND(INDEX(Mitarbeiter!$D$6:$D$205,MATCH(B134,Mitarbeiter!$A$6:$A$205,0))&lt;&gt;"",A134&gt;INDEX(Mitarbeiter!$D$6:$D$205,MATCH(B134,Mitarbeiter!$A$6:$A$205,0))),"nach Austritt","ok")))))))</f>
        <v/>
      </c>
    </row>
    <row r="135">
      <c r="A135" s="26" t="n">
        <v>46054</v>
      </c>
      <c r="B135" s="24" t="n">
        <v>1021</v>
      </c>
      <c r="C135" s="40">
        <f>IF(B135="","",IFERROR(INDEX(Mitarbeiter!$B$6:$B$205,MATCH(B135,Mitarbeiter!$A$6:$A$205,0)),"?"))</f>
        <v/>
      </c>
      <c r="D135" s="41" t="inlineStr">
        <is>
          <t>Objekt 2</t>
        </is>
      </c>
      <c r="E135" s="42" t="n">
        <v>80</v>
      </c>
      <c r="F135" s="43" t="n">
        <v>0</v>
      </c>
      <c r="G135" s="44">
        <f>IF(OR(B135="",F135=""),"",IFERROR(F135*INDEX(Mitarbeiter!$F$6:$F$205,MATCH(B135,Mitarbeiter!$A$6:$A$205,0)),0))</f>
        <v/>
      </c>
      <c r="H135" s="8">
        <f>IF(B135="","",IF(ISNA(MATCH(B135,Mitarbeiter!$A$6:$A$205,0)),"Pers.-Nr. unbekannt",IF(A135="","Datum fehlt",IF(AND(D135&lt;&gt;Einstellungen!$C$4,D135&lt;&gt;Einstellungen!$C$5),"Objekt fehlt",IF(YEAR(A135)&lt;&gt;Einstellungen!$C$3,"anderes Jahr",IF(A135&lt;INDEX(Mitarbeiter!$C$6:$C$205,MATCH(B135,Mitarbeiter!$A$6:$A$205,0)),"vor Eintritt",IF(AND(INDEX(Mitarbeiter!$D$6:$D$205,MATCH(B135,Mitarbeiter!$A$6:$A$205,0))&lt;&gt;"",A135&gt;INDEX(Mitarbeiter!$D$6:$D$205,MATCH(B135,Mitarbeiter!$A$6:$A$205,0))),"nach Austritt","ok")))))))</f>
        <v/>
      </c>
    </row>
    <row r="136">
      <c r="A136" s="26" t="n">
        <v>46054</v>
      </c>
      <c r="B136" s="24" t="n">
        <v>1022</v>
      </c>
      <c r="C136" s="40">
        <f>IF(B136="","",IFERROR(INDEX(Mitarbeiter!$B$6:$B$205,MATCH(B136,Mitarbeiter!$A$6:$A$205,0)),"?"))</f>
        <v/>
      </c>
      <c r="D136" s="41" t="inlineStr">
        <is>
          <t>Objekt 1</t>
        </is>
      </c>
      <c r="E136" s="42" t="n">
        <v>35</v>
      </c>
      <c r="F136" s="43" t="n">
        <v>0</v>
      </c>
      <c r="G136" s="44">
        <f>IF(OR(B136="",F136=""),"",IFERROR(F136*INDEX(Mitarbeiter!$F$6:$F$205,MATCH(B136,Mitarbeiter!$A$6:$A$205,0)),0))</f>
        <v/>
      </c>
      <c r="H136" s="8">
        <f>IF(B136="","",IF(ISNA(MATCH(B136,Mitarbeiter!$A$6:$A$205,0)),"Pers.-Nr. unbekannt",IF(A136="","Datum fehlt",IF(AND(D136&lt;&gt;Einstellungen!$C$4,D136&lt;&gt;Einstellungen!$C$5),"Objekt fehlt",IF(YEAR(A136)&lt;&gt;Einstellungen!$C$3,"anderes Jahr",IF(A136&lt;INDEX(Mitarbeiter!$C$6:$C$205,MATCH(B136,Mitarbeiter!$A$6:$A$205,0)),"vor Eintritt",IF(AND(INDEX(Mitarbeiter!$D$6:$D$205,MATCH(B136,Mitarbeiter!$A$6:$A$205,0))&lt;&gt;"",A136&gt;INDEX(Mitarbeiter!$D$6:$D$205,MATCH(B136,Mitarbeiter!$A$6:$A$205,0))),"nach Austritt","ok")))))))</f>
        <v/>
      </c>
    </row>
    <row r="137">
      <c r="A137" s="26" t="n">
        <v>46054</v>
      </c>
      <c r="B137" s="24" t="n">
        <v>1022</v>
      </c>
      <c r="C137" s="40">
        <f>IF(B137="","",IFERROR(INDEX(Mitarbeiter!$B$6:$B$205,MATCH(B137,Mitarbeiter!$A$6:$A$205,0)),"?"))</f>
        <v/>
      </c>
      <c r="D137" s="41" t="inlineStr">
        <is>
          <t>Objekt 2</t>
        </is>
      </c>
      <c r="E137" s="42" t="n">
        <v>47</v>
      </c>
      <c r="F137" s="43" t="n">
        <v>1</v>
      </c>
      <c r="G137" s="44">
        <f>IF(OR(B137="",F137=""),"",IFERROR(F137*INDEX(Mitarbeiter!$F$6:$F$205,MATCH(B137,Mitarbeiter!$A$6:$A$205,0)),0))</f>
        <v/>
      </c>
      <c r="H137" s="8">
        <f>IF(B137="","",IF(ISNA(MATCH(B137,Mitarbeiter!$A$6:$A$205,0)),"Pers.-Nr. unbekannt",IF(A137="","Datum fehlt",IF(AND(D137&lt;&gt;Einstellungen!$C$4,D137&lt;&gt;Einstellungen!$C$5),"Objekt fehlt",IF(YEAR(A137)&lt;&gt;Einstellungen!$C$3,"anderes Jahr",IF(A137&lt;INDEX(Mitarbeiter!$C$6:$C$205,MATCH(B137,Mitarbeiter!$A$6:$A$205,0)),"vor Eintritt",IF(AND(INDEX(Mitarbeiter!$D$6:$D$205,MATCH(B137,Mitarbeiter!$A$6:$A$205,0))&lt;&gt;"",A137&gt;INDEX(Mitarbeiter!$D$6:$D$205,MATCH(B137,Mitarbeiter!$A$6:$A$205,0))),"nach Austritt","ok")))))))</f>
        <v/>
      </c>
    </row>
    <row r="138">
      <c r="A138" s="26" t="n">
        <v>46054</v>
      </c>
      <c r="B138" s="24" t="n">
        <v>1023</v>
      </c>
      <c r="C138" s="40">
        <f>IF(B138="","",IFERROR(INDEX(Mitarbeiter!$B$6:$B$205,MATCH(B138,Mitarbeiter!$A$6:$A$205,0)),"?"))</f>
        <v/>
      </c>
      <c r="D138" s="41" t="inlineStr">
        <is>
          <t>Objekt 1</t>
        </is>
      </c>
      <c r="E138" s="42" t="n">
        <v>121.5</v>
      </c>
      <c r="F138" s="43" t="n">
        <v>0</v>
      </c>
      <c r="G138" s="44">
        <f>IF(OR(B138="",F138=""),"",IFERROR(F138*INDEX(Mitarbeiter!$F$6:$F$205,MATCH(B138,Mitarbeiter!$A$6:$A$205,0)),0))</f>
        <v/>
      </c>
      <c r="H138" s="8">
        <f>IF(B138="","",IF(ISNA(MATCH(B138,Mitarbeiter!$A$6:$A$205,0)),"Pers.-Nr. unbekannt",IF(A138="","Datum fehlt",IF(AND(D138&lt;&gt;Einstellungen!$C$4,D138&lt;&gt;Einstellungen!$C$5),"Objekt fehlt",IF(YEAR(A138)&lt;&gt;Einstellungen!$C$3,"anderes Jahr",IF(A138&lt;INDEX(Mitarbeiter!$C$6:$C$205,MATCH(B138,Mitarbeiter!$A$6:$A$205,0)),"vor Eintritt",IF(AND(INDEX(Mitarbeiter!$D$6:$D$205,MATCH(B138,Mitarbeiter!$A$6:$A$205,0))&lt;&gt;"",A138&gt;INDEX(Mitarbeiter!$D$6:$D$205,MATCH(B138,Mitarbeiter!$A$6:$A$205,0))),"nach Austritt","ok")))))))</f>
        <v/>
      </c>
    </row>
    <row r="139">
      <c r="A139" s="26" t="n">
        <v>46054</v>
      </c>
      <c r="B139" s="24" t="n">
        <v>1024</v>
      </c>
      <c r="C139" s="40">
        <f>IF(B139="","",IFERROR(INDEX(Mitarbeiter!$B$6:$B$205,MATCH(B139,Mitarbeiter!$A$6:$A$205,0)),"?"))</f>
        <v/>
      </c>
      <c r="D139" s="41" t="inlineStr">
        <is>
          <t>Objekt 1</t>
        </is>
      </c>
      <c r="E139" s="42" t="n">
        <v>64</v>
      </c>
      <c r="F139" s="43" t="n">
        <v>0</v>
      </c>
      <c r="G139" s="44">
        <f>IF(OR(B139="",F139=""),"",IFERROR(F139*INDEX(Mitarbeiter!$F$6:$F$205,MATCH(B139,Mitarbeiter!$A$6:$A$205,0)),0))</f>
        <v/>
      </c>
      <c r="H139" s="8">
        <f>IF(B139="","",IF(ISNA(MATCH(B139,Mitarbeiter!$A$6:$A$205,0)),"Pers.-Nr. unbekannt",IF(A139="","Datum fehlt",IF(AND(D139&lt;&gt;Einstellungen!$C$4,D139&lt;&gt;Einstellungen!$C$5),"Objekt fehlt",IF(YEAR(A139)&lt;&gt;Einstellungen!$C$3,"anderes Jahr",IF(A139&lt;INDEX(Mitarbeiter!$C$6:$C$205,MATCH(B139,Mitarbeiter!$A$6:$A$205,0)),"vor Eintritt",IF(AND(INDEX(Mitarbeiter!$D$6:$D$205,MATCH(B139,Mitarbeiter!$A$6:$A$205,0))&lt;&gt;"",A139&gt;INDEX(Mitarbeiter!$D$6:$D$205,MATCH(B139,Mitarbeiter!$A$6:$A$205,0))),"nach Austritt","ok")))))))</f>
        <v/>
      </c>
    </row>
    <row r="140">
      <c r="A140" s="26" t="n">
        <v>46054</v>
      </c>
      <c r="B140" s="24" t="n">
        <v>1024</v>
      </c>
      <c r="C140" s="40">
        <f>IF(B140="","",IFERROR(INDEX(Mitarbeiter!$B$6:$B$205,MATCH(B140,Mitarbeiter!$A$6:$A$205,0)),"?"))</f>
        <v/>
      </c>
      <c r="D140" s="41" t="inlineStr">
        <is>
          <t>Objekt 2</t>
        </is>
      </c>
      <c r="E140" s="42" t="n">
        <v>99</v>
      </c>
      <c r="F140" s="43" t="n">
        <v>0</v>
      </c>
      <c r="G140" s="44">
        <f>IF(OR(B140="",F140=""),"",IFERROR(F140*INDEX(Mitarbeiter!$F$6:$F$205,MATCH(B140,Mitarbeiter!$A$6:$A$205,0)),0))</f>
        <v/>
      </c>
      <c r="H140" s="8">
        <f>IF(B140="","",IF(ISNA(MATCH(B140,Mitarbeiter!$A$6:$A$205,0)),"Pers.-Nr. unbekannt",IF(A140="","Datum fehlt",IF(AND(D140&lt;&gt;Einstellungen!$C$4,D140&lt;&gt;Einstellungen!$C$5),"Objekt fehlt",IF(YEAR(A140)&lt;&gt;Einstellungen!$C$3,"anderes Jahr",IF(A140&lt;INDEX(Mitarbeiter!$C$6:$C$205,MATCH(B140,Mitarbeiter!$A$6:$A$205,0)),"vor Eintritt",IF(AND(INDEX(Mitarbeiter!$D$6:$D$205,MATCH(B140,Mitarbeiter!$A$6:$A$205,0))&lt;&gt;"",A140&gt;INDEX(Mitarbeiter!$D$6:$D$205,MATCH(B140,Mitarbeiter!$A$6:$A$205,0))),"nach Austritt","ok")))))))</f>
        <v/>
      </c>
    </row>
    <row r="141">
      <c r="A141" s="26" t="n">
        <v>46054</v>
      </c>
      <c r="B141" s="24" t="n">
        <v>1025</v>
      </c>
      <c r="C141" s="40">
        <f>IF(B141="","",IFERROR(INDEX(Mitarbeiter!$B$6:$B$205,MATCH(B141,Mitarbeiter!$A$6:$A$205,0)),"?"))</f>
        <v/>
      </c>
      <c r="D141" s="41" t="inlineStr">
        <is>
          <t>Objekt 1</t>
        </is>
      </c>
      <c r="E141" s="42" t="n">
        <v>65.5</v>
      </c>
      <c r="F141" s="43" t="n">
        <v>0</v>
      </c>
      <c r="G141" s="44">
        <f>IF(OR(B141="",F141=""),"",IFERROR(F141*INDEX(Mitarbeiter!$F$6:$F$205,MATCH(B141,Mitarbeiter!$A$6:$A$205,0)),0))</f>
        <v/>
      </c>
      <c r="H141" s="8">
        <f>IF(B141="","",IF(ISNA(MATCH(B141,Mitarbeiter!$A$6:$A$205,0)),"Pers.-Nr. unbekannt",IF(A141="","Datum fehlt",IF(AND(D141&lt;&gt;Einstellungen!$C$4,D141&lt;&gt;Einstellungen!$C$5),"Objekt fehlt",IF(YEAR(A141)&lt;&gt;Einstellungen!$C$3,"anderes Jahr",IF(A141&lt;INDEX(Mitarbeiter!$C$6:$C$205,MATCH(B141,Mitarbeiter!$A$6:$A$205,0)),"vor Eintritt",IF(AND(INDEX(Mitarbeiter!$D$6:$D$205,MATCH(B141,Mitarbeiter!$A$6:$A$205,0))&lt;&gt;"",A141&gt;INDEX(Mitarbeiter!$D$6:$D$205,MATCH(B141,Mitarbeiter!$A$6:$A$205,0))),"nach Austritt","ok")))))))</f>
        <v/>
      </c>
    </row>
    <row r="142">
      <c r="A142" s="26" t="n">
        <v>46054</v>
      </c>
      <c r="B142" s="24" t="n">
        <v>1025</v>
      </c>
      <c r="C142" s="40">
        <f>IF(B142="","",IFERROR(INDEX(Mitarbeiter!$B$6:$B$205,MATCH(B142,Mitarbeiter!$A$6:$A$205,0)),"?"))</f>
        <v/>
      </c>
      <c r="D142" s="41" t="inlineStr">
        <is>
          <t>Objekt 2</t>
        </is>
      </c>
      <c r="E142" s="42" t="n">
        <v>96</v>
      </c>
      <c r="F142" s="43" t="n">
        <v>0</v>
      </c>
      <c r="G142" s="44">
        <f>IF(OR(B142="",F142=""),"",IFERROR(F142*INDEX(Mitarbeiter!$F$6:$F$205,MATCH(B142,Mitarbeiter!$A$6:$A$205,0)),0))</f>
        <v/>
      </c>
      <c r="H142" s="8">
        <f>IF(B142="","",IF(ISNA(MATCH(B142,Mitarbeiter!$A$6:$A$205,0)),"Pers.-Nr. unbekannt",IF(A142="","Datum fehlt",IF(AND(D142&lt;&gt;Einstellungen!$C$4,D142&lt;&gt;Einstellungen!$C$5),"Objekt fehlt",IF(YEAR(A142)&lt;&gt;Einstellungen!$C$3,"anderes Jahr",IF(A142&lt;INDEX(Mitarbeiter!$C$6:$C$205,MATCH(B142,Mitarbeiter!$A$6:$A$205,0)),"vor Eintritt",IF(AND(INDEX(Mitarbeiter!$D$6:$D$205,MATCH(B142,Mitarbeiter!$A$6:$A$205,0))&lt;&gt;"",A142&gt;INDEX(Mitarbeiter!$D$6:$D$205,MATCH(B142,Mitarbeiter!$A$6:$A$205,0))),"nach Austritt","ok")))))))</f>
        <v/>
      </c>
    </row>
    <row r="143">
      <c r="A143" s="26" t="n">
        <v>46054</v>
      </c>
      <c r="B143" s="24" t="n">
        <v>1026</v>
      </c>
      <c r="C143" s="40">
        <f>IF(B143="","",IFERROR(INDEX(Mitarbeiter!$B$6:$B$205,MATCH(B143,Mitarbeiter!$A$6:$A$205,0)),"?"))</f>
        <v/>
      </c>
      <c r="D143" s="41" t="inlineStr">
        <is>
          <t>Objekt 1</t>
        </is>
      </c>
      <c r="E143" s="42" t="n">
        <v>96</v>
      </c>
      <c r="F143" s="43" t="n">
        <v>0</v>
      </c>
      <c r="G143" s="44">
        <f>IF(OR(B143="",F143=""),"",IFERROR(F143*INDEX(Mitarbeiter!$F$6:$F$205,MATCH(B143,Mitarbeiter!$A$6:$A$205,0)),0))</f>
        <v/>
      </c>
      <c r="H143" s="8">
        <f>IF(B143="","",IF(ISNA(MATCH(B143,Mitarbeiter!$A$6:$A$205,0)),"Pers.-Nr. unbekannt",IF(A143="","Datum fehlt",IF(AND(D143&lt;&gt;Einstellungen!$C$4,D143&lt;&gt;Einstellungen!$C$5),"Objekt fehlt",IF(YEAR(A143)&lt;&gt;Einstellungen!$C$3,"anderes Jahr",IF(A143&lt;INDEX(Mitarbeiter!$C$6:$C$205,MATCH(B143,Mitarbeiter!$A$6:$A$205,0)),"vor Eintritt",IF(AND(INDEX(Mitarbeiter!$D$6:$D$205,MATCH(B143,Mitarbeiter!$A$6:$A$205,0))&lt;&gt;"",A143&gt;INDEX(Mitarbeiter!$D$6:$D$205,MATCH(B143,Mitarbeiter!$A$6:$A$205,0))),"nach Austritt","ok")))))))</f>
        <v/>
      </c>
    </row>
    <row r="144">
      <c r="A144" s="26" t="n">
        <v>46054</v>
      </c>
      <c r="B144" s="24" t="n">
        <v>1026</v>
      </c>
      <c r="C144" s="40">
        <f>IF(B144="","",IFERROR(INDEX(Mitarbeiter!$B$6:$B$205,MATCH(B144,Mitarbeiter!$A$6:$A$205,0)),"?"))</f>
        <v/>
      </c>
      <c r="D144" s="41" t="inlineStr">
        <is>
          <t>Objekt 2</t>
        </is>
      </c>
      <c r="E144" s="42" t="n">
        <v>62.5</v>
      </c>
      <c r="F144" s="43" t="n">
        <v>0</v>
      </c>
      <c r="G144" s="44">
        <f>IF(OR(B144="",F144=""),"",IFERROR(F144*INDEX(Mitarbeiter!$F$6:$F$205,MATCH(B144,Mitarbeiter!$A$6:$A$205,0)),0))</f>
        <v/>
      </c>
      <c r="H144" s="8">
        <f>IF(B144="","",IF(ISNA(MATCH(B144,Mitarbeiter!$A$6:$A$205,0)),"Pers.-Nr. unbekannt",IF(A144="","Datum fehlt",IF(AND(D144&lt;&gt;Einstellungen!$C$4,D144&lt;&gt;Einstellungen!$C$5),"Objekt fehlt",IF(YEAR(A144)&lt;&gt;Einstellungen!$C$3,"anderes Jahr",IF(A144&lt;INDEX(Mitarbeiter!$C$6:$C$205,MATCH(B144,Mitarbeiter!$A$6:$A$205,0)),"vor Eintritt",IF(AND(INDEX(Mitarbeiter!$D$6:$D$205,MATCH(B144,Mitarbeiter!$A$6:$A$205,0))&lt;&gt;"",A144&gt;INDEX(Mitarbeiter!$D$6:$D$205,MATCH(B144,Mitarbeiter!$A$6:$A$205,0))),"nach Austritt","ok")))))))</f>
        <v/>
      </c>
    </row>
    <row r="145">
      <c r="A145" s="26" t="n">
        <v>46054</v>
      </c>
      <c r="B145" s="24" t="n">
        <v>1027</v>
      </c>
      <c r="C145" s="40">
        <f>IF(B145="","",IFERROR(INDEX(Mitarbeiter!$B$6:$B$205,MATCH(B145,Mitarbeiter!$A$6:$A$205,0)),"?"))</f>
        <v/>
      </c>
      <c r="D145" s="41" t="inlineStr">
        <is>
          <t>Objekt 1</t>
        </is>
      </c>
      <c r="E145" s="42" t="n">
        <v>58.5</v>
      </c>
      <c r="F145" s="43" t="n">
        <v>0</v>
      </c>
      <c r="G145" s="44">
        <f>IF(OR(B145="",F145=""),"",IFERROR(F145*INDEX(Mitarbeiter!$F$6:$F$205,MATCH(B145,Mitarbeiter!$A$6:$A$205,0)),0))</f>
        <v/>
      </c>
      <c r="H145" s="8">
        <f>IF(B145="","",IF(ISNA(MATCH(B145,Mitarbeiter!$A$6:$A$205,0)),"Pers.-Nr. unbekannt",IF(A145="","Datum fehlt",IF(AND(D145&lt;&gt;Einstellungen!$C$4,D145&lt;&gt;Einstellungen!$C$5),"Objekt fehlt",IF(YEAR(A145)&lt;&gt;Einstellungen!$C$3,"anderes Jahr",IF(A145&lt;INDEX(Mitarbeiter!$C$6:$C$205,MATCH(B145,Mitarbeiter!$A$6:$A$205,0)),"vor Eintritt",IF(AND(INDEX(Mitarbeiter!$D$6:$D$205,MATCH(B145,Mitarbeiter!$A$6:$A$205,0))&lt;&gt;"",A145&gt;INDEX(Mitarbeiter!$D$6:$D$205,MATCH(B145,Mitarbeiter!$A$6:$A$205,0))),"nach Austritt","ok")))))))</f>
        <v/>
      </c>
    </row>
    <row r="146">
      <c r="A146" s="26" t="n">
        <v>46054</v>
      </c>
      <c r="B146" s="24" t="n">
        <v>1027</v>
      </c>
      <c r="C146" s="40">
        <f>IF(B146="","",IFERROR(INDEX(Mitarbeiter!$B$6:$B$205,MATCH(B146,Mitarbeiter!$A$6:$A$205,0)),"?"))</f>
        <v/>
      </c>
      <c r="D146" s="41" t="inlineStr">
        <is>
          <t>Objekt 2</t>
        </is>
      </c>
      <c r="E146" s="42" t="n">
        <v>58.5</v>
      </c>
      <c r="F146" s="43" t="n">
        <v>0</v>
      </c>
      <c r="G146" s="44">
        <f>IF(OR(B146="",F146=""),"",IFERROR(F146*INDEX(Mitarbeiter!$F$6:$F$205,MATCH(B146,Mitarbeiter!$A$6:$A$205,0)),0))</f>
        <v/>
      </c>
      <c r="H146" s="8">
        <f>IF(B146="","",IF(ISNA(MATCH(B146,Mitarbeiter!$A$6:$A$205,0)),"Pers.-Nr. unbekannt",IF(A146="","Datum fehlt",IF(AND(D146&lt;&gt;Einstellungen!$C$4,D146&lt;&gt;Einstellungen!$C$5),"Objekt fehlt",IF(YEAR(A146)&lt;&gt;Einstellungen!$C$3,"anderes Jahr",IF(A146&lt;INDEX(Mitarbeiter!$C$6:$C$205,MATCH(B146,Mitarbeiter!$A$6:$A$205,0)),"vor Eintritt",IF(AND(INDEX(Mitarbeiter!$D$6:$D$205,MATCH(B146,Mitarbeiter!$A$6:$A$205,0))&lt;&gt;"",A146&gt;INDEX(Mitarbeiter!$D$6:$D$205,MATCH(B146,Mitarbeiter!$A$6:$A$205,0))),"nach Austritt","ok")))))))</f>
        <v/>
      </c>
    </row>
    <row r="147">
      <c r="A147" s="26" t="n">
        <v>46054</v>
      </c>
      <c r="B147" s="24" t="n">
        <v>1028</v>
      </c>
      <c r="C147" s="40">
        <f>IF(B147="","",IFERROR(INDEX(Mitarbeiter!$B$6:$B$205,MATCH(B147,Mitarbeiter!$A$6:$A$205,0)),"?"))</f>
        <v/>
      </c>
      <c r="D147" s="41" t="inlineStr">
        <is>
          <t>Objekt 1</t>
        </is>
      </c>
      <c r="E147" s="42" t="n">
        <v>33.5</v>
      </c>
      <c r="F147" s="43" t="n">
        <v>0</v>
      </c>
      <c r="G147" s="44">
        <f>IF(OR(B147="",F147=""),"",IFERROR(F147*INDEX(Mitarbeiter!$F$6:$F$205,MATCH(B147,Mitarbeiter!$A$6:$A$205,0)),0))</f>
        <v/>
      </c>
      <c r="H147" s="8">
        <f>IF(B147="","",IF(ISNA(MATCH(B147,Mitarbeiter!$A$6:$A$205,0)),"Pers.-Nr. unbekannt",IF(A147="","Datum fehlt",IF(AND(D147&lt;&gt;Einstellungen!$C$4,D147&lt;&gt;Einstellungen!$C$5),"Objekt fehlt",IF(YEAR(A147)&lt;&gt;Einstellungen!$C$3,"anderes Jahr",IF(A147&lt;INDEX(Mitarbeiter!$C$6:$C$205,MATCH(B147,Mitarbeiter!$A$6:$A$205,0)),"vor Eintritt",IF(AND(INDEX(Mitarbeiter!$D$6:$D$205,MATCH(B147,Mitarbeiter!$A$6:$A$205,0))&lt;&gt;"",A147&gt;INDEX(Mitarbeiter!$D$6:$D$205,MATCH(B147,Mitarbeiter!$A$6:$A$205,0))),"nach Austritt","ok")))))))</f>
        <v/>
      </c>
    </row>
    <row r="148">
      <c r="A148" s="26" t="n">
        <v>46054</v>
      </c>
      <c r="B148" s="24" t="n">
        <v>1028</v>
      </c>
      <c r="C148" s="40">
        <f>IF(B148="","",IFERROR(INDEX(Mitarbeiter!$B$6:$B$205,MATCH(B148,Mitarbeiter!$A$6:$A$205,0)),"?"))</f>
        <v/>
      </c>
      <c r="D148" s="41" t="inlineStr">
        <is>
          <t>Objekt 2</t>
        </is>
      </c>
      <c r="E148" s="42" t="n">
        <v>120</v>
      </c>
      <c r="F148" s="43" t="n">
        <v>1</v>
      </c>
      <c r="G148" s="44">
        <f>IF(OR(B148="",F148=""),"",IFERROR(F148*INDEX(Mitarbeiter!$F$6:$F$205,MATCH(B148,Mitarbeiter!$A$6:$A$205,0)),0))</f>
        <v/>
      </c>
      <c r="H148" s="8">
        <f>IF(B148="","",IF(ISNA(MATCH(B148,Mitarbeiter!$A$6:$A$205,0)),"Pers.-Nr. unbekannt",IF(A148="","Datum fehlt",IF(AND(D148&lt;&gt;Einstellungen!$C$4,D148&lt;&gt;Einstellungen!$C$5),"Objekt fehlt",IF(YEAR(A148)&lt;&gt;Einstellungen!$C$3,"anderes Jahr",IF(A148&lt;INDEX(Mitarbeiter!$C$6:$C$205,MATCH(B148,Mitarbeiter!$A$6:$A$205,0)),"vor Eintritt",IF(AND(INDEX(Mitarbeiter!$D$6:$D$205,MATCH(B148,Mitarbeiter!$A$6:$A$205,0))&lt;&gt;"",A148&gt;INDEX(Mitarbeiter!$D$6:$D$205,MATCH(B148,Mitarbeiter!$A$6:$A$205,0))),"nach Austritt","ok")))))))</f>
        <v/>
      </c>
    </row>
    <row r="149">
      <c r="A149" s="26" t="n">
        <v>46054</v>
      </c>
      <c r="B149" s="24" t="n">
        <v>1029</v>
      </c>
      <c r="C149" s="40">
        <f>IF(B149="","",IFERROR(INDEX(Mitarbeiter!$B$6:$B$205,MATCH(B149,Mitarbeiter!$A$6:$A$205,0)),"?"))</f>
        <v/>
      </c>
      <c r="D149" s="41" t="inlineStr">
        <is>
          <t>Objekt 1</t>
        </is>
      </c>
      <c r="E149" s="42" t="n">
        <v>160</v>
      </c>
      <c r="F149" s="43" t="n">
        <v>0</v>
      </c>
      <c r="G149" s="44">
        <f>IF(OR(B149="",F149=""),"",IFERROR(F149*INDEX(Mitarbeiter!$F$6:$F$205,MATCH(B149,Mitarbeiter!$A$6:$A$205,0)),0))</f>
        <v/>
      </c>
      <c r="H149" s="8">
        <f>IF(B149="","",IF(ISNA(MATCH(B149,Mitarbeiter!$A$6:$A$205,0)),"Pers.-Nr. unbekannt",IF(A149="","Datum fehlt",IF(AND(D149&lt;&gt;Einstellungen!$C$4,D149&lt;&gt;Einstellungen!$C$5),"Objekt fehlt",IF(YEAR(A149)&lt;&gt;Einstellungen!$C$3,"anderes Jahr",IF(A149&lt;INDEX(Mitarbeiter!$C$6:$C$205,MATCH(B149,Mitarbeiter!$A$6:$A$205,0)),"vor Eintritt",IF(AND(INDEX(Mitarbeiter!$D$6:$D$205,MATCH(B149,Mitarbeiter!$A$6:$A$205,0))&lt;&gt;"",A149&gt;INDEX(Mitarbeiter!$D$6:$D$205,MATCH(B149,Mitarbeiter!$A$6:$A$205,0))),"nach Austritt","ok")))))))</f>
        <v/>
      </c>
    </row>
    <row r="150">
      <c r="A150" s="26" t="n">
        <v>46054</v>
      </c>
      <c r="B150" s="24" t="n">
        <v>1030</v>
      </c>
      <c r="C150" s="40">
        <f>IF(B150="","",IFERROR(INDEX(Mitarbeiter!$B$6:$B$205,MATCH(B150,Mitarbeiter!$A$6:$A$205,0)),"?"))</f>
        <v/>
      </c>
      <c r="D150" s="41" t="inlineStr">
        <is>
          <t>Objekt 2</t>
        </is>
      </c>
      <c r="E150" s="42" t="n">
        <v>120</v>
      </c>
      <c r="F150" s="43" t="n">
        <v>0</v>
      </c>
      <c r="G150" s="44">
        <f>IF(OR(B150="",F150=""),"",IFERROR(F150*INDEX(Mitarbeiter!$F$6:$F$205,MATCH(B150,Mitarbeiter!$A$6:$A$205,0)),0))</f>
        <v/>
      </c>
      <c r="H150" s="8">
        <f>IF(B150="","",IF(ISNA(MATCH(B150,Mitarbeiter!$A$6:$A$205,0)),"Pers.-Nr. unbekannt",IF(A150="","Datum fehlt",IF(AND(D150&lt;&gt;Einstellungen!$C$4,D150&lt;&gt;Einstellungen!$C$5),"Objekt fehlt",IF(YEAR(A150)&lt;&gt;Einstellungen!$C$3,"anderes Jahr",IF(A150&lt;INDEX(Mitarbeiter!$C$6:$C$205,MATCH(B150,Mitarbeiter!$A$6:$A$205,0)),"vor Eintritt",IF(AND(INDEX(Mitarbeiter!$D$6:$D$205,MATCH(B150,Mitarbeiter!$A$6:$A$205,0))&lt;&gt;"",A150&gt;INDEX(Mitarbeiter!$D$6:$D$205,MATCH(B150,Mitarbeiter!$A$6:$A$205,0))),"nach Austritt","ok")))))))</f>
        <v/>
      </c>
    </row>
    <row r="151">
      <c r="A151" s="26" t="n">
        <v>46054</v>
      </c>
      <c r="B151" s="24" t="n">
        <v>1031</v>
      </c>
      <c r="C151" s="40">
        <f>IF(B151="","",IFERROR(INDEX(Mitarbeiter!$B$6:$B$205,MATCH(B151,Mitarbeiter!$A$6:$A$205,0)),"?"))</f>
        <v/>
      </c>
      <c r="D151" s="41" t="inlineStr">
        <is>
          <t>Objekt 2</t>
        </is>
      </c>
      <c r="E151" s="42" t="n">
        <v>144</v>
      </c>
      <c r="F151" s="43" t="n">
        <v>2</v>
      </c>
      <c r="G151" s="44">
        <f>IF(OR(B151="",F151=""),"",IFERROR(F151*INDEX(Mitarbeiter!$F$6:$F$205,MATCH(B151,Mitarbeiter!$A$6:$A$205,0)),0))</f>
        <v/>
      </c>
      <c r="H151" s="8">
        <f>IF(B151="","",IF(ISNA(MATCH(B151,Mitarbeiter!$A$6:$A$205,0)),"Pers.-Nr. unbekannt",IF(A151="","Datum fehlt",IF(AND(D151&lt;&gt;Einstellungen!$C$4,D151&lt;&gt;Einstellungen!$C$5),"Objekt fehlt",IF(YEAR(A151)&lt;&gt;Einstellungen!$C$3,"anderes Jahr",IF(A151&lt;INDEX(Mitarbeiter!$C$6:$C$205,MATCH(B151,Mitarbeiter!$A$6:$A$205,0)),"vor Eintritt",IF(AND(INDEX(Mitarbeiter!$D$6:$D$205,MATCH(B151,Mitarbeiter!$A$6:$A$205,0))&lt;&gt;"",A151&gt;INDEX(Mitarbeiter!$D$6:$D$205,MATCH(B151,Mitarbeiter!$A$6:$A$205,0))),"nach Austritt","ok")))))))</f>
        <v/>
      </c>
    </row>
    <row r="152">
      <c r="A152" s="26" t="n">
        <v>46054</v>
      </c>
      <c r="B152" s="24" t="n">
        <v>1032</v>
      </c>
      <c r="C152" s="40">
        <f>IF(B152="","",IFERROR(INDEX(Mitarbeiter!$B$6:$B$205,MATCH(B152,Mitarbeiter!$A$6:$A$205,0)),"?"))</f>
        <v/>
      </c>
      <c r="D152" s="41" t="inlineStr">
        <is>
          <t>Objekt 1</t>
        </is>
      </c>
      <c r="E152" s="42" t="n">
        <v>35</v>
      </c>
      <c r="F152" s="43" t="n">
        <v>0</v>
      </c>
      <c r="G152" s="44">
        <f>IF(OR(B152="",F152=""),"",IFERROR(F152*INDEX(Mitarbeiter!$F$6:$F$205,MATCH(B152,Mitarbeiter!$A$6:$A$205,0)),0))</f>
        <v/>
      </c>
      <c r="H152" s="8">
        <f>IF(B152="","",IF(ISNA(MATCH(B152,Mitarbeiter!$A$6:$A$205,0)),"Pers.-Nr. unbekannt",IF(A152="","Datum fehlt",IF(AND(D152&lt;&gt;Einstellungen!$C$4,D152&lt;&gt;Einstellungen!$C$5),"Objekt fehlt",IF(YEAR(A152)&lt;&gt;Einstellungen!$C$3,"anderes Jahr",IF(A152&lt;INDEX(Mitarbeiter!$C$6:$C$205,MATCH(B152,Mitarbeiter!$A$6:$A$205,0)),"vor Eintritt",IF(AND(INDEX(Mitarbeiter!$D$6:$D$205,MATCH(B152,Mitarbeiter!$A$6:$A$205,0))&lt;&gt;"",A152&gt;INDEX(Mitarbeiter!$D$6:$D$205,MATCH(B152,Mitarbeiter!$A$6:$A$205,0))),"nach Austritt","ok")))))))</f>
        <v/>
      </c>
    </row>
    <row r="153">
      <c r="A153" s="26" t="n">
        <v>46054</v>
      </c>
      <c r="B153" s="24" t="n">
        <v>1032</v>
      </c>
      <c r="C153" s="40">
        <f>IF(B153="","",IFERROR(INDEX(Mitarbeiter!$B$6:$B$205,MATCH(B153,Mitarbeiter!$A$6:$A$205,0)),"?"))</f>
        <v/>
      </c>
      <c r="D153" s="41" t="inlineStr">
        <is>
          <t>Objekt 2</t>
        </is>
      </c>
      <c r="E153" s="42" t="n">
        <v>56</v>
      </c>
      <c r="F153" s="43" t="n">
        <v>0</v>
      </c>
      <c r="G153" s="44">
        <f>IF(OR(B153="",F153=""),"",IFERROR(F153*INDEX(Mitarbeiter!$F$6:$F$205,MATCH(B153,Mitarbeiter!$A$6:$A$205,0)),0))</f>
        <v/>
      </c>
      <c r="H153" s="8">
        <f>IF(B153="","",IF(ISNA(MATCH(B153,Mitarbeiter!$A$6:$A$205,0)),"Pers.-Nr. unbekannt",IF(A153="","Datum fehlt",IF(AND(D153&lt;&gt;Einstellungen!$C$4,D153&lt;&gt;Einstellungen!$C$5),"Objekt fehlt",IF(YEAR(A153)&lt;&gt;Einstellungen!$C$3,"anderes Jahr",IF(A153&lt;INDEX(Mitarbeiter!$C$6:$C$205,MATCH(B153,Mitarbeiter!$A$6:$A$205,0)),"vor Eintritt",IF(AND(INDEX(Mitarbeiter!$D$6:$D$205,MATCH(B153,Mitarbeiter!$A$6:$A$205,0))&lt;&gt;"",A153&gt;INDEX(Mitarbeiter!$D$6:$D$205,MATCH(B153,Mitarbeiter!$A$6:$A$205,0))),"nach Austritt","ok")))))))</f>
        <v/>
      </c>
    </row>
    <row r="154">
      <c r="A154" s="26" t="n">
        <v>46054</v>
      </c>
      <c r="B154" s="24" t="n">
        <v>1033</v>
      </c>
      <c r="C154" s="40">
        <f>IF(B154="","",IFERROR(INDEX(Mitarbeiter!$B$6:$B$205,MATCH(B154,Mitarbeiter!$A$6:$A$205,0)),"?"))</f>
        <v/>
      </c>
      <c r="D154" s="41" t="inlineStr">
        <is>
          <t>Objekt 1</t>
        </is>
      </c>
      <c r="E154" s="42" t="n">
        <v>142.5</v>
      </c>
      <c r="F154" s="43" t="n">
        <v>2</v>
      </c>
      <c r="G154" s="44">
        <f>IF(OR(B154="",F154=""),"",IFERROR(F154*INDEX(Mitarbeiter!$F$6:$F$205,MATCH(B154,Mitarbeiter!$A$6:$A$205,0)),0))</f>
        <v/>
      </c>
      <c r="H154" s="8">
        <f>IF(B154="","",IF(ISNA(MATCH(B154,Mitarbeiter!$A$6:$A$205,0)),"Pers.-Nr. unbekannt",IF(A154="","Datum fehlt",IF(AND(D154&lt;&gt;Einstellungen!$C$4,D154&lt;&gt;Einstellungen!$C$5),"Objekt fehlt",IF(YEAR(A154)&lt;&gt;Einstellungen!$C$3,"anderes Jahr",IF(A154&lt;INDEX(Mitarbeiter!$C$6:$C$205,MATCH(B154,Mitarbeiter!$A$6:$A$205,0)),"vor Eintritt",IF(AND(INDEX(Mitarbeiter!$D$6:$D$205,MATCH(B154,Mitarbeiter!$A$6:$A$205,0))&lt;&gt;"",A154&gt;INDEX(Mitarbeiter!$D$6:$D$205,MATCH(B154,Mitarbeiter!$A$6:$A$205,0))),"nach Austritt","ok")))))))</f>
        <v/>
      </c>
    </row>
    <row r="155">
      <c r="A155" s="26" t="n">
        <v>46054</v>
      </c>
      <c r="B155" s="24" t="n">
        <v>1034</v>
      </c>
      <c r="C155" s="40">
        <f>IF(B155="","",IFERROR(INDEX(Mitarbeiter!$B$6:$B$205,MATCH(B155,Mitarbeiter!$A$6:$A$205,0)),"?"))</f>
        <v/>
      </c>
      <c r="D155" s="41" t="inlineStr">
        <is>
          <t>Objekt 1</t>
        </is>
      </c>
      <c r="E155" s="42" t="n">
        <v>46.5</v>
      </c>
      <c r="F155" s="43" t="n">
        <v>0</v>
      </c>
      <c r="G155" s="44">
        <f>IF(OR(B155="",F155=""),"",IFERROR(F155*INDEX(Mitarbeiter!$F$6:$F$205,MATCH(B155,Mitarbeiter!$A$6:$A$205,0)),0))</f>
        <v/>
      </c>
      <c r="H155" s="8">
        <f>IF(B155="","",IF(ISNA(MATCH(B155,Mitarbeiter!$A$6:$A$205,0)),"Pers.-Nr. unbekannt",IF(A155="","Datum fehlt",IF(AND(D155&lt;&gt;Einstellungen!$C$4,D155&lt;&gt;Einstellungen!$C$5),"Objekt fehlt",IF(YEAR(A155)&lt;&gt;Einstellungen!$C$3,"anderes Jahr",IF(A155&lt;INDEX(Mitarbeiter!$C$6:$C$205,MATCH(B155,Mitarbeiter!$A$6:$A$205,0)),"vor Eintritt",IF(AND(INDEX(Mitarbeiter!$D$6:$D$205,MATCH(B155,Mitarbeiter!$A$6:$A$205,0))&lt;&gt;"",A155&gt;INDEX(Mitarbeiter!$D$6:$D$205,MATCH(B155,Mitarbeiter!$A$6:$A$205,0))),"nach Austritt","ok")))))))</f>
        <v/>
      </c>
    </row>
    <row r="156">
      <c r="A156" s="26" t="n">
        <v>46054</v>
      </c>
      <c r="B156" s="24" t="n">
        <v>1034</v>
      </c>
      <c r="C156" s="40">
        <f>IF(B156="","",IFERROR(INDEX(Mitarbeiter!$B$6:$B$205,MATCH(B156,Mitarbeiter!$A$6:$A$205,0)),"?"))</f>
        <v/>
      </c>
      <c r="D156" s="41" t="inlineStr">
        <is>
          <t>Objekt 2</t>
        </is>
      </c>
      <c r="E156" s="42" t="n">
        <v>72</v>
      </c>
      <c r="F156" s="43" t="n">
        <v>0</v>
      </c>
      <c r="G156" s="44">
        <f>IF(OR(B156="",F156=""),"",IFERROR(F156*INDEX(Mitarbeiter!$F$6:$F$205,MATCH(B156,Mitarbeiter!$A$6:$A$205,0)),0))</f>
        <v/>
      </c>
      <c r="H156" s="8">
        <f>IF(B156="","",IF(ISNA(MATCH(B156,Mitarbeiter!$A$6:$A$205,0)),"Pers.-Nr. unbekannt",IF(A156="","Datum fehlt",IF(AND(D156&lt;&gt;Einstellungen!$C$4,D156&lt;&gt;Einstellungen!$C$5),"Objekt fehlt",IF(YEAR(A156)&lt;&gt;Einstellungen!$C$3,"anderes Jahr",IF(A156&lt;INDEX(Mitarbeiter!$C$6:$C$205,MATCH(B156,Mitarbeiter!$A$6:$A$205,0)),"vor Eintritt",IF(AND(INDEX(Mitarbeiter!$D$6:$D$205,MATCH(B156,Mitarbeiter!$A$6:$A$205,0))&lt;&gt;"",A156&gt;INDEX(Mitarbeiter!$D$6:$D$205,MATCH(B156,Mitarbeiter!$A$6:$A$205,0))),"nach Austritt","ok")))))))</f>
        <v/>
      </c>
    </row>
    <row r="157">
      <c r="A157" s="26" t="n">
        <v>46054</v>
      </c>
      <c r="B157" s="24" t="n">
        <v>1035</v>
      </c>
      <c r="C157" s="40">
        <f>IF(B157="","",IFERROR(INDEX(Mitarbeiter!$B$6:$B$205,MATCH(B157,Mitarbeiter!$A$6:$A$205,0)),"?"))</f>
        <v/>
      </c>
      <c r="D157" s="41" t="inlineStr">
        <is>
          <t>Objekt 2</t>
        </is>
      </c>
      <c r="E157" s="42" t="n">
        <v>152</v>
      </c>
      <c r="F157" s="43" t="n">
        <v>1</v>
      </c>
      <c r="G157" s="44">
        <f>IF(OR(B157="",F157=""),"",IFERROR(F157*INDEX(Mitarbeiter!$F$6:$F$205,MATCH(B157,Mitarbeiter!$A$6:$A$205,0)),0))</f>
        <v/>
      </c>
      <c r="H157" s="8">
        <f>IF(B157="","",IF(ISNA(MATCH(B157,Mitarbeiter!$A$6:$A$205,0)),"Pers.-Nr. unbekannt",IF(A157="","Datum fehlt",IF(AND(D157&lt;&gt;Einstellungen!$C$4,D157&lt;&gt;Einstellungen!$C$5),"Objekt fehlt",IF(YEAR(A157)&lt;&gt;Einstellungen!$C$3,"anderes Jahr",IF(A157&lt;INDEX(Mitarbeiter!$C$6:$C$205,MATCH(B157,Mitarbeiter!$A$6:$A$205,0)),"vor Eintritt",IF(AND(INDEX(Mitarbeiter!$D$6:$D$205,MATCH(B157,Mitarbeiter!$A$6:$A$205,0))&lt;&gt;"",A157&gt;INDEX(Mitarbeiter!$D$6:$D$205,MATCH(B157,Mitarbeiter!$A$6:$A$205,0))),"nach Austritt","ok")))))))</f>
        <v/>
      </c>
    </row>
    <row r="158">
      <c r="A158" s="26" t="n">
        <v>46054</v>
      </c>
      <c r="B158" s="24" t="n">
        <v>1036</v>
      </c>
      <c r="C158" s="40">
        <f>IF(B158="","",IFERROR(INDEX(Mitarbeiter!$B$6:$B$205,MATCH(B158,Mitarbeiter!$A$6:$A$205,0)),"?"))</f>
        <v/>
      </c>
      <c r="D158" s="41" t="inlineStr">
        <is>
          <t>Objekt 1</t>
        </is>
      </c>
      <c r="E158" s="42" t="n">
        <v>35</v>
      </c>
      <c r="F158" s="43" t="n">
        <v>0</v>
      </c>
      <c r="G158" s="44">
        <f>IF(OR(B158="",F158=""),"",IFERROR(F158*INDEX(Mitarbeiter!$F$6:$F$205,MATCH(B158,Mitarbeiter!$A$6:$A$205,0)),0))</f>
        <v/>
      </c>
      <c r="H158" s="8">
        <f>IF(B158="","",IF(ISNA(MATCH(B158,Mitarbeiter!$A$6:$A$205,0)),"Pers.-Nr. unbekannt",IF(A158="","Datum fehlt",IF(AND(D158&lt;&gt;Einstellungen!$C$4,D158&lt;&gt;Einstellungen!$C$5),"Objekt fehlt",IF(YEAR(A158)&lt;&gt;Einstellungen!$C$3,"anderes Jahr",IF(A158&lt;INDEX(Mitarbeiter!$C$6:$C$205,MATCH(B158,Mitarbeiter!$A$6:$A$205,0)),"vor Eintritt",IF(AND(INDEX(Mitarbeiter!$D$6:$D$205,MATCH(B158,Mitarbeiter!$A$6:$A$205,0))&lt;&gt;"",A158&gt;INDEX(Mitarbeiter!$D$6:$D$205,MATCH(B158,Mitarbeiter!$A$6:$A$205,0))),"nach Austritt","ok")))))))</f>
        <v/>
      </c>
    </row>
    <row r="159">
      <c r="A159" s="26" t="n">
        <v>46054</v>
      </c>
      <c r="B159" s="24" t="n">
        <v>1036</v>
      </c>
      <c r="C159" s="40">
        <f>IF(B159="","",IFERROR(INDEX(Mitarbeiter!$B$6:$B$205,MATCH(B159,Mitarbeiter!$A$6:$A$205,0)),"?"))</f>
        <v/>
      </c>
      <c r="D159" s="41" t="inlineStr">
        <is>
          <t>Objekt 2</t>
        </is>
      </c>
      <c r="E159" s="42" t="n">
        <v>48</v>
      </c>
      <c r="F159" s="43" t="n">
        <v>0</v>
      </c>
      <c r="G159" s="44">
        <f>IF(OR(B159="",F159=""),"",IFERROR(F159*INDEX(Mitarbeiter!$F$6:$F$205,MATCH(B159,Mitarbeiter!$A$6:$A$205,0)),0))</f>
        <v/>
      </c>
      <c r="H159" s="8">
        <f>IF(B159="","",IF(ISNA(MATCH(B159,Mitarbeiter!$A$6:$A$205,0)),"Pers.-Nr. unbekannt",IF(A159="","Datum fehlt",IF(AND(D159&lt;&gt;Einstellungen!$C$4,D159&lt;&gt;Einstellungen!$C$5),"Objekt fehlt",IF(YEAR(A159)&lt;&gt;Einstellungen!$C$3,"anderes Jahr",IF(A159&lt;INDEX(Mitarbeiter!$C$6:$C$205,MATCH(B159,Mitarbeiter!$A$6:$A$205,0)),"vor Eintritt",IF(AND(INDEX(Mitarbeiter!$D$6:$D$205,MATCH(B159,Mitarbeiter!$A$6:$A$205,0))&lt;&gt;"",A159&gt;INDEX(Mitarbeiter!$D$6:$D$205,MATCH(B159,Mitarbeiter!$A$6:$A$205,0))),"nach Austritt","ok")))))))</f>
        <v/>
      </c>
    </row>
    <row r="160">
      <c r="A160" s="26" t="n">
        <v>46054</v>
      </c>
      <c r="B160" s="24" t="n">
        <v>1037</v>
      </c>
      <c r="C160" s="40">
        <f>IF(B160="","",IFERROR(INDEX(Mitarbeiter!$B$6:$B$205,MATCH(B160,Mitarbeiter!$A$6:$A$205,0)),"?"))</f>
        <v/>
      </c>
      <c r="D160" s="41" t="inlineStr">
        <is>
          <t>Objekt 1</t>
        </is>
      </c>
      <c r="E160" s="42" t="n">
        <v>99</v>
      </c>
      <c r="F160" s="43" t="n">
        <v>0</v>
      </c>
      <c r="G160" s="44">
        <f>IF(OR(B160="",F160=""),"",IFERROR(F160*INDEX(Mitarbeiter!$F$6:$F$205,MATCH(B160,Mitarbeiter!$A$6:$A$205,0)),0))</f>
        <v/>
      </c>
      <c r="H160" s="8">
        <f>IF(B160="","",IF(ISNA(MATCH(B160,Mitarbeiter!$A$6:$A$205,0)),"Pers.-Nr. unbekannt",IF(A160="","Datum fehlt",IF(AND(D160&lt;&gt;Einstellungen!$C$4,D160&lt;&gt;Einstellungen!$C$5),"Objekt fehlt",IF(YEAR(A160)&lt;&gt;Einstellungen!$C$3,"anderes Jahr",IF(A160&lt;INDEX(Mitarbeiter!$C$6:$C$205,MATCH(B160,Mitarbeiter!$A$6:$A$205,0)),"vor Eintritt",IF(AND(INDEX(Mitarbeiter!$D$6:$D$205,MATCH(B160,Mitarbeiter!$A$6:$A$205,0))&lt;&gt;"",A160&gt;INDEX(Mitarbeiter!$D$6:$D$205,MATCH(B160,Mitarbeiter!$A$6:$A$205,0))),"nach Austritt","ok")))))))</f>
        <v/>
      </c>
    </row>
    <row r="161">
      <c r="A161" s="26" t="n">
        <v>46054</v>
      </c>
      <c r="B161" s="24" t="n">
        <v>1037</v>
      </c>
      <c r="C161" s="40">
        <f>IF(B161="","",IFERROR(INDEX(Mitarbeiter!$B$6:$B$205,MATCH(B161,Mitarbeiter!$A$6:$A$205,0)),"?"))</f>
        <v/>
      </c>
      <c r="D161" s="41" t="inlineStr">
        <is>
          <t>Objekt 2</t>
        </is>
      </c>
      <c r="E161" s="42" t="n">
        <v>62.5</v>
      </c>
      <c r="F161" s="43" t="n">
        <v>0</v>
      </c>
      <c r="G161" s="44">
        <f>IF(OR(B161="",F161=""),"",IFERROR(F161*INDEX(Mitarbeiter!$F$6:$F$205,MATCH(B161,Mitarbeiter!$A$6:$A$205,0)),0))</f>
        <v/>
      </c>
      <c r="H161" s="8">
        <f>IF(B161="","",IF(ISNA(MATCH(B161,Mitarbeiter!$A$6:$A$205,0)),"Pers.-Nr. unbekannt",IF(A161="","Datum fehlt",IF(AND(D161&lt;&gt;Einstellungen!$C$4,D161&lt;&gt;Einstellungen!$C$5),"Objekt fehlt",IF(YEAR(A161)&lt;&gt;Einstellungen!$C$3,"anderes Jahr",IF(A161&lt;INDEX(Mitarbeiter!$C$6:$C$205,MATCH(B161,Mitarbeiter!$A$6:$A$205,0)),"vor Eintritt",IF(AND(INDEX(Mitarbeiter!$D$6:$D$205,MATCH(B161,Mitarbeiter!$A$6:$A$205,0))&lt;&gt;"",A161&gt;INDEX(Mitarbeiter!$D$6:$D$205,MATCH(B161,Mitarbeiter!$A$6:$A$205,0))),"nach Austritt","ok")))))))</f>
        <v/>
      </c>
    </row>
    <row r="162">
      <c r="A162" s="26" t="n">
        <v>46054</v>
      </c>
      <c r="B162" s="24" t="n">
        <v>1038</v>
      </c>
      <c r="C162" s="40">
        <f>IF(B162="","",IFERROR(INDEX(Mitarbeiter!$B$6:$B$205,MATCH(B162,Mitarbeiter!$A$6:$A$205,0)),"?"))</f>
        <v/>
      </c>
      <c r="D162" s="41" t="inlineStr">
        <is>
          <t>Objekt 1</t>
        </is>
      </c>
      <c r="E162" s="42" t="n">
        <v>83</v>
      </c>
      <c r="F162" s="43" t="n">
        <v>0</v>
      </c>
      <c r="G162" s="44">
        <f>IF(OR(B162="",F162=""),"",IFERROR(F162*INDEX(Mitarbeiter!$F$6:$F$205,MATCH(B162,Mitarbeiter!$A$6:$A$205,0)),0))</f>
        <v/>
      </c>
      <c r="H162" s="8">
        <f>IF(B162="","",IF(ISNA(MATCH(B162,Mitarbeiter!$A$6:$A$205,0)),"Pers.-Nr. unbekannt",IF(A162="","Datum fehlt",IF(AND(D162&lt;&gt;Einstellungen!$C$4,D162&lt;&gt;Einstellungen!$C$5),"Objekt fehlt",IF(YEAR(A162)&lt;&gt;Einstellungen!$C$3,"anderes Jahr",IF(A162&lt;INDEX(Mitarbeiter!$C$6:$C$205,MATCH(B162,Mitarbeiter!$A$6:$A$205,0)),"vor Eintritt",IF(AND(INDEX(Mitarbeiter!$D$6:$D$205,MATCH(B162,Mitarbeiter!$A$6:$A$205,0))&lt;&gt;"",A162&gt;INDEX(Mitarbeiter!$D$6:$D$205,MATCH(B162,Mitarbeiter!$A$6:$A$205,0))),"nach Austritt","ok")))))))</f>
        <v/>
      </c>
    </row>
    <row r="163">
      <c r="A163" s="26" t="n">
        <v>46054</v>
      </c>
      <c r="B163" s="24" t="n">
        <v>1038</v>
      </c>
      <c r="C163" s="40">
        <f>IF(B163="","",IFERROR(INDEX(Mitarbeiter!$B$6:$B$205,MATCH(B163,Mitarbeiter!$A$6:$A$205,0)),"?"))</f>
        <v/>
      </c>
      <c r="D163" s="41" t="inlineStr">
        <is>
          <t>Objekt 2</t>
        </is>
      </c>
      <c r="E163" s="42" t="n">
        <v>81.5</v>
      </c>
      <c r="F163" s="43" t="n">
        <v>0</v>
      </c>
      <c r="G163" s="44">
        <f>IF(OR(B163="",F163=""),"",IFERROR(F163*INDEX(Mitarbeiter!$F$6:$F$205,MATCH(B163,Mitarbeiter!$A$6:$A$205,0)),0))</f>
        <v/>
      </c>
      <c r="H163" s="8">
        <f>IF(B163="","",IF(ISNA(MATCH(B163,Mitarbeiter!$A$6:$A$205,0)),"Pers.-Nr. unbekannt",IF(A163="","Datum fehlt",IF(AND(D163&lt;&gt;Einstellungen!$C$4,D163&lt;&gt;Einstellungen!$C$5),"Objekt fehlt",IF(YEAR(A163)&lt;&gt;Einstellungen!$C$3,"anderes Jahr",IF(A163&lt;INDEX(Mitarbeiter!$C$6:$C$205,MATCH(B163,Mitarbeiter!$A$6:$A$205,0)),"vor Eintritt",IF(AND(INDEX(Mitarbeiter!$D$6:$D$205,MATCH(B163,Mitarbeiter!$A$6:$A$205,0))&lt;&gt;"",A163&gt;INDEX(Mitarbeiter!$D$6:$D$205,MATCH(B163,Mitarbeiter!$A$6:$A$205,0))),"nach Austritt","ok")))))))</f>
        <v/>
      </c>
    </row>
    <row r="164">
      <c r="A164" s="26" t="n">
        <v>46054</v>
      </c>
      <c r="B164" s="24" t="n">
        <v>1039</v>
      </c>
      <c r="C164" s="40">
        <f>IF(B164="","",IFERROR(INDEX(Mitarbeiter!$B$6:$B$205,MATCH(B164,Mitarbeiter!$A$6:$A$205,0)),"?"))</f>
        <v/>
      </c>
      <c r="D164" s="41" t="inlineStr">
        <is>
          <t>Objekt 2</t>
        </is>
      </c>
      <c r="E164" s="42" t="n">
        <v>144</v>
      </c>
      <c r="F164" s="43" t="n">
        <v>2</v>
      </c>
      <c r="G164" s="44">
        <f>IF(OR(B164="",F164=""),"",IFERROR(F164*INDEX(Mitarbeiter!$F$6:$F$205,MATCH(B164,Mitarbeiter!$A$6:$A$205,0)),0))</f>
        <v/>
      </c>
      <c r="H164" s="8">
        <f>IF(B164="","",IF(ISNA(MATCH(B164,Mitarbeiter!$A$6:$A$205,0)),"Pers.-Nr. unbekannt",IF(A164="","Datum fehlt",IF(AND(D164&lt;&gt;Einstellungen!$C$4,D164&lt;&gt;Einstellungen!$C$5),"Objekt fehlt",IF(YEAR(A164)&lt;&gt;Einstellungen!$C$3,"anderes Jahr",IF(A164&lt;INDEX(Mitarbeiter!$C$6:$C$205,MATCH(B164,Mitarbeiter!$A$6:$A$205,0)),"vor Eintritt",IF(AND(INDEX(Mitarbeiter!$D$6:$D$205,MATCH(B164,Mitarbeiter!$A$6:$A$205,0))&lt;&gt;"",A164&gt;INDEX(Mitarbeiter!$D$6:$D$205,MATCH(B164,Mitarbeiter!$A$6:$A$205,0))),"nach Austritt","ok")))))))</f>
        <v/>
      </c>
    </row>
    <row r="165">
      <c r="A165" s="26" t="n">
        <v>46054</v>
      </c>
      <c r="B165" s="24" t="n">
        <v>1040</v>
      </c>
      <c r="C165" s="40">
        <f>IF(B165="","",IFERROR(INDEX(Mitarbeiter!$B$6:$B$205,MATCH(B165,Mitarbeiter!$A$6:$A$205,0)),"?"))</f>
        <v/>
      </c>
      <c r="D165" s="41" t="inlineStr">
        <is>
          <t>Objekt 1</t>
        </is>
      </c>
      <c r="E165" s="42" t="n">
        <v>90</v>
      </c>
      <c r="F165" s="43" t="n">
        <v>1</v>
      </c>
      <c r="G165" s="44">
        <f>IF(OR(B165="",F165=""),"",IFERROR(F165*INDEX(Mitarbeiter!$F$6:$F$205,MATCH(B165,Mitarbeiter!$A$6:$A$205,0)),0))</f>
        <v/>
      </c>
      <c r="H165" s="8">
        <f>IF(B165="","",IF(ISNA(MATCH(B165,Mitarbeiter!$A$6:$A$205,0)),"Pers.-Nr. unbekannt",IF(A165="","Datum fehlt",IF(AND(D165&lt;&gt;Einstellungen!$C$4,D165&lt;&gt;Einstellungen!$C$5),"Objekt fehlt",IF(YEAR(A165)&lt;&gt;Einstellungen!$C$3,"anderes Jahr",IF(A165&lt;INDEX(Mitarbeiter!$C$6:$C$205,MATCH(B165,Mitarbeiter!$A$6:$A$205,0)),"vor Eintritt",IF(AND(INDEX(Mitarbeiter!$D$6:$D$205,MATCH(B165,Mitarbeiter!$A$6:$A$205,0))&lt;&gt;"",A165&gt;INDEX(Mitarbeiter!$D$6:$D$205,MATCH(B165,Mitarbeiter!$A$6:$A$205,0))),"nach Austritt","ok")))))))</f>
        <v/>
      </c>
    </row>
    <row r="166">
      <c r="A166" s="26" t="n">
        <v>46054</v>
      </c>
      <c r="B166" s="24" t="n">
        <v>1040</v>
      </c>
      <c r="C166" s="40">
        <f>IF(B166="","",IFERROR(INDEX(Mitarbeiter!$B$6:$B$205,MATCH(B166,Mitarbeiter!$A$6:$A$205,0)),"?"))</f>
        <v/>
      </c>
      <c r="D166" s="41" t="inlineStr">
        <is>
          <t>Objekt 2</t>
        </is>
      </c>
      <c r="E166" s="42" t="n">
        <v>22.5</v>
      </c>
      <c r="F166" s="43" t="n">
        <v>0</v>
      </c>
      <c r="G166" s="44">
        <f>IF(OR(B166="",F166=""),"",IFERROR(F166*INDEX(Mitarbeiter!$F$6:$F$205,MATCH(B166,Mitarbeiter!$A$6:$A$205,0)),0))</f>
        <v/>
      </c>
      <c r="H166" s="8">
        <f>IF(B166="","",IF(ISNA(MATCH(B166,Mitarbeiter!$A$6:$A$205,0)),"Pers.-Nr. unbekannt",IF(A166="","Datum fehlt",IF(AND(D166&lt;&gt;Einstellungen!$C$4,D166&lt;&gt;Einstellungen!$C$5),"Objekt fehlt",IF(YEAR(A166)&lt;&gt;Einstellungen!$C$3,"anderes Jahr",IF(A166&lt;INDEX(Mitarbeiter!$C$6:$C$205,MATCH(B166,Mitarbeiter!$A$6:$A$205,0)),"vor Eintritt",IF(AND(INDEX(Mitarbeiter!$D$6:$D$205,MATCH(B166,Mitarbeiter!$A$6:$A$205,0))&lt;&gt;"",A166&gt;INDEX(Mitarbeiter!$D$6:$D$205,MATCH(B166,Mitarbeiter!$A$6:$A$205,0))),"nach Austritt","ok")))))))</f>
        <v/>
      </c>
    </row>
    <row r="167">
      <c r="A167" s="26" t="n">
        <v>46054</v>
      </c>
      <c r="B167" s="24" t="n">
        <v>1042</v>
      </c>
      <c r="C167" s="40">
        <f>IF(B167="","",IFERROR(INDEX(Mitarbeiter!$B$6:$B$205,MATCH(B167,Mitarbeiter!$A$6:$A$205,0)),"?"))</f>
        <v/>
      </c>
      <c r="D167" s="41" t="inlineStr">
        <is>
          <t>Objekt 1</t>
        </is>
      </c>
      <c r="E167" s="42" t="n">
        <v>25.5</v>
      </c>
      <c r="F167" s="43" t="n">
        <v>0</v>
      </c>
      <c r="G167" s="44">
        <f>IF(OR(B167="",F167=""),"",IFERROR(F167*INDEX(Mitarbeiter!$F$6:$F$205,MATCH(B167,Mitarbeiter!$A$6:$A$205,0)),0))</f>
        <v/>
      </c>
      <c r="H167" s="8">
        <f>IF(B167="","",IF(ISNA(MATCH(B167,Mitarbeiter!$A$6:$A$205,0)),"Pers.-Nr. unbekannt",IF(A167="","Datum fehlt",IF(AND(D167&lt;&gt;Einstellungen!$C$4,D167&lt;&gt;Einstellungen!$C$5),"Objekt fehlt",IF(YEAR(A167)&lt;&gt;Einstellungen!$C$3,"anderes Jahr",IF(A167&lt;INDEX(Mitarbeiter!$C$6:$C$205,MATCH(B167,Mitarbeiter!$A$6:$A$205,0)),"vor Eintritt",IF(AND(INDEX(Mitarbeiter!$D$6:$D$205,MATCH(B167,Mitarbeiter!$A$6:$A$205,0))&lt;&gt;"",A167&gt;INDEX(Mitarbeiter!$D$6:$D$205,MATCH(B167,Mitarbeiter!$A$6:$A$205,0))),"nach Austritt","ok")))))))</f>
        <v/>
      </c>
    </row>
    <row r="168">
      <c r="A168" s="26" t="n">
        <v>46054</v>
      </c>
      <c r="B168" s="24" t="n">
        <v>1042</v>
      </c>
      <c r="C168" s="40">
        <f>IF(B168="","",IFERROR(INDEX(Mitarbeiter!$B$6:$B$205,MATCH(B168,Mitarbeiter!$A$6:$A$205,0)),"?"))</f>
        <v/>
      </c>
      <c r="D168" s="41" t="inlineStr">
        <is>
          <t>Objekt 2</t>
        </is>
      </c>
      <c r="E168" s="42" t="n">
        <v>97.5</v>
      </c>
      <c r="F168" s="43" t="n">
        <v>0</v>
      </c>
      <c r="G168" s="44">
        <f>IF(OR(B168="",F168=""),"",IFERROR(F168*INDEX(Mitarbeiter!$F$6:$F$205,MATCH(B168,Mitarbeiter!$A$6:$A$205,0)),0))</f>
        <v/>
      </c>
      <c r="H168" s="8">
        <f>IF(B168="","",IF(ISNA(MATCH(B168,Mitarbeiter!$A$6:$A$205,0)),"Pers.-Nr. unbekannt",IF(A168="","Datum fehlt",IF(AND(D168&lt;&gt;Einstellungen!$C$4,D168&lt;&gt;Einstellungen!$C$5),"Objekt fehlt",IF(YEAR(A168)&lt;&gt;Einstellungen!$C$3,"anderes Jahr",IF(A168&lt;INDEX(Mitarbeiter!$C$6:$C$205,MATCH(B168,Mitarbeiter!$A$6:$A$205,0)),"vor Eintritt",IF(AND(INDEX(Mitarbeiter!$D$6:$D$205,MATCH(B168,Mitarbeiter!$A$6:$A$205,0))&lt;&gt;"",A168&gt;INDEX(Mitarbeiter!$D$6:$D$205,MATCH(B168,Mitarbeiter!$A$6:$A$205,0))),"nach Austritt","ok")))))))</f>
        <v/>
      </c>
    </row>
    <row r="169">
      <c r="A169" s="26" t="n">
        <v>46054</v>
      </c>
      <c r="B169" s="24" t="n">
        <v>1043</v>
      </c>
      <c r="C169" s="40">
        <f>IF(B169="","",IFERROR(INDEX(Mitarbeiter!$B$6:$B$205,MATCH(B169,Mitarbeiter!$A$6:$A$205,0)),"?"))</f>
        <v/>
      </c>
      <c r="D169" s="41" t="inlineStr">
        <is>
          <t>Objekt 1</t>
        </is>
      </c>
      <c r="E169" s="42" t="n">
        <v>12</v>
      </c>
      <c r="F169" s="43" t="n">
        <v>0</v>
      </c>
      <c r="G169" s="44">
        <f>IF(OR(B169="",F169=""),"",IFERROR(F169*INDEX(Mitarbeiter!$F$6:$F$205,MATCH(B169,Mitarbeiter!$A$6:$A$205,0)),0))</f>
        <v/>
      </c>
      <c r="H169" s="8">
        <f>IF(B169="","",IF(ISNA(MATCH(B169,Mitarbeiter!$A$6:$A$205,0)),"Pers.-Nr. unbekannt",IF(A169="","Datum fehlt",IF(AND(D169&lt;&gt;Einstellungen!$C$4,D169&lt;&gt;Einstellungen!$C$5),"Objekt fehlt",IF(YEAR(A169)&lt;&gt;Einstellungen!$C$3,"anderes Jahr",IF(A169&lt;INDEX(Mitarbeiter!$C$6:$C$205,MATCH(B169,Mitarbeiter!$A$6:$A$205,0)),"vor Eintritt",IF(AND(INDEX(Mitarbeiter!$D$6:$D$205,MATCH(B169,Mitarbeiter!$A$6:$A$205,0))&lt;&gt;"",A169&gt;INDEX(Mitarbeiter!$D$6:$D$205,MATCH(B169,Mitarbeiter!$A$6:$A$205,0))),"nach Austritt","ok")))))))</f>
        <v/>
      </c>
    </row>
    <row r="170">
      <c r="A170" s="26" t="n">
        <v>46054</v>
      </c>
      <c r="B170" s="24" t="n">
        <v>1043</v>
      </c>
      <c r="C170" s="40">
        <f>IF(B170="","",IFERROR(INDEX(Mitarbeiter!$B$6:$B$205,MATCH(B170,Mitarbeiter!$A$6:$A$205,0)),"?"))</f>
        <v/>
      </c>
      <c r="D170" s="41" t="inlineStr">
        <is>
          <t>Objekt 2</t>
        </is>
      </c>
      <c r="E170" s="42" t="n">
        <v>52.5</v>
      </c>
      <c r="F170" s="43" t="n">
        <v>0</v>
      </c>
      <c r="G170" s="44">
        <f>IF(OR(B170="",F170=""),"",IFERROR(F170*INDEX(Mitarbeiter!$F$6:$F$205,MATCH(B170,Mitarbeiter!$A$6:$A$205,0)),0))</f>
        <v/>
      </c>
      <c r="H170" s="8">
        <f>IF(B170="","",IF(ISNA(MATCH(B170,Mitarbeiter!$A$6:$A$205,0)),"Pers.-Nr. unbekannt",IF(A170="","Datum fehlt",IF(AND(D170&lt;&gt;Einstellungen!$C$4,D170&lt;&gt;Einstellungen!$C$5),"Objekt fehlt",IF(YEAR(A170)&lt;&gt;Einstellungen!$C$3,"anderes Jahr",IF(A170&lt;INDEX(Mitarbeiter!$C$6:$C$205,MATCH(B170,Mitarbeiter!$A$6:$A$205,0)),"vor Eintritt",IF(AND(INDEX(Mitarbeiter!$D$6:$D$205,MATCH(B170,Mitarbeiter!$A$6:$A$205,0))&lt;&gt;"",A170&gt;INDEX(Mitarbeiter!$D$6:$D$205,MATCH(B170,Mitarbeiter!$A$6:$A$205,0))),"nach Austritt","ok")))))))</f>
        <v/>
      </c>
    </row>
    <row r="171">
      <c r="A171" s="26" t="n">
        <v>46054</v>
      </c>
      <c r="B171" s="24" t="n">
        <v>1044</v>
      </c>
      <c r="C171" s="40">
        <f>IF(B171="","",IFERROR(INDEX(Mitarbeiter!$B$6:$B$205,MATCH(B171,Mitarbeiter!$A$6:$A$205,0)),"?"))</f>
        <v/>
      </c>
      <c r="D171" s="41" t="inlineStr">
        <is>
          <t>Objekt 1</t>
        </is>
      </c>
      <c r="E171" s="42" t="n">
        <v>97.5</v>
      </c>
      <c r="F171" s="43" t="n">
        <v>0</v>
      </c>
      <c r="G171" s="44">
        <f>IF(OR(B171="",F171=""),"",IFERROR(F171*INDEX(Mitarbeiter!$F$6:$F$205,MATCH(B171,Mitarbeiter!$A$6:$A$205,0)),0))</f>
        <v/>
      </c>
      <c r="H171" s="8">
        <f>IF(B171="","",IF(ISNA(MATCH(B171,Mitarbeiter!$A$6:$A$205,0)),"Pers.-Nr. unbekannt",IF(A171="","Datum fehlt",IF(AND(D171&lt;&gt;Einstellungen!$C$4,D171&lt;&gt;Einstellungen!$C$5),"Objekt fehlt",IF(YEAR(A171)&lt;&gt;Einstellungen!$C$3,"anderes Jahr",IF(A171&lt;INDEX(Mitarbeiter!$C$6:$C$205,MATCH(B171,Mitarbeiter!$A$6:$A$205,0)),"vor Eintritt",IF(AND(INDEX(Mitarbeiter!$D$6:$D$205,MATCH(B171,Mitarbeiter!$A$6:$A$205,0))&lt;&gt;"",A171&gt;INDEX(Mitarbeiter!$D$6:$D$205,MATCH(B171,Mitarbeiter!$A$6:$A$205,0))),"nach Austritt","ok")))))))</f>
        <v/>
      </c>
    </row>
    <row r="172">
      <c r="A172" s="26" t="n">
        <v>46054</v>
      </c>
      <c r="B172" s="24" t="n">
        <v>1044</v>
      </c>
      <c r="C172" s="40">
        <f>IF(B172="","",IFERROR(INDEX(Mitarbeiter!$B$6:$B$205,MATCH(B172,Mitarbeiter!$A$6:$A$205,0)),"?"))</f>
        <v/>
      </c>
      <c r="D172" s="41" t="inlineStr">
        <is>
          <t>Objekt 2</t>
        </is>
      </c>
      <c r="E172" s="42" t="n">
        <v>65.5</v>
      </c>
      <c r="F172" s="43" t="n">
        <v>0</v>
      </c>
      <c r="G172" s="44">
        <f>IF(OR(B172="",F172=""),"",IFERROR(F172*INDEX(Mitarbeiter!$F$6:$F$205,MATCH(B172,Mitarbeiter!$A$6:$A$205,0)),0))</f>
        <v/>
      </c>
      <c r="H172" s="8">
        <f>IF(B172="","",IF(ISNA(MATCH(B172,Mitarbeiter!$A$6:$A$205,0)),"Pers.-Nr. unbekannt",IF(A172="","Datum fehlt",IF(AND(D172&lt;&gt;Einstellungen!$C$4,D172&lt;&gt;Einstellungen!$C$5),"Objekt fehlt",IF(YEAR(A172)&lt;&gt;Einstellungen!$C$3,"anderes Jahr",IF(A172&lt;INDEX(Mitarbeiter!$C$6:$C$205,MATCH(B172,Mitarbeiter!$A$6:$A$205,0)),"vor Eintritt",IF(AND(INDEX(Mitarbeiter!$D$6:$D$205,MATCH(B172,Mitarbeiter!$A$6:$A$205,0))&lt;&gt;"",A172&gt;INDEX(Mitarbeiter!$D$6:$D$205,MATCH(B172,Mitarbeiter!$A$6:$A$205,0))),"nach Austritt","ok")))))))</f>
        <v/>
      </c>
    </row>
    <row r="173">
      <c r="A173" s="26" t="n">
        <v>46054</v>
      </c>
      <c r="B173" s="24" t="n">
        <v>1045</v>
      </c>
      <c r="C173" s="40">
        <f>IF(B173="","",IFERROR(INDEX(Mitarbeiter!$B$6:$B$205,MATCH(B173,Mitarbeiter!$A$6:$A$205,0)),"?"))</f>
        <v/>
      </c>
      <c r="D173" s="41" t="inlineStr">
        <is>
          <t>Objekt 1</t>
        </is>
      </c>
      <c r="E173" s="42" t="n">
        <v>94.5</v>
      </c>
      <c r="F173" s="43" t="n">
        <v>0</v>
      </c>
      <c r="G173" s="44">
        <f>IF(OR(B173="",F173=""),"",IFERROR(F173*INDEX(Mitarbeiter!$F$6:$F$205,MATCH(B173,Mitarbeiter!$A$6:$A$205,0)),0))</f>
        <v/>
      </c>
      <c r="H173" s="8">
        <f>IF(B173="","",IF(ISNA(MATCH(B173,Mitarbeiter!$A$6:$A$205,0)),"Pers.-Nr. unbekannt",IF(A173="","Datum fehlt",IF(AND(D173&lt;&gt;Einstellungen!$C$4,D173&lt;&gt;Einstellungen!$C$5),"Objekt fehlt",IF(YEAR(A173)&lt;&gt;Einstellungen!$C$3,"anderes Jahr",IF(A173&lt;INDEX(Mitarbeiter!$C$6:$C$205,MATCH(B173,Mitarbeiter!$A$6:$A$205,0)),"vor Eintritt",IF(AND(INDEX(Mitarbeiter!$D$6:$D$205,MATCH(B173,Mitarbeiter!$A$6:$A$205,0))&lt;&gt;"",A173&gt;INDEX(Mitarbeiter!$D$6:$D$205,MATCH(B173,Mitarbeiter!$A$6:$A$205,0))),"nach Austritt","ok")))))))</f>
        <v/>
      </c>
    </row>
    <row r="174">
      <c r="A174" s="26" t="n">
        <v>46054</v>
      </c>
      <c r="B174" s="24" t="n">
        <v>1045</v>
      </c>
      <c r="C174" s="40">
        <f>IF(B174="","",IFERROR(INDEX(Mitarbeiter!$B$6:$B$205,MATCH(B174,Mitarbeiter!$A$6:$A$205,0)),"?"))</f>
        <v/>
      </c>
      <c r="D174" s="41" t="inlineStr">
        <is>
          <t>Objekt 2</t>
        </is>
      </c>
      <c r="E174" s="42" t="n">
        <v>67</v>
      </c>
      <c r="F174" s="43" t="n">
        <v>0</v>
      </c>
      <c r="G174" s="44">
        <f>IF(OR(B174="",F174=""),"",IFERROR(F174*INDEX(Mitarbeiter!$F$6:$F$205,MATCH(B174,Mitarbeiter!$A$6:$A$205,0)),0))</f>
        <v/>
      </c>
      <c r="H174" s="8">
        <f>IF(B174="","",IF(ISNA(MATCH(B174,Mitarbeiter!$A$6:$A$205,0)),"Pers.-Nr. unbekannt",IF(A174="","Datum fehlt",IF(AND(D174&lt;&gt;Einstellungen!$C$4,D174&lt;&gt;Einstellungen!$C$5),"Objekt fehlt",IF(YEAR(A174)&lt;&gt;Einstellungen!$C$3,"anderes Jahr",IF(A174&lt;INDEX(Mitarbeiter!$C$6:$C$205,MATCH(B174,Mitarbeiter!$A$6:$A$205,0)),"vor Eintritt",IF(AND(INDEX(Mitarbeiter!$D$6:$D$205,MATCH(B174,Mitarbeiter!$A$6:$A$205,0))&lt;&gt;"",A174&gt;INDEX(Mitarbeiter!$D$6:$D$205,MATCH(B174,Mitarbeiter!$A$6:$A$205,0))),"nach Austritt","ok")))))))</f>
        <v/>
      </c>
    </row>
    <row r="175">
      <c r="A175" s="26" t="n">
        <v>46054</v>
      </c>
      <c r="B175" s="24" t="n">
        <v>1046</v>
      </c>
      <c r="C175" s="40">
        <f>IF(B175="","",IFERROR(INDEX(Mitarbeiter!$B$6:$B$205,MATCH(B175,Mitarbeiter!$A$6:$A$205,0)),"?"))</f>
        <v/>
      </c>
      <c r="D175" s="41" t="inlineStr">
        <is>
          <t>Objekt 1</t>
        </is>
      </c>
      <c r="E175" s="42" t="n">
        <v>97.5</v>
      </c>
      <c r="F175" s="43" t="n">
        <v>0</v>
      </c>
      <c r="G175" s="44">
        <f>IF(OR(B175="",F175=""),"",IFERROR(F175*INDEX(Mitarbeiter!$F$6:$F$205,MATCH(B175,Mitarbeiter!$A$6:$A$205,0)),0))</f>
        <v/>
      </c>
      <c r="H175" s="8">
        <f>IF(B175="","",IF(ISNA(MATCH(B175,Mitarbeiter!$A$6:$A$205,0)),"Pers.-Nr. unbekannt",IF(A175="","Datum fehlt",IF(AND(D175&lt;&gt;Einstellungen!$C$4,D175&lt;&gt;Einstellungen!$C$5),"Objekt fehlt",IF(YEAR(A175)&lt;&gt;Einstellungen!$C$3,"anderes Jahr",IF(A175&lt;INDEX(Mitarbeiter!$C$6:$C$205,MATCH(B175,Mitarbeiter!$A$6:$A$205,0)),"vor Eintritt",IF(AND(INDEX(Mitarbeiter!$D$6:$D$205,MATCH(B175,Mitarbeiter!$A$6:$A$205,0))&lt;&gt;"",A175&gt;INDEX(Mitarbeiter!$D$6:$D$205,MATCH(B175,Mitarbeiter!$A$6:$A$205,0))),"nach Austritt","ok")))))))</f>
        <v/>
      </c>
    </row>
    <row r="176">
      <c r="A176" s="26" t="n">
        <v>46054</v>
      </c>
      <c r="B176" s="24" t="n">
        <v>1046</v>
      </c>
      <c r="C176" s="40">
        <f>IF(B176="","",IFERROR(INDEX(Mitarbeiter!$B$6:$B$205,MATCH(B176,Mitarbeiter!$A$6:$A$205,0)),"?"))</f>
        <v/>
      </c>
      <c r="D176" s="41" t="inlineStr">
        <is>
          <t>Objekt 2</t>
        </is>
      </c>
      <c r="E176" s="42" t="n">
        <v>25.5</v>
      </c>
      <c r="F176" s="43" t="n">
        <v>0</v>
      </c>
      <c r="G176" s="44">
        <f>IF(OR(B176="",F176=""),"",IFERROR(F176*INDEX(Mitarbeiter!$F$6:$F$205,MATCH(B176,Mitarbeiter!$A$6:$A$205,0)),0))</f>
        <v/>
      </c>
      <c r="H176" s="8">
        <f>IF(B176="","",IF(ISNA(MATCH(B176,Mitarbeiter!$A$6:$A$205,0)),"Pers.-Nr. unbekannt",IF(A176="","Datum fehlt",IF(AND(D176&lt;&gt;Einstellungen!$C$4,D176&lt;&gt;Einstellungen!$C$5),"Objekt fehlt",IF(YEAR(A176)&lt;&gt;Einstellungen!$C$3,"anderes Jahr",IF(A176&lt;INDEX(Mitarbeiter!$C$6:$C$205,MATCH(B176,Mitarbeiter!$A$6:$A$205,0)),"vor Eintritt",IF(AND(INDEX(Mitarbeiter!$D$6:$D$205,MATCH(B176,Mitarbeiter!$A$6:$A$205,0))&lt;&gt;"",A176&gt;INDEX(Mitarbeiter!$D$6:$D$205,MATCH(B176,Mitarbeiter!$A$6:$A$205,0))),"nach Austritt","ok")))))))</f>
        <v/>
      </c>
    </row>
    <row r="177">
      <c r="A177" s="26" t="n">
        <v>46054</v>
      </c>
      <c r="B177" s="24" t="n">
        <v>1047</v>
      </c>
      <c r="C177" s="40">
        <f>IF(B177="","",IFERROR(INDEX(Mitarbeiter!$B$6:$B$205,MATCH(B177,Mitarbeiter!$A$6:$A$205,0)),"?"))</f>
        <v/>
      </c>
      <c r="D177" s="41" t="inlineStr">
        <is>
          <t>Objekt 2</t>
        </is>
      </c>
      <c r="E177" s="42" t="n">
        <v>150.5</v>
      </c>
      <c r="F177" s="43" t="n">
        <v>1</v>
      </c>
      <c r="G177" s="44">
        <f>IF(OR(B177="",F177=""),"",IFERROR(F177*INDEX(Mitarbeiter!$F$6:$F$205,MATCH(B177,Mitarbeiter!$A$6:$A$205,0)),0))</f>
        <v/>
      </c>
      <c r="H177" s="8">
        <f>IF(B177="","",IF(ISNA(MATCH(B177,Mitarbeiter!$A$6:$A$205,0)),"Pers.-Nr. unbekannt",IF(A177="","Datum fehlt",IF(AND(D177&lt;&gt;Einstellungen!$C$4,D177&lt;&gt;Einstellungen!$C$5),"Objekt fehlt",IF(YEAR(A177)&lt;&gt;Einstellungen!$C$3,"anderes Jahr",IF(A177&lt;INDEX(Mitarbeiter!$C$6:$C$205,MATCH(B177,Mitarbeiter!$A$6:$A$205,0)),"vor Eintritt",IF(AND(INDEX(Mitarbeiter!$D$6:$D$205,MATCH(B177,Mitarbeiter!$A$6:$A$205,0))&lt;&gt;"",A177&gt;INDEX(Mitarbeiter!$D$6:$D$205,MATCH(B177,Mitarbeiter!$A$6:$A$205,0))),"nach Austritt","ok")))))))</f>
        <v/>
      </c>
    </row>
    <row r="178">
      <c r="A178" s="26" t="n">
        <v>46054</v>
      </c>
      <c r="B178" s="24" t="n">
        <v>1048</v>
      </c>
      <c r="C178" s="40">
        <f>IF(B178="","",IFERROR(INDEX(Mitarbeiter!$B$6:$B$205,MATCH(B178,Mitarbeiter!$A$6:$A$205,0)),"?"))</f>
        <v/>
      </c>
      <c r="D178" s="41" t="inlineStr">
        <is>
          <t>Objekt 1</t>
        </is>
      </c>
      <c r="E178" s="42" t="n">
        <v>33.5</v>
      </c>
      <c r="F178" s="43" t="n">
        <v>0</v>
      </c>
      <c r="G178" s="44">
        <f>IF(OR(B178="",F178=""),"",IFERROR(F178*INDEX(Mitarbeiter!$F$6:$F$205,MATCH(B178,Mitarbeiter!$A$6:$A$205,0)),0))</f>
        <v/>
      </c>
      <c r="H178" s="8">
        <f>IF(B178="","",IF(ISNA(MATCH(B178,Mitarbeiter!$A$6:$A$205,0)),"Pers.-Nr. unbekannt",IF(A178="","Datum fehlt",IF(AND(D178&lt;&gt;Einstellungen!$C$4,D178&lt;&gt;Einstellungen!$C$5),"Objekt fehlt",IF(YEAR(A178)&lt;&gt;Einstellungen!$C$3,"anderes Jahr",IF(A178&lt;INDEX(Mitarbeiter!$C$6:$C$205,MATCH(B178,Mitarbeiter!$A$6:$A$205,0)),"vor Eintritt",IF(AND(INDEX(Mitarbeiter!$D$6:$D$205,MATCH(B178,Mitarbeiter!$A$6:$A$205,0))&lt;&gt;"",A178&gt;INDEX(Mitarbeiter!$D$6:$D$205,MATCH(B178,Mitarbeiter!$A$6:$A$205,0))),"nach Austritt","ok")))))))</f>
        <v/>
      </c>
    </row>
    <row r="179">
      <c r="A179" s="26" t="n">
        <v>46054</v>
      </c>
      <c r="B179" s="24" t="n">
        <v>1048</v>
      </c>
      <c r="C179" s="40">
        <f>IF(B179="","",IFERROR(INDEX(Mitarbeiter!$B$6:$B$205,MATCH(B179,Mitarbeiter!$A$6:$A$205,0)),"?"))</f>
        <v/>
      </c>
      <c r="D179" s="41" t="inlineStr">
        <is>
          <t>Objekt 2</t>
        </is>
      </c>
      <c r="E179" s="42" t="n">
        <v>120</v>
      </c>
      <c r="F179" s="43" t="n">
        <v>1</v>
      </c>
      <c r="G179" s="44">
        <f>IF(OR(B179="",F179=""),"",IFERROR(F179*INDEX(Mitarbeiter!$F$6:$F$205,MATCH(B179,Mitarbeiter!$A$6:$A$205,0)),0))</f>
        <v/>
      </c>
      <c r="H179" s="8">
        <f>IF(B179="","",IF(ISNA(MATCH(B179,Mitarbeiter!$A$6:$A$205,0)),"Pers.-Nr. unbekannt",IF(A179="","Datum fehlt",IF(AND(D179&lt;&gt;Einstellungen!$C$4,D179&lt;&gt;Einstellungen!$C$5),"Objekt fehlt",IF(YEAR(A179)&lt;&gt;Einstellungen!$C$3,"anderes Jahr",IF(A179&lt;INDEX(Mitarbeiter!$C$6:$C$205,MATCH(B179,Mitarbeiter!$A$6:$A$205,0)),"vor Eintritt",IF(AND(INDEX(Mitarbeiter!$D$6:$D$205,MATCH(B179,Mitarbeiter!$A$6:$A$205,0))&lt;&gt;"",A179&gt;INDEX(Mitarbeiter!$D$6:$D$205,MATCH(B179,Mitarbeiter!$A$6:$A$205,0))),"nach Austritt","ok")))))))</f>
        <v/>
      </c>
    </row>
    <row r="180">
      <c r="A180" s="26" t="n">
        <v>46054</v>
      </c>
      <c r="B180" s="24" t="n">
        <v>1049</v>
      </c>
      <c r="C180" s="40">
        <f>IF(B180="","",IFERROR(INDEX(Mitarbeiter!$B$6:$B$205,MATCH(B180,Mitarbeiter!$A$6:$A$205,0)),"?"))</f>
        <v/>
      </c>
      <c r="D180" s="41" t="inlineStr">
        <is>
          <t>Objekt 1</t>
        </is>
      </c>
      <c r="E180" s="42" t="n">
        <v>120</v>
      </c>
      <c r="F180" s="43" t="n">
        <v>0</v>
      </c>
      <c r="G180" s="44">
        <f>IF(OR(B180="",F180=""),"",IFERROR(F180*INDEX(Mitarbeiter!$F$6:$F$205,MATCH(B180,Mitarbeiter!$A$6:$A$205,0)),0))</f>
        <v/>
      </c>
      <c r="H180" s="8">
        <f>IF(B180="","",IF(ISNA(MATCH(B180,Mitarbeiter!$A$6:$A$205,0)),"Pers.-Nr. unbekannt",IF(A180="","Datum fehlt",IF(AND(D180&lt;&gt;Einstellungen!$C$4,D180&lt;&gt;Einstellungen!$C$5),"Objekt fehlt",IF(YEAR(A180)&lt;&gt;Einstellungen!$C$3,"anderes Jahr",IF(A180&lt;INDEX(Mitarbeiter!$C$6:$C$205,MATCH(B180,Mitarbeiter!$A$6:$A$205,0)),"vor Eintritt",IF(AND(INDEX(Mitarbeiter!$D$6:$D$205,MATCH(B180,Mitarbeiter!$A$6:$A$205,0))&lt;&gt;"",A180&gt;INDEX(Mitarbeiter!$D$6:$D$205,MATCH(B180,Mitarbeiter!$A$6:$A$205,0))),"nach Austritt","ok")))))))</f>
        <v/>
      </c>
    </row>
    <row r="181">
      <c r="A181" s="26" t="n">
        <v>46054</v>
      </c>
      <c r="B181" s="24" t="n">
        <v>1050</v>
      </c>
      <c r="C181" s="40">
        <f>IF(B181="","",IFERROR(INDEX(Mitarbeiter!$B$6:$B$205,MATCH(B181,Mitarbeiter!$A$6:$A$205,0)),"?"))</f>
        <v/>
      </c>
      <c r="D181" s="41" t="inlineStr">
        <is>
          <t>Objekt 1</t>
        </is>
      </c>
      <c r="E181" s="42" t="n">
        <v>24</v>
      </c>
      <c r="F181" s="43" t="n">
        <v>0</v>
      </c>
      <c r="G181" s="44">
        <f>IF(OR(B181="",F181=""),"",IFERROR(F181*INDEX(Mitarbeiter!$F$6:$F$205,MATCH(B181,Mitarbeiter!$A$6:$A$205,0)),0))</f>
        <v/>
      </c>
      <c r="H181" s="8">
        <f>IF(B181="","",IF(ISNA(MATCH(B181,Mitarbeiter!$A$6:$A$205,0)),"Pers.-Nr. unbekannt",IF(A181="","Datum fehlt",IF(AND(D181&lt;&gt;Einstellungen!$C$4,D181&lt;&gt;Einstellungen!$C$5),"Objekt fehlt",IF(YEAR(A181)&lt;&gt;Einstellungen!$C$3,"anderes Jahr",IF(A181&lt;INDEX(Mitarbeiter!$C$6:$C$205,MATCH(B181,Mitarbeiter!$A$6:$A$205,0)),"vor Eintritt",IF(AND(INDEX(Mitarbeiter!$D$6:$D$205,MATCH(B181,Mitarbeiter!$A$6:$A$205,0))&lt;&gt;"",A181&gt;INDEX(Mitarbeiter!$D$6:$D$205,MATCH(B181,Mitarbeiter!$A$6:$A$205,0))),"nach Austritt","ok")))))))</f>
        <v/>
      </c>
    </row>
    <row r="182">
      <c r="A182" s="26" t="n">
        <v>46054</v>
      </c>
      <c r="B182" s="24" t="n">
        <v>1050</v>
      </c>
      <c r="C182" s="40">
        <f>IF(B182="","",IFERROR(INDEX(Mitarbeiter!$B$6:$B$205,MATCH(B182,Mitarbeiter!$A$6:$A$205,0)),"?"))</f>
        <v/>
      </c>
      <c r="D182" s="41" t="inlineStr">
        <is>
          <t>Objekt 2</t>
        </is>
      </c>
      <c r="E182" s="42" t="n">
        <v>99</v>
      </c>
      <c r="F182" s="43" t="n">
        <v>0</v>
      </c>
      <c r="G182" s="44">
        <f>IF(OR(B182="",F182=""),"",IFERROR(F182*INDEX(Mitarbeiter!$F$6:$F$205,MATCH(B182,Mitarbeiter!$A$6:$A$205,0)),0))</f>
        <v/>
      </c>
      <c r="H182" s="8">
        <f>IF(B182="","",IF(ISNA(MATCH(B182,Mitarbeiter!$A$6:$A$205,0)),"Pers.-Nr. unbekannt",IF(A182="","Datum fehlt",IF(AND(D182&lt;&gt;Einstellungen!$C$4,D182&lt;&gt;Einstellungen!$C$5),"Objekt fehlt",IF(YEAR(A182)&lt;&gt;Einstellungen!$C$3,"anderes Jahr",IF(A182&lt;INDEX(Mitarbeiter!$C$6:$C$205,MATCH(B182,Mitarbeiter!$A$6:$A$205,0)),"vor Eintritt",IF(AND(INDEX(Mitarbeiter!$D$6:$D$205,MATCH(B182,Mitarbeiter!$A$6:$A$205,0))&lt;&gt;"",A182&gt;INDEX(Mitarbeiter!$D$6:$D$205,MATCH(B182,Mitarbeiter!$A$6:$A$205,0))),"nach Austritt","ok")))))))</f>
        <v/>
      </c>
    </row>
    <row r="183">
      <c r="A183" s="26" t="n">
        <v>46054</v>
      </c>
      <c r="B183" s="24" t="n">
        <v>1051</v>
      </c>
      <c r="C183" s="40">
        <f>IF(B183="","",IFERROR(INDEX(Mitarbeiter!$B$6:$B$205,MATCH(B183,Mitarbeiter!$A$6:$A$205,0)),"?"))</f>
        <v/>
      </c>
      <c r="D183" s="41" t="inlineStr">
        <is>
          <t>Objekt 2</t>
        </is>
      </c>
      <c r="E183" s="42" t="n">
        <v>160</v>
      </c>
      <c r="F183" s="43" t="n">
        <v>0</v>
      </c>
      <c r="G183" s="44">
        <f>IF(OR(B183="",F183=""),"",IFERROR(F183*INDEX(Mitarbeiter!$F$6:$F$205,MATCH(B183,Mitarbeiter!$A$6:$A$205,0)),0))</f>
        <v/>
      </c>
      <c r="H183" s="8">
        <f>IF(B183="","",IF(ISNA(MATCH(B183,Mitarbeiter!$A$6:$A$205,0)),"Pers.-Nr. unbekannt",IF(A183="","Datum fehlt",IF(AND(D183&lt;&gt;Einstellungen!$C$4,D183&lt;&gt;Einstellungen!$C$5),"Objekt fehlt",IF(YEAR(A183)&lt;&gt;Einstellungen!$C$3,"anderes Jahr",IF(A183&lt;INDEX(Mitarbeiter!$C$6:$C$205,MATCH(B183,Mitarbeiter!$A$6:$A$205,0)),"vor Eintritt",IF(AND(INDEX(Mitarbeiter!$D$6:$D$205,MATCH(B183,Mitarbeiter!$A$6:$A$205,0))&lt;&gt;"",A183&gt;INDEX(Mitarbeiter!$D$6:$D$205,MATCH(B183,Mitarbeiter!$A$6:$A$205,0))),"nach Austritt","ok")))))))</f>
        <v/>
      </c>
    </row>
    <row r="184">
      <c r="A184" s="26" t="n">
        <v>46054</v>
      </c>
      <c r="B184" s="24" t="n">
        <v>1053</v>
      </c>
      <c r="C184" s="40">
        <f>IF(B184="","",IFERROR(INDEX(Mitarbeiter!$B$6:$B$205,MATCH(B184,Mitarbeiter!$A$6:$A$205,0)),"?"))</f>
        <v/>
      </c>
      <c r="D184" s="41" t="inlineStr">
        <is>
          <t>Objekt 1</t>
        </is>
      </c>
      <c r="E184" s="42" t="n">
        <v>49.5</v>
      </c>
      <c r="F184" s="43" t="n">
        <v>0</v>
      </c>
      <c r="G184" s="44">
        <f>IF(OR(B184="",F184=""),"",IFERROR(F184*INDEX(Mitarbeiter!$F$6:$F$205,MATCH(B184,Mitarbeiter!$A$6:$A$205,0)),0))</f>
        <v/>
      </c>
      <c r="H184" s="8">
        <f>IF(B184="","",IF(ISNA(MATCH(B184,Mitarbeiter!$A$6:$A$205,0)),"Pers.-Nr. unbekannt",IF(A184="","Datum fehlt",IF(AND(D184&lt;&gt;Einstellungen!$C$4,D184&lt;&gt;Einstellungen!$C$5),"Objekt fehlt",IF(YEAR(A184)&lt;&gt;Einstellungen!$C$3,"anderes Jahr",IF(A184&lt;INDEX(Mitarbeiter!$C$6:$C$205,MATCH(B184,Mitarbeiter!$A$6:$A$205,0)),"vor Eintritt",IF(AND(INDEX(Mitarbeiter!$D$6:$D$205,MATCH(B184,Mitarbeiter!$A$6:$A$205,0))&lt;&gt;"",A184&gt;INDEX(Mitarbeiter!$D$6:$D$205,MATCH(B184,Mitarbeiter!$A$6:$A$205,0))),"nach Austritt","ok")))))))</f>
        <v/>
      </c>
    </row>
    <row r="185">
      <c r="A185" s="26" t="n">
        <v>46054</v>
      </c>
      <c r="B185" s="24" t="n">
        <v>1053</v>
      </c>
      <c r="C185" s="40">
        <f>IF(B185="","",IFERROR(INDEX(Mitarbeiter!$B$6:$B$205,MATCH(B185,Mitarbeiter!$A$6:$A$205,0)),"?"))</f>
        <v/>
      </c>
      <c r="D185" s="41" t="inlineStr">
        <is>
          <t>Objekt 2</t>
        </is>
      </c>
      <c r="E185" s="42" t="n">
        <v>70.5</v>
      </c>
      <c r="F185" s="43" t="n">
        <v>0</v>
      </c>
      <c r="G185" s="44">
        <f>IF(OR(B185="",F185=""),"",IFERROR(F185*INDEX(Mitarbeiter!$F$6:$F$205,MATCH(B185,Mitarbeiter!$A$6:$A$205,0)),0))</f>
        <v/>
      </c>
      <c r="H185" s="8">
        <f>IF(B185="","",IF(ISNA(MATCH(B185,Mitarbeiter!$A$6:$A$205,0)),"Pers.-Nr. unbekannt",IF(A185="","Datum fehlt",IF(AND(D185&lt;&gt;Einstellungen!$C$4,D185&lt;&gt;Einstellungen!$C$5),"Objekt fehlt",IF(YEAR(A185)&lt;&gt;Einstellungen!$C$3,"anderes Jahr",IF(A185&lt;INDEX(Mitarbeiter!$C$6:$C$205,MATCH(B185,Mitarbeiter!$A$6:$A$205,0)),"vor Eintritt",IF(AND(INDEX(Mitarbeiter!$D$6:$D$205,MATCH(B185,Mitarbeiter!$A$6:$A$205,0))&lt;&gt;"",A185&gt;INDEX(Mitarbeiter!$D$6:$D$205,MATCH(B185,Mitarbeiter!$A$6:$A$205,0))),"nach Austritt","ok")))))))</f>
        <v/>
      </c>
    </row>
    <row r="186">
      <c r="A186" s="26" t="n">
        <v>46054</v>
      </c>
      <c r="B186" s="24" t="n">
        <v>1054</v>
      </c>
      <c r="C186" s="40">
        <f>IF(B186="","",IFERROR(INDEX(Mitarbeiter!$B$6:$B$205,MATCH(B186,Mitarbeiter!$A$6:$A$205,0)),"?"))</f>
        <v/>
      </c>
      <c r="D186" s="41" t="inlineStr">
        <is>
          <t>Objekt 2</t>
        </is>
      </c>
      <c r="E186" s="42" t="n">
        <v>163</v>
      </c>
      <c r="F186" s="43" t="n">
        <v>0</v>
      </c>
      <c r="G186" s="44">
        <f>IF(OR(B186="",F186=""),"",IFERROR(F186*INDEX(Mitarbeiter!$F$6:$F$205,MATCH(B186,Mitarbeiter!$A$6:$A$205,0)),0))</f>
        <v/>
      </c>
      <c r="H186" s="8">
        <f>IF(B186="","",IF(ISNA(MATCH(B186,Mitarbeiter!$A$6:$A$205,0)),"Pers.-Nr. unbekannt",IF(A186="","Datum fehlt",IF(AND(D186&lt;&gt;Einstellungen!$C$4,D186&lt;&gt;Einstellungen!$C$5),"Objekt fehlt",IF(YEAR(A186)&lt;&gt;Einstellungen!$C$3,"anderes Jahr",IF(A186&lt;INDEX(Mitarbeiter!$C$6:$C$205,MATCH(B186,Mitarbeiter!$A$6:$A$205,0)),"vor Eintritt",IF(AND(INDEX(Mitarbeiter!$D$6:$D$205,MATCH(B186,Mitarbeiter!$A$6:$A$205,0))&lt;&gt;"",A186&gt;INDEX(Mitarbeiter!$D$6:$D$205,MATCH(B186,Mitarbeiter!$A$6:$A$205,0))),"nach Austritt","ok")))))))</f>
        <v/>
      </c>
    </row>
    <row r="187">
      <c r="A187" s="26" t="n">
        <v>46054</v>
      </c>
      <c r="B187" s="24" t="n">
        <v>1061</v>
      </c>
      <c r="C187" s="40">
        <f>IF(B187="","",IFERROR(INDEX(Mitarbeiter!$B$6:$B$205,MATCH(B187,Mitarbeiter!$A$6:$A$205,0)),"?"))</f>
        <v/>
      </c>
      <c r="D187" s="41" t="inlineStr">
        <is>
          <t>Objekt 1</t>
        </is>
      </c>
      <c r="E187" s="42" t="n">
        <v>81.5</v>
      </c>
      <c r="F187" s="43" t="n">
        <v>0</v>
      </c>
      <c r="G187" s="44">
        <f>IF(OR(B187="",F187=""),"",IFERROR(F187*INDEX(Mitarbeiter!$F$6:$F$205,MATCH(B187,Mitarbeiter!$A$6:$A$205,0)),0))</f>
        <v/>
      </c>
      <c r="H187" s="8">
        <f>IF(B187="","",IF(ISNA(MATCH(B187,Mitarbeiter!$A$6:$A$205,0)),"Pers.-Nr. unbekannt",IF(A187="","Datum fehlt",IF(AND(D187&lt;&gt;Einstellungen!$C$4,D187&lt;&gt;Einstellungen!$C$5),"Objekt fehlt",IF(YEAR(A187)&lt;&gt;Einstellungen!$C$3,"anderes Jahr",IF(A187&lt;INDEX(Mitarbeiter!$C$6:$C$205,MATCH(B187,Mitarbeiter!$A$6:$A$205,0)),"vor Eintritt",IF(AND(INDEX(Mitarbeiter!$D$6:$D$205,MATCH(B187,Mitarbeiter!$A$6:$A$205,0))&lt;&gt;"",A187&gt;INDEX(Mitarbeiter!$D$6:$D$205,MATCH(B187,Mitarbeiter!$A$6:$A$205,0))),"nach Austritt","ok")))))))</f>
        <v/>
      </c>
    </row>
    <row r="188">
      <c r="A188" s="26" t="n">
        <v>46054</v>
      </c>
      <c r="B188" s="24" t="n">
        <v>1061</v>
      </c>
      <c r="C188" s="40">
        <f>IF(B188="","",IFERROR(INDEX(Mitarbeiter!$B$6:$B$205,MATCH(B188,Mitarbeiter!$A$6:$A$205,0)),"?"))</f>
        <v/>
      </c>
      <c r="D188" s="41" t="inlineStr">
        <is>
          <t>Objekt 2</t>
        </is>
      </c>
      <c r="E188" s="42" t="n">
        <v>80</v>
      </c>
      <c r="F188" s="43" t="n">
        <v>0</v>
      </c>
      <c r="G188" s="44">
        <f>IF(OR(B188="",F188=""),"",IFERROR(F188*INDEX(Mitarbeiter!$F$6:$F$205,MATCH(B188,Mitarbeiter!$A$6:$A$205,0)),0))</f>
        <v/>
      </c>
      <c r="H188" s="8">
        <f>IF(B188="","",IF(ISNA(MATCH(B188,Mitarbeiter!$A$6:$A$205,0)),"Pers.-Nr. unbekannt",IF(A188="","Datum fehlt",IF(AND(D188&lt;&gt;Einstellungen!$C$4,D188&lt;&gt;Einstellungen!$C$5),"Objekt fehlt",IF(YEAR(A188)&lt;&gt;Einstellungen!$C$3,"anderes Jahr",IF(A188&lt;INDEX(Mitarbeiter!$C$6:$C$205,MATCH(B188,Mitarbeiter!$A$6:$A$205,0)),"vor Eintritt",IF(AND(INDEX(Mitarbeiter!$D$6:$D$205,MATCH(B188,Mitarbeiter!$A$6:$A$205,0))&lt;&gt;"",A188&gt;INDEX(Mitarbeiter!$D$6:$D$205,MATCH(B188,Mitarbeiter!$A$6:$A$205,0))),"nach Austritt","ok")))))))</f>
        <v/>
      </c>
    </row>
    <row r="189">
      <c r="A189" s="26" t="n">
        <v>46054</v>
      </c>
      <c r="B189" s="24" t="n">
        <v>1062</v>
      </c>
      <c r="C189" s="40">
        <f>IF(B189="","",IFERROR(INDEX(Mitarbeiter!$B$6:$B$205,MATCH(B189,Mitarbeiter!$A$6:$A$205,0)),"?"))</f>
        <v/>
      </c>
      <c r="D189" s="41" t="inlineStr">
        <is>
          <t>Objekt 1</t>
        </is>
      </c>
      <c r="E189" s="42" t="n">
        <v>64</v>
      </c>
      <c r="F189" s="43" t="n">
        <v>0</v>
      </c>
      <c r="G189" s="44">
        <f>IF(OR(B189="",F189=""),"",IFERROR(F189*INDEX(Mitarbeiter!$F$6:$F$205,MATCH(B189,Mitarbeiter!$A$6:$A$205,0)),0))</f>
        <v/>
      </c>
      <c r="H189" s="8">
        <f>IF(B189="","",IF(ISNA(MATCH(B189,Mitarbeiter!$A$6:$A$205,0)),"Pers.-Nr. unbekannt",IF(A189="","Datum fehlt",IF(AND(D189&lt;&gt;Einstellungen!$C$4,D189&lt;&gt;Einstellungen!$C$5),"Objekt fehlt",IF(YEAR(A189)&lt;&gt;Einstellungen!$C$3,"anderes Jahr",IF(A189&lt;INDEX(Mitarbeiter!$C$6:$C$205,MATCH(B189,Mitarbeiter!$A$6:$A$205,0)),"vor Eintritt",IF(AND(INDEX(Mitarbeiter!$D$6:$D$205,MATCH(B189,Mitarbeiter!$A$6:$A$205,0))&lt;&gt;"",A189&gt;INDEX(Mitarbeiter!$D$6:$D$205,MATCH(B189,Mitarbeiter!$A$6:$A$205,0))),"nach Austritt","ok")))))))</f>
        <v/>
      </c>
    </row>
    <row r="190">
      <c r="A190" s="26" t="n">
        <v>46054</v>
      </c>
      <c r="B190" s="24" t="n">
        <v>1062</v>
      </c>
      <c r="C190" s="40">
        <f>IF(B190="","",IFERROR(INDEX(Mitarbeiter!$B$6:$B$205,MATCH(B190,Mitarbeiter!$A$6:$A$205,0)),"?"))</f>
        <v/>
      </c>
      <c r="D190" s="41" t="inlineStr">
        <is>
          <t>Objekt 2</t>
        </is>
      </c>
      <c r="E190" s="42" t="n">
        <v>97.5</v>
      </c>
      <c r="F190" s="43" t="n">
        <v>0</v>
      </c>
      <c r="G190" s="44">
        <f>IF(OR(B190="",F190=""),"",IFERROR(F190*INDEX(Mitarbeiter!$F$6:$F$205,MATCH(B190,Mitarbeiter!$A$6:$A$205,0)),0))</f>
        <v/>
      </c>
      <c r="H190" s="8">
        <f>IF(B190="","",IF(ISNA(MATCH(B190,Mitarbeiter!$A$6:$A$205,0)),"Pers.-Nr. unbekannt",IF(A190="","Datum fehlt",IF(AND(D190&lt;&gt;Einstellungen!$C$4,D190&lt;&gt;Einstellungen!$C$5),"Objekt fehlt",IF(YEAR(A190)&lt;&gt;Einstellungen!$C$3,"anderes Jahr",IF(A190&lt;INDEX(Mitarbeiter!$C$6:$C$205,MATCH(B190,Mitarbeiter!$A$6:$A$205,0)),"vor Eintritt",IF(AND(INDEX(Mitarbeiter!$D$6:$D$205,MATCH(B190,Mitarbeiter!$A$6:$A$205,0))&lt;&gt;"",A190&gt;INDEX(Mitarbeiter!$D$6:$D$205,MATCH(B190,Mitarbeiter!$A$6:$A$205,0))),"nach Austritt","ok")))))))</f>
        <v/>
      </c>
    </row>
    <row r="191">
      <c r="A191" s="26" t="n">
        <v>46054</v>
      </c>
      <c r="B191" s="24" t="n">
        <v>1066</v>
      </c>
      <c r="C191" s="40">
        <f>IF(B191="","",IFERROR(INDEX(Mitarbeiter!$B$6:$B$205,MATCH(B191,Mitarbeiter!$A$6:$A$205,0)),"?"))</f>
        <v/>
      </c>
      <c r="D191" s="41" t="inlineStr">
        <is>
          <t>Objekt 1</t>
        </is>
      </c>
      <c r="E191" s="42" t="n">
        <v>63</v>
      </c>
      <c r="F191" s="43" t="n">
        <v>1</v>
      </c>
      <c r="G191" s="44">
        <f>IF(OR(B191="",F191=""),"",IFERROR(F191*INDEX(Mitarbeiter!$F$6:$F$205,MATCH(B191,Mitarbeiter!$A$6:$A$205,0)),0))</f>
        <v/>
      </c>
      <c r="H191" s="8">
        <f>IF(B191="","",IF(ISNA(MATCH(B191,Mitarbeiter!$A$6:$A$205,0)),"Pers.-Nr. unbekannt",IF(A191="","Datum fehlt",IF(AND(D191&lt;&gt;Einstellungen!$C$4,D191&lt;&gt;Einstellungen!$C$5),"Objekt fehlt",IF(YEAR(A191)&lt;&gt;Einstellungen!$C$3,"anderes Jahr",IF(A191&lt;INDEX(Mitarbeiter!$C$6:$C$205,MATCH(B191,Mitarbeiter!$A$6:$A$205,0)),"vor Eintritt",IF(AND(INDEX(Mitarbeiter!$D$6:$D$205,MATCH(B191,Mitarbeiter!$A$6:$A$205,0))&lt;&gt;"",A191&gt;INDEX(Mitarbeiter!$D$6:$D$205,MATCH(B191,Mitarbeiter!$A$6:$A$205,0))),"nach Austritt","ok")))))))</f>
        <v/>
      </c>
    </row>
    <row r="192">
      <c r="A192" s="26" t="n">
        <v>46054</v>
      </c>
      <c r="B192" s="24" t="n">
        <v>1066</v>
      </c>
      <c r="C192" s="40">
        <f>IF(B192="","",IFERROR(INDEX(Mitarbeiter!$B$6:$B$205,MATCH(B192,Mitarbeiter!$A$6:$A$205,0)),"?"))</f>
        <v/>
      </c>
      <c r="D192" s="41" t="inlineStr">
        <is>
          <t>Objekt 2</t>
        </is>
      </c>
      <c r="E192" s="42" t="n">
        <v>17.5</v>
      </c>
      <c r="F192" s="43" t="n">
        <v>0</v>
      </c>
      <c r="G192" s="44">
        <f>IF(OR(B192="",F192=""),"",IFERROR(F192*INDEX(Mitarbeiter!$F$6:$F$205,MATCH(B192,Mitarbeiter!$A$6:$A$205,0)),0))</f>
        <v/>
      </c>
      <c r="H192" s="8">
        <f>IF(B192="","",IF(ISNA(MATCH(B192,Mitarbeiter!$A$6:$A$205,0)),"Pers.-Nr. unbekannt",IF(A192="","Datum fehlt",IF(AND(D192&lt;&gt;Einstellungen!$C$4,D192&lt;&gt;Einstellungen!$C$5),"Objekt fehlt",IF(YEAR(A192)&lt;&gt;Einstellungen!$C$3,"anderes Jahr",IF(A192&lt;INDEX(Mitarbeiter!$C$6:$C$205,MATCH(B192,Mitarbeiter!$A$6:$A$205,0)),"vor Eintritt",IF(AND(INDEX(Mitarbeiter!$D$6:$D$205,MATCH(B192,Mitarbeiter!$A$6:$A$205,0))&lt;&gt;"",A192&gt;INDEX(Mitarbeiter!$D$6:$D$205,MATCH(B192,Mitarbeiter!$A$6:$A$205,0))),"nach Austritt","ok")))))))</f>
        <v/>
      </c>
    </row>
    <row r="193">
      <c r="A193" s="26" t="n">
        <v>46054</v>
      </c>
      <c r="B193" s="24" t="n">
        <v>1068</v>
      </c>
      <c r="C193" s="40">
        <f>IF(B193="","",IFERROR(INDEX(Mitarbeiter!$B$6:$B$205,MATCH(B193,Mitarbeiter!$A$6:$A$205,0)),"?"))</f>
        <v/>
      </c>
      <c r="D193" s="41" t="inlineStr">
        <is>
          <t>Objekt 1</t>
        </is>
      </c>
      <c r="E193" s="42" t="n">
        <v>72</v>
      </c>
      <c r="F193" s="43" t="n">
        <v>3</v>
      </c>
      <c r="G193" s="44">
        <f>IF(OR(B193="",F193=""),"",IFERROR(F193*INDEX(Mitarbeiter!$F$6:$F$205,MATCH(B193,Mitarbeiter!$A$6:$A$205,0)),0))</f>
        <v/>
      </c>
      <c r="H193" s="8">
        <f>IF(B193="","",IF(ISNA(MATCH(B193,Mitarbeiter!$A$6:$A$205,0)),"Pers.-Nr. unbekannt",IF(A193="","Datum fehlt",IF(AND(D193&lt;&gt;Einstellungen!$C$4,D193&lt;&gt;Einstellungen!$C$5),"Objekt fehlt",IF(YEAR(A193)&lt;&gt;Einstellungen!$C$3,"anderes Jahr",IF(A193&lt;INDEX(Mitarbeiter!$C$6:$C$205,MATCH(B193,Mitarbeiter!$A$6:$A$205,0)),"vor Eintritt",IF(AND(INDEX(Mitarbeiter!$D$6:$D$205,MATCH(B193,Mitarbeiter!$A$6:$A$205,0))&lt;&gt;"",A193&gt;INDEX(Mitarbeiter!$D$6:$D$205,MATCH(B193,Mitarbeiter!$A$6:$A$205,0))),"nach Austritt","ok")))))))</f>
        <v/>
      </c>
    </row>
    <row r="194">
      <c r="A194" s="26" t="n">
        <v>46054</v>
      </c>
      <c r="B194" s="24" t="n">
        <v>1068</v>
      </c>
      <c r="C194" s="40">
        <f>IF(B194="","",IFERROR(INDEX(Mitarbeiter!$B$6:$B$205,MATCH(B194,Mitarbeiter!$A$6:$A$205,0)),"?"))</f>
        <v/>
      </c>
      <c r="D194" s="41" t="inlineStr">
        <is>
          <t>Objekt 2</t>
        </is>
      </c>
      <c r="E194" s="42" t="n">
        <v>48</v>
      </c>
      <c r="F194" s="43" t="n">
        <v>2</v>
      </c>
      <c r="G194" s="44">
        <f>IF(OR(B194="",F194=""),"",IFERROR(F194*INDEX(Mitarbeiter!$F$6:$F$205,MATCH(B194,Mitarbeiter!$A$6:$A$205,0)),0))</f>
        <v/>
      </c>
      <c r="H194" s="8">
        <f>IF(B194="","",IF(ISNA(MATCH(B194,Mitarbeiter!$A$6:$A$205,0)),"Pers.-Nr. unbekannt",IF(A194="","Datum fehlt",IF(AND(D194&lt;&gt;Einstellungen!$C$4,D194&lt;&gt;Einstellungen!$C$5),"Objekt fehlt",IF(YEAR(A194)&lt;&gt;Einstellungen!$C$3,"anderes Jahr",IF(A194&lt;INDEX(Mitarbeiter!$C$6:$C$205,MATCH(B194,Mitarbeiter!$A$6:$A$205,0)),"vor Eintritt",IF(AND(INDEX(Mitarbeiter!$D$6:$D$205,MATCH(B194,Mitarbeiter!$A$6:$A$205,0))&lt;&gt;"",A194&gt;INDEX(Mitarbeiter!$D$6:$D$205,MATCH(B194,Mitarbeiter!$A$6:$A$205,0))),"nach Austritt","ok")))))))</f>
        <v/>
      </c>
    </row>
    <row r="195">
      <c r="A195" s="26" t="n">
        <v>46054</v>
      </c>
      <c r="B195" s="24" t="n">
        <v>1069</v>
      </c>
      <c r="C195" s="40">
        <f>IF(B195="","",IFERROR(INDEX(Mitarbeiter!$B$6:$B$205,MATCH(B195,Mitarbeiter!$A$6:$A$205,0)),"?"))</f>
        <v/>
      </c>
      <c r="D195" s="41" t="inlineStr">
        <is>
          <t>Objekt 1</t>
        </is>
      </c>
      <c r="E195" s="42" t="n">
        <v>163</v>
      </c>
      <c r="F195" s="43" t="n">
        <v>0</v>
      </c>
      <c r="G195" s="44">
        <f>IF(OR(B195="",F195=""),"",IFERROR(F195*INDEX(Mitarbeiter!$F$6:$F$205,MATCH(B195,Mitarbeiter!$A$6:$A$205,0)),0))</f>
        <v/>
      </c>
      <c r="H195" s="8">
        <f>IF(B195="","",IF(ISNA(MATCH(B195,Mitarbeiter!$A$6:$A$205,0)),"Pers.-Nr. unbekannt",IF(A195="","Datum fehlt",IF(AND(D195&lt;&gt;Einstellungen!$C$4,D195&lt;&gt;Einstellungen!$C$5),"Objekt fehlt",IF(YEAR(A195)&lt;&gt;Einstellungen!$C$3,"anderes Jahr",IF(A195&lt;INDEX(Mitarbeiter!$C$6:$C$205,MATCH(B195,Mitarbeiter!$A$6:$A$205,0)),"vor Eintritt",IF(AND(INDEX(Mitarbeiter!$D$6:$D$205,MATCH(B195,Mitarbeiter!$A$6:$A$205,0))&lt;&gt;"",A195&gt;INDEX(Mitarbeiter!$D$6:$D$205,MATCH(B195,Mitarbeiter!$A$6:$A$205,0))),"nach Austritt","ok")))))))</f>
        <v/>
      </c>
    </row>
    <row r="196">
      <c r="A196" s="26" t="n">
        <v>46054</v>
      </c>
      <c r="B196" s="24" t="n">
        <v>1070</v>
      </c>
      <c r="C196" s="40">
        <f>IF(B196="","",IFERROR(INDEX(Mitarbeiter!$B$6:$B$205,MATCH(B196,Mitarbeiter!$A$6:$A$205,0)),"?"))</f>
        <v/>
      </c>
      <c r="D196" s="41" t="inlineStr">
        <is>
          <t>Objekt 2</t>
        </is>
      </c>
      <c r="E196" s="42" t="n">
        <v>160</v>
      </c>
      <c r="F196" s="43" t="n">
        <v>0</v>
      </c>
      <c r="G196" s="44">
        <f>IF(OR(B196="",F196=""),"",IFERROR(F196*INDEX(Mitarbeiter!$F$6:$F$205,MATCH(B196,Mitarbeiter!$A$6:$A$205,0)),0))</f>
        <v/>
      </c>
      <c r="H196" s="8">
        <f>IF(B196="","",IF(ISNA(MATCH(B196,Mitarbeiter!$A$6:$A$205,0)),"Pers.-Nr. unbekannt",IF(A196="","Datum fehlt",IF(AND(D196&lt;&gt;Einstellungen!$C$4,D196&lt;&gt;Einstellungen!$C$5),"Objekt fehlt",IF(YEAR(A196)&lt;&gt;Einstellungen!$C$3,"anderes Jahr",IF(A196&lt;INDEX(Mitarbeiter!$C$6:$C$205,MATCH(B196,Mitarbeiter!$A$6:$A$205,0)),"vor Eintritt",IF(AND(INDEX(Mitarbeiter!$D$6:$D$205,MATCH(B196,Mitarbeiter!$A$6:$A$205,0))&lt;&gt;"",A196&gt;INDEX(Mitarbeiter!$D$6:$D$205,MATCH(B196,Mitarbeiter!$A$6:$A$205,0))),"nach Austritt","ok")))))))</f>
        <v/>
      </c>
    </row>
    <row r="197">
      <c r="A197" s="26" t="n">
        <v>46068</v>
      </c>
      <c r="B197" s="24" t="n">
        <v>1071</v>
      </c>
      <c r="C197" s="40">
        <f>IF(B197="","",IFERROR(INDEX(Mitarbeiter!$B$6:$B$205,MATCH(B197,Mitarbeiter!$A$6:$A$205,0)),"?"))</f>
        <v/>
      </c>
      <c r="D197" s="41" t="inlineStr">
        <is>
          <t>Objekt 2</t>
        </is>
      </c>
      <c r="E197" s="42" t="n">
        <v>60</v>
      </c>
      <c r="F197" s="43" t="n">
        <v>0</v>
      </c>
      <c r="G197" s="44">
        <f>IF(OR(B197="",F197=""),"",IFERROR(F197*INDEX(Mitarbeiter!$F$6:$F$205,MATCH(B197,Mitarbeiter!$A$6:$A$205,0)),0))</f>
        <v/>
      </c>
      <c r="H197" s="8">
        <f>IF(B197="","",IF(ISNA(MATCH(B197,Mitarbeiter!$A$6:$A$205,0)),"Pers.-Nr. unbekannt",IF(A197="","Datum fehlt",IF(AND(D197&lt;&gt;Einstellungen!$C$4,D197&lt;&gt;Einstellungen!$C$5),"Objekt fehlt",IF(YEAR(A197)&lt;&gt;Einstellungen!$C$3,"anderes Jahr",IF(A197&lt;INDEX(Mitarbeiter!$C$6:$C$205,MATCH(B197,Mitarbeiter!$A$6:$A$205,0)),"vor Eintritt",IF(AND(INDEX(Mitarbeiter!$D$6:$D$205,MATCH(B197,Mitarbeiter!$A$6:$A$205,0))&lt;&gt;"",A197&gt;INDEX(Mitarbeiter!$D$6:$D$205,MATCH(B197,Mitarbeiter!$A$6:$A$205,0))),"nach Austritt","ok")))))))</f>
        <v/>
      </c>
    </row>
    <row r="198">
      <c r="A198" s="26" t="n">
        <v>46082</v>
      </c>
      <c r="B198" s="24" t="n">
        <v>1001</v>
      </c>
      <c r="C198" s="40">
        <f>IF(B198="","",IFERROR(INDEX(Mitarbeiter!$B$6:$B$205,MATCH(B198,Mitarbeiter!$A$6:$A$205,0)),"?"))</f>
        <v/>
      </c>
      <c r="D198" s="41" t="inlineStr">
        <is>
          <t>Objekt 1</t>
        </is>
      </c>
      <c r="E198" s="42" t="n">
        <v>44</v>
      </c>
      <c r="F198" s="43" t="n">
        <v>0</v>
      </c>
      <c r="G198" s="44">
        <f>IF(OR(B198="",F198=""),"",IFERROR(F198*INDEX(Mitarbeiter!$F$6:$F$205,MATCH(B198,Mitarbeiter!$A$6:$A$205,0)),0))</f>
        <v/>
      </c>
      <c r="H198" s="8">
        <f>IF(B198="","",IF(ISNA(MATCH(B198,Mitarbeiter!$A$6:$A$205,0)),"Pers.-Nr. unbekannt",IF(A198="","Datum fehlt",IF(AND(D198&lt;&gt;Einstellungen!$C$4,D198&lt;&gt;Einstellungen!$C$5),"Objekt fehlt",IF(YEAR(A198)&lt;&gt;Einstellungen!$C$3,"anderes Jahr",IF(A198&lt;INDEX(Mitarbeiter!$C$6:$C$205,MATCH(B198,Mitarbeiter!$A$6:$A$205,0)),"vor Eintritt",IF(AND(INDEX(Mitarbeiter!$D$6:$D$205,MATCH(B198,Mitarbeiter!$A$6:$A$205,0))&lt;&gt;"",A198&gt;INDEX(Mitarbeiter!$D$6:$D$205,MATCH(B198,Mitarbeiter!$A$6:$A$205,0))),"nach Austritt","ok")))))))</f>
        <v/>
      </c>
    </row>
    <row r="199">
      <c r="A199" s="26" t="n">
        <v>46082</v>
      </c>
      <c r="B199" s="24" t="n">
        <v>1001</v>
      </c>
      <c r="C199" s="40">
        <f>IF(B199="","",IFERROR(INDEX(Mitarbeiter!$B$6:$B$205,MATCH(B199,Mitarbeiter!$A$6:$A$205,0)),"?"))</f>
        <v/>
      </c>
      <c r="D199" s="41" t="inlineStr">
        <is>
          <t>Objekt 2</t>
        </is>
      </c>
      <c r="E199" s="42" t="n">
        <v>42.5</v>
      </c>
      <c r="F199" s="43" t="n">
        <v>0</v>
      </c>
      <c r="G199" s="44">
        <f>IF(OR(B199="",F199=""),"",IFERROR(F199*INDEX(Mitarbeiter!$F$6:$F$205,MATCH(B199,Mitarbeiter!$A$6:$A$205,0)),0))</f>
        <v/>
      </c>
      <c r="H199" s="8">
        <f>IF(B199="","",IF(ISNA(MATCH(B199,Mitarbeiter!$A$6:$A$205,0)),"Pers.-Nr. unbekannt",IF(A199="","Datum fehlt",IF(AND(D199&lt;&gt;Einstellungen!$C$4,D199&lt;&gt;Einstellungen!$C$5),"Objekt fehlt",IF(YEAR(A199)&lt;&gt;Einstellungen!$C$3,"anderes Jahr",IF(A199&lt;INDEX(Mitarbeiter!$C$6:$C$205,MATCH(B199,Mitarbeiter!$A$6:$A$205,0)),"vor Eintritt",IF(AND(INDEX(Mitarbeiter!$D$6:$D$205,MATCH(B199,Mitarbeiter!$A$6:$A$205,0))&lt;&gt;"",A199&gt;INDEX(Mitarbeiter!$D$6:$D$205,MATCH(B199,Mitarbeiter!$A$6:$A$205,0))),"nach Austritt","ok")))))))</f>
        <v/>
      </c>
    </row>
    <row r="200">
      <c r="A200" s="26" t="n">
        <v>46082</v>
      </c>
      <c r="B200" s="24" t="n">
        <v>1002</v>
      </c>
      <c r="C200" s="40">
        <f>IF(B200="","",IFERROR(INDEX(Mitarbeiter!$B$6:$B$205,MATCH(B200,Mitarbeiter!$A$6:$A$205,0)),"?"))</f>
        <v/>
      </c>
      <c r="D200" s="41" t="inlineStr">
        <is>
          <t>Objekt 1</t>
        </is>
      </c>
      <c r="E200" s="42" t="n">
        <v>66</v>
      </c>
      <c r="F200" s="43" t="n">
        <v>2</v>
      </c>
      <c r="G200" s="44">
        <f>IF(OR(B200="",F200=""),"",IFERROR(F200*INDEX(Mitarbeiter!$F$6:$F$205,MATCH(B200,Mitarbeiter!$A$6:$A$205,0)),0))</f>
        <v/>
      </c>
      <c r="H200" s="8">
        <f>IF(B200="","",IF(ISNA(MATCH(B200,Mitarbeiter!$A$6:$A$205,0)),"Pers.-Nr. unbekannt",IF(A200="","Datum fehlt",IF(AND(D200&lt;&gt;Einstellungen!$C$4,D200&lt;&gt;Einstellungen!$C$5),"Objekt fehlt",IF(YEAR(A200)&lt;&gt;Einstellungen!$C$3,"anderes Jahr",IF(A200&lt;INDEX(Mitarbeiter!$C$6:$C$205,MATCH(B200,Mitarbeiter!$A$6:$A$205,0)),"vor Eintritt",IF(AND(INDEX(Mitarbeiter!$D$6:$D$205,MATCH(B200,Mitarbeiter!$A$6:$A$205,0))&lt;&gt;"",A200&gt;INDEX(Mitarbeiter!$D$6:$D$205,MATCH(B200,Mitarbeiter!$A$6:$A$205,0))),"nach Austritt","ok")))))))</f>
        <v/>
      </c>
    </row>
    <row r="201">
      <c r="A201" s="26" t="n">
        <v>46082</v>
      </c>
      <c r="B201" s="24" t="n">
        <v>1002</v>
      </c>
      <c r="C201" s="40">
        <f>IF(B201="","",IFERROR(INDEX(Mitarbeiter!$B$6:$B$205,MATCH(B201,Mitarbeiter!$A$6:$A$205,0)),"?"))</f>
        <v/>
      </c>
      <c r="D201" s="41" t="inlineStr">
        <is>
          <t>Objekt 2</t>
        </is>
      </c>
      <c r="E201" s="42" t="n">
        <v>46.5</v>
      </c>
      <c r="F201" s="43" t="n">
        <v>1</v>
      </c>
      <c r="G201" s="44">
        <f>IF(OR(B201="",F201=""),"",IFERROR(F201*INDEX(Mitarbeiter!$F$6:$F$205,MATCH(B201,Mitarbeiter!$A$6:$A$205,0)),0))</f>
        <v/>
      </c>
      <c r="H201" s="8">
        <f>IF(B201="","",IF(ISNA(MATCH(B201,Mitarbeiter!$A$6:$A$205,0)),"Pers.-Nr. unbekannt",IF(A201="","Datum fehlt",IF(AND(D201&lt;&gt;Einstellungen!$C$4,D201&lt;&gt;Einstellungen!$C$5),"Objekt fehlt",IF(YEAR(A201)&lt;&gt;Einstellungen!$C$3,"anderes Jahr",IF(A201&lt;INDEX(Mitarbeiter!$C$6:$C$205,MATCH(B201,Mitarbeiter!$A$6:$A$205,0)),"vor Eintritt",IF(AND(INDEX(Mitarbeiter!$D$6:$D$205,MATCH(B201,Mitarbeiter!$A$6:$A$205,0))&lt;&gt;"",A201&gt;INDEX(Mitarbeiter!$D$6:$D$205,MATCH(B201,Mitarbeiter!$A$6:$A$205,0))),"nach Austritt","ok")))))))</f>
        <v/>
      </c>
    </row>
    <row r="202">
      <c r="A202" s="26" t="n">
        <v>46082</v>
      </c>
      <c r="B202" s="24" t="n">
        <v>1003</v>
      </c>
      <c r="C202" s="40">
        <f>IF(B202="","",IFERROR(INDEX(Mitarbeiter!$B$6:$B$205,MATCH(B202,Mitarbeiter!$A$6:$A$205,0)),"?"))</f>
        <v/>
      </c>
      <c r="D202" s="41" t="inlineStr">
        <is>
          <t>Objekt 2</t>
        </is>
      </c>
      <c r="E202" s="42" t="n">
        <v>176</v>
      </c>
      <c r="F202" s="43" t="n">
        <v>0</v>
      </c>
      <c r="G202" s="44">
        <f>IF(OR(B202="",F202=""),"",IFERROR(F202*INDEX(Mitarbeiter!$F$6:$F$205,MATCH(B202,Mitarbeiter!$A$6:$A$205,0)),0))</f>
        <v/>
      </c>
      <c r="H202" s="8">
        <f>IF(B202="","",IF(ISNA(MATCH(B202,Mitarbeiter!$A$6:$A$205,0)),"Pers.-Nr. unbekannt",IF(A202="","Datum fehlt",IF(AND(D202&lt;&gt;Einstellungen!$C$4,D202&lt;&gt;Einstellungen!$C$5),"Objekt fehlt",IF(YEAR(A202)&lt;&gt;Einstellungen!$C$3,"anderes Jahr",IF(A202&lt;INDEX(Mitarbeiter!$C$6:$C$205,MATCH(B202,Mitarbeiter!$A$6:$A$205,0)),"vor Eintritt",IF(AND(INDEX(Mitarbeiter!$D$6:$D$205,MATCH(B202,Mitarbeiter!$A$6:$A$205,0))&lt;&gt;"",A202&gt;INDEX(Mitarbeiter!$D$6:$D$205,MATCH(B202,Mitarbeiter!$A$6:$A$205,0))),"nach Austritt","ok")))))))</f>
        <v/>
      </c>
    </row>
    <row r="203">
      <c r="A203" s="26" t="n">
        <v>46082</v>
      </c>
      <c r="B203" s="24" t="n">
        <v>1004</v>
      </c>
      <c r="C203" s="40">
        <f>IF(B203="","",IFERROR(INDEX(Mitarbeiter!$B$6:$B$205,MATCH(B203,Mitarbeiter!$A$6:$A$205,0)),"?"))</f>
        <v/>
      </c>
      <c r="D203" s="41" t="inlineStr">
        <is>
          <t>Objekt 1</t>
        </is>
      </c>
      <c r="E203" s="42" t="n">
        <v>86.5</v>
      </c>
      <c r="F203" s="43" t="n">
        <v>0</v>
      </c>
      <c r="G203" s="44">
        <f>IF(OR(B203="",F203=""),"",IFERROR(F203*INDEX(Mitarbeiter!$F$6:$F$205,MATCH(B203,Mitarbeiter!$A$6:$A$205,0)),0))</f>
        <v/>
      </c>
      <c r="H203" s="8">
        <f>IF(B203="","",IF(ISNA(MATCH(B203,Mitarbeiter!$A$6:$A$205,0)),"Pers.-Nr. unbekannt",IF(A203="","Datum fehlt",IF(AND(D203&lt;&gt;Einstellungen!$C$4,D203&lt;&gt;Einstellungen!$C$5),"Objekt fehlt",IF(YEAR(A203)&lt;&gt;Einstellungen!$C$3,"anderes Jahr",IF(A203&lt;INDEX(Mitarbeiter!$C$6:$C$205,MATCH(B203,Mitarbeiter!$A$6:$A$205,0)),"vor Eintritt",IF(AND(INDEX(Mitarbeiter!$D$6:$D$205,MATCH(B203,Mitarbeiter!$A$6:$A$205,0))&lt;&gt;"",A203&gt;INDEX(Mitarbeiter!$D$6:$D$205,MATCH(B203,Mitarbeiter!$A$6:$A$205,0))),"nach Austritt","ok")))))))</f>
        <v/>
      </c>
    </row>
    <row r="204">
      <c r="A204" s="26" t="n">
        <v>46082</v>
      </c>
      <c r="B204" s="24" t="n">
        <v>1004</v>
      </c>
      <c r="C204" s="40">
        <f>IF(B204="","",IFERROR(INDEX(Mitarbeiter!$B$6:$B$205,MATCH(B204,Mitarbeiter!$A$6:$A$205,0)),"?"))</f>
        <v/>
      </c>
      <c r="D204" s="41" t="inlineStr">
        <is>
          <t>Objekt 2</t>
        </is>
      </c>
      <c r="E204" s="42" t="n">
        <v>88</v>
      </c>
      <c r="F204" s="43" t="n">
        <v>0</v>
      </c>
      <c r="G204" s="44">
        <f>IF(OR(B204="",F204=""),"",IFERROR(F204*INDEX(Mitarbeiter!$F$6:$F$205,MATCH(B204,Mitarbeiter!$A$6:$A$205,0)),0))</f>
        <v/>
      </c>
      <c r="H204" s="8">
        <f>IF(B204="","",IF(ISNA(MATCH(B204,Mitarbeiter!$A$6:$A$205,0)),"Pers.-Nr. unbekannt",IF(A204="","Datum fehlt",IF(AND(D204&lt;&gt;Einstellungen!$C$4,D204&lt;&gt;Einstellungen!$C$5),"Objekt fehlt",IF(YEAR(A204)&lt;&gt;Einstellungen!$C$3,"anderes Jahr",IF(A204&lt;INDEX(Mitarbeiter!$C$6:$C$205,MATCH(B204,Mitarbeiter!$A$6:$A$205,0)),"vor Eintritt",IF(AND(INDEX(Mitarbeiter!$D$6:$D$205,MATCH(B204,Mitarbeiter!$A$6:$A$205,0))&lt;&gt;"",A204&gt;INDEX(Mitarbeiter!$D$6:$D$205,MATCH(B204,Mitarbeiter!$A$6:$A$205,0))),"nach Austritt","ok")))))))</f>
        <v/>
      </c>
    </row>
    <row r="205">
      <c r="A205" s="26" t="n">
        <v>46082</v>
      </c>
      <c r="B205" s="24" t="n">
        <v>1005</v>
      </c>
      <c r="C205" s="40">
        <f>IF(B205="","",IFERROR(INDEX(Mitarbeiter!$B$6:$B$205,MATCH(B205,Mitarbeiter!$A$6:$A$205,0)),"?"))</f>
        <v/>
      </c>
      <c r="D205" s="41" t="inlineStr">
        <is>
          <t>Objekt 1</t>
        </is>
      </c>
      <c r="E205" s="42" t="n">
        <v>69</v>
      </c>
      <c r="F205" s="43" t="n">
        <v>0</v>
      </c>
      <c r="G205" s="44">
        <f>IF(OR(B205="",F205=""),"",IFERROR(F205*INDEX(Mitarbeiter!$F$6:$F$205,MATCH(B205,Mitarbeiter!$A$6:$A$205,0)),0))</f>
        <v/>
      </c>
      <c r="H205" s="8">
        <f>IF(B205="","",IF(ISNA(MATCH(B205,Mitarbeiter!$A$6:$A$205,0)),"Pers.-Nr. unbekannt",IF(A205="","Datum fehlt",IF(AND(D205&lt;&gt;Einstellungen!$C$4,D205&lt;&gt;Einstellungen!$C$5),"Objekt fehlt",IF(YEAR(A205)&lt;&gt;Einstellungen!$C$3,"anderes Jahr",IF(A205&lt;INDEX(Mitarbeiter!$C$6:$C$205,MATCH(B205,Mitarbeiter!$A$6:$A$205,0)),"vor Eintritt",IF(AND(INDEX(Mitarbeiter!$D$6:$D$205,MATCH(B205,Mitarbeiter!$A$6:$A$205,0))&lt;&gt;"",A205&gt;INDEX(Mitarbeiter!$D$6:$D$205,MATCH(B205,Mitarbeiter!$A$6:$A$205,0))),"nach Austritt","ok")))))))</f>
        <v/>
      </c>
    </row>
    <row r="206">
      <c r="A206" s="26" t="n">
        <v>46082</v>
      </c>
      <c r="B206" s="24" t="n">
        <v>1005</v>
      </c>
      <c r="C206" s="40">
        <f>IF(B206="","",IFERROR(INDEX(Mitarbeiter!$B$6:$B$205,MATCH(B206,Mitarbeiter!$A$6:$A$205,0)),"?"))</f>
        <v/>
      </c>
      <c r="D206" s="41" t="inlineStr">
        <is>
          <t>Objekt 2</t>
        </is>
      </c>
      <c r="E206" s="42" t="n">
        <v>64.5</v>
      </c>
      <c r="F206" s="43" t="n">
        <v>0</v>
      </c>
      <c r="G206" s="44">
        <f>IF(OR(B206="",F206=""),"",IFERROR(F206*INDEX(Mitarbeiter!$F$6:$F$205,MATCH(B206,Mitarbeiter!$A$6:$A$205,0)),0))</f>
        <v/>
      </c>
      <c r="H206" s="8">
        <f>IF(B206="","",IF(ISNA(MATCH(B206,Mitarbeiter!$A$6:$A$205,0)),"Pers.-Nr. unbekannt",IF(A206="","Datum fehlt",IF(AND(D206&lt;&gt;Einstellungen!$C$4,D206&lt;&gt;Einstellungen!$C$5),"Objekt fehlt",IF(YEAR(A206)&lt;&gt;Einstellungen!$C$3,"anderes Jahr",IF(A206&lt;INDEX(Mitarbeiter!$C$6:$C$205,MATCH(B206,Mitarbeiter!$A$6:$A$205,0)),"vor Eintritt",IF(AND(INDEX(Mitarbeiter!$D$6:$D$205,MATCH(B206,Mitarbeiter!$A$6:$A$205,0))&lt;&gt;"",A206&gt;INDEX(Mitarbeiter!$D$6:$D$205,MATCH(B206,Mitarbeiter!$A$6:$A$205,0))),"nach Austritt","ok")))))))</f>
        <v/>
      </c>
    </row>
    <row r="207">
      <c r="A207" s="26" t="n">
        <v>46082</v>
      </c>
      <c r="B207" s="24" t="n">
        <v>1006</v>
      </c>
      <c r="C207" s="40">
        <f>IF(B207="","",IFERROR(INDEX(Mitarbeiter!$B$6:$B$205,MATCH(B207,Mitarbeiter!$A$6:$A$205,0)),"?"))</f>
        <v/>
      </c>
      <c r="D207" s="41" t="inlineStr">
        <is>
          <t>Objekt 1</t>
        </is>
      </c>
      <c r="E207" s="42" t="n">
        <v>105.5</v>
      </c>
      <c r="F207" s="43" t="n">
        <v>0</v>
      </c>
      <c r="G207" s="44">
        <f>IF(OR(B207="",F207=""),"",IFERROR(F207*INDEX(Mitarbeiter!$F$6:$F$205,MATCH(B207,Mitarbeiter!$A$6:$A$205,0)),0))</f>
        <v/>
      </c>
      <c r="H207" s="8">
        <f>IF(B207="","",IF(ISNA(MATCH(B207,Mitarbeiter!$A$6:$A$205,0)),"Pers.-Nr. unbekannt",IF(A207="","Datum fehlt",IF(AND(D207&lt;&gt;Einstellungen!$C$4,D207&lt;&gt;Einstellungen!$C$5),"Objekt fehlt",IF(YEAR(A207)&lt;&gt;Einstellungen!$C$3,"anderes Jahr",IF(A207&lt;INDEX(Mitarbeiter!$C$6:$C$205,MATCH(B207,Mitarbeiter!$A$6:$A$205,0)),"vor Eintritt",IF(AND(INDEX(Mitarbeiter!$D$6:$D$205,MATCH(B207,Mitarbeiter!$A$6:$A$205,0))&lt;&gt;"",A207&gt;INDEX(Mitarbeiter!$D$6:$D$205,MATCH(B207,Mitarbeiter!$A$6:$A$205,0))),"nach Austritt","ok")))))))</f>
        <v/>
      </c>
    </row>
    <row r="208">
      <c r="A208" s="26" t="n">
        <v>46082</v>
      </c>
      <c r="B208" s="24" t="n">
        <v>1006</v>
      </c>
      <c r="C208" s="40">
        <f>IF(B208="","",IFERROR(INDEX(Mitarbeiter!$B$6:$B$205,MATCH(B208,Mitarbeiter!$A$6:$A$205,0)),"?"))</f>
        <v/>
      </c>
      <c r="D208" s="41" t="inlineStr">
        <is>
          <t>Objekt 2</t>
        </is>
      </c>
      <c r="E208" s="42" t="n">
        <v>72</v>
      </c>
      <c r="F208" s="43" t="n">
        <v>0</v>
      </c>
      <c r="G208" s="44">
        <f>IF(OR(B208="",F208=""),"",IFERROR(F208*INDEX(Mitarbeiter!$F$6:$F$205,MATCH(B208,Mitarbeiter!$A$6:$A$205,0)),0))</f>
        <v/>
      </c>
      <c r="H208" s="8">
        <f>IF(B208="","",IF(ISNA(MATCH(B208,Mitarbeiter!$A$6:$A$205,0)),"Pers.-Nr. unbekannt",IF(A208="","Datum fehlt",IF(AND(D208&lt;&gt;Einstellungen!$C$4,D208&lt;&gt;Einstellungen!$C$5),"Objekt fehlt",IF(YEAR(A208)&lt;&gt;Einstellungen!$C$3,"anderes Jahr",IF(A208&lt;INDEX(Mitarbeiter!$C$6:$C$205,MATCH(B208,Mitarbeiter!$A$6:$A$205,0)),"vor Eintritt",IF(AND(INDEX(Mitarbeiter!$D$6:$D$205,MATCH(B208,Mitarbeiter!$A$6:$A$205,0))&lt;&gt;"",A208&gt;INDEX(Mitarbeiter!$D$6:$D$205,MATCH(B208,Mitarbeiter!$A$6:$A$205,0))),"nach Austritt","ok")))))))</f>
        <v/>
      </c>
    </row>
    <row r="209">
      <c r="A209" s="26" t="n">
        <v>46082</v>
      </c>
      <c r="B209" s="24" t="n">
        <v>1007</v>
      </c>
      <c r="C209" s="40">
        <f>IF(B209="","",IFERROR(INDEX(Mitarbeiter!$B$6:$B$205,MATCH(B209,Mitarbeiter!$A$6:$A$205,0)),"?"))</f>
        <v/>
      </c>
      <c r="D209" s="41" t="inlineStr">
        <is>
          <t>Objekt 2</t>
        </is>
      </c>
      <c r="E209" s="42" t="n">
        <v>179</v>
      </c>
      <c r="F209" s="43" t="n">
        <v>0</v>
      </c>
      <c r="G209" s="44">
        <f>IF(OR(B209="",F209=""),"",IFERROR(F209*INDEX(Mitarbeiter!$F$6:$F$205,MATCH(B209,Mitarbeiter!$A$6:$A$205,0)),0))</f>
        <v/>
      </c>
      <c r="H209" s="8">
        <f>IF(B209="","",IF(ISNA(MATCH(B209,Mitarbeiter!$A$6:$A$205,0)),"Pers.-Nr. unbekannt",IF(A209="","Datum fehlt",IF(AND(D209&lt;&gt;Einstellungen!$C$4,D209&lt;&gt;Einstellungen!$C$5),"Objekt fehlt",IF(YEAR(A209)&lt;&gt;Einstellungen!$C$3,"anderes Jahr",IF(A209&lt;INDEX(Mitarbeiter!$C$6:$C$205,MATCH(B209,Mitarbeiter!$A$6:$A$205,0)),"vor Eintritt",IF(AND(INDEX(Mitarbeiter!$D$6:$D$205,MATCH(B209,Mitarbeiter!$A$6:$A$205,0))&lt;&gt;"",A209&gt;INDEX(Mitarbeiter!$D$6:$D$205,MATCH(B209,Mitarbeiter!$A$6:$A$205,0))),"nach Austritt","ok")))))))</f>
        <v/>
      </c>
    </row>
    <row r="210">
      <c r="A210" s="26" t="n">
        <v>46082</v>
      </c>
      <c r="B210" s="24" t="n">
        <v>1008</v>
      </c>
      <c r="C210" s="40">
        <f>IF(B210="","",IFERROR(INDEX(Mitarbeiter!$B$6:$B$205,MATCH(B210,Mitarbeiter!$A$6:$A$205,0)),"?"))</f>
        <v/>
      </c>
      <c r="D210" s="41" t="inlineStr">
        <is>
          <t>Objekt 1</t>
        </is>
      </c>
      <c r="E210" s="42" t="n">
        <v>16</v>
      </c>
      <c r="F210" s="43" t="n">
        <v>0</v>
      </c>
      <c r="G210" s="44">
        <f>IF(OR(B210="",F210=""),"",IFERROR(F210*INDEX(Mitarbeiter!$F$6:$F$205,MATCH(B210,Mitarbeiter!$A$6:$A$205,0)),0))</f>
        <v/>
      </c>
      <c r="H210" s="8">
        <f>IF(B210="","",IF(ISNA(MATCH(B210,Mitarbeiter!$A$6:$A$205,0)),"Pers.-Nr. unbekannt",IF(A210="","Datum fehlt",IF(AND(D210&lt;&gt;Einstellungen!$C$4,D210&lt;&gt;Einstellungen!$C$5),"Objekt fehlt",IF(YEAR(A210)&lt;&gt;Einstellungen!$C$3,"anderes Jahr",IF(A210&lt;INDEX(Mitarbeiter!$C$6:$C$205,MATCH(B210,Mitarbeiter!$A$6:$A$205,0)),"vor Eintritt",IF(AND(INDEX(Mitarbeiter!$D$6:$D$205,MATCH(B210,Mitarbeiter!$A$6:$A$205,0))&lt;&gt;"",A210&gt;INDEX(Mitarbeiter!$D$6:$D$205,MATCH(B210,Mitarbeiter!$A$6:$A$205,0))),"nach Austritt","ok")))))))</f>
        <v/>
      </c>
    </row>
    <row r="211">
      <c r="A211" s="26" t="n">
        <v>46082</v>
      </c>
      <c r="B211" s="24" t="n">
        <v>1008</v>
      </c>
      <c r="C211" s="40">
        <f>IF(B211="","",IFERROR(INDEX(Mitarbeiter!$B$6:$B$205,MATCH(B211,Mitarbeiter!$A$6:$A$205,0)),"?"))</f>
        <v/>
      </c>
      <c r="D211" s="41" t="inlineStr">
        <is>
          <t>Objekt 2</t>
        </is>
      </c>
      <c r="E211" s="42" t="n">
        <v>75</v>
      </c>
      <c r="F211" s="43" t="n">
        <v>0</v>
      </c>
      <c r="G211" s="44">
        <f>IF(OR(B211="",F211=""),"",IFERROR(F211*INDEX(Mitarbeiter!$F$6:$F$205,MATCH(B211,Mitarbeiter!$A$6:$A$205,0)),0))</f>
        <v/>
      </c>
      <c r="H211" s="8">
        <f>IF(B211="","",IF(ISNA(MATCH(B211,Mitarbeiter!$A$6:$A$205,0)),"Pers.-Nr. unbekannt",IF(A211="","Datum fehlt",IF(AND(D211&lt;&gt;Einstellungen!$C$4,D211&lt;&gt;Einstellungen!$C$5),"Objekt fehlt",IF(YEAR(A211)&lt;&gt;Einstellungen!$C$3,"anderes Jahr",IF(A211&lt;INDEX(Mitarbeiter!$C$6:$C$205,MATCH(B211,Mitarbeiter!$A$6:$A$205,0)),"vor Eintritt",IF(AND(INDEX(Mitarbeiter!$D$6:$D$205,MATCH(B211,Mitarbeiter!$A$6:$A$205,0))&lt;&gt;"",A211&gt;INDEX(Mitarbeiter!$D$6:$D$205,MATCH(B211,Mitarbeiter!$A$6:$A$205,0))),"nach Austritt","ok")))))))</f>
        <v/>
      </c>
    </row>
    <row r="212">
      <c r="A212" s="26" t="n">
        <v>46082</v>
      </c>
      <c r="B212" s="24" t="n">
        <v>1009</v>
      </c>
      <c r="C212" s="40">
        <f>IF(B212="","",IFERROR(INDEX(Mitarbeiter!$B$6:$B$205,MATCH(B212,Mitarbeiter!$A$6:$A$205,0)),"?"))</f>
        <v/>
      </c>
      <c r="D212" s="41" t="inlineStr">
        <is>
          <t>Objekt 1</t>
        </is>
      </c>
      <c r="E212" s="42" t="n">
        <v>47</v>
      </c>
      <c r="F212" s="43" t="n">
        <v>0</v>
      </c>
      <c r="G212" s="44">
        <f>IF(OR(B212="",F212=""),"",IFERROR(F212*INDEX(Mitarbeiter!$F$6:$F$205,MATCH(B212,Mitarbeiter!$A$6:$A$205,0)),0))</f>
        <v/>
      </c>
      <c r="H212" s="8">
        <f>IF(B212="","",IF(ISNA(MATCH(B212,Mitarbeiter!$A$6:$A$205,0)),"Pers.-Nr. unbekannt",IF(A212="","Datum fehlt",IF(AND(D212&lt;&gt;Einstellungen!$C$4,D212&lt;&gt;Einstellungen!$C$5),"Objekt fehlt",IF(YEAR(A212)&lt;&gt;Einstellungen!$C$3,"anderes Jahr",IF(A212&lt;INDEX(Mitarbeiter!$C$6:$C$205,MATCH(B212,Mitarbeiter!$A$6:$A$205,0)),"vor Eintritt",IF(AND(INDEX(Mitarbeiter!$D$6:$D$205,MATCH(B212,Mitarbeiter!$A$6:$A$205,0))&lt;&gt;"",A212&gt;INDEX(Mitarbeiter!$D$6:$D$205,MATCH(B212,Mitarbeiter!$A$6:$A$205,0))),"nach Austritt","ok")))))))</f>
        <v/>
      </c>
    </row>
    <row r="213">
      <c r="A213" s="26" t="n">
        <v>46082</v>
      </c>
      <c r="B213" s="24" t="n">
        <v>1009</v>
      </c>
      <c r="C213" s="40">
        <f>IF(B213="","",IFERROR(INDEX(Mitarbeiter!$B$6:$B$205,MATCH(B213,Mitarbeiter!$A$6:$A$205,0)),"?"))</f>
        <v/>
      </c>
      <c r="D213" s="41" t="inlineStr">
        <is>
          <t>Objekt 2</t>
        </is>
      </c>
      <c r="E213" s="42" t="n">
        <v>44</v>
      </c>
      <c r="F213" s="43" t="n">
        <v>0</v>
      </c>
      <c r="G213" s="44">
        <f>IF(OR(B213="",F213=""),"",IFERROR(F213*INDEX(Mitarbeiter!$F$6:$F$205,MATCH(B213,Mitarbeiter!$A$6:$A$205,0)),0))</f>
        <v/>
      </c>
      <c r="H213" s="8">
        <f>IF(B213="","",IF(ISNA(MATCH(B213,Mitarbeiter!$A$6:$A$205,0)),"Pers.-Nr. unbekannt",IF(A213="","Datum fehlt",IF(AND(D213&lt;&gt;Einstellungen!$C$4,D213&lt;&gt;Einstellungen!$C$5),"Objekt fehlt",IF(YEAR(A213)&lt;&gt;Einstellungen!$C$3,"anderes Jahr",IF(A213&lt;INDEX(Mitarbeiter!$C$6:$C$205,MATCH(B213,Mitarbeiter!$A$6:$A$205,0)),"vor Eintritt",IF(AND(INDEX(Mitarbeiter!$D$6:$D$205,MATCH(B213,Mitarbeiter!$A$6:$A$205,0))&lt;&gt;"",A213&gt;INDEX(Mitarbeiter!$D$6:$D$205,MATCH(B213,Mitarbeiter!$A$6:$A$205,0))),"nach Austritt","ok")))))))</f>
        <v/>
      </c>
    </row>
    <row r="214">
      <c r="A214" s="26" t="n">
        <v>46082</v>
      </c>
      <c r="B214" s="24" t="n">
        <v>1010</v>
      </c>
      <c r="C214" s="40">
        <f>IF(B214="","",IFERROR(INDEX(Mitarbeiter!$B$6:$B$205,MATCH(B214,Mitarbeiter!$A$6:$A$205,0)),"?"))</f>
        <v/>
      </c>
      <c r="D214" s="41" t="inlineStr">
        <is>
          <t>Objekt 2</t>
        </is>
      </c>
      <c r="E214" s="42" t="n">
        <v>126</v>
      </c>
      <c r="F214" s="43" t="n">
        <v>1</v>
      </c>
      <c r="G214" s="44">
        <f>IF(OR(B214="",F214=""),"",IFERROR(F214*INDEX(Mitarbeiter!$F$6:$F$205,MATCH(B214,Mitarbeiter!$A$6:$A$205,0)),0))</f>
        <v/>
      </c>
      <c r="H214" s="8">
        <f>IF(B214="","",IF(ISNA(MATCH(B214,Mitarbeiter!$A$6:$A$205,0)),"Pers.-Nr. unbekannt",IF(A214="","Datum fehlt",IF(AND(D214&lt;&gt;Einstellungen!$C$4,D214&lt;&gt;Einstellungen!$C$5),"Objekt fehlt",IF(YEAR(A214)&lt;&gt;Einstellungen!$C$3,"anderes Jahr",IF(A214&lt;INDEX(Mitarbeiter!$C$6:$C$205,MATCH(B214,Mitarbeiter!$A$6:$A$205,0)),"vor Eintritt",IF(AND(INDEX(Mitarbeiter!$D$6:$D$205,MATCH(B214,Mitarbeiter!$A$6:$A$205,0))&lt;&gt;"",A214&gt;INDEX(Mitarbeiter!$D$6:$D$205,MATCH(B214,Mitarbeiter!$A$6:$A$205,0))),"nach Austritt","ok")))))))</f>
        <v/>
      </c>
    </row>
    <row r="215">
      <c r="A215" s="26" t="n">
        <v>46082</v>
      </c>
      <c r="B215" s="24" t="n">
        <v>1011</v>
      </c>
      <c r="C215" s="40">
        <f>IF(B215="","",IFERROR(INDEX(Mitarbeiter!$B$6:$B$205,MATCH(B215,Mitarbeiter!$A$6:$A$205,0)),"?"))</f>
        <v/>
      </c>
      <c r="D215" s="41" t="inlineStr">
        <is>
          <t>Objekt 1</t>
        </is>
      </c>
      <c r="E215" s="42" t="n">
        <v>72</v>
      </c>
      <c r="F215" s="43" t="n">
        <v>2</v>
      </c>
      <c r="G215" s="44">
        <f>IF(OR(B215="",F215=""),"",IFERROR(F215*INDEX(Mitarbeiter!$F$6:$F$205,MATCH(B215,Mitarbeiter!$A$6:$A$205,0)),0))</f>
        <v/>
      </c>
      <c r="H215" s="8">
        <f>IF(B215="","",IF(ISNA(MATCH(B215,Mitarbeiter!$A$6:$A$205,0)),"Pers.-Nr. unbekannt",IF(A215="","Datum fehlt",IF(AND(D215&lt;&gt;Einstellungen!$C$4,D215&lt;&gt;Einstellungen!$C$5),"Objekt fehlt",IF(YEAR(A215)&lt;&gt;Einstellungen!$C$3,"anderes Jahr",IF(A215&lt;INDEX(Mitarbeiter!$C$6:$C$205,MATCH(B215,Mitarbeiter!$A$6:$A$205,0)),"vor Eintritt",IF(AND(INDEX(Mitarbeiter!$D$6:$D$205,MATCH(B215,Mitarbeiter!$A$6:$A$205,0))&lt;&gt;"",A215&gt;INDEX(Mitarbeiter!$D$6:$D$205,MATCH(B215,Mitarbeiter!$A$6:$A$205,0))),"nach Austritt","ok")))))))</f>
        <v/>
      </c>
    </row>
    <row r="216">
      <c r="A216" s="26" t="n">
        <v>46082</v>
      </c>
      <c r="B216" s="24" t="n">
        <v>1011</v>
      </c>
      <c r="C216" s="40">
        <f>IF(B216="","",IFERROR(INDEX(Mitarbeiter!$B$6:$B$205,MATCH(B216,Mitarbeiter!$A$6:$A$205,0)),"?"))</f>
        <v/>
      </c>
      <c r="D216" s="41" t="inlineStr">
        <is>
          <t>Objekt 2</t>
        </is>
      </c>
      <c r="E216" s="42" t="n">
        <v>73.5</v>
      </c>
      <c r="F216" s="43" t="n">
        <v>2</v>
      </c>
      <c r="G216" s="44">
        <f>IF(OR(B216="",F216=""),"",IFERROR(F216*INDEX(Mitarbeiter!$F$6:$F$205,MATCH(B216,Mitarbeiter!$A$6:$A$205,0)),0))</f>
        <v/>
      </c>
      <c r="H216" s="8">
        <f>IF(B216="","",IF(ISNA(MATCH(B216,Mitarbeiter!$A$6:$A$205,0)),"Pers.-Nr. unbekannt",IF(A216="","Datum fehlt",IF(AND(D216&lt;&gt;Einstellungen!$C$4,D216&lt;&gt;Einstellungen!$C$5),"Objekt fehlt",IF(YEAR(A216)&lt;&gt;Einstellungen!$C$3,"anderes Jahr",IF(A216&lt;INDEX(Mitarbeiter!$C$6:$C$205,MATCH(B216,Mitarbeiter!$A$6:$A$205,0)),"vor Eintritt",IF(AND(INDEX(Mitarbeiter!$D$6:$D$205,MATCH(B216,Mitarbeiter!$A$6:$A$205,0))&lt;&gt;"",A216&gt;INDEX(Mitarbeiter!$D$6:$D$205,MATCH(B216,Mitarbeiter!$A$6:$A$205,0))),"nach Austritt","ok")))))))</f>
        <v/>
      </c>
    </row>
    <row r="217">
      <c r="A217" s="26" t="n">
        <v>46082</v>
      </c>
      <c r="B217" s="24" t="n">
        <v>1012</v>
      </c>
      <c r="C217" s="40">
        <f>IF(B217="","",IFERROR(INDEX(Mitarbeiter!$B$6:$B$205,MATCH(B217,Mitarbeiter!$A$6:$A$205,0)),"?"))</f>
        <v/>
      </c>
      <c r="D217" s="41" t="inlineStr">
        <is>
          <t>Objekt 1</t>
        </is>
      </c>
      <c r="E217" s="42" t="n">
        <v>174.5</v>
      </c>
      <c r="F217" s="43" t="n">
        <v>0</v>
      </c>
      <c r="G217" s="44">
        <f>IF(OR(B217="",F217=""),"",IFERROR(F217*INDEX(Mitarbeiter!$F$6:$F$205,MATCH(B217,Mitarbeiter!$A$6:$A$205,0)),0))</f>
        <v/>
      </c>
      <c r="H217" s="8">
        <f>IF(B217="","",IF(ISNA(MATCH(B217,Mitarbeiter!$A$6:$A$205,0)),"Pers.-Nr. unbekannt",IF(A217="","Datum fehlt",IF(AND(D217&lt;&gt;Einstellungen!$C$4,D217&lt;&gt;Einstellungen!$C$5),"Objekt fehlt",IF(YEAR(A217)&lt;&gt;Einstellungen!$C$3,"anderes Jahr",IF(A217&lt;INDEX(Mitarbeiter!$C$6:$C$205,MATCH(B217,Mitarbeiter!$A$6:$A$205,0)),"vor Eintritt",IF(AND(INDEX(Mitarbeiter!$D$6:$D$205,MATCH(B217,Mitarbeiter!$A$6:$A$205,0))&lt;&gt;"",A217&gt;INDEX(Mitarbeiter!$D$6:$D$205,MATCH(B217,Mitarbeiter!$A$6:$A$205,0))),"nach Austritt","ok")))))))</f>
        <v/>
      </c>
    </row>
    <row r="218">
      <c r="A218" s="26" t="n">
        <v>46082</v>
      </c>
      <c r="B218" s="24" t="n">
        <v>1013</v>
      </c>
      <c r="C218" s="40">
        <f>IF(B218="","",IFERROR(INDEX(Mitarbeiter!$B$6:$B$205,MATCH(B218,Mitarbeiter!$A$6:$A$205,0)),"?"))</f>
        <v/>
      </c>
      <c r="D218" s="41" t="inlineStr">
        <is>
          <t>Objekt 1</t>
        </is>
      </c>
      <c r="E218" s="42" t="n">
        <v>105.5</v>
      </c>
      <c r="F218" s="43" t="n">
        <v>0</v>
      </c>
      <c r="G218" s="44">
        <f>IF(OR(B218="",F218=""),"",IFERROR(F218*INDEX(Mitarbeiter!$F$6:$F$205,MATCH(B218,Mitarbeiter!$A$6:$A$205,0)),0))</f>
        <v/>
      </c>
      <c r="H218" s="8">
        <f>IF(B218="","",IF(ISNA(MATCH(B218,Mitarbeiter!$A$6:$A$205,0)),"Pers.-Nr. unbekannt",IF(A218="","Datum fehlt",IF(AND(D218&lt;&gt;Einstellungen!$C$4,D218&lt;&gt;Einstellungen!$C$5),"Objekt fehlt",IF(YEAR(A218)&lt;&gt;Einstellungen!$C$3,"anderes Jahr",IF(A218&lt;INDEX(Mitarbeiter!$C$6:$C$205,MATCH(B218,Mitarbeiter!$A$6:$A$205,0)),"vor Eintritt",IF(AND(INDEX(Mitarbeiter!$D$6:$D$205,MATCH(B218,Mitarbeiter!$A$6:$A$205,0))&lt;&gt;"",A218&gt;INDEX(Mitarbeiter!$D$6:$D$205,MATCH(B218,Mitarbeiter!$A$6:$A$205,0))),"nach Austritt","ok")))))))</f>
        <v/>
      </c>
    </row>
    <row r="219">
      <c r="A219" s="26" t="n">
        <v>46082</v>
      </c>
      <c r="B219" s="24" t="n">
        <v>1013</v>
      </c>
      <c r="C219" s="40">
        <f>IF(B219="","",IFERROR(INDEX(Mitarbeiter!$B$6:$B$205,MATCH(B219,Mitarbeiter!$A$6:$A$205,0)),"?"))</f>
        <v/>
      </c>
      <c r="D219" s="41" t="inlineStr">
        <is>
          <t>Objekt 2</t>
        </is>
      </c>
      <c r="E219" s="42" t="n">
        <v>72</v>
      </c>
      <c r="F219" s="43" t="n">
        <v>0</v>
      </c>
      <c r="G219" s="44">
        <f>IF(OR(B219="",F219=""),"",IFERROR(F219*INDEX(Mitarbeiter!$F$6:$F$205,MATCH(B219,Mitarbeiter!$A$6:$A$205,0)),0))</f>
        <v/>
      </c>
      <c r="H219" s="8">
        <f>IF(B219="","",IF(ISNA(MATCH(B219,Mitarbeiter!$A$6:$A$205,0)),"Pers.-Nr. unbekannt",IF(A219="","Datum fehlt",IF(AND(D219&lt;&gt;Einstellungen!$C$4,D219&lt;&gt;Einstellungen!$C$5),"Objekt fehlt",IF(YEAR(A219)&lt;&gt;Einstellungen!$C$3,"anderes Jahr",IF(A219&lt;INDEX(Mitarbeiter!$C$6:$C$205,MATCH(B219,Mitarbeiter!$A$6:$A$205,0)),"vor Eintritt",IF(AND(INDEX(Mitarbeiter!$D$6:$D$205,MATCH(B219,Mitarbeiter!$A$6:$A$205,0))&lt;&gt;"",A219&gt;INDEX(Mitarbeiter!$D$6:$D$205,MATCH(B219,Mitarbeiter!$A$6:$A$205,0))),"nach Austritt","ok")))))))</f>
        <v/>
      </c>
    </row>
    <row r="220">
      <c r="A220" s="26" t="n">
        <v>46082</v>
      </c>
      <c r="B220" s="24" t="n">
        <v>1014</v>
      </c>
      <c r="C220" s="40">
        <f>IF(B220="","",IFERROR(INDEX(Mitarbeiter!$B$6:$B$205,MATCH(B220,Mitarbeiter!$A$6:$A$205,0)),"?"))</f>
        <v/>
      </c>
      <c r="D220" s="41" t="inlineStr">
        <is>
          <t>Objekt 1</t>
        </is>
      </c>
      <c r="E220" s="42" t="n">
        <v>32</v>
      </c>
      <c r="F220" s="43" t="n">
        <v>0</v>
      </c>
      <c r="G220" s="44">
        <f>IF(OR(B220="",F220=""),"",IFERROR(F220*INDEX(Mitarbeiter!$F$6:$F$205,MATCH(B220,Mitarbeiter!$A$6:$A$205,0)),0))</f>
        <v/>
      </c>
      <c r="H220" s="8">
        <f>IF(B220="","",IF(ISNA(MATCH(B220,Mitarbeiter!$A$6:$A$205,0)),"Pers.-Nr. unbekannt",IF(A220="","Datum fehlt",IF(AND(D220&lt;&gt;Einstellungen!$C$4,D220&lt;&gt;Einstellungen!$C$5),"Objekt fehlt",IF(YEAR(A220)&lt;&gt;Einstellungen!$C$3,"anderes Jahr",IF(A220&lt;INDEX(Mitarbeiter!$C$6:$C$205,MATCH(B220,Mitarbeiter!$A$6:$A$205,0)),"vor Eintritt",IF(AND(INDEX(Mitarbeiter!$D$6:$D$205,MATCH(B220,Mitarbeiter!$A$6:$A$205,0))&lt;&gt;"",A220&gt;INDEX(Mitarbeiter!$D$6:$D$205,MATCH(B220,Mitarbeiter!$A$6:$A$205,0))),"nach Austritt","ok")))))))</f>
        <v/>
      </c>
    </row>
    <row r="221">
      <c r="A221" s="26" t="n">
        <v>46082</v>
      </c>
      <c r="B221" s="24" t="n">
        <v>1014</v>
      </c>
      <c r="C221" s="40">
        <f>IF(B221="","",IFERROR(INDEX(Mitarbeiter!$B$6:$B$205,MATCH(B221,Mitarbeiter!$A$6:$A$205,0)),"?"))</f>
        <v/>
      </c>
      <c r="D221" s="41" t="inlineStr">
        <is>
          <t>Objekt 2</t>
        </is>
      </c>
      <c r="E221" s="42" t="n">
        <v>145.5</v>
      </c>
      <c r="F221" s="43" t="n">
        <v>0</v>
      </c>
      <c r="G221" s="44">
        <f>IF(OR(B221="",F221=""),"",IFERROR(F221*INDEX(Mitarbeiter!$F$6:$F$205,MATCH(B221,Mitarbeiter!$A$6:$A$205,0)),0))</f>
        <v/>
      </c>
      <c r="H221" s="8">
        <f>IF(B221="","",IF(ISNA(MATCH(B221,Mitarbeiter!$A$6:$A$205,0)),"Pers.-Nr. unbekannt",IF(A221="","Datum fehlt",IF(AND(D221&lt;&gt;Einstellungen!$C$4,D221&lt;&gt;Einstellungen!$C$5),"Objekt fehlt",IF(YEAR(A221)&lt;&gt;Einstellungen!$C$3,"anderes Jahr",IF(A221&lt;INDEX(Mitarbeiter!$C$6:$C$205,MATCH(B221,Mitarbeiter!$A$6:$A$205,0)),"vor Eintritt",IF(AND(INDEX(Mitarbeiter!$D$6:$D$205,MATCH(B221,Mitarbeiter!$A$6:$A$205,0))&lt;&gt;"",A221&gt;INDEX(Mitarbeiter!$D$6:$D$205,MATCH(B221,Mitarbeiter!$A$6:$A$205,0))),"nach Austritt","ok")))))))</f>
        <v/>
      </c>
    </row>
    <row r="222">
      <c r="A222" s="26" t="n">
        <v>46082</v>
      </c>
      <c r="B222" s="24" t="n">
        <v>1016</v>
      </c>
      <c r="C222" s="40">
        <f>IF(B222="","",IFERROR(INDEX(Mitarbeiter!$B$6:$B$205,MATCH(B222,Mitarbeiter!$A$6:$A$205,0)),"?"))</f>
        <v/>
      </c>
      <c r="D222" s="41" t="inlineStr">
        <is>
          <t>Objekt 1</t>
        </is>
      </c>
      <c r="E222" s="42" t="n">
        <v>153.5</v>
      </c>
      <c r="F222" s="43" t="n">
        <v>3</v>
      </c>
      <c r="G222" s="44">
        <f>IF(OR(B222="",F222=""),"",IFERROR(F222*INDEX(Mitarbeiter!$F$6:$F$205,MATCH(B222,Mitarbeiter!$A$6:$A$205,0)),0))</f>
        <v/>
      </c>
      <c r="H222" s="8">
        <f>IF(B222="","",IF(ISNA(MATCH(B222,Mitarbeiter!$A$6:$A$205,0)),"Pers.-Nr. unbekannt",IF(A222="","Datum fehlt",IF(AND(D222&lt;&gt;Einstellungen!$C$4,D222&lt;&gt;Einstellungen!$C$5),"Objekt fehlt",IF(YEAR(A222)&lt;&gt;Einstellungen!$C$3,"anderes Jahr",IF(A222&lt;INDEX(Mitarbeiter!$C$6:$C$205,MATCH(B222,Mitarbeiter!$A$6:$A$205,0)),"vor Eintritt",IF(AND(INDEX(Mitarbeiter!$D$6:$D$205,MATCH(B222,Mitarbeiter!$A$6:$A$205,0))&lt;&gt;"",A222&gt;INDEX(Mitarbeiter!$D$6:$D$205,MATCH(B222,Mitarbeiter!$A$6:$A$205,0))),"nach Austritt","ok")))))))</f>
        <v/>
      </c>
    </row>
    <row r="223">
      <c r="A223" s="26" t="n">
        <v>46082</v>
      </c>
      <c r="B223" s="24" t="n">
        <v>1017</v>
      </c>
      <c r="C223" s="40">
        <f>IF(B223="","",IFERROR(INDEX(Mitarbeiter!$B$6:$B$205,MATCH(B223,Mitarbeiter!$A$6:$A$205,0)),"?"))</f>
        <v/>
      </c>
      <c r="D223" s="41" t="inlineStr">
        <is>
          <t>Objekt 1</t>
        </is>
      </c>
      <c r="E223" s="42" t="n">
        <v>144</v>
      </c>
      <c r="F223" s="43" t="n">
        <v>0</v>
      </c>
      <c r="G223" s="44">
        <f>IF(OR(B223="",F223=""),"",IFERROR(F223*INDEX(Mitarbeiter!$F$6:$F$205,MATCH(B223,Mitarbeiter!$A$6:$A$205,0)),0))</f>
        <v/>
      </c>
      <c r="H223" s="8">
        <f>IF(B223="","",IF(ISNA(MATCH(B223,Mitarbeiter!$A$6:$A$205,0)),"Pers.-Nr. unbekannt",IF(A223="","Datum fehlt",IF(AND(D223&lt;&gt;Einstellungen!$C$4,D223&lt;&gt;Einstellungen!$C$5),"Objekt fehlt",IF(YEAR(A223)&lt;&gt;Einstellungen!$C$3,"anderes Jahr",IF(A223&lt;INDEX(Mitarbeiter!$C$6:$C$205,MATCH(B223,Mitarbeiter!$A$6:$A$205,0)),"vor Eintritt",IF(AND(INDEX(Mitarbeiter!$D$6:$D$205,MATCH(B223,Mitarbeiter!$A$6:$A$205,0))&lt;&gt;"",A223&gt;INDEX(Mitarbeiter!$D$6:$D$205,MATCH(B223,Mitarbeiter!$A$6:$A$205,0))),"nach Austritt","ok")))))))</f>
        <v/>
      </c>
    </row>
    <row r="224">
      <c r="A224" s="26" t="n">
        <v>46082</v>
      </c>
      <c r="B224" s="24" t="n">
        <v>1017</v>
      </c>
      <c r="C224" s="40">
        <f>IF(B224="","",IFERROR(INDEX(Mitarbeiter!$B$6:$B$205,MATCH(B224,Mitarbeiter!$A$6:$A$205,0)),"?"))</f>
        <v/>
      </c>
      <c r="D224" s="41" t="inlineStr">
        <is>
          <t>Objekt 2</t>
        </is>
      </c>
      <c r="E224" s="42" t="n">
        <v>32</v>
      </c>
      <c r="F224" s="43" t="n">
        <v>0</v>
      </c>
      <c r="G224" s="44">
        <f>IF(OR(B224="",F224=""),"",IFERROR(F224*INDEX(Mitarbeiter!$F$6:$F$205,MATCH(B224,Mitarbeiter!$A$6:$A$205,0)),0))</f>
        <v/>
      </c>
      <c r="H224" s="8">
        <f>IF(B224="","",IF(ISNA(MATCH(B224,Mitarbeiter!$A$6:$A$205,0)),"Pers.-Nr. unbekannt",IF(A224="","Datum fehlt",IF(AND(D224&lt;&gt;Einstellungen!$C$4,D224&lt;&gt;Einstellungen!$C$5),"Objekt fehlt",IF(YEAR(A224)&lt;&gt;Einstellungen!$C$3,"anderes Jahr",IF(A224&lt;INDEX(Mitarbeiter!$C$6:$C$205,MATCH(B224,Mitarbeiter!$A$6:$A$205,0)),"vor Eintritt",IF(AND(INDEX(Mitarbeiter!$D$6:$D$205,MATCH(B224,Mitarbeiter!$A$6:$A$205,0))&lt;&gt;"",A224&gt;INDEX(Mitarbeiter!$D$6:$D$205,MATCH(B224,Mitarbeiter!$A$6:$A$205,0))),"nach Austritt","ok")))))))</f>
        <v/>
      </c>
    </row>
    <row r="225">
      <c r="A225" s="26" t="n">
        <v>46082</v>
      </c>
      <c r="B225" s="24" t="n">
        <v>1019</v>
      </c>
      <c r="C225" s="40">
        <f>IF(B225="","",IFERROR(INDEX(Mitarbeiter!$B$6:$B$205,MATCH(B225,Mitarbeiter!$A$6:$A$205,0)),"?"))</f>
        <v/>
      </c>
      <c r="D225" s="41" t="inlineStr">
        <is>
          <t>Objekt 1</t>
        </is>
      </c>
      <c r="E225" s="42" t="n">
        <v>72</v>
      </c>
      <c r="F225" s="43" t="n">
        <v>0</v>
      </c>
      <c r="G225" s="44">
        <f>IF(OR(B225="",F225=""),"",IFERROR(F225*INDEX(Mitarbeiter!$F$6:$F$205,MATCH(B225,Mitarbeiter!$A$6:$A$205,0)),0))</f>
        <v/>
      </c>
      <c r="H225" s="8">
        <f>IF(B225="","",IF(ISNA(MATCH(B225,Mitarbeiter!$A$6:$A$205,0)),"Pers.-Nr. unbekannt",IF(A225="","Datum fehlt",IF(AND(D225&lt;&gt;Einstellungen!$C$4,D225&lt;&gt;Einstellungen!$C$5),"Objekt fehlt",IF(YEAR(A225)&lt;&gt;Einstellungen!$C$3,"anderes Jahr",IF(A225&lt;INDEX(Mitarbeiter!$C$6:$C$205,MATCH(B225,Mitarbeiter!$A$6:$A$205,0)),"vor Eintritt",IF(AND(INDEX(Mitarbeiter!$D$6:$D$205,MATCH(B225,Mitarbeiter!$A$6:$A$205,0))&lt;&gt;"",A225&gt;INDEX(Mitarbeiter!$D$6:$D$205,MATCH(B225,Mitarbeiter!$A$6:$A$205,0))),"nach Austritt","ok")))))))</f>
        <v/>
      </c>
    </row>
    <row r="226">
      <c r="A226" s="26" t="n">
        <v>46082</v>
      </c>
      <c r="B226" s="24" t="n">
        <v>1019</v>
      </c>
      <c r="C226" s="40">
        <f>IF(B226="","",IFERROR(INDEX(Mitarbeiter!$B$6:$B$205,MATCH(B226,Mitarbeiter!$A$6:$A$205,0)),"?"))</f>
        <v/>
      </c>
      <c r="D226" s="41" t="inlineStr">
        <is>
          <t>Objekt 2</t>
        </is>
      </c>
      <c r="E226" s="42" t="n">
        <v>104</v>
      </c>
      <c r="F226" s="43" t="n">
        <v>0</v>
      </c>
      <c r="G226" s="44">
        <f>IF(OR(B226="",F226=""),"",IFERROR(F226*INDEX(Mitarbeiter!$F$6:$F$205,MATCH(B226,Mitarbeiter!$A$6:$A$205,0)),0))</f>
        <v/>
      </c>
      <c r="H226" s="8">
        <f>IF(B226="","",IF(ISNA(MATCH(B226,Mitarbeiter!$A$6:$A$205,0)),"Pers.-Nr. unbekannt",IF(A226="","Datum fehlt",IF(AND(D226&lt;&gt;Einstellungen!$C$4,D226&lt;&gt;Einstellungen!$C$5),"Objekt fehlt",IF(YEAR(A226)&lt;&gt;Einstellungen!$C$3,"anderes Jahr",IF(A226&lt;INDEX(Mitarbeiter!$C$6:$C$205,MATCH(B226,Mitarbeiter!$A$6:$A$205,0)),"vor Eintritt",IF(AND(INDEX(Mitarbeiter!$D$6:$D$205,MATCH(B226,Mitarbeiter!$A$6:$A$205,0))&lt;&gt;"",A226&gt;INDEX(Mitarbeiter!$D$6:$D$205,MATCH(B226,Mitarbeiter!$A$6:$A$205,0))),"nach Austritt","ok")))))))</f>
        <v/>
      </c>
    </row>
    <row r="227">
      <c r="A227" s="26" t="n">
        <v>46082</v>
      </c>
      <c r="B227" s="24" t="n">
        <v>1020</v>
      </c>
      <c r="C227" s="40">
        <f>IF(B227="","",IFERROR(INDEX(Mitarbeiter!$B$6:$B$205,MATCH(B227,Mitarbeiter!$A$6:$A$205,0)),"?"))</f>
        <v/>
      </c>
      <c r="D227" s="41" t="inlineStr">
        <is>
          <t>Objekt 1</t>
        </is>
      </c>
      <c r="E227" s="42" t="n">
        <v>32</v>
      </c>
      <c r="F227" s="43" t="n">
        <v>0</v>
      </c>
      <c r="G227" s="44">
        <f>IF(OR(B227="",F227=""),"",IFERROR(F227*INDEX(Mitarbeiter!$F$6:$F$205,MATCH(B227,Mitarbeiter!$A$6:$A$205,0)),0))</f>
        <v/>
      </c>
      <c r="H227" s="8">
        <f>IF(B227="","",IF(ISNA(MATCH(B227,Mitarbeiter!$A$6:$A$205,0)),"Pers.-Nr. unbekannt",IF(A227="","Datum fehlt",IF(AND(D227&lt;&gt;Einstellungen!$C$4,D227&lt;&gt;Einstellungen!$C$5),"Objekt fehlt",IF(YEAR(A227)&lt;&gt;Einstellungen!$C$3,"anderes Jahr",IF(A227&lt;INDEX(Mitarbeiter!$C$6:$C$205,MATCH(B227,Mitarbeiter!$A$6:$A$205,0)),"vor Eintritt",IF(AND(INDEX(Mitarbeiter!$D$6:$D$205,MATCH(B227,Mitarbeiter!$A$6:$A$205,0))&lt;&gt;"",A227&gt;INDEX(Mitarbeiter!$D$6:$D$205,MATCH(B227,Mitarbeiter!$A$6:$A$205,0))),"nach Austritt","ok")))))))</f>
        <v/>
      </c>
    </row>
    <row r="228">
      <c r="A228" s="26" t="n">
        <v>46082</v>
      </c>
      <c r="B228" s="24" t="n">
        <v>1020</v>
      </c>
      <c r="C228" s="40">
        <f>IF(B228="","",IFERROR(INDEX(Mitarbeiter!$B$6:$B$205,MATCH(B228,Mitarbeiter!$A$6:$A$205,0)),"?"))</f>
        <v/>
      </c>
      <c r="D228" s="41" t="inlineStr">
        <is>
          <t>Objekt 2</t>
        </is>
      </c>
      <c r="E228" s="42" t="n">
        <v>136</v>
      </c>
      <c r="F228" s="43" t="n">
        <v>1</v>
      </c>
      <c r="G228" s="44">
        <f>IF(OR(B228="",F228=""),"",IFERROR(F228*INDEX(Mitarbeiter!$F$6:$F$205,MATCH(B228,Mitarbeiter!$A$6:$A$205,0)),0))</f>
        <v/>
      </c>
      <c r="H228" s="8">
        <f>IF(B228="","",IF(ISNA(MATCH(B228,Mitarbeiter!$A$6:$A$205,0)),"Pers.-Nr. unbekannt",IF(A228="","Datum fehlt",IF(AND(D228&lt;&gt;Einstellungen!$C$4,D228&lt;&gt;Einstellungen!$C$5),"Objekt fehlt",IF(YEAR(A228)&lt;&gt;Einstellungen!$C$3,"anderes Jahr",IF(A228&lt;INDEX(Mitarbeiter!$C$6:$C$205,MATCH(B228,Mitarbeiter!$A$6:$A$205,0)),"vor Eintritt",IF(AND(INDEX(Mitarbeiter!$D$6:$D$205,MATCH(B228,Mitarbeiter!$A$6:$A$205,0))&lt;&gt;"",A228&gt;INDEX(Mitarbeiter!$D$6:$D$205,MATCH(B228,Mitarbeiter!$A$6:$A$205,0))),"nach Austritt","ok")))))))</f>
        <v/>
      </c>
    </row>
    <row r="229">
      <c r="A229" s="26" t="n">
        <v>46082</v>
      </c>
      <c r="B229" s="24" t="n">
        <v>1021</v>
      </c>
      <c r="C229" s="40">
        <f>IF(B229="","",IFERROR(INDEX(Mitarbeiter!$B$6:$B$205,MATCH(B229,Mitarbeiter!$A$6:$A$205,0)),"?"))</f>
        <v/>
      </c>
      <c r="D229" s="41" t="inlineStr">
        <is>
          <t>Objekt 1</t>
        </is>
      </c>
      <c r="E229" s="42" t="n">
        <v>89.5</v>
      </c>
      <c r="F229" s="43" t="n">
        <v>0</v>
      </c>
      <c r="G229" s="44">
        <f>IF(OR(B229="",F229=""),"",IFERROR(F229*INDEX(Mitarbeiter!$F$6:$F$205,MATCH(B229,Mitarbeiter!$A$6:$A$205,0)),0))</f>
        <v/>
      </c>
      <c r="H229" s="8">
        <f>IF(B229="","",IF(ISNA(MATCH(B229,Mitarbeiter!$A$6:$A$205,0)),"Pers.-Nr. unbekannt",IF(A229="","Datum fehlt",IF(AND(D229&lt;&gt;Einstellungen!$C$4,D229&lt;&gt;Einstellungen!$C$5),"Objekt fehlt",IF(YEAR(A229)&lt;&gt;Einstellungen!$C$3,"anderes Jahr",IF(A229&lt;INDEX(Mitarbeiter!$C$6:$C$205,MATCH(B229,Mitarbeiter!$A$6:$A$205,0)),"vor Eintritt",IF(AND(INDEX(Mitarbeiter!$D$6:$D$205,MATCH(B229,Mitarbeiter!$A$6:$A$205,0))&lt;&gt;"",A229&gt;INDEX(Mitarbeiter!$D$6:$D$205,MATCH(B229,Mitarbeiter!$A$6:$A$205,0))),"nach Austritt","ok")))))))</f>
        <v/>
      </c>
    </row>
    <row r="230">
      <c r="A230" s="26" t="n">
        <v>46082</v>
      </c>
      <c r="B230" s="24" t="n">
        <v>1021</v>
      </c>
      <c r="C230" s="40">
        <f>IF(B230="","",IFERROR(INDEX(Mitarbeiter!$B$6:$B$205,MATCH(B230,Mitarbeiter!$A$6:$A$205,0)),"?"))</f>
        <v/>
      </c>
      <c r="D230" s="41" t="inlineStr">
        <is>
          <t>Objekt 2</t>
        </is>
      </c>
      <c r="E230" s="42" t="n">
        <v>89.5</v>
      </c>
      <c r="F230" s="43" t="n">
        <v>0</v>
      </c>
      <c r="G230" s="44">
        <f>IF(OR(B230="",F230=""),"",IFERROR(F230*INDEX(Mitarbeiter!$F$6:$F$205,MATCH(B230,Mitarbeiter!$A$6:$A$205,0)),0))</f>
        <v/>
      </c>
      <c r="H230" s="8">
        <f>IF(B230="","",IF(ISNA(MATCH(B230,Mitarbeiter!$A$6:$A$205,0)),"Pers.-Nr. unbekannt",IF(A230="","Datum fehlt",IF(AND(D230&lt;&gt;Einstellungen!$C$4,D230&lt;&gt;Einstellungen!$C$5),"Objekt fehlt",IF(YEAR(A230)&lt;&gt;Einstellungen!$C$3,"anderes Jahr",IF(A230&lt;INDEX(Mitarbeiter!$C$6:$C$205,MATCH(B230,Mitarbeiter!$A$6:$A$205,0)),"vor Eintritt",IF(AND(INDEX(Mitarbeiter!$D$6:$D$205,MATCH(B230,Mitarbeiter!$A$6:$A$205,0))&lt;&gt;"",A230&gt;INDEX(Mitarbeiter!$D$6:$D$205,MATCH(B230,Mitarbeiter!$A$6:$A$205,0))),"nach Austritt","ok")))))))</f>
        <v/>
      </c>
    </row>
    <row r="231">
      <c r="A231" s="26" t="n">
        <v>46082</v>
      </c>
      <c r="B231" s="24" t="n">
        <v>1022</v>
      </c>
      <c r="C231" s="40">
        <f>IF(B231="","",IFERROR(INDEX(Mitarbeiter!$B$6:$B$205,MATCH(B231,Mitarbeiter!$A$6:$A$205,0)),"?"))</f>
        <v/>
      </c>
      <c r="D231" s="41" t="inlineStr">
        <is>
          <t>Objekt 1</t>
        </is>
      </c>
      <c r="E231" s="42" t="n">
        <v>35</v>
      </c>
      <c r="F231" s="43" t="n">
        <v>1</v>
      </c>
      <c r="G231" s="44">
        <f>IF(OR(B231="",F231=""),"",IFERROR(F231*INDEX(Mitarbeiter!$F$6:$F$205,MATCH(B231,Mitarbeiter!$A$6:$A$205,0)),0))</f>
        <v/>
      </c>
      <c r="H231" s="8">
        <f>IF(B231="","",IF(ISNA(MATCH(B231,Mitarbeiter!$A$6:$A$205,0)),"Pers.-Nr. unbekannt",IF(A231="","Datum fehlt",IF(AND(D231&lt;&gt;Einstellungen!$C$4,D231&lt;&gt;Einstellungen!$C$5),"Objekt fehlt",IF(YEAR(A231)&lt;&gt;Einstellungen!$C$3,"anderes Jahr",IF(A231&lt;INDEX(Mitarbeiter!$C$6:$C$205,MATCH(B231,Mitarbeiter!$A$6:$A$205,0)),"vor Eintritt",IF(AND(INDEX(Mitarbeiter!$D$6:$D$205,MATCH(B231,Mitarbeiter!$A$6:$A$205,0))&lt;&gt;"",A231&gt;INDEX(Mitarbeiter!$D$6:$D$205,MATCH(B231,Mitarbeiter!$A$6:$A$205,0))),"nach Austritt","ok")))))))</f>
        <v/>
      </c>
    </row>
    <row r="232">
      <c r="A232" s="26" t="n">
        <v>46082</v>
      </c>
      <c r="B232" s="24" t="n">
        <v>1022</v>
      </c>
      <c r="C232" s="40">
        <f>IF(B232="","",IFERROR(INDEX(Mitarbeiter!$B$6:$B$205,MATCH(B232,Mitarbeiter!$A$6:$A$205,0)),"?"))</f>
        <v/>
      </c>
      <c r="D232" s="41" t="inlineStr">
        <is>
          <t>Objekt 2</t>
        </is>
      </c>
      <c r="E232" s="42" t="n">
        <v>51</v>
      </c>
      <c r="F232" s="43" t="n">
        <v>1</v>
      </c>
      <c r="G232" s="44">
        <f>IF(OR(B232="",F232=""),"",IFERROR(F232*INDEX(Mitarbeiter!$F$6:$F$205,MATCH(B232,Mitarbeiter!$A$6:$A$205,0)),0))</f>
        <v/>
      </c>
      <c r="H232" s="8">
        <f>IF(B232="","",IF(ISNA(MATCH(B232,Mitarbeiter!$A$6:$A$205,0)),"Pers.-Nr. unbekannt",IF(A232="","Datum fehlt",IF(AND(D232&lt;&gt;Einstellungen!$C$4,D232&lt;&gt;Einstellungen!$C$5),"Objekt fehlt",IF(YEAR(A232)&lt;&gt;Einstellungen!$C$3,"anderes Jahr",IF(A232&lt;INDEX(Mitarbeiter!$C$6:$C$205,MATCH(B232,Mitarbeiter!$A$6:$A$205,0)),"vor Eintritt",IF(AND(INDEX(Mitarbeiter!$D$6:$D$205,MATCH(B232,Mitarbeiter!$A$6:$A$205,0))&lt;&gt;"",A232&gt;INDEX(Mitarbeiter!$D$6:$D$205,MATCH(B232,Mitarbeiter!$A$6:$A$205,0))),"nach Austritt","ok")))))))</f>
        <v/>
      </c>
    </row>
    <row r="233">
      <c r="A233" s="26" t="n">
        <v>46082</v>
      </c>
      <c r="B233" s="24" t="n">
        <v>1023</v>
      </c>
      <c r="C233" s="40">
        <f>IF(B233="","",IFERROR(INDEX(Mitarbeiter!$B$6:$B$205,MATCH(B233,Mitarbeiter!$A$6:$A$205,0)),"?"))</f>
        <v/>
      </c>
      <c r="D233" s="41" t="inlineStr">
        <is>
          <t>Objekt 1</t>
        </is>
      </c>
      <c r="E233" s="42" t="n">
        <v>124.5</v>
      </c>
      <c r="F233" s="43" t="n">
        <v>1</v>
      </c>
      <c r="G233" s="44">
        <f>IF(OR(B233="",F233=""),"",IFERROR(F233*INDEX(Mitarbeiter!$F$6:$F$205,MATCH(B233,Mitarbeiter!$A$6:$A$205,0)),0))</f>
        <v/>
      </c>
      <c r="H233" s="8">
        <f>IF(B233="","",IF(ISNA(MATCH(B233,Mitarbeiter!$A$6:$A$205,0)),"Pers.-Nr. unbekannt",IF(A233="","Datum fehlt",IF(AND(D233&lt;&gt;Einstellungen!$C$4,D233&lt;&gt;Einstellungen!$C$5),"Objekt fehlt",IF(YEAR(A233)&lt;&gt;Einstellungen!$C$3,"anderes Jahr",IF(A233&lt;INDEX(Mitarbeiter!$C$6:$C$205,MATCH(B233,Mitarbeiter!$A$6:$A$205,0)),"vor Eintritt",IF(AND(INDEX(Mitarbeiter!$D$6:$D$205,MATCH(B233,Mitarbeiter!$A$6:$A$205,0))&lt;&gt;"",A233&gt;INDEX(Mitarbeiter!$D$6:$D$205,MATCH(B233,Mitarbeiter!$A$6:$A$205,0))),"nach Austritt","ok")))))))</f>
        <v/>
      </c>
    </row>
    <row r="234">
      <c r="A234" s="26" t="n">
        <v>46082</v>
      </c>
      <c r="B234" s="24" t="n">
        <v>1024</v>
      </c>
      <c r="C234" s="40">
        <f>IF(B234="","",IFERROR(INDEX(Mitarbeiter!$B$6:$B$205,MATCH(B234,Mitarbeiter!$A$6:$A$205,0)),"?"))</f>
        <v/>
      </c>
      <c r="D234" s="41" t="inlineStr">
        <is>
          <t>Objekt 1</t>
        </is>
      </c>
      <c r="E234" s="42" t="n">
        <v>70.5</v>
      </c>
      <c r="F234" s="43" t="n">
        <v>0</v>
      </c>
      <c r="G234" s="44">
        <f>IF(OR(B234="",F234=""),"",IFERROR(F234*INDEX(Mitarbeiter!$F$6:$F$205,MATCH(B234,Mitarbeiter!$A$6:$A$205,0)),0))</f>
        <v/>
      </c>
      <c r="H234" s="8">
        <f>IF(B234="","",IF(ISNA(MATCH(B234,Mitarbeiter!$A$6:$A$205,0)),"Pers.-Nr. unbekannt",IF(A234="","Datum fehlt",IF(AND(D234&lt;&gt;Einstellungen!$C$4,D234&lt;&gt;Einstellungen!$C$5),"Objekt fehlt",IF(YEAR(A234)&lt;&gt;Einstellungen!$C$3,"anderes Jahr",IF(A234&lt;INDEX(Mitarbeiter!$C$6:$C$205,MATCH(B234,Mitarbeiter!$A$6:$A$205,0)),"vor Eintritt",IF(AND(INDEX(Mitarbeiter!$D$6:$D$205,MATCH(B234,Mitarbeiter!$A$6:$A$205,0))&lt;&gt;"",A234&gt;INDEX(Mitarbeiter!$D$6:$D$205,MATCH(B234,Mitarbeiter!$A$6:$A$205,0))),"nach Austritt","ok")))))))</f>
        <v/>
      </c>
    </row>
    <row r="235">
      <c r="A235" s="26" t="n">
        <v>46082</v>
      </c>
      <c r="B235" s="24" t="n">
        <v>1024</v>
      </c>
      <c r="C235" s="40">
        <f>IF(B235="","",IFERROR(INDEX(Mitarbeiter!$B$6:$B$205,MATCH(B235,Mitarbeiter!$A$6:$A$205,0)),"?"))</f>
        <v/>
      </c>
      <c r="D235" s="41" t="inlineStr">
        <is>
          <t>Objekt 2</t>
        </is>
      </c>
      <c r="E235" s="42" t="n">
        <v>105.5</v>
      </c>
      <c r="F235" s="43" t="n">
        <v>0</v>
      </c>
      <c r="G235" s="44">
        <f>IF(OR(B235="",F235=""),"",IFERROR(F235*INDEX(Mitarbeiter!$F$6:$F$205,MATCH(B235,Mitarbeiter!$A$6:$A$205,0)),0))</f>
        <v/>
      </c>
      <c r="H235" s="8">
        <f>IF(B235="","",IF(ISNA(MATCH(B235,Mitarbeiter!$A$6:$A$205,0)),"Pers.-Nr. unbekannt",IF(A235="","Datum fehlt",IF(AND(D235&lt;&gt;Einstellungen!$C$4,D235&lt;&gt;Einstellungen!$C$5),"Objekt fehlt",IF(YEAR(A235)&lt;&gt;Einstellungen!$C$3,"anderes Jahr",IF(A235&lt;INDEX(Mitarbeiter!$C$6:$C$205,MATCH(B235,Mitarbeiter!$A$6:$A$205,0)),"vor Eintritt",IF(AND(INDEX(Mitarbeiter!$D$6:$D$205,MATCH(B235,Mitarbeiter!$A$6:$A$205,0))&lt;&gt;"",A235&gt;INDEX(Mitarbeiter!$D$6:$D$205,MATCH(B235,Mitarbeiter!$A$6:$A$205,0))),"nach Austritt","ok")))))))</f>
        <v/>
      </c>
    </row>
    <row r="236">
      <c r="A236" s="26" t="n">
        <v>46082</v>
      </c>
      <c r="B236" s="24" t="n">
        <v>1025</v>
      </c>
      <c r="C236" s="40">
        <f>IF(B236="","",IFERROR(INDEX(Mitarbeiter!$B$6:$B$205,MATCH(B236,Mitarbeiter!$A$6:$A$205,0)),"?"))</f>
        <v/>
      </c>
      <c r="D236" s="41" t="inlineStr">
        <is>
          <t>Objekt 1</t>
        </is>
      </c>
      <c r="E236" s="42" t="n">
        <v>72</v>
      </c>
      <c r="F236" s="43" t="n">
        <v>0</v>
      </c>
      <c r="G236" s="44">
        <f>IF(OR(B236="",F236=""),"",IFERROR(F236*INDEX(Mitarbeiter!$F$6:$F$205,MATCH(B236,Mitarbeiter!$A$6:$A$205,0)),0))</f>
        <v/>
      </c>
      <c r="H236" s="8">
        <f>IF(B236="","",IF(ISNA(MATCH(B236,Mitarbeiter!$A$6:$A$205,0)),"Pers.-Nr. unbekannt",IF(A236="","Datum fehlt",IF(AND(D236&lt;&gt;Einstellungen!$C$4,D236&lt;&gt;Einstellungen!$C$5),"Objekt fehlt",IF(YEAR(A236)&lt;&gt;Einstellungen!$C$3,"anderes Jahr",IF(A236&lt;INDEX(Mitarbeiter!$C$6:$C$205,MATCH(B236,Mitarbeiter!$A$6:$A$205,0)),"vor Eintritt",IF(AND(INDEX(Mitarbeiter!$D$6:$D$205,MATCH(B236,Mitarbeiter!$A$6:$A$205,0))&lt;&gt;"",A236&gt;INDEX(Mitarbeiter!$D$6:$D$205,MATCH(B236,Mitarbeiter!$A$6:$A$205,0))),"nach Austritt","ok")))))))</f>
        <v/>
      </c>
    </row>
    <row r="237">
      <c r="A237" s="26" t="n">
        <v>46082</v>
      </c>
      <c r="B237" s="24" t="n">
        <v>1025</v>
      </c>
      <c r="C237" s="40">
        <f>IF(B237="","",IFERROR(INDEX(Mitarbeiter!$B$6:$B$205,MATCH(B237,Mitarbeiter!$A$6:$A$205,0)),"?"))</f>
        <v/>
      </c>
      <c r="D237" s="41" t="inlineStr">
        <is>
          <t>Objekt 2</t>
        </is>
      </c>
      <c r="E237" s="42" t="n">
        <v>94.5</v>
      </c>
      <c r="F237" s="43" t="n">
        <v>1</v>
      </c>
      <c r="G237" s="44">
        <f>IF(OR(B237="",F237=""),"",IFERROR(F237*INDEX(Mitarbeiter!$F$6:$F$205,MATCH(B237,Mitarbeiter!$A$6:$A$205,0)),0))</f>
        <v/>
      </c>
      <c r="H237" s="8">
        <f>IF(B237="","",IF(ISNA(MATCH(B237,Mitarbeiter!$A$6:$A$205,0)),"Pers.-Nr. unbekannt",IF(A237="","Datum fehlt",IF(AND(D237&lt;&gt;Einstellungen!$C$4,D237&lt;&gt;Einstellungen!$C$5),"Objekt fehlt",IF(YEAR(A237)&lt;&gt;Einstellungen!$C$3,"anderes Jahr",IF(A237&lt;INDEX(Mitarbeiter!$C$6:$C$205,MATCH(B237,Mitarbeiter!$A$6:$A$205,0)),"vor Eintritt",IF(AND(INDEX(Mitarbeiter!$D$6:$D$205,MATCH(B237,Mitarbeiter!$A$6:$A$205,0))&lt;&gt;"",A237&gt;INDEX(Mitarbeiter!$D$6:$D$205,MATCH(B237,Mitarbeiter!$A$6:$A$205,0))),"nach Austritt","ok")))))))</f>
        <v/>
      </c>
    </row>
    <row r="238">
      <c r="A238" s="26" t="n">
        <v>46082</v>
      </c>
      <c r="B238" s="24" t="n">
        <v>1026</v>
      </c>
      <c r="C238" s="40">
        <f>IF(B238="","",IFERROR(INDEX(Mitarbeiter!$B$6:$B$205,MATCH(B238,Mitarbeiter!$A$6:$A$205,0)),"?"))</f>
        <v/>
      </c>
      <c r="D238" s="41" t="inlineStr">
        <is>
          <t>Objekt 1</t>
        </is>
      </c>
      <c r="E238" s="42" t="n">
        <v>107</v>
      </c>
      <c r="F238" s="43" t="n">
        <v>0</v>
      </c>
      <c r="G238" s="44">
        <f>IF(OR(B238="",F238=""),"",IFERROR(F238*INDEX(Mitarbeiter!$F$6:$F$205,MATCH(B238,Mitarbeiter!$A$6:$A$205,0)),0))</f>
        <v/>
      </c>
      <c r="H238" s="8">
        <f>IF(B238="","",IF(ISNA(MATCH(B238,Mitarbeiter!$A$6:$A$205,0)),"Pers.-Nr. unbekannt",IF(A238="","Datum fehlt",IF(AND(D238&lt;&gt;Einstellungen!$C$4,D238&lt;&gt;Einstellungen!$C$5),"Objekt fehlt",IF(YEAR(A238)&lt;&gt;Einstellungen!$C$3,"anderes Jahr",IF(A238&lt;INDEX(Mitarbeiter!$C$6:$C$205,MATCH(B238,Mitarbeiter!$A$6:$A$205,0)),"vor Eintritt",IF(AND(INDEX(Mitarbeiter!$D$6:$D$205,MATCH(B238,Mitarbeiter!$A$6:$A$205,0))&lt;&gt;"",A238&gt;INDEX(Mitarbeiter!$D$6:$D$205,MATCH(B238,Mitarbeiter!$A$6:$A$205,0))),"nach Austritt","ok")))))))</f>
        <v/>
      </c>
    </row>
    <row r="239">
      <c r="A239" s="26" t="n">
        <v>46082</v>
      </c>
      <c r="B239" s="24" t="n">
        <v>1026</v>
      </c>
      <c r="C239" s="40">
        <f>IF(B239="","",IFERROR(INDEX(Mitarbeiter!$B$6:$B$205,MATCH(B239,Mitarbeiter!$A$6:$A$205,0)),"?"))</f>
        <v/>
      </c>
      <c r="D239" s="41" t="inlineStr">
        <is>
          <t>Objekt 2</t>
        </is>
      </c>
      <c r="E239" s="42" t="n">
        <v>73.5</v>
      </c>
      <c r="F239" s="43" t="n">
        <v>0</v>
      </c>
      <c r="G239" s="44">
        <f>IF(OR(B239="",F239=""),"",IFERROR(F239*INDEX(Mitarbeiter!$F$6:$F$205,MATCH(B239,Mitarbeiter!$A$6:$A$205,0)),0))</f>
        <v/>
      </c>
      <c r="H239" s="8">
        <f>IF(B239="","",IF(ISNA(MATCH(B239,Mitarbeiter!$A$6:$A$205,0)),"Pers.-Nr. unbekannt",IF(A239="","Datum fehlt",IF(AND(D239&lt;&gt;Einstellungen!$C$4,D239&lt;&gt;Einstellungen!$C$5),"Objekt fehlt",IF(YEAR(A239)&lt;&gt;Einstellungen!$C$3,"anderes Jahr",IF(A239&lt;INDEX(Mitarbeiter!$C$6:$C$205,MATCH(B239,Mitarbeiter!$A$6:$A$205,0)),"vor Eintritt",IF(AND(INDEX(Mitarbeiter!$D$6:$D$205,MATCH(B239,Mitarbeiter!$A$6:$A$205,0))&lt;&gt;"",A239&gt;INDEX(Mitarbeiter!$D$6:$D$205,MATCH(B239,Mitarbeiter!$A$6:$A$205,0))),"nach Austritt","ok")))))))</f>
        <v/>
      </c>
    </row>
    <row r="240">
      <c r="A240" s="26" t="n">
        <v>46082</v>
      </c>
      <c r="B240" s="24" t="n">
        <v>1027</v>
      </c>
      <c r="C240" s="40">
        <f>IF(B240="","",IFERROR(INDEX(Mitarbeiter!$B$6:$B$205,MATCH(B240,Mitarbeiter!$A$6:$A$205,0)),"?"))</f>
        <v/>
      </c>
      <c r="D240" s="41" t="inlineStr">
        <is>
          <t>Objekt 1</t>
        </is>
      </c>
      <c r="E240" s="42" t="n">
        <v>69</v>
      </c>
      <c r="F240" s="43" t="n">
        <v>0</v>
      </c>
      <c r="G240" s="44">
        <f>IF(OR(B240="",F240=""),"",IFERROR(F240*INDEX(Mitarbeiter!$F$6:$F$205,MATCH(B240,Mitarbeiter!$A$6:$A$205,0)),0))</f>
        <v/>
      </c>
      <c r="H240" s="8">
        <f>IF(B240="","",IF(ISNA(MATCH(B240,Mitarbeiter!$A$6:$A$205,0)),"Pers.-Nr. unbekannt",IF(A240="","Datum fehlt",IF(AND(D240&lt;&gt;Einstellungen!$C$4,D240&lt;&gt;Einstellungen!$C$5),"Objekt fehlt",IF(YEAR(A240)&lt;&gt;Einstellungen!$C$3,"anderes Jahr",IF(A240&lt;INDEX(Mitarbeiter!$C$6:$C$205,MATCH(B240,Mitarbeiter!$A$6:$A$205,0)),"vor Eintritt",IF(AND(INDEX(Mitarbeiter!$D$6:$D$205,MATCH(B240,Mitarbeiter!$A$6:$A$205,0))&lt;&gt;"",A240&gt;INDEX(Mitarbeiter!$D$6:$D$205,MATCH(B240,Mitarbeiter!$A$6:$A$205,0))),"nach Austritt","ok")))))))</f>
        <v/>
      </c>
    </row>
    <row r="241">
      <c r="A241" s="26" t="n">
        <v>46082</v>
      </c>
      <c r="B241" s="24" t="n">
        <v>1027</v>
      </c>
      <c r="C241" s="40">
        <f>IF(B241="","",IFERROR(INDEX(Mitarbeiter!$B$6:$B$205,MATCH(B241,Mitarbeiter!$A$6:$A$205,0)),"?"))</f>
        <v/>
      </c>
      <c r="D241" s="41" t="inlineStr">
        <is>
          <t>Objekt 2</t>
        </is>
      </c>
      <c r="E241" s="42" t="n">
        <v>66</v>
      </c>
      <c r="F241" s="43" t="n">
        <v>0</v>
      </c>
      <c r="G241" s="44">
        <f>IF(OR(B241="",F241=""),"",IFERROR(F241*INDEX(Mitarbeiter!$F$6:$F$205,MATCH(B241,Mitarbeiter!$A$6:$A$205,0)),0))</f>
        <v/>
      </c>
      <c r="H241" s="8">
        <f>IF(B241="","",IF(ISNA(MATCH(B241,Mitarbeiter!$A$6:$A$205,0)),"Pers.-Nr. unbekannt",IF(A241="","Datum fehlt",IF(AND(D241&lt;&gt;Einstellungen!$C$4,D241&lt;&gt;Einstellungen!$C$5),"Objekt fehlt",IF(YEAR(A241)&lt;&gt;Einstellungen!$C$3,"anderes Jahr",IF(A241&lt;INDEX(Mitarbeiter!$C$6:$C$205,MATCH(B241,Mitarbeiter!$A$6:$A$205,0)),"vor Eintritt",IF(AND(INDEX(Mitarbeiter!$D$6:$D$205,MATCH(B241,Mitarbeiter!$A$6:$A$205,0))&lt;&gt;"",A241&gt;INDEX(Mitarbeiter!$D$6:$D$205,MATCH(B241,Mitarbeiter!$A$6:$A$205,0))),"nach Austritt","ok")))))))</f>
        <v/>
      </c>
    </row>
    <row r="242">
      <c r="A242" s="26" t="n">
        <v>46082</v>
      </c>
      <c r="B242" s="24" t="n">
        <v>1028</v>
      </c>
      <c r="C242" s="40">
        <f>IF(B242="","",IFERROR(INDEX(Mitarbeiter!$B$6:$B$205,MATCH(B242,Mitarbeiter!$A$6:$A$205,0)),"?"))</f>
        <v/>
      </c>
      <c r="D242" s="41" t="inlineStr">
        <is>
          <t>Objekt 1</t>
        </is>
      </c>
      <c r="E242" s="42" t="n">
        <v>32</v>
      </c>
      <c r="F242" s="43" t="n">
        <v>0</v>
      </c>
      <c r="G242" s="44">
        <f>IF(OR(B242="",F242=""),"",IFERROR(F242*INDEX(Mitarbeiter!$F$6:$F$205,MATCH(B242,Mitarbeiter!$A$6:$A$205,0)),0))</f>
        <v/>
      </c>
      <c r="H242" s="8">
        <f>IF(B242="","",IF(ISNA(MATCH(B242,Mitarbeiter!$A$6:$A$205,0)),"Pers.-Nr. unbekannt",IF(A242="","Datum fehlt",IF(AND(D242&lt;&gt;Einstellungen!$C$4,D242&lt;&gt;Einstellungen!$C$5),"Objekt fehlt",IF(YEAR(A242)&lt;&gt;Einstellungen!$C$3,"anderes Jahr",IF(A242&lt;INDEX(Mitarbeiter!$C$6:$C$205,MATCH(B242,Mitarbeiter!$A$6:$A$205,0)),"vor Eintritt",IF(AND(INDEX(Mitarbeiter!$D$6:$D$205,MATCH(B242,Mitarbeiter!$A$6:$A$205,0))&lt;&gt;"",A242&gt;INDEX(Mitarbeiter!$D$6:$D$205,MATCH(B242,Mitarbeiter!$A$6:$A$205,0))),"nach Austritt","ok")))))))</f>
        <v/>
      </c>
    </row>
    <row r="243">
      <c r="A243" s="26" t="n">
        <v>46082</v>
      </c>
      <c r="B243" s="24" t="n">
        <v>1028</v>
      </c>
      <c r="C243" s="40">
        <f>IF(B243="","",IFERROR(INDEX(Mitarbeiter!$B$6:$B$205,MATCH(B243,Mitarbeiter!$A$6:$A$205,0)),"?"))</f>
        <v/>
      </c>
      <c r="D243" s="41" t="inlineStr">
        <is>
          <t>Objekt 2</t>
        </is>
      </c>
      <c r="E243" s="42" t="n">
        <v>139</v>
      </c>
      <c r="F243" s="43" t="n">
        <v>1</v>
      </c>
      <c r="G243" s="44">
        <f>IF(OR(B243="",F243=""),"",IFERROR(F243*INDEX(Mitarbeiter!$F$6:$F$205,MATCH(B243,Mitarbeiter!$A$6:$A$205,0)),0))</f>
        <v/>
      </c>
      <c r="H243" s="8">
        <f>IF(B243="","",IF(ISNA(MATCH(B243,Mitarbeiter!$A$6:$A$205,0)),"Pers.-Nr. unbekannt",IF(A243="","Datum fehlt",IF(AND(D243&lt;&gt;Einstellungen!$C$4,D243&lt;&gt;Einstellungen!$C$5),"Objekt fehlt",IF(YEAR(A243)&lt;&gt;Einstellungen!$C$3,"anderes Jahr",IF(A243&lt;INDEX(Mitarbeiter!$C$6:$C$205,MATCH(B243,Mitarbeiter!$A$6:$A$205,0)),"vor Eintritt",IF(AND(INDEX(Mitarbeiter!$D$6:$D$205,MATCH(B243,Mitarbeiter!$A$6:$A$205,0))&lt;&gt;"",A243&gt;INDEX(Mitarbeiter!$D$6:$D$205,MATCH(B243,Mitarbeiter!$A$6:$A$205,0))),"nach Austritt","ok")))))))</f>
        <v/>
      </c>
    </row>
    <row r="244">
      <c r="A244" s="26" t="n">
        <v>46082</v>
      </c>
      <c r="B244" s="24" t="n">
        <v>1029</v>
      </c>
      <c r="C244" s="40">
        <f>IF(B244="","",IFERROR(INDEX(Mitarbeiter!$B$6:$B$205,MATCH(B244,Mitarbeiter!$A$6:$A$205,0)),"?"))</f>
        <v/>
      </c>
      <c r="D244" s="41" t="inlineStr">
        <is>
          <t>Objekt 1</t>
        </is>
      </c>
      <c r="E244" s="42" t="n">
        <v>163</v>
      </c>
      <c r="F244" s="43" t="n">
        <v>2</v>
      </c>
      <c r="G244" s="44">
        <f>IF(OR(B244="",F244=""),"",IFERROR(F244*INDEX(Mitarbeiter!$F$6:$F$205,MATCH(B244,Mitarbeiter!$A$6:$A$205,0)),0))</f>
        <v/>
      </c>
      <c r="H244" s="8">
        <f>IF(B244="","",IF(ISNA(MATCH(B244,Mitarbeiter!$A$6:$A$205,0)),"Pers.-Nr. unbekannt",IF(A244="","Datum fehlt",IF(AND(D244&lt;&gt;Einstellungen!$C$4,D244&lt;&gt;Einstellungen!$C$5),"Objekt fehlt",IF(YEAR(A244)&lt;&gt;Einstellungen!$C$3,"anderes Jahr",IF(A244&lt;INDEX(Mitarbeiter!$C$6:$C$205,MATCH(B244,Mitarbeiter!$A$6:$A$205,0)),"vor Eintritt",IF(AND(INDEX(Mitarbeiter!$D$6:$D$205,MATCH(B244,Mitarbeiter!$A$6:$A$205,0))&lt;&gt;"",A244&gt;INDEX(Mitarbeiter!$D$6:$D$205,MATCH(B244,Mitarbeiter!$A$6:$A$205,0))),"nach Austritt","ok")))))))</f>
        <v/>
      </c>
    </row>
    <row r="245">
      <c r="A245" s="26" t="n">
        <v>46082</v>
      </c>
      <c r="B245" s="24" t="n">
        <v>1030</v>
      </c>
      <c r="C245" s="40">
        <f>IF(B245="","",IFERROR(INDEX(Mitarbeiter!$B$6:$B$205,MATCH(B245,Mitarbeiter!$A$6:$A$205,0)),"?"))</f>
        <v/>
      </c>
      <c r="D245" s="41" t="inlineStr">
        <is>
          <t>Objekt 2</t>
        </is>
      </c>
      <c r="E245" s="42" t="n">
        <v>133.5</v>
      </c>
      <c r="F245" s="43" t="n">
        <v>0</v>
      </c>
      <c r="G245" s="44">
        <f>IF(OR(B245="",F245=""),"",IFERROR(F245*INDEX(Mitarbeiter!$F$6:$F$205,MATCH(B245,Mitarbeiter!$A$6:$A$205,0)),0))</f>
        <v/>
      </c>
      <c r="H245" s="8">
        <f>IF(B245="","",IF(ISNA(MATCH(B245,Mitarbeiter!$A$6:$A$205,0)),"Pers.-Nr. unbekannt",IF(A245="","Datum fehlt",IF(AND(D245&lt;&gt;Einstellungen!$C$4,D245&lt;&gt;Einstellungen!$C$5),"Objekt fehlt",IF(YEAR(A245)&lt;&gt;Einstellungen!$C$3,"anderes Jahr",IF(A245&lt;INDEX(Mitarbeiter!$C$6:$C$205,MATCH(B245,Mitarbeiter!$A$6:$A$205,0)),"vor Eintritt",IF(AND(INDEX(Mitarbeiter!$D$6:$D$205,MATCH(B245,Mitarbeiter!$A$6:$A$205,0))&lt;&gt;"",A245&gt;INDEX(Mitarbeiter!$D$6:$D$205,MATCH(B245,Mitarbeiter!$A$6:$A$205,0))),"nach Austritt","ok")))))))</f>
        <v/>
      </c>
    </row>
    <row r="246">
      <c r="A246" s="26" t="n">
        <v>46082</v>
      </c>
      <c r="B246" s="24" t="n">
        <v>1031</v>
      </c>
      <c r="C246" s="40">
        <f>IF(B246="","",IFERROR(INDEX(Mitarbeiter!$B$6:$B$205,MATCH(B246,Mitarbeiter!$A$6:$A$205,0)),"?"))</f>
        <v/>
      </c>
      <c r="D246" s="41" t="inlineStr">
        <is>
          <t>Objekt 2</t>
        </is>
      </c>
      <c r="E246" s="42" t="n">
        <v>152</v>
      </c>
      <c r="F246" s="43" t="n">
        <v>3</v>
      </c>
      <c r="G246" s="44">
        <f>IF(OR(B246="",F246=""),"",IFERROR(F246*INDEX(Mitarbeiter!$F$6:$F$205,MATCH(B246,Mitarbeiter!$A$6:$A$205,0)),0))</f>
        <v/>
      </c>
      <c r="H246" s="8">
        <f>IF(B246="","",IF(ISNA(MATCH(B246,Mitarbeiter!$A$6:$A$205,0)),"Pers.-Nr. unbekannt",IF(A246="","Datum fehlt",IF(AND(D246&lt;&gt;Einstellungen!$C$4,D246&lt;&gt;Einstellungen!$C$5),"Objekt fehlt",IF(YEAR(A246)&lt;&gt;Einstellungen!$C$3,"anderes Jahr",IF(A246&lt;INDEX(Mitarbeiter!$C$6:$C$205,MATCH(B246,Mitarbeiter!$A$6:$A$205,0)),"vor Eintritt",IF(AND(INDEX(Mitarbeiter!$D$6:$D$205,MATCH(B246,Mitarbeiter!$A$6:$A$205,0))&lt;&gt;"",A246&gt;INDEX(Mitarbeiter!$D$6:$D$205,MATCH(B246,Mitarbeiter!$A$6:$A$205,0))),"nach Austritt","ok")))))))</f>
        <v/>
      </c>
    </row>
    <row r="247">
      <c r="A247" s="26" t="n">
        <v>46082</v>
      </c>
      <c r="B247" s="24" t="n">
        <v>1033</v>
      </c>
      <c r="C247" s="40">
        <f>IF(B247="","",IFERROR(INDEX(Mitarbeiter!$B$6:$B$205,MATCH(B247,Mitarbeiter!$A$6:$A$205,0)),"?"))</f>
        <v/>
      </c>
      <c r="D247" s="41" t="inlineStr">
        <is>
          <t>Objekt 1</t>
        </is>
      </c>
      <c r="E247" s="42" t="n">
        <v>176</v>
      </c>
      <c r="F247" s="43" t="n">
        <v>0</v>
      </c>
      <c r="G247" s="44">
        <f>IF(OR(B247="",F247=""),"",IFERROR(F247*INDEX(Mitarbeiter!$F$6:$F$205,MATCH(B247,Mitarbeiter!$A$6:$A$205,0)),0))</f>
        <v/>
      </c>
      <c r="H247" s="8">
        <f>IF(B247="","",IF(ISNA(MATCH(B247,Mitarbeiter!$A$6:$A$205,0)),"Pers.-Nr. unbekannt",IF(A247="","Datum fehlt",IF(AND(D247&lt;&gt;Einstellungen!$C$4,D247&lt;&gt;Einstellungen!$C$5),"Objekt fehlt",IF(YEAR(A247)&lt;&gt;Einstellungen!$C$3,"anderes Jahr",IF(A247&lt;INDEX(Mitarbeiter!$C$6:$C$205,MATCH(B247,Mitarbeiter!$A$6:$A$205,0)),"vor Eintritt",IF(AND(INDEX(Mitarbeiter!$D$6:$D$205,MATCH(B247,Mitarbeiter!$A$6:$A$205,0))&lt;&gt;"",A247&gt;INDEX(Mitarbeiter!$D$6:$D$205,MATCH(B247,Mitarbeiter!$A$6:$A$205,0))),"nach Austritt","ok")))))))</f>
        <v/>
      </c>
    </row>
    <row r="248">
      <c r="A248" s="26" t="n">
        <v>46082</v>
      </c>
      <c r="B248" s="24" t="n">
        <v>1034</v>
      </c>
      <c r="C248" s="40">
        <f>IF(B248="","",IFERROR(INDEX(Mitarbeiter!$B$6:$B$205,MATCH(B248,Mitarbeiter!$A$6:$A$205,0)),"?"))</f>
        <v/>
      </c>
      <c r="D248" s="41" t="inlineStr">
        <is>
          <t>Objekt 1</t>
        </is>
      </c>
      <c r="E248" s="42" t="n">
        <v>54</v>
      </c>
      <c r="F248" s="43" t="n">
        <v>0</v>
      </c>
      <c r="G248" s="44">
        <f>IF(OR(B248="",F248=""),"",IFERROR(F248*INDEX(Mitarbeiter!$F$6:$F$205,MATCH(B248,Mitarbeiter!$A$6:$A$205,0)),0))</f>
        <v/>
      </c>
      <c r="H248" s="8">
        <f>IF(B248="","",IF(ISNA(MATCH(B248,Mitarbeiter!$A$6:$A$205,0)),"Pers.-Nr. unbekannt",IF(A248="","Datum fehlt",IF(AND(D248&lt;&gt;Einstellungen!$C$4,D248&lt;&gt;Einstellungen!$C$5),"Objekt fehlt",IF(YEAR(A248)&lt;&gt;Einstellungen!$C$3,"anderes Jahr",IF(A248&lt;INDEX(Mitarbeiter!$C$6:$C$205,MATCH(B248,Mitarbeiter!$A$6:$A$205,0)),"vor Eintritt",IF(AND(INDEX(Mitarbeiter!$D$6:$D$205,MATCH(B248,Mitarbeiter!$A$6:$A$205,0))&lt;&gt;"",A248&gt;INDEX(Mitarbeiter!$D$6:$D$205,MATCH(B248,Mitarbeiter!$A$6:$A$205,0))),"nach Austritt","ok")))))))</f>
        <v/>
      </c>
    </row>
    <row r="249">
      <c r="A249" s="26" t="n">
        <v>46082</v>
      </c>
      <c r="B249" s="24" t="n">
        <v>1034</v>
      </c>
      <c r="C249" s="40">
        <f>IF(B249="","",IFERROR(INDEX(Mitarbeiter!$B$6:$B$205,MATCH(B249,Mitarbeiter!$A$6:$A$205,0)),"?"))</f>
        <v/>
      </c>
      <c r="D249" s="41" t="inlineStr">
        <is>
          <t>Objekt 2</t>
        </is>
      </c>
      <c r="E249" s="42" t="n">
        <v>81</v>
      </c>
      <c r="F249" s="43" t="n">
        <v>0</v>
      </c>
      <c r="G249" s="44">
        <f>IF(OR(B249="",F249=""),"",IFERROR(F249*INDEX(Mitarbeiter!$F$6:$F$205,MATCH(B249,Mitarbeiter!$A$6:$A$205,0)),0))</f>
        <v/>
      </c>
      <c r="H249" s="8">
        <f>IF(B249="","",IF(ISNA(MATCH(B249,Mitarbeiter!$A$6:$A$205,0)),"Pers.-Nr. unbekannt",IF(A249="","Datum fehlt",IF(AND(D249&lt;&gt;Einstellungen!$C$4,D249&lt;&gt;Einstellungen!$C$5),"Objekt fehlt",IF(YEAR(A249)&lt;&gt;Einstellungen!$C$3,"anderes Jahr",IF(A249&lt;INDEX(Mitarbeiter!$C$6:$C$205,MATCH(B249,Mitarbeiter!$A$6:$A$205,0)),"vor Eintritt",IF(AND(INDEX(Mitarbeiter!$D$6:$D$205,MATCH(B249,Mitarbeiter!$A$6:$A$205,0))&lt;&gt;"",A249&gt;INDEX(Mitarbeiter!$D$6:$D$205,MATCH(B249,Mitarbeiter!$A$6:$A$205,0))),"nach Austritt","ok")))))))</f>
        <v/>
      </c>
    </row>
    <row r="250">
      <c r="A250" s="26" t="n">
        <v>46082</v>
      </c>
      <c r="B250" s="24" t="n">
        <v>1035</v>
      </c>
      <c r="C250" s="40">
        <f>IF(B250="","",IFERROR(INDEX(Mitarbeiter!$B$6:$B$205,MATCH(B250,Mitarbeiter!$A$6:$A$205,0)),"?"))</f>
        <v/>
      </c>
      <c r="D250" s="41" t="inlineStr">
        <is>
          <t>Objekt 2</t>
        </is>
      </c>
      <c r="E250" s="42" t="n">
        <v>176</v>
      </c>
      <c r="F250" s="43" t="n">
        <v>0</v>
      </c>
      <c r="G250" s="44">
        <f>IF(OR(B250="",F250=""),"",IFERROR(F250*INDEX(Mitarbeiter!$F$6:$F$205,MATCH(B250,Mitarbeiter!$A$6:$A$205,0)),0))</f>
        <v/>
      </c>
      <c r="H250" s="8">
        <f>IF(B250="","",IF(ISNA(MATCH(B250,Mitarbeiter!$A$6:$A$205,0)),"Pers.-Nr. unbekannt",IF(A250="","Datum fehlt",IF(AND(D250&lt;&gt;Einstellungen!$C$4,D250&lt;&gt;Einstellungen!$C$5),"Objekt fehlt",IF(YEAR(A250)&lt;&gt;Einstellungen!$C$3,"anderes Jahr",IF(A250&lt;INDEX(Mitarbeiter!$C$6:$C$205,MATCH(B250,Mitarbeiter!$A$6:$A$205,0)),"vor Eintritt",IF(AND(INDEX(Mitarbeiter!$D$6:$D$205,MATCH(B250,Mitarbeiter!$A$6:$A$205,0))&lt;&gt;"",A250&gt;INDEX(Mitarbeiter!$D$6:$D$205,MATCH(B250,Mitarbeiter!$A$6:$A$205,0))),"nach Austritt","ok")))))))</f>
        <v/>
      </c>
    </row>
    <row r="251">
      <c r="A251" s="26" t="n">
        <v>46082</v>
      </c>
      <c r="B251" s="24" t="n">
        <v>1036</v>
      </c>
      <c r="C251" s="40">
        <f>IF(B251="","",IFERROR(INDEX(Mitarbeiter!$B$6:$B$205,MATCH(B251,Mitarbeiter!$A$6:$A$205,0)),"?"))</f>
        <v/>
      </c>
      <c r="D251" s="41" t="inlineStr">
        <is>
          <t>Objekt 1</t>
        </is>
      </c>
      <c r="E251" s="42" t="n">
        <v>37.5</v>
      </c>
      <c r="F251" s="43" t="n">
        <v>0</v>
      </c>
      <c r="G251" s="44">
        <f>IF(OR(B251="",F251=""),"",IFERROR(F251*INDEX(Mitarbeiter!$F$6:$F$205,MATCH(B251,Mitarbeiter!$A$6:$A$205,0)),0))</f>
        <v/>
      </c>
      <c r="H251" s="8">
        <f>IF(B251="","",IF(ISNA(MATCH(B251,Mitarbeiter!$A$6:$A$205,0)),"Pers.-Nr. unbekannt",IF(A251="","Datum fehlt",IF(AND(D251&lt;&gt;Einstellungen!$C$4,D251&lt;&gt;Einstellungen!$C$5),"Objekt fehlt",IF(YEAR(A251)&lt;&gt;Einstellungen!$C$3,"anderes Jahr",IF(A251&lt;INDEX(Mitarbeiter!$C$6:$C$205,MATCH(B251,Mitarbeiter!$A$6:$A$205,0)),"vor Eintritt",IF(AND(INDEX(Mitarbeiter!$D$6:$D$205,MATCH(B251,Mitarbeiter!$A$6:$A$205,0))&lt;&gt;"",A251&gt;INDEX(Mitarbeiter!$D$6:$D$205,MATCH(B251,Mitarbeiter!$A$6:$A$205,0))),"nach Austritt","ok")))))))</f>
        <v/>
      </c>
    </row>
    <row r="252">
      <c r="A252" s="26" t="n">
        <v>46082</v>
      </c>
      <c r="B252" s="24" t="n">
        <v>1036</v>
      </c>
      <c r="C252" s="40">
        <f>IF(B252="","",IFERROR(INDEX(Mitarbeiter!$B$6:$B$205,MATCH(B252,Mitarbeiter!$A$6:$A$205,0)),"?"))</f>
        <v/>
      </c>
      <c r="D252" s="41" t="inlineStr">
        <is>
          <t>Objekt 2</t>
        </is>
      </c>
      <c r="E252" s="42" t="n">
        <v>52</v>
      </c>
      <c r="F252" s="43" t="n">
        <v>0</v>
      </c>
      <c r="G252" s="44">
        <f>IF(OR(B252="",F252=""),"",IFERROR(F252*INDEX(Mitarbeiter!$F$6:$F$205,MATCH(B252,Mitarbeiter!$A$6:$A$205,0)),0))</f>
        <v/>
      </c>
      <c r="H252" s="8">
        <f>IF(B252="","",IF(ISNA(MATCH(B252,Mitarbeiter!$A$6:$A$205,0)),"Pers.-Nr. unbekannt",IF(A252="","Datum fehlt",IF(AND(D252&lt;&gt;Einstellungen!$C$4,D252&lt;&gt;Einstellungen!$C$5),"Objekt fehlt",IF(YEAR(A252)&lt;&gt;Einstellungen!$C$3,"anderes Jahr",IF(A252&lt;INDEX(Mitarbeiter!$C$6:$C$205,MATCH(B252,Mitarbeiter!$A$6:$A$205,0)),"vor Eintritt",IF(AND(INDEX(Mitarbeiter!$D$6:$D$205,MATCH(B252,Mitarbeiter!$A$6:$A$205,0))&lt;&gt;"",A252&gt;INDEX(Mitarbeiter!$D$6:$D$205,MATCH(B252,Mitarbeiter!$A$6:$A$205,0))),"nach Austritt","ok")))))))</f>
        <v/>
      </c>
    </row>
    <row r="253">
      <c r="A253" s="26" t="n">
        <v>46082</v>
      </c>
      <c r="B253" s="24" t="n">
        <v>1037</v>
      </c>
      <c r="C253" s="40">
        <f>IF(B253="","",IFERROR(INDEX(Mitarbeiter!$B$6:$B$205,MATCH(B253,Mitarbeiter!$A$6:$A$205,0)),"?"))</f>
        <v/>
      </c>
      <c r="D253" s="41" t="inlineStr">
        <is>
          <t>Objekt 1</t>
        </is>
      </c>
      <c r="E253" s="42" t="n">
        <v>88</v>
      </c>
      <c r="F253" s="43" t="n">
        <v>2</v>
      </c>
      <c r="G253" s="44">
        <f>IF(OR(B253="",F253=""),"",IFERROR(F253*INDEX(Mitarbeiter!$F$6:$F$205,MATCH(B253,Mitarbeiter!$A$6:$A$205,0)),0))</f>
        <v/>
      </c>
      <c r="H253" s="8">
        <f>IF(B253="","",IF(ISNA(MATCH(B253,Mitarbeiter!$A$6:$A$205,0)),"Pers.-Nr. unbekannt",IF(A253="","Datum fehlt",IF(AND(D253&lt;&gt;Einstellungen!$C$4,D253&lt;&gt;Einstellungen!$C$5),"Objekt fehlt",IF(YEAR(A253)&lt;&gt;Einstellungen!$C$3,"anderes Jahr",IF(A253&lt;INDEX(Mitarbeiter!$C$6:$C$205,MATCH(B253,Mitarbeiter!$A$6:$A$205,0)),"vor Eintritt",IF(AND(INDEX(Mitarbeiter!$D$6:$D$205,MATCH(B253,Mitarbeiter!$A$6:$A$205,0))&lt;&gt;"",A253&gt;INDEX(Mitarbeiter!$D$6:$D$205,MATCH(B253,Mitarbeiter!$A$6:$A$205,0))),"nach Austritt","ok")))))))</f>
        <v/>
      </c>
    </row>
    <row r="254">
      <c r="A254" s="26" t="n">
        <v>46082</v>
      </c>
      <c r="B254" s="24" t="n">
        <v>1037</v>
      </c>
      <c r="C254" s="40">
        <f>IF(B254="","",IFERROR(INDEX(Mitarbeiter!$B$6:$B$205,MATCH(B254,Mitarbeiter!$A$6:$A$205,0)),"?"))</f>
        <v/>
      </c>
      <c r="D254" s="41" t="inlineStr">
        <is>
          <t>Objekt 2</t>
        </is>
      </c>
      <c r="E254" s="42" t="n">
        <v>56</v>
      </c>
      <c r="F254" s="43" t="n">
        <v>2</v>
      </c>
      <c r="G254" s="44">
        <f>IF(OR(B254="",F254=""),"",IFERROR(F254*INDEX(Mitarbeiter!$F$6:$F$205,MATCH(B254,Mitarbeiter!$A$6:$A$205,0)),0))</f>
        <v/>
      </c>
      <c r="H254" s="8">
        <f>IF(B254="","",IF(ISNA(MATCH(B254,Mitarbeiter!$A$6:$A$205,0)),"Pers.-Nr. unbekannt",IF(A254="","Datum fehlt",IF(AND(D254&lt;&gt;Einstellungen!$C$4,D254&lt;&gt;Einstellungen!$C$5),"Objekt fehlt",IF(YEAR(A254)&lt;&gt;Einstellungen!$C$3,"anderes Jahr",IF(A254&lt;INDEX(Mitarbeiter!$C$6:$C$205,MATCH(B254,Mitarbeiter!$A$6:$A$205,0)),"vor Eintritt",IF(AND(INDEX(Mitarbeiter!$D$6:$D$205,MATCH(B254,Mitarbeiter!$A$6:$A$205,0))&lt;&gt;"",A254&gt;INDEX(Mitarbeiter!$D$6:$D$205,MATCH(B254,Mitarbeiter!$A$6:$A$205,0))),"nach Austritt","ok")))))))</f>
        <v/>
      </c>
    </row>
    <row r="255">
      <c r="A255" s="26" t="n">
        <v>46082</v>
      </c>
      <c r="B255" s="24" t="n">
        <v>1038</v>
      </c>
      <c r="C255" s="40">
        <f>IF(B255="","",IFERROR(INDEX(Mitarbeiter!$B$6:$B$205,MATCH(B255,Mitarbeiter!$A$6:$A$205,0)),"?"))</f>
        <v/>
      </c>
      <c r="D255" s="41" t="inlineStr">
        <is>
          <t>Objekt 1</t>
        </is>
      </c>
      <c r="E255" s="42" t="n">
        <v>91</v>
      </c>
      <c r="F255" s="43" t="n">
        <v>0</v>
      </c>
      <c r="G255" s="44">
        <f>IF(OR(B255="",F255=""),"",IFERROR(F255*INDEX(Mitarbeiter!$F$6:$F$205,MATCH(B255,Mitarbeiter!$A$6:$A$205,0)),0))</f>
        <v/>
      </c>
      <c r="H255" s="8">
        <f>IF(B255="","",IF(ISNA(MATCH(B255,Mitarbeiter!$A$6:$A$205,0)),"Pers.-Nr. unbekannt",IF(A255="","Datum fehlt",IF(AND(D255&lt;&gt;Einstellungen!$C$4,D255&lt;&gt;Einstellungen!$C$5),"Objekt fehlt",IF(YEAR(A255)&lt;&gt;Einstellungen!$C$3,"anderes Jahr",IF(A255&lt;INDEX(Mitarbeiter!$C$6:$C$205,MATCH(B255,Mitarbeiter!$A$6:$A$205,0)),"vor Eintritt",IF(AND(INDEX(Mitarbeiter!$D$6:$D$205,MATCH(B255,Mitarbeiter!$A$6:$A$205,0))&lt;&gt;"",A255&gt;INDEX(Mitarbeiter!$D$6:$D$205,MATCH(B255,Mitarbeiter!$A$6:$A$205,0))),"nach Austritt","ok")))))))</f>
        <v/>
      </c>
    </row>
    <row r="256">
      <c r="A256" s="26" t="n">
        <v>46082</v>
      </c>
      <c r="B256" s="24" t="n">
        <v>1038</v>
      </c>
      <c r="C256" s="40">
        <f>IF(B256="","",IFERROR(INDEX(Mitarbeiter!$B$6:$B$205,MATCH(B256,Mitarbeiter!$A$6:$A$205,0)),"?"))</f>
        <v/>
      </c>
      <c r="D256" s="41" t="inlineStr">
        <is>
          <t>Objekt 2</t>
        </is>
      </c>
      <c r="E256" s="42" t="n">
        <v>88</v>
      </c>
      <c r="F256" s="43" t="n">
        <v>0</v>
      </c>
      <c r="G256" s="44">
        <f>IF(OR(B256="",F256=""),"",IFERROR(F256*INDEX(Mitarbeiter!$F$6:$F$205,MATCH(B256,Mitarbeiter!$A$6:$A$205,0)),0))</f>
        <v/>
      </c>
      <c r="H256" s="8">
        <f>IF(B256="","",IF(ISNA(MATCH(B256,Mitarbeiter!$A$6:$A$205,0)),"Pers.-Nr. unbekannt",IF(A256="","Datum fehlt",IF(AND(D256&lt;&gt;Einstellungen!$C$4,D256&lt;&gt;Einstellungen!$C$5),"Objekt fehlt",IF(YEAR(A256)&lt;&gt;Einstellungen!$C$3,"anderes Jahr",IF(A256&lt;INDEX(Mitarbeiter!$C$6:$C$205,MATCH(B256,Mitarbeiter!$A$6:$A$205,0)),"vor Eintritt",IF(AND(INDEX(Mitarbeiter!$D$6:$D$205,MATCH(B256,Mitarbeiter!$A$6:$A$205,0))&lt;&gt;"",A256&gt;INDEX(Mitarbeiter!$D$6:$D$205,MATCH(B256,Mitarbeiter!$A$6:$A$205,0))),"nach Austritt","ok")))))))</f>
        <v/>
      </c>
    </row>
    <row r="257">
      <c r="A257" s="26" t="n">
        <v>46082</v>
      </c>
      <c r="B257" s="24" t="n">
        <v>1039</v>
      </c>
      <c r="C257" s="40">
        <f>IF(B257="","",IFERROR(INDEX(Mitarbeiter!$B$6:$B$205,MATCH(B257,Mitarbeiter!$A$6:$A$205,0)),"?"))</f>
        <v/>
      </c>
      <c r="D257" s="41" t="inlineStr">
        <is>
          <t>Objekt 2</t>
        </is>
      </c>
      <c r="E257" s="42" t="n">
        <v>176</v>
      </c>
      <c r="F257" s="43" t="n">
        <v>0</v>
      </c>
      <c r="G257" s="44">
        <f>IF(OR(B257="",F257=""),"",IFERROR(F257*INDEX(Mitarbeiter!$F$6:$F$205,MATCH(B257,Mitarbeiter!$A$6:$A$205,0)),0))</f>
        <v/>
      </c>
      <c r="H257" s="8">
        <f>IF(B257="","",IF(ISNA(MATCH(B257,Mitarbeiter!$A$6:$A$205,0)),"Pers.-Nr. unbekannt",IF(A257="","Datum fehlt",IF(AND(D257&lt;&gt;Einstellungen!$C$4,D257&lt;&gt;Einstellungen!$C$5),"Objekt fehlt",IF(YEAR(A257)&lt;&gt;Einstellungen!$C$3,"anderes Jahr",IF(A257&lt;INDEX(Mitarbeiter!$C$6:$C$205,MATCH(B257,Mitarbeiter!$A$6:$A$205,0)),"vor Eintritt",IF(AND(INDEX(Mitarbeiter!$D$6:$D$205,MATCH(B257,Mitarbeiter!$A$6:$A$205,0))&lt;&gt;"",A257&gt;INDEX(Mitarbeiter!$D$6:$D$205,MATCH(B257,Mitarbeiter!$A$6:$A$205,0))),"nach Austritt","ok")))))))</f>
        <v/>
      </c>
    </row>
    <row r="258">
      <c r="A258" s="26" t="n">
        <v>46082</v>
      </c>
      <c r="B258" s="24" t="n">
        <v>1040</v>
      </c>
      <c r="C258" s="40">
        <f>IF(B258="","",IFERROR(INDEX(Mitarbeiter!$B$6:$B$205,MATCH(B258,Mitarbeiter!$A$6:$A$205,0)),"?"))</f>
        <v/>
      </c>
      <c r="D258" s="41" t="inlineStr">
        <is>
          <t>Objekt 1</t>
        </is>
      </c>
      <c r="E258" s="42" t="n">
        <v>102</v>
      </c>
      <c r="F258" s="43" t="n">
        <v>1</v>
      </c>
      <c r="G258" s="44">
        <f>IF(OR(B258="",F258=""),"",IFERROR(F258*INDEX(Mitarbeiter!$F$6:$F$205,MATCH(B258,Mitarbeiter!$A$6:$A$205,0)),0))</f>
        <v/>
      </c>
      <c r="H258" s="8">
        <f>IF(B258="","",IF(ISNA(MATCH(B258,Mitarbeiter!$A$6:$A$205,0)),"Pers.-Nr. unbekannt",IF(A258="","Datum fehlt",IF(AND(D258&lt;&gt;Einstellungen!$C$4,D258&lt;&gt;Einstellungen!$C$5),"Objekt fehlt",IF(YEAR(A258)&lt;&gt;Einstellungen!$C$3,"anderes Jahr",IF(A258&lt;INDEX(Mitarbeiter!$C$6:$C$205,MATCH(B258,Mitarbeiter!$A$6:$A$205,0)),"vor Eintritt",IF(AND(INDEX(Mitarbeiter!$D$6:$D$205,MATCH(B258,Mitarbeiter!$A$6:$A$205,0))&lt;&gt;"",A258&gt;INDEX(Mitarbeiter!$D$6:$D$205,MATCH(B258,Mitarbeiter!$A$6:$A$205,0))),"nach Austritt","ok")))))))</f>
        <v/>
      </c>
    </row>
    <row r="259">
      <c r="A259" s="26" t="n">
        <v>46082</v>
      </c>
      <c r="B259" s="24" t="n">
        <v>1040</v>
      </c>
      <c r="C259" s="40">
        <f>IF(B259="","",IFERROR(INDEX(Mitarbeiter!$B$6:$B$205,MATCH(B259,Mitarbeiter!$A$6:$A$205,0)),"?"))</f>
        <v/>
      </c>
      <c r="D259" s="41" t="inlineStr">
        <is>
          <t>Objekt 2</t>
        </is>
      </c>
      <c r="E259" s="42" t="n">
        <v>27</v>
      </c>
      <c r="F259" s="43" t="n">
        <v>0</v>
      </c>
      <c r="G259" s="44">
        <f>IF(OR(B259="",F259=""),"",IFERROR(F259*INDEX(Mitarbeiter!$F$6:$F$205,MATCH(B259,Mitarbeiter!$A$6:$A$205,0)),0))</f>
        <v/>
      </c>
      <c r="H259" s="8">
        <f>IF(B259="","",IF(ISNA(MATCH(B259,Mitarbeiter!$A$6:$A$205,0)),"Pers.-Nr. unbekannt",IF(A259="","Datum fehlt",IF(AND(D259&lt;&gt;Einstellungen!$C$4,D259&lt;&gt;Einstellungen!$C$5),"Objekt fehlt",IF(YEAR(A259)&lt;&gt;Einstellungen!$C$3,"anderes Jahr",IF(A259&lt;INDEX(Mitarbeiter!$C$6:$C$205,MATCH(B259,Mitarbeiter!$A$6:$A$205,0)),"vor Eintritt",IF(AND(INDEX(Mitarbeiter!$D$6:$D$205,MATCH(B259,Mitarbeiter!$A$6:$A$205,0))&lt;&gt;"",A259&gt;INDEX(Mitarbeiter!$D$6:$D$205,MATCH(B259,Mitarbeiter!$A$6:$A$205,0))),"nach Austritt","ok")))))))</f>
        <v/>
      </c>
    </row>
    <row r="260">
      <c r="A260" s="26" t="n">
        <v>46082</v>
      </c>
      <c r="B260" s="24" t="n">
        <v>1044</v>
      </c>
      <c r="C260" s="40">
        <f>IF(B260="","",IFERROR(INDEX(Mitarbeiter!$B$6:$B$205,MATCH(B260,Mitarbeiter!$A$6:$A$205,0)),"?"))</f>
        <v/>
      </c>
      <c r="D260" s="41" t="inlineStr">
        <is>
          <t>Objekt 1</t>
        </is>
      </c>
      <c r="E260" s="42" t="n">
        <v>104</v>
      </c>
      <c r="F260" s="43" t="n">
        <v>0</v>
      </c>
      <c r="G260" s="44">
        <f>IF(OR(B260="",F260=""),"",IFERROR(F260*INDEX(Mitarbeiter!$F$6:$F$205,MATCH(B260,Mitarbeiter!$A$6:$A$205,0)),0))</f>
        <v/>
      </c>
      <c r="H260" s="8">
        <f>IF(B260="","",IF(ISNA(MATCH(B260,Mitarbeiter!$A$6:$A$205,0)),"Pers.-Nr. unbekannt",IF(A260="","Datum fehlt",IF(AND(D260&lt;&gt;Einstellungen!$C$4,D260&lt;&gt;Einstellungen!$C$5),"Objekt fehlt",IF(YEAR(A260)&lt;&gt;Einstellungen!$C$3,"anderes Jahr",IF(A260&lt;INDEX(Mitarbeiter!$C$6:$C$205,MATCH(B260,Mitarbeiter!$A$6:$A$205,0)),"vor Eintritt",IF(AND(INDEX(Mitarbeiter!$D$6:$D$205,MATCH(B260,Mitarbeiter!$A$6:$A$205,0))&lt;&gt;"",A260&gt;INDEX(Mitarbeiter!$D$6:$D$205,MATCH(B260,Mitarbeiter!$A$6:$A$205,0))),"nach Austritt","ok")))))))</f>
        <v/>
      </c>
    </row>
    <row r="261">
      <c r="A261" s="26" t="n">
        <v>46082</v>
      </c>
      <c r="B261" s="24" t="n">
        <v>1044</v>
      </c>
      <c r="C261" s="40">
        <f>IF(B261="","",IFERROR(INDEX(Mitarbeiter!$B$6:$B$205,MATCH(B261,Mitarbeiter!$A$6:$A$205,0)),"?"))</f>
        <v/>
      </c>
      <c r="D261" s="41" t="inlineStr">
        <is>
          <t>Objekt 2</t>
        </is>
      </c>
      <c r="E261" s="42" t="n">
        <v>72</v>
      </c>
      <c r="F261" s="43" t="n">
        <v>0</v>
      </c>
      <c r="G261" s="44">
        <f>IF(OR(B261="",F261=""),"",IFERROR(F261*INDEX(Mitarbeiter!$F$6:$F$205,MATCH(B261,Mitarbeiter!$A$6:$A$205,0)),0))</f>
        <v/>
      </c>
      <c r="H261" s="8">
        <f>IF(B261="","",IF(ISNA(MATCH(B261,Mitarbeiter!$A$6:$A$205,0)),"Pers.-Nr. unbekannt",IF(A261="","Datum fehlt",IF(AND(D261&lt;&gt;Einstellungen!$C$4,D261&lt;&gt;Einstellungen!$C$5),"Objekt fehlt",IF(YEAR(A261)&lt;&gt;Einstellungen!$C$3,"anderes Jahr",IF(A261&lt;INDEX(Mitarbeiter!$C$6:$C$205,MATCH(B261,Mitarbeiter!$A$6:$A$205,0)),"vor Eintritt",IF(AND(INDEX(Mitarbeiter!$D$6:$D$205,MATCH(B261,Mitarbeiter!$A$6:$A$205,0))&lt;&gt;"",A261&gt;INDEX(Mitarbeiter!$D$6:$D$205,MATCH(B261,Mitarbeiter!$A$6:$A$205,0))),"nach Austritt","ok")))))))</f>
        <v/>
      </c>
    </row>
    <row r="262">
      <c r="A262" s="26" t="n">
        <v>46082</v>
      </c>
      <c r="B262" s="24" t="n">
        <v>1045</v>
      </c>
      <c r="C262" s="40">
        <f>IF(B262="","",IFERROR(INDEX(Mitarbeiter!$B$6:$B$205,MATCH(B262,Mitarbeiter!$A$6:$A$205,0)),"?"))</f>
        <v/>
      </c>
      <c r="D262" s="41" t="inlineStr">
        <is>
          <t>Objekt 1</t>
        </is>
      </c>
      <c r="E262" s="42" t="n">
        <v>104</v>
      </c>
      <c r="F262" s="43" t="n">
        <v>0</v>
      </c>
      <c r="G262" s="44">
        <f>IF(OR(B262="",F262=""),"",IFERROR(F262*INDEX(Mitarbeiter!$F$6:$F$205,MATCH(B262,Mitarbeiter!$A$6:$A$205,0)),0))</f>
        <v/>
      </c>
      <c r="H262" s="8">
        <f>IF(B262="","",IF(ISNA(MATCH(B262,Mitarbeiter!$A$6:$A$205,0)),"Pers.-Nr. unbekannt",IF(A262="","Datum fehlt",IF(AND(D262&lt;&gt;Einstellungen!$C$4,D262&lt;&gt;Einstellungen!$C$5),"Objekt fehlt",IF(YEAR(A262)&lt;&gt;Einstellungen!$C$3,"anderes Jahr",IF(A262&lt;INDEX(Mitarbeiter!$C$6:$C$205,MATCH(B262,Mitarbeiter!$A$6:$A$205,0)),"vor Eintritt",IF(AND(INDEX(Mitarbeiter!$D$6:$D$205,MATCH(B262,Mitarbeiter!$A$6:$A$205,0))&lt;&gt;"",A262&gt;INDEX(Mitarbeiter!$D$6:$D$205,MATCH(B262,Mitarbeiter!$A$6:$A$205,0))),"nach Austritt","ok")))))))</f>
        <v/>
      </c>
    </row>
    <row r="263">
      <c r="A263" s="26" t="n">
        <v>46082</v>
      </c>
      <c r="B263" s="24" t="n">
        <v>1045</v>
      </c>
      <c r="C263" s="40">
        <f>IF(B263="","",IFERROR(INDEX(Mitarbeiter!$B$6:$B$205,MATCH(B263,Mitarbeiter!$A$6:$A$205,0)),"?"))</f>
        <v/>
      </c>
      <c r="D263" s="41" t="inlineStr">
        <is>
          <t>Objekt 2</t>
        </is>
      </c>
      <c r="E263" s="42" t="n">
        <v>73.5</v>
      </c>
      <c r="F263" s="43" t="n">
        <v>0</v>
      </c>
      <c r="G263" s="44">
        <f>IF(OR(B263="",F263=""),"",IFERROR(F263*INDEX(Mitarbeiter!$F$6:$F$205,MATCH(B263,Mitarbeiter!$A$6:$A$205,0)),0))</f>
        <v/>
      </c>
      <c r="H263" s="8">
        <f>IF(B263="","",IF(ISNA(MATCH(B263,Mitarbeiter!$A$6:$A$205,0)),"Pers.-Nr. unbekannt",IF(A263="","Datum fehlt",IF(AND(D263&lt;&gt;Einstellungen!$C$4,D263&lt;&gt;Einstellungen!$C$5),"Objekt fehlt",IF(YEAR(A263)&lt;&gt;Einstellungen!$C$3,"anderes Jahr",IF(A263&lt;INDEX(Mitarbeiter!$C$6:$C$205,MATCH(B263,Mitarbeiter!$A$6:$A$205,0)),"vor Eintritt",IF(AND(INDEX(Mitarbeiter!$D$6:$D$205,MATCH(B263,Mitarbeiter!$A$6:$A$205,0))&lt;&gt;"",A263&gt;INDEX(Mitarbeiter!$D$6:$D$205,MATCH(B263,Mitarbeiter!$A$6:$A$205,0))),"nach Austritt","ok")))))))</f>
        <v/>
      </c>
    </row>
    <row r="264">
      <c r="A264" s="26" t="n">
        <v>46082</v>
      </c>
      <c r="B264" s="24" t="n">
        <v>1046</v>
      </c>
      <c r="C264" s="40">
        <f>IF(B264="","",IFERROR(INDEX(Mitarbeiter!$B$6:$B$205,MATCH(B264,Mitarbeiter!$A$6:$A$205,0)),"?"))</f>
        <v/>
      </c>
      <c r="D264" s="41" t="inlineStr">
        <is>
          <t>Objekt 1</t>
        </is>
      </c>
      <c r="E264" s="42" t="n">
        <v>108</v>
      </c>
      <c r="F264" s="43" t="n">
        <v>0</v>
      </c>
      <c r="G264" s="44">
        <f>IF(OR(B264="",F264=""),"",IFERROR(F264*INDEX(Mitarbeiter!$F$6:$F$205,MATCH(B264,Mitarbeiter!$A$6:$A$205,0)),0))</f>
        <v/>
      </c>
      <c r="H264" s="8">
        <f>IF(B264="","",IF(ISNA(MATCH(B264,Mitarbeiter!$A$6:$A$205,0)),"Pers.-Nr. unbekannt",IF(A264="","Datum fehlt",IF(AND(D264&lt;&gt;Einstellungen!$C$4,D264&lt;&gt;Einstellungen!$C$5),"Objekt fehlt",IF(YEAR(A264)&lt;&gt;Einstellungen!$C$3,"anderes Jahr",IF(A264&lt;INDEX(Mitarbeiter!$C$6:$C$205,MATCH(B264,Mitarbeiter!$A$6:$A$205,0)),"vor Eintritt",IF(AND(INDEX(Mitarbeiter!$D$6:$D$205,MATCH(B264,Mitarbeiter!$A$6:$A$205,0))&lt;&gt;"",A264&gt;INDEX(Mitarbeiter!$D$6:$D$205,MATCH(B264,Mitarbeiter!$A$6:$A$205,0))),"nach Austritt","ok")))))))</f>
        <v/>
      </c>
    </row>
    <row r="265">
      <c r="A265" s="26" t="n">
        <v>46082</v>
      </c>
      <c r="B265" s="24" t="n">
        <v>1046</v>
      </c>
      <c r="C265" s="40">
        <f>IF(B265="","",IFERROR(INDEX(Mitarbeiter!$B$6:$B$205,MATCH(B265,Mitarbeiter!$A$6:$A$205,0)),"?"))</f>
        <v/>
      </c>
      <c r="D265" s="41" t="inlineStr">
        <is>
          <t>Objekt 2</t>
        </is>
      </c>
      <c r="E265" s="42" t="n">
        <v>25.5</v>
      </c>
      <c r="F265" s="43" t="n">
        <v>0</v>
      </c>
      <c r="G265" s="44">
        <f>IF(OR(B265="",F265=""),"",IFERROR(F265*INDEX(Mitarbeiter!$F$6:$F$205,MATCH(B265,Mitarbeiter!$A$6:$A$205,0)),0))</f>
        <v/>
      </c>
      <c r="H265" s="8">
        <f>IF(B265="","",IF(ISNA(MATCH(B265,Mitarbeiter!$A$6:$A$205,0)),"Pers.-Nr. unbekannt",IF(A265="","Datum fehlt",IF(AND(D265&lt;&gt;Einstellungen!$C$4,D265&lt;&gt;Einstellungen!$C$5),"Objekt fehlt",IF(YEAR(A265)&lt;&gt;Einstellungen!$C$3,"anderes Jahr",IF(A265&lt;INDEX(Mitarbeiter!$C$6:$C$205,MATCH(B265,Mitarbeiter!$A$6:$A$205,0)),"vor Eintritt",IF(AND(INDEX(Mitarbeiter!$D$6:$D$205,MATCH(B265,Mitarbeiter!$A$6:$A$205,0))&lt;&gt;"",A265&gt;INDEX(Mitarbeiter!$D$6:$D$205,MATCH(B265,Mitarbeiter!$A$6:$A$205,0))),"nach Austritt","ok")))))))</f>
        <v/>
      </c>
    </row>
    <row r="266">
      <c r="A266" s="26" t="n">
        <v>46082</v>
      </c>
      <c r="B266" s="24" t="n">
        <v>1047</v>
      </c>
      <c r="C266" s="40">
        <f>IF(B266="","",IFERROR(INDEX(Mitarbeiter!$B$6:$B$205,MATCH(B266,Mitarbeiter!$A$6:$A$205,0)),"?"))</f>
        <v/>
      </c>
      <c r="D266" s="41" t="inlineStr">
        <is>
          <t>Objekt 2</t>
        </is>
      </c>
      <c r="E266" s="42" t="n">
        <v>152</v>
      </c>
      <c r="F266" s="43" t="n">
        <v>3</v>
      </c>
      <c r="G266" s="44">
        <f>IF(OR(B266="",F266=""),"",IFERROR(F266*INDEX(Mitarbeiter!$F$6:$F$205,MATCH(B266,Mitarbeiter!$A$6:$A$205,0)),0))</f>
        <v/>
      </c>
      <c r="H266" s="8">
        <f>IF(B266="","",IF(ISNA(MATCH(B266,Mitarbeiter!$A$6:$A$205,0)),"Pers.-Nr. unbekannt",IF(A266="","Datum fehlt",IF(AND(D266&lt;&gt;Einstellungen!$C$4,D266&lt;&gt;Einstellungen!$C$5),"Objekt fehlt",IF(YEAR(A266)&lt;&gt;Einstellungen!$C$3,"anderes Jahr",IF(A266&lt;INDEX(Mitarbeiter!$C$6:$C$205,MATCH(B266,Mitarbeiter!$A$6:$A$205,0)),"vor Eintritt",IF(AND(INDEX(Mitarbeiter!$D$6:$D$205,MATCH(B266,Mitarbeiter!$A$6:$A$205,0))&lt;&gt;"",A266&gt;INDEX(Mitarbeiter!$D$6:$D$205,MATCH(B266,Mitarbeiter!$A$6:$A$205,0))),"nach Austritt","ok")))))))</f>
        <v/>
      </c>
    </row>
    <row r="267">
      <c r="A267" s="26" t="n">
        <v>46082</v>
      </c>
      <c r="B267" s="24" t="n">
        <v>1049</v>
      </c>
      <c r="C267" s="40">
        <f>IF(B267="","",IFERROR(INDEX(Mitarbeiter!$B$6:$B$205,MATCH(B267,Mitarbeiter!$A$6:$A$205,0)),"?"))</f>
        <v/>
      </c>
      <c r="D267" s="41" t="inlineStr">
        <is>
          <t>Objekt 1</t>
        </is>
      </c>
      <c r="E267" s="42" t="n">
        <v>135</v>
      </c>
      <c r="F267" s="43" t="n">
        <v>0</v>
      </c>
      <c r="G267" s="44">
        <f>IF(OR(B267="",F267=""),"",IFERROR(F267*INDEX(Mitarbeiter!$F$6:$F$205,MATCH(B267,Mitarbeiter!$A$6:$A$205,0)),0))</f>
        <v/>
      </c>
      <c r="H267" s="8">
        <f>IF(B267="","",IF(ISNA(MATCH(B267,Mitarbeiter!$A$6:$A$205,0)),"Pers.-Nr. unbekannt",IF(A267="","Datum fehlt",IF(AND(D267&lt;&gt;Einstellungen!$C$4,D267&lt;&gt;Einstellungen!$C$5),"Objekt fehlt",IF(YEAR(A267)&lt;&gt;Einstellungen!$C$3,"anderes Jahr",IF(A267&lt;INDEX(Mitarbeiter!$C$6:$C$205,MATCH(B267,Mitarbeiter!$A$6:$A$205,0)),"vor Eintritt",IF(AND(INDEX(Mitarbeiter!$D$6:$D$205,MATCH(B267,Mitarbeiter!$A$6:$A$205,0))&lt;&gt;"",A267&gt;INDEX(Mitarbeiter!$D$6:$D$205,MATCH(B267,Mitarbeiter!$A$6:$A$205,0))),"nach Austritt","ok")))))))</f>
        <v/>
      </c>
    </row>
    <row r="268">
      <c r="A268" s="26" t="n">
        <v>46082</v>
      </c>
      <c r="B268" s="24" t="n">
        <v>1050</v>
      </c>
      <c r="C268" s="40">
        <f>IF(B268="","",IFERROR(INDEX(Mitarbeiter!$B$6:$B$205,MATCH(B268,Mitarbeiter!$A$6:$A$205,0)),"?"))</f>
        <v/>
      </c>
      <c r="D268" s="41" t="inlineStr">
        <is>
          <t>Objekt 1</t>
        </is>
      </c>
      <c r="E268" s="42" t="n">
        <v>24</v>
      </c>
      <c r="F268" s="43" t="n">
        <v>0</v>
      </c>
      <c r="G268" s="44">
        <f>IF(OR(B268="",F268=""),"",IFERROR(F268*INDEX(Mitarbeiter!$F$6:$F$205,MATCH(B268,Mitarbeiter!$A$6:$A$205,0)),0))</f>
        <v/>
      </c>
      <c r="H268" s="8">
        <f>IF(B268="","",IF(ISNA(MATCH(B268,Mitarbeiter!$A$6:$A$205,0)),"Pers.-Nr. unbekannt",IF(A268="","Datum fehlt",IF(AND(D268&lt;&gt;Einstellungen!$C$4,D268&lt;&gt;Einstellungen!$C$5),"Objekt fehlt",IF(YEAR(A268)&lt;&gt;Einstellungen!$C$3,"anderes Jahr",IF(A268&lt;INDEX(Mitarbeiter!$C$6:$C$205,MATCH(B268,Mitarbeiter!$A$6:$A$205,0)),"vor Eintritt",IF(AND(INDEX(Mitarbeiter!$D$6:$D$205,MATCH(B268,Mitarbeiter!$A$6:$A$205,0))&lt;&gt;"",A268&gt;INDEX(Mitarbeiter!$D$6:$D$205,MATCH(B268,Mitarbeiter!$A$6:$A$205,0))),"nach Austritt","ok")))))))</f>
        <v/>
      </c>
    </row>
    <row r="269">
      <c r="A269" s="26" t="n">
        <v>46082</v>
      </c>
      <c r="B269" s="24" t="n">
        <v>1050</v>
      </c>
      <c r="C269" s="40">
        <f>IF(B269="","",IFERROR(INDEX(Mitarbeiter!$B$6:$B$205,MATCH(B269,Mitarbeiter!$A$6:$A$205,0)),"?"))</f>
        <v/>
      </c>
      <c r="D269" s="41" t="inlineStr">
        <is>
          <t>Objekt 2</t>
        </is>
      </c>
      <c r="E269" s="42" t="n">
        <v>108</v>
      </c>
      <c r="F269" s="43" t="n">
        <v>0</v>
      </c>
      <c r="G269" s="44">
        <f>IF(OR(B269="",F269=""),"",IFERROR(F269*INDEX(Mitarbeiter!$F$6:$F$205,MATCH(B269,Mitarbeiter!$A$6:$A$205,0)),0))</f>
        <v/>
      </c>
      <c r="H269" s="8">
        <f>IF(B269="","",IF(ISNA(MATCH(B269,Mitarbeiter!$A$6:$A$205,0)),"Pers.-Nr. unbekannt",IF(A269="","Datum fehlt",IF(AND(D269&lt;&gt;Einstellungen!$C$4,D269&lt;&gt;Einstellungen!$C$5),"Objekt fehlt",IF(YEAR(A269)&lt;&gt;Einstellungen!$C$3,"anderes Jahr",IF(A269&lt;INDEX(Mitarbeiter!$C$6:$C$205,MATCH(B269,Mitarbeiter!$A$6:$A$205,0)),"vor Eintritt",IF(AND(INDEX(Mitarbeiter!$D$6:$D$205,MATCH(B269,Mitarbeiter!$A$6:$A$205,0))&lt;&gt;"",A269&gt;INDEX(Mitarbeiter!$D$6:$D$205,MATCH(B269,Mitarbeiter!$A$6:$A$205,0))),"nach Austritt","ok")))))))</f>
        <v/>
      </c>
    </row>
    <row r="270">
      <c r="A270" s="26" t="n">
        <v>46082</v>
      </c>
      <c r="B270" s="24" t="n">
        <v>1051</v>
      </c>
      <c r="C270" s="40">
        <f>IF(B270="","",IFERROR(INDEX(Mitarbeiter!$B$6:$B$205,MATCH(B270,Mitarbeiter!$A$6:$A$205,0)),"?"))</f>
        <v/>
      </c>
      <c r="D270" s="41" t="inlineStr">
        <is>
          <t>Objekt 2</t>
        </is>
      </c>
      <c r="E270" s="42" t="n">
        <v>179</v>
      </c>
      <c r="F270" s="43" t="n">
        <v>0</v>
      </c>
      <c r="G270" s="44">
        <f>IF(OR(B270="",F270=""),"",IFERROR(F270*INDEX(Mitarbeiter!$F$6:$F$205,MATCH(B270,Mitarbeiter!$A$6:$A$205,0)),0))</f>
        <v/>
      </c>
      <c r="H270" s="8">
        <f>IF(B270="","",IF(ISNA(MATCH(B270,Mitarbeiter!$A$6:$A$205,0)),"Pers.-Nr. unbekannt",IF(A270="","Datum fehlt",IF(AND(D270&lt;&gt;Einstellungen!$C$4,D270&lt;&gt;Einstellungen!$C$5),"Objekt fehlt",IF(YEAR(A270)&lt;&gt;Einstellungen!$C$3,"anderes Jahr",IF(A270&lt;INDEX(Mitarbeiter!$C$6:$C$205,MATCH(B270,Mitarbeiter!$A$6:$A$205,0)),"vor Eintritt",IF(AND(INDEX(Mitarbeiter!$D$6:$D$205,MATCH(B270,Mitarbeiter!$A$6:$A$205,0))&lt;&gt;"",A270&gt;INDEX(Mitarbeiter!$D$6:$D$205,MATCH(B270,Mitarbeiter!$A$6:$A$205,0))),"nach Austritt","ok")))))))</f>
        <v/>
      </c>
    </row>
    <row r="271">
      <c r="A271" s="26" t="n">
        <v>46082</v>
      </c>
      <c r="B271" s="24" t="n">
        <v>1053</v>
      </c>
      <c r="C271" s="40">
        <f>IF(B271="","",IFERROR(INDEX(Mitarbeiter!$B$6:$B$205,MATCH(B271,Mitarbeiter!$A$6:$A$205,0)),"?"))</f>
        <v/>
      </c>
      <c r="D271" s="41" t="inlineStr">
        <is>
          <t>Objekt 1</t>
        </is>
      </c>
      <c r="E271" s="42" t="n">
        <v>57</v>
      </c>
      <c r="F271" s="43" t="n">
        <v>0</v>
      </c>
      <c r="G271" s="44">
        <f>IF(OR(B271="",F271=""),"",IFERROR(F271*INDEX(Mitarbeiter!$F$6:$F$205,MATCH(B271,Mitarbeiter!$A$6:$A$205,0)),0))</f>
        <v/>
      </c>
      <c r="H271" s="8">
        <f>IF(B271="","",IF(ISNA(MATCH(B271,Mitarbeiter!$A$6:$A$205,0)),"Pers.-Nr. unbekannt",IF(A271="","Datum fehlt",IF(AND(D271&lt;&gt;Einstellungen!$C$4,D271&lt;&gt;Einstellungen!$C$5),"Objekt fehlt",IF(YEAR(A271)&lt;&gt;Einstellungen!$C$3,"anderes Jahr",IF(A271&lt;INDEX(Mitarbeiter!$C$6:$C$205,MATCH(B271,Mitarbeiter!$A$6:$A$205,0)),"vor Eintritt",IF(AND(INDEX(Mitarbeiter!$D$6:$D$205,MATCH(B271,Mitarbeiter!$A$6:$A$205,0))&lt;&gt;"",A271&gt;INDEX(Mitarbeiter!$D$6:$D$205,MATCH(B271,Mitarbeiter!$A$6:$A$205,0))),"nach Austritt","ok")))))))</f>
        <v/>
      </c>
    </row>
    <row r="272">
      <c r="A272" s="26" t="n">
        <v>46082</v>
      </c>
      <c r="B272" s="24" t="n">
        <v>1053</v>
      </c>
      <c r="C272" s="40">
        <f>IF(B272="","",IFERROR(INDEX(Mitarbeiter!$B$6:$B$205,MATCH(B272,Mitarbeiter!$A$6:$A$205,0)),"?"))</f>
        <v/>
      </c>
      <c r="D272" s="41" t="inlineStr">
        <is>
          <t>Objekt 2</t>
        </is>
      </c>
      <c r="E272" s="42" t="n">
        <v>78</v>
      </c>
      <c r="F272" s="43" t="n">
        <v>0</v>
      </c>
      <c r="G272" s="44">
        <f>IF(OR(B272="",F272=""),"",IFERROR(F272*INDEX(Mitarbeiter!$F$6:$F$205,MATCH(B272,Mitarbeiter!$A$6:$A$205,0)),0))</f>
        <v/>
      </c>
      <c r="H272" s="8">
        <f>IF(B272="","",IF(ISNA(MATCH(B272,Mitarbeiter!$A$6:$A$205,0)),"Pers.-Nr. unbekannt",IF(A272="","Datum fehlt",IF(AND(D272&lt;&gt;Einstellungen!$C$4,D272&lt;&gt;Einstellungen!$C$5),"Objekt fehlt",IF(YEAR(A272)&lt;&gt;Einstellungen!$C$3,"anderes Jahr",IF(A272&lt;INDEX(Mitarbeiter!$C$6:$C$205,MATCH(B272,Mitarbeiter!$A$6:$A$205,0)),"vor Eintritt",IF(AND(INDEX(Mitarbeiter!$D$6:$D$205,MATCH(B272,Mitarbeiter!$A$6:$A$205,0))&lt;&gt;"",A272&gt;INDEX(Mitarbeiter!$D$6:$D$205,MATCH(B272,Mitarbeiter!$A$6:$A$205,0))),"nach Austritt","ok")))))))</f>
        <v/>
      </c>
    </row>
    <row r="273">
      <c r="A273" s="26" t="n">
        <v>46082</v>
      </c>
      <c r="B273" s="24" t="n">
        <v>1054</v>
      </c>
      <c r="C273" s="40">
        <f>IF(B273="","",IFERROR(INDEX(Mitarbeiter!$B$6:$B$205,MATCH(B273,Mitarbeiter!$A$6:$A$205,0)),"?"))</f>
        <v/>
      </c>
      <c r="D273" s="41" t="inlineStr">
        <is>
          <t>Objekt 2</t>
        </is>
      </c>
      <c r="E273" s="42" t="n">
        <v>166.5</v>
      </c>
      <c r="F273" s="43" t="n">
        <v>1</v>
      </c>
      <c r="G273" s="44">
        <f>IF(OR(B273="",F273=""),"",IFERROR(F273*INDEX(Mitarbeiter!$F$6:$F$205,MATCH(B273,Mitarbeiter!$A$6:$A$205,0)),0))</f>
        <v/>
      </c>
      <c r="H273" s="8">
        <f>IF(B273="","",IF(ISNA(MATCH(B273,Mitarbeiter!$A$6:$A$205,0)),"Pers.-Nr. unbekannt",IF(A273="","Datum fehlt",IF(AND(D273&lt;&gt;Einstellungen!$C$4,D273&lt;&gt;Einstellungen!$C$5),"Objekt fehlt",IF(YEAR(A273)&lt;&gt;Einstellungen!$C$3,"anderes Jahr",IF(A273&lt;INDEX(Mitarbeiter!$C$6:$C$205,MATCH(B273,Mitarbeiter!$A$6:$A$205,0)),"vor Eintritt",IF(AND(INDEX(Mitarbeiter!$D$6:$D$205,MATCH(B273,Mitarbeiter!$A$6:$A$205,0))&lt;&gt;"",A273&gt;INDEX(Mitarbeiter!$D$6:$D$205,MATCH(B273,Mitarbeiter!$A$6:$A$205,0))),"nach Austritt","ok")))))))</f>
        <v/>
      </c>
    </row>
    <row r="274">
      <c r="A274" s="26" t="n">
        <v>46082</v>
      </c>
      <c r="B274" s="24" t="n">
        <v>1061</v>
      </c>
      <c r="C274" s="40">
        <f>IF(B274="","",IFERROR(INDEX(Mitarbeiter!$B$6:$B$205,MATCH(B274,Mitarbeiter!$A$6:$A$205,0)),"?"))</f>
        <v/>
      </c>
      <c r="D274" s="41" t="inlineStr">
        <is>
          <t>Objekt 1</t>
        </is>
      </c>
      <c r="E274" s="42" t="n">
        <v>91</v>
      </c>
      <c r="F274" s="43" t="n">
        <v>0</v>
      </c>
      <c r="G274" s="44">
        <f>IF(OR(B274="",F274=""),"",IFERROR(F274*INDEX(Mitarbeiter!$F$6:$F$205,MATCH(B274,Mitarbeiter!$A$6:$A$205,0)),0))</f>
        <v/>
      </c>
      <c r="H274" s="8">
        <f>IF(B274="","",IF(ISNA(MATCH(B274,Mitarbeiter!$A$6:$A$205,0)),"Pers.-Nr. unbekannt",IF(A274="","Datum fehlt",IF(AND(D274&lt;&gt;Einstellungen!$C$4,D274&lt;&gt;Einstellungen!$C$5),"Objekt fehlt",IF(YEAR(A274)&lt;&gt;Einstellungen!$C$3,"anderes Jahr",IF(A274&lt;INDEX(Mitarbeiter!$C$6:$C$205,MATCH(B274,Mitarbeiter!$A$6:$A$205,0)),"vor Eintritt",IF(AND(INDEX(Mitarbeiter!$D$6:$D$205,MATCH(B274,Mitarbeiter!$A$6:$A$205,0))&lt;&gt;"",A274&gt;INDEX(Mitarbeiter!$D$6:$D$205,MATCH(B274,Mitarbeiter!$A$6:$A$205,0))),"nach Austritt","ok")))))))</f>
        <v/>
      </c>
    </row>
    <row r="275">
      <c r="A275" s="26" t="n">
        <v>46082</v>
      </c>
      <c r="B275" s="24" t="n">
        <v>1061</v>
      </c>
      <c r="C275" s="40">
        <f>IF(B275="","",IFERROR(INDEX(Mitarbeiter!$B$6:$B$205,MATCH(B275,Mitarbeiter!$A$6:$A$205,0)),"?"))</f>
        <v/>
      </c>
      <c r="D275" s="41" t="inlineStr">
        <is>
          <t>Objekt 2</t>
        </is>
      </c>
      <c r="E275" s="42" t="n">
        <v>91</v>
      </c>
      <c r="F275" s="43" t="n">
        <v>0</v>
      </c>
      <c r="G275" s="44">
        <f>IF(OR(B275="",F275=""),"",IFERROR(F275*INDEX(Mitarbeiter!$F$6:$F$205,MATCH(B275,Mitarbeiter!$A$6:$A$205,0)),0))</f>
        <v/>
      </c>
      <c r="H275" s="8">
        <f>IF(B275="","",IF(ISNA(MATCH(B275,Mitarbeiter!$A$6:$A$205,0)),"Pers.-Nr. unbekannt",IF(A275="","Datum fehlt",IF(AND(D275&lt;&gt;Einstellungen!$C$4,D275&lt;&gt;Einstellungen!$C$5),"Objekt fehlt",IF(YEAR(A275)&lt;&gt;Einstellungen!$C$3,"anderes Jahr",IF(A275&lt;INDEX(Mitarbeiter!$C$6:$C$205,MATCH(B275,Mitarbeiter!$A$6:$A$205,0)),"vor Eintritt",IF(AND(INDEX(Mitarbeiter!$D$6:$D$205,MATCH(B275,Mitarbeiter!$A$6:$A$205,0))&lt;&gt;"",A275&gt;INDEX(Mitarbeiter!$D$6:$D$205,MATCH(B275,Mitarbeiter!$A$6:$A$205,0))),"nach Austritt","ok")))))))</f>
        <v/>
      </c>
    </row>
    <row r="276">
      <c r="A276" s="26" t="n">
        <v>46082</v>
      </c>
      <c r="B276" s="24" t="n">
        <v>1062</v>
      </c>
      <c r="C276" s="40">
        <f>IF(B276="","",IFERROR(INDEX(Mitarbeiter!$B$6:$B$205,MATCH(B276,Mitarbeiter!$A$6:$A$205,0)),"?"))</f>
        <v/>
      </c>
      <c r="D276" s="41" t="inlineStr">
        <is>
          <t>Objekt 1</t>
        </is>
      </c>
      <c r="E276" s="42" t="n">
        <v>73.5</v>
      </c>
      <c r="F276" s="43" t="n">
        <v>0</v>
      </c>
      <c r="G276" s="44">
        <f>IF(OR(B276="",F276=""),"",IFERROR(F276*INDEX(Mitarbeiter!$F$6:$F$205,MATCH(B276,Mitarbeiter!$A$6:$A$205,0)),0))</f>
        <v/>
      </c>
      <c r="H276" s="8">
        <f>IF(B276="","",IF(ISNA(MATCH(B276,Mitarbeiter!$A$6:$A$205,0)),"Pers.-Nr. unbekannt",IF(A276="","Datum fehlt",IF(AND(D276&lt;&gt;Einstellungen!$C$4,D276&lt;&gt;Einstellungen!$C$5),"Objekt fehlt",IF(YEAR(A276)&lt;&gt;Einstellungen!$C$3,"anderes Jahr",IF(A276&lt;INDEX(Mitarbeiter!$C$6:$C$205,MATCH(B276,Mitarbeiter!$A$6:$A$205,0)),"vor Eintritt",IF(AND(INDEX(Mitarbeiter!$D$6:$D$205,MATCH(B276,Mitarbeiter!$A$6:$A$205,0))&lt;&gt;"",A276&gt;INDEX(Mitarbeiter!$D$6:$D$205,MATCH(B276,Mitarbeiter!$A$6:$A$205,0))),"nach Austritt","ok")))))))</f>
        <v/>
      </c>
    </row>
    <row r="277">
      <c r="A277" s="26" t="n">
        <v>46082</v>
      </c>
      <c r="B277" s="24" t="n">
        <v>1062</v>
      </c>
      <c r="C277" s="40">
        <f>IF(B277="","",IFERROR(INDEX(Mitarbeiter!$B$6:$B$205,MATCH(B277,Mitarbeiter!$A$6:$A$205,0)),"?"))</f>
        <v/>
      </c>
      <c r="D277" s="41" t="inlineStr">
        <is>
          <t>Objekt 2</t>
        </is>
      </c>
      <c r="E277" s="42" t="n">
        <v>104</v>
      </c>
      <c r="F277" s="43" t="n">
        <v>0</v>
      </c>
      <c r="G277" s="44">
        <f>IF(OR(B277="",F277=""),"",IFERROR(F277*INDEX(Mitarbeiter!$F$6:$F$205,MATCH(B277,Mitarbeiter!$A$6:$A$205,0)),0))</f>
        <v/>
      </c>
      <c r="H277" s="8">
        <f>IF(B277="","",IF(ISNA(MATCH(B277,Mitarbeiter!$A$6:$A$205,0)),"Pers.-Nr. unbekannt",IF(A277="","Datum fehlt",IF(AND(D277&lt;&gt;Einstellungen!$C$4,D277&lt;&gt;Einstellungen!$C$5),"Objekt fehlt",IF(YEAR(A277)&lt;&gt;Einstellungen!$C$3,"anderes Jahr",IF(A277&lt;INDEX(Mitarbeiter!$C$6:$C$205,MATCH(B277,Mitarbeiter!$A$6:$A$205,0)),"vor Eintritt",IF(AND(INDEX(Mitarbeiter!$D$6:$D$205,MATCH(B277,Mitarbeiter!$A$6:$A$205,0))&lt;&gt;"",A277&gt;INDEX(Mitarbeiter!$D$6:$D$205,MATCH(B277,Mitarbeiter!$A$6:$A$205,0))),"nach Austritt","ok")))))))</f>
        <v/>
      </c>
    </row>
    <row r="278">
      <c r="A278" s="26" t="n">
        <v>46082</v>
      </c>
      <c r="B278" s="24" t="n">
        <v>1066</v>
      </c>
      <c r="C278" s="40">
        <f>IF(B278="","",IFERROR(INDEX(Mitarbeiter!$B$6:$B$205,MATCH(B278,Mitarbeiter!$A$6:$A$205,0)),"?"))</f>
        <v/>
      </c>
      <c r="D278" s="41" t="inlineStr">
        <is>
          <t>Objekt 1</t>
        </is>
      </c>
      <c r="E278" s="42" t="n">
        <v>68</v>
      </c>
      <c r="F278" s="43" t="n">
        <v>1</v>
      </c>
      <c r="G278" s="44">
        <f>IF(OR(B278="",F278=""),"",IFERROR(F278*INDEX(Mitarbeiter!$F$6:$F$205,MATCH(B278,Mitarbeiter!$A$6:$A$205,0)),0))</f>
        <v/>
      </c>
      <c r="H278" s="8">
        <f>IF(B278="","",IF(ISNA(MATCH(B278,Mitarbeiter!$A$6:$A$205,0)),"Pers.-Nr. unbekannt",IF(A278="","Datum fehlt",IF(AND(D278&lt;&gt;Einstellungen!$C$4,D278&lt;&gt;Einstellungen!$C$5),"Objekt fehlt",IF(YEAR(A278)&lt;&gt;Einstellungen!$C$3,"anderes Jahr",IF(A278&lt;INDEX(Mitarbeiter!$C$6:$C$205,MATCH(B278,Mitarbeiter!$A$6:$A$205,0)),"vor Eintritt",IF(AND(INDEX(Mitarbeiter!$D$6:$D$205,MATCH(B278,Mitarbeiter!$A$6:$A$205,0))&lt;&gt;"",A278&gt;INDEX(Mitarbeiter!$D$6:$D$205,MATCH(B278,Mitarbeiter!$A$6:$A$205,0))),"nach Austritt","ok")))))))</f>
        <v/>
      </c>
    </row>
    <row r="279">
      <c r="A279" s="26" t="n">
        <v>46082</v>
      </c>
      <c r="B279" s="24" t="n">
        <v>1066</v>
      </c>
      <c r="C279" s="40">
        <f>IF(B279="","",IFERROR(INDEX(Mitarbeiter!$B$6:$B$205,MATCH(B279,Mitarbeiter!$A$6:$A$205,0)),"?"))</f>
        <v/>
      </c>
      <c r="D279" s="41" t="inlineStr">
        <is>
          <t>Objekt 2</t>
        </is>
      </c>
      <c r="E279" s="42" t="n">
        <v>16</v>
      </c>
      <c r="F279" s="43" t="n">
        <v>0</v>
      </c>
      <c r="G279" s="44">
        <f>IF(OR(B279="",F279=""),"",IFERROR(F279*INDEX(Mitarbeiter!$F$6:$F$205,MATCH(B279,Mitarbeiter!$A$6:$A$205,0)),0))</f>
        <v/>
      </c>
      <c r="H279" s="8">
        <f>IF(B279="","",IF(ISNA(MATCH(B279,Mitarbeiter!$A$6:$A$205,0)),"Pers.-Nr. unbekannt",IF(A279="","Datum fehlt",IF(AND(D279&lt;&gt;Einstellungen!$C$4,D279&lt;&gt;Einstellungen!$C$5),"Objekt fehlt",IF(YEAR(A279)&lt;&gt;Einstellungen!$C$3,"anderes Jahr",IF(A279&lt;INDEX(Mitarbeiter!$C$6:$C$205,MATCH(B279,Mitarbeiter!$A$6:$A$205,0)),"vor Eintritt",IF(AND(INDEX(Mitarbeiter!$D$6:$D$205,MATCH(B279,Mitarbeiter!$A$6:$A$205,0))&lt;&gt;"",A279&gt;INDEX(Mitarbeiter!$D$6:$D$205,MATCH(B279,Mitarbeiter!$A$6:$A$205,0))),"nach Austritt","ok")))))))</f>
        <v/>
      </c>
    </row>
    <row r="280">
      <c r="A280" s="26" t="n">
        <v>46082</v>
      </c>
      <c r="B280" s="24" t="n">
        <v>1068</v>
      </c>
      <c r="C280" s="40">
        <f>IF(B280="","",IFERROR(INDEX(Mitarbeiter!$B$6:$B$205,MATCH(B280,Mitarbeiter!$A$6:$A$205,0)),"?"))</f>
        <v/>
      </c>
      <c r="D280" s="41" t="inlineStr">
        <is>
          <t>Objekt 1</t>
        </is>
      </c>
      <c r="E280" s="42" t="n">
        <v>96</v>
      </c>
      <c r="F280" s="43" t="n">
        <v>1</v>
      </c>
      <c r="G280" s="44">
        <f>IF(OR(B280="",F280=""),"",IFERROR(F280*INDEX(Mitarbeiter!$F$6:$F$205,MATCH(B280,Mitarbeiter!$A$6:$A$205,0)),0))</f>
        <v/>
      </c>
      <c r="H280" s="8">
        <f>IF(B280="","",IF(ISNA(MATCH(B280,Mitarbeiter!$A$6:$A$205,0)),"Pers.-Nr. unbekannt",IF(A280="","Datum fehlt",IF(AND(D280&lt;&gt;Einstellungen!$C$4,D280&lt;&gt;Einstellungen!$C$5),"Objekt fehlt",IF(YEAR(A280)&lt;&gt;Einstellungen!$C$3,"anderes Jahr",IF(A280&lt;INDEX(Mitarbeiter!$C$6:$C$205,MATCH(B280,Mitarbeiter!$A$6:$A$205,0)),"vor Eintritt",IF(AND(INDEX(Mitarbeiter!$D$6:$D$205,MATCH(B280,Mitarbeiter!$A$6:$A$205,0))&lt;&gt;"",A280&gt;INDEX(Mitarbeiter!$D$6:$D$205,MATCH(B280,Mitarbeiter!$A$6:$A$205,0))),"nach Austritt","ok")))))))</f>
        <v/>
      </c>
    </row>
    <row r="281">
      <c r="A281" s="26" t="n">
        <v>46082</v>
      </c>
      <c r="B281" s="24" t="n">
        <v>1068</v>
      </c>
      <c r="C281" s="40">
        <f>IF(B281="","",IFERROR(INDEX(Mitarbeiter!$B$6:$B$205,MATCH(B281,Mitarbeiter!$A$6:$A$205,0)),"?"))</f>
        <v/>
      </c>
      <c r="D281" s="41" t="inlineStr">
        <is>
          <t>Objekt 2</t>
        </is>
      </c>
      <c r="E281" s="42" t="n">
        <v>73.5</v>
      </c>
      <c r="F281" s="43" t="n">
        <v>0</v>
      </c>
      <c r="G281" s="44">
        <f>IF(OR(B281="",F281=""),"",IFERROR(F281*INDEX(Mitarbeiter!$F$6:$F$205,MATCH(B281,Mitarbeiter!$A$6:$A$205,0)),0))</f>
        <v/>
      </c>
      <c r="H281" s="8">
        <f>IF(B281="","",IF(ISNA(MATCH(B281,Mitarbeiter!$A$6:$A$205,0)),"Pers.-Nr. unbekannt",IF(A281="","Datum fehlt",IF(AND(D281&lt;&gt;Einstellungen!$C$4,D281&lt;&gt;Einstellungen!$C$5),"Objekt fehlt",IF(YEAR(A281)&lt;&gt;Einstellungen!$C$3,"anderes Jahr",IF(A281&lt;INDEX(Mitarbeiter!$C$6:$C$205,MATCH(B281,Mitarbeiter!$A$6:$A$205,0)),"vor Eintritt",IF(AND(INDEX(Mitarbeiter!$D$6:$D$205,MATCH(B281,Mitarbeiter!$A$6:$A$205,0))&lt;&gt;"",A281&gt;INDEX(Mitarbeiter!$D$6:$D$205,MATCH(B281,Mitarbeiter!$A$6:$A$205,0))),"nach Austritt","ok")))))))</f>
        <v/>
      </c>
    </row>
    <row r="282">
      <c r="A282" s="26" t="n">
        <v>46082</v>
      </c>
      <c r="B282" s="24" t="n">
        <v>1069</v>
      </c>
      <c r="C282" s="40">
        <f>IF(B282="","",IFERROR(INDEX(Mitarbeiter!$B$6:$B$205,MATCH(B282,Mitarbeiter!$A$6:$A$205,0)),"?"))</f>
        <v/>
      </c>
      <c r="D282" s="41" t="inlineStr">
        <is>
          <t>Objekt 1</t>
        </is>
      </c>
      <c r="E282" s="42" t="n">
        <v>163</v>
      </c>
      <c r="F282" s="43" t="n">
        <v>2</v>
      </c>
      <c r="G282" s="44">
        <f>IF(OR(B282="",F282=""),"",IFERROR(F282*INDEX(Mitarbeiter!$F$6:$F$205,MATCH(B282,Mitarbeiter!$A$6:$A$205,0)),0))</f>
        <v/>
      </c>
      <c r="H282" s="8">
        <f>IF(B282="","",IF(ISNA(MATCH(B282,Mitarbeiter!$A$6:$A$205,0)),"Pers.-Nr. unbekannt",IF(A282="","Datum fehlt",IF(AND(D282&lt;&gt;Einstellungen!$C$4,D282&lt;&gt;Einstellungen!$C$5),"Objekt fehlt",IF(YEAR(A282)&lt;&gt;Einstellungen!$C$3,"anderes Jahr",IF(A282&lt;INDEX(Mitarbeiter!$C$6:$C$205,MATCH(B282,Mitarbeiter!$A$6:$A$205,0)),"vor Eintritt",IF(AND(INDEX(Mitarbeiter!$D$6:$D$205,MATCH(B282,Mitarbeiter!$A$6:$A$205,0))&lt;&gt;"",A282&gt;INDEX(Mitarbeiter!$D$6:$D$205,MATCH(B282,Mitarbeiter!$A$6:$A$205,0))),"nach Austritt","ok")))))))</f>
        <v/>
      </c>
    </row>
    <row r="283">
      <c r="A283" s="26" t="n">
        <v>46082</v>
      </c>
      <c r="B283" s="24" t="n">
        <v>1070</v>
      </c>
      <c r="C283" s="40">
        <f>IF(B283="","",IFERROR(INDEX(Mitarbeiter!$B$6:$B$205,MATCH(B283,Mitarbeiter!$A$6:$A$205,0)),"?"))</f>
        <v/>
      </c>
      <c r="D283" s="41" t="inlineStr">
        <is>
          <t>Objekt 2</t>
        </is>
      </c>
      <c r="E283" s="42" t="n">
        <v>176</v>
      </c>
      <c r="F283" s="43" t="n">
        <v>0</v>
      </c>
      <c r="G283" s="44">
        <f>IF(OR(B283="",F283=""),"",IFERROR(F283*INDEX(Mitarbeiter!$F$6:$F$205,MATCH(B283,Mitarbeiter!$A$6:$A$205,0)),0))</f>
        <v/>
      </c>
      <c r="H283" s="8">
        <f>IF(B283="","",IF(ISNA(MATCH(B283,Mitarbeiter!$A$6:$A$205,0)),"Pers.-Nr. unbekannt",IF(A283="","Datum fehlt",IF(AND(D283&lt;&gt;Einstellungen!$C$4,D283&lt;&gt;Einstellungen!$C$5),"Objekt fehlt",IF(YEAR(A283)&lt;&gt;Einstellungen!$C$3,"anderes Jahr",IF(A283&lt;INDEX(Mitarbeiter!$C$6:$C$205,MATCH(B283,Mitarbeiter!$A$6:$A$205,0)),"vor Eintritt",IF(AND(INDEX(Mitarbeiter!$D$6:$D$205,MATCH(B283,Mitarbeiter!$A$6:$A$205,0))&lt;&gt;"",A283&gt;INDEX(Mitarbeiter!$D$6:$D$205,MATCH(B283,Mitarbeiter!$A$6:$A$205,0))),"nach Austritt","ok")))))))</f>
        <v/>
      </c>
    </row>
    <row r="284">
      <c r="A284" s="26" t="n">
        <v>46082</v>
      </c>
      <c r="B284" s="24" t="n">
        <v>1071</v>
      </c>
      <c r="C284" s="40">
        <f>IF(B284="","",IFERROR(INDEX(Mitarbeiter!$B$6:$B$205,MATCH(B284,Mitarbeiter!$A$6:$A$205,0)),"?"))</f>
        <v/>
      </c>
      <c r="D284" s="41" t="inlineStr">
        <is>
          <t>Objekt 2</t>
        </is>
      </c>
      <c r="E284" s="42" t="n">
        <v>132</v>
      </c>
      <c r="F284" s="43" t="n">
        <v>0</v>
      </c>
      <c r="G284" s="44">
        <f>IF(OR(B284="",F284=""),"",IFERROR(F284*INDEX(Mitarbeiter!$F$6:$F$205,MATCH(B284,Mitarbeiter!$A$6:$A$205,0)),0))</f>
        <v/>
      </c>
      <c r="H284" s="8">
        <f>IF(B284="","",IF(ISNA(MATCH(B284,Mitarbeiter!$A$6:$A$205,0)),"Pers.-Nr. unbekannt",IF(A284="","Datum fehlt",IF(AND(D284&lt;&gt;Einstellungen!$C$4,D284&lt;&gt;Einstellungen!$C$5),"Objekt fehlt",IF(YEAR(A284)&lt;&gt;Einstellungen!$C$3,"anderes Jahr",IF(A284&lt;INDEX(Mitarbeiter!$C$6:$C$205,MATCH(B284,Mitarbeiter!$A$6:$A$205,0)),"vor Eintritt",IF(AND(INDEX(Mitarbeiter!$D$6:$D$205,MATCH(B284,Mitarbeiter!$A$6:$A$205,0))&lt;&gt;"",A284&gt;INDEX(Mitarbeiter!$D$6:$D$205,MATCH(B284,Mitarbeiter!$A$6:$A$205,0))),"nach Austritt","ok")))))))</f>
        <v/>
      </c>
    </row>
    <row r="285">
      <c r="A285" s="26" t="n">
        <v>46113</v>
      </c>
      <c r="B285" s="24" t="n">
        <v>1001</v>
      </c>
      <c r="C285" s="40">
        <f>IF(B285="","",IFERROR(INDEX(Mitarbeiter!$B$6:$B$205,MATCH(B285,Mitarbeiter!$A$6:$A$205,0)),"?"))</f>
        <v/>
      </c>
      <c r="D285" s="41" t="inlineStr">
        <is>
          <t>Objekt 1</t>
        </is>
      </c>
      <c r="E285" s="42" t="n">
        <v>34.5</v>
      </c>
      <c r="F285" s="43" t="n">
        <v>1</v>
      </c>
      <c r="G285" s="44">
        <f>IF(OR(B285="",F285=""),"",IFERROR(F285*INDEX(Mitarbeiter!$F$6:$F$205,MATCH(B285,Mitarbeiter!$A$6:$A$205,0)),0))</f>
        <v/>
      </c>
      <c r="H285" s="8">
        <f>IF(B285="","",IF(ISNA(MATCH(B285,Mitarbeiter!$A$6:$A$205,0)),"Pers.-Nr. unbekannt",IF(A285="","Datum fehlt",IF(AND(D285&lt;&gt;Einstellungen!$C$4,D285&lt;&gt;Einstellungen!$C$5),"Objekt fehlt",IF(YEAR(A285)&lt;&gt;Einstellungen!$C$3,"anderes Jahr",IF(A285&lt;INDEX(Mitarbeiter!$C$6:$C$205,MATCH(B285,Mitarbeiter!$A$6:$A$205,0)),"vor Eintritt",IF(AND(INDEX(Mitarbeiter!$D$6:$D$205,MATCH(B285,Mitarbeiter!$A$6:$A$205,0))&lt;&gt;"",A285&gt;INDEX(Mitarbeiter!$D$6:$D$205,MATCH(B285,Mitarbeiter!$A$6:$A$205,0))),"nach Austritt","ok")))))))</f>
        <v/>
      </c>
    </row>
    <row r="286">
      <c r="A286" s="26" t="n">
        <v>46113</v>
      </c>
      <c r="B286" s="24" t="n">
        <v>1001</v>
      </c>
      <c r="C286" s="40">
        <f>IF(B286="","",IFERROR(INDEX(Mitarbeiter!$B$6:$B$205,MATCH(B286,Mitarbeiter!$A$6:$A$205,0)),"?"))</f>
        <v/>
      </c>
      <c r="D286" s="41" t="inlineStr">
        <is>
          <t>Objekt 2</t>
        </is>
      </c>
      <c r="E286" s="42" t="n">
        <v>37.5</v>
      </c>
      <c r="F286" s="43" t="n">
        <v>1</v>
      </c>
      <c r="G286" s="44">
        <f>IF(OR(B286="",F286=""),"",IFERROR(F286*INDEX(Mitarbeiter!$F$6:$F$205,MATCH(B286,Mitarbeiter!$A$6:$A$205,0)),0))</f>
        <v/>
      </c>
      <c r="H286" s="8">
        <f>IF(B286="","",IF(ISNA(MATCH(B286,Mitarbeiter!$A$6:$A$205,0)),"Pers.-Nr. unbekannt",IF(A286="","Datum fehlt",IF(AND(D286&lt;&gt;Einstellungen!$C$4,D286&lt;&gt;Einstellungen!$C$5),"Objekt fehlt",IF(YEAR(A286)&lt;&gt;Einstellungen!$C$3,"anderes Jahr",IF(A286&lt;INDEX(Mitarbeiter!$C$6:$C$205,MATCH(B286,Mitarbeiter!$A$6:$A$205,0)),"vor Eintritt",IF(AND(INDEX(Mitarbeiter!$D$6:$D$205,MATCH(B286,Mitarbeiter!$A$6:$A$205,0))&lt;&gt;"",A286&gt;INDEX(Mitarbeiter!$D$6:$D$205,MATCH(B286,Mitarbeiter!$A$6:$A$205,0))),"nach Austritt","ok")))))))</f>
        <v/>
      </c>
    </row>
    <row r="287">
      <c r="A287" s="26" t="n">
        <v>46113</v>
      </c>
      <c r="B287" s="24" t="n">
        <v>1002</v>
      </c>
      <c r="C287" s="40">
        <f>IF(B287="","",IFERROR(INDEX(Mitarbeiter!$B$6:$B$205,MATCH(B287,Mitarbeiter!$A$6:$A$205,0)),"?"))</f>
        <v/>
      </c>
      <c r="D287" s="41" t="inlineStr">
        <is>
          <t>Objekt 1</t>
        </is>
      </c>
      <c r="E287" s="42" t="n">
        <v>66</v>
      </c>
      <c r="F287" s="43" t="n">
        <v>1</v>
      </c>
      <c r="G287" s="44">
        <f>IF(OR(B287="",F287=""),"",IFERROR(F287*INDEX(Mitarbeiter!$F$6:$F$205,MATCH(B287,Mitarbeiter!$A$6:$A$205,0)),0))</f>
        <v/>
      </c>
      <c r="H287" s="8">
        <f>IF(B287="","",IF(ISNA(MATCH(B287,Mitarbeiter!$A$6:$A$205,0)),"Pers.-Nr. unbekannt",IF(A287="","Datum fehlt",IF(AND(D287&lt;&gt;Einstellungen!$C$4,D287&lt;&gt;Einstellungen!$C$5),"Objekt fehlt",IF(YEAR(A287)&lt;&gt;Einstellungen!$C$3,"anderes Jahr",IF(A287&lt;INDEX(Mitarbeiter!$C$6:$C$205,MATCH(B287,Mitarbeiter!$A$6:$A$205,0)),"vor Eintritt",IF(AND(INDEX(Mitarbeiter!$D$6:$D$205,MATCH(B287,Mitarbeiter!$A$6:$A$205,0))&lt;&gt;"",A287&gt;INDEX(Mitarbeiter!$D$6:$D$205,MATCH(B287,Mitarbeiter!$A$6:$A$205,0))),"nach Austritt","ok")))))))</f>
        <v/>
      </c>
    </row>
    <row r="288">
      <c r="A288" s="26" t="n">
        <v>46113</v>
      </c>
      <c r="B288" s="24" t="n">
        <v>1002</v>
      </c>
      <c r="C288" s="40">
        <f>IF(B288="","",IFERROR(INDEX(Mitarbeiter!$B$6:$B$205,MATCH(B288,Mitarbeiter!$A$6:$A$205,0)),"?"))</f>
        <v/>
      </c>
      <c r="D288" s="41" t="inlineStr">
        <is>
          <t>Objekt 2</t>
        </is>
      </c>
      <c r="E288" s="42" t="n">
        <v>40.5</v>
      </c>
      <c r="F288" s="43" t="n">
        <v>1</v>
      </c>
      <c r="G288" s="44">
        <f>IF(OR(B288="",F288=""),"",IFERROR(F288*INDEX(Mitarbeiter!$F$6:$F$205,MATCH(B288,Mitarbeiter!$A$6:$A$205,0)),0))</f>
        <v/>
      </c>
      <c r="H288" s="8">
        <f>IF(B288="","",IF(ISNA(MATCH(B288,Mitarbeiter!$A$6:$A$205,0)),"Pers.-Nr. unbekannt",IF(A288="","Datum fehlt",IF(AND(D288&lt;&gt;Einstellungen!$C$4,D288&lt;&gt;Einstellungen!$C$5),"Objekt fehlt",IF(YEAR(A288)&lt;&gt;Einstellungen!$C$3,"anderes Jahr",IF(A288&lt;INDEX(Mitarbeiter!$C$6:$C$205,MATCH(B288,Mitarbeiter!$A$6:$A$205,0)),"vor Eintritt",IF(AND(INDEX(Mitarbeiter!$D$6:$D$205,MATCH(B288,Mitarbeiter!$A$6:$A$205,0))&lt;&gt;"",A288&gt;INDEX(Mitarbeiter!$D$6:$D$205,MATCH(B288,Mitarbeiter!$A$6:$A$205,0))),"nach Austritt","ok")))))))</f>
        <v/>
      </c>
    </row>
    <row r="289">
      <c r="A289" s="26" t="n">
        <v>46113</v>
      </c>
      <c r="B289" s="24" t="n">
        <v>1003</v>
      </c>
      <c r="C289" s="40">
        <f>IF(B289="","",IFERROR(INDEX(Mitarbeiter!$B$6:$B$205,MATCH(B289,Mitarbeiter!$A$6:$A$205,0)),"?"))</f>
        <v/>
      </c>
      <c r="D289" s="41" t="inlineStr">
        <is>
          <t>Objekt 2</t>
        </is>
      </c>
      <c r="E289" s="42" t="n">
        <v>161.5</v>
      </c>
      <c r="F289" s="43" t="n">
        <v>0</v>
      </c>
      <c r="G289" s="44">
        <f>IF(OR(B289="",F289=""),"",IFERROR(F289*INDEX(Mitarbeiter!$F$6:$F$205,MATCH(B289,Mitarbeiter!$A$6:$A$205,0)),0))</f>
        <v/>
      </c>
      <c r="H289" s="8">
        <f>IF(B289="","",IF(ISNA(MATCH(B289,Mitarbeiter!$A$6:$A$205,0)),"Pers.-Nr. unbekannt",IF(A289="","Datum fehlt",IF(AND(D289&lt;&gt;Einstellungen!$C$4,D289&lt;&gt;Einstellungen!$C$5),"Objekt fehlt",IF(YEAR(A289)&lt;&gt;Einstellungen!$C$3,"anderes Jahr",IF(A289&lt;INDEX(Mitarbeiter!$C$6:$C$205,MATCH(B289,Mitarbeiter!$A$6:$A$205,0)),"vor Eintritt",IF(AND(INDEX(Mitarbeiter!$D$6:$D$205,MATCH(B289,Mitarbeiter!$A$6:$A$205,0))&lt;&gt;"",A289&gt;INDEX(Mitarbeiter!$D$6:$D$205,MATCH(B289,Mitarbeiter!$A$6:$A$205,0))),"nach Austritt","ok")))))))</f>
        <v/>
      </c>
    </row>
    <row r="290">
      <c r="A290" s="26" t="n">
        <v>46113</v>
      </c>
      <c r="B290" s="24" t="n">
        <v>1004</v>
      </c>
      <c r="C290" s="40">
        <f>IF(B290="","",IFERROR(INDEX(Mitarbeiter!$B$6:$B$205,MATCH(B290,Mitarbeiter!$A$6:$A$205,0)),"?"))</f>
        <v/>
      </c>
      <c r="D290" s="41" t="inlineStr">
        <is>
          <t>Objekt 1</t>
        </is>
      </c>
      <c r="E290" s="42" t="n">
        <v>80</v>
      </c>
      <c r="F290" s="43" t="n">
        <v>0</v>
      </c>
      <c r="G290" s="44">
        <f>IF(OR(B290="",F290=""),"",IFERROR(F290*INDEX(Mitarbeiter!$F$6:$F$205,MATCH(B290,Mitarbeiter!$A$6:$A$205,0)),0))</f>
        <v/>
      </c>
      <c r="H290" s="8">
        <f>IF(B290="","",IF(ISNA(MATCH(B290,Mitarbeiter!$A$6:$A$205,0)),"Pers.-Nr. unbekannt",IF(A290="","Datum fehlt",IF(AND(D290&lt;&gt;Einstellungen!$C$4,D290&lt;&gt;Einstellungen!$C$5),"Objekt fehlt",IF(YEAR(A290)&lt;&gt;Einstellungen!$C$3,"anderes Jahr",IF(A290&lt;INDEX(Mitarbeiter!$C$6:$C$205,MATCH(B290,Mitarbeiter!$A$6:$A$205,0)),"vor Eintritt",IF(AND(INDEX(Mitarbeiter!$D$6:$D$205,MATCH(B290,Mitarbeiter!$A$6:$A$205,0))&lt;&gt;"",A290&gt;INDEX(Mitarbeiter!$D$6:$D$205,MATCH(B290,Mitarbeiter!$A$6:$A$205,0))),"nach Austritt","ok")))))))</f>
        <v/>
      </c>
    </row>
    <row r="291">
      <c r="A291" s="26" t="n">
        <v>46113</v>
      </c>
      <c r="B291" s="24" t="n">
        <v>1004</v>
      </c>
      <c r="C291" s="40">
        <f>IF(B291="","",IFERROR(INDEX(Mitarbeiter!$B$6:$B$205,MATCH(B291,Mitarbeiter!$A$6:$A$205,0)),"?"))</f>
        <v/>
      </c>
      <c r="D291" s="41" t="inlineStr">
        <is>
          <t>Objekt 2</t>
        </is>
      </c>
      <c r="E291" s="42" t="n">
        <v>80</v>
      </c>
      <c r="F291" s="43" t="n">
        <v>0</v>
      </c>
      <c r="G291" s="44">
        <f>IF(OR(B291="",F291=""),"",IFERROR(F291*INDEX(Mitarbeiter!$F$6:$F$205,MATCH(B291,Mitarbeiter!$A$6:$A$205,0)),0))</f>
        <v/>
      </c>
      <c r="H291" s="8">
        <f>IF(B291="","",IF(ISNA(MATCH(B291,Mitarbeiter!$A$6:$A$205,0)),"Pers.-Nr. unbekannt",IF(A291="","Datum fehlt",IF(AND(D291&lt;&gt;Einstellungen!$C$4,D291&lt;&gt;Einstellungen!$C$5),"Objekt fehlt",IF(YEAR(A291)&lt;&gt;Einstellungen!$C$3,"anderes Jahr",IF(A291&lt;INDEX(Mitarbeiter!$C$6:$C$205,MATCH(B291,Mitarbeiter!$A$6:$A$205,0)),"vor Eintritt",IF(AND(INDEX(Mitarbeiter!$D$6:$D$205,MATCH(B291,Mitarbeiter!$A$6:$A$205,0))&lt;&gt;"",A291&gt;INDEX(Mitarbeiter!$D$6:$D$205,MATCH(B291,Mitarbeiter!$A$6:$A$205,0))),"nach Austritt","ok")))))))</f>
        <v/>
      </c>
    </row>
    <row r="292">
      <c r="A292" s="26" t="n">
        <v>46113</v>
      </c>
      <c r="B292" s="24" t="n">
        <v>1005</v>
      </c>
      <c r="C292" s="40">
        <f>IF(B292="","",IFERROR(INDEX(Mitarbeiter!$B$6:$B$205,MATCH(B292,Mitarbeiter!$A$6:$A$205,0)),"?"))</f>
        <v/>
      </c>
      <c r="D292" s="41" t="inlineStr">
        <is>
          <t>Objekt 1</t>
        </is>
      </c>
      <c r="E292" s="42" t="n">
        <v>60</v>
      </c>
      <c r="F292" s="43" t="n">
        <v>0</v>
      </c>
      <c r="G292" s="44">
        <f>IF(OR(B292="",F292=""),"",IFERROR(F292*INDEX(Mitarbeiter!$F$6:$F$205,MATCH(B292,Mitarbeiter!$A$6:$A$205,0)),0))</f>
        <v/>
      </c>
      <c r="H292" s="8">
        <f>IF(B292="","",IF(ISNA(MATCH(B292,Mitarbeiter!$A$6:$A$205,0)),"Pers.-Nr. unbekannt",IF(A292="","Datum fehlt",IF(AND(D292&lt;&gt;Einstellungen!$C$4,D292&lt;&gt;Einstellungen!$C$5),"Objekt fehlt",IF(YEAR(A292)&lt;&gt;Einstellungen!$C$3,"anderes Jahr",IF(A292&lt;INDEX(Mitarbeiter!$C$6:$C$205,MATCH(B292,Mitarbeiter!$A$6:$A$205,0)),"vor Eintritt",IF(AND(INDEX(Mitarbeiter!$D$6:$D$205,MATCH(B292,Mitarbeiter!$A$6:$A$205,0))&lt;&gt;"",A292&gt;INDEX(Mitarbeiter!$D$6:$D$205,MATCH(B292,Mitarbeiter!$A$6:$A$205,0))),"nach Austritt","ok")))))))</f>
        <v/>
      </c>
    </row>
    <row r="293">
      <c r="A293" s="26" t="n">
        <v>46113</v>
      </c>
      <c r="B293" s="24" t="n">
        <v>1005</v>
      </c>
      <c r="C293" s="40">
        <f>IF(B293="","",IFERROR(INDEX(Mitarbeiter!$B$6:$B$205,MATCH(B293,Mitarbeiter!$A$6:$A$205,0)),"?"))</f>
        <v/>
      </c>
      <c r="D293" s="41" t="inlineStr">
        <is>
          <t>Objekt 2</t>
        </is>
      </c>
      <c r="E293" s="42" t="n">
        <v>58.5</v>
      </c>
      <c r="F293" s="43" t="n">
        <v>0</v>
      </c>
      <c r="G293" s="44">
        <f>IF(OR(B293="",F293=""),"",IFERROR(F293*INDEX(Mitarbeiter!$F$6:$F$205,MATCH(B293,Mitarbeiter!$A$6:$A$205,0)),0))</f>
        <v/>
      </c>
      <c r="H293" s="8">
        <f>IF(B293="","",IF(ISNA(MATCH(B293,Mitarbeiter!$A$6:$A$205,0)),"Pers.-Nr. unbekannt",IF(A293="","Datum fehlt",IF(AND(D293&lt;&gt;Einstellungen!$C$4,D293&lt;&gt;Einstellungen!$C$5),"Objekt fehlt",IF(YEAR(A293)&lt;&gt;Einstellungen!$C$3,"anderes Jahr",IF(A293&lt;INDEX(Mitarbeiter!$C$6:$C$205,MATCH(B293,Mitarbeiter!$A$6:$A$205,0)),"vor Eintritt",IF(AND(INDEX(Mitarbeiter!$D$6:$D$205,MATCH(B293,Mitarbeiter!$A$6:$A$205,0))&lt;&gt;"",A293&gt;INDEX(Mitarbeiter!$D$6:$D$205,MATCH(B293,Mitarbeiter!$A$6:$A$205,0))),"nach Austritt","ok")))))))</f>
        <v/>
      </c>
    </row>
    <row r="294">
      <c r="A294" s="26" t="n">
        <v>46113</v>
      </c>
      <c r="B294" s="24" t="n">
        <v>1006</v>
      </c>
      <c r="C294" s="40">
        <f>IF(B294="","",IFERROR(INDEX(Mitarbeiter!$B$6:$B$205,MATCH(B294,Mitarbeiter!$A$6:$A$205,0)),"?"))</f>
        <v/>
      </c>
      <c r="D294" s="41" t="inlineStr">
        <is>
          <t>Objekt 1</t>
        </is>
      </c>
      <c r="E294" s="42" t="n">
        <v>91</v>
      </c>
      <c r="F294" s="43" t="n">
        <v>1</v>
      </c>
      <c r="G294" s="44">
        <f>IF(OR(B294="",F294=""),"",IFERROR(F294*INDEX(Mitarbeiter!$F$6:$F$205,MATCH(B294,Mitarbeiter!$A$6:$A$205,0)),0))</f>
        <v/>
      </c>
      <c r="H294" s="8">
        <f>IF(B294="","",IF(ISNA(MATCH(B294,Mitarbeiter!$A$6:$A$205,0)),"Pers.-Nr. unbekannt",IF(A294="","Datum fehlt",IF(AND(D294&lt;&gt;Einstellungen!$C$4,D294&lt;&gt;Einstellungen!$C$5),"Objekt fehlt",IF(YEAR(A294)&lt;&gt;Einstellungen!$C$3,"anderes Jahr",IF(A294&lt;INDEX(Mitarbeiter!$C$6:$C$205,MATCH(B294,Mitarbeiter!$A$6:$A$205,0)),"vor Eintritt",IF(AND(INDEX(Mitarbeiter!$D$6:$D$205,MATCH(B294,Mitarbeiter!$A$6:$A$205,0))&lt;&gt;"",A294&gt;INDEX(Mitarbeiter!$D$6:$D$205,MATCH(B294,Mitarbeiter!$A$6:$A$205,0))),"nach Austritt","ok")))))))</f>
        <v/>
      </c>
    </row>
    <row r="295">
      <c r="A295" s="26" t="n">
        <v>46113</v>
      </c>
      <c r="B295" s="24" t="n">
        <v>1006</v>
      </c>
      <c r="C295" s="40">
        <f>IF(B295="","",IFERROR(INDEX(Mitarbeiter!$B$6:$B$205,MATCH(B295,Mitarbeiter!$A$6:$A$205,0)),"?"))</f>
        <v/>
      </c>
      <c r="D295" s="41" t="inlineStr">
        <is>
          <t>Objekt 2</t>
        </is>
      </c>
      <c r="E295" s="42" t="n">
        <v>67</v>
      </c>
      <c r="F295" s="43" t="n">
        <v>0</v>
      </c>
      <c r="G295" s="44">
        <f>IF(OR(B295="",F295=""),"",IFERROR(F295*INDEX(Mitarbeiter!$F$6:$F$205,MATCH(B295,Mitarbeiter!$A$6:$A$205,0)),0))</f>
        <v/>
      </c>
      <c r="H295" s="8">
        <f>IF(B295="","",IF(ISNA(MATCH(B295,Mitarbeiter!$A$6:$A$205,0)),"Pers.-Nr. unbekannt",IF(A295="","Datum fehlt",IF(AND(D295&lt;&gt;Einstellungen!$C$4,D295&lt;&gt;Einstellungen!$C$5),"Objekt fehlt",IF(YEAR(A295)&lt;&gt;Einstellungen!$C$3,"anderes Jahr",IF(A295&lt;INDEX(Mitarbeiter!$C$6:$C$205,MATCH(B295,Mitarbeiter!$A$6:$A$205,0)),"vor Eintritt",IF(AND(INDEX(Mitarbeiter!$D$6:$D$205,MATCH(B295,Mitarbeiter!$A$6:$A$205,0))&lt;&gt;"",A295&gt;INDEX(Mitarbeiter!$D$6:$D$205,MATCH(B295,Mitarbeiter!$A$6:$A$205,0))),"nach Austritt","ok")))))))</f>
        <v/>
      </c>
    </row>
    <row r="296">
      <c r="A296" s="26" t="n">
        <v>46113</v>
      </c>
      <c r="B296" s="24" t="n">
        <v>1007</v>
      </c>
      <c r="C296" s="40">
        <f>IF(B296="","",IFERROR(INDEX(Mitarbeiter!$B$6:$B$205,MATCH(B296,Mitarbeiter!$A$6:$A$205,0)),"?"))</f>
        <v/>
      </c>
      <c r="D296" s="41" t="inlineStr">
        <is>
          <t>Objekt 2</t>
        </is>
      </c>
      <c r="E296" s="42" t="n">
        <v>161.5</v>
      </c>
      <c r="F296" s="43" t="n">
        <v>0</v>
      </c>
      <c r="G296" s="44">
        <f>IF(OR(B296="",F296=""),"",IFERROR(F296*INDEX(Mitarbeiter!$F$6:$F$205,MATCH(B296,Mitarbeiter!$A$6:$A$205,0)),0))</f>
        <v/>
      </c>
      <c r="H296" s="8">
        <f>IF(B296="","",IF(ISNA(MATCH(B296,Mitarbeiter!$A$6:$A$205,0)),"Pers.-Nr. unbekannt",IF(A296="","Datum fehlt",IF(AND(D296&lt;&gt;Einstellungen!$C$4,D296&lt;&gt;Einstellungen!$C$5),"Objekt fehlt",IF(YEAR(A296)&lt;&gt;Einstellungen!$C$3,"anderes Jahr",IF(A296&lt;INDEX(Mitarbeiter!$C$6:$C$205,MATCH(B296,Mitarbeiter!$A$6:$A$205,0)),"vor Eintritt",IF(AND(INDEX(Mitarbeiter!$D$6:$D$205,MATCH(B296,Mitarbeiter!$A$6:$A$205,0))&lt;&gt;"",A296&gt;INDEX(Mitarbeiter!$D$6:$D$205,MATCH(B296,Mitarbeiter!$A$6:$A$205,0))),"nach Austritt","ok")))))))</f>
        <v/>
      </c>
    </row>
    <row r="297">
      <c r="A297" s="26" t="n">
        <v>46113</v>
      </c>
      <c r="B297" s="24" t="n">
        <v>1008</v>
      </c>
      <c r="C297" s="40">
        <f>IF(B297="","",IFERROR(INDEX(Mitarbeiter!$B$6:$B$205,MATCH(B297,Mitarbeiter!$A$6:$A$205,0)),"?"))</f>
        <v/>
      </c>
      <c r="D297" s="41" t="inlineStr">
        <is>
          <t>Objekt 1</t>
        </is>
      </c>
      <c r="E297" s="42" t="n">
        <v>16</v>
      </c>
      <c r="F297" s="43" t="n">
        <v>0</v>
      </c>
      <c r="G297" s="44">
        <f>IF(OR(B297="",F297=""),"",IFERROR(F297*INDEX(Mitarbeiter!$F$6:$F$205,MATCH(B297,Mitarbeiter!$A$6:$A$205,0)),0))</f>
        <v/>
      </c>
      <c r="H297" s="8">
        <f>IF(B297="","",IF(ISNA(MATCH(B297,Mitarbeiter!$A$6:$A$205,0)),"Pers.-Nr. unbekannt",IF(A297="","Datum fehlt",IF(AND(D297&lt;&gt;Einstellungen!$C$4,D297&lt;&gt;Einstellungen!$C$5),"Objekt fehlt",IF(YEAR(A297)&lt;&gt;Einstellungen!$C$3,"anderes Jahr",IF(A297&lt;INDEX(Mitarbeiter!$C$6:$C$205,MATCH(B297,Mitarbeiter!$A$6:$A$205,0)),"vor Eintritt",IF(AND(INDEX(Mitarbeiter!$D$6:$D$205,MATCH(B297,Mitarbeiter!$A$6:$A$205,0))&lt;&gt;"",A297&gt;INDEX(Mitarbeiter!$D$6:$D$205,MATCH(B297,Mitarbeiter!$A$6:$A$205,0))),"nach Austritt","ok")))))))</f>
        <v/>
      </c>
    </row>
    <row r="298">
      <c r="A298" s="26" t="n">
        <v>46113</v>
      </c>
      <c r="B298" s="24" t="n">
        <v>1008</v>
      </c>
      <c r="C298" s="40">
        <f>IF(B298="","",IFERROR(INDEX(Mitarbeiter!$B$6:$B$205,MATCH(B298,Mitarbeiter!$A$6:$A$205,0)),"?"))</f>
        <v/>
      </c>
      <c r="D298" s="41" t="inlineStr">
        <is>
          <t>Objekt 2</t>
        </is>
      </c>
      <c r="E298" s="42" t="n">
        <v>64</v>
      </c>
      <c r="F298" s="43" t="n">
        <v>0</v>
      </c>
      <c r="G298" s="44">
        <f>IF(OR(B298="",F298=""),"",IFERROR(F298*INDEX(Mitarbeiter!$F$6:$F$205,MATCH(B298,Mitarbeiter!$A$6:$A$205,0)),0))</f>
        <v/>
      </c>
      <c r="H298" s="8">
        <f>IF(B298="","",IF(ISNA(MATCH(B298,Mitarbeiter!$A$6:$A$205,0)),"Pers.-Nr. unbekannt",IF(A298="","Datum fehlt",IF(AND(D298&lt;&gt;Einstellungen!$C$4,D298&lt;&gt;Einstellungen!$C$5),"Objekt fehlt",IF(YEAR(A298)&lt;&gt;Einstellungen!$C$3,"anderes Jahr",IF(A298&lt;INDEX(Mitarbeiter!$C$6:$C$205,MATCH(B298,Mitarbeiter!$A$6:$A$205,0)),"vor Eintritt",IF(AND(INDEX(Mitarbeiter!$D$6:$D$205,MATCH(B298,Mitarbeiter!$A$6:$A$205,0))&lt;&gt;"",A298&gt;INDEX(Mitarbeiter!$D$6:$D$205,MATCH(B298,Mitarbeiter!$A$6:$A$205,0))),"nach Austritt","ok")))))))</f>
        <v/>
      </c>
    </row>
    <row r="299">
      <c r="A299" s="26" t="n">
        <v>46113</v>
      </c>
      <c r="B299" s="24" t="n">
        <v>1009</v>
      </c>
      <c r="C299" s="40">
        <f>IF(B299="","",IFERROR(INDEX(Mitarbeiter!$B$6:$B$205,MATCH(B299,Mitarbeiter!$A$6:$A$205,0)),"?"))</f>
        <v/>
      </c>
      <c r="D299" s="41" t="inlineStr">
        <is>
          <t>Objekt 1</t>
        </is>
      </c>
      <c r="E299" s="42" t="n">
        <v>43</v>
      </c>
      <c r="F299" s="43" t="n">
        <v>0</v>
      </c>
      <c r="G299" s="44">
        <f>IF(OR(B299="",F299=""),"",IFERROR(F299*INDEX(Mitarbeiter!$F$6:$F$205,MATCH(B299,Mitarbeiter!$A$6:$A$205,0)),0))</f>
        <v/>
      </c>
      <c r="H299" s="8">
        <f>IF(B299="","",IF(ISNA(MATCH(B299,Mitarbeiter!$A$6:$A$205,0)),"Pers.-Nr. unbekannt",IF(A299="","Datum fehlt",IF(AND(D299&lt;&gt;Einstellungen!$C$4,D299&lt;&gt;Einstellungen!$C$5),"Objekt fehlt",IF(YEAR(A299)&lt;&gt;Einstellungen!$C$3,"anderes Jahr",IF(A299&lt;INDEX(Mitarbeiter!$C$6:$C$205,MATCH(B299,Mitarbeiter!$A$6:$A$205,0)),"vor Eintritt",IF(AND(INDEX(Mitarbeiter!$D$6:$D$205,MATCH(B299,Mitarbeiter!$A$6:$A$205,0))&lt;&gt;"",A299&gt;INDEX(Mitarbeiter!$D$6:$D$205,MATCH(B299,Mitarbeiter!$A$6:$A$205,0))),"nach Austritt","ok")))))))</f>
        <v/>
      </c>
    </row>
    <row r="300">
      <c r="A300" s="26" t="n">
        <v>46113</v>
      </c>
      <c r="B300" s="24" t="n">
        <v>1009</v>
      </c>
      <c r="C300" s="40">
        <f>IF(B300="","",IFERROR(INDEX(Mitarbeiter!$B$6:$B$205,MATCH(B300,Mitarbeiter!$A$6:$A$205,0)),"?"))</f>
        <v/>
      </c>
      <c r="D300" s="41" t="inlineStr">
        <is>
          <t>Objekt 2</t>
        </is>
      </c>
      <c r="E300" s="42" t="n">
        <v>40</v>
      </c>
      <c r="F300" s="43" t="n">
        <v>0</v>
      </c>
      <c r="G300" s="44">
        <f>IF(OR(B300="",F300=""),"",IFERROR(F300*INDEX(Mitarbeiter!$F$6:$F$205,MATCH(B300,Mitarbeiter!$A$6:$A$205,0)),0))</f>
        <v/>
      </c>
      <c r="H300" s="8">
        <f>IF(B300="","",IF(ISNA(MATCH(B300,Mitarbeiter!$A$6:$A$205,0)),"Pers.-Nr. unbekannt",IF(A300="","Datum fehlt",IF(AND(D300&lt;&gt;Einstellungen!$C$4,D300&lt;&gt;Einstellungen!$C$5),"Objekt fehlt",IF(YEAR(A300)&lt;&gt;Einstellungen!$C$3,"anderes Jahr",IF(A300&lt;INDEX(Mitarbeiter!$C$6:$C$205,MATCH(B300,Mitarbeiter!$A$6:$A$205,0)),"vor Eintritt",IF(AND(INDEX(Mitarbeiter!$D$6:$D$205,MATCH(B300,Mitarbeiter!$A$6:$A$205,0))&lt;&gt;"",A300&gt;INDEX(Mitarbeiter!$D$6:$D$205,MATCH(B300,Mitarbeiter!$A$6:$A$205,0))),"nach Austritt","ok")))))))</f>
        <v/>
      </c>
    </row>
    <row r="301">
      <c r="A301" s="26" t="n">
        <v>46113</v>
      </c>
      <c r="B301" s="24" t="n">
        <v>1010</v>
      </c>
      <c r="C301" s="40">
        <f>IF(B301="","",IFERROR(INDEX(Mitarbeiter!$B$6:$B$205,MATCH(B301,Mitarbeiter!$A$6:$A$205,0)),"?"))</f>
        <v/>
      </c>
      <c r="D301" s="41" t="inlineStr">
        <is>
          <t>Objekt 2</t>
        </is>
      </c>
      <c r="E301" s="42" t="n">
        <v>94.5</v>
      </c>
      <c r="F301" s="43" t="n">
        <v>4</v>
      </c>
      <c r="G301" s="44">
        <f>IF(OR(B301="",F301=""),"",IFERROR(F301*INDEX(Mitarbeiter!$F$6:$F$205,MATCH(B301,Mitarbeiter!$A$6:$A$205,0)),0))</f>
        <v/>
      </c>
      <c r="H301" s="8">
        <f>IF(B301="","",IF(ISNA(MATCH(B301,Mitarbeiter!$A$6:$A$205,0)),"Pers.-Nr. unbekannt",IF(A301="","Datum fehlt",IF(AND(D301&lt;&gt;Einstellungen!$C$4,D301&lt;&gt;Einstellungen!$C$5),"Objekt fehlt",IF(YEAR(A301)&lt;&gt;Einstellungen!$C$3,"anderes Jahr",IF(A301&lt;INDEX(Mitarbeiter!$C$6:$C$205,MATCH(B301,Mitarbeiter!$A$6:$A$205,0)),"vor Eintritt",IF(AND(INDEX(Mitarbeiter!$D$6:$D$205,MATCH(B301,Mitarbeiter!$A$6:$A$205,0))&lt;&gt;"",A301&gt;INDEX(Mitarbeiter!$D$6:$D$205,MATCH(B301,Mitarbeiter!$A$6:$A$205,0))),"nach Austritt","ok")))))))</f>
        <v/>
      </c>
    </row>
    <row r="302">
      <c r="A302" s="26" t="n">
        <v>46113</v>
      </c>
      <c r="B302" s="24" t="n">
        <v>1011</v>
      </c>
      <c r="C302" s="40">
        <f>IF(B302="","",IFERROR(INDEX(Mitarbeiter!$B$6:$B$205,MATCH(B302,Mitarbeiter!$A$6:$A$205,0)),"?"))</f>
        <v/>
      </c>
      <c r="D302" s="41" t="inlineStr">
        <is>
          <t>Objekt 1</t>
        </is>
      </c>
      <c r="E302" s="42" t="n">
        <v>70.5</v>
      </c>
      <c r="F302" s="43" t="n">
        <v>1</v>
      </c>
      <c r="G302" s="44">
        <f>IF(OR(B302="",F302=""),"",IFERROR(F302*INDEX(Mitarbeiter!$F$6:$F$205,MATCH(B302,Mitarbeiter!$A$6:$A$205,0)),0))</f>
        <v/>
      </c>
      <c r="H302" s="8">
        <f>IF(B302="","",IF(ISNA(MATCH(B302,Mitarbeiter!$A$6:$A$205,0)),"Pers.-Nr. unbekannt",IF(A302="","Datum fehlt",IF(AND(D302&lt;&gt;Einstellungen!$C$4,D302&lt;&gt;Einstellungen!$C$5),"Objekt fehlt",IF(YEAR(A302)&lt;&gt;Einstellungen!$C$3,"anderes Jahr",IF(A302&lt;INDEX(Mitarbeiter!$C$6:$C$205,MATCH(B302,Mitarbeiter!$A$6:$A$205,0)),"vor Eintritt",IF(AND(INDEX(Mitarbeiter!$D$6:$D$205,MATCH(B302,Mitarbeiter!$A$6:$A$205,0))&lt;&gt;"",A302&gt;INDEX(Mitarbeiter!$D$6:$D$205,MATCH(B302,Mitarbeiter!$A$6:$A$205,0))),"nach Austritt","ok")))))))</f>
        <v/>
      </c>
    </row>
    <row r="303">
      <c r="A303" s="26" t="n">
        <v>46113</v>
      </c>
      <c r="B303" s="24" t="n">
        <v>1011</v>
      </c>
      <c r="C303" s="40">
        <f>IF(B303="","",IFERROR(INDEX(Mitarbeiter!$B$6:$B$205,MATCH(B303,Mitarbeiter!$A$6:$A$205,0)),"?"))</f>
        <v/>
      </c>
      <c r="D303" s="41" t="inlineStr">
        <is>
          <t>Objekt 2</t>
        </is>
      </c>
      <c r="E303" s="42" t="n">
        <v>72</v>
      </c>
      <c r="F303" s="43" t="n">
        <v>1</v>
      </c>
      <c r="G303" s="44">
        <f>IF(OR(B303="",F303=""),"",IFERROR(F303*INDEX(Mitarbeiter!$F$6:$F$205,MATCH(B303,Mitarbeiter!$A$6:$A$205,0)),0))</f>
        <v/>
      </c>
      <c r="H303" s="8">
        <f>IF(B303="","",IF(ISNA(MATCH(B303,Mitarbeiter!$A$6:$A$205,0)),"Pers.-Nr. unbekannt",IF(A303="","Datum fehlt",IF(AND(D303&lt;&gt;Einstellungen!$C$4,D303&lt;&gt;Einstellungen!$C$5),"Objekt fehlt",IF(YEAR(A303)&lt;&gt;Einstellungen!$C$3,"anderes Jahr",IF(A303&lt;INDEX(Mitarbeiter!$C$6:$C$205,MATCH(B303,Mitarbeiter!$A$6:$A$205,0)),"vor Eintritt",IF(AND(INDEX(Mitarbeiter!$D$6:$D$205,MATCH(B303,Mitarbeiter!$A$6:$A$205,0))&lt;&gt;"",A303&gt;INDEX(Mitarbeiter!$D$6:$D$205,MATCH(B303,Mitarbeiter!$A$6:$A$205,0))),"nach Austritt","ok")))))))</f>
        <v/>
      </c>
    </row>
    <row r="304">
      <c r="A304" s="26" t="n">
        <v>46113</v>
      </c>
      <c r="B304" s="24" t="n">
        <v>1012</v>
      </c>
      <c r="C304" s="40">
        <f>IF(B304="","",IFERROR(INDEX(Mitarbeiter!$B$6:$B$205,MATCH(B304,Mitarbeiter!$A$6:$A$205,0)),"?"))</f>
        <v/>
      </c>
      <c r="D304" s="41" t="inlineStr">
        <is>
          <t>Objekt 1</t>
        </is>
      </c>
      <c r="E304" s="42" t="n">
        <v>158.5</v>
      </c>
      <c r="F304" s="43" t="n">
        <v>0</v>
      </c>
      <c r="G304" s="44">
        <f>IF(OR(B304="",F304=""),"",IFERROR(F304*INDEX(Mitarbeiter!$F$6:$F$205,MATCH(B304,Mitarbeiter!$A$6:$A$205,0)),0))</f>
        <v/>
      </c>
      <c r="H304" s="8">
        <f>IF(B304="","",IF(ISNA(MATCH(B304,Mitarbeiter!$A$6:$A$205,0)),"Pers.-Nr. unbekannt",IF(A304="","Datum fehlt",IF(AND(D304&lt;&gt;Einstellungen!$C$4,D304&lt;&gt;Einstellungen!$C$5),"Objekt fehlt",IF(YEAR(A304)&lt;&gt;Einstellungen!$C$3,"anderes Jahr",IF(A304&lt;INDEX(Mitarbeiter!$C$6:$C$205,MATCH(B304,Mitarbeiter!$A$6:$A$205,0)),"vor Eintritt",IF(AND(INDEX(Mitarbeiter!$D$6:$D$205,MATCH(B304,Mitarbeiter!$A$6:$A$205,0))&lt;&gt;"",A304&gt;INDEX(Mitarbeiter!$D$6:$D$205,MATCH(B304,Mitarbeiter!$A$6:$A$205,0))),"nach Austritt","ok")))))))</f>
        <v/>
      </c>
    </row>
    <row r="305">
      <c r="A305" s="26" t="n">
        <v>46113</v>
      </c>
      <c r="B305" s="24" t="n">
        <v>1013</v>
      </c>
      <c r="C305" s="40">
        <f>IF(B305="","",IFERROR(INDEX(Mitarbeiter!$B$6:$B$205,MATCH(B305,Mitarbeiter!$A$6:$A$205,0)),"?"))</f>
        <v/>
      </c>
      <c r="D305" s="41" t="inlineStr">
        <is>
          <t>Objekt 1</t>
        </is>
      </c>
      <c r="E305" s="42" t="n">
        <v>99</v>
      </c>
      <c r="F305" s="43" t="n">
        <v>0</v>
      </c>
      <c r="G305" s="44">
        <f>IF(OR(B305="",F305=""),"",IFERROR(F305*INDEX(Mitarbeiter!$F$6:$F$205,MATCH(B305,Mitarbeiter!$A$6:$A$205,0)),0))</f>
        <v/>
      </c>
      <c r="H305" s="8">
        <f>IF(B305="","",IF(ISNA(MATCH(B305,Mitarbeiter!$A$6:$A$205,0)),"Pers.-Nr. unbekannt",IF(A305="","Datum fehlt",IF(AND(D305&lt;&gt;Einstellungen!$C$4,D305&lt;&gt;Einstellungen!$C$5),"Objekt fehlt",IF(YEAR(A305)&lt;&gt;Einstellungen!$C$3,"anderes Jahr",IF(A305&lt;INDEX(Mitarbeiter!$C$6:$C$205,MATCH(B305,Mitarbeiter!$A$6:$A$205,0)),"vor Eintritt",IF(AND(INDEX(Mitarbeiter!$D$6:$D$205,MATCH(B305,Mitarbeiter!$A$6:$A$205,0))&lt;&gt;"",A305&gt;INDEX(Mitarbeiter!$D$6:$D$205,MATCH(B305,Mitarbeiter!$A$6:$A$205,0))),"nach Austritt","ok")))))))</f>
        <v/>
      </c>
    </row>
    <row r="306">
      <c r="A306" s="26" t="n">
        <v>46113</v>
      </c>
      <c r="B306" s="24" t="n">
        <v>1013</v>
      </c>
      <c r="C306" s="40">
        <f>IF(B306="","",IFERROR(INDEX(Mitarbeiter!$B$6:$B$205,MATCH(B306,Mitarbeiter!$A$6:$A$205,0)),"?"))</f>
        <v/>
      </c>
      <c r="D306" s="41" t="inlineStr">
        <is>
          <t>Objekt 2</t>
        </is>
      </c>
      <c r="E306" s="42" t="n">
        <v>64</v>
      </c>
      <c r="F306" s="43" t="n">
        <v>0</v>
      </c>
      <c r="G306" s="44">
        <f>IF(OR(B306="",F306=""),"",IFERROR(F306*INDEX(Mitarbeiter!$F$6:$F$205,MATCH(B306,Mitarbeiter!$A$6:$A$205,0)),0))</f>
        <v/>
      </c>
      <c r="H306" s="8">
        <f>IF(B306="","",IF(ISNA(MATCH(B306,Mitarbeiter!$A$6:$A$205,0)),"Pers.-Nr. unbekannt",IF(A306="","Datum fehlt",IF(AND(D306&lt;&gt;Einstellungen!$C$4,D306&lt;&gt;Einstellungen!$C$5),"Objekt fehlt",IF(YEAR(A306)&lt;&gt;Einstellungen!$C$3,"anderes Jahr",IF(A306&lt;INDEX(Mitarbeiter!$C$6:$C$205,MATCH(B306,Mitarbeiter!$A$6:$A$205,0)),"vor Eintritt",IF(AND(INDEX(Mitarbeiter!$D$6:$D$205,MATCH(B306,Mitarbeiter!$A$6:$A$205,0))&lt;&gt;"",A306&gt;INDEX(Mitarbeiter!$D$6:$D$205,MATCH(B306,Mitarbeiter!$A$6:$A$205,0))),"nach Austritt","ok")))))))</f>
        <v/>
      </c>
    </row>
    <row r="307">
      <c r="A307" s="26" t="n">
        <v>46113</v>
      </c>
      <c r="B307" s="24" t="n">
        <v>1014</v>
      </c>
      <c r="C307" s="40">
        <f>IF(B307="","",IFERROR(INDEX(Mitarbeiter!$B$6:$B$205,MATCH(B307,Mitarbeiter!$A$6:$A$205,0)),"?"))</f>
        <v/>
      </c>
      <c r="D307" s="41" t="inlineStr">
        <is>
          <t>Objekt 1</t>
        </is>
      </c>
      <c r="E307" s="42" t="n">
        <v>32</v>
      </c>
      <c r="F307" s="43" t="n">
        <v>0</v>
      </c>
      <c r="G307" s="44">
        <f>IF(OR(B307="",F307=""),"",IFERROR(F307*INDEX(Mitarbeiter!$F$6:$F$205,MATCH(B307,Mitarbeiter!$A$6:$A$205,0)),0))</f>
        <v/>
      </c>
      <c r="H307" s="8">
        <f>IF(B307="","",IF(ISNA(MATCH(B307,Mitarbeiter!$A$6:$A$205,0)),"Pers.-Nr. unbekannt",IF(A307="","Datum fehlt",IF(AND(D307&lt;&gt;Einstellungen!$C$4,D307&lt;&gt;Einstellungen!$C$5),"Objekt fehlt",IF(YEAR(A307)&lt;&gt;Einstellungen!$C$3,"anderes Jahr",IF(A307&lt;INDEX(Mitarbeiter!$C$6:$C$205,MATCH(B307,Mitarbeiter!$A$6:$A$205,0)),"vor Eintritt",IF(AND(INDEX(Mitarbeiter!$D$6:$D$205,MATCH(B307,Mitarbeiter!$A$6:$A$205,0))&lt;&gt;"",A307&gt;INDEX(Mitarbeiter!$D$6:$D$205,MATCH(B307,Mitarbeiter!$A$6:$A$205,0))),"nach Austritt","ok")))))))</f>
        <v/>
      </c>
    </row>
    <row r="308">
      <c r="A308" s="26" t="n">
        <v>46113</v>
      </c>
      <c r="B308" s="24" t="n">
        <v>1014</v>
      </c>
      <c r="C308" s="40">
        <f>IF(B308="","",IFERROR(INDEX(Mitarbeiter!$B$6:$B$205,MATCH(B308,Mitarbeiter!$A$6:$A$205,0)),"?"))</f>
        <v/>
      </c>
      <c r="D308" s="41" t="inlineStr">
        <is>
          <t>Objekt 2</t>
        </is>
      </c>
      <c r="E308" s="42" t="n">
        <v>126.5</v>
      </c>
      <c r="F308" s="43" t="n">
        <v>0</v>
      </c>
      <c r="G308" s="44">
        <f>IF(OR(B308="",F308=""),"",IFERROR(F308*INDEX(Mitarbeiter!$F$6:$F$205,MATCH(B308,Mitarbeiter!$A$6:$A$205,0)),0))</f>
        <v/>
      </c>
      <c r="H308" s="8">
        <f>IF(B308="","",IF(ISNA(MATCH(B308,Mitarbeiter!$A$6:$A$205,0)),"Pers.-Nr. unbekannt",IF(A308="","Datum fehlt",IF(AND(D308&lt;&gt;Einstellungen!$C$4,D308&lt;&gt;Einstellungen!$C$5),"Objekt fehlt",IF(YEAR(A308)&lt;&gt;Einstellungen!$C$3,"anderes Jahr",IF(A308&lt;INDEX(Mitarbeiter!$C$6:$C$205,MATCH(B308,Mitarbeiter!$A$6:$A$205,0)),"vor Eintritt",IF(AND(INDEX(Mitarbeiter!$D$6:$D$205,MATCH(B308,Mitarbeiter!$A$6:$A$205,0))&lt;&gt;"",A308&gt;INDEX(Mitarbeiter!$D$6:$D$205,MATCH(B308,Mitarbeiter!$A$6:$A$205,0))),"nach Austritt","ok")))))))</f>
        <v/>
      </c>
    </row>
    <row r="309">
      <c r="A309" s="26" t="n">
        <v>46113</v>
      </c>
      <c r="B309" s="24" t="n">
        <v>1016</v>
      </c>
      <c r="C309" s="40">
        <f>IF(B309="","",IFERROR(INDEX(Mitarbeiter!$B$6:$B$205,MATCH(B309,Mitarbeiter!$A$6:$A$205,0)),"?"))</f>
        <v/>
      </c>
      <c r="D309" s="41" t="inlineStr">
        <is>
          <t>Objekt 1</t>
        </is>
      </c>
      <c r="E309" s="42" t="n">
        <v>152</v>
      </c>
      <c r="F309" s="43" t="n">
        <v>1</v>
      </c>
      <c r="G309" s="44">
        <f>IF(OR(B309="",F309=""),"",IFERROR(F309*INDEX(Mitarbeiter!$F$6:$F$205,MATCH(B309,Mitarbeiter!$A$6:$A$205,0)),0))</f>
        <v/>
      </c>
      <c r="H309" s="8">
        <f>IF(B309="","",IF(ISNA(MATCH(B309,Mitarbeiter!$A$6:$A$205,0)),"Pers.-Nr. unbekannt",IF(A309="","Datum fehlt",IF(AND(D309&lt;&gt;Einstellungen!$C$4,D309&lt;&gt;Einstellungen!$C$5),"Objekt fehlt",IF(YEAR(A309)&lt;&gt;Einstellungen!$C$3,"anderes Jahr",IF(A309&lt;INDEX(Mitarbeiter!$C$6:$C$205,MATCH(B309,Mitarbeiter!$A$6:$A$205,0)),"vor Eintritt",IF(AND(INDEX(Mitarbeiter!$D$6:$D$205,MATCH(B309,Mitarbeiter!$A$6:$A$205,0))&lt;&gt;"",A309&gt;INDEX(Mitarbeiter!$D$6:$D$205,MATCH(B309,Mitarbeiter!$A$6:$A$205,0))),"nach Austritt","ok")))))))</f>
        <v/>
      </c>
    </row>
    <row r="310">
      <c r="A310" s="26" t="n">
        <v>46113</v>
      </c>
      <c r="B310" s="24" t="n">
        <v>1017</v>
      </c>
      <c r="C310" s="40">
        <f>IF(B310="","",IFERROR(INDEX(Mitarbeiter!$B$6:$B$205,MATCH(B310,Mitarbeiter!$A$6:$A$205,0)),"?"))</f>
        <v/>
      </c>
      <c r="D310" s="41" t="inlineStr">
        <is>
          <t>Objekt 1</t>
        </is>
      </c>
      <c r="E310" s="42" t="n">
        <v>120</v>
      </c>
      <c r="F310" s="43" t="n">
        <v>1</v>
      </c>
      <c r="G310" s="44">
        <f>IF(OR(B310="",F310=""),"",IFERROR(F310*INDEX(Mitarbeiter!$F$6:$F$205,MATCH(B310,Mitarbeiter!$A$6:$A$205,0)),0))</f>
        <v/>
      </c>
      <c r="H310" s="8">
        <f>IF(B310="","",IF(ISNA(MATCH(B310,Mitarbeiter!$A$6:$A$205,0)),"Pers.-Nr. unbekannt",IF(A310="","Datum fehlt",IF(AND(D310&lt;&gt;Einstellungen!$C$4,D310&lt;&gt;Einstellungen!$C$5),"Objekt fehlt",IF(YEAR(A310)&lt;&gt;Einstellungen!$C$3,"anderes Jahr",IF(A310&lt;INDEX(Mitarbeiter!$C$6:$C$205,MATCH(B310,Mitarbeiter!$A$6:$A$205,0)),"vor Eintritt",IF(AND(INDEX(Mitarbeiter!$D$6:$D$205,MATCH(B310,Mitarbeiter!$A$6:$A$205,0))&lt;&gt;"",A310&gt;INDEX(Mitarbeiter!$D$6:$D$205,MATCH(B310,Mitarbeiter!$A$6:$A$205,0))),"nach Austritt","ok")))))))</f>
        <v/>
      </c>
    </row>
    <row r="311">
      <c r="A311" s="26" t="n">
        <v>46113</v>
      </c>
      <c r="B311" s="24" t="n">
        <v>1017</v>
      </c>
      <c r="C311" s="40">
        <f>IF(B311="","",IFERROR(INDEX(Mitarbeiter!$B$6:$B$205,MATCH(B311,Mitarbeiter!$A$6:$A$205,0)),"?"))</f>
        <v/>
      </c>
      <c r="D311" s="41" t="inlineStr">
        <is>
          <t>Objekt 2</t>
        </is>
      </c>
      <c r="E311" s="42" t="n">
        <v>30.5</v>
      </c>
      <c r="F311" s="43" t="n">
        <v>0</v>
      </c>
      <c r="G311" s="44">
        <f>IF(OR(B311="",F311=""),"",IFERROR(F311*INDEX(Mitarbeiter!$F$6:$F$205,MATCH(B311,Mitarbeiter!$A$6:$A$205,0)),0))</f>
        <v/>
      </c>
      <c r="H311" s="8">
        <f>IF(B311="","",IF(ISNA(MATCH(B311,Mitarbeiter!$A$6:$A$205,0)),"Pers.-Nr. unbekannt",IF(A311="","Datum fehlt",IF(AND(D311&lt;&gt;Einstellungen!$C$4,D311&lt;&gt;Einstellungen!$C$5),"Objekt fehlt",IF(YEAR(A311)&lt;&gt;Einstellungen!$C$3,"anderes Jahr",IF(A311&lt;INDEX(Mitarbeiter!$C$6:$C$205,MATCH(B311,Mitarbeiter!$A$6:$A$205,0)),"vor Eintritt",IF(AND(INDEX(Mitarbeiter!$D$6:$D$205,MATCH(B311,Mitarbeiter!$A$6:$A$205,0))&lt;&gt;"",A311&gt;INDEX(Mitarbeiter!$D$6:$D$205,MATCH(B311,Mitarbeiter!$A$6:$A$205,0))),"nach Austritt","ok")))))))</f>
        <v/>
      </c>
    </row>
    <row r="312">
      <c r="A312" s="26" t="n">
        <v>46113</v>
      </c>
      <c r="B312" s="24" t="n">
        <v>1019</v>
      </c>
      <c r="C312" s="40">
        <f>IF(B312="","",IFERROR(INDEX(Mitarbeiter!$B$6:$B$205,MATCH(B312,Mitarbeiter!$A$6:$A$205,0)),"?"))</f>
        <v/>
      </c>
      <c r="D312" s="41" t="inlineStr">
        <is>
          <t>Objekt 1</t>
        </is>
      </c>
      <c r="E312" s="42" t="n">
        <v>56</v>
      </c>
      <c r="F312" s="43" t="n">
        <v>1</v>
      </c>
      <c r="G312" s="44">
        <f>IF(OR(B312="",F312=""),"",IFERROR(F312*INDEX(Mitarbeiter!$F$6:$F$205,MATCH(B312,Mitarbeiter!$A$6:$A$205,0)),0))</f>
        <v/>
      </c>
      <c r="H312" s="8">
        <f>IF(B312="","",IF(ISNA(MATCH(B312,Mitarbeiter!$A$6:$A$205,0)),"Pers.-Nr. unbekannt",IF(A312="","Datum fehlt",IF(AND(D312&lt;&gt;Einstellungen!$C$4,D312&lt;&gt;Einstellungen!$C$5),"Objekt fehlt",IF(YEAR(A312)&lt;&gt;Einstellungen!$C$3,"anderes Jahr",IF(A312&lt;INDEX(Mitarbeiter!$C$6:$C$205,MATCH(B312,Mitarbeiter!$A$6:$A$205,0)),"vor Eintritt",IF(AND(INDEX(Mitarbeiter!$D$6:$D$205,MATCH(B312,Mitarbeiter!$A$6:$A$205,0))&lt;&gt;"",A312&gt;INDEX(Mitarbeiter!$D$6:$D$205,MATCH(B312,Mitarbeiter!$A$6:$A$205,0))),"nach Austritt","ok")))))))</f>
        <v/>
      </c>
    </row>
    <row r="313">
      <c r="A313" s="26" t="n">
        <v>46113</v>
      </c>
      <c r="B313" s="24" t="n">
        <v>1019</v>
      </c>
      <c r="C313" s="40">
        <f>IF(B313="","",IFERROR(INDEX(Mitarbeiter!$B$6:$B$205,MATCH(B313,Mitarbeiter!$A$6:$A$205,0)),"?"))</f>
        <v/>
      </c>
      <c r="D313" s="41" t="inlineStr">
        <is>
          <t>Objekt 2</t>
        </is>
      </c>
      <c r="E313" s="42" t="n">
        <v>80</v>
      </c>
      <c r="F313" s="43" t="n">
        <v>2</v>
      </c>
      <c r="G313" s="44">
        <f>IF(OR(B313="",F313=""),"",IFERROR(F313*INDEX(Mitarbeiter!$F$6:$F$205,MATCH(B313,Mitarbeiter!$A$6:$A$205,0)),0))</f>
        <v/>
      </c>
      <c r="H313" s="8">
        <f>IF(B313="","",IF(ISNA(MATCH(B313,Mitarbeiter!$A$6:$A$205,0)),"Pers.-Nr. unbekannt",IF(A313="","Datum fehlt",IF(AND(D313&lt;&gt;Einstellungen!$C$4,D313&lt;&gt;Einstellungen!$C$5),"Objekt fehlt",IF(YEAR(A313)&lt;&gt;Einstellungen!$C$3,"anderes Jahr",IF(A313&lt;INDEX(Mitarbeiter!$C$6:$C$205,MATCH(B313,Mitarbeiter!$A$6:$A$205,0)),"vor Eintritt",IF(AND(INDEX(Mitarbeiter!$D$6:$D$205,MATCH(B313,Mitarbeiter!$A$6:$A$205,0))&lt;&gt;"",A313&gt;INDEX(Mitarbeiter!$D$6:$D$205,MATCH(B313,Mitarbeiter!$A$6:$A$205,0))),"nach Austritt","ok")))))))</f>
        <v/>
      </c>
    </row>
    <row r="314">
      <c r="A314" s="26" t="n">
        <v>46113</v>
      </c>
      <c r="B314" s="24" t="n">
        <v>1021</v>
      </c>
      <c r="C314" s="40">
        <f>IF(B314="","",IFERROR(INDEX(Mitarbeiter!$B$6:$B$205,MATCH(B314,Mitarbeiter!$A$6:$A$205,0)),"?"))</f>
        <v/>
      </c>
      <c r="D314" s="41" t="inlineStr">
        <is>
          <t>Objekt 1</t>
        </is>
      </c>
      <c r="E314" s="42" t="n">
        <v>81.5</v>
      </c>
      <c r="F314" s="43" t="n">
        <v>0</v>
      </c>
      <c r="G314" s="44">
        <f>IF(OR(B314="",F314=""),"",IFERROR(F314*INDEX(Mitarbeiter!$F$6:$F$205,MATCH(B314,Mitarbeiter!$A$6:$A$205,0)),0))</f>
        <v/>
      </c>
      <c r="H314" s="8">
        <f>IF(B314="","",IF(ISNA(MATCH(B314,Mitarbeiter!$A$6:$A$205,0)),"Pers.-Nr. unbekannt",IF(A314="","Datum fehlt",IF(AND(D314&lt;&gt;Einstellungen!$C$4,D314&lt;&gt;Einstellungen!$C$5),"Objekt fehlt",IF(YEAR(A314)&lt;&gt;Einstellungen!$C$3,"anderes Jahr",IF(A314&lt;INDEX(Mitarbeiter!$C$6:$C$205,MATCH(B314,Mitarbeiter!$A$6:$A$205,0)),"vor Eintritt",IF(AND(INDEX(Mitarbeiter!$D$6:$D$205,MATCH(B314,Mitarbeiter!$A$6:$A$205,0))&lt;&gt;"",A314&gt;INDEX(Mitarbeiter!$D$6:$D$205,MATCH(B314,Mitarbeiter!$A$6:$A$205,0))),"nach Austritt","ok")))))))</f>
        <v/>
      </c>
    </row>
    <row r="315">
      <c r="A315" s="26" t="n">
        <v>46113</v>
      </c>
      <c r="B315" s="24" t="n">
        <v>1021</v>
      </c>
      <c r="C315" s="40">
        <f>IF(B315="","",IFERROR(INDEX(Mitarbeiter!$B$6:$B$205,MATCH(B315,Mitarbeiter!$A$6:$A$205,0)),"?"))</f>
        <v/>
      </c>
      <c r="D315" s="41" t="inlineStr">
        <is>
          <t>Objekt 2</t>
        </is>
      </c>
      <c r="E315" s="42" t="n">
        <v>83</v>
      </c>
      <c r="F315" s="43" t="n">
        <v>0</v>
      </c>
      <c r="G315" s="44">
        <f>IF(OR(B315="",F315=""),"",IFERROR(F315*INDEX(Mitarbeiter!$F$6:$F$205,MATCH(B315,Mitarbeiter!$A$6:$A$205,0)),0))</f>
        <v/>
      </c>
      <c r="H315" s="8">
        <f>IF(B315="","",IF(ISNA(MATCH(B315,Mitarbeiter!$A$6:$A$205,0)),"Pers.-Nr. unbekannt",IF(A315="","Datum fehlt",IF(AND(D315&lt;&gt;Einstellungen!$C$4,D315&lt;&gt;Einstellungen!$C$5),"Objekt fehlt",IF(YEAR(A315)&lt;&gt;Einstellungen!$C$3,"anderes Jahr",IF(A315&lt;INDEX(Mitarbeiter!$C$6:$C$205,MATCH(B315,Mitarbeiter!$A$6:$A$205,0)),"vor Eintritt",IF(AND(INDEX(Mitarbeiter!$D$6:$D$205,MATCH(B315,Mitarbeiter!$A$6:$A$205,0))&lt;&gt;"",A315&gt;INDEX(Mitarbeiter!$D$6:$D$205,MATCH(B315,Mitarbeiter!$A$6:$A$205,0))),"nach Austritt","ok")))))))</f>
        <v/>
      </c>
    </row>
    <row r="316">
      <c r="A316" s="26" t="n">
        <v>46113</v>
      </c>
      <c r="B316" s="24" t="n">
        <v>1022</v>
      </c>
      <c r="C316" s="40">
        <f>IF(B316="","",IFERROR(INDEX(Mitarbeiter!$B$6:$B$205,MATCH(B316,Mitarbeiter!$A$6:$A$205,0)),"?"))</f>
        <v/>
      </c>
      <c r="D316" s="41" t="inlineStr">
        <is>
          <t>Objekt 1</t>
        </is>
      </c>
      <c r="E316" s="42" t="n">
        <v>32</v>
      </c>
      <c r="F316" s="43" t="n">
        <v>0</v>
      </c>
      <c r="G316" s="44">
        <f>IF(OR(B316="",F316=""),"",IFERROR(F316*INDEX(Mitarbeiter!$F$6:$F$205,MATCH(B316,Mitarbeiter!$A$6:$A$205,0)),0))</f>
        <v/>
      </c>
      <c r="H316" s="8">
        <f>IF(B316="","",IF(ISNA(MATCH(B316,Mitarbeiter!$A$6:$A$205,0)),"Pers.-Nr. unbekannt",IF(A316="","Datum fehlt",IF(AND(D316&lt;&gt;Einstellungen!$C$4,D316&lt;&gt;Einstellungen!$C$5),"Objekt fehlt",IF(YEAR(A316)&lt;&gt;Einstellungen!$C$3,"anderes Jahr",IF(A316&lt;INDEX(Mitarbeiter!$C$6:$C$205,MATCH(B316,Mitarbeiter!$A$6:$A$205,0)),"vor Eintritt",IF(AND(INDEX(Mitarbeiter!$D$6:$D$205,MATCH(B316,Mitarbeiter!$A$6:$A$205,0))&lt;&gt;"",A316&gt;INDEX(Mitarbeiter!$D$6:$D$205,MATCH(B316,Mitarbeiter!$A$6:$A$205,0))),"nach Austritt","ok")))))))</f>
        <v/>
      </c>
    </row>
    <row r="317">
      <c r="A317" s="26" t="n">
        <v>46113</v>
      </c>
      <c r="B317" s="24" t="n">
        <v>1022</v>
      </c>
      <c r="C317" s="40">
        <f>IF(B317="","",IFERROR(INDEX(Mitarbeiter!$B$6:$B$205,MATCH(B317,Mitarbeiter!$A$6:$A$205,0)),"?"))</f>
        <v/>
      </c>
      <c r="D317" s="41" t="inlineStr">
        <is>
          <t>Objekt 2</t>
        </is>
      </c>
      <c r="E317" s="42" t="n">
        <v>49.5</v>
      </c>
      <c r="F317" s="43" t="n">
        <v>0</v>
      </c>
      <c r="G317" s="44">
        <f>IF(OR(B317="",F317=""),"",IFERROR(F317*INDEX(Mitarbeiter!$F$6:$F$205,MATCH(B317,Mitarbeiter!$A$6:$A$205,0)),0))</f>
        <v/>
      </c>
      <c r="H317" s="8">
        <f>IF(B317="","",IF(ISNA(MATCH(B317,Mitarbeiter!$A$6:$A$205,0)),"Pers.-Nr. unbekannt",IF(A317="","Datum fehlt",IF(AND(D317&lt;&gt;Einstellungen!$C$4,D317&lt;&gt;Einstellungen!$C$5),"Objekt fehlt",IF(YEAR(A317)&lt;&gt;Einstellungen!$C$3,"anderes Jahr",IF(A317&lt;INDEX(Mitarbeiter!$C$6:$C$205,MATCH(B317,Mitarbeiter!$A$6:$A$205,0)),"vor Eintritt",IF(AND(INDEX(Mitarbeiter!$D$6:$D$205,MATCH(B317,Mitarbeiter!$A$6:$A$205,0))&lt;&gt;"",A317&gt;INDEX(Mitarbeiter!$D$6:$D$205,MATCH(B317,Mitarbeiter!$A$6:$A$205,0))),"nach Austritt","ok")))))))</f>
        <v/>
      </c>
    </row>
    <row r="318">
      <c r="A318" s="26" t="n">
        <v>46113</v>
      </c>
      <c r="B318" s="24" t="n">
        <v>1023</v>
      </c>
      <c r="C318" s="40">
        <f>IF(B318="","",IFERROR(INDEX(Mitarbeiter!$B$6:$B$205,MATCH(B318,Mitarbeiter!$A$6:$A$205,0)),"?"))</f>
        <v/>
      </c>
      <c r="D318" s="41" t="inlineStr">
        <is>
          <t>Objekt 1</t>
        </is>
      </c>
      <c r="E318" s="42" t="n">
        <v>114</v>
      </c>
      <c r="F318" s="43" t="n">
        <v>1</v>
      </c>
      <c r="G318" s="44">
        <f>IF(OR(B318="",F318=""),"",IFERROR(F318*INDEX(Mitarbeiter!$F$6:$F$205,MATCH(B318,Mitarbeiter!$A$6:$A$205,0)),0))</f>
        <v/>
      </c>
      <c r="H318" s="8">
        <f>IF(B318="","",IF(ISNA(MATCH(B318,Mitarbeiter!$A$6:$A$205,0)),"Pers.-Nr. unbekannt",IF(A318="","Datum fehlt",IF(AND(D318&lt;&gt;Einstellungen!$C$4,D318&lt;&gt;Einstellungen!$C$5),"Objekt fehlt",IF(YEAR(A318)&lt;&gt;Einstellungen!$C$3,"anderes Jahr",IF(A318&lt;INDEX(Mitarbeiter!$C$6:$C$205,MATCH(B318,Mitarbeiter!$A$6:$A$205,0)),"vor Eintritt",IF(AND(INDEX(Mitarbeiter!$D$6:$D$205,MATCH(B318,Mitarbeiter!$A$6:$A$205,0))&lt;&gt;"",A318&gt;INDEX(Mitarbeiter!$D$6:$D$205,MATCH(B318,Mitarbeiter!$A$6:$A$205,0))),"nach Austritt","ok")))))))</f>
        <v/>
      </c>
    </row>
    <row r="319">
      <c r="A319" s="26" t="n">
        <v>46113</v>
      </c>
      <c r="B319" s="24" t="n">
        <v>1024</v>
      </c>
      <c r="C319" s="40">
        <f>IF(B319="","",IFERROR(INDEX(Mitarbeiter!$B$6:$B$205,MATCH(B319,Mitarbeiter!$A$6:$A$205,0)),"?"))</f>
        <v/>
      </c>
      <c r="D319" s="41" t="inlineStr">
        <is>
          <t>Objekt 1</t>
        </is>
      </c>
      <c r="E319" s="42" t="n">
        <v>67</v>
      </c>
      <c r="F319" s="43" t="n">
        <v>0</v>
      </c>
      <c r="G319" s="44">
        <f>IF(OR(B319="",F319=""),"",IFERROR(F319*INDEX(Mitarbeiter!$F$6:$F$205,MATCH(B319,Mitarbeiter!$A$6:$A$205,0)),0))</f>
        <v/>
      </c>
      <c r="H319" s="8">
        <f>IF(B319="","",IF(ISNA(MATCH(B319,Mitarbeiter!$A$6:$A$205,0)),"Pers.-Nr. unbekannt",IF(A319="","Datum fehlt",IF(AND(D319&lt;&gt;Einstellungen!$C$4,D319&lt;&gt;Einstellungen!$C$5),"Objekt fehlt",IF(YEAR(A319)&lt;&gt;Einstellungen!$C$3,"anderes Jahr",IF(A319&lt;INDEX(Mitarbeiter!$C$6:$C$205,MATCH(B319,Mitarbeiter!$A$6:$A$205,0)),"vor Eintritt",IF(AND(INDEX(Mitarbeiter!$D$6:$D$205,MATCH(B319,Mitarbeiter!$A$6:$A$205,0))&lt;&gt;"",A319&gt;INDEX(Mitarbeiter!$D$6:$D$205,MATCH(B319,Mitarbeiter!$A$6:$A$205,0))),"nach Austritt","ok")))))))</f>
        <v/>
      </c>
    </row>
    <row r="320">
      <c r="A320" s="26" t="n">
        <v>46113</v>
      </c>
      <c r="B320" s="24" t="n">
        <v>1024</v>
      </c>
      <c r="C320" s="40">
        <f>IF(B320="","",IFERROR(INDEX(Mitarbeiter!$B$6:$B$205,MATCH(B320,Mitarbeiter!$A$6:$A$205,0)),"?"))</f>
        <v/>
      </c>
      <c r="D320" s="41" t="inlineStr">
        <is>
          <t>Objekt 2</t>
        </is>
      </c>
      <c r="E320" s="42" t="n">
        <v>94.5</v>
      </c>
      <c r="F320" s="43" t="n">
        <v>0</v>
      </c>
      <c r="G320" s="44">
        <f>IF(OR(B320="",F320=""),"",IFERROR(F320*INDEX(Mitarbeiter!$F$6:$F$205,MATCH(B320,Mitarbeiter!$A$6:$A$205,0)),0))</f>
        <v/>
      </c>
      <c r="H320" s="8">
        <f>IF(B320="","",IF(ISNA(MATCH(B320,Mitarbeiter!$A$6:$A$205,0)),"Pers.-Nr. unbekannt",IF(A320="","Datum fehlt",IF(AND(D320&lt;&gt;Einstellungen!$C$4,D320&lt;&gt;Einstellungen!$C$5),"Objekt fehlt",IF(YEAR(A320)&lt;&gt;Einstellungen!$C$3,"anderes Jahr",IF(A320&lt;INDEX(Mitarbeiter!$C$6:$C$205,MATCH(B320,Mitarbeiter!$A$6:$A$205,0)),"vor Eintritt",IF(AND(INDEX(Mitarbeiter!$D$6:$D$205,MATCH(B320,Mitarbeiter!$A$6:$A$205,0))&lt;&gt;"",A320&gt;INDEX(Mitarbeiter!$D$6:$D$205,MATCH(B320,Mitarbeiter!$A$6:$A$205,0))),"nach Austritt","ok")))))))</f>
        <v/>
      </c>
    </row>
    <row r="321">
      <c r="A321" s="26" t="n">
        <v>46113</v>
      </c>
      <c r="B321" s="24" t="n">
        <v>1025</v>
      </c>
      <c r="C321" s="40">
        <f>IF(B321="","",IFERROR(INDEX(Mitarbeiter!$B$6:$B$205,MATCH(B321,Mitarbeiter!$A$6:$A$205,0)),"?"))</f>
        <v/>
      </c>
      <c r="D321" s="41" t="inlineStr">
        <is>
          <t>Objekt 1</t>
        </is>
      </c>
      <c r="E321" s="42" t="n">
        <v>67</v>
      </c>
      <c r="F321" s="43" t="n">
        <v>0</v>
      </c>
      <c r="G321" s="44">
        <f>IF(OR(B321="",F321=""),"",IFERROR(F321*INDEX(Mitarbeiter!$F$6:$F$205,MATCH(B321,Mitarbeiter!$A$6:$A$205,0)),0))</f>
        <v/>
      </c>
      <c r="H321" s="8">
        <f>IF(B321="","",IF(ISNA(MATCH(B321,Mitarbeiter!$A$6:$A$205,0)),"Pers.-Nr. unbekannt",IF(A321="","Datum fehlt",IF(AND(D321&lt;&gt;Einstellungen!$C$4,D321&lt;&gt;Einstellungen!$C$5),"Objekt fehlt",IF(YEAR(A321)&lt;&gt;Einstellungen!$C$3,"anderes Jahr",IF(A321&lt;INDEX(Mitarbeiter!$C$6:$C$205,MATCH(B321,Mitarbeiter!$A$6:$A$205,0)),"vor Eintritt",IF(AND(INDEX(Mitarbeiter!$D$6:$D$205,MATCH(B321,Mitarbeiter!$A$6:$A$205,0))&lt;&gt;"",A321&gt;INDEX(Mitarbeiter!$D$6:$D$205,MATCH(B321,Mitarbeiter!$A$6:$A$205,0))),"nach Austritt","ok")))))))</f>
        <v/>
      </c>
    </row>
    <row r="322">
      <c r="A322" s="26" t="n">
        <v>46113</v>
      </c>
      <c r="B322" s="24" t="n">
        <v>1025</v>
      </c>
      <c r="C322" s="40">
        <f>IF(B322="","",IFERROR(INDEX(Mitarbeiter!$B$6:$B$205,MATCH(B322,Mitarbeiter!$A$6:$A$205,0)),"?"))</f>
        <v/>
      </c>
      <c r="D322" s="41" t="inlineStr">
        <is>
          <t>Objekt 2</t>
        </is>
      </c>
      <c r="E322" s="42" t="n">
        <v>97.5</v>
      </c>
      <c r="F322" s="43" t="n">
        <v>0</v>
      </c>
      <c r="G322" s="44">
        <f>IF(OR(B322="",F322=""),"",IFERROR(F322*INDEX(Mitarbeiter!$F$6:$F$205,MATCH(B322,Mitarbeiter!$A$6:$A$205,0)),0))</f>
        <v/>
      </c>
      <c r="H322" s="8">
        <f>IF(B322="","",IF(ISNA(MATCH(B322,Mitarbeiter!$A$6:$A$205,0)),"Pers.-Nr. unbekannt",IF(A322="","Datum fehlt",IF(AND(D322&lt;&gt;Einstellungen!$C$4,D322&lt;&gt;Einstellungen!$C$5),"Objekt fehlt",IF(YEAR(A322)&lt;&gt;Einstellungen!$C$3,"anderes Jahr",IF(A322&lt;INDEX(Mitarbeiter!$C$6:$C$205,MATCH(B322,Mitarbeiter!$A$6:$A$205,0)),"vor Eintritt",IF(AND(INDEX(Mitarbeiter!$D$6:$D$205,MATCH(B322,Mitarbeiter!$A$6:$A$205,0))&lt;&gt;"",A322&gt;INDEX(Mitarbeiter!$D$6:$D$205,MATCH(B322,Mitarbeiter!$A$6:$A$205,0))),"nach Austritt","ok")))))))</f>
        <v/>
      </c>
    </row>
    <row r="323">
      <c r="A323" s="26" t="n">
        <v>46113</v>
      </c>
      <c r="B323" s="24" t="n">
        <v>1026</v>
      </c>
      <c r="C323" s="40">
        <f>IF(B323="","",IFERROR(INDEX(Mitarbeiter!$B$6:$B$205,MATCH(B323,Mitarbeiter!$A$6:$A$205,0)),"?"))</f>
        <v/>
      </c>
      <c r="D323" s="41" t="inlineStr">
        <is>
          <t>Objekt 1</t>
        </is>
      </c>
      <c r="E323" s="42" t="n">
        <v>48</v>
      </c>
      <c r="F323" s="43" t="n">
        <v>0</v>
      </c>
      <c r="G323" s="44">
        <f>IF(OR(B323="",F323=""),"",IFERROR(F323*INDEX(Mitarbeiter!$F$6:$F$205,MATCH(B323,Mitarbeiter!$A$6:$A$205,0)),0))</f>
        <v/>
      </c>
      <c r="H323" s="8">
        <f>IF(B323="","",IF(ISNA(MATCH(B323,Mitarbeiter!$A$6:$A$205,0)),"Pers.-Nr. unbekannt",IF(A323="","Datum fehlt",IF(AND(D323&lt;&gt;Einstellungen!$C$4,D323&lt;&gt;Einstellungen!$C$5),"Objekt fehlt",IF(YEAR(A323)&lt;&gt;Einstellungen!$C$3,"anderes Jahr",IF(A323&lt;INDEX(Mitarbeiter!$C$6:$C$205,MATCH(B323,Mitarbeiter!$A$6:$A$205,0)),"vor Eintritt",IF(AND(INDEX(Mitarbeiter!$D$6:$D$205,MATCH(B323,Mitarbeiter!$A$6:$A$205,0))&lt;&gt;"",A323&gt;INDEX(Mitarbeiter!$D$6:$D$205,MATCH(B323,Mitarbeiter!$A$6:$A$205,0))),"nach Austritt","ok")))))))</f>
        <v/>
      </c>
    </row>
    <row r="324">
      <c r="A324" s="26" t="n">
        <v>46113</v>
      </c>
      <c r="B324" s="24" t="n">
        <v>1026</v>
      </c>
      <c r="C324" s="40">
        <f>IF(B324="","",IFERROR(INDEX(Mitarbeiter!$B$6:$B$205,MATCH(B324,Mitarbeiter!$A$6:$A$205,0)),"?"))</f>
        <v/>
      </c>
      <c r="D324" s="41" t="inlineStr">
        <is>
          <t>Objekt 2</t>
        </is>
      </c>
      <c r="E324" s="42" t="n">
        <v>30.5</v>
      </c>
      <c r="F324" s="43" t="n">
        <v>0</v>
      </c>
      <c r="G324" s="44">
        <f>IF(OR(B324="",F324=""),"",IFERROR(F324*INDEX(Mitarbeiter!$F$6:$F$205,MATCH(B324,Mitarbeiter!$A$6:$A$205,0)),0))</f>
        <v/>
      </c>
      <c r="H324" s="8">
        <f>IF(B324="","",IF(ISNA(MATCH(B324,Mitarbeiter!$A$6:$A$205,0)),"Pers.-Nr. unbekannt",IF(A324="","Datum fehlt",IF(AND(D324&lt;&gt;Einstellungen!$C$4,D324&lt;&gt;Einstellungen!$C$5),"Objekt fehlt",IF(YEAR(A324)&lt;&gt;Einstellungen!$C$3,"anderes Jahr",IF(A324&lt;INDEX(Mitarbeiter!$C$6:$C$205,MATCH(B324,Mitarbeiter!$A$6:$A$205,0)),"vor Eintritt",IF(AND(INDEX(Mitarbeiter!$D$6:$D$205,MATCH(B324,Mitarbeiter!$A$6:$A$205,0))&lt;&gt;"",A324&gt;INDEX(Mitarbeiter!$D$6:$D$205,MATCH(B324,Mitarbeiter!$A$6:$A$205,0))),"nach Austritt","ok")))))))</f>
        <v/>
      </c>
    </row>
    <row r="325">
      <c r="A325" s="26" t="n">
        <v>46113</v>
      </c>
      <c r="B325" s="24" t="n">
        <v>1027</v>
      </c>
      <c r="C325" s="40">
        <f>IF(B325="","",IFERROR(INDEX(Mitarbeiter!$B$6:$B$205,MATCH(B325,Mitarbeiter!$A$6:$A$205,0)),"?"))</f>
        <v/>
      </c>
      <c r="D325" s="41" t="inlineStr">
        <is>
          <t>Objekt 1</t>
        </is>
      </c>
      <c r="E325" s="42" t="n">
        <v>52.5</v>
      </c>
      <c r="F325" s="43" t="n">
        <v>1</v>
      </c>
      <c r="G325" s="44">
        <f>IF(OR(B325="",F325=""),"",IFERROR(F325*INDEX(Mitarbeiter!$F$6:$F$205,MATCH(B325,Mitarbeiter!$A$6:$A$205,0)),0))</f>
        <v/>
      </c>
      <c r="H325" s="8">
        <f>IF(B325="","",IF(ISNA(MATCH(B325,Mitarbeiter!$A$6:$A$205,0)),"Pers.-Nr. unbekannt",IF(A325="","Datum fehlt",IF(AND(D325&lt;&gt;Einstellungen!$C$4,D325&lt;&gt;Einstellungen!$C$5),"Objekt fehlt",IF(YEAR(A325)&lt;&gt;Einstellungen!$C$3,"anderes Jahr",IF(A325&lt;INDEX(Mitarbeiter!$C$6:$C$205,MATCH(B325,Mitarbeiter!$A$6:$A$205,0)),"vor Eintritt",IF(AND(INDEX(Mitarbeiter!$D$6:$D$205,MATCH(B325,Mitarbeiter!$A$6:$A$205,0))&lt;&gt;"",A325&gt;INDEX(Mitarbeiter!$D$6:$D$205,MATCH(B325,Mitarbeiter!$A$6:$A$205,0))),"nach Austritt","ok")))))))</f>
        <v/>
      </c>
    </row>
    <row r="326">
      <c r="A326" s="26" t="n">
        <v>46113</v>
      </c>
      <c r="B326" s="24" t="n">
        <v>1027</v>
      </c>
      <c r="C326" s="40">
        <f>IF(B326="","",IFERROR(INDEX(Mitarbeiter!$B$6:$B$205,MATCH(B326,Mitarbeiter!$A$6:$A$205,0)),"?"))</f>
        <v/>
      </c>
      <c r="D326" s="41" t="inlineStr">
        <is>
          <t>Objekt 2</t>
        </is>
      </c>
      <c r="E326" s="42" t="n">
        <v>52.5</v>
      </c>
      <c r="F326" s="43" t="n">
        <v>1</v>
      </c>
      <c r="G326" s="44">
        <f>IF(OR(B326="",F326=""),"",IFERROR(F326*INDEX(Mitarbeiter!$F$6:$F$205,MATCH(B326,Mitarbeiter!$A$6:$A$205,0)),0))</f>
        <v/>
      </c>
      <c r="H326" s="8">
        <f>IF(B326="","",IF(ISNA(MATCH(B326,Mitarbeiter!$A$6:$A$205,0)),"Pers.-Nr. unbekannt",IF(A326="","Datum fehlt",IF(AND(D326&lt;&gt;Einstellungen!$C$4,D326&lt;&gt;Einstellungen!$C$5),"Objekt fehlt",IF(YEAR(A326)&lt;&gt;Einstellungen!$C$3,"anderes Jahr",IF(A326&lt;INDEX(Mitarbeiter!$C$6:$C$205,MATCH(B326,Mitarbeiter!$A$6:$A$205,0)),"vor Eintritt",IF(AND(INDEX(Mitarbeiter!$D$6:$D$205,MATCH(B326,Mitarbeiter!$A$6:$A$205,0))&lt;&gt;"",A326&gt;INDEX(Mitarbeiter!$D$6:$D$205,MATCH(B326,Mitarbeiter!$A$6:$A$205,0))),"nach Austritt","ok")))))))</f>
        <v/>
      </c>
    </row>
    <row r="327">
      <c r="A327" s="26" t="n">
        <v>46113</v>
      </c>
      <c r="B327" s="24" t="n">
        <v>1028</v>
      </c>
      <c r="C327" s="40">
        <f>IF(B327="","",IFERROR(INDEX(Mitarbeiter!$B$6:$B$205,MATCH(B327,Mitarbeiter!$A$6:$A$205,0)),"?"))</f>
        <v/>
      </c>
      <c r="D327" s="41" t="inlineStr">
        <is>
          <t>Objekt 1</t>
        </is>
      </c>
      <c r="E327" s="42" t="n">
        <v>33.5</v>
      </c>
      <c r="F327" s="43" t="n">
        <v>0</v>
      </c>
      <c r="G327" s="44">
        <f>IF(OR(B327="",F327=""),"",IFERROR(F327*INDEX(Mitarbeiter!$F$6:$F$205,MATCH(B327,Mitarbeiter!$A$6:$A$205,0)),0))</f>
        <v/>
      </c>
      <c r="H327" s="8">
        <f>IF(B327="","",IF(ISNA(MATCH(B327,Mitarbeiter!$A$6:$A$205,0)),"Pers.-Nr. unbekannt",IF(A327="","Datum fehlt",IF(AND(D327&lt;&gt;Einstellungen!$C$4,D327&lt;&gt;Einstellungen!$C$5),"Objekt fehlt",IF(YEAR(A327)&lt;&gt;Einstellungen!$C$3,"anderes Jahr",IF(A327&lt;INDEX(Mitarbeiter!$C$6:$C$205,MATCH(B327,Mitarbeiter!$A$6:$A$205,0)),"vor Eintritt",IF(AND(INDEX(Mitarbeiter!$D$6:$D$205,MATCH(B327,Mitarbeiter!$A$6:$A$205,0))&lt;&gt;"",A327&gt;INDEX(Mitarbeiter!$D$6:$D$205,MATCH(B327,Mitarbeiter!$A$6:$A$205,0))),"nach Austritt","ok")))))))</f>
        <v/>
      </c>
    </row>
    <row r="328">
      <c r="A328" s="26" t="n">
        <v>46113</v>
      </c>
      <c r="B328" s="24" t="n">
        <v>1028</v>
      </c>
      <c r="C328" s="40">
        <f>IF(B328="","",IFERROR(INDEX(Mitarbeiter!$B$6:$B$205,MATCH(B328,Mitarbeiter!$A$6:$A$205,0)),"?"))</f>
        <v/>
      </c>
      <c r="D328" s="41" t="inlineStr">
        <is>
          <t>Objekt 2</t>
        </is>
      </c>
      <c r="E328" s="42" t="n">
        <v>120</v>
      </c>
      <c r="F328" s="43" t="n">
        <v>1</v>
      </c>
      <c r="G328" s="44">
        <f>IF(OR(B328="",F328=""),"",IFERROR(F328*INDEX(Mitarbeiter!$F$6:$F$205,MATCH(B328,Mitarbeiter!$A$6:$A$205,0)),0))</f>
        <v/>
      </c>
      <c r="H328" s="8">
        <f>IF(B328="","",IF(ISNA(MATCH(B328,Mitarbeiter!$A$6:$A$205,0)),"Pers.-Nr. unbekannt",IF(A328="","Datum fehlt",IF(AND(D328&lt;&gt;Einstellungen!$C$4,D328&lt;&gt;Einstellungen!$C$5),"Objekt fehlt",IF(YEAR(A328)&lt;&gt;Einstellungen!$C$3,"anderes Jahr",IF(A328&lt;INDEX(Mitarbeiter!$C$6:$C$205,MATCH(B328,Mitarbeiter!$A$6:$A$205,0)),"vor Eintritt",IF(AND(INDEX(Mitarbeiter!$D$6:$D$205,MATCH(B328,Mitarbeiter!$A$6:$A$205,0))&lt;&gt;"",A328&gt;INDEX(Mitarbeiter!$D$6:$D$205,MATCH(B328,Mitarbeiter!$A$6:$A$205,0))),"nach Austritt","ok")))))))</f>
        <v/>
      </c>
    </row>
    <row r="329">
      <c r="A329" s="26" t="n">
        <v>46113</v>
      </c>
      <c r="B329" s="24" t="n">
        <v>1029</v>
      </c>
      <c r="C329" s="40">
        <f>IF(B329="","",IFERROR(INDEX(Mitarbeiter!$B$6:$B$205,MATCH(B329,Mitarbeiter!$A$6:$A$205,0)),"?"))</f>
        <v/>
      </c>
      <c r="D329" s="41" t="inlineStr">
        <is>
          <t>Objekt 1</t>
        </is>
      </c>
      <c r="E329" s="42" t="n">
        <v>161.5</v>
      </c>
      <c r="F329" s="43" t="n">
        <v>0</v>
      </c>
      <c r="G329" s="44">
        <f>IF(OR(B329="",F329=""),"",IFERROR(F329*INDEX(Mitarbeiter!$F$6:$F$205,MATCH(B329,Mitarbeiter!$A$6:$A$205,0)),0))</f>
        <v/>
      </c>
      <c r="H329" s="8">
        <f>IF(B329="","",IF(ISNA(MATCH(B329,Mitarbeiter!$A$6:$A$205,0)),"Pers.-Nr. unbekannt",IF(A329="","Datum fehlt",IF(AND(D329&lt;&gt;Einstellungen!$C$4,D329&lt;&gt;Einstellungen!$C$5),"Objekt fehlt",IF(YEAR(A329)&lt;&gt;Einstellungen!$C$3,"anderes Jahr",IF(A329&lt;INDEX(Mitarbeiter!$C$6:$C$205,MATCH(B329,Mitarbeiter!$A$6:$A$205,0)),"vor Eintritt",IF(AND(INDEX(Mitarbeiter!$D$6:$D$205,MATCH(B329,Mitarbeiter!$A$6:$A$205,0))&lt;&gt;"",A329&gt;INDEX(Mitarbeiter!$D$6:$D$205,MATCH(B329,Mitarbeiter!$A$6:$A$205,0))),"nach Austritt","ok")))))))</f>
        <v/>
      </c>
    </row>
    <row r="330">
      <c r="A330" s="26" t="n">
        <v>46113</v>
      </c>
      <c r="B330" s="24" t="n">
        <v>1030</v>
      </c>
      <c r="C330" s="40">
        <f>IF(B330="","",IFERROR(INDEX(Mitarbeiter!$B$6:$B$205,MATCH(B330,Mitarbeiter!$A$6:$A$205,0)),"?"))</f>
        <v/>
      </c>
      <c r="D330" s="41" t="inlineStr">
        <is>
          <t>Objekt 2</t>
        </is>
      </c>
      <c r="E330" s="42" t="n">
        <v>121.5</v>
      </c>
      <c r="F330" s="43" t="n">
        <v>0</v>
      </c>
      <c r="G330" s="44">
        <f>IF(OR(B330="",F330=""),"",IFERROR(F330*INDEX(Mitarbeiter!$F$6:$F$205,MATCH(B330,Mitarbeiter!$A$6:$A$205,0)),0))</f>
        <v/>
      </c>
      <c r="H330" s="8">
        <f>IF(B330="","",IF(ISNA(MATCH(B330,Mitarbeiter!$A$6:$A$205,0)),"Pers.-Nr. unbekannt",IF(A330="","Datum fehlt",IF(AND(D330&lt;&gt;Einstellungen!$C$4,D330&lt;&gt;Einstellungen!$C$5),"Objekt fehlt",IF(YEAR(A330)&lt;&gt;Einstellungen!$C$3,"anderes Jahr",IF(A330&lt;INDEX(Mitarbeiter!$C$6:$C$205,MATCH(B330,Mitarbeiter!$A$6:$A$205,0)),"vor Eintritt",IF(AND(INDEX(Mitarbeiter!$D$6:$D$205,MATCH(B330,Mitarbeiter!$A$6:$A$205,0))&lt;&gt;"",A330&gt;INDEX(Mitarbeiter!$D$6:$D$205,MATCH(B330,Mitarbeiter!$A$6:$A$205,0))),"nach Austritt","ok")))))))</f>
        <v/>
      </c>
    </row>
    <row r="331">
      <c r="A331" s="26" t="n">
        <v>46113</v>
      </c>
      <c r="B331" s="24" t="n">
        <v>1031</v>
      </c>
      <c r="C331" s="40">
        <f>IF(B331="","",IFERROR(INDEX(Mitarbeiter!$B$6:$B$205,MATCH(B331,Mitarbeiter!$A$6:$A$205,0)),"?"))</f>
        <v/>
      </c>
      <c r="D331" s="41" t="inlineStr">
        <is>
          <t>Objekt 2</t>
        </is>
      </c>
      <c r="E331" s="42" t="n">
        <v>150.5</v>
      </c>
      <c r="F331" s="43" t="n">
        <v>1</v>
      </c>
      <c r="G331" s="44">
        <f>IF(OR(B331="",F331=""),"",IFERROR(F331*INDEX(Mitarbeiter!$F$6:$F$205,MATCH(B331,Mitarbeiter!$A$6:$A$205,0)),0))</f>
        <v/>
      </c>
      <c r="H331" s="8">
        <f>IF(B331="","",IF(ISNA(MATCH(B331,Mitarbeiter!$A$6:$A$205,0)),"Pers.-Nr. unbekannt",IF(A331="","Datum fehlt",IF(AND(D331&lt;&gt;Einstellungen!$C$4,D331&lt;&gt;Einstellungen!$C$5),"Objekt fehlt",IF(YEAR(A331)&lt;&gt;Einstellungen!$C$3,"anderes Jahr",IF(A331&lt;INDEX(Mitarbeiter!$C$6:$C$205,MATCH(B331,Mitarbeiter!$A$6:$A$205,0)),"vor Eintritt",IF(AND(INDEX(Mitarbeiter!$D$6:$D$205,MATCH(B331,Mitarbeiter!$A$6:$A$205,0))&lt;&gt;"",A331&gt;INDEX(Mitarbeiter!$D$6:$D$205,MATCH(B331,Mitarbeiter!$A$6:$A$205,0))),"nach Austritt","ok")))))))</f>
        <v/>
      </c>
    </row>
    <row r="332">
      <c r="A332" s="26" t="n">
        <v>46113</v>
      </c>
      <c r="B332" s="24" t="n">
        <v>1033</v>
      </c>
      <c r="C332" s="40">
        <f>IF(B332="","",IFERROR(INDEX(Mitarbeiter!$B$6:$B$205,MATCH(B332,Mitarbeiter!$A$6:$A$205,0)),"?"))</f>
        <v/>
      </c>
      <c r="D332" s="41" t="inlineStr">
        <is>
          <t>Objekt 1</t>
        </is>
      </c>
      <c r="E332" s="42" t="n">
        <v>158.5</v>
      </c>
      <c r="F332" s="43" t="n">
        <v>0</v>
      </c>
      <c r="G332" s="44">
        <f>IF(OR(B332="",F332=""),"",IFERROR(F332*INDEX(Mitarbeiter!$F$6:$F$205,MATCH(B332,Mitarbeiter!$A$6:$A$205,0)),0))</f>
        <v/>
      </c>
      <c r="H332" s="8">
        <f>IF(B332="","",IF(ISNA(MATCH(B332,Mitarbeiter!$A$6:$A$205,0)),"Pers.-Nr. unbekannt",IF(A332="","Datum fehlt",IF(AND(D332&lt;&gt;Einstellungen!$C$4,D332&lt;&gt;Einstellungen!$C$5),"Objekt fehlt",IF(YEAR(A332)&lt;&gt;Einstellungen!$C$3,"anderes Jahr",IF(A332&lt;INDEX(Mitarbeiter!$C$6:$C$205,MATCH(B332,Mitarbeiter!$A$6:$A$205,0)),"vor Eintritt",IF(AND(INDEX(Mitarbeiter!$D$6:$D$205,MATCH(B332,Mitarbeiter!$A$6:$A$205,0))&lt;&gt;"",A332&gt;INDEX(Mitarbeiter!$D$6:$D$205,MATCH(B332,Mitarbeiter!$A$6:$A$205,0))),"nach Austritt","ok")))))))</f>
        <v/>
      </c>
    </row>
    <row r="333">
      <c r="A333" s="26" t="n">
        <v>46113</v>
      </c>
      <c r="B333" s="24" t="n">
        <v>1034</v>
      </c>
      <c r="C333" s="40">
        <f>IF(B333="","",IFERROR(INDEX(Mitarbeiter!$B$6:$B$205,MATCH(B333,Mitarbeiter!$A$6:$A$205,0)),"?"))</f>
        <v/>
      </c>
      <c r="D333" s="41" t="inlineStr">
        <is>
          <t>Objekt 1</t>
        </is>
      </c>
      <c r="E333" s="42" t="n">
        <v>48</v>
      </c>
      <c r="F333" s="43" t="n">
        <v>0</v>
      </c>
      <c r="G333" s="44">
        <f>IF(OR(B333="",F333=""),"",IFERROR(F333*INDEX(Mitarbeiter!$F$6:$F$205,MATCH(B333,Mitarbeiter!$A$6:$A$205,0)),0))</f>
        <v/>
      </c>
      <c r="H333" s="8">
        <f>IF(B333="","",IF(ISNA(MATCH(B333,Mitarbeiter!$A$6:$A$205,0)),"Pers.-Nr. unbekannt",IF(A333="","Datum fehlt",IF(AND(D333&lt;&gt;Einstellungen!$C$4,D333&lt;&gt;Einstellungen!$C$5),"Objekt fehlt",IF(YEAR(A333)&lt;&gt;Einstellungen!$C$3,"anderes Jahr",IF(A333&lt;INDEX(Mitarbeiter!$C$6:$C$205,MATCH(B333,Mitarbeiter!$A$6:$A$205,0)),"vor Eintritt",IF(AND(INDEX(Mitarbeiter!$D$6:$D$205,MATCH(B333,Mitarbeiter!$A$6:$A$205,0))&lt;&gt;"",A333&gt;INDEX(Mitarbeiter!$D$6:$D$205,MATCH(B333,Mitarbeiter!$A$6:$A$205,0))),"nach Austritt","ok")))))))</f>
        <v/>
      </c>
    </row>
    <row r="334">
      <c r="A334" s="26" t="n">
        <v>46113</v>
      </c>
      <c r="B334" s="24" t="n">
        <v>1034</v>
      </c>
      <c r="C334" s="40">
        <f>IF(B334="","",IFERROR(INDEX(Mitarbeiter!$B$6:$B$205,MATCH(B334,Mitarbeiter!$A$6:$A$205,0)),"?"))</f>
        <v/>
      </c>
      <c r="D334" s="41" t="inlineStr">
        <is>
          <t>Objekt 2</t>
        </is>
      </c>
      <c r="E334" s="42" t="n">
        <v>73.5</v>
      </c>
      <c r="F334" s="43" t="n">
        <v>0</v>
      </c>
      <c r="G334" s="44">
        <f>IF(OR(B334="",F334=""),"",IFERROR(F334*INDEX(Mitarbeiter!$F$6:$F$205,MATCH(B334,Mitarbeiter!$A$6:$A$205,0)),0))</f>
        <v/>
      </c>
      <c r="H334" s="8">
        <f>IF(B334="","",IF(ISNA(MATCH(B334,Mitarbeiter!$A$6:$A$205,0)),"Pers.-Nr. unbekannt",IF(A334="","Datum fehlt",IF(AND(D334&lt;&gt;Einstellungen!$C$4,D334&lt;&gt;Einstellungen!$C$5),"Objekt fehlt",IF(YEAR(A334)&lt;&gt;Einstellungen!$C$3,"anderes Jahr",IF(A334&lt;INDEX(Mitarbeiter!$C$6:$C$205,MATCH(B334,Mitarbeiter!$A$6:$A$205,0)),"vor Eintritt",IF(AND(INDEX(Mitarbeiter!$D$6:$D$205,MATCH(B334,Mitarbeiter!$A$6:$A$205,0))&lt;&gt;"",A334&gt;INDEX(Mitarbeiter!$D$6:$D$205,MATCH(B334,Mitarbeiter!$A$6:$A$205,0))),"nach Austritt","ok")))))))</f>
        <v/>
      </c>
    </row>
    <row r="335">
      <c r="A335" s="26" t="n">
        <v>46113</v>
      </c>
      <c r="B335" s="24" t="n">
        <v>1035</v>
      </c>
      <c r="C335" s="40">
        <f>IF(B335="","",IFERROR(INDEX(Mitarbeiter!$B$6:$B$205,MATCH(B335,Mitarbeiter!$A$6:$A$205,0)),"?"))</f>
        <v/>
      </c>
      <c r="D335" s="41" t="inlineStr">
        <is>
          <t>Objekt 2</t>
        </is>
      </c>
      <c r="E335" s="42" t="n">
        <v>161.5</v>
      </c>
      <c r="F335" s="43" t="n">
        <v>0</v>
      </c>
      <c r="G335" s="44">
        <f>IF(OR(B335="",F335=""),"",IFERROR(F335*INDEX(Mitarbeiter!$F$6:$F$205,MATCH(B335,Mitarbeiter!$A$6:$A$205,0)),0))</f>
        <v/>
      </c>
      <c r="H335" s="8">
        <f>IF(B335="","",IF(ISNA(MATCH(B335,Mitarbeiter!$A$6:$A$205,0)),"Pers.-Nr. unbekannt",IF(A335="","Datum fehlt",IF(AND(D335&lt;&gt;Einstellungen!$C$4,D335&lt;&gt;Einstellungen!$C$5),"Objekt fehlt",IF(YEAR(A335)&lt;&gt;Einstellungen!$C$3,"anderes Jahr",IF(A335&lt;INDEX(Mitarbeiter!$C$6:$C$205,MATCH(B335,Mitarbeiter!$A$6:$A$205,0)),"vor Eintritt",IF(AND(INDEX(Mitarbeiter!$D$6:$D$205,MATCH(B335,Mitarbeiter!$A$6:$A$205,0))&lt;&gt;"",A335&gt;INDEX(Mitarbeiter!$D$6:$D$205,MATCH(B335,Mitarbeiter!$A$6:$A$205,0))),"nach Austritt","ok")))))))</f>
        <v/>
      </c>
    </row>
    <row r="336">
      <c r="A336" s="26" t="n">
        <v>46113</v>
      </c>
      <c r="B336" s="24" t="n">
        <v>1036</v>
      </c>
      <c r="C336" s="40">
        <f>IF(B336="","",IFERROR(INDEX(Mitarbeiter!$B$6:$B$205,MATCH(B336,Mitarbeiter!$A$6:$A$205,0)),"?"))</f>
        <v/>
      </c>
      <c r="D336" s="41" t="inlineStr">
        <is>
          <t>Objekt 1</t>
        </is>
      </c>
      <c r="E336" s="42" t="n">
        <v>32</v>
      </c>
      <c r="F336" s="43" t="n">
        <v>0</v>
      </c>
      <c r="G336" s="44">
        <f>IF(OR(B336="",F336=""),"",IFERROR(F336*INDEX(Mitarbeiter!$F$6:$F$205,MATCH(B336,Mitarbeiter!$A$6:$A$205,0)),0))</f>
        <v/>
      </c>
      <c r="H336" s="8">
        <f>IF(B336="","",IF(ISNA(MATCH(B336,Mitarbeiter!$A$6:$A$205,0)),"Pers.-Nr. unbekannt",IF(A336="","Datum fehlt",IF(AND(D336&lt;&gt;Einstellungen!$C$4,D336&lt;&gt;Einstellungen!$C$5),"Objekt fehlt",IF(YEAR(A336)&lt;&gt;Einstellungen!$C$3,"anderes Jahr",IF(A336&lt;INDEX(Mitarbeiter!$C$6:$C$205,MATCH(B336,Mitarbeiter!$A$6:$A$205,0)),"vor Eintritt",IF(AND(INDEX(Mitarbeiter!$D$6:$D$205,MATCH(B336,Mitarbeiter!$A$6:$A$205,0))&lt;&gt;"",A336&gt;INDEX(Mitarbeiter!$D$6:$D$205,MATCH(B336,Mitarbeiter!$A$6:$A$205,0))),"nach Austritt","ok")))))))</f>
        <v/>
      </c>
    </row>
    <row r="337">
      <c r="A337" s="26" t="n">
        <v>46113</v>
      </c>
      <c r="B337" s="24" t="n">
        <v>1036</v>
      </c>
      <c r="C337" s="40">
        <f>IF(B337="","",IFERROR(INDEX(Mitarbeiter!$B$6:$B$205,MATCH(B337,Mitarbeiter!$A$6:$A$205,0)),"?"))</f>
        <v/>
      </c>
      <c r="D337" s="41" t="inlineStr">
        <is>
          <t>Objekt 2</t>
        </is>
      </c>
      <c r="E337" s="42" t="n">
        <v>48</v>
      </c>
      <c r="F337" s="43" t="n">
        <v>0</v>
      </c>
      <c r="G337" s="44">
        <f>IF(OR(B337="",F337=""),"",IFERROR(F337*INDEX(Mitarbeiter!$F$6:$F$205,MATCH(B337,Mitarbeiter!$A$6:$A$205,0)),0))</f>
        <v/>
      </c>
      <c r="H337" s="8">
        <f>IF(B337="","",IF(ISNA(MATCH(B337,Mitarbeiter!$A$6:$A$205,0)),"Pers.-Nr. unbekannt",IF(A337="","Datum fehlt",IF(AND(D337&lt;&gt;Einstellungen!$C$4,D337&lt;&gt;Einstellungen!$C$5),"Objekt fehlt",IF(YEAR(A337)&lt;&gt;Einstellungen!$C$3,"anderes Jahr",IF(A337&lt;INDEX(Mitarbeiter!$C$6:$C$205,MATCH(B337,Mitarbeiter!$A$6:$A$205,0)),"vor Eintritt",IF(AND(INDEX(Mitarbeiter!$D$6:$D$205,MATCH(B337,Mitarbeiter!$A$6:$A$205,0))&lt;&gt;"",A337&gt;INDEX(Mitarbeiter!$D$6:$D$205,MATCH(B337,Mitarbeiter!$A$6:$A$205,0))),"nach Austritt","ok")))))))</f>
        <v/>
      </c>
    </row>
    <row r="338">
      <c r="A338" s="26" t="n">
        <v>46113</v>
      </c>
      <c r="B338" s="24" t="n">
        <v>1037</v>
      </c>
      <c r="C338" s="40">
        <f>IF(B338="","",IFERROR(INDEX(Mitarbeiter!$B$6:$B$205,MATCH(B338,Mitarbeiter!$A$6:$A$205,0)),"?"))</f>
        <v/>
      </c>
      <c r="D338" s="41" t="inlineStr">
        <is>
          <t>Objekt 1</t>
        </is>
      </c>
      <c r="E338" s="42" t="n">
        <v>81.5</v>
      </c>
      <c r="F338" s="43" t="n">
        <v>2</v>
      </c>
      <c r="G338" s="44">
        <f>IF(OR(B338="",F338=""),"",IFERROR(F338*INDEX(Mitarbeiter!$F$6:$F$205,MATCH(B338,Mitarbeiter!$A$6:$A$205,0)),0))</f>
        <v/>
      </c>
      <c r="H338" s="8">
        <f>IF(B338="","",IF(ISNA(MATCH(B338,Mitarbeiter!$A$6:$A$205,0)),"Pers.-Nr. unbekannt",IF(A338="","Datum fehlt",IF(AND(D338&lt;&gt;Einstellungen!$C$4,D338&lt;&gt;Einstellungen!$C$5),"Objekt fehlt",IF(YEAR(A338)&lt;&gt;Einstellungen!$C$3,"anderes Jahr",IF(A338&lt;INDEX(Mitarbeiter!$C$6:$C$205,MATCH(B338,Mitarbeiter!$A$6:$A$205,0)),"vor Eintritt",IF(AND(INDEX(Mitarbeiter!$D$6:$D$205,MATCH(B338,Mitarbeiter!$A$6:$A$205,0))&lt;&gt;"",A338&gt;INDEX(Mitarbeiter!$D$6:$D$205,MATCH(B338,Mitarbeiter!$A$6:$A$205,0))),"nach Austritt","ok")))))))</f>
        <v/>
      </c>
    </row>
    <row r="339">
      <c r="A339" s="26" t="n">
        <v>46113</v>
      </c>
      <c r="B339" s="24" t="n">
        <v>1037</v>
      </c>
      <c r="C339" s="40">
        <f>IF(B339="","",IFERROR(INDEX(Mitarbeiter!$B$6:$B$205,MATCH(B339,Mitarbeiter!$A$6:$A$205,0)),"?"))</f>
        <v/>
      </c>
      <c r="D339" s="41" t="inlineStr">
        <is>
          <t>Objekt 2</t>
        </is>
      </c>
      <c r="E339" s="42" t="n">
        <v>57.5</v>
      </c>
      <c r="F339" s="43" t="n">
        <v>1</v>
      </c>
      <c r="G339" s="44">
        <f>IF(OR(B339="",F339=""),"",IFERROR(F339*INDEX(Mitarbeiter!$F$6:$F$205,MATCH(B339,Mitarbeiter!$A$6:$A$205,0)),0))</f>
        <v/>
      </c>
      <c r="H339" s="8">
        <f>IF(B339="","",IF(ISNA(MATCH(B339,Mitarbeiter!$A$6:$A$205,0)),"Pers.-Nr. unbekannt",IF(A339="","Datum fehlt",IF(AND(D339&lt;&gt;Einstellungen!$C$4,D339&lt;&gt;Einstellungen!$C$5),"Objekt fehlt",IF(YEAR(A339)&lt;&gt;Einstellungen!$C$3,"anderes Jahr",IF(A339&lt;INDEX(Mitarbeiter!$C$6:$C$205,MATCH(B339,Mitarbeiter!$A$6:$A$205,0)),"vor Eintritt",IF(AND(INDEX(Mitarbeiter!$D$6:$D$205,MATCH(B339,Mitarbeiter!$A$6:$A$205,0))&lt;&gt;"",A339&gt;INDEX(Mitarbeiter!$D$6:$D$205,MATCH(B339,Mitarbeiter!$A$6:$A$205,0))),"nach Austritt","ok")))))))</f>
        <v/>
      </c>
    </row>
    <row r="340">
      <c r="A340" s="26" t="n">
        <v>46113</v>
      </c>
      <c r="B340" s="24" t="n">
        <v>1038</v>
      </c>
      <c r="C340" s="40">
        <f>IF(B340="","",IFERROR(INDEX(Mitarbeiter!$B$6:$B$205,MATCH(B340,Mitarbeiter!$A$6:$A$205,0)),"?"))</f>
        <v/>
      </c>
      <c r="D340" s="41" t="inlineStr">
        <is>
          <t>Objekt 1</t>
        </is>
      </c>
      <c r="E340" s="42" t="n">
        <v>78.5</v>
      </c>
      <c r="F340" s="43" t="n">
        <v>0</v>
      </c>
      <c r="G340" s="44">
        <f>IF(OR(B340="",F340=""),"",IFERROR(F340*INDEX(Mitarbeiter!$F$6:$F$205,MATCH(B340,Mitarbeiter!$A$6:$A$205,0)),0))</f>
        <v/>
      </c>
      <c r="H340" s="8">
        <f>IF(B340="","",IF(ISNA(MATCH(B340,Mitarbeiter!$A$6:$A$205,0)),"Pers.-Nr. unbekannt",IF(A340="","Datum fehlt",IF(AND(D340&lt;&gt;Einstellungen!$C$4,D340&lt;&gt;Einstellungen!$C$5),"Objekt fehlt",IF(YEAR(A340)&lt;&gt;Einstellungen!$C$3,"anderes Jahr",IF(A340&lt;INDEX(Mitarbeiter!$C$6:$C$205,MATCH(B340,Mitarbeiter!$A$6:$A$205,0)),"vor Eintritt",IF(AND(INDEX(Mitarbeiter!$D$6:$D$205,MATCH(B340,Mitarbeiter!$A$6:$A$205,0))&lt;&gt;"",A340&gt;INDEX(Mitarbeiter!$D$6:$D$205,MATCH(B340,Mitarbeiter!$A$6:$A$205,0))),"nach Austritt","ok")))))))</f>
        <v/>
      </c>
    </row>
    <row r="341">
      <c r="A341" s="26" t="n">
        <v>46113</v>
      </c>
      <c r="B341" s="24" t="n">
        <v>1038</v>
      </c>
      <c r="C341" s="40">
        <f>IF(B341="","",IFERROR(INDEX(Mitarbeiter!$B$6:$B$205,MATCH(B341,Mitarbeiter!$A$6:$A$205,0)),"?"))</f>
        <v/>
      </c>
      <c r="D341" s="41" t="inlineStr">
        <is>
          <t>Objekt 2</t>
        </is>
      </c>
      <c r="E341" s="42" t="n">
        <v>81.5</v>
      </c>
      <c r="F341" s="43" t="n">
        <v>0</v>
      </c>
      <c r="G341" s="44">
        <f>IF(OR(B341="",F341=""),"",IFERROR(F341*INDEX(Mitarbeiter!$F$6:$F$205,MATCH(B341,Mitarbeiter!$A$6:$A$205,0)),0))</f>
        <v/>
      </c>
      <c r="H341" s="8">
        <f>IF(B341="","",IF(ISNA(MATCH(B341,Mitarbeiter!$A$6:$A$205,0)),"Pers.-Nr. unbekannt",IF(A341="","Datum fehlt",IF(AND(D341&lt;&gt;Einstellungen!$C$4,D341&lt;&gt;Einstellungen!$C$5),"Objekt fehlt",IF(YEAR(A341)&lt;&gt;Einstellungen!$C$3,"anderes Jahr",IF(A341&lt;INDEX(Mitarbeiter!$C$6:$C$205,MATCH(B341,Mitarbeiter!$A$6:$A$205,0)),"vor Eintritt",IF(AND(INDEX(Mitarbeiter!$D$6:$D$205,MATCH(B341,Mitarbeiter!$A$6:$A$205,0))&lt;&gt;"",A341&gt;INDEX(Mitarbeiter!$D$6:$D$205,MATCH(B341,Mitarbeiter!$A$6:$A$205,0))),"nach Austritt","ok")))))))</f>
        <v/>
      </c>
    </row>
    <row r="342">
      <c r="A342" s="26" t="n">
        <v>46113</v>
      </c>
      <c r="B342" s="24" t="n">
        <v>1039</v>
      </c>
      <c r="C342" s="40">
        <f>IF(B342="","",IFERROR(INDEX(Mitarbeiter!$B$6:$B$205,MATCH(B342,Mitarbeiter!$A$6:$A$205,0)),"?"))</f>
        <v/>
      </c>
      <c r="D342" s="41" t="inlineStr">
        <is>
          <t>Objekt 2</t>
        </is>
      </c>
      <c r="E342" s="42" t="n">
        <v>155</v>
      </c>
      <c r="F342" s="43" t="n">
        <v>1</v>
      </c>
      <c r="G342" s="44">
        <f>IF(OR(B342="",F342=""),"",IFERROR(F342*INDEX(Mitarbeiter!$F$6:$F$205,MATCH(B342,Mitarbeiter!$A$6:$A$205,0)),0))</f>
        <v/>
      </c>
      <c r="H342" s="8">
        <f>IF(B342="","",IF(ISNA(MATCH(B342,Mitarbeiter!$A$6:$A$205,0)),"Pers.-Nr. unbekannt",IF(A342="","Datum fehlt",IF(AND(D342&lt;&gt;Einstellungen!$C$4,D342&lt;&gt;Einstellungen!$C$5),"Objekt fehlt",IF(YEAR(A342)&lt;&gt;Einstellungen!$C$3,"anderes Jahr",IF(A342&lt;INDEX(Mitarbeiter!$C$6:$C$205,MATCH(B342,Mitarbeiter!$A$6:$A$205,0)),"vor Eintritt",IF(AND(INDEX(Mitarbeiter!$D$6:$D$205,MATCH(B342,Mitarbeiter!$A$6:$A$205,0))&lt;&gt;"",A342&gt;INDEX(Mitarbeiter!$D$6:$D$205,MATCH(B342,Mitarbeiter!$A$6:$A$205,0))),"nach Austritt","ok")))))))</f>
        <v/>
      </c>
    </row>
    <row r="343">
      <c r="A343" s="26" t="n">
        <v>46113</v>
      </c>
      <c r="B343" s="24" t="n">
        <v>1040</v>
      </c>
      <c r="C343" s="40">
        <f>IF(B343="","",IFERROR(INDEX(Mitarbeiter!$B$6:$B$205,MATCH(B343,Mitarbeiter!$A$6:$A$205,0)),"?"))</f>
        <v/>
      </c>
      <c r="D343" s="41" t="inlineStr">
        <is>
          <t>Objekt 1</t>
        </is>
      </c>
      <c r="E343" s="42" t="n">
        <v>94.5</v>
      </c>
      <c r="F343" s="43" t="n">
        <v>0</v>
      </c>
      <c r="G343" s="44">
        <f>IF(OR(B343="",F343=""),"",IFERROR(F343*INDEX(Mitarbeiter!$F$6:$F$205,MATCH(B343,Mitarbeiter!$A$6:$A$205,0)),0))</f>
        <v/>
      </c>
      <c r="H343" s="8">
        <f>IF(B343="","",IF(ISNA(MATCH(B343,Mitarbeiter!$A$6:$A$205,0)),"Pers.-Nr. unbekannt",IF(A343="","Datum fehlt",IF(AND(D343&lt;&gt;Einstellungen!$C$4,D343&lt;&gt;Einstellungen!$C$5),"Objekt fehlt",IF(YEAR(A343)&lt;&gt;Einstellungen!$C$3,"anderes Jahr",IF(A343&lt;INDEX(Mitarbeiter!$C$6:$C$205,MATCH(B343,Mitarbeiter!$A$6:$A$205,0)),"vor Eintritt",IF(AND(INDEX(Mitarbeiter!$D$6:$D$205,MATCH(B343,Mitarbeiter!$A$6:$A$205,0))&lt;&gt;"",A343&gt;INDEX(Mitarbeiter!$D$6:$D$205,MATCH(B343,Mitarbeiter!$A$6:$A$205,0))),"nach Austritt","ok")))))))</f>
        <v/>
      </c>
    </row>
    <row r="344">
      <c r="A344" s="26" t="n">
        <v>46113</v>
      </c>
      <c r="B344" s="24" t="n">
        <v>1040</v>
      </c>
      <c r="C344" s="40">
        <f>IF(B344="","",IFERROR(INDEX(Mitarbeiter!$B$6:$B$205,MATCH(B344,Mitarbeiter!$A$6:$A$205,0)),"?"))</f>
        <v/>
      </c>
      <c r="D344" s="41" t="inlineStr">
        <is>
          <t>Objekt 2</t>
        </is>
      </c>
      <c r="E344" s="42" t="n">
        <v>27</v>
      </c>
      <c r="F344" s="43" t="n">
        <v>0</v>
      </c>
      <c r="G344" s="44">
        <f>IF(OR(B344="",F344=""),"",IFERROR(F344*INDEX(Mitarbeiter!$F$6:$F$205,MATCH(B344,Mitarbeiter!$A$6:$A$205,0)),0))</f>
        <v/>
      </c>
      <c r="H344" s="8">
        <f>IF(B344="","",IF(ISNA(MATCH(B344,Mitarbeiter!$A$6:$A$205,0)),"Pers.-Nr. unbekannt",IF(A344="","Datum fehlt",IF(AND(D344&lt;&gt;Einstellungen!$C$4,D344&lt;&gt;Einstellungen!$C$5),"Objekt fehlt",IF(YEAR(A344)&lt;&gt;Einstellungen!$C$3,"anderes Jahr",IF(A344&lt;INDEX(Mitarbeiter!$C$6:$C$205,MATCH(B344,Mitarbeiter!$A$6:$A$205,0)),"vor Eintritt",IF(AND(INDEX(Mitarbeiter!$D$6:$D$205,MATCH(B344,Mitarbeiter!$A$6:$A$205,0))&lt;&gt;"",A344&gt;INDEX(Mitarbeiter!$D$6:$D$205,MATCH(B344,Mitarbeiter!$A$6:$A$205,0))),"nach Austritt","ok")))))))</f>
        <v/>
      </c>
    </row>
    <row r="345">
      <c r="A345" s="26" t="n">
        <v>46113</v>
      </c>
      <c r="B345" s="24" t="n">
        <v>1045</v>
      </c>
      <c r="C345" s="40">
        <f>IF(B345="","",IFERROR(INDEX(Mitarbeiter!$B$6:$B$205,MATCH(B345,Mitarbeiter!$A$6:$A$205,0)),"?"))</f>
        <v/>
      </c>
      <c r="D345" s="41" t="inlineStr">
        <is>
          <t>Objekt 1</t>
        </is>
      </c>
      <c r="E345" s="42" t="n">
        <v>96</v>
      </c>
      <c r="F345" s="43" t="n">
        <v>0</v>
      </c>
      <c r="G345" s="44">
        <f>IF(OR(B345="",F345=""),"",IFERROR(F345*INDEX(Mitarbeiter!$F$6:$F$205,MATCH(B345,Mitarbeiter!$A$6:$A$205,0)),0))</f>
        <v/>
      </c>
      <c r="H345" s="8">
        <f>IF(B345="","",IF(ISNA(MATCH(B345,Mitarbeiter!$A$6:$A$205,0)),"Pers.-Nr. unbekannt",IF(A345="","Datum fehlt",IF(AND(D345&lt;&gt;Einstellungen!$C$4,D345&lt;&gt;Einstellungen!$C$5),"Objekt fehlt",IF(YEAR(A345)&lt;&gt;Einstellungen!$C$3,"anderes Jahr",IF(A345&lt;INDEX(Mitarbeiter!$C$6:$C$205,MATCH(B345,Mitarbeiter!$A$6:$A$205,0)),"vor Eintritt",IF(AND(INDEX(Mitarbeiter!$D$6:$D$205,MATCH(B345,Mitarbeiter!$A$6:$A$205,0))&lt;&gt;"",A345&gt;INDEX(Mitarbeiter!$D$6:$D$205,MATCH(B345,Mitarbeiter!$A$6:$A$205,0))),"nach Austritt","ok")))))))</f>
        <v/>
      </c>
    </row>
    <row r="346">
      <c r="A346" s="26" t="n">
        <v>46113</v>
      </c>
      <c r="B346" s="24" t="n">
        <v>1045</v>
      </c>
      <c r="C346" s="40">
        <f>IF(B346="","",IFERROR(INDEX(Mitarbeiter!$B$6:$B$205,MATCH(B346,Mitarbeiter!$A$6:$A$205,0)),"?"))</f>
        <v/>
      </c>
      <c r="D346" s="41" t="inlineStr">
        <is>
          <t>Objekt 2</t>
        </is>
      </c>
      <c r="E346" s="42" t="n">
        <v>67</v>
      </c>
      <c r="F346" s="43" t="n">
        <v>0</v>
      </c>
      <c r="G346" s="44">
        <f>IF(OR(B346="",F346=""),"",IFERROR(F346*INDEX(Mitarbeiter!$F$6:$F$205,MATCH(B346,Mitarbeiter!$A$6:$A$205,0)),0))</f>
        <v/>
      </c>
      <c r="H346" s="8">
        <f>IF(B346="","",IF(ISNA(MATCH(B346,Mitarbeiter!$A$6:$A$205,0)),"Pers.-Nr. unbekannt",IF(A346="","Datum fehlt",IF(AND(D346&lt;&gt;Einstellungen!$C$4,D346&lt;&gt;Einstellungen!$C$5),"Objekt fehlt",IF(YEAR(A346)&lt;&gt;Einstellungen!$C$3,"anderes Jahr",IF(A346&lt;INDEX(Mitarbeiter!$C$6:$C$205,MATCH(B346,Mitarbeiter!$A$6:$A$205,0)),"vor Eintritt",IF(AND(INDEX(Mitarbeiter!$D$6:$D$205,MATCH(B346,Mitarbeiter!$A$6:$A$205,0))&lt;&gt;"",A346&gt;INDEX(Mitarbeiter!$D$6:$D$205,MATCH(B346,Mitarbeiter!$A$6:$A$205,0))),"nach Austritt","ok")))))))</f>
        <v/>
      </c>
    </row>
    <row r="347">
      <c r="A347" s="26" t="n">
        <v>46113</v>
      </c>
      <c r="B347" s="24" t="n">
        <v>1046</v>
      </c>
      <c r="C347" s="40">
        <f>IF(B347="","",IFERROR(INDEX(Mitarbeiter!$B$6:$B$205,MATCH(B347,Mitarbeiter!$A$6:$A$205,0)),"?"))</f>
        <v/>
      </c>
      <c r="D347" s="41" t="inlineStr">
        <is>
          <t>Objekt 1</t>
        </is>
      </c>
      <c r="E347" s="42" t="n">
        <v>97.5</v>
      </c>
      <c r="F347" s="43" t="n">
        <v>0</v>
      </c>
      <c r="G347" s="44">
        <f>IF(OR(B347="",F347=""),"",IFERROR(F347*INDEX(Mitarbeiter!$F$6:$F$205,MATCH(B347,Mitarbeiter!$A$6:$A$205,0)),0))</f>
        <v/>
      </c>
      <c r="H347" s="8">
        <f>IF(B347="","",IF(ISNA(MATCH(B347,Mitarbeiter!$A$6:$A$205,0)),"Pers.-Nr. unbekannt",IF(A347="","Datum fehlt",IF(AND(D347&lt;&gt;Einstellungen!$C$4,D347&lt;&gt;Einstellungen!$C$5),"Objekt fehlt",IF(YEAR(A347)&lt;&gt;Einstellungen!$C$3,"anderes Jahr",IF(A347&lt;INDEX(Mitarbeiter!$C$6:$C$205,MATCH(B347,Mitarbeiter!$A$6:$A$205,0)),"vor Eintritt",IF(AND(INDEX(Mitarbeiter!$D$6:$D$205,MATCH(B347,Mitarbeiter!$A$6:$A$205,0))&lt;&gt;"",A347&gt;INDEX(Mitarbeiter!$D$6:$D$205,MATCH(B347,Mitarbeiter!$A$6:$A$205,0))),"nach Austritt","ok")))))))</f>
        <v/>
      </c>
    </row>
    <row r="348">
      <c r="A348" s="26" t="n">
        <v>46113</v>
      </c>
      <c r="B348" s="24" t="n">
        <v>1046</v>
      </c>
      <c r="C348" s="40">
        <f>IF(B348="","",IFERROR(INDEX(Mitarbeiter!$B$6:$B$205,MATCH(B348,Mitarbeiter!$A$6:$A$205,0)),"?"))</f>
        <v/>
      </c>
      <c r="D348" s="41" t="inlineStr">
        <is>
          <t>Objekt 2</t>
        </is>
      </c>
      <c r="E348" s="42" t="n">
        <v>22.5</v>
      </c>
      <c r="F348" s="43" t="n">
        <v>0</v>
      </c>
      <c r="G348" s="44">
        <f>IF(OR(B348="",F348=""),"",IFERROR(F348*INDEX(Mitarbeiter!$F$6:$F$205,MATCH(B348,Mitarbeiter!$A$6:$A$205,0)),0))</f>
        <v/>
      </c>
      <c r="H348" s="8">
        <f>IF(B348="","",IF(ISNA(MATCH(B348,Mitarbeiter!$A$6:$A$205,0)),"Pers.-Nr. unbekannt",IF(A348="","Datum fehlt",IF(AND(D348&lt;&gt;Einstellungen!$C$4,D348&lt;&gt;Einstellungen!$C$5),"Objekt fehlt",IF(YEAR(A348)&lt;&gt;Einstellungen!$C$3,"anderes Jahr",IF(A348&lt;INDEX(Mitarbeiter!$C$6:$C$205,MATCH(B348,Mitarbeiter!$A$6:$A$205,0)),"vor Eintritt",IF(AND(INDEX(Mitarbeiter!$D$6:$D$205,MATCH(B348,Mitarbeiter!$A$6:$A$205,0))&lt;&gt;"",A348&gt;INDEX(Mitarbeiter!$D$6:$D$205,MATCH(B348,Mitarbeiter!$A$6:$A$205,0))),"nach Austritt","ok")))))))</f>
        <v/>
      </c>
    </row>
    <row r="349">
      <c r="A349" s="26" t="n">
        <v>46113</v>
      </c>
      <c r="B349" s="24" t="n">
        <v>1047</v>
      </c>
      <c r="C349" s="40">
        <f>IF(B349="","",IFERROR(INDEX(Mitarbeiter!$B$6:$B$205,MATCH(B349,Mitarbeiter!$A$6:$A$205,0)),"?"))</f>
        <v/>
      </c>
      <c r="D349" s="41" t="inlineStr">
        <is>
          <t>Objekt 2</t>
        </is>
      </c>
      <c r="E349" s="42" t="n">
        <v>142.5</v>
      </c>
      <c r="F349" s="43" t="n">
        <v>2</v>
      </c>
      <c r="G349" s="44">
        <f>IF(OR(B349="",F349=""),"",IFERROR(F349*INDEX(Mitarbeiter!$F$6:$F$205,MATCH(B349,Mitarbeiter!$A$6:$A$205,0)),0))</f>
        <v/>
      </c>
      <c r="H349" s="8">
        <f>IF(B349="","",IF(ISNA(MATCH(B349,Mitarbeiter!$A$6:$A$205,0)),"Pers.-Nr. unbekannt",IF(A349="","Datum fehlt",IF(AND(D349&lt;&gt;Einstellungen!$C$4,D349&lt;&gt;Einstellungen!$C$5),"Objekt fehlt",IF(YEAR(A349)&lt;&gt;Einstellungen!$C$3,"anderes Jahr",IF(A349&lt;INDEX(Mitarbeiter!$C$6:$C$205,MATCH(B349,Mitarbeiter!$A$6:$A$205,0)),"vor Eintritt",IF(AND(INDEX(Mitarbeiter!$D$6:$D$205,MATCH(B349,Mitarbeiter!$A$6:$A$205,0))&lt;&gt;"",A349&gt;INDEX(Mitarbeiter!$D$6:$D$205,MATCH(B349,Mitarbeiter!$A$6:$A$205,0))),"nach Austritt","ok")))))))</f>
        <v/>
      </c>
    </row>
    <row r="350">
      <c r="A350" s="26" t="n">
        <v>46113</v>
      </c>
      <c r="B350" s="24" t="n">
        <v>1049</v>
      </c>
      <c r="C350" s="40">
        <f>IF(B350="","",IFERROR(INDEX(Mitarbeiter!$B$6:$B$205,MATCH(B350,Mitarbeiter!$A$6:$A$205,0)),"?"))</f>
        <v/>
      </c>
      <c r="D350" s="41" t="inlineStr">
        <is>
          <t>Objekt 1</t>
        </is>
      </c>
      <c r="E350" s="42" t="n">
        <v>120</v>
      </c>
      <c r="F350" s="43" t="n">
        <v>0</v>
      </c>
      <c r="G350" s="44">
        <f>IF(OR(B350="",F350=""),"",IFERROR(F350*INDEX(Mitarbeiter!$F$6:$F$205,MATCH(B350,Mitarbeiter!$A$6:$A$205,0)),0))</f>
        <v/>
      </c>
      <c r="H350" s="8">
        <f>IF(B350="","",IF(ISNA(MATCH(B350,Mitarbeiter!$A$6:$A$205,0)),"Pers.-Nr. unbekannt",IF(A350="","Datum fehlt",IF(AND(D350&lt;&gt;Einstellungen!$C$4,D350&lt;&gt;Einstellungen!$C$5),"Objekt fehlt",IF(YEAR(A350)&lt;&gt;Einstellungen!$C$3,"anderes Jahr",IF(A350&lt;INDEX(Mitarbeiter!$C$6:$C$205,MATCH(B350,Mitarbeiter!$A$6:$A$205,0)),"vor Eintritt",IF(AND(INDEX(Mitarbeiter!$D$6:$D$205,MATCH(B350,Mitarbeiter!$A$6:$A$205,0))&lt;&gt;"",A350&gt;INDEX(Mitarbeiter!$D$6:$D$205,MATCH(B350,Mitarbeiter!$A$6:$A$205,0))),"nach Austritt","ok")))))))</f>
        <v/>
      </c>
    </row>
    <row r="351">
      <c r="A351" s="26" t="n">
        <v>46113</v>
      </c>
      <c r="B351" s="24" t="n">
        <v>1050</v>
      </c>
      <c r="C351" s="40">
        <f>IF(B351="","",IFERROR(INDEX(Mitarbeiter!$B$6:$B$205,MATCH(B351,Mitarbeiter!$A$6:$A$205,0)),"?"))</f>
        <v/>
      </c>
      <c r="D351" s="41" t="inlineStr">
        <is>
          <t>Objekt 1</t>
        </is>
      </c>
      <c r="E351" s="42" t="n">
        <v>22.5</v>
      </c>
      <c r="F351" s="43" t="n">
        <v>0</v>
      </c>
      <c r="G351" s="44">
        <f>IF(OR(B351="",F351=""),"",IFERROR(F351*INDEX(Mitarbeiter!$F$6:$F$205,MATCH(B351,Mitarbeiter!$A$6:$A$205,0)),0))</f>
        <v/>
      </c>
      <c r="H351" s="8">
        <f>IF(B351="","",IF(ISNA(MATCH(B351,Mitarbeiter!$A$6:$A$205,0)),"Pers.-Nr. unbekannt",IF(A351="","Datum fehlt",IF(AND(D351&lt;&gt;Einstellungen!$C$4,D351&lt;&gt;Einstellungen!$C$5),"Objekt fehlt",IF(YEAR(A351)&lt;&gt;Einstellungen!$C$3,"anderes Jahr",IF(A351&lt;INDEX(Mitarbeiter!$C$6:$C$205,MATCH(B351,Mitarbeiter!$A$6:$A$205,0)),"vor Eintritt",IF(AND(INDEX(Mitarbeiter!$D$6:$D$205,MATCH(B351,Mitarbeiter!$A$6:$A$205,0))&lt;&gt;"",A351&gt;INDEX(Mitarbeiter!$D$6:$D$205,MATCH(B351,Mitarbeiter!$A$6:$A$205,0))),"nach Austritt","ok")))))))</f>
        <v/>
      </c>
    </row>
    <row r="352">
      <c r="A352" s="26" t="n">
        <v>46113</v>
      </c>
      <c r="B352" s="24" t="n">
        <v>1050</v>
      </c>
      <c r="C352" s="40">
        <f>IF(B352="","",IFERROR(INDEX(Mitarbeiter!$B$6:$B$205,MATCH(B352,Mitarbeiter!$A$6:$A$205,0)),"?"))</f>
        <v/>
      </c>
      <c r="D352" s="41" t="inlineStr">
        <is>
          <t>Objekt 2</t>
        </is>
      </c>
      <c r="E352" s="42" t="n">
        <v>96</v>
      </c>
      <c r="F352" s="43" t="n">
        <v>0</v>
      </c>
      <c r="G352" s="44">
        <f>IF(OR(B352="",F352=""),"",IFERROR(F352*INDEX(Mitarbeiter!$F$6:$F$205,MATCH(B352,Mitarbeiter!$A$6:$A$205,0)),0))</f>
        <v/>
      </c>
      <c r="H352" s="8">
        <f>IF(B352="","",IF(ISNA(MATCH(B352,Mitarbeiter!$A$6:$A$205,0)),"Pers.-Nr. unbekannt",IF(A352="","Datum fehlt",IF(AND(D352&lt;&gt;Einstellungen!$C$4,D352&lt;&gt;Einstellungen!$C$5),"Objekt fehlt",IF(YEAR(A352)&lt;&gt;Einstellungen!$C$3,"anderes Jahr",IF(A352&lt;INDEX(Mitarbeiter!$C$6:$C$205,MATCH(B352,Mitarbeiter!$A$6:$A$205,0)),"vor Eintritt",IF(AND(INDEX(Mitarbeiter!$D$6:$D$205,MATCH(B352,Mitarbeiter!$A$6:$A$205,0))&lt;&gt;"",A352&gt;INDEX(Mitarbeiter!$D$6:$D$205,MATCH(B352,Mitarbeiter!$A$6:$A$205,0))),"nach Austritt","ok")))))))</f>
        <v/>
      </c>
    </row>
    <row r="353">
      <c r="A353" s="26" t="n">
        <v>46113</v>
      </c>
      <c r="B353" s="24" t="n">
        <v>1051</v>
      </c>
      <c r="C353" s="40">
        <f>IF(B353="","",IFERROR(INDEX(Mitarbeiter!$B$6:$B$205,MATCH(B353,Mitarbeiter!$A$6:$A$205,0)),"?"))</f>
        <v/>
      </c>
      <c r="D353" s="41" t="inlineStr">
        <is>
          <t>Objekt 2</t>
        </is>
      </c>
      <c r="E353" s="42" t="n">
        <v>160</v>
      </c>
      <c r="F353" s="43" t="n">
        <v>0</v>
      </c>
      <c r="G353" s="44">
        <f>IF(OR(B353="",F353=""),"",IFERROR(F353*INDEX(Mitarbeiter!$F$6:$F$205,MATCH(B353,Mitarbeiter!$A$6:$A$205,0)),0))</f>
        <v/>
      </c>
      <c r="H353" s="8">
        <f>IF(B353="","",IF(ISNA(MATCH(B353,Mitarbeiter!$A$6:$A$205,0)),"Pers.-Nr. unbekannt",IF(A353="","Datum fehlt",IF(AND(D353&lt;&gt;Einstellungen!$C$4,D353&lt;&gt;Einstellungen!$C$5),"Objekt fehlt",IF(YEAR(A353)&lt;&gt;Einstellungen!$C$3,"anderes Jahr",IF(A353&lt;INDEX(Mitarbeiter!$C$6:$C$205,MATCH(B353,Mitarbeiter!$A$6:$A$205,0)),"vor Eintritt",IF(AND(INDEX(Mitarbeiter!$D$6:$D$205,MATCH(B353,Mitarbeiter!$A$6:$A$205,0))&lt;&gt;"",A353&gt;INDEX(Mitarbeiter!$D$6:$D$205,MATCH(B353,Mitarbeiter!$A$6:$A$205,0))),"nach Austritt","ok")))))))</f>
        <v/>
      </c>
    </row>
    <row r="354">
      <c r="A354" s="26" t="n">
        <v>46113</v>
      </c>
      <c r="B354" s="24" t="n">
        <v>1053</v>
      </c>
      <c r="C354" s="40">
        <f>IF(B354="","",IFERROR(INDEX(Mitarbeiter!$B$6:$B$205,MATCH(B354,Mitarbeiter!$A$6:$A$205,0)),"?"))</f>
        <v/>
      </c>
      <c r="D354" s="41" t="inlineStr">
        <is>
          <t>Objekt 1</t>
        </is>
      </c>
      <c r="E354" s="42" t="n">
        <v>49.5</v>
      </c>
      <c r="F354" s="43" t="n">
        <v>0</v>
      </c>
      <c r="G354" s="44">
        <f>IF(OR(B354="",F354=""),"",IFERROR(F354*INDEX(Mitarbeiter!$F$6:$F$205,MATCH(B354,Mitarbeiter!$A$6:$A$205,0)),0))</f>
        <v/>
      </c>
      <c r="H354" s="8">
        <f>IF(B354="","",IF(ISNA(MATCH(B354,Mitarbeiter!$A$6:$A$205,0)),"Pers.-Nr. unbekannt",IF(A354="","Datum fehlt",IF(AND(D354&lt;&gt;Einstellungen!$C$4,D354&lt;&gt;Einstellungen!$C$5),"Objekt fehlt",IF(YEAR(A354)&lt;&gt;Einstellungen!$C$3,"anderes Jahr",IF(A354&lt;INDEX(Mitarbeiter!$C$6:$C$205,MATCH(B354,Mitarbeiter!$A$6:$A$205,0)),"vor Eintritt",IF(AND(INDEX(Mitarbeiter!$D$6:$D$205,MATCH(B354,Mitarbeiter!$A$6:$A$205,0))&lt;&gt;"",A354&gt;INDEX(Mitarbeiter!$D$6:$D$205,MATCH(B354,Mitarbeiter!$A$6:$A$205,0))),"nach Austritt","ok")))))))</f>
        <v/>
      </c>
    </row>
    <row r="355">
      <c r="A355" s="26" t="n">
        <v>46113</v>
      </c>
      <c r="B355" s="24" t="n">
        <v>1053</v>
      </c>
      <c r="C355" s="40">
        <f>IF(B355="","",IFERROR(INDEX(Mitarbeiter!$B$6:$B$205,MATCH(B355,Mitarbeiter!$A$6:$A$205,0)),"?"))</f>
        <v/>
      </c>
      <c r="D355" s="41" t="inlineStr">
        <is>
          <t>Objekt 2</t>
        </is>
      </c>
      <c r="E355" s="42" t="n">
        <v>70.5</v>
      </c>
      <c r="F355" s="43" t="n">
        <v>0</v>
      </c>
      <c r="G355" s="44">
        <f>IF(OR(B355="",F355=""),"",IFERROR(F355*INDEX(Mitarbeiter!$F$6:$F$205,MATCH(B355,Mitarbeiter!$A$6:$A$205,0)),0))</f>
        <v/>
      </c>
      <c r="H355" s="8">
        <f>IF(B355="","",IF(ISNA(MATCH(B355,Mitarbeiter!$A$6:$A$205,0)),"Pers.-Nr. unbekannt",IF(A355="","Datum fehlt",IF(AND(D355&lt;&gt;Einstellungen!$C$4,D355&lt;&gt;Einstellungen!$C$5),"Objekt fehlt",IF(YEAR(A355)&lt;&gt;Einstellungen!$C$3,"anderes Jahr",IF(A355&lt;INDEX(Mitarbeiter!$C$6:$C$205,MATCH(B355,Mitarbeiter!$A$6:$A$205,0)),"vor Eintritt",IF(AND(INDEX(Mitarbeiter!$D$6:$D$205,MATCH(B355,Mitarbeiter!$A$6:$A$205,0))&lt;&gt;"",A355&gt;INDEX(Mitarbeiter!$D$6:$D$205,MATCH(B355,Mitarbeiter!$A$6:$A$205,0))),"nach Austritt","ok")))))))</f>
        <v/>
      </c>
    </row>
    <row r="356">
      <c r="A356" s="26" t="n">
        <v>46113</v>
      </c>
      <c r="B356" s="24" t="n">
        <v>1054</v>
      </c>
      <c r="C356" s="40">
        <f>IF(B356="","",IFERROR(INDEX(Mitarbeiter!$B$6:$B$205,MATCH(B356,Mitarbeiter!$A$6:$A$205,0)),"?"))</f>
        <v/>
      </c>
      <c r="D356" s="41" t="inlineStr">
        <is>
          <t>Objekt 2</t>
        </is>
      </c>
      <c r="E356" s="42" t="n">
        <v>152</v>
      </c>
      <c r="F356" s="43" t="n">
        <v>1</v>
      </c>
      <c r="G356" s="44">
        <f>IF(OR(B356="",F356=""),"",IFERROR(F356*INDEX(Mitarbeiter!$F$6:$F$205,MATCH(B356,Mitarbeiter!$A$6:$A$205,0)),0))</f>
        <v/>
      </c>
      <c r="H356" s="8">
        <f>IF(B356="","",IF(ISNA(MATCH(B356,Mitarbeiter!$A$6:$A$205,0)),"Pers.-Nr. unbekannt",IF(A356="","Datum fehlt",IF(AND(D356&lt;&gt;Einstellungen!$C$4,D356&lt;&gt;Einstellungen!$C$5),"Objekt fehlt",IF(YEAR(A356)&lt;&gt;Einstellungen!$C$3,"anderes Jahr",IF(A356&lt;INDEX(Mitarbeiter!$C$6:$C$205,MATCH(B356,Mitarbeiter!$A$6:$A$205,0)),"vor Eintritt",IF(AND(INDEX(Mitarbeiter!$D$6:$D$205,MATCH(B356,Mitarbeiter!$A$6:$A$205,0))&lt;&gt;"",A356&gt;INDEX(Mitarbeiter!$D$6:$D$205,MATCH(B356,Mitarbeiter!$A$6:$A$205,0))),"nach Austritt","ok")))))))</f>
        <v/>
      </c>
    </row>
    <row r="357">
      <c r="A357" s="26" t="n">
        <v>46113</v>
      </c>
      <c r="B357" s="24" t="n">
        <v>1059</v>
      </c>
      <c r="C357" s="40">
        <f>IF(B357="","",IFERROR(INDEX(Mitarbeiter!$B$6:$B$205,MATCH(B357,Mitarbeiter!$A$6:$A$205,0)),"?"))</f>
        <v/>
      </c>
      <c r="D357" s="41" t="inlineStr">
        <is>
          <t>Objekt 1</t>
        </is>
      </c>
      <c r="E357" s="42" t="n">
        <v>78.5</v>
      </c>
      <c r="F357" s="43" t="n">
        <v>0</v>
      </c>
      <c r="G357" s="44">
        <f>IF(OR(B357="",F357=""),"",IFERROR(F357*INDEX(Mitarbeiter!$F$6:$F$205,MATCH(B357,Mitarbeiter!$A$6:$A$205,0)),0))</f>
        <v/>
      </c>
      <c r="H357" s="8">
        <f>IF(B357="","",IF(ISNA(MATCH(B357,Mitarbeiter!$A$6:$A$205,0)),"Pers.-Nr. unbekannt",IF(A357="","Datum fehlt",IF(AND(D357&lt;&gt;Einstellungen!$C$4,D357&lt;&gt;Einstellungen!$C$5),"Objekt fehlt",IF(YEAR(A357)&lt;&gt;Einstellungen!$C$3,"anderes Jahr",IF(A357&lt;INDEX(Mitarbeiter!$C$6:$C$205,MATCH(B357,Mitarbeiter!$A$6:$A$205,0)),"vor Eintritt",IF(AND(INDEX(Mitarbeiter!$D$6:$D$205,MATCH(B357,Mitarbeiter!$A$6:$A$205,0))&lt;&gt;"",A357&gt;INDEX(Mitarbeiter!$D$6:$D$205,MATCH(B357,Mitarbeiter!$A$6:$A$205,0))),"nach Austritt","ok")))))))</f>
        <v/>
      </c>
    </row>
    <row r="358">
      <c r="A358" s="26" t="n">
        <v>46113</v>
      </c>
      <c r="B358" s="24" t="n">
        <v>1061</v>
      </c>
      <c r="C358" s="40">
        <f>IF(B358="","",IFERROR(INDEX(Mitarbeiter!$B$6:$B$205,MATCH(B358,Mitarbeiter!$A$6:$A$205,0)),"?"))</f>
        <v/>
      </c>
      <c r="D358" s="41" t="inlineStr">
        <is>
          <t>Objekt 1</t>
        </is>
      </c>
      <c r="E358" s="42" t="n">
        <v>81.5</v>
      </c>
      <c r="F358" s="43" t="n">
        <v>0</v>
      </c>
      <c r="G358" s="44">
        <f>IF(OR(B358="",F358=""),"",IFERROR(F358*INDEX(Mitarbeiter!$F$6:$F$205,MATCH(B358,Mitarbeiter!$A$6:$A$205,0)),0))</f>
        <v/>
      </c>
      <c r="H358" s="8">
        <f>IF(B358="","",IF(ISNA(MATCH(B358,Mitarbeiter!$A$6:$A$205,0)),"Pers.-Nr. unbekannt",IF(A358="","Datum fehlt",IF(AND(D358&lt;&gt;Einstellungen!$C$4,D358&lt;&gt;Einstellungen!$C$5),"Objekt fehlt",IF(YEAR(A358)&lt;&gt;Einstellungen!$C$3,"anderes Jahr",IF(A358&lt;INDEX(Mitarbeiter!$C$6:$C$205,MATCH(B358,Mitarbeiter!$A$6:$A$205,0)),"vor Eintritt",IF(AND(INDEX(Mitarbeiter!$D$6:$D$205,MATCH(B358,Mitarbeiter!$A$6:$A$205,0))&lt;&gt;"",A358&gt;INDEX(Mitarbeiter!$D$6:$D$205,MATCH(B358,Mitarbeiter!$A$6:$A$205,0))),"nach Austritt","ok")))))))</f>
        <v/>
      </c>
    </row>
    <row r="359">
      <c r="A359" s="26" t="n">
        <v>46113</v>
      </c>
      <c r="B359" s="24" t="n">
        <v>1061</v>
      </c>
      <c r="C359" s="40">
        <f>IF(B359="","",IFERROR(INDEX(Mitarbeiter!$B$6:$B$205,MATCH(B359,Mitarbeiter!$A$6:$A$205,0)),"?"))</f>
        <v/>
      </c>
      <c r="D359" s="41" t="inlineStr">
        <is>
          <t>Objekt 2</t>
        </is>
      </c>
      <c r="E359" s="42" t="n">
        <v>78.5</v>
      </c>
      <c r="F359" s="43" t="n">
        <v>0</v>
      </c>
      <c r="G359" s="44">
        <f>IF(OR(B359="",F359=""),"",IFERROR(F359*INDEX(Mitarbeiter!$F$6:$F$205,MATCH(B359,Mitarbeiter!$A$6:$A$205,0)),0))</f>
        <v/>
      </c>
      <c r="H359" s="8">
        <f>IF(B359="","",IF(ISNA(MATCH(B359,Mitarbeiter!$A$6:$A$205,0)),"Pers.-Nr. unbekannt",IF(A359="","Datum fehlt",IF(AND(D359&lt;&gt;Einstellungen!$C$4,D359&lt;&gt;Einstellungen!$C$5),"Objekt fehlt",IF(YEAR(A359)&lt;&gt;Einstellungen!$C$3,"anderes Jahr",IF(A359&lt;INDEX(Mitarbeiter!$C$6:$C$205,MATCH(B359,Mitarbeiter!$A$6:$A$205,0)),"vor Eintritt",IF(AND(INDEX(Mitarbeiter!$D$6:$D$205,MATCH(B359,Mitarbeiter!$A$6:$A$205,0))&lt;&gt;"",A359&gt;INDEX(Mitarbeiter!$D$6:$D$205,MATCH(B359,Mitarbeiter!$A$6:$A$205,0))),"nach Austritt","ok")))))))</f>
        <v/>
      </c>
    </row>
    <row r="360">
      <c r="A360" s="26" t="n">
        <v>46113</v>
      </c>
      <c r="B360" s="24" t="n">
        <v>1062</v>
      </c>
      <c r="C360" s="40">
        <f>IF(B360="","",IFERROR(INDEX(Mitarbeiter!$B$6:$B$205,MATCH(B360,Mitarbeiter!$A$6:$A$205,0)),"?"))</f>
        <v/>
      </c>
      <c r="D360" s="41" t="inlineStr">
        <is>
          <t>Objekt 1</t>
        </is>
      </c>
      <c r="E360" s="42" t="n">
        <v>64</v>
      </c>
      <c r="F360" s="43" t="n">
        <v>0</v>
      </c>
      <c r="G360" s="44">
        <f>IF(OR(B360="",F360=""),"",IFERROR(F360*INDEX(Mitarbeiter!$F$6:$F$205,MATCH(B360,Mitarbeiter!$A$6:$A$205,0)),0))</f>
        <v/>
      </c>
      <c r="H360" s="8">
        <f>IF(B360="","",IF(ISNA(MATCH(B360,Mitarbeiter!$A$6:$A$205,0)),"Pers.-Nr. unbekannt",IF(A360="","Datum fehlt",IF(AND(D360&lt;&gt;Einstellungen!$C$4,D360&lt;&gt;Einstellungen!$C$5),"Objekt fehlt",IF(YEAR(A360)&lt;&gt;Einstellungen!$C$3,"anderes Jahr",IF(A360&lt;INDEX(Mitarbeiter!$C$6:$C$205,MATCH(B360,Mitarbeiter!$A$6:$A$205,0)),"vor Eintritt",IF(AND(INDEX(Mitarbeiter!$D$6:$D$205,MATCH(B360,Mitarbeiter!$A$6:$A$205,0))&lt;&gt;"",A360&gt;INDEX(Mitarbeiter!$D$6:$D$205,MATCH(B360,Mitarbeiter!$A$6:$A$205,0))),"nach Austritt","ok")))))))</f>
        <v/>
      </c>
    </row>
    <row r="361">
      <c r="A361" s="26" t="n">
        <v>46113</v>
      </c>
      <c r="B361" s="24" t="n">
        <v>1062</v>
      </c>
      <c r="C361" s="40">
        <f>IF(B361="","",IFERROR(INDEX(Mitarbeiter!$B$6:$B$205,MATCH(B361,Mitarbeiter!$A$6:$A$205,0)),"?"))</f>
        <v/>
      </c>
      <c r="D361" s="41" t="inlineStr">
        <is>
          <t>Objekt 2</t>
        </is>
      </c>
      <c r="E361" s="42" t="n">
        <v>97.5</v>
      </c>
      <c r="F361" s="43" t="n">
        <v>0</v>
      </c>
      <c r="G361" s="44">
        <f>IF(OR(B361="",F361=""),"",IFERROR(F361*INDEX(Mitarbeiter!$F$6:$F$205,MATCH(B361,Mitarbeiter!$A$6:$A$205,0)),0))</f>
        <v/>
      </c>
      <c r="H361" s="8">
        <f>IF(B361="","",IF(ISNA(MATCH(B361,Mitarbeiter!$A$6:$A$205,0)),"Pers.-Nr. unbekannt",IF(A361="","Datum fehlt",IF(AND(D361&lt;&gt;Einstellungen!$C$4,D361&lt;&gt;Einstellungen!$C$5),"Objekt fehlt",IF(YEAR(A361)&lt;&gt;Einstellungen!$C$3,"anderes Jahr",IF(A361&lt;INDEX(Mitarbeiter!$C$6:$C$205,MATCH(B361,Mitarbeiter!$A$6:$A$205,0)),"vor Eintritt",IF(AND(INDEX(Mitarbeiter!$D$6:$D$205,MATCH(B361,Mitarbeiter!$A$6:$A$205,0))&lt;&gt;"",A361&gt;INDEX(Mitarbeiter!$D$6:$D$205,MATCH(B361,Mitarbeiter!$A$6:$A$205,0))),"nach Austritt","ok")))))))</f>
        <v/>
      </c>
    </row>
    <row r="362">
      <c r="A362" s="26" t="n">
        <v>46113</v>
      </c>
      <c r="B362" s="24" t="n">
        <v>1066</v>
      </c>
      <c r="C362" s="40">
        <f>IF(B362="","",IFERROR(INDEX(Mitarbeiter!$B$6:$B$205,MATCH(B362,Mitarbeiter!$A$6:$A$205,0)),"?"))</f>
        <v/>
      </c>
      <c r="D362" s="41" t="inlineStr">
        <is>
          <t>Objekt 1</t>
        </is>
      </c>
      <c r="E362" s="42" t="n">
        <v>56</v>
      </c>
      <c r="F362" s="43" t="n">
        <v>2</v>
      </c>
      <c r="G362" s="44">
        <f>IF(OR(B362="",F362=""),"",IFERROR(F362*INDEX(Mitarbeiter!$F$6:$F$205,MATCH(B362,Mitarbeiter!$A$6:$A$205,0)),0))</f>
        <v/>
      </c>
      <c r="H362" s="8">
        <f>IF(B362="","",IF(ISNA(MATCH(B362,Mitarbeiter!$A$6:$A$205,0)),"Pers.-Nr. unbekannt",IF(A362="","Datum fehlt",IF(AND(D362&lt;&gt;Einstellungen!$C$4,D362&lt;&gt;Einstellungen!$C$5),"Objekt fehlt",IF(YEAR(A362)&lt;&gt;Einstellungen!$C$3,"anderes Jahr",IF(A362&lt;INDEX(Mitarbeiter!$C$6:$C$205,MATCH(B362,Mitarbeiter!$A$6:$A$205,0)),"vor Eintritt",IF(AND(INDEX(Mitarbeiter!$D$6:$D$205,MATCH(B362,Mitarbeiter!$A$6:$A$205,0))&lt;&gt;"",A362&gt;INDEX(Mitarbeiter!$D$6:$D$205,MATCH(B362,Mitarbeiter!$A$6:$A$205,0))),"nach Austritt","ok")))))))</f>
        <v/>
      </c>
    </row>
    <row r="363">
      <c r="A363" s="26" t="n">
        <v>46113</v>
      </c>
      <c r="B363" s="24" t="n">
        <v>1066</v>
      </c>
      <c r="C363" s="40">
        <f>IF(B363="","",IFERROR(INDEX(Mitarbeiter!$B$6:$B$205,MATCH(B363,Mitarbeiter!$A$6:$A$205,0)),"?"))</f>
        <v/>
      </c>
      <c r="D363" s="41" t="inlineStr">
        <is>
          <t>Objekt 2</t>
        </is>
      </c>
      <c r="E363" s="42" t="n">
        <v>12</v>
      </c>
      <c r="F363" s="43" t="n">
        <v>1</v>
      </c>
      <c r="G363" s="44">
        <f>IF(OR(B363="",F363=""),"",IFERROR(F363*INDEX(Mitarbeiter!$F$6:$F$205,MATCH(B363,Mitarbeiter!$A$6:$A$205,0)),0))</f>
        <v/>
      </c>
      <c r="H363" s="8">
        <f>IF(B363="","",IF(ISNA(MATCH(B363,Mitarbeiter!$A$6:$A$205,0)),"Pers.-Nr. unbekannt",IF(A363="","Datum fehlt",IF(AND(D363&lt;&gt;Einstellungen!$C$4,D363&lt;&gt;Einstellungen!$C$5),"Objekt fehlt",IF(YEAR(A363)&lt;&gt;Einstellungen!$C$3,"anderes Jahr",IF(A363&lt;INDEX(Mitarbeiter!$C$6:$C$205,MATCH(B363,Mitarbeiter!$A$6:$A$205,0)),"vor Eintritt",IF(AND(INDEX(Mitarbeiter!$D$6:$D$205,MATCH(B363,Mitarbeiter!$A$6:$A$205,0))&lt;&gt;"",A363&gt;INDEX(Mitarbeiter!$D$6:$D$205,MATCH(B363,Mitarbeiter!$A$6:$A$205,0))),"nach Austritt","ok")))))))</f>
        <v/>
      </c>
    </row>
    <row r="364">
      <c r="A364" s="26" t="n">
        <v>46113</v>
      </c>
      <c r="B364" s="24" t="n">
        <v>1068</v>
      </c>
      <c r="C364" s="40">
        <f>IF(B364="","",IFERROR(INDEX(Mitarbeiter!$B$6:$B$205,MATCH(B364,Mitarbeiter!$A$6:$A$205,0)),"?"))</f>
        <v/>
      </c>
      <c r="D364" s="41" t="inlineStr">
        <is>
          <t>Objekt 1</t>
        </is>
      </c>
      <c r="E364" s="42" t="n">
        <v>88</v>
      </c>
      <c r="F364" s="43" t="n">
        <v>1</v>
      </c>
      <c r="G364" s="44">
        <f>IF(OR(B364="",F364=""),"",IFERROR(F364*INDEX(Mitarbeiter!$F$6:$F$205,MATCH(B364,Mitarbeiter!$A$6:$A$205,0)),0))</f>
        <v/>
      </c>
      <c r="H364" s="8">
        <f>IF(B364="","",IF(ISNA(MATCH(B364,Mitarbeiter!$A$6:$A$205,0)),"Pers.-Nr. unbekannt",IF(A364="","Datum fehlt",IF(AND(D364&lt;&gt;Einstellungen!$C$4,D364&lt;&gt;Einstellungen!$C$5),"Objekt fehlt",IF(YEAR(A364)&lt;&gt;Einstellungen!$C$3,"anderes Jahr",IF(A364&lt;INDEX(Mitarbeiter!$C$6:$C$205,MATCH(B364,Mitarbeiter!$A$6:$A$205,0)),"vor Eintritt",IF(AND(INDEX(Mitarbeiter!$D$6:$D$205,MATCH(B364,Mitarbeiter!$A$6:$A$205,0))&lt;&gt;"",A364&gt;INDEX(Mitarbeiter!$D$6:$D$205,MATCH(B364,Mitarbeiter!$A$6:$A$205,0))),"nach Austritt","ok")))))))</f>
        <v/>
      </c>
    </row>
    <row r="365">
      <c r="A365" s="26" t="n">
        <v>46113</v>
      </c>
      <c r="B365" s="24" t="n">
        <v>1068</v>
      </c>
      <c r="C365" s="40">
        <f>IF(B365="","",IFERROR(INDEX(Mitarbeiter!$B$6:$B$205,MATCH(B365,Mitarbeiter!$A$6:$A$205,0)),"?"))</f>
        <v/>
      </c>
      <c r="D365" s="41" t="inlineStr">
        <is>
          <t>Objekt 2</t>
        </is>
      </c>
      <c r="E365" s="42" t="n">
        <v>57.5</v>
      </c>
      <c r="F365" s="43" t="n">
        <v>1</v>
      </c>
      <c r="G365" s="44">
        <f>IF(OR(B365="",F365=""),"",IFERROR(F365*INDEX(Mitarbeiter!$F$6:$F$205,MATCH(B365,Mitarbeiter!$A$6:$A$205,0)),0))</f>
        <v/>
      </c>
      <c r="H365" s="8">
        <f>IF(B365="","",IF(ISNA(MATCH(B365,Mitarbeiter!$A$6:$A$205,0)),"Pers.-Nr. unbekannt",IF(A365="","Datum fehlt",IF(AND(D365&lt;&gt;Einstellungen!$C$4,D365&lt;&gt;Einstellungen!$C$5),"Objekt fehlt",IF(YEAR(A365)&lt;&gt;Einstellungen!$C$3,"anderes Jahr",IF(A365&lt;INDEX(Mitarbeiter!$C$6:$C$205,MATCH(B365,Mitarbeiter!$A$6:$A$205,0)),"vor Eintritt",IF(AND(INDEX(Mitarbeiter!$D$6:$D$205,MATCH(B365,Mitarbeiter!$A$6:$A$205,0))&lt;&gt;"",A365&gt;INDEX(Mitarbeiter!$D$6:$D$205,MATCH(B365,Mitarbeiter!$A$6:$A$205,0))),"nach Austritt","ok")))))))</f>
        <v/>
      </c>
    </row>
    <row r="366">
      <c r="A366" s="26" t="n">
        <v>46113</v>
      </c>
      <c r="B366" s="24" t="n">
        <v>1069</v>
      </c>
      <c r="C366" s="40">
        <f>IF(B366="","",IFERROR(INDEX(Mitarbeiter!$B$6:$B$205,MATCH(B366,Mitarbeiter!$A$6:$A$205,0)),"?"))</f>
        <v/>
      </c>
      <c r="D366" s="41" t="inlineStr">
        <is>
          <t>Objekt 1</t>
        </is>
      </c>
      <c r="E366" s="42" t="n">
        <v>152</v>
      </c>
      <c r="F366" s="43" t="n">
        <v>1</v>
      </c>
      <c r="G366" s="44">
        <f>IF(OR(B366="",F366=""),"",IFERROR(F366*INDEX(Mitarbeiter!$F$6:$F$205,MATCH(B366,Mitarbeiter!$A$6:$A$205,0)),0))</f>
        <v/>
      </c>
      <c r="H366" s="8">
        <f>IF(B366="","",IF(ISNA(MATCH(B366,Mitarbeiter!$A$6:$A$205,0)),"Pers.-Nr. unbekannt",IF(A366="","Datum fehlt",IF(AND(D366&lt;&gt;Einstellungen!$C$4,D366&lt;&gt;Einstellungen!$C$5),"Objekt fehlt",IF(YEAR(A366)&lt;&gt;Einstellungen!$C$3,"anderes Jahr",IF(A366&lt;INDEX(Mitarbeiter!$C$6:$C$205,MATCH(B366,Mitarbeiter!$A$6:$A$205,0)),"vor Eintritt",IF(AND(INDEX(Mitarbeiter!$D$6:$D$205,MATCH(B366,Mitarbeiter!$A$6:$A$205,0))&lt;&gt;"",A366&gt;INDEX(Mitarbeiter!$D$6:$D$205,MATCH(B366,Mitarbeiter!$A$6:$A$205,0))),"nach Austritt","ok")))))))</f>
        <v/>
      </c>
    </row>
    <row r="367">
      <c r="A367" s="26" t="n">
        <v>46113</v>
      </c>
      <c r="B367" s="24" t="n">
        <v>1070</v>
      </c>
      <c r="C367" s="40">
        <f>IF(B367="","",IFERROR(INDEX(Mitarbeiter!$B$6:$B$205,MATCH(B367,Mitarbeiter!$A$6:$A$205,0)),"?"))</f>
        <v/>
      </c>
      <c r="D367" s="41" t="inlineStr">
        <is>
          <t>Objekt 2</t>
        </is>
      </c>
      <c r="E367" s="42" t="n">
        <v>161.5</v>
      </c>
      <c r="F367" s="43" t="n">
        <v>0</v>
      </c>
      <c r="G367" s="44">
        <f>IF(OR(B367="",F367=""),"",IFERROR(F367*INDEX(Mitarbeiter!$F$6:$F$205,MATCH(B367,Mitarbeiter!$A$6:$A$205,0)),0))</f>
        <v/>
      </c>
      <c r="H367" s="8">
        <f>IF(B367="","",IF(ISNA(MATCH(B367,Mitarbeiter!$A$6:$A$205,0)),"Pers.-Nr. unbekannt",IF(A367="","Datum fehlt",IF(AND(D367&lt;&gt;Einstellungen!$C$4,D367&lt;&gt;Einstellungen!$C$5),"Objekt fehlt",IF(YEAR(A367)&lt;&gt;Einstellungen!$C$3,"anderes Jahr",IF(A367&lt;INDEX(Mitarbeiter!$C$6:$C$205,MATCH(B367,Mitarbeiter!$A$6:$A$205,0)),"vor Eintritt",IF(AND(INDEX(Mitarbeiter!$D$6:$D$205,MATCH(B367,Mitarbeiter!$A$6:$A$205,0))&lt;&gt;"",A367&gt;INDEX(Mitarbeiter!$D$6:$D$205,MATCH(B367,Mitarbeiter!$A$6:$A$205,0))),"nach Austritt","ok")))))))</f>
        <v/>
      </c>
    </row>
    <row r="368">
      <c r="A368" s="26" t="n">
        <v>46113</v>
      </c>
      <c r="B368" s="24" t="n">
        <v>1071</v>
      </c>
      <c r="C368" s="40">
        <f>IF(B368="","",IFERROR(INDEX(Mitarbeiter!$B$6:$B$205,MATCH(B368,Mitarbeiter!$A$6:$A$205,0)),"?"))</f>
        <v/>
      </c>
      <c r="D368" s="41" t="inlineStr">
        <is>
          <t>Objekt 2</t>
        </is>
      </c>
      <c r="E368" s="42" t="n">
        <v>118.5</v>
      </c>
      <c r="F368" s="43" t="n">
        <v>0</v>
      </c>
      <c r="G368" s="44">
        <f>IF(OR(B368="",F368=""),"",IFERROR(F368*INDEX(Mitarbeiter!$F$6:$F$205,MATCH(B368,Mitarbeiter!$A$6:$A$205,0)),0))</f>
        <v/>
      </c>
      <c r="H368" s="8">
        <f>IF(B368="","",IF(ISNA(MATCH(B368,Mitarbeiter!$A$6:$A$205,0)),"Pers.-Nr. unbekannt",IF(A368="","Datum fehlt",IF(AND(D368&lt;&gt;Einstellungen!$C$4,D368&lt;&gt;Einstellungen!$C$5),"Objekt fehlt",IF(YEAR(A368)&lt;&gt;Einstellungen!$C$3,"anderes Jahr",IF(A368&lt;INDEX(Mitarbeiter!$C$6:$C$205,MATCH(B368,Mitarbeiter!$A$6:$A$205,0)),"vor Eintritt",IF(AND(INDEX(Mitarbeiter!$D$6:$D$205,MATCH(B368,Mitarbeiter!$A$6:$A$205,0))&lt;&gt;"",A368&gt;INDEX(Mitarbeiter!$D$6:$D$205,MATCH(B368,Mitarbeiter!$A$6:$A$205,0))),"nach Austritt","ok")))))))</f>
        <v/>
      </c>
    </row>
    <row r="369">
      <c r="A369" s="26" t="n">
        <v>46143</v>
      </c>
      <c r="B369" s="24" t="n">
        <v>1001</v>
      </c>
      <c r="C369" s="40">
        <f>IF(B369="","",IFERROR(INDEX(Mitarbeiter!$B$6:$B$205,MATCH(B369,Mitarbeiter!$A$6:$A$205,0)),"?"))</f>
        <v/>
      </c>
      <c r="D369" s="41" t="inlineStr">
        <is>
          <t>Objekt 1</t>
        </is>
      </c>
      <c r="E369" s="42" t="n">
        <v>26.5</v>
      </c>
      <c r="F369" s="43" t="n">
        <v>2</v>
      </c>
      <c r="G369" s="44">
        <f>IF(OR(B369="",F369=""),"",IFERROR(F369*INDEX(Mitarbeiter!$F$6:$F$205,MATCH(B369,Mitarbeiter!$A$6:$A$205,0)),0))</f>
        <v/>
      </c>
      <c r="H369" s="8">
        <f>IF(B369="","",IF(ISNA(MATCH(B369,Mitarbeiter!$A$6:$A$205,0)),"Pers.-Nr. unbekannt",IF(A369="","Datum fehlt",IF(AND(D369&lt;&gt;Einstellungen!$C$4,D369&lt;&gt;Einstellungen!$C$5),"Objekt fehlt",IF(YEAR(A369)&lt;&gt;Einstellungen!$C$3,"anderes Jahr",IF(A369&lt;INDEX(Mitarbeiter!$C$6:$C$205,MATCH(B369,Mitarbeiter!$A$6:$A$205,0)),"vor Eintritt",IF(AND(INDEX(Mitarbeiter!$D$6:$D$205,MATCH(B369,Mitarbeiter!$A$6:$A$205,0))&lt;&gt;"",A369&gt;INDEX(Mitarbeiter!$D$6:$D$205,MATCH(B369,Mitarbeiter!$A$6:$A$205,0))),"nach Austritt","ok")))))))</f>
        <v/>
      </c>
    </row>
    <row r="370">
      <c r="A370" s="26" t="n">
        <v>46143</v>
      </c>
      <c r="B370" s="24" t="n">
        <v>1001</v>
      </c>
      <c r="C370" s="40">
        <f>IF(B370="","",IFERROR(INDEX(Mitarbeiter!$B$6:$B$205,MATCH(B370,Mitarbeiter!$A$6:$A$205,0)),"?"))</f>
        <v/>
      </c>
      <c r="D370" s="41" t="inlineStr">
        <is>
          <t>Objekt 2</t>
        </is>
      </c>
      <c r="E370" s="42" t="n">
        <v>31</v>
      </c>
      <c r="F370" s="43" t="n">
        <v>2</v>
      </c>
      <c r="G370" s="44">
        <f>IF(OR(B370="",F370=""),"",IFERROR(F370*INDEX(Mitarbeiter!$F$6:$F$205,MATCH(B370,Mitarbeiter!$A$6:$A$205,0)),0))</f>
        <v/>
      </c>
      <c r="H370" s="8">
        <f>IF(B370="","",IF(ISNA(MATCH(B370,Mitarbeiter!$A$6:$A$205,0)),"Pers.-Nr. unbekannt",IF(A370="","Datum fehlt",IF(AND(D370&lt;&gt;Einstellungen!$C$4,D370&lt;&gt;Einstellungen!$C$5),"Objekt fehlt",IF(YEAR(A370)&lt;&gt;Einstellungen!$C$3,"anderes Jahr",IF(A370&lt;INDEX(Mitarbeiter!$C$6:$C$205,MATCH(B370,Mitarbeiter!$A$6:$A$205,0)),"vor Eintritt",IF(AND(INDEX(Mitarbeiter!$D$6:$D$205,MATCH(B370,Mitarbeiter!$A$6:$A$205,0))&lt;&gt;"",A370&gt;INDEX(Mitarbeiter!$D$6:$D$205,MATCH(B370,Mitarbeiter!$A$6:$A$205,0))),"nach Austritt","ok")))))))</f>
        <v/>
      </c>
    </row>
    <row r="371">
      <c r="A371" s="26" t="n">
        <v>46143</v>
      </c>
      <c r="B371" s="24" t="n">
        <v>1002</v>
      </c>
      <c r="C371" s="40">
        <f>IF(B371="","",IFERROR(INDEX(Mitarbeiter!$B$6:$B$205,MATCH(B371,Mitarbeiter!$A$6:$A$205,0)),"?"))</f>
        <v/>
      </c>
      <c r="D371" s="41" t="inlineStr">
        <is>
          <t>Objekt 1</t>
        </is>
      </c>
      <c r="E371" s="42" t="n">
        <v>60</v>
      </c>
      <c r="F371" s="43" t="n">
        <v>1</v>
      </c>
      <c r="G371" s="44">
        <f>IF(OR(B371="",F371=""),"",IFERROR(F371*INDEX(Mitarbeiter!$F$6:$F$205,MATCH(B371,Mitarbeiter!$A$6:$A$205,0)),0))</f>
        <v/>
      </c>
      <c r="H371" s="8">
        <f>IF(B371="","",IF(ISNA(MATCH(B371,Mitarbeiter!$A$6:$A$205,0)),"Pers.-Nr. unbekannt",IF(A371="","Datum fehlt",IF(AND(D371&lt;&gt;Einstellungen!$C$4,D371&lt;&gt;Einstellungen!$C$5),"Objekt fehlt",IF(YEAR(A371)&lt;&gt;Einstellungen!$C$3,"anderes Jahr",IF(A371&lt;INDEX(Mitarbeiter!$C$6:$C$205,MATCH(B371,Mitarbeiter!$A$6:$A$205,0)),"vor Eintritt",IF(AND(INDEX(Mitarbeiter!$D$6:$D$205,MATCH(B371,Mitarbeiter!$A$6:$A$205,0))&lt;&gt;"",A371&gt;INDEX(Mitarbeiter!$D$6:$D$205,MATCH(B371,Mitarbeiter!$A$6:$A$205,0))),"nach Austritt","ok")))))))</f>
        <v/>
      </c>
    </row>
    <row r="372">
      <c r="A372" s="26" t="n">
        <v>46143</v>
      </c>
      <c r="B372" s="24" t="n">
        <v>1002</v>
      </c>
      <c r="C372" s="40">
        <f>IF(B372="","",IFERROR(INDEX(Mitarbeiter!$B$6:$B$205,MATCH(B372,Mitarbeiter!$A$6:$A$205,0)),"?"))</f>
        <v/>
      </c>
      <c r="D372" s="41" t="inlineStr">
        <is>
          <t>Objekt 2</t>
        </is>
      </c>
      <c r="E372" s="42" t="n">
        <v>42</v>
      </c>
      <c r="F372" s="43" t="n">
        <v>0</v>
      </c>
      <c r="G372" s="44">
        <f>IF(OR(B372="",F372=""),"",IFERROR(F372*INDEX(Mitarbeiter!$F$6:$F$205,MATCH(B372,Mitarbeiter!$A$6:$A$205,0)),0))</f>
        <v/>
      </c>
      <c r="H372" s="8">
        <f>IF(B372="","",IF(ISNA(MATCH(B372,Mitarbeiter!$A$6:$A$205,0)),"Pers.-Nr. unbekannt",IF(A372="","Datum fehlt",IF(AND(D372&lt;&gt;Einstellungen!$C$4,D372&lt;&gt;Einstellungen!$C$5),"Objekt fehlt",IF(YEAR(A372)&lt;&gt;Einstellungen!$C$3,"anderes Jahr",IF(A372&lt;INDEX(Mitarbeiter!$C$6:$C$205,MATCH(B372,Mitarbeiter!$A$6:$A$205,0)),"vor Eintritt",IF(AND(INDEX(Mitarbeiter!$D$6:$D$205,MATCH(B372,Mitarbeiter!$A$6:$A$205,0))&lt;&gt;"",A372&gt;INDEX(Mitarbeiter!$D$6:$D$205,MATCH(B372,Mitarbeiter!$A$6:$A$205,0))),"nach Austritt","ok")))))))</f>
        <v/>
      </c>
    </row>
    <row r="373">
      <c r="A373" s="26" t="n">
        <v>46143</v>
      </c>
      <c r="B373" s="24" t="n">
        <v>1003</v>
      </c>
      <c r="C373" s="40">
        <f>IF(B373="","",IFERROR(INDEX(Mitarbeiter!$B$6:$B$205,MATCH(B373,Mitarbeiter!$A$6:$A$205,0)),"?"))</f>
        <v/>
      </c>
      <c r="D373" s="41" t="inlineStr">
        <is>
          <t>Objekt 2</t>
        </is>
      </c>
      <c r="E373" s="42" t="n">
        <v>144</v>
      </c>
      <c r="F373" s="43" t="n">
        <v>0</v>
      </c>
      <c r="G373" s="44">
        <f>IF(OR(B373="",F373=""),"",IFERROR(F373*INDEX(Mitarbeiter!$F$6:$F$205,MATCH(B373,Mitarbeiter!$A$6:$A$205,0)),0))</f>
        <v/>
      </c>
      <c r="H373" s="8">
        <f>IF(B373="","",IF(ISNA(MATCH(B373,Mitarbeiter!$A$6:$A$205,0)),"Pers.-Nr. unbekannt",IF(A373="","Datum fehlt",IF(AND(D373&lt;&gt;Einstellungen!$C$4,D373&lt;&gt;Einstellungen!$C$5),"Objekt fehlt",IF(YEAR(A373)&lt;&gt;Einstellungen!$C$3,"anderes Jahr",IF(A373&lt;INDEX(Mitarbeiter!$C$6:$C$205,MATCH(B373,Mitarbeiter!$A$6:$A$205,0)),"vor Eintritt",IF(AND(INDEX(Mitarbeiter!$D$6:$D$205,MATCH(B373,Mitarbeiter!$A$6:$A$205,0))&lt;&gt;"",A373&gt;INDEX(Mitarbeiter!$D$6:$D$205,MATCH(B373,Mitarbeiter!$A$6:$A$205,0))),"nach Austritt","ok")))))))</f>
        <v/>
      </c>
    </row>
    <row r="374">
      <c r="A374" s="26" t="n">
        <v>46143</v>
      </c>
      <c r="B374" s="24" t="n">
        <v>1004</v>
      </c>
      <c r="C374" s="40">
        <f>IF(B374="","",IFERROR(INDEX(Mitarbeiter!$B$6:$B$205,MATCH(B374,Mitarbeiter!$A$6:$A$205,0)),"?"))</f>
        <v/>
      </c>
      <c r="D374" s="41" t="inlineStr">
        <is>
          <t>Objekt 1</t>
        </is>
      </c>
      <c r="E374" s="42" t="n">
        <v>70.5</v>
      </c>
      <c r="F374" s="43" t="n">
        <v>0</v>
      </c>
      <c r="G374" s="44">
        <f>IF(OR(B374="",F374=""),"",IFERROR(F374*INDEX(Mitarbeiter!$F$6:$F$205,MATCH(B374,Mitarbeiter!$A$6:$A$205,0)),0))</f>
        <v/>
      </c>
      <c r="H374" s="8">
        <f>IF(B374="","",IF(ISNA(MATCH(B374,Mitarbeiter!$A$6:$A$205,0)),"Pers.-Nr. unbekannt",IF(A374="","Datum fehlt",IF(AND(D374&lt;&gt;Einstellungen!$C$4,D374&lt;&gt;Einstellungen!$C$5),"Objekt fehlt",IF(YEAR(A374)&lt;&gt;Einstellungen!$C$3,"anderes Jahr",IF(A374&lt;INDEX(Mitarbeiter!$C$6:$C$205,MATCH(B374,Mitarbeiter!$A$6:$A$205,0)),"vor Eintritt",IF(AND(INDEX(Mitarbeiter!$D$6:$D$205,MATCH(B374,Mitarbeiter!$A$6:$A$205,0))&lt;&gt;"",A374&gt;INDEX(Mitarbeiter!$D$6:$D$205,MATCH(B374,Mitarbeiter!$A$6:$A$205,0))),"nach Austritt","ok")))))))</f>
        <v/>
      </c>
    </row>
    <row r="375">
      <c r="A375" s="26" t="n">
        <v>46143</v>
      </c>
      <c r="B375" s="24" t="n">
        <v>1004</v>
      </c>
      <c r="C375" s="40">
        <f>IF(B375="","",IFERROR(INDEX(Mitarbeiter!$B$6:$B$205,MATCH(B375,Mitarbeiter!$A$6:$A$205,0)),"?"))</f>
        <v/>
      </c>
      <c r="D375" s="41" t="inlineStr">
        <is>
          <t>Objekt 2</t>
        </is>
      </c>
      <c r="E375" s="42" t="n">
        <v>70.5</v>
      </c>
      <c r="F375" s="43" t="n">
        <v>0</v>
      </c>
      <c r="G375" s="44">
        <f>IF(OR(B375="",F375=""),"",IFERROR(F375*INDEX(Mitarbeiter!$F$6:$F$205,MATCH(B375,Mitarbeiter!$A$6:$A$205,0)),0))</f>
        <v/>
      </c>
      <c r="H375" s="8">
        <f>IF(B375="","",IF(ISNA(MATCH(B375,Mitarbeiter!$A$6:$A$205,0)),"Pers.-Nr. unbekannt",IF(A375="","Datum fehlt",IF(AND(D375&lt;&gt;Einstellungen!$C$4,D375&lt;&gt;Einstellungen!$C$5),"Objekt fehlt",IF(YEAR(A375)&lt;&gt;Einstellungen!$C$3,"anderes Jahr",IF(A375&lt;INDEX(Mitarbeiter!$C$6:$C$205,MATCH(B375,Mitarbeiter!$A$6:$A$205,0)),"vor Eintritt",IF(AND(INDEX(Mitarbeiter!$D$6:$D$205,MATCH(B375,Mitarbeiter!$A$6:$A$205,0))&lt;&gt;"",A375&gt;INDEX(Mitarbeiter!$D$6:$D$205,MATCH(B375,Mitarbeiter!$A$6:$A$205,0))),"nach Austritt","ok")))))))</f>
        <v/>
      </c>
    </row>
    <row r="376">
      <c r="A376" s="26" t="n">
        <v>46143</v>
      </c>
      <c r="B376" s="24" t="n">
        <v>1005</v>
      </c>
      <c r="C376" s="40">
        <f>IF(B376="","",IFERROR(INDEX(Mitarbeiter!$B$6:$B$205,MATCH(B376,Mitarbeiter!$A$6:$A$205,0)),"?"))</f>
        <v/>
      </c>
      <c r="D376" s="41" t="inlineStr">
        <is>
          <t>Objekt 1</t>
        </is>
      </c>
      <c r="E376" s="42" t="n">
        <v>55.5</v>
      </c>
      <c r="F376" s="43" t="n">
        <v>0</v>
      </c>
      <c r="G376" s="44">
        <f>IF(OR(B376="",F376=""),"",IFERROR(F376*INDEX(Mitarbeiter!$F$6:$F$205,MATCH(B376,Mitarbeiter!$A$6:$A$205,0)),0))</f>
        <v/>
      </c>
      <c r="H376" s="8">
        <f>IF(B376="","",IF(ISNA(MATCH(B376,Mitarbeiter!$A$6:$A$205,0)),"Pers.-Nr. unbekannt",IF(A376="","Datum fehlt",IF(AND(D376&lt;&gt;Einstellungen!$C$4,D376&lt;&gt;Einstellungen!$C$5),"Objekt fehlt",IF(YEAR(A376)&lt;&gt;Einstellungen!$C$3,"anderes Jahr",IF(A376&lt;INDEX(Mitarbeiter!$C$6:$C$205,MATCH(B376,Mitarbeiter!$A$6:$A$205,0)),"vor Eintritt",IF(AND(INDEX(Mitarbeiter!$D$6:$D$205,MATCH(B376,Mitarbeiter!$A$6:$A$205,0))&lt;&gt;"",A376&gt;INDEX(Mitarbeiter!$D$6:$D$205,MATCH(B376,Mitarbeiter!$A$6:$A$205,0))),"nach Austritt","ok")))))))</f>
        <v/>
      </c>
    </row>
    <row r="377">
      <c r="A377" s="26" t="n">
        <v>46143</v>
      </c>
      <c r="B377" s="24" t="n">
        <v>1005</v>
      </c>
      <c r="C377" s="40">
        <f>IF(B377="","",IFERROR(INDEX(Mitarbeiter!$B$6:$B$205,MATCH(B377,Mitarbeiter!$A$6:$A$205,0)),"?"))</f>
        <v/>
      </c>
      <c r="D377" s="41" t="inlineStr">
        <is>
          <t>Objekt 2</t>
        </is>
      </c>
      <c r="E377" s="42" t="n">
        <v>54</v>
      </c>
      <c r="F377" s="43" t="n">
        <v>0</v>
      </c>
      <c r="G377" s="44">
        <f>IF(OR(B377="",F377=""),"",IFERROR(F377*INDEX(Mitarbeiter!$F$6:$F$205,MATCH(B377,Mitarbeiter!$A$6:$A$205,0)),0))</f>
        <v/>
      </c>
      <c r="H377" s="8">
        <f>IF(B377="","",IF(ISNA(MATCH(B377,Mitarbeiter!$A$6:$A$205,0)),"Pers.-Nr. unbekannt",IF(A377="","Datum fehlt",IF(AND(D377&lt;&gt;Einstellungen!$C$4,D377&lt;&gt;Einstellungen!$C$5),"Objekt fehlt",IF(YEAR(A377)&lt;&gt;Einstellungen!$C$3,"anderes Jahr",IF(A377&lt;INDEX(Mitarbeiter!$C$6:$C$205,MATCH(B377,Mitarbeiter!$A$6:$A$205,0)),"vor Eintritt",IF(AND(INDEX(Mitarbeiter!$D$6:$D$205,MATCH(B377,Mitarbeiter!$A$6:$A$205,0))&lt;&gt;"",A377&gt;INDEX(Mitarbeiter!$D$6:$D$205,MATCH(B377,Mitarbeiter!$A$6:$A$205,0))),"nach Austritt","ok")))))))</f>
        <v/>
      </c>
    </row>
    <row r="378">
      <c r="A378" s="26" t="n">
        <v>46143</v>
      </c>
      <c r="B378" s="24" t="n">
        <v>1006</v>
      </c>
      <c r="C378" s="40">
        <f>IF(B378="","",IFERROR(INDEX(Mitarbeiter!$B$6:$B$205,MATCH(B378,Mitarbeiter!$A$6:$A$205,0)),"?"))</f>
        <v/>
      </c>
      <c r="D378" s="41" t="inlineStr">
        <is>
          <t>Objekt 1</t>
        </is>
      </c>
      <c r="E378" s="42" t="n">
        <v>78.5</v>
      </c>
      <c r="F378" s="43" t="n">
        <v>1</v>
      </c>
      <c r="G378" s="44">
        <f>IF(OR(B378="",F378=""),"",IFERROR(F378*INDEX(Mitarbeiter!$F$6:$F$205,MATCH(B378,Mitarbeiter!$A$6:$A$205,0)),0))</f>
        <v/>
      </c>
      <c r="H378" s="8">
        <f>IF(B378="","",IF(ISNA(MATCH(B378,Mitarbeiter!$A$6:$A$205,0)),"Pers.-Nr. unbekannt",IF(A378="","Datum fehlt",IF(AND(D378&lt;&gt;Einstellungen!$C$4,D378&lt;&gt;Einstellungen!$C$5),"Objekt fehlt",IF(YEAR(A378)&lt;&gt;Einstellungen!$C$3,"anderes Jahr",IF(A378&lt;INDEX(Mitarbeiter!$C$6:$C$205,MATCH(B378,Mitarbeiter!$A$6:$A$205,0)),"vor Eintritt",IF(AND(INDEX(Mitarbeiter!$D$6:$D$205,MATCH(B378,Mitarbeiter!$A$6:$A$205,0))&lt;&gt;"",A378&gt;INDEX(Mitarbeiter!$D$6:$D$205,MATCH(B378,Mitarbeiter!$A$6:$A$205,0))),"nach Austritt","ok")))))))</f>
        <v/>
      </c>
    </row>
    <row r="379">
      <c r="A379" s="26" t="n">
        <v>46143</v>
      </c>
      <c r="B379" s="24" t="n">
        <v>1006</v>
      </c>
      <c r="C379" s="40">
        <f>IF(B379="","",IFERROR(INDEX(Mitarbeiter!$B$6:$B$205,MATCH(B379,Mitarbeiter!$A$6:$A$205,0)),"?"))</f>
        <v/>
      </c>
      <c r="D379" s="41" t="inlineStr">
        <is>
          <t>Objekt 2</t>
        </is>
      </c>
      <c r="E379" s="42" t="n">
        <v>48</v>
      </c>
      <c r="F379" s="43" t="n">
        <v>1</v>
      </c>
      <c r="G379" s="44">
        <f>IF(OR(B379="",F379=""),"",IFERROR(F379*INDEX(Mitarbeiter!$F$6:$F$205,MATCH(B379,Mitarbeiter!$A$6:$A$205,0)),0))</f>
        <v/>
      </c>
      <c r="H379" s="8">
        <f>IF(B379="","",IF(ISNA(MATCH(B379,Mitarbeiter!$A$6:$A$205,0)),"Pers.-Nr. unbekannt",IF(A379="","Datum fehlt",IF(AND(D379&lt;&gt;Einstellungen!$C$4,D379&lt;&gt;Einstellungen!$C$5),"Objekt fehlt",IF(YEAR(A379)&lt;&gt;Einstellungen!$C$3,"anderes Jahr",IF(A379&lt;INDEX(Mitarbeiter!$C$6:$C$205,MATCH(B379,Mitarbeiter!$A$6:$A$205,0)),"vor Eintritt",IF(AND(INDEX(Mitarbeiter!$D$6:$D$205,MATCH(B379,Mitarbeiter!$A$6:$A$205,0))&lt;&gt;"",A379&gt;INDEX(Mitarbeiter!$D$6:$D$205,MATCH(B379,Mitarbeiter!$A$6:$A$205,0))),"nach Austritt","ok")))))))</f>
        <v/>
      </c>
    </row>
    <row r="380">
      <c r="A380" s="26" t="n">
        <v>46143</v>
      </c>
      <c r="B380" s="24" t="n">
        <v>1007</v>
      </c>
      <c r="C380" s="40">
        <f>IF(B380="","",IFERROR(INDEX(Mitarbeiter!$B$6:$B$205,MATCH(B380,Mitarbeiter!$A$6:$A$205,0)),"?"))</f>
        <v/>
      </c>
      <c r="D380" s="41" t="inlineStr">
        <is>
          <t>Objekt 2</t>
        </is>
      </c>
      <c r="E380" s="42" t="n">
        <v>145.5</v>
      </c>
      <c r="F380" s="43" t="n">
        <v>0</v>
      </c>
      <c r="G380" s="44">
        <f>IF(OR(B380="",F380=""),"",IFERROR(F380*INDEX(Mitarbeiter!$F$6:$F$205,MATCH(B380,Mitarbeiter!$A$6:$A$205,0)),0))</f>
        <v/>
      </c>
      <c r="H380" s="8">
        <f>IF(B380="","",IF(ISNA(MATCH(B380,Mitarbeiter!$A$6:$A$205,0)),"Pers.-Nr. unbekannt",IF(A380="","Datum fehlt",IF(AND(D380&lt;&gt;Einstellungen!$C$4,D380&lt;&gt;Einstellungen!$C$5),"Objekt fehlt",IF(YEAR(A380)&lt;&gt;Einstellungen!$C$3,"anderes Jahr",IF(A380&lt;INDEX(Mitarbeiter!$C$6:$C$205,MATCH(B380,Mitarbeiter!$A$6:$A$205,0)),"vor Eintritt",IF(AND(INDEX(Mitarbeiter!$D$6:$D$205,MATCH(B380,Mitarbeiter!$A$6:$A$205,0))&lt;&gt;"",A380&gt;INDEX(Mitarbeiter!$D$6:$D$205,MATCH(B380,Mitarbeiter!$A$6:$A$205,0))),"nach Austritt","ok")))))))</f>
        <v/>
      </c>
    </row>
    <row r="381">
      <c r="A381" s="26" t="n">
        <v>46143</v>
      </c>
      <c r="B381" s="24" t="n">
        <v>1008</v>
      </c>
      <c r="C381" s="40">
        <f>IF(B381="","",IFERROR(INDEX(Mitarbeiter!$B$6:$B$205,MATCH(B381,Mitarbeiter!$A$6:$A$205,0)),"?"))</f>
        <v/>
      </c>
      <c r="D381" s="41" t="inlineStr">
        <is>
          <t>Objekt 1</t>
        </is>
      </c>
      <c r="E381" s="42" t="n">
        <v>16</v>
      </c>
      <c r="F381" s="43" t="n">
        <v>0</v>
      </c>
      <c r="G381" s="44">
        <f>IF(OR(B381="",F381=""),"",IFERROR(F381*INDEX(Mitarbeiter!$F$6:$F$205,MATCH(B381,Mitarbeiter!$A$6:$A$205,0)),0))</f>
        <v/>
      </c>
      <c r="H381" s="8">
        <f>IF(B381="","",IF(ISNA(MATCH(B381,Mitarbeiter!$A$6:$A$205,0)),"Pers.-Nr. unbekannt",IF(A381="","Datum fehlt",IF(AND(D381&lt;&gt;Einstellungen!$C$4,D381&lt;&gt;Einstellungen!$C$5),"Objekt fehlt",IF(YEAR(A381)&lt;&gt;Einstellungen!$C$3,"anderes Jahr",IF(A381&lt;INDEX(Mitarbeiter!$C$6:$C$205,MATCH(B381,Mitarbeiter!$A$6:$A$205,0)),"vor Eintritt",IF(AND(INDEX(Mitarbeiter!$D$6:$D$205,MATCH(B381,Mitarbeiter!$A$6:$A$205,0))&lt;&gt;"",A381&gt;INDEX(Mitarbeiter!$D$6:$D$205,MATCH(B381,Mitarbeiter!$A$6:$A$205,0))),"nach Austritt","ok")))))))</f>
        <v/>
      </c>
    </row>
    <row r="382">
      <c r="A382" s="26" t="n">
        <v>46143</v>
      </c>
      <c r="B382" s="24" t="n">
        <v>1008</v>
      </c>
      <c r="C382" s="40">
        <f>IF(B382="","",IFERROR(INDEX(Mitarbeiter!$B$6:$B$205,MATCH(B382,Mitarbeiter!$A$6:$A$205,0)),"?"))</f>
        <v/>
      </c>
      <c r="D382" s="41" t="inlineStr">
        <is>
          <t>Objekt 2</t>
        </is>
      </c>
      <c r="E382" s="42" t="n">
        <v>56</v>
      </c>
      <c r="F382" s="43" t="n">
        <v>0</v>
      </c>
      <c r="G382" s="44">
        <f>IF(OR(B382="",F382=""),"",IFERROR(F382*INDEX(Mitarbeiter!$F$6:$F$205,MATCH(B382,Mitarbeiter!$A$6:$A$205,0)),0))</f>
        <v/>
      </c>
      <c r="H382" s="8">
        <f>IF(B382="","",IF(ISNA(MATCH(B382,Mitarbeiter!$A$6:$A$205,0)),"Pers.-Nr. unbekannt",IF(A382="","Datum fehlt",IF(AND(D382&lt;&gt;Einstellungen!$C$4,D382&lt;&gt;Einstellungen!$C$5),"Objekt fehlt",IF(YEAR(A382)&lt;&gt;Einstellungen!$C$3,"anderes Jahr",IF(A382&lt;INDEX(Mitarbeiter!$C$6:$C$205,MATCH(B382,Mitarbeiter!$A$6:$A$205,0)),"vor Eintritt",IF(AND(INDEX(Mitarbeiter!$D$6:$D$205,MATCH(B382,Mitarbeiter!$A$6:$A$205,0))&lt;&gt;"",A382&gt;INDEX(Mitarbeiter!$D$6:$D$205,MATCH(B382,Mitarbeiter!$A$6:$A$205,0))),"nach Austritt","ok")))))))</f>
        <v/>
      </c>
    </row>
    <row r="383">
      <c r="A383" s="26" t="n">
        <v>46143</v>
      </c>
      <c r="B383" s="24" t="n">
        <v>1009</v>
      </c>
      <c r="C383" s="40">
        <f>IF(B383="","",IFERROR(INDEX(Mitarbeiter!$B$6:$B$205,MATCH(B383,Mitarbeiter!$A$6:$A$205,0)),"?"))</f>
        <v/>
      </c>
      <c r="D383" s="41" t="inlineStr">
        <is>
          <t>Objekt 1</t>
        </is>
      </c>
      <c r="E383" s="42" t="n">
        <v>36</v>
      </c>
      <c r="F383" s="43" t="n">
        <v>0</v>
      </c>
      <c r="G383" s="44">
        <f>IF(OR(B383="",F383=""),"",IFERROR(F383*INDEX(Mitarbeiter!$F$6:$F$205,MATCH(B383,Mitarbeiter!$A$6:$A$205,0)),0))</f>
        <v/>
      </c>
      <c r="H383" s="8">
        <f>IF(B383="","",IF(ISNA(MATCH(B383,Mitarbeiter!$A$6:$A$205,0)),"Pers.-Nr. unbekannt",IF(A383="","Datum fehlt",IF(AND(D383&lt;&gt;Einstellungen!$C$4,D383&lt;&gt;Einstellungen!$C$5),"Objekt fehlt",IF(YEAR(A383)&lt;&gt;Einstellungen!$C$3,"anderes Jahr",IF(A383&lt;INDEX(Mitarbeiter!$C$6:$C$205,MATCH(B383,Mitarbeiter!$A$6:$A$205,0)),"vor Eintritt",IF(AND(INDEX(Mitarbeiter!$D$6:$D$205,MATCH(B383,Mitarbeiter!$A$6:$A$205,0))&lt;&gt;"",A383&gt;INDEX(Mitarbeiter!$D$6:$D$205,MATCH(B383,Mitarbeiter!$A$6:$A$205,0))),"nach Austritt","ok")))))))</f>
        <v/>
      </c>
    </row>
    <row r="384">
      <c r="A384" s="26" t="n">
        <v>46143</v>
      </c>
      <c r="B384" s="24" t="n">
        <v>1009</v>
      </c>
      <c r="C384" s="40">
        <f>IF(B384="","",IFERROR(INDEX(Mitarbeiter!$B$6:$B$205,MATCH(B384,Mitarbeiter!$A$6:$A$205,0)),"?"))</f>
        <v/>
      </c>
      <c r="D384" s="41" t="inlineStr">
        <is>
          <t>Objekt 2</t>
        </is>
      </c>
      <c r="E384" s="42" t="n">
        <v>37.5</v>
      </c>
      <c r="F384" s="43" t="n">
        <v>0</v>
      </c>
      <c r="G384" s="44">
        <f>IF(OR(B384="",F384=""),"",IFERROR(F384*INDEX(Mitarbeiter!$F$6:$F$205,MATCH(B384,Mitarbeiter!$A$6:$A$205,0)),0))</f>
        <v/>
      </c>
      <c r="H384" s="8">
        <f>IF(B384="","",IF(ISNA(MATCH(B384,Mitarbeiter!$A$6:$A$205,0)),"Pers.-Nr. unbekannt",IF(A384="","Datum fehlt",IF(AND(D384&lt;&gt;Einstellungen!$C$4,D384&lt;&gt;Einstellungen!$C$5),"Objekt fehlt",IF(YEAR(A384)&lt;&gt;Einstellungen!$C$3,"anderes Jahr",IF(A384&lt;INDEX(Mitarbeiter!$C$6:$C$205,MATCH(B384,Mitarbeiter!$A$6:$A$205,0)),"vor Eintritt",IF(AND(INDEX(Mitarbeiter!$D$6:$D$205,MATCH(B384,Mitarbeiter!$A$6:$A$205,0))&lt;&gt;"",A384&gt;INDEX(Mitarbeiter!$D$6:$D$205,MATCH(B384,Mitarbeiter!$A$6:$A$205,0))),"nach Austritt","ok")))))))</f>
        <v/>
      </c>
    </row>
    <row r="385">
      <c r="A385" s="26" t="n">
        <v>46143</v>
      </c>
      <c r="B385" s="24" t="n">
        <v>1010</v>
      </c>
      <c r="C385" s="40">
        <f>IF(B385="","",IFERROR(INDEX(Mitarbeiter!$B$6:$B$205,MATCH(B385,Mitarbeiter!$A$6:$A$205,0)),"?"))</f>
        <v/>
      </c>
      <c r="D385" s="41" t="inlineStr">
        <is>
          <t>Objekt 2</t>
        </is>
      </c>
      <c r="E385" s="42" t="n">
        <v>103.5</v>
      </c>
      <c r="F385" s="43" t="n">
        <v>1</v>
      </c>
      <c r="G385" s="44">
        <f>IF(OR(B385="",F385=""),"",IFERROR(F385*INDEX(Mitarbeiter!$F$6:$F$205,MATCH(B385,Mitarbeiter!$A$6:$A$205,0)),0))</f>
        <v/>
      </c>
      <c r="H385" s="8">
        <f>IF(B385="","",IF(ISNA(MATCH(B385,Mitarbeiter!$A$6:$A$205,0)),"Pers.-Nr. unbekannt",IF(A385="","Datum fehlt",IF(AND(D385&lt;&gt;Einstellungen!$C$4,D385&lt;&gt;Einstellungen!$C$5),"Objekt fehlt",IF(YEAR(A385)&lt;&gt;Einstellungen!$C$3,"anderes Jahr",IF(A385&lt;INDEX(Mitarbeiter!$C$6:$C$205,MATCH(B385,Mitarbeiter!$A$6:$A$205,0)),"vor Eintritt",IF(AND(INDEX(Mitarbeiter!$D$6:$D$205,MATCH(B385,Mitarbeiter!$A$6:$A$205,0))&lt;&gt;"",A385&gt;INDEX(Mitarbeiter!$D$6:$D$205,MATCH(B385,Mitarbeiter!$A$6:$A$205,0))),"nach Austritt","ok")))))))</f>
        <v/>
      </c>
    </row>
    <row r="386">
      <c r="A386" s="26" t="n">
        <v>46143</v>
      </c>
      <c r="B386" s="24" t="n">
        <v>1011</v>
      </c>
      <c r="C386" s="40">
        <f>IF(B386="","",IFERROR(INDEX(Mitarbeiter!$B$6:$B$205,MATCH(B386,Mitarbeiter!$A$6:$A$205,0)),"?"))</f>
        <v/>
      </c>
      <c r="D386" s="41" t="inlineStr">
        <is>
          <t>Objekt 1</t>
        </is>
      </c>
      <c r="E386" s="42" t="n">
        <v>64</v>
      </c>
      <c r="F386" s="43" t="n">
        <v>1</v>
      </c>
      <c r="G386" s="44">
        <f>IF(OR(B386="",F386=""),"",IFERROR(F386*INDEX(Mitarbeiter!$F$6:$F$205,MATCH(B386,Mitarbeiter!$A$6:$A$205,0)),0))</f>
        <v/>
      </c>
      <c r="H386" s="8">
        <f>IF(B386="","",IF(ISNA(MATCH(B386,Mitarbeiter!$A$6:$A$205,0)),"Pers.-Nr. unbekannt",IF(A386="","Datum fehlt",IF(AND(D386&lt;&gt;Einstellungen!$C$4,D386&lt;&gt;Einstellungen!$C$5),"Objekt fehlt",IF(YEAR(A386)&lt;&gt;Einstellungen!$C$3,"anderes Jahr",IF(A386&lt;INDEX(Mitarbeiter!$C$6:$C$205,MATCH(B386,Mitarbeiter!$A$6:$A$205,0)),"vor Eintritt",IF(AND(INDEX(Mitarbeiter!$D$6:$D$205,MATCH(B386,Mitarbeiter!$A$6:$A$205,0))&lt;&gt;"",A386&gt;INDEX(Mitarbeiter!$D$6:$D$205,MATCH(B386,Mitarbeiter!$A$6:$A$205,0))),"nach Austritt","ok")))))))</f>
        <v/>
      </c>
    </row>
    <row r="387">
      <c r="A387" s="26" t="n">
        <v>46143</v>
      </c>
      <c r="B387" s="24" t="n">
        <v>1011</v>
      </c>
      <c r="C387" s="40">
        <f>IF(B387="","",IFERROR(INDEX(Mitarbeiter!$B$6:$B$205,MATCH(B387,Mitarbeiter!$A$6:$A$205,0)),"?"))</f>
        <v/>
      </c>
      <c r="D387" s="41" t="inlineStr">
        <is>
          <t>Objekt 2</t>
        </is>
      </c>
      <c r="E387" s="42" t="n">
        <v>67</v>
      </c>
      <c r="F387" s="43" t="n">
        <v>1</v>
      </c>
      <c r="G387" s="44">
        <f>IF(OR(B387="",F387=""),"",IFERROR(F387*INDEX(Mitarbeiter!$F$6:$F$205,MATCH(B387,Mitarbeiter!$A$6:$A$205,0)),0))</f>
        <v/>
      </c>
      <c r="H387" s="8">
        <f>IF(B387="","",IF(ISNA(MATCH(B387,Mitarbeiter!$A$6:$A$205,0)),"Pers.-Nr. unbekannt",IF(A387="","Datum fehlt",IF(AND(D387&lt;&gt;Einstellungen!$C$4,D387&lt;&gt;Einstellungen!$C$5),"Objekt fehlt",IF(YEAR(A387)&lt;&gt;Einstellungen!$C$3,"anderes Jahr",IF(A387&lt;INDEX(Mitarbeiter!$C$6:$C$205,MATCH(B387,Mitarbeiter!$A$6:$A$205,0)),"vor Eintritt",IF(AND(INDEX(Mitarbeiter!$D$6:$D$205,MATCH(B387,Mitarbeiter!$A$6:$A$205,0))&lt;&gt;"",A387&gt;INDEX(Mitarbeiter!$D$6:$D$205,MATCH(B387,Mitarbeiter!$A$6:$A$205,0))),"nach Austritt","ok")))))))</f>
        <v/>
      </c>
    </row>
    <row r="388">
      <c r="A388" s="26" t="n">
        <v>46143</v>
      </c>
      <c r="B388" s="24" t="n">
        <v>1013</v>
      </c>
      <c r="C388" s="40">
        <f>IF(B388="","",IFERROR(INDEX(Mitarbeiter!$B$6:$B$205,MATCH(B388,Mitarbeiter!$A$6:$A$205,0)),"?"))</f>
        <v/>
      </c>
      <c r="D388" s="41" t="inlineStr">
        <is>
          <t>Objekt 1</t>
        </is>
      </c>
      <c r="E388" s="42" t="n">
        <v>78.5</v>
      </c>
      <c r="F388" s="43" t="n">
        <v>1</v>
      </c>
      <c r="G388" s="44">
        <f>IF(OR(B388="",F388=""),"",IFERROR(F388*INDEX(Mitarbeiter!$F$6:$F$205,MATCH(B388,Mitarbeiter!$A$6:$A$205,0)),0))</f>
        <v/>
      </c>
      <c r="H388" s="8">
        <f>IF(B388="","",IF(ISNA(MATCH(B388,Mitarbeiter!$A$6:$A$205,0)),"Pers.-Nr. unbekannt",IF(A388="","Datum fehlt",IF(AND(D388&lt;&gt;Einstellungen!$C$4,D388&lt;&gt;Einstellungen!$C$5),"Objekt fehlt",IF(YEAR(A388)&lt;&gt;Einstellungen!$C$3,"anderes Jahr",IF(A388&lt;INDEX(Mitarbeiter!$C$6:$C$205,MATCH(B388,Mitarbeiter!$A$6:$A$205,0)),"vor Eintritt",IF(AND(INDEX(Mitarbeiter!$D$6:$D$205,MATCH(B388,Mitarbeiter!$A$6:$A$205,0))&lt;&gt;"",A388&gt;INDEX(Mitarbeiter!$D$6:$D$205,MATCH(B388,Mitarbeiter!$A$6:$A$205,0))),"nach Austritt","ok")))))))</f>
        <v/>
      </c>
    </row>
    <row r="389">
      <c r="A389" s="26" t="n">
        <v>46143</v>
      </c>
      <c r="B389" s="24" t="n">
        <v>1013</v>
      </c>
      <c r="C389" s="40">
        <f>IF(B389="","",IFERROR(INDEX(Mitarbeiter!$B$6:$B$205,MATCH(B389,Mitarbeiter!$A$6:$A$205,0)),"?"))</f>
        <v/>
      </c>
      <c r="D389" s="41" t="inlineStr">
        <is>
          <t>Objekt 2</t>
        </is>
      </c>
      <c r="E389" s="42" t="n">
        <v>48</v>
      </c>
      <c r="F389" s="43" t="n">
        <v>1</v>
      </c>
      <c r="G389" s="44">
        <f>IF(OR(B389="",F389=""),"",IFERROR(F389*INDEX(Mitarbeiter!$F$6:$F$205,MATCH(B389,Mitarbeiter!$A$6:$A$205,0)),0))</f>
        <v/>
      </c>
      <c r="H389" s="8">
        <f>IF(B389="","",IF(ISNA(MATCH(B389,Mitarbeiter!$A$6:$A$205,0)),"Pers.-Nr. unbekannt",IF(A389="","Datum fehlt",IF(AND(D389&lt;&gt;Einstellungen!$C$4,D389&lt;&gt;Einstellungen!$C$5),"Objekt fehlt",IF(YEAR(A389)&lt;&gt;Einstellungen!$C$3,"anderes Jahr",IF(A389&lt;INDEX(Mitarbeiter!$C$6:$C$205,MATCH(B389,Mitarbeiter!$A$6:$A$205,0)),"vor Eintritt",IF(AND(INDEX(Mitarbeiter!$D$6:$D$205,MATCH(B389,Mitarbeiter!$A$6:$A$205,0))&lt;&gt;"",A389&gt;INDEX(Mitarbeiter!$D$6:$D$205,MATCH(B389,Mitarbeiter!$A$6:$A$205,0))),"nach Austritt","ok")))))))</f>
        <v/>
      </c>
    </row>
    <row r="390">
      <c r="A390" s="26" t="n">
        <v>46143</v>
      </c>
      <c r="B390" s="24" t="n">
        <v>1014</v>
      </c>
      <c r="C390" s="40">
        <f>IF(B390="","",IFERROR(INDEX(Mitarbeiter!$B$6:$B$205,MATCH(B390,Mitarbeiter!$A$6:$A$205,0)),"?"))</f>
        <v/>
      </c>
      <c r="D390" s="41" t="inlineStr">
        <is>
          <t>Objekt 1</t>
        </is>
      </c>
      <c r="E390" s="42" t="n">
        <v>30.5</v>
      </c>
      <c r="F390" s="43" t="n">
        <v>0</v>
      </c>
      <c r="G390" s="44">
        <f>IF(OR(B390="",F390=""),"",IFERROR(F390*INDEX(Mitarbeiter!$F$6:$F$205,MATCH(B390,Mitarbeiter!$A$6:$A$205,0)),0))</f>
        <v/>
      </c>
      <c r="H390" s="8">
        <f>IF(B390="","",IF(ISNA(MATCH(B390,Mitarbeiter!$A$6:$A$205,0)),"Pers.-Nr. unbekannt",IF(A390="","Datum fehlt",IF(AND(D390&lt;&gt;Einstellungen!$C$4,D390&lt;&gt;Einstellungen!$C$5),"Objekt fehlt",IF(YEAR(A390)&lt;&gt;Einstellungen!$C$3,"anderes Jahr",IF(A390&lt;INDEX(Mitarbeiter!$C$6:$C$205,MATCH(B390,Mitarbeiter!$A$6:$A$205,0)),"vor Eintritt",IF(AND(INDEX(Mitarbeiter!$D$6:$D$205,MATCH(B390,Mitarbeiter!$A$6:$A$205,0))&lt;&gt;"",A390&gt;INDEX(Mitarbeiter!$D$6:$D$205,MATCH(B390,Mitarbeiter!$A$6:$A$205,0))),"nach Austritt","ok")))))))</f>
        <v/>
      </c>
    </row>
    <row r="391">
      <c r="A391" s="26" t="n">
        <v>46143</v>
      </c>
      <c r="B391" s="24" t="n">
        <v>1014</v>
      </c>
      <c r="C391" s="40">
        <f>IF(B391="","",IFERROR(INDEX(Mitarbeiter!$B$6:$B$205,MATCH(B391,Mitarbeiter!$A$6:$A$205,0)),"?"))</f>
        <v/>
      </c>
      <c r="D391" s="41" t="inlineStr">
        <is>
          <t>Objekt 2</t>
        </is>
      </c>
      <c r="E391" s="42" t="n">
        <v>105.5</v>
      </c>
      <c r="F391" s="43" t="n">
        <v>1</v>
      </c>
      <c r="G391" s="44">
        <f>IF(OR(B391="",F391=""),"",IFERROR(F391*INDEX(Mitarbeiter!$F$6:$F$205,MATCH(B391,Mitarbeiter!$A$6:$A$205,0)),0))</f>
        <v/>
      </c>
      <c r="H391" s="8">
        <f>IF(B391="","",IF(ISNA(MATCH(B391,Mitarbeiter!$A$6:$A$205,0)),"Pers.-Nr. unbekannt",IF(A391="","Datum fehlt",IF(AND(D391&lt;&gt;Einstellungen!$C$4,D391&lt;&gt;Einstellungen!$C$5),"Objekt fehlt",IF(YEAR(A391)&lt;&gt;Einstellungen!$C$3,"anderes Jahr",IF(A391&lt;INDEX(Mitarbeiter!$C$6:$C$205,MATCH(B391,Mitarbeiter!$A$6:$A$205,0)),"vor Eintritt",IF(AND(INDEX(Mitarbeiter!$D$6:$D$205,MATCH(B391,Mitarbeiter!$A$6:$A$205,0))&lt;&gt;"",A391&gt;INDEX(Mitarbeiter!$D$6:$D$205,MATCH(B391,Mitarbeiter!$A$6:$A$205,0))),"nach Austritt","ok")))))))</f>
        <v/>
      </c>
    </row>
    <row r="392">
      <c r="A392" s="26" t="n">
        <v>46143</v>
      </c>
      <c r="B392" s="24" t="n">
        <v>1017</v>
      </c>
      <c r="C392" s="40">
        <f>IF(B392="","",IFERROR(INDEX(Mitarbeiter!$B$6:$B$205,MATCH(B392,Mitarbeiter!$A$6:$A$205,0)),"?"))</f>
        <v/>
      </c>
      <c r="D392" s="41" t="inlineStr">
        <is>
          <t>Objekt 1</t>
        </is>
      </c>
      <c r="E392" s="42" t="n">
        <v>99</v>
      </c>
      <c r="F392" s="43" t="n">
        <v>2</v>
      </c>
      <c r="G392" s="44">
        <f>IF(OR(B392="",F392=""),"",IFERROR(F392*INDEX(Mitarbeiter!$F$6:$F$205,MATCH(B392,Mitarbeiter!$A$6:$A$205,0)),0))</f>
        <v/>
      </c>
      <c r="H392" s="8">
        <f>IF(B392="","",IF(ISNA(MATCH(B392,Mitarbeiter!$A$6:$A$205,0)),"Pers.-Nr. unbekannt",IF(A392="","Datum fehlt",IF(AND(D392&lt;&gt;Einstellungen!$C$4,D392&lt;&gt;Einstellungen!$C$5),"Objekt fehlt",IF(YEAR(A392)&lt;&gt;Einstellungen!$C$3,"anderes Jahr",IF(A392&lt;INDEX(Mitarbeiter!$C$6:$C$205,MATCH(B392,Mitarbeiter!$A$6:$A$205,0)),"vor Eintritt",IF(AND(INDEX(Mitarbeiter!$D$6:$D$205,MATCH(B392,Mitarbeiter!$A$6:$A$205,0))&lt;&gt;"",A392&gt;INDEX(Mitarbeiter!$D$6:$D$205,MATCH(B392,Mitarbeiter!$A$6:$A$205,0))),"nach Austritt","ok")))))))</f>
        <v/>
      </c>
    </row>
    <row r="393">
      <c r="A393" s="26" t="n">
        <v>46143</v>
      </c>
      <c r="B393" s="24" t="n">
        <v>1017</v>
      </c>
      <c r="C393" s="40">
        <f>IF(B393="","",IFERROR(INDEX(Mitarbeiter!$B$6:$B$205,MATCH(B393,Mitarbeiter!$A$6:$A$205,0)),"?"))</f>
        <v/>
      </c>
      <c r="D393" s="41" t="inlineStr">
        <is>
          <t>Objekt 2</t>
        </is>
      </c>
      <c r="E393" s="42" t="n">
        <v>27</v>
      </c>
      <c r="F393" s="43" t="n">
        <v>1</v>
      </c>
      <c r="G393" s="44">
        <f>IF(OR(B393="",F393=""),"",IFERROR(F393*INDEX(Mitarbeiter!$F$6:$F$205,MATCH(B393,Mitarbeiter!$A$6:$A$205,0)),0))</f>
        <v/>
      </c>
      <c r="H393" s="8">
        <f>IF(B393="","",IF(ISNA(MATCH(B393,Mitarbeiter!$A$6:$A$205,0)),"Pers.-Nr. unbekannt",IF(A393="","Datum fehlt",IF(AND(D393&lt;&gt;Einstellungen!$C$4,D393&lt;&gt;Einstellungen!$C$5),"Objekt fehlt",IF(YEAR(A393)&lt;&gt;Einstellungen!$C$3,"anderes Jahr",IF(A393&lt;INDEX(Mitarbeiter!$C$6:$C$205,MATCH(B393,Mitarbeiter!$A$6:$A$205,0)),"vor Eintritt",IF(AND(INDEX(Mitarbeiter!$D$6:$D$205,MATCH(B393,Mitarbeiter!$A$6:$A$205,0))&lt;&gt;"",A393&gt;INDEX(Mitarbeiter!$D$6:$D$205,MATCH(B393,Mitarbeiter!$A$6:$A$205,0))),"nach Austritt","ok")))))))</f>
        <v/>
      </c>
    </row>
    <row r="394">
      <c r="A394" s="26" t="n">
        <v>46143</v>
      </c>
      <c r="B394" s="24" t="n">
        <v>1019</v>
      </c>
      <c r="C394" s="40">
        <f>IF(B394="","",IFERROR(INDEX(Mitarbeiter!$B$6:$B$205,MATCH(B394,Mitarbeiter!$A$6:$A$205,0)),"?"))</f>
        <v/>
      </c>
      <c r="D394" s="41" t="inlineStr">
        <is>
          <t>Objekt 1</t>
        </is>
      </c>
      <c r="E394" s="42" t="n">
        <v>56</v>
      </c>
      <c r="F394" s="43" t="n">
        <v>0</v>
      </c>
      <c r="G394" s="44">
        <f>IF(OR(B394="",F394=""),"",IFERROR(F394*INDEX(Mitarbeiter!$F$6:$F$205,MATCH(B394,Mitarbeiter!$A$6:$A$205,0)),0))</f>
        <v/>
      </c>
      <c r="H394" s="8">
        <f>IF(B394="","",IF(ISNA(MATCH(B394,Mitarbeiter!$A$6:$A$205,0)),"Pers.-Nr. unbekannt",IF(A394="","Datum fehlt",IF(AND(D394&lt;&gt;Einstellungen!$C$4,D394&lt;&gt;Einstellungen!$C$5),"Objekt fehlt",IF(YEAR(A394)&lt;&gt;Einstellungen!$C$3,"anderes Jahr",IF(A394&lt;INDEX(Mitarbeiter!$C$6:$C$205,MATCH(B394,Mitarbeiter!$A$6:$A$205,0)),"vor Eintritt",IF(AND(INDEX(Mitarbeiter!$D$6:$D$205,MATCH(B394,Mitarbeiter!$A$6:$A$205,0))&lt;&gt;"",A394&gt;INDEX(Mitarbeiter!$D$6:$D$205,MATCH(B394,Mitarbeiter!$A$6:$A$205,0))),"nach Austritt","ok")))))))</f>
        <v/>
      </c>
    </row>
    <row r="395">
      <c r="A395" s="26" t="n">
        <v>46143</v>
      </c>
      <c r="B395" s="24" t="n">
        <v>1019</v>
      </c>
      <c r="C395" s="40">
        <f>IF(B395="","",IFERROR(INDEX(Mitarbeiter!$B$6:$B$205,MATCH(B395,Mitarbeiter!$A$6:$A$205,0)),"?"))</f>
        <v/>
      </c>
      <c r="D395" s="41" t="inlineStr">
        <is>
          <t>Objekt 2</t>
        </is>
      </c>
      <c r="E395" s="42" t="n">
        <v>89.5</v>
      </c>
      <c r="F395" s="43" t="n">
        <v>0</v>
      </c>
      <c r="G395" s="44">
        <f>IF(OR(B395="",F395=""),"",IFERROR(F395*INDEX(Mitarbeiter!$F$6:$F$205,MATCH(B395,Mitarbeiter!$A$6:$A$205,0)),0))</f>
        <v/>
      </c>
      <c r="H395" s="8">
        <f>IF(B395="","",IF(ISNA(MATCH(B395,Mitarbeiter!$A$6:$A$205,0)),"Pers.-Nr. unbekannt",IF(A395="","Datum fehlt",IF(AND(D395&lt;&gt;Einstellungen!$C$4,D395&lt;&gt;Einstellungen!$C$5),"Objekt fehlt",IF(YEAR(A395)&lt;&gt;Einstellungen!$C$3,"anderes Jahr",IF(A395&lt;INDEX(Mitarbeiter!$C$6:$C$205,MATCH(B395,Mitarbeiter!$A$6:$A$205,0)),"vor Eintritt",IF(AND(INDEX(Mitarbeiter!$D$6:$D$205,MATCH(B395,Mitarbeiter!$A$6:$A$205,0))&lt;&gt;"",A395&gt;INDEX(Mitarbeiter!$D$6:$D$205,MATCH(B395,Mitarbeiter!$A$6:$A$205,0))),"nach Austritt","ok")))))))</f>
        <v/>
      </c>
    </row>
    <row r="396">
      <c r="A396" s="26" t="n">
        <v>46143</v>
      </c>
      <c r="B396" s="24" t="n">
        <v>1021</v>
      </c>
      <c r="C396" s="40">
        <f>IF(B396="","",IFERROR(INDEX(Mitarbeiter!$B$6:$B$205,MATCH(B396,Mitarbeiter!$A$6:$A$205,0)),"?"))</f>
        <v/>
      </c>
      <c r="D396" s="41" t="inlineStr">
        <is>
          <t>Objekt 1</t>
        </is>
      </c>
      <c r="E396" s="42" t="n">
        <v>70.5</v>
      </c>
      <c r="F396" s="43" t="n">
        <v>0</v>
      </c>
      <c r="G396" s="44">
        <f>IF(OR(B396="",F396=""),"",IFERROR(F396*INDEX(Mitarbeiter!$F$6:$F$205,MATCH(B396,Mitarbeiter!$A$6:$A$205,0)),0))</f>
        <v/>
      </c>
      <c r="H396" s="8">
        <f>IF(B396="","",IF(ISNA(MATCH(B396,Mitarbeiter!$A$6:$A$205,0)),"Pers.-Nr. unbekannt",IF(A396="","Datum fehlt",IF(AND(D396&lt;&gt;Einstellungen!$C$4,D396&lt;&gt;Einstellungen!$C$5),"Objekt fehlt",IF(YEAR(A396)&lt;&gt;Einstellungen!$C$3,"anderes Jahr",IF(A396&lt;INDEX(Mitarbeiter!$C$6:$C$205,MATCH(B396,Mitarbeiter!$A$6:$A$205,0)),"vor Eintritt",IF(AND(INDEX(Mitarbeiter!$D$6:$D$205,MATCH(B396,Mitarbeiter!$A$6:$A$205,0))&lt;&gt;"",A396&gt;INDEX(Mitarbeiter!$D$6:$D$205,MATCH(B396,Mitarbeiter!$A$6:$A$205,0))),"nach Austritt","ok")))))))</f>
        <v/>
      </c>
    </row>
    <row r="397">
      <c r="A397" s="26" t="n">
        <v>46143</v>
      </c>
      <c r="B397" s="24" t="n">
        <v>1021</v>
      </c>
      <c r="C397" s="40">
        <f>IF(B397="","",IFERROR(INDEX(Mitarbeiter!$B$6:$B$205,MATCH(B397,Mitarbeiter!$A$6:$A$205,0)),"?"))</f>
        <v/>
      </c>
      <c r="D397" s="41" t="inlineStr">
        <is>
          <t>Objekt 2</t>
        </is>
      </c>
      <c r="E397" s="42" t="n">
        <v>72</v>
      </c>
      <c r="F397" s="43" t="n">
        <v>0</v>
      </c>
      <c r="G397" s="44">
        <f>IF(OR(B397="",F397=""),"",IFERROR(F397*INDEX(Mitarbeiter!$F$6:$F$205,MATCH(B397,Mitarbeiter!$A$6:$A$205,0)),0))</f>
        <v/>
      </c>
      <c r="H397" s="8">
        <f>IF(B397="","",IF(ISNA(MATCH(B397,Mitarbeiter!$A$6:$A$205,0)),"Pers.-Nr. unbekannt",IF(A397="","Datum fehlt",IF(AND(D397&lt;&gt;Einstellungen!$C$4,D397&lt;&gt;Einstellungen!$C$5),"Objekt fehlt",IF(YEAR(A397)&lt;&gt;Einstellungen!$C$3,"anderes Jahr",IF(A397&lt;INDEX(Mitarbeiter!$C$6:$C$205,MATCH(B397,Mitarbeiter!$A$6:$A$205,0)),"vor Eintritt",IF(AND(INDEX(Mitarbeiter!$D$6:$D$205,MATCH(B397,Mitarbeiter!$A$6:$A$205,0))&lt;&gt;"",A397&gt;INDEX(Mitarbeiter!$D$6:$D$205,MATCH(B397,Mitarbeiter!$A$6:$A$205,0))),"nach Austritt","ok")))))))</f>
        <v/>
      </c>
    </row>
    <row r="398">
      <c r="A398" s="26" t="n">
        <v>46143</v>
      </c>
      <c r="B398" s="24" t="n">
        <v>1022</v>
      </c>
      <c r="C398" s="40">
        <f>IF(B398="","",IFERROR(INDEX(Mitarbeiter!$B$6:$B$205,MATCH(B398,Mitarbeiter!$A$6:$A$205,0)),"?"))</f>
        <v/>
      </c>
      <c r="D398" s="41" t="inlineStr">
        <is>
          <t>Objekt 1</t>
        </is>
      </c>
      <c r="E398" s="42" t="n">
        <v>28</v>
      </c>
      <c r="F398" s="43" t="n">
        <v>0</v>
      </c>
      <c r="G398" s="44">
        <f>IF(OR(B398="",F398=""),"",IFERROR(F398*INDEX(Mitarbeiter!$F$6:$F$205,MATCH(B398,Mitarbeiter!$A$6:$A$205,0)),0))</f>
        <v/>
      </c>
      <c r="H398" s="8">
        <f>IF(B398="","",IF(ISNA(MATCH(B398,Mitarbeiter!$A$6:$A$205,0)),"Pers.-Nr. unbekannt",IF(A398="","Datum fehlt",IF(AND(D398&lt;&gt;Einstellungen!$C$4,D398&lt;&gt;Einstellungen!$C$5),"Objekt fehlt",IF(YEAR(A398)&lt;&gt;Einstellungen!$C$3,"anderes Jahr",IF(A398&lt;INDEX(Mitarbeiter!$C$6:$C$205,MATCH(B398,Mitarbeiter!$A$6:$A$205,0)),"vor Eintritt",IF(AND(INDEX(Mitarbeiter!$D$6:$D$205,MATCH(B398,Mitarbeiter!$A$6:$A$205,0))&lt;&gt;"",A398&gt;INDEX(Mitarbeiter!$D$6:$D$205,MATCH(B398,Mitarbeiter!$A$6:$A$205,0))),"nach Austritt","ok")))))))</f>
        <v/>
      </c>
    </row>
    <row r="399">
      <c r="A399" s="26" t="n">
        <v>46143</v>
      </c>
      <c r="B399" s="24" t="n">
        <v>1022</v>
      </c>
      <c r="C399" s="40">
        <f>IF(B399="","",IFERROR(INDEX(Mitarbeiter!$B$6:$B$205,MATCH(B399,Mitarbeiter!$A$6:$A$205,0)),"?"))</f>
        <v/>
      </c>
      <c r="D399" s="41" t="inlineStr">
        <is>
          <t>Objekt 2</t>
        </is>
      </c>
      <c r="E399" s="42" t="n">
        <v>42.5</v>
      </c>
      <c r="F399" s="43" t="n">
        <v>0</v>
      </c>
      <c r="G399" s="44">
        <f>IF(OR(B399="",F399=""),"",IFERROR(F399*INDEX(Mitarbeiter!$F$6:$F$205,MATCH(B399,Mitarbeiter!$A$6:$A$205,0)),0))</f>
        <v/>
      </c>
      <c r="H399" s="8">
        <f>IF(B399="","",IF(ISNA(MATCH(B399,Mitarbeiter!$A$6:$A$205,0)),"Pers.-Nr. unbekannt",IF(A399="","Datum fehlt",IF(AND(D399&lt;&gt;Einstellungen!$C$4,D399&lt;&gt;Einstellungen!$C$5),"Objekt fehlt",IF(YEAR(A399)&lt;&gt;Einstellungen!$C$3,"anderes Jahr",IF(A399&lt;INDEX(Mitarbeiter!$C$6:$C$205,MATCH(B399,Mitarbeiter!$A$6:$A$205,0)),"vor Eintritt",IF(AND(INDEX(Mitarbeiter!$D$6:$D$205,MATCH(B399,Mitarbeiter!$A$6:$A$205,0))&lt;&gt;"",A399&gt;INDEX(Mitarbeiter!$D$6:$D$205,MATCH(B399,Mitarbeiter!$A$6:$A$205,0))),"nach Austritt","ok")))))))</f>
        <v/>
      </c>
    </row>
    <row r="400">
      <c r="A400" s="26" t="n">
        <v>46143</v>
      </c>
      <c r="B400" s="24" t="n">
        <v>1023</v>
      </c>
      <c r="C400" s="40">
        <f>IF(B400="","",IFERROR(INDEX(Mitarbeiter!$B$6:$B$205,MATCH(B400,Mitarbeiter!$A$6:$A$205,0)),"?"))</f>
        <v/>
      </c>
      <c r="D400" s="41" t="inlineStr">
        <is>
          <t>Objekt 1</t>
        </is>
      </c>
      <c r="E400" s="42" t="n">
        <v>102</v>
      </c>
      <c r="F400" s="43" t="n">
        <v>1</v>
      </c>
      <c r="G400" s="44">
        <f>IF(OR(B400="",F400=""),"",IFERROR(F400*INDEX(Mitarbeiter!$F$6:$F$205,MATCH(B400,Mitarbeiter!$A$6:$A$205,0)),0))</f>
        <v/>
      </c>
      <c r="H400" s="8">
        <f>IF(B400="","",IF(ISNA(MATCH(B400,Mitarbeiter!$A$6:$A$205,0)),"Pers.-Nr. unbekannt",IF(A400="","Datum fehlt",IF(AND(D400&lt;&gt;Einstellungen!$C$4,D400&lt;&gt;Einstellungen!$C$5),"Objekt fehlt",IF(YEAR(A400)&lt;&gt;Einstellungen!$C$3,"anderes Jahr",IF(A400&lt;INDEX(Mitarbeiter!$C$6:$C$205,MATCH(B400,Mitarbeiter!$A$6:$A$205,0)),"vor Eintritt",IF(AND(INDEX(Mitarbeiter!$D$6:$D$205,MATCH(B400,Mitarbeiter!$A$6:$A$205,0))&lt;&gt;"",A400&gt;INDEX(Mitarbeiter!$D$6:$D$205,MATCH(B400,Mitarbeiter!$A$6:$A$205,0))),"nach Austritt","ok")))))))</f>
        <v/>
      </c>
    </row>
    <row r="401">
      <c r="A401" s="26" t="n">
        <v>46143</v>
      </c>
      <c r="B401" s="24" t="n">
        <v>1024</v>
      </c>
      <c r="C401" s="40">
        <f>IF(B401="","",IFERROR(INDEX(Mitarbeiter!$B$6:$B$205,MATCH(B401,Mitarbeiter!$A$6:$A$205,0)),"?"))</f>
        <v/>
      </c>
      <c r="D401" s="41" t="inlineStr">
        <is>
          <t>Objekt 1</t>
        </is>
      </c>
      <c r="E401" s="42" t="n">
        <v>54.5</v>
      </c>
      <c r="F401" s="43" t="n">
        <v>0</v>
      </c>
      <c r="G401" s="44">
        <f>IF(OR(B401="",F401=""),"",IFERROR(F401*INDEX(Mitarbeiter!$F$6:$F$205,MATCH(B401,Mitarbeiter!$A$6:$A$205,0)),0))</f>
        <v/>
      </c>
      <c r="H401" s="8">
        <f>IF(B401="","",IF(ISNA(MATCH(B401,Mitarbeiter!$A$6:$A$205,0)),"Pers.-Nr. unbekannt",IF(A401="","Datum fehlt",IF(AND(D401&lt;&gt;Einstellungen!$C$4,D401&lt;&gt;Einstellungen!$C$5),"Objekt fehlt",IF(YEAR(A401)&lt;&gt;Einstellungen!$C$3,"anderes Jahr",IF(A401&lt;INDEX(Mitarbeiter!$C$6:$C$205,MATCH(B401,Mitarbeiter!$A$6:$A$205,0)),"vor Eintritt",IF(AND(INDEX(Mitarbeiter!$D$6:$D$205,MATCH(B401,Mitarbeiter!$A$6:$A$205,0))&lt;&gt;"",A401&gt;INDEX(Mitarbeiter!$D$6:$D$205,MATCH(B401,Mitarbeiter!$A$6:$A$205,0))),"nach Austritt","ok")))))))</f>
        <v/>
      </c>
    </row>
    <row r="402">
      <c r="A402" s="26" t="n">
        <v>46143</v>
      </c>
      <c r="B402" s="24" t="n">
        <v>1024</v>
      </c>
      <c r="C402" s="40">
        <f>IF(B402="","",IFERROR(INDEX(Mitarbeiter!$B$6:$B$205,MATCH(B402,Mitarbeiter!$A$6:$A$205,0)),"?"))</f>
        <v/>
      </c>
      <c r="D402" s="41" t="inlineStr">
        <is>
          <t>Objekt 2</t>
        </is>
      </c>
      <c r="E402" s="42" t="n">
        <v>88</v>
      </c>
      <c r="F402" s="43" t="n">
        <v>0</v>
      </c>
      <c r="G402" s="44">
        <f>IF(OR(B402="",F402=""),"",IFERROR(F402*INDEX(Mitarbeiter!$F$6:$F$205,MATCH(B402,Mitarbeiter!$A$6:$A$205,0)),0))</f>
        <v/>
      </c>
      <c r="H402" s="8">
        <f>IF(B402="","",IF(ISNA(MATCH(B402,Mitarbeiter!$A$6:$A$205,0)),"Pers.-Nr. unbekannt",IF(A402="","Datum fehlt",IF(AND(D402&lt;&gt;Einstellungen!$C$4,D402&lt;&gt;Einstellungen!$C$5),"Objekt fehlt",IF(YEAR(A402)&lt;&gt;Einstellungen!$C$3,"anderes Jahr",IF(A402&lt;INDEX(Mitarbeiter!$C$6:$C$205,MATCH(B402,Mitarbeiter!$A$6:$A$205,0)),"vor Eintritt",IF(AND(INDEX(Mitarbeiter!$D$6:$D$205,MATCH(B402,Mitarbeiter!$A$6:$A$205,0))&lt;&gt;"",A402&gt;INDEX(Mitarbeiter!$D$6:$D$205,MATCH(B402,Mitarbeiter!$A$6:$A$205,0))),"nach Austritt","ok")))))))</f>
        <v/>
      </c>
    </row>
    <row r="403">
      <c r="A403" s="26" t="n">
        <v>46143</v>
      </c>
      <c r="B403" s="24" t="n">
        <v>1025</v>
      </c>
      <c r="C403" s="40">
        <f>IF(B403="","",IFERROR(INDEX(Mitarbeiter!$B$6:$B$205,MATCH(B403,Mitarbeiter!$A$6:$A$205,0)),"?"))</f>
        <v/>
      </c>
      <c r="D403" s="41" t="inlineStr">
        <is>
          <t>Objekt 1</t>
        </is>
      </c>
      <c r="E403" s="42" t="n">
        <v>56</v>
      </c>
      <c r="F403" s="43" t="n">
        <v>0</v>
      </c>
      <c r="G403" s="44">
        <f>IF(OR(B403="",F403=""),"",IFERROR(F403*INDEX(Mitarbeiter!$F$6:$F$205,MATCH(B403,Mitarbeiter!$A$6:$A$205,0)),0))</f>
        <v/>
      </c>
      <c r="H403" s="8">
        <f>IF(B403="","",IF(ISNA(MATCH(B403,Mitarbeiter!$A$6:$A$205,0)),"Pers.-Nr. unbekannt",IF(A403="","Datum fehlt",IF(AND(D403&lt;&gt;Einstellungen!$C$4,D403&lt;&gt;Einstellungen!$C$5),"Objekt fehlt",IF(YEAR(A403)&lt;&gt;Einstellungen!$C$3,"anderes Jahr",IF(A403&lt;INDEX(Mitarbeiter!$C$6:$C$205,MATCH(B403,Mitarbeiter!$A$6:$A$205,0)),"vor Eintritt",IF(AND(INDEX(Mitarbeiter!$D$6:$D$205,MATCH(B403,Mitarbeiter!$A$6:$A$205,0))&lt;&gt;"",A403&gt;INDEX(Mitarbeiter!$D$6:$D$205,MATCH(B403,Mitarbeiter!$A$6:$A$205,0))),"nach Austritt","ok")))))))</f>
        <v/>
      </c>
    </row>
    <row r="404">
      <c r="A404" s="26" t="n">
        <v>46143</v>
      </c>
      <c r="B404" s="24" t="n">
        <v>1025</v>
      </c>
      <c r="C404" s="40">
        <f>IF(B404="","",IFERROR(INDEX(Mitarbeiter!$B$6:$B$205,MATCH(B404,Mitarbeiter!$A$6:$A$205,0)),"?"))</f>
        <v/>
      </c>
      <c r="D404" s="41" t="inlineStr">
        <is>
          <t>Objekt 2</t>
        </is>
      </c>
      <c r="E404" s="42" t="n">
        <v>91</v>
      </c>
      <c r="F404" s="43" t="n">
        <v>0</v>
      </c>
      <c r="G404" s="44">
        <f>IF(OR(B404="",F404=""),"",IFERROR(F404*INDEX(Mitarbeiter!$F$6:$F$205,MATCH(B404,Mitarbeiter!$A$6:$A$205,0)),0))</f>
        <v/>
      </c>
      <c r="H404" s="8">
        <f>IF(B404="","",IF(ISNA(MATCH(B404,Mitarbeiter!$A$6:$A$205,0)),"Pers.-Nr. unbekannt",IF(A404="","Datum fehlt",IF(AND(D404&lt;&gt;Einstellungen!$C$4,D404&lt;&gt;Einstellungen!$C$5),"Objekt fehlt",IF(YEAR(A404)&lt;&gt;Einstellungen!$C$3,"anderes Jahr",IF(A404&lt;INDEX(Mitarbeiter!$C$6:$C$205,MATCH(B404,Mitarbeiter!$A$6:$A$205,0)),"vor Eintritt",IF(AND(INDEX(Mitarbeiter!$D$6:$D$205,MATCH(B404,Mitarbeiter!$A$6:$A$205,0))&lt;&gt;"",A404&gt;INDEX(Mitarbeiter!$D$6:$D$205,MATCH(B404,Mitarbeiter!$A$6:$A$205,0))),"nach Austritt","ok")))))))</f>
        <v/>
      </c>
    </row>
    <row r="405">
      <c r="A405" s="26" t="n">
        <v>46143</v>
      </c>
      <c r="B405" s="24" t="n">
        <v>1027</v>
      </c>
      <c r="C405" s="40">
        <f>IF(B405="","",IFERROR(INDEX(Mitarbeiter!$B$6:$B$205,MATCH(B405,Mitarbeiter!$A$6:$A$205,0)),"?"))</f>
        <v/>
      </c>
      <c r="D405" s="41" t="inlineStr">
        <is>
          <t>Objekt 1</t>
        </is>
      </c>
      <c r="E405" s="42" t="n">
        <v>57</v>
      </c>
      <c r="F405" s="43" t="n">
        <v>0</v>
      </c>
      <c r="G405" s="44">
        <f>IF(OR(B405="",F405=""),"",IFERROR(F405*INDEX(Mitarbeiter!$F$6:$F$205,MATCH(B405,Mitarbeiter!$A$6:$A$205,0)),0))</f>
        <v/>
      </c>
      <c r="H405" s="8">
        <f>IF(B405="","",IF(ISNA(MATCH(B405,Mitarbeiter!$A$6:$A$205,0)),"Pers.-Nr. unbekannt",IF(A405="","Datum fehlt",IF(AND(D405&lt;&gt;Einstellungen!$C$4,D405&lt;&gt;Einstellungen!$C$5),"Objekt fehlt",IF(YEAR(A405)&lt;&gt;Einstellungen!$C$3,"anderes Jahr",IF(A405&lt;INDEX(Mitarbeiter!$C$6:$C$205,MATCH(B405,Mitarbeiter!$A$6:$A$205,0)),"vor Eintritt",IF(AND(INDEX(Mitarbeiter!$D$6:$D$205,MATCH(B405,Mitarbeiter!$A$6:$A$205,0))&lt;&gt;"",A405&gt;INDEX(Mitarbeiter!$D$6:$D$205,MATCH(B405,Mitarbeiter!$A$6:$A$205,0))),"nach Austritt","ok")))))))</f>
        <v/>
      </c>
    </row>
    <row r="406">
      <c r="A406" s="26" t="n">
        <v>46143</v>
      </c>
      <c r="B406" s="24" t="n">
        <v>1027</v>
      </c>
      <c r="C406" s="40">
        <f>IF(B406="","",IFERROR(INDEX(Mitarbeiter!$B$6:$B$205,MATCH(B406,Mitarbeiter!$A$6:$A$205,0)),"?"))</f>
        <v/>
      </c>
      <c r="D406" s="41" t="inlineStr">
        <is>
          <t>Objekt 2</t>
        </is>
      </c>
      <c r="E406" s="42" t="n">
        <v>52.5</v>
      </c>
      <c r="F406" s="43" t="n">
        <v>0</v>
      </c>
      <c r="G406" s="44">
        <f>IF(OR(B406="",F406=""),"",IFERROR(F406*INDEX(Mitarbeiter!$F$6:$F$205,MATCH(B406,Mitarbeiter!$A$6:$A$205,0)),0))</f>
        <v/>
      </c>
      <c r="H406" s="8">
        <f>IF(B406="","",IF(ISNA(MATCH(B406,Mitarbeiter!$A$6:$A$205,0)),"Pers.-Nr. unbekannt",IF(A406="","Datum fehlt",IF(AND(D406&lt;&gt;Einstellungen!$C$4,D406&lt;&gt;Einstellungen!$C$5),"Objekt fehlt",IF(YEAR(A406)&lt;&gt;Einstellungen!$C$3,"anderes Jahr",IF(A406&lt;INDEX(Mitarbeiter!$C$6:$C$205,MATCH(B406,Mitarbeiter!$A$6:$A$205,0)),"vor Eintritt",IF(AND(INDEX(Mitarbeiter!$D$6:$D$205,MATCH(B406,Mitarbeiter!$A$6:$A$205,0))&lt;&gt;"",A406&gt;INDEX(Mitarbeiter!$D$6:$D$205,MATCH(B406,Mitarbeiter!$A$6:$A$205,0))),"nach Austritt","ok")))))))</f>
        <v/>
      </c>
    </row>
    <row r="407">
      <c r="A407" s="26" t="n">
        <v>46143</v>
      </c>
      <c r="B407" s="24" t="n">
        <v>1028</v>
      </c>
      <c r="C407" s="40">
        <f>IF(B407="","",IFERROR(INDEX(Mitarbeiter!$B$6:$B$205,MATCH(B407,Mitarbeiter!$A$6:$A$205,0)),"?"))</f>
        <v/>
      </c>
      <c r="D407" s="41" t="inlineStr">
        <is>
          <t>Objekt 1</t>
        </is>
      </c>
      <c r="E407" s="42" t="n">
        <v>30.5</v>
      </c>
      <c r="F407" s="43" t="n">
        <v>0</v>
      </c>
      <c r="G407" s="44">
        <f>IF(OR(B407="",F407=""),"",IFERROR(F407*INDEX(Mitarbeiter!$F$6:$F$205,MATCH(B407,Mitarbeiter!$A$6:$A$205,0)),0))</f>
        <v/>
      </c>
      <c r="H407" s="8">
        <f>IF(B407="","",IF(ISNA(MATCH(B407,Mitarbeiter!$A$6:$A$205,0)),"Pers.-Nr. unbekannt",IF(A407="","Datum fehlt",IF(AND(D407&lt;&gt;Einstellungen!$C$4,D407&lt;&gt;Einstellungen!$C$5),"Objekt fehlt",IF(YEAR(A407)&lt;&gt;Einstellungen!$C$3,"anderes Jahr",IF(A407&lt;INDEX(Mitarbeiter!$C$6:$C$205,MATCH(B407,Mitarbeiter!$A$6:$A$205,0)),"vor Eintritt",IF(AND(INDEX(Mitarbeiter!$D$6:$D$205,MATCH(B407,Mitarbeiter!$A$6:$A$205,0))&lt;&gt;"",A407&gt;INDEX(Mitarbeiter!$D$6:$D$205,MATCH(B407,Mitarbeiter!$A$6:$A$205,0))),"nach Austritt","ok")))))))</f>
        <v/>
      </c>
    </row>
    <row r="408">
      <c r="A408" s="26" t="n">
        <v>46143</v>
      </c>
      <c r="B408" s="24" t="n">
        <v>1028</v>
      </c>
      <c r="C408" s="40">
        <f>IF(B408="","",IFERROR(INDEX(Mitarbeiter!$B$6:$B$205,MATCH(B408,Mitarbeiter!$A$6:$A$205,0)),"?"))</f>
        <v/>
      </c>
      <c r="D408" s="41" t="inlineStr">
        <is>
          <t>Objekt 2</t>
        </is>
      </c>
      <c r="E408" s="42" t="n">
        <v>107</v>
      </c>
      <c r="F408" s="43" t="n">
        <v>1</v>
      </c>
      <c r="G408" s="44">
        <f>IF(OR(B408="",F408=""),"",IFERROR(F408*INDEX(Mitarbeiter!$F$6:$F$205,MATCH(B408,Mitarbeiter!$A$6:$A$205,0)),0))</f>
        <v/>
      </c>
      <c r="H408" s="8">
        <f>IF(B408="","",IF(ISNA(MATCH(B408,Mitarbeiter!$A$6:$A$205,0)),"Pers.-Nr. unbekannt",IF(A408="","Datum fehlt",IF(AND(D408&lt;&gt;Einstellungen!$C$4,D408&lt;&gt;Einstellungen!$C$5),"Objekt fehlt",IF(YEAR(A408)&lt;&gt;Einstellungen!$C$3,"anderes Jahr",IF(A408&lt;INDEX(Mitarbeiter!$C$6:$C$205,MATCH(B408,Mitarbeiter!$A$6:$A$205,0)),"vor Eintritt",IF(AND(INDEX(Mitarbeiter!$D$6:$D$205,MATCH(B408,Mitarbeiter!$A$6:$A$205,0))&lt;&gt;"",A408&gt;INDEX(Mitarbeiter!$D$6:$D$205,MATCH(B408,Mitarbeiter!$A$6:$A$205,0))),"nach Austritt","ok")))))))</f>
        <v/>
      </c>
    </row>
    <row r="409">
      <c r="A409" s="26" t="n">
        <v>46143</v>
      </c>
      <c r="B409" s="24" t="n">
        <v>1029</v>
      </c>
      <c r="C409" s="40">
        <f>IF(B409="","",IFERROR(INDEX(Mitarbeiter!$B$6:$B$205,MATCH(B409,Mitarbeiter!$A$6:$A$205,0)),"?"))</f>
        <v/>
      </c>
      <c r="D409" s="41" t="inlineStr">
        <is>
          <t>Objekt 1</t>
        </is>
      </c>
      <c r="E409" s="42" t="n">
        <v>104</v>
      </c>
      <c r="F409" s="43" t="n">
        <v>5</v>
      </c>
      <c r="G409" s="44">
        <f>IF(OR(B409="",F409=""),"",IFERROR(F409*INDEX(Mitarbeiter!$F$6:$F$205,MATCH(B409,Mitarbeiter!$A$6:$A$205,0)),0))</f>
        <v/>
      </c>
      <c r="H409" s="8">
        <f>IF(B409="","",IF(ISNA(MATCH(B409,Mitarbeiter!$A$6:$A$205,0)),"Pers.-Nr. unbekannt",IF(A409="","Datum fehlt",IF(AND(D409&lt;&gt;Einstellungen!$C$4,D409&lt;&gt;Einstellungen!$C$5),"Objekt fehlt",IF(YEAR(A409)&lt;&gt;Einstellungen!$C$3,"anderes Jahr",IF(A409&lt;INDEX(Mitarbeiter!$C$6:$C$205,MATCH(B409,Mitarbeiter!$A$6:$A$205,0)),"vor Eintritt",IF(AND(INDEX(Mitarbeiter!$D$6:$D$205,MATCH(B409,Mitarbeiter!$A$6:$A$205,0))&lt;&gt;"",A409&gt;INDEX(Mitarbeiter!$D$6:$D$205,MATCH(B409,Mitarbeiter!$A$6:$A$205,0))),"nach Austritt","ok")))))))</f>
        <v/>
      </c>
    </row>
    <row r="410">
      <c r="A410" s="26" t="n">
        <v>46143</v>
      </c>
      <c r="B410" s="24" t="n">
        <v>1030</v>
      </c>
      <c r="C410" s="40">
        <f>IF(B410="","",IFERROR(INDEX(Mitarbeiter!$B$6:$B$205,MATCH(B410,Mitarbeiter!$A$6:$A$205,0)),"?"))</f>
        <v/>
      </c>
      <c r="D410" s="41" t="inlineStr">
        <is>
          <t>Objekt 2</t>
        </is>
      </c>
      <c r="E410" s="42" t="n">
        <v>111</v>
      </c>
      <c r="F410" s="43" t="n">
        <v>0</v>
      </c>
      <c r="G410" s="44">
        <f>IF(OR(B410="",F410=""),"",IFERROR(F410*INDEX(Mitarbeiter!$F$6:$F$205,MATCH(B410,Mitarbeiter!$A$6:$A$205,0)),0))</f>
        <v/>
      </c>
      <c r="H410" s="8">
        <f>IF(B410="","",IF(ISNA(MATCH(B410,Mitarbeiter!$A$6:$A$205,0)),"Pers.-Nr. unbekannt",IF(A410="","Datum fehlt",IF(AND(D410&lt;&gt;Einstellungen!$C$4,D410&lt;&gt;Einstellungen!$C$5),"Objekt fehlt",IF(YEAR(A410)&lt;&gt;Einstellungen!$C$3,"anderes Jahr",IF(A410&lt;INDEX(Mitarbeiter!$C$6:$C$205,MATCH(B410,Mitarbeiter!$A$6:$A$205,0)),"vor Eintritt",IF(AND(INDEX(Mitarbeiter!$D$6:$D$205,MATCH(B410,Mitarbeiter!$A$6:$A$205,0))&lt;&gt;"",A410&gt;INDEX(Mitarbeiter!$D$6:$D$205,MATCH(B410,Mitarbeiter!$A$6:$A$205,0))),"nach Austritt","ok")))))))</f>
        <v/>
      </c>
    </row>
    <row r="411">
      <c r="A411" s="26" t="n">
        <v>46143</v>
      </c>
      <c r="B411" s="24" t="n">
        <v>1031</v>
      </c>
      <c r="C411" s="40">
        <f>IF(B411="","",IFERROR(INDEX(Mitarbeiter!$B$6:$B$205,MATCH(B411,Mitarbeiter!$A$6:$A$205,0)),"?"))</f>
        <v/>
      </c>
      <c r="D411" s="41" t="inlineStr">
        <is>
          <t>Objekt 2</t>
        </is>
      </c>
      <c r="E411" s="42" t="n">
        <v>142.5</v>
      </c>
      <c r="F411" s="43" t="n">
        <v>0</v>
      </c>
      <c r="G411" s="44">
        <f>IF(OR(B411="",F411=""),"",IFERROR(F411*INDEX(Mitarbeiter!$F$6:$F$205,MATCH(B411,Mitarbeiter!$A$6:$A$205,0)),0))</f>
        <v/>
      </c>
      <c r="H411" s="8">
        <f>IF(B411="","",IF(ISNA(MATCH(B411,Mitarbeiter!$A$6:$A$205,0)),"Pers.-Nr. unbekannt",IF(A411="","Datum fehlt",IF(AND(D411&lt;&gt;Einstellungen!$C$4,D411&lt;&gt;Einstellungen!$C$5),"Objekt fehlt",IF(YEAR(A411)&lt;&gt;Einstellungen!$C$3,"anderes Jahr",IF(A411&lt;INDEX(Mitarbeiter!$C$6:$C$205,MATCH(B411,Mitarbeiter!$A$6:$A$205,0)),"vor Eintritt",IF(AND(INDEX(Mitarbeiter!$D$6:$D$205,MATCH(B411,Mitarbeiter!$A$6:$A$205,0))&lt;&gt;"",A411&gt;INDEX(Mitarbeiter!$D$6:$D$205,MATCH(B411,Mitarbeiter!$A$6:$A$205,0))),"nach Austritt","ok")))))))</f>
        <v/>
      </c>
    </row>
    <row r="412">
      <c r="A412" s="26" t="n">
        <v>46143</v>
      </c>
      <c r="B412" s="24" t="n">
        <v>1033</v>
      </c>
      <c r="C412" s="40">
        <f>IF(B412="","",IFERROR(INDEX(Mitarbeiter!$B$6:$B$205,MATCH(B412,Mitarbeiter!$A$6:$A$205,0)),"?"))</f>
        <v/>
      </c>
      <c r="D412" s="41" t="inlineStr">
        <is>
          <t>Objekt 1</t>
        </is>
      </c>
      <c r="E412" s="42" t="n">
        <v>137.5</v>
      </c>
      <c r="F412" s="43" t="n">
        <v>1</v>
      </c>
      <c r="G412" s="44">
        <f>IF(OR(B412="",F412=""),"",IFERROR(F412*INDEX(Mitarbeiter!$F$6:$F$205,MATCH(B412,Mitarbeiter!$A$6:$A$205,0)),0))</f>
        <v/>
      </c>
      <c r="H412" s="8">
        <f>IF(B412="","",IF(ISNA(MATCH(B412,Mitarbeiter!$A$6:$A$205,0)),"Pers.-Nr. unbekannt",IF(A412="","Datum fehlt",IF(AND(D412&lt;&gt;Einstellungen!$C$4,D412&lt;&gt;Einstellungen!$C$5),"Objekt fehlt",IF(YEAR(A412)&lt;&gt;Einstellungen!$C$3,"anderes Jahr",IF(A412&lt;INDEX(Mitarbeiter!$C$6:$C$205,MATCH(B412,Mitarbeiter!$A$6:$A$205,0)),"vor Eintritt",IF(AND(INDEX(Mitarbeiter!$D$6:$D$205,MATCH(B412,Mitarbeiter!$A$6:$A$205,0))&lt;&gt;"",A412&gt;INDEX(Mitarbeiter!$D$6:$D$205,MATCH(B412,Mitarbeiter!$A$6:$A$205,0))),"nach Austritt","ok")))))))</f>
        <v/>
      </c>
    </row>
    <row r="413">
      <c r="A413" s="26" t="n">
        <v>46143</v>
      </c>
      <c r="B413" s="24" t="n">
        <v>1034</v>
      </c>
      <c r="C413" s="40">
        <f>IF(B413="","",IFERROR(INDEX(Mitarbeiter!$B$6:$B$205,MATCH(B413,Mitarbeiter!$A$6:$A$205,0)),"?"))</f>
        <v/>
      </c>
      <c r="D413" s="41" t="inlineStr">
        <is>
          <t>Objekt 1</t>
        </is>
      </c>
      <c r="E413" s="42" t="n">
        <v>42</v>
      </c>
      <c r="F413" s="43" t="n">
        <v>0</v>
      </c>
      <c r="G413" s="44">
        <f>IF(OR(B413="",F413=""),"",IFERROR(F413*INDEX(Mitarbeiter!$F$6:$F$205,MATCH(B413,Mitarbeiter!$A$6:$A$205,0)),0))</f>
        <v/>
      </c>
      <c r="H413" s="8">
        <f>IF(B413="","",IF(ISNA(MATCH(B413,Mitarbeiter!$A$6:$A$205,0)),"Pers.-Nr. unbekannt",IF(A413="","Datum fehlt",IF(AND(D413&lt;&gt;Einstellungen!$C$4,D413&lt;&gt;Einstellungen!$C$5),"Objekt fehlt",IF(YEAR(A413)&lt;&gt;Einstellungen!$C$3,"anderes Jahr",IF(A413&lt;INDEX(Mitarbeiter!$C$6:$C$205,MATCH(B413,Mitarbeiter!$A$6:$A$205,0)),"vor Eintritt",IF(AND(INDEX(Mitarbeiter!$D$6:$D$205,MATCH(B413,Mitarbeiter!$A$6:$A$205,0))&lt;&gt;"",A413&gt;INDEX(Mitarbeiter!$D$6:$D$205,MATCH(B413,Mitarbeiter!$A$6:$A$205,0))),"nach Austritt","ok")))))))</f>
        <v/>
      </c>
    </row>
    <row r="414">
      <c r="A414" s="26" t="n">
        <v>46143</v>
      </c>
      <c r="B414" s="24" t="n">
        <v>1034</v>
      </c>
      <c r="C414" s="40">
        <f>IF(B414="","",IFERROR(INDEX(Mitarbeiter!$B$6:$B$205,MATCH(B414,Mitarbeiter!$A$6:$A$205,0)),"?"))</f>
        <v/>
      </c>
      <c r="D414" s="41" t="inlineStr">
        <is>
          <t>Objekt 2</t>
        </is>
      </c>
      <c r="E414" s="42" t="n">
        <v>64.5</v>
      </c>
      <c r="F414" s="43" t="n">
        <v>0</v>
      </c>
      <c r="G414" s="44">
        <f>IF(OR(B414="",F414=""),"",IFERROR(F414*INDEX(Mitarbeiter!$F$6:$F$205,MATCH(B414,Mitarbeiter!$A$6:$A$205,0)),0))</f>
        <v/>
      </c>
      <c r="H414" s="8">
        <f>IF(B414="","",IF(ISNA(MATCH(B414,Mitarbeiter!$A$6:$A$205,0)),"Pers.-Nr. unbekannt",IF(A414="","Datum fehlt",IF(AND(D414&lt;&gt;Einstellungen!$C$4,D414&lt;&gt;Einstellungen!$C$5),"Objekt fehlt",IF(YEAR(A414)&lt;&gt;Einstellungen!$C$3,"anderes Jahr",IF(A414&lt;INDEX(Mitarbeiter!$C$6:$C$205,MATCH(B414,Mitarbeiter!$A$6:$A$205,0)),"vor Eintritt",IF(AND(INDEX(Mitarbeiter!$D$6:$D$205,MATCH(B414,Mitarbeiter!$A$6:$A$205,0))&lt;&gt;"",A414&gt;INDEX(Mitarbeiter!$D$6:$D$205,MATCH(B414,Mitarbeiter!$A$6:$A$205,0))),"nach Austritt","ok")))))))</f>
        <v/>
      </c>
    </row>
    <row r="415">
      <c r="A415" s="26" t="n">
        <v>46143</v>
      </c>
      <c r="B415" s="24" t="n">
        <v>1035</v>
      </c>
      <c r="C415" s="40">
        <f>IF(B415="","",IFERROR(INDEX(Mitarbeiter!$B$6:$B$205,MATCH(B415,Mitarbeiter!$A$6:$A$205,0)),"?"))</f>
        <v/>
      </c>
      <c r="D415" s="41" t="inlineStr">
        <is>
          <t>Objekt 2</t>
        </is>
      </c>
      <c r="E415" s="42" t="n">
        <v>131</v>
      </c>
      <c r="F415" s="43" t="n">
        <v>2</v>
      </c>
      <c r="G415" s="44">
        <f>IF(OR(B415="",F415=""),"",IFERROR(F415*INDEX(Mitarbeiter!$F$6:$F$205,MATCH(B415,Mitarbeiter!$A$6:$A$205,0)),0))</f>
        <v/>
      </c>
      <c r="H415" s="8">
        <f>IF(B415="","",IF(ISNA(MATCH(B415,Mitarbeiter!$A$6:$A$205,0)),"Pers.-Nr. unbekannt",IF(A415="","Datum fehlt",IF(AND(D415&lt;&gt;Einstellungen!$C$4,D415&lt;&gt;Einstellungen!$C$5),"Objekt fehlt",IF(YEAR(A415)&lt;&gt;Einstellungen!$C$3,"anderes Jahr",IF(A415&lt;INDEX(Mitarbeiter!$C$6:$C$205,MATCH(B415,Mitarbeiter!$A$6:$A$205,0)),"vor Eintritt",IF(AND(INDEX(Mitarbeiter!$D$6:$D$205,MATCH(B415,Mitarbeiter!$A$6:$A$205,0))&lt;&gt;"",A415&gt;INDEX(Mitarbeiter!$D$6:$D$205,MATCH(B415,Mitarbeiter!$A$6:$A$205,0))),"nach Austritt","ok")))))))</f>
        <v/>
      </c>
    </row>
    <row r="416">
      <c r="A416" s="26" t="n">
        <v>46143</v>
      </c>
      <c r="B416" s="24" t="n">
        <v>1036</v>
      </c>
      <c r="C416" s="40">
        <f>IF(B416="","",IFERROR(INDEX(Mitarbeiter!$B$6:$B$205,MATCH(B416,Mitarbeiter!$A$6:$A$205,0)),"?"))</f>
        <v/>
      </c>
      <c r="D416" s="41" t="inlineStr">
        <is>
          <t>Objekt 1</t>
        </is>
      </c>
      <c r="E416" s="42" t="n">
        <v>28</v>
      </c>
      <c r="F416" s="43" t="n">
        <v>0</v>
      </c>
      <c r="G416" s="44">
        <f>IF(OR(B416="",F416=""),"",IFERROR(F416*INDEX(Mitarbeiter!$F$6:$F$205,MATCH(B416,Mitarbeiter!$A$6:$A$205,0)),0))</f>
        <v/>
      </c>
      <c r="H416" s="8">
        <f>IF(B416="","",IF(ISNA(MATCH(B416,Mitarbeiter!$A$6:$A$205,0)),"Pers.-Nr. unbekannt",IF(A416="","Datum fehlt",IF(AND(D416&lt;&gt;Einstellungen!$C$4,D416&lt;&gt;Einstellungen!$C$5),"Objekt fehlt",IF(YEAR(A416)&lt;&gt;Einstellungen!$C$3,"anderes Jahr",IF(A416&lt;INDEX(Mitarbeiter!$C$6:$C$205,MATCH(B416,Mitarbeiter!$A$6:$A$205,0)),"vor Eintritt",IF(AND(INDEX(Mitarbeiter!$D$6:$D$205,MATCH(B416,Mitarbeiter!$A$6:$A$205,0))&lt;&gt;"",A416&gt;INDEX(Mitarbeiter!$D$6:$D$205,MATCH(B416,Mitarbeiter!$A$6:$A$205,0))),"nach Austritt","ok")))))))</f>
        <v/>
      </c>
    </row>
    <row r="417">
      <c r="A417" s="26" t="n">
        <v>46143</v>
      </c>
      <c r="B417" s="24" t="n">
        <v>1036</v>
      </c>
      <c r="C417" s="40">
        <f>IF(B417="","",IFERROR(INDEX(Mitarbeiter!$B$6:$B$205,MATCH(B417,Mitarbeiter!$A$6:$A$205,0)),"?"))</f>
        <v/>
      </c>
      <c r="D417" s="41" t="inlineStr">
        <is>
          <t>Objekt 2</t>
        </is>
      </c>
      <c r="E417" s="42" t="n">
        <v>47</v>
      </c>
      <c r="F417" s="43" t="n">
        <v>0</v>
      </c>
      <c r="G417" s="44">
        <f>IF(OR(B417="",F417=""),"",IFERROR(F417*INDEX(Mitarbeiter!$F$6:$F$205,MATCH(B417,Mitarbeiter!$A$6:$A$205,0)),0))</f>
        <v/>
      </c>
      <c r="H417" s="8">
        <f>IF(B417="","",IF(ISNA(MATCH(B417,Mitarbeiter!$A$6:$A$205,0)),"Pers.-Nr. unbekannt",IF(A417="","Datum fehlt",IF(AND(D417&lt;&gt;Einstellungen!$C$4,D417&lt;&gt;Einstellungen!$C$5),"Objekt fehlt",IF(YEAR(A417)&lt;&gt;Einstellungen!$C$3,"anderes Jahr",IF(A417&lt;INDEX(Mitarbeiter!$C$6:$C$205,MATCH(B417,Mitarbeiter!$A$6:$A$205,0)),"vor Eintritt",IF(AND(INDEX(Mitarbeiter!$D$6:$D$205,MATCH(B417,Mitarbeiter!$A$6:$A$205,0))&lt;&gt;"",A417&gt;INDEX(Mitarbeiter!$D$6:$D$205,MATCH(B417,Mitarbeiter!$A$6:$A$205,0))),"nach Austritt","ok")))))))</f>
        <v/>
      </c>
    </row>
    <row r="418">
      <c r="A418" s="26" t="n">
        <v>46143</v>
      </c>
      <c r="B418" s="24" t="n">
        <v>1038</v>
      </c>
      <c r="C418" s="40">
        <f>IF(B418="","",IFERROR(INDEX(Mitarbeiter!$B$6:$B$205,MATCH(B418,Mitarbeiter!$A$6:$A$205,0)),"?"))</f>
        <v/>
      </c>
      <c r="D418" s="41" t="inlineStr">
        <is>
          <t>Objekt 1</t>
        </is>
      </c>
      <c r="E418" s="42" t="n">
        <v>54.5</v>
      </c>
      <c r="F418" s="43" t="n">
        <v>2</v>
      </c>
      <c r="G418" s="44">
        <f>IF(OR(B418="",F418=""),"",IFERROR(F418*INDEX(Mitarbeiter!$F$6:$F$205,MATCH(B418,Mitarbeiter!$A$6:$A$205,0)),0))</f>
        <v/>
      </c>
      <c r="H418" s="8">
        <f>IF(B418="","",IF(ISNA(MATCH(B418,Mitarbeiter!$A$6:$A$205,0)),"Pers.-Nr. unbekannt",IF(A418="","Datum fehlt",IF(AND(D418&lt;&gt;Einstellungen!$C$4,D418&lt;&gt;Einstellungen!$C$5),"Objekt fehlt",IF(YEAR(A418)&lt;&gt;Einstellungen!$C$3,"anderes Jahr",IF(A418&lt;INDEX(Mitarbeiter!$C$6:$C$205,MATCH(B418,Mitarbeiter!$A$6:$A$205,0)),"vor Eintritt",IF(AND(INDEX(Mitarbeiter!$D$6:$D$205,MATCH(B418,Mitarbeiter!$A$6:$A$205,0))&lt;&gt;"",A418&gt;INDEX(Mitarbeiter!$D$6:$D$205,MATCH(B418,Mitarbeiter!$A$6:$A$205,0))),"nach Austritt","ok")))))))</f>
        <v/>
      </c>
    </row>
    <row r="419">
      <c r="A419" s="26" t="n">
        <v>46143</v>
      </c>
      <c r="B419" s="24" t="n">
        <v>1038</v>
      </c>
      <c r="C419" s="40">
        <f>IF(B419="","",IFERROR(INDEX(Mitarbeiter!$B$6:$B$205,MATCH(B419,Mitarbeiter!$A$6:$A$205,0)),"?"))</f>
        <v/>
      </c>
      <c r="D419" s="41" t="inlineStr">
        <is>
          <t>Objekt 2</t>
        </is>
      </c>
      <c r="E419" s="42" t="n">
        <v>56</v>
      </c>
      <c r="F419" s="43" t="n">
        <v>2</v>
      </c>
      <c r="G419" s="44">
        <f>IF(OR(B419="",F419=""),"",IFERROR(F419*INDEX(Mitarbeiter!$F$6:$F$205,MATCH(B419,Mitarbeiter!$A$6:$A$205,0)),0))</f>
        <v/>
      </c>
      <c r="H419" s="8">
        <f>IF(B419="","",IF(ISNA(MATCH(B419,Mitarbeiter!$A$6:$A$205,0)),"Pers.-Nr. unbekannt",IF(A419="","Datum fehlt",IF(AND(D419&lt;&gt;Einstellungen!$C$4,D419&lt;&gt;Einstellungen!$C$5),"Objekt fehlt",IF(YEAR(A419)&lt;&gt;Einstellungen!$C$3,"anderes Jahr",IF(A419&lt;INDEX(Mitarbeiter!$C$6:$C$205,MATCH(B419,Mitarbeiter!$A$6:$A$205,0)),"vor Eintritt",IF(AND(INDEX(Mitarbeiter!$D$6:$D$205,MATCH(B419,Mitarbeiter!$A$6:$A$205,0))&lt;&gt;"",A419&gt;INDEX(Mitarbeiter!$D$6:$D$205,MATCH(B419,Mitarbeiter!$A$6:$A$205,0))),"nach Austritt","ok")))))))</f>
        <v/>
      </c>
    </row>
    <row r="420">
      <c r="A420" s="26" t="n">
        <v>46143</v>
      </c>
      <c r="B420" s="24" t="n">
        <v>1039</v>
      </c>
      <c r="C420" s="40">
        <f>IF(B420="","",IFERROR(INDEX(Mitarbeiter!$B$6:$B$205,MATCH(B420,Mitarbeiter!$A$6:$A$205,0)),"?"))</f>
        <v/>
      </c>
      <c r="D420" s="41" t="inlineStr">
        <is>
          <t>Objekt 2</t>
        </is>
      </c>
      <c r="E420" s="42" t="n">
        <v>145.5</v>
      </c>
      <c r="F420" s="43" t="n">
        <v>0</v>
      </c>
      <c r="G420" s="44">
        <f>IF(OR(B420="",F420=""),"",IFERROR(F420*INDEX(Mitarbeiter!$F$6:$F$205,MATCH(B420,Mitarbeiter!$A$6:$A$205,0)),0))</f>
        <v/>
      </c>
      <c r="H420" s="8">
        <f>IF(B420="","",IF(ISNA(MATCH(B420,Mitarbeiter!$A$6:$A$205,0)),"Pers.-Nr. unbekannt",IF(A420="","Datum fehlt",IF(AND(D420&lt;&gt;Einstellungen!$C$4,D420&lt;&gt;Einstellungen!$C$5),"Objekt fehlt",IF(YEAR(A420)&lt;&gt;Einstellungen!$C$3,"anderes Jahr",IF(A420&lt;INDEX(Mitarbeiter!$C$6:$C$205,MATCH(B420,Mitarbeiter!$A$6:$A$205,0)),"vor Eintritt",IF(AND(INDEX(Mitarbeiter!$D$6:$D$205,MATCH(B420,Mitarbeiter!$A$6:$A$205,0))&lt;&gt;"",A420&gt;INDEX(Mitarbeiter!$D$6:$D$205,MATCH(B420,Mitarbeiter!$A$6:$A$205,0))),"nach Austritt","ok")))))))</f>
        <v/>
      </c>
    </row>
    <row r="421">
      <c r="A421" s="26" t="n">
        <v>46143</v>
      </c>
      <c r="B421" s="24" t="n">
        <v>1040</v>
      </c>
      <c r="C421" s="40">
        <f>IF(B421="","",IFERROR(INDEX(Mitarbeiter!$B$6:$B$205,MATCH(B421,Mitarbeiter!$A$6:$A$205,0)),"?"))</f>
        <v/>
      </c>
      <c r="D421" s="41" t="inlineStr">
        <is>
          <t>Objekt 1</t>
        </is>
      </c>
      <c r="E421" s="42" t="n">
        <v>87</v>
      </c>
      <c r="F421" s="43" t="n">
        <v>0</v>
      </c>
      <c r="G421" s="44">
        <f>IF(OR(B421="",F421=""),"",IFERROR(F421*INDEX(Mitarbeiter!$F$6:$F$205,MATCH(B421,Mitarbeiter!$A$6:$A$205,0)),0))</f>
        <v/>
      </c>
      <c r="H421" s="8">
        <f>IF(B421="","",IF(ISNA(MATCH(B421,Mitarbeiter!$A$6:$A$205,0)),"Pers.-Nr. unbekannt",IF(A421="","Datum fehlt",IF(AND(D421&lt;&gt;Einstellungen!$C$4,D421&lt;&gt;Einstellungen!$C$5),"Objekt fehlt",IF(YEAR(A421)&lt;&gt;Einstellungen!$C$3,"anderes Jahr",IF(A421&lt;INDEX(Mitarbeiter!$C$6:$C$205,MATCH(B421,Mitarbeiter!$A$6:$A$205,0)),"vor Eintritt",IF(AND(INDEX(Mitarbeiter!$D$6:$D$205,MATCH(B421,Mitarbeiter!$A$6:$A$205,0))&lt;&gt;"",A421&gt;INDEX(Mitarbeiter!$D$6:$D$205,MATCH(B421,Mitarbeiter!$A$6:$A$205,0))),"nach Austritt","ok")))))))</f>
        <v/>
      </c>
    </row>
    <row r="422">
      <c r="A422" s="26" t="n">
        <v>46143</v>
      </c>
      <c r="B422" s="24" t="n">
        <v>1040</v>
      </c>
      <c r="C422" s="40">
        <f>IF(B422="","",IFERROR(INDEX(Mitarbeiter!$B$6:$B$205,MATCH(B422,Mitarbeiter!$A$6:$A$205,0)),"?"))</f>
        <v/>
      </c>
      <c r="D422" s="41" t="inlineStr">
        <is>
          <t>Objekt 2</t>
        </is>
      </c>
      <c r="E422" s="42" t="n">
        <v>24</v>
      </c>
      <c r="F422" s="43" t="n">
        <v>0</v>
      </c>
      <c r="G422" s="44">
        <f>IF(OR(B422="",F422=""),"",IFERROR(F422*INDEX(Mitarbeiter!$F$6:$F$205,MATCH(B422,Mitarbeiter!$A$6:$A$205,0)),0))</f>
        <v/>
      </c>
      <c r="H422" s="8">
        <f>IF(B422="","",IF(ISNA(MATCH(B422,Mitarbeiter!$A$6:$A$205,0)),"Pers.-Nr. unbekannt",IF(A422="","Datum fehlt",IF(AND(D422&lt;&gt;Einstellungen!$C$4,D422&lt;&gt;Einstellungen!$C$5),"Objekt fehlt",IF(YEAR(A422)&lt;&gt;Einstellungen!$C$3,"anderes Jahr",IF(A422&lt;INDEX(Mitarbeiter!$C$6:$C$205,MATCH(B422,Mitarbeiter!$A$6:$A$205,0)),"vor Eintritt",IF(AND(INDEX(Mitarbeiter!$D$6:$D$205,MATCH(B422,Mitarbeiter!$A$6:$A$205,0))&lt;&gt;"",A422&gt;INDEX(Mitarbeiter!$D$6:$D$205,MATCH(B422,Mitarbeiter!$A$6:$A$205,0))),"nach Austritt","ok")))))))</f>
        <v/>
      </c>
    </row>
    <row r="423">
      <c r="A423" s="26" t="n">
        <v>46143</v>
      </c>
      <c r="B423" s="24" t="n">
        <v>1045</v>
      </c>
      <c r="C423" s="40">
        <f>IF(B423="","",IFERROR(INDEX(Mitarbeiter!$B$6:$B$205,MATCH(B423,Mitarbeiter!$A$6:$A$205,0)),"?"))</f>
        <v/>
      </c>
      <c r="D423" s="41" t="inlineStr">
        <is>
          <t>Objekt 1</t>
        </is>
      </c>
      <c r="E423" s="42" t="n">
        <v>88</v>
      </c>
      <c r="F423" s="43" t="n">
        <v>0</v>
      </c>
      <c r="G423" s="44">
        <f>IF(OR(B423="",F423=""),"",IFERROR(F423*INDEX(Mitarbeiter!$F$6:$F$205,MATCH(B423,Mitarbeiter!$A$6:$A$205,0)),0))</f>
        <v/>
      </c>
      <c r="H423" s="8">
        <f>IF(B423="","",IF(ISNA(MATCH(B423,Mitarbeiter!$A$6:$A$205,0)),"Pers.-Nr. unbekannt",IF(A423="","Datum fehlt",IF(AND(D423&lt;&gt;Einstellungen!$C$4,D423&lt;&gt;Einstellungen!$C$5),"Objekt fehlt",IF(YEAR(A423)&lt;&gt;Einstellungen!$C$3,"anderes Jahr",IF(A423&lt;INDEX(Mitarbeiter!$C$6:$C$205,MATCH(B423,Mitarbeiter!$A$6:$A$205,0)),"vor Eintritt",IF(AND(INDEX(Mitarbeiter!$D$6:$D$205,MATCH(B423,Mitarbeiter!$A$6:$A$205,0))&lt;&gt;"",A423&gt;INDEX(Mitarbeiter!$D$6:$D$205,MATCH(B423,Mitarbeiter!$A$6:$A$205,0))),"nach Austritt","ok")))))))</f>
        <v/>
      </c>
    </row>
    <row r="424">
      <c r="A424" s="26" t="n">
        <v>46143</v>
      </c>
      <c r="B424" s="24" t="n">
        <v>1045</v>
      </c>
      <c r="C424" s="40">
        <f>IF(B424="","",IFERROR(INDEX(Mitarbeiter!$B$6:$B$205,MATCH(B424,Mitarbeiter!$A$6:$A$205,0)),"?"))</f>
        <v/>
      </c>
      <c r="D424" s="41" t="inlineStr">
        <is>
          <t>Objekt 2</t>
        </is>
      </c>
      <c r="E424" s="42" t="n">
        <v>59</v>
      </c>
      <c r="F424" s="43" t="n">
        <v>0</v>
      </c>
      <c r="G424" s="44">
        <f>IF(OR(B424="",F424=""),"",IFERROR(F424*INDEX(Mitarbeiter!$F$6:$F$205,MATCH(B424,Mitarbeiter!$A$6:$A$205,0)),0))</f>
        <v/>
      </c>
      <c r="H424" s="8">
        <f>IF(B424="","",IF(ISNA(MATCH(B424,Mitarbeiter!$A$6:$A$205,0)),"Pers.-Nr. unbekannt",IF(A424="","Datum fehlt",IF(AND(D424&lt;&gt;Einstellungen!$C$4,D424&lt;&gt;Einstellungen!$C$5),"Objekt fehlt",IF(YEAR(A424)&lt;&gt;Einstellungen!$C$3,"anderes Jahr",IF(A424&lt;INDEX(Mitarbeiter!$C$6:$C$205,MATCH(B424,Mitarbeiter!$A$6:$A$205,0)),"vor Eintritt",IF(AND(INDEX(Mitarbeiter!$D$6:$D$205,MATCH(B424,Mitarbeiter!$A$6:$A$205,0))&lt;&gt;"",A424&gt;INDEX(Mitarbeiter!$D$6:$D$205,MATCH(B424,Mitarbeiter!$A$6:$A$205,0))),"nach Austritt","ok")))))))</f>
        <v/>
      </c>
    </row>
    <row r="425">
      <c r="A425" s="26" t="n">
        <v>46143</v>
      </c>
      <c r="B425" s="24" t="n">
        <v>1046</v>
      </c>
      <c r="C425" s="40">
        <f>IF(B425="","",IFERROR(INDEX(Mitarbeiter!$B$6:$B$205,MATCH(B425,Mitarbeiter!$A$6:$A$205,0)),"?"))</f>
        <v/>
      </c>
      <c r="D425" s="41" t="inlineStr">
        <is>
          <t>Objekt 1</t>
        </is>
      </c>
      <c r="E425" s="42" t="n">
        <v>84</v>
      </c>
      <c r="F425" s="43" t="n">
        <v>0</v>
      </c>
      <c r="G425" s="44">
        <f>IF(OR(B425="",F425=""),"",IFERROR(F425*INDEX(Mitarbeiter!$F$6:$F$205,MATCH(B425,Mitarbeiter!$A$6:$A$205,0)),0))</f>
        <v/>
      </c>
      <c r="H425" s="8">
        <f>IF(B425="","",IF(ISNA(MATCH(B425,Mitarbeiter!$A$6:$A$205,0)),"Pers.-Nr. unbekannt",IF(A425="","Datum fehlt",IF(AND(D425&lt;&gt;Einstellungen!$C$4,D425&lt;&gt;Einstellungen!$C$5),"Objekt fehlt",IF(YEAR(A425)&lt;&gt;Einstellungen!$C$3,"anderes Jahr",IF(A425&lt;INDEX(Mitarbeiter!$C$6:$C$205,MATCH(B425,Mitarbeiter!$A$6:$A$205,0)),"vor Eintritt",IF(AND(INDEX(Mitarbeiter!$D$6:$D$205,MATCH(B425,Mitarbeiter!$A$6:$A$205,0))&lt;&gt;"",A425&gt;INDEX(Mitarbeiter!$D$6:$D$205,MATCH(B425,Mitarbeiter!$A$6:$A$205,0))),"nach Austritt","ok")))))))</f>
        <v/>
      </c>
    </row>
    <row r="426">
      <c r="A426" s="26" t="n">
        <v>46143</v>
      </c>
      <c r="B426" s="24" t="n">
        <v>1046</v>
      </c>
      <c r="C426" s="40">
        <f>IF(B426="","",IFERROR(INDEX(Mitarbeiter!$B$6:$B$205,MATCH(B426,Mitarbeiter!$A$6:$A$205,0)),"?"))</f>
        <v/>
      </c>
      <c r="D426" s="41" t="inlineStr">
        <is>
          <t>Objekt 2</t>
        </is>
      </c>
      <c r="E426" s="42" t="n">
        <v>25.5</v>
      </c>
      <c r="F426" s="43" t="n">
        <v>0</v>
      </c>
      <c r="G426" s="44">
        <f>IF(OR(B426="",F426=""),"",IFERROR(F426*INDEX(Mitarbeiter!$F$6:$F$205,MATCH(B426,Mitarbeiter!$A$6:$A$205,0)),0))</f>
        <v/>
      </c>
      <c r="H426" s="8">
        <f>IF(B426="","",IF(ISNA(MATCH(B426,Mitarbeiter!$A$6:$A$205,0)),"Pers.-Nr. unbekannt",IF(A426="","Datum fehlt",IF(AND(D426&lt;&gt;Einstellungen!$C$4,D426&lt;&gt;Einstellungen!$C$5),"Objekt fehlt",IF(YEAR(A426)&lt;&gt;Einstellungen!$C$3,"anderes Jahr",IF(A426&lt;INDEX(Mitarbeiter!$C$6:$C$205,MATCH(B426,Mitarbeiter!$A$6:$A$205,0)),"vor Eintritt",IF(AND(INDEX(Mitarbeiter!$D$6:$D$205,MATCH(B426,Mitarbeiter!$A$6:$A$205,0))&lt;&gt;"",A426&gt;INDEX(Mitarbeiter!$D$6:$D$205,MATCH(B426,Mitarbeiter!$A$6:$A$205,0))),"nach Austritt","ok")))))))</f>
        <v/>
      </c>
    </row>
    <row r="427">
      <c r="A427" s="26" t="n">
        <v>46143</v>
      </c>
      <c r="B427" s="24" t="n">
        <v>1047</v>
      </c>
      <c r="C427" s="40">
        <f>IF(B427="","",IFERROR(INDEX(Mitarbeiter!$B$6:$B$205,MATCH(B427,Mitarbeiter!$A$6:$A$205,0)),"?"))</f>
        <v/>
      </c>
      <c r="D427" s="41" t="inlineStr">
        <is>
          <t>Objekt 2</t>
        </is>
      </c>
      <c r="E427" s="42" t="n">
        <v>120</v>
      </c>
      <c r="F427" s="43" t="n">
        <v>3</v>
      </c>
      <c r="G427" s="44">
        <f>IF(OR(B427="",F427=""),"",IFERROR(F427*INDEX(Mitarbeiter!$F$6:$F$205,MATCH(B427,Mitarbeiter!$A$6:$A$205,0)),0))</f>
        <v/>
      </c>
      <c r="H427" s="8">
        <f>IF(B427="","",IF(ISNA(MATCH(B427,Mitarbeiter!$A$6:$A$205,0)),"Pers.-Nr. unbekannt",IF(A427="","Datum fehlt",IF(AND(D427&lt;&gt;Einstellungen!$C$4,D427&lt;&gt;Einstellungen!$C$5),"Objekt fehlt",IF(YEAR(A427)&lt;&gt;Einstellungen!$C$3,"anderes Jahr",IF(A427&lt;INDEX(Mitarbeiter!$C$6:$C$205,MATCH(B427,Mitarbeiter!$A$6:$A$205,0)),"vor Eintritt",IF(AND(INDEX(Mitarbeiter!$D$6:$D$205,MATCH(B427,Mitarbeiter!$A$6:$A$205,0))&lt;&gt;"",A427&gt;INDEX(Mitarbeiter!$D$6:$D$205,MATCH(B427,Mitarbeiter!$A$6:$A$205,0))),"nach Austritt","ok")))))))</f>
        <v/>
      </c>
    </row>
    <row r="428">
      <c r="A428" s="26" t="n">
        <v>46143</v>
      </c>
      <c r="B428" s="24" t="n">
        <v>1049</v>
      </c>
      <c r="C428" s="40">
        <f>IF(B428="","",IFERROR(INDEX(Mitarbeiter!$B$6:$B$205,MATCH(B428,Mitarbeiter!$A$6:$A$205,0)),"?"))</f>
        <v/>
      </c>
      <c r="D428" s="41" t="inlineStr">
        <is>
          <t>Objekt 1</t>
        </is>
      </c>
      <c r="E428" s="42" t="n">
        <v>108</v>
      </c>
      <c r="F428" s="43" t="n">
        <v>0</v>
      </c>
      <c r="G428" s="44">
        <f>IF(OR(B428="",F428=""),"",IFERROR(F428*INDEX(Mitarbeiter!$F$6:$F$205,MATCH(B428,Mitarbeiter!$A$6:$A$205,0)),0))</f>
        <v/>
      </c>
      <c r="H428" s="8">
        <f>IF(B428="","",IF(ISNA(MATCH(B428,Mitarbeiter!$A$6:$A$205,0)),"Pers.-Nr. unbekannt",IF(A428="","Datum fehlt",IF(AND(D428&lt;&gt;Einstellungen!$C$4,D428&lt;&gt;Einstellungen!$C$5),"Objekt fehlt",IF(YEAR(A428)&lt;&gt;Einstellungen!$C$3,"anderes Jahr",IF(A428&lt;INDEX(Mitarbeiter!$C$6:$C$205,MATCH(B428,Mitarbeiter!$A$6:$A$205,0)),"vor Eintritt",IF(AND(INDEX(Mitarbeiter!$D$6:$D$205,MATCH(B428,Mitarbeiter!$A$6:$A$205,0))&lt;&gt;"",A428&gt;INDEX(Mitarbeiter!$D$6:$D$205,MATCH(B428,Mitarbeiter!$A$6:$A$205,0))),"nach Austritt","ok")))))))</f>
        <v/>
      </c>
    </row>
    <row r="429">
      <c r="A429" s="26" t="n">
        <v>46143</v>
      </c>
      <c r="B429" s="24" t="n">
        <v>1050</v>
      </c>
      <c r="C429" s="40">
        <f>IF(B429="","",IFERROR(INDEX(Mitarbeiter!$B$6:$B$205,MATCH(B429,Mitarbeiter!$A$6:$A$205,0)),"?"))</f>
        <v/>
      </c>
      <c r="D429" s="41" t="inlineStr">
        <is>
          <t>Objekt 1</t>
        </is>
      </c>
      <c r="E429" s="42" t="n">
        <v>24</v>
      </c>
      <c r="F429" s="43" t="n">
        <v>0</v>
      </c>
      <c r="G429" s="44">
        <f>IF(OR(B429="",F429=""),"",IFERROR(F429*INDEX(Mitarbeiter!$F$6:$F$205,MATCH(B429,Mitarbeiter!$A$6:$A$205,0)),0))</f>
        <v/>
      </c>
      <c r="H429" s="8">
        <f>IF(B429="","",IF(ISNA(MATCH(B429,Mitarbeiter!$A$6:$A$205,0)),"Pers.-Nr. unbekannt",IF(A429="","Datum fehlt",IF(AND(D429&lt;&gt;Einstellungen!$C$4,D429&lt;&gt;Einstellungen!$C$5),"Objekt fehlt",IF(YEAR(A429)&lt;&gt;Einstellungen!$C$3,"anderes Jahr",IF(A429&lt;INDEX(Mitarbeiter!$C$6:$C$205,MATCH(B429,Mitarbeiter!$A$6:$A$205,0)),"vor Eintritt",IF(AND(INDEX(Mitarbeiter!$D$6:$D$205,MATCH(B429,Mitarbeiter!$A$6:$A$205,0))&lt;&gt;"",A429&gt;INDEX(Mitarbeiter!$D$6:$D$205,MATCH(B429,Mitarbeiter!$A$6:$A$205,0))),"nach Austritt","ok")))))))</f>
        <v/>
      </c>
    </row>
    <row r="430">
      <c r="A430" s="26" t="n">
        <v>46143</v>
      </c>
      <c r="B430" s="24" t="n">
        <v>1050</v>
      </c>
      <c r="C430" s="40">
        <f>IF(B430="","",IFERROR(INDEX(Mitarbeiter!$B$6:$B$205,MATCH(B430,Mitarbeiter!$A$6:$A$205,0)),"?"))</f>
        <v/>
      </c>
      <c r="D430" s="41" t="inlineStr">
        <is>
          <t>Objekt 2</t>
        </is>
      </c>
      <c r="E430" s="42" t="n">
        <v>84</v>
      </c>
      <c r="F430" s="43" t="n">
        <v>0</v>
      </c>
      <c r="G430" s="44">
        <f>IF(OR(B430="",F430=""),"",IFERROR(F430*INDEX(Mitarbeiter!$F$6:$F$205,MATCH(B430,Mitarbeiter!$A$6:$A$205,0)),0))</f>
        <v/>
      </c>
      <c r="H430" s="8">
        <f>IF(B430="","",IF(ISNA(MATCH(B430,Mitarbeiter!$A$6:$A$205,0)),"Pers.-Nr. unbekannt",IF(A430="","Datum fehlt",IF(AND(D430&lt;&gt;Einstellungen!$C$4,D430&lt;&gt;Einstellungen!$C$5),"Objekt fehlt",IF(YEAR(A430)&lt;&gt;Einstellungen!$C$3,"anderes Jahr",IF(A430&lt;INDEX(Mitarbeiter!$C$6:$C$205,MATCH(B430,Mitarbeiter!$A$6:$A$205,0)),"vor Eintritt",IF(AND(INDEX(Mitarbeiter!$D$6:$D$205,MATCH(B430,Mitarbeiter!$A$6:$A$205,0))&lt;&gt;"",A430&gt;INDEX(Mitarbeiter!$D$6:$D$205,MATCH(B430,Mitarbeiter!$A$6:$A$205,0))),"nach Austritt","ok")))))))</f>
        <v/>
      </c>
    </row>
    <row r="431">
      <c r="A431" s="26" t="n">
        <v>46143</v>
      </c>
      <c r="B431" s="24" t="n">
        <v>1051</v>
      </c>
      <c r="C431" s="40">
        <f>IF(B431="","",IFERROR(INDEX(Mitarbeiter!$B$6:$B$205,MATCH(B431,Mitarbeiter!$A$6:$A$205,0)),"?"))</f>
        <v/>
      </c>
      <c r="D431" s="41" t="inlineStr">
        <is>
          <t>Objekt 2</t>
        </is>
      </c>
      <c r="E431" s="42" t="n">
        <v>147</v>
      </c>
      <c r="F431" s="43" t="n">
        <v>0</v>
      </c>
      <c r="G431" s="44">
        <f>IF(OR(B431="",F431=""),"",IFERROR(F431*INDEX(Mitarbeiter!$F$6:$F$205,MATCH(B431,Mitarbeiter!$A$6:$A$205,0)),0))</f>
        <v/>
      </c>
      <c r="H431" s="8">
        <f>IF(B431="","",IF(ISNA(MATCH(B431,Mitarbeiter!$A$6:$A$205,0)),"Pers.-Nr. unbekannt",IF(A431="","Datum fehlt",IF(AND(D431&lt;&gt;Einstellungen!$C$4,D431&lt;&gt;Einstellungen!$C$5),"Objekt fehlt",IF(YEAR(A431)&lt;&gt;Einstellungen!$C$3,"anderes Jahr",IF(A431&lt;INDEX(Mitarbeiter!$C$6:$C$205,MATCH(B431,Mitarbeiter!$A$6:$A$205,0)),"vor Eintritt",IF(AND(INDEX(Mitarbeiter!$D$6:$D$205,MATCH(B431,Mitarbeiter!$A$6:$A$205,0))&lt;&gt;"",A431&gt;INDEX(Mitarbeiter!$D$6:$D$205,MATCH(B431,Mitarbeiter!$A$6:$A$205,0))),"nach Austritt","ok")))))))</f>
        <v/>
      </c>
    </row>
    <row r="432">
      <c r="A432" s="26" t="n">
        <v>46143</v>
      </c>
      <c r="B432" s="24" t="n">
        <v>1053</v>
      </c>
      <c r="C432" s="40">
        <f>IF(B432="","",IFERROR(INDEX(Mitarbeiter!$B$6:$B$205,MATCH(B432,Mitarbeiter!$A$6:$A$205,0)),"?"))</f>
        <v/>
      </c>
      <c r="D432" s="41" t="inlineStr">
        <is>
          <t>Objekt 1</t>
        </is>
      </c>
      <c r="E432" s="42" t="n">
        <v>42</v>
      </c>
      <c r="F432" s="43" t="n">
        <v>0</v>
      </c>
      <c r="G432" s="44">
        <f>IF(OR(B432="",F432=""),"",IFERROR(F432*INDEX(Mitarbeiter!$F$6:$F$205,MATCH(B432,Mitarbeiter!$A$6:$A$205,0)),0))</f>
        <v/>
      </c>
      <c r="H432" s="8">
        <f>IF(B432="","",IF(ISNA(MATCH(B432,Mitarbeiter!$A$6:$A$205,0)),"Pers.-Nr. unbekannt",IF(A432="","Datum fehlt",IF(AND(D432&lt;&gt;Einstellungen!$C$4,D432&lt;&gt;Einstellungen!$C$5),"Objekt fehlt",IF(YEAR(A432)&lt;&gt;Einstellungen!$C$3,"anderes Jahr",IF(A432&lt;INDEX(Mitarbeiter!$C$6:$C$205,MATCH(B432,Mitarbeiter!$A$6:$A$205,0)),"vor Eintritt",IF(AND(INDEX(Mitarbeiter!$D$6:$D$205,MATCH(B432,Mitarbeiter!$A$6:$A$205,0))&lt;&gt;"",A432&gt;INDEX(Mitarbeiter!$D$6:$D$205,MATCH(B432,Mitarbeiter!$A$6:$A$205,0))),"nach Austritt","ok")))))))</f>
        <v/>
      </c>
    </row>
    <row r="433">
      <c r="A433" s="26" t="n">
        <v>46143</v>
      </c>
      <c r="B433" s="24" t="n">
        <v>1053</v>
      </c>
      <c r="C433" s="40">
        <f>IF(B433="","",IFERROR(INDEX(Mitarbeiter!$B$6:$B$205,MATCH(B433,Mitarbeiter!$A$6:$A$205,0)),"?"))</f>
        <v/>
      </c>
      <c r="D433" s="41" t="inlineStr">
        <is>
          <t>Objekt 2</t>
        </is>
      </c>
      <c r="E433" s="42" t="n">
        <v>66</v>
      </c>
      <c r="F433" s="43" t="n">
        <v>0</v>
      </c>
      <c r="G433" s="44">
        <f>IF(OR(B433="",F433=""),"",IFERROR(F433*INDEX(Mitarbeiter!$F$6:$F$205,MATCH(B433,Mitarbeiter!$A$6:$A$205,0)),0))</f>
        <v/>
      </c>
      <c r="H433" s="8">
        <f>IF(B433="","",IF(ISNA(MATCH(B433,Mitarbeiter!$A$6:$A$205,0)),"Pers.-Nr. unbekannt",IF(A433="","Datum fehlt",IF(AND(D433&lt;&gt;Einstellungen!$C$4,D433&lt;&gt;Einstellungen!$C$5),"Objekt fehlt",IF(YEAR(A433)&lt;&gt;Einstellungen!$C$3,"anderes Jahr",IF(A433&lt;INDEX(Mitarbeiter!$C$6:$C$205,MATCH(B433,Mitarbeiter!$A$6:$A$205,0)),"vor Eintritt",IF(AND(INDEX(Mitarbeiter!$D$6:$D$205,MATCH(B433,Mitarbeiter!$A$6:$A$205,0))&lt;&gt;"",A433&gt;INDEX(Mitarbeiter!$D$6:$D$205,MATCH(B433,Mitarbeiter!$A$6:$A$205,0))),"nach Austritt","ok")))))))</f>
        <v/>
      </c>
    </row>
    <row r="434">
      <c r="A434" s="26" t="n">
        <v>46143</v>
      </c>
      <c r="B434" s="24" t="n">
        <v>1054</v>
      </c>
      <c r="C434" s="40">
        <f>IF(B434="","",IFERROR(INDEX(Mitarbeiter!$B$6:$B$205,MATCH(B434,Mitarbeiter!$A$6:$A$205,0)),"?"))</f>
        <v/>
      </c>
      <c r="D434" s="41" t="inlineStr">
        <is>
          <t>Objekt 2</t>
        </is>
      </c>
      <c r="E434" s="42" t="n">
        <v>134.5</v>
      </c>
      <c r="F434" s="43" t="n">
        <v>1</v>
      </c>
      <c r="G434" s="44">
        <f>IF(OR(B434="",F434=""),"",IFERROR(F434*INDEX(Mitarbeiter!$F$6:$F$205,MATCH(B434,Mitarbeiter!$A$6:$A$205,0)),0))</f>
        <v/>
      </c>
      <c r="H434" s="8">
        <f>IF(B434="","",IF(ISNA(MATCH(B434,Mitarbeiter!$A$6:$A$205,0)),"Pers.-Nr. unbekannt",IF(A434="","Datum fehlt",IF(AND(D434&lt;&gt;Einstellungen!$C$4,D434&lt;&gt;Einstellungen!$C$5),"Objekt fehlt",IF(YEAR(A434)&lt;&gt;Einstellungen!$C$3,"anderes Jahr",IF(A434&lt;INDEX(Mitarbeiter!$C$6:$C$205,MATCH(B434,Mitarbeiter!$A$6:$A$205,0)),"vor Eintritt",IF(AND(INDEX(Mitarbeiter!$D$6:$D$205,MATCH(B434,Mitarbeiter!$A$6:$A$205,0))&lt;&gt;"",A434&gt;INDEX(Mitarbeiter!$D$6:$D$205,MATCH(B434,Mitarbeiter!$A$6:$A$205,0))),"nach Austritt","ok")))))))</f>
        <v/>
      </c>
    </row>
    <row r="435">
      <c r="A435" s="26" t="n">
        <v>46143</v>
      </c>
      <c r="B435" s="24" t="n">
        <v>1055</v>
      </c>
      <c r="C435" s="40">
        <f>IF(B435="","",IFERROR(INDEX(Mitarbeiter!$B$6:$B$205,MATCH(B435,Mitarbeiter!$A$6:$A$205,0)),"?"))</f>
        <v/>
      </c>
      <c r="D435" s="41" t="inlineStr">
        <is>
          <t>Objekt 1</t>
        </is>
      </c>
      <c r="E435" s="42" t="n">
        <v>118.5</v>
      </c>
      <c r="F435" s="43" t="n">
        <v>3</v>
      </c>
      <c r="G435" s="44">
        <f>IF(OR(B435="",F435=""),"",IFERROR(F435*INDEX(Mitarbeiter!$F$6:$F$205,MATCH(B435,Mitarbeiter!$A$6:$A$205,0)),0))</f>
        <v/>
      </c>
      <c r="H435" s="8">
        <f>IF(B435="","",IF(ISNA(MATCH(B435,Mitarbeiter!$A$6:$A$205,0)),"Pers.-Nr. unbekannt",IF(A435="","Datum fehlt",IF(AND(D435&lt;&gt;Einstellungen!$C$4,D435&lt;&gt;Einstellungen!$C$5),"Objekt fehlt",IF(YEAR(A435)&lt;&gt;Einstellungen!$C$3,"anderes Jahr",IF(A435&lt;INDEX(Mitarbeiter!$C$6:$C$205,MATCH(B435,Mitarbeiter!$A$6:$A$205,0)),"vor Eintritt",IF(AND(INDEX(Mitarbeiter!$D$6:$D$205,MATCH(B435,Mitarbeiter!$A$6:$A$205,0))&lt;&gt;"",A435&gt;INDEX(Mitarbeiter!$D$6:$D$205,MATCH(B435,Mitarbeiter!$A$6:$A$205,0))),"nach Austritt","ok")))))))</f>
        <v/>
      </c>
    </row>
    <row r="436">
      <c r="A436" s="26" t="n">
        <v>46143</v>
      </c>
      <c r="B436" s="24" t="n">
        <v>1059</v>
      </c>
      <c r="C436" s="40">
        <f>IF(B436="","",IFERROR(INDEX(Mitarbeiter!$B$6:$B$205,MATCH(B436,Mitarbeiter!$A$6:$A$205,0)),"?"))</f>
        <v/>
      </c>
      <c r="D436" s="41" t="inlineStr">
        <is>
          <t>Objekt 1</t>
        </is>
      </c>
      <c r="E436" s="42" t="n">
        <v>72</v>
      </c>
      <c r="F436" s="43" t="n">
        <v>0</v>
      </c>
      <c r="G436" s="44">
        <f>IF(OR(B436="",F436=""),"",IFERROR(F436*INDEX(Mitarbeiter!$F$6:$F$205,MATCH(B436,Mitarbeiter!$A$6:$A$205,0)),0))</f>
        <v/>
      </c>
      <c r="H436" s="8">
        <f>IF(B436="","",IF(ISNA(MATCH(B436,Mitarbeiter!$A$6:$A$205,0)),"Pers.-Nr. unbekannt",IF(A436="","Datum fehlt",IF(AND(D436&lt;&gt;Einstellungen!$C$4,D436&lt;&gt;Einstellungen!$C$5),"Objekt fehlt",IF(YEAR(A436)&lt;&gt;Einstellungen!$C$3,"anderes Jahr",IF(A436&lt;INDEX(Mitarbeiter!$C$6:$C$205,MATCH(B436,Mitarbeiter!$A$6:$A$205,0)),"vor Eintritt",IF(AND(INDEX(Mitarbeiter!$D$6:$D$205,MATCH(B436,Mitarbeiter!$A$6:$A$205,0))&lt;&gt;"",A436&gt;INDEX(Mitarbeiter!$D$6:$D$205,MATCH(B436,Mitarbeiter!$A$6:$A$205,0))),"nach Austritt","ok")))))))</f>
        <v/>
      </c>
    </row>
    <row r="437">
      <c r="A437" s="26" t="n">
        <v>46143</v>
      </c>
      <c r="B437" s="24" t="n">
        <v>1061</v>
      </c>
      <c r="C437" s="40">
        <f>IF(B437="","",IFERROR(INDEX(Mitarbeiter!$B$6:$B$205,MATCH(B437,Mitarbeiter!$A$6:$A$205,0)),"?"))</f>
        <v/>
      </c>
      <c r="D437" s="41" t="inlineStr">
        <is>
          <t>Objekt 1</t>
        </is>
      </c>
      <c r="E437" s="42" t="n">
        <v>73.5</v>
      </c>
      <c r="F437" s="43" t="n">
        <v>0</v>
      </c>
      <c r="G437" s="44">
        <f>IF(OR(B437="",F437=""),"",IFERROR(F437*INDEX(Mitarbeiter!$F$6:$F$205,MATCH(B437,Mitarbeiter!$A$6:$A$205,0)),0))</f>
        <v/>
      </c>
      <c r="H437" s="8">
        <f>IF(B437="","",IF(ISNA(MATCH(B437,Mitarbeiter!$A$6:$A$205,0)),"Pers.-Nr. unbekannt",IF(A437="","Datum fehlt",IF(AND(D437&lt;&gt;Einstellungen!$C$4,D437&lt;&gt;Einstellungen!$C$5),"Objekt fehlt",IF(YEAR(A437)&lt;&gt;Einstellungen!$C$3,"anderes Jahr",IF(A437&lt;INDEX(Mitarbeiter!$C$6:$C$205,MATCH(B437,Mitarbeiter!$A$6:$A$205,0)),"vor Eintritt",IF(AND(INDEX(Mitarbeiter!$D$6:$D$205,MATCH(B437,Mitarbeiter!$A$6:$A$205,0))&lt;&gt;"",A437&gt;INDEX(Mitarbeiter!$D$6:$D$205,MATCH(B437,Mitarbeiter!$A$6:$A$205,0))),"nach Austritt","ok")))))))</f>
        <v/>
      </c>
    </row>
    <row r="438">
      <c r="A438" s="26" t="n">
        <v>46143</v>
      </c>
      <c r="B438" s="24" t="n">
        <v>1061</v>
      </c>
      <c r="C438" s="40">
        <f>IF(B438="","",IFERROR(INDEX(Mitarbeiter!$B$6:$B$205,MATCH(B438,Mitarbeiter!$A$6:$A$205,0)),"?"))</f>
        <v/>
      </c>
      <c r="D438" s="41" t="inlineStr">
        <is>
          <t>Objekt 2</t>
        </is>
      </c>
      <c r="E438" s="42" t="n">
        <v>72</v>
      </c>
      <c r="F438" s="43" t="n">
        <v>0</v>
      </c>
      <c r="G438" s="44">
        <f>IF(OR(B438="",F438=""),"",IFERROR(F438*INDEX(Mitarbeiter!$F$6:$F$205,MATCH(B438,Mitarbeiter!$A$6:$A$205,0)),0))</f>
        <v/>
      </c>
      <c r="H438" s="8">
        <f>IF(B438="","",IF(ISNA(MATCH(B438,Mitarbeiter!$A$6:$A$205,0)),"Pers.-Nr. unbekannt",IF(A438="","Datum fehlt",IF(AND(D438&lt;&gt;Einstellungen!$C$4,D438&lt;&gt;Einstellungen!$C$5),"Objekt fehlt",IF(YEAR(A438)&lt;&gt;Einstellungen!$C$3,"anderes Jahr",IF(A438&lt;INDEX(Mitarbeiter!$C$6:$C$205,MATCH(B438,Mitarbeiter!$A$6:$A$205,0)),"vor Eintritt",IF(AND(INDEX(Mitarbeiter!$D$6:$D$205,MATCH(B438,Mitarbeiter!$A$6:$A$205,0))&lt;&gt;"",A438&gt;INDEX(Mitarbeiter!$D$6:$D$205,MATCH(B438,Mitarbeiter!$A$6:$A$205,0))),"nach Austritt","ok")))))))</f>
        <v/>
      </c>
    </row>
    <row r="439">
      <c r="A439" s="26" t="n">
        <v>46143</v>
      </c>
      <c r="B439" s="24" t="n">
        <v>1062</v>
      </c>
      <c r="C439" s="40">
        <f>IF(B439="","",IFERROR(INDEX(Mitarbeiter!$B$6:$B$205,MATCH(B439,Mitarbeiter!$A$6:$A$205,0)),"?"))</f>
        <v/>
      </c>
      <c r="D439" s="41" t="inlineStr">
        <is>
          <t>Objekt 1</t>
        </is>
      </c>
      <c r="E439" s="42" t="n">
        <v>54.5</v>
      </c>
      <c r="F439" s="43" t="n">
        <v>0</v>
      </c>
      <c r="G439" s="44">
        <f>IF(OR(B439="",F439=""),"",IFERROR(F439*INDEX(Mitarbeiter!$F$6:$F$205,MATCH(B439,Mitarbeiter!$A$6:$A$205,0)),0))</f>
        <v/>
      </c>
      <c r="H439" s="8">
        <f>IF(B439="","",IF(ISNA(MATCH(B439,Mitarbeiter!$A$6:$A$205,0)),"Pers.-Nr. unbekannt",IF(A439="","Datum fehlt",IF(AND(D439&lt;&gt;Einstellungen!$C$4,D439&lt;&gt;Einstellungen!$C$5),"Objekt fehlt",IF(YEAR(A439)&lt;&gt;Einstellungen!$C$3,"anderes Jahr",IF(A439&lt;INDEX(Mitarbeiter!$C$6:$C$205,MATCH(B439,Mitarbeiter!$A$6:$A$205,0)),"vor Eintritt",IF(AND(INDEX(Mitarbeiter!$D$6:$D$205,MATCH(B439,Mitarbeiter!$A$6:$A$205,0))&lt;&gt;"",A439&gt;INDEX(Mitarbeiter!$D$6:$D$205,MATCH(B439,Mitarbeiter!$A$6:$A$205,0))),"nach Austritt","ok")))))))</f>
        <v/>
      </c>
    </row>
    <row r="440">
      <c r="A440" s="26" t="n">
        <v>46143</v>
      </c>
      <c r="B440" s="24" t="n">
        <v>1062</v>
      </c>
      <c r="C440" s="40">
        <f>IF(B440="","",IFERROR(INDEX(Mitarbeiter!$B$6:$B$205,MATCH(B440,Mitarbeiter!$A$6:$A$205,0)),"?"))</f>
        <v/>
      </c>
      <c r="D440" s="41" t="inlineStr">
        <is>
          <t>Objekt 2</t>
        </is>
      </c>
      <c r="E440" s="42" t="n">
        <v>88</v>
      </c>
      <c r="F440" s="43" t="n">
        <v>0</v>
      </c>
      <c r="G440" s="44">
        <f>IF(OR(B440="",F440=""),"",IFERROR(F440*INDEX(Mitarbeiter!$F$6:$F$205,MATCH(B440,Mitarbeiter!$A$6:$A$205,0)),0))</f>
        <v/>
      </c>
      <c r="H440" s="8">
        <f>IF(B440="","",IF(ISNA(MATCH(B440,Mitarbeiter!$A$6:$A$205,0)),"Pers.-Nr. unbekannt",IF(A440="","Datum fehlt",IF(AND(D440&lt;&gt;Einstellungen!$C$4,D440&lt;&gt;Einstellungen!$C$5),"Objekt fehlt",IF(YEAR(A440)&lt;&gt;Einstellungen!$C$3,"anderes Jahr",IF(A440&lt;INDEX(Mitarbeiter!$C$6:$C$205,MATCH(B440,Mitarbeiter!$A$6:$A$205,0)),"vor Eintritt",IF(AND(INDEX(Mitarbeiter!$D$6:$D$205,MATCH(B440,Mitarbeiter!$A$6:$A$205,0))&lt;&gt;"",A440&gt;INDEX(Mitarbeiter!$D$6:$D$205,MATCH(B440,Mitarbeiter!$A$6:$A$205,0))),"nach Austritt","ok")))))))</f>
        <v/>
      </c>
    </row>
    <row r="441">
      <c r="A441" s="26" t="n">
        <v>46143</v>
      </c>
      <c r="B441" s="24" t="n">
        <v>1066</v>
      </c>
      <c r="C441" s="40">
        <f>IF(B441="","",IFERROR(INDEX(Mitarbeiter!$B$6:$B$205,MATCH(B441,Mitarbeiter!$A$6:$A$205,0)),"?"))</f>
        <v/>
      </c>
      <c r="D441" s="41" t="inlineStr">
        <is>
          <t>Objekt 1</t>
        </is>
      </c>
      <c r="E441" s="42" t="n">
        <v>54.5</v>
      </c>
      <c r="F441" s="43" t="n">
        <v>0</v>
      </c>
      <c r="G441" s="44">
        <f>IF(OR(B441="",F441=""),"",IFERROR(F441*INDEX(Mitarbeiter!$F$6:$F$205,MATCH(B441,Mitarbeiter!$A$6:$A$205,0)),0))</f>
        <v/>
      </c>
      <c r="H441" s="8">
        <f>IF(B441="","",IF(ISNA(MATCH(B441,Mitarbeiter!$A$6:$A$205,0)),"Pers.-Nr. unbekannt",IF(A441="","Datum fehlt",IF(AND(D441&lt;&gt;Einstellungen!$C$4,D441&lt;&gt;Einstellungen!$C$5),"Objekt fehlt",IF(YEAR(A441)&lt;&gt;Einstellungen!$C$3,"anderes Jahr",IF(A441&lt;INDEX(Mitarbeiter!$C$6:$C$205,MATCH(B441,Mitarbeiter!$A$6:$A$205,0)),"vor Eintritt",IF(AND(INDEX(Mitarbeiter!$D$6:$D$205,MATCH(B441,Mitarbeiter!$A$6:$A$205,0))&lt;&gt;"",A441&gt;INDEX(Mitarbeiter!$D$6:$D$205,MATCH(B441,Mitarbeiter!$A$6:$A$205,0))),"nach Austritt","ok")))))))</f>
        <v/>
      </c>
    </row>
    <row r="442">
      <c r="A442" s="26" t="n">
        <v>46143</v>
      </c>
      <c r="B442" s="24" t="n">
        <v>1066</v>
      </c>
      <c r="C442" s="40">
        <f>IF(B442="","",IFERROR(INDEX(Mitarbeiter!$B$6:$B$205,MATCH(B442,Mitarbeiter!$A$6:$A$205,0)),"?"))</f>
        <v/>
      </c>
      <c r="D442" s="41" t="inlineStr">
        <is>
          <t>Objekt 2</t>
        </is>
      </c>
      <c r="E442" s="42" t="n">
        <v>14.5</v>
      </c>
      <c r="F442" s="43" t="n">
        <v>0</v>
      </c>
      <c r="G442" s="44">
        <f>IF(OR(B442="",F442=""),"",IFERROR(F442*INDEX(Mitarbeiter!$F$6:$F$205,MATCH(B442,Mitarbeiter!$A$6:$A$205,0)),0))</f>
        <v/>
      </c>
      <c r="H442" s="8">
        <f>IF(B442="","",IF(ISNA(MATCH(B442,Mitarbeiter!$A$6:$A$205,0)),"Pers.-Nr. unbekannt",IF(A442="","Datum fehlt",IF(AND(D442&lt;&gt;Einstellungen!$C$4,D442&lt;&gt;Einstellungen!$C$5),"Objekt fehlt",IF(YEAR(A442)&lt;&gt;Einstellungen!$C$3,"anderes Jahr",IF(A442&lt;INDEX(Mitarbeiter!$C$6:$C$205,MATCH(B442,Mitarbeiter!$A$6:$A$205,0)),"vor Eintritt",IF(AND(INDEX(Mitarbeiter!$D$6:$D$205,MATCH(B442,Mitarbeiter!$A$6:$A$205,0))&lt;&gt;"",A442&gt;INDEX(Mitarbeiter!$D$6:$D$205,MATCH(B442,Mitarbeiter!$A$6:$A$205,0))),"nach Austritt","ok")))))))</f>
        <v/>
      </c>
    </row>
    <row r="443">
      <c r="A443" s="26" t="n">
        <v>46143</v>
      </c>
      <c r="B443" s="24" t="n">
        <v>1068</v>
      </c>
      <c r="C443" s="40">
        <f>IF(B443="","",IFERROR(INDEX(Mitarbeiter!$B$6:$B$205,MATCH(B443,Mitarbeiter!$A$6:$A$205,0)),"?"))</f>
        <v/>
      </c>
      <c r="D443" s="41" t="inlineStr">
        <is>
          <t>Objekt 1</t>
        </is>
      </c>
      <c r="E443" s="42" t="n">
        <v>75</v>
      </c>
      <c r="F443" s="43" t="n">
        <v>2</v>
      </c>
      <c r="G443" s="44">
        <f>IF(OR(B443="",F443=""),"",IFERROR(F443*INDEX(Mitarbeiter!$F$6:$F$205,MATCH(B443,Mitarbeiter!$A$6:$A$205,0)),0))</f>
        <v/>
      </c>
      <c r="H443" s="8">
        <f>IF(B443="","",IF(ISNA(MATCH(B443,Mitarbeiter!$A$6:$A$205,0)),"Pers.-Nr. unbekannt",IF(A443="","Datum fehlt",IF(AND(D443&lt;&gt;Einstellungen!$C$4,D443&lt;&gt;Einstellungen!$C$5),"Objekt fehlt",IF(YEAR(A443)&lt;&gt;Einstellungen!$C$3,"anderes Jahr",IF(A443&lt;INDEX(Mitarbeiter!$C$6:$C$205,MATCH(B443,Mitarbeiter!$A$6:$A$205,0)),"vor Eintritt",IF(AND(INDEX(Mitarbeiter!$D$6:$D$205,MATCH(B443,Mitarbeiter!$A$6:$A$205,0))&lt;&gt;"",A443&gt;INDEX(Mitarbeiter!$D$6:$D$205,MATCH(B443,Mitarbeiter!$A$6:$A$205,0))),"nach Austritt","ok")))))))</f>
        <v/>
      </c>
    </row>
    <row r="444">
      <c r="A444" s="26" t="n">
        <v>46143</v>
      </c>
      <c r="B444" s="24" t="n">
        <v>1068</v>
      </c>
      <c r="C444" s="40">
        <f>IF(B444="","",IFERROR(INDEX(Mitarbeiter!$B$6:$B$205,MATCH(B444,Mitarbeiter!$A$6:$A$205,0)),"?"))</f>
        <v/>
      </c>
      <c r="D444" s="41" t="inlineStr">
        <is>
          <t>Objekt 2</t>
        </is>
      </c>
      <c r="E444" s="42" t="n">
        <v>38.5</v>
      </c>
      <c r="F444" s="43" t="n">
        <v>2</v>
      </c>
      <c r="G444" s="44">
        <f>IF(OR(B444="",F444=""),"",IFERROR(F444*INDEX(Mitarbeiter!$F$6:$F$205,MATCH(B444,Mitarbeiter!$A$6:$A$205,0)),0))</f>
        <v/>
      </c>
      <c r="H444" s="8">
        <f>IF(B444="","",IF(ISNA(MATCH(B444,Mitarbeiter!$A$6:$A$205,0)),"Pers.-Nr. unbekannt",IF(A444="","Datum fehlt",IF(AND(D444&lt;&gt;Einstellungen!$C$4,D444&lt;&gt;Einstellungen!$C$5),"Objekt fehlt",IF(YEAR(A444)&lt;&gt;Einstellungen!$C$3,"anderes Jahr",IF(A444&lt;INDEX(Mitarbeiter!$C$6:$C$205,MATCH(B444,Mitarbeiter!$A$6:$A$205,0)),"vor Eintritt",IF(AND(INDEX(Mitarbeiter!$D$6:$D$205,MATCH(B444,Mitarbeiter!$A$6:$A$205,0))&lt;&gt;"",A444&gt;INDEX(Mitarbeiter!$D$6:$D$205,MATCH(B444,Mitarbeiter!$A$6:$A$205,0))),"nach Austritt","ok")))))))</f>
        <v/>
      </c>
    </row>
    <row r="445">
      <c r="A445" s="26" t="n">
        <v>46143</v>
      </c>
      <c r="B445" s="24" t="n">
        <v>1070</v>
      </c>
      <c r="C445" s="40">
        <f>IF(B445="","",IFERROR(INDEX(Mitarbeiter!$B$6:$B$205,MATCH(B445,Mitarbeiter!$A$6:$A$205,0)),"?"))</f>
        <v/>
      </c>
      <c r="D445" s="41" t="inlineStr">
        <is>
          <t>Objekt 2</t>
        </is>
      </c>
      <c r="E445" s="42" t="n">
        <v>147</v>
      </c>
      <c r="F445" s="43" t="n">
        <v>0</v>
      </c>
      <c r="G445" s="44">
        <f>IF(OR(B445="",F445=""),"",IFERROR(F445*INDEX(Mitarbeiter!$F$6:$F$205,MATCH(B445,Mitarbeiter!$A$6:$A$205,0)),0))</f>
        <v/>
      </c>
      <c r="H445" s="8">
        <f>IF(B445="","",IF(ISNA(MATCH(B445,Mitarbeiter!$A$6:$A$205,0)),"Pers.-Nr. unbekannt",IF(A445="","Datum fehlt",IF(AND(D445&lt;&gt;Einstellungen!$C$4,D445&lt;&gt;Einstellungen!$C$5),"Objekt fehlt",IF(YEAR(A445)&lt;&gt;Einstellungen!$C$3,"anderes Jahr",IF(A445&lt;INDEX(Mitarbeiter!$C$6:$C$205,MATCH(B445,Mitarbeiter!$A$6:$A$205,0)),"vor Eintritt",IF(AND(INDEX(Mitarbeiter!$D$6:$D$205,MATCH(B445,Mitarbeiter!$A$6:$A$205,0))&lt;&gt;"",A445&gt;INDEX(Mitarbeiter!$D$6:$D$205,MATCH(B445,Mitarbeiter!$A$6:$A$205,0))),"nach Austritt","ok")))))))</f>
        <v/>
      </c>
    </row>
    <row r="446">
      <c r="A446" s="26" t="n">
        <v>46143</v>
      </c>
      <c r="B446" s="24" t="n">
        <v>1071</v>
      </c>
      <c r="C446" s="40">
        <f>IF(B446="","",IFERROR(INDEX(Mitarbeiter!$B$6:$B$205,MATCH(B446,Mitarbeiter!$A$6:$A$205,0)),"?"))</f>
        <v/>
      </c>
      <c r="D446" s="41" t="inlineStr">
        <is>
          <t>Objekt 2</t>
        </is>
      </c>
      <c r="E446" s="42" t="n">
        <v>106.5</v>
      </c>
      <c r="F446" s="43" t="n">
        <v>0</v>
      </c>
      <c r="G446" s="44">
        <f>IF(OR(B446="",F446=""),"",IFERROR(F446*INDEX(Mitarbeiter!$F$6:$F$205,MATCH(B446,Mitarbeiter!$A$6:$A$205,0)),0))</f>
        <v/>
      </c>
      <c r="H446" s="8">
        <f>IF(B446="","",IF(ISNA(MATCH(B446,Mitarbeiter!$A$6:$A$205,0)),"Pers.-Nr. unbekannt",IF(A446="","Datum fehlt",IF(AND(D446&lt;&gt;Einstellungen!$C$4,D446&lt;&gt;Einstellungen!$C$5),"Objekt fehlt",IF(YEAR(A446)&lt;&gt;Einstellungen!$C$3,"anderes Jahr",IF(A446&lt;INDEX(Mitarbeiter!$C$6:$C$205,MATCH(B446,Mitarbeiter!$A$6:$A$205,0)),"vor Eintritt",IF(AND(INDEX(Mitarbeiter!$D$6:$D$205,MATCH(B446,Mitarbeiter!$A$6:$A$205,0))&lt;&gt;"",A446&gt;INDEX(Mitarbeiter!$D$6:$D$205,MATCH(B446,Mitarbeiter!$A$6:$A$205,0))),"nach Austritt","ok")))))))</f>
        <v/>
      </c>
    </row>
    <row r="447">
      <c r="A447" s="26" t="n">
        <v>46143</v>
      </c>
      <c r="B447" s="24" t="n">
        <v>1072</v>
      </c>
      <c r="C447" s="40">
        <f>IF(B447="","",IFERROR(INDEX(Mitarbeiter!$B$6:$B$205,MATCH(B447,Mitarbeiter!$A$6:$A$205,0)),"?"))</f>
        <v/>
      </c>
      <c r="D447" s="41" t="inlineStr">
        <is>
          <t>Objekt 1</t>
        </is>
      </c>
      <c r="E447" s="42" t="n">
        <v>54</v>
      </c>
      <c r="F447" s="43" t="n">
        <v>0</v>
      </c>
      <c r="G447" s="44">
        <f>IF(OR(B447="",F447=""),"",IFERROR(F447*INDEX(Mitarbeiter!$F$6:$F$205,MATCH(B447,Mitarbeiter!$A$6:$A$205,0)),0))</f>
        <v/>
      </c>
      <c r="H447" s="8">
        <f>IF(B447="","",IF(ISNA(MATCH(B447,Mitarbeiter!$A$6:$A$205,0)),"Pers.-Nr. unbekannt",IF(A447="","Datum fehlt",IF(AND(D447&lt;&gt;Einstellungen!$C$4,D447&lt;&gt;Einstellungen!$C$5),"Objekt fehlt",IF(YEAR(A447)&lt;&gt;Einstellungen!$C$3,"anderes Jahr",IF(A447&lt;INDEX(Mitarbeiter!$C$6:$C$205,MATCH(B447,Mitarbeiter!$A$6:$A$205,0)),"vor Eintritt",IF(AND(INDEX(Mitarbeiter!$D$6:$D$205,MATCH(B447,Mitarbeiter!$A$6:$A$205,0))&lt;&gt;"",A447&gt;INDEX(Mitarbeiter!$D$6:$D$205,MATCH(B447,Mitarbeiter!$A$6:$A$205,0))),"nach Austritt","ok")))))))</f>
        <v/>
      </c>
    </row>
    <row r="448">
      <c r="A448" s="26" t="n">
        <v>46143</v>
      </c>
      <c r="B448" s="24" t="n">
        <v>1072</v>
      </c>
      <c r="C448" s="40">
        <f>IF(B448="","",IFERROR(INDEX(Mitarbeiter!$B$6:$B$205,MATCH(B448,Mitarbeiter!$A$6:$A$205,0)),"?"))</f>
        <v/>
      </c>
      <c r="D448" s="41" t="inlineStr">
        <is>
          <t>Objekt 2</t>
        </is>
      </c>
      <c r="E448" s="42" t="n">
        <v>57</v>
      </c>
      <c r="F448" s="43" t="n">
        <v>0</v>
      </c>
      <c r="G448" s="44">
        <f>IF(OR(B448="",F448=""),"",IFERROR(F448*INDEX(Mitarbeiter!$F$6:$F$205,MATCH(B448,Mitarbeiter!$A$6:$A$205,0)),0))</f>
        <v/>
      </c>
      <c r="H448" s="8">
        <f>IF(B448="","",IF(ISNA(MATCH(B448,Mitarbeiter!$A$6:$A$205,0)),"Pers.-Nr. unbekannt",IF(A448="","Datum fehlt",IF(AND(D448&lt;&gt;Einstellungen!$C$4,D448&lt;&gt;Einstellungen!$C$5),"Objekt fehlt",IF(YEAR(A448)&lt;&gt;Einstellungen!$C$3,"anderes Jahr",IF(A448&lt;INDEX(Mitarbeiter!$C$6:$C$205,MATCH(B448,Mitarbeiter!$A$6:$A$205,0)),"vor Eintritt",IF(AND(INDEX(Mitarbeiter!$D$6:$D$205,MATCH(B448,Mitarbeiter!$A$6:$A$205,0))&lt;&gt;"",A448&gt;INDEX(Mitarbeiter!$D$6:$D$205,MATCH(B448,Mitarbeiter!$A$6:$A$205,0))),"nach Austritt","ok")))))))</f>
        <v/>
      </c>
    </row>
    <row r="449">
      <c r="A449" s="26" t="n">
        <v>46143</v>
      </c>
      <c r="B449" s="24" t="n">
        <v>1074</v>
      </c>
      <c r="C449" s="40">
        <f>IF(B449="","",IFERROR(INDEX(Mitarbeiter!$B$6:$B$205,MATCH(B449,Mitarbeiter!$A$6:$A$205,0)),"?"))</f>
        <v/>
      </c>
      <c r="D449" s="41" t="inlineStr">
        <is>
          <t>Objekt 2</t>
        </is>
      </c>
      <c r="E449" s="42" t="n">
        <v>73.5</v>
      </c>
      <c r="F449" s="43" t="n">
        <v>0</v>
      </c>
      <c r="G449" s="44">
        <f>IF(OR(B449="",F449=""),"",IFERROR(F449*INDEX(Mitarbeiter!$F$6:$F$205,MATCH(B449,Mitarbeiter!$A$6:$A$205,0)),0))</f>
        <v/>
      </c>
      <c r="H449" s="8">
        <f>IF(B449="","",IF(ISNA(MATCH(B449,Mitarbeiter!$A$6:$A$205,0)),"Pers.-Nr. unbekannt",IF(A449="","Datum fehlt",IF(AND(D449&lt;&gt;Einstellungen!$C$4,D449&lt;&gt;Einstellungen!$C$5),"Objekt fehlt",IF(YEAR(A449)&lt;&gt;Einstellungen!$C$3,"anderes Jahr",IF(A449&lt;INDEX(Mitarbeiter!$C$6:$C$205,MATCH(B449,Mitarbeiter!$A$6:$A$205,0)),"vor Eintritt",IF(AND(INDEX(Mitarbeiter!$D$6:$D$205,MATCH(B449,Mitarbeiter!$A$6:$A$205,0))&lt;&gt;"",A449&gt;INDEX(Mitarbeiter!$D$6:$D$205,MATCH(B449,Mitarbeiter!$A$6:$A$205,0))),"nach Austritt","ok")))))))</f>
        <v/>
      </c>
    </row>
    <row r="450">
      <c r="A450" s="26" t="n">
        <v>46174</v>
      </c>
      <c r="B450" s="24" t="n">
        <v>1001</v>
      </c>
      <c r="C450" s="40">
        <f>IF(B450="","",IFERROR(INDEX(Mitarbeiter!$B$6:$B$205,MATCH(B450,Mitarbeiter!$A$6:$A$205,0)),"?"))</f>
        <v/>
      </c>
      <c r="D450" s="41" t="inlineStr">
        <is>
          <t>Objekt 1</t>
        </is>
      </c>
      <c r="E450" s="42" t="n">
        <v>40</v>
      </c>
      <c r="F450" s="43" t="n">
        <v>0</v>
      </c>
      <c r="G450" s="44">
        <f>IF(OR(B450="",F450=""),"",IFERROR(F450*INDEX(Mitarbeiter!$F$6:$F$205,MATCH(B450,Mitarbeiter!$A$6:$A$205,0)),0))</f>
        <v/>
      </c>
      <c r="H450" s="8">
        <f>IF(B450="","",IF(ISNA(MATCH(B450,Mitarbeiter!$A$6:$A$205,0)),"Pers.-Nr. unbekannt",IF(A450="","Datum fehlt",IF(AND(D450&lt;&gt;Einstellungen!$C$4,D450&lt;&gt;Einstellungen!$C$5),"Objekt fehlt",IF(YEAR(A450)&lt;&gt;Einstellungen!$C$3,"anderes Jahr",IF(A450&lt;INDEX(Mitarbeiter!$C$6:$C$205,MATCH(B450,Mitarbeiter!$A$6:$A$205,0)),"vor Eintritt",IF(AND(INDEX(Mitarbeiter!$D$6:$D$205,MATCH(B450,Mitarbeiter!$A$6:$A$205,0))&lt;&gt;"",A450&gt;INDEX(Mitarbeiter!$D$6:$D$205,MATCH(B450,Mitarbeiter!$A$6:$A$205,0))),"nach Austritt","ok")))))))</f>
        <v/>
      </c>
    </row>
    <row r="451">
      <c r="A451" s="26" t="n">
        <v>46174</v>
      </c>
      <c r="B451" s="24" t="n">
        <v>1001</v>
      </c>
      <c r="C451" s="40">
        <f>IF(B451="","",IFERROR(INDEX(Mitarbeiter!$B$6:$B$205,MATCH(B451,Mitarbeiter!$A$6:$A$205,0)),"?"))</f>
        <v/>
      </c>
      <c r="D451" s="41" t="inlineStr">
        <is>
          <t>Objekt 2</t>
        </is>
      </c>
      <c r="E451" s="42" t="n">
        <v>40</v>
      </c>
      <c r="F451" s="43" t="n">
        <v>1</v>
      </c>
      <c r="G451" s="44">
        <f>IF(OR(B451="",F451=""),"",IFERROR(F451*INDEX(Mitarbeiter!$F$6:$F$205,MATCH(B451,Mitarbeiter!$A$6:$A$205,0)),0))</f>
        <v/>
      </c>
      <c r="H451" s="8">
        <f>IF(B451="","",IF(ISNA(MATCH(B451,Mitarbeiter!$A$6:$A$205,0)),"Pers.-Nr. unbekannt",IF(A451="","Datum fehlt",IF(AND(D451&lt;&gt;Einstellungen!$C$4,D451&lt;&gt;Einstellungen!$C$5),"Objekt fehlt",IF(YEAR(A451)&lt;&gt;Einstellungen!$C$3,"anderes Jahr",IF(A451&lt;INDEX(Mitarbeiter!$C$6:$C$205,MATCH(B451,Mitarbeiter!$A$6:$A$205,0)),"vor Eintritt",IF(AND(INDEX(Mitarbeiter!$D$6:$D$205,MATCH(B451,Mitarbeiter!$A$6:$A$205,0))&lt;&gt;"",A451&gt;INDEX(Mitarbeiter!$D$6:$D$205,MATCH(B451,Mitarbeiter!$A$6:$A$205,0))),"nach Austritt","ok")))))))</f>
        <v/>
      </c>
    </row>
    <row r="452">
      <c r="A452" s="26" t="n">
        <v>46174</v>
      </c>
      <c r="B452" s="24" t="n">
        <v>1002</v>
      </c>
      <c r="C452" s="40">
        <f>IF(B452="","",IFERROR(INDEX(Mitarbeiter!$B$6:$B$205,MATCH(B452,Mitarbeiter!$A$6:$A$205,0)),"?"))</f>
        <v/>
      </c>
      <c r="D452" s="41" t="inlineStr">
        <is>
          <t>Objekt 1</t>
        </is>
      </c>
      <c r="E452" s="42" t="n">
        <v>72</v>
      </c>
      <c r="F452" s="43" t="n">
        <v>1</v>
      </c>
      <c r="G452" s="44">
        <f>IF(OR(B452="",F452=""),"",IFERROR(F452*INDEX(Mitarbeiter!$F$6:$F$205,MATCH(B452,Mitarbeiter!$A$6:$A$205,0)),0))</f>
        <v/>
      </c>
      <c r="H452" s="8">
        <f>IF(B452="","",IF(ISNA(MATCH(B452,Mitarbeiter!$A$6:$A$205,0)),"Pers.-Nr. unbekannt",IF(A452="","Datum fehlt",IF(AND(D452&lt;&gt;Einstellungen!$C$4,D452&lt;&gt;Einstellungen!$C$5),"Objekt fehlt",IF(YEAR(A452)&lt;&gt;Einstellungen!$C$3,"anderes Jahr",IF(A452&lt;INDEX(Mitarbeiter!$C$6:$C$205,MATCH(B452,Mitarbeiter!$A$6:$A$205,0)),"vor Eintritt",IF(AND(INDEX(Mitarbeiter!$D$6:$D$205,MATCH(B452,Mitarbeiter!$A$6:$A$205,0))&lt;&gt;"",A452&gt;INDEX(Mitarbeiter!$D$6:$D$205,MATCH(B452,Mitarbeiter!$A$6:$A$205,0))),"nach Austritt","ok")))))))</f>
        <v/>
      </c>
    </row>
    <row r="453">
      <c r="A453" s="26" t="n">
        <v>46174</v>
      </c>
      <c r="B453" s="24" t="n">
        <v>1002</v>
      </c>
      <c r="C453" s="40">
        <f>IF(B453="","",IFERROR(INDEX(Mitarbeiter!$B$6:$B$205,MATCH(B453,Mitarbeiter!$A$6:$A$205,0)),"?"))</f>
        <v/>
      </c>
      <c r="D453" s="41" t="inlineStr">
        <is>
          <t>Objekt 2</t>
        </is>
      </c>
      <c r="E453" s="42" t="n">
        <v>42</v>
      </c>
      <c r="F453" s="43" t="n">
        <v>1</v>
      </c>
      <c r="G453" s="44">
        <f>IF(OR(B453="",F453=""),"",IFERROR(F453*INDEX(Mitarbeiter!$F$6:$F$205,MATCH(B453,Mitarbeiter!$A$6:$A$205,0)),0))</f>
        <v/>
      </c>
      <c r="H453" s="8">
        <f>IF(B453="","",IF(ISNA(MATCH(B453,Mitarbeiter!$A$6:$A$205,0)),"Pers.-Nr. unbekannt",IF(A453="","Datum fehlt",IF(AND(D453&lt;&gt;Einstellungen!$C$4,D453&lt;&gt;Einstellungen!$C$5),"Objekt fehlt",IF(YEAR(A453)&lt;&gt;Einstellungen!$C$3,"anderes Jahr",IF(A453&lt;INDEX(Mitarbeiter!$C$6:$C$205,MATCH(B453,Mitarbeiter!$A$6:$A$205,0)),"vor Eintritt",IF(AND(INDEX(Mitarbeiter!$D$6:$D$205,MATCH(B453,Mitarbeiter!$A$6:$A$205,0))&lt;&gt;"",A453&gt;INDEX(Mitarbeiter!$D$6:$D$205,MATCH(B453,Mitarbeiter!$A$6:$A$205,0))),"nach Austritt","ok")))))))</f>
        <v/>
      </c>
    </row>
    <row r="454">
      <c r="A454" s="26" t="n">
        <v>46174</v>
      </c>
      <c r="B454" s="24" t="n">
        <v>1003</v>
      </c>
      <c r="C454" s="40">
        <f>IF(B454="","",IFERROR(INDEX(Mitarbeiter!$B$6:$B$205,MATCH(B454,Mitarbeiter!$A$6:$A$205,0)),"?"))</f>
        <v/>
      </c>
      <c r="D454" s="41" t="inlineStr">
        <is>
          <t>Objekt 2</t>
        </is>
      </c>
      <c r="E454" s="42" t="n">
        <v>168</v>
      </c>
      <c r="F454" s="43" t="n">
        <v>0</v>
      </c>
      <c r="G454" s="44">
        <f>IF(OR(B454="",F454=""),"",IFERROR(F454*INDEX(Mitarbeiter!$F$6:$F$205,MATCH(B454,Mitarbeiter!$A$6:$A$205,0)),0))</f>
        <v/>
      </c>
      <c r="H454" s="8">
        <f>IF(B454="","",IF(ISNA(MATCH(B454,Mitarbeiter!$A$6:$A$205,0)),"Pers.-Nr. unbekannt",IF(A454="","Datum fehlt",IF(AND(D454&lt;&gt;Einstellungen!$C$4,D454&lt;&gt;Einstellungen!$C$5),"Objekt fehlt",IF(YEAR(A454)&lt;&gt;Einstellungen!$C$3,"anderes Jahr",IF(A454&lt;INDEX(Mitarbeiter!$C$6:$C$205,MATCH(B454,Mitarbeiter!$A$6:$A$205,0)),"vor Eintritt",IF(AND(INDEX(Mitarbeiter!$D$6:$D$205,MATCH(B454,Mitarbeiter!$A$6:$A$205,0))&lt;&gt;"",A454&gt;INDEX(Mitarbeiter!$D$6:$D$205,MATCH(B454,Mitarbeiter!$A$6:$A$205,0))),"nach Austritt","ok")))))))</f>
        <v/>
      </c>
    </row>
    <row r="455">
      <c r="A455" s="26" t="n">
        <v>46174</v>
      </c>
      <c r="B455" s="24" t="n">
        <v>1004</v>
      </c>
      <c r="C455" s="40">
        <f>IF(B455="","",IFERROR(INDEX(Mitarbeiter!$B$6:$B$205,MATCH(B455,Mitarbeiter!$A$6:$A$205,0)),"?"))</f>
        <v/>
      </c>
      <c r="D455" s="41" t="inlineStr">
        <is>
          <t>Objekt 1</t>
        </is>
      </c>
      <c r="E455" s="42" t="n">
        <v>81.5</v>
      </c>
      <c r="F455" s="43" t="n">
        <v>0</v>
      </c>
      <c r="G455" s="44">
        <f>IF(OR(B455="",F455=""),"",IFERROR(F455*INDEX(Mitarbeiter!$F$6:$F$205,MATCH(B455,Mitarbeiter!$A$6:$A$205,0)),0))</f>
        <v/>
      </c>
      <c r="H455" s="8">
        <f>IF(B455="","",IF(ISNA(MATCH(B455,Mitarbeiter!$A$6:$A$205,0)),"Pers.-Nr. unbekannt",IF(A455="","Datum fehlt",IF(AND(D455&lt;&gt;Einstellungen!$C$4,D455&lt;&gt;Einstellungen!$C$5),"Objekt fehlt",IF(YEAR(A455)&lt;&gt;Einstellungen!$C$3,"anderes Jahr",IF(A455&lt;INDEX(Mitarbeiter!$C$6:$C$205,MATCH(B455,Mitarbeiter!$A$6:$A$205,0)),"vor Eintritt",IF(AND(INDEX(Mitarbeiter!$D$6:$D$205,MATCH(B455,Mitarbeiter!$A$6:$A$205,0))&lt;&gt;"",A455&gt;INDEX(Mitarbeiter!$D$6:$D$205,MATCH(B455,Mitarbeiter!$A$6:$A$205,0))),"nach Austritt","ok")))))))</f>
        <v/>
      </c>
    </row>
    <row r="456">
      <c r="A456" s="26" t="n">
        <v>46174</v>
      </c>
      <c r="B456" s="24" t="n">
        <v>1004</v>
      </c>
      <c r="C456" s="40">
        <f>IF(B456="","",IFERROR(INDEX(Mitarbeiter!$B$6:$B$205,MATCH(B456,Mitarbeiter!$A$6:$A$205,0)),"?"))</f>
        <v/>
      </c>
      <c r="D456" s="41" t="inlineStr">
        <is>
          <t>Objekt 2</t>
        </is>
      </c>
      <c r="E456" s="42" t="n">
        <v>86.5</v>
      </c>
      <c r="F456" s="43" t="n">
        <v>0</v>
      </c>
      <c r="G456" s="44">
        <f>IF(OR(B456="",F456=""),"",IFERROR(F456*INDEX(Mitarbeiter!$F$6:$F$205,MATCH(B456,Mitarbeiter!$A$6:$A$205,0)),0))</f>
        <v/>
      </c>
      <c r="H456" s="8">
        <f>IF(B456="","",IF(ISNA(MATCH(B456,Mitarbeiter!$A$6:$A$205,0)),"Pers.-Nr. unbekannt",IF(A456="","Datum fehlt",IF(AND(D456&lt;&gt;Einstellungen!$C$4,D456&lt;&gt;Einstellungen!$C$5),"Objekt fehlt",IF(YEAR(A456)&lt;&gt;Einstellungen!$C$3,"anderes Jahr",IF(A456&lt;INDEX(Mitarbeiter!$C$6:$C$205,MATCH(B456,Mitarbeiter!$A$6:$A$205,0)),"vor Eintritt",IF(AND(INDEX(Mitarbeiter!$D$6:$D$205,MATCH(B456,Mitarbeiter!$A$6:$A$205,0))&lt;&gt;"",A456&gt;INDEX(Mitarbeiter!$D$6:$D$205,MATCH(B456,Mitarbeiter!$A$6:$A$205,0))),"nach Austritt","ok")))))))</f>
        <v/>
      </c>
    </row>
    <row r="457">
      <c r="A457" s="26" t="n">
        <v>46174</v>
      </c>
      <c r="B457" s="24" t="n">
        <v>1005</v>
      </c>
      <c r="C457" s="40">
        <f>IF(B457="","",IFERROR(INDEX(Mitarbeiter!$B$6:$B$205,MATCH(B457,Mitarbeiter!$A$6:$A$205,0)),"?"))</f>
        <v/>
      </c>
      <c r="D457" s="41" t="inlineStr">
        <is>
          <t>Objekt 1</t>
        </is>
      </c>
      <c r="E457" s="42" t="n">
        <v>61.5</v>
      </c>
      <c r="F457" s="43" t="n">
        <v>0</v>
      </c>
      <c r="G457" s="44">
        <f>IF(OR(B457="",F457=""),"",IFERROR(F457*INDEX(Mitarbeiter!$F$6:$F$205,MATCH(B457,Mitarbeiter!$A$6:$A$205,0)),0))</f>
        <v/>
      </c>
      <c r="H457" s="8">
        <f>IF(B457="","",IF(ISNA(MATCH(B457,Mitarbeiter!$A$6:$A$205,0)),"Pers.-Nr. unbekannt",IF(A457="","Datum fehlt",IF(AND(D457&lt;&gt;Einstellungen!$C$4,D457&lt;&gt;Einstellungen!$C$5),"Objekt fehlt",IF(YEAR(A457)&lt;&gt;Einstellungen!$C$3,"anderes Jahr",IF(A457&lt;INDEX(Mitarbeiter!$C$6:$C$205,MATCH(B457,Mitarbeiter!$A$6:$A$205,0)),"vor Eintritt",IF(AND(INDEX(Mitarbeiter!$D$6:$D$205,MATCH(B457,Mitarbeiter!$A$6:$A$205,0))&lt;&gt;"",A457&gt;INDEX(Mitarbeiter!$D$6:$D$205,MATCH(B457,Mitarbeiter!$A$6:$A$205,0))),"nach Austritt","ok")))))))</f>
        <v/>
      </c>
    </row>
    <row r="458">
      <c r="A458" s="26" t="n">
        <v>46174</v>
      </c>
      <c r="B458" s="24" t="n">
        <v>1005</v>
      </c>
      <c r="C458" s="40">
        <f>IF(B458="","",IFERROR(INDEX(Mitarbeiter!$B$6:$B$205,MATCH(B458,Mitarbeiter!$A$6:$A$205,0)),"?"))</f>
        <v/>
      </c>
      <c r="D458" s="41" t="inlineStr">
        <is>
          <t>Objekt 2</t>
        </is>
      </c>
      <c r="E458" s="42" t="n">
        <v>67.5</v>
      </c>
      <c r="F458" s="43" t="n">
        <v>0</v>
      </c>
      <c r="G458" s="44">
        <f>IF(OR(B458="",F458=""),"",IFERROR(F458*INDEX(Mitarbeiter!$F$6:$F$205,MATCH(B458,Mitarbeiter!$A$6:$A$205,0)),0))</f>
        <v/>
      </c>
      <c r="H458" s="8">
        <f>IF(B458="","",IF(ISNA(MATCH(B458,Mitarbeiter!$A$6:$A$205,0)),"Pers.-Nr. unbekannt",IF(A458="","Datum fehlt",IF(AND(D458&lt;&gt;Einstellungen!$C$4,D458&lt;&gt;Einstellungen!$C$5),"Objekt fehlt",IF(YEAR(A458)&lt;&gt;Einstellungen!$C$3,"anderes Jahr",IF(A458&lt;INDEX(Mitarbeiter!$C$6:$C$205,MATCH(B458,Mitarbeiter!$A$6:$A$205,0)),"vor Eintritt",IF(AND(INDEX(Mitarbeiter!$D$6:$D$205,MATCH(B458,Mitarbeiter!$A$6:$A$205,0))&lt;&gt;"",A458&gt;INDEX(Mitarbeiter!$D$6:$D$205,MATCH(B458,Mitarbeiter!$A$6:$A$205,0))),"nach Austritt","ok")))))))</f>
        <v/>
      </c>
    </row>
    <row r="459">
      <c r="A459" s="26" t="n">
        <v>46174</v>
      </c>
      <c r="B459" s="24" t="n">
        <v>1006</v>
      </c>
      <c r="C459" s="40">
        <f>IF(B459="","",IFERROR(INDEX(Mitarbeiter!$B$6:$B$205,MATCH(B459,Mitarbeiter!$A$6:$A$205,0)),"?"))</f>
        <v/>
      </c>
      <c r="D459" s="41" t="inlineStr">
        <is>
          <t>Objekt 1</t>
        </is>
      </c>
      <c r="E459" s="42" t="n">
        <v>104</v>
      </c>
      <c r="F459" s="43" t="n">
        <v>0</v>
      </c>
      <c r="G459" s="44">
        <f>IF(OR(B459="",F459=""),"",IFERROR(F459*INDEX(Mitarbeiter!$F$6:$F$205,MATCH(B459,Mitarbeiter!$A$6:$A$205,0)),0))</f>
        <v/>
      </c>
      <c r="H459" s="8">
        <f>IF(B459="","",IF(ISNA(MATCH(B459,Mitarbeiter!$A$6:$A$205,0)),"Pers.-Nr. unbekannt",IF(A459="","Datum fehlt",IF(AND(D459&lt;&gt;Einstellungen!$C$4,D459&lt;&gt;Einstellungen!$C$5),"Objekt fehlt",IF(YEAR(A459)&lt;&gt;Einstellungen!$C$3,"anderes Jahr",IF(A459&lt;INDEX(Mitarbeiter!$C$6:$C$205,MATCH(B459,Mitarbeiter!$A$6:$A$205,0)),"vor Eintritt",IF(AND(INDEX(Mitarbeiter!$D$6:$D$205,MATCH(B459,Mitarbeiter!$A$6:$A$205,0))&lt;&gt;"",A459&gt;INDEX(Mitarbeiter!$D$6:$D$205,MATCH(B459,Mitarbeiter!$A$6:$A$205,0))),"nach Austritt","ok")))))))</f>
        <v/>
      </c>
    </row>
    <row r="460">
      <c r="A460" s="26" t="n">
        <v>46174</v>
      </c>
      <c r="B460" s="24" t="n">
        <v>1006</v>
      </c>
      <c r="C460" s="40">
        <f>IF(B460="","",IFERROR(INDEX(Mitarbeiter!$B$6:$B$205,MATCH(B460,Mitarbeiter!$A$6:$A$205,0)),"?"))</f>
        <v/>
      </c>
      <c r="D460" s="41" t="inlineStr">
        <is>
          <t>Objekt 2</t>
        </is>
      </c>
      <c r="E460" s="42" t="n">
        <v>64</v>
      </c>
      <c r="F460" s="43" t="n">
        <v>0</v>
      </c>
      <c r="G460" s="44">
        <f>IF(OR(B460="",F460=""),"",IFERROR(F460*INDEX(Mitarbeiter!$F$6:$F$205,MATCH(B460,Mitarbeiter!$A$6:$A$205,0)),0))</f>
        <v/>
      </c>
      <c r="H460" s="8">
        <f>IF(B460="","",IF(ISNA(MATCH(B460,Mitarbeiter!$A$6:$A$205,0)),"Pers.-Nr. unbekannt",IF(A460="","Datum fehlt",IF(AND(D460&lt;&gt;Einstellungen!$C$4,D460&lt;&gt;Einstellungen!$C$5),"Objekt fehlt",IF(YEAR(A460)&lt;&gt;Einstellungen!$C$3,"anderes Jahr",IF(A460&lt;INDEX(Mitarbeiter!$C$6:$C$205,MATCH(B460,Mitarbeiter!$A$6:$A$205,0)),"vor Eintritt",IF(AND(INDEX(Mitarbeiter!$D$6:$D$205,MATCH(B460,Mitarbeiter!$A$6:$A$205,0))&lt;&gt;"",A460&gt;INDEX(Mitarbeiter!$D$6:$D$205,MATCH(B460,Mitarbeiter!$A$6:$A$205,0))),"nach Austritt","ok")))))))</f>
        <v/>
      </c>
    </row>
    <row r="461">
      <c r="A461" s="26" t="n">
        <v>46174</v>
      </c>
      <c r="B461" s="24" t="n">
        <v>1007</v>
      </c>
      <c r="C461" s="40">
        <f>IF(B461="","",IFERROR(INDEX(Mitarbeiter!$B$6:$B$205,MATCH(B461,Mitarbeiter!$A$6:$A$205,0)),"?"))</f>
        <v/>
      </c>
      <c r="D461" s="41" t="inlineStr">
        <is>
          <t>Objekt 2</t>
        </is>
      </c>
      <c r="E461" s="42" t="n">
        <v>168</v>
      </c>
      <c r="F461" s="43" t="n">
        <v>0</v>
      </c>
      <c r="G461" s="44">
        <f>IF(OR(B461="",F461=""),"",IFERROR(F461*INDEX(Mitarbeiter!$F$6:$F$205,MATCH(B461,Mitarbeiter!$A$6:$A$205,0)),0))</f>
        <v/>
      </c>
      <c r="H461" s="8">
        <f>IF(B461="","",IF(ISNA(MATCH(B461,Mitarbeiter!$A$6:$A$205,0)),"Pers.-Nr. unbekannt",IF(A461="","Datum fehlt",IF(AND(D461&lt;&gt;Einstellungen!$C$4,D461&lt;&gt;Einstellungen!$C$5),"Objekt fehlt",IF(YEAR(A461)&lt;&gt;Einstellungen!$C$3,"anderes Jahr",IF(A461&lt;INDEX(Mitarbeiter!$C$6:$C$205,MATCH(B461,Mitarbeiter!$A$6:$A$205,0)),"vor Eintritt",IF(AND(INDEX(Mitarbeiter!$D$6:$D$205,MATCH(B461,Mitarbeiter!$A$6:$A$205,0))&lt;&gt;"",A461&gt;INDEX(Mitarbeiter!$D$6:$D$205,MATCH(B461,Mitarbeiter!$A$6:$A$205,0))),"nach Austritt","ok")))))))</f>
        <v/>
      </c>
    </row>
    <row r="462">
      <c r="A462" s="26" t="n">
        <v>46174</v>
      </c>
      <c r="B462" s="24" t="n">
        <v>1008</v>
      </c>
      <c r="C462" s="40">
        <f>IF(B462="","",IFERROR(INDEX(Mitarbeiter!$B$6:$B$205,MATCH(B462,Mitarbeiter!$A$6:$A$205,0)),"?"))</f>
        <v/>
      </c>
      <c r="D462" s="41" t="inlineStr">
        <is>
          <t>Objekt 1</t>
        </is>
      </c>
      <c r="E462" s="42" t="n">
        <v>17.5</v>
      </c>
      <c r="F462" s="43" t="n">
        <v>0</v>
      </c>
      <c r="G462" s="44">
        <f>IF(OR(B462="",F462=""),"",IFERROR(F462*INDEX(Mitarbeiter!$F$6:$F$205,MATCH(B462,Mitarbeiter!$A$6:$A$205,0)),0))</f>
        <v/>
      </c>
      <c r="H462" s="8">
        <f>IF(B462="","",IF(ISNA(MATCH(B462,Mitarbeiter!$A$6:$A$205,0)),"Pers.-Nr. unbekannt",IF(A462="","Datum fehlt",IF(AND(D462&lt;&gt;Einstellungen!$C$4,D462&lt;&gt;Einstellungen!$C$5),"Objekt fehlt",IF(YEAR(A462)&lt;&gt;Einstellungen!$C$3,"anderes Jahr",IF(A462&lt;INDEX(Mitarbeiter!$C$6:$C$205,MATCH(B462,Mitarbeiter!$A$6:$A$205,0)),"vor Eintritt",IF(AND(INDEX(Mitarbeiter!$D$6:$D$205,MATCH(B462,Mitarbeiter!$A$6:$A$205,0))&lt;&gt;"",A462&gt;INDEX(Mitarbeiter!$D$6:$D$205,MATCH(B462,Mitarbeiter!$A$6:$A$205,0))),"nach Austritt","ok")))))))</f>
        <v/>
      </c>
    </row>
    <row r="463">
      <c r="A463" s="26" t="n">
        <v>46174</v>
      </c>
      <c r="B463" s="24" t="n">
        <v>1008</v>
      </c>
      <c r="C463" s="40">
        <f>IF(B463="","",IFERROR(INDEX(Mitarbeiter!$B$6:$B$205,MATCH(B463,Mitarbeiter!$A$6:$A$205,0)),"?"))</f>
        <v/>
      </c>
      <c r="D463" s="41" t="inlineStr">
        <is>
          <t>Objekt 2</t>
        </is>
      </c>
      <c r="E463" s="42" t="n">
        <v>68</v>
      </c>
      <c r="F463" s="43" t="n">
        <v>0</v>
      </c>
      <c r="G463" s="44">
        <f>IF(OR(B463="",F463=""),"",IFERROR(F463*INDEX(Mitarbeiter!$F$6:$F$205,MATCH(B463,Mitarbeiter!$A$6:$A$205,0)),0))</f>
        <v/>
      </c>
      <c r="H463" s="8">
        <f>IF(B463="","",IF(ISNA(MATCH(B463,Mitarbeiter!$A$6:$A$205,0)),"Pers.-Nr. unbekannt",IF(A463="","Datum fehlt",IF(AND(D463&lt;&gt;Einstellungen!$C$4,D463&lt;&gt;Einstellungen!$C$5),"Objekt fehlt",IF(YEAR(A463)&lt;&gt;Einstellungen!$C$3,"anderes Jahr",IF(A463&lt;INDEX(Mitarbeiter!$C$6:$C$205,MATCH(B463,Mitarbeiter!$A$6:$A$205,0)),"vor Eintritt",IF(AND(INDEX(Mitarbeiter!$D$6:$D$205,MATCH(B463,Mitarbeiter!$A$6:$A$205,0))&lt;&gt;"",A463&gt;INDEX(Mitarbeiter!$D$6:$D$205,MATCH(B463,Mitarbeiter!$A$6:$A$205,0))),"nach Austritt","ok")))))))</f>
        <v/>
      </c>
    </row>
    <row r="464">
      <c r="A464" s="26" t="n">
        <v>46174</v>
      </c>
      <c r="B464" s="24" t="n">
        <v>1009</v>
      </c>
      <c r="C464" s="40">
        <f>IF(B464="","",IFERROR(INDEX(Mitarbeiter!$B$6:$B$205,MATCH(B464,Mitarbeiter!$A$6:$A$205,0)),"?"))</f>
        <v/>
      </c>
      <c r="D464" s="41" t="inlineStr">
        <is>
          <t>Objekt 1</t>
        </is>
      </c>
      <c r="E464" s="42" t="n">
        <v>38.5</v>
      </c>
      <c r="F464" s="43" t="n">
        <v>0</v>
      </c>
      <c r="G464" s="44">
        <f>IF(OR(B464="",F464=""),"",IFERROR(F464*INDEX(Mitarbeiter!$F$6:$F$205,MATCH(B464,Mitarbeiter!$A$6:$A$205,0)),0))</f>
        <v/>
      </c>
      <c r="H464" s="8">
        <f>IF(B464="","",IF(ISNA(MATCH(B464,Mitarbeiter!$A$6:$A$205,0)),"Pers.-Nr. unbekannt",IF(A464="","Datum fehlt",IF(AND(D464&lt;&gt;Einstellungen!$C$4,D464&lt;&gt;Einstellungen!$C$5),"Objekt fehlt",IF(YEAR(A464)&lt;&gt;Einstellungen!$C$3,"anderes Jahr",IF(A464&lt;INDEX(Mitarbeiter!$C$6:$C$205,MATCH(B464,Mitarbeiter!$A$6:$A$205,0)),"vor Eintritt",IF(AND(INDEX(Mitarbeiter!$D$6:$D$205,MATCH(B464,Mitarbeiter!$A$6:$A$205,0))&lt;&gt;"",A464&gt;INDEX(Mitarbeiter!$D$6:$D$205,MATCH(B464,Mitarbeiter!$A$6:$A$205,0))),"nach Austritt","ok")))))))</f>
        <v/>
      </c>
    </row>
    <row r="465">
      <c r="A465" s="26" t="n">
        <v>46174</v>
      </c>
      <c r="B465" s="24" t="n">
        <v>1009</v>
      </c>
      <c r="C465" s="40">
        <f>IF(B465="","",IFERROR(INDEX(Mitarbeiter!$B$6:$B$205,MATCH(B465,Mitarbeiter!$A$6:$A$205,0)),"?"))</f>
        <v/>
      </c>
      <c r="D465" s="41" t="inlineStr">
        <is>
          <t>Objekt 2</t>
        </is>
      </c>
      <c r="E465" s="42" t="n">
        <v>42.5</v>
      </c>
      <c r="F465" s="43" t="n">
        <v>0</v>
      </c>
      <c r="G465" s="44">
        <f>IF(OR(B465="",F465=""),"",IFERROR(F465*INDEX(Mitarbeiter!$F$6:$F$205,MATCH(B465,Mitarbeiter!$A$6:$A$205,0)),0))</f>
        <v/>
      </c>
      <c r="H465" s="8">
        <f>IF(B465="","",IF(ISNA(MATCH(B465,Mitarbeiter!$A$6:$A$205,0)),"Pers.-Nr. unbekannt",IF(A465="","Datum fehlt",IF(AND(D465&lt;&gt;Einstellungen!$C$4,D465&lt;&gt;Einstellungen!$C$5),"Objekt fehlt",IF(YEAR(A465)&lt;&gt;Einstellungen!$C$3,"anderes Jahr",IF(A465&lt;INDEX(Mitarbeiter!$C$6:$C$205,MATCH(B465,Mitarbeiter!$A$6:$A$205,0)),"vor Eintritt",IF(AND(INDEX(Mitarbeiter!$D$6:$D$205,MATCH(B465,Mitarbeiter!$A$6:$A$205,0))&lt;&gt;"",A465&gt;INDEX(Mitarbeiter!$D$6:$D$205,MATCH(B465,Mitarbeiter!$A$6:$A$205,0))),"nach Austritt","ok")))))))</f>
        <v/>
      </c>
    </row>
    <row r="466">
      <c r="A466" s="26" t="n">
        <v>46174</v>
      </c>
      <c r="B466" s="24" t="n">
        <v>1011</v>
      </c>
      <c r="C466" s="40">
        <f>IF(B466="","",IFERROR(INDEX(Mitarbeiter!$B$6:$B$205,MATCH(B466,Mitarbeiter!$A$6:$A$205,0)),"?"))</f>
        <v/>
      </c>
      <c r="D466" s="41" t="inlineStr">
        <is>
          <t>Objekt 1</t>
        </is>
      </c>
      <c r="E466" s="42" t="n">
        <v>75</v>
      </c>
      <c r="F466" s="43" t="n">
        <v>1</v>
      </c>
      <c r="G466" s="44">
        <f>IF(OR(B466="",F466=""),"",IFERROR(F466*INDEX(Mitarbeiter!$F$6:$F$205,MATCH(B466,Mitarbeiter!$A$6:$A$205,0)),0))</f>
        <v/>
      </c>
      <c r="H466" s="8">
        <f>IF(B466="","",IF(ISNA(MATCH(B466,Mitarbeiter!$A$6:$A$205,0)),"Pers.-Nr. unbekannt",IF(A466="","Datum fehlt",IF(AND(D466&lt;&gt;Einstellungen!$C$4,D466&lt;&gt;Einstellungen!$C$5),"Objekt fehlt",IF(YEAR(A466)&lt;&gt;Einstellungen!$C$3,"anderes Jahr",IF(A466&lt;INDEX(Mitarbeiter!$C$6:$C$205,MATCH(B466,Mitarbeiter!$A$6:$A$205,0)),"vor Eintritt",IF(AND(INDEX(Mitarbeiter!$D$6:$D$205,MATCH(B466,Mitarbeiter!$A$6:$A$205,0))&lt;&gt;"",A466&gt;INDEX(Mitarbeiter!$D$6:$D$205,MATCH(B466,Mitarbeiter!$A$6:$A$205,0))),"nach Austritt","ok")))))))</f>
        <v/>
      </c>
    </row>
    <row r="467">
      <c r="A467" s="26" t="n">
        <v>46174</v>
      </c>
      <c r="B467" s="24" t="n">
        <v>1011</v>
      </c>
      <c r="C467" s="40">
        <f>IF(B467="","",IFERROR(INDEX(Mitarbeiter!$B$6:$B$205,MATCH(B467,Mitarbeiter!$A$6:$A$205,0)),"?"))</f>
        <v/>
      </c>
      <c r="D467" s="41" t="inlineStr">
        <is>
          <t>Objekt 2</t>
        </is>
      </c>
      <c r="E467" s="42" t="n">
        <v>75</v>
      </c>
      <c r="F467" s="43" t="n">
        <v>2</v>
      </c>
      <c r="G467" s="44">
        <f>IF(OR(B467="",F467=""),"",IFERROR(F467*INDEX(Mitarbeiter!$F$6:$F$205,MATCH(B467,Mitarbeiter!$A$6:$A$205,0)),0))</f>
        <v/>
      </c>
      <c r="H467" s="8">
        <f>IF(B467="","",IF(ISNA(MATCH(B467,Mitarbeiter!$A$6:$A$205,0)),"Pers.-Nr. unbekannt",IF(A467="","Datum fehlt",IF(AND(D467&lt;&gt;Einstellungen!$C$4,D467&lt;&gt;Einstellungen!$C$5),"Objekt fehlt",IF(YEAR(A467)&lt;&gt;Einstellungen!$C$3,"anderes Jahr",IF(A467&lt;INDEX(Mitarbeiter!$C$6:$C$205,MATCH(B467,Mitarbeiter!$A$6:$A$205,0)),"vor Eintritt",IF(AND(INDEX(Mitarbeiter!$D$6:$D$205,MATCH(B467,Mitarbeiter!$A$6:$A$205,0))&lt;&gt;"",A467&gt;INDEX(Mitarbeiter!$D$6:$D$205,MATCH(B467,Mitarbeiter!$A$6:$A$205,0))),"nach Austritt","ok")))))))</f>
        <v/>
      </c>
    </row>
    <row r="468">
      <c r="A468" s="26" t="n">
        <v>46174</v>
      </c>
      <c r="B468" s="24" t="n">
        <v>1013</v>
      </c>
      <c r="C468" s="40">
        <f>IF(B468="","",IFERROR(INDEX(Mitarbeiter!$B$6:$B$205,MATCH(B468,Mitarbeiter!$A$6:$A$205,0)),"?"))</f>
        <v/>
      </c>
      <c r="D468" s="41" t="inlineStr">
        <is>
          <t>Objekt 1</t>
        </is>
      </c>
      <c r="E468" s="42" t="n">
        <v>107</v>
      </c>
      <c r="F468" s="43" t="n">
        <v>0</v>
      </c>
      <c r="G468" s="44">
        <f>IF(OR(B468="",F468=""),"",IFERROR(F468*INDEX(Mitarbeiter!$F$6:$F$205,MATCH(B468,Mitarbeiter!$A$6:$A$205,0)),0))</f>
        <v/>
      </c>
      <c r="H468" s="8">
        <f>IF(B468="","",IF(ISNA(MATCH(B468,Mitarbeiter!$A$6:$A$205,0)),"Pers.-Nr. unbekannt",IF(A468="","Datum fehlt",IF(AND(D468&lt;&gt;Einstellungen!$C$4,D468&lt;&gt;Einstellungen!$C$5),"Objekt fehlt",IF(YEAR(A468)&lt;&gt;Einstellungen!$C$3,"anderes Jahr",IF(A468&lt;INDEX(Mitarbeiter!$C$6:$C$205,MATCH(B468,Mitarbeiter!$A$6:$A$205,0)),"vor Eintritt",IF(AND(INDEX(Mitarbeiter!$D$6:$D$205,MATCH(B468,Mitarbeiter!$A$6:$A$205,0))&lt;&gt;"",A468&gt;INDEX(Mitarbeiter!$D$6:$D$205,MATCH(B468,Mitarbeiter!$A$6:$A$205,0))),"nach Austritt","ok")))))))</f>
        <v/>
      </c>
    </row>
    <row r="469">
      <c r="A469" s="26" t="n">
        <v>46174</v>
      </c>
      <c r="B469" s="24" t="n">
        <v>1013</v>
      </c>
      <c r="C469" s="40">
        <f>IF(B469="","",IFERROR(INDEX(Mitarbeiter!$B$6:$B$205,MATCH(B469,Mitarbeiter!$A$6:$A$205,0)),"?"))</f>
        <v/>
      </c>
      <c r="D469" s="41" t="inlineStr">
        <is>
          <t>Objekt 2</t>
        </is>
      </c>
      <c r="E469" s="42" t="n">
        <v>65.5</v>
      </c>
      <c r="F469" s="43" t="n">
        <v>0</v>
      </c>
      <c r="G469" s="44">
        <f>IF(OR(B469="",F469=""),"",IFERROR(F469*INDEX(Mitarbeiter!$F$6:$F$205,MATCH(B469,Mitarbeiter!$A$6:$A$205,0)),0))</f>
        <v/>
      </c>
      <c r="H469" s="8">
        <f>IF(B469="","",IF(ISNA(MATCH(B469,Mitarbeiter!$A$6:$A$205,0)),"Pers.-Nr. unbekannt",IF(A469="","Datum fehlt",IF(AND(D469&lt;&gt;Einstellungen!$C$4,D469&lt;&gt;Einstellungen!$C$5),"Objekt fehlt",IF(YEAR(A469)&lt;&gt;Einstellungen!$C$3,"anderes Jahr",IF(A469&lt;INDEX(Mitarbeiter!$C$6:$C$205,MATCH(B469,Mitarbeiter!$A$6:$A$205,0)),"vor Eintritt",IF(AND(INDEX(Mitarbeiter!$D$6:$D$205,MATCH(B469,Mitarbeiter!$A$6:$A$205,0))&lt;&gt;"",A469&gt;INDEX(Mitarbeiter!$D$6:$D$205,MATCH(B469,Mitarbeiter!$A$6:$A$205,0))),"nach Austritt","ok")))))))</f>
        <v/>
      </c>
    </row>
    <row r="470">
      <c r="A470" s="26" t="n">
        <v>46174</v>
      </c>
      <c r="B470" s="24" t="n">
        <v>1014</v>
      </c>
      <c r="C470" s="40">
        <f>IF(B470="","",IFERROR(INDEX(Mitarbeiter!$B$6:$B$205,MATCH(B470,Mitarbeiter!$A$6:$A$205,0)),"?"))</f>
        <v/>
      </c>
      <c r="D470" s="41" t="inlineStr">
        <is>
          <t>Objekt 1</t>
        </is>
      </c>
      <c r="E470" s="42" t="n">
        <v>32</v>
      </c>
      <c r="F470" s="43" t="n">
        <v>0</v>
      </c>
      <c r="G470" s="44">
        <f>IF(OR(B470="",F470=""),"",IFERROR(F470*INDEX(Mitarbeiter!$F$6:$F$205,MATCH(B470,Mitarbeiter!$A$6:$A$205,0)),0))</f>
        <v/>
      </c>
      <c r="H470" s="8">
        <f>IF(B470="","",IF(ISNA(MATCH(B470,Mitarbeiter!$A$6:$A$205,0)),"Pers.-Nr. unbekannt",IF(A470="","Datum fehlt",IF(AND(D470&lt;&gt;Einstellungen!$C$4,D470&lt;&gt;Einstellungen!$C$5),"Objekt fehlt",IF(YEAR(A470)&lt;&gt;Einstellungen!$C$3,"anderes Jahr",IF(A470&lt;INDEX(Mitarbeiter!$C$6:$C$205,MATCH(B470,Mitarbeiter!$A$6:$A$205,0)),"vor Eintritt",IF(AND(INDEX(Mitarbeiter!$D$6:$D$205,MATCH(B470,Mitarbeiter!$A$6:$A$205,0))&lt;&gt;"",A470&gt;INDEX(Mitarbeiter!$D$6:$D$205,MATCH(B470,Mitarbeiter!$A$6:$A$205,0))),"nach Austritt","ok")))))))</f>
        <v/>
      </c>
    </row>
    <row r="471">
      <c r="A471" s="26" t="n">
        <v>46174</v>
      </c>
      <c r="B471" s="24" t="n">
        <v>1014</v>
      </c>
      <c r="C471" s="40">
        <f>IF(B471="","",IFERROR(INDEX(Mitarbeiter!$B$6:$B$205,MATCH(B471,Mitarbeiter!$A$6:$A$205,0)),"?"))</f>
        <v/>
      </c>
      <c r="D471" s="41" t="inlineStr">
        <is>
          <t>Objekt 2</t>
        </is>
      </c>
      <c r="E471" s="42" t="n">
        <v>128</v>
      </c>
      <c r="F471" s="43" t="n">
        <v>1</v>
      </c>
      <c r="G471" s="44">
        <f>IF(OR(B471="",F471=""),"",IFERROR(F471*INDEX(Mitarbeiter!$F$6:$F$205,MATCH(B471,Mitarbeiter!$A$6:$A$205,0)),0))</f>
        <v/>
      </c>
      <c r="H471" s="8">
        <f>IF(B471="","",IF(ISNA(MATCH(B471,Mitarbeiter!$A$6:$A$205,0)),"Pers.-Nr. unbekannt",IF(A471="","Datum fehlt",IF(AND(D471&lt;&gt;Einstellungen!$C$4,D471&lt;&gt;Einstellungen!$C$5),"Objekt fehlt",IF(YEAR(A471)&lt;&gt;Einstellungen!$C$3,"anderes Jahr",IF(A471&lt;INDEX(Mitarbeiter!$C$6:$C$205,MATCH(B471,Mitarbeiter!$A$6:$A$205,0)),"vor Eintritt",IF(AND(INDEX(Mitarbeiter!$D$6:$D$205,MATCH(B471,Mitarbeiter!$A$6:$A$205,0))&lt;&gt;"",A471&gt;INDEX(Mitarbeiter!$D$6:$D$205,MATCH(B471,Mitarbeiter!$A$6:$A$205,0))),"nach Austritt","ok")))))))</f>
        <v/>
      </c>
    </row>
    <row r="472">
      <c r="A472" s="26" t="n">
        <v>46174</v>
      </c>
      <c r="B472" s="24" t="n">
        <v>1017</v>
      </c>
      <c r="C472" s="40">
        <f>IF(B472="","",IFERROR(INDEX(Mitarbeiter!$B$6:$B$205,MATCH(B472,Mitarbeiter!$A$6:$A$205,0)),"?"))</f>
        <v/>
      </c>
      <c r="D472" s="41" t="inlineStr">
        <is>
          <t>Objekt 1</t>
        </is>
      </c>
      <c r="E472" s="42" t="n">
        <v>128</v>
      </c>
      <c r="F472" s="43" t="n">
        <v>1</v>
      </c>
      <c r="G472" s="44">
        <f>IF(OR(B472="",F472=""),"",IFERROR(F472*INDEX(Mitarbeiter!$F$6:$F$205,MATCH(B472,Mitarbeiter!$A$6:$A$205,0)),0))</f>
        <v/>
      </c>
      <c r="H472" s="8">
        <f>IF(B472="","",IF(ISNA(MATCH(B472,Mitarbeiter!$A$6:$A$205,0)),"Pers.-Nr. unbekannt",IF(A472="","Datum fehlt",IF(AND(D472&lt;&gt;Einstellungen!$C$4,D472&lt;&gt;Einstellungen!$C$5),"Objekt fehlt",IF(YEAR(A472)&lt;&gt;Einstellungen!$C$3,"anderes Jahr",IF(A472&lt;INDEX(Mitarbeiter!$C$6:$C$205,MATCH(B472,Mitarbeiter!$A$6:$A$205,0)),"vor Eintritt",IF(AND(INDEX(Mitarbeiter!$D$6:$D$205,MATCH(B472,Mitarbeiter!$A$6:$A$205,0))&lt;&gt;"",A472&gt;INDEX(Mitarbeiter!$D$6:$D$205,MATCH(B472,Mitarbeiter!$A$6:$A$205,0))),"nach Austritt","ok")))))))</f>
        <v/>
      </c>
    </row>
    <row r="473">
      <c r="A473" s="26" t="n">
        <v>46174</v>
      </c>
      <c r="B473" s="24" t="n">
        <v>1017</v>
      </c>
      <c r="C473" s="40">
        <f>IF(B473="","",IFERROR(INDEX(Mitarbeiter!$B$6:$B$205,MATCH(B473,Mitarbeiter!$A$6:$A$205,0)),"?"))</f>
        <v/>
      </c>
      <c r="D473" s="41" t="inlineStr">
        <is>
          <t>Objekt 2</t>
        </is>
      </c>
      <c r="E473" s="42" t="n">
        <v>30.5</v>
      </c>
      <c r="F473" s="43" t="n">
        <v>0</v>
      </c>
      <c r="G473" s="44">
        <f>IF(OR(B473="",F473=""),"",IFERROR(F473*INDEX(Mitarbeiter!$F$6:$F$205,MATCH(B473,Mitarbeiter!$A$6:$A$205,0)),0))</f>
        <v/>
      </c>
      <c r="H473" s="8">
        <f>IF(B473="","",IF(ISNA(MATCH(B473,Mitarbeiter!$A$6:$A$205,0)),"Pers.-Nr. unbekannt",IF(A473="","Datum fehlt",IF(AND(D473&lt;&gt;Einstellungen!$C$4,D473&lt;&gt;Einstellungen!$C$5),"Objekt fehlt",IF(YEAR(A473)&lt;&gt;Einstellungen!$C$3,"anderes Jahr",IF(A473&lt;INDEX(Mitarbeiter!$C$6:$C$205,MATCH(B473,Mitarbeiter!$A$6:$A$205,0)),"vor Eintritt",IF(AND(INDEX(Mitarbeiter!$D$6:$D$205,MATCH(B473,Mitarbeiter!$A$6:$A$205,0))&lt;&gt;"",A473&gt;INDEX(Mitarbeiter!$D$6:$D$205,MATCH(B473,Mitarbeiter!$A$6:$A$205,0))),"nach Austritt","ok")))))))</f>
        <v/>
      </c>
    </row>
    <row r="474">
      <c r="A474" s="26" t="n">
        <v>46174</v>
      </c>
      <c r="B474" s="24" t="n">
        <v>1019</v>
      </c>
      <c r="C474" s="40">
        <f>IF(B474="","",IFERROR(INDEX(Mitarbeiter!$B$6:$B$205,MATCH(B474,Mitarbeiter!$A$6:$A$205,0)),"?"))</f>
        <v/>
      </c>
      <c r="D474" s="41" t="inlineStr">
        <is>
          <t>Objekt 1</t>
        </is>
      </c>
      <c r="E474" s="42" t="n">
        <v>65.5</v>
      </c>
      <c r="F474" s="43" t="n">
        <v>0</v>
      </c>
      <c r="G474" s="44">
        <f>IF(OR(B474="",F474=""),"",IFERROR(F474*INDEX(Mitarbeiter!$F$6:$F$205,MATCH(B474,Mitarbeiter!$A$6:$A$205,0)),0))</f>
        <v/>
      </c>
      <c r="H474" s="8">
        <f>IF(B474="","",IF(ISNA(MATCH(B474,Mitarbeiter!$A$6:$A$205,0)),"Pers.-Nr. unbekannt",IF(A474="","Datum fehlt",IF(AND(D474&lt;&gt;Einstellungen!$C$4,D474&lt;&gt;Einstellungen!$C$5),"Objekt fehlt",IF(YEAR(A474)&lt;&gt;Einstellungen!$C$3,"anderes Jahr",IF(A474&lt;INDEX(Mitarbeiter!$C$6:$C$205,MATCH(B474,Mitarbeiter!$A$6:$A$205,0)),"vor Eintritt",IF(AND(INDEX(Mitarbeiter!$D$6:$D$205,MATCH(B474,Mitarbeiter!$A$6:$A$205,0))&lt;&gt;"",A474&gt;INDEX(Mitarbeiter!$D$6:$D$205,MATCH(B474,Mitarbeiter!$A$6:$A$205,0))),"nach Austritt","ok")))))))</f>
        <v/>
      </c>
    </row>
    <row r="475">
      <c r="A475" s="26" t="n">
        <v>46174</v>
      </c>
      <c r="B475" s="24" t="n">
        <v>1019</v>
      </c>
      <c r="C475" s="40">
        <f>IF(B475="","",IFERROR(INDEX(Mitarbeiter!$B$6:$B$205,MATCH(B475,Mitarbeiter!$A$6:$A$205,0)),"?"))</f>
        <v/>
      </c>
      <c r="D475" s="41" t="inlineStr">
        <is>
          <t>Objekt 2</t>
        </is>
      </c>
      <c r="E475" s="42" t="n">
        <v>107</v>
      </c>
      <c r="F475" s="43" t="n">
        <v>0</v>
      </c>
      <c r="G475" s="44">
        <f>IF(OR(B475="",F475=""),"",IFERROR(F475*INDEX(Mitarbeiter!$F$6:$F$205,MATCH(B475,Mitarbeiter!$A$6:$A$205,0)),0))</f>
        <v/>
      </c>
      <c r="H475" s="8">
        <f>IF(B475="","",IF(ISNA(MATCH(B475,Mitarbeiter!$A$6:$A$205,0)),"Pers.-Nr. unbekannt",IF(A475="","Datum fehlt",IF(AND(D475&lt;&gt;Einstellungen!$C$4,D475&lt;&gt;Einstellungen!$C$5),"Objekt fehlt",IF(YEAR(A475)&lt;&gt;Einstellungen!$C$3,"anderes Jahr",IF(A475&lt;INDEX(Mitarbeiter!$C$6:$C$205,MATCH(B475,Mitarbeiter!$A$6:$A$205,0)),"vor Eintritt",IF(AND(INDEX(Mitarbeiter!$D$6:$D$205,MATCH(B475,Mitarbeiter!$A$6:$A$205,0))&lt;&gt;"",A475&gt;INDEX(Mitarbeiter!$D$6:$D$205,MATCH(B475,Mitarbeiter!$A$6:$A$205,0))),"nach Austritt","ok")))))))</f>
        <v/>
      </c>
    </row>
    <row r="476">
      <c r="A476" s="26" t="n">
        <v>46174</v>
      </c>
      <c r="B476" s="24" t="n">
        <v>1021</v>
      </c>
      <c r="C476" s="40">
        <f>IF(B476="","",IFERROR(INDEX(Mitarbeiter!$B$6:$B$205,MATCH(B476,Mitarbeiter!$A$6:$A$205,0)),"?"))</f>
        <v/>
      </c>
      <c r="D476" s="41" t="inlineStr">
        <is>
          <t>Objekt 1</t>
        </is>
      </c>
      <c r="E476" s="42" t="n">
        <v>81.5</v>
      </c>
      <c r="F476" s="43" t="n">
        <v>0</v>
      </c>
      <c r="G476" s="44">
        <f>IF(OR(B476="",F476=""),"",IFERROR(F476*INDEX(Mitarbeiter!$F$6:$F$205,MATCH(B476,Mitarbeiter!$A$6:$A$205,0)),0))</f>
        <v/>
      </c>
      <c r="H476" s="8">
        <f>IF(B476="","",IF(ISNA(MATCH(B476,Mitarbeiter!$A$6:$A$205,0)),"Pers.-Nr. unbekannt",IF(A476="","Datum fehlt",IF(AND(D476&lt;&gt;Einstellungen!$C$4,D476&lt;&gt;Einstellungen!$C$5),"Objekt fehlt",IF(YEAR(A476)&lt;&gt;Einstellungen!$C$3,"anderes Jahr",IF(A476&lt;INDEX(Mitarbeiter!$C$6:$C$205,MATCH(B476,Mitarbeiter!$A$6:$A$205,0)),"vor Eintritt",IF(AND(INDEX(Mitarbeiter!$D$6:$D$205,MATCH(B476,Mitarbeiter!$A$6:$A$205,0))&lt;&gt;"",A476&gt;INDEX(Mitarbeiter!$D$6:$D$205,MATCH(B476,Mitarbeiter!$A$6:$A$205,0))),"nach Austritt","ok")))))))</f>
        <v/>
      </c>
    </row>
    <row r="477">
      <c r="A477" s="26" t="n">
        <v>46174</v>
      </c>
      <c r="B477" s="24" t="n">
        <v>1021</v>
      </c>
      <c r="C477" s="40">
        <f>IF(B477="","",IFERROR(INDEX(Mitarbeiter!$B$6:$B$205,MATCH(B477,Mitarbeiter!$A$6:$A$205,0)),"?"))</f>
        <v/>
      </c>
      <c r="D477" s="41" t="inlineStr">
        <is>
          <t>Objekt 2</t>
        </is>
      </c>
      <c r="E477" s="42" t="n">
        <v>89.5</v>
      </c>
      <c r="F477" s="43" t="n">
        <v>0</v>
      </c>
      <c r="G477" s="44">
        <f>IF(OR(B477="",F477=""),"",IFERROR(F477*INDEX(Mitarbeiter!$F$6:$F$205,MATCH(B477,Mitarbeiter!$A$6:$A$205,0)),0))</f>
        <v/>
      </c>
      <c r="H477" s="8">
        <f>IF(B477="","",IF(ISNA(MATCH(B477,Mitarbeiter!$A$6:$A$205,0)),"Pers.-Nr. unbekannt",IF(A477="","Datum fehlt",IF(AND(D477&lt;&gt;Einstellungen!$C$4,D477&lt;&gt;Einstellungen!$C$5),"Objekt fehlt",IF(YEAR(A477)&lt;&gt;Einstellungen!$C$3,"anderes Jahr",IF(A477&lt;INDEX(Mitarbeiter!$C$6:$C$205,MATCH(B477,Mitarbeiter!$A$6:$A$205,0)),"vor Eintritt",IF(AND(INDEX(Mitarbeiter!$D$6:$D$205,MATCH(B477,Mitarbeiter!$A$6:$A$205,0))&lt;&gt;"",A477&gt;INDEX(Mitarbeiter!$D$6:$D$205,MATCH(B477,Mitarbeiter!$A$6:$A$205,0))),"nach Austritt","ok")))))))</f>
        <v/>
      </c>
    </row>
    <row r="478">
      <c r="A478" s="26" t="n">
        <v>46174</v>
      </c>
      <c r="B478" s="24" t="n">
        <v>1022</v>
      </c>
      <c r="C478" s="40">
        <f>IF(B478="","",IFERROR(INDEX(Mitarbeiter!$B$6:$B$205,MATCH(B478,Mitarbeiter!$A$6:$A$205,0)),"?"))</f>
        <v/>
      </c>
      <c r="D478" s="41" t="inlineStr">
        <is>
          <t>Objekt 1</t>
        </is>
      </c>
      <c r="E478" s="42" t="n">
        <v>32</v>
      </c>
      <c r="F478" s="43" t="n">
        <v>0</v>
      </c>
      <c r="G478" s="44">
        <f>IF(OR(B478="",F478=""),"",IFERROR(F478*INDEX(Mitarbeiter!$F$6:$F$205,MATCH(B478,Mitarbeiter!$A$6:$A$205,0)),0))</f>
        <v/>
      </c>
      <c r="H478" s="8">
        <f>IF(B478="","",IF(ISNA(MATCH(B478,Mitarbeiter!$A$6:$A$205,0)),"Pers.-Nr. unbekannt",IF(A478="","Datum fehlt",IF(AND(D478&lt;&gt;Einstellungen!$C$4,D478&lt;&gt;Einstellungen!$C$5),"Objekt fehlt",IF(YEAR(A478)&lt;&gt;Einstellungen!$C$3,"anderes Jahr",IF(A478&lt;INDEX(Mitarbeiter!$C$6:$C$205,MATCH(B478,Mitarbeiter!$A$6:$A$205,0)),"vor Eintritt",IF(AND(INDEX(Mitarbeiter!$D$6:$D$205,MATCH(B478,Mitarbeiter!$A$6:$A$205,0))&lt;&gt;"",A478&gt;INDEX(Mitarbeiter!$D$6:$D$205,MATCH(B478,Mitarbeiter!$A$6:$A$205,0))),"nach Austritt","ok")))))))</f>
        <v/>
      </c>
    </row>
    <row r="479">
      <c r="A479" s="26" t="n">
        <v>46174</v>
      </c>
      <c r="B479" s="24" t="n">
        <v>1022</v>
      </c>
      <c r="C479" s="40">
        <f>IF(B479="","",IFERROR(INDEX(Mitarbeiter!$B$6:$B$205,MATCH(B479,Mitarbeiter!$A$6:$A$205,0)),"?"))</f>
        <v/>
      </c>
      <c r="D479" s="41" t="inlineStr">
        <is>
          <t>Objekt 2</t>
        </is>
      </c>
      <c r="E479" s="42" t="n">
        <v>48</v>
      </c>
      <c r="F479" s="43" t="n">
        <v>1</v>
      </c>
      <c r="G479" s="44">
        <f>IF(OR(B479="",F479=""),"",IFERROR(F479*INDEX(Mitarbeiter!$F$6:$F$205,MATCH(B479,Mitarbeiter!$A$6:$A$205,0)),0))</f>
        <v/>
      </c>
      <c r="H479" s="8">
        <f>IF(B479="","",IF(ISNA(MATCH(B479,Mitarbeiter!$A$6:$A$205,0)),"Pers.-Nr. unbekannt",IF(A479="","Datum fehlt",IF(AND(D479&lt;&gt;Einstellungen!$C$4,D479&lt;&gt;Einstellungen!$C$5),"Objekt fehlt",IF(YEAR(A479)&lt;&gt;Einstellungen!$C$3,"anderes Jahr",IF(A479&lt;INDEX(Mitarbeiter!$C$6:$C$205,MATCH(B479,Mitarbeiter!$A$6:$A$205,0)),"vor Eintritt",IF(AND(INDEX(Mitarbeiter!$D$6:$D$205,MATCH(B479,Mitarbeiter!$A$6:$A$205,0))&lt;&gt;"",A479&gt;INDEX(Mitarbeiter!$D$6:$D$205,MATCH(B479,Mitarbeiter!$A$6:$A$205,0))),"nach Austritt","ok")))))))</f>
        <v/>
      </c>
    </row>
    <row r="480">
      <c r="A480" s="26" t="n">
        <v>46174</v>
      </c>
      <c r="B480" s="24" t="n">
        <v>1023</v>
      </c>
      <c r="C480" s="40">
        <f>IF(B480="","",IFERROR(INDEX(Mitarbeiter!$B$6:$B$205,MATCH(B480,Mitarbeiter!$A$6:$A$205,0)),"?"))</f>
        <v/>
      </c>
      <c r="D480" s="41" t="inlineStr">
        <is>
          <t>Objekt 1</t>
        </is>
      </c>
      <c r="E480" s="42" t="n">
        <v>124.5</v>
      </c>
      <c r="F480" s="43" t="n">
        <v>0</v>
      </c>
      <c r="G480" s="44">
        <f>IF(OR(B480="",F480=""),"",IFERROR(F480*INDEX(Mitarbeiter!$F$6:$F$205,MATCH(B480,Mitarbeiter!$A$6:$A$205,0)),0))</f>
        <v/>
      </c>
      <c r="H480" s="8">
        <f>IF(B480="","",IF(ISNA(MATCH(B480,Mitarbeiter!$A$6:$A$205,0)),"Pers.-Nr. unbekannt",IF(A480="","Datum fehlt",IF(AND(D480&lt;&gt;Einstellungen!$C$4,D480&lt;&gt;Einstellungen!$C$5),"Objekt fehlt",IF(YEAR(A480)&lt;&gt;Einstellungen!$C$3,"anderes Jahr",IF(A480&lt;INDEX(Mitarbeiter!$C$6:$C$205,MATCH(B480,Mitarbeiter!$A$6:$A$205,0)),"vor Eintritt",IF(AND(INDEX(Mitarbeiter!$D$6:$D$205,MATCH(B480,Mitarbeiter!$A$6:$A$205,0))&lt;&gt;"",A480&gt;INDEX(Mitarbeiter!$D$6:$D$205,MATCH(B480,Mitarbeiter!$A$6:$A$205,0))),"nach Austritt","ok")))))))</f>
        <v/>
      </c>
    </row>
    <row r="481">
      <c r="A481" s="26" t="n">
        <v>46174</v>
      </c>
      <c r="B481" s="24" t="n">
        <v>1024</v>
      </c>
      <c r="C481" s="40">
        <f>IF(B481="","",IFERROR(INDEX(Mitarbeiter!$B$6:$B$205,MATCH(B481,Mitarbeiter!$A$6:$A$205,0)),"?"))</f>
        <v/>
      </c>
      <c r="D481" s="41" t="inlineStr">
        <is>
          <t>Objekt 1</t>
        </is>
      </c>
      <c r="E481" s="42" t="n">
        <v>62.5</v>
      </c>
      <c r="F481" s="43" t="n">
        <v>0</v>
      </c>
      <c r="G481" s="44">
        <f>IF(OR(B481="",F481=""),"",IFERROR(F481*INDEX(Mitarbeiter!$F$6:$F$205,MATCH(B481,Mitarbeiter!$A$6:$A$205,0)),0))</f>
        <v/>
      </c>
      <c r="H481" s="8">
        <f>IF(B481="","",IF(ISNA(MATCH(B481,Mitarbeiter!$A$6:$A$205,0)),"Pers.-Nr. unbekannt",IF(A481="","Datum fehlt",IF(AND(D481&lt;&gt;Einstellungen!$C$4,D481&lt;&gt;Einstellungen!$C$5),"Objekt fehlt",IF(YEAR(A481)&lt;&gt;Einstellungen!$C$3,"anderes Jahr",IF(A481&lt;INDEX(Mitarbeiter!$C$6:$C$205,MATCH(B481,Mitarbeiter!$A$6:$A$205,0)),"vor Eintritt",IF(AND(INDEX(Mitarbeiter!$D$6:$D$205,MATCH(B481,Mitarbeiter!$A$6:$A$205,0))&lt;&gt;"",A481&gt;INDEX(Mitarbeiter!$D$6:$D$205,MATCH(B481,Mitarbeiter!$A$6:$A$205,0))),"nach Austritt","ok")))))))</f>
        <v/>
      </c>
    </row>
    <row r="482">
      <c r="A482" s="26" t="n">
        <v>46174</v>
      </c>
      <c r="B482" s="24" t="n">
        <v>1024</v>
      </c>
      <c r="C482" s="40">
        <f>IF(B482="","",IFERROR(INDEX(Mitarbeiter!$B$6:$B$205,MATCH(B482,Mitarbeiter!$A$6:$A$205,0)),"?"))</f>
        <v/>
      </c>
      <c r="D482" s="41" t="inlineStr">
        <is>
          <t>Objekt 2</t>
        </is>
      </c>
      <c r="E482" s="42" t="n">
        <v>102.5</v>
      </c>
      <c r="F482" s="43" t="n">
        <v>0</v>
      </c>
      <c r="G482" s="44">
        <f>IF(OR(B482="",F482=""),"",IFERROR(F482*INDEX(Mitarbeiter!$F$6:$F$205,MATCH(B482,Mitarbeiter!$A$6:$A$205,0)),0))</f>
        <v/>
      </c>
      <c r="H482" s="8">
        <f>IF(B482="","",IF(ISNA(MATCH(B482,Mitarbeiter!$A$6:$A$205,0)),"Pers.-Nr. unbekannt",IF(A482="","Datum fehlt",IF(AND(D482&lt;&gt;Einstellungen!$C$4,D482&lt;&gt;Einstellungen!$C$5),"Objekt fehlt",IF(YEAR(A482)&lt;&gt;Einstellungen!$C$3,"anderes Jahr",IF(A482&lt;INDEX(Mitarbeiter!$C$6:$C$205,MATCH(B482,Mitarbeiter!$A$6:$A$205,0)),"vor Eintritt",IF(AND(INDEX(Mitarbeiter!$D$6:$D$205,MATCH(B482,Mitarbeiter!$A$6:$A$205,0))&lt;&gt;"",A482&gt;INDEX(Mitarbeiter!$D$6:$D$205,MATCH(B482,Mitarbeiter!$A$6:$A$205,0))),"nach Austritt","ok")))))))</f>
        <v/>
      </c>
    </row>
    <row r="483">
      <c r="A483" s="26" t="n">
        <v>46174</v>
      </c>
      <c r="B483" s="24" t="n">
        <v>1025</v>
      </c>
      <c r="C483" s="40">
        <f>IF(B483="","",IFERROR(INDEX(Mitarbeiter!$B$6:$B$205,MATCH(B483,Mitarbeiter!$A$6:$A$205,0)),"?"))</f>
        <v/>
      </c>
      <c r="D483" s="41" t="inlineStr">
        <is>
          <t>Objekt 1</t>
        </is>
      </c>
      <c r="E483" s="42" t="n">
        <v>67</v>
      </c>
      <c r="F483" s="43" t="n">
        <v>0</v>
      </c>
      <c r="G483" s="44">
        <f>IF(OR(B483="",F483=""),"",IFERROR(F483*INDEX(Mitarbeiter!$F$6:$F$205,MATCH(B483,Mitarbeiter!$A$6:$A$205,0)),0))</f>
        <v/>
      </c>
      <c r="H483" s="8">
        <f>IF(B483="","",IF(ISNA(MATCH(B483,Mitarbeiter!$A$6:$A$205,0)),"Pers.-Nr. unbekannt",IF(A483="","Datum fehlt",IF(AND(D483&lt;&gt;Einstellungen!$C$4,D483&lt;&gt;Einstellungen!$C$5),"Objekt fehlt",IF(YEAR(A483)&lt;&gt;Einstellungen!$C$3,"anderes Jahr",IF(A483&lt;INDEX(Mitarbeiter!$C$6:$C$205,MATCH(B483,Mitarbeiter!$A$6:$A$205,0)),"vor Eintritt",IF(AND(INDEX(Mitarbeiter!$D$6:$D$205,MATCH(B483,Mitarbeiter!$A$6:$A$205,0))&lt;&gt;"",A483&gt;INDEX(Mitarbeiter!$D$6:$D$205,MATCH(B483,Mitarbeiter!$A$6:$A$205,0))),"nach Austritt","ok")))))))</f>
        <v/>
      </c>
    </row>
    <row r="484">
      <c r="A484" s="26" t="n">
        <v>46174</v>
      </c>
      <c r="B484" s="24" t="n">
        <v>1025</v>
      </c>
      <c r="C484" s="40">
        <f>IF(B484="","",IFERROR(INDEX(Mitarbeiter!$B$6:$B$205,MATCH(B484,Mitarbeiter!$A$6:$A$205,0)),"?"))</f>
        <v/>
      </c>
      <c r="D484" s="41" t="inlineStr">
        <is>
          <t>Objekt 2</t>
        </is>
      </c>
      <c r="E484" s="42" t="n">
        <v>99</v>
      </c>
      <c r="F484" s="43" t="n">
        <v>1</v>
      </c>
      <c r="G484" s="44">
        <f>IF(OR(B484="",F484=""),"",IFERROR(F484*INDEX(Mitarbeiter!$F$6:$F$205,MATCH(B484,Mitarbeiter!$A$6:$A$205,0)),0))</f>
        <v/>
      </c>
      <c r="H484" s="8">
        <f>IF(B484="","",IF(ISNA(MATCH(B484,Mitarbeiter!$A$6:$A$205,0)),"Pers.-Nr. unbekannt",IF(A484="","Datum fehlt",IF(AND(D484&lt;&gt;Einstellungen!$C$4,D484&lt;&gt;Einstellungen!$C$5),"Objekt fehlt",IF(YEAR(A484)&lt;&gt;Einstellungen!$C$3,"anderes Jahr",IF(A484&lt;INDEX(Mitarbeiter!$C$6:$C$205,MATCH(B484,Mitarbeiter!$A$6:$A$205,0)),"vor Eintritt",IF(AND(INDEX(Mitarbeiter!$D$6:$D$205,MATCH(B484,Mitarbeiter!$A$6:$A$205,0))&lt;&gt;"",A484&gt;INDEX(Mitarbeiter!$D$6:$D$205,MATCH(B484,Mitarbeiter!$A$6:$A$205,0))),"nach Austritt","ok")))))))</f>
        <v/>
      </c>
    </row>
    <row r="485">
      <c r="A485" s="26" t="n">
        <v>46174</v>
      </c>
      <c r="B485" s="24" t="n">
        <v>1027</v>
      </c>
      <c r="C485" s="40">
        <f>IF(B485="","",IFERROR(INDEX(Mitarbeiter!$B$6:$B$205,MATCH(B485,Mitarbeiter!$A$6:$A$205,0)),"?"))</f>
        <v/>
      </c>
      <c r="D485" s="41" t="inlineStr">
        <is>
          <t>Objekt 1</t>
        </is>
      </c>
      <c r="E485" s="42" t="n">
        <v>63</v>
      </c>
      <c r="F485" s="43" t="n">
        <v>0</v>
      </c>
      <c r="G485" s="44">
        <f>IF(OR(B485="",F485=""),"",IFERROR(F485*INDEX(Mitarbeiter!$F$6:$F$205,MATCH(B485,Mitarbeiter!$A$6:$A$205,0)),0))</f>
        <v/>
      </c>
      <c r="H485" s="8">
        <f>IF(B485="","",IF(ISNA(MATCH(B485,Mitarbeiter!$A$6:$A$205,0)),"Pers.-Nr. unbekannt",IF(A485="","Datum fehlt",IF(AND(D485&lt;&gt;Einstellungen!$C$4,D485&lt;&gt;Einstellungen!$C$5),"Objekt fehlt",IF(YEAR(A485)&lt;&gt;Einstellungen!$C$3,"anderes Jahr",IF(A485&lt;INDEX(Mitarbeiter!$C$6:$C$205,MATCH(B485,Mitarbeiter!$A$6:$A$205,0)),"vor Eintritt",IF(AND(INDEX(Mitarbeiter!$D$6:$D$205,MATCH(B485,Mitarbeiter!$A$6:$A$205,0))&lt;&gt;"",A485&gt;INDEX(Mitarbeiter!$D$6:$D$205,MATCH(B485,Mitarbeiter!$A$6:$A$205,0))),"nach Austritt","ok")))))))</f>
        <v/>
      </c>
    </row>
    <row r="486">
      <c r="A486" s="26" t="n">
        <v>46174</v>
      </c>
      <c r="B486" s="24" t="n">
        <v>1027</v>
      </c>
      <c r="C486" s="40">
        <f>IF(B486="","",IFERROR(INDEX(Mitarbeiter!$B$6:$B$205,MATCH(B486,Mitarbeiter!$A$6:$A$205,0)),"?"))</f>
        <v/>
      </c>
      <c r="D486" s="41" t="inlineStr">
        <is>
          <t>Objekt 2</t>
        </is>
      </c>
      <c r="E486" s="42" t="n">
        <v>61.5</v>
      </c>
      <c r="F486" s="43" t="n">
        <v>1</v>
      </c>
      <c r="G486" s="44">
        <f>IF(OR(B486="",F486=""),"",IFERROR(F486*INDEX(Mitarbeiter!$F$6:$F$205,MATCH(B486,Mitarbeiter!$A$6:$A$205,0)),0))</f>
        <v/>
      </c>
      <c r="H486" s="8">
        <f>IF(B486="","",IF(ISNA(MATCH(B486,Mitarbeiter!$A$6:$A$205,0)),"Pers.-Nr. unbekannt",IF(A486="","Datum fehlt",IF(AND(D486&lt;&gt;Einstellungen!$C$4,D486&lt;&gt;Einstellungen!$C$5),"Objekt fehlt",IF(YEAR(A486)&lt;&gt;Einstellungen!$C$3,"anderes Jahr",IF(A486&lt;INDEX(Mitarbeiter!$C$6:$C$205,MATCH(B486,Mitarbeiter!$A$6:$A$205,0)),"vor Eintritt",IF(AND(INDEX(Mitarbeiter!$D$6:$D$205,MATCH(B486,Mitarbeiter!$A$6:$A$205,0))&lt;&gt;"",A486&gt;INDEX(Mitarbeiter!$D$6:$D$205,MATCH(B486,Mitarbeiter!$A$6:$A$205,0))),"nach Austritt","ok")))))))</f>
        <v/>
      </c>
    </row>
    <row r="487">
      <c r="A487" s="26" t="n">
        <v>46174</v>
      </c>
      <c r="B487" s="24" t="n">
        <v>1028</v>
      </c>
      <c r="C487" s="40">
        <f>IF(B487="","",IFERROR(INDEX(Mitarbeiter!$B$6:$B$205,MATCH(B487,Mitarbeiter!$A$6:$A$205,0)),"?"))</f>
        <v/>
      </c>
      <c r="D487" s="41" t="inlineStr">
        <is>
          <t>Objekt 1</t>
        </is>
      </c>
      <c r="E487" s="42" t="n">
        <v>33.5</v>
      </c>
      <c r="F487" s="43" t="n">
        <v>0</v>
      </c>
      <c r="G487" s="44">
        <f>IF(OR(B487="",F487=""),"",IFERROR(F487*INDEX(Mitarbeiter!$F$6:$F$205,MATCH(B487,Mitarbeiter!$A$6:$A$205,0)),0))</f>
        <v/>
      </c>
      <c r="H487" s="8">
        <f>IF(B487="","",IF(ISNA(MATCH(B487,Mitarbeiter!$A$6:$A$205,0)),"Pers.-Nr. unbekannt",IF(A487="","Datum fehlt",IF(AND(D487&lt;&gt;Einstellungen!$C$4,D487&lt;&gt;Einstellungen!$C$5),"Objekt fehlt",IF(YEAR(A487)&lt;&gt;Einstellungen!$C$3,"anderes Jahr",IF(A487&lt;INDEX(Mitarbeiter!$C$6:$C$205,MATCH(B487,Mitarbeiter!$A$6:$A$205,0)),"vor Eintritt",IF(AND(INDEX(Mitarbeiter!$D$6:$D$205,MATCH(B487,Mitarbeiter!$A$6:$A$205,0))&lt;&gt;"",A487&gt;INDEX(Mitarbeiter!$D$6:$D$205,MATCH(B487,Mitarbeiter!$A$6:$A$205,0))),"nach Austritt","ok")))))))</f>
        <v/>
      </c>
    </row>
    <row r="488">
      <c r="A488" s="26" t="n">
        <v>46174</v>
      </c>
      <c r="B488" s="24" t="n">
        <v>1028</v>
      </c>
      <c r="C488" s="40">
        <f>IF(B488="","",IFERROR(INDEX(Mitarbeiter!$B$6:$B$205,MATCH(B488,Mitarbeiter!$A$6:$A$205,0)),"?"))</f>
        <v/>
      </c>
      <c r="D488" s="41" t="inlineStr">
        <is>
          <t>Objekt 2</t>
        </is>
      </c>
      <c r="E488" s="42" t="n">
        <v>128</v>
      </c>
      <c r="F488" s="43" t="n">
        <v>1</v>
      </c>
      <c r="G488" s="44">
        <f>IF(OR(B488="",F488=""),"",IFERROR(F488*INDEX(Mitarbeiter!$F$6:$F$205,MATCH(B488,Mitarbeiter!$A$6:$A$205,0)),0))</f>
        <v/>
      </c>
      <c r="H488" s="8">
        <f>IF(B488="","",IF(ISNA(MATCH(B488,Mitarbeiter!$A$6:$A$205,0)),"Pers.-Nr. unbekannt",IF(A488="","Datum fehlt",IF(AND(D488&lt;&gt;Einstellungen!$C$4,D488&lt;&gt;Einstellungen!$C$5),"Objekt fehlt",IF(YEAR(A488)&lt;&gt;Einstellungen!$C$3,"anderes Jahr",IF(A488&lt;INDEX(Mitarbeiter!$C$6:$C$205,MATCH(B488,Mitarbeiter!$A$6:$A$205,0)),"vor Eintritt",IF(AND(INDEX(Mitarbeiter!$D$6:$D$205,MATCH(B488,Mitarbeiter!$A$6:$A$205,0))&lt;&gt;"",A488&gt;INDEX(Mitarbeiter!$D$6:$D$205,MATCH(B488,Mitarbeiter!$A$6:$A$205,0))),"nach Austritt","ok")))))))</f>
        <v/>
      </c>
    </row>
    <row r="489">
      <c r="A489" s="26" t="n">
        <v>46174</v>
      </c>
      <c r="B489" s="24" t="n">
        <v>1029</v>
      </c>
      <c r="C489" s="40">
        <f>IF(B489="","",IFERROR(INDEX(Mitarbeiter!$B$6:$B$205,MATCH(B489,Mitarbeiter!$A$6:$A$205,0)),"?"))</f>
        <v/>
      </c>
      <c r="D489" s="41" t="inlineStr">
        <is>
          <t>Objekt 1</t>
        </is>
      </c>
      <c r="E489" s="42" t="n">
        <v>142.5</v>
      </c>
      <c r="F489" s="43" t="n">
        <v>3</v>
      </c>
      <c r="G489" s="44">
        <f>IF(OR(B489="",F489=""),"",IFERROR(F489*INDEX(Mitarbeiter!$F$6:$F$205,MATCH(B489,Mitarbeiter!$A$6:$A$205,0)),0))</f>
        <v/>
      </c>
      <c r="H489" s="8">
        <f>IF(B489="","",IF(ISNA(MATCH(B489,Mitarbeiter!$A$6:$A$205,0)),"Pers.-Nr. unbekannt",IF(A489="","Datum fehlt",IF(AND(D489&lt;&gt;Einstellungen!$C$4,D489&lt;&gt;Einstellungen!$C$5),"Objekt fehlt",IF(YEAR(A489)&lt;&gt;Einstellungen!$C$3,"anderes Jahr",IF(A489&lt;INDEX(Mitarbeiter!$C$6:$C$205,MATCH(B489,Mitarbeiter!$A$6:$A$205,0)),"vor Eintritt",IF(AND(INDEX(Mitarbeiter!$D$6:$D$205,MATCH(B489,Mitarbeiter!$A$6:$A$205,0))&lt;&gt;"",A489&gt;INDEX(Mitarbeiter!$D$6:$D$205,MATCH(B489,Mitarbeiter!$A$6:$A$205,0))),"nach Austritt","ok")))))))</f>
        <v/>
      </c>
    </row>
    <row r="490">
      <c r="A490" s="26" t="n">
        <v>46174</v>
      </c>
      <c r="B490" s="24" t="n">
        <v>1030</v>
      </c>
      <c r="C490" s="40">
        <f>IF(B490="","",IFERROR(INDEX(Mitarbeiter!$B$6:$B$205,MATCH(B490,Mitarbeiter!$A$6:$A$205,0)),"?"))</f>
        <v/>
      </c>
      <c r="D490" s="41" t="inlineStr">
        <is>
          <t>Objekt 2</t>
        </is>
      </c>
      <c r="E490" s="42" t="n">
        <v>126</v>
      </c>
      <c r="F490" s="43" t="n">
        <v>0</v>
      </c>
      <c r="G490" s="44">
        <f>IF(OR(B490="",F490=""),"",IFERROR(F490*INDEX(Mitarbeiter!$F$6:$F$205,MATCH(B490,Mitarbeiter!$A$6:$A$205,0)),0))</f>
        <v/>
      </c>
      <c r="H490" s="8">
        <f>IF(B490="","",IF(ISNA(MATCH(B490,Mitarbeiter!$A$6:$A$205,0)),"Pers.-Nr. unbekannt",IF(A490="","Datum fehlt",IF(AND(D490&lt;&gt;Einstellungen!$C$4,D490&lt;&gt;Einstellungen!$C$5),"Objekt fehlt",IF(YEAR(A490)&lt;&gt;Einstellungen!$C$3,"anderes Jahr",IF(A490&lt;INDEX(Mitarbeiter!$C$6:$C$205,MATCH(B490,Mitarbeiter!$A$6:$A$205,0)),"vor Eintritt",IF(AND(INDEX(Mitarbeiter!$D$6:$D$205,MATCH(B490,Mitarbeiter!$A$6:$A$205,0))&lt;&gt;"",A490&gt;INDEX(Mitarbeiter!$D$6:$D$205,MATCH(B490,Mitarbeiter!$A$6:$A$205,0))),"nach Austritt","ok")))))))</f>
        <v/>
      </c>
    </row>
    <row r="491">
      <c r="A491" s="26" t="n">
        <v>46174</v>
      </c>
      <c r="B491" s="24" t="n">
        <v>1031</v>
      </c>
      <c r="C491" s="40">
        <f>IF(B491="","",IFERROR(INDEX(Mitarbeiter!$B$6:$B$205,MATCH(B491,Mitarbeiter!$A$6:$A$205,0)),"?"))</f>
        <v/>
      </c>
      <c r="D491" s="41" t="inlineStr">
        <is>
          <t>Objekt 2</t>
        </is>
      </c>
      <c r="E491" s="42" t="n">
        <v>152</v>
      </c>
      <c r="F491" s="43" t="n">
        <v>2</v>
      </c>
      <c r="G491" s="44">
        <f>IF(OR(B491="",F491=""),"",IFERROR(F491*INDEX(Mitarbeiter!$F$6:$F$205,MATCH(B491,Mitarbeiter!$A$6:$A$205,0)),0))</f>
        <v/>
      </c>
      <c r="H491" s="8">
        <f>IF(B491="","",IF(ISNA(MATCH(B491,Mitarbeiter!$A$6:$A$205,0)),"Pers.-Nr. unbekannt",IF(A491="","Datum fehlt",IF(AND(D491&lt;&gt;Einstellungen!$C$4,D491&lt;&gt;Einstellungen!$C$5),"Objekt fehlt",IF(YEAR(A491)&lt;&gt;Einstellungen!$C$3,"anderes Jahr",IF(A491&lt;INDEX(Mitarbeiter!$C$6:$C$205,MATCH(B491,Mitarbeiter!$A$6:$A$205,0)),"vor Eintritt",IF(AND(INDEX(Mitarbeiter!$D$6:$D$205,MATCH(B491,Mitarbeiter!$A$6:$A$205,0))&lt;&gt;"",A491&gt;INDEX(Mitarbeiter!$D$6:$D$205,MATCH(B491,Mitarbeiter!$A$6:$A$205,0))),"nach Austritt","ok")))))))</f>
        <v/>
      </c>
    </row>
    <row r="492">
      <c r="A492" s="26" t="n">
        <v>46174</v>
      </c>
      <c r="B492" s="24" t="n">
        <v>1033</v>
      </c>
      <c r="C492" s="40">
        <f>IF(B492="","",IFERROR(INDEX(Mitarbeiter!$B$6:$B$205,MATCH(B492,Mitarbeiter!$A$6:$A$205,0)),"?"))</f>
        <v/>
      </c>
      <c r="D492" s="41" t="inlineStr">
        <is>
          <t>Objekt 1</t>
        </is>
      </c>
      <c r="E492" s="42" t="n">
        <v>169.5</v>
      </c>
      <c r="F492" s="43" t="n">
        <v>0</v>
      </c>
      <c r="G492" s="44">
        <f>IF(OR(B492="",F492=""),"",IFERROR(F492*INDEX(Mitarbeiter!$F$6:$F$205,MATCH(B492,Mitarbeiter!$A$6:$A$205,0)),0))</f>
        <v/>
      </c>
      <c r="H492" s="8">
        <f>IF(B492="","",IF(ISNA(MATCH(B492,Mitarbeiter!$A$6:$A$205,0)),"Pers.-Nr. unbekannt",IF(A492="","Datum fehlt",IF(AND(D492&lt;&gt;Einstellungen!$C$4,D492&lt;&gt;Einstellungen!$C$5),"Objekt fehlt",IF(YEAR(A492)&lt;&gt;Einstellungen!$C$3,"anderes Jahr",IF(A492&lt;INDEX(Mitarbeiter!$C$6:$C$205,MATCH(B492,Mitarbeiter!$A$6:$A$205,0)),"vor Eintritt",IF(AND(INDEX(Mitarbeiter!$D$6:$D$205,MATCH(B492,Mitarbeiter!$A$6:$A$205,0))&lt;&gt;"",A492&gt;INDEX(Mitarbeiter!$D$6:$D$205,MATCH(B492,Mitarbeiter!$A$6:$A$205,0))),"nach Austritt","ok")))))))</f>
        <v/>
      </c>
    </row>
    <row r="493">
      <c r="A493" s="26" t="n">
        <v>46174</v>
      </c>
      <c r="B493" s="24" t="n">
        <v>1034</v>
      </c>
      <c r="C493" s="40">
        <f>IF(B493="","",IFERROR(INDEX(Mitarbeiter!$B$6:$B$205,MATCH(B493,Mitarbeiter!$A$6:$A$205,0)),"?"))</f>
        <v/>
      </c>
      <c r="D493" s="41" t="inlineStr">
        <is>
          <t>Objekt 1</t>
        </is>
      </c>
      <c r="E493" s="42" t="n">
        <v>46.5</v>
      </c>
      <c r="F493" s="43" t="n">
        <v>0</v>
      </c>
      <c r="G493" s="44">
        <f>IF(OR(B493="",F493=""),"",IFERROR(F493*INDEX(Mitarbeiter!$F$6:$F$205,MATCH(B493,Mitarbeiter!$A$6:$A$205,0)),0))</f>
        <v/>
      </c>
      <c r="H493" s="8">
        <f>IF(B493="","",IF(ISNA(MATCH(B493,Mitarbeiter!$A$6:$A$205,0)),"Pers.-Nr. unbekannt",IF(A493="","Datum fehlt",IF(AND(D493&lt;&gt;Einstellungen!$C$4,D493&lt;&gt;Einstellungen!$C$5),"Objekt fehlt",IF(YEAR(A493)&lt;&gt;Einstellungen!$C$3,"anderes Jahr",IF(A493&lt;INDEX(Mitarbeiter!$C$6:$C$205,MATCH(B493,Mitarbeiter!$A$6:$A$205,0)),"vor Eintritt",IF(AND(INDEX(Mitarbeiter!$D$6:$D$205,MATCH(B493,Mitarbeiter!$A$6:$A$205,0))&lt;&gt;"",A493&gt;INDEX(Mitarbeiter!$D$6:$D$205,MATCH(B493,Mitarbeiter!$A$6:$A$205,0))),"nach Austritt","ok")))))))</f>
        <v/>
      </c>
    </row>
    <row r="494">
      <c r="A494" s="26" t="n">
        <v>46174</v>
      </c>
      <c r="B494" s="24" t="n">
        <v>1034</v>
      </c>
      <c r="C494" s="40">
        <f>IF(B494="","",IFERROR(INDEX(Mitarbeiter!$B$6:$B$205,MATCH(B494,Mitarbeiter!$A$6:$A$205,0)),"?"))</f>
        <v/>
      </c>
      <c r="D494" s="41" t="inlineStr">
        <is>
          <t>Objekt 2</t>
        </is>
      </c>
      <c r="E494" s="42" t="n">
        <v>79.5</v>
      </c>
      <c r="F494" s="43" t="n">
        <v>0</v>
      </c>
      <c r="G494" s="44">
        <f>IF(OR(B494="",F494=""),"",IFERROR(F494*INDEX(Mitarbeiter!$F$6:$F$205,MATCH(B494,Mitarbeiter!$A$6:$A$205,0)),0))</f>
        <v/>
      </c>
      <c r="H494" s="8">
        <f>IF(B494="","",IF(ISNA(MATCH(B494,Mitarbeiter!$A$6:$A$205,0)),"Pers.-Nr. unbekannt",IF(A494="","Datum fehlt",IF(AND(D494&lt;&gt;Einstellungen!$C$4,D494&lt;&gt;Einstellungen!$C$5),"Objekt fehlt",IF(YEAR(A494)&lt;&gt;Einstellungen!$C$3,"anderes Jahr",IF(A494&lt;INDEX(Mitarbeiter!$C$6:$C$205,MATCH(B494,Mitarbeiter!$A$6:$A$205,0)),"vor Eintritt",IF(AND(INDEX(Mitarbeiter!$D$6:$D$205,MATCH(B494,Mitarbeiter!$A$6:$A$205,0))&lt;&gt;"",A494&gt;INDEX(Mitarbeiter!$D$6:$D$205,MATCH(B494,Mitarbeiter!$A$6:$A$205,0))),"nach Austritt","ok")))))))</f>
        <v/>
      </c>
    </row>
    <row r="495">
      <c r="A495" s="26" t="n">
        <v>46174</v>
      </c>
      <c r="B495" s="24" t="n">
        <v>1035</v>
      </c>
      <c r="C495" s="40">
        <f>IF(B495="","",IFERROR(INDEX(Mitarbeiter!$B$6:$B$205,MATCH(B495,Mitarbeiter!$A$6:$A$205,0)),"?"))</f>
        <v/>
      </c>
      <c r="D495" s="41" t="inlineStr">
        <is>
          <t>Objekt 2</t>
        </is>
      </c>
      <c r="E495" s="42" t="n">
        <v>168</v>
      </c>
      <c r="F495" s="43" t="n">
        <v>0</v>
      </c>
      <c r="G495" s="44">
        <f>IF(OR(B495="",F495=""),"",IFERROR(F495*INDEX(Mitarbeiter!$F$6:$F$205,MATCH(B495,Mitarbeiter!$A$6:$A$205,0)),0))</f>
        <v/>
      </c>
      <c r="H495" s="8">
        <f>IF(B495="","",IF(ISNA(MATCH(B495,Mitarbeiter!$A$6:$A$205,0)),"Pers.-Nr. unbekannt",IF(A495="","Datum fehlt",IF(AND(D495&lt;&gt;Einstellungen!$C$4,D495&lt;&gt;Einstellungen!$C$5),"Objekt fehlt",IF(YEAR(A495)&lt;&gt;Einstellungen!$C$3,"anderes Jahr",IF(A495&lt;INDEX(Mitarbeiter!$C$6:$C$205,MATCH(B495,Mitarbeiter!$A$6:$A$205,0)),"vor Eintritt",IF(AND(INDEX(Mitarbeiter!$D$6:$D$205,MATCH(B495,Mitarbeiter!$A$6:$A$205,0))&lt;&gt;"",A495&gt;INDEX(Mitarbeiter!$D$6:$D$205,MATCH(B495,Mitarbeiter!$A$6:$A$205,0))),"nach Austritt","ok")))))))</f>
        <v/>
      </c>
    </row>
    <row r="496">
      <c r="A496" s="26" t="n">
        <v>46174</v>
      </c>
      <c r="B496" s="24" t="n">
        <v>1036</v>
      </c>
      <c r="C496" s="40">
        <f>IF(B496="","",IFERROR(INDEX(Mitarbeiter!$B$6:$B$205,MATCH(B496,Mitarbeiter!$A$6:$A$205,0)),"?"))</f>
        <v/>
      </c>
      <c r="D496" s="41" t="inlineStr">
        <is>
          <t>Objekt 1</t>
        </is>
      </c>
      <c r="E496" s="42" t="n">
        <v>32</v>
      </c>
      <c r="F496" s="43" t="n">
        <v>0</v>
      </c>
      <c r="G496" s="44">
        <f>IF(OR(B496="",F496=""),"",IFERROR(F496*INDEX(Mitarbeiter!$F$6:$F$205,MATCH(B496,Mitarbeiter!$A$6:$A$205,0)),0))</f>
        <v/>
      </c>
      <c r="H496" s="8">
        <f>IF(B496="","",IF(ISNA(MATCH(B496,Mitarbeiter!$A$6:$A$205,0)),"Pers.-Nr. unbekannt",IF(A496="","Datum fehlt",IF(AND(D496&lt;&gt;Einstellungen!$C$4,D496&lt;&gt;Einstellungen!$C$5),"Objekt fehlt",IF(YEAR(A496)&lt;&gt;Einstellungen!$C$3,"anderes Jahr",IF(A496&lt;INDEX(Mitarbeiter!$C$6:$C$205,MATCH(B496,Mitarbeiter!$A$6:$A$205,0)),"vor Eintritt",IF(AND(INDEX(Mitarbeiter!$D$6:$D$205,MATCH(B496,Mitarbeiter!$A$6:$A$205,0))&lt;&gt;"",A496&gt;INDEX(Mitarbeiter!$D$6:$D$205,MATCH(B496,Mitarbeiter!$A$6:$A$205,0))),"nach Austritt","ok")))))))</f>
        <v/>
      </c>
    </row>
    <row r="497">
      <c r="A497" s="26" t="n">
        <v>46174</v>
      </c>
      <c r="B497" s="24" t="n">
        <v>1036</v>
      </c>
      <c r="C497" s="40">
        <f>IF(B497="","",IFERROR(INDEX(Mitarbeiter!$B$6:$B$205,MATCH(B497,Mitarbeiter!$A$6:$A$205,0)),"?"))</f>
        <v/>
      </c>
      <c r="D497" s="41" t="inlineStr">
        <is>
          <t>Objekt 2</t>
        </is>
      </c>
      <c r="E497" s="42" t="n">
        <v>50.5</v>
      </c>
      <c r="F497" s="43" t="n">
        <v>0</v>
      </c>
      <c r="G497" s="44">
        <f>IF(OR(B497="",F497=""),"",IFERROR(F497*INDEX(Mitarbeiter!$F$6:$F$205,MATCH(B497,Mitarbeiter!$A$6:$A$205,0)),0))</f>
        <v/>
      </c>
      <c r="H497" s="8">
        <f>IF(B497="","",IF(ISNA(MATCH(B497,Mitarbeiter!$A$6:$A$205,0)),"Pers.-Nr. unbekannt",IF(A497="","Datum fehlt",IF(AND(D497&lt;&gt;Einstellungen!$C$4,D497&lt;&gt;Einstellungen!$C$5),"Objekt fehlt",IF(YEAR(A497)&lt;&gt;Einstellungen!$C$3,"anderes Jahr",IF(A497&lt;INDEX(Mitarbeiter!$C$6:$C$205,MATCH(B497,Mitarbeiter!$A$6:$A$205,0)),"vor Eintritt",IF(AND(INDEX(Mitarbeiter!$D$6:$D$205,MATCH(B497,Mitarbeiter!$A$6:$A$205,0))&lt;&gt;"",A497&gt;INDEX(Mitarbeiter!$D$6:$D$205,MATCH(B497,Mitarbeiter!$A$6:$A$205,0))),"nach Austritt","ok")))))))</f>
        <v/>
      </c>
    </row>
    <row r="498">
      <c r="A498" s="26" t="n">
        <v>46174</v>
      </c>
      <c r="B498" s="24" t="n">
        <v>1038</v>
      </c>
      <c r="C498" s="40">
        <f>IF(B498="","",IFERROR(INDEX(Mitarbeiter!$B$6:$B$205,MATCH(B498,Mitarbeiter!$A$6:$A$205,0)),"?"))</f>
        <v/>
      </c>
      <c r="D498" s="41" t="inlineStr">
        <is>
          <t>Objekt 1</t>
        </is>
      </c>
      <c r="E498" s="42" t="n">
        <v>80</v>
      </c>
      <c r="F498" s="43" t="n">
        <v>0</v>
      </c>
      <c r="G498" s="44">
        <f>IF(OR(B498="",F498=""),"",IFERROR(F498*INDEX(Mitarbeiter!$F$6:$F$205,MATCH(B498,Mitarbeiter!$A$6:$A$205,0)),0))</f>
        <v/>
      </c>
      <c r="H498" s="8">
        <f>IF(B498="","",IF(ISNA(MATCH(B498,Mitarbeiter!$A$6:$A$205,0)),"Pers.-Nr. unbekannt",IF(A498="","Datum fehlt",IF(AND(D498&lt;&gt;Einstellungen!$C$4,D498&lt;&gt;Einstellungen!$C$5),"Objekt fehlt",IF(YEAR(A498)&lt;&gt;Einstellungen!$C$3,"anderes Jahr",IF(A498&lt;INDEX(Mitarbeiter!$C$6:$C$205,MATCH(B498,Mitarbeiter!$A$6:$A$205,0)),"vor Eintritt",IF(AND(INDEX(Mitarbeiter!$D$6:$D$205,MATCH(B498,Mitarbeiter!$A$6:$A$205,0))&lt;&gt;"",A498&gt;INDEX(Mitarbeiter!$D$6:$D$205,MATCH(B498,Mitarbeiter!$A$6:$A$205,0))),"nach Austritt","ok")))))))</f>
        <v/>
      </c>
    </row>
    <row r="499">
      <c r="A499" s="26" t="n">
        <v>46174</v>
      </c>
      <c r="B499" s="24" t="n">
        <v>1038</v>
      </c>
      <c r="C499" s="40">
        <f>IF(B499="","",IFERROR(INDEX(Mitarbeiter!$B$6:$B$205,MATCH(B499,Mitarbeiter!$A$6:$A$205,0)),"?"))</f>
        <v/>
      </c>
      <c r="D499" s="41" t="inlineStr">
        <is>
          <t>Objekt 2</t>
        </is>
      </c>
      <c r="E499" s="42" t="n">
        <v>88</v>
      </c>
      <c r="F499" s="43" t="n">
        <v>0</v>
      </c>
      <c r="G499" s="44">
        <f>IF(OR(B499="",F499=""),"",IFERROR(F499*INDEX(Mitarbeiter!$F$6:$F$205,MATCH(B499,Mitarbeiter!$A$6:$A$205,0)),0))</f>
        <v/>
      </c>
      <c r="H499" s="8">
        <f>IF(B499="","",IF(ISNA(MATCH(B499,Mitarbeiter!$A$6:$A$205,0)),"Pers.-Nr. unbekannt",IF(A499="","Datum fehlt",IF(AND(D499&lt;&gt;Einstellungen!$C$4,D499&lt;&gt;Einstellungen!$C$5),"Objekt fehlt",IF(YEAR(A499)&lt;&gt;Einstellungen!$C$3,"anderes Jahr",IF(A499&lt;INDEX(Mitarbeiter!$C$6:$C$205,MATCH(B499,Mitarbeiter!$A$6:$A$205,0)),"vor Eintritt",IF(AND(INDEX(Mitarbeiter!$D$6:$D$205,MATCH(B499,Mitarbeiter!$A$6:$A$205,0))&lt;&gt;"",A499&gt;INDEX(Mitarbeiter!$D$6:$D$205,MATCH(B499,Mitarbeiter!$A$6:$A$205,0))),"nach Austritt","ok")))))))</f>
        <v/>
      </c>
    </row>
    <row r="500">
      <c r="A500" s="26" t="n">
        <v>46174</v>
      </c>
      <c r="B500" s="24" t="n">
        <v>1039</v>
      </c>
      <c r="C500" s="40">
        <f>IF(B500="","",IFERROR(INDEX(Mitarbeiter!$B$6:$B$205,MATCH(B500,Mitarbeiter!$A$6:$A$205,0)),"?"))</f>
        <v/>
      </c>
      <c r="D500" s="41" t="inlineStr">
        <is>
          <t>Objekt 2</t>
        </is>
      </c>
      <c r="E500" s="42" t="n">
        <v>144</v>
      </c>
      <c r="F500" s="43" t="n">
        <v>3</v>
      </c>
      <c r="G500" s="44">
        <f>IF(OR(B500="",F500=""),"",IFERROR(F500*INDEX(Mitarbeiter!$F$6:$F$205,MATCH(B500,Mitarbeiter!$A$6:$A$205,0)),0))</f>
        <v/>
      </c>
      <c r="H500" s="8">
        <f>IF(B500="","",IF(ISNA(MATCH(B500,Mitarbeiter!$A$6:$A$205,0)),"Pers.-Nr. unbekannt",IF(A500="","Datum fehlt",IF(AND(D500&lt;&gt;Einstellungen!$C$4,D500&lt;&gt;Einstellungen!$C$5),"Objekt fehlt",IF(YEAR(A500)&lt;&gt;Einstellungen!$C$3,"anderes Jahr",IF(A500&lt;INDEX(Mitarbeiter!$C$6:$C$205,MATCH(B500,Mitarbeiter!$A$6:$A$205,0)),"vor Eintritt",IF(AND(INDEX(Mitarbeiter!$D$6:$D$205,MATCH(B500,Mitarbeiter!$A$6:$A$205,0))&lt;&gt;"",A500&gt;INDEX(Mitarbeiter!$D$6:$D$205,MATCH(B500,Mitarbeiter!$A$6:$A$205,0))),"nach Austritt","ok")))))))</f>
        <v/>
      </c>
    </row>
    <row r="501">
      <c r="A501" s="26" t="n">
        <v>46174</v>
      </c>
      <c r="B501" s="24" t="n">
        <v>1040</v>
      </c>
      <c r="C501" s="40">
        <f>IF(B501="","",IFERROR(INDEX(Mitarbeiter!$B$6:$B$205,MATCH(B501,Mitarbeiter!$A$6:$A$205,0)),"?"))</f>
        <v/>
      </c>
      <c r="D501" s="41" t="inlineStr">
        <is>
          <t>Objekt 1</t>
        </is>
      </c>
      <c r="E501" s="42" t="n">
        <v>100.5</v>
      </c>
      <c r="F501" s="43" t="n">
        <v>0</v>
      </c>
      <c r="G501" s="44">
        <f>IF(OR(B501="",F501=""),"",IFERROR(F501*INDEX(Mitarbeiter!$F$6:$F$205,MATCH(B501,Mitarbeiter!$A$6:$A$205,0)),0))</f>
        <v/>
      </c>
      <c r="H501" s="8">
        <f>IF(B501="","",IF(ISNA(MATCH(B501,Mitarbeiter!$A$6:$A$205,0)),"Pers.-Nr. unbekannt",IF(A501="","Datum fehlt",IF(AND(D501&lt;&gt;Einstellungen!$C$4,D501&lt;&gt;Einstellungen!$C$5),"Objekt fehlt",IF(YEAR(A501)&lt;&gt;Einstellungen!$C$3,"anderes Jahr",IF(A501&lt;INDEX(Mitarbeiter!$C$6:$C$205,MATCH(B501,Mitarbeiter!$A$6:$A$205,0)),"vor Eintritt",IF(AND(INDEX(Mitarbeiter!$D$6:$D$205,MATCH(B501,Mitarbeiter!$A$6:$A$205,0))&lt;&gt;"",A501&gt;INDEX(Mitarbeiter!$D$6:$D$205,MATCH(B501,Mitarbeiter!$A$6:$A$205,0))),"nach Austritt","ok")))))))</f>
        <v/>
      </c>
    </row>
    <row r="502">
      <c r="A502" s="26" t="n">
        <v>46174</v>
      </c>
      <c r="B502" s="24" t="n">
        <v>1040</v>
      </c>
      <c r="C502" s="40">
        <f>IF(B502="","",IFERROR(INDEX(Mitarbeiter!$B$6:$B$205,MATCH(B502,Mitarbeiter!$A$6:$A$205,0)),"?"))</f>
        <v/>
      </c>
      <c r="D502" s="41" t="inlineStr">
        <is>
          <t>Objekt 2</t>
        </is>
      </c>
      <c r="E502" s="42" t="n">
        <v>25.5</v>
      </c>
      <c r="F502" s="43" t="n">
        <v>0</v>
      </c>
      <c r="G502" s="44">
        <f>IF(OR(B502="",F502=""),"",IFERROR(F502*INDEX(Mitarbeiter!$F$6:$F$205,MATCH(B502,Mitarbeiter!$A$6:$A$205,0)),0))</f>
        <v/>
      </c>
      <c r="H502" s="8">
        <f>IF(B502="","",IF(ISNA(MATCH(B502,Mitarbeiter!$A$6:$A$205,0)),"Pers.-Nr. unbekannt",IF(A502="","Datum fehlt",IF(AND(D502&lt;&gt;Einstellungen!$C$4,D502&lt;&gt;Einstellungen!$C$5),"Objekt fehlt",IF(YEAR(A502)&lt;&gt;Einstellungen!$C$3,"anderes Jahr",IF(A502&lt;INDEX(Mitarbeiter!$C$6:$C$205,MATCH(B502,Mitarbeiter!$A$6:$A$205,0)),"vor Eintritt",IF(AND(INDEX(Mitarbeiter!$D$6:$D$205,MATCH(B502,Mitarbeiter!$A$6:$A$205,0))&lt;&gt;"",A502&gt;INDEX(Mitarbeiter!$D$6:$D$205,MATCH(B502,Mitarbeiter!$A$6:$A$205,0))),"nach Austritt","ok")))))))</f>
        <v/>
      </c>
    </row>
    <row r="503">
      <c r="A503" s="26" t="n">
        <v>46174</v>
      </c>
      <c r="B503" s="24" t="n">
        <v>1045</v>
      </c>
      <c r="C503" s="40">
        <f>IF(B503="","",IFERROR(INDEX(Mitarbeiter!$B$6:$B$205,MATCH(B503,Mitarbeiter!$A$6:$A$205,0)),"?"))</f>
        <v/>
      </c>
      <c r="D503" s="41" t="inlineStr">
        <is>
          <t>Objekt 1</t>
        </is>
      </c>
      <c r="E503" s="42" t="n">
        <v>102.5</v>
      </c>
      <c r="F503" s="43" t="n">
        <v>0</v>
      </c>
      <c r="G503" s="44">
        <f>IF(OR(B503="",F503=""),"",IFERROR(F503*INDEX(Mitarbeiter!$F$6:$F$205,MATCH(B503,Mitarbeiter!$A$6:$A$205,0)),0))</f>
        <v/>
      </c>
      <c r="H503" s="8">
        <f>IF(B503="","",IF(ISNA(MATCH(B503,Mitarbeiter!$A$6:$A$205,0)),"Pers.-Nr. unbekannt",IF(A503="","Datum fehlt",IF(AND(D503&lt;&gt;Einstellungen!$C$4,D503&lt;&gt;Einstellungen!$C$5),"Objekt fehlt",IF(YEAR(A503)&lt;&gt;Einstellungen!$C$3,"anderes Jahr",IF(A503&lt;INDEX(Mitarbeiter!$C$6:$C$205,MATCH(B503,Mitarbeiter!$A$6:$A$205,0)),"vor Eintritt",IF(AND(INDEX(Mitarbeiter!$D$6:$D$205,MATCH(B503,Mitarbeiter!$A$6:$A$205,0))&lt;&gt;"",A503&gt;INDEX(Mitarbeiter!$D$6:$D$205,MATCH(B503,Mitarbeiter!$A$6:$A$205,0))),"nach Austritt","ok")))))))</f>
        <v/>
      </c>
    </row>
    <row r="504">
      <c r="A504" s="26" t="n">
        <v>46174</v>
      </c>
      <c r="B504" s="24" t="n">
        <v>1045</v>
      </c>
      <c r="C504" s="40">
        <f>IF(B504="","",IFERROR(INDEX(Mitarbeiter!$B$6:$B$205,MATCH(B504,Mitarbeiter!$A$6:$A$205,0)),"?"))</f>
        <v/>
      </c>
      <c r="D504" s="41" t="inlineStr">
        <is>
          <t>Objekt 2</t>
        </is>
      </c>
      <c r="E504" s="42" t="n">
        <v>67</v>
      </c>
      <c r="F504" s="43" t="n">
        <v>0</v>
      </c>
      <c r="G504" s="44">
        <f>IF(OR(B504="",F504=""),"",IFERROR(F504*INDEX(Mitarbeiter!$F$6:$F$205,MATCH(B504,Mitarbeiter!$A$6:$A$205,0)),0))</f>
        <v/>
      </c>
      <c r="H504" s="8">
        <f>IF(B504="","",IF(ISNA(MATCH(B504,Mitarbeiter!$A$6:$A$205,0)),"Pers.-Nr. unbekannt",IF(A504="","Datum fehlt",IF(AND(D504&lt;&gt;Einstellungen!$C$4,D504&lt;&gt;Einstellungen!$C$5),"Objekt fehlt",IF(YEAR(A504)&lt;&gt;Einstellungen!$C$3,"anderes Jahr",IF(A504&lt;INDEX(Mitarbeiter!$C$6:$C$205,MATCH(B504,Mitarbeiter!$A$6:$A$205,0)),"vor Eintritt",IF(AND(INDEX(Mitarbeiter!$D$6:$D$205,MATCH(B504,Mitarbeiter!$A$6:$A$205,0))&lt;&gt;"",A504&gt;INDEX(Mitarbeiter!$D$6:$D$205,MATCH(B504,Mitarbeiter!$A$6:$A$205,0))),"nach Austritt","ok")))))))</f>
        <v/>
      </c>
    </row>
    <row r="505">
      <c r="A505" s="26" t="n">
        <v>46174</v>
      </c>
      <c r="B505" s="24" t="n">
        <v>1046</v>
      </c>
      <c r="C505" s="40">
        <f>IF(B505="","",IFERROR(INDEX(Mitarbeiter!$B$6:$B$205,MATCH(B505,Mitarbeiter!$A$6:$A$205,0)),"?"))</f>
        <v/>
      </c>
      <c r="D505" s="41" t="inlineStr">
        <is>
          <t>Objekt 1</t>
        </is>
      </c>
      <c r="E505" s="42" t="n">
        <v>105</v>
      </c>
      <c r="F505" s="43" t="n">
        <v>0</v>
      </c>
      <c r="G505" s="44">
        <f>IF(OR(B505="",F505=""),"",IFERROR(F505*INDEX(Mitarbeiter!$F$6:$F$205,MATCH(B505,Mitarbeiter!$A$6:$A$205,0)),0))</f>
        <v/>
      </c>
      <c r="H505" s="8">
        <f>IF(B505="","",IF(ISNA(MATCH(B505,Mitarbeiter!$A$6:$A$205,0)),"Pers.-Nr. unbekannt",IF(A505="","Datum fehlt",IF(AND(D505&lt;&gt;Einstellungen!$C$4,D505&lt;&gt;Einstellungen!$C$5),"Objekt fehlt",IF(YEAR(A505)&lt;&gt;Einstellungen!$C$3,"anderes Jahr",IF(A505&lt;INDEX(Mitarbeiter!$C$6:$C$205,MATCH(B505,Mitarbeiter!$A$6:$A$205,0)),"vor Eintritt",IF(AND(INDEX(Mitarbeiter!$D$6:$D$205,MATCH(B505,Mitarbeiter!$A$6:$A$205,0))&lt;&gt;"",A505&gt;INDEX(Mitarbeiter!$D$6:$D$205,MATCH(B505,Mitarbeiter!$A$6:$A$205,0))),"nach Austritt","ok")))))))</f>
        <v/>
      </c>
    </row>
    <row r="506">
      <c r="A506" s="26" t="n">
        <v>46174</v>
      </c>
      <c r="B506" s="24" t="n">
        <v>1046</v>
      </c>
      <c r="C506" s="40">
        <f>IF(B506="","",IFERROR(INDEX(Mitarbeiter!$B$6:$B$205,MATCH(B506,Mitarbeiter!$A$6:$A$205,0)),"?"))</f>
        <v/>
      </c>
      <c r="D506" s="41" t="inlineStr">
        <is>
          <t>Objekt 2</t>
        </is>
      </c>
      <c r="E506" s="42" t="n">
        <v>27</v>
      </c>
      <c r="F506" s="43" t="n">
        <v>0</v>
      </c>
      <c r="G506" s="44">
        <f>IF(OR(B506="",F506=""),"",IFERROR(F506*INDEX(Mitarbeiter!$F$6:$F$205,MATCH(B506,Mitarbeiter!$A$6:$A$205,0)),0))</f>
        <v/>
      </c>
      <c r="H506" s="8">
        <f>IF(B506="","",IF(ISNA(MATCH(B506,Mitarbeiter!$A$6:$A$205,0)),"Pers.-Nr. unbekannt",IF(A506="","Datum fehlt",IF(AND(D506&lt;&gt;Einstellungen!$C$4,D506&lt;&gt;Einstellungen!$C$5),"Objekt fehlt",IF(YEAR(A506)&lt;&gt;Einstellungen!$C$3,"anderes Jahr",IF(A506&lt;INDEX(Mitarbeiter!$C$6:$C$205,MATCH(B506,Mitarbeiter!$A$6:$A$205,0)),"vor Eintritt",IF(AND(INDEX(Mitarbeiter!$D$6:$D$205,MATCH(B506,Mitarbeiter!$A$6:$A$205,0))&lt;&gt;"",A506&gt;INDEX(Mitarbeiter!$D$6:$D$205,MATCH(B506,Mitarbeiter!$A$6:$A$205,0))),"nach Austritt","ok")))))))</f>
        <v/>
      </c>
    </row>
    <row r="507">
      <c r="A507" s="26" t="n">
        <v>46174</v>
      </c>
      <c r="B507" s="24" t="n">
        <v>1047</v>
      </c>
      <c r="C507" s="40">
        <f>IF(B507="","",IFERROR(INDEX(Mitarbeiter!$B$6:$B$205,MATCH(B507,Mitarbeiter!$A$6:$A$205,0)),"?"))</f>
        <v/>
      </c>
      <c r="D507" s="41" t="inlineStr">
        <is>
          <t>Objekt 2</t>
        </is>
      </c>
      <c r="E507" s="42" t="n">
        <v>134.5</v>
      </c>
      <c r="F507" s="43" t="n">
        <v>4</v>
      </c>
      <c r="G507" s="44">
        <f>IF(OR(B507="",F507=""),"",IFERROR(F507*INDEX(Mitarbeiter!$F$6:$F$205,MATCH(B507,Mitarbeiter!$A$6:$A$205,0)),0))</f>
        <v/>
      </c>
      <c r="H507" s="8">
        <f>IF(B507="","",IF(ISNA(MATCH(B507,Mitarbeiter!$A$6:$A$205,0)),"Pers.-Nr. unbekannt",IF(A507="","Datum fehlt",IF(AND(D507&lt;&gt;Einstellungen!$C$4,D507&lt;&gt;Einstellungen!$C$5),"Objekt fehlt",IF(YEAR(A507)&lt;&gt;Einstellungen!$C$3,"anderes Jahr",IF(A507&lt;INDEX(Mitarbeiter!$C$6:$C$205,MATCH(B507,Mitarbeiter!$A$6:$A$205,0)),"vor Eintritt",IF(AND(INDEX(Mitarbeiter!$D$6:$D$205,MATCH(B507,Mitarbeiter!$A$6:$A$205,0))&lt;&gt;"",A507&gt;INDEX(Mitarbeiter!$D$6:$D$205,MATCH(B507,Mitarbeiter!$A$6:$A$205,0))),"nach Austritt","ok")))))))</f>
        <v/>
      </c>
    </row>
    <row r="508">
      <c r="A508" s="26" t="n">
        <v>46174</v>
      </c>
      <c r="B508" s="24" t="n">
        <v>1049</v>
      </c>
      <c r="C508" s="40">
        <f>IF(B508="","",IFERROR(INDEX(Mitarbeiter!$B$6:$B$205,MATCH(B508,Mitarbeiter!$A$6:$A$205,0)),"?"))</f>
        <v/>
      </c>
      <c r="D508" s="41" t="inlineStr">
        <is>
          <t>Objekt 1</t>
        </is>
      </c>
      <c r="E508" s="42" t="n">
        <v>127.5</v>
      </c>
      <c r="F508" s="43" t="n">
        <v>0</v>
      </c>
      <c r="G508" s="44">
        <f>IF(OR(B508="",F508=""),"",IFERROR(F508*INDEX(Mitarbeiter!$F$6:$F$205,MATCH(B508,Mitarbeiter!$A$6:$A$205,0)),0))</f>
        <v/>
      </c>
      <c r="H508" s="8">
        <f>IF(B508="","",IF(ISNA(MATCH(B508,Mitarbeiter!$A$6:$A$205,0)),"Pers.-Nr. unbekannt",IF(A508="","Datum fehlt",IF(AND(D508&lt;&gt;Einstellungen!$C$4,D508&lt;&gt;Einstellungen!$C$5),"Objekt fehlt",IF(YEAR(A508)&lt;&gt;Einstellungen!$C$3,"anderes Jahr",IF(A508&lt;INDEX(Mitarbeiter!$C$6:$C$205,MATCH(B508,Mitarbeiter!$A$6:$A$205,0)),"vor Eintritt",IF(AND(INDEX(Mitarbeiter!$D$6:$D$205,MATCH(B508,Mitarbeiter!$A$6:$A$205,0))&lt;&gt;"",A508&gt;INDEX(Mitarbeiter!$D$6:$D$205,MATCH(B508,Mitarbeiter!$A$6:$A$205,0))),"nach Austritt","ok")))))))</f>
        <v/>
      </c>
    </row>
    <row r="509">
      <c r="A509" s="26" t="n">
        <v>46174</v>
      </c>
      <c r="B509" s="24" t="n">
        <v>1050</v>
      </c>
      <c r="C509" s="40">
        <f>IF(B509="","",IFERROR(INDEX(Mitarbeiter!$B$6:$B$205,MATCH(B509,Mitarbeiter!$A$6:$A$205,0)),"?"))</f>
        <v/>
      </c>
      <c r="D509" s="41" t="inlineStr">
        <is>
          <t>Objekt 1</t>
        </is>
      </c>
      <c r="E509" s="42" t="n">
        <v>24</v>
      </c>
      <c r="F509" s="43" t="n">
        <v>0</v>
      </c>
      <c r="G509" s="44">
        <f>IF(OR(B509="",F509=""),"",IFERROR(F509*INDEX(Mitarbeiter!$F$6:$F$205,MATCH(B509,Mitarbeiter!$A$6:$A$205,0)),0))</f>
        <v/>
      </c>
      <c r="H509" s="8">
        <f>IF(B509="","",IF(ISNA(MATCH(B509,Mitarbeiter!$A$6:$A$205,0)),"Pers.-Nr. unbekannt",IF(A509="","Datum fehlt",IF(AND(D509&lt;&gt;Einstellungen!$C$4,D509&lt;&gt;Einstellungen!$C$5),"Objekt fehlt",IF(YEAR(A509)&lt;&gt;Einstellungen!$C$3,"anderes Jahr",IF(A509&lt;INDEX(Mitarbeiter!$C$6:$C$205,MATCH(B509,Mitarbeiter!$A$6:$A$205,0)),"vor Eintritt",IF(AND(INDEX(Mitarbeiter!$D$6:$D$205,MATCH(B509,Mitarbeiter!$A$6:$A$205,0))&lt;&gt;"",A509&gt;INDEX(Mitarbeiter!$D$6:$D$205,MATCH(B509,Mitarbeiter!$A$6:$A$205,0))),"nach Austritt","ok")))))))</f>
        <v/>
      </c>
    </row>
    <row r="510">
      <c r="A510" s="26" t="n">
        <v>46174</v>
      </c>
      <c r="B510" s="24" t="n">
        <v>1050</v>
      </c>
      <c r="C510" s="40">
        <f>IF(B510="","",IFERROR(INDEX(Mitarbeiter!$B$6:$B$205,MATCH(B510,Mitarbeiter!$A$6:$A$205,0)),"?"))</f>
        <v/>
      </c>
      <c r="D510" s="41" t="inlineStr">
        <is>
          <t>Objekt 2</t>
        </is>
      </c>
      <c r="E510" s="42" t="n">
        <v>102</v>
      </c>
      <c r="F510" s="43" t="n">
        <v>0</v>
      </c>
      <c r="G510" s="44">
        <f>IF(OR(B510="",F510=""),"",IFERROR(F510*INDEX(Mitarbeiter!$F$6:$F$205,MATCH(B510,Mitarbeiter!$A$6:$A$205,0)),0))</f>
        <v/>
      </c>
      <c r="H510" s="8">
        <f>IF(B510="","",IF(ISNA(MATCH(B510,Mitarbeiter!$A$6:$A$205,0)),"Pers.-Nr. unbekannt",IF(A510="","Datum fehlt",IF(AND(D510&lt;&gt;Einstellungen!$C$4,D510&lt;&gt;Einstellungen!$C$5),"Objekt fehlt",IF(YEAR(A510)&lt;&gt;Einstellungen!$C$3,"anderes Jahr",IF(A510&lt;INDEX(Mitarbeiter!$C$6:$C$205,MATCH(B510,Mitarbeiter!$A$6:$A$205,0)),"vor Eintritt",IF(AND(INDEX(Mitarbeiter!$D$6:$D$205,MATCH(B510,Mitarbeiter!$A$6:$A$205,0))&lt;&gt;"",A510&gt;INDEX(Mitarbeiter!$D$6:$D$205,MATCH(B510,Mitarbeiter!$A$6:$A$205,0))),"nach Austritt","ok")))))))</f>
        <v/>
      </c>
    </row>
    <row r="511">
      <c r="A511" s="26" t="n">
        <v>46174</v>
      </c>
      <c r="B511" s="24" t="n">
        <v>1051</v>
      </c>
      <c r="C511" s="40">
        <f>IF(B511="","",IFERROR(INDEX(Mitarbeiter!$B$6:$B$205,MATCH(B511,Mitarbeiter!$A$6:$A$205,0)),"?"))</f>
        <v/>
      </c>
      <c r="D511" s="41" t="inlineStr">
        <is>
          <t>Objekt 2</t>
        </is>
      </c>
      <c r="E511" s="42" t="n">
        <v>171</v>
      </c>
      <c r="F511" s="43" t="n">
        <v>0</v>
      </c>
      <c r="G511" s="44">
        <f>IF(OR(B511="",F511=""),"",IFERROR(F511*INDEX(Mitarbeiter!$F$6:$F$205,MATCH(B511,Mitarbeiter!$A$6:$A$205,0)),0))</f>
        <v/>
      </c>
      <c r="H511" s="8">
        <f>IF(B511="","",IF(ISNA(MATCH(B511,Mitarbeiter!$A$6:$A$205,0)),"Pers.-Nr. unbekannt",IF(A511="","Datum fehlt",IF(AND(D511&lt;&gt;Einstellungen!$C$4,D511&lt;&gt;Einstellungen!$C$5),"Objekt fehlt",IF(YEAR(A511)&lt;&gt;Einstellungen!$C$3,"anderes Jahr",IF(A511&lt;INDEX(Mitarbeiter!$C$6:$C$205,MATCH(B511,Mitarbeiter!$A$6:$A$205,0)),"vor Eintritt",IF(AND(INDEX(Mitarbeiter!$D$6:$D$205,MATCH(B511,Mitarbeiter!$A$6:$A$205,0))&lt;&gt;"",A511&gt;INDEX(Mitarbeiter!$D$6:$D$205,MATCH(B511,Mitarbeiter!$A$6:$A$205,0))),"nach Austritt","ok")))))))</f>
        <v/>
      </c>
    </row>
    <row r="512">
      <c r="A512" s="26" t="n">
        <v>46174</v>
      </c>
      <c r="B512" s="24" t="n">
        <v>1053</v>
      </c>
      <c r="C512" s="40">
        <f>IF(B512="","",IFERROR(INDEX(Mitarbeiter!$B$6:$B$205,MATCH(B512,Mitarbeiter!$A$6:$A$205,0)),"?"))</f>
        <v/>
      </c>
      <c r="D512" s="41" t="inlineStr">
        <is>
          <t>Objekt 1</t>
        </is>
      </c>
      <c r="E512" s="42" t="n">
        <v>51</v>
      </c>
      <c r="F512" s="43" t="n">
        <v>0</v>
      </c>
      <c r="G512" s="44">
        <f>IF(OR(B512="",F512=""),"",IFERROR(F512*INDEX(Mitarbeiter!$F$6:$F$205,MATCH(B512,Mitarbeiter!$A$6:$A$205,0)),0))</f>
        <v/>
      </c>
      <c r="H512" s="8">
        <f>IF(B512="","",IF(ISNA(MATCH(B512,Mitarbeiter!$A$6:$A$205,0)),"Pers.-Nr. unbekannt",IF(A512="","Datum fehlt",IF(AND(D512&lt;&gt;Einstellungen!$C$4,D512&lt;&gt;Einstellungen!$C$5),"Objekt fehlt",IF(YEAR(A512)&lt;&gt;Einstellungen!$C$3,"anderes Jahr",IF(A512&lt;INDEX(Mitarbeiter!$C$6:$C$205,MATCH(B512,Mitarbeiter!$A$6:$A$205,0)),"vor Eintritt",IF(AND(INDEX(Mitarbeiter!$D$6:$D$205,MATCH(B512,Mitarbeiter!$A$6:$A$205,0))&lt;&gt;"",A512&gt;INDEX(Mitarbeiter!$D$6:$D$205,MATCH(B512,Mitarbeiter!$A$6:$A$205,0))),"nach Austritt","ok")))))))</f>
        <v/>
      </c>
    </row>
    <row r="513">
      <c r="A513" s="26" t="n">
        <v>46174</v>
      </c>
      <c r="B513" s="24" t="n">
        <v>1053</v>
      </c>
      <c r="C513" s="40">
        <f>IF(B513="","",IFERROR(INDEX(Mitarbeiter!$B$6:$B$205,MATCH(B513,Mitarbeiter!$A$6:$A$205,0)),"?"))</f>
        <v/>
      </c>
      <c r="D513" s="41" t="inlineStr">
        <is>
          <t>Objekt 2</t>
        </is>
      </c>
      <c r="E513" s="42" t="n">
        <v>79.5</v>
      </c>
      <c r="F513" s="43" t="n">
        <v>0</v>
      </c>
      <c r="G513" s="44">
        <f>IF(OR(B513="",F513=""),"",IFERROR(F513*INDEX(Mitarbeiter!$F$6:$F$205,MATCH(B513,Mitarbeiter!$A$6:$A$205,0)),0))</f>
        <v/>
      </c>
      <c r="H513" s="8">
        <f>IF(B513="","",IF(ISNA(MATCH(B513,Mitarbeiter!$A$6:$A$205,0)),"Pers.-Nr. unbekannt",IF(A513="","Datum fehlt",IF(AND(D513&lt;&gt;Einstellungen!$C$4,D513&lt;&gt;Einstellungen!$C$5),"Objekt fehlt",IF(YEAR(A513)&lt;&gt;Einstellungen!$C$3,"anderes Jahr",IF(A513&lt;INDEX(Mitarbeiter!$C$6:$C$205,MATCH(B513,Mitarbeiter!$A$6:$A$205,0)),"vor Eintritt",IF(AND(INDEX(Mitarbeiter!$D$6:$D$205,MATCH(B513,Mitarbeiter!$A$6:$A$205,0))&lt;&gt;"",A513&gt;INDEX(Mitarbeiter!$D$6:$D$205,MATCH(B513,Mitarbeiter!$A$6:$A$205,0))),"nach Austritt","ok")))))))</f>
        <v/>
      </c>
    </row>
    <row r="514">
      <c r="A514" s="26" t="n">
        <v>46174</v>
      </c>
      <c r="B514" s="24" t="n">
        <v>1054</v>
      </c>
      <c r="C514" s="40">
        <f>IF(B514="","",IFERROR(INDEX(Mitarbeiter!$B$6:$B$205,MATCH(B514,Mitarbeiter!$A$6:$A$205,0)),"?"))</f>
        <v/>
      </c>
      <c r="D514" s="41" t="inlineStr">
        <is>
          <t>Objekt 2</t>
        </is>
      </c>
      <c r="E514" s="42" t="n">
        <v>168</v>
      </c>
      <c r="F514" s="43" t="n">
        <v>0</v>
      </c>
      <c r="G514" s="44">
        <f>IF(OR(B514="",F514=""),"",IFERROR(F514*INDEX(Mitarbeiter!$F$6:$F$205,MATCH(B514,Mitarbeiter!$A$6:$A$205,0)),0))</f>
        <v/>
      </c>
      <c r="H514" s="8">
        <f>IF(B514="","",IF(ISNA(MATCH(B514,Mitarbeiter!$A$6:$A$205,0)),"Pers.-Nr. unbekannt",IF(A514="","Datum fehlt",IF(AND(D514&lt;&gt;Einstellungen!$C$4,D514&lt;&gt;Einstellungen!$C$5),"Objekt fehlt",IF(YEAR(A514)&lt;&gt;Einstellungen!$C$3,"anderes Jahr",IF(A514&lt;INDEX(Mitarbeiter!$C$6:$C$205,MATCH(B514,Mitarbeiter!$A$6:$A$205,0)),"vor Eintritt",IF(AND(INDEX(Mitarbeiter!$D$6:$D$205,MATCH(B514,Mitarbeiter!$A$6:$A$205,0))&lt;&gt;"",A514&gt;INDEX(Mitarbeiter!$D$6:$D$205,MATCH(B514,Mitarbeiter!$A$6:$A$205,0))),"nach Austritt","ok")))))))</f>
        <v/>
      </c>
    </row>
    <row r="515">
      <c r="A515" s="26" t="n">
        <v>46174</v>
      </c>
      <c r="B515" s="24" t="n">
        <v>1055</v>
      </c>
      <c r="C515" s="40">
        <f>IF(B515="","",IFERROR(INDEX(Mitarbeiter!$B$6:$B$205,MATCH(B515,Mitarbeiter!$A$6:$A$205,0)),"?"))</f>
        <v/>
      </c>
      <c r="D515" s="41" t="inlineStr">
        <is>
          <t>Objekt 1</t>
        </is>
      </c>
      <c r="E515" s="42" t="n">
        <v>158.5</v>
      </c>
      <c r="F515" s="43" t="n">
        <v>1</v>
      </c>
      <c r="G515" s="44">
        <f>IF(OR(B515="",F515=""),"",IFERROR(F515*INDEX(Mitarbeiter!$F$6:$F$205,MATCH(B515,Mitarbeiter!$A$6:$A$205,0)),0))</f>
        <v/>
      </c>
      <c r="H515" s="8">
        <f>IF(B515="","",IF(ISNA(MATCH(B515,Mitarbeiter!$A$6:$A$205,0)),"Pers.-Nr. unbekannt",IF(A515="","Datum fehlt",IF(AND(D515&lt;&gt;Einstellungen!$C$4,D515&lt;&gt;Einstellungen!$C$5),"Objekt fehlt",IF(YEAR(A515)&lt;&gt;Einstellungen!$C$3,"anderes Jahr",IF(A515&lt;INDEX(Mitarbeiter!$C$6:$C$205,MATCH(B515,Mitarbeiter!$A$6:$A$205,0)),"vor Eintritt",IF(AND(INDEX(Mitarbeiter!$D$6:$D$205,MATCH(B515,Mitarbeiter!$A$6:$A$205,0))&lt;&gt;"",A515&gt;INDEX(Mitarbeiter!$D$6:$D$205,MATCH(B515,Mitarbeiter!$A$6:$A$205,0))),"nach Austritt","ok")))))))</f>
        <v/>
      </c>
    </row>
    <row r="516">
      <c r="A516" s="26" t="n">
        <v>46174</v>
      </c>
      <c r="B516" s="24" t="n">
        <v>1059</v>
      </c>
      <c r="C516" s="40">
        <f>IF(B516="","",IFERROR(INDEX(Mitarbeiter!$B$6:$B$205,MATCH(B516,Mitarbeiter!$A$6:$A$205,0)),"?"))</f>
        <v/>
      </c>
      <c r="D516" s="41" t="inlineStr">
        <is>
          <t>Objekt 1</t>
        </is>
      </c>
      <c r="E516" s="42" t="n">
        <v>85.5</v>
      </c>
      <c r="F516" s="43" t="n">
        <v>0</v>
      </c>
      <c r="G516" s="44">
        <f>IF(OR(B516="",F516=""),"",IFERROR(F516*INDEX(Mitarbeiter!$F$6:$F$205,MATCH(B516,Mitarbeiter!$A$6:$A$205,0)),0))</f>
        <v/>
      </c>
      <c r="H516" s="8">
        <f>IF(B516="","",IF(ISNA(MATCH(B516,Mitarbeiter!$A$6:$A$205,0)),"Pers.-Nr. unbekannt",IF(A516="","Datum fehlt",IF(AND(D516&lt;&gt;Einstellungen!$C$4,D516&lt;&gt;Einstellungen!$C$5),"Objekt fehlt",IF(YEAR(A516)&lt;&gt;Einstellungen!$C$3,"anderes Jahr",IF(A516&lt;INDEX(Mitarbeiter!$C$6:$C$205,MATCH(B516,Mitarbeiter!$A$6:$A$205,0)),"vor Eintritt",IF(AND(INDEX(Mitarbeiter!$D$6:$D$205,MATCH(B516,Mitarbeiter!$A$6:$A$205,0))&lt;&gt;"",A516&gt;INDEX(Mitarbeiter!$D$6:$D$205,MATCH(B516,Mitarbeiter!$A$6:$A$205,0))),"nach Austritt","ok")))))))</f>
        <v/>
      </c>
    </row>
    <row r="517">
      <c r="A517" s="26" t="n">
        <v>46174</v>
      </c>
      <c r="B517" s="24" t="n">
        <v>1060</v>
      </c>
      <c r="C517" s="40">
        <f>IF(B517="","",IFERROR(INDEX(Mitarbeiter!$B$6:$B$205,MATCH(B517,Mitarbeiter!$A$6:$A$205,0)),"?"))</f>
        <v/>
      </c>
      <c r="D517" s="41" t="inlineStr">
        <is>
          <t>Objekt 1</t>
        </is>
      </c>
      <c r="E517" s="42" t="n">
        <v>64</v>
      </c>
      <c r="F517" s="43" t="n">
        <v>0</v>
      </c>
      <c r="G517" s="44">
        <f>IF(OR(B517="",F517=""),"",IFERROR(F517*INDEX(Mitarbeiter!$F$6:$F$205,MATCH(B517,Mitarbeiter!$A$6:$A$205,0)),0))</f>
        <v/>
      </c>
      <c r="H517" s="8">
        <f>IF(B517="","",IF(ISNA(MATCH(B517,Mitarbeiter!$A$6:$A$205,0)),"Pers.-Nr. unbekannt",IF(A517="","Datum fehlt",IF(AND(D517&lt;&gt;Einstellungen!$C$4,D517&lt;&gt;Einstellungen!$C$5),"Objekt fehlt",IF(YEAR(A517)&lt;&gt;Einstellungen!$C$3,"anderes Jahr",IF(A517&lt;INDEX(Mitarbeiter!$C$6:$C$205,MATCH(B517,Mitarbeiter!$A$6:$A$205,0)),"vor Eintritt",IF(AND(INDEX(Mitarbeiter!$D$6:$D$205,MATCH(B517,Mitarbeiter!$A$6:$A$205,0))&lt;&gt;"",A517&gt;INDEX(Mitarbeiter!$D$6:$D$205,MATCH(B517,Mitarbeiter!$A$6:$A$205,0))),"nach Austritt","ok")))))))</f>
        <v/>
      </c>
    </row>
    <row r="518">
      <c r="A518" s="26" t="n">
        <v>46174</v>
      </c>
      <c r="B518" s="24" t="n">
        <v>1060</v>
      </c>
      <c r="C518" s="40">
        <f>IF(B518="","",IFERROR(INDEX(Mitarbeiter!$B$6:$B$205,MATCH(B518,Mitarbeiter!$A$6:$A$205,0)),"?"))</f>
        <v/>
      </c>
      <c r="D518" s="41" t="inlineStr">
        <is>
          <t>Objekt 2</t>
        </is>
      </c>
      <c r="E518" s="42" t="n">
        <v>107</v>
      </c>
      <c r="F518" s="43" t="n">
        <v>0</v>
      </c>
      <c r="G518" s="44">
        <f>IF(OR(B518="",F518=""),"",IFERROR(F518*INDEX(Mitarbeiter!$F$6:$F$205,MATCH(B518,Mitarbeiter!$A$6:$A$205,0)),0))</f>
        <v/>
      </c>
      <c r="H518" s="8">
        <f>IF(B518="","",IF(ISNA(MATCH(B518,Mitarbeiter!$A$6:$A$205,0)),"Pers.-Nr. unbekannt",IF(A518="","Datum fehlt",IF(AND(D518&lt;&gt;Einstellungen!$C$4,D518&lt;&gt;Einstellungen!$C$5),"Objekt fehlt",IF(YEAR(A518)&lt;&gt;Einstellungen!$C$3,"anderes Jahr",IF(A518&lt;INDEX(Mitarbeiter!$C$6:$C$205,MATCH(B518,Mitarbeiter!$A$6:$A$205,0)),"vor Eintritt",IF(AND(INDEX(Mitarbeiter!$D$6:$D$205,MATCH(B518,Mitarbeiter!$A$6:$A$205,0))&lt;&gt;"",A518&gt;INDEX(Mitarbeiter!$D$6:$D$205,MATCH(B518,Mitarbeiter!$A$6:$A$205,0))),"nach Austritt","ok")))))))</f>
        <v/>
      </c>
    </row>
    <row r="519">
      <c r="A519" s="26" t="n">
        <v>46174</v>
      </c>
      <c r="B519" s="24" t="n">
        <v>1061</v>
      </c>
      <c r="C519" s="40">
        <f>IF(B519="","",IFERROR(INDEX(Mitarbeiter!$B$6:$B$205,MATCH(B519,Mitarbeiter!$A$6:$A$205,0)),"?"))</f>
        <v/>
      </c>
      <c r="D519" s="41" t="inlineStr">
        <is>
          <t>Objekt 1</t>
        </is>
      </c>
      <c r="E519" s="42" t="n">
        <v>80</v>
      </c>
      <c r="F519" s="43" t="n">
        <v>0</v>
      </c>
      <c r="G519" s="44">
        <f>IF(OR(B519="",F519=""),"",IFERROR(F519*INDEX(Mitarbeiter!$F$6:$F$205,MATCH(B519,Mitarbeiter!$A$6:$A$205,0)),0))</f>
        <v/>
      </c>
      <c r="H519" s="8">
        <f>IF(B519="","",IF(ISNA(MATCH(B519,Mitarbeiter!$A$6:$A$205,0)),"Pers.-Nr. unbekannt",IF(A519="","Datum fehlt",IF(AND(D519&lt;&gt;Einstellungen!$C$4,D519&lt;&gt;Einstellungen!$C$5),"Objekt fehlt",IF(YEAR(A519)&lt;&gt;Einstellungen!$C$3,"anderes Jahr",IF(A519&lt;INDEX(Mitarbeiter!$C$6:$C$205,MATCH(B519,Mitarbeiter!$A$6:$A$205,0)),"vor Eintritt",IF(AND(INDEX(Mitarbeiter!$D$6:$D$205,MATCH(B519,Mitarbeiter!$A$6:$A$205,0))&lt;&gt;"",A519&gt;INDEX(Mitarbeiter!$D$6:$D$205,MATCH(B519,Mitarbeiter!$A$6:$A$205,0))),"nach Austritt","ok")))))))</f>
        <v/>
      </c>
    </row>
    <row r="520">
      <c r="A520" s="26" t="n">
        <v>46174</v>
      </c>
      <c r="B520" s="24" t="n">
        <v>1061</v>
      </c>
      <c r="C520" s="40">
        <f>IF(B520="","",IFERROR(INDEX(Mitarbeiter!$B$6:$B$205,MATCH(B520,Mitarbeiter!$A$6:$A$205,0)),"?"))</f>
        <v/>
      </c>
      <c r="D520" s="41" t="inlineStr">
        <is>
          <t>Objekt 2</t>
        </is>
      </c>
      <c r="E520" s="42" t="n">
        <v>89.5</v>
      </c>
      <c r="F520" s="43" t="n">
        <v>0</v>
      </c>
      <c r="G520" s="44">
        <f>IF(OR(B520="",F520=""),"",IFERROR(F520*INDEX(Mitarbeiter!$F$6:$F$205,MATCH(B520,Mitarbeiter!$A$6:$A$205,0)),0))</f>
        <v/>
      </c>
      <c r="H520" s="8">
        <f>IF(B520="","",IF(ISNA(MATCH(B520,Mitarbeiter!$A$6:$A$205,0)),"Pers.-Nr. unbekannt",IF(A520="","Datum fehlt",IF(AND(D520&lt;&gt;Einstellungen!$C$4,D520&lt;&gt;Einstellungen!$C$5),"Objekt fehlt",IF(YEAR(A520)&lt;&gt;Einstellungen!$C$3,"anderes Jahr",IF(A520&lt;INDEX(Mitarbeiter!$C$6:$C$205,MATCH(B520,Mitarbeiter!$A$6:$A$205,0)),"vor Eintritt",IF(AND(INDEX(Mitarbeiter!$D$6:$D$205,MATCH(B520,Mitarbeiter!$A$6:$A$205,0))&lt;&gt;"",A520&gt;INDEX(Mitarbeiter!$D$6:$D$205,MATCH(B520,Mitarbeiter!$A$6:$A$205,0))),"nach Austritt","ok")))))))</f>
        <v/>
      </c>
    </row>
    <row r="521">
      <c r="A521" s="26" t="n">
        <v>46174</v>
      </c>
      <c r="B521" s="24" t="n">
        <v>1062</v>
      </c>
      <c r="C521" s="40">
        <f>IF(B521="","",IFERROR(INDEX(Mitarbeiter!$B$6:$B$205,MATCH(B521,Mitarbeiter!$A$6:$A$205,0)),"?"))</f>
        <v/>
      </c>
      <c r="D521" s="41" t="inlineStr">
        <is>
          <t>Objekt 1</t>
        </is>
      </c>
      <c r="E521" s="42" t="n">
        <v>64</v>
      </c>
      <c r="F521" s="43" t="n">
        <v>0</v>
      </c>
      <c r="G521" s="44">
        <f>IF(OR(B521="",F521=""),"",IFERROR(F521*INDEX(Mitarbeiter!$F$6:$F$205,MATCH(B521,Mitarbeiter!$A$6:$A$205,0)),0))</f>
        <v/>
      </c>
      <c r="H521" s="8">
        <f>IF(B521="","",IF(ISNA(MATCH(B521,Mitarbeiter!$A$6:$A$205,0)),"Pers.-Nr. unbekannt",IF(A521="","Datum fehlt",IF(AND(D521&lt;&gt;Einstellungen!$C$4,D521&lt;&gt;Einstellungen!$C$5),"Objekt fehlt",IF(YEAR(A521)&lt;&gt;Einstellungen!$C$3,"anderes Jahr",IF(A521&lt;INDEX(Mitarbeiter!$C$6:$C$205,MATCH(B521,Mitarbeiter!$A$6:$A$205,0)),"vor Eintritt",IF(AND(INDEX(Mitarbeiter!$D$6:$D$205,MATCH(B521,Mitarbeiter!$A$6:$A$205,0))&lt;&gt;"",A521&gt;INDEX(Mitarbeiter!$D$6:$D$205,MATCH(B521,Mitarbeiter!$A$6:$A$205,0))),"nach Austritt","ok")))))))</f>
        <v/>
      </c>
    </row>
    <row r="522">
      <c r="A522" s="26" t="n">
        <v>46174</v>
      </c>
      <c r="B522" s="24" t="n">
        <v>1062</v>
      </c>
      <c r="C522" s="40">
        <f>IF(B522="","",IFERROR(INDEX(Mitarbeiter!$B$6:$B$205,MATCH(B522,Mitarbeiter!$A$6:$A$205,0)),"?"))</f>
        <v/>
      </c>
      <c r="D522" s="41" t="inlineStr">
        <is>
          <t>Objekt 2</t>
        </is>
      </c>
      <c r="E522" s="42" t="n">
        <v>105.5</v>
      </c>
      <c r="F522" s="43" t="n">
        <v>0</v>
      </c>
      <c r="G522" s="44">
        <f>IF(OR(B522="",F522=""),"",IFERROR(F522*INDEX(Mitarbeiter!$F$6:$F$205,MATCH(B522,Mitarbeiter!$A$6:$A$205,0)),0))</f>
        <v/>
      </c>
      <c r="H522" s="8">
        <f>IF(B522="","",IF(ISNA(MATCH(B522,Mitarbeiter!$A$6:$A$205,0)),"Pers.-Nr. unbekannt",IF(A522="","Datum fehlt",IF(AND(D522&lt;&gt;Einstellungen!$C$4,D522&lt;&gt;Einstellungen!$C$5),"Objekt fehlt",IF(YEAR(A522)&lt;&gt;Einstellungen!$C$3,"anderes Jahr",IF(A522&lt;INDEX(Mitarbeiter!$C$6:$C$205,MATCH(B522,Mitarbeiter!$A$6:$A$205,0)),"vor Eintritt",IF(AND(INDEX(Mitarbeiter!$D$6:$D$205,MATCH(B522,Mitarbeiter!$A$6:$A$205,0))&lt;&gt;"",A522&gt;INDEX(Mitarbeiter!$D$6:$D$205,MATCH(B522,Mitarbeiter!$A$6:$A$205,0))),"nach Austritt","ok")))))))</f>
        <v/>
      </c>
    </row>
    <row r="523">
      <c r="A523" s="26" t="n">
        <v>46174</v>
      </c>
      <c r="B523" s="24" t="n">
        <v>1066</v>
      </c>
      <c r="C523" s="40">
        <f>IF(B523="","",IFERROR(INDEX(Mitarbeiter!$B$6:$B$205,MATCH(B523,Mitarbeiter!$A$6:$A$205,0)),"?"))</f>
        <v/>
      </c>
      <c r="D523" s="41" t="inlineStr">
        <is>
          <t>Objekt 1</t>
        </is>
      </c>
      <c r="E523" s="42" t="n">
        <v>68</v>
      </c>
      <c r="F523" s="43" t="n">
        <v>0</v>
      </c>
      <c r="G523" s="44">
        <f>IF(OR(B523="",F523=""),"",IFERROR(F523*INDEX(Mitarbeiter!$F$6:$F$205,MATCH(B523,Mitarbeiter!$A$6:$A$205,0)),0))</f>
        <v/>
      </c>
      <c r="H523" s="8">
        <f>IF(B523="","",IF(ISNA(MATCH(B523,Mitarbeiter!$A$6:$A$205,0)),"Pers.-Nr. unbekannt",IF(A523="","Datum fehlt",IF(AND(D523&lt;&gt;Einstellungen!$C$4,D523&lt;&gt;Einstellungen!$C$5),"Objekt fehlt",IF(YEAR(A523)&lt;&gt;Einstellungen!$C$3,"anderes Jahr",IF(A523&lt;INDEX(Mitarbeiter!$C$6:$C$205,MATCH(B523,Mitarbeiter!$A$6:$A$205,0)),"vor Eintritt",IF(AND(INDEX(Mitarbeiter!$D$6:$D$205,MATCH(B523,Mitarbeiter!$A$6:$A$205,0))&lt;&gt;"",A523&gt;INDEX(Mitarbeiter!$D$6:$D$205,MATCH(B523,Mitarbeiter!$A$6:$A$205,0))),"nach Austritt","ok")))))))</f>
        <v/>
      </c>
    </row>
    <row r="524">
      <c r="A524" s="26" t="n">
        <v>46174</v>
      </c>
      <c r="B524" s="24" t="n">
        <v>1066</v>
      </c>
      <c r="C524" s="40">
        <f>IF(B524="","",IFERROR(INDEX(Mitarbeiter!$B$6:$B$205,MATCH(B524,Mitarbeiter!$A$6:$A$205,0)),"?"))</f>
        <v/>
      </c>
      <c r="D524" s="41" t="inlineStr">
        <is>
          <t>Objekt 2</t>
        </is>
      </c>
      <c r="E524" s="42" t="n">
        <v>16</v>
      </c>
      <c r="F524" s="43" t="n">
        <v>0</v>
      </c>
      <c r="G524" s="44">
        <f>IF(OR(B524="",F524=""),"",IFERROR(F524*INDEX(Mitarbeiter!$F$6:$F$205,MATCH(B524,Mitarbeiter!$A$6:$A$205,0)),0))</f>
        <v/>
      </c>
      <c r="H524" s="8">
        <f>IF(B524="","",IF(ISNA(MATCH(B524,Mitarbeiter!$A$6:$A$205,0)),"Pers.-Nr. unbekannt",IF(A524="","Datum fehlt",IF(AND(D524&lt;&gt;Einstellungen!$C$4,D524&lt;&gt;Einstellungen!$C$5),"Objekt fehlt",IF(YEAR(A524)&lt;&gt;Einstellungen!$C$3,"anderes Jahr",IF(A524&lt;INDEX(Mitarbeiter!$C$6:$C$205,MATCH(B524,Mitarbeiter!$A$6:$A$205,0)),"vor Eintritt",IF(AND(INDEX(Mitarbeiter!$D$6:$D$205,MATCH(B524,Mitarbeiter!$A$6:$A$205,0))&lt;&gt;"",A524&gt;INDEX(Mitarbeiter!$D$6:$D$205,MATCH(B524,Mitarbeiter!$A$6:$A$205,0))),"nach Austritt","ok")))))))</f>
        <v/>
      </c>
    </row>
    <row r="525">
      <c r="A525" s="26" t="n">
        <v>46174</v>
      </c>
      <c r="B525" s="24" t="n">
        <v>1067</v>
      </c>
      <c r="C525" s="40">
        <f>IF(B525="","",IFERROR(INDEX(Mitarbeiter!$B$6:$B$205,MATCH(B525,Mitarbeiter!$A$6:$A$205,0)),"?"))</f>
        <v/>
      </c>
      <c r="D525" s="41" t="inlineStr">
        <is>
          <t>Objekt 1</t>
        </is>
      </c>
      <c r="E525" s="42" t="n">
        <v>29.5</v>
      </c>
      <c r="F525" s="43" t="n">
        <v>1</v>
      </c>
      <c r="G525" s="44">
        <f>IF(OR(B525="",F525=""),"",IFERROR(F525*INDEX(Mitarbeiter!$F$6:$F$205,MATCH(B525,Mitarbeiter!$A$6:$A$205,0)),0))</f>
        <v/>
      </c>
      <c r="H525" s="8">
        <f>IF(B525="","",IF(ISNA(MATCH(B525,Mitarbeiter!$A$6:$A$205,0)),"Pers.-Nr. unbekannt",IF(A525="","Datum fehlt",IF(AND(D525&lt;&gt;Einstellungen!$C$4,D525&lt;&gt;Einstellungen!$C$5),"Objekt fehlt",IF(YEAR(A525)&lt;&gt;Einstellungen!$C$3,"anderes Jahr",IF(A525&lt;INDEX(Mitarbeiter!$C$6:$C$205,MATCH(B525,Mitarbeiter!$A$6:$A$205,0)),"vor Eintritt",IF(AND(INDEX(Mitarbeiter!$D$6:$D$205,MATCH(B525,Mitarbeiter!$A$6:$A$205,0))&lt;&gt;"",A525&gt;INDEX(Mitarbeiter!$D$6:$D$205,MATCH(B525,Mitarbeiter!$A$6:$A$205,0))),"nach Austritt","ok")))))))</f>
        <v/>
      </c>
    </row>
    <row r="526">
      <c r="A526" s="26" t="n">
        <v>46174</v>
      </c>
      <c r="B526" s="24" t="n">
        <v>1067</v>
      </c>
      <c r="C526" s="40">
        <f>IF(B526="","",IFERROR(INDEX(Mitarbeiter!$B$6:$B$205,MATCH(B526,Mitarbeiter!$A$6:$A$205,0)),"?"))</f>
        <v/>
      </c>
      <c r="D526" s="41" t="inlineStr">
        <is>
          <t>Objekt 2</t>
        </is>
      </c>
      <c r="E526" s="42" t="n">
        <v>47</v>
      </c>
      <c r="F526" s="43" t="n">
        <v>2</v>
      </c>
      <c r="G526" s="44">
        <f>IF(OR(B526="",F526=""),"",IFERROR(F526*INDEX(Mitarbeiter!$F$6:$F$205,MATCH(B526,Mitarbeiter!$A$6:$A$205,0)),0))</f>
        <v/>
      </c>
      <c r="H526" s="8">
        <f>IF(B526="","",IF(ISNA(MATCH(B526,Mitarbeiter!$A$6:$A$205,0)),"Pers.-Nr. unbekannt",IF(A526="","Datum fehlt",IF(AND(D526&lt;&gt;Einstellungen!$C$4,D526&lt;&gt;Einstellungen!$C$5),"Objekt fehlt",IF(YEAR(A526)&lt;&gt;Einstellungen!$C$3,"anderes Jahr",IF(A526&lt;INDEX(Mitarbeiter!$C$6:$C$205,MATCH(B526,Mitarbeiter!$A$6:$A$205,0)),"vor Eintritt",IF(AND(INDEX(Mitarbeiter!$D$6:$D$205,MATCH(B526,Mitarbeiter!$A$6:$A$205,0))&lt;&gt;"",A526&gt;INDEX(Mitarbeiter!$D$6:$D$205,MATCH(B526,Mitarbeiter!$A$6:$A$205,0))),"nach Austritt","ok")))))))</f>
        <v/>
      </c>
    </row>
    <row r="527">
      <c r="A527" s="26" t="n">
        <v>46174</v>
      </c>
      <c r="B527" s="24" t="n">
        <v>1068</v>
      </c>
      <c r="C527" s="40">
        <f>IF(B527="","",IFERROR(INDEX(Mitarbeiter!$B$6:$B$205,MATCH(B527,Mitarbeiter!$A$6:$A$205,0)),"?"))</f>
        <v/>
      </c>
      <c r="D527" s="41" t="inlineStr">
        <is>
          <t>Objekt 1</t>
        </is>
      </c>
      <c r="E527" s="42" t="n">
        <v>96</v>
      </c>
      <c r="F527" s="43" t="n">
        <v>1</v>
      </c>
      <c r="G527" s="44">
        <f>IF(OR(B527="",F527=""),"",IFERROR(F527*INDEX(Mitarbeiter!$F$6:$F$205,MATCH(B527,Mitarbeiter!$A$6:$A$205,0)),0))</f>
        <v/>
      </c>
      <c r="H527" s="8">
        <f>IF(B527="","",IF(ISNA(MATCH(B527,Mitarbeiter!$A$6:$A$205,0)),"Pers.-Nr. unbekannt",IF(A527="","Datum fehlt",IF(AND(D527&lt;&gt;Einstellungen!$C$4,D527&lt;&gt;Einstellungen!$C$5),"Objekt fehlt",IF(YEAR(A527)&lt;&gt;Einstellungen!$C$3,"anderes Jahr",IF(A527&lt;INDEX(Mitarbeiter!$C$6:$C$205,MATCH(B527,Mitarbeiter!$A$6:$A$205,0)),"vor Eintritt",IF(AND(INDEX(Mitarbeiter!$D$6:$D$205,MATCH(B527,Mitarbeiter!$A$6:$A$205,0))&lt;&gt;"",A527&gt;INDEX(Mitarbeiter!$D$6:$D$205,MATCH(B527,Mitarbeiter!$A$6:$A$205,0))),"nach Austritt","ok")))))))</f>
        <v/>
      </c>
    </row>
    <row r="528">
      <c r="A528" s="26" t="n">
        <v>46174</v>
      </c>
      <c r="B528" s="24" t="n">
        <v>1068</v>
      </c>
      <c r="C528" s="40">
        <f>IF(B528="","",IFERROR(INDEX(Mitarbeiter!$B$6:$B$205,MATCH(B528,Mitarbeiter!$A$6:$A$205,0)),"?"))</f>
        <v/>
      </c>
      <c r="D528" s="41" t="inlineStr">
        <is>
          <t>Objekt 2</t>
        </is>
      </c>
      <c r="E528" s="42" t="n">
        <v>54.5</v>
      </c>
      <c r="F528" s="43" t="n">
        <v>1</v>
      </c>
      <c r="G528" s="44">
        <f>IF(OR(B528="",F528=""),"",IFERROR(F528*INDEX(Mitarbeiter!$F$6:$F$205,MATCH(B528,Mitarbeiter!$A$6:$A$205,0)),0))</f>
        <v/>
      </c>
      <c r="H528" s="8">
        <f>IF(B528="","",IF(ISNA(MATCH(B528,Mitarbeiter!$A$6:$A$205,0)),"Pers.-Nr. unbekannt",IF(A528="","Datum fehlt",IF(AND(D528&lt;&gt;Einstellungen!$C$4,D528&lt;&gt;Einstellungen!$C$5),"Objekt fehlt",IF(YEAR(A528)&lt;&gt;Einstellungen!$C$3,"anderes Jahr",IF(A528&lt;INDEX(Mitarbeiter!$C$6:$C$205,MATCH(B528,Mitarbeiter!$A$6:$A$205,0)),"vor Eintritt",IF(AND(INDEX(Mitarbeiter!$D$6:$D$205,MATCH(B528,Mitarbeiter!$A$6:$A$205,0))&lt;&gt;"",A528&gt;INDEX(Mitarbeiter!$D$6:$D$205,MATCH(B528,Mitarbeiter!$A$6:$A$205,0))),"nach Austritt","ok")))))))</f>
        <v/>
      </c>
    </row>
    <row r="529">
      <c r="A529" s="26" t="n">
        <v>46174</v>
      </c>
      <c r="B529" s="24" t="n">
        <v>1070</v>
      </c>
      <c r="C529" s="40">
        <f>IF(B529="","",IFERROR(INDEX(Mitarbeiter!$B$6:$B$205,MATCH(B529,Mitarbeiter!$A$6:$A$205,0)),"?"))</f>
        <v/>
      </c>
      <c r="D529" s="41" t="inlineStr">
        <is>
          <t>Objekt 2</t>
        </is>
      </c>
      <c r="E529" s="42" t="n">
        <v>168</v>
      </c>
      <c r="F529" s="43" t="n">
        <v>0</v>
      </c>
      <c r="G529" s="44">
        <f>IF(OR(B529="",F529=""),"",IFERROR(F529*INDEX(Mitarbeiter!$F$6:$F$205,MATCH(B529,Mitarbeiter!$A$6:$A$205,0)),0))</f>
        <v/>
      </c>
      <c r="H529" s="8">
        <f>IF(B529="","",IF(ISNA(MATCH(B529,Mitarbeiter!$A$6:$A$205,0)),"Pers.-Nr. unbekannt",IF(A529="","Datum fehlt",IF(AND(D529&lt;&gt;Einstellungen!$C$4,D529&lt;&gt;Einstellungen!$C$5),"Objekt fehlt",IF(YEAR(A529)&lt;&gt;Einstellungen!$C$3,"anderes Jahr",IF(A529&lt;INDEX(Mitarbeiter!$C$6:$C$205,MATCH(B529,Mitarbeiter!$A$6:$A$205,0)),"vor Eintritt",IF(AND(INDEX(Mitarbeiter!$D$6:$D$205,MATCH(B529,Mitarbeiter!$A$6:$A$205,0))&lt;&gt;"",A529&gt;INDEX(Mitarbeiter!$D$6:$D$205,MATCH(B529,Mitarbeiter!$A$6:$A$205,0))),"nach Austritt","ok")))))))</f>
        <v/>
      </c>
    </row>
    <row r="530">
      <c r="A530" s="26" t="n">
        <v>46174</v>
      </c>
      <c r="B530" s="24" t="n">
        <v>1071</v>
      </c>
      <c r="C530" s="40">
        <f>IF(B530="","",IFERROR(INDEX(Mitarbeiter!$B$6:$B$205,MATCH(B530,Mitarbeiter!$A$6:$A$205,0)),"?"))</f>
        <v/>
      </c>
      <c r="D530" s="41" t="inlineStr">
        <is>
          <t>Objekt 2</t>
        </is>
      </c>
      <c r="E530" s="42" t="n">
        <v>129</v>
      </c>
      <c r="F530" s="43" t="n">
        <v>0</v>
      </c>
      <c r="G530" s="44">
        <f>IF(OR(B530="",F530=""),"",IFERROR(F530*INDEX(Mitarbeiter!$F$6:$F$205,MATCH(B530,Mitarbeiter!$A$6:$A$205,0)),0))</f>
        <v/>
      </c>
      <c r="H530" s="8">
        <f>IF(B530="","",IF(ISNA(MATCH(B530,Mitarbeiter!$A$6:$A$205,0)),"Pers.-Nr. unbekannt",IF(A530="","Datum fehlt",IF(AND(D530&lt;&gt;Einstellungen!$C$4,D530&lt;&gt;Einstellungen!$C$5),"Objekt fehlt",IF(YEAR(A530)&lt;&gt;Einstellungen!$C$3,"anderes Jahr",IF(A530&lt;INDEX(Mitarbeiter!$C$6:$C$205,MATCH(B530,Mitarbeiter!$A$6:$A$205,0)),"vor Eintritt",IF(AND(INDEX(Mitarbeiter!$D$6:$D$205,MATCH(B530,Mitarbeiter!$A$6:$A$205,0))&lt;&gt;"",A530&gt;INDEX(Mitarbeiter!$D$6:$D$205,MATCH(B530,Mitarbeiter!$A$6:$A$205,0))),"nach Austritt","ok")))))))</f>
        <v/>
      </c>
    </row>
    <row r="531">
      <c r="A531" s="26" t="n">
        <v>46174</v>
      </c>
      <c r="B531" s="24" t="n">
        <v>1072</v>
      </c>
      <c r="C531" s="40">
        <f>IF(B531="","",IFERROR(INDEX(Mitarbeiter!$B$6:$B$205,MATCH(B531,Mitarbeiter!$A$6:$A$205,0)),"?"))</f>
        <v/>
      </c>
      <c r="D531" s="41" t="inlineStr">
        <is>
          <t>Objekt 1</t>
        </is>
      </c>
      <c r="E531" s="42" t="n">
        <v>60</v>
      </c>
      <c r="F531" s="43" t="n">
        <v>0</v>
      </c>
      <c r="G531" s="44">
        <f>IF(OR(B531="",F531=""),"",IFERROR(F531*INDEX(Mitarbeiter!$F$6:$F$205,MATCH(B531,Mitarbeiter!$A$6:$A$205,0)),0))</f>
        <v/>
      </c>
      <c r="H531" s="8">
        <f>IF(B531="","",IF(ISNA(MATCH(B531,Mitarbeiter!$A$6:$A$205,0)),"Pers.-Nr. unbekannt",IF(A531="","Datum fehlt",IF(AND(D531&lt;&gt;Einstellungen!$C$4,D531&lt;&gt;Einstellungen!$C$5),"Objekt fehlt",IF(YEAR(A531)&lt;&gt;Einstellungen!$C$3,"anderes Jahr",IF(A531&lt;INDEX(Mitarbeiter!$C$6:$C$205,MATCH(B531,Mitarbeiter!$A$6:$A$205,0)),"vor Eintritt",IF(AND(INDEX(Mitarbeiter!$D$6:$D$205,MATCH(B531,Mitarbeiter!$A$6:$A$205,0))&lt;&gt;"",A531&gt;INDEX(Mitarbeiter!$D$6:$D$205,MATCH(B531,Mitarbeiter!$A$6:$A$205,0))),"nach Austritt","ok")))))))</f>
        <v/>
      </c>
    </row>
    <row r="532">
      <c r="A532" s="26" t="n">
        <v>46174</v>
      </c>
      <c r="B532" s="24" t="n">
        <v>1072</v>
      </c>
      <c r="C532" s="40">
        <f>IF(B532="","",IFERROR(INDEX(Mitarbeiter!$B$6:$B$205,MATCH(B532,Mitarbeiter!$A$6:$A$205,0)),"?"))</f>
        <v/>
      </c>
      <c r="D532" s="41" t="inlineStr">
        <is>
          <t>Objekt 2</t>
        </is>
      </c>
      <c r="E532" s="42" t="n">
        <v>64.5</v>
      </c>
      <c r="F532" s="43" t="n">
        <v>0</v>
      </c>
      <c r="G532" s="44">
        <f>IF(OR(B532="",F532=""),"",IFERROR(F532*INDEX(Mitarbeiter!$F$6:$F$205,MATCH(B532,Mitarbeiter!$A$6:$A$205,0)),0))</f>
        <v/>
      </c>
      <c r="H532" s="8">
        <f>IF(B532="","",IF(ISNA(MATCH(B532,Mitarbeiter!$A$6:$A$205,0)),"Pers.-Nr. unbekannt",IF(A532="","Datum fehlt",IF(AND(D532&lt;&gt;Einstellungen!$C$4,D532&lt;&gt;Einstellungen!$C$5),"Objekt fehlt",IF(YEAR(A532)&lt;&gt;Einstellungen!$C$3,"anderes Jahr",IF(A532&lt;INDEX(Mitarbeiter!$C$6:$C$205,MATCH(B532,Mitarbeiter!$A$6:$A$205,0)),"vor Eintritt",IF(AND(INDEX(Mitarbeiter!$D$6:$D$205,MATCH(B532,Mitarbeiter!$A$6:$A$205,0))&lt;&gt;"",A532&gt;INDEX(Mitarbeiter!$D$6:$D$205,MATCH(B532,Mitarbeiter!$A$6:$A$205,0))),"nach Austritt","ok")))))))</f>
        <v/>
      </c>
    </row>
    <row r="533">
      <c r="A533" s="26" t="n">
        <v>46174</v>
      </c>
      <c r="B533" s="24" t="n">
        <v>1074</v>
      </c>
      <c r="C533" s="40">
        <f>IF(B533="","",IFERROR(INDEX(Mitarbeiter!$B$6:$B$205,MATCH(B533,Mitarbeiter!$A$6:$A$205,0)),"?"))</f>
        <v/>
      </c>
      <c r="D533" s="41" t="inlineStr">
        <is>
          <t>Objekt 2</t>
        </is>
      </c>
      <c r="E533" s="42" t="n">
        <v>82.5</v>
      </c>
      <c r="F533" s="43" t="n">
        <v>0</v>
      </c>
      <c r="G533" s="44">
        <f>IF(OR(B533="",F533=""),"",IFERROR(F533*INDEX(Mitarbeiter!$F$6:$F$205,MATCH(B533,Mitarbeiter!$A$6:$A$205,0)),0))</f>
        <v/>
      </c>
      <c r="H533" s="8">
        <f>IF(B533="","",IF(ISNA(MATCH(B533,Mitarbeiter!$A$6:$A$205,0)),"Pers.-Nr. unbekannt",IF(A533="","Datum fehlt",IF(AND(D533&lt;&gt;Einstellungen!$C$4,D533&lt;&gt;Einstellungen!$C$5),"Objekt fehlt",IF(YEAR(A533)&lt;&gt;Einstellungen!$C$3,"anderes Jahr",IF(A533&lt;INDEX(Mitarbeiter!$C$6:$C$205,MATCH(B533,Mitarbeiter!$A$6:$A$205,0)),"vor Eintritt",IF(AND(INDEX(Mitarbeiter!$D$6:$D$205,MATCH(B533,Mitarbeiter!$A$6:$A$205,0))&lt;&gt;"",A533&gt;INDEX(Mitarbeiter!$D$6:$D$205,MATCH(B533,Mitarbeiter!$A$6:$A$205,0))),"nach Austritt","ok")))))))</f>
        <v/>
      </c>
    </row>
    <row r="534">
      <c r="A534" s="26" t="n">
        <v>46188</v>
      </c>
      <c r="B534" s="24" t="n">
        <v>1064</v>
      </c>
      <c r="C534" s="40">
        <f>IF(B534="","",IFERROR(INDEX(Mitarbeiter!$B$6:$B$205,MATCH(B534,Mitarbeiter!$A$6:$A$205,0)),"?"))</f>
        <v/>
      </c>
      <c r="D534" s="41" t="inlineStr">
        <is>
          <t>Objekt 1</t>
        </is>
      </c>
      <c r="E534" s="42" t="n">
        <v>47</v>
      </c>
      <c r="F534" s="43" t="n">
        <v>0</v>
      </c>
      <c r="G534" s="44">
        <f>IF(OR(B534="",F534=""),"",IFERROR(F534*INDEX(Mitarbeiter!$F$6:$F$205,MATCH(B534,Mitarbeiter!$A$6:$A$205,0)),0))</f>
        <v/>
      </c>
      <c r="H534" s="8">
        <f>IF(B534="","",IF(ISNA(MATCH(B534,Mitarbeiter!$A$6:$A$205,0)),"Pers.-Nr. unbekannt",IF(A534="","Datum fehlt",IF(AND(D534&lt;&gt;Einstellungen!$C$4,D534&lt;&gt;Einstellungen!$C$5),"Objekt fehlt",IF(YEAR(A534)&lt;&gt;Einstellungen!$C$3,"anderes Jahr",IF(A534&lt;INDEX(Mitarbeiter!$C$6:$C$205,MATCH(B534,Mitarbeiter!$A$6:$A$205,0)),"vor Eintritt",IF(AND(INDEX(Mitarbeiter!$D$6:$D$205,MATCH(B534,Mitarbeiter!$A$6:$A$205,0))&lt;&gt;"",A534&gt;INDEX(Mitarbeiter!$D$6:$D$205,MATCH(B534,Mitarbeiter!$A$6:$A$205,0))),"nach Austritt","ok")))))))</f>
        <v/>
      </c>
    </row>
    <row r="535">
      <c r="A535" s="26" t="n">
        <v>46204</v>
      </c>
      <c r="B535" s="24" t="n">
        <v>1001</v>
      </c>
      <c r="C535" s="40">
        <f>IF(B535="","",IFERROR(INDEX(Mitarbeiter!$B$6:$B$205,MATCH(B535,Mitarbeiter!$A$6:$A$205,0)),"?"))</f>
        <v/>
      </c>
      <c r="D535" s="41" t="inlineStr">
        <is>
          <t>Objekt 1</t>
        </is>
      </c>
      <c r="E535" s="42" t="n">
        <v>44</v>
      </c>
      <c r="F535" s="43" t="n">
        <v>1</v>
      </c>
      <c r="G535" s="44">
        <f>IF(OR(B535="",F535=""),"",IFERROR(F535*INDEX(Mitarbeiter!$F$6:$F$205,MATCH(B535,Mitarbeiter!$A$6:$A$205,0)),0))</f>
        <v/>
      </c>
      <c r="H535" s="8">
        <f>IF(B535="","",IF(ISNA(MATCH(B535,Mitarbeiter!$A$6:$A$205,0)),"Pers.-Nr. unbekannt",IF(A535="","Datum fehlt",IF(AND(D535&lt;&gt;Einstellungen!$C$4,D535&lt;&gt;Einstellungen!$C$5),"Objekt fehlt",IF(YEAR(A535)&lt;&gt;Einstellungen!$C$3,"anderes Jahr",IF(A535&lt;INDEX(Mitarbeiter!$C$6:$C$205,MATCH(B535,Mitarbeiter!$A$6:$A$205,0)),"vor Eintritt",IF(AND(INDEX(Mitarbeiter!$D$6:$D$205,MATCH(B535,Mitarbeiter!$A$6:$A$205,0))&lt;&gt;"",A535&gt;INDEX(Mitarbeiter!$D$6:$D$205,MATCH(B535,Mitarbeiter!$A$6:$A$205,0))),"nach Austritt","ok")))))))</f>
        <v/>
      </c>
    </row>
    <row r="536">
      <c r="A536" s="26" t="n">
        <v>46204</v>
      </c>
      <c r="B536" s="24" t="n">
        <v>1001</v>
      </c>
      <c r="C536" s="40">
        <f>IF(B536="","",IFERROR(INDEX(Mitarbeiter!$B$6:$B$205,MATCH(B536,Mitarbeiter!$A$6:$A$205,0)),"?"))</f>
        <v/>
      </c>
      <c r="D536" s="41" t="inlineStr">
        <is>
          <t>Objekt 2</t>
        </is>
      </c>
      <c r="E536" s="42" t="n">
        <v>40</v>
      </c>
      <c r="F536" s="43" t="n">
        <v>1</v>
      </c>
      <c r="G536" s="44">
        <f>IF(OR(B536="",F536=""),"",IFERROR(F536*INDEX(Mitarbeiter!$F$6:$F$205,MATCH(B536,Mitarbeiter!$A$6:$A$205,0)),0))</f>
        <v/>
      </c>
      <c r="H536" s="8">
        <f>IF(B536="","",IF(ISNA(MATCH(B536,Mitarbeiter!$A$6:$A$205,0)),"Pers.-Nr. unbekannt",IF(A536="","Datum fehlt",IF(AND(D536&lt;&gt;Einstellungen!$C$4,D536&lt;&gt;Einstellungen!$C$5),"Objekt fehlt",IF(YEAR(A536)&lt;&gt;Einstellungen!$C$3,"anderes Jahr",IF(A536&lt;INDEX(Mitarbeiter!$C$6:$C$205,MATCH(B536,Mitarbeiter!$A$6:$A$205,0)),"vor Eintritt",IF(AND(INDEX(Mitarbeiter!$D$6:$D$205,MATCH(B536,Mitarbeiter!$A$6:$A$205,0))&lt;&gt;"",A536&gt;INDEX(Mitarbeiter!$D$6:$D$205,MATCH(B536,Mitarbeiter!$A$6:$A$205,0))),"nach Austritt","ok")))))))</f>
        <v/>
      </c>
    </row>
    <row r="537">
      <c r="A537" s="26" t="n">
        <v>46204</v>
      </c>
      <c r="B537" s="24" t="n">
        <v>1002</v>
      </c>
      <c r="C537" s="40">
        <f>IF(B537="","",IFERROR(INDEX(Mitarbeiter!$B$6:$B$205,MATCH(B537,Mitarbeiter!$A$6:$A$205,0)),"?"))</f>
        <v/>
      </c>
      <c r="D537" s="41" t="inlineStr">
        <is>
          <t>Objekt 1</t>
        </is>
      </c>
      <c r="E537" s="42" t="n">
        <v>82.5</v>
      </c>
      <c r="F537" s="43" t="n">
        <v>0</v>
      </c>
      <c r="G537" s="44">
        <f>IF(OR(B537="",F537=""),"",IFERROR(F537*INDEX(Mitarbeiter!$F$6:$F$205,MATCH(B537,Mitarbeiter!$A$6:$A$205,0)),0))</f>
        <v/>
      </c>
      <c r="H537" s="8">
        <f>IF(B537="","",IF(ISNA(MATCH(B537,Mitarbeiter!$A$6:$A$205,0)),"Pers.-Nr. unbekannt",IF(A537="","Datum fehlt",IF(AND(D537&lt;&gt;Einstellungen!$C$4,D537&lt;&gt;Einstellungen!$C$5),"Objekt fehlt",IF(YEAR(A537)&lt;&gt;Einstellungen!$C$3,"anderes Jahr",IF(A537&lt;INDEX(Mitarbeiter!$C$6:$C$205,MATCH(B537,Mitarbeiter!$A$6:$A$205,0)),"vor Eintritt",IF(AND(INDEX(Mitarbeiter!$D$6:$D$205,MATCH(B537,Mitarbeiter!$A$6:$A$205,0))&lt;&gt;"",A537&gt;INDEX(Mitarbeiter!$D$6:$D$205,MATCH(B537,Mitarbeiter!$A$6:$A$205,0))),"nach Austritt","ok")))))))</f>
        <v/>
      </c>
    </row>
    <row r="538">
      <c r="A538" s="26" t="n">
        <v>46204</v>
      </c>
      <c r="B538" s="24" t="n">
        <v>1002</v>
      </c>
      <c r="C538" s="40">
        <f>IF(B538="","",IFERROR(INDEX(Mitarbeiter!$B$6:$B$205,MATCH(B538,Mitarbeiter!$A$6:$A$205,0)),"?"))</f>
        <v/>
      </c>
      <c r="D538" s="41" t="inlineStr">
        <is>
          <t>Objekt 2</t>
        </is>
      </c>
      <c r="E538" s="42" t="n">
        <v>55.5</v>
      </c>
      <c r="F538" s="43" t="n">
        <v>0</v>
      </c>
      <c r="G538" s="44">
        <f>IF(OR(B538="",F538=""),"",IFERROR(F538*INDEX(Mitarbeiter!$F$6:$F$205,MATCH(B538,Mitarbeiter!$A$6:$A$205,0)),0))</f>
        <v/>
      </c>
      <c r="H538" s="8">
        <f>IF(B538="","",IF(ISNA(MATCH(B538,Mitarbeiter!$A$6:$A$205,0)),"Pers.-Nr. unbekannt",IF(A538="","Datum fehlt",IF(AND(D538&lt;&gt;Einstellungen!$C$4,D538&lt;&gt;Einstellungen!$C$5),"Objekt fehlt",IF(YEAR(A538)&lt;&gt;Einstellungen!$C$3,"anderes Jahr",IF(A538&lt;INDEX(Mitarbeiter!$C$6:$C$205,MATCH(B538,Mitarbeiter!$A$6:$A$205,0)),"vor Eintritt",IF(AND(INDEX(Mitarbeiter!$D$6:$D$205,MATCH(B538,Mitarbeiter!$A$6:$A$205,0))&lt;&gt;"",A538&gt;INDEX(Mitarbeiter!$D$6:$D$205,MATCH(B538,Mitarbeiter!$A$6:$A$205,0))),"nach Austritt","ok")))))))</f>
        <v/>
      </c>
    </row>
    <row r="539">
      <c r="A539" s="26" t="n">
        <v>46204</v>
      </c>
      <c r="B539" s="24" t="n">
        <v>1003</v>
      </c>
      <c r="C539" s="40">
        <f>IF(B539="","",IFERROR(INDEX(Mitarbeiter!$B$6:$B$205,MATCH(B539,Mitarbeiter!$A$6:$A$205,0)),"?"))</f>
        <v/>
      </c>
      <c r="D539" s="41" t="inlineStr">
        <is>
          <t>Objekt 2</t>
        </is>
      </c>
      <c r="E539" s="42" t="n">
        <v>184</v>
      </c>
      <c r="F539" s="43" t="n">
        <v>0</v>
      </c>
      <c r="G539" s="44">
        <f>IF(OR(B539="",F539=""),"",IFERROR(F539*INDEX(Mitarbeiter!$F$6:$F$205,MATCH(B539,Mitarbeiter!$A$6:$A$205,0)),0))</f>
        <v/>
      </c>
      <c r="H539" s="8">
        <f>IF(B539="","",IF(ISNA(MATCH(B539,Mitarbeiter!$A$6:$A$205,0)),"Pers.-Nr. unbekannt",IF(A539="","Datum fehlt",IF(AND(D539&lt;&gt;Einstellungen!$C$4,D539&lt;&gt;Einstellungen!$C$5),"Objekt fehlt",IF(YEAR(A539)&lt;&gt;Einstellungen!$C$3,"anderes Jahr",IF(A539&lt;INDEX(Mitarbeiter!$C$6:$C$205,MATCH(B539,Mitarbeiter!$A$6:$A$205,0)),"vor Eintritt",IF(AND(INDEX(Mitarbeiter!$D$6:$D$205,MATCH(B539,Mitarbeiter!$A$6:$A$205,0))&lt;&gt;"",A539&gt;INDEX(Mitarbeiter!$D$6:$D$205,MATCH(B539,Mitarbeiter!$A$6:$A$205,0))),"nach Austritt","ok")))))))</f>
        <v/>
      </c>
    </row>
    <row r="540">
      <c r="A540" s="26" t="n">
        <v>46204</v>
      </c>
      <c r="B540" s="24" t="n">
        <v>1004</v>
      </c>
      <c r="C540" s="40">
        <f>IF(B540="","",IFERROR(INDEX(Mitarbeiter!$B$6:$B$205,MATCH(B540,Mitarbeiter!$A$6:$A$205,0)),"?"))</f>
        <v/>
      </c>
      <c r="D540" s="41" t="inlineStr">
        <is>
          <t>Objekt 1</t>
        </is>
      </c>
      <c r="E540" s="42" t="n">
        <v>96</v>
      </c>
      <c r="F540" s="43" t="n">
        <v>0</v>
      </c>
      <c r="G540" s="44">
        <f>IF(OR(B540="",F540=""),"",IFERROR(F540*INDEX(Mitarbeiter!$F$6:$F$205,MATCH(B540,Mitarbeiter!$A$6:$A$205,0)),0))</f>
        <v/>
      </c>
      <c r="H540" s="8">
        <f>IF(B540="","",IF(ISNA(MATCH(B540,Mitarbeiter!$A$6:$A$205,0)),"Pers.-Nr. unbekannt",IF(A540="","Datum fehlt",IF(AND(D540&lt;&gt;Einstellungen!$C$4,D540&lt;&gt;Einstellungen!$C$5),"Objekt fehlt",IF(YEAR(A540)&lt;&gt;Einstellungen!$C$3,"anderes Jahr",IF(A540&lt;INDEX(Mitarbeiter!$C$6:$C$205,MATCH(B540,Mitarbeiter!$A$6:$A$205,0)),"vor Eintritt",IF(AND(INDEX(Mitarbeiter!$D$6:$D$205,MATCH(B540,Mitarbeiter!$A$6:$A$205,0))&lt;&gt;"",A540&gt;INDEX(Mitarbeiter!$D$6:$D$205,MATCH(B540,Mitarbeiter!$A$6:$A$205,0))),"nach Austritt","ok")))))))</f>
        <v/>
      </c>
    </row>
    <row r="541">
      <c r="A541" s="26" t="n">
        <v>46204</v>
      </c>
      <c r="B541" s="24" t="n">
        <v>1004</v>
      </c>
      <c r="C541" s="40">
        <f>IF(B541="","",IFERROR(INDEX(Mitarbeiter!$B$6:$B$205,MATCH(B541,Mitarbeiter!$A$6:$A$205,0)),"?"))</f>
        <v/>
      </c>
      <c r="D541" s="41" t="inlineStr">
        <is>
          <t>Objekt 2</t>
        </is>
      </c>
      <c r="E541" s="42" t="n">
        <v>88</v>
      </c>
      <c r="F541" s="43" t="n">
        <v>0</v>
      </c>
      <c r="G541" s="44">
        <f>IF(OR(B541="",F541=""),"",IFERROR(F541*INDEX(Mitarbeiter!$F$6:$F$205,MATCH(B541,Mitarbeiter!$A$6:$A$205,0)),0))</f>
        <v/>
      </c>
      <c r="H541" s="8">
        <f>IF(B541="","",IF(ISNA(MATCH(B541,Mitarbeiter!$A$6:$A$205,0)),"Pers.-Nr. unbekannt",IF(A541="","Datum fehlt",IF(AND(D541&lt;&gt;Einstellungen!$C$4,D541&lt;&gt;Einstellungen!$C$5),"Objekt fehlt",IF(YEAR(A541)&lt;&gt;Einstellungen!$C$3,"anderes Jahr",IF(A541&lt;INDEX(Mitarbeiter!$C$6:$C$205,MATCH(B541,Mitarbeiter!$A$6:$A$205,0)),"vor Eintritt",IF(AND(INDEX(Mitarbeiter!$D$6:$D$205,MATCH(B541,Mitarbeiter!$A$6:$A$205,0))&lt;&gt;"",A541&gt;INDEX(Mitarbeiter!$D$6:$D$205,MATCH(B541,Mitarbeiter!$A$6:$A$205,0))),"nach Austritt","ok")))))))</f>
        <v/>
      </c>
    </row>
    <row r="542">
      <c r="A542" s="26" t="n">
        <v>46204</v>
      </c>
      <c r="B542" s="24" t="n">
        <v>1005</v>
      </c>
      <c r="C542" s="40">
        <f>IF(B542="","",IFERROR(INDEX(Mitarbeiter!$B$6:$B$205,MATCH(B542,Mitarbeiter!$A$6:$A$205,0)),"?"))</f>
        <v/>
      </c>
      <c r="D542" s="41" t="inlineStr">
        <is>
          <t>Objekt 1</t>
        </is>
      </c>
      <c r="E542" s="42" t="n">
        <v>75</v>
      </c>
      <c r="F542" s="43" t="n">
        <v>0</v>
      </c>
      <c r="G542" s="44">
        <f>IF(OR(B542="",F542=""),"",IFERROR(F542*INDEX(Mitarbeiter!$F$6:$F$205,MATCH(B542,Mitarbeiter!$A$6:$A$205,0)),0))</f>
        <v/>
      </c>
      <c r="H542" s="8">
        <f>IF(B542="","",IF(ISNA(MATCH(B542,Mitarbeiter!$A$6:$A$205,0)),"Pers.-Nr. unbekannt",IF(A542="","Datum fehlt",IF(AND(D542&lt;&gt;Einstellungen!$C$4,D542&lt;&gt;Einstellungen!$C$5),"Objekt fehlt",IF(YEAR(A542)&lt;&gt;Einstellungen!$C$3,"anderes Jahr",IF(A542&lt;INDEX(Mitarbeiter!$C$6:$C$205,MATCH(B542,Mitarbeiter!$A$6:$A$205,0)),"vor Eintritt",IF(AND(INDEX(Mitarbeiter!$D$6:$D$205,MATCH(B542,Mitarbeiter!$A$6:$A$205,0))&lt;&gt;"",A542&gt;INDEX(Mitarbeiter!$D$6:$D$205,MATCH(B542,Mitarbeiter!$A$6:$A$205,0))),"nach Austritt","ok")))))))</f>
        <v/>
      </c>
    </row>
    <row r="543">
      <c r="A543" s="26" t="n">
        <v>46204</v>
      </c>
      <c r="B543" s="24" t="n">
        <v>1005</v>
      </c>
      <c r="C543" s="40">
        <f>IF(B543="","",IFERROR(INDEX(Mitarbeiter!$B$6:$B$205,MATCH(B543,Mitarbeiter!$A$6:$A$205,0)),"?"))</f>
        <v/>
      </c>
      <c r="D543" s="41" t="inlineStr">
        <is>
          <t>Objekt 2</t>
        </is>
      </c>
      <c r="E543" s="42" t="n">
        <v>67.5</v>
      </c>
      <c r="F543" s="43" t="n">
        <v>0</v>
      </c>
      <c r="G543" s="44">
        <f>IF(OR(B543="",F543=""),"",IFERROR(F543*INDEX(Mitarbeiter!$F$6:$F$205,MATCH(B543,Mitarbeiter!$A$6:$A$205,0)),0))</f>
        <v/>
      </c>
      <c r="H543" s="8">
        <f>IF(B543="","",IF(ISNA(MATCH(B543,Mitarbeiter!$A$6:$A$205,0)),"Pers.-Nr. unbekannt",IF(A543="","Datum fehlt",IF(AND(D543&lt;&gt;Einstellungen!$C$4,D543&lt;&gt;Einstellungen!$C$5),"Objekt fehlt",IF(YEAR(A543)&lt;&gt;Einstellungen!$C$3,"anderes Jahr",IF(A543&lt;INDEX(Mitarbeiter!$C$6:$C$205,MATCH(B543,Mitarbeiter!$A$6:$A$205,0)),"vor Eintritt",IF(AND(INDEX(Mitarbeiter!$D$6:$D$205,MATCH(B543,Mitarbeiter!$A$6:$A$205,0))&lt;&gt;"",A543&gt;INDEX(Mitarbeiter!$D$6:$D$205,MATCH(B543,Mitarbeiter!$A$6:$A$205,0))),"nach Austritt","ok")))))))</f>
        <v/>
      </c>
    </row>
    <row r="544">
      <c r="A544" s="26" t="n">
        <v>46204</v>
      </c>
      <c r="B544" s="24" t="n">
        <v>1006</v>
      </c>
      <c r="C544" s="40">
        <f>IF(B544="","",IFERROR(INDEX(Mitarbeiter!$B$6:$B$205,MATCH(B544,Mitarbeiter!$A$6:$A$205,0)),"?"))</f>
        <v/>
      </c>
      <c r="D544" s="41" t="inlineStr">
        <is>
          <t>Objekt 1</t>
        </is>
      </c>
      <c r="E544" s="42" t="n">
        <v>113.5</v>
      </c>
      <c r="F544" s="43" t="n">
        <v>0</v>
      </c>
      <c r="G544" s="44">
        <f>IF(OR(B544="",F544=""),"",IFERROR(F544*INDEX(Mitarbeiter!$F$6:$F$205,MATCH(B544,Mitarbeiter!$A$6:$A$205,0)),0))</f>
        <v/>
      </c>
      <c r="H544" s="8">
        <f>IF(B544="","",IF(ISNA(MATCH(B544,Mitarbeiter!$A$6:$A$205,0)),"Pers.-Nr. unbekannt",IF(A544="","Datum fehlt",IF(AND(D544&lt;&gt;Einstellungen!$C$4,D544&lt;&gt;Einstellungen!$C$5),"Objekt fehlt",IF(YEAR(A544)&lt;&gt;Einstellungen!$C$3,"anderes Jahr",IF(A544&lt;INDEX(Mitarbeiter!$C$6:$C$205,MATCH(B544,Mitarbeiter!$A$6:$A$205,0)),"vor Eintritt",IF(AND(INDEX(Mitarbeiter!$D$6:$D$205,MATCH(B544,Mitarbeiter!$A$6:$A$205,0))&lt;&gt;"",A544&gt;INDEX(Mitarbeiter!$D$6:$D$205,MATCH(B544,Mitarbeiter!$A$6:$A$205,0))),"nach Austritt","ok")))))))</f>
        <v/>
      </c>
    </row>
    <row r="545">
      <c r="A545" s="26" t="n">
        <v>46204</v>
      </c>
      <c r="B545" s="24" t="n">
        <v>1006</v>
      </c>
      <c r="C545" s="40">
        <f>IF(B545="","",IFERROR(INDEX(Mitarbeiter!$B$6:$B$205,MATCH(B545,Mitarbeiter!$A$6:$A$205,0)),"?"))</f>
        <v/>
      </c>
      <c r="D545" s="41" t="inlineStr">
        <is>
          <t>Objekt 2</t>
        </is>
      </c>
      <c r="E545" s="42" t="n">
        <v>72</v>
      </c>
      <c r="F545" s="43" t="n">
        <v>0</v>
      </c>
      <c r="G545" s="44">
        <f>IF(OR(B545="",F545=""),"",IFERROR(F545*INDEX(Mitarbeiter!$F$6:$F$205,MATCH(B545,Mitarbeiter!$A$6:$A$205,0)),0))</f>
        <v/>
      </c>
      <c r="H545" s="8">
        <f>IF(B545="","",IF(ISNA(MATCH(B545,Mitarbeiter!$A$6:$A$205,0)),"Pers.-Nr. unbekannt",IF(A545="","Datum fehlt",IF(AND(D545&lt;&gt;Einstellungen!$C$4,D545&lt;&gt;Einstellungen!$C$5),"Objekt fehlt",IF(YEAR(A545)&lt;&gt;Einstellungen!$C$3,"anderes Jahr",IF(A545&lt;INDEX(Mitarbeiter!$C$6:$C$205,MATCH(B545,Mitarbeiter!$A$6:$A$205,0)),"vor Eintritt",IF(AND(INDEX(Mitarbeiter!$D$6:$D$205,MATCH(B545,Mitarbeiter!$A$6:$A$205,0))&lt;&gt;"",A545&gt;INDEX(Mitarbeiter!$D$6:$D$205,MATCH(B545,Mitarbeiter!$A$6:$A$205,0))),"nach Austritt","ok")))))))</f>
        <v/>
      </c>
    </row>
    <row r="546">
      <c r="A546" s="26" t="n">
        <v>46204</v>
      </c>
      <c r="B546" s="24" t="n">
        <v>1007</v>
      </c>
      <c r="C546" s="40">
        <f>IF(B546="","",IFERROR(INDEX(Mitarbeiter!$B$6:$B$205,MATCH(B546,Mitarbeiter!$A$6:$A$205,0)),"?"))</f>
        <v/>
      </c>
      <c r="D546" s="41" t="inlineStr">
        <is>
          <t>Objekt 2</t>
        </is>
      </c>
      <c r="E546" s="42" t="n">
        <v>187</v>
      </c>
      <c r="F546" s="43" t="n">
        <v>0</v>
      </c>
      <c r="G546" s="44">
        <f>IF(OR(B546="",F546=""),"",IFERROR(F546*INDEX(Mitarbeiter!$F$6:$F$205,MATCH(B546,Mitarbeiter!$A$6:$A$205,0)),0))</f>
        <v/>
      </c>
      <c r="H546" s="8">
        <f>IF(B546="","",IF(ISNA(MATCH(B546,Mitarbeiter!$A$6:$A$205,0)),"Pers.-Nr. unbekannt",IF(A546="","Datum fehlt",IF(AND(D546&lt;&gt;Einstellungen!$C$4,D546&lt;&gt;Einstellungen!$C$5),"Objekt fehlt",IF(YEAR(A546)&lt;&gt;Einstellungen!$C$3,"anderes Jahr",IF(A546&lt;INDEX(Mitarbeiter!$C$6:$C$205,MATCH(B546,Mitarbeiter!$A$6:$A$205,0)),"vor Eintritt",IF(AND(INDEX(Mitarbeiter!$D$6:$D$205,MATCH(B546,Mitarbeiter!$A$6:$A$205,0))&lt;&gt;"",A546&gt;INDEX(Mitarbeiter!$D$6:$D$205,MATCH(B546,Mitarbeiter!$A$6:$A$205,0))),"nach Austritt","ok")))))))</f>
        <v/>
      </c>
    </row>
    <row r="547">
      <c r="A547" s="26" t="n">
        <v>46204</v>
      </c>
      <c r="B547" s="24" t="n">
        <v>1008</v>
      </c>
      <c r="C547" s="40">
        <f>IF(B547="","",IFERROR(INDEX(Mitarbeiter!$B$6:$B$205,MATCH(B547,Mitarbeiter!$A$6:$A$205,0)),"?"))</f>
        <v/>
      </c>
      <c r="D547" s="41" t="inlineStr">
        <is>
          <t>Objekt 1</t>
        </is>
      </c>
      <c r="E547" s="42" t="n">
        <v>20</v>
      </c>
      <c r="F547" s="43" t="n">
        <v>0</v>
      </c>
      <c r="G547" s="44">
        <f>IF(OR(B547="",F547=""),"",IFERROR(F547*INDEX(Mitarbeiter!$F$6:$F$205,MATCH(B547,Mitarbeiter!$A$6:$A$205,0)),0))</f>
        <v/>
      </c>
      <c r="H547" s="8">
        <f>IF(B547="","",IF(ISNA(MATCH(B547,Mitarbeiter!$A$6:$A$205,0)),"Pers.-Nr. unbekannt",IF(A547="","Datum fehlt",IF(AND(D547&lt;&gt;Einstellungen!$C$4,D547&lt;&gt;Einstellungen!$C$5),"Objekt fehlt",IF(YEAR(A547)&lt;&gt;Einstellungen!$C$3,"anderes Jahr",IF(A547&lt;INDEX(Mitarbeiter!$C$6:$C$205,MATCH(B547,Mitarbeiter!$A$6:$A$205,0)),"vor Eintritt",IF(AND(INDEX(Mitarbeiter!$D$6:$D$205,MATCH(B547,Mitarbeiter!$A$6:$A$205,0))&lt;&gt;"",A547&gt;INDEX(Mitarbeiter!$D$6:$D$205,MATCH(B547,Mitarbeiter!$A$6:$A$205,0))),"nach Austritt","ok")))))))</f>
        <v/>
      </c>
    </row>
    <row r="548">
      <c r="A548" s="26" t="n">
        <v>46204</v>
      </c>
      <c r="B548" s="24" t="n">
        <v>1008</v>
      </c>
      <c r="C548" s="40">
        <f>IF(B548="","",IFERROR(INDEX(Mitarbeiter!$B$6:$B$205,MATCH(B548,Mitarbeiter!$A$6:$A$205,0)),"?"))</f>
        <v/>
      </c>
      <c r="D548" s="41" t="inlineStr">
        <is>
          <t>Objekt 2</t>
        </is>
      </c>
      <c r="E548" s="42" t="n">
        <v>73.5</v>
      </c>
      <c r="F548" s="43" t="n">
        <v>0</v>
      </c>
      <c r="G548" s="44">
        <f>IF(OR(B548="",F548=""),"",IFERROR(F548*INDEX(Mitarbeiter!$F$6:$F$205,MATCH(B548,Mitarbeiter!$A$6:$A$205,0)),0))</f>
        <v/>
      </c>
      <c r="H548" s="8">
        <f>IF(B548="","",IF(ISNA(MATCH(B548,Mitarbeiter!$A$6:$A$205,0)),"Pers.-Nr. unbekannt",IF(A548="","Datum fehlt",IF(AND(D548&lt;&gt;Einstellungen!$C$4,D548&lt;&gt;Einstellungen!$C$5),"Objekt fehlt",IF(YEAR(A548)&lt;&gt;Einstellungen!$C$3,"anderes Jahr",IF(A548&lt;INDEX(Mitarbeiter!$C$6:$C$205,MATCH(B548,Mitarbeiter!$A$6:$A$205,0)),"vor Eintritt",IF(AND(INDEX(Mitarbeiter!$D$6:$D$205,MATCH(B548,Mitarbeiter!$A$6:$A$205,0))&lt;&gt;"",A548&gt;INDEX(Mitarbeiter!$D$6:$D$205,MATCH(B548,Mitarbeiter!$A$6:$A$205,0))),"nach Austritt","ok")))))))</f>
        <v/>
      </c>
    </row>
    <row r="549">
      <c r="A549" s="26" t="n">
        <v>46204</v>
      </c>
      <c r="B549" s="24" t="n">
        <v>1009</v>
      </c>
      <c r="C549" s="40">
        <f>IF(B549="","",IFERROR(INDEX(Mitarbeiter!$B$6:$B$205,MATCH(B549,Mitarbeiter!$A$6:$A$205,0)),"?"))</f>
        <v/>
      </c>
      <c r="D549" s="41" t="inlineStr">
        <is>
          <t>Objekt 1</t>
        </is>
      </c>
      <c r="E549" s="42" t="n">
        <v>48</v>
      </c>
      <c r="F549" s="43" t="n">
        <v>0</v>
      </c>
      <c r="G549" s="44">
        <f>IF(OR(B549="",F549=""),"",IFERROR(F549*INDEX(Mitarbeiter!$F$6:$F$205,MATCH(B549,Mitarbeiter!$A$6:$A$205,0)),0))</f>
        <v/>
      </c>
      <c r="H549" s="8">
        <f>IF(B549="","",IF(ISNA(MATCH(B549,Mitarbeiter!$A$6:$A$205,0)),"Pers.-Nr. unbekannt",IF(A549="","Datum fehlt",IF(AND(D549&lt;&gt;Einstellungen!$C$4,D549&lt;&gt;Einstellungen!$C$5),"Objekt fehlt",IF(YEAR(A549)&lt;&gt;Einstellungen!$C$3,"anderes Jahr",IF(A549&lt;INDEX(Mitarbeiter!$C$6:$C$205,MATCH(B549,Mitarbeiter!$A$6:$A$205,0)),"vor Eintritt",IF(AND(INDEX(Mitarbeiter!$D$6:$D$205,MATCH(B549,Mitarbeiter!$A$6:$A$205,0))&lt;&gt;"",A549&gt;INDEX(Mitarbeiter!$D$6:$D$205,MATCH(B549,Mitarbeiter!$A$6:$A$205,0))),"nach Austritt","ok")))))))</f>
        <v/>
      </c>
    </row>
    <row r="550">
      <c r="A550" s="26" t="n">
        <v>46204</v>
      </c>
      <c r="B550" s="24" t="n">
        <v>1009</v>
      </c>
      <c r="C550" s="40">
        <f>IF(B550="","",IFERROR(INDEX(Mitarbeiter!$B$6:$B$205,MATCH(B550,Mitarbeiter!$A$6:$A$205,0)),"?"))</f>
        <v/>
      </c>
      <c r="D550" s="41" t="inlineStr">
        <is>
          <t>Objekt 2</t>
        </is>
      </c>
      <c r="E550" s="42" t="n">
        <v>44</v>
      </c>
      <c r="F550" s="43" t="n">
        <v>0</v>
      </c>
      <c r="G550" s="44">
        <f>IF(OR(B550="",F550=""),"",IFERROR(F550*INDEX(Mitarbeiter!$F$6:$F$205,MATCH(B550,Mitarbeiter!$A$6:$A$205,0)),0))</f>
        <v/>
      </c>
      <c r="H550" s="8">
        <f>IF(B550="","",IF(ISNA(MATCH(B550,Mitarbeiter!$A$6:$A$205,0)),"Pers.-Nr. unbekannt",IF(A550="","Datum fehlt",IF(AND(D550&lt;&gt;Einstellungen!$C$4,D550&lt;&gt;Einstellungen!$C$5),"Objekt fehlt",IF(YEAR(A550)&lt;&gt;Einstellungen!$C$3,"anderes Jahr",IF(A550&lt;INDEX(Mitarbeiter!$C$6:$C$205,MATCH(B550,Mitarbeiter!$A$6:$A$205,0)),"vor Eintritt",IF(AND(INDEX(Mitarbeiter!$D$6:$D$205,MATCH(B550,Mitarbeiter!$A$6:$A$205,0))&lt;&gt;"",A550&gt;INDEX(Mitarbeiter!$D$6:$D$205,MATCH(B550,Mitarbeiter!$A$6:$A$205,0))),"nach Austritt","ok")))))))</f>
        <v/>
      </c>
    </row>
    <row r="551">
      <c r="A551" s="26" t="n">
        <v>46204</v>
      </c>
      <c r="B551" s="24" t="n">
        <v>1011</v>
      </c>
      <c r="C551" s="40">
        <f>IF(B551="","",IFERROR(INDEX(Mitarbeiter!$B$6:$B$205,MATCH(B551,Mitarbeiter!$A$6:$A$205,0)),"?"))</f>
        <v/>
      </c>
      <c r="D551" s="41" t="inlineStr">
        <is>
          <t>Objekt 1</t>
        </is>
      </c>
      <c r="E551" s="42" t="n">
        <v>91</v>
      </c>
      <c r="F551" s="43" t="n">
        <v>1</v>
      </c>
      <c r="G551" s="44">
        <f>IF(OR(B551="",F551=""),"",IFERROR(F551*INDEX(Mitarbeiter!$F$6:$F$205,MATCH(B551,Mitarbeiter!$A$6:$A$205,0)),0))</f>
        <v/>
      </c>
      <c r="H551" s="8">
        <f>IF(B551="","",IF(ISNA(MATCH(B551,Mitarbeiter!$A$6:$A$205,0)),"Pers.-Nr. unbekannt",IF(A551="","Datum fehlt",IF(AND(D551&lt;&gt;Einstellungen!$C$4,D551&lt;&gt;Einstellungen!$C$5),"Objekt fehlt",IF(YEAR(A551)&lt;&gt;Einstellungen!$C$3,"anderes Jahr",IF(A551&lt;INDEX(Mitarbeiter!$C$6:$C$205,MATCH(B551,Mitarbeiter!$A$6:$A$205,0)),"vor Eintritt",IF(AND(INDEX(Mitarbeiter!$D$6:$D$205,MATCH(B551,Mitarbeiter!$A$6:$A$205,0))&lt;&gt;"",A551&gt;INDEX(Mitarbeiter!$D$6:$D$205,MATCH(B551,Mitarbeiter!$A$6:$A$205,0))),"nach Austritt","ok")))))))</f>
        <v/>
      </c>
    </row>
    <row r="552">
      <c r="A552" s="26" t="n">
        <v>46204</v>
      </c>
      <c r="B552" s="24" t="n">
        <v>1011</v>
      </c>
      <c r="C552" s="40">
        <f>IF(B552="","",IFERROR(INDEX(Mitarbeiter!$B$6:$B$205,MATCH(B552,Mitarbeiter!$A$6:$A$205,0)),"?"))</f>
        <v/>
      </c>
      <c r="D552" s="41" t="inlineStr">
        <is>
          <t>Objekt 2</t>
        </is>
      </c>
      <c r="E552" s="42" t="n">
        <v>86.5</v>
      </c>
      <c r="F552" s="43" t="n">
        <v>0</v>
      </c>
      <c r="G552" s="44">
        <f>IF(OR(B552="",F552=""),"",IFERROR(F552*INDEX(Mitarbeiter!$F$6:$F$205,MATCH(B552,Mitarbeiter!$A$6:$A$205,0)),0))</f>
        <v/>
      </c>
      <c r="H552" s="8">
        <f>IF(B552="","",IF(ISNA(MATCH(B552,Mitarbeiter!$A$6:$A$205,0)),"Pers.-Nr. unbekannt",IF(A552="","Datum fehlt",IF(AND(D552&lt;&gt;Einstellungen!$C$4,D552&lt;&gt;Einstellungen!$C$5),"Objekt fehlt",IF(YEAR(A552)&lt;&gt;Einstellungen!$C$3,"anderes Jahr",IF(A552&lt;INDEX(Mitarbeiter!$C$6:$C$205,MATCH(B552,Mitarbeiter!$A$6:$A$205,0)),"vor Eintritt",IF(AND(INDEX(Mitarbeiter!$D$6:$D$205,MATCH(B552,Mitarbeiter!$A$6:$A$205,0))&lt;&gt;"",A552&gt;INDEX(Mitarbeiter!$D$6:$D$205,MATCH(B552,Mitarbeiter!$A$6:$A$205,0))),"nach Austritt","ok")))))))</f>
        <v/>
      </c>
    </row>
    <row r="553">
      <c r="A553" s="26" t="n">
        <v>46204</v>
      </c>
      <c r="B553" s="24" t="n">
        <v>1013</v>
      </c>
      <c r="C553" s="40">
        <f>IF(B553="","",IFERROR(INDEX(Mitarbeiter!$B$6:$B$205,MATCH(B553,Mitarbeiter!$A$6:$A$205,0)),"?"))</f>
        <v/>
      </c>
      <c r="D553" s="41" t="inlineStr">
        <is>
          <t>Objekt 1</t>
        </is>
      </c>
      <c r="E553" s="42" t="n">
        <v>113.5</v>
      </c>
      <c r="F553" s="43" t="n">
        <v>0</v>
      </c>
      <c r="G553" s="44">
        <f>IF(OR(B553="",F553=""),"",IFERROR(F553*INDEX(Mitarbeiter!$F$6:$F$205,MATCH(B553,Mitarbeiter!$A$6:$A$205,0)),0))</f>
        <v/>
      </c>
      <c r="H553" s="8">
        <f>IF(B553="","",IF(ISNA(MATCH(B553,Mitarbeiter!$A$6:$A$205,0)),"Pers.-Nr. unbekannt",IF(A553="","Datum fehlt",IF(AND(D553&lt;&gt;Einstellungen!$C$4,D553&lt;&gt;Einstellungen!$C$5),"Objekt fehlt",IF(YEAR(A553)&lt;&gt;Einstellungen!$C$3,"anderes Jahr",IF(A553&lt;INDEX(Mitarbeiter!$C$6:$C$205,MATCH(B553,Mitarbeiter!$A$6:$A$205,0)),"vor Eintritt",IF(AND(INDEX(Mitarbeiter!$D$6:$D$205,MATCH(B553,Mitarbeiter!$A$6:$A$205,0))&lt;&gt;"",A553&gt;INDEX(Mitarbeiter!$D$6:$D$205,MATCH(B553,Mitarbeiter!$A$6:$A$205,0))),"nach Austritt","ok")))))))</f>
        <v/>
      </c>
    </row>
    <row r="554">
      <c r="A554" s="26" t="n">
        <v>46204</v>
      </c>
      <c r="B554" s="24" t="n">
        <v>1013</v>
      </c>
      <c r="C554" s="40">
        <f>IF(B554="","",IFERROR(INDEX(Mitarbeiter!$B$6:$B$205,MATCH(B554,Mitarbeiter!$A$6:$A$205,0)),"?"))</f>
        <v/>
      </c>
      <c r="D554" s="41" t="inlineStr">
        <is>
          <t>Objekt 2</t>
        </is>
      </c>
      <c r="E554" s="42" t="n">
        <v>70.5</v>
      </c>
      <c r="F554" s="43" t="n">
        <v>0</v>
      </c>
      <c r="G554" s="44">
        <f>IF(OR(B554="",F554=""),"",IFERROR(F554*INDEX(Mitarbeiter!$F$6:$F$205,MATCH(B554,Mitarbeiter!$A$6:$A$205,0)),0))</f>
        <v/>
      </c>
      <c r="H554" s="8">
        <f>IF(B554="","",IF(ISNA(MATCH(B554,Mitarbeiter!$A$6:$A$205,0)),"Pers.-Nr. unbekannt",IF(A554="","Datum fehlt",IF(AND(D554&lt;&gt;Einstellungen!$C$4,D554&lt;&gt;Einstellungen!$C$5),"Objekt fehlt",IF(YEAR(A554)&lt;&gt;Einstellungen!$C$3,"anderes Jahr",IF(A554&lt;INDEX(Mitarbeiter!$C$6:$C$205,MATCH(B554,Mitarbeiter!$A$6:$A$205,0)),"vor Eintritt",IF(AND(INDEX(Mitarbeiter!$D$6:$D$205,MATCH(B554,Mitarbeiter!$A$6:$A$205,0))&lt;&gt;"",A554&gt;INDEX(Mitarbeiter!$D$6:$D$205,MATCH(B554,Mitarbeiter!$A$6:$A$205,0))),"nach Austritt","ok")))))))</f>
        <v/>
      </c>
    </row>
    <row r="555">
      <c r="A555" s="26" t="n">
        <v>46204</v>
      </c>
      <c r="B555" s="24" t="n">
        <v>1014</v>
      </c>
      <c r="C555" s="40">
        <f>IF(B555="","",IFERROR(INDEX(Mitarbeiter!$B$6:$B$205,MATCH(B555,Mitarbeiter!$A$6:$A$205,0)),"?"))</f>
        <v/>
      </c>
      <c r="D555" s="41" t="inlineStr">
        <is>
          <t>Objekt 1</t>
        </is>
      </c>
      <c r="E555" s="42" t="n">
        <v>40</v>
      </c>
      <c r="F555" s="43" t="n">
        <v>0</v>
      </c>
      <c r="G555" s="44">
        <f>IF(OR(B555="",F555=""),"",IFERROR(F555*INDEX(Mitarbeiter!$F$6:$F$205,MATCH(B555,Mitarbeiter!$A$6:$A$205,0)),0))</f>
        <v/>
      </c>
      <c r="H555" s="8">
        <f>IF(B555="","",IF(ISNA(MATCH(B555,Mitarbeiter!$A$6:$A$205,0)),"Pers.-Nr. unbekannt",IF(A555="","Datum fehlt",IF(AND(D555&lt;&gt;Einstellungen!$C$4,D555&lt;&gt;Einstellungen!$C$5),"Objekt fehlt",IF(YEAR(A555)&lt;&gt;Einstellungen!$C$3,"anderes Jahr",IF(A555&lt;INDEX(Mitarbeiter!$C$6:$C$205,MATCH(B555,Mitarbeiter!$A$6:$A$205,0)),"vor Eintritt",IF(AND(INDEX(Mitarbeiter!$D$6:$D$205,MATCH(B555,Mitarbeiter!$A$6:$A$205,0))&lt;&gt;"",A555&gt;INDEX(Mitarbeiter!$D$6:$D$205,MATCH(B555,Mitarbeiter!$A$6:$A$205,0))),"nach Austritt","ok")))))))</f>
        <v/>
      </c>
    </row>
    <row r="556">
      <c r="A556" s="26" t="n">
        <v>46204</v>
      </c>
      <c r="B556" s="24" t="n">
        <v>1014</v>
      </c>
      <c r="C556" s="40">
        <f>IF(B556="","",IFERROR(INDEX(Mitarbeiter!$B$6:$B$205,MATCH(B556,Mitarbeiter!$A$6:$A$205,0)),"?"))</f>
        <v/>
      </c>
      <c r="D556" s="41" t="inlineStr">
        <is>
          <t>Objekt 2</t>
        </is>
      </c>
      <c r="E556" s="42" t="n">
        <v>136</v>
      </c>
      <c r="F556" s="43" t="n">
        <v>1</v>
      </c>
      <c r="G556" s="44">
        <f>IF(OR(B556="",F556=""),"",IFERROR(F556*INDEX(Mitarbeiter!$F$6:$F$205,MATCH(B556,Mitarbeiter!$A$6:$A$205,0)),0))</f>
        <v/>
      </c>
      <c r="H556" s="8">
        <f>IF(B556="","",IF(ISNA(MATCH(B556,Mitarbeiter!$A$6:$A$205,0)),"Pers.-Nr. unbekannt",IF(A556="","Datum fehlt",IF(AND(D556&lt;&gt;Einstellungen!$C$4,D556&lt;&gt;Einstellungen!$C$5),"Objekt fehlt",IF(YEAR(A556)&lt;&gt;Einstellungen!$C$3,"anderes Jahr",IF(A556&lt;INDEX(Mitarbeiter!$C$6:$C$205,MATCH(B556,Mitarbeiter!$A$6:$A$205,0)),"vor Eintritt",IF(AND(INDEX(Mitarbeiter!$D$6:$D$205,MATCH(B556,Mitarbeiter!$A$6:$A$205,0))&lt;&gt;"",A556&gt;INDEX(Mitarbeiter!$D$6:$D$205,MATCH(B556,Mitarbeiter!$A$6:$A$205,0))),"nach Austritt","ok")))))))</f>
        <v/>
      </c>
    </row>
    <row r="557">
      <c r="A557" s="26" t="n">
        <v>46204</v>
      </c>
      <c r="B557" s="24" t="n">
        <v>1017</v>
      </c>
      <c r="C557" s="40">
        <f>IF(B557="","",IFERROR(INDEX(Mitarbeiter!$B$6:$B$205,MATCH(B557,Mitarbeiter!$A$6:$A$205,0)),"?"))</f>
        <v/>
      </c>
      <c r="D557" s="41" t="inlineStr">
        <is>
          <t>Objekt 1</t>
        </is>
      </c>
      <c r="E557" s="42" t="n">
        <v>142.5</v>
      </c>
      <c r="F557" s="43" t="n">
        <v>0</v>
      </c>
      <c r="G557" s="44">
        <f>IF(OR(B557="",F557=""),"",IFERROR(F557*INDEX(Mitarbeiter!$F$6:$F$205,MATCH(B557,Mitarbeiter!$A$6:$A$205,0)),0))</f>
        <v/>
      </c>
      <c r="H557" s="8">
        <f>IF(B557="","",IF(ISNA(MATCH(B557,Mitarbeiter!$A$6:$A$205,0)),"Pers.-Nr. unbekannt",IF(A557="","Datum fehlt",IF(AND(D557&lt;&gt;Einstellungen!$C$4,D557&lt;&gt;Einstellungen!$C$5),"Objekt fehlt",IF(YEAR(A557)&lt;&gt;Einstellungen!$C$3,"anderes Jahr",IF(A557&lt;INDEX(Mitarbeiter!$C$6:$C$205,MATCH(B557,Mitarbeiter!$A$6:$A$205,0)),"vor Eintritt",IF(AND(INDEX(Mitarbeiter!$D$6:$D$205,MATCH(B557,Mitarbeiter!$A$6:$A$205,0))&lt;&gt;"",A557&gt;INDEX(Mitarbeiter!$D$6:$D$205,MATCH(B557,Mitarbeiter!$A$6:$A$205,0))),"nach Austritt","ok")))))))</f>
        <v/>
      </c>
    </row>
    <row r="558">
      <c r="A558" s="26" t="n">
        <v>46204</v>
      </c>
      <c r="B558" s="24" t="n">
        <v>1017</v>
      </c>
      <c r="C558" s="40">
        <f>IF(B558="","",IFERROR(INDEX(Mitarbeiter!$B$6:$B$205,MATCH(B558,Mitarbeiter!$A$6:$A$205,0)),"?"))</f>
        <v/>
      </c>
      <c r="D558" s="41" t="inlineStr">
        <is>
          <t>Objekt 2</t>
        </is>
      </c>
      <c r="E558" s="42" t="n">
        <v>43</v>
      </c>
      <c r="F558" s="43" t="n">
        <v>0</v>
      </c>
      <c r="G558" s="44">
        <f>IF(OR(B558="",F558=""),"",IFERROR(F558*INDEX(Mitarbeiter!$F$6:$F$205,MATCH(B558,Mitarbeiter!$A$6:$A$205,0)),0))</f>
        <v/>
      </c>
      <c r="H558" s="8">
        <f>IF(B558="","",IF(ISNA(MATCH(B558,Mitarbeiter!$A$6:$A$205,0)),"Pers.-Nr. unbekannt",IF(A558="","Datum fehlt",IF(AND(D558&lt;&gt;Einstellungen!$C$4,D558&lt;&gt;Einstellungen!$C$5),"Objekt fehlt",IF(YEAR(A558)&lt;&gt;Einstellungen!$C$3,"anderes Jahr",IF(A558&lt;INDEX(Mitarbeiter!$C$6:$C$205,MATCH(B558,Mitarbeiter!$A$6:$A$205,0)),"vor Eintritt",IF(AND(INDEX(Mitarbeiter!$D$6:$D$205,MATCH(B558,Mitarbeiter!$A$6:$A$205,0))&lt;&gt;"",A558&gt;INDEX(Mitarbeiter!$D$6:$D$205,MATCH(B558,Mitarbeiter!$A$6:$A$205,0))),"nach Austritt","ok")))))))</f>
        <v/>
      </c>
    </row>
    <row r="559">
      <c r="A559" s="26" t="n">
        <v>46204</v>
      </c>
      <c r="B559" s="24" t="n">
        <v>1019</v>
      </c>
      <c r="C559" s="40">
        <f>IF(B559="","",IFERROR(INDEX(Mitarbeiter!$B$6:$B$205,MATCH(B559,Mitarbeiter!$A$6:$A$205,0)),"?"))</f>
        <v/>
      </c>
      <c r="D559" s="41" t="inlineStr">
        <is>
          <t>Objekt 1</t>
        </is>
      </c>
      <c r="E559" s="42" t="n">
        <v>67</v>
      </c>
      <c r="F559" s="43" t="n">
        <v>1</v>
      </c>
      <c r="G559" s="44">
        <f>IF(OR(B559="",F559=""),"",IFERROR(F559*INDEX(Mitarbeiter!$F$6:$F$205,MATCH(B559,Mitarbeiter!$A$6:$A$205,0)),0))</f>
        <v/>
      </c>
      <c r="H559" s="8">
        <f>IF(B559="","",IF(ISNA(MATCH(B559,Mitarbeiter!$A$6:$A$205,0)),"Pers.-Nr. unbekannt",IF(A559="","Datum fehlt",IF(AND(D559&lt;&gt;Einstellungen!$C$4,D559&lt;&gt;Einstellungen!$C$5),"Objekt fehlt",IF(YEAR(A559)&lt;&gt;Einstellungen!$C$3,"anderes Jahr",IF(A559&lt;INDEX(Mitarbeiter!$C$6:$C$205,MATCH(B559,Mitarbeiter!$A$6:$A$205,0)),"vor Eintritt",IF(AND(INDEX(Mitarbeiter!$D$6:$D$205,MATCH(B559,Mitarbeiter!$A$6:$A$205,0))&lt;&gt;"",A559&gt;INDEX(Mitarbeiter!$D$6:$D$205,MATCH(B559,Mitarbeiter!$A$6:$A$205,0))),"nach Austritt","ok")))))))</f>
        <v/>
      </c>
    </row>
    <row r="560">
      <c r="A560" s="26" t="n">
        <v>46204</v>
      </c>
      <c r="B560" s="24" t="n">
        <v>1019</v>
      </c>
      <c r="C560" s="40">
        <f>IF(B560="","",IFERROR(INDEX(Mitarbeiter!$B$6:$B$205,MATCH(B560,Mitarbeiter!$A$6:$A$205,0)),"?"))</f>
        <v/>
      </c>
      <c r="D560" s="41" t="inlineStr">
        <is>
          <t>Objekt 2</t>
        </is>
      </c>
      <c r="E560" s="42" t="n">
        <v>94.5</v>
      </c>
      <c r="F560" s="43" t="n">
        <v>2</v>
      </c>
      <c r="G560" s="44">
        <f>IF(OR(B560="",F560=""),"",IFERROR(F560*INDEX(Mitarbeiter!$F$6:$F$205,MATCH(B560,Mitarbeiter!$A$6:$A$205,0)),0))</f>
        <v/>
      </c>
      <c r="H560" s="8">
        <f>IF(B560="","",IF(ISNA(MATCH(B560,Mitarbeiter!$A$6:$A$205,0)),"Pers.-Nr. unbekannt",IF(A560="","Datum fehlt",IF(AND(D560&lt;&gt;Einstellungen!$C$4,D560&lt;&gt;Einstellungen!$C$5),"Objekt fehlt",IF(YEAR(A560)&lt;&gt;Einstellungen!$C$3,"anderes Jahr",IF(A560&lt;INDEX(Mitarbeiter!$C$6:$C$205,MATCH(B560,Mitarbeiter!$A$6:$A$205,0)),"vor Eintritt",IF(AND(INDEX(Mitarbeiter!$D$6:$D$205,MATCH(B560,Mitarbeiter!$A$6:$A$205,0))&lt;&gt;"",A560&gt;INDEX(Mitarbeiter!$D$6:$D$205,MATCH(B560,Mitarbeiter!$A$6:$A$205,0))),"nach Austritt","ok")))))))</f>
        <v/>
      </c>
    </row>
    <row r="561">
      <c r="A561" s="26" t="n">
        <v>46204</v>
      </c>
      <c r="B561" s="24" t="n">
        <v>1021</v>
      </c>
      <c r="C561" s="40">
        <f>IF(B561="","",IFERROR(INDEX(Mitarbeiter!$B$6:$B$205,MATCH(B561,Mitarbeiter!$A$6:$A$205,0)),"?"))</f>
        <v/>
      </c>
      <c r="D561" s="41" t="inlineStr">
        <is>
          <t>Objekt 1</t>
        </is>
      </c>
      <c r="E561" s="42" t="n">
        <v>99</v>
      </c>
      <c r="F561" s="43" t="n">
        <v>0</v>
      </c>
      <c r="G561" s="44">
        <f>IF(OR(B561="",F561=""),"",IFERROR(F561*INDEX(Mitarbeiter!$F$6:$F$205,MATCH(B561,Mitarbeiter!$A$6:$A$205,0)),0))</f>
        <v/>
      </c>
      <c r="H561" s="8">
        <f>IF(B561="","",IF(ISNA(MATCH(B561,Mitarbeiter!$A$6:$A$205,0)),"Pers.-Nr. unbekannt",IF(A561="","Datum fehlt",IF(AND(D561&lt;&gt;Einstellungen!$C$4,D561&lt;&gt;Einstellungen!$C$5),"Objekt fehlt",IF(YEAR(A561)&lt;&gt;Einstellungen!$C$3,"anderes Jahr",IF(A561&lt;INDEX(Mitarbeiter!$C$6:$C$205,MATCH(B561,Mitarbeiter!$A$6:$A$205,0)),"vor Eintritt",IF(AND(INDEX(Mitarbeiter!$D$6:$D$205,MATCH(B561,Mitarbeiter!$A$6:$A$205,0))&lt;&gt;"",A561&gt;INDEX(Mitarbeiter!$D$6:$D$205,MATCH(B561,Mitarbeiter!$A$6:$A$205,0))),"nach Austritt","ok")))))))</f>
        <v/>
      </c>
    </row>
    <row r="562">
      <c r="A562" s="26" t="n">
        <v>46204</v>
      </c>
      <c r="B562" s="24" t="n">
        <v>1021</v>
      </c>
      <c r="C562" s="40">
        <f>IF(B562="","",IFERROR(INDEX(Mitarbeiter!$B$6:$B$205,MATCH(B562,Mitarbeiter!$A$6:$A$205,0)),"?"))</f>
        <v/>
      </c>
      <c r="D562" s="41" t="inlineStr">
        <is>
          <t>Objekt 2</t>
        </is>
      </c>
      <c r="E562" s="42" t="n">
        <v>89.5</v>
      </c>
      <c r="F562" s="43" t="n">
        <v>0</v>
      </c>
      <c r="G562" s="44">
        <f>IF(OR(B562="",F562=""),"",IFERROR(F562*INDEX(Mitarbeiter!$F$6:$F$205,MATCH(B562,Mitarbeiter!$A$6:$A$205,0)),0))</f>
        <v/>
      </c>
      <c r="H562" s="8">
        <f>IF(B562="","",IF(ISNA(MATCH(B562,Mitarbeiter!$A$6:$A$205,0)),"Pers.-Nr. unbekannt",IF(A562="","Datum fehlt",IF(AND(D562&lt;&gt;Einstellungen!$C$4,D562&lt;&gt;Einstellungen!$C$5),"Objekt fehlt",IF(YEAR(A562)&lt;&gt;Einstellungen!$C$3,"anderes Jahr",IF(A562&lt;INDEX(Mitarbeiter!$C$6:$C$205,MATCH(B562,Mitarbeiter!$A$6:$A$205,0)),"vor Eintritt",IF(AND(INDEX(Mitarbeiter!$D$6:$D$205,MATCH(B562,Mitarbeiter!$A$6:$A$205,0))&lt;&gt;"",A562&gt;INDEX(Mitarbeiter!$D$6:$D$205,MATCH(B562,Mitarbeiter!$A$6:$A$205,0))),"nach Austritt","ok")))))))</f>
        <v/>
      </c>
    </row>
    <row r="563">
      <c r="A563" s="26" t="n">
        <v>46204</v>
      </c>
      <c r="B563" s="24" t="n">
        <v>1022</v>
      </c>
      <c r="C563" s="40">
        <f>IF(B563="","",IFERROR(INDEX(Mitarbeiter!$B$6:$B$205,MATCH(B563,Mitarbeiter!$A$6:$A$205,0)),"?"))</f>
        <v/>
      </c>
      <c r="D563" s="41" t="inlineStr">
        <is>
          <t>Objekt 1</t>
        </is>
      </c>
      <c r="E563" s="42" t="n">
        <v>33.5</v>
      </c>
      <c r="F563" s="43" t="n">
        <v>1</v>
      </c>
      <c r="G563" s="44">
        <f>IF(OR(B563="",F563=""),"",IFERROR(F563*INDEX(Mitarbeiter!$F$6:$F$205,MATCH(B563,Mitarbeiter!$A$6:$A$205,0)),0))</f>
        <v/>
      </c>
      <c r="H563" s="8">
        <f>IF(B563="","",IF(ISNA(MATCH(B563,Mitarbeiter!$A$6:$A$205,0)),"Pers.-Nr. unbekannt",IF(A563="","Datum fehlt",IF(AND(D563&lt;&gt;Einstellungen!$C$4,D563&lt;&gt;Einstellungen!$C$5),"Objekt fehlt",IF(YEAR(A563)&lt;&gt;Einstellungen!$C$3,"anderes Jahr",IF(A563&lt;INDEX(Mitarbeiter!$C$6:$C$205,MATCH(B563,Mitarbeiter!$A$6:$A$205,0)),"vor Eintritt",IF(AND(INDEX(Mitarbeiter!$D$6:$D$205,MATCH(B563,Mitarbeiter!$A$6:$A$205,0))&lt;&gt;"",A563&gt;INDEX(Mitarbeiter!$D$6:$D$205,MATCH(B563,Mitarbeiter!$A$6:$A$205,0))),"nach Austritt","ok")))))))</f>
        <v/>
      </c>
    </row>
    <row r="564">
      <c r="A564" s="26" t="n">
        <v>46204</v>
      </c>
      <c r="B564" s="24" t="n">
        <v>1022</v>
      </c>
      <c r="C564" s="40">
        <f>IF(B564="","",IFERROR(INDEX(Mitarbeiter!$B$6:$B$205,MATCH(B564,Mitarbeiter!$A$6:$A$205,0)),"?"))</f>
        <v/>
      </c>
      <c r="D564" s="41" t="inlineStr">
        <is>
          <t>Objekt 2</t>
        </is>
      </c>
      <c r="E564" s="42" t="n">
        <v>48</v>
      </c>
      <c r="F564" s="43" t="n">
        <v>2</v>
      </c>
      <c r="G564" s="44">
        <f>IF(OR(B564="",F564=""),"",IFERROR(F564*INDEX(Mitarbeiter!$F$6:$F$205,MATCH(B564,Mitarbeiter!$A$6:$A$205,0)),0))</f>
        <v/>
      </c>
      <c r="H564" s="8">
        <f>IF(B564="","",IF(ISNA(MATCH(B564,Mitarbeiter!$A$6:$A$205,0)),"Pers.-Nr. unbekannt",IF(A564="","Datum fehlt",IF(AND(D564&lt;&gt;Einstellungen!$C$4,D564&lt;&gt;Einstellungen!$C$5),"Objekt fehlt",IF(YEAR(A564)&lt;&gt;Einstellungen!$C$3,"anderes Jahr",IF(A564&lt;INDEX(Mitarbeiter!$C$6:$C$205,MATCH(B564,Mitarbeiter!$A$6:$A$205,0)),"vor Eintritt",IF(AND(INDEX(Mitarbeiter!$D$6:$D$205,MATCH(B564,Mitarbeiter!$A$6:$A$205,0))&lt;&gt;"",A564&gt;INDEX(Mitarbeiter!$D$6:$D$205,MATCH(B564,Mitarbeiter!$A$6:$A$205,0))),"nach Austritt","ok")))))))</f>
        <v/>
      </c>
    </row>
    <row r="565">
      <c r="A565" s="26" t="n">
        <v>46204</v>
      </c>
      <c r="B565" s="24" t="n">
        <v>1023</v>
      </c>
      <c r="C565" s="40">
        <f>IF(B565="","",IFERROR(INDEX(Mitarbeiter!$B$6:$B$205,MATCH(B565,Mitarbeiter!$A$6:$A$205,0)),"?"))</f>
        <v/>
      </c>
      <c r="D565" s="41" t="inlineStr">
        <is>
          <t>Objekt 1</t>
        </is>
      </c>
      <c r="E565" s="42" t="n">
        <v>138</v>
      </c>
      <c r="F565" s="43" t="n">
        <v>0</v>
      </c>
      <c r="G565" s="44">
        <f>IF(OR(B565="",F565=""),"",IFERROR(F565*INDEX(Mitarbeiter!$F$6:$F$205,MATCH(B565,Mitarbeiter!$A$6:$A$205,0)),0))</f>
        <v/>
      </c>
      <c r="H565" s="8">
        <f>IF(B565="","",IF(ISNA(MATCH(B565,Mitarbeiter!$A$6:$A$205,0)),"Pers.-Nr. unbekannt",IF(A565="","Datum fehlt",IF(AND(D565&lt;&gt;Einstellungen!$C$4,D565&lt;&gt;Einstellungen!$C$5),"Objekt fehlt",IF(YEAR(A565)&lt;&gt;Einstellungen!$C$3,"anderes Jahr",IF(A565&lt;INDEX(Mitarbeiter!$C$6:$C$205,MATCH(B565,Mitarbeiter!$A$6:$A$205,0)),"vor Eintritt",IF(AND(INDEX(Mitarbeiter!$D$6:$D$205,MATCH(B565,Mitarbeiter!$A$6:$A$205,0))&lt;&gt;"",A565&gt;INDEX(Mitarbeiter!$D$6:$D$205,MATCH(B565,Mitarbeiter!$A$6:$A$205,0))),"nach Austritt","ok")))))))</f>
        <v/>
      </c>
    </row>
    <row r="566">
      <c r="A566" s="26" t="n">
        <v>46204</v>
      </c>
      <c r="B566" s="24" t="n">
        <v>1024</v>
      </c>
      <c r="C566" s="40">
        <f>IF(B566="","",IFERROR(INDEX(Mitarbeiter!$B$6:$B$205,MATCH(B566,Mitarbeiter!$A$6:$A$205,0)),"?"))</f>
        <v/>
      </c>
      <c r="D566" s="41" t="inlineStr">
        <is>
          <t>Objekt 1</t>
        </is>
      </c>
      <c r="E566" s="42" t="n">
        <v>75</v>
      </c>
      <c r="F566" s="43" t="n">
        <v>0</v>
      </c>
      <c r="G566" s="44">
        <f>IF(OR(B566="",F566=""),"",IFERROR(F566*INDEX(Mitarbeiter!$F$6:$F$205,MATCH(B566,Mitarbeiter!$A$6:$A$205,0)),0))</f>
        <v/>
      </c>
      <c r="H566" s="8">
        <f>IF(B566="","",IF(ISNA(MATCH(B566,Mitarbeiter!$A$6:$A$205,0)),"Pers.-Nr. unbekannt",IF(A566="","Datum fehlt",IF(AND(D566&lt;&gt;Einstellungen!$C$4,D566&lt;&gt;Einstellungen!$C$5),"Objekt fehlt",IF(YEAR(A566)&lt;&gt;Einstellungen!$C$3,"anderes Jahr",IF(A566&lt;INDEX(Mitarbeiter!$C$6:$C$205,MATCH(B566,Mitarbeiter!$A$6:$A$205,0)),"vor Eintritt",IF(AND(INDEX(Mitarbeiter!$D$6:$D$205,MATCH(B566,Mitarbeiter!$A$6:$A$205,0))&lt;&gt;"",A566&gt;INDEX(Mitarbeiter!$D$6:$D$205,MATCH(B566,Mitarbeiter!$A$6:$A$205,0))),"nach Austritt","ok")))))))</f>
        <v/>
      </c>
    </row>
    <row r="567">
      <c r="A567" s="26" t="n">
        <v>46204</v>
      </c>
      <c r="B567" s="24" t="n">
        <v>1024</v>
      </c>
      <c r="C567" s="40">
        <f>IF(B567="","",IFERROR(INDEX(Mitarbeiter!$B$6:$B$205,MATCH(B567,Mitarbeiter!$A$6:$A$205,0)),"?"))</f>
        <v/>
      </c>
      <c r="D567" s="41" t="inlineStr">
        <is>
          <t>Objekt 2</t>
        </is>
      </c>
      <c r="E567" s="42" t="n">
        <v>110.5</v>
      </c>
      <c r="F567" s="43" t="n">
        <v>0</v>
      </c>
      <c r="G567" s="44">
        <f>IF(OR(B567="",F567=""),"",IFERROR(F567*INDEX(Mitarbeiter!$F$6:$F$205,MATCH(B567,Mitarbeiter!$A$6:$A$205,0)),0))</f>
        <v/>
      </c>
      <c r="H567" s="8">
        <f>IF(B567="","",IF(ISNA(MATCH(B567,Mitarbeiter!$A$6:$A$205,0)),"Pers.-Nr. unbekannt",IF(A567="","Datum fehlt",IF(AND(D567&lt;&gt;Einstellungen!$C$4,D567&lt;&gt;Einstellungen!$C$5),"Objekt fehlt",IF(YEAR(A567)&lt;&gt;Einstellungen!$C$3,"anderes Jahr",IF(A567&lt;INDEX(Mitarbeiter!$C$6:$C$205,MATCH(B567,Mitarbeiter!$A$6:$A$205,0)),"vor Eintritt",IF(AND(INDEX(Mitarbeiter!$D$6:$D$205,MATCH(B567,Mitarbeiter!$A$6:$A$205,0))&lt;&gt;"",A567&gt;INDEX(Mitarbeiter!$D$6:$D$205,MATCH(B567,Mitarbeiter!$A$6:$A$205,0))),"nach Austritt","ok")))))))</f>
        <v/>
      </c>
    </row>
    <row r="568">
      <c r="A568" s="26" t="n">
        <v>46204</v>
      </c>
      <c r="B568" s="24" t="n">
        <v>1027</v>
      </c>
      <c r="C568" s="40">
        <f>IF(B568="","",IFERROR(INDEX(Mitarbeiter!$B$6:$B$205,MATCH(B568,Mitarbeiter!$A$6:$A$205,0)),"?"))</f>
        <v/>
      </c>
      <c r="D568" s="41" t="inlineStr">
        <is>
          <t>Objekt 1</t>
        </is>
      </c>
      <c r="E568" s="42" t="n">
        <v>52.5</v>
      </c>
      <c r="F568" s="43" t="n">
        <v>3</v>
      </c>
      <c r="G568" s="44">
        <f>IF(OR(B568="",F568=""),"",IFERROR(F568*INDEX(Mitarbeiter!$F$6:$F$205,MATCH(B568,Mitarbeiter!$A$6:$A$205,0)),0))</f>
        <v/>
      </c>
      <c r="H568" s="8">
        <f>IF(B568="","",IF(ISNA(MATCH(B568,Mitarbeiter!$A$6:$A$205,0)),"Pers.-Nr. unbekannt",IF(A568="","Datum fehlt",IF(AND(D568&lt;&gt;Einstellungen!$C$4,D568&lt;&gt;Einstellungen!$C$5),"Objekt fehlt",IF(YEAR(A568)&lt;&gt;Einstellungen!$C$3,"anderes Jahr",IF(A568&lt;INDEX(Mitarbeiter!$C$6:$C$205,MATCH(B568,Mitarbeiter!$A$6:$A$205,0)),"vor Eintritt",IF(AND(INDEX(Mitarbeiter!$D$6:$D$205,MATCH(B568,Mitarbeiter!$A$6:$A$205,0))&lt;&gt;"",A568&gt;INDEX(Mitarbeiter!$D$6:$D$205,MATCH(B568,Mitarbeiter!$A$6:$A$205,0))),"nach Austritt","ok")))))))</f>
        <v/>
      </c>
    </row>
    <row r="569">
      <c r="A569" s="26" t="n">
        <v>46204</v>
      </c>
      <c r="B569" s="24" t="n">
        <v>1027</v>
      </c>
      <c r="C569" s="40">
        <f>IF(B569="","",IFERROR(INDEX(Mitarbeiter!$B$6:$B$205,MATCH(B569,Mitarbeiter!$A$6:$A$205,0)),"?"))</f>
        <v/>
      </c>
      <c r="D569" s="41" t="inlineStr">
        <is>
          <t>Objekt 2</t>
        </is>
      </c>
      <c r="E569" s="42" t="n">
        <v>48</v>
      </c>
      <c r="F569" s="43" t="n">
        <v>3</v>
      </c>
      <c r="G569" s="44">
        <f>IF(OR(B569="",F569=""),"",IFERROR(F569*INDEX(Mitarbeiter!$F$6:$F$205,MATCH(B569,Mitarbeiter!$A$6:$A$205,0)),0))</f>
        <v/>
      </c>
      <c r="H569" s="8">
        <f>IF(B569="","",IF(ISNA(MATCH(B569,Mitarbeiter!$A$6:$A$205,0)),"Pers.-Nr. unbekannt",IF(A569="","Datum fehlt",IF(AND(D569&lt;&gt;Einstellungen!$C$4,D569&lt;&gt;Einstellungen!$C$5),"Objekt fehlt",IF(YEAR(A569)&lt;&gt;Einstellungen!$C$3,"anderes Jahr",IF(A569&lt;INDEX(Mitarbeiter!$C$6:$C$205,MATCH(B569,Mitarbeiter!$A$6:$A$205,0)),"vor Eintritt",IF(AND(INDEX(Mitarbeiter!$D$6:$D$205,MATCH(B569,Mitarbeiter!$A$6:$A$205,0))&lt;&gt;"",A569&gt;INDEX(Mitarbeiter!$D$6:$D$205,MATCH(B569,Mitarbeiter!$A$6:$A$205,0))),"nach Austritt","ok")))))))</f>
        <v/>
      </c>
    </row>
    <row r="570">
      <c r="A570" s="26" t="n">
        <v>46204</v>
      </c>
      <c r="B570" s="24" t="n">
        <v>1028</v>
      </c>
      <c r="C570" s="40">
        <f>IF(B570="","",IFERROR(INDEX(Mitarbeiter!$B$6:$B$205,MATCH(B570,Mitarbeiter!$A$6:$A$205,0)),"?"))</f>
        <v/>
      </c>
      <c r="D570" s="41" t="inlineStr">
        <is>
          <t>Objekt 1</t>
        </is>
      </c>
      <c r="E570" s="42" t="n">
        <v>17.5</v>
      </c>
      <c r="F570" s="43" t="n">
        <v>0</v>
      </c>
      <c r="G570" s="44">
        <f>IF(OR(B570="",F570=""),"",IFERROR(F570*INDEX(Mitarbeiter!$F$6:$F$205,MATCH(B570,Mitarbeiter!$A$6:$A$205,0)),0))</f>
        <v/>
      </c>
      <c r="H570" s="8">
        <f>IF(B570="","",IF(ISNA(MATCH(B570,Mitarbeiter!$A$6:$A$205,0)),"Pers.-Nr. unbekannt",IF(A570="","Datum fehlt",IF(AND(D570&lt;&gt;Einstellungen!$C$4,D570&lt;&gt;Einstellungen!$C$5),"Objekt fehlt",IF(YEAR(A570)&lt;&gt;Einstellungen!$C$3,"anderes Jahr",IF(A570&lt;INDEX(Mitarbeiter!$C$6:$C$205,MATCH(B570,Mitarbeiter!$A$6:$A$205,0)),"vor Eintritt",IF(AND(INDEX(Mitarbeiter!$D$6:$D$205,MATCH(B570,Mitarbeiter!$A$6:$A$205,0))&lt;&gt;"",A570&gt;INDEX(Mitarbeiter!$D$6:$D$205,MATCH(B570,Mitarbeiter!$A$6:$A$205,0))),"nach Austritt","ok")))))))</f>
        <v/>
      </c>
    </row>
    <row r="571">
      <c r="A571" s="26" t="n">
        <v>46204</v>
      </c>
      <c r="B571" s="24" t="n">
        <v>1028</v>
      </c>
      <c r="C571" s="40">
        <f>IF(B571="","",IFERROR(INDEX(Mitarbeiter!$B$6:$B$205,MATCH(B571,Mitarbeiter!$A$6:$A$205,0)),"?"))</f>
        <v/>
      </c>
      <c r="D571" s="41" t="inlineStr">
        <is>
          <t>Objekt 2</t>
        </is>
      </c>
      <c r="E571" s="42" t="n">
        <v>65.5</v>
      </c>
      <c r="F571" s="43" t="n">
        <v>1</v>
      </c>
      <c r="G571" s="44">
        <f>IF(OR(B571="",F571=""),"",IFERROR(F571*INDEX(Mitarbeiter!$F$6:$F$205,MATCH(B571,Mitarbeiter!$A$6:$A$205,0)),0))</f>
        <v/>
      </c>
      <c r="H571" s="8">
        <f>IF(B571="","",IF(ISNA(MATCH(B571,Mitarbeiter!$A$6:$A$205,0)),"Pers.-Nr. unbekannt",IF(A571="","Datum fehlt",IF(AND(D571&lt;&gt;Einstellungen!$C$4,D571&lt;&gt;Einstellungen!$C$5),"Objekt fehlt",IF(YEAR(A571)&lt;&gt;Einstellungen!$C$3,"anderes Jahr",IF(A571&lt;INDEX(Mitarbeiter!$C$6:$C$205,MATCH(B571,Mitarbeiter!$A$6:$A$205,0)),"vor Eintritt",IF(AND(INDEX(Mitarbeiter!$D$6:$D$205,MATCH(B571,Mitarbeiter!$A$6:$A$205,0))&lt;&gt;"",A571&gt;INDEX(Mitarbeiter!$D$6:$D$205,MATCH(B571,Mitarbeiter!$A$6:$A$205,0))),"nach Austritt","ok")))))))</f>
        <v/>
      </c>
    </row>
    <row r="572">
      <c r="A572" s="26" t="n">
        <v>46204</v>
      </c>
      <c r="B572" s="24" t="n">
        <v>1029</v>
      </c>
      <c r="C572" s="40">
        <f>IF(B572="","",IFERROR(INDEX(Mitarbeiter!$B$6:$B$205,MATCH(B572,Mitarbeiter!$A$6:$A$205,0)),"?"))</f>
        <v/>
      </c>
      <c r="D572" s="41" t="inlineStr">
        <is>
          <t>Objekt 1</t>
        </is>
      </c>
      <c r="E572" s="42" t="n">
        <v>158.5</v>
      </c>
      <c r="F572" s="43" t="n">
        <v>3</v>
      </c>
      <c r="G572" s="44">
        <f>IF(OR(B572="",F572=""),"",IFERROR(F572*INDEX(Mitarbeiter!$F$6:$F$205,MATCH(B572,Mitarbeiter!$A$6:$A$205,0)),0))</f>
        <v/>
      </c>
      <c r="H572" s="8">
        <f>IF(B572="","",IF(ISNA(MATCH(B572,Mitarbeiter!$A$6:$A$205,0)),"Pers.-Nr. unbekannt",IF(A572="","Datum fehlt",IF(AND(D572&lt;&gt;Einstellungen!$C$4,D572&lt;&gt;Einstellungen!$C$5),"Objekt fehlt",IF(YEAR(A572)&lt;&gt;Einstellungen!$C$3,"anderes Jahr",IF(A572&lt;INDEX(Mitarbeiter!$C$6:$C$205,MATCH(B572,Mitarbeiter!$A$6:$A$205,0)),"vor Eintritt",IF(AND(INDEX(Mitarbeiter!$D$6:$D$205,MATCH(B572,Mitarbeiter!$A$6:$A$205,0))&lt;&gt;"",A572&gt;INDEX(Mitarbeiter!$D$6:$D$205,MATCH(B572,Mitarbeiter!$A$6:$A$205,0))),"nach Austritt","ok")))))))</f>
        <v/>
      </c>
    </row>
    <row r="573">
      <c r="A573" s="26" t="n">
        <v>46204</v>
      </c>
      <c r="B573" s="24" t="n">
        <v>1030</v>
      </c>
      <c r="C573" s="40">
        <f>IF(B573="","",IFERROR(INDEX(Mitarbeiter!$B$6:$B$205,MATCH(B573,Mitarbeiter!$A$6:$A$205,0)),"?"))</f>
        <v/>
      </c>
      <c r="D573" s="41" t="inlineStr">
        <is>
          <t>Objekt 2</t>
        </is>
      </c>
      <c r="E573" s="42" t="n">
        <v>138</v>
      </c>
      <c r="F573" s="43" t="n">
        <v>0</v>
      </c>
      <c r="G573" s="44">
        <f>IF(OR(B573="",F573=""),"",IFERROR(F573*INDEX(Mitarbeiter!$F$6:$F$205,MATCH(B573,Mitarbeiter!$A$6:$A$205,0)),0))</f>
        <v/>
      </c>
      <c r="H573" s="8">
        <f>IF(B573="","",IF(ISNA(MATCH(B573,Mitarbeiter!$A$6:$A$205,0)),"Pers.-Nr. unbekannt",IF(A573="","Datum fehlt",IF(AND(D573&lt;&gt;Einstellungen!$C$4,D573&lt;&gt;Einstellungen!$C$5),"Objekt fehlt",IF(YEAR(A573)&lt;&gt;Einstellungen!$C$3,"anderes Jahr",IF(A573&lt;INDEX(Mitarbeiter!$C$6:$C$205,MATCH(B573,Mitarbeiter!$A$6:$A$205,0)),"vor Eintritt",IF(AND(INDEX(Mitarbeiter!$D$6:$D$205,MATCH(B573,Mitarbeiter!$A$6:$A$205,0))&lt;&gt;"",A573&gt;INDEX(Mitarbeiter!$D$6:$D$205,MATCH(B573,Mitarbeiter!$A$6:$A$205,0))),"nach Austritt","ok")))))))</f>
        <v/>
      </c>
    </row>
    <row r="574">
      <c r="A574" s="26" t="n">
        <v>46204</v>
      </c>
      <c r="B574" s="24" t="n">
        <v>1031</v>
      </c>
      <c r="C574" s="40">
        <f>IF(B574="","",IFERROR(INDEX(Mitarbeiter!$B$6:$B$205,MATCH(B574,Mitarbeiter!$A$6:$A$205,0)),"?"))</f>
        <v/>
      </c>
      <c r="D574" s="41" t="inlineStr">
        <is>
          <t>Objekt 2</t>
        </is>
      </c>
      <c r="E574" s="42" t="n">
        <v>177.5</v>
      </c>
      <c r="F574" s="43" t="n">
        <v>1</v>
      </c>
      <c r="G574" s="44">
        <f>IF(OR(B574="",F574=""),"",IFERROR(F574*INDEX(Mitarbeiter!$F$6:$F$205,MATCH(B574,Mitarbeiter!$A$6:$A$205,0)),0))</f>
        <v/>
      </c>
      <c r="H574" s="8">
        <f>IF(B574="","",IF(ISNA(MATCH(B574,Mitarbeiter!$A$6:$A$205,0)),"Pers.-Nr. unbekannt",IF(A574="","Datum fehlt",IF(AND(D574&lt;&gt;Einstellungen!$C$4,D574&lt;&gt;Einstellungen!$C$5),"Objekt fehlt",IF(YEAR(A574)&lt;&gt;Einstellungen!$C$3,"anderes Jahr",IF(A574&lt;INDEX(Mitarbeiter!$C$6:$C$205,MATCH(B574,Mitarbeiter!$A$6:$A$205,0)),"vor Eintritt",IF(AND(INDEX(Mitarbeiter!$D$6:$D$205,MATCH(B574,Mitarbeiter!$A$6:$A$205,0))&lt;&gt;"",A574&gt;INDEX(Mitarbeiter!$D$6:$D$205,MATCH(B574,Mitarbeiter!$A$6:$A$205,0))),"nach Austritt","ok")))))))</f>
        <v/>
      </c>
    </row>
    <row r="575">
      <c r="A575" s="26" t="n">
        <v>46204</v>
      </c>
      <c r="B575" s="24" t="n">
        <v>1033</v>
      </c>
      <c r="C575" s="40">
        <f>IF(B575="","",IFERROR(INDEX(Mitarbeiter!$B$6:$B$205,MATCH(B575,Mitarbeiter!$A$6:$A$205,0)),"?"))</f>
        <v/>
      </c>
      <c r="D575" s="41" t="inlineStr">
        <is>
          <t>Objekt 1</t>
        </is>
      </c>
      <c r="E575" s="42" t="n">
        <v>177.5</v>
      </c>
      <c r="F575" s="43" t="n">
        <v>1</v>
      </c>
      <c r="G575" s="44">
        <f>IF(OR(B575="",F575=""),"",IFERROR(F575*INDEX(Mitarbeiter!$F$6:$F$205,MATCH(B575,Mitarbeiter!$A$6:$A$205,0)),0))</f>
        <v/>
      </c>
      <c r="H575" s="8">
        <f>IF(B575="","",IF(ISNA(MATCH(B575,Mitarbeiter!$A$6:$A$205,0)),"Pers.-Nr. unbekannt",IF(A575="","Datum fehlt",IF(AND(D575&lt;&gt;Einstellungen!$C$4,D575&lt;&gt;Einstellungen!$C$5),"Objekt fehlt",IF(YEAR(A575)&lt;&gt;Einstellungen!$C$3,"anderes Jahr",IF(A575&lt;INDEX(Mitarbeiter!$C$6:$C$205,MATCH(B575,Mitarbeiter!$A$6:$A$205,0)),"vor Eintritt",IF(AND(INDEX(Mitarbeiter!$D$6:$D$205,MATCH(B575,Mitarbeiter!$A$6:$A$205,0))&lt;&gt;"",A575&gt;INDEX(Mitarbeiter!$D$6:$D$205,MATCH(B575,Mitarbeiter!$A$6:$A$205,0))),"nach Austritt","ok")))))))</f>
        <v/>
      </c>
    </row>
    <row r="576">
      <c r="A576" s="26" t="n">
        <v>46204</v>
      </c>
      <c r="B576" s="24" t="n">
        <v>1034</v>
      </c>
      <c r="C576" s="40">
        <f>IF(B576="","",IFERROR(INDEX(Mitarbeiter!$B$6:$B$205,MATCH(B576,Mitarbeiter!$A$6:$A$205,0)),"?"))</f>
        <v/>
      </c>
      <c r="D576" s="41" t="inlineStr">
        <is>
          <t>Objekt 1</t>
        </is>
      </c>
      <c r="E576" s="42" t="n">
        <v>52.5</v>
      </c>
      <c r="F576" s="43" t="n">
        <v>0</v>
      </c>
      <c r="G576" s="44">
        <f>IF(OR(B576="",F576=""),"",IFERROR(F576*INDEX(Mitarbeiter!$F$6:$F$205,MATCH(B576,Mitarbeiter!$A$6:$A$205,0)),0))</f>
        <v/>
      </c>
      <c r="H576" s="8">
        <f>IF(B576="","",IF(ISNA(MATCH(B576,Mitarbeiter!$A$6:$A$205,0)),"Pers.-Nr. unbekannt",IF(A576="","Datum fehlt",IF(AND(D576&lt;&gt;Einstellungen!$C$4,D576&lt;&gt;Einstellungen!$C$5),"Objekt fehlt",IF(YEAR(A576)&lt;&gt;Einstellungen!$C$3,"anderes Jahr",IF(A576&lt;INDEX(Mitarbeiter!$C$6:$C$205,MATCH(B576,Mitarbeiter!$A$6:$A$205,0)),"vor Eintritt",IF(AND(INDEX(Mitarbeiter!$D$6:$D$205,MATCH(B576,Mitarbeiter!$A$6:$A$205,0))&lt;&gt;"",A576&gt;INDEX(Mitarbeiter!$D$6:$D$205,MATCH(B576,Mitarbeiter!$A$6:$A$205,0))),"nach Austritt","ok")))))))</f>
        <v/>
      </c>
    </row>
    <row r="577">
      <c r="A577" s="26" t="n">
        <v>46204</v>
      </c>
      <c r="B577" s="24" t="n">
        <v>1034</v>
      </c>
      <c r="C577" s="40">
        <f>IF(B577="","",IFERROR(INDEX(Mitarbeiter!$B$6:$B$205,MATCH(B577,Mitarbeiter!$A$6:$A$205,0)),"?"))</f>
        <v/>
      </c>
      <c r="D577" s="41" t="inlineStr">
        <is>
          <t>Objekt 2</t>
        </is>
      </c>
      <c r="E577" s="42" t="n">
        <v>84</v>
      </c>
      <c r="F577" s="43" t="n">
        <v>0</v>
      </c>
      <c r="G577" s="44">
        <f>IF(OR(B577="",F577=""),"",IFERROR(F577*INDEX(Mitarbeiter!$F$6:$F$205,MATCH(B577,Mitarbeiter!$A$6:$A$205,0)),0))</f>
        <v/>
      </c>
      <c r="H577" s="8">
        <f>IF(B577="","",IF(ISNA(MATCH(B577,Mitarbeiter!$A$6:$A$205,0)),"Pers.-Nr. unbekannt",IF(A577="","Datum fehlt",IF(AND(D577&lt;&gt;Einstellungen!$C$4,D577&lt;&gt;Einstellungen!$C$5),"Objekt fehlt",IF(YEAR(A577)&lt;&gt;Einstellungen!$C$3,"anderes Jahr",IF(A577&lt;INDEX(Mitarbeiter!$C$6:$C$205,MATCH(B577,Mitarbeiter!$A$6:$A$205,0)),"vor Eintritt",IF(AND(INDEX(Mitarbeiter!$D$6:$D$205,MATCH(B577,Mitarbeiter!$A$6:$A$205,0))&lt;&gt;"",A577&gt;INDEX(Mitarbeiter!$D$6:$D$205,MATCH(B577,Mitarbeiter!$A$6:$A$205,0))),"nach Austritt","ok")))))))</f>
        <v/>
      </c>
    </row>
    <row r="578">
      <c r="A578" s="26" t="n">
        <v>46204</v>
      </c>
      <c r="B578" s="24" t="n">
        <v>1035</v>
      </c>
      <c r="C578" s="40">
        <f>IF(B578="","",IFERROR(INDEX(Mitarbeiter!$B$6:$B$205,MATCH(B578,Mitarbeiter!$A$6:$A$205,0)),"?"))</f>
        <v/>
      </c>
      <c r="D578" s="41" t="inlineStr">
        <is>
          <t>Objekt 2</t>
        </is>
      </c>
      <c r="E578" s="42" t="n">
        <v>184</v>
      </c>
      <c r="F578" s="43" t="n">
        <v>0</v>
      </c>
      <c r="G578" s="44">
        <f>IF(OR(B578="",F578=""),"",IFERROR(F578*INDEX(Mitarbeiter!$F$6:$F$205,MATCH(B578,Mitarbeiter!$A$6:$A$205,0)),0))</f>
        <v/>
      </c>
      <c r="H578" s="8">
        <f>IF(B578="","",IF(ISNA(MATCH(B578,Mitarbeiter!$A$6:$A$205,0)),"Pers.-Nr. unbekannt",IF(A578="","Datum fehlt",IF(AND(D578&lt;&gt;Einstellungen!$C$4,D578&lt;&gt;Einstellungen!$C$5),"Objekt fehlt",IF(YEAR(A578)&lt;&gt;Einstellungen!$C$3,"anderes Jahr",IF(A578&lt;INDEX(Mitarbeiter!$C$6:$C$205,MATCH(B578,Mitarbeiter!$A$6:$A$205,0)),"vor Eintritt",IF(AND(INDEX(Mitarbeiter!$D$6:$D$205,MATCH(B578,Mitarbeiter!$A$6:$A$205,0))&lt;&gt;"",A578&gt;INDEX(Mitarbeiter!$D$6:$D$205,MATCH(B578,Mitarbeiter!$A$6:$A$205,0))),"nach Austritt","ok")))))))</f>
        <v/>
      </c>
    </row>
    <row r="579">
      <c r="A579" s="26" t="n">
        <v>46204</v>
      </c>
      <c r="B579" s="24" t="n">
        <v>1036</v>
      </c>
      <c r="C579" s="40">
        <f>IF(B579="","",IFERROR(INDEX(Mitarbeiter!$B$6:$B$205,MATCH(B579,Mitarbeiter!$A$6:$A$205,0)),"?"))</f>
        <v/>
      </c>
      <c r="D579" s="41" t="inlineStr">
        <is>
          <t>Objekt 1</t>
        </is>
      </c>
      <c r="E579" s="42" t="n">
        <v>37.5</v>
      </c>
      <c r="F579" s="43" t="n">
        <v>0</v>
      </c>
      <c r="G579" s="44">
        <f>IF(OR(B579="",F579=""),"",IFERROR(F579*INDEX(Mitarbeiter!$F$6:$F$205,MATCH(B579,Mitarbeiter!$A$6:$A$205,0)),0))</f>
        <v/>
      </c>
      <c r="H579" s="8">
        <f>IF(B579="","",IF(ISNA(MATCH(B579,Mitarbeiter!$A$6:$A$205,0)),"Pers.-Nr. unbekannt",IF(A579="","Datum fehlt",IF(AND(D579&lt;&gt;Einstellungen!$C$4,D579&lt;&gt;Einstellungen!$C$5),"Objekt fehlt",IF(YEAR(A579)&lt;&gt;Einstellungen!$C$3,"anderes Jahr",IF(A579&lt;INDEX(Mitarbeiter!$C$6:$C$205,MATCH(B579,Mitarbeiter!$A$6:$A$205,0)),"vor Eintritt",IF(AND(INDEX(Mitarbeiter!$D$6:$D$205,MATCH(B579,Mitarbeiter!$A$6:$A$205,0))&lt;&gt;"",A579&gt;INDEX(Mitarbeiter!$D$6:$D$205,MATCH(B579,Mitarbeiter!$A$6:$A$205,0))),"nach Austritt","ok")))))))</f>
        <v/>
      </c>
    </row>
    <row r="580">
      <c r="A580" s="26" t="n">
        <v>46204</v>
      </c>
      <c r="B580" s="24" t="n">
        <v>1036</v>
      </c>
      <c r="C580" s="40">
        <f>IF(B580="","",IFERROR(INDEX(Mitarbeiter!$B$6:$B$205,MATCH(B580,Mitarbeiter!$A$6:$A$205,0)),"?"))</f>
        <v/>
      </c>
      <c r="D580" s="41" t="inlineStr">
        <is>
          <t>Objekt 2</t>
        </is>
      </c>
      <c r="E580" s="42" t="n">
        <v>54.5</v>
      </c>
      <c r="F580" s="43" t="n">
        <v>0</v>
      </c>
      <c r="G580" s="44">
        <f>IF(OR(B580="",F580=""),"",IFERROR(F580*INDEX(Mitarbeiter!$F$6:$F$205,MATCH(B580,Mitarbeiter!$A$6:$A$205,0)),0))</f>
        <v/>
      </c>
      <c r="H580" s="8">
        <f>IF(B580="","",IF(ISNA(MATCH(B580,Mitarbeiter!$A$6:$A$205,0)),"Pers.-Nr. unbekannt",IF(A580="","Datum fehlt",IF(AND(D580&lt;&gt;Einstellungen!$C$4,D580&lt;&gt;Einstellungen!$C$5),"Objekt fehlt",IF(YEAR(A580)&lt;&gt;Einstellungen!$C$3,"anderes Jahr",IF(A580&lt;INDEX(Mitarbeiter!$C$6:$C$205,MATCH(B580,Mitarbeiter!$A$6:$A$205,0)),"vor Eintritt",IF(AND(INDEX(Mitarbeiter!$D$6:$D$205,MATCH(B580,Mitarbeiter!$A$6:$A$205,0))&lt;&gt;"",A580&gt;INDEX(Mitarbeiter!$D$6:$D$205,MATCH(B580,Mitarbeiter!$A$6:$A$205,0))),"nach Austritt","ok")))))))</f>
        <v/>
      </c>
    </row>
    <row r="581">
      <c r="A581" s="26" t="n">
        <v>46204</v>
      </c>
      <c r="B581" s="24" t="n">
        <v>1038</v>
      </c>
      <c r="C581" s="40">
        <f>IF(B581="","",IFERROR(INDEX(Mitarbeiter!$B$6:$B$205,MATCH(B581,Mitarbeiter!$A$6:$A$205,0)),"?"))</f>
        <v/>
      </c>
      <c r="D581" s="41" t="inlineStr">
        <is>
          <t>Objekt 1</t>
        </is>
      </c>
      <c r="E581" s="42" t="n">
        <v>80</v>
      </c>
      <c r="F581" s="43" t="n">
        <v>2</v>
      </c>
      <c r="G581" s="44">
        <f>IF(OR(B581="",F581=""),"",IFERROR(F581*INDEX(Mitarbeiter!$F$6:$F$205,MATCH(B581,Mitarbeiter!$A$6:$A$205,0)),0))</f>
        <v/>
      </c>
      <c r="H581" s="8">
        <f>IF(B581="","",IF(ISNA(MATCH(B581,Mitarbeiter!$A$6:$A$205,0)),"Pers.-Nr. unbekannt",IF(A581="","Datum fehlt",IF(AND(D581&lt;&gt;Einstellungen!$C$4,D581&lt;&gt;Einstellungen!$C$5),"Objekt fehlt",IF(YEAR(A581)&lt;&gt;Einstellungen!$C$3,"anderes Jahr",IF(A581&lt;INDEX(Mitarbeiter!$C$6:$C$205,MATCH(B581,Mitarbeiter!$A$6:$A$205,0)),"vor Eintritt",IF(AND(INDEX(Mitarbeiter!$D$6:$D$205,MATCH(B581,Mitarbeiter!$A$6:$A$205,0))&lt;&gt;"",A581&gt;INDEX(Mitarbeiter!$D$6:$D$205,MATCH(B581,Mitarbeiter!$A$6:$A$205,0))),"nach Austritt","ok")))))))</f>
        <v/>
      </c>
    </row>
    <row r="582">
      <c r="A582" s="26" t="n">
        <v>46204</v>
      </c>
      <c r="B582" s="24" t="n">
        <v>1038</v>
      </c>
      <c r="C582" s="40">
        <f>IF(B582="","",IFERROR(INDEX(Mitarbeiter!$B$6:$B$205,MATCH(B582,Mitarbeiter!$A$6:$A$205,0)),"?"))</f>
        <v/>
      </c>
      <c r="D582" s="41" t="inlineStr">
        <is>
          <t>Objekt 2</t>
        </is>
      </c>
      <c r="E582" s="42" t="n">
        <v>78.5</v>
      </c>
      <c r="F582" s="43" t="n">
        <v>1</v>
      </c>
      <c r="G582" s="44">
        <f>IF(OR(B582="",F582=""),"",IFERROR(F582*INDEX(Mitarbeiter!$F$6:$F$205,MATCH(B582,Mitarbeiter!$A$6:$A$205,0)),0))</f>
        <v/>
      </c>
      <c r="H582" s="8">
        <f>IF(B582="","",IF(ISNA(MATCH(B582,Mitarbeiter!$A$6:$A$205,0)),"Pers.-Nr. unbekannt",IF(A582="","Datum fehlt",IF(AND(D582&lt;&gt;Einstellungen!$C$4,D582&lt;&gt;Einstellungen!$C$5),"Objekt fehlt",IF(YEAR(A582)&lt;&gt;Einstellungen!$C$3,"anderes Jahr",IF(A582&lt;INDEX(Mitarbeiter!$C$6:$C$205,MATCH(B582,Mitarbeiter!$A$6:$A$205,0)),"vor Eintritt",IF(AND(INDEX(Mitarbeiter!$D$6:$D$205,MATCH(B582,Mitarbeiter!$A$6:$A$205,0))&lt;&gt;"",A582&gt;INDEX(Mitarbeiter!$D$6:$D$205,MATCH(B582,Mitarbeiter!$A$6:$A$205,0))),"nach Austritt","ok")))))))</f>
        <v/>
      </c>
    </row>
    <row r="583">
      <c r="A583" s="26" t="n">
        <v>46204</v>
      </c>
      <c r="B583" s="24" t="n">
        <v>1039</v>
      </c>
      <c r="C583" s="40">
        <f>IF(B583="","",IFERROR(INDEX(Mitarbeiter!$B$6:$B$205,MATCH(B583,Mitarbeiter!$A$6:$A$205,0)),"?"))</f>
        <v/>
      </c>
      <c r="D583" s="41" t="inlineStr">
        <is>
          <t>Objekt 2</t>
        </is>
      </c>
      <c r="E583" s="42" t="n">
        <v>168</v>
      </c>
      <c r="F583" s="43" t="n">
        <v>2</v>
      </c>
      <c r="G583" s="44">
        <f>IF(OR(B583="",F583=""),"",IFERROR(F583*INDEX(Mitarbeiter!$F$6:$F$205,MATCH(B583,Mitarbeiter!$A$6:$A$205,0)),0))</f>
        <v/>
      </c>
      <c r="H583" s="8">
        <f>IF(B583="","",IF(ISNA(MATCH(B583,Mitarbeiter!$A$6:$A$205,0)),"Pers.-Nr. unbekannt",IF(A583="","Datum fehlt",IF(AND(D583&lt;&gt;Einstellungen!$C$4,D583&lt;&gt;Einstellungen!$C$5),"Objekt fehlt",IF(YEAR(A583)&lt;&gt;Einstellungen!$C$3,"anderes Jahr",IF(A583&lt;INDEX(Mitarbeiter!$C$6:$C$205,MATCH(B583,Mitarbeiter!$A$6:$A$205,0)),"vor Eintritt",IF(AND(INDEX(Mitarbeiter!$D$6:$D$205,MATCH(B583,Mitarbeiter!$A$6:$A$205,0))&lt;&gt;"",A583&gt;INDEX(Mitarbeiter!$D$6:$D$205,MATCH(B583,Mitarbeiter!$A$6:$A$205,0))),"nach Austritt","ok")))))))</f>
        <v/>
      </c>
    </row>
    <row r="584">
      <c r="A584" s="26" t="n">
        <v>46204</v>
      </c>
      <c r="B584" s="24" t="n">
        <v>1040</v>
      </c>
      <c r="C584" s="40">
        <f>IF(B584="","",IFERROR(INDEX(Mitarbeiter!$B$6:$B$205,MATCH(B584,Mitarbeiter!$A$6:$A$205,0)),"?"))</f>
        <v/>
      </c>
      <c r="D584" s="41" t="inlineStr">
        <is>
          <t>Objekt 1</t>
        </is>
      </c>
      <c r="E584" s="42" t="n">
        <v>111</v>
      </c>
      <c r="F584" s="43" t="n">
        <v>0</v>
      </c>
      <c r="G584" s="44">
        <f>IF(OR(B584="",F584=""),"",IFERROR(F584*INDEX(Mitarbeiter!$F$6:$F$205,MATCH(B584,Mitarbeiter!$A$6:$A$205,0)),0))</f>
        <v/>
      </c>
      <c r="H584" s="8">
        <f>IF(B584="","",IF(ISNA(MATCH(B584,Mitarbeiter!$A$6:$A$205,0)),"Pers.-Nr. unbekannt",IF(A584="","Datum fehlt",IF(AND(D584&lt;&gt;Einstellungen!$C$4,D584&lt;&gt;Einstellungen!$C$5),"Objekt fehlt",IF(YEAR(A584)&lt;&gt;Einstellungen!$C$3,"anderes Jahr",IF(A584&lt;INDEX(Mitarbeiter!$C$6:$C$205,MATCH(B584,Mitarbeiter!$A$6:$A$205,0)),"vor Eintritt",IF(AND(INDEX(Mitarbeiter!$D$6:$D$205,MATCH(B584,Mitarbeiter!$A$6:$A$205,0))&lt;&gt;"",A584&gt;INDEX(Mitarbeiter!$D$6:$D$205,MATCH(B584,Mitarbeiter!$A$6:$A$205,0))),"nach Austritt","ok")))))))</f>
        <v/>
      </c>
    </row>
    <row r="585">
      <c r="A585" s="26" t="n">
        <v>46204</v>
      </c>
      <c r="B585" s="24" t="n">
        <v>1040</v>
      </c>
      <c r="C585" s="40">
        <f>IF(B585="","",IFERROR(INDEX(Mitarbeiter!$B$6:$B$205,MATCH(B585,Mitarbeiter!$A$6:$A$205,0)),"?"))</f>
        <v/>
      </c>
      <c r="D585" s="41" t="inlineStr">
        <is>
          <t>Objekt 2</t>
        </is>
      </c>
      <c r="E585" s="42" t="n">
        <v>31.5</v>
      </c>
      <c r="F585" s="43" t="n">
        <v>0</v>
      </c>
      <c r="G585" s="44">
        <f>IF(OR(B585="",F585=""),"",IFERROR(F585*INDEX(Mitarbeiter!$F$6:$F$205,MATCH(B585,Mitarbeiter!$A$6:$A$205,0)),0))</f>
        <v/>
      </c>
      <c r="H585" s="8">
        <f>IF(B585="","",IF(ISNA(MATCH(B585,Mitarbeiter!$A$6:$A$205,0)),"Pers.-Nr. unbekannt",IF(A585="","Datum fehlt",IF(AND(D585&lt;&gt;Einstellungen!$C$4,D585&lt;&gt;Einstellungen!$C$5),"Objekt fehlt",IF(YEAR(A585)&lt;&gt;Einstellungen!$C$3,"anderes Jahr",IF(A585&lt;INDEX(Mitarbeiter!$C$6:$C$205,MATCH(B585,Mitarbeiter!$A$6:$A$205,0)),"vor Eintritt",IF(AND(INDEX(Mitarbeiter!$D$6:$D$205,MATCH(B585,Mitarbeiter!$A$6:$A$205,0))&lt;&gt;"",A585&gt;INDEX(Mitarbeiter!$D$6:$D$205,MATCH(B585,Mitarbeiter!$A$6:$A$205,0))),"nach Austritt","ok")))))))</f>
        <v/>
      </c>
    </row>
    <row r="586">
      <c r="A586" s="26" t="n">
        <v>46204</v>
      </c>
      <c r="B586" s="24" t="n">
        <v>1045</v>
      </c>
      <c r="C586" s="40">
        <f>IF(B586="","",IFERROR(INDEX(Mitarbeiter!$B$6:$B$205,MATCH(B586,Mitarbeiter!$A$6:$A$205,0)),"?"))</f>
        <v/>
      </c>
      <c r="D586" s="41" t="inlineStr">
        <is>
          <t>Objekt 1</t>
        </is>
      </c>
      <c r="E586" s="42" t="n">
        <v>112</v>
      </c>
      <c r="F586" s="43" t="n">
        <v>0</v>
      </c>
      <c r="G586" s="44">
        <f>IF(OR(B586="",F586=""),"",IFERROR(F586*INDEX(Mitarbeiter!$F$6:$F$205,MATCH(B586,Mitarbeiter!$A$6:$A$205,0)),0))</f>
        <v/>
      </c>
      <c r="H586" s="8">
        <f>IF(B586="","",IF(ISNA(MATCH(B586,Mitarbeiter!$A$6:$A$205,0)),"Pers.-Nr. unbekannt",IF(A586="","Datum fehlt",IF(AND(D586&lt;&gt;Einstellungen!$C$4,D586&lt;&gt;Einstellungen!$C$5),"Objekt fehlt",IF(YEAR(A586)&lt;&gt;Einstellungen!$C$3,"anderes Jahr",IF(A586&lt;INDEX(Mitarbeiter!$C$6:$C$205,MATCH(B586,Mitarbeiter!$A$6:$A$205,0)),"vor Eintritt",IF(AND(INDEX(Mitarbeiter!$D$6:$D$205,MATCH(B586,Mitarbeiter!$A$6:$A$205,0))&lt;&gt;"",A586&gt;INDEX(Mitarbeiter!$D$6:$D$205,MATCH(B586,Mitarbeiter!$A$6:$A$205,0))),"nach Austritt","ok")))))))</f>
        <v/>
      </c>
    </row>
    <row r="587">
      <c r="A587" s="26" t="n">
        <v>46204</v>
      </c>
      <c r="B587" s="24" t="n">
        <v>1045</v>
      </c>
      <c r="C587" s="40">
        <f>IF(B587="","",IFERROR(INDEX(Mitarbeiter!$B$6:$B$205,MATCH(B587,Mitarbeiter!$A$6:$A$205,0)),"?"))</f>
        <v/>
      </c>
      <c r="D587" s="41" t="inlineStr">
        <is>
          <t>Objekt 2</t>
        </is>
      </c>
      <c r="E587" s="42" t="n">
        <v>73.5</v>
      </c>
      <c r="F587" s="43" t="n">
        <v>0</v>
      </c>
      <c r="G587" s="44">
        <f>IF(OR(B587="",F587=""),"",IFERROR(F587*INDEX(Mitarbeiter!$F$6:$F$205,MATCH(B587,Mitarbeiter!$A$6:$A$205,0)),0))</f>
        <v/>
      </c>
      <c r="H587" s="8">
        <f>IF(B587="","",IF(ISNA(MATCH(B587,Mitarbeiter!$A$6:$A$205,0)),"Pers.-Nr. unbekannt",IF(A587="","Datum fehlt",IF(AND(D587&lt;&gt;Einstellungen!$C$4,D587&lt;&gt;Einstellungen!$C$5),"Objekt fehlt",IF(YEAR(A587)&lt;&gt;Einstellungen!$C$3,"anderes Jahr",IF(A587&lt;INDEX(Mitarbeiter!$C$6:$C$205,MATCH(B587,Mitarbeiter!$A$6:$A$205,0)),"vor Eintritt",IF(AND(INDEX(Mitarbeiter!$D$6:$D$205,MATCH(B587,Mitarbeiter!$A$6:$A$205,0))&lt;&gt;"",A587&gt;INDEX(Mitarbeiter!$D$6:$D$205,MATCH(B587,Mitarbeiter!$A$6:$A$205,0))),"nach Austritt","ok")))))))</f>
        <v/>
      </c>
    </row>
    <row r="588">
      <c r="A588" s="26" t="n">
        <v>46204</v>
      </c>
      <c r="B588" s="24" t="n">
        <v>1046</v>
      </c>
      <c r="C588" s="40">
        <f>IF(B588="","",IFERROR(INDEX(Mitarbeiter!$B$6:$B$205,MATCH(B588,Mitarbeiter!$A$6:$A$205,0)),"?"))</f>
        <v/>
      </c>
      <c r="D588" s="41" t="inlineStr">
        <is>
          <t>Objekt 1</t>
        </is>
      </c>
      <c r="E588" s="42" t="n">
        <v>106.5</v>
      </c>
      <c r="F588" s="43" t="n">
        <v>0</v>
      </c>
      <c r="G588" s="44">
        <f>IF(OR(B588="",F588=""),"",IFERROR(F588*INDEX(Mitarbeiter!$F$6:$F$205,MATCH(B588,Mitarbeiter!$A$6:$A$205,0)),0))</f>
        <v/>
      </c>
      <c r="H588" s="8">
        <f>IF(B588="","",IF(ISNA(MATCH(B588,Mitarbeiter!$A$6:$A$205,0)),"Pers.-Nr. unbekannt",IF(A588="","Datum fehlt",IF(AND(D588&lt;&gt;Einstellungen!$C$4,D588&lt;&gt;Einstellungen!$C$5),"Objekt fehlt",IF(YEAR(A588)&lt;&gt;Einstellungen!$C$3,"anderes Jahr",IF(A588&lt;INDEX(Mitarbeiter!$C$6:$C$205,MATCH(B588,Mitarbeiter!$A$6:$A$205,0)),"vor Eintritt",IF(AND(INDEX(Mitarbeiter!$D$6:$D$205,MATCH(B588,Mitarbeiter!$A$6:$A$205,0))&lt;&gt;"",A588&gt;INDEX(Mitarbeiter!$D$6:$D$205,MATCH(B588,Mitarbeiter!$A$6:$A$205,0))),"nach Austritt","ok")))))))</f>
        <v/>
      </c>
    </row>
    <row r="589">
      <c r="A589" s="26" t="n">
        <v>46204</v>
      </c>
      <c r="B589" s="24" t="n">
        <v>1046</v>
      </c>
      <c r="C589" s="40">
        <f>IF(B589="","",IFERROR(INDEX(Mitarbeiter!$B$6:$B$205,MATCH(B589,Mitarbeiter!$A$6:$A$205,0)),"?"))</f>
        <v/>
      </c>
      <c r="D589" s="41" t="inlineStr">
        <is>
          <t>Objekt 2</t>
        </is>
      </c>
      <c r="E589" s="42" t="n">
        <v>30</v>
      </c>
      <c r="F589" s="43" t="n">
        <v>0</v>
      </c>
      <c r="G589" s="44">
        <f>IF(OR(B589="",F589=""),"",IFERROR(F589*INDEX(Mitarbeiter!$F$6:$F$205,MATCH(B589,Mitarbeiter!$A$6:$A$205,0)),0))</f>
        <v/>
      </c>
      <c r="H589" s="8">
        <f>IF(B589="","",IF(ISNA(MATCH(B589,Mitarbeiter!$A$6:$A$205,0)),"Pers.-Nr. unbekannt",IF(A589="","Datum fehlt",IF(AND(D589&lt;&gt;Einstellungen!$C$4,D589&lt;&gt;Einstellungen!$C$5),"Objekt fehlt",IF(YEAR(A589)&lt;&gt;Einstellungen!$C$3,"anderes Jahr",IF(A589&lt;INDEX(Mitarbeiter!$C$6:$C$205,MATCH(B589,Mitarbeiter!$A$6:$A$205,0)),"vor Eintritt",IF(AND(INDEX(Mitarbeiter!$D$6:$D$205,MATCH(B589,Mitarbeiter!$A$6:$A$205,0))&lt;&gt;"",A589&gt;INDEX(Mitarbeiter!$D$6:$D$205,MATCH(B589,Mitarbeiter!$A$6:$A$205,0))),"nach Austritt","ok")))))))</f>
        <v/>
      </c>
    </row>
    <row r="590">
      <c r="A590" s="26" t="n">
        <v>46204</v>
      </c>
      <c r="B590" s="24" t="n">
        <v>1047</v>
      </c>
      <c r="C590" s="40">
        <f>IF(B590="","",IFERROR(INDEX(Mitarbeiter!$B$6:$B$205,MATCH(B590,Mitarbeiter!$A$6:$A$205,0)),"?"))</f>
        <v/>
      </c>
      <c r="D590" s="41" t="inlineStr">
        <is>
          <t>Objekt 2</t>
        </is>
      </c>
      <c r="E590" s="42" t="n">
        <v>166.5</v>
      </c>
      <c r="F590" s="43" t="n">
        <v>2</v>
      </c>
      <c r="G590" s="44">
        <f>IF(OR(B590="",F590=""),"",IFERROR(F590*INDEX(Mitarbeiter!$F$6:$F$205,MATCH(B590,Mitarbeiter!$A$6:$A$205,0)),0))</f>
        <v/>
      </c>
      <c r="H590" s="8">
        <f>IF(B590="","",IF(ISNA(MATCH(B590,Mitarbeiter!$A$6:$A$205,0)),"Pers.-Nr. unbekannt",IF(A590="","Datum fehlt",IF(AND(D590&lt;&gt;Einstellungen!$C$4,D590&lt;&gt;Einstellungen!$C$5),"Objekt fehlt",IF(YEAR(A590)&lt;&gt;Einstellungen!$C$3,"anderes Jahr",IF(A590&lt;INDEX(Mitarbeiter!$C$6:$C$205,MATCH(B590,Mitarbeiter!$A$6:$A$205,0)),"vor Eintritt",IF(AND(INDEX(Mitarbeiter!$D$6:$D$205,MATCH(B590,Mitarbeiter!$A$6:$A$205,0))&lt;&gt;"",A590&gt;INDEX(Mitarbeiter!$D$6:$D$205,MATCH(B590,Mitarbeiter!$A$6:$A$205,0))),"nach Austritt","ok")))))))</f>
        <v/>
      </c>
    </row>
    <row r="591">
      <c r="A591" s="26" t="n">
        <v>46204</v>
      </c>
      <c r="B591" s="24" t="n">
        <v>1049</v>
      </c>
      <c r="C591" s="40">
        <f>IF(B591="","",IFERROR(INDEX(Mitarbeiter!$B$6:$B$205,MATCH(B591,Mitarbeiter!$A$6:$A$205,0)),"?"))</f>
        <v/>
      </c>
      <c r="D591" s="41" t="inlineStr">
        <is>
          <t>Objekt 1</t>
        </is>
      </c>
      <c r="E591" s="42" t="n">
        <v>136.5</v>
      </c>
      <c r="F591" s="43" t="n">
        <v>0</v>
      </c>
      <c r="G591" s="44">
        <f>IF(OR(B591="",F591=""),"",IFERROR(F591*INDEX(Mitarbeiter!$F$6:$F$205,MATCH(B591,Mitarbeiter!$A$6:$A$205,0)),0))</f>
        <v/>
      </c>
      <c r="H591" s="8">
        <f>IF(B591="","",IF(ISNA(MATCH(B591,Mitarbeiter!$A$6:$A$205,0)),"Pers.-Nr. unbekannt",IF(A591="","Datum fehlt",IF(AND(D591&lt;&gt;Einstellungen!$C$4,D591&lt;&gt;Einstellungen!$C$5),"Objekt fehlt",IF(YEAR(A591)&lt;&gt;Einstellungen!$C$3,"anderes Jahr",IF(A591&lt;INDEX(Mitarbeiter!$C$6:$C$205,MATCH(B591,Mitarbeiter!$A$6:$A$205,0)),"vor Eintritt",IF(AND(INDEX(Mitarbeiter!$D$6:$D$205,MATCH(B591,Mitarbeiter!$A$6:$A$205,0))&lt;&gt;"",A591&gt;INDEX(Mitarbeiter!$D$6:$D$205,MATCH(B591,Mitarbeiter!$A$6:$A$205,0))),"nach Austritt","ok")))))))</f>
        <v/>
      </c>
    </row>
    <row r="592">
      <c r="A592" s="26" t="n">
        <v>46204</v>
      </c>
      <c r="B592" s="24" t="n">
        <v>1050</v>
      </c>
      <c r="C592" s="40">
        <f>IF(B592="","",IFERROR(INDEX(Mitarbeiter!$B$6:$B$205,MATCH(B592,Mitarbeiter!$A$6:$A$205,0)),"?"))</f>
        <v/>
      </c>
      <c r="D592" s="41" t="inlineStr">
        <is>
          <t>Objekt 1</t>
        </is>
      </c>
      <c r="E592" s="42" t="n">
        <v>28.5</v>
      </c>
      <c r="F592" s="43" t="n">
        <v>0</v>
      </c>
      <c r="G592" s="44">
        <f>IF(OR(B592="",F592=""),"",IFERROR(F592*INDEX(Mitarbeiter!$F$6:$F$205,MATCH(B592,Mitarbeiter!$A$6:$A$205,0)),0))</f>
        <v/>
      </c>
      <c r="H592" s="8">
        <f>IF(B592="","",IF(ISNA(MATCH(B592,Mitarbeiter!$A$6:$A$205,0)),"Pers.-Nr. unbekannt",IF(A592="","Datum fehlt",IF(AND(D592&lt;&gt;Einstellungen!$C$4,D592&lt;&gt;Einstellungen!$C$5),"Objekt fehlt",IF(YEAR(A592)&lt;&gt;Einstellungen!$C$3,"anderes Jahr",IF(A592&lt;INDEX(Mitarbeiter!$C$6:$C$205,MATCH(B592,Mitarbeiter!$A$6:$A$205,0)),"vor Eintritt",IF(AND(INDEX(Mitarbeiter!$D$6:$D$205,MATCH(B592,Mitarbeiter!$A$6:$A$205,0))&lt;&gt;"",A592&gt;INDEX(Mitarbeiter!$D$6:$D$205,MATCH(B592,Mitarbeiter!$A$6:$A$205,0))),"nach Austritt","ok")))))))</f>
        <v/>
      </c>
    </row>
    <row r="593">
      <c r="A593" s="26" t="n">
        <v>46204</v>
      </c>
      <c r="B593" s="24" t="n">
        <v>1050</v>
      </c>
      <c r="C593" s="40">
        <f>IF(B593="","",IFERROR(INDEX(Mitarbeiter!$B$6:$B$205,MATCH(B593,Mitarbeiter!$A$6:$A$205,0)),"?"))</f>
        <v/>
      </c>
      <c r="D593" s="41" t="inlineStr">
        <is>
          <t>Objekt 2</t>
        </is>
      </c>
      <c r="E593" s="42" t="n">
        <v>111</v>
      </c>
      <c r="F593" s="43" t="n">
        <v>0</v>
      </c>
      <c r="G593" s="44">
        <f>IF(OR(B593="",F593=""),"",IFERROR(F593*INDEX(Mitarbeiter!$F$6:$F$205,MATCH(B593,Mitarbeiter!$A$6:$A$205,0)),0))</f>
        <v/>
      </c>
      <c r="H593" s="8">
        <f>IF(B593="","",IF(ISNA(MATCH(B593,Mitarbeiter!$A$6:$A$205,0)),"Pers.-Nr. unbekannt",IF(A593="","Datum fehlt",IF(AND(D593&lt;&gt;Einstellungen!$C$4,D593&lt;&gt;Einstellungen!$C$5),"Objekt fehlt",IF(YEAR(A593)&lt;&gt;Einstellungen!$C$3,"anderes Jahr",IF(A593&lt;INDEX(Mitarbeiter!$C$6:$C$205,MATCH(B593,Mitarbeiter!$A$6:$A$205,0)),"vor Eintritt",IF(AND(INDEX(Mitarbeiter!$D$6:$D$205,MATCH(B593,Mitarbeiter!$A$6:$A$205,0))&lt;&gt;"",A593&gt;INDEX(Mitarbeiter!$D$6:$D$205,MATCH(B593,Mitarbeiter!$A$6:$A$205,0))),"nach Austritt","ok")))))))</f>
        <v/>
      </c>
    </row>
    <row r="594">
      <c r="A594" s="26" t="n">
        <v>46204</v>
      </c>
      <c r="B594" s="24" t="n">
        <v>1051</v>
      </c>
      <c r="C594" s="40">
        <f>IF(B594="","",IFERROR(INDEX(Mitarbeiter!$B$6:$B$205,MATCH(B594,Mitarbeiter!$A$6:$A$205,0)),"?"))</f>
        <v/>
      </c>
      <c r="D594" s="41" t="inlineStr">
        <is>
          <t>Objekt 2</t>
        </is>
      </c>
      <c r="E594" s="42" t="n">
        <v>184</v>
      </c>
      <c r="F594" s="43" t="n">
        <v>0</v>
      </c>
      <c r="G594" s="44">
        <f>IF(OR(B594="",F594=""),"",IFERROR(F594*INDEX(Mitarbeiter!$F$6:$F$205,MATCH(B594,Mitarbeiter!$A$6:$A$205,0)),0))</f>
        <v/>
      </c>
      <c r="H594" s="8">
        <f>IF(B594="","",IF(ISNA(MATCH(B594,Mitarbeiter!$A$6:$A$205,0)),"Pers.-Nr. unbekannt",IF(A594="","Datum fehlt",IF(AND(D594&lt;&gt;Einstellungen!$C$4,D594&lt;&gt;Einstellungen!$C$5),"Objekt fehlt",IF(YEAR(A594)&lt;&gt;Einstellungen!$C$3,"anderes Jahr",IF(A594&lt;INDEX(Mitarbeiter!$C$6:$C$205,MATCH(B594,Mitarbeiter!$A$6:$A$205,0)),"vor Eintritt",IF(AND(INDEX(Mitarbeiter!$D$6:$D$205,MATCH(B594,Mitarbeiter!$A$6:$A$205,0))&lt;&gt;"",A594&gt;INDEX(Mitarbeiter!$D$6:$D$205,MATCH(B594,Mitarbeiter!$A$6:$A$205,0))),"nach Austritt","ok")))))))</f>
        <v/>
      </c>
    </row>
    <row r="595">
      <c r="A595" s="26" t="n">
        <v>46204</v>
      </c>
      <c r="B595" s="24" t="n">
        <v>1053</v>
      </c>
      <c r="C595" s="40">
        <f>IF(B595="","",IFERROR(INDEX(Mitarbeiter!$B$6:$B$205,MATCH(B595,Mitarbeiter!$A$6:$A$205,0)),"?"))</f>
        <v/>
      </c>
      <c r="D595" s="41" t="inlineStr">
        <is>
          <t>Objekt 1</t>
        </is>
      </c>
      <c r="E595" s="42" t="n">
        <v>54</v>
      </c>
      <c r="F595" s="43" t="n">
        <v>0</v>
      </c>
      <c r="G595" s="44">
        <f>IF(OR(B595="",F595=""),"",IFERROR(F595*INDEX(Mitarbeiter!$F$6:$F$205,MATCH(B595,Mitarbeiter!$A$6:$A$205,0)),0))</f>
        <v/>
      </c>
      <c r="H595" s="8">
        <f>IF(B595="","",IF(ISNA(MATCH(B595,Mitarbeiter!$A$6:$A$205,0)),"Pers.-Nr. unbekannt",IF(A595="","Datum fehlt",IF(AND(D595&lt;&gt;Einstellungen!$C$4,D595&lt;&gt;Einstellungen!$C$5),"Objekt fehlt",IF(YEAR(A595)&lt;&gt;Einstellungen!$C$3,"anderes Jahr",IF(A595&lt;INDEX(Mitarbeiter!$C$6:$C$205,MATCH(B595,Mitarbeiter!$A$6:$A$205,0)),"vor Eintritt",IF(AND(INDEX(Mitarbeiter!$D$6:$D$205,MATCH(B595,Mitarbeiter!$A$6:$A$205,0))&lt;&gt;"",A595&gt;INDEX(Mitarbeiter!$D$6:$D$205,MATCH(B595,Mitarbeiter!$A$6:$A$205,0))),"nach Austritt","ok")))))))</f>
        <v/>
      </c>
    </row>
    <row r="596">
      <c r="A596" s="26" t="n">
        <v>46204</v>
      </c>
      <c r="B596" s="24" t="n">
        <v>1053</v>
      </c>
      <c r="C596" s="40">
        <f>IF(B596="","",IFERROR(INDEX(Mitarbeiter!$B$6:$B$205,MATCH(B596,Mitarbeiter!$A$6:$A$205,0)),"?"))</f>
        <v/>
      </c>
      <c r="D596" s="41" t="inlineStr">
        <is>
          <t>Objekt 2</t>
        </is>
      </c>
      <c r="E596" s="42" t="n">
        <v>82.5</v>
      </c>
      <c r="F596" s="43" t="n">
        <v>0</v>
      </c>
      <c r="G596" s="44">
        <f>IF(OR(B596="",F596=""),"",IFERROR(F596*INDEX(Mitarbeiter!$F$6:$F$205,MATCH(B596,Mitarbeiter!$A$6:$A$205,0)),0))</f>
        <v/>
      </c>
      <c r="H596" s="8">
        <f>IF(B596="","",IF(ISNA(MATCH(B596,Mitarbeiter!$A$6:$A$205,0)),"Pers.-Nr. unbekannt",IF(A596="","Datum fehlt",IF(AND(D596&lt;&gt;Einstellungen!$C$4,D596&lt;&gt;Einstellungen!$C$5),"Objekt fehlt",IF(YEAR(A596)&lt;&gt;Einstellungen!$C$3,"anderes Jahr",IF(A596&lt;INDEX(Mitarbeiter!$C$6:$C$205,MATCH(B596,Mitarbeiter!$A$6:$A$205,0)),"vor Eintritt",IF(AND(INDEX(Mitarbeiter!$D$6:$D$205,MATCH(B596,Mitarbeiter!$A$6:$A$205,0))&lt;&gt;"",A596&gt;INDEX(Mitarbeiter!$D$6:$D$205,MATCH(B596,Mitarbeiter!$A$6:$A$205,0))),"nach Austritt","ok")))))))</f>
        <v/>
      </c>
    </row>
    <row r="597">
      <c r="A597" s="26" t="n">
        <v>46204</v>
      </c>
      <c r="B597" s="24" t="n">
        <v>1054</v>
      </c>
      <c r="C597" s="40">
        <f>IF(B597="","",IFERROR(INDEX(Mitarbeiter!$B$6:$B$205,MATCH(B597,Mitarbeiter!$A$6:$A$205,0)),"?"))</f>
        <v/>
      </c>
      <c r="D597" s="41" t="inlineStr">
        <is>
          <t>Objekt 2</t>
        </is>
      </c>
      <c r="E597" s="42" t="n">
        <v>184</v>
      </c>
      <c r="F597" s="43" t="n">
        <v>0</v>
      </c>
      <c r="G597" s="44">
        <f>IF(OR(B597="",F597=""),"",IFERROR(F597*INDEX(Mitarbeiter!$F$6:$F$205,MATCH(B597,Mitarbeiter!$A$6:$A$205,0)),0))</f>
        <v/>
      </c>
      <c r="H597" s="8">
        <f>IF(B597="","",IF(ISNA(MATCH(B597,Mitarbeiter!$A$6:$A$205,0)),"Pers.-Nr. unbekannt",IF(A597="","Datum fehlt",IF(AND(D597&lt;&gt;Einstellungen!$C$4,D597&lt;&gt;Einstellungen!$C$5),"Objekt fehlt",IF(YEAR(A597)&lt;&gt;Einstellungen!$C$3,"anderes Jahr",IF(A597&lt;INDEX(Mitarbeiter!$C$6:$C$205,MATCH(B597,Mitarbeiter!$A$6:$A$205,0)),"vor Eintritt",IF(AND(INDEX(Mitarbeiter!$D$6:$D$205,MATCH(B597,Mitarbeiter!$A$6:$A$205,0))&lt;&gt;"",A597&gt;INDEX(Mitarbeiter!$D$6:$D$205,MATCH(B597,Mitarbeiter!$A$6:$A$205,0))),"nach Austritt","ok")))))))</f>
        <v/>
      </c>
    </row>
    <row r="598">
      <c r="A598" s="26" t="n">
        <v>46204</v>
      </c>
      <c r="B598" s="24" t="n">
        <v>1055</v>
      </c>
      <c r="C598" s="40">
        <f>IF(B598="","",IFERROR(INDEX(Mitarbeiter!$B$6:$B$205,MATCH(B598,Mitarbeiter!$A$6:$A$205,0)),"?"))</f>
        <v/>
      </c>
      <c r="D598" s="41" t="inlineStr">
        <is>
          <t>Objekt 1</t>
        </is>
      </c>
      <c r="E598" s="42" t="n">
        <v>160</v>
      </c>
      <c r="F598" s="43" t="n">
        <v>3</v>
      </c>
      <c r="G598" s="44">
        <f>IF(OR(B598="",F598=""),"",IFERROR(F598*INDEX(Mitarbeiter!$F$6:$F$205,MATCH(B598,Mitarbeiter!$A$6:$A$205,0)),0))</f>
        <v/>
      </c>
      <c r="H598" s="8">
        <f>IF(B598="","",IF(ISNA(MATCH(B598,Mitarbeiter!$A$6:$A$205,0)),"Pers.-Nr. unbekannt",IF(A598="","Datum fehlt",IF(AND(D598&lt;&gt;Einstellungen!$C$4,D598&lt;&gt;Einstellungen!$C$5),"Objekt fehlt",IF(YEAR(A598)&lt;&gt;Einstellungen!$C$3,"anderes Jahr",IF(A598&lt;INDEX(Mitarbeiter!$C$6:$C$205,MATCH(B598,Mitarbeiter!$A$6:$A$205,0)),"vor Eintritt",IF(AND(INDEX(Mitarbeiter!$D$6:$D$205,MATCH(B598,Mitarbeiter!$A$6:$A$205,0))&lt;&gt;"",A598&gt;INDEX(Mitarbeiter!$D$6:$D$205,MATCH(B598,Mitarbeiter!$A$6:$A$205,0))),"nach Austritt","ok")))))))</f>
        <v/>
      </c>
    </row>
    <row r="599">
      <c r="A599" s="26" t="n">
        <v>46204</v>
      </c>
      <c r="B599" s="24" t="n">
        <v>1059</v>
      </c>
      <c r="C599" s="40">
        <f>IF(B599="","",IFERROR(INDEX(Mitarbeiter!$B$6:$B$205,MATCH(B599,Mitarbeiter!$A$6:$A$205,0)),"?"))</f>
        <v/>
      </c>
      <c r="D599" s="41" t="inlineStr">
        <is>
          <t>Objekt 1</t>
        </is>
      </c>
      <c r="E599" s="42" t="n">
        <v>90.5</v>
      </c>
      <c r="F599" s="43" t="n">
        <v>0</v>
      </c>
      <c r="G599" s="44">
        <f>IF(OR(B599="",F599=""),"",IFERROR(F599*INDEX(Mitarbeiter!$F$6:$F$205,MATCH(B599,Mitarbeiter!$A$6:$A$205,0)),0))</f>
        <v/>
      </c>
      <c r="H599" s="8">
        <f>IF(B599="","",IF(ISNA(MATCH(B599,Mitarbeiter!$A$6:$A$205,0)),"Pers.-Nr. unbekannt",IF(A599="","Datum fehlt",IF(AND(D599&lt;&gt;Einstellungen!$C$4,D599&lt;&gt;Einstellungen!$C$5),"Objekt fehlt",IF(YEAR(A599)&lt;&gt;Einstellungen!$C$3,"anderes Jahr",IF(A599&lt;INDEX(Mitarbeiter!$C$6:$C$205,MATCH(B599,Mitarbeiter!$A$6:$A$205,0)),"vor Eintritt",IF(AND(INDEX(Mitarbeiter!$D$6:$D$205,MATCH(B599,Mitarbeiter!$A$6:$A$205,0))&lt;&gt;"",A599&gt;INDEX(Mitarbeiter!$D$6:$D$205,MATCH(B599,Mitarbeiter!$A$6:$A$205,0))),"nach Austritt","ok")))))))</f>
        <v/>
      </c>
    </row>
    <row r="600">
      <c r="A600" s="26" t="n">
        <v>46204</v>
      </c>
      <c r="B600" s="24" t="n">
        <v>1060</v>
      </c>
      <c r="C600" s="40">
        <f>IF(B600="","",IFERROR(INDEX(Mitarbeiter!$B$6:$B$205,MATCH(B600,Mitarbeiter!$A$6:$A$205,0)),"?"))</f>
        <v/>
      </c>
      <c r="D600" s="41" t="inlineStr">
        <is>
          <t>Objekt 1</t>
        </is>
      </c>
      <c r="E600" s="42" t="n">
        <v>72</v>
      </c>
      <c r="F600" s="43" t="n">
        <v>0</v>
      </c>
      <c r="G600" s="44">
        <f>IF(OR(B600="",F600=""),"",IFERROR(F600*INDEX(Mitarbeiter!$F$6:$F$205,MATCH(B600,Mitarbeiter!$A$6:$A$205,0)),0))</f>
        <v/>
      </c>
      <c r="H600" s="8">
        <f>IF(B600="","",IF(ISNA(MATCH(B600,Mitarbeiter!$A$6:$A$205,0)),"Pers.-Nr. unbekannt",IF(A600="","Datum fehlt",IF(AND(D600&lt;&gt;Einstellungen!$C$4,D600&lt;&gt;Einstellungen!$C$5),"Objekt fehlt",IF(YEAR(A600)&lt;&gt;Einstellungen!$C$3,"anderes Jahr",IF(A600&lt;INDEX(Mitarbeiter!$C$6:$C$205,MATCH(B600,Mitarbeiter!$A$6:$A$205,0)),"vor Eintritt",IF(AND(INDEX(Mitarbeiter!$D$6:$D$205,MATCH(B600,Mitarbeiter!$A$6:$A$205,0))&lt;&gt;"",A600&gt;INDEX(Mitarbeiter!$D$6:$D$205,MATCH(B600,Mitarbeiter!$A$6:$A$205,0))),"nach Austritt","ok")))))))</f>
        <v/>
      </c>
    </row>
    <row r="601">
      <c r="A601" s="26" t="n">
        <v>46204</v>
      </c>
      <c r="B601" s="24" t="n">
        <v>1060</v>
      </c>
      <c r="C601" s="40">
        <f>IF(B601="","",IFERROR(INDEX(Mitarbeiter!$B$6:$B$205,MATCH(B601,Mitarbeiter!$A$6:$A$205,0)),"?"))</f>
        <v/>
      </c>
      <c r="D601" s="41" t="inlineStr">
        <is>
          <t>Objekt 2</t>
        </is>
      </c>
      <c r="E601" s="42" t="n">
        <v>113.5</v>
      </c>
      <c r="F601" s="43" t="n">
        <v>0</v>
      </c>
      <c r="G601" s="44">
        <f>IF(OR(B601="",F601=""),"",IFERROR(F601*INDEX(Mitarbeiter!$F$6:$F$205,MATCH(B601,Mitarbeiter!$A$6:$A$205,0)),0))</f>
        <v/>
      </c>
      <c r="H601" s="8">
        <f>IF(B601="","",IF(ISNA(MATCH(B601,Mitarbeiter!$A$6:$A$205,0)),"Pers.-Nr. unbekannt",IF(A601="","Datum fehlt",IF(AND(D601&lt;&gt;Einstellungen!$C$4,D601&lt;&gt;Einstellungen!$C$5),"Objekt fehlt",IF(YEAR(A601)&lt;&gt;Einstellungen!$C$3,"anderes Jahr",IF(A601&lt;INDEX(Mitarbeiter!$C$6:$C$205,MATCH(B601,Mitarbeiter!$A$6:$A$205,0)),"vor Eintritt",IF(AND(INDEX(Mitarbeiter!$D$6:$D$205,MATCH(B601,Mitarbeiter!$A$6:$A$205,0))&lt;&gt;"",A601&gt;INDEX(Mitarbeiter!$D$6:$D$205,MATCH(B601,Mitarbeiter!$A$6:$A$205,0))),"nach Austritt","ok")))))))</f>
        <v/>
      </c>
    </row>
    <row r="602">
      <c r="A602" s="26" t="n">
        <v>46204</v>
      </c>
      <c r="B602" s="24" t="n">
        <v>1062</v>
      </c>
      <c r="C602" s="40">
        <f>IF(B602="","",IFERROR(INDEX(Mitarbeiter!$B$6:$B$205,MATCH(B602,Mitarbeiter!$A$6:$A$205,0)),"?"))</f>
        <v/>
      </c>
      <c r="D602" s="41" t="inlineStr">
        <is>
          <t>Objekt 1</t>
        </is>
      </c>
      <c r="E602" s="42" t="n">
        <v>72</v>
      </c>
      <c r="F602" s="43" t="n">
        <v>0</v>
      </c>
      <c r="G602" s="44">
        <f>IF(OR(B602="",F602=""),"",IFERROR(F602*INDEX(Mitarbeiter!$F$6:$F$205,MATCH(B602,Mitarbeiter!$A$6:$A$205,0)),0))</f>
        <v/>
      </c>
      <c r="H602" s="8">
        <f>IF(B602="","",IF(ISNA(MATCH(B602,Mitarbeiter!$A$6:$A$205,0)),"Pers.-Nr. unbekannt",IF(A602="","Datum fehlt",IF(AND(D602&lt;&gt;Einstellungen!$C$4,D602&lt;&gt;Einstellungen!$C$5),"Objekt fehlt",IF(YEAR(A602)&lt;&gt;Einstellungen!$C$3,"anderes Jahr",IF(A602&lt;INDEX(Mitarbeiter!$C$6:$C$205,MATCH(B602,Mitarbeiter!$A$6:$A$205,0)),"vor Eintritt",IF(AND(INDEX(Mitarbeiter!$D$6:$D$205,MATCH(B602,Mitarbeiter!$A$6:$A$205,0))&lt;&gt;"",A602&gt;INDEX(Mitarbeiter!$D$6:$D$205,MATCH(B602,Mitarbeiter!$A$6:$A$205,0))),"nach Austritt","ok")))))))</f>
        <v/>
      </c>
    </row>
    <row r="603">
      <c r="A603" s="26" t="n">
        <v>46204</v>
      </c>
      <c r="B603" s="24" t="n">
        <v>1062</v>
      </c>
      <c r="C603" s="40">
        <f>IF(B603="","",IFERROR(INDEX(Mitarbeiter!$B$6:$B$205,MATCH(B603,Mitarbeiter!$A$6:$A$205,0)),"?"))</f>
        <v/>
      </c>
      <c r="D603" s="41" t="inlineStr">
        <is>
          <t>Objekt 2</t>
        </is>
      </c>
      <c r="E603" s="42" t="n">
        <v>110.5</v>
      </c>
      <c r="F603" s="43" t="n">
        <v>0</v>
      </c>
      <c r="G603" s="44">
        <f>IF(OR(B603="",F603=""),"",IFERROR(F603*INDEX(Mitarbeiter!$F$6:$F$205,MATCH(B603,Mitarbeiter!$A$6:$A$205,0)),0))</f>
        <v/>
      </c>
      <c r="H603" s="8">
        <f>IF(B603="","",IF(ISNA(MATCH(B603,Mitarbeiter!$A$6:$A$205,0)),"Pers.-Nr. unbekannt",IF(A603="","Datum fehlt",IF(AND(D603&lt;&gt;Einstellungen!$C$4,D603&lt;&gt;Einstellungen!$C$5),"Objekt fehlt",IF(YEAR(A603)&lt;&gt;Einstellungen!$C$3,"anderes Jahr",IF(A603&lt;INDEX(Mitarbeiter!$C$6:$C$205,MATCH(B603,Mitarbeiter!$A$6:$A$205,0)),"vor Eintritt",IF(AND(INDEX(Mitarbeiter!$D$6:$D$205,MATCH(B603,Mitarbeiter!$A$6:$A$205,0))&lt;&gt;"",A603&gt;INDEX(Mitarbeiter!$D$6:$D$205,MATCH(B603,Mitarbeiter!$A$6:$A$205,0))),"nach Austritt","ok")))))))</f>
        <v/>
      </c>
    </row>
    <row r="604">
      <c r="A604" s="26" t="n">
        <v>46204</v>
      </c>
      <c r="B604" s="24" t="n">
        <v>1063</v>
      </c>
      <c r="C604" s="40">
        <f>IF(B604="","",IFERROR(INDEX(Mitarbeiter!$B$6:$B$205,MATCH(B604,Mitarbeiter!$A$6:$A$205,0)),"?"))</f>
        <v/>
      </c>
      <c r="D604" s="41" t="inlineStr">
        <is>
          <t>Objekt 1</t>
        </is>
      </c>
      <c r="E604" s="42" t="n">
        <v>28.5</v>
      </c>
      <c r="F604" s="43" t="n">
        <v>0</v>
      </c>
      <c r="G604" s="44">
        <f>IF(OR(B604="",F604=""),"",IFERROR(F604*INDEX(Mitarbeiter!$F$6:$F$205,MATCH(B604,Mitarbeiter!$A$6:$A$205,0)),0))</f>
        <v/>
      </c>
      <c r="H604" s="8">
        <f>IF(B604="","",IF(ISNA(MATCH(B604,Mitarbeiter!$A$6:$A$205,0)),"Pers.-Nr. unbekannt",IF(A604="","Datum fehlt",IF(AND(D604&lt;&gt;Einstellungen!$C$4,D604&lt;&gt;Einstellungen!$C$5),"Objekt fehlt",IF(YEAR(A604)&lt;&gt;Einstellungen!$C$3,"anderes Jahr",IF(A604&lt;INDEX(Mitarbeiter!$C$6:$C$205,MATCH(B604,Mitarbeiter!$A$6:$A$205,0)),"vor Eintritt",IF(AND(INDEX(Mitarbeiter!$D$6:$D$205,MATCH(B604,Mitarbeiter!$A$6:$A$205,0))&lt;&gt;"",A604&gt;INDEX(Mitarbeiter!$D$6:$D$205,MATCH(B604,Mitarbeiter!$A$6:$A$205,0))),"nach Austritt","ok")))))))</f>
        <v/>
      </c>
    </row>
    <row r="605">
      <c r="A605" s="26" t="n">
        <v>46204</v>
      </c>
      <c r="B605" s="24" t="n">
        <v>1063</v>
      </c>
      <c r="C605" s="40">
        <f>IF(B605="","",IFERROR(INDEX(Mitarbeiter!$B$6:$B$205,MATCH(B605,Mitarbeiter!$A$6:$A$205,0)),"?"))</f>
        <v/>
      </c>
      <c r="D605" s="41" t="inlineStr">
        <is>
          <t>Objekt 2</t>
        </is>
      </c>
      <c r="E605" s="42" t="n">
        <v>99</v>
      </c>
      <c r="F605" s="43" t="n">
        <v>2</v>
      </c>
      <c r="G605" s="44">
        <f>IF(OR(B605="",F605=""),"",IFERROR(F605*INDEX(Mitarbeiter!$F$6:$F$205,MATCH(B605,Mitarbeiter!$A$6:$A$205,0)),0))</f>
        <v/>
      </c>
      <c r="H605" s="8">
        <f>IF(B605="","",IF(ISNA(MATCH(B605,Mitarbeiter!$A$6:$A$205,0)),"Pers.-Nr. unbekannt",IF(A605="","Datum fehlt",IF(AND(D605&lt;&gt;Einstellungen!$C$4,D605&lt;&gt;Einstellungen!$C$5),"Objekt fehlt",IF(YEAR(A605)&lt;&gt;Einstellungen!$C$3,"anderes Jahr",IF(A605&lt;INDEX(Mitarbeiter!$C$6:$C$205,MATCH(B605,Mitarbeiter!$A$6:$A$205,0)),"vor Eintritt",IF(AND(INDEX(Mitarbeiter!$D$6:$D$205,MATCH(B605,Mitarbeiter!$A$6:$A$205,0))&lt;&gt;"",A605&gt;INDEX(Mitarbeiter!$D$6:$D$205,MATCH(B605,Mitarbeiter!$A$6:$A$205,0))),"nach Austritt","ok")))))))</f>
        <v/>
      </c>
    </row>
    <row r="606">
      <c r="A606" s="26" t="n">
        <v>46204</v>
      </c>
      <c r="B606" s="24" t="n">
        <v>1064</v>
      </c>
      <c r="C606" s="40">
        <f>IF(B606="","",IFERROR(INDEX(Mitarbeiter!$B$6:$B$205,MATCH(B606,Mitarbeiter!$A$6:$A$205,0)),"?"))</f>
        <v/>
      </c>
      <c r="D606" s="41" t="inlineStr">
        <is>
          <t>Objekt 1</t>
        </is>
      </c>
      <c r="E606" s="42" t="n">
        <v>93.5</v>
      </c>
      <c r="F606" s="43" t="n">
        <v>0</v>
      </c>
      <c r="G606" s="44">
        <f>IF(OR(B606="",F606=""),"",IFERROR(F606*INDEX(Mitarbeiter!$F$6:$F$205,MATCH(B606,Mitarbeiter!$A$6:$A$205,0)),0))</f>
        <v/>
      </c>
      <c r="H606" s="8">
        <f>IF(B606="","",IF(ISNA(MATCH(B606,Mitarbeiter!$A$6:$A$205,0)),"Pers.-Nr. unbekannt",IF(A606="","Datum fehlt",IF(AND(D606&lt;&gt;Einstellungen!$C$4,D606&lt;&gt;Einstellungen!$C$5),"Objekt fehlt",IF(YEAR(A606)&lt;&gt;Einstellungen!$C$3,"anderes Jahr",IF(A606&lt;INDEX(Mitarbeiter!$C$6:$C$205,MATCH(B606,Mitarbeiter!$A$6:$A$205,0)),"vor Eintritt",IF(AND(INDEX(Mitarbeiter!$D$6:$D$205,MATCH(B606,Mitarbeiter!$A$6:$A$205,0))&lt;&gt;"",A606&gt;INDEX(Mitarbeiter!$D$6:$D$205,MATCH(B606,Mitarbeiter!$A$6:$A$205,0))),"nach Austritt","ok")))))))</f>
        <v/>
      </c>
    </row>
    <row r="607">
      <c r="A607" s="26" t="n">
        <v>46204</v>
      </c>
      <c r="B607" s="24" t="n">
        <v>1066</v>
      </c>
      <c r="C607" s="40">
        <f>IF(B607="","",IFERROR(INDEX(Mitarbeiter!$B$6:$B$205,MATCH(B607,Mitarbeiter!$A$6:$A$205,0)),"?"))</f>
        <v/>
      </c>
      <c r="D607" s="41" t="inlineStr">
        <is>
          <t>Objekt 1</t>
        </is>
      </c>
      <c r="E607" s="42" t="n">
        <v>71</v>
      </c>
      <c r="F607" s="43" t="n">
        <v>1</v>
      </c>
      <c r="G607" s="44">
        <f>IF(OR(B607="",F607=""),"",IFERROR(F607*INDEX(Mitarbeiter!$F$6:$F$205,MATCH(B607,Mitarbeiter!$A$6:$A$205,0)),0))</f>
        <v/>
      </c>
      <c r="H607" s="8">
        <f>IF(B607="","",IF(ISNA(MATCH(B607,Mitarbeiter!$A$6:$A$205,0)),"Pers.-Nr. unbekannt",IF(A607="","Datum fehlt",IF(AND(D607&lt;&gt;Einstellungen!$C$4,D607&lt;&gt;Einstellungen!$C$5),"Objekt fehlt",IF(YEAR(A607)&lt;&gt;Einstellungen!$C$3,"anderes Jahr",IF(A607&lt;INDEX(Mitarbeiter!$C$6:$C$205,MATCH(B607,Mitarbeiter!$A$6:$A$205,0)),"vor Eintritt",IF(AND(INDEX(Mitarbeiter!$D$6:$D$205,MATCH(B607,Mitarbeiter!$A$6:$A$205,0))&lt;&gt;"",A607&gt;INDEX(Mitarbeiter!$D$6:$D$205,MATCH(B607,Mitarbeiter!$A$6:$A$205,0))),"nach Austritt","ok")))))))</f>
        <v/>
      </c>
    </row>
    <row r="608">
      <c r="A608" s="26" t="n">
        <v>46204</v>
      </c>
      <c r="B608" s="24" t="n">
        <v>1066</v>
      </c>
      <c r="C608" s="40">
        <f>IF(B608="","",IFERROR(INDEX(Mitarbeiter!$B$6:$B$205,MATCH(B608,Mitarbeiter!$A$6:$A$205,0)),"?"))</f>
        <v/>
      </c>
      <c r="D608" s="41" t="inlineStr">
        <is>
          <t>Objekt 2</t>
        </is>
      </c>
      <c r="E608" s="42" t="n">
        <v>20</v>
      </c>
      <c r="F608" s="43" t="n">
        <v>0</v>
      </c>
      <c r="G608" s="44">
        <f>IF(OR(B608="",F608=""),"",IFERROR(F608*INDEX(Mitarbeiter!$F$6:$F$205,MATCH(B608,Mitarbeiter!$A$6:$A$205,0)),0))</f>
        <v/>
      </c>
      <c r="H608" s="8">
        <f>IF(B608="","",IF(ISNA(MATCH(B608,Mitarbeiter!$A$6:$A$205,0)),"Pers.-Nr. unbekannt",IF(A608="","Datum fehlt",IF(AND(D608&lt;&gt;Einstellungen!$C$4,D608&lt;&gt;Einstellungen!$C$5),"Objekt fehlt",IF(YEAR(A608)&lt;&gt;Einstellungen!$C$3,"anderes Jahr",IF(A608&lt;INDEX(Mitarbeiter!$C$6:$C$205,MATCH(B608,Mitarbeiter!$A$6:$A$205,0)),"vor Eintritt",IF(AND(INDEX(Mitarbeiter!$D$6:$D$205,MATCH(B608,Mitarbeiter!$A$6:$A$205,0))&lt;&gt;"",A608&gt;INDEX(Mitarbeiter!$D$6:$D$205,MATCH(B608,Mitarbeiter!$A$6:$A$205,0))),"nach Austritt","ok")))))))</f>
        <v/>
      </c>
    </row>
    <row r="609">
      <c r="A609" s="26" t="n">
        <v>46204</v>
      </c>
      <c r="B609" s="24" t="n">
        <v>1067</v>
      </c>
      <c r="C609" s="40">
        <f>IF(B609="","",IFERROR(INDEX(Mitarbeiter!$B$6:$B$205,MATCH(B609,Mitarbeiter!$A$6:$A$205,0)),"?"))</f>
        <v/>
      </c>
      <c r="D609" s="41" t="inlineStr">
        <is>
          <t>Objekt 1</t>
        </is>
      </c>
      <c r="E609" s="42" t="n">
        <v>32</v>
      </c>
      <c r="F609" s="43" t="n">
        <v>1</v>
      </c>
      <c r="G609" s="44">
        <f>IF(OR(B609="",F609=""),"",IFERROR(F609*INDEX(Mitarbeiter!$F$6:$F$205,MATCH(B609,Mitarbeiter!$A$6:$A$205,0)),0))</f>
        <v/>
      </c>
      <c r="H609" s="8">
        <f>IF(B609="","",IF(ISNA(MATCH(B609,Mitarbeiter!$A$6:$A$205,0)),"Pers.-Nr. unbekannt",IF(A609="","Datum fehlt",IF(AND(D609&lt;&gt;Einstellungen!$C$4,D609&lt;&gt;Einstellungen!$C$5),"Objekt fehlt",IF(YEAR(A609)&lt;&gt;Einstellungen!$C$3,"anderes Jahr",IF(A609&lt;INDEX(Mitarbeiter!$C$6:$C$205,MATCH(B609,Mitarbeiter!$A$6:$A$205,0)),"vor Eintritt",IF(AND(INDEX(Mitarbeiter!$D$6:$D$205,MATCH(B609,Mitarbeiter!$A$6:$A$205,0))&lt;&gt;"",A609&gt;INDEX(Mitarbeiter!$D$6:$D$205,MATCH(B609,Mitarbeiter!$A$6:$A$205,0))),"nach Austritt","ok")))))))</f>
        <v/>
      </c>
    </row>
    <row r="610">
      <c r="A610" s="26" t="n">
        <v>46204</v>
      </c>
      <c r="B610" s="24" t="n">
        <v>1067</v>
      </c>
      <c r="C610" s="40">
        <f>IF(B610="","",IFERROR(INDEX(Mitarbeiter!$B$6:$B$205,MATCH(B610,Mitarbeiter!$A$6:$A$205,0)),"?"))</f>
        <v/>
      </c>
      <c r="D610" s="41" t="inlineStr">
        <is>
          <t>Objekt 2</t>
        </is>
      </c>
      <c r="E610" s="42" t="n">
        <v>48</v>
      </c>
      <c r="F610" s="43" t="n">
        <v>2</v>
      </c>
      <c r="G610" s="44">
        <f>IF(OR(B610="",F610=""),"",IFERROR(F610*INDEX(Mitarbeiter!$F$6:$F$205,MATCH(B610,Mitarbeiter!$A$6:$A$205,0)),0))</f>
        <v/>
      </c>
      <c r="H610" s="8">
        <f>IF(B610="","",IF(ISNA(MATCH(B610,Mitarbeiter!$A$6:$A$205,0)),"Pers.-Nr. unbekannt",IF(A610="","Datum fehlt",IF(AND(D610&lt;&gt;Einstellungen!$C$4,D610&lt;&gt;Einstellungen!$C$5),"Objekt fehlt",IF(YEAR(A610)&lt;&gt;Einstellungen!$C$3,"anderes Jahr",IF(A610&lt;INDEX(Mitarbeiter!$C$6:$C$205,MATCH(B610,Mitarbeiter!$A$6:$A$205,0)),"vor Eintritt",IF(AND(INDEX(Mitarbeiter!$D$6:$D$205,MATCH(B610,Mitarbeiter!$A$6:$A$205,0))&lt;&gt;"",A610&gt;INDEX(Mitarbeiter!$D$6:$D$205,MATCH(B610,Mitarbeiter!$A$6:$A$205,0))),"nach Austritt","ok")))))))</f>
        <v/>
      </c>
    </row>
    <row r="611">
      <c r="A611" s="26" t="n">
        <v>46204</v>
      </c>
      <c r="B611" s="24" t="n">
        <v>1068</v>
      </c>
      <c r="C611" s="40">
        <f>IF(B611="","",IFERROR(INDEX(Mitarbeiter!$B$6:$B$205,MATCH(B611,Mitarbeiter!$A$6:$A$205,0)),"?"))</f>
        <v/>
      </c>
      <c r="D611" s="41" t="inlineStr">
        <is>
          <t>Objekt 1</t>
        </is>
      </c>
      <c r="E611" s="42" t="n">
        <v>97.5</v>
      </c>
      <c r="F611" s="43" t="n">
        <v>2</v>
      </c>
      <c r="G611" s="44">
        <f>IF(OR(B611="",F611=""),"",IFERROR(F611*INDEX(Mitarbeiter!$F$6:$F$205,MATCH(B611,Mitarbeiter!$A$6:$A$205,0)),0))</f>
        <v/>
      </c>
      <c r="H611" s="8">
        <f>IF(B611="","",IF(ISNA(MATCH(B611,Mitarbeiter!$A$6:$A$205,0)),"Pers.-Nr. unbekannt",IF(A611="","Datum fehlt",IF(AND(D611&lt;&gt;Einstellungen!$C$4,D611&lt;&gt;Einstellungen!$C$5),"Objekt fehlt",IF(YEAR(A611)&lt;&gt;Einstellungen!$C$3,"anderes Jahr",IF(A611&lt;INDEX(Mitarbeiter!$C$6:$C$205,MATCH(B611,Mitarbeiter!$A$6:$A$205,0)),"vor Eintritt",IF(AND(INDEX(Mitarbeiter!$D$6:$D$205,MATCH(B611,Mitarbeiter!$A$6:$A$205,0))&lt;&gt;"",A611&gt;INDEX(Mitarbeiter!$D$6:$D$205,MATCH(B611,Mitarbeiter!$A$6:$A$205,0))),"nach Austritt","ok")))))))</f>
        <v/>
      </c>
    </row>
    <row r="612">
      <c r="A612" s="26" t="n">
        <v>46204</v>
      </c>
      <c r="B612" s="24" t="n">
        <v>1068</v>
      </c>
      <c r="C612" s="40">
        <f>IF(B612="","",IFERROR(INDEX(Mitarbeiter!$B$6:$B$205,MATCH(B612,Mitarbeiter!$A$6:$A$205,0)),"?"))</f>
        <v/>
      </c>
      <c r="D612" s="41" t="inlineStr">
        <is>
          <t>Objekt 2</t>
        </is>
      </c>
      <c r="E612" s="42" t="n">
        <v>67</v>
      </c>
      <c r="F612" s="43" t="n">
        <v>1</v>
      </c>
      <c r="G612" s="44">
        <f>IF(OR(B612="",F612=""),"",IFERROR(F612*INDEX(Mitarbeiter!$F$6:$F$205,MATCH(B612,Mitarbeiter!$A$6:$A$205,0)),0))</f>
        <v/>
      </c>
      <c r="H612" s="8">
        <f>IF(B612="","",IF(ISNA(MATCH(B612,Mitarbeiter!$A$6:$A$205,0)),"Pers.-Nr. unbekannt",IF(A612="","Datum fehlt",IF(AND(D612&lt;&gt;Einstellungen!$C$4,D612&lt;&gt;Einstellungen!$C$5),"Objekt fehlt",IF(YEAR(A612)&lt;&gt;Einstellungen!$C$3,"anderes Jahr",IF(A612&lt;INDEX(Mitarbeiter!$C$6:$C$205,MATCH(B612,Mitarbeiter!$A$6:$A$205,0)),"vor Eintritt",IF(AND(INDEX(Mitarbeiter!$D$6:$D$205,MATCH(B612,Mitarbeiter!$A$6:$A$205,0))&lt;&gt;"",A612&gt;INDEX(Mitarbeiter!$D$6:$D$205,MATCH(B612,Mitarbeiter!$A$6:$A$205,0))),"nach Austritt","ok")))))))</f>
        <v/>
      </c>
    </row>
    <row r="613">
      <c r="A613" s="26" t="n">
        <v>46204</v>
      </c>
      <c r="B613" s="24" t="n">
        <v>1070</v>
      </c>
      <c r="C613" s="40">
        <f>IF(B613="","",IFERROR(INDEX(Mitarbeiter!$B$6:$B$205,MATCH(B613,Mitarbeiter!$A$6:$A$205,0)),"?"))</f>
        <v/>
      </c>
      <c r="D613" s="41" t="inlineStr">
        <is>
          <t>Objekt 2</t>
        </is>
      </c>
      <c r="E613" s="42" t="n">
        <v>184</v>
      </c>
      <c r="F613" s="43" t="n">
        <v>0</v>
      </c>
      <c r="G613" s="44">
        <f>IF(OR(B613="",F613=""),"",IFERROR(F613*INDEX(Mitarbeiter!$F$6:$F$205,MATCH(B613,Mitarbeiter!$A$6:$A$205,0)),0))</f>
        <v/>
      </c>
      <c r="H613" s="8">
        <f>IF(B613="","",IF(ISNA(MATCH(B613,Mitarbeiter!$A$6:$A$205,0)),"Pers.-Nr. unbekannt",IF(A613="","Datum fehlt",IF(AND(D613&lt;&gt;Einstellungen!$C$4,D613&lt;&gt;Einstellungen!$C$5),"Objekt fehlt",IF(YEAR(A613)&lt;&gt;Einstellungen!$C$3,"anderes Jahr",IF(A613&lt;INDEX(Mitarbeiter!$C$6:$C$205,MATCH(B613,Mitarbeiter!$A$6:$A$205,0)),"vor Eintritt",IF(AND(INDEX(Mitarbeiter!$D$6:$D$205,MATCH(B613,Mitarbeiter!$A$6:$A$205,0))&lt;&gt;"",A613&gt;INDEX(Mitarbeiter!$D$6:$D$205,MATCH(B613,Mitarbeiter!$A$6:$A$205,0))),"nach Austritt","ok")))))))</f>
        <v/>
      </c>
    </row>
    <row r="614">
      <c r="A614" s="26" t="n">
        <v>46204</v>
      </c>
      <c r="B614" s="24" t="n">
        <v>1071</v>
      </c>
      <c r="C614" s="40">
        <f>IF(B614="","",IFERROR(INDEX(Mitarbeiter!$B$6:$B$205,MATCH(B614,Mitarbeiter!$A$6:$A$205,0)),"?"))</f>
        <v/>
      </c>
      <c r="D614" s="41" t="inlineStr">
        <is>
          <t>Objekt 2</t>
        </is>
      </c>
      <c r="E614" s="42" t="n">
        <v>141</v>
      </c>
      <c r="F614" s="43" t="n">
        <v>0</v>
      </c>
      <c r="G614" s="44">
        <f>IF(OR(B614="",F614=""),"",IFERROR(F614*INDEX(Mitarbeiter!$F$6:$F$205,MATCH(B614,Mitarbeiter!$A$6:$A$205,0)),0))</f>
        <v/>
      </c>
      <c r="H614" s="8">
        <f>IF(B614="","",IF(ISNA(MATCH(B614,Mitarbeiter!$A$6:$A$205,0)),"Pers.-Nr. unbekannt",IF(A614="","Datum fehlt",IF(AND(D614&lt;&gt;Einstellungen!$C$4,D614&lt;&gt;Einstellungen!$C$5),"Objekt fehlt",IF(YEAR(A614)&lt;&gt;Einstellungen!$C$3,"anderes Jahr",IF(A614&lt;INDEX(Mitarbeiter!$C$6:$C$205,MATCH(B614,Mitarbeiter!$A$6:$A$205,0)),"vor Eintritt",IF(AND(INDEX(Mitarbeiter!$D$6:$D$205,MATCH(B614,Mitarbeiter!$A$6:$A$205,0))&lt;&gt;"",A614&gt;INDEX(Mitarbeiter!$D$6:$D$205,MATCH(B614,Mitarbeiter!$A$6:$A$205,0))),"nach Austritt","ok")))))))</f>
        <v/>
      </c>
    </row>
    <row r="615">
      <c r="A615" s="26" t="n">
        <v>46204</v>
      </c>
      <c r="B615" s="24" t="n">
        <v>1072</v>
      </c>
      <c r="C615" s="40">
        <f>IF(B615="","",IFERROR(INDEX(Mitarbeiter!$B$6:$B$205,MATCH(B615,Mitarbeiter!$A$6:$A$205,0)),"?"))</f>
        <v/>
      </c>
      <c r="D615" s="41" t="inlineStr">
        <is>
          <t>Objekt 1</t>
        </is>
      </c>
      <c r="E615" s="42" t="n">
        <v>66</v>
      </c>
      <c r="F615" s="43" t="n">
        <v>1</v>
      </c>
      <c r="G615" s="44">
        <f>IF(OR(B615="",F615=""),"",IFERROR(F615*INDEX(Mitarbeiter!$F$6:$F$205,MATCH(B615,Mitarbeiter!$A$6:$A$205,0)),0))</f>
        <v/>
      </c>
      <c r="H615" s="8">
        <f>IF(B615="","",IF(ISNA(MATCH(B615,Mitarbeiter!$A$6:$A$205,0)),"Pers.-Nr. unbekannt",IF(A615="","Datum fehlt",IF(AND(D615&lt;&gt;Einstellungen!$C$4,D615&lt;&gt;Einstellungen!$C$5),"Objekt fehlt",IF(YEAR(A615)&lt;&gt;Einstellungen!$C$3,"anderes Jahr",IF(A615&lt;INDEX(Mitarbeiter!$C$6:$C$205,MATCH(B615,Mitarbeiter!$A$6:$A$205,0)),"vor Eintritt",IF(AND(INDEX(Mitarbeiter!$D$6:$D$205,MATCH(B615,Mitarbeiter!$A$6:$A$205,0))&lt;&gt;"",A615&gt;INDEX(Mitarbeiter!$D$6:$D$205,MATCH(B615,Mitarbeiter!$A$6:$A$205,0))),"nach Austritt","ok")))))))</f>
        <v/>
      </c>
    </row>
    <row r="616">
      <c r="A616" s="26" t="n">
        <v>46204</v>
      </c>
      <c r="B616" s="24" t="n">
        <v>1072</v>
      </c>
      <c r="C616" s="40">
        <f>IF(B616="","",IFERROR(INDEX(Mitarbeiter!$B$6:$B$205,MATCH(B616,Mitarbeiter!$A$6:$A$205,0)),"?"))</f>
        <v/>
      </c>
      <c r="D616" s="41" t="inlineStr">
        <is>
          <t>Objekt 2</t>
        </is>
      </c>
      <c r="E616" s="42" t="n">
        <v>66</v>
      </c>
      <c r="F616" s="43" t="n">
        <v>0</v>
      </c>
      <c r="G616" s="44">
        <f>IF(OR(B616="",F616=""),"",IFERROR(F616*INDEX(Mitarbeiter!$F$6:$F$205,MATCH(B616,Mitarbeiter!$A$6:$A$205,0)),0))</f>
        <v/>
      </c>
      <c r="H616" s="8">
        <f>IF(B616="","",IF(ISNA(MATCH(B616,Mitarbeiter!$A$6:$A$205,0)),"Pers.-Nr. unbekannt",IF(A616="","Datum fehlt",IF(AND(D616&lt;&gt;Einstellungen!$C$4,D616&lt;&gt;Einstellungen!$C$5),"Objekt fehlt",IF(YEAR(A616)&lt;&gt;Einstellungen!$C$3,"anderes Jahr",IF(A616&lt;INDEX(Mitarbeiter!$C$6:$C$205,MATCH(B616,Mitarbeiter!$A$6:$A$205,0)),"vor Eintritt",IF(AND(INDEX(Mitarbeiter!$D$6:$D$205,MATCH(B616,Mitarbeiter!$A$6:$A$205,0))&lt;&gt;"",A616&gt;INDEX(Mitarbeiter!$D$6:$D$205,MATCH(B616,Mitarbeiter!$A$6:$A$205,0))),"nach Austritt","ok")))))))</f>
        <v/>
      </c>
    </row>
    <row r="617">
      <c r="A617" s="26" t="n">
        <v>46204</v>
      </c>
      <c r="B617" s="24" t="n">
        <v>1074</v>
      </c>
      <c r="C617" s="40">
        <f>IF(B617="","",IFERROR(INDEX(Mitarbeiter!$B$6:$B$205,MATCH(B617,Mitarbeiter!$A$6:$A$205,0)),"?"))</f>
        <v/>
      </c>
      <c r="D617" s="41" t="inlineStr">
        <is>
          <t>Objekt 2</t>
        </is>
      </c>
      <c r="E617" s="42" t="n">
        <v>90.5</v>
      </c>
      <c r="F617" s="43" t="n">
        <v>0</v>
      </c>
      <c r="G617" s="44">
        <f>IF(OR(B617="",F617=""),"",IFERROR(F617*INDEX(Mitarbeiter!$F$6:$F$205,MATCH(B617,Mitarbeiter!$A$6:$A$205,0)),0))</f>
        <v/>
      </c>
      <c r="H617" s="8">
        <f>IF(B617="","",IF(ISNA(MATCH(B617,Mitarbeiter!$A$6:$A$205,0)),"Pers.-Nr. unbekannt",IF(A617="","Datum fehlt",IF(AND(D617&lt;&gt;Einstellungen!$C$4,D617&lt;&gt;Einstellungen!$C$5),"Objekt fehlt",IF(YEAR(A617)&lt;&gt;Einstellungen!$C$3,"anderes Jahr",IF(A617&lt;INDEX(Mitarbeiter!$C$6:$C$205,MATCH(B617,Mitarbeiter!$A$6:$A$205,0)),"vor Eintritt",IF(AND(INDEX(Mitarbeiter!$D$6:$D$205,MATCH(B617,Mitarbeiter!$A$6:$A$205,0))&lt;&gt;"",A617&gt;INDEX(Mitarbeiter!$D$6:$D$205,MATCH(B617,Mitarbeiter!$A$6:$A$205,0))),"nach Austritt","ok")))))))</f>
        <v/>
      </c>
    </row>
    <row r="618">
      <c r="A618" s="26" t="n">
        <v>46218</v>
      </c>
      <c r="B618" s="24" t="n">
        <v>1058</v>
      </c>
      <c r="C618" s="40">
        <f>IF(B618="","",IFERROR(INDEX(Mitarbeiter!$B$6:$B$205,MATCH(B618,Mitarbeiter!$A$6:$A$205,0)),"?"))</f>
        <v/>
      </c>
      <c r="D618" s="41" t="inlineStr">
        <is>
          <t>Objekt 1</t>
        </is>
      </c>
      <c r="E618" s="42" t="n">
        <v>31.5</v>
      </c>
      <c r="F618" s="43" t="n">
        <v>0</v>
      </c>
      <c r="G618" s="44">
        <f>IF(OR(B618="",F618=""),"",IFERROR(F618*INDEX(Mitarbeiter!$F$6:$F$205,MATCH(B618,Mitarbeiter!$A$6:$A$205,0)),0))</f>
        <v/>
      </c>
      <c r="H618" s="8">
        <f>IF(B618="","",IF(ISNA(MATCH(B618,Mitarbeiter!$A$6:$A$205,0)),"Pers.-Nr. unbekannt",IF(A618="","Datum fehlt",IF(AND(D618&lt;&gt;Einstellungen!$C$4,D618&lt;&gt;Einstellungen!$C$5),"Objekt fehlt",IF(YEAR(A618)&lt;&gt;Einstellungen!$C$3,"anderes Jahr",IF(A618&lt;INDEX(Mitarbeiter!$C$6:$C$205,MATCH(B618,Mitarbeiter!$A$6:$A$205,0)),"vor Eintritt",IF(AND(INDEX(Mitarbeiter!$D$6:$D$205,MATCH(B618,Mitarbeiter!$A$6:$A$205,0))&lt;&gt;"",A618&gt;INDEX(Mitarbeiter!$D$6:$D$205,MATCH(B618,Mitarbeiter!$A$6:$A$205,0))),"nach Austritt","ok")))))))</f>
        <v/>
      </c>
    </row>
    <row r="619">
      <c r="A619" s="26" t="n">
        <v>46218</v>
      </c>
      <c r="B619" s="24" t="n">
        <v>1058</v>
      </c>
      <c r="C619" s="40">
        <f>IF(B619="","",IFERROR(INDEX(Mitarbeiter!$B$6:$B$205,MATCH(B619,Mitarbeiter!$A$6:$A$205,0)),"?"))</f>
        <v/>
      </c>
      <c r="D619" s="41" t="inlineStr">
        <is>
          <t>Objekt 2</t>
        </is>
      </c>
      <c r="E619" s="42" t="n">
        <v>49.5</v>
      </c>
      <c r="F619" s="43" t="n">
        <v>0</v>
      </c>
      <c r="G619" s="44">
        <f>IF(OR(B619="",F619=""),"",IFERROR(F619*INDEX(Mitarbeiter!$F$6:$F$205,MATCH(B619,Mitarbeiter!$A$6:$A$205,0)),0))</f>
        <v/>
      </c>
      <c r="H619" s="8">
        <f>IF(B619="","",IF(ISNA(MATCH(B619,Mitarbeiter!$A$6:$A$205,0)),"Pers.-Nr. unbekannt",IF(A619="","Datum fehlt",IF(AND(D619&lt;&gt;Einstellungen!$C$4,D619&lt;&gt;Einstellungen!$C$5),"Objekt fehlt",IF(YEAR(A619)&lt;&gt;Einstellungen!$C$3,"anderes Jahr",IF(A619&lt;INDEX(Mitarbeiter!$C$6:$C$205,MATCH(B619,Mitarbeiter!$A$6:$A$205,0)),"vor Eintritt",IF(AND(INDEX(Mitarbeiter!$D$6:$D$205,MATCH(B619,Mitarbeiter!$A$6:$A$205,0))&lt;&gt;"",A619&gt;INDEX(Mitarbeiter!$D$6:$D$205,MATCH(B619,Mitarbeiter!$A$6:$A$205,0))),"nach Austritt","ok")))))))</f>
        <v/>
      </c>
    </row>
    <row r="620">
      <c r="A620" s="26" t="n">
        <v>46218</v>
      </c>
      <c r="B620" s="24" t="n">
        <v>1076</v>
      </c>
      <c r="C620" s="40">
        <f>IF(B620="","",IFERROR(INDEX(Mitarbeiter!$B$6:$B$205,MATCH(B620,Mitarbeiter!$A$6:$A$205,0)),"?"))</f>
        <v/>
      </c>
      <c r="D620" s="41" t="inlineStr">
        <is>
          <t>Objekt 1</t>
        </is>
      </c>
      <c r="E620" s="42" t="n">
        <v>38.5</v>
      </c>
      <c r="F620" s="43" t="n">
        <v>1</v>
      </c>
      <c r="G620" s="44">
        <f>IF(OR(B620="",F620=""),"",IFERROR(F620*INDEX(Mitarbeiter!$F$6:$F$205,MATCH(B620,Mitarbeiter!$A$6:$A$205,0)),0))</f>
        <v/>
      </c>
      <c r="H620" s="8">
        <f>IF(B620="","",IF(ISNA(MATCH(B620,Mitarbeiter!$A$6:$A$205,0)),"Pers.-Nr. unbekannt",IF(A620="","Datum fehlt",IF(AND(D620&lt;&gt;Einstellungen!$C$4,D620&lt;&gt;Einstellungen!$C$5),"Objekt fehlt",IF(YEAR(A620)&lt;&gt;Einstellungen!$C$3,"anderes Jahr",IF(A620&lt;INDEX(Mitarbeiter!$C$6:$C$205,MATCH(B620,Mitarbeiter!$A$6:$A$205,0)),"vor Eintritt",IF(AND(INDEX(Mitarbeiter!$D$6:$D$205,MATCH(B620,Mitarbeiter!$A$6:$A$205,0))&lt;&gt;"",A620&gt;INDEX(Mitarbeiter!$D$6:$D$205,MATCH(B620,Mitarbeiter!$A$6:$A$205,0))),"nach Austritt","ok")))))))</f>
        <v/>
      </c>
    </row>
    <row r="621">
      <c r="A621" s="26" t="n">
        <v>46218</v>
      </c>
      <c r="B621" s="24" t="n">
        <v>1076</v>
      </c>
      <c r="C621" s="40">
        <f>IF(B621="","",IFERROR(INDEX(Mitarbeiter!$B$6:$B$205,MATCH(B621,Mitarbeiter!$A$6:$A$205,0)),"?"))</f>
        <v/>
      </c>
      <c r="D621" s="41" t="inlineStr">
        <is>
          <t>Objekt 2</t>
        </is>
      </c>
      <c r="E621" s="42" t="n">
        <v>40</v>
      </c>
      <c r="F621" s="43" t="n">
        <v>2</v>
      </c>
      <c r="G621" s="44">
        <f>IF(OR(B621="",F621=""),"",IFERROR(F621*INDEX(Mitarbeiter!$F$6:$F$205,MATCH(B621,Mitarbeiter!$A$6:$A$205,0)),0))</f>
        <v/>
      </c>
      <c r="H621" s="8">
        <f>IF(B621="","",IF(ISNA(MATCH(B621,Mitarbeiter!$A$6:$A$205,0)),"Pers.-Nr. unbekannt",IF(A621="","Datum fehlt",IF(AND(D621&lt;&gt;Einstellungen!$C$4,D621&lt;&gt;Einstellungen!$C$5),"Objekt fehlt",IF(YEAR(A621)&lt;&gt;Einstellungen!$C$3,"anderes Jahr",IF(A621&lt;INDEX(Mitarbeiter!$C$6:$C$205,MATCH(B621,Mitarbeiter!$A$6:$A$205,0)),"vor Eintritt",IF(AND(INDEX(Mitarbeiter!$D$6:$D$205,MATCH(B621,Mitarbeiter!$A$6:$A$205,0))&lt;&gt;"",A621&gt;INDEX(Mitarbeiter!$D$6:$D$205,MATCH(B621,Mitarbeiter!$A$6:$A$205,0))),"nach Austritt","ok")))))))</f>
        <v/>
      </c>
    </row>
    <row r="622">
      <c r="A622" s="26" t="n">
        <v>46235</v>
      </c>
      <c r="B622" s="24" t="n">
        <v>1001</v>
      </c>
      <c r="C622" s="40">
        <f>IF(B622="","",IFERROR(INDEX(Mitarbeiter!$B$6:$B$205,MATCH(B622,Mitarbeiter!$A$6:$A$205,0)),"?"))</f>
        <v/>
      </c>
      <c r="D622" s="41" t="inlineStr">
        <is>
          <t>Objekt 1</t>
        </is>
      </c>
      <c r="E622" s="42" t="n">
        <v>36</v>
      </c>
      <c r="F622" s="43" t="n">
        <v>1</v>
      </c>
      <c r="G622" s="44">
        <f>IF(OR(B622="",F622=""),"",IFERROR(F622*INDEX(Mitarbeiter!$F$6:$F$205,MATCH(B622,Mitarbeiter!$A$6:$A$205,0)),0))</f>
        <v/>
      </c>
      <c r="H622" s="8">
        <f>IF(B622="","",IF(ISNA(MATCH(B622,Mitarbeiter!$A$6:$A$205,0)),"Pers.-Nr. unbekannt",IF(A622="","Datum fehlt",IF(AND(D622&lt;&gt;Einstellungen!$C$4,D622&lt;&gt;Einstellungen!$C$5),"Objekt fehlt",IF(YEAR(A622)&lt;&gt;Einstellungen!$C$3,"anderes Jahr",IF(A622&lt;INDEX(Mitarbeiter!$C$6:$C$205,MATCH(B622,Mitarbeiter!$A$6:$A$205,0)),"vor Eintritt",IF(AND(INDEX(Mitarbeiter!$D$6:$D$205,MATCH(B622,Mitarbeiter!$A$6:$A$205,0))&lt;&gt;"",A622&gt;INDEX(Mitarbeiter!$D$6:$D$205,MATCH(B622,Mitarbeiter!$A$6:$A$205,0))),"nach Austritt","ok")))))))</f>
        <v/>
      </c>
    </row>
    <row r="623">
      <c r="A623" s="26" t="n">
        <v>46235</v>
      </c>
      <c r="B623" s="24" t="n">
        <v>1001</v>
      </c>
      <c r="C623" s="40">
        <f>IF(B623="","",IFERROR(INDEX(Mitarbeiter!$B$6:$B$205,MATCH(B623,Mitarbeiter!$A$6:$A$205,0)),"?"))</f>
        <v/>
      </c>
      <c r="D623" s="41" t="inlineStr">
        <is>
          <t>Objekt 2</t>
        </is>
      </c>
      <c r="E623" s="42" t="n">
        <v>36</v>
      </c>
      <c r="F623" s="43" t="n">
        <v>2</v>
      </c>
      <c r="G623" s="44">
        <f>IF(OR(B623="",F623=""),"",IFERROR(F623*INDEX(Mitarbeiter!$F$6:$F$205,MATCH(B623,Mitarbeiter!$A$6:$A$205,0)),0))</f>
        <v/>
      </c>
      <c r="H623" s="8">
        <f>IF(B623="","",IF(ISNA(MATCH(B623,Mitarbeiter!$A$6:$A$205,0)),"Pers.-Nr. unbekannt",IF(A623="","Datum fehlt",IF(AND(D623&lt;&gt;Einstellungen!$C$4,D623&lt;&gt;Einstellungen!$C$5),"Objekt fehlt",IF(YEAR(A623)&lt;&gt;Einstellungen!$C$3,"anderes Jahr",IF(A623&lt;INDEX(Mitarbeiter!$C$6:$C$205,MATCH(B623,Mitarbeiter!$A$6:$A$205,0)),"vor Eintritt",IF(AND(INDEX(Mitarbeiter!$D$6:$D$205,MATCH(B623,Mitarbeiter!$A$6:$A$205,0))&lt;&gt;"",A623&gt;INDEX(Mitarbeiter!$D$6:$D$205,MATCH(B623,Mitarbeiter!$A$6:$A$205,0))),"nach Austritt","ok")))))))</f>
        <v/>
      </c>
    </row>
    <row r="624">
      <c r="A624" s="26" t="n">
        <v>46235</v>
      </c>
      <c r="B624" s="24" t="n">
        <v>1002</v>
      </c>
      <c r="C624" s="40">
        <f>IF(B624="","",IFERROR(INDEX(Mitarbeiter!$B$6:$B$205,MATCH(B624,Mitarbeiter!$A$6:$A$205,0)),"?"))</f>
        <v/>
      </c>
      <c r="D624" s="41" t="inlineStr">
        <is>
          <t>Objekt 1</t>
        </is>
      </c>
      <c r="E624" s="42" t="n">
        <v>73.5</v>
      </c>
      <c r="F624" s="43" t="n">
        <v>1</v>
      </c>
      <c r="G624" s="44">
        <f>IF(OR(B624="",F624=""),"",IFERROR(F624*INDEX(Mitarbeiter!$F$6:$F$205,MATCH(B624,Mitarbeiter!$A$6:$A$205,0)),0))</f>
        <v/>
      </c>
      <c r="H624" s="8">
        <f>IF(B624="","",IF(ISNA(MATCH(B624,Mitarbeiter!$A$6:$A$205,0)),"Pers.-Nr. unbekannt",IF(A624="","Datum fehlt",IF(AND(D624&lt;&gt;Einstellungen!$C$4,D624&lt;&gt;Einstellungen!$C$5),"Objekt fehlt",IF(YEAR(A624)&lt;&gt;Einstellungen!$C$3,"anderes Jahr",IF(A624&lt;INDEX(Mitarbeiter!$C$6:$C$205,MATCH(B624,Mitarbeiter!$A$6:$A$205,0)),"vor Eintritt",IF(AND(INDEX(Mitarbeiter!$D$6:$D$205,MATCH(B624,Mitarbeiter!$A$6:$A$205,0))&lt;&gt;"",A624&gt;INDEX(Mitarbeiter!$D$6:$D$205,MATCH(B624,Mitarbeiter!$A$6:$A$205,0))),"nach Austritt","ok")))))))</f>
        <v/>
      </c>
    </row>
    <row r="625">
      <c r="A625" s="26" t="n">
        <v>46235</v>
      </c>
      <c r="B625" s="24" t="n">
        <v>1002</v>
      </c>
      <c r="C625" s="40">
        <f>IF(B625="","",IFERROR(INDEX(Mitarbeiter!$B$6:$B$205,MATCH(B625,Mitarbeiter!$A$6:$A$205,0)),"?"))</f>
        <v/>
      </c>
      <c r="D625" s="41" t="inlineStr">
        <is>
          <t>Objekt 2</t>
        </is>
      </c>
      <c r="E625" s="42" t="n">
        <v>49.5</v>
      </c>
      <c r="F625" s="43" t="n">
        <v>0</v>
      </c>
      <c r="G625" s="44">
        <f>IF(OR(B625="",F625=""),"",IFERROR(F625*INDEX(Mitarbeiter!$F$6:$F$205,MATCH(B625,Mitarbeiter!$A$6:$A$205,0)),0))</f>
        <v/>
      </c>
      <c r="H625" s="8">
        <f>IF(B625="","",IF(ISNA(MATCH(B625,Mitarbeiter!$A$6:$A$205,0)),"Pers.-Nr. unbekannt",IF(A625="","Datum fehlt",IF(AND(D625&lt;&gt;Einstellungen!$C$4,D625&lt;&gt;Einstellungen!$C$5),"Objekt fehlt",IF(YEAR(A625)&lt;&gt;Einstellungen!$C$3,"anderes Jahr",IF(A625&lt;INDEX(Mitarbeiter!$C$6:$C$205,MATCH(B625,Mitarbeiter!$A$6:$A$205,0)),"vor Eintritt",IF(AND(INDEX(Mitarbeiter!$D$6:$D$205,MATCH(B625,Mitarbeiter!$A$6:$A$205,0))&lt;&gt;"",A625&gt;INDEX(Mitarbeiter!$D$6:$D$205,MATCH(B625,Mitarbeiter!$A$6:$A$205,0))),"nach Austritt","ok")))))))</f>
        <v/>
      </c>
    </row>
    <row r="626">
      <c r="A626" s="26" t="n">
        <v>46235</v>
      </c>
      <c r="B626" s="24" t="n">
        <v>1003</v>
      </c>
      <c r="C626" s="40">
        <f>IF(B626="","",IFERROR(INDEX(Mitarbeiter!$B$6:$B$205,MATCH(B626,Mitarbeiter!$A$6:$A$205,0)),"?"))</f>
        <v/>
      </c>
      <c r="D626" s="41" t="inlineStr">
        <is>
          <t>Objekt 2</t>
        </is>
      </c>
      <c r="E626" s="42" t="n">
        <v>166.5</v>
      </c>
      <c r="F626" s="43" t="n">
        <v>0</v>
      </c>
      <c r="G626" s="44">
        <f>IF(OR(B626="",F626=""),"",IFERROR(F626*INDEX(Mitarbeiter!$F$6:$F$205,MATCH(B626,Mitarbeiter!$A$6:$A$205,0)),0))</f>
        <v/>
      </c>
      <c r="H626" s="8">
        <f>IF(B626="","",IF(ISNA(MATCH(B626,Mitarbeiter!$A$6:$A$205,0)),"Pers.-Nr. unbekannt",IF(A626="","Datum fehlt",IF(AND(D626&lt;&gt;Einstellungen!$C$4,D626&lt;&gt;Einstellungen!$C$5),"Objekt fehlt",IF(YEAR(A626)&lt;&gt;Einstellungen!$C$3,"anderes Jahr",IF(A626&lt;INDEX(Mitarbeiter!$C$6:$C$205,MATCH(B626,Mitarbeiter!$A$6:$A$205,0)),"vor Eintritt",IF(AND(INDEX(Mitarbeiter!$D$6:$D$205,MATCH(B626,Mitarbeiter!$A$6:$A$205,0))&lt;&gt;"",A626&gt;INDEX(Mitarbeiter!$D$6:$D$205,MATCH(B626,Mitarbeiter!$A$6:$A$205,0))),"nach Austritt","ok")))))))</f>
        <v/>
      </c>
    </row>
    <row r="627">
      <c r="A627" s="26" t="n">
        <v>46235</v>
      </c>
      <c r="B627" s="24" t="n">
        <v>1004</v>
      </c>
      <c r="C627" s="40">
        <f>IF(B627="","",IFERROR(INDEX(Mitarbeiter!$B$6:$B$205,MATCH(B627,Mitarbeiter!$A$6:$A$205,0)),"?"))</f>
        <v/>
      </c>
      <c r="D627" s="41" t="inlineStr">
        <is>
          <t>Objekt 1</t>
        </is>
      </c>
      <c r="E627" s="42" t="n">
        <v>83</v>
      </c>
      <c r="F627" s="43" t="n">
        <v>0</v>
      </c>
      <c r="G627" s="44">
        <f>IF(OR(B627="",F627=""),"",IFERROR(F627*INDEX(Mitarbeiter!$F$6:$F$205,MATCH(B627,Mitarbeiter!$A$6:$A$205,0)),0))</f>
        <v/>
      </c>
      <c r="H627" s="8">
        <f>IF(B627="","",IF(ISNA(MATCH(B627,Mitarbeiter!$A$6:$A$205,0)),"Pers.-Nr. unbekannt",IF(A627="","Datum fehlt",IF(AND(D627&lt;&gt;Einstellungen!$C$4,D627&lt;&gt;Einstellungen!$C$5),"Objekt fehlt",IF(YEAR(A627)&lt;&gt;Einstellungen!$C$3,"anderes Jahr",IF(A627&lt;INDEX(Mitarbeiter!$C$6:$C$205,MATCH(B627,Mitarbeiter!$A$6:$A$205,0)),"vor Eintritt",IF(AND(INDEX(Mitarbeiter!$D$6:$D$205,MATCH(B627,Mitarbeiter!$A$6:$A$205,0))&lt;&gt;"",A627&gt;INDEX(Mitarbeiter!$D$6:$D$205,MATCH(B627,Mitarbeiter!$A$6:$A$205,0))),"nach Austritt","ok")))))))</f>
        <v/>
      </c>
    </row>
    <row r="628">
      <c r="A628" s="26" t="n">
        <v>46235</v>
      </c>
      <c r="B628" s="24" t="n">
        <v>1004</v>
      </c>
      <c r="C628" s="40">
        <f>IF(B628="","",IFERROR(INDEX(Mitarbeiter!$B$6:$B$205,MATCH(B628,Mitarbeiter!$A$6:$A$205,0)),"?"))</f>
        <v/>
      </c>
      <c r="D628" s="41" t="inlineStr">
        <is>
          <t>Objekt 2</t>
        </is>
      </c>
      <c r="E628" s="42" t="n">
        <v>88</v>
      </c>
      <c r="F628" s="43" t="n">
        <v>0</v>
      </c>
      <c r="G628" s="44">
        <f>IF(OR(B628="",F628=""),"",IFERROR(F628*INDEX(Mitarbeiter!$F$6:$F$205,MATCH(B628,Mitarbeiter!$A$6:$A$205,0)),0))</f>
        <v/>
      </c>
      <c r="H628" s="8">
        <f>IF(B628="","",IF(ISNA(MATCH(B628,Mitarbeiter!$A$6:$A$205,0)),"Pers.-Nr. unbekannt",IF(A628="","Datum fehlt",IF(AND(D628&lt;&gt;Einstellungen!$C$4,D628&lt;&gt;Einstellungen!$C$5),"Objekt fehlt",IF(YEAR(A628)&lt;&gt;Einstellungen!$C$3,"anderes Jahr",IF(A628&lt;INDEX(Mitarbeiter!$C$6:$C$205,MATCH(B628,Mitarbeiter!$A$6:$A$205,0)),"vor Eintritt",IF(AND(INDEX(Mitarbeiter!$D$6:$D$205,MATCH(B628,Mitarbeiter!$A$6:$A$205,0))&lt;&gt;"",A628&gt;INDEX(Mitarbeiter!$D$6:$D$205,MATCH(B628,Mitarbeiter!$A$6:$A$205,0))),"nach Austritt","ok")))))))</f>
        <v/>
      </c>
    </row>
    <row r="629">
      <c r="A629" s="26" t="n">
        <v>46235</v>
      </c>
      <c r="B629" s="24" t="n">
        <v>1005</v>
      </c>
      <c r="C629" s="40">
        <f>IF(B629="","",IFERROR(INDEX(Mitarbeiter!$B$6:$B$205,MATCH(B629,Mitarbeiter!$A$6:$A$205,0)),"?"))</f>
        <v/>
      </c>
      <c r="D629" s="41" t="inlineStr">
        <is>
          <t>Objekt 1</t>
        </is>
      </c>
      <c r="E629" s="42" t="n">
        <v>58.5</v>
      </c>
      <c r="F629" s="43" t="n">
        <v>0</v>
      </c>
      <c r="G629" s="44">
        <f>IF(OR(B629="",F629=""),"",IFERROR(F629*INDEX(Mitarbeiter!$F$6:$F$205,MATCH(B629,Mitarbeiter!$A$6:$A$205,0)),0))</f>
        <v/>
      </c>
      <c r="H629" s="8">
        <f>IF(B629="","",IF(ISNA(MATCH(B629,Mitarbeiter!$A$6:$A$205,0)),"Pers.-Nr. unbekannt",IF(A629="","Datum fehlt",IF(AND(D629&lt;&gt;Einstellungen!$C$4,D629&lt;&gt;Einstellungen!$C$5),"Objekt fehlt",IF(YEAR(A629)&lt;&gt;Einstellungen!$C$3,"anderes Jahr",IF(A629&lt;INDEX(Mitarbeiter!$C$6:$C$205,MATCH(B629,Mitarbeiter!$A$6:$A$205,0)),"vor Eintritt",IF(AND(INDEX(Mitarbeiter!$D$6:$D$205,MATCH(B629,Mitarbeiter!$A$6:$A$205,0))&lt;&gt;"",A629&gt;INDEX(Mitarbeiter!$D$6:$D$205,MATCH(B629,Mitarbeiter!$A$6:$A$205,0))),"nach Austritt","ok")))))))</f>
        <v/>
      </c>
    </row>
    <row r="630">
      <c r="A630" s="26" t="n">
        <v>46235</v>
      </c>
      <c r="B630" s="24" t="n">
        <v>1005</v>
      </c>
      <c r="C630" s="40">
        <f>IF(B630="","",IFERROR(INDEX(Mitarbeiter!$B$6:$B$205,MATCH(B630,Mitarbeiter!$A$6:$A$205,0)),"?"))</f>
        <v/>
      </c>
      <c r="D630" s="41" t="inlineStr">
        <is>
          <t>Objekt 2</t>
        </is>
      </c>
      <c r="E630" s="42" t="n">
        <v>66</v>
      </c>
      <c r="F630" s="43" t="n">
        <v>0</v>
      </c>
      <c r="G630" s="44">
        <f>IF(OR(B630="",F630=""),"",IFERROR(F630*INDEX(Mitarbeiter!$F$6:$F$205,MATCH(B630,Mitarbeiter!$A$6:$A$205,0)),0))</f>
        <v/>
      </c>
      <c r="H630" s="8">
        <f>IF(B630="","",IF(ISNA(MATCH(B630,Mitarbeiter!$A$6:$A$205,0)),"Pers.-Nr. unbekannt",IF(A630="","Datum fehlt",IF(AND(D630&lt;&gt;Einstellungen!$C$4,D630&lt;&gt;Einstellungen!$C$5),"Objekt fehlt",IF(YEAR(A630)&lt;&gt;Einstellungen!$C$3,"anderes Jahr",IF(A630&lt;INDEX(Mitarbeiter!$C$6:$C$205,MATCH(B630,Mitarbeiter!$A$6:$A$205,0)),"vor Eintritt",IF(AND(INDEX(Mitarbeiter!$D$6:$D$205,MATCH(B630,Mitarbeiter!$A$6:$A$205,0))&lt;&gt;"",A630&gt;INDEX(Mitarbeiter!$D$6:$D$205,MATCH(B630,Mitarbeiter!$A$6:$A$205,0))),"nach Austritt","ok")))))))</f>
        <v/>
      </c>
    </row>
    <row r="631">
      <c r="A631" s="26" t="n">
        <v>46235</v>
      </c>
      <c r="B631" s="24" t="n">
        <v>1006</v>
      </c>
      <c r="C631" s="40">
        <f>IF(B631="","",IFERROR(INDEX(Mitarbeiter!$B$6:$B$205,MATCH(B631,Mitarbeiter!$A$6:$A$205,0)),"?"))</f>
        <v/>
      </c>
      <c r="D631" s="41" t="inlineStr">
        <is>
          <t>Objekt 1</t>
        </is>
      </c>
      <c r="E631" s="42" t="n">
        <v>99</v>
      </c>
      <c r="F631" s="43" t="n">
        <v>1</v>
      </c>
      <c r="G631" s="44">
        <f>IF(OR(B631="",F631=""),"",IFERROR(F631*INDEX(Mitarbeiter!$F$6:$F$205,MATCH(B631,Mitarbeiter!$A$6:$A$205,0)),0))</f>
        <v/>
      </c>
      <c r="H631" s="8">
        <f>IF(B631="","",IF(ISNA(MATCH(B631,Mitarbeiter!$A$6:$A$205,0)),"Pers.-Nr. unbekannt",IF(A631="","Datum fehlt",IF(AND(D631&lt;&gt;Einstellungen!$C$4,D631&lt;&gt;Einstellungen!$C$5),"Objekt fehlt",IF(YEAR(A631)&lt;&gt;Einstellungen!$C$3,"anderes Jahr",IF(A631&lt;INDEX(Mitarbeiter!$C$6:$C$205,MATCH(B631,Mitarbeiter!$A$6:$A$205,0)),"vor Eintritt",IF(AND(INDEX(Mitarbeiter!$D$6:$D$205,MATCH(B631,Mitarbeiter!$A$6:$A$205,0))&lt;&gt;"",A631&gt;INDEX(Mitarbeiter!$D$6:$D$205,MATCH(B631,Mitarbeiter!$A$6:$A$205,0))),"nach Austritt","ok")))))))</f>
        <v/>
      </c>
    </row>
    <row r="632">
      <c r="A632" s="26" t="n">
        <v>46235</v>
      </c>
      <c r="B632" s="24" t="n">
        <v>1006</v>
      </c>
      <c r="C632" s="40">
        <f>IF(B632="","",IFERROR(INDEX(Mitarbeiter!$B$6:$B$205,MATCH(B632,Mitarbeiter!$A$6:$A$205,0)),"?"))</f>
        <v/>
      </c>
      <c r="D632" s="41" t="inlineStr">
        <is>
          <t>Objekt 2</t>
        </is>
      </c>
      <c r="E632" s="42" t="n">
        <v>65.5</v>
      </c>
      <c r="F632" s="43" t="n">
        <v>0</v>
      </c>
      <c r="G632" s="44">
        <f>IF(OR(B632="",F632=""),"",IFERROR(F632*INDEX(Mitarbeiter!$F$6:$F$205,MATCH(B632,Mitarbeiter!$A$6:$A$205,0)),0))</f>
        <v/>
      </c>
      <c r="H632" s="8">
        <f>IF(B632="","",IF(ISNA(MATCH(B632,Mitarbeiter!$A$6:$A$205,0)),"Pers.-Nr. unbekannt",IF(A632="","Datum fehlt",IF(AND(D632&lt;&gt;Einstellungen!$C$4,D632&lt;&gt;Einstellungen!$C$5),"Objekt fehlt",IF(YEAR(A632)&lt;&gt;Einstellungen!$C$3,"anderes Jahr",IF(A632&lt;INDEX(Mitarbeiter!$C$6:$C$205,MATCH(B632,Mitarbeiter!$A$6:$A$205,0)),"vor Eintritt",IF(AND(INDEX(Mitarbeiter!$D$6:$D$205,MATCH(B632,Mitarbeiter!$A$6:$A$205,0))&lt;&gt;"",A632&gt;INDEX(Mitarbeiter!$D$6:$D$205,MATCH(B632,Mitarbeiter!$A$6:$A$205,0))),"nach Austritt","ok")))))))</f>
        <v/>
      </c>
    </row>
    <row r="633">
      <c r="A633" s="26" t="n">
        <v>46235</v>
      </c>
      <c r="B633" s="24" t="n">
        <v>1007</v>
      </c>
      <c r="C633" s="40">
        <f>IF(B633="","",IFERROR(INDEX(Mitarbeiter!$B$6:$B$205,MATCH(B633,Mitarbeiter!$A$6:$A$205,0)),"?"))</f>
        <v/>
      </c>
      <c r="D633" s="41" t="inlineStr">
        <is>
          <t>Objekt 2</t>
        </is>
      </c>
      <c r="E633" s="42" t="n">
        <v>168</v>
      </c>
      <c r="F633" s="43" t="n">
        <v>0</v>
      </c>
      <c r="G633" s="44">
        <f>IF(OR(B633="",F633=""),"",IFERROR(F633*INDEX(Mitarbeiter!$F$6:$F$205,MATCH(B633,Mitarbeiter!$A$6:$A$205,0)),0))</f>
        <v/>
      </c>
      <c r="H633" s="8">
        <f>IF(B633="","",IF(ISNA(MATCH(B633,Mitarbeiter!$A$6:$A$205,0)),"Pers.-Nr. unbekannt",IF(A633="","Datum fehlt",IF(AND(D633&lt;&gt;Einstellungen!$C$4,D633&lt;&gt;Einstellungen!$C$5),"Objekt fehlt",IF(YEAR(A633)&lt;&gt;Einstellungen!$C$3,"anderes Jahr",IF(A633&lt;INDEX(Mitarbeiter!$C$6:$C$205,MATCH(B633,Mitarbeiter!$A$6:$A$205,0)),"vor Eintritt",IF(AND(INDEX(Mitarbeiter!$D$6:$D$205,MATCH(B633,Mitarbeiter!$A$6:$A$205,0))&lt;&gt;"",A633&gt;INDEX(Mitarbeiter!$D$6:$D$205,MATCH(B633,Mitarbeiter!$A$6:$A$205,0))),"nach Austritt","ok")))))))</f>
        <v/>
      </c>
    </row>
    <row r="634">
      <c r="A634" s="26" t="n">
        <v>46235</v>
      </c>
      <c r="B634" s="24" t="n">
        <v>1008</v>
      </c>
      <c r="C634" s="40">
        <f>IF(B634="","",IFERROR(INDEX(Mitarbeiter!$B$6:$B$205,MATCH(B634,Mitarbeiter!$A$6:$A$205,0)),"?"))</f>
        <v/>
      </c>
      <c r="D634" s="41" t="inlineStr">
        <is>
          <t>Objekt 1</t>
        </is>
      </c>
      <c r="E634" s="42" t="n">
        <v>16</v>
      </c>
      <c r="F634" s="43" t="n">
        <v>0</v>
      </c>
      <c r="G634" s="44">
        <f>IF(OR(B634="",F634=""),"",IFERROR(F634*INDEX(Mitarbeiter!$F$6:$F$205,MATCH(B634,Mitarbeiter!$A$6:$A$205,0)),0))</f>
        <v/>
      </c>
      <c r="H634" s="8">
        <f>IF(B634="","",IF(ISNA(MATCH(B634,Mitarbeiter!$A$6:$A$205,0)),"Pers.-Nr. unbekannt",IF(A634="","Datum fehlt",IF(AND(D634&lt;&gt;Einstellungen!$C$4,D634&lt;&gt;Einstellungen!$C$5),"Objekt fehlt",IF(YEAR(A634)&lt;&gt;Einstellungen!$C$3,"anderes Jahr",IF(A634&lt;INDEX(Mitarbeiter!$C$6:$C$205,MATCH(B634,Mitarbeiter!$A$6:$A$205,0)),"vor Eintritt",IF(AND(INDEX(Mitarbeiter!$D$6:$D$205,MATCH(B634,Mitarbeiter!$A$6:$A$205,0))&lt;&gt;"",A634&gt;INDEX(Mitarbeiter!$D$6:$D$205,MATCH(B634,Mitarbeiter!$A$6:$A$205,0))),"nach Austritt","ok")))))))</f>
        <v/>
      </c>
    </row>
    <row r="635">
      <c r="A635" s="26" t="n">
        <v>46235</v>
      </c>
      <c r="B635" s="24" t="n">
        <v>1008</v>
      </c>
      <c r="C635" s="40">
        <f>IF(B635="","",IFERROR(INDEX(Mitarbeiter!$B$6:$B$205,MATCH(B635,Mitarbeiter!$A$6:$A$205,0)),"?"))</f>
        <v/>
      </c>
      <c r="D635" s="41" t="inlineStr">
        <is>
          <t>Objekt 2</t>
        </is>
      </c>
      <c r="E635" s="42" t="n">
        <v>71</v>
      </c>
      <c r="F635" s="43" t="n">
        <v>0</v>
      </c>
      <c r="G635" s="44">
        <f>IF(OR(B635="",F635=""),"",IFERROR(F635*INDEX(Mitarbeiter!$F$6:$F$205,MATCH(B635,Mitarbeiter!$A$6:$A$205,0)),0))</f>
        <v/>
      </c>
      <c r="H635" s="8">
        <f>IF(B635="","",IF(ISNA(MATCH(B635,Mitarbeiter!$A$6:$A$205,0)),"Pers.-Nr. unbekannt",IF(A635="","Datum fehlt",IF(AND(D635&lt;&gt;Einstellungen!$C$4,D635&lt;&gt;Einstellungen!$C$5),"Objekt fehlt",IF(YEAR(A635)&lt;&gt;Einstellungen!$C$3,"anderes Jahr",IF(A635&lt;INDEX(Mitarbeiter!$C$6:$C$205,MATCH(B635,Mitarbeiter!$A$6:$A$205,0)),"vor Eintritt",IF(AND(INDEX(Mitarbeiter!$D$6:$D$205,MATCH(B635,Mitarbeiter!$A$6:$A$205,0))&lt;&gt;"",A635&gt;INDEX(Mitarbeiter!$D$6:$D$205,MATCH(B635,Mitarbeiter!$A$6:$A$205,0))),"nach Austritt","ok")))))))</f>
        <v/>
      </c>
    </row>
    <row r="636">
      <c r="A636" s="26" t="n">
        <v>46235</v>
      </c>
      <c r="B636" s="24" t="n">
        <v>1009</v>
      </c>
      <c r="C636" s="40">
        <f>IF(B636="","",IFERROR(INDEX(Mitarbeiter!$B$6:$B$205,MATCH(B636,Mitarbeiter!$A$6:$A$205,0)),"?"))</f>
        <v/>
      </c>
      <c r="D636" s="41" t="inlineStr">
        <is>
          <t>Objekt 1</t>
        </is>
      </c>
      <c r="E636" s="42" t="n">
        <v>38.5</v>
      </c>
      <c r="F636" s="43" t="n">
        <v>0</v>
      </c>
      <c r="G636" s="44">
        <f>IF(OR(B636="",F636=""),"",IFERROR(F636*INDEX(Mitarbeiter!$F$6:$F$205,MATCH(B636,Mitarbeiter!$A$6:$A$205,0)),0))</f>
        <v/>
      </c>
      <c r="H636" s="8">
        <f>IF(B636="","",IF(ISNA(MATCH(B636,Mitarbeiter!$A$6:$A$205,0)),"Pers.-Nr. unbekannt",IF(A636="","Datum fehlt",IF(AND(D636&lt;&gt;Einstellungen!$C$4,D636&lt;&gt;Einstellungen!$C$5),"Objekt fehlt",IF(YEAR(A636)&lt;&gt;Einstellungen!$C$3,"anderes Jahr",IF(A636&lt;INDEX(Mitarbeiter!$C$6:$C$205,MATCH(B636,Mitarbeiter!$A$6:$A$205,0)),"vor Eintritt",IF(AND(INDEX(Mitarbeiter!$D$6:$D$205,MATCH(B636,Mitarbeiter!$A$6:$A$205,0))&lt;&gt;"",A636&gt;INDEX(Mitarbeiter!$D$6:$D$205,MATCH(B636,Mitarbeiter!$A$6:$A$205,0))),"nach Austritt","ok")))))))</f>
        <v/>
      </c>
    </row>
    <row r="637">
      <c r="A637" s="26" t="n">
        <v>46235</v>
      </c>
      <c r="B637" s="24" t="n">
        <v>1009</v>
      </c>
      <c r="C637" s="40">
        <f>IF(B637="","",IFERROR(INDEX(Mitarbeiter!$B$6:$B$205,MATCH(B637,Mitarbeiter!$A$6:$A$205,0)),"?"))</f>
        <v/>
      </c>
      <c r="D637" s="41" t="inlineStr">
        <is>
          <t>Objekt 2</t>
        </is>
      </c>
      <c r="E637" s="42" t="n">
        <v>44</v>
      </c>
      <c r="F637" s="43" t="n">
        <v>0</v>
      </c>
      <c r="G637" s="44">
        <f>IF(OR(B637="",F637=""),"",IFERROR(F637*INDEX(Mitarbeiter!$F$6:$F$205,MATCH(B637,Mitarbeiter!$A$6:$A$205,0)),0))</f>
        <v/>
      </c>
      <c r="H637" s="8">
        <f>IF(B637="","",IF(ISNA(MATCH(B637,Mitarbeiter!$A$6:$A$205,0)),"Pers.-Nr. unbekannt",IF(A637="","Datum fehlt",IF(AND(D637&lt;&gt;Einstellungen!$C$4,D637&lt;&gt;Einstellungen!$C$5),"Objekt fehlt",IF(YEAR(A637)&lt;&gt;Einstellungen!$C$3,"anderes Jahr",IF(A637&lt;INDEX(Mitarbeiter!$C$6:$C$205,MATCH(B637,Mitarbeiter!$A$6:$A$205,0)),"vor Eintritt",IF(AND(INDEX(Mitarbeiter!$D$6:$D$205,MATCH(B637,Mitarbeiter!$A$6:$A$205,0))&lt;&gt;"",A637&gt;INDEX(Mitarbeiter!$D$6:$D$205,MATCH(B637,Mitarbeiter!$A$6:$A$205,0))),"nach Austritt","ok")))))))</f>
        <v/>
      </c>
    </row>
    <row r="638">
      <c r="A638" s="26" t="n">
        <v>46235</v>
      </c>
      <c r="B638" s="24" t="n">
        <v>1011</v>
      </c>
      <c r="C638" s="40">
        <f>IF(B638="","",IFERROR(INDEX(Mitarbeiter!$B$6:$B$205,MATCH(B638,Mitarbeiter!$A$6:$A$205,0)),"?"))</f>
        <v/>
      </c>
      <c r="D638" s="41" t="inlineStr">
        <is>
          <t>Objekt 1</t>
        </is>
      </c>
      <c r="E638" s="42" t="n">
        <v>54.5</v>
      </c>
      <c r="F638" s="43" t="n">
        <v>3</v>
      </c>
      <c r="G638" s="44">
        <f>IF(OR(B638="",F638=""),"",IFERROR(F638*INDEX(Mitarbeiter!$F$6:$F$205,MATCH(B638,Mitarbeiter!$A$6:$A$205,0)),0))</f>
        <v/>
      </c>
      <c r="H638" s="8">
        <f>IF(B638="","",IF(ISNA(MATCH(B638,Mitarbeiter!$A$6:$A$205,0)),"Pers.-Nr. unbekannt",IF(A638="","Datum fehlt",IF(AND(D638&lt;&gt;Einstellungen!$C$4,D638&lt;&gt;Einstellungen!$C$5),"Objekt fehlt",IF(YEAR(A638)&lt;&gt;Einstellungen!$C$3,"anderes Jahr",IF(A638&lt;INDEX(Mitarbeiter!$C$6:$C$205,MATCH(B638,Mitarbeiter!$A$6:$A$205,0)),"vor Eintritt",IF(AND(INDEX(Mitarbeiter!$D$6:$D$205,MATCH(B638,Mitarbeiter!$A$6:$A$205,0))&lt;&gt;"",A638&gt;INDEX(Mitarbeiter!$D$6:$D$205,MATCH(B638,Mitarbeiter!$A$6:$A$205,0))),"nach Austritt","ok")))))))</f>
        <v/>
      </c>
    </row>
    <row r="639">
      <c r="A639" s="26" t="n">
        <v>46235</v>
      </c>
      <c r="B639" s="24" t="n">
        <v>1011</v>
      </c>
      <c r="C639" s="40">
        <f>IF(B639="","",IFERROR(INDEX(Mitarbeiter!$B$6:$B$205,MATCH(B639,Mitarbeiter!$A$6:$A$205,0)),"?"))</f>
        <v/>
      </c>
      <c r="D639" s="41" t="inlineStr">
        <is>
          <t>Objekt 2</t>
        </is>
      </c>
      <c r="E639" s="42" t="n">
        <v>64</v>
      </c>
      <c r="F639" s="43" t="n">
        <v>3</v>
      </c>
      <c r="G639" s="44">
        <f>IF(OR(B639="",F639=""),"",IFERROR(F639*INDEX(Mitarbeiter!$F$6:$F$205,MATCH(B639,Mitarbeiter!$A$6:$A$205,0)),0))</f>
        <v/>
      </c>
      <c r="H639" s="8">
        <f>IF(B639="","",IF(ISNA(MATCH(B639,Mitarbeiter!$A$6:$A$205,0)),"Pers.-Nr. unbekannt",IF(A639="","Datum fehlt",IF(AND(D639&lt;&gt;Einstellungen!$C$4,D639&lt;&gt;Einstellungen!$C$5),"Objekt fehlt",IF(YEAR(A639)&lt;&gt;Einstellungen!$C$3,"anderes Jahr",IF(A639&lt;INDEX(Mitarbeiter!$C$6:$C$205,MATCH(B639,Mitarbeiter!$A$6:$A$205,0)),"vor Eintritt",IF(AND(INDEX(Mitarbeiter!$D$6:$D$205,MATCH(B639,Mitarbeiter!$A$6:$A$205,0))&lt;&gt;"",A639&gt;INDEX(Mitarbeiter!$D$6:$D$205,MATCH(B639,Mitarbeiter!$A$6:$A$205,0))),"nach Austritt","ok")))))))</f>
        <v/>
      </c>
    </row>
    <row r="640">
      <c r="A640" s="26" t="n">
        <v>46235</v>
      </c>
      <c r="B640" s="24" t="n">
        <v>1013</v>
      </c>
      <c r="C640" s="40">
        <f>IF(B640="","",IFERROR(INDEX(Mitarbeiter!$B$6:$B$205,MATCH(B640,Mitarbeiter!$A$6:$A$205,0)),"?"))</f>
        <v/>
      </c>
      <c r="D640" s="41" t="inlineStr">
        <is>
          <t>Objekt 1</t>
        </is>
      </c>
      <c r="E640" s="42" t="n">
        <v>97.5</v>
      </c>
      <c r="F640" s="43" t="n">
        <v>1</v>
      </c>
      <c r="G640" s="44">
        <f>IF(OR(B640="",F640=""),"",IFERROR(F640*INDEX(Mitarbeiter!$F$6:$F$205,MATCH(B640,Mitarbeiter!$A$6:$A$205,0)),0))</f>
        <v/>
      </c>
      <c r="H640" s="8">
        <f>IF(B640="","",IF(ISNA(MATCH(B640,Mitarbeiter!$A$6:$A$205,0)),"Pers.-Nr. unbekannt",IF(A640="","Datum fehlt",IF(AND(D640&lt;&gt;Einstellungen!$C$4,D640&lt;&gt;Einstellungen!$C$5),"Objekt fehlt",IF(YEAR(A640)&lt;&gt;Einstellungen!$C$3,"anderes Jahr",IF(A640&lt;INDEX(Mitarbeiter!$C$6:$C$205,MATCH(B640,Mitarbeiter!$A$6:$A$205,0)),"vor Eintritt",IF(AND(INDEX(Mitarbeiter!$D$6:$D$205,MATCH(B640,Mitarbeiter!$A$6:$A$205,0))&lt;&gt;"",A640&gt;INDEX(Mitarbeiter!$D$6:$D$205,MATCH(B640,Mitarbeiter!$A$6:$A$205,0))),"nach Austritt","ok")))))))</f>
        <v/>
      </c>
    </row>
    <row r="641">
      <c r="A641" s="26" t="n">
        <v>46235</v>
      </c>
      <c r="B641" s="24" t="n">
        <v>1013</v>
      </c>
      <c r="C641" s="40">
        <f>IF(B641="","",IFERROR(INDEX(Mitarbeiter!$B$6:$B$205,MATCH(B641,Mitarbeiter!$A$6:$A$205,0)),"?"))</f>
        <v/>
      </c>
      <c r="D641" s="41" t="inlineStr">
        <is>
          <t>Objekt 2</t>
        </is>
      </c>
      <c r="E641" s="42" t="n">
        <v>57.5</v>
      </c>
      <c r="F641" s="43" t="n">
        <v>1</v>
      </c>
      <c r="G641" s="44">
        <f>IF(OR(B641="",F641=""),"",IFERROR(F641*INDEX(Mitarbeiter!$F$6:$F$205,MATCH(B641,Mitarbeiter!$A$6:$A$205,0)),0))</f>
        <v/>
      </c>
      <c r="H641" s="8">
        <f>IF(B641="","",IF(ISNA(MATCH(B641,Mitarbeiter!$A$6:$A$205,0)),"Pers.-Nr. unbekannt",IF(A641="","Datum fehlt",IF(AND(D641&lt;&gt;Einstellungen!$C$4,D641&lt;&gt;Einstellungen!$C$5),"Objekt fehlt",IF(YEAR(A641)&lt;&gt;Einstellungen!$C$3,"anderes Jahr",IF(A641&lt;INDEX(Mitarbeiter!$C$6:$C$205,MATCH(B641,Mitarbeiter!$A$6:$A$205,0)),"vor Eintritt",IF(AND(INDEX(Mitarbeiter!$D$6:$D$205,MATCH(B641,Mitarbeiter!$A$6:$A$205,0))&lt;&gt;"",A641&gt;INDEX(Mitarbeiter!$D$6:$D$205,MATCH(B641,Mitarbeiter!$A$6:$A$205,0))),"nach Austritt","ok")))))))</f>
        <v/>
      </c>
    </row>
    <row r="642">
      <c r="A642" s="26" t="n">
        <v>46235</v>
      </c>
      <c r="B642" s="24" t="n">
        <v>1014</v>
      </c>
      <c r="C642" s="40">
        <f>IF(B642="","",IFERROR(INDEX(Mitarbeiter!$B$6:$B$205,MATCH(B642,Mitarbeiter!$A$6:$A$205,0)),"?"))</f>
        <v/>
      </c>
      <c r="D642" s="41" t="inlineStr">
        <is>
          <t>Objekt 1</t>
        </is>
      </c>
      <c r="E642" s="42" t="n">
        <v>30.5</v>
      </c>
      <c r="F642" s="43" t="n">
        <v>0</v>
      </c>
      <c r="G642" s="44">
        <f>IF(OR(B642="",F642=""),"",IFERROR(F642*INDEX(Mitarbeiter!$F$6:$F$205,MATCH(B642,Mitarbeiter!$A$6:$A$205,0)),0))</f>
        <v/>
      </c>
      <c r="H642" s="8">
        <f>IF(B642="","",IF(ISNA(MATCH(B642,Mitarbeiter!$A$6:$A$205,0)),"Pers.-Nr. unbekannt",IF(A642="","Datum fehlt",IF(AND(D642&lt;&gt;Einstellungen!$C$4,D642&lt;&gt;Einstellungen!$C$5),"Objekt fehlt",IF(YEAR(A642)&lt;&gt;Einstellungen!$C$3,"anderes Jahr",IF(A642&lt;INDEX(Mitarbeiter!$C$6:$C$205,MATCH(B642,Mitarbeiter!$A$6:$A$205,0)),"vor Eintritt",IF(AND(INDEX(Mitarbeiter!$D$6:$D$205,MATCH(B642,Mitarbeiter!$A$6:$A$205,0))&lt;&gt;"",A642&gt;INDEX(Mitarbeiter!$D$6:$D$205,MATCH(B642,Mitarbeiter!$A$6:$A$205,0))),"nach Austritt","ok")))))))</f>
        <v/>
      </c>
    </row>
    <row r="643">
      <c r="A643" s="26" t="n">
        <v>46235</v>
      </c>
      <c r="B643" s="24" t="n">
        <v>1014</v>
      </c>
      <c r="C643" s="40">
        <f>IF(B643="","",IFERROR(INDEX(Mitarbeiter!$B$6:$B$205,MATCH(B643,Mitarbeiter!$A$6:$A$205,0)),"?"))</f>
        <v/>
      </c>
      <c r="D643" s="41" t="inlineStr">
        <is>
          <t>Objekt 2</t>
        </is>
      </c>
      <c r="E643" s="42" t="n">
        <v>126.5</v>
      </c>
      <c r="F643" s="43" t="n">
        <v>1</v>
      </c>
      <c r="G643" s="44">
        <f>IF(OR(B643="",F643=""),"",IFERROR(F643*INDEX(Mitarbeiter!$F$6:$F$205,MATCH(B643,Mitarbeiter!$A$6:$A$205,0)),0))</f>
        <v/>
      </c>
      <c r="H643" s="8">
        <f>IF(B643="","",IF(ISNA(MATCH(B643,Mitarbeiter!$A$6:$A$205,0)),"Pers.-Nr. unbekannt",IF(A643="","Datum fehlt",IF(AND(D643&lt;&gt;Einstellungen!$C$4,D643&lt;&gt;Einstellungen!$C$5),"Objekt fehlt",IF(YEAR(A643)&lt;&gt;Einstellungen!$C$3,"anderes Jahr",IF(A643&lt;INDEX(Mitarbeiter!$C$6:$C$205,MATCH(B643,Mitarbeiter!$A$6:$A$205,0)),"vor Eintritt",IF(AND(INDEX(Mitarbeiter!$D$6:$D$205,MATCH(B643,Mitarbeiter!$A$6:$A$205,0))&lt;&gt;"",A643&gt;INDEX(Mitarbeiter!$D$6:$D$205,MATCH(B643,Mitarbeiter!$A$6:$A$205,0))),"nach Austritt","ok")))))))</f>
        <v/>
      </c>
    </row>
    <row r="644">
      <c r="A644" s="26" t="n">
        <v>46235</v>
      </c>
      <c r="B644" s="24" t="n">
        <v>1017</v>
      </c>
      <c r="C644" s="40">
        <f>IF(B644="","",IFERROR(INDEX(Mitarbeiter!$B$6:$B$205,MATCH(B644,Mitarbeiter!$A$6:$A$205,0)),"?"))</f>
        <v/>
      </c>
      <c r="D644" s="41" t="inlineStr">
        <is>
          <t>Objekt 1</t>
        </is>
      </c>
      <c r="E644" s="42" t="n">
        <v>136</v>
      </c>
      <c r="F644" s="43" t="n">
        <v>0</v>
      </c>
      <c r="G644" s="44">
        <f>IF(OR(B644="",F644=""),"",IFERROR(F644*INDEX(Mitarbeiter!$F$6:$F$205,MATCH(B644,Mitarbeiter!$A$6:$A$205,0)),0))</f>
        <v/>
      </c>
      <c r="H644" s="8">
        <f>IF(B644="","",IF(ISNA(MATCH(B644,Mitarbeiter!$A$6:$A$205,0)),"Pers.-Nr. unbekannt",IF(A644="","Datum fehlt",IF(AND(D644&lt;&gt;Einstellungen!$C$4,D644&lt;&gt;Einstellungen!$C$5),"Objekt fehlt",IF(YEAR(A644)&lt;&gt;Einstellungen!$C$3,"anderes Jahr",IF(A644&lt;INDEX(Mitarbeiter!$C$6:$C$205,MATCH(B644,Mitarbeiter!$A$6:$A$205,0)),"vor Eintritt",IF(AND(INDEX(Mitarbeiter!$D$6:$D$205,MATCH(B644,Mitarbeiter!$A$6:$A$205,0))&lt;&gt;"",A644&gt;INDEX(Mitarbeiter!$D$6:$D$205,MATCH(B644,Mitarbeiter!$A$6:$A$205,0))),"nach Austritt","ok")))))))</f>
        <v/>
      </c>
    </row>
    <row r="645">
      <c r="A645" s="26" t="n">
        <v>46235</v>
      </c>
      <c r="B645" s="24" t="n">
        <v>1017</v>
      </c>
      <c r="C645" s="40">
        <f>IF(B645="","",IFERROR(INDEX(Mitarbeiter!$B$6:$B$205,MATCH(B645,Mitarbeiter!$A$6:$A$205,0)),"?"))</f>
        <v/>
      </c>
      <c r="D645" s="41" t="inlineStr">
        <is>
          <t>Objekt 2</t>
        </is>
      </c>
      <c r="E645" s="42" t="n">
        <v>32</v>
      </c>
      <c r="F645" s="43" t="n">
        <v>0</v>
      </c>
      <c r="G645" s="44">
        <f>IF(OR(B645="",F645=""),"",IFERROR(F645*INDEX(Mitarbeiter!$F$6:$F$205,MATCH(B645,Mitarbeiter!$A$6:$A$205,0)),0))</f>
        <v/>
      </c>
      <c r="H645" s="8">
        <f>IF(B645="","",IF(ISNA(MATCH(B645,Mitarbeiter!$A$6:$A$205,0)),"Pers.-Nr. unbekannt",IF(A645="","Datum fehlt",IF(AND(D645&lt;&gt;Einstellungen!$C$4,D645&lt;&gt;Einstellungen!$C$5),"Objekt fehlt",IF(YEAR(A645)&lt;&gt;Einstellungen!$C$3,"anderes Jahr",IF(A645&lt;INDEX(Mitarbeiter!$C$6:$C$205,MATCH(B645,Mitarbeiter!$A$6:$A$205,0)),"vor Eintritt",IF(AND(INDEX(Mitarbeiter!$D$6:$D$205,MATCH(B645,Mitarbeiter!$A$6:$A$205,0))&lt;&gt;"",A645&gt;INDEX(Mitarbeiter!$D$6:$D$205,MATCH(B645,Mitarbeiter!$A$6:$A$205,0))),"nach Austritt","ok")))))))</f>
        <v/>
      </c>
    </row>
    <row r="646">
      <c r="A646" s="26" t="n">
        <v>46235</v>
      </c>
      <c r="B646" s="24" t="n">
        <v>1019</v>
      </c>
      <c r="C646" s="40">
        <f>IF(B646="","",IFERROR(INDEX(Mitarbeiter!$B$6:$B$205,MATCH(B646,Mitarbeiter!$A$6:$A$205,0)),"?"))</f>
        <v/>
      </c>
      <c r="D646" s="41" t="inlineStr">
        <is>
          <t>Objekt 1</t>
        </is>
      </c>
      <c r="E646" s="42" t="n">
        <v>62.5</v>
      </c>
      <c r="F646" s="43" t="n">
        <v>0</v>
      </c>
      <c r="G646" s="44">
        <f>IF(OR(B646="",F646=""),"",IFERROR(F646*INDEX(Mitarbeiter!$F$6:$F$205,MATCH(B646,Mitarbeiter!$A$6:$A$205,0)),0))</f>
        <v/>
      </c>
      <c r="H646" s="8">
        <f>IF(B646="","",IF(ISNA(MATCH(B646,Mitarbeiter!$A$6:$A$205,0)),"Pers.-Nr. unbekannt",IF(A646="","Datum fehlt",IF(AND(D646&lt;&gt;Einstellungen!$C$4,D646&lt;&gt;Einstellungen!$C$5),"Objekt fehlt",IF(YEAR(A646)&lt;&gt;Einstellungen!$C$3,"anderes Jahr",IF(A646&lt;INDEX(Mitarbeiter!$C$6:$C$205,MATCH(B646,Mitarbeiter!$A$6:$A$205,0)),"vor Eintritt",IF(AND(INDEX(Mitarbeiter!$D$6:$D$205,MATCH(B646,Mitarbeiter!$A$6:$A$205,0))&lt;&gt;"",A646&gt;INDEX(Mitarbeiter!$D$6:$D$205,MATCH(B646,Mitarbeiter!$A$6:$A$205,0))),"nach Austritt","ok")))))))</f>
        <v/>
      </c>
    </row>
    <row r="647">
      <c r="A647" s="26" t="n">
        <v>46235</v>
      </c>
      <c r="B647" s="24" t="n">
        <v>1019</v>
      </c>
      <c r="C647" s="40">
        <f>IF(B647="","",IFERROR(INDEX(Mitarbeiter!$B$6:$B$205,MATCH(B647,Mitarbeiter!$A$6:$A$205,0)),"?"))</f>
        <v/>
      </c>
      <c r="D647" s="41" t="inlineStr">
        <is>
          <t>Objekt 2</t>
        </is>
      </c>
      <c r="E647" s="42" t="n">
        <v>94.5</v>
      </c>
      <c r="F647" s="43" t="n">
        <v>1</v>
      </c>
      <c r="G647" s="44">
        <f>IF(OR(B647="",F647=""),"",IFERROR(F647*INDEX(Mitarbeiter!$F$6:$F$205,MATCH(B647,Mitarbeiter!$A$6:$A$205,0)),0))</f>
        <v/>
      </c>
      <c r="H647" s="8">
        <f>IF(B647="","",IF(ISNA(MATCH(B647,Mitarbeiter!$A$6:$A$205,0)),"Pers.-Nr. unbekannt",IF(A647="","Datum fehlt",IF(AND(D647&lt;&gt;Einstellungen!$C$4,D647&lt;&gt;Einstellungen!$C$5),"Objekt fehlt",IF(YEAR(A647)&lt;&gt;Einstellungen!$C$3,"anderes Jahr",IF(A647&lt;INDEX(Mitarbeiter!$C$6:$C$205,MATCH(B647,Mitarbeiter!$A$6:$A$205,0)),"vor Eintritt",IF(AND(INDEX(Mitarbeiter!$D$6:$D$205,MATCH(B647,Mitarbeiter!$A$6:$A$205,0))&lt;&gt;"",A647&gt;INDEX(Mitarbeiter!$D$6:$D$205,MATCH(B647,Mitarbeiter!$A$6:$A$205,0))),"nach Austritt","ok")))))))</f>
        <v/>
      </c>
    </row>
    <row r="648">
      <c r="A648" s="26" t="n">
        <v>46235</v>
      </c>
      <c r="B648" s="24" t="n">
        <v>1021</v>
      </c>
      <c r="C648" s="40">
        <f>IF(B648="","",IFERROR(INDEX(Mitarbeiter!$B$6:$B$205,MATCH(B648,Mitarbeiter!$A$6:$A$205,0)),"?"))</f>
        <v/>
      </c>
      <c r="D648" s="41" t="inlineStr">
        <is>
          <t>Objekt 1</t>
        </is>
      </c>
      <c r="E648" s="42" t="n">
        <v>83</v>
      </c>
      <c r="F648" s="43" t="n">
        <v>0</v>
      </c>
      <c r="G648" s="44">
        <f>IF(OR(B648="",F648=""),"",IFERROR(F648*INDEX(Mitarbeiter!$F$6:$F$205,MATCH(B648,Mitarbeiter!$A$6:$A$205,0)),0))</f>
        <v/>
      </c>
      <c r="H648" s="8">
        <f>IF(B648="","",IF(ISNA(MATCH(B648,Mitarbeiter!$A$6:$A$205,0)),"Pers.-Nr. unbekannt",IF(A648="","Datum fehlt",IF(AND(D648&lt;&gt;Einstellungen!$C$4,D648&lt;&gt;Einstellungen!$C$5),"Objekt fehlt",IF(YEAR(A648)&lt;&gt;Einstellungen!$C$3,"anderes Jahr",IF(A648&lt;INDEX(Mitarbeiter!$C$6:$C$205,MATCH(B648,Mitarbeiter!$A$6:$A$205,0)),"vor Eintritt",IF(AND(INDEX(Mitarbeiter!$D$6:$D$205,MATCH(B648,Mitarbeiter!$A$6:$A$205,0))&lt;&gt;"",A648&gt;INDEX(Mitarbeiter!$D$6:$D$205,MATCH(B648,Mitarbeiter!$A$6:$A$205,0))),"nach Austritt","ok")))))))</f>
        <v/>
      </c>
    </row>
    <row r="649">
      <c r="A649" s="26" t="n">
        <v>46235</v>
      </c>
      <c r="B649" s="24" t="n">
        <v>1021</v>
      </c>
      <c r="C649" s="40">
        <f>IF(B649="","",IFERROR(INDEX(Mitarbeiter!$B$6:$B$205,MATCH(B649,Mitarbeiter!$A$6:$A$205,0)),"?"))</f>
        <v/>
      </c>
      <c r="D649" s="41" t="inlineStr">
        <is>
          <t>Objekt 2</t>
        </is>
      </c>
      <c r="E649" s="42" t="n">
        <v>89.5</v>
      </c>
      <c r="F649" s="43" t="n">
        <v>0</v>
      </c>
      <c r="G649" s="44">
        <f>IF(OR(B649="",F649=""),"",IFERROR(F649*INDEX(Mitarbeiter!$F$6:$F$205,MATCH(B649,Mitarbeiter!$A$6:$A$205,0)),0))</f>
        <v/>
      </c>
      <c r="H649" s="8">
        <f>IF(B649="","",IF(ISNA(MATCH(B649,Mitarbeiter!$A$6:$A$205,0)),"Pers.-Nr. unbekannt",IF(A649="","Datum fehlt",IF(AND(D649&lt;&gt;Einstellungen!$C$4,D649&lt;&gt;Einstellungen!$C$5),"Objekt fehlt",IF(YEAR(A649)&lt;&gt;Einstellungen!$C$3,"anderes Jahr",IF(A649&lt;INDEX(Mitarbeiter!$C$6:$C$205,MATCH(B649,Mitarbeiter!$A$6:$A$205,0)),"vor Eintritt",IF(AND(INDEX(Mitarbeiter!$D$6:$D$205,MATCH(B649,Mitarbeiter!$A$6:$A$205,0))&lt;&gt;"",A649&gt;INDEX(Mitarbeiter!$D$6:$D$205,MATCH(B649,Mitarbeiter!$A$6:$A$205,0))),"nach Austritt","ok")))))))</f>
        <v/>
      </c>
    </row>
    <row r="650">
      <c r="A650" s="26" t="n">
        <v>46235</v>
      </c>
      <c r="B650" s="24" t="n">
        <v>1022</v>
      </c>
      <c r="C650" s="40">
        <f>IF(B650="","",IFERROR(INDEX(Mitarbeiter!$B$6:$B$205,MATCH(B650,Mitarbeiter!$A$6:$A$205,0)),"?"))</f>
        <v/>
      </c>
      <c r="D650" s="41" t="inlineStr">
        <is>
          <t>Objekt 1</t>
        </is>
      </c>
      <c r="E650" s="42" t="n">
        <v>30.5</v>
      </c>
      <c r="F650" s="43" t="n">
        <v>0</v>
      </c>
      <c r="G650" s="44">
        <f>IF(OR(B650="",F650=""),"",IFERROR(F650*INDEX(Mitarbeiter!$F$6:$F$205,MATCH(B650,Mitarbeiter!$A$6:$A$205,0)),0))</f>
        <v/>
      </c>
      <c r="H650" s="8">
        <f>IF(B650="","",IF(ISNA(MATCH(B650,Mitarbeiter!$A$6:$A$205,0)),"Pers.-Nr. unbekannt",IF(A650="","Datum fehlt",IF(AND(D650&lt;&gt;Einstellungen!$C$4,D650&lt;&gt;Einstellungen!$C$5),"Objekt fehlt",IF(YEAR(A650)&lt;&gt;Einstellungen!$C$3,"anderes Jahr",IF(A650&lt;INDEX(Mitarbeiter!$C$6:$C$205,MATCH(B650,Mitarbeiter!$A$6:$A$205,0)),"vor Eintritt",IF(AND(INDEX(Mitarbeiter!$D$6:$D$205,MATCH(B650,Mitarbeiter!$A$6:$A$205,0))&lt;&gt;"",A650&gt;INDEX(Mitarbeiter!$D$6:$D$205,MATCH(B650,Mitarbeiter!$A$6:$A$205,0))),"nach Austritt","ok")))))))</f>
        <v/>
      </c>
    </row>
    <row r="651">
      <c r="A651" s="26" t="n">
        <v>46235</v>
      </c>
      <c r="B651" s="24" t="n">
        <v>1022</v>
      </c>
      <c r="C651" s="40">
        <f>IF(B651="","",IFERROR(INDEX(Mitarbeiter!$B$6:$B$205,MATCH(B651,Mitarbeiter!$A$6:$A$205,0)),"?"))</f>
        <v/>
      </c>
      <c r="D651" s="41" t="inlineStr">
        <is>
          <t>Objekt 2</t>
        </is>
      </c>
      <c r="E651" s="42" t="n">
        <v>46.5</v>
      </c>
      <c r="F651" s="43" t="n">
        <v>1</v>
      </c>
      <c r="G651" s="44">
        <f>IF(OR(B651="",F651=""),"",IFERROR(F651*INDEX(Mitarbeiter!$F$6:$F$205,MATCH(B651,Mitarbeiter!$A$6:$A$205,0)),0))</f>
        <v/>
      </c>
      <c r="H651" s="8">
        <f>IF(B651="","",IF(ISNA(MATCH(B651,Mitarbeiter!$A$6:$A$205,0)),"Pers.-Nr. unbekannt",IF(A651="","Datum fehlt",IF(AND(D651&lt;&gt;Einstellungen!$C$4,D651&lt;&gt;Einstellungen!$C$5),"Objekt fehlt",IF(YEAR(A651)&lt;&gt;Einstellungen!$C$3,"anderes Jahr",IF(A651&lt;INDEX(Mitarbeiter!$C$6:$C$205,MATCH(B651,Mitarbeiter!$A$6:$A$205,0)),"vor Eintritt",IF(AND(INDEX(Mitarbeiter!$D$6:$D$205,MATCH(B651,Mitarbeiter!$A$6:$A$205,0))&lt;&gt;"",A651&gt;INDEX(Mitarbeiter!$D$6:$D$205,MATCH(B651,Mitarbeiter!$A$6:$A$205,0))),"nach Austritt","ok")))))))</f>
        <v/>
      </c>
    </row>
    <row r="652">
      <c r="A652" s="26" t="n">
        <v>46235</v>
      </c>
      <c r="B652" s="24" t="n">
        <v>1024</v>
      </c>
      <c r="C652" s="40">
        <f>IF(B652="","",IFERROR(INDEX(Mitarbeiter!$B$6:$B$205,MATCH(B652,Mitarbeiter!$A$6:$A$205,0)),"?"))</f>
        <v/>
      </c>
      <c r="D652" s="41" t="inlineStr">
        <is>
          <t>Objekt 1</t>
        </is>
      </c>
      <c r="E652" s="42" t="n">
        <v>62.5</v>
      </c>
      <c r="F652" s="43" t="n">
        <v>0</v>
      </c>
      <c r="G652" s="44">
        <f>IF(OR(B652="",F652=""),"",IFERROR(F652*INDEX(Mitarbeiter!$F$6:$F$205,MATCH(B652,Mitarbeiter!$A$6:$A$205,0)),0))</f>
        <v/>
      </c>
      <c r="H652" s="8">
        <f>IF(B652="","",IF(ISNA(MATCH(B652,Mitarbeiter!$A$6:$A$205,0)),"Pers.-Nr. unbekannt",IF(A652="","Datum fehlt",IF(AND(D652&lt;&gt;Einstellungen!$C$4,D652&lt;&gt;Einstellungen!$C$5),"Objekt fehlt",IF(YEAR(A652)&lt;&gt;Einstellungen!$C$3,"anderes Jahr",IF(A652&lt;INDEX(Mitarbeiter!$C$6:$C$205,MATCH(B652,Mitarbeiter!$A$6:$A$205,0)),"vor Eintritt",IF(AND(INDEX(Mitarbeiter!$D$6:$D$205,MATCH(B652,Mitarbeiter!$A$6:$A$205,0))&lt;&gt;"",A652&gt;INDEX(Mitarbeiter!$D$6:$D$205,MATCH(B652,Mitarbeiter!$A$6:$A$205,0))),"nach Austritt","ok")))))))</f>
        <v/>
      </c>
    </row>
    <row r="653">
      <c r="A653" s="26" t="n">
        <v>46235</v>
      </c>
      <c r="B653" s="24" t="n">
        <v>1024</v>
      </c>
      <c r="C653" s="40">
        <f>IF(B653="","",IFERROR(INDEX(Mitarbeiter!$B$6:$B$205,MATCH(B653,Mitarbeiter!$A$6:$A$205,0)),"?"))</f>
        <v/>
      </c>
      <c r="D653" s="41" t="inlineStr">
        <is>
          <t>Objekt 2</t>
        </is>
      </c>
      <c r="E653" s="42" t="n">
        <v>102.5</v>
      </c>
      <c r="F653" s="43" t="n">
        <v>0</v>
      </c>
      <c r="G653" s="44">
        <f>IF(OR(B653="",F653=""),"",IFERROR(F653*INDEX(Mitarbeiter!$F$6:$F$205,MATCH(B653,Mitarbeiter!$A$6:$A$205,0)),0))</f>
        <v/>
      </c>
      <c r="H653" s="8">
        <f>IF(B653="","",IF(ISNA(MATCH(B653,Mitarbeiter!$A$6:$A$205,0)),"Pers.-Nr. unbekannt",IF(A653="","Datum fehlt",IF(AND(D653&lt;&gt;Einstellungen!$C$4,D653&lt;&gt;Einstellungen!$C$5),"Objekt fehlt",IF(YEAR(A653)&lt;&gt;Einstellungen!$C$3,"anderes Jahr",IF(A653&lt;INDEX(Mitarbeiter!$C$6:$C$205,MATCH(B653,Mitarbeiter!$A$6:$A$205,0)),"vor Eintritt",IF(AND(INDEX(Mitarbeiter!$D$6:$D$205,MATCH(B653,Mitarbeiter!$A$6:$A$205,0))&lt;&gt;"",A653&gt;INDEX(Mitarbeiter!$D$6:$D$205,MATCH(B653,Mitarbeiter!$A$6:$A$205,0))),"nach Austritt","ok")))))))</f>
        <v/>
      </c>
    </row>
    <row r="654">
      <c r="A654" s="26" t="n">
        <v>46235</v>
      </c>
      <c r="B654" s="24" t="n">
        <v>1027</v>
      </c>
      <c r="C654" s="40">
        <f>IF(B654="","",IFERROR(INDEX(Mitarbeiter!$B$6:$B$205,MATCH(B654,Mitarbeiter!$A$6:$A$205,0)),"?"))</f>
        <v/>
      </c>
      <c r="D654" s="41" t="inlineStr">
        <is>
          <t>Objekt 1</t>
        </is>
      </c>
      <c r="E654" s="42" t="n">
        <v>54</v>
      </c>
      <c r="F654" s="43" t="n">
        <v>1</v>
      </c>
      <c r="G654" s="44">
        <f>IF(OR(B654="",F654=""),"",IFERROR(F654*INDEX(Mitarbeiter!$F$6:$F$205,MATCH(B654,Mitarbeiter!$A$6:$A$205,0)),0))</f>
        <v/>
      </c>
      <c r="H654" s="8">
        <f>IF(B654="","",IF(ISNA(MATCH(B654,Mitarbeiter!$A$6:$A$205,0)),"Pers.-Nr. unbekannt",IF(A654="","Datum fehlt",IF(AND(D654&lt;&gt;Einstellungen!$C$4,D654&lt;&gt;Einstellungen!$C$5),"Objekt fehlt",IF(YEAR(A654)&lt;&gt;Einstellungen!$C$3,"anderes Jahr",IF(A654&lt;INDEX(Mitarbeiter!$C$6:$C$205,MATCH(B654,Mitarbeiter!$A$6:$A$205,0)),"vor Eintritt",IF(AND(INDEX(Mitarbeiter!$D$6:$D$205,MATCH(B654,Mitarbeiter!$A$6:$A$205,0))&lt;&gt;"",A654&gt;INDEX(Mitarbeiter!$D$6:$D$205,MATCH(B654,Mitarbeiter!$A$6:$A$205,0))),"nach Austritt","ok")))))))</f>
        <v/>
      </c>
    </row>
    <row r="655">
      <c r="A655" s="26" t="n">
        <v>46235</v>
      </c>
      <c r="B655" s="24" t="n">
        <v>1027</v>
      </c>
      <c r="C655" s="40">
        <f>IF(B655="","",IFERROR(INDEX(Mitarbeiter!$B$6:$B$205,MATCH(B655,Mitarbeiter!$A$6:$A$205,0)),"?"))</f>
        <v/>
      </c>
      <c r="D655" s="41" t="inlineStr">
        <is>
          <t>Objekt 2</t>
        </is>
      </c>
      <c r="E655" s="42" t="n">
        <v>57</v>
      </c>
      <c r="F655" s="43" t="n">
        <v>2</v>
      </c>
      <c r="G655" s="44">
        <f>IF(OR(B655="",F655=""),"",IFERROR(F655*INDEX(Mitarbeiter!$F$6:$F$205,MATCH(B655,Mitarbeiter!$A$6:$A$205,0)),0))</f>
        <v/>
      </c>
      <c r="H655" s="8">
        <f>IF(B655="","",IF(ISNA(MATCH(B655,Mitarbeiter!$A$6:$A$205,0)),"Pers.-Nr. unbekannt",IF(A655="","Datum fehlt",IF(AND(D655&lt;&gt;Einstellungen!$C$4,D655&lt;&gt;Einstellungen!$C$5),"Objekt fehlt",IF(YEAR(A655)&lt;&gt;Einstellungen!$C$3,"anderes Jahr",IF(A655&lt;INDEX(Mitarbeiter!$C$6:$C$205,MATCH(B655,Mitarbeiter!$A$6:$A$205,0)),"vor Eintritt",IF(AND(INDEX(Mitarbeiter!$D$6:$D$205,MATCH(B655,Mitarbeiter!$A$6:$A$205,0))&lt;&gt;"",A655&gt;INDEX(Mitarbeiter!$D$6:$D$205,MATCH(B655,Mitarbeiter!$A$6:$A$205,0))),"nach Austritt","ok")))))))</f>
        <v/>
      </c>
    </row>
    <row r="656">
      <c r="A656" s="26" t="n">
        <v>46235</v>
      </c>
      <c r="B656" s="24" t="n">
        <v>1029</v>
      </c>
      <c r="C656" s="40">
        <f>IF(B656="","",IFERROR(INDEX(Mitarbeiter!$B$6:$B$205,MATCH(B656,Mitarbeiter!$A$6:$A$205,0)),"?"))</f>
        <v/>
      </c>
      <c r="D656" s="41" t="inlineStr">
        <is>
          <t>Objekt 1</t>
        </is>
      </c>
      <c r="E656" s="42" t="n">
        <v>158.5</v>
      </c>
      <c r="F656" s="43" t="n">
        <v>1</v>
      </c>
      <c r="G656" s="44">
        <f>IF(OR(B656="",F656=""),"",IFERROR(F656*INDEX(Mitarbeiter!$F$6:$F$205,MATCH(B656,Mitarbeiter!$A$6:$A$205,0)),0))</f>
        <v/>
      </c>
      <c r="H656" s="8">
        <f>IF(B656="","",IF(ISNA(MATCH(B656,Mitarbeiter!$A$6:$A$205,0)),"Pers.-Nr. unbekannt",IF(A656="","Datum fehlt",IF(AND(D656&lt;&gt;Einstellungen!$C$4,D656&lt;&gt;Einstellungen!$C$5),"Objekt fehlt",IF(YEAR(A656)&lt;&gt;Einstellungen!$C$3,"anderes Jahr",IF(A656&lt;INDEX(Mitarbeiter!$C$6:$C$205,MATCH(B656,Mitarbeiter!$A$6:$A$205,0)),"vor Eintritt",IF(AND(INDEX(Mitarbeiter!$D$6:$D$205,MATCH(B656,Mitarbeiter!$A$6:$A$205,0))&lt;&gt;"",A656&gt;INDEX(Mitarbeiter!$D$6:$D$205,MATCH(B656,Mitarbeiter!$A$6:$A$205,0))),"nach Austritt","ok")))))))</f>
        <v/>
      </c>
    </row>
    <row r="657">
      <c r="A657" s="26" t="n">
        <v>46235</v>
      </c>
      <c r="B657" s="24" t="n">
        <v>1030</v>
      </c>
      <c r="C657" s="40">
        <f>IF(B657="","",IFERROR(INDEX(Mitarbeiter!$B$6:$B$205,MATCH(B657,Mitarbeiter!$A$6:$A$205,0)),"?"))</f>
        <v/>
      </c>
      <c r="D657" s="41" t="inlineStr">
        <is>
          <t>Objekt 2</t>
        </is>
      </c>
      <c r="E657" s="42" t="n">
        <v>126</v>
      </c>
      <c r="F657" s="43" t="n">
        <v>0</v>
      </c>
      <c r="G657" s="44">
        <f>IF(OR(B657="",F657=""),"",IFERROR(F657*INDEX(Mitarbeiter!$F$6:$F$205,MATCH(B657,Mitarbeiter!$A$6:$A$205,0)),0))</f>
        <v/>
      </c>
      <c r="H657" s="8">
        <f>IF(B657="","",IF(ISNA(MATCH(B657,Mitarbeiter!$A$6:$A$205,0)),"Pers.-Nr. unbekannt",IF(A657="","Datum fehlt",IF(AND(D657&lt;&gt;Einstellungen!$C$4,D657&lt;&gt;Einstellungen!$C$5),"Objekt fehlt",IF(YEAR(A657)&lt;&gt;Einstellungen!$C$3,"anderes Jahr",IF(A657&lt;INDEX(Mitarbeiter!$C$6:$C$205,MATCH(B657,Mitarbeiter!$A$6:$A$205,0)),"vor Eintritt",IF(AND(INDEX(Mitarbeiter!$D$6:$D$205,MATCH(B657,Mitarbeiter!$A$6:$A$205,0))&lt;&gt;"",A657&gt;INDEX(Mitarbeiter!$D$6:$D$205,MATCH(B657,Mitarbeiter!$A$6:$A$205,0))),"nach Austritt","ok")))))))</f>
        <v/>
      </c>
    </row>
    <row r="658">
      <c r="A658" s="26" t="n">
        <v>46235</v>
      </c>
      <c r="B658" s="24" t="n">
        <v>1031</v>
      </c>
      <c r="C658" s="40">
        <f>IF(B658="","",IFERROR(INDEX(Mitarbeiter!$B$6:$B$205,MATCH(B658,Mitarbeiter!$A$6:$A$205,0)),"?"))</f>
        <v/>
      </c>
      <c r="D658" s="41" t="inlineStr">
        <is>
          <t>Objekt 2</t>
        </is>
      </c>
      <c r="E658" s="42" t="n">
        <v>158.5</v>
      </c>
      <c r="F658" s="43" t="n">
        <v>1</v>
      </c>
      <c r="G658" s="44">
        <f>IF(OR(B658="",F658=""),"",IFERROR(F658*INDEX(Mitarbeiter!$F$6:$F$205,MATCH(B658,Mitarbeiter!$A$6:$A$205,0)),0))</f>
        <v/>
      </c>
      <c r="H658" s="8">
        <f>IF(B658="","",IF(ISNA(MATCH(B658,Mitarbeiter!$A$6:$A$205,0)),"Pers.-Nr. unbekannt",IF(A658="","Datum fehlt",IF(AND(D658&lt;&gt;Einstellungen!$C$4,D658&lt;&gt;Einstellungen!$C$5),"Objekt fehlt",IF(YEAR(A658)&lt;&gt;Einstellungen!$C$3,"anderes Jahr",IF(A658&lt;INDEX(Mitarbeiter!$C$6:$C$205,MATCH(B658,Mitarbeiter!$A$6:$A$205,0)),"vor Eintritt",IF(AND(INDEX(Mitarbeiter!$D$6:$D$205,MATCH(B658,Mitarbeiter!$A$6:$A$205,0))&lt;&gt;"",A658&gt;INDEX(Mitarbeiter!$D$6:$D$205,MATCH(B658,Mitarbeiter!$A$6:$A$205,0))),"nach Austritt","ok")))))))</f>
        <v/>
      </c>
    </row>
    <row r="659">
      <c r="A659" s="26" t="n">
        <v>46235</v>
      </c>
      <c r="B659" s="24" t="n">
        <v>1033</v>
      </c>
      <c r="C659" s="40">
        <f>IF(B659="","",IFERROR(INDEX(Mitarbeiter!$B$6:$B$205,MATCH(B659,Mitarbeiter!$A$6:$A$205,0)),"?"))</f>
        <v/>
      </c>
      <c r="D659" s="41" t="inlineStr">
        <is>
          <t>Objekt 1</t>
        </is>
      </c>
      <c r="E659" s="42" t="n">
        <v>166.5</v>
      </c>
      <c r="F659" s="43" t="n">
        <v>0</v>
      </c>
      <c r="G659" s="44">
        <f>IF(OR(B659="",F659=""),"",IFERROR(F659*INDEX(Mitarbeiter!$F$6:$F$205,MATCH(B659,Mitarbeiter!$A$6:$A$205,0)),0))</f>
        <v/>
      </c>
      <c r="H659" s="8">
        <f>IF(B659="","",IF(ISNA(MATCH(B659,Mitarbeiter!$A$6:$A$205,0)),"Pers.-Nr. unbekannt",IF(A659="","Datum fehlt",IF(AND(D659&lt;&gt;Einstellungen!$C$4,D659&lt;&gt;Einstellungen!$C$5),"Objekt fehlt",IF(YEAR(A659)&lt;&gt;Einstellungen!$C$3,"anderes Jahr",IF(A659&lt;INDEX(Mitarbeiter!$C$6:$C$205,MATCH(B659,Mitarbeiter!$A$6:$A$205,0)),"vor Eintritt",IF(AND(INDEX(Mitarbeiter!$D$6:$D$205,MATCH(B659,Mitarbeiter!$A$6:$A$205,0))&lt;&gt;"",A659&gt;INDEX(Mitarbeiter!$D$6:$D$205,MATCH(B659,Mitarbeiter!$A$6:$A$205,0))),"nach Austritt","ok")))))))</f>
        <v/>
      </c>
    </row>
    <row r="660">
      <c r="A660" s="26" t="n">
        <v>46235</v>
      </c>
      <c r="B660" s="24" t="n">
        <v>1034</v>
      </c>
      <c r="C660" s="40">
        <f>IF(B660="","",IFERROR(INDEX(Mitarbeiter!$B$6:$B$205,MATCH(B660,Mitarbeiter!$A$6:$A$205,0)),"?"))</f>
        <v/>
      </c>
      <c r="D660" s="41" t="inlineStr">
        <is>
          <t>Objekt 1</t>
        </is>
      </c>
      <c r="E660" s="42" t="n">
        <v>48</v>
      </c>
      <c r="F660" s="43" t="n">
        <v>0</v>
      </c>
      <c r="G660" s="44">
        <f>IF(OR(B660="",F660=""),"",IFERROR(F660*INDEX(Mitarbeiter!$F$6:$F$205,MATCH(B660,Mitarbeiter!$A$6:$A$205,0)),0))</f>
        <v/>
      </c>
      <c r="H660" s="8">
        <f>IF(B660="","",IF(ISNA(MATCH(B660,Mitarbeiter!$A$6:$A$205,0)),"Pers.-Nr. unbekannt",IF(A660="","Datum fehlt",IF(AND(D660&lt;&gt;Einstellungen!$C$4,D660&lt;&gt;Einstellungen!$C$5),"Objekt fehlt",IF(YEAR(A660)&lt;&gt;Einstellungen!$C$3,"anderes Jahr",IF(A660&lt;INDEX(Mitarbeiter!$C$6:$C$205,MATCH(B660,Mitarbeiter!$A$6:$A$205,0)),"vor Eintritt",IF(AND(INDEX(Mitarbeiter!$D$6:$D$205,MATCH(B660,Mitarbeiter!$A$6:$A$205,0))&lt;&gt;"",A660&gt;INDEX(Mitarbeiter!$D$6:$D$205,MATCH(B660,Mitarbeiter!$A$6:$A$205,0))),"nach Austritt","ok")))))))</f>
        <v/>
      </c>
    </row>
    <row r="661">
      <c r="A661" s="26" t="n">
        <v>46235</v>
      </c>
      <c r="B661" s="24" t="n">
        <v>1034</v>
      </c>
      <c r="C661" s="40">
        <f>IF(B661="","",IFERROR(INDEX(Mitarbeiter!$B$6:$B$205,MATCH(B661,Mitarbeiter!$A$6:$A$205,0)),"?"))</f>
        <v/>
      </c>
      <c r="D661" s="41" t="inlineStr">
        <is>
          <t>Objekt 2</t>
        </is>
      </c>
      <c r="E661" s="42" t="n">
        <v>78</v>
      </c>
      <c r="F661" s="43" t="n">
        <v>0</v>
      </c>
      <c r="G661" s="44">
        <f>IF(OR(B661="",F661=""),"",IFERROR(F661*INDEX(Mitarbeiter!$F$6:$F$205,MATCH(B661,Mitarbeiter!$A$6:$A$205,0)),0))</f>
        <v/>
      </c>
      <c r="H661" s="8">
        <f>IF(B661="","",IF(ISNA(MATCH(B661,Mitarbeiter!$A$6:$A$205,0)),"Pers.-Nr. unbekannt",IF(A661="","Datum fehlt",IF(AND(D661&lt;&gt;Einstellungen!$C$4,D661&lt;&gt;Einstellungen!$C$5),"Objekt fehlt",IF(YEAR(A661)&lt;&gt;Einstellungen!$C$3,"anderes Jahr",IF(A661&lt;INDEX(Mitarbeiter!$C$6:$C$205,MATCH(B661,Mitarbeiter!$A$6:$A$205,0)),"vor Eintritt",IF(AND(INDEX(Mitarbeiter!$D$6:$D$205,MATCH(B661,Mitarbeiter!$A$6:$A$205,0))&lt;&gt;"",A661&gt;INDEX(Mitarbeiter!$D$6:$D$205,MATCH(B661,Mitarbeiter!$A$6:$A$205,0))),"nach Austritt","ok")))))))</f>
        <v/>
      </c>
    </row>
    <row r="662">
      <c r="A662" s="26" t="n">
        <v>46235</v>
      </c>
      <c r="B662" s="24" t="n">
        <v>1035</v>
      </c>
      <c r="C662" s="40">
        <f>IF(B662="","",IFERROR(INDEX(Mitarbeiter!$B$6:$B$205,MATCH(B662,Mitarbeiter!$A$6:$A$205,0)),"?"))</f>
        <v/>
      </c>
      <c r="D662" s="41" t="inlineStr">
        <is>
          <t>Objekt 2</t>
        </is>
      </c>
      <c r="E662" s="42" t="n">
        <v>166.5</v>
      </c>
      <c r="F662" s="43" t="n">
        <v>0</v>
      </c>
      <c r="G662" s="44">
        <f>IF(OR(B662="",F662=""),"",IFERROR(F662*INDEX(Mitarbeiter!$F$6:$F$205,MATCH(B662,Mitarbeiter!$A$6:$A$205,0)),0))</f>
        <v/>
      </c>
      <c r="H662" s="8">
        <f>IF(B662="","",IF(ISNA(MATCH(B662,Mitarbeiter!$A$6:$A$205,0)),"Pers.-Nr. unbekannt",IF(A662="","Datum fehlt",IF(AND(D662&lt;&gt;Einstellungen!$C$4,D662&lt;&gt;Einstellungen!$C$5),"Objekt fehlt",IF(YEAR(A662)&lt;&gt;Einstellungen!$C$3,"anderes Jahr",IF(A662&lt;INDEX(Mitarbeiter!$C$6:$C$205,MATCH(B662,Mitarbeiter!$A$6:$A$205,0)),"vor Eintritt",IF(AND(INDEX(Mitarbeiter!$D$6:$D$205,MATCH(B662,Mitarbeiter!$A$6:$A$205,0))&lt;&gt;"",A662&gt;INDEX(Mitarbeiter!$D$6:$D$205,MATCH(B662,Mitarbeiter!$A$6:$A$205,0))),"nach Austritt","ok")))))))</f>
        <v/>
      </c>
    </row>
    <row r="663">
      <c r="A663" s="26" t="n">
        <v>46235</v>
      </c>
      <c r="B663" s="24" t="n">
        <v>1036</v>
      </c>
      <c r="C663" s="40">
        <f>IF(B663="","",IFERROR(INDEX(Mitarbeiter!$B$6:$B$205,MATCH(B663,Mitarbeiter!$A$6:$A$205,0)),"?"))</f>
        <v/>
      </c>
      <c r="D663" s="41" t="inlineStr">
        <is>
          <t>Objekt 1</t>
        </is>
      </c>
      <c r="E663" s="42" t="n">
        <v>35</v>
      </c>
      <c r="F663" s="43" t="n">
        <v>0</v>
      </c>
      <c r="G663" s="44">
        <f>IF(OR(B663="",F663=""),"",IFERROR(F663*INDEX(Mitarbeiter!$F$6:$F$205,MATCH(B663,Mitarbeiter!$A$6:$A$205,0)),0))</f>
        <v/>
      </c>
      <c r="H663" s="8">
        <f>IF(B663="","",IF(ISNA(MATCH(B663,Mitarbeiter!$A$6:$A$205,0)),"Pers.-Nr. unbekannt",IF(A663="","Datum fehlt",IF(AND(D663&lt;&gt;Einstellungen!$C$4,D663&lt;&gt;Einstellungen!$C$5),"Objekt fehlt",IF(YEAR(A663)&lt;&gt;Einstellungen!$C$3,"anderes Jahr",IF(A663&lt;INDEX(Mitarbeiter!$C$6:$C$205,MATCH(B663,Mitarbeiter!$A$6:$A$205,0)),"vor Eintritt",IF(AND(INDEX(Mitarbeiter!$D$6:$D$205,MATCH(B663,Mitarbeiter!$A$6:$A$205,0))&lt;&gt;"",A663&gt;INDEX(Mitarbeiter!$D$6:$D$205,MATCH(B663,Mitarbeiter!$A$6:$A$205,0))),"nach Austritt","ok")))))))</f>
        <v/>
      </c>
    </row>
    <row r="664">
      <c r="A664" s="26" t="n">
        <v>46235</v>
      </c>
      <c r="B664" s="24" t="n">
        <v>1036</v>
      </c>
      <c r="C664" s="40">
        <f>IF(B664="","",IFERROR(INDEX(Mitarbeiter!$B$6:$B$205,MATCH(B664,Mitarbeiter!$A$6:$A$205,0)),"?"))</f>
        <v/>
      </c>
      <c r="D664" s="41" t="inlineStr">
        <is>
          <t>Objekt 2</t>
        </is>
      </c>
      <c r="E664" s="42" t="n">
        <v>52</v>
      </c>
      <c r="F664" s="43" t="n">
        <v>0</v>
      </c>
      <c r="G664" s="44">
        <f>IF(OR(B664="",F664=""),"",IFERROR(F664*INDEX(Mitarbeiter!$F$6:$F$205,MATCH(B664,Mitarbeiter!$A$6:$A$205,0)),0))</f>
        <v/>
      </c>
      <c r="H664" s="8">
        <f>IF(B664="","",IF(ISNA(MATCH(B664,Mitarbeiter!$A$6:$A$205,0)),"Pers.-Nr. unbekannt",IF(A664="","Datum fehlt",IF(AND(D664&lt;&gt;Einstellungen!$C$4,D664&lt;&gt;Einstellungen!$C$5),"Objekt fehlt",IF(YEAR(A664)&lt;&gt;Einstellungen!$C$3,"anderes Jahr",IF(A664&lt;INDEX(Mitarbeiter!$C$6:$C$205,MATCH(B664,Mitarbeiter!$A$6:$A$205,0)),"vor Eintritt",IF(AND(INDEX(Mitarbeiter!$D$6:$D$205,MATCH(B664,Mitarbeiter!$A$6:$A$205,0))&lt;&gt;"",A664&gt;INDEX(Mitarbeiter!$D$6:$D$205,MATCH(B664,Mitarbeiter!$A$6:$A$205,0))),"nach Austritt","ok")))))))</f>
        <v/>
      </c>
    </row>
    <row r="665">
      <c r="A665" s="26" t="n">
        <v>46235</v>
      </c>
      <c r="B665" s="24" t="n">
        <v>1038</v>
      </c>
      <c r="C665" s="40">
        <f>IF(B665="","",IFERROR(INDEX(Mitarbeiter!$B$6:$B$205,MATCH(B665,Mitarbeiter!$A$6:$A$205,0)),"?"))</f>
        <v/>
      </c>
      <c r="D665" s="41" t="inlineStr">
        <is>
          <t>Objekt 1</t>
        </is>
      </c>
      <c r="E665" s="42" t="n">
        <v>80</v>
      </c>
      <c r="F665" s="43" t="n">
        <v>0</v>
      </c>
      <c r="G665" s="44">
        <f>IF(OR(B665="",F665=""),"",IFERROR(F665*INDEX(Mitarbeiter!$F$6:$F$205,MATCH(B665,Mitarbeiter!$A$6:$A$205,0)),0))</f>
        <v/>
      </c>
      <c r="H665" s="8">
        <f>IF(B665="","",IF(ISNA(MATCH(B665,Mitarbeiter!$A$6:$A$205,0)),"Pers.-Nr. unbekannt",IF(A665="","Datum fehlt",IF(AND(D665&lt;&gt;Einstellungen!$C$4,D665&lt;&gt;Einstellungen!$C$5),"Objekt fehlt",IF(YEAR(A665)&lt;&gt;Einstellungen!$C$3,"anderes Jahr",IF(A665&lt;INDEX(Mitarbeiter!$C$6:$C$205,MATCH(B665,Mitarbeiter!$A$6:$A$205,0)),"vor Eintritt",IF(AND(INDEX(Mitarbeiter!$D$6:$D$205,MATCH(B665,Mitarbeiter!$A$6:$A$205,0))&lt;&gt;"",A665&gt;INDEX(Mitarbeiter!$D$6:$D$205,MATCH(B665,Mitarbeiter!$A$6:$A$205,0))),"nach Austritt","ok")))))))</f>
        <v/>
      </c>
    </row>
    <row r="666">
      <c r="A666" s="26" t="n">
        <v>46235</v>
      </c>
      <c r="B666" s="24" t="n">
        <v>1038</v>
      </c>
      <c r="C666" s="40">
        <f>IF(B666="","",IFERROR(INDEX(Mitarbeiter!$B$6:$B$205,MATCH(B666,Mitarbeiter!$A$6:$A$205,0)),"?"))</f>
        <v/>
      </c>
      <c r="D666" s="41" t="inlineStr">
        <is>
          <t>Objekt 2</t>
        </is>
      </c>
      <c r="E666" s="42" t="n">
        <v>81.5</v>
      </c>
      <c r="F666" s="43" t="n">
        <v>1</v>
      </c>
      <c r="G666" s="44">
        <f>IF(OR(B666="",F666=""),"",IFERROR(F666*INDEX(Mitarbeiter!$F$6:$F$205,MATCH(B666,Mitarbeiter!$A$6:$A$205,0)),0))</f>
        <v/>
      </c>
      <c r="H666" s="8">
        <f>IF(B666="","",IF(ISNA(MATCH(B666,Mitarbeiter!$A$6:$A$205,0)),"Pers.-Nr. unbekannt",IF(A666="","Datum fehlt",IF(AND(D666&lt;&gt;Einstellungen!$C$4,D666&lt;&gt;Einstellungen!$C$5),"Objekt fehlt",IF(YEAR(A666)&lt;&gt;Einstellungen!$C$3,"anderes Jahr",IF(A666&lt;INDEX(Mitarbeiter!$C$6:$C$205,MATCH(B666,Mitarbeiter!$A$6:$A$205,0)),"vor Eintritt",IF(AND(INDEX(Mitarbeiter!$D$6:$D$205,MATCH(B666,Mitarbeiter!$A$6:$A$205,0))&lt;&gt;"",A666&gt;INDEX(Mitarbeiter!$D$6:$D$205,MATCH(B666,Mitarbeiter!$A$6:$A$205,0))),"nach Austritt","ok")))))))</f>
        <v/>
      </c>
    </row>
    <row r="667">
      <c r="A667" s="26" t="n">
        <v>46235</v>
      </c>
      <c r="B667" s="24" t="n">
        <v>1039</v>
      </c>
      <c r="C667" s="40">
        <f>IF(B667="","",IFERROR(INDEX(Mitarbeiter!$B$6:$B$205,MATCH(B667,Mitarbeiter!$A$6:$A$205,0)),"?"))</f>
        <v/>
      </c>
      <c r="D667" s="41" t="inlineStr">
        <is>
          <t>Objekt 2</t>
        </is>
      </c>
      <c r="E667" s="42" t="n">
        <v>155</v>
      </c>
      <c r="F667" s="43" t="n">
        <v>2</v>
      </c>
      <c r="G667" s="44">
        <f>IF(OR(B667="",F667=""),"",IFERROR(F667*INDEX(Mitarbeiter!$F$6:$F$205,MATCH(B667,Mitarbeiter!$A$6:$A$205,0)),0))</f>
        <v/>
      </c>
      <c r="H667" s="8">
        <f>IF(B667="","",IF(ISNA(MATCH(B667,Mitarbeiter!$A$6:$A$205,0)),"Pers.-Nr. unbekannt",IF(A667="","Datum fehlt",IF(AND(D667&lt;&gt;Einstellungen!$C$4,D667&lt;&gt;Einstellungen!$C$5),"Objekt fehlt",IF(YEAR(A667)&lt;&gt;Einstellungen!$C$3,"anderes Jahr",IF(A667&lt;INDEX(Mitarbeiter!$C$6:$C$205,MATCH(B667,Mitarbeiter!$A$6:$A$205,0)),"vor Eintritt",IF(AND(INDEX(Mitarbeiter!$D$6:$D$205,MATCH(B667,Mitarbeiter!$A$6:$A$205,0))&lt;&gt;"",A667&gt;INDEX(Mitarbeiter!$D$6:$D$205,MATCH(B667,Mitarbeiter!$A$6:$A$205,0))),"nach Austritt","ok")))))))</f>
        <v/>
      </c>
    </row>
    <row r="668">
      <c r="A668" s="26" t="n">
        <v>46235</v>
      </c>
      <c r="B668" s="24" t="n">
        <v>1040</v>
      </c>
      <c r="C668" s="40">
        <f>IF(B668="","",IFERROR(INDEX(Mitarbeiter!$B$6:$B$205,MATCH(B668,Mitarbeiter!$A$6:$A$205,0)),"?"))</f>
        <v/>
      </c>
      <c r="D668" s="41" t="inlineStr">
        <is>
          <t>Objekt 1</t>
        </is>
      </c>
      <c r="E668" s="42" t="n">
        <v>102</v>
      </c>
      <c r="F668" s="43" t="n">
        <v>0</v>
      </c>
      <c r="G668" s="44">
        <f>IF(OR(B668="",F668=""),"",IFERROR(F668*INDEX(Mitarbeiter!$F$6:$F$205,MATCH(B668,Mitarbeiter!$A$6:$A$205,0)),0))</f>
        <v/>
      </c>
      <c r="H668" s="8">
        <f>IF(B668="","",IF(ISNA(MATCH(B668,Mitarbeiter!$A$6:$A$205,0)),"Pers.-Nr. unbekannt",IF(A668="","Datum fehlt",IF(AND(D668&lt;&gt;Einstellungen!$C$4,D668&lt;&gt;Einstellungen!$C$5),"Objekt fehlt",IF(YEAR(A668)&lt;&gt;Einstellungen!$C$3,"anderes Jahr",IF(A668&lt;INDEX(Mitarbeiter!$C$6:$C$205,MATCH(B668,Mitarbeiter!$A$6:$A$205,0)),"vor Eintritt",IF(AND(INDEX(Mitarbeiter!$D$6:$D$205,MATCH(B668,Mitarbeiter!$A$6:$A$205,0))&lt;&gt;"",A668&gt;INDEX(Mitarbeiter!$D$6:$D$205,MATCH(B668,Mitarbeiter!$A$6:$A$205,0))),"nach Austritt","ok")))))))</f>
        <v/>
      </c>
    </row>
    <row r="669">
      <c r="A669" s="26" t="n">
        <v>46235</v>
      </c>
      <c r="B669" s="24" t="n">
        <v>1040</v>
      </c>
      <c r="C669" s="40">
        <f>IF(B669="","",IFERROR(INDEX(Mitarbeiter!$B$6:$B$205,MATCH(B669,Mitarbeiter!$A$6:$A$205,0)),"?"))</f>
        <v/>
      </c>
      <c r="D669" s="41" t="inlineStr">
        <is>
          <t>Objekt 2</t>
        </is>
      </c>
      <c r="E669" s="42" t="n">
        <v>24</v>
      </c>
      <c r="F669" s="43" t="n">
        <v>0</v>
      </c>
      <c r="G669" s="44">
        <f>IF(OR(B669="",F669=""),"",IFERROR(F669*INDEX(Mitarbeiter!$F$6:$F$205,MATCH(B669,Mitarbeiter!$A$6:$A$205,0)),0))</f>
        <v/>
      </c>
      <c r="H669" s="8">
        <f>IF(B669="","",IF(ISNA(MATCH(B669,Mitarbeiter!$A$6:$A$205,0)),"Pers.-Nr. unbekannt",IF(A669="","Datum fehlt",IF(AND(D669&lt;&gt;Einstellungen!$C$4,D669&lt;&gt;Einstellungen!$C$5),"Objekt fehlt",IF(YEAR(A669)&lt;&gt;Einstellungen!$C$3,"anderes Jahr",IF(A669&lt;INDEX(Mitarbeiter!$C$6:$C$205,MATCH(B669,Mitarbeiter!$A$6:$A$205,0)),"vor Eintritt",IF(AND(INDEX(Mitarbeiter!$D$6:$D$205,MATCH(B669,Mitarbeiter!$A$6:$A$205,0))&lt;&gt;"",A669&gt;INDEX(Mitarbeiter!$D$6:$D$205,MATCH(B669,Mitarbeiter!$A$6:$A$205,0))),"nach Austritt","ok")))))))</f>
        <v/>
      </c>
    </row>
    <row r="670">
      <c r="A670" s="26" t="n">
        <v>46235</v>
      </c>
      <c r="B670" s="24" t="n">
        <v>1045</v>
      </c>
      <c r="C670" s="40">
        <f>IF(B670="","",IFERROR(INDEX(Mitarbeiter!$B$6:$B$205,MATCH(B670,Mitarbeiter!$A$6:$A$205,0)),"?"))</f>
        <v/>
      </c>
      <c r="D670" s="41" t="inlineStr">
        <is>
          <t>Objekt 1</t>
        </is>
      </c>
      <c r="E670" s="42" t="n">
        <v>107</v>
      </c>
      <c r="F670" s="43" t="n">
        <v>0</v>
      </c>
      <c r="G670" s="44">
        <f>IF(OR(B670="",F670=""),"",IFERROR(F670*INDEX(Mitarbeiter!$F$6:$F$205,MATCH(B670,Mitarbeiter!$A$6:$A$205,0)),0))</f>
        <v/>
      </c>
      <c r="H670" s="8">
        <f>IF(B670="","",IF(ISNA(MATCH(B670,Mitarbeiter!$A$6:$A$205,0)),"Pers.-Nr. unbekannt",IF(A670="","Datum fehlt",IF(AND(D670&lt;&gt;Einstellungen!$C$4,D670&lt;&gt;Einstellungen!$C$5),"Objekt fehlt",IF(YEAR(A670)&lt;&gt;Einstellungen!$C$3,"anderes Jahr",IF(A670&lt;INDEX(Mitarbeiter!$C$6:$C$205,MATCH(B670,Mitarbeiter!$A$6:$A$205,0)),"vor Eintritt",IF(AND(INDEX(Mitarbeiter!$D$6:$D$205,MATCH(B670,Mitarbeiter!$A$6:$A$205,0))&lt;&gt;"",A670&gt;INDEX(Mitarbeiter!$D$6:$D$205,MATCH(B670,Mitarbeiter!$A$6:$A$205,0))),"nach Austritt","ok")))))))</f>
        <v/>
      </c>
    </row>
    <row r="671">
      <c r="A671" s="26" t="n">
        <v>46235</v>
      </c>
      <c r="B671" s="24" t="n">
        <v>1045</v>
      </c>
      <c r="C671" s="40">
        <f>IF(B671="","",IFERROR(INDEX(Mitarbeiter!$B$6:$B$205,MATCH(B671,Mitarbeiter!$A$6:$A$205,0)),"?"))</f>
        <v/>
      </c>
      <c r="D671" s="41" t="inlineStr">
        <is>
          <t>Objekt 2</t>
        </is>
      </c>
      <c r="E671" s="42" t="n">
        <v>64</v>
      </c>
      <c r="F671" s="43" t="n">
        <v>0</v>
      </c>
      <c r="G671" s="44">
        <f>IF(OR(B671="",F671=""),"",IFERROR(F671*INDEX(Mitarbeiter!$F$6:$F$205,MATCH(B671,Mitarbeiter!$A$6:$A$205,0)),0))</f>
        <v/>
      </c>
      <c r="H671" s="8">
        <f>IF(B671="","",IF(ISNA(MATCH(B671,Mitarbeiter!$A$6:$A$205,0)),"Pers.-Nr. unbekannt",IF(A671="","Datum fehlt",IF(AND(D671&lt;&gt;Einstellungen!$C$4,D671&lt;&gt;Einstellungen!$C$5),"Objekt fehlt",IF(YEAR(A671)&lt;&gt;Einstellungen!$C$3,"anderes Jahr",IF(A671&lt;INDEX(Mitarbeiter!$C$6:$C$205,MATCH(B671,Mitarbeiter!$A$6:$A$205,0)),"vor Eintritt",IF(AND(INDEX(Mitarbeiter!$D$6:$D$205,MATCH(B671,Mitarbeiter!$A$6:$A$205,0))&lt;&gt;"",A671&gt;INDEX(Mitarbeiter!$D$6:$D$205,MATCH(B671,Mitarbeiter!$A$6:$A$205,0))),"nach Austritt","ok")))))))</f>
        <v/>
      </c>
    </row>
    <row r="672">
      <c r="A672" s="26" t="n">
        <v>46235</v>
      </c>
      <c r="B672" s="24" t="n">
        <v>1046</v>
      </c>
      <c r="C672" s="40">
        <f>IF(B672="","",IFERROR(INDEX(Mitarbeiter!$B$6:$B$205,MATCH(B672,Mitarbeiter!$A$6:$A$205,0)),"?"))</f>
        <v/>
      </c>
      <c r="D672" s="41" t="inlineStr">
        <is>
          <t>Objekt 1</t>
        </is>
      </c>
      <c r="E672" s="42" t="n">
        <v>100.5</v>
      </c>
      <c r="F672" s="43" t="n">
        <v>0</v>
      </c>
      <c r="G672" s="44">
        <f>IF(OR(B672="",F672=""),"",IFERROR(F672*INDEX(Mitarbeiter!$F$6:$F$205,MATCH(B672,Mitarbeiter!$A$6:$A$205,0)),0))</f>
        <v/>
      </c>
      <c r="H672" s="8">
        <f>IF(B672="","",IF(ISNA(MATCH(B672,Mitarbeiter!$A$6:$A$205,0)),"Pers.-Nr. unbekannt",IF(A672="","Datum fehlt",IF(AND(D672&lt;&gt;Einstellungen!$C$4,D672&lt;&gt;Einstellungen!$C$5),"Objekt fehlt",IF(YEAR(A672)&lt;&gt;Einstellungen!$C$3,"anderes Jahr",IF(A672&lt;INDEX(Mitarbeiter!$C$6:$C$205,MATCH(B672,Mitarbeiter!$A$6:$A$205,0)),"vor Eintritt",IF(AND(INDEX(Mitarbeiter!$D$6:$D$205,MATCH(B672,Mitarbeiter!$A$6:$A$205,0))&lt;&gt;"",A672&gt;INDEX(Mitarbeiter!$D$6:$D$205,MATCH(B672,Mitarbeiter!$A$6:$A$205,0))),"nach Austritt","ok")))))))</f>
        <v/>
      </c>
    </row>
    <row r="673">
      <c r="A673" s="26" t="n">
        <v>46235</v>
      </c>
      <c r="B673" s="24" t="n">
        <v>1046</v>
      </c>
      <c r="C673" s="40">
        <f>IF(B673="","",IFERROR(INDEX(Mitarbeiter!$B$6:$B$205,MATCH(B673,Mitarbeiter!$A$6:$A$205,0)),"?"))</f>
        <v/>
      </c>
      <c r="D673" s="41" t="inlineStr">
        <is>
          <t>Objekt 2</t>
        </is>
      </c>
      <c r="E673" s="42" t="n">
        <v>25.5</v>
      </c>
      <c r="F673" s="43" t="n">
        <v>0</v>
      </c>
      <c r="G673" s="44">
        <f>IF(OR(B673="",F673=""),"",IFERROR(F673*INDEX(Mitarbeiter!$F$6:$F$205,MATCH(B673,Mitarbeiter!$A$6:$A$205,0)),0))</f>
        <v/>
      </c>
      <c r="H673" s="8">
        <f>IF(B673="","",IF(ISNA(MATCH(B673,Mitarbeiter!$A$6:$A$205,0)),"Pers.-Nr. unbekannt",IF(A673="","Datum fehlt",IF(AND(D673&lt;&gt;Einstellungen!$C$4,D673&lt;&gt;Einstellungen!$C$5),"Objekt fehlt",IF(YEAR(A673)&lt;&gt;Einstellungen!$C$3,"anderes Jahr",IF(A673&lt;INDEX(Mitarbeiter!$C$6:$C$205,MATCH(B673,Mitarbeiter!$A$6:$A$205,0)),"vor Eintritt",IF(AND(INDEX(Mitarbeiter!$D$6:$D$205,MATCH(B673,Mitarbeiter!$A$6:$A$205,0))&lt;&gt;"",A673&gt;INDEX(Mitarbeiter!$D$6:$D$205,MATCH(B673,Mitarbeiter!$A$6:$A$205,0))),"nach Austritt","ok")))))))</f>
        <v/>
      </c>
    </row>
    <row r="674">
      <c r="A674" s="26" t="n">
        <v>46235</v>
      </c>
      <c r="B674" s="24" t="n">
        <v>1047</v>
      </c>
      <c r="C674" s="40">
        <f>IF(B674="","",IFERROR(INDEX(Mitarbeiter!$B$6:$B$205,MATCH(B674,Mitarbeiter!$A$6:$A$205,0)),"?"))</f>
        <v/>
      </c>
      <c r="D674" s="41" t="inlineStr">
        <is>
          <t>Objekt 2</t>
        </is>
      </c>
      <c r="E674" s="42" t="n">
        <v>129.5</v>
      </c>
      <c r="F674" s="43" t="n">
        <v>5</v>
      </c>
      <c r="G674" s="44">
        <f>IF(OR(B674="",F674=""),"",IFERROR(F674*INDEX(Mitarbeiter!$F$6:$F$205,MATCH(B674,Mitarbeiter!$A$6:$A$205,0)),0))</f>
        <v/>
      </c>
      <c r="H674" s="8">
        <f>IF(B674="","",IF(ISNA(MATCH(B674,Mitarbeiter!$A$6:$A$205,0)),"Pers.-Nr. unbekannt",IF(A674="","Datum fehlt",IF(AND(D674&lt;&gt;Einstellungen!$C$4,D674&lt;&gt;Einstellungen!$C$5),"Objekt fehlt",IF(YEAR(A674)&lt;&gt;Einstellungen!$C$3,"anderes Jahr",IF(A674&lt;INDEX(Mitarbeiter!$C$6:$C$205,MATCH(B674,Mitarbeiter!$A$6:$A$205,0)),"vor Eintritt",IF(AND(INDEX(Mitarbeiter!$D$6:$D$205,MATCH(B674,Mitarbeiter!$A$6:$A$205,0))&lt;&gt;"",A674&gt;INDEX(Mitarbeiter!$D$6:$D$205,MATCH(B674,Mitarbeiter!$A$6:$A$205,0))),"nach Austritt","ok")))))))</f>
        <v/>
      </c>
    </row>
    <row r="675">
      <c r="A675" s="26" t="n">
        <v>46235</v>
      </c>
      <c r="B675" s="24" t="n">
        <v>1049</v>
      </c>
      <c r="C675" s="40">
        <f>IF(B675="","",IFERROR(INDEX(Mitarbeiter!$B$6:$B$205,MATCH(B675,Mitarbeiter!$A$6:$A$205,0)),"?"))</f>
        <v/>
      </c>
      <c r="D675" s="41" t="inlineStr">
        <is>
          <t>Objekt 1</t>
        </is>
      </c>
      <c r="E675" s="42" t="n">
        <v>129</v>
      </c>
      <c r="F675" s="43" t="n">
        <v>0</v>
      </c>
      <c r="G675" s="44">
        <f>IF(OR(B675="",F675=""),"",IFERROR(F675*INDEX(Mitarbeiter!$F$6:$F$205,MATCH(B675,Mitarbeiter!$A$6:$A$205,0)),0))</f>
        <v/>
      </c>
      <c r="H675" s="8">
        <f>IF(B675="","",IF(ISNA(MATCH(B675,Mitarbeiter!$A$6:$A$205,0)),"Pers.-Nr. unbekannt",IF(A675="","Datum fehlt",IF(AND(D675&lt;&gt;Einstellungen!$C$4,D675&lt;&gt;Einstellungen!$C$5),"Objekt fehlt",IF(YEAR(A675)&lt;&gt;Einstellungen!$C$3,"anderes Jahr",IF(A675&lt;INDEX(Mitarbeiter!$C$6:$C$205,MATCH(B675,Mitarbeiter!$A$6:$A$205,0)),"vor Eintritt",IF(AND(INDEX(Mitarbeiter!$D$6:$D$205,MATCH(B675,Mitarbeiter!$A$6:$A$205,0))&lt;&gt;"",A675&gt;INDEX(Mitarbeiter!$D$6:$D$205,MATCH(B675,Mitarbeiter!$A$6:$A$205,0))),"nach Austritt","ok")))))))</f>
        <v/>
      </c>
    </row>
    <row r="676">
      <c r="A676" s="26" t="n">
        <v>46235</v>
      </c>
      <c r="B676" s="24" t="n">
        <v>1050</v>
      </c>
      <c r="C676" s="40">
        <f>IF(B676="","",IFERROR(INDEX(Mitarbeiter!$B$6:$B$205,MATCH(B676,Mitarbeiter!$A$6:$A$205,0)),"?"))</f>
        <v/>
      </c>
      <c r="D676" s="41" t="inlineStr">
        <is>
          <t>Objekt 1</t>
        </is>
      </c>
      <c r="E676" s="42" t="n">
        <v>22.5</v>
      </c>
      <c r="F676" s="43" t="n">
        <v>0</v>
      </c>
      <c r="G676" s="44">
        <f>IF(OR(B676="",F676=""),"",IFERROR(F676*INDEX(Mitarbeiter!$F$6:$F$205,MATCH(B676,Mitarbeiter!$A$6:$A$205,0)),0))</f>
        <v/>
      </c>
      <c r="H676" s="8">
        <f>IF(B676="","",IF(ISNA(MATCH(B676,Mitarbeiter!$A$6:$A$205,0)),"Pers.-Nr. unbekannt",IF(A676="","Datum fehlt",IF(AND(D676&lt;&gt;Einstellungen!$C$4,D676&lt;&gt;Einstellungen!$C$5),"Objekt fehlt",IF(YEAR(A676)&lt;&gt;Einstellungen!$C$3,"anderes Jahr",IF(A676&lt;INDEX(Mitarbeiter!$C$6:$C$205,MATCH(B676,Mitarbeiter!$A$6:$A$205,0)),"vor Eintritt",IF(AND(INDEX(Mitarbeiter!$D$6:$D$205,MATCH(B676,Mitarbeiter!$A$6:$A$205,0))&lt;&gt;"",A676&gt;INDEX(Mitarbeiter!$D$6:$D$205,MATCH(B676,Mitarbeiter!$A$6:$A$205,0))),"nach Austritt","ok")))))))</f>
        <v/>
      </c>
    </row>
    <row r="677">
      <c r="A677" s="26" t="n">
        <v>46235</v>
      </c>
      <c r="B677" s="24" t="n">
        <v>1050</v>
      </c>
      <c r="C677" s="40">
        <f>IF(B677="","",IFERROR(INDEX(Mitarbeiter!$B$6:$B$205,MATCH(B677,Mitarbeiter!$A$6:$A$205,0)),"?"))</f>
        <v/>
      </c>
      <c r="D677" s="41" t="inlineStr">
        <is>
          <t>Objekt 2</t>
        </is>
      </c>
      <c r="E677" s="42" t="n">
        <v>105</v>
      </c>
      <c r="F677" s="43" t="n">
        <v>0</v>
      </c>
      <c r="G677" s="44">
        <f>IF(OR(B677="",F677=""),"",IFERROR(F677*INDEX(Mitarbeiter!$F$6:$F$205,MATCH(B677,Mitarbeiter!$A$6:$A$205,0)),0))</f>
        <v/>
      </c>
      <c r="H677" s="8">
        <f>IF(B677="","",IF(ISNA(MATCH(B677,Mitarbeiter!$A$6:$A$205,0)),"Pers.-Nr. unbekannt",IF(A677="","Datum fehlt",IF(AND(D677&lt;&gt;Einstellungen!$C$4,D677&lt;&gt;Einstellungen!$C$5),"Objekt fehlt",IF(YEAR(A677)&lt;&gt;Einstellungen!$C$3,"anderes Jahr",IF(A677&lt;INDEX(Mitarbeiter!$C$6:$C$205,MATCH(B677,Mitarbeiter!$A$6:$A$205,0)),"vor Eintritt",IF(AND(INDEX(Mitarbeiter!$D$6:$D$205,MATCH(B677,Mitarbeiter!$A$6:$A$205,0))&lt;&gt;"",A677&gt;INDEX(Mitarbeiter!$D$6:$D$205,MATCH(B677,Mitarbeiter!$A$6:$A$205,0))),"nach Austritt","ok")))))))</f>
        <v/>
      </c>
    </row>
    <row r="678">
      <c r="A678" s="26" t="n">
        <v>46235</v>
      </c>
      <c r="B678" s="24" t="n">
        <v>1051</v>
      </c>
      <c r="C678" s="40">
        <f>IF(B678="","",IFERROR(INDEX(Mitarbeiter!$B$6:$B$205,MATCH(B678,Mitarbeiter!$A$6:$A$205,0)),"?"))</f>
        <v/>
      </c>
      <c r="D678" s="41" t="inlineStr">
        <is>
          <t>Objekt 2</t>
        </is>
      </c>
      <c r="E678" s="42" t="n">
        <v>168</v>
      </c>
      <c r="F678" s="43" t="n">
        <v>0</v>
      </c>
      <c r="G678" s="44">
        <f>IF(OR(B678="",F678=""),"",IFERROR(F678*INDEX(Mitarbeiter!$F$6:$F$205,MATCH(B678,Mitarbeiter!$A$6:$A$205,0)),0))</f>
        <v/>
      </c>
      <c r="H678" s="8">
        <f>IF(B678="","",IF(ISNA(MATCH(B678,Mitarbeiter!$A$6:$A$205,0)),"Pers.-Nr. unbekannt",IF(A678="","Datum fehlt",IF(AND(D678&lt;&gt;Einstellungen!$C$4,D678&lt;&gt;Einstellungen!$C$5),"Objekt fehlt",IF(YEAR(A678)&lt;&gt;Einstellungen!$C$3,"anderes Jahr",IF(A678&lt;INDEX(Mitarbeiter!$C$6:$C$205,MATCH(B678,Mitarbeiter!$A$6:$A$205,0)),"vor Eintritt",IF(AND(INDEX(Mitarbeiter!$D$6:$D$205,MATCH(B678,Mitarbeiter!$A$6:$A$205,0))&lt;&gt;"",A678&gt;INDEX(Mitarbeiter!$D$6:$D$205,MATCH(B678,Mitarbeiter!$A$6:$A$205,0))),"nach Austritt","ok")))))))</f>
        <v/>
      </c>
    </row>
    <row r="679">
      <c r="A679" s="26" t="n">
        <v>46235</v>
      </c>
      <c r="B679" s="24" t="n">
        <v>1053</v>
      </c>
      <c r="C679" s="40">
        <f>IF(B679="","",IFERROR(INDEX(Mitarbeiter!$B$6:$B$205,MATCH(B679,Mitarbeiter!$A$6:$A$205,0)),"?"))</f>
        <v/>
      </c>
      <c r="D679" s="41" t="inlineStr">
        <is>
          <t>Objekt 1</t>
        </is>
      </c>
      <c r="E679" s="42" t="n">
        <v>48</v>
      </c>
      <c r="F679" s="43" t="n">
        <v>0</v>
      </c>
      <c r="G679" s="44">
        <f>IF(OR(B679="",F679=""),"",IFERROR(F679*INDEX(Mitarbeiter!$F$6:$F$205,MATCH(B679,Mitarbeiter!$A$6:$A$205,0)),0))</f>
        <v/>
      </c>
      <c r="H679" s="8">
        <f>IF(B679="","",IF(ISNA(MATCH(B679,Mitarbeiter!$A$6:$A$205,0)),"Pers.-Nr. unbekannt",IF(A679="","Datum fehlt",IF(AND(D679&lt;&gt;Einstellungen!$C$4,D679&lt;&gt;Einstellungen!$C$5),"Objekt fehlt",IF(YEAR(A679)&lt;&gt;Einstellungen!$C$3,"anderes Jahr",IF(A679&lt;INDEX(Mitarbeiter!$C$6:$C$205,MATCH(B679,Mitarbeiter!$A$6:$A$205,0)),"vor Eintritt",IF(AND(INDEX(Mitarbeiter!$D$6:$D$205,MATCH(B679,Mitarbeiter!$A$6:$A$205,0))&lt;&gt;"",A679&gt;INDEX(Mitarbeiter!$D$6:$D$205,MATCH(B679,Mitarbeiter!$A$6:$A$205,0))),"nach Austritt","ok")))))))</f>
        <v/>
      </c>
    </row>
    <row r="680">
      <c r="A680" s="26" t="n">
        <v>46235</v>
      </c>
      <c r="B680" s="24" t="n">
        <v>1053</v>
      </c>
      <c r="C680" s="40">
        <f>IF(B680="","",IFERROR(INDEX(Mitarbeiter!$B$6:$B$205,MATCH(B680,Mitarbeiter!$A$6:$A$205,0)),"?"))</f>
        <v/>
      </c>
      <c r="D680" s="41" t="inlineStr">
        <is>
          <t>Objekt 2</t>
        </is>
      </c>
      <c r="E680" s="42" t="n">
        <v>78</v>
      </c>
      <c r="F680" s="43" t="n">
        <v>0</v>
      </c>
      <c r="G680" s="44">
        <f>IF(OR(B680="",F680=""),"",IFERROR(F680*INDEX(Mitarbeiter!$F$6:$F$205,MATCH(B680,Mitarbeiter!$A$6:$A$205,0)),0))</f>
        <v/>
      </c>
      <c r="H680" s="8">
        <f>IF(B680="","",IF(ISNA(MATCH(B680,Mitarbeiter!$A$6:$A$205,0)),"Pers.-Nr. unbekannt",IF(A680="","Datum fehlt",IF(AND(D680&lt;&gt;Einstellungen!$C$4,D680&lt;&gt;Einstellungen!$C$5),"Objekt fehlt",IF(YEAR(A680)&lt;&gt;Einstellungen!$C$3,"anderes Jahr",IF(A680&lt;INDEX(Mitarbeiter!$C$6:$C$205,MATCH(B680,Mitarbeiter!$A$6:$A$205,0)),"vor Eintritt",IF(AND(INDEX(Mitarbeiter!$D$6:$D$205,MATCH(B680,Mitarbeiter!$A$6:$A$205,0))&lt;&gt;"",A680&gt;INDEX(Mitarbeiter!$D$6:$D$205,MATCH(B680,Mitarbeiter!$A$6:$A$205,0))),"nach Austritt","ok")))))))</f>
        <v/>
      </c>
    </row>
    <row r="681">
      <c r="A681" s="26" t="n">
        <v>46235</v>
      </c>
      <c r="B681" s="24" t="n">
        <v>1054</v>
      </c>
      <c r="C681" s="40">
        <f>IF(B681="","",IFERROR(INDEX(Mitarbeiter!$B$6:$B$205,MATCH(B681,Mitarbeiter!$A$6:$A$205,0)),"?"))</f>
        <v/>
      </c>
      <c r="D681" s="41" t="inlineStr">
        <is>
          <t>Objekt 2</t>
        </is>
      </c>
      <c r="E681" s="42" t="n">
        <v>163</v>
      </c>
      <c r="F681" s="43" t="n">
        <v>1</v>
      </c>
      <c r="G681" s="44">
        <f>IF(OR(B681="",F681=""),"",IFERROR(F681*INDEX(Mitarbeiter!$F$6:$F$205,MATCH(B681,Mitarbeiter!$A$6:$A$205,0)),0))</f>
        <v/>
      </c>
      <c r="H681" s="8">
        <f>IF(B681="","",IF(ISNA(MATCH(B681,Mitarbeiter!$A$6:$A$205,0)),"Pers.-Nr. unbekannt",IF(A681="","Datum fehlt",IF(AND(D681&lt;&gt;Einstellungen!$C$4,D681&lt;&gt;Einstellungen!$C$5),"Objekt fehlt",IF(YEAR(A681)&lt;&gt;Einstellungen!$C$3,"anderes Jahr",IF(A681&lt;INDEX(Mitarbeiter!$C$6:$C$205,MATCH(B681,Mitarbeiter!$A$6:$A$205,0)),"vor Eintritt",IF(AND(INDEX(Mitarbeiter!$D$6:$D$205,MATCH(B681,Mitarbeiter!$A$6:$A$205,0))&lt;&gt;"",A681&gt;INDEX(Mitarbeiter!$D$6:$D$205,MATCH(B681,Mitarbeiter!$A$6:$A$205,0))),"nach Austritt","ok")))))))</f>
        <v/>
      </c>
    </row>
    <row r="682">
      <c r="A682" s="26" t="n">
        <v>46235</v>
      </c>
      <c r="B682" s="24" t="n">
        <v>1055</v>
      </c>
      <c r="C682" s="40">
        <f>IF(B682="","",IFERROR(INDEX(Mitarbeiter!$B$6:$B$205,MATCH(B682,Mitarbeiter!$A$6:$A$205,0)),"?"))</f>
        <v/>
      </c>
      <c r="D682" s="41" t="inlineStr">
        <is>
          <t>Objekt 1</t>
        </is>
      </c>
      <c r="E682" s="42" t="n">
        <v>137.5</v>
      </c>
      <c r="F682" s="43" t="n">
        <v>4</v>
      </c>
      <c r="G682" s="44">
        <f>IF(OR(B682="",F682=""),"",IFERROR(F682*INDEX(Mitarbeiter!$F$6:$F$205,MATCH(B682,Mitarbeiter!$A$6:$A$205,0)),0))</f>
        <v/>
      </c>
      <c r="H682" s="8">
        <f>IF(B682="","",IF(ISNA(MATCH(B682,Mitarbeiter!$A$6:$A$205,0)),"Pers.-Nr. unbekannt",IF(A682="","Datum fehlt",IF(AND(D682&lt;&gt;Einstellungen!$C$4,D682&lt;&gt;Einstellungen!$C$5),"Objekt fehlt",IF(YEAR(A682)&lt;&gt;Einstellungen!$C$3,"anderes Jahr",IF(A682&lt;INDEX(Mitarbeiter!$C$6:$C$205,MATCH(B682,Mitarbeiter!$A$6:$A$205,0)),"vor Eintritt",IF(AND(INDEX(Mitarbeiter!$D$6:$D$205,MATCH(B682,Mitarbeiter!$A$6:$A$205,0))&lt;&gt;"",A682&gt;INDEX(Mitarbeiter!$D$6:$D$205,MATCH(B682,Mitarbeiter!$A$6:$A$205,0))),"nach Austritt","ok")))))))</f>
        <v/>
      </c>
    </row>
    <row r="683">
      <c r="A683" s="26" t="n">
        <v>46235</v>
      </c>
      <c r="B683" s="24" t="n">
        <v>1057</v>
      </c>
      <c r="C683" s="40">
        <f>IF(B683="","",IFERROR(INDEX(Mitarbeiter!$B$6:$B$205,MATCH(B683,Mitarbeiter!$A$6:$A$205,0)),"?"))</f>
        <v/>
      </c>
      <c r="D683" s="41" t="inlineStr">
        <is>
          <t>Objekt 1</t>
        </is>
      </c>
      <c r="E683" s="42" t="n">
        <v>107</v>
      </c>
      <c r="F683" s="43" t="n">
        <v>0</v>
      </c>
      <c r="G683" s="44">
        <f>IF(OR(B683="",F683=""),"",IFERROR(F683*INDEX(Mitarbeiter!$F$6:$F$205,MATCH(B683,Mitarbeiter!$A$6:$A$205,0)),0))</f>
        <v/>
      </c>
      <c r="H683" s="8">
        <f>IF(B683="","",IF(ISNA(MATCH(B683,Mitarbeiter!$A$6:$A$205,0)),"Pers.-Nr. unbekannt",IF(A683="","Datum fehlt",IF(AND(D683&lt;&gt;Einstellungen!$C$4,D683&lt;&gt;Einstellungen!$C$5),"Objekt fehlt",IF(YEAR(A683)&lt;&gt;Einstellungen!$C$3,"anderes Jahr",IF(A683&lt;INDEX(Mitarbeiter!$C$6:$C$205,MATCH(B683,Mitarbeiter!$A$6:$A$205,0)),"vor Eintritt",IF(AND(INDEX(Mitarbeiter!$D$6:$D$205,MATCH(B683,Mitarbeiter!$A$6:$A$205,0))&lt;&gt;"",A683&gt;INDEX(Mitarbeiter!$D$6:$D$205,MATCH(B683,Mitarbeiter!$A$6:$A$205,0))),"nach Austritt","ok")))))))</f>
        <v/>
      </c>
    </row>
    <row r="684">
      <c r="A684" s="26" t="n">
        <v>46235</v>
      </c>
      <c r="B684" s="24" t="n">
        <v>1057</v>
      </c>
      <c r="C684" s="40">
        <f>IF(B684="","",IFERROR(INDEX(Mitarbeiter!$B$6:$B$205,MATCH(B684,Mitarbeiter!$A$6:$A$205,0)),"?"))</f>
        <v/>
      </c>
      <c r="D684" s="41" t="inlineStr">
        <is>
          <t>Objekt 2</t>
        </is>
      </c>
      <c r="E684" s="42" t="n">
        <v>62.5</v>
      </c>
      <c r="F684" s="43" t="n">
        <v>0</v>
      </c>
      <c r="G684" s="44">
        <f>IF(OR(B684="",F684=""),"",IFERROR(F684*INDEX(Mitarbeiter!$F$6:$F$205,MATCH(B684,Mitarbeiter!$A$6:$A$205,0)),0))</f>
        <v/>
      </c>
      <c r="H684" s="8">
        <f>IF(B684="","",IF(ISNA(MATCH(B684,Mitarbeiter!$A$6:$A$205,0)),"Pers.-Nr. unbekannt",IF(A684="","Datum fehlt",IF(AND(D684&lt;&gt;Einstellungen!$C$4,D684&lt;&gt;Einstellungen!$C$5),"Objekt fehlt",IF(YEAR(A684)&lt;&gt;Einstellungen!$C$3,"anderes Jahr",IF(A684&lt;INDEX(Mitarbeiter!$C$6:$C$205,MATCH(B684,Mitarbeiter!$A$6:$A$205,0)),"vor Eintritt",IF(AND(INDEX(Mitarbeiter!$D$6:$D$205,MATCH(B684,Mitarbeiter!$A$6:$A$205,0))&lt;&gt;"",A684&gt;INDEX(Mitarbeiter!$D$6:$D$205,MATCH(B684,Mitarbeiter!$A$6:$A$205,0))),"nach Austritt","ok")))))))</f>
        <v/>
      </c>
    </row>
    <row r="685">
      <c r="A685" s="26" t="n">
        <v>46235</v>
      </c>
      <c r="B685" s="24" t="n">
        <v>1058</v>
      </c>
      <c r="C685" s="40">
        <f>IF(B685="","",IFERROR(INDEX(Mitarbeiter!$B$6:$B$205,MATCH(B685,Mitarbeiter!$A$6:$A$205,0)),"?"))</f>
        <v/>
      </c>
      <c r="D685" s="41" t="inlineStr">
        <is>
          <t>Objekt 1</t>
        </is>
      </c>
      <c r="E685" s="42" t="n">
        <v>48</v>
      </c>
      <c r="F685" s="43" t="n">
        <v>0</v>
      </c>
      <c r="G685" s="44">
        <f>IF(OR(B685="",F685=""),"",IFERROR(F685*INDEX(Mitarbeiter!$F$6:$F$205,MATCH(B685,Mitarbeiter!$A$6:$A$205,0)),0))</f>
        <v/>
      </c>
      <c r="H685" s="8">
        <f>IF(B685="","",IF(ISNA(MATCH(B685,Mitarbeiter!$A$6:$A$205,0)),"Pers.-Nr. unbekannt",IF(A685="","Datum fehlt",IF(AND(D685&lt;&gt;Einstellungen!$C$4,D685&lt;&gt;Einstellungen!$C$5),"Objekt fehlt",IF(YEAR(A685)&lt;&gt;Einstellungen!$C$3,"anderes Jahr",IF(A685&lt;INDEX(Mitarbeiter!$C$6:$C$205,MATCH(B685,Mitarbeiter!$A$6:$A$205,0)),"vor Eintritt",IF(AND(INDEX(Mitarbeiter!$D$6:$D$205,MATCH(B685,Mitarbeiter!$A$6:$A$205,0))&lt;&gt;"",A685&gt;INDEX(Mitarbeiter!$D$6:$D$205,MATCH(B685,Mitarbeiter!$A$6:$A$205,0))),"nach Austritt","ok")))))))</f>
        <v/>
      </c>
    </row>
    <row r="686">
      <c r="A686" s="26" t="n">
        <v>46235</v>
      </c>
      <c r="B686" s="24" t="n">
        <v>1058</v>
      </c>
      <c r="C686" s="40">
        <f>IF(B686="","",IFERROR(INDEX(Mitarbeiter!$B$6:$B$205,MATCH(B686,Mitarbeiter!$A$6:$A$205,0)),"?"))</f>
        <v/>
      </c>
      <c r="D686" s="41" t="inlineStr">
        <is>
          <t>Objekt 2</t>
        </is>
      </c>
      <c r="E686" s="42" t="n">
        <v>72</v>
      </c>
      <c r="F686" s="43" t="n">
        <v>1</v>
      </c>
      <c r="G686" s="44">
        <f>IF(OR(B686="",F686=""),"",IFERROR(F686*INDEX(Mitarbeiter!$F$6:$F$205,MATCH(B686,Mitarbeiter!$A$6:$A$205,0)),0))</f>
        <v/>
      </c>
      <c r="H686" s="8">
        <f>IF(B686="","",IF(ISNA(MATCH(B686,Mitarbeiter!$A$6:$A$205,0)),"Pers.-Nr. unbekannt",IF(A686="","Datum fehlt",IF(AND(D686&lt;&gt;Einstellungen!$C$4,D686&lt;&gt;Einstellungen!$C$5),"Objekt fehlt",IF(YEAR(A686)&lt;&gt;Einstellungen!$C$3,"anderes Jahr",IF(A686&lt;INDEX(Mitarbeiter!$C$6:$C$205,MATCH(B686,Mitarbeiter!$A$6:$A$205,0)),"vor Eintritt",IF(AND(INDEX(Mitarbeiter!$D$6:$D$205,MATCH(B686,Mitarbeiter!$A$6:$A$205,0))&lt;&gt;"",A686&gt;INDEX(Mitarbeiter!$D$6:$D$205,MATCH(B686,Mitarbeiter!$A$6:$A$205,0))),"nach Austritt","ok")))))))</f>
        <v/>
      </c>
    </row>
    <row r="687">
      <c r="A687" s="26" t="n">
        <v>46235</v>
      </c>
      <c r="B687" s="24" t="n">
        <v>1059</v>
      </c>
      <c r="C687" s="40">
        <f>IF(B687="","",IFERROR(INDEX(Mitarbeiter!$B$6:$B$205,MATCH(B687,Mitarbeiter!$A$6:$A$205,0)),"?"))</f>
        <v/>
      </c>
      <c r="D687" s="41" t="inlineStr">
        <is>
          <t>Objekt 1</t>
        </is>
      </c>
      <c r="E687" s="42" t="n">
        <v>84</v>
      </c>
      <c r="F687" s="43" t="n">
        <v>0</v>
      </c>
      <c r="G687" s="44">
        <f>IF(OR(B687="",F687=""),"",IFERROR(F687*INDEX(Mitarbeiter!$F$6:$F$205,MATCH(B687,Mitarbeiter!$A$6:$A$205,0)),0))</f>
        <v/>
      </c>
      <c r="H687" s="8">
        <f>IF(B687="","",IF(ISNA(MATCH(B687,Mitarbeiter!$A$6:$A$205,0)),"Pers.-Nr. unbekannt",IF(A687="","Datum fehlt",IF(AND(D687&lt;&gt;Einstellungen!$C$4,D687&lt;&gt;Einstellungen!$C$5),"Objekt fehlt",IF(YEAR(A687)&lt;&gt;Einstellungen!$C$3,"anderes Jahr",IF(A687&lt;INDEX(Mitarbeiter!$C$6:$C$205,MATCH(B687,Mitarbeiter!$A$6:$A$205,0)),"vor Eintritt",IF(AND(INDEX(Mitarbeiter!$D$6:$D$205,MATCH(B687,Mitarbeiter!$A$6:$A$205,0))&lt;&gt;"",A687&gt;INDEX(Mitarbeiter!$D$6:$D$205,MATCH(B687,Mitarbeiter!$A$6:$A$205,0))),"nach Austritt","ok")))))))</f>
        <v/>
      </c>
    </row>
    <row r="688">
      <c r="A688" s="26" t="n">
        <v>46235</v>
      </c>
      <c r="B688" s="24" t="n">
        <v>1060</v>
      </c>
      <c r="C688" s="40">
        <f>IF(B688="","",IFERROR(INDEX(Mitarbeiter!$B$6:$B$205,MATCH(B688,Mitarbeiter!$A$6:$A$205,0)),"?"))</f>
        <v/>
      </c>
      <c r="D688" s="41" t="inlineStr">
        <is>
          <t>Objekt 1</t>
        </is>
      </c>
      <c r="E688" s="42" t="n">
        <v>64</v>
      </c>
      <c r="F688" s="43" t="n">
        <v>0</v>
      </c>
      <c r="G688" s="44">
        <f>IF(OR(B688="",F688=""),"",IFERROR(F688*INDEX(Mitarbeiter!$F$6:$F$205,MATCH(B688,Mitarbeiter!$A$6:$A$205,0)),0))</f>
        <v/>
      </c>
      <c r="H688" s="8">
        <f>IF(B688="","",IF(ISNA(MATCH(B688,Mitarbeiter!$A$6:$A$205,0)),"Pers.-Nr. unbekannt",IF(A688="","Datum fehlt",IF(AND(D688&lt;&gt;Einstellungen!$C$4,D688&lt;&gt;Einstellungen!$C$5),"Objekt fehlt",IF(YEAR(A688)&lt;&gt;Einstellungen!$C$3,"anderes Jahr",IF(A688&lt;INDEX(Mitarbeiter!$C$6:$C$205,MATCH(B688,Mitarbeiter!$A$6:$A$205,0)),"vor Eintritt",IF(AND(INDEX(Mitarbeiter!$D$6:$D$205,MATCH(B688,Mitarbeiter!$A$6:$A$205,0))&lt;&gt;"",A688&gt;INDEX(Mitarbeiter!$D$6:$D$205,MATCH(B688,Mitarbeiter!$A$6:$A$205,0))),"nach Austritt","ok")))))))</f>
        <v/>
      </c>
    </row>
    <row r="689">
      <c r="A689" s="26" t="n">
        <v>46235</v>
      </c>
      <c r="B689" s="24" t="n">
        <v>1060</v>
      </c>
      <c r="C689" s="40">
        <f>IF(B689="","",IFERROR(INDEX(Mitarbeiter!$B$6:$B$205,MATCH(B689,Mitarbeiter!$A$6:$A$205,0)),"?"))</f>
        <v/>
      </c>
      <c r="D689" s="41" t="inlineStr">
        <is>
          <t>Objekt 2</t>
        </is>
      </c>
      <c r="E689" s="42" t="n">
        <v>102.5</v>
      </c>
      <c r="F689" s="43" t="n">
        <v>0</v>
      </c>
      <c r="G689" s="44">
        <f>IF(OR(B689="",F689=""),"",IFERROR(F689*INDEX(Mitarbeiter!$F$6:$F$205,MATCH(B689,Mitarbeiter!$A$6:$A$205,0)),0))</f>
        <v/>
      </c>
      <c r="H689" s="8">
        <f>IF(B689="","",IF(ISNA(MATCH(B689,Mitarbeiter!$A$6:$A$205,0)),"Pers.-Nr. unbekannt",IF(A689="","Datum fehlt",IF(AND(D689&lt;&gt;Einstellungen!$C$4,D689&lt;&gt;Einstellungen!$C$5),"Objekt fehlt",IF(YEAR(A689)&lt;&gt;Einstellungen!$C$3,"anderes Jahr",IF(A689&lt;INDEX(Mitarbeiter!$C$6:$C$205,MATCH(B689,Mitarbeiter!$A$6:$A$205,0)),"vor Eintritt",IF(AND(INDEX(Mitarbeiter!$D$6:$D$205,MATCH(B689,Mitarbeiter!$A$6:$A$205,0))&lt;&gt;"",A689&gt;INDEX(Mitarbeiter!$D$6:$D$205,MATCH(B689,Mitarbeiter!$A$6:$A$205,0))),"nach Austritt","ok")))))))</f>
        <v/>
      </c>
    </row>
    <row r="690">
      <c r="A690" s="26" t="n">
        <v>46235</v>
      </c>
      <c r="B690" s="24" t="n">
        <v>1062</v>
      </c>
      <c r="C690" s="40">
        <f>IF(B690="","",IFERROR(INDEX(Mitarbeiter!$B$6:$B$205,MATCH(B690,Mitarbeiter!$A$6:$A$205,0)),"?"))</f>
        <v/>
      </c>
      <c r="D690" s="41" t="inlineStr">
        <is>
          <t>Objekt 1</t>
        </is>
      </c>
      <c r="E690" s="42" t="n">
        <v>62.5</v>
      </c>
      <c r="F690" s="43" t="n">
        <v>0</v>
      </c>
      <c r="G690" s="44">
        <f>IF(OR(B690="",F690=""),"",IFERROR(F690*INDEX(Mitarbeiter!$F$6:$F$205,MATCH(B690,Mitarbeiter!$A$6:$A$205,0)),0))</f>
        <v/>
      </c>
      <c r="H690" s="8">
        <f>IF(B690="","",IF(ISNA(MATCH(B690,Mitarbeiter!$A$6:$A$205,0)),"Pers.-Nr. unbekannt",IF(A690="","Datum fehlt",IF(AND(D690&lt;&gt;Einstellungen!$C$4,D690&lt;&gt;Einstellungen!$C$5),"Objekt fehlt",IF(YEAR(A690)&lt;&gt;Einstellungen!$C$3,"anderes Jahr",IF(A690&lt;INDEX(Mitarbeiter!$C$6:$C$205,MATCH(B690,Mitarbeiter!$A$6:$A$205,0)),"vor Eintritt",IF(AND(INDEX(Mitarbeiter!$D$6:$D$205,MATCH(B690,Mitarbeiter!$A$6:$A$205,0))&lt;&gt;"",A690&gt;INDEX(Mitarbeiter!$D$6:$D$205,MATCH(B690,Mitarbeiter!$A$6:$A$205,0))),"nach Austritt","ok")))))))</f>
        <v/>
      </c>
    </row>
    <row r="691">
      <c r="A691" s="26" t="n">
        <v>46235</v>
      </c>
      <c r="B691" s="24" t="n">
        <v>1062</v>
      </c>
      <c r="C691" s="40">
        <f>IF(B691="","",IFERROR(INDEX(Mitarbeiter!$B$6:$B$205,MATCH(B691,Mitarbeiter!$A$6:$A$205,0)),"?"))</f>
        <v/>
      </c>
      <c r="D691" s="41" t="inlineStr">
        <is>
          <t>Objekt 2</t>
        </is>
      </c>
      <c r="E691" s="42" t="n">
        <v>105.5</v>
      </c>
      <c r="F691" s="43" t="n">
        <v>0</v>
      </c>
      <c r="G691" s="44">
        <f>IF(OR(B691="",F691=""),"",IFERROR(F691*INDEX(Mitarbeiter!$F$6:$F$205,MATCH(B691,Mitarbeiter!$A$6:$A$205,0)),0))</f>
        <v/>
      </c>
      <c r="H691" s="8">
        <f>IF(B691="","",IF(ISNA(MATCH(B691,Mitarbeiter!$A$6:$A$205,0)),"Pers.-Nr. unbekannt",IF(A691="","Datum fehlt",IF(AND(D691&lt;&gt;Einstellungen!$C$4,D691&lt;&gt;Einstellungen!$C$5),"Objekt fehlt",IF(YEAR(A691)&lt;&gt;Einstellungen!$C$3,"anderes Jahr",IF(A691&lt;INDEX(Mitarbeiter!$C$6:$C$205,MATCH(B691,Mitarbeiter!$A$6:$A$205,0)),"vor Eintritt",IF(AND(INDEX(Mitarbeiter!$D$6:$D$205,MATCH(B691,Mitarbeiter!$A$6:$A$205,0))&lt;&gt;"",A691&gt;INDEX(Mitarbeiter!$D$6:$D$205,MATCH(B691,Mitarbeiter!$A$6:$A$205,0))),"nach Austritt","ok")))))))</f>
        <v/>
      </c>
    </row>
    <row r="692">
      <c r="A692" s="26" t="n">
        <v>46235</v>
      </c>
      <c r="B692" s="24" t="n">
        <v>1063</v>
      </c>
      <c r="C692" s="40">
        <f>IF(B692="","",IFERROR(INDEX(Mitarbeiter!$B$6:$B$205,MATCH(B692,Mitarbeiter!$A$6:$A$205,0)),"?"))</f>
        <v/>
      </c>
      <c r="D692" s="41" t="inlineStr">
        <is>
          <t>Objekt 1</t>
        </is>
      </c>
      <c r="E692" s="42" t="n">
        <v>18</v>
      </c>
      <c r="F692" s="43" t="n">
        <v>1</v>
      </c>
      <c r="G692" s="44">
        <f>IF(OR(B692="",F692=""),"",IFERROR(F692*INDEX(Mitarbeiter!$F$6:$F$205,MATCH(B692,Mitarbeiter!$A$6:$A$205,0)),0))</f>
        <v/>
      </c>
      <c r="H692" s="8">
        <f>IF(B692="","",IF(ISNA(MATCH(B692,Mitarbeiter!$A$6:$A$205,0)),"Pers.-Nr. unbekannt",IF(A692="","Datum fehlt",IF(AND(D692&lt;&gt;Einstellungen!$C$4,D692&lt;&gt;Einstellungen!$C$5),"Objekt fehlt",IF(YEAR(A692)&lt;&gt;Einstellungen!$C$3,"anderes Jahr",IF(A692&lt;INDEX(Mitarbeiter!$C$6:$C$205,MATCH(B692,Mitarbeiter!$A$6:$A$205,0)),"vor Eintritt",IF(AND(INDEX(Mitarbeiter!$D$6:$D$205,MATCH(B692,Mitarbeiter!$A$6:$A$205,0))&lt;&gt;"",A692&gt;INDEX(Mitarbeiter!$D$6:$D$205,MATCH(B692,Mitarbeiter!$A$6:$A$205,0))),"nach Austritt","ok")))))))</f>
        <v/>
      </c>
    </row>
    <row r="693">
      <c r="A693" s="26" t="n">
        <v>46235</v>
      </c>
      <c r="B693" s="24" t="n">
        <v>1063</v>
      </c>
      <c r="C693" s="40">
        <f>IF(B693="","",IFERROR(INDEX(Mitarbeiter!$B$6:$B$205,MATCH(B693,Mitarbeiter!$A$6:$A$205,0)),"?"))</f>
        <v/>
      </c>
      <c r="D693" s="41" t="inlineStr">
        <is>
          <t>Objekt 2</t>
        </is>
      </c>
      <c r="E693" s="42" t="n">
        <v>88.5</v>
      </c>
      <c r="F693" s="43" t="n">
        <v>2</v>
      </c>
      <c r="G693" s="44">
        <f>IF(OR(B693="",F693=""),"",IFERROR(F693*INDEX(Mitarbeiter!$F$6:$F$205,MATCH(B693,Mitarbeiter!$A$6:$A$205,0)),0))</f>
        <v/>
      </c>
      <c r="H693" s="8">
        <f>IF(B693="","",IF(ISNA(MATCH(B693,Mitarbeiter!$A$6:$A$205,0)),"Pers.-Nr. unbekannt",IF(A693="","Datum fehlt",IF(AND(D693&lt;&gt;Einstellungen!$C$4,D693&lt;&gt;Einstellungen!$C$5),"Objekt fehlt",IF(YEAR(A693)&lt;&gt;Einstellungen!$C$3,"anderes Jahr",IF(A693&lt;INDEX(Mitarbeiter!$C$6:$C$205,MATCH(B693,Mitarbeiter!$A$6:$A$205,0)),"vor Eintritt",IF(AND(INDEX(Mitarbeiter!$D$6:$D$205,MATCH(B693,Mitarbeiter!$A$6:$A$205,0))&lt;&gt;"",A693&gt;INDEX(Mitarbeiter!$D$6:$D$205,MATCH(B693,Mitarbeiter!$A$6:$A$205,0))),"nach Austritt","ok")))))))</f>
        <v/>
      </c>
    </row>
    <row r="694">
      <c r="A694" s="26" t="n">
        <v>46235</v>
      </c>
      <c r="B694" s="24" t="n">
        <v>1064</v>
      </c>
      <c r="C694" s="40">
        <f>IF(B694="","",IFERROR(INDEX(Mitarbeiter!$B$6:$B$205,MATCH(B694,Mitarbeiter!$A$6:$A$205,0)),"?"))</f>
        <v/>
      </c>
      <c r="D694" s="41" t="inlineStr">
        <is>
          <t>Objekt 1</t>
        </is>
      </c>
      <c r="E694" s="42" t="n">
        <v>87</v>
      </c>
      <c r="F694" s="43" t="n">
        <v>0</v>
      </c>
      <c r="G694" s="44">
        <f>IF(OR(B694="",F694=""),"",IFERROR(F694*INDEX(Mitarbeiter!$F$6:$F$205,MATCH(B694,Mitarbeiter!$A$6:$A$205,0)),0))</f>
        <v/>
      </c>
      <c r="H694" s="8">
        <f>IF(B694="","",IF(ISNA(MATCH(B694,Mitarbeiter!$A$6:$A$205,0)),"Pers.-Nr. unbekannt",IF(A694="","Datum fehlt",IF(AND(D694&lt;&gt;Einstellungen!$C$4,D694&lt;&gt;Einstellungen!$C$5),"Objekt fehlt",IF(YEAR(A694)&lt;&gt;Einstellungen!$C$3,"anderes Jahr",IF(A694&lt;INDEX(Mitarbeiter!$C$6:$C$205,MATCH(B694,Mitarbeiter!$A$6:$A$205,0)),"vor Eintritt",IF(AND(INDEX(Mitarbeiter!$D$6:$D$205,MATCH(B694,Mitarbeiter!$A$6:$A$205,0))&lt;&gt;"",A694&gt;INDEX(Mitarbeiter!$D$6:$D$205,MATCH(B694,Mitarbeiter!$A$6:$A$205,0))),"nach Austritt","ok")))))))</f>
        <v/>
      </c>
    </row>
    <row r="695">
      <c r="A695" s="26" t="n">
        <v>46235</v>
      </c>
      <c r="B695" s="24" t="n">
        <v>1065</v>
      </c>
      <c r="C695" s="40">
        <f>IF(B695="","",IFERROR(INDEX(Mitarbeiter!$B$6:$B$205,MATCH(B695,Mitarbeiter!$A$6:$A$205,0)),"?"))</f>
        <v/>
      </c>
      <c r="D695" s="41" t="inlineStr">
        <is>
          <t>Objekt 1</t>
        </is>
      </c>
      <c r="E695" s="42" t="n">
        <v>168</v>
      </c>
      <c r="F695" s="43" t="n">
        <v>0</v>
      </c>
      <c r="G695" s="44">
        <f>IF(OR(B695="",F695=""),"",IFERROR(F695*INDEX(Mitarbeiter!$F$6:$F$205,MATCH(B695,Mitarbeiter!$A$6:$A$205,0)),0))</f>
        <v/>
      </c>
      <c r="H695" s="8">
        <f>IF(B695="","",IF(ISNA(MATCH(B695,Mitarbeiter!$A$6:$A$205,0)),"Pers.-Nr. unbekannt",IF(A695="","Datum fehlt",IF(AND(D695&lt;&gt;Einstellungen!$C$4,D695&lt;&gt;Einstellungen!$C$5),"Objekt fehlt",IF(YEAR(A695)&lt;&gt;Einstellungen!$C$3,"anderes Jahr",IF(A695&lt;INDEX(Mitarbeiter!$C$6:$C$205,MATCH(B695,Mitarbeiter!$A$6:$A$205,0)),"vor Eintritt",IF(AND(INDEX(Mitarbeiter!$D$6:$D$205,MATCH(B695,Mitarbeiter!$A$6:$A$205,0))&lt;&gt;"",A695&gt;INDEX(Mitarbeiter!$D$6:$D$205,MATCH(B695,Mitarbeiter!$A$6:$A$205,0))),"nach Austritt","ok")))))))</f>
        <v/>
      </c>
    </row>
    <row r="696">
      <c r="A696" s="26" t="n">
        <v>46235</v>
      </c>
      <c r="B696" s="24" t="n">
        <v>1066</v>
      </c>
      <c r="C696" s="40">
        <f>IF(B696="","",IFERROR(INDEX(Mitarbeiter!$B$6:$B$205,MATCH(B696,Mitarbeiter!$A$6:$A$205,0)),"?"))</f>
        <v/>
      </c>
      <c r="D696" s="41" t="inlineStr">
        <is>
          <t>Objekt 1</t>
        </is>
      </c>
      <c r="E696" s="42" t="n">
        <v>65.5</v>
      </c>
      <c r="F696" s="43" t="n">
        <v>1</v>
      </c>
      <c r="G696" s="44">
        <f>IF(OR(B696="",F696=""),"",IFERROR(F696*INDEX(Mitarbeiter!$F$6:$F$205,MATCH(B696,Mitarbeiter!$A$6:$A$205,0)),0))</f>
        <v/>
      </c>
      <c r="H696" s="8">
        <f>IF(B696="","",IF(ISNA(MATCH(B696,Mitarbeiter!$A$6:$A$205,0)),"Pers.-Nr. unbekannt",IF(A696="","Datum fehlt",IF(AND(D696&lt;&gt;Einstellungen!$C$4,D696&lt;&gt;Einstellungen!$C$5),"Objekt fehlt",IF(YEAR(A696)&lt;&gt;Einstellungen!$C$3,"anderes Jahr",IF(A696&lt;INDEX(Mitarbeiter!$C$6:$C$205,MATCH(B696,Mitarbeiter!$A$6:$A$205,0)),"vor Eintritt",IF(AND(INDEX(Mitarbeiter!$D$6:$D$205,MATCH(B696,Mitarbeiter!$A$6:$A$205,0))&lt;&gt;"",A696&gt;INDEX(Mitarbeiter!$D$6:$D$205,MATCH(B696,Mitarbeiter!$A$6:$A$205,0))),"nach Austritt","ok")))))))</f>
        <v/>
      </c>
    </row>
    <row r="697">
      <c r="A697" s="26" t="n">
        <v>46235</v>
      </c>
      <c r="B697" s="24" t="n">
        <v>1066</v>
      </c>
      <c r="C697" s="40">
        <f>IF(B697="","",IFERROR(INDEX(Mitarbeiter!$B$6:$B$205,MATCH(B697,Mitarbeiter!$A$6:$A$205,0)),"?"))</f>
        <v/>
      </c>
      <c r="D697" s="41" t="inlineStr">
        <is>
          <t>Objekt 2</t>
        </is>
      </c>
      <c r="E697" s="42" t="n">
        <v>19</v>
      </c>
      <c r="F697" s="43" t="n">
        <v>0</v>
      </c>
      <c r="G697" s="44">
        <f>IF(OR(B697="",F697=""),"",IFERROR(F697*INDEX(Mitarbeiter!$F$6:$F$205,MATCH(B697,Mitarbeiter!$A$6:$A$205,0)),0))</f>
        <v/>
      </c>
      <c r="H697" s="8">
        <f>IF(B697="","",IF(ISNA(MATCH(B697,Mitarbeiter!$A$6:$A$205,0)),"Pers.-Nr. unbekannt",IF(A697="","Datum fehlt",IF(AND(D697&lt;&gt;Einstellungen!$C$4,D697&lt;&gt;Einstellungen!$C$5),"Objekt fehlt",IF(YEAR(A697)&lt;&gt;Einstellungen!$C$3,"anderes Jahr",IF(A697&lt;INDEX(Mitarbeiter!$C$6:$C$205,MATCH(B697,Mitarbeiter!$A$6:$A$205,0)),"vor Eintritt",IF(AND(INDEX(Mitarbeiter!$D$6:$D$205,MATCH(B697,Mitarbeiter!$A$6:$A$205,0))&lt;&gt;"",A697&gt;INDEX(Mitarbeiter!$D$6:$D$205,MATCH(B697,Mitarbeiter!$A$6:$A$205,0))),"nach Austritt","ok")))))))</f>
        <v/>
      </c>
    </row>
    <row r="698">
      <c r="A698" s="26" t="n">
        <v>46235</v>
      </c>
      <c r="B698" s="24" t="n">
        <v>1067</v>
      </c>
      <c r="C698" s="40">
        <f>IF(B698="","",IFERROR(INDEX(Mitarbeiter!$B$6:$B$205,MATCH(B698,Mitarbeiter!$A$6:$A$205,0)),"?"))</f>
        <v/>
      </c>
      <c r="D698" s="41" t="inlineStr">
        <is>
          <t>Objekt 1</t>
        </is>
      </c>
      <c r="E698" s="42" t="n">
        <v>28</v>
      </c>
      <c r="F698" s="43" t="n">
        <v>1</v>
      </c>
      <c r="G698" s="44">
        <f>IF(OR(B698="",F698=""),"",IFERROR(F698*INDEX(Mitarbeiter!$F$6:$F$205,MATCH(B698,Mitarbeiter!$A$6:$A$205,0)),0))</f>
        <v/>
      </c>
      <c r="H698" s="8">
        <f>IF(B698="","",IF(ISNA(MATCH(B698,Mitarbeiter!$A$6:$A$205,0)),"Pers.-Nr. unbekannt",IF(A698="","Datum fehlt",IF(AND(D698&lt;&gt;Einstellungen!$C$4,D698&lt;&gt;Einstellungen!$C$5),"Objekt fehlt",IF(YEAR(A698)&lt;&gt;Einstellungen!$C$3,"anderes Jahr",IF(A698&lt;INDEX(Mitarbeiter!$C$6:$C$205,MATCH(B698,Mitarbeiter!$A$6:$A$205,0)),"vor Eintritt",IF(AND(INDEX(Mitarbeiter!$D$6:$D$205,MATCH(B698,Mitarbeiter!$A$6:$A$205,0))&lt;&gt;"",A698&gt;INDEX(Mitarbeiter!$D$6:$D$205,MATCH(B698,Mitarbeiter!$A$6:$A$205,0))),"nach Austritt","ok")))))))</f>
        <v/>
      </c>
    </row>
    <row r="699">
      <c r="A699" s="26" t="n">
        <v>46235</v>
      </c>
      <c r="B699" s="24" t="n">
        <v>1067</v>
      </c>
      <c r="C699" s="40">
        <f>IF(B699="","",IFERROR(INDEX(Mitarbeiter!$B$6:$B$205,MATCH(B699,Mitarbeiter!$A$6:$A$205,0)),"?"))</f>
        <v/>
      </c>
      <c r="D699" s="41" t="inlineStr">
        <is>
          <t>Objekt 2</t>
        </is>
      </c>
      <c r="E699" s="42" t="n">
        <v>44</v>
      </c>
      <c r="F699" s="43" t="n">
        <v>2</v>
      </c>
      <c r="G699" s="44">
        <f>IF(OR(B699="",F699=""),"",IFERROR(F699*INDEX(Mitarbeiter!$F$6:$F$205,MATCH(B699,Mitarbeiter!$A$6:$A$205,0)),0))</f>
        <v/>
      </c>
      <c r="H699" s="8">
        <f>IF(B699="","",IF(ISNA(MATCH(B699,Mitarbeiter!$A$6:$A$205,0)),"Pers.-Nr. unbekannt",IF(A699="","Datum fehlt",IF(AND(D699&lt;&gt;Einstellungen!$C$4,D699&lt;&gt;Einstellungen!$C$5),"Objekt fehlt",IF(YEAR(A699)&lt;&gt;Einstellungen!$C$3,"anderes Jahr",IF(A699&lt;INDEX(Mitarbeiter!$C$6:$C$205,MATCH(B699,Mitarbeiter!$A$6:$A$205,0)),"vor Eintritt",IF(AND(INDEX(Mitarbeiter!$D$6:$D$205,MATCH(B699,Mitarbeiter!$A$6:$A$205,0))&lt;&gt;"",A699&gt;INDEX(Mitarbeiter!$D$6:$D$205,MATCH(B699,Mitarbeiter!$A$6:$A$205,0))),"nach Austritt","ok")))))))</f>
        <v/>
      </c>
    </row>
    <row r="700">
      <c r="A700" s="26" t="n">
        <v>46235</v>
      </c>
      <c r="B700" s="24" t="n">
        <v>1068</v>
      </c>
      <c r="C700" s="40">
        <f>IF(B700="","",IFERROR(INDEX(Mitarbeiter!$B$6:$B$205,MATCH(B700,Mitarbeiter!$A$6:$A$205,0)),"?"))</f>
        <v/>
      </c>
      <c r="D700" s="41" t="inlineStr">
        <is>
          <t>Objekt 1</t>
        </is>
      </c>
      <c r="E700" s="42" t="n">
        <v>78.5</v>
      </c>
      <c r="F700" s="43" t="n">
        <v>3</v>
      </c>
      <c r="G700" s="44">
        <f>IF(OR(B700="",F700=""),"",IFERROR(F700*INDEX(Mitarbeiter!$F$6:$F$205,MATCH(B700,Mitarbeiter!$A$6:$A$205,0)),0))</f>
        <v/>
      </c>
      <c r="H700" s="8">
        <f>IF(B700="","",IF(ISNA(MATCH(B700,Mitarbeiter!$A$6:$A$205,0)),"Pers.-Nr. unbekannt",IF(A700="","Datum fehlt",IF(AND(D700&lt;&gt;Einstellungen!$C$4,D700&lt;&gt;Einstellungen!$C$5),"Objekt fehlt",IF(YEAR(A700)&lt;&gt;Einstellungen!$C$3,"anderes Jahr",IF(A700&lt;INDEX(Mitarbeiter!$C$6:$C$205,MATCH(B700,Mitarbeiter!$A$6:$A$205,0)),"vor Eintritt",IF(AND(INDEX(Mitarbeiter!$D$6:$D$205,MATCH(B700,Mitarbeiter!$A$6:$A$205,0))&lt;&gt;"",A700&gt;INDEX(Mitarbeiter!$D$6:$D$205,MATCH(B700,Mitarbeiter!$A$6:$A$205,0))),"nach Austritt","ok")))))))</f>
        <v/>
      </c>
    </row>
    <row r="701">
      <c r="A701" s="26" t="n">
        <v>46235</v>
      </c>
      <c r="B701" s="24" t="n">
        <v>1068</v>
      </c>
      <c r="C701" s="40">
        <f>IF(B701="","",IFERROR(INDEX(Mitarbeiter!$B$6:$B$205,MATCH(B701,Mitarbeiter!$A$6:$A$205,0)),"?"))</f>
        <v/>
      </c>
      <c r="D701" s="41" t="inlineStr">
        <is>
          <t>Objekt 2</t>
        </is>
      </c>
      <c r="E701" s="42" t="n">
        <v>48</v>
      </c>
      <c r="F701" s="43" t="n">
        <v>2</v>
      </c>
      <c r="G701" s="44">
        <f>IF(OR(B701="",F701=""),"",IFERROR(F701*INDEX(Mitarbeiter!$F$6:$F$205,MATCH(B701,Mitarbeiter!$A$6:$A$205,0)),0))</f>
        <v/>
      </c>
      <c r="H701" s="8">
        <f>IF(B701="","",IF(ISNA(MATCH(B701,Mitarbeiter!$A$6:$A$205,0)),"Pers.-Nr. unbekannt",IF(A701="","Datum fehlt",IF(AND(D701&lt;&gt;Einstellungen!$C$4,D701&lt;&gt;Einstellungen!$C$5),"Objekt fehlt",IF(YEAR(A701)&lt;&gt;Einstellungen!$C$3,"anderes Jahr",IF(A701&lt;INDEX(Mitarbeiter!$C$6:$C$205,MATCH(B701,Mitarbeiter!$A$6:$A$205,0)),"vor Eintritt",IF(AND(INDEX(Mitarbeiter!$D$6:$D$205,MATCH(B701,Mitarbeiter!$A$6:$A$205,0))&lt;&gt;"",A701&gt;INDEX(Mitarbeiter!$D$6:$D$205,MATCH(B701,Mitarbeiter!$A$6:$A$205,0))),"nach Austritt","ok")))))))</f>
        <v/>
      </c>
    </row>
    <row r="702">
      <c r="A702" s="26" t="n">
        <v>46235</v>
      </c>
      <c r="B702" s="24" t="n">
        <v>1071</v>
      </c>
      <c r="C702" s="40">
        <f>IF(B702="","",IFERROR(INDEX(Mitarbeiter!$B$6:$B$205,MATCH(B702,Mitarbeiter!$A$6:$A$205,0)),"?"))</f>
        <v/>
      </c>
      <c r="D702" s="41" t="inlineStr">
        <is>
          <t>Objekt 2</t>
        </is>
      </c>
      <c r="E702" s="42" t="n">
        <v>126</v>
      </c>
      <c r="F702" s="43" t="n">
        <v>0</v>
      </c>
      <c r="G702" s="44">
        <f>IF(OR(B702="",F702=""),"",IFERROR(F702*INDEX(Mitarbeiter!$F$6:$F$205,MATCH(B702,Mitarbeiter!$A$6:$A$205,0)),0))</f>
        <v/>
      </c>
      <c r="H702" s="8">
        <f>IF(B702="","",IF(ISNA(MATCH(B702,Mitarbeiter!$A$6:$A$205,0)),"Pers.-Nr. unbekannt",IF(A702="","Datum fehlt",IF(AND(D702&lt;&gt;Einstellungen!$C$4,D702&lt;&gt;Einstellungen!$C$5),"Objekt fehlt",IF(YEAR(A702)&lt;&gt;Einstellungen!$C$3,"anderes Jahr",IF(A702&lt;INDEX(Mitarbeiter!$C$6:$C$205,MATCH(B702,Mitarbeiter!$A$6:$A$205,0)),"vor Eintritt",IF(AND(INDEX(Mitarbeiter!$D$6:$D$205,MATCH(B702,Mitarbeiter!$A$6:$A$205,0))&lt;&gt;"",A702&gt;INDEX(Mitarbeiter!$D$6:$D$205,MATCH(B702,Mitarbeiter!$A$6:$A$205,0))),"nach Austritt","ok")))))))</f>
        <v/>
      </c>
    </row>
    <row r="703">
      <c r="A703" s="26" t="n">
        <v>46235</v>
      </c>
      <c r="B703" s="24" t="n">
        <v>1072</v>
      </c>
      <c r="C703" s="40">
        <f>IF(B703="","",IFERROR(INDEX(Mitarbeiter!$B$6:$B$205,MATCH(B703,Mitarbeiter!$A$6:$A$205,0)),"?"))</f>
        <v/>
      </c>
      <c r="D703" s="41" t="inlineStr">
        <is>
          <t>Objekt 1</t>
        </is>
      </c>
      <c r="E703" s="42" t="n">
        <v>63</v>
      </c>
      <c r="F703" s="43" t="n">
        <v>0</v>
      </c>
      <c r="G703" s="44">
        <f>IF(OR(B703="",F703=""),"",IFERROR(F703*INDEX(Mitarbeiter!$F$6:$F$205,MATCH(B703,Mitarbeiter!$A$6:$A$205,0)),0))</f>
        <v/>
      </c>
      <c r="H703" s="8">
        <f>IF(B703="","",IF(ISNA(MATCH(B703,Mitarbeiter!$A$6:$A$205,0)),"Pers.-Nr. unbekannt",IF(A703="","Datum fehlt",IF(AND(D703&lt;&gt;Einstellungen!$C$4,D703&lt;&gt;Einstellungen!$C$5),"Objekt fehlt",IF(YEAR(A703)&lt;&gt;Einstellungen!$C$3,"anderes Jahr",IF(A703&lt;INDEX(Mitarbeiter!$C$6:$C$205,MATCH(B703,Mitarbeiter!$A$6:$A$205,0)),"vor Eintritt",IF(AND(INDEX(Mitarbeiter!$D$6:$D$205,MATCH(B703,Mitarbeiter!$A$6:$A$205,0))&lt;&gt;"",A703&gt;INDEX(Mitarbeiter!$D$6:$D$205,MATCH(B703,Mitarbeiter!$A$6:$A$205,0))),"nach Austritt","ok")))))))</f>
        <v/>
      </c>
    </row>
    <row r="704">
      <c r="A704" s="26" t="n">
        <v>46235</v>
      </c>
      <c r="B704" s="24" t="n">
        <v>1072</v>
      </c>
      <c r="C704" s="40">
        <f>IF(B704="","",IFERROR(INDEX(Mitarbeiter!$B$6:$B$205,MATCH(B704,Mitarbeiter!$A$6:$A$205,0)),"?"))</f>
        <v/>
      </c>
      <c r="D704" s="41" t="inlineStr">
        <is>
          <t>Objekt 2</t>
        </is>
      </c>
      <c r="E704" s="42" t="n">
        <v>63</v>
      </c>
      <c r="F704" s="43" t="n">
        <v>1</v>
      </c>
      <c r="G704" s="44">
        <f>IF(OR(B704="",F704=""),"",IFERROR(F704*INDEX(Mitarbeiter!$F$6:$F$205,MATCH(B704,Mitarbeiter!$A$6:$A$205,0)),0))</f>
        <v/>
      </c>
      <c r="H704" s="8">
        <f>IF(B704="","",IF(ISNA(MATCH(B704,Mitarbeiter!$A$6:$A$205,0)),"Pers.-Nr. unbekannt",IF(A704="","Datum fehlt",IF(AND(D704&lt;&gt;Einstellungen!$C$4,D704&lt;&gt;Einstellungen!$C$5),"Objekt fehlt",IF(YEAR(A704)&lt;&gt;Einstellungen!$C$3,"anderes Jahr",IF(A704&lt;INDEX(Mitarbeiter!$C$6:$C$205,MATCH(B704,Mitarbeiter!$A$6:$A$205,0)),"vor Eintritt",IF(AND(INDEX(Mitarbeiter!$D$6:$D$205,MATCH(B704,Mitarbeiter!$A$6:$A$205,0))&lt;&gt;"",A704&gt;INDEX(Mitarbeiter!$D$6:$D$205,MATCH(B704,Mitarbeiter!$A$6:$A$205,0))),"nach Austritt","ok")))))))</f>
        <v/>
      </c>
    </row>
    <row r="705">
      <c r="A705" s="26" t="n">
        <v>46235</v>
      </c>
      <c r="B705" s="24" t="n">
        <v>1074</v>
      </c>
      <c r="C705" s="40">
        <f>IF(B705="","",IFERROR(INDEX(Mitarbeiter!$B$6:$B$205,MATCH(B705,Mitarbeiter!$A$6:$A$205,0)),"?"))</f>
        <v/>
      </c>
      <c r="D705" s="41" t="inlineStr">
        <is>
          <t>Objekt 2</t>
        </is>
      </c>
      <c r="E705" s="42" t="n">
        <v>82.5</v>
      </c>
      <c r="F705" s="43" t="n">
        <v>0</v>
      </c>
      <c r="G705" s="44">
        <f>IF(OR(B705="",F705=""),"",IFERROR(F705*INDEX(Mitarbeiter!$F$6:$F$205,MATCH(B705,Mitarbeiter!$A$6:$A$205,0)),0))</f>
        <v/>
      </c>
      <c r="H705" s="8">
        <f>IF(B705="","",IF(ISNA(MATCH(B705,Mitarbeiter!$A$6:$A$205,0)),"Pers.-Nr. unbekannt",IF(A705="","Datum fehlt",IF(AND(D705&lt;&gt;Einstellungen!$C$4,D705&lt;&gt;Einstellungen!$C$5),"Objekt fehlt",IF(YEAR(A705)&lt;&gt;Einstellungen!$C$3,"anderes Jahr",IF(A705&lt;INDEX(Mitarbeiter!$C$6:$C$205,MATCH(B705,Mitarbeiter!$A$6:$A$205,0)),"vor Eintritt",IF(AND(INDEX(Mitarbeiter!$D$6:$D$205,MATCH(B705,Mitarbeiter!$A$6:$A$205,0))&lt;&gt;"",A705&gt;INDEX(Mitarbeiter!$D$6:$D$205,MATCH(B705,Mitarbeiter!$A$6:$A$205,0))),"nach Austritt","ok")))))))</f>
        <v/>
      </c>
    </row>
    <row r="706">
      <c r="A706" s="26" t="n">
        <v>46235</v>
      </c>
      <c r="B706" s="24" t="n">
        <v>1076</v>
      </c>
      <c r="C706" s="40">
        <f>IF(B706="","",IFERROR(INDEX(Mitarbeiter!$B$6:$B$205,MATCH(B706,Mitarbeiter!$A$6:$A$205,0)),"?"))</f>
        <v/>
      </c>
      <c r="D706" s="41" t="inlineStr">
        <is>
          <t>Objekt 1</t>
        </is>
      </c>
      <c r="E706" s="42" t="n">
        <v>65.5</v>
      </c>
      <c r="F706" s="43" t="n">
        <v>2</v>
      </c>
      <c r="G706" s="44">
        <f>IF(OR(B706="",F706=""),"",IFERROR(F706*INDEX(Mitarbeiter!$F$6:$F$205,MATCH(B706,Mitarbeiter!$A$6:$A$205,0)),0))</f>
        <v/>
      </c>
      <c r="H706" s="8">
        <f>IF(B706="","",IF(ISNA(MATCH(B706,Mitarbeiter!$A$6:$A$205,0)),"Pers.-Nr. unbekannt",IF(A706="","Datum fehlt",IF(AND(D706&lt;&gt;Einstellungen!$C$4,D706&lt;&gt;Einstellungen!$C$5),"Objekt fehlt",IF(YEAR(A706)&lt;&gt;Einstellungen!$C$3,"anderes Jahr",IF(A706&lt;INDEX(Mitarbeiter!$C$6:$C$205,MATCH(B706,Mitarbeiter!$A$6:$A$205,0)),"vor Eintritt",IF(AND(INDEX(Mitarbeiter!$D$6:$D$205,MATCH(B706,Mitarbeiter!$A$6:$A$205,0))&lt;&gt;"",A706&gt;INDEX(Mitarbeiter!$D$6:$D$205,MATCH(B706,Mitarbeiter!$A$6:$A$205,0))),"nach Austritt","ok")))))))</f>
        <v/>
      </c>
    </row>
    <row r="707">
      <c r="A707" s="26" t="n">
        <v>46235</v>
      </c>
      <c r="B707" s="24" t="n">
        <v>1076</v>
      </c>
      <c r="C707" s="40">
        <f>IF(B707="","",IFERROR(INDEX(Mitarbeiter!$B$6:$B$205,MATCH(B707,Mitarbeiter!$A$6:$A$205,0)),"?"))</f>
        <v/>
      </c>
      <c r="D707" s="41" t="inlineStr">
        <is>
          <t>Objekt 2</t>
        </is>
      </c>
      <c r="E707" s="42" t="n">
        <v>70.5</v>
      </c>
      <c r="F707" s="43" t="n">
        <v>2</v>
      </c>
      <c r="G707" s="44">
        <f>IF(OR(B707="",F707=""),"",IFERROR(F707*INDEX(Mitarbeiter!$F$6:$F$205,MATCH(B707,Mitarbeiter!$A$6:$A$205,0)),0))</f>
        <v/>
      </c>
      <c r="H707" s="8">
        <f>IF(B707="","",IF(ISNA(MATCH(B707,Mitarbeiter!$A$6:$A$205,0)),"Pers.-Nr. unbekannt",IF(A707="","Datum fehlt",IF(AND(D707&lt;&gt;Einstellungen!$C$4,D707&lt;&gt;Einstellungen!$C$5),"Objekt fehlt",IF(YEAR(A707)&lt;&gt;Einstellungen!$C$3,"anderes Jahr",IF(A707&lt;INDEX(Mitarbeiter!$C$6:$C$205,MATCH(B707,Mitarbeiter!$A$6:$A$205,0)),"vor Eintritt",IF(AND(INDEX(Mitarbeiter!$D$6:$D$205,MATCH(B707,Mitarbeiter!$A$6:$A$205,0))&lt;&gt;"",A707&gt;INDEX(Mitarbeiter!$D$6:$D$205,MATCH(B707,Mitarbeiter!$A$6:$A$205,0))),"nach Austritt","ok")))))))</f>
        <v/>
      </c>
    </row>
    <row r="708">
      <c r="A708" s="26" t="n">
        <v>46266</v>
      </c>
      <c r="B708" s="24" t="n">
        <v>1001</v>
      </c>
      <c r="C708" s="40">
        <f>IF(B708="","",IFERROR(INDEX(Mitarbeiter!$B$6:$B$205,MATCH(B708,Mitarbeiter!$A$6:$A$205,0)),"?"))</f>
        <v/>
      </c>
      <c r="D708" s="41" t="inlineStr">
        <is>
          <t>Objekt 1</t>
        </is>
      </c>
      <c r="E708" s="42" t="n">
        <v>47</v>
      </c>
      <c r="F708" s="43" t="n">
        <v>0</v>
      </c>
      <c r="G708" s="44">
        <f>IF(OR(B708="",F708=""),"",IFERROR(F708*INDEX(Mitarbeiter!$F$6:$F$205,MATCH(B708,Mitarbeiter!$A$6:$A$205,0)),0))</f>
        <v/>
      </c>
      <c r="H708" s="8">
        <f>IF(B708="","",IF(ISNA(MATCH(B708,Mitarbeiter!$A$6:$A$205,0)),"Pers.-Nr. unbekannt",IF(A708="","Datum fehlt",IF(AND(D708&lt;&gt;Einstellungen!$C$4,D708&lt;&gt;Einstellungen!$C$5),"Objekt fehlt",IF(YEAR(A708)&lt;&gt;Einstellungen!$C$3,"anderes Jahr",IF(A708&lt;INDEX(Mitarbeiter!$C$6:$C$205,MATCH(B708,Mitarbeiter!$A$6:$A$205,0)),"vor Eintritt",IF(AND(INDEX(Mitarbeiter!$D$6:$D$205,MATCH(B708,Mitarbeiter!$A$6:$A$205,0))&lt;&gt;"",A708&gt;INDEX(Mitarbeiter!$D$6:$D$205,MATCH(B708,Mitarbeiter!$A$6:$A$205,0))),"nach Austritt","ok")))))))</f>
        <v/>
      </c>
    </row>
    <row r="709">
      <c r="A709" s="26" t="n">
        <v>46266</v>
      </c>
      <c r="B709" s="24" t="n">
        <v>1001</v>
      </c>
      <c r="C709" s="40">
        <f>IF(B709="","",IFERROR(INDEX(Mitarbeiter!$B$6:$B$205,MATCH(B709,Mitarbeiter!$A$6:$A$205,0)),"?"))</f>
        <v/>
      </c>
      <c r="D709" s="41" t="inlineStr">
        <is>
          <t>Objekt 2</t>
        </is>
      </c>
      <c r="E709" s="42" t="n">
        <v>44</v>
      </c>
      <c r="F709" s="43" t="n">
        <v>0</v>
      </c>
      <c r="G709" s="44">
        <f>IF(OR(B709="",F709=""),"",IFERROR(F709*INDEX(Mitarbeiter!$F$6:$F$205,MATCH(B709,Mitarbeiter!$A$6:$A$205,0)),0))</f>
        <v/>
      </c>
      <c r="H709" s="8">
        <f>IF(B709="","",IF(ISNA(MATCH(B709,Mitarbeiter!$A$6:$A$205,0)),"Pers.-Nr. unbekannt",IF(A709="","Datum fehlt",IF(AND(D709&lt;&gt;Einstellungen!$C$4,D709&lt;&gt;Einstellungen!$C$5),"Objekt fehlt",IF(YEAR(A709)&lt;&gt;Einstellungen!$C$3,"anderes Jahr",IF(A709&lt;INDEX(Mitarbeiter!$C$6:$C$205,MATCH(B709,Mitarbeiter!$A$6:$A$205,0)),"vor Eintritt",IF(AND(INDEX(Mitarbeiter!$D$6:$D$205,MATCH(B709,Mitarbeiter!$A$6:$A$205,0))&lt;&gt;"",A709&gt;INDEX(Mitarbeiter!$D$6:$D$205,MATCH(B709,Mitarbeiter!$A$6:$A$205,0))),"nach Austritt","ok")))))))</f>
        <v/>
      </c>
    </row>
    <row r="710">
      <c r="A710" s="26" t="n">
        <v>46266</v>
      </c>
      <c r="B710" s="24" t="n">
        <v>1002</v>
      </c>
      <c r="C710" s="40">
        <f>IF(B710="","",IFERROR(INDEX(Mitarbeiter!$B$6:$B$205,MATCH(B710,Mitarbeiter!$A$6:$A$205,0)),"?"))</f>
        <v/>
      </c>
      <c r="D710" s="41" t="inlineStr">
        <is>
          <t>Objekt 1</t>
        </is>
      </c>
      <c r="E710" s="42" t="n">
        <v>70.5</v>
      </c>
      <c r="F710" s="43" t="n">
        <v>1</v>
      </c>
      <c r="G710" s="44">
        <f>IF(OR(B710="",F710=""),"",IFERROR(F710*INDEX(Mitarbeiter!$F$6:$F$205,MATCH(B710,Mitarbeiter!$A$6:$A$205,0)),0))</f>
        <v/>
      </c>
      <c r="H710" s="8">
        <f>IF(B710="","",IF(ISNA(MATCH(B710,Mitarbeiter!$A$6:$A$205,0)),"Pers.-Nr. unbekannt",IF(A710="","Datum fehlt",IF(AND(D710&lt;&gt;Einstellungen!$C$4,D710&lt;&gt;Einstellungen!$C$5),"Objekt fehlt",IF(YEAR(A710)&lt;&gt;Einstellungen!$C$3,"anderes Jahr",IF(A710&lt;INDEX(Mitarbeiter!$C$6:$C$205,MATCH(B710,Mitarbeiter!$A$6:$A$205,0)),"vor Eintritt",IF(AND(INDEX(Mitarbeiter!$D$6:$D$205,MATCH(B710,Mitarbeiter!$A$6:$A$205,0))&lt;&gt;"",A710&gt;INDEX(Mitarbeiter!$D$6:$D$205,MATCH(B710,Mitarbeiter!$A$6:$A$205,0))),"nach Austritt","ok")))))))</f>
        <v/>
      </c>
    </row>
    <row r="711">
      <c r="A711" s="26" t="n">
        <v>46266</v>
      </c>
      <c r="B711" s="24" t="n">
        <v>1002</v>
      </c>
      <c r="C711" s="40">
        <f>IF(B711="","",IFERROR(INDEX(Mitarbeiter!$B$6:$B$205,MATCH(B711,Mitarbeiter!$A$6:$A$205,0)),"?"))</f>
        <v/>
      </c>
      <c r="D711" s="41" t="inlineStr">
        <is>
          <t>Objekt 2</t>
        </is>
      </c>
      <c r="E711" s="42" t="n">
        <v>57</v>
      </c>
      <c r="F711" s="43" t="n">
        <v>0</v>
      </c>
      <c r="G711" s="44">
        <f>IF(OR(B711="",F711=""),"",IFERROR(F711*INDEX(Mitarbeiter!$F$6:$F$205,MATCH(B711,Mitarbeiter!$A$6:$A$205,0)),0))</f>
        <v/>
      </c>
      <c r="H711" s="8">
        <f>IF(B711="","",IF(ISNA(MATCH(B711,Mitarbeiter!$A$6:$A$205,0)),"Pers.-Nr. unbekannt",IF(A711="","Datum fehlt",IF(AND(D711&lt;&gt;Einstellungen!$C$4,D711&lt;&gt;Einstellungen!$C$5),"Objekt fehlt",IF(YEAR(A711)&lt;&gt;Einstellungen!$C$3,"anderes Jahr",IF(A711&lt;INDEX(Mitarbeiter!$C$6:$C$205,MATCH(B711,Mitarbeiter!$A$6:$A$205,0)),"vor Eintritt",IF(AND(INDEX(Mitarbeiter!$D$6:$D$205,MATCH(B711,Mitarbeiter!$A$6:$A$205,0))&lt;&gt;"",A711&gt;INDEX(Mitarbeiter!$D$6:$D$205,MATCH(B711,Mitarbeiter!$A$6:$A$205,0))),"nach Austritt","ok")))))))</f>
        <v/>
      </c>
    </row>
    <row r="712">
      <c r="A712" s="26" t="n">
        <v>46266</v>
      </c>
      <c r="B712" s="24" t="n">
        <v>1003</v>
      </c>
      <c r="C712" s="40">
        <f>IF(B712="","",IFERROR(INDEX(Mitarbeiter!$B$6:$B$205,MATCH(B712,Mitarbeiter!$A$6:$A$205,0)),"?"))</f>
        <v/>
      </c>
      <c r="D712" s="41" t="inlineStr">
        <is>
          <t>Objekt 2</t>
        </is>
      </c>
      <c r="E712" s="42" t="n">
        <v>176</v>
      </c>
      <c r="F712" s="43" t="n">
        <v>0</v>
      </c>
      <c r="G712" s="44">
        <f>IF(OR(B712="",F712=""),"",IFERROR(F712*INDEX(Mitarbeiter!$F$6:$F$205,MATCH(B712,Mitarbeiter!$A$6:$A$205,0)),0))</f>
        <v/>
      </c>
      <c r="H712" s="8">
        <f>IF(B712="","",IF(ISNA(MATCH(B712,Mitarbeiter!$A$6:$A$205,0)),"Pers.-Nr. unbekannt",IF(A712="","Datum fehlt",IF(AND(D712&lt;&gt;Einstellungen!$C$4,D712&lt;&gt;Einstellungen!$C$5),"Objekt fehlt",IF(YEAR(A712)&lt;&gt;Einstellungen!$C$3,"anderes Jahr",IF(A712&lt;INDEX(Mitarbeiter!$C$6:$C$205,MATCH(B712,Mitarbeiter!$A$6:$A$205,0)),"vor Eintritt",IF(AND(INDEX(Mitarbeiter!$D$6:$D$205,MATCH(B712,Mitarbeiter!$A$6:$A$205,0))&lt;&gt;"",A712&gt;INDEX(Mitarbeiter!$D$6:$D$205,MATCH(B712,Mitarbeiter!$A$6:$A$205,0))),"nach Austritt","ok")))))))</f>
        <v/>
      </c>
    </row>
    <row r="713">
      <c r="A713" s="26" t="n">
        <v>46266</v>
      </c>
      <c r="B713" s="24" t="n">
        <v>1004</v>
      </c>
      <c r="C713" s="40">
        <f>IF(B713="","",IFERROR(INDEX(Mitarbeiter!$B$6:$B$205,MATCH(B713,Mitarbeiter!$A$6:$A$205,0)),"?"))</f>
        <v/>
      </c>
      <c r="D713" s="41" t="inlineStr">
        <is>
          <t>Objekt 1</t>
        </is>
      </c>
      <c r="E713" s="42" t="n">
        <v>89.5</v>
      </c>
      <c r="F713" s="43" t="n">
        <v>0</v>
      </c>
      <c r="G713" s="44">
        <f>IF(OR(B713="",F713=""),"",IFERROR(F713*INDEX(Mitarbeiter!$F$6:$F$205,MATCH(B713,Mitarbeiter!$A$6:$A$205,0)),0))</f>
        <v/>
      </c>
      <c r="H713" s="8">
        <f>IF(B713="","",IF(ISNA(MATCH(B713,Mitarbeiter!$A$6:$A$205,0)),"Pers.-Nr. unbekannt",IF(A713="","Datum fehlt",IF(AND(D713&lt;&gt;Einstellungen!$C$4,D713&lt;&gt;Einstellungen!$C$5),"Objekt fehlt",IF(YEAR(A713)&lt;&gt;Einstellungen!$C$3,"anderes Jahr",IF(A713&lt;INDEX(Mitarbeiter!$C$6:$C$205,MATCH(B713,Mitarbeiter!$A$6:$A$205,0)),"vor Eintritt",IF(AND(INDEX(Mitarbeiter!$D$6:$D$205,MATCH(B713,Mitarbeiter!$A$6:$A$205,0))&lt;&gt;"",A713&gt;INDEX(Mitarbeiter!$D$6:$D$205,MATCH(B713,Mitarbeiter!$A$6:$A$205,0))),"nach Austritt","ok")))))))</f>
        <v/>
      </c>
    </row>
    <row r="714">
      <c r="A714" s="26" t="n">
        <v>46266</v>
      </c>
      <c r="B714" s="24" t="n">
        <v>1004</v>
      </c>
      <c r="C714" s="40">
        <f>IF(B714="","",IFERROR(INDEX(Mitarbeiter!$B$6:$B$205,MATCH(B714,Mitarbeiter!$A$6:$A$205,0)),"?"))</f>
        <v/>
      </c>
      <c r="D714" s="41" t="inlineStr">
        <is>
          <t>Objekt 2</t>
        </is>
      </c>
      <c r="E714" s="42" t="n">
        <v>91</v>
      </c>
      <c r="F714" s="43" t="n">
        <v>0</v>
      </c>
      <c r="G714" s="44">
        <f>IF(OR(B714="",F714=""),"",IFERROR(F714*INDEX(Mitarbeiter!$F$6:$F$205,MATCH(B714,Mitarbeiter!$A$6:$A$205,0)),0))</f>
        <v/>
      </c>
      <c r="H714" s="8">
        <f>IF(B714="","",IF(ISNA(MATCH(B714,Mitarbeiter!$A$6:$A$205,0)),"Pers.-Nr. unbekannt",IF(A714="","Datum fehlt",IF(AND(D714&lt;&gt;Einstellungen!$C$4,D714&lt;&gt;Einstellungen!$C$5),"Objekt fehlt",IF(YEAR(A714)&lt;&gt;Einstellungen!$C$3,"anderes Jahr",IF(A714&lt;INDEX(Mitarbeiter!$C$6:$C$205,MATCH(B714,Mitarbeiter!$A$6:$A$205,0)),"vor Eintritt",IF(AND(INDEX(Mitarbeiter!$D$6:$D$205,MATCH(B714,Mitarbeiter!$A$6:$A$205,0))&lt;&gt;"",A714&gt;INDEX(Mitarbeiter!$D$6:$D$205,MATCH(B714,Mitarbeiter!$A$6:$A$205,0))),"nach Austritt","ok")))))))</f>
        <v/>
      </c>
    </row>
    <row r="715">
      <c r="A715" s="26" t="n">
        <v>46266</v>
      </c>
      <c r="B715" s="24" t="n">
        <v>1005</v>
      </c>
      <c r="C715" s="40">
        <f>IF(B715="","",IFERROR(INDEX(Mitarbeiter!$B$6:$B$205,MATCH(B715,Mitarbeiter!$A$6:$A$205,0)),"?"))</f>
        <v/>
      </c>
      <c r="D715" s="41" t="inlineStr">
        <is>
          <t>Objekt 1</t>
        </is>
      </c>
      <c r="E715" s="42" t="n">
        <v>66</v>
      </c>
      <c r="F715" s="43" t="n">
        <v>0</v>
      </c>
      <c r="G715" s="44">
        <f>IF(OR(B715="",F715=""),"",IFERROR(F715*INDEX(Mitarbeiter!$F$6:$F$205,MATCH(B715,Mitarbeiter!$A$6:$A$205,0)),0))</f>
        <v/>
      </c>
      <c r="H715" s="8">
        <f>IF(B715="","",IF(ISNA(MATCH(B715,Mitarbeiter!$A$6:$A$205,0)),"Pers.-Nr. unbekannt",IF(A715="","Datum fehlt",IF(AND(D715&lt;&gt;Einstellungen!$C$4,D715&lt;&gt;Einstellungen!$C$5),"Objekt fehlt",IF(YEAR(A715)&lt;&gt;Einstellungen!$C$3,"anderes Jahr",IF(A715&lt;INDEX(Mitarbeiter!$C$6:$C$205,MATCH(B715,Mitarbeiter!$A$6:$A$205,0)),"vor Eintritt",IF(AND(INDEX(Mitarbeiter!$D$6:$D$205,MATCH(B715,Mitarbeiter!$A$6:$A$205,0))&lt;&gt;"",A715&gt;INDEX(Mitarbeiter!$D$6:$D$205,MATCH(B715,Mitarbeiter!$A$6:$A$205,0))),"nach Austritt","ok")))))))</f>
        <v/>
      </c>
    </row>
    <row r="716">
      <c r="A716" s="26" t="n">
        <v>46266</v>
      </c>
      <c r="B716" s="24" t="n">
        <v>1005</v>
      </c>
      <c r="C716" s="40">
        <f>IF(B716="","",IFERROR(INDEX(Mitarbeiter!$B$6:$B$205,MATCH(B716,Mitarbeiter!$A$6:$A$205,0)),"?"))</f>
        <v/>
      </c>
      <c r="D716" s="41" t="inlineStr">
        <is>
          <t>Objekt 2</t>
        </is>
      </c>
      <c r="E716" s="42" t="n">
        <v>66</v>
      </c>
      <c r="F716" s="43" t="n">
        <v>0</v>
      </c>
      <c r="G716" s="44">
        <f>IF(OR(B716="",F716=""),"",IFERROR(F716*INDEX(Mitarbeiter!$F$6:$F$205,MATCH(B716,Mitarbeiter!$A$6:$A$205,0)),0))</f>
        <v/>
      </c>
      <c r="H716" s="8">
        <f>IF(B716="","",IF(ISNA(MATCH(B716,Mitarbeiter!$A$6:$A$205,0)),"Pers.-Nr. unbekannt",IF(A716="","Datum fehlt",IF(AND(D716&lt;&gt;Einstellungen!$C$4,D716&lt;&gt;Einstellungen!$C$5),"Objekt fehlt",IF(YEAR(A716)&lt;&gt;Einstellungen!$C$3,"anderes Jahr",IF(A716&lt;INDEX(Mitarbeiter!$C$6:$C$205,MATCH(B716,Mitarbeiter!$A$6:$A$205,0)),"vor Eintritt",IF(AND(INDEX(Mitarbeiter!$D$6:$D$205,MATCH(B716,Mitarbeiter!$A$6:$A$205,0))&lt;&gt;"",A716&gt;INDEX(Mitarbeiter!$D$6:$D$205,MATCH(B716,Mitarbeiter!$A$6:$A$205,0))),"nach Austritt","ok")))))))</f>
        <v/>
      </c>
    </row>
    <row r="717">
      <c r="A717" s="26" t="n">
        <v>46266</v>
      </c>
      <c r="B717" s="24" t="n">
        <v>1006</v>
      </c>
      <c r="C717" s="40">
        <f>IF(B717="","",IFERROR(INDEX(Mitarbeiter!$B$6:$B$205,MATCH(B717,Mitarbeiter!$A$6:$A$205,0)),"?"))</f>
        <v/>
      </c>
      <c r="D717" s="41" t="inlineStr">
        <is>
          <t>Objekt 1</t>
        </is>
      </c>
      <c r="E717" s="42" t="n">
        <v>94.5</v>
      </c>
      <c r="F717" s="43" t="n">
        <v>1</v>
      </c>
      <c r="G717" s="44">
        <f>IF(OR(B717="",F717=""),"",IFERROR(F717*INDEX(Mitarbeiter!$F$6:$F$205,MATCH(B717,Mitarbeiter!$A$6:$A$205,0)),0))</f>
        <v/>
      </c>
      <c r="H717" s="8">
        <f>IF(B717="","",IF(ISNA(MATCH(B717,Mitarbeiter!$A$6:$A$205,0)),"Pers.-Nr. unbekannt",IF(A717="","Datum fehlt",IF(AND(D717&lt;&gt;Einstellungen!$C$4,D717&lt;&gt;Einstellungen!$C$5),"Objekt fehlt",IF(YEAR(A717)&lt;&gt;Einstellungen!$C$3,"anderes Jahr",IF(A717&lt;INDEX(Mitarbeiter!$C$6:$C$205,MATCH(B717,Mitarbeiter!$A$6:$A$205,0)),"vor Eintritt",IF(AND(INDEX(Mitarbeiter!$D$6:$D$205,MATCH(B717,Mitarbeiter!$A$6:$A$205,0))&lt;&gt;"",A717&gt;INDEX(Mitarbeiter!$D$6:$D$205,MATCH(B717,Mitarbeiter!$A$6:$A$205,0))),"nach Austritt","ok")))))))</f>
        <v/>
      </c>
    </row>
    <row r="718">
      <c r="A718" s="26" t="n">
        <v>46266</v>
      </c>
      <c r="B718" s="24" t="n">
        <v>1006</v>
      </c>
      <c r="C718" s="40">
        <f>IF(B718="","",IFERROR(INDEX(Mitarbeiter!$B$6:$B$205,MATCH(B718,Mitarbeiter!$A$6:$A$205,0)),"?"))</f>
        <v/>
      </c>
      <c r="D718" s="41" t="inlineStr">
        <is>
          <t>Objekt 2</t>
        </is>
      </c>
      <c r="E718" s="42" t="n">
        <v>75</v>
      </c>
      <c r="F718" s="43" t="n">
        <v>0</v>
      </c>
      <c r="G718" s="44">
        <f>IF(OR(B718="",F718=""),"",IFERROR(F718*INDEX(Mitarbeiter!$F$6:$F$205,MATCH(B718,Mitarbeiter!$A$6:$A$205,0)),0))</f>
        <v/>
      </c>
      <c r="H718" s="8">
        <f>IF(B718="","",IF(ISNA(MATCH(B718,Mitarbeiter!$A$6:$A$205,0)),"Pers.-Nr. unbekannt",IF(A718="","Datum fehlt",IF(AND(D718&lt;&gt;Einstellungen!$C$4,D718&lt;&gt;Einstellungen!$C$5),"Objekt fehlt",IF(YEAR(A718)&lt;&gt;Einstellungen!$C$3,"anderes Jahr",IF(A718&lt;INDEX(Mitarbeiter!$C$6:$C$205,MATCH(B718,Mitarbeiter!$A$6:$A$205,0)),"vor Eintritt",IF(AND(INDEX(Mitarbeiter!$D$6:$D$205,MATCH(B718,Mitarbeiter!$A$6:$A$205,0))&lt;&gt;"",A718&gt;INDEX(Mitarbeiter!$D$6:$D$205,MATCH(B718,Mitarbeiter!$A$6:$A$205,0))),"nach Austritt","ok")))))))</f>
        <v/>
      </c>
    </row>
    <row r="719">
      <c r="A719" s="26" t="n">
        <v>46266</v>
      </c>
      <c r="B719" s="24" t="n">
        <v>1007</v>
      </c>
      <c r="C719" s="40">
        <f>IF(B719="","",IFERROR(INDEX(Mitarbeiter!$B$6:$B$205,MATCH(B719,Mitarbeiter!$A$6:$A$205,0)),"?"))</f>
        <v/>
      </c>
      <c r="D719" s="41" t="inlineStr">
        <is>
          <t>Objekt 2</t>
        </is>
      </c>
      <c r="E719" s="42" t="n">
        <v>89.5</v>
      </c>
      <c r="F719" s="43" t="n">
        <v>0</v>
      </c>
      <c r="G719" s="44">
        <f>IF(OR(B719="",F719=""),"",IFERROR(F719*INDEX(Mitarbeiter!$F$6:$F$205,MATCH(B719,Mitarbeiter!$A$6:$A$205,0)),0))</f>
        <v/>
      </c>
      <c r="H719" s="8">
        <f>IF(B719="","",IF(ISNA(MATCH(B719,Mitarbeiter!$A$6:$A$205,0)),"Pers.-Nr. unbekannt",IF(A719="","Datum fehlt",IF(AND(D719&lt;&gt;Einstellungen!$C$4,D719&lt;&gt;Einstellungen!$C$5),"Objekt fehlt",IF(YEAR(A719)&lt;&gt;Einstellungen!$C$3,"anderes Jahr",IF(A719&lt;INDEX(Mitarbeiter!$C$6:$C$205,MATCH(B719,Mitarbeiter!$A$6:$A$205,0)),"vor Eintritt",IF(AND(INDEX(Mitarbeiter!$D$6:$D$205,MATCH(B719,Mitarbeiter!$A$6:$A$205,0))&lt;&gt;"",A719&gt;INDEX(Mitarbeiter!$D$6:$D$205,MATCH(B719,Mitarbeiter!$A$6:$A$205,0))),"nach Austritt","ok")))))))</f>
        <v/>
      </c>
    </row>
    <row r="720">
      <c r="A720" s="26" t="n">
        <v>46266</v>
      </c>
      <c r="B720" s="24" t="n">
        <v>1008</v>
      </c>
      <c r="C720" s="40">
        <f>IF(B720="","",IFERROR(INDEX(Mitarbeiter!$B$6:$B$205,MATCH(B720,Mitarbeiter!$A$6:$A$205,0)),"?"))</f>
        <v/>
      </c>
      <c r="D720" s="41" t="inlineStr">
        <is>
          <t>Objekt 1</t>
        </is>
      </c>
      <c r="E720" s="42" t="n">
        <v>19</v>
      </c>
      <c r="F720" s="43" t="n">
        <v>0</v>
      </c>
      <c r="G720" s="44">
        <f>IF(OR(B720="",F720=""),"",IFERROR(F720*INDEX(Mitarbeiter!$F$6:$F$205,MATCH(B720,Mitarbeiter!$A$6:$A$205,0)),0))</f>
        <v/>
      </c>
      <c r="H720" s="8">
        <f>IF(B720="","",IF(ISNA(MATCH(B720,Mitarbeiter!$A$6:$A$205,0)),"Pers.-Nr. unbekannt",IF(A720="","Datum fehlt",IF(AND(D720&lt;&gt;Einstellungen!$C$4,D720&lt;&gt;Einstellungen!$C$5),"Objekt fehlt",IF(YEAR(A720)&lt;&gt;Einstellungen!$C$3,"anderes Jahr",IF(A720&lt;INDEX(Mitarbeiter!$C$6:$C$205,MATCH(B720,Mitarbeiter!$A$6:$A$205,0)),"vor Eintritt",IF(AND(INDEX(Mitarbeiter!$D$6:$D$205,MATCH(B720,Mitarbeiter!$A$6:$A$205,0))&lt;&gt;"",A720&gt;INDEX(Mitarbeiter!$D$6:$D$205,MATCH(B720,Mitarbeiter!$A$6:$A$205,0))),"nach Austritt","ok")))))))</f>
        <v/>
      </c>
    </row>
    <row r="721">
      <c r="A721" s="26" t="n">
        <v>46266</v>
      </c>
      <c r="B721" s="24" t="n">
        <v>1008</v>
      </c>
      <c r="C721" s="40">
        <f>IF(B721="","",IFERROR(INDEX(Mitarbeiter!$B$6:$B$205,MATCH(B721,Mitarbeiter!$A$6:$A$205,0)),"?"))</f>
        <v/>
      </c>
      <c r="D721" s="41" t="inlineStr">
        <is>
          <t>Objekt 2</t>
        </is>
      </c>
      <c r="E721" s="42" t="n">
        <v>73.5</v>
      </c>
      <c r="F721" s="43" t="n">
        <v>0</v>
      </c>
      <c r="G721" s="44">
        <f>IF(OR(B721="",F721=""),"",IFERROR(F721*INDEX(Mitarbeiter!$F$6:$F$205,MATCH(B721,Mitarbeiter!$A$6:$A$205,0)),0))</f>
        <v/>
      </c>
      <c r="H721" s="8">
        <f>IF(B721="","",IF(ISNA(MATCH(B721,Mitarbeiter!$A$6:$A$205,0)),"Pers.-Nr. unbekannt",IF(A721="","Datum fehlt",IF(AND(D721&lt;&gt;Einstellungen!$C$4,D721&lt;&gt;Einstellungen!$C$5),"Objekt fehlt",IF(YEAR(A721)&lt;&gt;Einstellungen!$C$3,"anderes Jahr",IF(A721&lt;INDEX(Mitarbeiter!$C$6:$C$205,MATCH(B721,Mitarbeiter!$A$6:$A$205,0)),"vor Eintritt",IF(AND(INDEX(Mitarbeiter!$D$6:$D$205,MATCH(B721,Mitarbeiter!$A$6:$A$205,0))&lt;&gt;"",A721&gt;INDEX(Mitarbeiter!$D$6:$D$205,MATCH(B721,Mitarbeiter!$A$6:$A$205,0))),"nach Austritt","ok")))))))</f>
        <v/>
      </c>
    </row>
    <row r="722">
      <c r="A722" s="26" t="n">
        <v>46266</v>
      </c>
      <c r="B722" s="24" t="n">
        <v>1009</v>
      </c>
      <c r="C722" s="40">
        <f>IF(B722="","",IFERROR(INDEX(Mitarbeiter!$B$6:$B$205,MATCH(B722,Mitarbeiter!$A$6:$A$205,0)),"?"))</f>
        <v/>
      </c>
      <c r="D722" s="41" t="inlineStr">
        <is>
          <t>Objekt 1</t>
        </is>
      </c>
      <c r="E722" s="42" t="n">
        <v>47</v>
      </c>
      <c r="F722" s="43" t="n">
        <v>0</v>
      </c>
      <c r="G722" s="44">
        <f>IF(OR(B722="",F722=""),"",IFERROR(F722*INDEX(Mitarbeiter!$F$6:$F$205,MATCH(B722,Mitarbeiter!$A$6:$A$205,0)),0))</f>
        <v/>
      </c>
      <c r="H722" s="8">
        <f>IF(B722="","",IF(ISNA(MATCH(B722,Mitarbeiter!$A$6:$A$205,0)),"Pers.-Nr. unbekannt",IF(A722="","Datum fehlt",IF(AND(D722&lt;&gt;Einstellungen!$C$4,D722&lt;&gt;Einstellungen!$C$5),"Objekt fehlt",IF(YEAR(A722)&lt;&gt;Einstellungen!$C$3,"anderes Jahr",IF(A722&lt;INDEX(Mitarbeiter!$C$6:$C$205,MATCH(B722,Mitarbeiter!$A$6:$A$205,0)),"vor Eintritt",IF(AND(INDEX(Mitarbeiter!$D$6:$D$205,MATCH(B722,Mitarbeiter!$A$6:$A$205,0))&lt;&gt;"",A722&gt;INDEX(Mitarbeiter!$D$6:$D$205,MATCH(B722,Mitarbeiter!$A$6:$A$205,0))),"nach Austritt","ok")))))))</f>
        <v/>
      </c>
    </row>
    <row r="723">
      <c r="A723" s="26" t="n">
        <v>46266</v>
      </c>
      <c r="B723" s="24" t="n">
        <v>1009</v>
      </c>
      <c r="C723" s="40">
        <f>IF(B723="","",IFERROR(INDEX(Mitarbeiter!$B$6:$B$205,MATCH(B723,Mitarbeiter!$A$6:$A$205,0)),"?"))</f>
        <v/>
      </c>
      <c r="D723" s="41" t="inlineStr">
        <is>
          <t>Objekt 2</t>
        </is>
      </c>
      <c r="E723" s="42" t="n">
        <v>44</v>
      </c>
      <c r="F723" s="43" t="n">
        <v>0</v>
      </c>
      <c r="G723" s="44">
        <f>IF(OR(B723="",F723=""),"",IFERROR(F723*INDEX(Mitarbeiter!$F$6:$F$205,MATCH(B723,Mitarbeiter!$A$6:$A$205,0)),0))</f>
        <v/>
      </c>
      <c r="H723" s="8">
        <f>IF(B723="","",IF(ISNA(MATCH(B723,Mitarbeiter!$A$6:$A$205,0)),"Pers.-Nr. unbekannt",IF(A723="","Datum fehlt",IF(AND(D723&lt;&gt;Einstellungen!$C$4,D723&lt;&gt;Einstellungen!$C$5),"Objekt fehlt",IF(YEAR(A723)&lt;&gt;Einstellungen!$C$3,"anderes Jahr",IF(A723&lt;INDEX(Mitarbeiter!$C$6:$C$205,MATCH(B723,Mitarbeiter!$A$6:$A$205,0)),"vor Eintritt",IF(AND(INDEX(Mitarbeiter!$D$6:$D$205,MATCH(B723,Mitarbeiter!$A$6:$A$205,0))&lt;&gt;"",A723&gt;INDEX(Mitarbeiter!$D$6:$D$205,MATCH(B723,Mitarbeiter!$A$6:$A$205,0))),"nach Austritt","ok")))))))</f>
        <v/>
      </c>
    </row>
    <row r="724">
      <c r="A724" s="26" t="n">
        <v>46266</v>
      </c>
      <c r="B724" s="24" t="n">
        <v>1011</v>
      </c>
      <c r="C724" s="40">
        <f>IF(B724="","",IFERROR(INDEX(Mitarbeiter!$B$6:$B$205,MATCH(B724,Mitarbeiter!$A$6:$A$205,0)),"?"))</f>
        <v/>
      </c>
      <c r="D724" s="41" t="inlineStr">
        <is>
          <t>Objekt 1</t>
        </is>
      </c>
      <c r="E724" s="42" t="n">
        <v>89.5</v>
      </c>
      <c r="F724" s="43" t="n">
        <v>0</v>
      </c>
      <c r="G724" s="44">
        <f>IF(OR(B724="",F724=""),"",IFERROR(F724*INDEX(Mitarbeiter!$F$6:$F$205,MATCH(B724,Mitarbeiter!$A$6:$A$205,0)),0))</f>
        <v/>
      </c>
      <c r="H724" s="8">
        <f>IF(B724="","",IF(ISNA(MATCH(B724,Mitarbeiter!$A$6:$A$205,0)),"Pers.-Nr. unbekannt",IF(A724="","Datum fehlt",IF(AND(D724&lt;&gt;Einstellungen!$C$4,D724&lt;&gt;Einstellungen!$C$5),"Objekt fehlt",IF(YEAR(A724)&lt;&gt;Einstellungen!$C$3,"anderes Jahr",IF(A724&lt;INDEX(Mitarbeiter!$C$6:$C$205,MATCH(B724,Mitarbeiter!$A$6:$A$205,0)),"vor Eintritt",IF(AND(INDEX(Mitarbeiter!$D$6:$D$205,MATCH(B724,Mitarbeiter!$A$6:$A$205,0))&lt;&gt;"",A724&gt;INDEX(Mitarbeiter!$D$6:$D$205,MATCH(B724,Mitarbeiter!$A$6:$A$205,0))),"nach Austritt","ok")))))))</f>
        <v/>
      </c>
    </row>
    <row r="725">
      <c r="A725" s="26" t="n">
        <v>46266</v>
      </c>
      <c r="B725" s="24" t="n">
        <v>1011</v>
      </c>
      <c r="C725" s="40">
        <f>IF(B725="","",IFERROR(INDEX(Mitarbeiter!$B$6:$B$205,MATCH(B725,Mitarbeiter!$A$6:$A$205,0)),"?"))</f>
        <v/>
      </c>
      <c r="D725" s="41" t="inlineStr">
        <is>
          <t>Objekt 2</t>
        </is>
      </c>
      <c r="E725" s="42" t="n">
        <v>88</v>
      </c>
      <c r="F725" s="43" t="n">
        <v>0</v>
      </c>
      <c r="G725" s="44">
        <f>IF(OR(B725="",F725=""),"",IFERROR(F725*INDEX(Mitarbeiter!$F$6:$F$205,MATCH(B725,Mitarbeiter!$A$6:$A$205,0)),0))</f>
        <v/>
      </c>
      <c r="H725" s="8">
        <f>IF(B725="","",IF(ISNA(MATCH(B725,Mitarbeiter!$A$6:$A$205,0)),"Pers.-Nr. unbekannt",IF(A725="","Datum fehlt",IF(AND(D725&lt;&gt;Einstellungen!$C$4,D725&lt;&gt;Einstellungen!$C$5),"Objekt fehlt",IF(YEAR(A725)&lt;&gt;Einstellungen!$C$3,"anderes Jahr",IF(A725&lt;INDEX(Mitarbeiter!$C$6:$C$205,MATCH(B725,Mitarbeiter!$A$6:$A$205,0)),"vor Eintritt",IF(AND(INDEX(Mitarbeiter!$D$6:$D$205,MATCH(B725,Mitarbeiter!$A$6:$A$205,0))&lt;&gt;"",A725&gt;INDEX(Mitarbeiter!$D$6:$D$205,MATCH(B725,Mitarbeiter!$A$6:$A$205,0))),"nach Austritt","ok")))))))</f>
        <v/>
      </c>
    </row>
    <row r="726">
      <c r="A726" s="26" t="n">
        <v>46266</v>
      </c>
      <c r="B726" s="24" t="n">
        <v>1013</v>
      </c>
      <c r="C726" s="40">
        <f>IF(B726="","",IFERROR(INDEX(Mitarbeiter!$B$6:$B$205,MATCH(B726,Mitarbeiter!$A$6:$A$205,0)),"?"))</f>
        <v/>
      </c>
      <c r="D726" s="41" t="inlineStr">
        <is>
          <t>Objekt 1</t>
        </is>
      </c>
      <c r="E726" s="42" t="n">
        <v>105.5</v>
      </c>
      <c r="F726" s="43" t="n">
        <v>0</v>
      </c>
      <c r="G726" s="44">
        <f>IF(OR(B726="",F726=""),"",IFERROR(F726*INDEX(Mitarbeiter!$F$6:$F$205,MATCH(B726,Mitarbeiter!$A$6:$A$205,0)),0))</f>
        <v/>
      </c>
      <c r="H726" s="8">
        <f>IF(B726="","",IF(ISNA(MATCH(B726,Mitarbeiter!$A$6:$A$205,0)),"Pers.-Nr. unbekannt",IF(A726="","Datum fehlt",IF(AND(D726&lt;&gt;Einstellungen!$C$4,D726&lt;&gt;Einstellungen!$C$5),"Objekt fehlt",IF(YEAR(A726)&lt;&gt;Einstellungen!$C$3,"anderes Jahr",IF(A726&lt;INDEX(Mitarbeiter!$C$6:$C$205,MATCH(B726,Mitarbeiter!$A$6:$A$205,0)),"vor Eintritt",IF(AND(INDEX(Mitarbeiter!$D$6:$D$205,MATCH(B726,Mitarbeiter!$A$6:$A$205,0))&lt;&gt;"",A726&gt;INDEX(Mitarbeiter!$D$6:$D$205,MATCH(B726,Mitarbeiter!$A$6:$A$205,0))),"nach Austritt","ok")))))))</f>
        <v/>
      </c>
    </row>
    <row r="727">
      <c r="A727" s="26" t="n">
        <v>46266</v>
      </c>
      <c r="B727" s="24" t="n">
        <v>1013</v>
      </c>
      <c r="C727" s="40">
        <f>IF(B727="","",IFERROR(INDEX(Mitarbeiter!$B$6:$B$205,MATCH(B727,Mitarbeiter!$A$6:$A$205,0)),"?"))</f>
        <v/>
      </c>
      <c r="D727" s="41" t="inlineStr">
        <is>
          <t>Objekt 2</t>
        </is>
      </c>
      <c r="E727" s="42" t="n">
        <v>70.5</v>
      </c>
      <c r="F727" s="43" t="n">
        <v>0</v>
      </c>
      <c r="G727" s="44">
        <f>IF(OR(B727="",F727=""),"",IFERROR(F727*INDEX(Mitarbeiter!$F$6:$F$205,MATCH(B727,Mitarbeiter!$A$6:$A$205,0)),0))</f>
        <v/>
      </c>
      <c r="H727" s="8">
        <f>IF(B727="","",IF(ISNA(MATCH(B727,Mitarbeiter!$A$6:$A$205,0)),"Pers.-Nr. unbekannt",IF(A727="","Datum fehlt",IF(AND(D727&lt;&gt;Einstellungen!$C$4,D727&lt;&gt;Einstellungen!$C$5),"Objekt fehlt",IF(YEAR(A727)&lt;&gt;Einstellungen!$C$3,"anderes Jahr",IF(A727&lt;INDEX(Mitarbeiter!$C$6:$C$205,MATCH(B727,Mitarbeiter!$A$6:$A$205,0)),"vor Eintritt",IF(AND(INDEX(Mitarbeiter!$D$6:$D$205,MATCH(B727,Mitarbeiter!$A$6:$A$205,0))&lt;&gt;"",A727&gt;INDEX(Mitarbeiter!$D$6:$D$205,MATCH(B727,Mitarbeiter!$A$6:$A$205,0))),"nach Austritt","ok")))))))</f>
        <v/>
      </c>
    </row>
    <row r="728">
      <c r="A728" s="26" t="n">
        <v>46266</v>
      </c>
      <c r="B728" s="24" t="n">
        <v>1014</v>
      </c>
      <c r="C728" s="40">
        <f>IF(B728="","",IFERROR(INDEX(Mitarbeiter!$B$6:$B$205,MATCH(B728,Mitarbeiter!$A$6:$A$205,0)),"?"))</f>
        <v/>
      </c>
      <c r="D728" s="41" t="inlineStr">
        <is>
          <t>Objekt 1</t>
        </is>
      </c>
      <c r="E728" s="42" t="n">
        <v>32</v>
      </c>
      <c r="F728" s="43" t="n">
        <v>0</v>
      </c>
      <c r="G728" s="44">
        <f>IF(OR(B728="",F728=""),"",IFERROR(F728*INDEX(Mitarbeiter!$F$6:$F$205,MATCH(B728,Mitarbeiter!$A$6:$A$205,0)),0))</f>
        <v/>
      </c>
      <c r="H728" s="8">
        <f>IF(B728="","",IF(ISNA(MATCH(B728,Mitarbeiter!$A$6:$A$205,0)),"Pers.-Nr. unbekannt",IF(A728="","Datum fehlt",IF(AND(D728&lt;&gt;Einstellungen!$C$4,D728&lt;&gt;Einstellungen!$C$5),"Objekt fehlt",IF(YEAR(A728)&lt;&gt;Einstellungen!$C$3,"anderes Jahr",IF(A728&lt;INDEX(Mitarbeiter!$C$6:$C$205,MATCH(B728,Mitarbeiter!$A$6:$A$205,0)),"vor Eintritt",IF(AND(INDEX(Mitarbeiter!$D$6:$D$205,MATCH(B728,Mitarbeiter!$A$6:$A$205,0))&lt;&gt;"",A728&gt;INDEX(Mitarbeiter!$D$6:$D$205,MATCH(B728,Mitarbeiter!$A$6:$A$205,0))),"nach Austritt","ok")))))))</f>
        <v/>
      </c>
    </row>
    <row r="729">
      <c r="A729" s="26" t="n">
        <v>46266</v>
      </c>
      <c r="B729" s="24" t="n">
        <v>1014</v>
      </c>
      <c r="C729" s="40">
        <f>IF(B729="","",IFERROR(INDEX(Mitarbeiter!$B$6:$B$205,MATCH(B729,Mitarbeiter!$A$6:$A$205,0)),"?"))</f>
        <v/>
      </c>
      <c r="D729" s="41" t="inlineStr">
        <is>
          <t>Objekt 2</t>
        </is>
      </c>
      <c r="E729" s="42" t="n">
        <v>144</v>
      </c>
      <c r="F729" s="43" t="n">
        <v>0</v>
      </c>
      <c r="G729" s="44">
        <f>IF(OR(B729="",F729=""),"",IFERROR(F729*INDEX(Mitarbeiter!$F$6:$F$205,MATCH(B729,Mitarbeiter!$A$6:$A$205,0)),0))</f>
        <v/>
      </c>
      <c r="H729" s="8">
        <f>IF(B729="","",IF(ISNA(MATCH(B729,Mitarbeiter!$A$6:$A$205,0)),"Pers.-Nr. unbekannt",IF(A729="","Datum fehlt",IF(AND(D729&lt;&gt;Einstellungen!$C$4,D729&lt;&gt;Einstellungen!$C$5),"Objekt fehlt",IF(YEAR(A729)&lt;&gt;Einstellungen!$C$3,"anderes Jahr",IF(A729&lt;INDEX(Mitarbeiter!$C$6:$C$205,MATCH(B729,Mitarbeiter!$A$6:$A$205,0)),"vor Eintritt",IF(AND(INDEX(Mitarbeiter!$D$6:$D$205,MATCH(B729,Mitarbeiter!$A$6:$A$205,0))&lt;&gt;"",A729&gt;INDEX(Mitarbeiter!$D$6:$D$205,MATCH(B729,Mitarbeiter!$A$6:$A$205,0))),"nach Austritt","ok")))))))</f>
        <v/>
      </c>
    </row>
    <row r="730">
      <c r="A730" s="26" t="n">
        <v>46266</v>
      </c>
      <c r="B730" s="24" t="n">
        <v>1017</v>
      </c>
      <c r="C730" s="40">
        <f>IF(B730="","",IFERROR(INDEX(Mitarbeiter!$B$6:$B$205,MATCH(B730,Mitarbeiter!$A$6:$A$205,0)),"?"))</f>
        <v/>
      </c>
      <c r="D730" s="41" t="inlineStr">
        <is>
          <t>Objekt 1</t>
        </is>
      </c>
      <c r="E730" s="42" t="n">
        <v>134.5</v>
      </c>
      <c r="F730" s="43" t="n">
        <v>1</v>
      </c>
      <c r="G730" s="44">
        <f>IF(OR(B730="",F730=""),"",IFERROR(F730*INDEX(Mitarbeiter!$F$6:$F$205,MATCH(B730,Mitarbeiter!$A$6:$A$205,0)),0))</f>
        <v/>
      </c>
      <c r="H730" s="8">
        <f>IF(B730="","",IF(ISNA(MATCH(B730,Mitarbeiter!$A$6:$A$205,0)),"Pers.-Nr. unbekannt",IF(A730="","Datum fehlt",IF(AND(D730&lt;&gt;Einstellungen!$C$4,D730&lt;&gt;Einstellungen!$C$5),"Objekt fehlt",IF(YEAR(A730)&lt;&gt;Einstellungen!$C$3,"anderes Jahr",IF(A730&lt;INDEX(Mitarbeiter!$C$6:$C$205,MATCH(B730,Mitarbeiter!$A$6:$A$205,0)),"vor Eintritt",IF(AND(INDEX(Mitarbeiter!$D$6:$D$205,MATCH(B730,Mitarbeiter!$A$6:$A$205,0))&lt;&gt;"",A730&gt;INDEX(Mitarbeiter!$D$6:$D$205,MATCH(B730,Mitarbeiter!$A$6:$A$205,0))),"nach Austritt","ok")))))))</f>
        <v/>
      </c>
    </row>
    <row r="731">
      <c r="A731" s="26" t="n">
        <v>46266</v>
      </c>
      <c r="B731" s="24" t="n">
        <v>1017</v>
      </c>
      <c r="C731" s="40">
        <f>IF(B731="","",IFERROR(INDEX(Mitarbeiter!$B$6:$B$205,MATCH(B731,Mitarbeiter!$A$6:$A$205,0)),"?"))</f>
        <v/>
      </c>
      <c r="D731" s="41" t="inlineStr">
        <is>
          <t>Objekt 2</t>
        </is>
      </c>
      <c r="E731" s="42" t="n">
        <v>30.5</v>
      </c>
      <c r="F731" s="43" t="n">
        <v>0</v>
      </c>
      <c r="G731" s="44">
        <f>IF(OR(B731="",F731=""),"",IFERROR(F731*INDEX(Mitarbeiter!$F$6:$F$205,MATCH(B731,Mitarbeiter!$A$6:$A$205,0)),0))</f>
        <v/>
      </c>
      <c r="H731" s="8">
        <f>IF(B731="","",IF(ISNA(MATCH(B731,Mitarbeiter!$A$6:$A$205,0)),"Pers.-Nr. unbekannt",IF(A731="","Datum fehlt",IF(AND(D731&lt;&gt;Einstellungen!$C$4,D731&lt;&gt;Einstellungen!$C$5),"Objekt fehlt",IF(YEAR(A731)&lt;&gt;Einstellungen!$C$3,"anderes Jahr",IF(A731&lt;INDEX(Mitarbeiter!$C$6:$C$205,MATCH(B731,Mitarbeiter!$A$6:$A$205,0)),"vor Eintritt",IF(AND(INDEX(Mitarbeiter!$D$6:$D$205,MATCH(B731,Mitarbeiter!$A$6:$A$205,0))&lt;&gt;"",A731&gt;INDEX(Mitarbeiter!$D$6:$D$205,MATCH(B731,Mitarbeiter!$A$6:$A$205,0))),"nach Austritt","ok")))))))</f>
        <v/>
      </c>
    </row>
    <row r="732">
      <c r="A732" s="26" t="n">
        <v>46266</v>
      </c>
      <c r="B732" s="24" t="n">
        <v>1019</v>
      </c>
      <c r="C732" s="40">
        <f>IF(B732="","",IFERROR(INDEX(Mitarbeiter!$B$6:$B$205,MATCH(B732,Mitarbeiter!$A$6:$A$205,0)),"?"))</f>
        <v/>
      </c>
      <c r="D732" s="41" t="inlineStr">
        <is>
          <t>Objekt 1</t>
        </is>
      </c>
      <c r="E732" s="42" t="n">
        <v>72</v>
      </c>
      <c r="F732" s="43" t="n">
        <v>0</v>
      </c>
      <c r="G732" s="44">
        <f>IF(OR(B732="",F732=""),"",IFERROR(F732*INDEX(Mitarbeiter!$F$6:$F$205,MATCH(B732,Mitarbeiter!$A$6:$A$205,0)),0))</f>
        <v/>
      </c>
      <c r="H732" s="8">
        <f>IF(B732="","",IF(ISNA(MATCH(B732,Mitarbeiter!$A$6:$A$205,0)),"Pers.-Nr. unbekannt",IF(A732="","Datum fehlt",IF(AND(D732&lt;&gt;Einstellungen!$C$4,D732&lt;&gt;Einstellungen!$C$5),"Objekt fehlt",IF(YEAR(A732)&lt;&gt;Einstellungen!$C$3,"anderes Jahr",IF(A732&lt;INDEX(Mitarbeiter!$C$6:$C$205,MATCH(B732,Mitarbeiter!$A$6:$A$205,0)),"vor Eintritt",IF(AND(INDEX(Mitarbeiter!$D$6:$D$205,MATCH(B732,Mitarbeiter!$A$6:$A$205,0))&lt;&gt;"",A732&gt;INDEX(Mitarbeiter!$D$6:$D$205,MATCH(B732,Mitarbeiter!$A$6:$A$205,0))),"nach Austritt","ok")))))))</f>
        <v/>
      </c>
    </row>
    <row r="733">
      <c r="A733" s="26" t="n">
        <v>46266</v>
      </c>
      <c r="B733" s="24" t="n">
        <v>1019</v>
      </c>
      <c r="C733" s="40">
        <f>IF(B733="","",IFERROR(INDEX(Mitarbeiter!$B$6:$B$205,MATCH(B733,Mitarbeiter!$A$6:$A$205,0)),"?"))</f>
        <v/>
      </c>
      <c r="D733" s="41" t="inlineStr">
        <is>
          <t>Objekt 2</t>
        </is>
      </c>
      <c r="E733" s="42" t="n">
        <v>94.5</v>
      </c>
      <c r="F733" s="43" t="n">
        <v>1</v>
      </c>
      <c r="G733" s="44">
        <f>IF(OR(B733="",F733=""),"",IFERROR(F733*INDEX(Mitarbeiter!$F$6:$F$205,MATCH(B733,Mitarbeiter!$A$6:$A$205,0)),0))</f>
        <v/>
      </c>
      <c r="H733" s="8">
        <f>IF(B733="","",IF(ISNA(MATCH(B733,Mitarbeiter!$A$6:$A$205,0)),"Pers.-Nr. unbekannt",IF(A733="","Datum fehlt",IF(AND(D733&lt;&gt;Einstellungen!$C$4,D733&lt;&gt;Einstellungen!$C$5),"Objekt fehlt",IF(YEAR(A733)&lt;&gt;Einstellungen!$C$3,"anderes Jahr",IF(A733&lt;INDEX(Mitarbeiter!$C$6:$C$205,MATCH(B733,Mitarbeiter!$A$6:$A$205,0)),"vor Eintritt",IF(AND(INDEX(Mitarbeiter!$D$6:$D$205,MATCH(B733,Mitarbeiter!$A$6:$A$205,0))&lt;&gt;"",A733&gt;INDEX(Mitarbeiter!$D$6:$D$205,MATCH(B733,Mitarbeiter!$A$6:$A$205,0))),"nach Austritt","ok")))))))</f>
        <v/>
      </c>
    </row>
    <row r="734">
      <c r="A734" s="26" t="n">
        <v>46266</v>
      </c>
      <c r="B734" s="24" t="n">
        <v>1021</v>
      </c>
      <c r="C734" s="40">
        <f>IF(B734="","",IFERROR(INDEX(Mitarbeiter!$B$6:$B$205,MATCH(B734,Mitarbeiter!$A$6:$A$205,0)),"?"))</f>
        <v/>
      </c>
      <c r="D734" s="41" t="inlineStr">
        <is>
          <t>Objekt 1</t>
        </is>
      </c>
      <c r="E734" s="42" t="n">
        <v>89.5</v>
      </c>
      <c r="F734" s="43" t="n">
        <v>0</v>
      </c>
      <c r="G734" s="44">
        <f>IF(OR(B734="",F734=""),"",IFERROR(F734*INDEX(Mitarbeiter!$F$6:$F$205,MATCH(B734,Mitarbeiter!$A$6:$A$205,0)),0))</f>
        <v/>
      </c>
      <c r="H734" s="8">
        <f>IF(B734="","",IF(ISNA(MATCH(B734,Mitarbeiter!$A$6:$A$205,0)),"Pers.-Nr. unbekannt",IF(A734="","Datum fehlt",IF(AND(D734&lt;&gt;Einstellungen!$C$4,D734&lt;&gt;Einstellungen!$C$5),"Objekt fehlt",IF(YEAR(A734)&lt;&gt;Einstellungen!$C$3,"anderes Jahr",IF(A734&lt;INDEX(Mitarbeiter!$C$6:$C$205,MATCH(B734,Mitarbeiter!$A$6:$A$205,0)),"vor Eintritt",IF(AND(INDEX(Mitarbeiter!$D$6:$D$205,MATCH(B734,Mitarbeiter!$A$6:$A$205,0))&lt;&gt;"",A734&gt;INDEX(Mitarbeiter!$D$6:$D$205,MATCH(B734,Mitarbeiter!$A$6:$A$205,0))),"nach Austritt","ok")))))))</f>
        <v/>
      </c>
    </row>
    <row r="735">
      <c r="A735" s="26" t="n">
        <v>46266</v>
      </c>
      <c r="B735" s="24" t="n">
        <v>1021</v>
      </c>
      <c r="C735" s="40">
        <f>IF(B735="","",IFERROR(INDEX(Mitarbeiter!$B$6:$B$205,MATCH(B735,Mitarbeiter!$A$6:$A$205,0)),"?"))</f>
        <v/>
      </c>
      <c r="D735" s="41" t="inlineStr">
        <is>
          <t>Objekt 2</t>
        </is>
      </c>
      <c r="E735" s="42" t="n">
        <v>88</v>
      </c>
      <c r="F735" s="43" t="n">
        <v>0</v>
      </c>
      <c r="G735" s="44">
        <f>IF(OR(B735="",F735=""),"",IFERROR(F735*INDEX(Mitarbeiter!$F$6:$F$205,MATCH(B735,Mitarbeiter!$A$6:$A$205,0)),0))</f>
        <v/>
      </c>
      <c r="H735" s="8">
        <f>IF(B735="","",IF(ISNA(MATCH(B735,Mitarbeiter!$A$6:$A$205,0)),"Pers.-Nr. unbekannt",IF(A735="","Datum fehlt",IF(AND(D735&lt;&gt;Einstellungen!$C$4,D735&lt;&gt;Einstellungen!$C$5),"Objekt fehlt",IF(YEAR(A735)&lt;&gt;Einstellungen!$C$3,"anderes Jahr",IF(A735&lt;INDEX(Mitarbeiter!$C$6:$C$205,MATCH(B735,Mitarbeiter!$A$6:$A$205,0)),"vor Eintritt",IF(AND(INDEX(Mitarbeiter!$D$6:$D$205,MATCH(B735,Mitarbeiter!$A$6:$A$205,0))&lt;&gt;"",A735&gt;INDEX(Mitarbeiter!$D$6:$D$205,MATCH(B735,Mitarbeiter!$A$6:$A$205,0))),"nach Austritt","ok")))))))</f>
        <v/>
      </c>
    </row>
    <row r="736">
      <c r="A736" s="26" t="n">
        <v>46266</v>
      </c>
      <c r="B736" s="24" t="n">
        <v>1022</v>
      </c>
      <c r="C736" s="40">
        <f>IF(B736="","",IFERROR(INDEX(Mitarbeiter!$B$6:$B$205,MATCH(B736,Mitarbeiter!$A$6:$A$205,0)),"?"))</f>
        <v/>
      </c>
      <c r="D736" s="41" t="inlineStr">
        <is>
          <t>Objekt 1</t>
        </is>
      </c>
      <c r="E736" s="42" t="n">
        <v>36</v>
      </c>
      <c r="F736" s="43" t="n">
        <v>0</v>
      </c>
      <c r="G736" s="44">
        <f>IF(OR(B736="",F736=""),"",IFERROR(F736*INDEX(Mitarbeiter!$F$6:$F$205,MATCH(B736,Mitarbeiter!$A$6:$A$205,0)),0))</f>
        <v/>
      </c>
      <c r="H736" s="8">
        <f>IF(B736="","",IF(ISNA(MATCH(B736,Mitarbeiter!$A$6:$A$205,0)),"Pers.-Nr. unbekannt",IF(A736="","Datum fehlt",IF(AND(D736&lt;&gt;Einstellungen!$C$4,D736&lt;&gt;Einstellungen!$C$5),"Objekt fehlt",IF(YEAR(A736)&lt;&gt;Einstellungen!$C$3,"anderes Jahr",IF(A736&lt;INDEX(Mitarbeiter!$C$6:$C$205,MATCH(B736,Mitarbeiter!$A$6:$A$205,0)),"vor Eintritt",IF(AND(INDEX(Mitarbeiter!$D$6:$D$205,MATCH(B736,Mitarbeiter!$A$6:$A$205,0))&lt;&gt;"",A736&gt;INDEX(Mitarbeiter!$D$6:$D$205,MATCH(B736,Mitarbeiter!$A$6:$A$205,0))),"nach Austritt","ok")))))))</f>
        <v/>
      </c>
    </row>
    <row r="737">
      <c r="A737" s="26" t="n">
        <v>46266</v>
      </c>
      <c r="B737" s="24" t="n">
        <v>1022</v>
      </c>
      <c r="C737" s="40">
        <f>IF(B737="","",IFERROR(INDEX(Mitarbeiter!$B$6:$B$205,MATCH(B737,Mitarbeiter!$A$6:$A$205,0)),"?"))</f>
        <v/>
      </c>
      <c r="D737" s="41" t="inlineStr">
        <is>
          <t>Objekt 2</t>
        </is>
      </c>
      <c r="E737" s="42" t="n">
        <v>49.5</v>
      </c>
      <c r="F737" s="43" t="n">
        <v>1</v>
      </c>
      <c r="G737" s="44">
        <f>IF(OR(B737="",F737=""),"",IFERROR(F737*INDEX(Mitarbeiter!$F$6:$F$205,MATCH(B737,Mitarbeiter!$A$6:$A$205,0)),0))</f>
        <v/>
      </c>
      <c r="H737" s="8">
        <f>IF(B737="","",IF(ISNA(MATCH(B737,Mitarbeiter!$A$6:$A$205,0)),"Pers.-Nr. unbekannt",IF(A737="","Datum fehlt",IF(AND(D737&lt;&gt;Einstellungen!$C$4,D737&lt;&gt;Einstellungen!$C$5),"Objekt fehlt",IF(YEAR(A737)&lt;&gt;Einstellungen!$C$3,"anderes Jahr",IF(A737&lt;INDEX(Mitarbeiter!$C$6:$C$205,MATCH(B737,Mitarbeiter!$A$6:$A$205,0)),"vor Eintritt",IF(AND(INDEX(Mitarbeiter!$D$6:$D$205,MATCH(B737,Mitarbeiter!$A$6:$A$205,0))&lt;&gt;"",A737&gt;INDEX(Mitarbeiter!$D$6:$D$205,MATCH(B737,Mitarbeiter!$A$6:$A$205,0))),"nach Austritt","ok")))))))</f>
        <v/>
      </c>
    </row>
    <row r="738">
      <c r="A738" s="26" t="n">
        <v>46266</v>
      </c>
      <c r="B738" s="24" t="n">
        <v>1024</v>
      </c>
      <c r="C738" s="40">
        <f>IF(B738="","",IFERROR(INDEX(Mitarbeiter!$B$6:$B$205,MATCH(B738,Mitarbeiter!$A$6:$A$205,0)),"?"))</f>
        <v/>
      </c>
      <c r="D738" s="41" t="inlineStr">
        <is>
          <t>Objekt 1</t>
        </is>
      </c>
      <c r="E738" s="42" t="n">
        <v>70.5</v>
      </c>
      <c r="F738" s="43" t="n">
        <v>0</v>
      </c>
      <c r="G738" s="44">
        <f>IF(OR(B738="",F738=""),"",IFERROR(F738*INDEX(Mitarbeiter!$F$6:$F$205,MATCH(B738,Mitarbeiter!$A$6:$A$205,0)),0))</f>
        <v/>
      </c>
      <c r="H738" s="8">
        <f>IF(B738="","",IF(ISNA(MATCH(B738,Mitarbeiter!$A$6:$A$205,0)),"Pers.-Nr. unbekannt",IF(A738="","Datum fehlt",IF(AND(D738&lt;&gt;Einstellungen!$C$4,D738&lt;&gt;Einstellungen!$C$5),"Objekt fehlt",IF(YEAR(A738)&lt;&gt;Einstellungen!$C$3,"anderes Jahr",IF(A738&lt;INDEX(Mitarbeiter!$C$6:$C$205,MATCH(B738,Mitarbeiter!$A$6:$A$205,0)),"vor Eintritt",IF(AND(INDEX(Mitarbeiter!$D$6:$D$205,MATCH(B738,Mitarbeiter!$A$6:$A$205,0))&lt;&gt;"",A738&gt;INDEX(Mitarbeiter!$D$6:$D$205,MATCH(B738,Mitarbeiter!$A$6:$A$205,0))),"nach Austritt","ok")))))))</f>
        <v/>
      </c>
    </row>
    <row r="739">
      <c r="A739" s="26" t="n">
        <v>46266</v>
      </c>
      <c r="B739" s="24" t="n">
        <v>1024</v>
      </c>
      <c r="C739" s="40">
        <f>IF(B739="","",IFERROR(INDEX(Mitarbeiter!$B$6:$B$205,MATCH(B739,Mitarbeiter!$A$6:$A$205,0)),"?"))</f>
        <v/>
      </c>
      <c r="D739" s="41" t="inlineStr">
        <is>
          <t>Objekt 2</t>
        </is>
      </c>
      <c r="E739" s="42" t="n">
        <v>104</v>
      </c>
      <c r="F739" s="43" t="n">
        <v>0</v>
      </c>
      <c r="G739" s="44">
        <f>IF(OR(B739="",F739=""),"",IFERROR(F739*INDEX(Mitarbeiter!$F$6:$F$205,MATCH(B739,Mitarbeiter!$A$6:$A$205,0)),0))</f>
        <v/>
      </c>
      <c r="H739" s="8">
        <f>IF(B739="","",IF(ISNA(MATCH(B739,Mitarbeiter!$A$6:$A$205,0)),"Pers.-Nr. unbekannt",IF(A739="","Datum fehlt",IF(AND(D739&lt;&gt;Einstellungen!$C$4,D739&lt;&gt;Einstellungen!$C$5),"Objekt fehlt",IF(YEAR(A739)&lt;&gt;Einstellungen!$C$3,"anderes Jahr",IF(A739&lt;INDEX(Mitarbeiter!$C$6:$C$205,MATCH(B739,Mitarbeiter!$A$6:$A$205,0)),"vor Eintritt",IF(AND(INDEX(Mitarbeiter!$D$6:$D$205,MATCH(B739,Mitarbeiter!$A$6:$A$205,0))&lt;&gt;"",A739&gt;INDEX(Mitarbeiter!$D$6:$D$205,MATCH(B739,Mitarbeiter!$A$6:$A$205,0))),"nach Austritt","ok")))))))</f>
        <v/>
      </c>
    </row>
    <row r="740">
      <c r="A740" s="26" t="n">
        <v>46266</v>
      </c>
      <c r="B740" s="24" t="n">
        <v>1027</v>
      </c>
      <c r="C740" s="40">
        <f>IF(B740="","",IFERROR(INDEX(Mitarbeiter!$B$6:$B$205,MATCH(B740,Mitarbeiter!$A$6:$A$205,0)),"?"))</f>
        <v/>
      </c>
      <c r="D740" s="41" t="inlineStr">
        <is>
          <t>Objekt 1</t>
        </is>
      </c>
      <c r="E740" s="42" t="n">
        <v>63</v>
      </c>
      <c r="F740" s="43" t="n">
        <v>1</v>
      </c>
      <c r="G740" s="44">
        <f>IF(OR(B740="",F740=""),"",IFERROR(F740*INDEX(Mitarbeiter!$F$6:$F$205,MATCH(B740,Mitarbeiter!$A$6:$A$205,0)),0))</f>
        <v/>
      </c>
      <c r="H740" s="8">
        <f>IF(B740="","",IF(ISNA(MATCH(B740,Mitarbeiter!$A$6:$A$205,0)),"Pers.-Nr. unbekannt",IF(A740="","Datum fehlt",IF(AND(D740&lt;&gt;Einstellungen!$C$4,D740&lt;&gt;Einstellungen!$C$5),"Objekt fehlt",IF(YEAR(A740)&lt;&gt;Einstellungen!$C$3,"anderes Jahr",IF(A740&lt;INDEX(Mitarbeiter!$C$6:$C$205,MATCH(B740,Mitarbeiter!$A$6:$A$205,0)),"vor Eintritt",IF(AND(INDEX(Mitarbeiter!$D$6:$D$205,MATCH(B740,Mitarbeiter!$A$6:$A$205,0))&lt;&gt;"",A740&gt;INDEX(Mitarbeiter!$D$6:$D$205,MATCH(B740,Mitarbeiter!$A$6:$A$205,0))),"nach Austritt","ok")))))))</f>
        <v/>
      </c>
    </row>
    <row r="741">
      <c r="A741" s="26" t="n">
        <v>46266</v>
      </c>
      <c r="B741" s="24" t="n">
        <v>1027</v>
      </c>
      <c r="C741" s="40">
        <f>IF(B741="","",IFERROR(INDEX(Mitarbeiter!$B$6:$B$205,MATCH(B741,Mitarbeiter!$A$6:$A$205,0)),"?"))</f>
        <v/>
      </c>
      <c r="D741" s="41" t="inlineStr">
        <is>
          <t>Objekt 2</t>
        </is>
      </c>
      <c r="E741" s="42" t="n">
        <v>60</v>
      </c>
      <c r="F741" s="43" t="n">
        <v>1</v>
      </c>
      <c r="G741" s="44">
        <f>IF(OR(B741="",F741=""),"",IFERROR(F741*INDEX(Mitarbeiter!$F$6:$F$205,MATCH(B741,Mitarbeiter!$A$6:$A$205,0)),0))</f>
        <v/>
      </c>
      <c r="H741" s="8">
        <f>IF(B741="","",IF(ISNA(MATCH(B741,Mitarbeiter!$A$6:$A$205,0)),"Pers.-Nr. unbekannt",IF(A741="","Datum fehlt",IF(AND(D741&lt;&gt;Einstellungen!$C$4,D741&lt;&gt;Einstellungen!$C$5),"Objekt fehlt",IF(YEAR(A741)&lt;&gt;Einstellungen!$C$3,"anderes Jahr",IF(A741&lt;INDEX(Mitarbeiter!$C$6:$C$205,MATCH(B741,Mitarbeiter!$A$6:$A$205,0)),"vor Eintritt",IF(AND(INDEX(Mitarbeiter!$D$6:$D$205,MATCH(B741,Mitarbeiter!$A$6:$A$205,0))&lt;&gt;"",A741&gt;INDEX(Mitarbeiter!$D$6:$D$205,MATCH(B741,Mitarbeiter!$A$6:$A$205,0))),"nach Austritt","ok")))))))</f>
        <v/>
      </c>
    </row>
    <row r="742">
      <c r="A742" s="26" t="n">
        <v>46266</v>
      </c>
      <c r="B742" s="24" t="n">
        <v>1029</v>
      </c>
      <c r="C742" s="40">
        <f>IF(B742="","",IFERROR(INDEX(Mitarbeiter!$B$6:$B$205,MATCH(B742,Mitarbeiter!$A$6:$A$205,0)),"?"))</f>
        <v/>
      </c>
      <c r="D742" s="41" t="inlineStr">
        <is>
          <t>Objekt 1</t>
        </is>
      </c>
      <c r="E742" s="42" t="n">
        <v>177.5</v>
      </c>
      <c r="F742" s="43" t="n">
        <v>0</v>
      </c>
      <c r="G742" s="44">
        <f>IF(OR(B742="",F742=""),"",IFERROR(F742*INDEX(Mitarbeiter!$F$6:$F$205,MATCH(B742,Mitarbeiter!$A$6:$A$205,0)),0))</f>
        <v/>
      </c>
      <c r="H742" s="8">
        <f>IF(B742="","",IF(ISNA(MATCH(B742,Mitarbeiter!$A$6:$A$205,0)),"Pers.-Nr. unbekannt",IF(A742="","Datum fehlt",IF(AND(D742&lt;&gt;Einstellungen!$C$4,D742&lt;&gt;Einstellungen!$C$5),"Objekt fehlt",IF(YEAR(A742)&lt;&gt;Einstellungen!$C$3,"anderes Jahr",IF(A742&lt;INDEX(Mitarbeiter!$C$6:$C$205,MATCH(B742,Mitarbeiter!$A$6:$A$205,0)),"vor Eintritt",IF(AND(INDEX(Mitarbeiter!$D$6:$D$205,MATCH(B742,Mitarbeiter!$A$6:$A$205,0))&lt;&gt;"",A742&gt;INDEX(Mitarbeiter!$D$6:$D$205,MATCH(B742,Mitarbeiter!$A$6:$A$205,0))),"nach Austritt","ok")))))))</f>
        <v/>
      </c>
    </row>
    <row r="743">
      <c r="A743" s="26" t="n">
        <v>46266</v>
      </c>
      <c r="B743" s="24" t="n">
        <v>1030</v>
      </c>
      <c r="C743" s="40">
        <f>IF(B743="","",IFERROR(INDEX(Mitarbeiter!$B$6:$B$205,MATCH(B743,Mitarbeiter!$A$6:$A$205,0)),"?"))</f>
        <v/>
      </c>
      <c r="D743" s="41" t="inlineStr">
        <is>
          <t>Objekt 2</t>
        </is>
      </c>
      <c r="E743" s="42" t="n">
        <v>133.5</v>
      </c>
      <c r="F743" s="43" t="n">
        <v>0</v>
      </c>
      <c r="G743" s="44">
        <f>IF(OR(B743="",F743=""),"",IFERROR(F743*INDEX(Mitarbeiter!$F$6:$F$205,MATCH(B743,Mitarbeiter!$A$6:$A$205,0)),0))</f>
        <v/>
      </c>
      <c r="H743" s="8">
        <f>IF(B743="","",IF(ISNA(MATCH(B743,Mitarbeiter!$A$6:$A$205,0)),"Pers.-Nr. unbekannt",IF(A743="","Datum fehlt",IF(AND(D743&lt;&gt;Einstellungen!$C$4,D743&lt;&gt;Einstellungen!$C$5),"Objekt fehlt",IF(YEAR(A743)&lt;&gt;Einstellungen!$C$3,"anderes Jahr",IF(A743&lt;INDEX(Mitarbeiter!$C$6:$C$205,MATCH(B743,Mitarbeiter!$A$6:$A$205,0)),"vor Eintritt",IF(AND(INDEX(Mitarbeiter!$D$6:$D$205,MATCH(B743,Mitarbeiter!$A$6:$A$205,0))&lt;&gt;"",A743&gt;INDEX(Mitarbeiter!$D$6:$D$205,MATCH(B743,Mitarbeiter!$A$6:$A$205,0))),"nach Austritt","ok")))))))</f>
        <v/>
      </c>
    </row>
    <row r="744">
      <c r="A744" s="26" t="n">
        <v>46266</v>
      </c>
      <c r="B744" s="24" t="n">
        <v>1031</v>
      </c>
      <c r="C744" s="40">
        <f>IF(B744="","",IFERROR(INDEX(Mitarbeiter!$B$6:$B$205,MATCH(B744,Mitarbeiter!$A$6:$A$205,0)),"?"))</f>
        <v/>
      </c>
      <c r="D744" s="41" t="inlineStr">
        <is>
          <t>Objekt 2</t>
        </is>
      </c>
      <c r="E744" s="42" t="n">
        <v>176</v>
      </c>
      <c r="F744" s="43" t="n">
        <v>0</v>
      </c>
      <c r="G744" s="44">
        <f>IF(OR(B744="",F744=""),"",IFERROR(F744*INDEX(Mitarbeiter!$F$6:$F$205,MATCH(B744,Mitarbeiter!$A$6:$A$205,0)),0))</f>
        <v/>
      </c>
      <c r="H744" s="8">
        <f>IF(B744="","",IF(ISNA(MATCH(B744,Mitarbeiter!$A$6:$A$205,0)),"Pers.-Nr. unbekannt",IF(A744="","Datum fehlt",IF(AND(D744&lt;&gt;Einstellungen!$C$4,D744&lt;&gt;Einstellungen!$C$5),"Objekt fehlt",IF(YEAR(A744)&lt;&gt;Einstellungen!$C$3,"anderes Jahr",IF(A744&lt;INDEX(Mitarbeiter!$C$6:$C$205,MATCH(B744,Mitarbeiter!$A$6:$A$205,0)),"vor Eintritt",IF(AND(INDEX(Mitarbeiter!$D$6:$D$205,MATCH(B744,Mitarbeiter!$A$6:$A$205,0))&lt;&gt;"",A744&gt;INDEX(Mitarbeiter!$D$6:$D$205,MATCH(B744,Mitarbeiter!$A$6:$A$205,0))),"nach Austritt","ok")))))))</f>
        <v/>
      </c>
    </row>
    <row r="745">
      <c r="A745" s="26" t="n">
        <v>46266</v>
      </c>
      <c r="B745" s="24" t="n">
        <v>1033</v>
      </c>
      <c r="C745" s="40">
        <f>IF(B745="","",IFERROR(INDEX(Mitarbeiter!$B$6:$B$205,MATCH(B745,Mitarbeiter!$A$6:$A$205,0)),"?"))</f>
        <v/>
      </c>
      <c r="D745" s="41" t="inlineStr">
        <is>
          <t>Objekt 1</t>
        </is>
      </c>
      <c r="E745" s="42" t="n">
        <v>163</v>
      </c>
      <c r="F745" s="43" t="n">
        <v>2</v>
      </c>
      <c r="G745" s="44">
        <f>IF(OR(B745="",F745=""),"",IFERROR(F745*INDEX(Mitarbeiter!$F$6:$F$205,MATCH(B745,Mitarbeiter!$A$6:$A$205,0)),0))</f>
        <v/>
      </c>
      <c r="H745" s="8">
        <f>IF(B745="","",IF(ISNA(MATCH(B745,Mitarbeiter!$A$6:$A$205,0)),"Pers.-Nr. unbekannt",IF(A745="","Datum fehlt",IF(AND(D745&lt;&gt;Einstellungen!$C$4,D745&lt;&gt;Einstellungen!$C$5),"Objekt fehlt",IF(YEAR(A745)&lt;&gt;Einstellungen!$C$3,"anderes Jahr",IF(A745&lt;INDEX(Mitarbeiter!$C$6:$C$205,MATCH(B745,Mitarbeiter!$A$6:$A$205,0)),"vor Eintritt",IF(AND(INDEX(Mitarbeiter!$D$6:$D$205,MATCH(B745,Mitarbeiter!$A$6:$A$205,0))&lt;&gt;"",A745&gt;INDEX(Mitarbeiter!$D$6:$D$205,MATCH(B745,Mitarbeiter!$A$6:$A$205,0))),"nach Austritt","ok")))))))</f>
        <v/>
      </c>
    </row>
    <row r="746">
      <c r="A746" s="26" t="n">
        <v>46266</v>
      </c>
      <c r="B746" s="24" t="n">
        <v>1034</v>
      </c>
      <c r="C746" s="40">
        <f>IF(B746="","",IFERROR(INDEX(Mitarbeiter!$B$6:$B$205,MATCH(B746,Mitarbeiter!$A$6:$A$205,0)),"?"))</f>
        <v/>
      </c>
      <c r="D746" s="41" t="inlineStr">
        <is>
          <t>Objekt 1</t>
        </is>
      </c>
      <c r="E746" s="42" t="n">
        <v>54</v>
      </c>
      <c r="F746" s="43" t="n">
        <v>0</v>
      </c>
      <c r="G746" s="44">
        <f>IF(OR(B746="",F746=""),"",IFERROR(F746*INDEX(Mitarbeiter!$F$6:$F$205,MATCH(B746,Mitarbeiter!$A$6:$A$205,0)),0))</f>
        <v/>
      </c>
      <c r="H746" s="8">
        <f>IF(B746="","",IF(ISNA(MATCH(B746,Mitarbeiter!$A$6:$A$205,0)),"Pers.-Nr. unbekannt",IF(A746="","Datum fehlt",IF(AND(D746&lt;&gt;Einstellungen!$C$4,D746&lt;&gt;Einstellungen!$C$5),"Objekt fehlt",IF(YEAR(A746)&lt;&gt;Einstellungen!$C$3,"anderes Jahr",IF(A746&lt;INDEX(Mitarbeiter!$C$6:$C$205,MATCH(B746,Mitarbeiter!$A$6:$A$205,0)),"vor Eintritt",IF(AND(INDEX(Mitarbeiter!$D$6:$D$205,MATCH(B746,Mitarbeiter!$A$6:$A$205,0))&lt;&gt;"",A746&gt;INDEX(Mitarbeiter!$D$6:$D$205,MATCH(B746,Mitarbeiter!$A$6:$A$205,0))),"nach Austritt","ok")))))))</f>
        <v/>
      </c>
    </row>
    <row r="747">
      <c r="A747" s="26" t="n">
        <v>46266</v>
      </c>
      <c r="B747" s="24" t="n">
        <v>1034</v>
      </c>
      <c r="C747" s="40">
        <f>IF(B747="","",IFERROR(INDEX(Mitarbeiter!$B$6:$B$205,MATCH(B747,Mitarbeiter!$A$6:$A$205,0)),"?"))</f>
        <v/>
      </c>
      <c r="D747" s="41" t="inlineStr">
        <is>
          <t>Objekt 2</t>
        </is>
      </c>
      <c r="E747" s="42" t="n">
        <v>81</v>
      </c>
      <c r="F747" s="43" t="n">
        <v>0</v>
      </c>
      <c r="G747" s="44">
        <f>IF(OR(B747="",F747=""),"",IFERROR(F747*INDEX(Mitarbeiter!$F$6:$F$205,MATCH(B747,Mitarbeiter!$A$6:$A$205,0)),0))</f>
        <v/>
      </c>
      <c r="H747" s="8">
        <f>IF(B747="","",IF(ISNA(MATCH(B747,Mitarbeiter!$A$6:$A$205,0)),"Pers.-Nr. unbekannt",IF(A747="","Datum fehlt",IF(AND(D747&lt;&gt;Einstellungen!$C$4,D747&lt;&gt;Einstellungen!$C$5),"Objekt fehlt",IF(YEAR(A747)&lt;&gt;Einstellungen!$C$3,"anderes Jahr",IF(A747&lt;INDEX(Mitarbeiter!$C$6:$C$205,MATCH(B747,Mitarbeiter!$A$6:$A$205,0)),"vor Eintritt",IF(AND(INDEX(Mitarbeiter!$D$6:$D$205,MATCH(B747,Mitarbeiter!$A$6:$A$205,0))&lt;&gt;"",A747&gt;INDEX(Mitarbeiter!$D$6:$D$205,MATCH(B747,Mitarbeiter!$A$6:$A$205,0))),"nach Austritt","ok")))))))</f>
        <v/>
      </c>
    </row>
    <row r="748">
      <c r="A748" s="26" t="n">
        <v>46266</v>
      </c>
      <c r="B748" s="24" t="n">
        <v>1035</v>
      </c>
      <c r="C748" s="40">
        <f>IF(B748="","",IFERROR(INDEX(Mitarbeiter!$B$6:$B$205,MATCH(B748,Mitarbeiter!$A$6:$A$205,0)),"?"))</f>
        <v/>
      </c>
      <c r="D748" s="41" t="inlineStr">
        <is>
          <t>Objekt 2</t>
        </is>
      </c>
      <c r="E748" s="42" t="n">
        <v>179</v>
      </c>
      <c r="F748" s="43" t="n">
        <v>0</v>
      </c>
      <c r="G748" s="44">
        <f>IF(OR(B748="",F748=""),"",IFERROR(F748*INDEX(Mitarbeiter!$F$6:$F$205,MATCH(B748,Mitarbeiter!$A$6:$A$205,0)),0))</f>
        <v/>
      </c>
      <c r="H748" s="8">
        <f>IF(B748="","",IF(ISNA(MATCH(B748,Mitarbeiter!$A$6:$A$205,0)),"Pers.-Nr. unbekannt",IF(A748="","Datum fehlt",IF(AND(D748&lt;&gt;Einstellungen!$C$4,D748&lt;&gt;Einstellungen!$C$5),"Objekt fehlt",IF(YEAR(A748)&lt;&gt;Einstellungen!$C$3,"anderes Jahr",IF(A748&lt;INDEX(Mitarbeiter!$C$6:$C$205,MATCH(B748,Mitarbeiter!$A$6:$A$205,0)),"vor Eintritt",IF(AND(INDEX(Mitarbeiter!$D$6:$D$205,MATCH(B748,Mitarbeiter!$A$6:$A$205,0))&lt;&gt;"",A748&gt;INDEX(Mitarbeiter!$D$6:$D$205,MATCH(B748,Mitarbeiter!$A$6:$A$205,0))),"nach Austritt","ok")))))))</f>
        <v/>
      </c>
    </row>
    <row r="749">
      <c r="A749" s="26" t="n">
        <v>46266</v>
      </c>
      <c r="B749" s="24" t="n">
        <v>1036</v>
      </c>
      <c r="C749" s="40">
        <f>IF(B749="","",IFERROR(INDEX(Mitarbeiter!$B$6:$B$205,MATCH(B749,Mitarbeiter!$A$6:$A$205,0)),"?"))</f>
        <v/>
      </c>
      <c r="D749" s="41" t="inlineStr">
        <is>
          <t>Objekt 1</t>
        </is>
      </c>
      <c r="E749" s="42" t="n">
        <v>34.5</v>
      </c>
      <c r="F749" s="43" t="n">
        <v>0</v>
      </c>
      <c r="G749" s="44">
        <f>IF(OR(B749="",F749=""),"",IFERROR(F749*INDEX(Mitarbeiter!$F$6:$F$205,MATCH(B749,Mitarbeiter!$A$6:$A$205,0)),0))</f>
        <v/>
      </c>
      <c r="H749" s="8">
        <f>IF(B749="","",IF(ISNA(MATCH(B749,Mitarbeiter!$A$6:$A$205,0)),"Pers.-Nr. unbekannt",IF(A749="","Datum fehlt",IF(AND(D749&lt;&gt;Einstellungen!$C$4,D749&lt;&gt;Einstellungen!$C$5),"Objekt fehlt",IF(YEAR(A749)&lt;&gt;Einstellungen!$C$3,"anderes Jahr",IF(A749&lt;INDEX(Mitarbeiter!$C$6:$C$205,MATCH(B749,Mitarbeiter!$A$6:$A$205,0)),"vor Eintritt",IF(AND(INDEX(Mitarbeiter!$D$6:$D$205,MATCH(B749,Mitarbeiter!$A$6:$A$205,0))&lt;&gt;"",A749&gt;INDEX(Mitarbeiter!$D$6:$D$205,MATCH(B749,Mitarbeiter!$A$6:$A$205,0))),"nach Austritt","ok")))))))</f>
        <v/>
      </c>
    </row>
    <row r="750">
      <c r="A750" s="26" t="n">
        <v>46266</v>
      </c>
      <c r="B750" s="24" t="n">
        <v>1036</v>
      </c>
      <c r="C750" s="40">
        <f>IF(B750="","",IFERROR(INDEX(Mitarbeiter!$B$6:$B$205,MATCH(B750,Mitarbeiter!$A$6:$A$205,0)),"?"))</f>
        <v/>
      </c>
      <c r="D750" s="41" t="inlineStr">
        <is>
          <t>Objekt 2</t>
        </is>
      </c>
      <c r="E750" s="42" t="n">
        <v>52</v>
      </c>
      <c r="F750" s="43" t="n">
        <v>0</v>
      </c>
      <c r="G750" s="44">
        <f>IF(OR(B750="",F750=""),"",IFERROR(F750*INDEX(Mitarbeiter!$F$6:$F$205,MATCH(B750,Mitarbeiter!$A$6:$A$205,0)),0))</f>
        <v/>
      </c>
      <c r="H750" s="8">
        <f>IF(B750="","",IF(ISNA(MATCH(B750,Mitarbeiter!$A$6:$A$205,0)),"Pers.-Nr. unbekannt",IF(A750="","Datum fehlt",IF(AND(D750&lt;&gt;Einstellungen!$C$4,D750&lt;&gt;Einstellungen!$C$5),"Objekt fehlt",IF(YEAR(A750)&lt;&gt;Einstellungen!$C$3,"anderes Jahr",IF(A750&lt;INDEX(Mitarbeiter!$C$6:$C$205,MATCH(B750,Mitarbeiter!$A$6:$A$205,0)),"vor Eintritt",IF(AND(INDEX(Mitarbeiter!$D$6:$D$205,MATCH(B750,Mitarbeiter!$A$6:$A$205,0))&lt;&gt;"",A750&gt;INDEX(Mitarbeiter!$D$6:$D$205,MATCH(B750,Mitarbeiter!$A$6:$A$205,0))),"nach Austritt","ok")))))))</f>
        <v/>
      </c>
    </row>
    <row r="751">
      <c r="A751" s="26" t="n">
        <v>46266</v>
      </c>
      <c r="B751" s="24" t="n">
        <v>1038</v>
      </c>
      <c r="C751" s="40">
        <f>IF(B751="","",IFERROR(INDEX(Mitarbeiter!$B$6:$B$205,MATCH(B751,Mitarbeiter!$A$6:$A$205,0)),"?"))</f>
        <v/>
      </c>
      <c r="D751" s="41" t="inlineStr">
        <is>
          <t>Objekt 1</t>
        </is>
      </c>
      <c r="E751" s="42" t="n">
        <v>91</v>
      </c>
      <c r="F751" s="43" t="n">
        <v>0</v>
      </c>
      <c r="G751" s="44">
        <f>IF(OR(B751="",F751=""),"",IFERROR(F751*INDEX(Mitarbeiter!$F$6:$F$205,MATCH(B751,Mitarbeiter!$A$6:$A$205,0)),0))</f>
        <v/>
      </c>
      <c r="H751" s="8">
        <f>IF(B751="","",IF(ISNA(MATCH(B751,Mitarbeiter!$A$6:$A$205,0)),"Pers.-Nr. unbekannt",IF(A751="","Datum fehlt",IF(AND(D751&lt;&gt;Einstellungen!$C$4,D751&lt;&gt;Einstellungen!$C$5),"Objekt fehlt",IF(YEAR(A751)&lt;&gt;Einstellungen!$C$3,"anderes Jahr",IF(A751&lt;INDEX(Mitarbeiter!$C$6:$C$205,MATCH(B751,Mitarbeiter!$A$6:$A$205,0)),"vor Eintritt",IF(AND(INDEX(Mitarbeiter!$D$6:$D$205,MATCH(B751,Mitarbeiter!$A$6:$A$205,0))&lt;&gt;"",A751&gt;INDEX(Mitarbeiter!$D$6:$D$205,MATCH(B751,Mitarbeiter!$A$6:$A$205,0))),"nach Austritt","ok")))))))</f>
        <v/>
      </c>
    </row>
    <row r="752">
      <c r="A752" s="26" t="n">
        <v>46266</v>
      </c>
      <c r="B752" s="24" t="n">
        <v>1038</v>
      </c>
      <c r="C752" s="40">
        <f>IF(B752="","",IFERROR(INDEX(Mitarbeiter!$B$6:$B$205,MATCH(B752,Mitarbeiter!$A$6:$A$205,0)),"?"))</f>
        <v/>
      </c>
      <c r="D752" s="41" t="inlineStr">
        <is>
          <t>Objekt 2</t>
        </is>
      </c>
      <c r="E752" s="42" t="n">
        <v>88</v>
      </c>
      <c r="F752" s="43" t="n">
        <v>0</v>
      </c>
      <c r="G752" s="44">
        <f>IF(OR(B752="",F752=""),"",IFERROR(F752*INDEX(Mitarbeiter!$F$6:$F$205,MATCH(B752,Mitarbeiter!$A$6:$A$205,0)),0))</f>
        <v/>
      </c>
      <c r="H752" s="8">
        <f>IF(B752="","",IF(ISNA(MATCH(B752,Mitarbeiter!$A$6:$A$205,0)),"Pers.-Nr. unbekannt",IF(A752="","Datum fehlt",IF(AND(D752&lt;&gt;Einstellungen!$C$4,D752&lt;&gt;Einstellungen!$C$5),"Objekt fehlt",IF(YEAR(A752)&lt;&gt;Einstellungen!$C$3,"anderes Jahr",IF(A752&lt;INDEX(Mitarbeiter!$C$6:$C$205,MATCH(B752,Mitarbeiter!$A$6:$A$205,0)),"vor Eintritt",IF(AND(INDEX(Mitarbeiter!$D$6:$D$205,MATCH(B752,Mitarbeiter!$A$6:$A$205,0))&lt;&gt;"",A752&gt;INDEX(Mitarbeiter!$D$6:$D$205,MATCH(B752,Mitarbeiter!$A$6:$A$205,0))),"nach Austritt","ok")))))))</f>
        <v/>
      </c>
    </row>
    <row r="753">
      <c r="A753" s="26" t="n">
        <v>46266</v>
      </c>
      <c r="B753" s="24" t="n">
        <v>1039</v>
      </c>
      <c r="C753" s="40">
        <f>IF(B753="","",IFERROR(INDEX(Mitarbeiter!$B$6:$B$205,MATCH(B753,Mitarbeiter!$A$6:$A$205,0)),"?"))</f>
        <v/>
      </c>
      <c r="D753" s="41" t="inlineStr">
        <is>
          <t>Objekt 2</t>
        </is>
      </c>
      <c r="E753" s="42" t="n">
        <v>160</v>
      </c>
      <c r="F753" s="43" t="n">
        <v>2</v>
      </c>
      <c r="G753" s="44">
        <f>IF(OR(B753="",F753=""),"",IFERROR(F753*INDEX(Mitarbeiter!$F$6:$F$205,MATCH(B753,Mitarbeiter!$A$6:$A$205,0)),0))</f>
        <v/>
      </c>
      <c r="H753" s="8">
        <f>IF(B753="","",IF(ISNA(MATCH(B753,Mitarbeiter!$A$6:$A$205,0)),"Pers.-Nr. unbekannt",IF(A753="","Datum fehlt",IF(AND(D753&lt;&gt;Einstellungen!$C$4,D753&lt;&gt;Einstellungen!$C$5),"Objekt fehlt",IF(YEAR(A753)&lt;&gt;Einstellungen!$C$3,"anderes Jahr",IF(A753&lt;INDEX(Mitarbeiter!$C$6:$C$205,MATCH(B753,Mitarbeiter!$A$6:$A$205,0)),"vor Eintritt",IF(AND(INDEX(Mitarbeiter!$D$6:$D$205,MATCH(B753,Mitarbeiter!$A$6:$A$205,0))&lt;&gt;"",A753&gt;INDEX(Mitarbeiter!$D$6:$D$205,MATCH(B753,Mitarbeiter!$A$6:$A$205,0))),"nach Austritt","ok")))))))</f>
        <v/>
      </c>
    </row>
    <row r="754">
      <c r="A754" s="26" t="n">
        <v>46266</v>
      </c>
      <c r="B754" s="24" t="n">
        <v>1045</v>
      </c>
      <c r="C754" s="40">
        <f>IF(B754="","",IFERROR(INDEX(Mitarbeiter!$B$6:$B$205,MATCH(B754,Mitarbeiter!$A$6:$A$205,0)),"?"))</f>
        <v/>
      </c>
      <c r="D754" s="41" t="inlineStr">
        <is>
          <t>Objekt 1</t>
        </is>
      </c>
      <c r="E754" s="42" t="n">
        <v>104</v>
      </c>
      <c r="F754" s="43" t="n">
        <v>0</v>
      </c>
      <c r="G754" s="44">
        <f>IF(OR(B754="",F754=""),"",IFERROR(F754*INDEX(Mitarbeiter!$F$6:$F$205,MATCH(B754,Mitarbeiter!$A$6:$A$205,0)),0))</f>
        <v/>
      </c>
      <c r="H754" s="8">
        <f>IF(B754="","",IF(ISNA(MATCH(B754,Mitarbeiter!$A$6:$A$205,0)),"Pers.-Nr. unbekannt",IF(A754="","Datum fehlt",IF(AND(D754&lt;&gt;Einstellungen!$C$4,D754&lt;&gt;Einstellungen!$C$5),"Objekt fehlt",IF(YEAR(A754)&lt;&gt;Einstellungen!$C$3,"anderes Jahr",IF(A754&lt;INDEX(Mitarbeiter!$C$6:$C$205,MATCH(B754,Mitarbeiter!$A$6:$A$205,0)),"vor Eintritt",IF(AND(INDEX(Mitarbeiter!$D$6:$D$205,MATCH(B754,Mitarbeiter!$A$6:$A$205,0))&lt;&gt;"",A754&gt;INDEX(Mitarbeiter!$D$6:$D$205,MATCH(B754,Mitarbeiter!$A$6:$A$205,0))),"nach Austritt","ok")))))))</f>
        <v/>
      </c>
    </row>
    <row r="755">
      <c r="A755" s="26" t="n">
        <v>46266</v>
      </c>
      <c r="B755" s="24" t="n">
        <v>1045</v>
      </c>
      <c r="C755" s="40">
        <f>IF(B755="","",IFERROR(INDEX(Mitarbeiter!$B$6:$B$205,MATCH(B755,Mitarbeiter!$A$6:$A$205,0)),"?"))</f>
        <v/>
      </c>
      <c r="D755" s="41" t="inlineStr">
        <is>
          <t>Objekt 2</t>
        </is>
      </c>
      <c r="E755" s="42" t="n">
        <v>73.5</v>
      </c>
      <c r="F755" s="43" t="n">
        <v>0</v>
      </c>
      <c r="G755" s="44">
        <f>IF(OR(B755="",F755=""),"",IFERROR(F755*INDEX(Mitarbeiter!$F$6:$F$205,MATCH(B755,Mitarbeiter!$A$6:$A$205,0)),0))</f>
        <v/>
      </c>
      <c r="H755" s="8">
        <f>IF(B755="","",IF(ISNA(MATCH(B755,Mitarbeiter!$A$6:$A$205,0)),"Pers.-Nr. unbekannt",IF(A755="","Datum fehlt",IF(AND(D755&lt;&gt;Einstellungen!$C$4,D755&lt;&gt;Einstellungen!$C$5),"Objekt fehlt",IF(YEAR(A755)&lt;&gt;Einstellungen!$C$3,"anderes Jahr",IF(A755&lt;INDEX(Mitarbeiter!$C$6:$C$205,MATCH(B755,Mitarbeiter!$A$6:$A$205,0)),"vor Eintritt",IF(AND(INDEX(Mitarbeiter!$D$6:$D$205,MATCH(B755,Mitarbeiter!$A$6:$A$205,0))&lt;&gt;"",A755&gt;INDEX(Mitarbeiter!$D$6:$D$205,MATCH(B755,Mitarbeiter!$A$6:$A$205,0))),"nach Austritt","ok")))))))</f>
        <v/>
      </c>
    </row>
    <row r="756">
      <c r="A756" s="26" t="n">
        <v>46266</v>
      </c>
      <c r="B756" s="24" t="n">
        <v>1046</v>
      </c>
      <c r="C756" s="40">
        <f>IF(B756="","",IFERROR(INDEX(Mitarbeiter!$B$6:$B$205,MATCH(B756,Mitarbeiter!$A$6:$A$205,0)),"?"))</f>
        <v/>
      </c>
      <c r="D756" s="41" t="inlineStr">
        <is>
          <t>Objekt 1</t>
        </is>
      </c>
      <c r="E756" s="42" t="n">
        <v>108</v>
      </c>
      <c r="F756" s="43" t="n">
        <v>0</v>
      </c>
      <c r="G756" s="44">
        <f>IF(OR(B756="",F756=""),"",IFERROR(F756*INDEX(Mitarbeiter!$F$6:$F$205,MATCH(B756,Mitarbeiter!$A$6:$A$205,0)),0))</f>
        <v/>
      </c>
      <c r="H756" s="8">
        <f>IF(B756="","",IF(ISNA(MATCH(B756,Mitarbeiter!$A$6:$A$205,0)),"Pers.-Nr. unbekannt",IF(A756="","Datum fehlt",IF(AND(D756&lt;&gt;Einstellungen!$C$4,D756&lt;&gt;Einstellungen!$C$5),"Objekt fehlt",IF(YEAR(A756)&lt;&gt;Einstellungen!$C$3,"anderes Jahr",IF(A756&lt;INDEX(Mitarbeiter!$C$6:$C$205,MATCH(B756,Mitarbeiter!$A$6:$A$205,0)),"vor Eintritt",IF(AND(INDEX(Mitarbeiter!$D$6:$D$205,MATCH(B756,Mitarbeiter!$A$6:$A$205,0))&lt;&gt;"",A756&gt;INDEX(Mitarbeiter!$D$6:$D$205,MATCH(B756,Mitarbeiter!$A$6:$A$205,0))),"nach Austritt","ok")))))))</f>
        <v/>
      </c>
    </row>
    <row r="757">
      <c r="A757" s="26" t="n">
        <v>46266</v>
      </c>
      <c r="B757" s="24" t="n">
        <v>1046</v>
      </c>
      <c r="C757" s="40">
        <f>IF(B757="","",IFERROR(INDEX(Mitarbeiter!$B$6:$B$205,MATCH(B757,Mitarbeiter!$A$6:$A$205,0)),"?"))</f>
        <v/>
      </c>
      <c r="D757" s="41" t="inlineStr">
        <is>
          <t>Objekt 2</t>
        </is>
      </c>
      <c r="E757" s="42" t="n">
        <v>22.5</v>
      </c>
      <c r="F757" s="43" t="n">
        <v>0</v>
      </c>
      <c r="G757" s="44">
        <f>IF(OR(B757="",F757=""),"",IFERROR(F757*INDEX(Mitarbeiter!$F$6:$F$205,MATCH(B757,Mitarbeiter!$A$6:$A$205,0)),0))</f>
        <v/>
      </c>
      <c r="H757" s="8">
        <f>IF(B757="","",IF(ISNA(MATCH(B757,Mitarbeiter!$A$6:$A$205,0)),"Pers.-Nr. unbekannt",IF(A757="","Datum fehlt",IF(AND(D757&lt;&gt;Einstellungen!$C$4,D757&lt;&gt;Einstellungen!$C$5),"Objekt fehlt",IF(YEAR(A757)&lt;&gt;Einstellungen!$C$3,"anderes Jahr",IF(A757&lt;INDEX(Mitarbeiter!$C$6:$C$205,MATCH(B757,Mitarbeiter!$A$6:$A$205,0)),"vor Eintritt",IF(AND(INDEX(Mitarbeiter!$D$6:$D$205,MATCH(B757,Mitarbeiter!$A$6:$A$205,0))&lt;&gt;"",A757&gt;INDEX(Mitarbeiter!$D$6:$D$205,MATCH(B757,Mitarbeiter!$A$6:$A$205,0))),"nach Austritt","ok")))))))</f>
        <v/>
      </c>
    </row>
    <row r="758">
      <c r="A758" s="26" t="n">
        <v>46266</v>
      </c>
      <c r="B758" s="24" t="n">
        <v>1047</v>
      </c>
      <c r="C758" s="40">
        <f>IF(B758="","",IFERROR(INDEX(Mitarbeiter!$B$6:$B$205,MATCH(B758,Mitarbeiter!$A$6:$A$205,0)),"?"))</f>
        <v/>
      </c>
      <c r="D758" s="41" t="inlineStr">
        <is>
          <t>Objekt 2</t>
        </is>
      </c>
      <c r="E758" s="42" t="n">
        <v>145.5</v>
      </c>
      <c r="F758" s="43" t="n">
        <v>4</v>
      </c>
      <c r="G758" s="44">
        <f>IF(OR(B758="",F758=""),"",IFERROR(F758*INDEX(Mitarbeiter!$F$6:$F$205,MATCH(B758,Mitarbeiter!$A$6:$A$205,0)),0))</f>
        <v/>
      </c>
      <c r="H758" s="8">
        <f>IF(B758="","",IF(ISNA(MATCH(B758,Mitarbeiter!$A$6:$A$205,0)),"Pers.-Nr. unbekannt",IF(A758="","Datum fehlt",IF(AND(D758&lt;&gt;Einstellungen!$C$4,D758&lt;&gt;Einstellungen!$C$5),"Objekt fehlt",IF(YEAR(A758)&lt;&gt;Einstellungen!$C$3,"anderes Jahr",IF(A758&lt;INDEX(Mitarbeiter!$C$6:$C$205,MATCH(B758,Mitarbeiter!$A$6:$A$205,0)),"vor Eintritt",IF(AND(INDEX(Mitarbeiter!$D$6:$D$205,MATCH(B758,Mitarbeiter!$A$6:$A$205,0))&lt;&gt;"",A758&gt;INDEX(Mitarbeiter!$D$6:$D$205,MATCH(B758,Mitarbeiter!$A$6:$A$205,0))),"nach Austritt","ok")))))))</f>
        <v/>
      </c>
    </row>
    <row r="759">
      <c r="A759" s="26" t="n">
        <v>46266</v>
      </c>
      <c r="B759" s="24" t="n">
        <v>1049</v>
      </c>
      <c r="C759" s="40">
        <f>IF(B759="","",IFERROR(INDEX(Mitarbeiter!$B$6:$B$205,MATCH(B759,Mitarbeiter!$A$6:$A$205,0)),"?"))</f>
        <v/>
      </c>
      <c r="D759" s="41" t="inlineStr">
        <is>
          <t>Objekt 1</t>
        </is>
      </c>
      <c r="E759" s="42" t="n">
        <v>130.5</v>
      </c>
      <c r="F759" s="43" t="n">
        <v>0</v>
      </c>
      <c r="G759" s="44">
        <f>IF(OR(B759="",F759=""),"",IFERROR(F759*INDEX(Mitarbeiter!$F$6:$F$205,MATCH(B759,Mitarbeiter!$A$6:$A$205,0)),0))</f>
        <v/>
      </c>
      <c r="H759" s="8">
        <f>IF(B759="","",IF(ISNA(MATCH(B759,Mitarbeiter!$A$6:$A$205,0)),"Pers.-Nr. unbekannt",IF(A759="","Datum fehlt",IF(AND(D759&lt;&gt;Einstellungen!$C$4,D759&lt;&gt;Einstellungen!$C$5),"Objekt fehlt",IF(YEAR(A759)&lt;&gt;Einstellungen!$C$3,"anderes Jahr",IF(A759&lt;INDEX(Mitarbeiter!$C$6:$C$205,MATCH(B759,Mitarbeiter!$A$6:$A$205,0)),"vor Eintritt",IF(AND(INDEX(Mitarbeiter!$D$6:$D$205,MATCH(B759,Mitarbeiter!$A$6:$A$205,0))&lt;&gt;"",A759&gt;INDEX(Mitarbeiter!$D$6:$D$205,MATCH(B759,Mitarbeiter!$A$6:$A$205,0))),"nach Austritt","ok")))))))</f>
        <v/>
      </c>
    </row>
    <row r="760">
      <c r="A760" s="26" t="n">
        <v>46266</v>
      </c>
      <c r="B760" s="24" t="n">
        <v>1050</v>
      </c>
      <c r="C760" s="40">
        <f>IF(B760="","",IFERROR(INDEX(Mitarbeiter!$B$6:$B$205,MATCH(B760,Mitarbeiter!$A$6:$A$205,0)),"?"))</f>
        <v/>
      </c>
      <c r="D760" s="41" t="inlineStr">
        <is>
          <t>Objekt 1</t>
        </is>
      </c>
      <c r="E760" s="42" t="n">
        <v>27</v>
      </c>
      <c r="F760" s="43" t="n">
        <v>0</v>
      </c>
      <c r="G760" s="44">
        <f>IF(OR(B760="",F760=""),"",IFERROR(F760*INDEX(Mitarbeiter!$F$6:$F$205,MATCH(B760,Mitarbeiter!$A$6:$A$205,0)),0))</f>
        <v/>
      </c>
      <c r="H760" s="8">
        <f>IF(B760="","",IF(ISNA(MATCH(B760,Mitarbeiter!$A$6:$A$205,0)),"Pers.-Nr. unbekannt",IF(A760="","Datum fehlt",IF(AND(D760&lt;&gt;Einstellungen!$C$4,D760&lt;&gt;Einstellungen!$C$5),"Objekt fehlt",IF(YEAR(A760)&lt;&gt;Einstellungen!$C$3,"anderes Jahr",IF(A760&lt;INDEX(Mitarbeiter!$C$6:$C$205,MATCH(B760,Mitarbeiter!$A$6:$A$205,0)),"vor Eintritt",IF(AND(INDEX(Mitarbeiter!$D$6:$D$205,MATCH(B760,Mitarbeiter!$A$6:$A$205,0))&lt;&gt;"",A760&gt;INDEX(Mitarbeiter!$D$6:$D$205,MATCH(B760,Mitarbeiter!$A$6:$A$205,0))),"nach Austritt","ok")))))))</f>
        <v/>
      </c>
    </row>
    <row r="761">
      <c r="A761" s="26" t="n">
        <v>46266</v>
      </c>
      <c r="B761" s="24" t="n">
        <v>1050</v>
      </c>
      <c r="C761" s="40">
        <f>IF(B761="","",IFERROR(INDEX(Mitarbeiter!$B$6:$B$205,MATCH(B761,Mitarbeiter!$A$6:$A$205,0)),"?"))</f>
        <v/>
      </c>
      <c r="D761" s="41" t="inlineStr">
        <is>
          <t>Objekt 2</t>
        </is>
      </c>
      <c r="E761" s="42" t="n">
        <v>108</v>
      </c>
      <c r="F761" s="43" t="n">
        <v>0</v>
      </c>
      <c r="G761" s="44">
        <f>IF(OR(B761="",F761=""),"",IFERROR(F761*INDEX(Mitarbeiter!$F$6:$F$205,MATCH(B761,Mitarbeiter!$A$6:$A$205,0)),0))</f>
        <v/>
      </c>
      <c r="H761" s="8">
        <f>IF(B761="","",IF(ISNA(MATCH(B761,Mitarbeiter!$A$6:$A$205,0)),"Pers.-Nr. unbekannt",IF(A761="","Datum fehlt",IF(AND(D761&lt;&gt;Einstellungen!$C$4,D761&lt;&gt;Einstellungen!$C$5),"Objekt fehlt",IF(YEAR(A761)&lt;&gt;Einstellungen!$C$3,"anderes Jahr",IF(A761&lt;INDEX(Mitarbeiter!$C$6:$C$205,MATCH(B761,Mitarbeiter!$A$6:$A$205,0)),"vor Eintritt",IF(AND(INDEX(Mitarbeiter!$D$6:$D$205,MATCH(B761,Mitarbeiter!$A$6:$A$205,0))&lt;&gt;"",A761&gt;INDEX(Mitarbeiter!$D$6:$D$205,MATCH(B761,Mitarbeiter!$A$6:$A$205,0))),"nach Austritt","ok")))))))</f>
        <v/>
      </c>
    </row>
    <row r="762">
      <c r="A762" s="26" t="n">
        <v>46266</v>
      </c>
      <c r="B762" s="24" t="n">
        <v>1051</v>
      </c>
      <c r="C762" s="40">
        <f>IF(B762="","",IFERROR(INDEX(Mitarbeiter!$B$6:$B$205,MATCH(B762,Mitarbeiter!$A$6:$A$205,0)),"?"))</f>
        <v/>
      </c>
      <c r="D762" s="41" t="inlineStr">
        <is>
          <t>Objekt 2</t>
        </is>
      </c>
      <c r="E762" s="42" t="n">
        <v>177.5</v>
      </c>
      <c r="F762" s="43" t="n">
        <v>0</v>
      </c>
      <c r="G762" s="44">
        <f>IF(OR(B762="",F762=""),"",IFERROR(F762*INDEX(Mitarbeiter!$F$6:$F$205,MATCH(B762,Mitarbeiter!$A$6:$A$205,0)),0))</f>
        <v/>
      </c>
      <c r="H762" s="8">
        <f>IF(B762="","",IF(ISNA(MATCH(B762,Mitarbeiter!$A$6:$A$205,0)),"Pers.-Nr. unbekannt",IF(A762="","Datum fehlt",IF(AND(D762&lt;&gt;Einstellungen!$C$4,D762&lt;&gt;Einstellungen!$C$5),"Objekt fehlt",IF(YEAR(A762)&lt;&gt;Einstellungen!$C$3,"anderes Jahr",IF(A762&lt;INDEX(Mitarbeiter!$C$6:$C$205,MATCH(B762,Mitarbeiter!$A$6:$A$205,0)),"vor Eintritt",IF(AND(INDEX(Mitarbeiter!$D$6:$D$205,MATCH(B762,Mitarbeiter!$A$6:$A$205,0))&lt;&gt;"",A762&gt;INDEX(Mitarbeiter!$D$6:$D$205,MATCH(B762,Mitarbeiter!$A$6:$A$205,0))),"nach Austritt","ok")))))))</f>
        <v/>
      </c>
    </row>
    <row r="763">
      <c r="A763" s="26" t="n">
        <v>46266</v>
      </c>
      <c r="B763" s="24" t="n">
        <v>1053</v>
      </c>
      <c r="C763" s="40">
        <f>IF(B763="","",IFERROR(INDEX(Mitarbeiter!$B$6:$B$205,MATCH(B763,Mitarbeiter!$A$6:$A$205,0)),"?"))</f>
        <v/>
      </c>
      <c r="D763" s="41" t="inlineStr">
        <is>
          <t>Objekt 1</t>
        </is>
      </c>
      <c r="E763" s="42" t="n">
        <v>57</v>
      </c>
      <c r="F763" s="43" t="n">
        <v>0</v>
      </c>
      <c r="G763" s="44">
        <f>IF(OR(B763="",F763=""),"",IFERROR(F763*INDEX(Mitarbeiter!$F$6:$F$205,MATCH(B763,Mitarbeiter!$A$6:$A$205,0)),0))</f>
        <v/>
      </c>
      <c r="H763" s="8">
        <f>IF(B763="","",IF(ISNA(MATCH(B763,Mitarbeiter!$A$6:$A$205,0)),"Pers.-Nr. unbekannt",IF(A763="","Datum fehlt",IF(AND(D763&lt;&gt;Einstellungen!$C$4,D763&lt;&gt;Einstellungen!$C$5),"Objekt fehlt",IF(YEAR(A763)&lt;&gt;Einstellungen!$C$3,"anderes Jahr",IF(A763&lt;INDEX(Mitarbeiter!$C$6:$C$205,MATCH(B763,Mitarbeiter!$A$6:$A$205,0)),"vor Eintritt",IF(AND(INDEX(Mitarbeiter!$D$6:$D$205,MATCH(B763,Mitarbeiter!$A$6:$A$205,0))&lt;&gt;"",A763&gt;INDEX(Mitarbeiter!$D$6:$D$205,MATCH(B763,Mitarbeiter!$A$6:$A$205,0))),"nach Austritt","ok")))))))</f>
        <v/>
      </c>
    </row>
    <row r="764">
      <c r="A764" s="26" t="n">
        <v>46266</v>
      </c>
      <c r="B764" s="24" t="n">
        <v>1053</v>
      </c>
      <c r="C764" s="40">
        <f>IF(B764="","",IFERROR(INDEX(Mitarbeiter!$B$6:$B$205,MATCH(B764,Mitarbeiter!$A$6:$A$205,0)),"?"))</f>
        <v/>
      </c>
      <c r="D764" s="41" t="inlineStr">
        <is>
          <t>Objekt 2</t>
        </is>
      </c>
      <c r="E764" s="42" t="n">
        <v>81</v>
      </c>
      <c r="F764" s="43" t="n">
        <v>0</v>
      </c>
      <c r="G764" s="44">
        <f>IF(OR(B764="",F764=""),"",IFERROR(F764*INDEX(Mitarbeiter!$F$6:$F$205,MATCH(B764,Mitarbeiter!$A$6:$A$205,0)),0))</f>
        <v/>
      </c>
      <c r="H764" s="8">
        <f>IF(B764="","",IF(ISNA(MATCH(B764,Mitarbeiter!$A$6:$A$205,0)),"Pers.-Nr. unbekannt",IF(A764="","Datum fehlt",IF(AND(D764&lt;&gt;Einstellungen!$C$4,D764&lt;&gt;Einstellungen!$C$5),"Objekt fehlt",IF(YEAR(A764)&lt;&gt;Einstellungen!$C$3,"anderes Jahr",IF(A764&lt;INDEX(Mitarbeiter!$C$6:$C$205,MATCH(B764,Mitarbeiter!$A$6:$A$205,0)),"vor Eintritt",IF(AND(INDEX(Mitarbeiter!$D$6:$D$205,MATCH(B764,Mitarbeiter!$A$6:$A$205,0))&lt;&gt;"",A764&gt;INDEX(Mitarbeiter!$D$6:$D$205,MATCH(B764,Mitarbeiter!$A$6:$A$205,0))),"nach Austritt","ok")))))))</f>
        <v/>
      </c>
    </row>
    <row r="765">
      <c r="A765" s="26" t="n">
        <v>46266</v>
      </c>
      <c r="B765" s="24" t="n">
        <v>1054</v>
      </c>
      <c r="C765" s="40">
        <f>IF(B765="","",IFERROR(INDEX(Mitarbeiter!$B$6:$B$205,MATCH(B765,Mitarbeiter!$A$6:$A$205,0)),"?"))</f>
        <v/>
      </c>
      <c r="D765" s="41" t="inlineStr">
        <is>
          <t>Objekt 2</t>
        </is>
      </c>
      <c r="E765" s="42" t="n">
        <v>177.5</v>
      </c>
      <c r="F765" s="43" t="n">
        <v>0</v>
      </c>
      <c r="G765" s="44">
        <f>IF(OR(B765="",F765=""),"",IFERROR(F765*INDEX(Mitarbeiter!$F$6:$F$205,MATCH(B765,Mitarbeiter!$A$6:$A$205,0)),0))</f>
        <v/>
      </c>
      <c r="H765" s="8">
        <f>IF(B765="","",IF(ISNA(MATCH(B765,Mitarbeiter!$A$6:$A$205,0)),"Pers.-Nr. unbekannt",IF(A765="","Datum fehlt",IF(AND(D765&lt;&gt;Einstellungen!$C$4,D765&lt;&gt;Einstellungen!$C$5),"Objekt fehlt",IF(YEAR(A765)&lt;&gt;Einstellungen!$C$3,"anderes Jahr",IF(A765&lt;INDEX(Mitarbeiter!$C$6:$C$205,MATCH(B765,Mitarbeiter!$A$6:$A$205,0)),"vor Eintritt",IF(AND(INDEX(Mitarbeiter!$D$6:$D$205,MATCH(B765,Mitarbeiter!$A$6:$A$205,0))&lt;&gt;"",A765&gt;INDEX(Mitarbeiter!$D$6:$D$205,MATCH(B765,Mitarbeiter!$A$6:$A$205,0))),"nach Austritt","ok")))))))</f>
        <v/>
      </c>
    </row>
    <row r="766">
      <c r="A766" s="26" t="n">
        <v>46266</v>
      </c>
      <c r="B766" s="24" t="n">
        <v>1055</v>
      </c>
      <c r="C766" s="40">
        <f>IF(B766="","",IFERROR(INDEX(Mitarbeiter!$B$6:$B$205,MATCH(B766,Mitarbeiter!$A$6:$A$205,0)),"?"))</f>
        <v/>
      </c>
      <c r="D766" s="41" t="inlineStr">
        <is>
          <t>Objekt 1</t>
        </is>
      </c>
      <c r="E766" s="42" t="n">
        <v>147</v>
      </c>
      <c r="F766" s="43" t="n">
        <v>4</v>
      </c>
      <c r="G766" s="44">
        <f>IF(OR(B766="",F766=""),"",IFERROR(F766*INDEX(Mitarbeiter!$F$6:$F$205,MATCH(B766,Mitarbeiter!$A$6:$A$205,0)),0))</f>
        <v/>
      </c>
      <c r="H766" s="8">
        <f>IF(B766="","",IF(ISNA(MATCH(B766,Mitarbeiter!$A$6:$A$205,0)),"Pers.-Nr. unbekannt",IF(A766="","Datum fehlt",IF(AND(D766&lt;&gt;Einstellungen!$C$4,D766&lt;&gt;Einstellungen!$C$5),"Objekt fehlt",IF(YEAR(A766)&lt;&gt;Einstellungen!$C$3,"anderes Jahr",IF(A766&lt;INDEX(Mitarbeiter!$C$6:$C$205,MATCH(B766,Mitarbeiter!$A$6:$A$205,0)),"vor Eintritt",IF(AND(INDEX(Mitarbeiter!$D$6:$D$205,MATCH(B766,Mitarbeiter!$A$6:$A$205,0))&lt;&gt;"",A766&gt;INDEX(Mitarbeiter!$D$6:$D$205,MATCH(B766,Mitarbeiter!$A$6:$A$205,0))),"nach Austritt","ok")))))))</f>
        <v/>
      </c>
    </row>
    <row r="767">
      <c r="A767" s="26" t="n">
        <v>46266</v>
      </c>
      <c r="B767" s="24" t="n">
        <v>1056</v>
      </c>
      <c r="C767" s="40">
        <f>IF(B767="","",IFERROR(INDEX(Mitarbeiter!$B$6:$B$205,MATCH(B767,Mitarbeiter!$A$6:$A$205,0)),"?"))</f>
        <v/>
      </c>
      <c r="D767" s="41" t="inlineStr">
        <is>
          <t>Objekt 2</t>
        </is>
      </c>
      <c r="E767" s="42" t="n">
        <v>169.5</v>
      </c>
      <c r="F767" s="43" t="n">
        <v>1</v>
      </c>
      <c r="G767" s="44">
        <f>IF(OR(B767="",F767=""),"",IFERROR(F767*INDEX(Mitarbeiter!$F$6:$F$205,MATCH(B767,Mitarbeiter!$A$6:$A$205,0)),0))</f>
        <v/>
      </c>
      <c r="H767" s="8">
        <f>IF(B767="","",IF(ISNA(MATCH(B767,Mitarbeiter!$A$6:$A$205,0)),"Pers.-Nr. unbekannt",IF(A767="","Datum fehlt",IF(AND(D767&lt;&gt;Einstellungen!$C$4,D767&lt;&gt;Einstellungen!$C$5),"Objekt fehlt",IF(YEAR(A767)&lt;&gt;Einstellungen!$C$3,"anderes Jahr",IF(A767&lt;INDEX(Mitarbeiter!$C$6:$C$205,MATCH(B767,Mitarbeiter!$A$6:$A$205,0)),"vor Eintritt",IF(AND(INDEX(Mitarbeiter!$D$6:$D$205,MATCH(B767,Mitarbeiter!$A$6:$A$205,0))&lt;&gt;"",A767&gt;INDEX(Mitarbeiter!$D$6:$D$205,MATCH(B767,Mitarbeiter!$A$6:$A$205,0))),"nach Austritt","ok")))))))</f>
        <v/>
      </c>
    </row>
    <row r="768">
      <c r="A768" s="26" t="n">
        <v>46266</v>
      </c>
      <c r="B768" s="24" t="n">
        <v>1057</v>
      </c>
      <c r="C768" s="40">
        <f>IF(B768="","",IFERROR(INDEX(Mitarbeiter!$B$6:$B$205,MATCH(B768,Mitarbeiter!$A$6:$A$205,0)),"?"))</f>
        <v/>
      </c>
      <c r="D768" s="41" t="inlineStr">
        <is>
          <t>Objekt 1</t>
        </is>
      </c>
      <c r="E768" s="42" t="n">
        <v>97.5</v>
      </c>
      <c r="F768" s="43" t="n">
        <v>1</v>
      </c>
      <c r="G768" s="44">
        <f>IF(OR(B768="",F768=""),"",IFERROR(F768*INDEX(Mitarbeiter!$F$6:$F$205,MATCH(B768,Mitarbeiter!$A$6:$A$205,0)),0))</f>
        <v/>
      </c>
      <c r="H768" s="8">
        <f>IF(B768="","",IF(ISNA(MATCH(B768,Mitarbeiter!$A$6:$A$205,0)),"Pers.-Nr. unbekannt",IF(A768="","Datum fehlt",IF(AND(D768&lt;&gt;Einstellungen!$C$4,D768&lt;&gt;Einstellungen!$C$5),"Objekt fehlt",IF(YEAR(A768)&lt;&gt;Einstellungen!$C$3,"anderes Jahr",IF(A768&lt;INDEX(Mitarbeiter!$C$6:$C$205,MATCH(B768,Mitarbeiter!$A$6:$A$205,0)),"vor Eintritt",IF(AND(INDEX(Mitarbeiter!$D$6:$D$205,MATCH(B768,Mitarbeiter!$A$6:$A$205,0))&lt;&gt;"",A768&gt;INDEX(Mitarbeiter!$D$6:$D$205,MATCH(B768,Mitarbeiter!$A$6:$A$205,0))),"nach Austritt","ok")))))))</f>
        <v/>
      </c>
    </row>
    <row r="769">
      <c r="A769" s="26" t="n">
        <v>46266</v>
      </c>
      <c r="B769" s="24" t="n">
        <v>1057</v>
      </c>
      <c r="C769" s="40">
        <f>IF(B769="","",IFERROR(INDEX(Mitarbeiter!$B$6:$B$205,MATCH(B769,Mitarbeiter!$A$6:$A$205,0)),"?"))</f>
        <v/>
      </c>
      <c r="D769" s="41" t="inlineStr">
        <is>
          <t>Objekt 2</t>
        </is>
      </c>
      <c r="E769" s="42" t="n">
        <v>75</v>
      </c>
      <c r="F769" s="43" t="n">
        <v>0</v>
      </c>
      <c r="G769" s="44">
        <f>IF(OR(B769="",F769=""),"",IFERROR(F769*INDEX(Mitarbeiter!$F$6:$F$205,MATCH(B769,Mitarbeiter!$A$6:$A$205,0)),0))</f>
        <v/>
      </c>
      <c r="H769" s="8">
        <f>IF(B769="","",IF(ISNA(MATCH(B769,Mitarbeiter!$A$6:$A$205,0)),"Pers.-Nr. unbekannt",IF(A769="","Datum fehlt",IF(AND(D769&lt;&gt;Einstellungen!$C$4,D769&lt;&gt;Einstellungen!$C$5),"Objekt fehlt",IF(YEAR(A769)&lt;&gt;Einstellungen!$C$3,"anderes Jahr",IF(A769&lt;INDEX(Mitarbeiter!$C$6:$C$205,MATCH(B769,Mitarbeiter!$A$6:$A$205,0)),"vor Eintritt",IF(AND(INDEX(Mitarbeiter!$D$6:$D$205,MATCH(B769,Mitarbeiter!$A$6:$A$205,0))&lt;&gt;"",A769&gt;INDEX(Mitarbeiter!$D$6:$D$205,MATCH(B769,Mitarbeiter!$A$6:$A$205,0))),"nach Austritt","ok")))))))</f>
        <v/>
      </c>
    </row>
    <row r="770">
      <c r="A770" s="26" t="n">
        <v>46266</v>
      </c>
      <c r="B770" s="24" t="n">
        <v>1058</v>
      </c>
      <c r="C770" s="40">
        <f>IF(B770="","",IFERROR(INDEX(Mitarbeiter!$B$6:$B$205,MATCH(B770,Mitarbeiter!$A$6:$A$205,0)),"?"))</f>
        <v/>
      </c>
      <c r="D770" s="41" t="inlineStr">
        <is>
          <t>Objekt 1</t>
        </is>
      </c>
      <c r="E770" s="42" t="n">
        <v>54</v>
      </c>
      <c r="F770" s="43" t="n">
        <v>0</v>
      </c>
      <c r="G770" s="44">
        <f>IF(OR(B770="",F770=""),"",IFERROR(F770*INDEX(Mitarbeiter!$F$6:$F$205,MATCH(B770,Mitarbeiter!$A$6:$A$205,0)),0))</f>
        <v/>
      </c>
      <c r="H770" s="8">
        <f>IF(B770="","",IF(ISNA(MATCH(B770,Mitarbeiter!$A$6:$A$205,0)),"Pers.-Nr. unbekannt",IF(A770="","Datum fehlt",IF(AND(D770&lt;&gt;Einstellungen!$C$4,D770&lt;&gt;Einstellungen!$C$5),"Objekt fehlt",IF(YEAR(A770)&lt;&gt;Einstellungen!$C$3,"anderes Jahr",IF(A770&lt;INDEX(Mitarbeiter!$C$6:$C$205,MATCH(B770,Mitarbeiter!$A$6:$A$205,0)),"vor Eintritt",IF(AND(INDEX(Mitarbeiter!$D$6:$D$205,MATCH(B770,Mitarbeiter!$A$6:$A$205,0))&lt;&gt;"",A770&gt;INDEX(Mitarbeiter!$D$6:$D$205,MATCH(B770,Mitarbeiter!$A$6:$A$205,0))),"nach Austritt","ok")))))))</f>
        <v/>
      </c>
    </row>
    <row r="771">
      <c r="A771" s="26" t="n">
        <v>46266</v>
      </c>
      <c r="B771" s="24" t="n">
        <v>1058</v>
      </c>
      <c r="C771" s="40">
        <f>IF(B771="","",IFERROR(INDEX(Mitarbeiter!$B$6:$B$205,MATCH(B771,Mitarbeiter!$A$6:$A$205,0)),"?"))</f>
        <v/>
      </c>
      <c r="D771" s="41" t="inlineStr">
        <is>
          <t>Objekt 2</t>
        </is>
      </c>
      <c r="E771" s="42" t="n">
        <v>79.5</v>
      </c>
      <c r="F771" s="43" t="n">
        <v>0</v>
      </c>
      <c r="G771" s="44">
        <f>IF(OR(B771="",F771=""),"",IFERROR(F771*INDEX(Mitarbeiter!$F$6:$F$205,MATCH(B771,Mitarbeiter!$A$6:$A$205,0)),0))</f>
        <v/>
      </c>
      <c r="H771" s="8">
        <f>IF(B771="","",IF(ISNA(MATCH(B771,Mitarbeiter!$A$6:$A$205,0)),"Pers.-Nr. unbekannt",IF(A771="","Datum fehlt",IF(AND(D771&lt;&gt;Einstellungen!$C$4,D771&lt;&gt;Einstellungen!$C$5),"Objekt fehlt",IF(YEAR(A771)&lt;&gt;Einstellungen!$C$3,"anderes Jahr",IF(A771&lt;INDEX(Mitarbeiter!$C$6:$C$205,MATCH(B771,Mitarbeiter!$A$6:$A$205,0)),"vor Eintritt",IF(AND(INDEX(Mitarbeiter!$D$6:$D$205,MATCH(B771,Mitarbeiter!$A$6:$A$205,0))&lt;&gt;"",A771&gt;INDEX(Mitarbeiter!$D$6:$D$205,MATCH(B771,Mitarbeiter!$A$6:$A$205,0))),"nach Austritt","ok")))))))</f>
        <v/>
      </c>
    </row>
    <row r="772">
      <c r="A772" s="26" t="n">
        <v>46266</v>
      </c>
      <c r="B772" s="24" t="n">
        <v>1059</v>
      </c>
      <c r="C772" s="40">
        <f>IF(B772="","",IFERROR(INDEX(Mitarbeiter!$B$6:$B$205,MATCH(B772,Mitarbeiter!$A$6:$A$205,0)),"?"))</f>
        <v/>
      </c>
      <c r="D772" s="41" t="inlineStr">
        <is>
          <t>Objekt 1</t>
        </is>
      </c>
      <c r="E772" s="42" t="n">
        <v>88</v>
      </c>
      <c r="F772" s="43" t="n">
        <v>0</v>
      </c>
      <c r="G772" s="44">
        <f>IF(OR(B772="",F772=""),"",IFERROR(F772*INDEX(Mitarbeiter!$F$6:$F$205,MATCH(B772,Mitarbeiter!$A$6:$A$205,0)),0))</f>
        <v/>
      </c>
      <c r="H772" s="8">
        <f>IF(B772="","",IF(ISNA(MATCH(B772,Mitarbeiter!$A$6:$A$205,0)),"Pers.-Nr. unbekannt",IF(A772="","Datum fehlt",IF(AND(D772&lt;&gt;Einstellungen!$C$4,D772&lt;&gt;Einstellungen!$C$5),"Objekt fehlt",IF(YEAR(A772)&lt;&gt;Einstellungen!$C$3,"anderes Jahr",IF(A772&lt;INDEX(Mitarbeiter!$C$6:$C$205,MATCH(B772,Mitarbeiter!$A$6:$A$205,0)),"vor Eintritt",IF(AND(INDEX(Mitarbeiter!$D$6:$D$205,MATCH(B772,Mitarbeiter!$A$6:$A$205,0))&lt;&gt;"",A772&gt;INDEX(Mitarbeiter!$D$6:$D$205,MATCH(B772,Mitarbeiter!$A$6:$A$205,0))),"nach Austritt","ok")))))))</f>
        <v/>
      </c>
    </row>
    <row r="773">
      <c r="A773" s="26" t="n">
        <v>46266</v>
      </c>
      <c r="B773" s="24" t="n">
        <v>1062</v>
      </c>
      <c r="C773" s="40">
        <f>IF(B773="","",IFERROR(INDEX(Mitarbeiter!$B$6:$B$205,MATCH(B773,Mitarbeiter!$A$6:$A$205,0)),"?"))</f>
        <v/>
      </c>
      <c r="D773" s="41" t="inlineStr">
        <is>
          <t>Objekt 1</t>
        </is>
      </c>
      <c r="E773" s="42" t="n">
        <v>72</v>
      </c>
      <c r="F773" s="43" t="n">
        <v>0</v>
      </c>
      <c r="G773" s="44">
        <f>IF(OR(B773="",F773=""),"",IFERROR(F773*INDEX(Mitarbeiter!$F$6:$F$205,MATCH(B773,Mitarbeiter!$A$6:$A$205,0)),0))</f>
        <v/>
      </c>
      <c r="H773" s="8">
        <f>IF(B773="","",IF(ISNA(MATCH(B773,Mitarbeiter!$A$6:$A$205,0)),"Pers.-Nr. unbekannt",IF(A773="","Datum fehlt",IF(AND(D773&lt;&gt;Einstellungen!$C$4,D773&lt;&gt;Einstellungen!$C$5),"Objekt fehlt",IF(YEAR(A773)&lt;&gt;Einstellungen!$C$3,"anderes Jahr",IF(A773&lt;INDEX(Mitarbeiter!$C$6:$C$205,MATCH(B773,Mitarbeiter!$A$6:$A$205,0)),"vor Eintritt",IF(AND(INDEX(Mitarbeiter!$D$6:$D$205,MATCH(B773,Mitarbeiter!$A$6:$A$205,0))&lt;&gt;"",A773&gt;INDEX(Mitarbeiter!$D$6:$D$205,MATCH(B773,Mitarbeiter!$A$6:$A$205,0))),"nach Austritt","ok")))))))</f>
        <v/>
      </c>
    </row>
    <row r="774">
      <c r="A774" s="26" t="n">
        <v>46266</v>
      </c>
      <c r="B774" s="24" t="n">
        <v>1062</v>
      </c>
      <c r="C774" s="40">
        <f>IF(B774="","",IFERROR(INDEX(Mitarbeiter!$B$6:$B$205,MATCH(B774,Mitarbeiter!$A$6:$A$205,0)),"?"))</f>
        <v/>
      </c>
      <c r="D774" s="41" t="inlineStr">
        <is>
          <t>Objekt 2</t>
        </is>
      </c>
      <c r="E774" s="42" t="n">
        <v>105.5</v>
      </c>
      <c r="F774" s="43" t="n">
        <v>0</v>
      </c>
      <c r="G774" s="44">
        <f>IF(OR(B774="",F774=""),"",IFERROR(F774*INDEX(Mitarbeiter!$F$6:$F$205,MATCH(B774,Mitarbeiter!$A$6:$A$205,0)),0))</f>
        <v/>
      </c>
      <c r="H774" s="8">
        <f>IF(B774="","",IF(ISNA(MATCH(B774,Mitarbeiter!$A$6:$A$205,0)),"Pers.-Nr. unbekannt",IF(A774="","Datum fehlt",IF(AND(D774&lt;&gt;Einstellungen!$C$4,D774&lt;&gt;Einstellungen!$C$5),"Objekt fehlt",IF(YEAR(A774)&lt;&gt;Einstellungen!$C$3,"anderes Jahr",IF(A774&lt;INDEX(Mitarbeiter!$C$6:$C$205,MATCH(B774,Mitarbeiter!$A$6:$A$205,0)),"vor Eintritt",IF(AND(INDEX(Mitarbeiter!$D$6:$D$205,MATCH(B774,Mitarbeiter!$A$6:$A$205,0))&lt;&gt;"",A774&gt;INDEX(Mitarbeiter!$D$6:$D$205,MATCH(B774,Mitarbeiter!$A$6:$A$205,0))),"nach Austritt","ok")))))))</f>
        <v/>
      </c>
    </row>
    <row r="775">
      <c r="A775" s="26" t="n">
        <v>46266</v>
      </c>
      <c r="B775" s="24" t="n">
        <v>1063</v>
      </c>
      <c r="C775" s="40">
        <f>IF(B775="","",IFERROR(INDEX(Mitarbeiter!$B$6:$B$205,MATCH(B775,Mitarbeiter!$A$6:$A$205,0)),"?"))</f>
        <v/>
      </c>
      <c r="D775" s="41" t="inlineStr">
        <is>
          <t>Objekt 1</t>
        </is>
      </c>
      <c r="E775" s="42" t="n">
        <v>21</v>
      </c>
      <c r="F775" s="43" t="n">
        <v>1</v>
      </c>
      <c r="G775" s="44">
        <f>IF(OR(B775="",F775=""),"",IFERROR(F775*INDEX(Mitarbeiter!$F$6:$F$205,MATCH(B775,Mitarbeiter!$A$6:$A$205,0)),0))</f>
        <v/>
      </c>
      <c r="H775" s="8">
        <f>IF(B775="","",IF(ISNA(MATCH(B775,Mitarbeiter!$A$6:$A$205,0)),"Pers.-Nr. unbekannt",IF(A775="","Datum fehlt",IF(AND(D775&lt;&gt;Einstellungen!$C$4,D775&lt;&gt;Einstellungen!$C$5),"Objekt fehlt",IF(YEAR(A775)&lt;&gt;Einstellungen!$C$3,"anderes Jahr",IF(A775&lt;INDEX(Mitarbeiter!$C$6:$C$205,MATCH(B775,Mitarbeiter!$A$6:$A$205,0)),"vor Eintritt",IF(AND(INDEX(Mitarbeiter!$D$6:$D$205,MATCH(B775,Mitarbeiter!$A$6:$A$205,0))&lt;&gt;"",A775&gt;INDEX(Mitarbeiter!$D$6:$D$205,MATCH(B775,Mitarbeiter!$A$6:$A$205,0))),"nach Austritt","ok")))))))</f>
        <v/>
      </c>
    </row>
    <row r="776">
      <c r="A776" s="26" t="n">
        <v>46266</v>
      </c>
      <c r="B776" s="24" t="n">
        <v>1063</v>
      </c>
      <c r="C776" s="40">
        <f>IF(B776="","",IFERROR(INDEX(Mitarbeiter!$B$6:$B$205,MATCH(B776,Mitarbeiter!$A$6:$A$205,0)),"?"))</f>
        <v/>
      </c>
      <c r="D776" s="41" t="inlineStr">
        <is>
          <t>Objekt 2</t>
        </is>
      </c>
      <c r="E776" s="42" t="n">
        <v>96</v>
      </c>
      <c r="F776" s="43" t="n">
        <v>2</v>
      </c>
      <c r="G776" s="44">
        <f>IF(OR(B776="",F776=""),"",IFERROR(F776*INDEX(Mitarbeiter!$F$6:$F$205,MATCH(B776,Mitarbeiter!$A$6:$A$205,0)),0))</f>
        <v/>
      </c>
      <c r="H776" s="8">
        <f>IF(B776="","",IF(ISNA(MATCH(B776,Mitarbeiter!$A$6:$A$205,0)),"Pers.-Nr. unbekannt",IF(A776="","Datum fehlt",IF(AND(D776&lt;&gt;Einstellungen!$C$4,D776&lt;&gt;Einstellungen!$C$5),"Objekt fehlt",IF(YEAR(A776)&lt;&gt;Einstellungen!$C$3,"anderes Jahr",IF(A776&lt;INDEX(Mitarbeiter!$C$6:$C$205,MATCH(B776,Mitarbeiter!$A$6:$A$205,0)),"vor Eintritt",IF(AND(INDEX(Mitarbeiter!$D$6:$D$205,MATCH(B776,Mitarbeiter!$A$6:$A$205,0))&lt;&gt;"",A776&gt;INDEX(Mitarbeiter!$D$6:$D$205,MATCH(B776,Mitarbeiter!$A$6:$A$205,0))),"nach Austritt","ok")))))))</f>
        <v/>
      </c>
    </row>
    <row r="777">
      <c r="A777" s="26" t="n">
        <v>46266</v>
      </c>
      <c r="B777" s="24" t="n">
        <v>1064</v>
      </c>
      <c r="C777" s="40">
        <f>IF(B777="","",IFERROR(INDEX(Mitarbeiter!$B$6:$B$205,MATCH(B777,Mitarbeiter!$A$6:$A$205,0)),"?"))</f>
        <v/>
      </c>
      <c r="D777" s="41" t="inlineStr">
        <is>
          <t>Objekt 1</t>
        </is>
      </c>
      <c r="E777" s="42" t="n">
        <v>86.5</v>
      </c>
      <c r="F777" s="43" t="n">
        <v>0</v>
      </c>
      <c r="G777" s="44">
        <f>IF(OR(B777="",F777=""),"",IFERROR(F777*INDEX(Mitarbeiter!$F$6:$F$205,MATCH(B777,Mitarbeiter!$A$6:$A$205,0)),0))</f>
        <v/>
      </c>
      <c r="H777" s="8">
        <f>IF(B777="","",IF(ISNA(MATCH(B777,Mitarbeiter!$A$6:$A$205,0)),"Pers.-Nr. unbekannt",IF(A777="","Datum fehlt",IF(AND(D777&lt;&gt;Einstellungen!$C$4,D777&lt;&gt;Einstellungen!$C$5),"Objekt fehlt",IF(YEAR(A777)&lt;&gt;Einstellungen!$C$3,"anderes Jahr",IF(A777&lt;INDEX(Mitarbeiter!$C$6:$C$205,MATCH(B777,Mitarbeiter!$A$6:$A$205,0)),"vor Eintritt",IF(AND(INDEX(Mitarbeiter!$D$6:$D$205,MATCH(B777,Mitarbeiter!$A$6:$A$205,0))&lt;&gt;"",A777&gt;INDEX(Mitarbeiter!$D$6:$D$205,MATCH(B777,Mitarbeiter!$A$6:$A$205,0))),"nach Austritt","ok")))))))</f>
        <v/>
      </c>
    </row>
    <row r="778">
      <c r="A778" s="26" t="n">
        <v>46266</v>
      </c>
      <c r="B778" s="24" t="n">
        <v>1065</v>
      </c>
      <c r="C778" s="40">
        <f>IF(B778="","",IFERROR(INDEX(Mitarbeiter!$B$6:$B$205,MATCH(B778,Mitarbeiter!$A$6:$A$205,0)),"?"))</f>
        <v/>
      </c>
      <c r="D778" s="41" t="inlineStr">
        <is>
          <t>Objekt 1</t>
        </is>
      </c>
      <c r="E778" s="42" t="n">
        <v>174.5</v>
      </c>
      <c r="F778" s="43" t="n">
        <v>0</v>
      </c>
      <c r="G778" s="44">
        <f>IF(OR(B778="",F778=""),"",IFERROR(F778*INDEX(Mitarbeiter!$F$6:$F$205,MATCH(B778,Mitarbeiter!$A$6:$A$205,0)),0))</f>
        <v/>
      </c>
      <c r="H778" s="8">
        <f>IF(B778="","",IF(ISNA(MATCH(B778,Mitarbeiter!$A$6:$A$205,0)),"Pers.-Nr. unbekannt",IF(A778="","Datum fehlt",IF(AND(D778&lt;&gt;Einstellungen!$C$4,D778&lt;&gt;Einstellungen!$C$5),"Objekt fehlt",IF(YEAR(A778)&lt;&gt;Einstellungen!$C$3,"anderes Jahr",IF(A778&lt;INDEX(Mitarbeiter!$C$6:$C$205,MATCH(B778,Mitarbeiter!$A$6:$A$205,0)),"vor Eintritt",IF(AND(INDEX(Mitarbeiter!$D$6:$D$205,MATCH(B778,Mitarbeiter!$A$6:$A$205,0))&lt;&gt;"",A778&gt;INDEX(Mitarbeiter!$D$6:$D$205,MATCH(B778,Mitarbeiter!$A$6:$A$205,0))),"nach Austritt","ok")))))))</f>
        <v/>
      </c>
    </row>
    <row r="779">
      <c r="A779" s="26" t="n">
        <v>46266</v>
      </c>
      <c r="B779" s="24" t="n">
        <v>1066</v>
      </c>
      <c r="C779" s="40">
        <f>IF(B779="","",IFERROR(INDEX(Mitarbeiter!$B$6:$B$205,MATCH(B779,Mitarbeiter!$A$6:$A$205,0)),"?"))</f>
        <v/>
      </c>
      <c r="D779" s="41" t="inlineStr">
        <is>
          <t>Objekt 1</t>
        </is>
      </c>
      <c r="E779" s="42" t="n">
        <v>72</v>
      </c>
      <c r="F779" s="43" t="n">
        <v>0</v>
      </c>
      <c r="G779" s="44">
        <f>IF(OR(B779="",F779=""),"",IFERROR(F779*INDEX(Mitarbeiter!$F$6:$F$205,MATCH(B779,Mitarbeiter!$A$6:$A$205,0)),0))</f>
        <v/>
      </c>
      <c r="H779" s="8">
        <f>IF(B779="","",IF(ISNA(MATCH(B779,Mitarbeiter!$A$6:$A$205,0)),"Pers.-Nr. unbekannt",IF(A779="","Datum fehlt",IF(AND(D779&lt;&gt;Einstellungen!$C$4,D779&lt;&gt;Einstellungen!$C$5),"Objekt fehlt",IF(YEAR(A779)&lt;&gt;Einstellungen!$C$3,"anderes Jahr",IF(A779&lt;INDEX(Mitarbeiter!$C$6:$C$205,MATCH(B779,Mitarbeiter!$A$6:$A$205,0)),"vor Eintritt",IF(AND(INDEX(Mitarbeiter!$D$6:$D$205,MATCH(B779,Mitarbeiter!$A$6:$A$205,0))&lt;&gt;"",A779&gt;INDEX(Mitarbeiter!$D$6:$D$205,MATCH(B779,Mitarbeiter!$A$6:$A$205,0))),"nach Austritt","ok")))))))</f>
        <v/>
      </c>
    </row>
    <row r="780">
      <c r="A780" s="26" t="n">
        <v>46266</v>
      </c>
      <c r="B780" s="24" t="n">
        <v>1066</v>
      </c>
      <c r="C780" s="40">
        <f>IF(B780="","",IFERROR(INDEX(Mitarbeiter!$B$6:$B$205,MATCH(B780,Mitarbeiter!$A$6:$A$205,0)),"?"))</f>
        <v/>
      </c>
      <c r="D780" s="41" t="inlineStr">
        <is>
          <t>Objekt 2</t>
        </is>
      </c>
      <c r="E780" s="42" t="n">
        <v>17.5</v>
      </c>
      <c r="F780" s="43" t="n">
        <v>0</v>
      </c>
      <c r="G780" s="44">
        <f>IF(OR(B780="",F780=""),"",IFERROR(F780*INDEX(Mitarbeiter!$F$6:$F$205,MATCH(B780,Mitarbeiter!$A$6:$A$205,0)),0))</f>
        <v/>
      </c>
      <c r="H780" s="8">
        <f>IF(B780="","",IF(ISNA(MATCH(B780,Mitarbeiter!$A$6:$A$205,0)),"Pers.-Nr. unbekannt",IF(A780="","Datum fehlt",IF(AND(D780&lt;&gt;Einstellungen!$C$4,D780&lt;&gt;Einstellungen!$C$5),"Objekt fehlt",IF(YEAR(A780)&lt;&gt;Einstellungen!$C$3,"anderes Jahr",IF(A780&lt;INDEX(Mitarbeiter!$C$6:$C$205,MATCH(B780,Mitarbeiter!$A$6:$A$205,0)),"vor Eintritt",IF(AND(INDEX(Mitarbeiter!$D$6:$D$205,MATCH(B780,Mitarbeiter!$A$6:$A$205,0))&lt;&gt;"",A780&gt;INDEX(Mitarbeiter!$D$6:$D$205,MATCH(B780,Mitarbeiter!$A$6:$A$205,0))),"nach Austritt","ok")))))))</f>
        <v/>
      </c>
    </row>
    <row r="781">
      <c r="A781" s="26" t="n">
        <v>46266</v>
      </c>
      <c r="B781" s="24" t="n">
        <v>1067</v>
      </c>
      <c r="C781" s="40">
        <f>IF(B781="","",IFERROR(INDEX(Mitarbeiter!$B$6:$B$205,MATCH(B781,Mitarbeiter!$A$6:$A$205,0)),"?"))</f>
        <v/>
      </c>
      <c r="D781" s="41" t="inlineStr">
        <is>
          <t>Objekt 1</t>
        </is>
      </c>
      <c r="E781" s="42" t="n">
        <v>35</v>
      </c>
      <c r="F781" s="43" t="n">
        <v>1</v>
      </c>
      <c r="G781" s="44">
        <f>IF(OR(B781="",F781=""),"",IFERROR(F781*INDEX(Mitarbeiter!$F$6:$F$205,MATCH(B781,Mitarbeiter!$A$6:$A$205,0)),0))</f>
        <v/>
      </c>
      <c r="H781" s="8">
        <f>IF(B781="","",IF(ISNA(MATCH(B781,Mitarbeiter!$A$6:$A$205,0)),"Pers.-Nr. unbekannt",IF(A781="","Datum fehlt",IF(AND(D781&lt;&gt;Einstellungen!$C$4,D781&lt;&gt;Einstellungen!$C$5),"Objekt fehlt",IF(YEAR(A781)&lt;&gt;Einstellungen!$C$3,"anderes Jahr",IF(A781&lt;INDEX(Mitarbeiter!$C$6:$C$205,MATCH(B781,Mitarbeiter!$A$6:$A$205,0)),"vor Eintritt",IF(AND(INDEX(Mitarbeiter!$D$6:$D$205,MATCH(B781,Mitarbeiter!$A$6:$A$205,0))&lt;&gt;"",A781&gt;INDEX(Mitarbeiter!$D$6:$D$205,MATCH(B781,Mitarbeiter!$A$6:$A$205,0))),"nach Austritt","ok")))))))</f>
        <v/>
      </c>
    </row>
    <row r="782">
      <c r="A782" s="26" t="n">
        <v>46266</v>
      </c>
      <c r="B782" s="24" t="n">
        <v>1067</v>
      </c>
      <c r="C782" s="40">
        <f>IF(B782="","",IFERROR(INDEX(Mitarbeiter!$B$6:$B$205,MATCH(B782,Mitarbeiter!$A$6:$A$205,0)),"?"))</f>
        <v/>
      </c>
      <c r="D782" s="41" t="inlineStr">
        <is>
          <t>Objekt 2</t>
        </is>
      </c>
      <c r="E782" s="42" t="n">
        <v>49.5</v>
      </c>
      <c r="F782" s="43" t="n">
        <v>1</v>
      </c>
      <c r="G782" s="44">
        <f>IF(OR(B782="",F782=""),"",IFERROR(F782*INDEX(Mitarbeiter!$F$6:$F$205,MATCH(B782,Mitarbeiter!$A$6:$A$205,0)),0))</f>
        <v/>
      </c>
      <c r="H782" s="8">
        <f>IF(B782="","",IF(ISNA(MATCH(B782,Mitarbeiter!$A$6:$A$205,0)),"Pers.-Nr. unbekannt",IF(A782="","Datum fehlt",IF(AND(D782&lt;&gt;Einstellungen!$C$4,D782&lt;&gt;Einstellungen!$C$5),"Objekt fehlt",IF(YEAR(A782)&lt;&gt;Einstellungen!$C$3,"anderes Jahr",IF(A782&lt;INDEX(Mitarbeiter!$C$6:$C$205,MATCH(B782,Mitarbeiter!$A$6:$A$205,0)),"vor Eintritt",IF(AND(INDEX(Mitarbeiter!$D$6:$D$205,MATCH(B782,Mitarbeiter!$A$6:$A$205,0))&lt;&gt;"",A782&gt;INDEX(Mitarbeiter!$D$6:$D$205,MATCH(B782,Mitarbeiter!$A$6:$A$205,0))),"nach Austritt","ok")))))))</f>
        <v/>
      </c>
    </row>
    <row r="783">
      <c r="A783" s="26" t="n">
        <v>46266</v>
      </c>
      <c r="B783" s="24" t="n">
        <v>1068</v>
      </c>
      <c r="C783" s="40">
        <f>IF(B783="","",IFERROR(INDEX(Mitarbeiter!$B$6:$B$205,MATCH(B783,Mitarbeiter!$A$6:$A$205,0)),"?"))</f>
        <v/>
      </c>
      <c r="D783" s="41" t="inlineStr">
        <is>
          <t>Objekt 1</t>
        </is>
      </c>
      <c r="E783" s="42" t="n">
        <v>91</v>
      </c>
      <c r="F783" s="43" t="n">
        <v>2</v>
      </c>
      <c r="G783" s="44">
        <f>IF(OR(B783="",F783=""),"",IFERROR(F783*INDEX(Mitarbeiter!$F$6:$F$205,MATCH(B783,Mitarbeiter!$A$6:$A$205,0)),0))</f>
        <v/>
      </c>
      <c r="H783" s="8">
        <f>IF(B783="","",IF(ISNA(MATCH(B783,Mitarbeiter!$A$6:$A$205,0)),"Pers.-Nr. unbekannt",IF(A783="","Datum fehlt",IF(AND(D783&lt;&gt;Einstellungen!$C$4,D783&lt;&gt;Einstellungen!$C$5),"Objekt fehlt",IF(YEAR(A783)&lt;&gt;Einstellungen!$C$3,"anderes Jahr",IF(A783&lt;INDEX(Mitarbeiter!$C$6:$C$205,MATCH(B783,Mitarbeiter!$A$6:$A$205,0)),"vor Eintritt",IF(AND(INDEX(Mitarbeiter!$D$6:$D$205,MATCH(B783,Mitarbeiter!$A$6:$A$205,0))&lt;&gt;"",A783&gt;INDEX(Mitarbeiter!$D$6:$D$205,MATCH(B783,Mitarbeiter!$A$6:$A$205,0))),"nach Austritt","ok")))))))</f>
        <v/>
      </c>
    </row>
    <row r="784">
      <c r="A784" s="26" t="n">
        <v>46266</v>
      </c>
      <c r="B784" s="24" t="n">
        <v>1068</v>
      </c>
      <c r="C784" s="40">
        <f>IF(B784="","",IFERROR(INDEX(Mitarbeiter!$B$6:$B$205,MATCH(B784,Mitarbeiter!$A$6:$A$205,0)),"?"))</f>
        <v/>
      </c>
      <c r="D784" s="41" t="inlineStr">
        <is>
          <t>Objekt 2</t>
        </is>
      </c>
      <c r="E784" s="42" t="n">
        <v>67</v>
      </c>
      <c r="F784" s="43" t="n">
        <v>1</v>
      </c>
      <c r="G784" s="44">
        <f>IF(OR(B784="",F784=""),"",IFERROR(F784*INDEX(Mitarbeiter!$F$6:$F$205,MATCH(B784,Mitarbeiter!$A$6:$A$205,0)),0))</f>
        <v/>
      </c>
      <c r="H784" s="8">
        <f>IF(B784="","",IF(ISNA(MATCH(B784,Mitarbeiter!$A$6:$A$205,0)),"Pers.-Nr. unbekannt",IF(A784="","Datum fehlt",IF(AND(D784&lt;&gt;Einstellungen!$C$4,D784&lt;&gt;Einstellungen!$C$5),"Objekt fehlt",IF(YEAR(A784)&lt;&gt;Einstellungen!$C$3,"anderes Jahr",IF(A784&lt;INDEX(Mitarbeiter!$C$6:$C$205,MATCH(B784,Mitarbeiter!$A$6:$A$205,0)),"vor Eintritt",IF(AND(INDEX(Mitarbeiter!$D$6:$D$205,MATCH(B784,Mitarbeiter!$A$6:$A$205,0))&lt;&gt;"",A784&gt;INDEX(Mitarbeiter!$D$6:$D$205,MATCH(B784,Mitarbeiter!$A$6:$A$205,0))),"nach Austritt","ok")))))))</f>
        <v/>
      </c>
    </row>
    <row r="785">
      <c r="A785" s="26" t="n">
        <v>46266</v>
      </c>
      <c r="B785" s="24" t="n">
        <v>1071</v>
      </c>
      <c r="C785" s="40">
        <f>IF(B785="","",IFERROR(INDEX(Mitarbeiter!$B$6:$B$205,MATCH(B785,Mitarbeiter!$A$6:$A$205,0)),"?"))</f>
        <v/>
      </c>
      <c r="D785" s="41" t="inlineStr">
        <is>
          <t>Objekt 2</t>
        </is>
      </c>
      <c r="E785" s="42" t="n">
        <v>130.5</v>
      </c>
      <c r="F785" s="43" t="n">
        <v>0</v>
      </c>
      <c r="G785" s="44">
        <f>IF(OR(B785="",F785=""),"",IFERROR(F785*INDEX(Mitarbeiter!$F$6:$F$205,MATCH(B785,Mitarbeiter!$A$6:$A$205,0)),0))</f>
        <v/>
      </c>
      <c r="H785" s="8">
        <f>IF(B785="","",IF(ISNA(MATCH(B785,Mitarbeiter!$A$6:$A$205,0)),"Pers.-Nr. unbekannt",IF(A785="","Datum fehlt",IF(AND(D785&lt;&gt;Einstellungen!$C$4,D785&lt;&gt;Einstellungen!$C$5),"Objekt fehlt",IF(YEAR(A785)&lt;&gt;Einstellungen!$C$3,"anderes Jahr",IF(A785&lt;INDEX(Mitarbeiter!$C$6:$C$205,MATCH(B785,Mitarbeiter!$A$6:$A$205,0)),"vor Eintritt",IF(AND(INDEX(Mitarbeiter!$D$6:$D$205,MATCH(B785,Mitarbeiter!$A$6:$A$205,0))&lt;&gt;"",A785&gt;INDEX(Mitarbeiter!$D$6:$D$205,MATCH(B785,Mitarbeiter!$A$6:$A$205,0))),"nach Austritt","ok")))))))</f>
        <v/>
      </c>
    </row>
    <row r="786">
      <c r="A786" s="26" t="n">
        <v>46266</v>
      </c>
      <c r="B786" s="24" t="n">
        <v>1072</v>
      </c>
      <c r="C786" s="40">
        <f>IF(B786="","",IFERROR(INDEX(Mitarbeiter!$B$6:$B$205,MATCH(B786,Mitarbeiter!$A$6:$A$205,0)),"?"))</f>
        <v/>
      </c>
      <c r="D786" s="41" t="inlineStr">
        <is>
          <t>Objekt 1</t>
        </is>
      </c>
      <c r="E786" s="42" t="n">
        <v>66</v>
      </c>
      <c r="F786" s="43" t="n">
        <v>0</v>
      </c>
      <c r="G786" s="44">
        <f>IF(OR(B786="",F786=""),"",IFERROR(F786*INDEX(Mitarbeiter!$F$6:$F$205,MATCH(B786,Mitarbeiter!$A$6:$A$205,0)),0))</f>
        <v/>
      </c>
      <c r="H786" s="8">
        <f>IF(B786="","",IF(ISNA(MATCH(B786,Mitarbeiter!$A$6:$A$205,0)),"Pers.-Nr. unbekannt",IF(A786="","Datum fehlt",IF(AND(D786&lt;&gt;Einstellungen!$C$4,D786&lt;&gt;Einstellungen!$C$5),"Objekt fehlt",IF(YEAR(A786)&lt;&gt;Einstellungen!$C$3,"anderes Jahr",IF(A786&lt;INDEX(Mitarbeiter!$C$6:$C$205,MATCH(B786,Mitarbeiter!$A$6:$A$205,0)),"vor Eintritt",IF(AND(INDEX(Mitarbeiter!$D$6:$D$205,MATCH(B786,Mitarbeiter!$A$6:$A$205,0))&lt;&gt;"",A786&gt;INDEX(Mitarbeiter!$D$6:$D$205,MATCH(B786,Mitarbeiter!$A$6:$A$205,0))),"nach Austritt","ok")))))))</f>
        <v/>
      </c>
    </row>
    <row r="787">
      <c r="A787" s="26" t="n">
        <v>46266</v>
      </c>
      <c r="B787" s="24" t="n">
        <v>1072</v>
      </c>
      <c r="C787" s="40">
        <f>IF(B787="","",IFERROR(INDEX(Mitarbeiter!$B$6:$B$205,MATCH(B787,Mitarbeiter!$A$6:$A$205,0)),"?"))</f>
        <v/>
      </c>
      <c r="D787" s="41" t="inlineStr">
        <is>
          <t>Objekt 2</t>
        </is>
      </c>
      <c r="E787" s="42" t="n">
        <v>64.5</v>
      </c>
      <c r="F787" s="43" t="n">
        <v>0</v>
      </c>
      <c r="G787" s="44">
        <f>IF(OR(B787="",F787=""),"",IFERROR(F787*INDEX(Mitarbeiter!$F$6:$F$205,MATCH(B787,Mitarbeiter!$A$6:$A$205,0)),0))</f>
        <v/>
      </c>
      <c r="H787" s="8">
        <f>IF(B787="","",IF(ISNA(MATCH(B787,Mitarbeiter!$A$6:$A$205,0)),"Pers.-Nr. unbekannt",IF(A787="","Datum fehlt",IF(AND(D787&lt;&gt;Einstellungen!$C$4,D787&lt;&gt;Einstellungen!$C$5),"Objekt fehlt",IF(YEAR(A787)&lt;&gt;Einstellungen!$C$3,"anderes Jahr",IF(A787&lt;INDEX(Mitarbeiter!$C$6:$C$205,MATCH(B787,Mitarbeiter!$A$6:$A$205,0)),"vor Eintritt",IF(AND(INDEX(Mitarbeiter!$D$6:$D$205,MATCH(B787,Mitarbeiter!$A$6:$A$205,0))&lt;&gt;"",A787&gt;INDEX(Mitarbeiter!$D$6:$D$205,MATCH(B787,Mitarbeiter!$A$6:$A$205,0))),"nach Austritt","ok")))))))</f>
        <v/>
      </c>
    </row>
    <row r="788">
      <c r="A788" s="26" t="n">
        <v>46266</v>
      </c>
      <c r="B788" s="24" t="n">
        <v>1074</v>
      </c>
      <c r="C788" s="40">
        <f>IF(B788="","",IFERROR(INDEX(Mitarbeiter!$B$6:$B$205,MATCH(B788,Mitarbeiter!$A$6:$A$205,0)),"?"))</f>
        <v/>
      </c>
      <c r="D788" s="41" t="inlineStr">
        <is>
          <t>Objekt 2</t>
        </is>
      </c>
      <c r="E788" s="42" t="n">
        <v>91</v>
      </c>
      <c r="F788" s="43" t="n">
        <v>0</v>
      </c>
      <c r="G788" s="44">
        <f>IF(OR(B788="",F788=""),"",IFERROR(F788*INDEX(Mitarbeiter!$F$6:$F$205,MATCH(B788,Mitarbeiter!$A$6:$A$205,0)),0))</f>
        <v/>
      </c>
      <c r="H788" s="8">
        <f>IF(B788="","",IF(ISNA(MATCH(B788,Mitarbeiter!$A$6:$A$205,0)),"Pers.-Nr. unbekannt",IF(A788="","Datum fehlt",IF(AND(D788&lt;&gt;Einstellungen!$C$4,D788&lt;&gt;Einstellungen!$C$5),"Objekt fehlt",IF(YEAR(A788)&lt;&gt;Einstellungen!$C$3,"anderes Jahr",IF(A788&lt;INDEX(Mitarbeiter!$C$6:$C$205,MATCH(B788,Mitarbeiter!$A$6:$A$205,0)),"vor Eintritt",IF(AND(INDEX(Mitarbeiter!$D$6:$D$205,MATCH(B788,Mitarbeiter!$A$6:$A$205,0))&lt;&gt;"",A788&gt;INDEX(Mitarbeiter!$D$6:$D$205,MATCH(B788,Mitarbeiter!$A$6:$A$205,0))),"nach Austritt","ok")))))))</f>
        <v/>
      </c>
    </row>
    <row r="789">
      <c r="A789" s="26" t="n">
        <v>46266</v>
      </c>
      <c r="B789" s="24" t="n">
        <v>1076</v>
      </c>
      <c r="C789" s="40">
        <f>IF(B789="","",IFERROR(INDEX(Mitarbeiter!$B$6:$B$205,MATCH(B789,Mitarbeiter!$A$6:$A$205,0)),"?"))</f>
        <v/>
      </c>
      <c r="D789" s="41" t="inlineStr">
        <is>
          <t>Objekt 1</t>
        </is>
      </c>
      <c r="E789" s="42" t="n">
        <v>70.5</v>
      </c>
      <c r="F789" s="43" t="n">
        <v>2</v>
      </c>
      <c r="G789" s="44">
        <f>IF(OR(B789="",F789=""),"",IFERROR(F789*INDEX(Mitarbeiter!$F$6:$F$205,MATCH(B789,Mitarbeiter!$A$6:$A$205,0)),0))</f>
        <v/>
      </c>
      <c r="H789" s="8">
        <f>IF(B789="","",IF(ISNA(MATCH(B789,Mitarbeiter!$A$6:$A$205,0)),"Pers.-Nr. unbekannt",IF(A789="","Datum fehlt",IF(AND(D789&lt;&gt;Einstellungen!$C$4,D789&lt;&gt;Einstellungen!$C$5),"Objekt fehlt",IF(YEAR(A789)&lt;&gt;Einstellungen!$C$3,"anderes Jahr",IF(A789&lt;INDEX(Mitarbeiter!$C$6:$C$205,MATCH(B789,Mitarbeiter!$A$6:$A$205,0)),"vor Eintritt",IF(AND(INDEX(Mitarbeiter!$D$6:$D$205,MATCH(B789,Mitarbeiter!$A$6:$A$205,0))&lt;&gt;"",A789&gt;INDEX(Mitarbeiter!$D$6:$D$205,MATCH(B789,Mitarbeiter!$A$6:$A$205,0))),"nach Austritt","ok")))))))</f>
        <v/>
      </c>
    </row>
    <row r="790">
      <c r="A790" s="26" t="n">
        <v>46266</v>
      </c>
      <c r="B790" s="24" t="n">
        <v>1076</v>
      </c>
      <c r="C790" s="40">
        <f>IF(B790="","",IFERROR(INDEX(Mitarbeiter!$B$6:$B$205,MATCH(B790,Mitarbeiter!$A$6:$A$205,0)),"?"))</f>
        <v/>
      </c>
      <c r="D790" s="41" t="inlineStr">
        <is>
          <t>Objekt 2</t>
        </is>
      </c>
      <c r="E790" s="42" t="n">
        <v>70.5</v>
      </c>
      <c r="F790" s="43" t="n">
        <v>2</v>
      </c>
      <c r="G790" s="44">
        <f>IF(OR(B790="",F790=""),"",IFERROR(F790*INDEX(Mitarbeiter!$F$6:$F$205,MATCH(B790,Mitarbeiter!$A$6:$A$205,0)),0))</f>
        <v/>
      </c>
      <c r="H790" s="8">
        <f>IF(B790="","",IF(ISNA(MATCH(B790,Mitarbeiter!$A$6:$A$205,0)),"Pers.-Nr. unbekannt",IF(A790="","Datum fehlt",IF(AND(D790&lt;&gt;Einstellungen!$C$4,D790&lt;&gt;Einstellungen!$C$5),"Objekt fehlt",IF(YEAR(A790)&lt;&gt;Einstellungen!$C$3,"anderes Jahr",IF(A790&lt;INDEX(Mitarbeiter!$C$6:$C$205,MATCH(B790,Mitarbeiter!$A$6:$A$205,0)),"vor Eintritt",IF(AND(INDEX(Mitarbeiter!$D$6:$D$205,MATCH(B790,Mitarbeiter!$A$6:$A$205,0))&lt;&gt;"",A790&gt;INDEX(Mitarbeiter!$D$6:$D$205,MATCH(B790,Mitarbeiter!$A$6:$A$205,0))),"nach Austritt","ok")))))))</f>
        <v/>
      </c>
    </row>
    <row r="791">
      <c r="A791" s="26" t="n">
        <v>46280</v>
      </c>
      <c r="B791" s="24" t="n">
        <v>1073</v>
      </c>
      <c r="C791" s="40">
        <f>IF(B791="","",IFERROR(INDEX(Mitarbeiter!$B$6:$B$205,MATCH(B791,Mitarbeiter!$A$6:$A$205,0)),"?"))</f>
        <v/>
      </c>
      <c r="D791" s="41" t="inlineStr">
        <is>
          <t>Objekt 1</t>
        </is>
      </c>
      <c r="E791" s="42" t="n">
        <v>14.5</v>
      </c>
      <c r="F791" s="43" t="n">
        <v>0</v>
      </c>
      <c r="G791" s="44">
        <f>IF(OR(B791="",F791=""),"",IFERROR(F791*INDEX(Mitarbeiter!$F$6:$F$205,MATCH(B791,Mitarbeiter!$A$6:$A$205,0)),0))</f>
        <v/>
      </c>
      <c r="H791" s="8">
        <f>IF(B791="","",IF(ISNA(MATCH(B791,Mitarbeiter!$A$6:$A$205,0)),"Pers.-Nr. unbekannt",IF(A791="","Datum fehlt",IF(AND(D791&lt;&gt;Einstellungen!$C$4,D791&lt;&gt;Einstellungen!$C$5),"Objekt fehlt",IF(YEAR(A791)&lt;&gt;Einstellungen!$C$3,"anderes Jahr",IF(A791&lt;INDEX(Mitarbeiter!$C$6:$C$205,MATCH(B791,Mitarbeiter!$A$6:$A$205,0)),"vor Eintritt",IF(AND(INDEX(Mitarbeiter!$D$6:$D$205,MATCH(B791,Mitarbeiter!$A$6:$A$205,0))&lt;&gt;"",A791&gt;INDEX(Mitarbeiter!$D$6:$D$205,MATCH(B791,Mitarbeiter!$A$6:$A$205,0))),"nach Austritt","ok")))))))</f>
        <v/>
      </c>
    </row>
    <row r="792">
      <c r="A792" s="26" t="n">
        <v>46280</v>
      </c>
      <c r="B792" s="24" t="n">
        <v>1073</v>
      </c>
      <c r="C792" s="40">
        <f>IF(B792="","",IFERROR(INDEX(Mitarbeiter!$B$6:$B$205,MATCH(B792,Mitarbeiter!$A$6:$A$205,0)),"?"))</f>
        <v/>
      </c>
      <c r="D792" s="41" t="inlineStr">
        <is>
          <t>Objekt 2</t>
        </is>
      </c>
      <c r="E792" s="42" t="n">
        <v>80</v>
      </c>
      <c r="F792" s="43" t="n">
        <v>0</v>
      </c>
      <c r="G792" s="44">
        <f>IF(OR(B792="",F792=""),"",IFERROR(F792*INDEX(Mitarbeiter!$F$6:$F$205,MATCH(B792,Mitarbeiter!$A$6:$A$205,0)),0))</f>
        <v/>
      </c>
      <c r="H792" s="8">
        <f>IF(B792="","",IF(ISNA(MATCH(B792,Mitarbeiter!$A$6:$A$205,0)),"Pers.-Nr. unbekannt",IF(A792="","Datum fehlt",IF(AND(D792&lt;&gt;Einstellungen!$C$4,D792&lt;&gt;Einstellungen!$C$5),"Objekt fehlt",IF(YEAR(A792)&lt;&gt;Einstellungen!$C$3,"anderes Jahr",IF(A792&lt;INDEX(Mitarbeiter!$C$6:$C$205,MATCH(B792,Mitarbeiter!$A$6:$A$205,0)),"vor Eintritt",IF(AND(INDEX(Mitarbeiter!$D$6:$D$205,MATCH(B792,Mitarbeiter!$A$6:$A$205,0))&lt;&gt;"",A792&gt;INDEX(Mitarbeiter!$D$6:$D$205,MATCH(B792,Mitarbeiter!$A$6:$A$205,0))),"nach Austritt","ok")))))))</f>
        <v/>
      </c>
    </row>
    <row r="793">
      <c r="A793" s="26" t="n">
        <v>46280</v>
      </c>
      <c r="B793" s="24" t="n">
        <v>1075</v>
      </c>
      <c r="C793" s="40">
        <f>IF(B793="","",IFERROR(INDEX(Mitarbeiter!$B$6:$B$205,MATCH(B793,Mitarbeiter!$A$6:$A$205,0)),"?"))</f>
        <v/>
      </c>
      <c r="D793" s="41" t="inlineStr">
        <is>
          <t>Objekt 1</t>
        </is>
      </c>
      <c r="E793" s="42" t="n">
        <v>56</v>
      </c>
      <c r="F793" s="43" t="n">
        <v>0</v>
      </c>
      <c r="G793" s="44">
        <f>IF(OR(B793="",F793=""),"",IFERROR(F793*INDEX(Mitarbeiter!$F$6:$F$205,MATCH(B793,Mitarbeiter!$A$6:$A$205,0)),0))</f>
        <v/>
      </c>
      <c r="H793" s="8">
        <f>IF(B793="","",IF(ISNA(MATCH(B793,Mitarbeiter!$A$6:$A$205,0)),"Pers.-Nr. unbekannt",IF(A793="","Datum fehlt",IF(AND(D793&lt;&gt;Einstellungen!$C$4,D793&lt;&gt;Einstellungen!$C$5),"Objekt fehlt",IF(YEAR(A793)&lt;&gt;Einstellungen!$C$3,"anderes Jahr",IF(A793&lt;INDEX(Mitarbeiter!$C$6:$C$205,MATCH(B793,Mitarbeiter!$A$6:$A$205,0)),"vor Eintritt",IF(AND(INDEX(Mitarbeiter!$D$6:$D$205,MATCH(B793,Mitarbeiter!$A$6:$A$205,0))&lt;&gt;"",A793&gt;INDEX(Mitarbeiter!$D$6:$D$205,MATCH(B793,Mitarbeiter!$A$6:$A$205,0))),"nach Austritt","ok")))))))</f>
        <v/>
      </c>
    </row>
    <row r="794">
      <c r="A794" s="26" t="n">
        <v>46280</v>
      </c>
      <c r="B794" s="24" t="n">
        <v>1075</v>
      </c>
      <c r="C794" s="40">
        <f>IF(B794="","",IFERROR(INDEX(Mitarbeiter!$B$6:$B$205,MATCH(B794,Mitarbeiter!$A$6:$A$205,0)),"?"))</f>
        <v/>
      </c>
      <c r="D794" s="41" t="inlineStr">
        <is>
          <t>Objekt 2</t>
        </is>
      </c>
      <c r="E794" s="42" t="n">
        <v>43</v>
      </c>
      <c r="F794" s="43" t="n">
        <v>0</v>
      </c>
      <c r="G794" s="44">
        <f>IF(OR(B794="",F794=""),"",IFERROR(F794*INDEX(Mitarbeiter!$F$6:$F$205,MATCH(B794,Mitarbeiter!$A$6:$A$205,0)),0))</f>
        <v/>
      </c>
      <c r="H794" s="8">
        <f>IF(B794="","",IF(ISNA(MATCH(B794,Mitarbeiter!$A$6:$A$205,0)),"Pers.-Nr. unbekannt",IF(A794="","Datum fehlt",IF(AND(D794&lt;&gt;Einstellungen!$C$4,D794&lt;&gt;Einstellungen!$C$5),"Objekt fehlt",IF(YEAR(A794)&lt;&gt;Einstellungen!$C$3,"anderes Jahr",IF(A794&lt;INDEX(Mitarbeiter!$C$6:$C$205,MATCH(B794,Mitarbeiter!$A$6:$A$205,0)),"vor Eintritt",IF(AND(INDEX(Mitarbeiter!$D$6:$D$205,MATCH(B794,Mitarbeiter!$A$6:$A$205,0))&lt;&gt;"",A794&gt;INDEX(Mitarbeiter!$D$6:$D$205,MATCH(B794,Mitarbeiter!$A$6:$A$205,0))),"nach Austritt","ok")))))))</f>
        <v/>
      </c>
    </row>
    <row r="795">
      <c r="A795" s="26" t="n"/>
      <c r="B795" s="24" t="n"/>
      <c r="C795" s="40">
        <f>IF(B795="","",IFERROR(INDEX(Mitarbeiter!$B$6:$B$205,MATCH(B795,Mitarbeiter!$A$6:$A$205,0)),"?"))</f>
        <v/>
      </c>
      <c r="D795" s="41" t="n"/>
      <c r="E795" s="42" t="n"/>
      <c r="F795" s="43" t="n"/>
      <c r="G795" s="44">
        <f>IF(OR(B795="",F795=""),"",IFERROR(F795*INDEX(Mitarbeiter!$F$6:$F$205,MATCH(B795,Mitarbeiter!$A$6:$A$205,0)),0))</f>
        <v/>
      </c>
      <c r="H795" s="8">
        <f>IF(B795="","",IF(ISNA(MATCH(B795,Mitarbeiter!$A$6:$A$205,0)),"Pers.-Nr. unbekannt",IF(A795="","Datum fehlt",IF(AND(D795&lt;&gt;Einstellungen!$C$4,D795&lt;&gt;Einstellungen!$C$5),"Objekt fehlt",IF(YEAR(A795)&lt;&gt;Einstellungen!$C$3,"anderes Jahr",IF(A795&lt;INDEX(Mitarbeiter!$C$6:$C$205,MATCH(B795,Mitarbeiter!$A$6:$A$205,0)),"vor Eintritt",IF(AND(INDEX(Mitarbeiter!$D$6:$D$205,MATCH(B795,Mitarbeiter!$A$6:$A$205,0))&lt;&gt;"",A795&gt;INDEX(Mitarbeiter!$D$6:$D$205,MATCH(B795,Mitarbeiter!$A$6:$A$205,0))),"nach Austritt","ok")))))))</f>
        <v/>
      </c>
    </row>
    <row r="796">
      <c r="A796" s="26" t="n"/>
      <c r="B796" s="24" t="n"/>
      <c r="C796" s="40">
        <f>IF(B796="","",IFERROR(INDEX(Mitarbeiter!$B$6:$B$205,MATCH(B796,Mitarbeiter!$A$6:$A$205,0)),"?"))</f>
        <v/>
      </c>
      <c r="D796" s="41" t="n"/>
      <c r="E796" s="42" t="n"/>
      <c r="F796" s="43" t="n"/>
      <c r="G796" s="44">
        <f>IF(OR(B796="",F796=""),"",IFERROR(F796*INDEX(Mitarbeiter!$F$6:$F$205,MATCH(B796,Mitarbeiter!$A$6:$A$205,0)),0))</f>
        <v/>
      </c>
      <c r="H796" s="8">
        <f>IF(B796="","",IF(ISNA(MATCH(B796,Mitarbeiter!$A$6:$A$205,0)),"Pers.-Nr. unbekannt",IF(A796="","Datum fehlt",IF(AND(D796&lt;&gt;Einstellungen!$C$4,D796&lt;&gt;Einstellungen!$C$5),"Objekt fehlt",IF(YEAR(A796)&lt;&gt;Einstellungen!$C$3,"anderes Jahr",IF(A796&lt;INDEX(Mitarbeiter!$C$6:$C$205,MATCH(B796,Mitarbeiter!$A$6:$A$205,0)),"vor Eintritt",IF(AND(INDEX(Mitarbeiter!$D$6:$D$205,MATCH(B796,Mitarbeiter!$A$6:$A$205,0))&lt;&gt;"",A796&gt;INDEX(Mitarbeiter!$D$6:$D$205,MATCH(B796,Mitarbeiter!$A$6:$A$205,0))),"nach Austritt","ok")))))))</f>
        <v/>
      </c>
    </row>
    <row r="797">
      <c r="A797" s="26" t="n"/>
      <c r="B797" s="24" t="n"/>
      <c r="C797" s="40">
        <f>IF(B797="","",IFERROR(INDEX(Mitarbeiter!$B$6:$B$205,MATCH(B797,Mitarbeiter!$A$6:$A$205,0)),"?"))</f>
        <v/>
      </c>
      <c r="D797" s="41" t="n"/>
      <c r="E797" s="42" t="n"/>
      <c r="F797" s="43" t="n"/>
      <c r="G797" s="44">
        <f>IF(OR(B797="",F797=""),"",IFERROR(F797*INDEX(Mitarbeiter!$F$6:$F$205,MATCH(B797,Mitarbeiter!$A$6:$A$205,0)),0))</f>
        <v/>
      </c>
      <c r="H797" s="8">
        <f>IF(B797="","",IF(ISNA(MATCH(B797,Mitarbeiter!$A$6:$A$205,0)),"Pers.-Nr. unbekannt",IF(A797="","Datum fehlt",IF(AND(D797&lt;&gt;Einstellungen!$C$4,D797&lt;&gt;Einstellungen!$C$5),"Objekt fehlt",IF(YEAR(A797)&lt;&gt;Einstellungen!$C$3,"anderes Jahr",IF(A797&lt;INDEX(Mitarbeiter!$C$6:$C$205,MATCH(B797,Mitarbeiter!$A$6:$A$205,0)),"vor Eintritt",IF(AND(INDEX(Mitarbeiter!$D$6:$D$205,MATCH(B797,Mitarbeiter!$A$6:$A$205,0))&lt;&gt;"",A797&gt;INDEX(Mitarbeiter!$D$6:$D$205,MATCH(B797,Mitarbeiter!$A$6:$A$205,0))),"nach Austritt","ok")))))))</f>
        <v/>
      </c>
    </row>
    <row r="798">
      <c r="A798" s="26" t="n"/>
      <c r="B798" s="24" t="n"/>
      <c r="C798" s="40">
        <f>IF(B798="","",IFERROR(INDEX(Mitarbeiter!$B$6:$B$205,MATCH(B798,Mitarbeiter!$A$6:$A$205,0)),"?"))</f>
        <v/>
      </c>
      <c r="D798" s="41" t="n"/>
      <c r="E798" s="42" t="n"/>
      <c r="F798" s="43" t="n"/>
      <c r="G798" s="44">
        <f>IF(OR(B798="",F798=""),"",IFERROR(F798*INDEX(Mitarbeiter!$F$6:$F$205,MATCH(B798,Mitarbeiter!$A$6:$A$205,0)),0))</f>
        <v/>
      </c>
      <c r="H798" s="8">
        <f>IF(B798="","",IF(ISNA(MATCH(B798,Mitarbeiter!$A$6:$A$205,0)),"Pers.-Nr. unbekannt",IF(A798="","Datum fehlt",IF(AND(D798&lt;&gt;Einstellungen!$C$4,D798&lt;&gt;Einstellungen!$C$5),"Objekt fehlt",IF(YEAR(A798)&lt;&gt;Einstellungen!$C$3,"anderes Jahr",IF(A798&lt;INDEX(Mitarbeiter!$C$6:$C$205,MATCH(B798,Mitarbeiter!$A$6:$A$205,0)),"vor Eintritt",IF(AND(INDEX(Mitarbeiter!$D$6:$D$205,MATCH(B798,Mitarbeiter!$A$6:$A$205,0))&lt;&gt;"",A798&gt;INDEX(Mitarbeiter!$D$6:$D$205,MATCH(B798,Mitarbeiter!$A$6:$A$205,0))),"nach Austritt","ok")))))))</f>
        <v/>
      </c>
    </row>
    <row r="799">
      <c r="A799" s="26" t="n"/>
      <c r="B799" s="24" t="n"/>
      <c r="C799" s="40">
        <f>IF(B799="","",IFERROR(INDEX(Mitarbeiter!$B$6:$B$205,MATCH(B799,Mitarbeiter!$A$6:$A$205,0)),"?"))</f>
        <v/>
      </c>
      <c r="D799" s="41" t="n"/>
      <c r="E799" s="42" t="n"/>
      <c r="F799" s="43" t="n"/>
      <c r="G799" s="44">
        <f>IF(OR(B799="",F799=""),"",IFERROR(F799*INDEX(Mitarbeiter!$F$6:$F$205,MATCH(B799,Mitarbeiter!$A$6:$A$205,0)),0))</f>
        <v/>
      </c>
      <c r="H799" s="8">
        <f>IF(B799="","",IF(ISNA(MATCH(B799,Mitarbeiter!$A$6:$A$205,0)),"Pers.-Nr. unbekannt",IF(A799="","Datum fehlt",IF(AND(D799&lt;&gt;Einstellungen!$C$4,D799&lt;&gt;Einstellungen!$C$5),"Objekt fehlt",IF(YEAR(A799)&lt;&gt;Einstellungen!$C$3,"anderes Jahr",IF(A799&lt;INDEX(Mitarbeiter!$C$6:$C$205,MATCH(B799,Mitarbeiter!$A$6:$A$205,0)),"vor Eintritt",IF(AND(INDEX(Mitarbeiter!$D$6:$D$205,MATCH(B799,Mitarbeiter!$A$6:$A$205,0))&lt;&gt;"",A799&gt;INDEX(Mitarbeiter!$D$6:$D$205,MATCH(B799,Mitarbeiter!$A$6:$A$205,0))),"nach Austritt","ok")))))))</f>
        <v/>
      </c>
    </row>
    <row r="800">
      <c r="A800" s="26" t="n"/>
      <c r="B800" s="24" t="n"/>
      <c r="C800" s="40">
        <f>IF(B800="","",IFERROR(INDEX(Mitarbeiter!$B$6:$B$205,MATCH(B800,Mitarbeiter!$A$6:$A$205,0)),"?"))</f>
        <v/>
      </c>
      <c r="D800" s="41" t="n"/>
      <c r="E800" s="42" t="n"/>
      <c r="F800" s="43" t="n"/>
      <c r="G800" s="44">
        <f>IF(OR(B800="",F800=""),"",IFERROR(F800*INDEX(Mitarbeiter!$F$6:$F$205,MATCH(B800,Mitarbeiter!$A$6:$A$205,0)),0))</f>
        <v/>
      </c>
      <c r="H800" s="8">
        <f>IF(B800="","",IF(ISNA(MATCH(B800,Mitarbeiter!$A$6:$A$205,0)),"Pers.-Nr. unbekannt",IF(A800="","Datum fehlt",IF(AND(D800&lt;&gt;Einstellungen!$C$4,D800&lt;&gt;Einstellungen!$C$5),"Objekt fehlt",IF(YEAR(A800)&lt;&gt;Einstellungen!$C$3,"anderes Jahr",IF(A800&lt;INDEX(Mitarbeiter!$C$6:$C$205,MATCH(B800,Mitarbeiter!$A$6:$A$205,0)),"vor Eintritt",IF(AND(INDEX(Mitarbeiter!$D$6:$D$205,MATCH(B800,Mitarbeiter!$A$6:$A$205,0))&lt;&gt;"",A800&gt;INDEX(Mitarbeiter!$D$6:$D$205,MATCH(B800,Mitarbeiter!$A$6:$A$205,0))),"nach Austritt","ok")))))))</f>
        <v/>
      </c>
    </row>
    <row r="801">
      <c r="A801" s="26" t="n"/>
      <c r="B801" s="24" t="n"/>
      <c r="C801" s="40">
        <f>IF(B801="","",IFERROR(INDEX(Mitarbeiter!$B$6:$B$205,MATCH(B801,Mitarbeiter!$A$6:$A$205,0)),"?"))</f>
        <v/>
      </c>
      <c r="D801" s="41" t="n"/>
      <c r="E801" s="42" t="n"/>
      <c r="F801" s="43" t="n"/>
      <c r="G801" s="44">
        <f>IF(OR(B801="",F801=""),"",IFERROR(F801*INDEX(Mitarbeiter!$F$6:$F$205,MATCH(B801,Mitarbeiter!$A$6:$A$205,0)),0))</f>
        <v/>
      </c>
      <c r="H801" s="8">
        <f>IF(B801="","",IF(ISNA(MATCH(B801,Mitarbeiter!$A$6:$A$205,0)),"Pers.-Nr. unbekannt",IF(A801="","Datum fehlt",IF(AND(D801&lt;&gt;Einstellungen!$C$4,D801&lt;&gt;Einstellungen!$C$5),"Objekt fehlt",IF(YEAR(A801)&lt;&gt;Einstellungen!$C$3,"anderes Jahr",IF(A801&lt;INDEX(Mitarbeiter!$C$6:$C$205,MATCH(B801,Mitarbeiter!$A$6:$A$205,0)),"vor Eintritt",IF(AND(INDEX(Mitarbeiter!$D$6:$D$205,MATCH(B801,Mitarbeiter!$A$6:$A$205,0))&lt;&gt;"",A801&gt;INDEX(Mitarbeiter!$D$6:$D$205,MATCH(B801,Mitarbeiter!$A$6:$A$205,0))),"nach Austritt","ok")))))))</f>
        <v/>
      </c>
    </row>
    <row r="802">
      <c r="A802" s="26" t="n"/>
      <c r="B802" s="24" t="n"/>
      <c r="C802" s="40">
        <f>IF(B802="","",IFERROR(INDEX(Mitarbeiter!$B$6:$B$205,MATCH(B802,Mitarbeiter!$A$6:$A$205,0)),"?"))</f>
        <v/>
      </c>
      <c r="D802" s="41" t="n"/>
      <c r="E802" s="42" t="n"/>
      <c r="F802" s="43" t="n"/>
      <c r="G802" s="44">
        <f>IF(OR(B802="",F802=""),"",IFERROR(F802*INDEX(Mitarbeiter!$F$6:$F$205,MATCH(B802,Mitarbeiter!$A$6:$A$205,0)),0))</f>
        <v/>
      </c>
      <c r="H802" s="8">
        <f>IF(B802="","",IF(ISNA(MATCH(B802,Mitarbeiter!$A$6:$A$205,0)),"Pers.-Nr. unbekannt",IF(A802="","Datum fehlt",IF(AND(D802&lt;&gt;Einstellungen!$C$4,D802&lt;&gt;Einstellungen!$C$5),"Objekt fehlt",IF(YEAR(A802)&lt;&gt;Einstellungen!$C$3,"anderes Jahr",IF(A802&lt;INDEX(Mitarbeiter!$C$6:$C$205,MATCH(B802,Mitarbeiter!$A$6:$A$205,0)),"vor Eintritt",IF(AND(INDEX(Mitarbeiter!$D$6:$D$205,MATCH(B802,Mitarbeiter!$A$6:$A$205,0))&lt;&gt;"",A802&gt;INDEX(Mitarbeiter!$D$6:$D$205,MATCH(B802,Mitarbeiter!$A$6:$A$205,0))),"nach Austritt","ok")))))))</f>
        <v/>
      </c>
    </row>
    <row r="803">
      <c r="A803" s="26" t="n"/>
      <c r="B803" s="24" t="n"/>
      <c r="C803" s="40">
        <f>IF(B803="","",IFERROR(INDEX(Mitarbeiter!$B$6:$B$205,MATCH(B803,Mitarbeiter!$A$6:$A$205,0)),"?"))</f>
        <v/>
      </c>
      <c r="D803" s="41" t="n"/>
      <c r="E803" s="42" t="n"/>
      <c r="F803" s="43" t="n"/>
      <c r="G803" s="44">
        <f>IF(OR(B803="",F803=""),"",IFERROR(F803*INDEX(Mitarbeiter!$F$6:$F$205,MATCH(B803,Mitarbeiter!$A$6:$A$205,0)),0))</f>
        <v/>
      </c>
      <c r="H803" s="8">
        <f>IF(B803="","",IF(ISNA(MATCH(B803,Mitarbeiter!$A$6:$A$205,0)),"Pers.-Nr. unbekannt",IF(A803="","Datum fehlt",IF(AND(D803&lt;&gt;Einstellungen!$C$4,D803&lt;&gt;Einstellungen!$C$5),"Objekt fehlt",IF(YEAR(A803)&lt;&gt;Einstellungen!$C$3,"anderes Jahr",IF(A803&lt;INDEX(Mitarbeiter!$C$6:$C$205,MATCH(B803,Mitarbeiter!$A$6:$A$205,0)),"vor Eintritt",IF(AND(INDEX(Mitarbeiter!$D$6:$D$205,MATCH(B803,Mitarbeiter!$A$6:$A$205,0))&lt;&gt;"",A803&gt;INDEX(Mitarbeiter!$D$6:$D$205,MATCH(B803,Mitarbeiter!$A$6:$A$205,0))),"nach Austritt","ok")))))))</f>
        <v/>
      </c>
    </row>
    <row r="804">
      <c r="A804" s="26" t="n"/>
      <c r="B804" s="24" t="n"/>
      <c r="C804" s="40">
        <f>IF(B804="","",IFERROR(INDEX(Mitarbeiter!$B$6:$B$205,MATCH(B804,Mitarbeiter!$A$6:$A$205,0)),"?"))</f>
        <v/>
      </c>
      <c r="D804" s="41" t="n"/>
      <c r="E804" s="42" t="n"/>
      <c r="F804" s="43" t="n"/>
      <c r="G804" s="44">
        <f>IF(OR(B804="",F804=""),"",IFERROR(F804*INDEX(Mitarbeiter!$F$6:$F$205,MATCH(B804,Mitarbeiter!$A$6:$A$205,0)),0))</f>
        <v/>
      </c>
      <c r="H804" s="8">
        <f>IF(B804="","",IF(ISNA(MATCH(B804,Mitarbeiter!$A$6:$A$205,0)),"Pers.-Nr. unbekannt",IF(A804="","Datum fehlt",IF(AND(D804&lt;&gt;Einstellungen!$C$4,D804&lt;&gt;Einstellungen!$C$5),"Objekt fehlt",IF(YEAR(A804)&lt;&gt;Einstellungen!$C$3,"anderes Jahr",IF(A804&lt;INDEX(Mitarbeiter!$C$6:$C$205,MATCH(B804,Mitarbeiter!$A$6:$A$205,0)),"vor Eintritt",IF(AND(INDEX(Mitarbeiter!$D$6:$D$205,MATCH(B804,Mitarbeiter!$A$6:$A$205,0))&lt;&gt;"",A804&gt;INDEX(Mitarbeiter!$D$6:$D$205,MATCH(B804,Mitarbeiter!$A$6:$A$205,0))),"nach Austritt","ok")))))))</f>
        <v/>
      </c>
    </row>
    <row r="805">
      <c r="A805" s="26" t="n"/>
      <c r="B805" s="24" t="n"/>
      <c r="C805" s="40">
        <f>IF(B805="","",IFERROR(INDEX(Mitarbeiter!$B$6:$B$205,MATCH(B805,Mitarbeiter!$A$6:$A$205,0)),"?"))</f>
        <v/>
      </c>
      <c r="D805" s="41" t="n"/>
      <c r="E805" s="42" t="n"/>
      <c r="F805" s="43" t="n"/>
      <c r="G805" s="44">
        <f>IF(OR(B805="",F805=""),"",IFERROR(F805*INDEX(Mitarbeiter!$F$6:$F$205,MATCH(B805,Mitarbeiter!$A$6:$A$205,0)),0))</f>
        <v/>
      </c>
      <c r="H805" s="8">
        <f>IF(B805="","",IF(ISNA(MATCH(B805,Mitarbeiter!$A$6:$A$205,0)),"Pers.-Nr. unbekannt",IF(A805="","Datum fehlt",IF(AND(D805&lt;&gt;Einstellungen!$C$4,D805&lt;&gt;Einstellungen!$C$5),"Objekt fehlt",IF(YEAR(A805)&lt;&gt;Einstellungen!$C$3,"anderes Jahr",IF(A805&lt;INDEX(Mitarbeiter!$C$6:$C$205,MATCH(B805,Mitarbeiter!$A$6:$A$205,0)),"vor Eintritt",IF(AND(INDEX(Mitarbeiter!$D$6:$D$205,MATCH(B805,Mitarbeiter!$A$6:$A$205,0))&lt;&gt;"",A805&gt;INDEX(Mitarbeiter!$D$6:$D$205,MATCH(B805,Mitarbeiter!$A$6:$A$205,0))),"nach Austritt","ok")))))))</f>
        <v/>
      </c>
    </row>
    <row r="806">
      <c r="A806" s="26" t="n"/>
      <c r="B806" s="24" t="n"/>
      <c r="C806" s="40">
        <f>IF(B806="","",IFERROR(INDEX(Mitarbeiter!$B$6:$B$205,MATCH(B806,Mitarbeiter!$A$6:$A$205,0)),"?"))</f>
        <v/>
      </c>
      <c r="D806" s="41" t="n"/>
      <c r="E806" s="42" t="n"/>
      <c r="F806" s="43" t="n"/>
      <c r="G806" s="44">
        <f>IF(OR(B806="",F806=""),"",IFERROR(F806*INDEX(Mitarbeiter!$F$6:$F$205,MATCH(B806,Mitarbeiter!$A$6:$A$205,0)),0))</f>
        <v/>
      </c>
      <c r="H806" s="8">
        <f>IF(B806="","",IF(ISNA(MATCH(B806,Mitarbeiter!$A$6:$A$205,0)),"Pers.-Nr. unbekannt",IF(A806="","Datum fehlt",IF(AND(D806&lt;&gt;Einstellungen!$C$4,D806&lt;&gt;Einstellungen!$C$5),"Objekt fehlt",IF(YEAR(A806)&lt;&gt;Einstellungen!$C$3,"anderes Jahr",IF(A806&lt;INDEX(Mitarbeiter!$C$6:$C$205,MATCH(B806,Mitarbeiter!$A$6:$A$205,0)),"vor Eintritt",IF(AND(INDEX(Mitarbeiter!$D$6:$D$205,MATCH(B806,Mitarbeiter!$A$6:$A$205,0))&lt;&gt;"",A806&gt;INDEX(Mitarbeiter!$D$6:$D$205,MATCH(B806,Mitarbeiter!$A$6:$A$205,0))),"nach Austritt","ok")))))))</f>
        <v/>
      </c>
    </row>
    <row r="807">
      <c r="A807" s="26" t="n"/>
      <c r="B807" s="24" t="n"/>
      <c r="C807" s="40">
        <f>IF(B807="","",IFERROR(INDEX(Mitarbeiter!$B$6:$B$205,MATCH(B807,Mitarbeiter!$A$6:$A$205,0)),"?"))</f>
        <v/>
      </c>
      <c r="D807" s="41" t="n"/>
      <c r="E807" s="42" t="n"/>
      <c r="F807" s="43" t="n"/>
      <c r="G807" s="44">
        <f>IF(OR(B807="",F807=""),"",IFERROR(F807*INDEX(Mitarbeiter!$F$6:$F$205,MATCH(B807,Mitarbeiter!$A$6:$A$205,0)),0))</f>
        <v/>
      </c>
      <c r="H807" s="8">
        <f>IF(B807="","",IF(ISNA(MATCH(B807,Mitarbeiter!$A$6:$A$205,0)),"Pers.-Nr. unbekannt",IF(A807="","Datum fehlt",IF(AND(D807&lt;&gt;Einstellungen!$C$4,D807&lt;&gt;Einstellungen!$C$5),"Objekt fehlt",IF(YEAR(A807)&lt;&gt;Einstellungen!$C$3,"anderes Jahr",IF(A807&lt;INDEX(Mitarbeiter!$C$6:$C$205,MATCH(B807,Mitarbeiter!$A$6:$A$205,0)),"vor Eintritt",IF(AND(INDEX(Mitarbeiter!$D$6:$D$205,MATCH(B807,Mitarbeiter!$A$6:$A$205,0))&lt;&gt;"",A807&gt;INDEX(Mitarbeiter!$D$6:$D$205,MATCH(B807,Mitarbeiter!$A$6:$A$205,0))),"nach Austritt","ok")))))))</f>
        <v/>
      </c>
    </row>
    <row r="808">
      <c r="A808" s="26" t="n"/>
      <c r="B808" s="24" t="n"/>
      <c r="C808" s="40">
        <f>IF(B808="","",IFERROR(INDEX(Mitarbeiter!$B$6:$B$205,MATCH(B808,Mitarbeiter!$A$6:$A$205,0)),"?"))</f>
        <v/>
      </c>
      <c r="D808" s="41" t="n"/>
      <c r="E808" s="42" t="n"/>
      <c r="F808" s="43" t="n"/>
      <c r="G808" s="44">
        <f>IF(OR(B808="",F808=""),"",IFERROR(F808*INDEX(Mitarbeiter!$F$6:$F$205,MATCH(B808,Mitarbeiter!$A$6:$A$205,0)),0))</f>
        <v/>
      </c>
      <c r="H808" s="8">
        <f>IF(B808="","",IF(ISNA(MATCH(B808,Mitarbeiter!$A$6:$A$205,0)),"Pers.-Nr. unbekannt",IF(A808="","Datum fehlt",IF(AND(D808&lt;&gt;Einstellungen!$C$4,D808&lt;&gt;Einstellungen!$C$5),"Objekt fehlt",IF(YEAR(A808)&lt;&gt;Einstellungen!$C$3,"anderes Jahr",IF(A808&lt;INDEX(Mitarbeiter!$C$6:$C$205,MATCH(B808,Mitarbeiter!$A$6:$A$205,0)),"vor Eintritt",IF(AND(INDEX(Mitarbeiter!$D$6:$D$205,MATCH(B808,Mitarbeiter!$A$6:$A$205,0))&lt;&gt;"",A808&gt;INDEX(Mitarbeiter!$D$6:$D$205,MATCH(B808,Mitarbeiter!$A$6:$A$205,0))),"nach Austritt","ok")))))))</f>
        <v/>
      </c>
    </row>
    <row r="809">
      <c r="A809" s="26" t="n"/>
      <c r="B809" s="24" t="n"/>
      <c r="C809" s="40">
        <f>IF(B809="","",IFERROR(INDEX(Mitarbeiter!$B$6:$B$205,MATCH(B809,Mitarbeiter!$A$6:$A$205,0)),"?"))</f>
        <v/>
      </c>
      <c r="D809" s="41" t="n"/>
      <c r="E809" s="42" t="n"/>
      <c r="F809" s="43" t="n"/>
      <c r="G809" s="44">
        <f>IF(OR(B809="",F809=""),"",IFERROR(F809*INDEX(Mitarbeiter!$F$6:$F$205,MATCH(B809,Mitarbeiter!$A$6:$A$205,0)),0))</f>
        <v/>
      </c>
      <c r="H809" s="8">
        <f>IF(B809="","",IF(ISNA(MATCH(B809,Mitarbeiter!$A$6:$A$205,0)),"Pers.-Nr. unbekannt",IF(A809="","Datum fehlt",IF(AND(D809&lt;&gt;Einstellungen!$C$4,D809&lt;&gt;Einstellungen!$C$5),"Objekt fehlt",IF(YEAR(A809)&lt;&gt;Einstellungen!$C$3,"anderes Jahr",IF(A809&lt;INDEX(Mitarbeiter!$C$6:$C$205,MATCH(B809,Mitarbeiter!$A$6:$A$205,0)),"vor Eintritt",IF(AND(INDEX(Mitarbeiter!$D$6:$D$205,MATCH(B809,Mitarbeiter!$A$6:$A$205,0))&lt;&gt;"",A809&gt;INDEX(Mitarbeiter!$D$6:$D$205,MATCH(B809,Mitarbeiter!$A$6:$A$205,0))),"nach Austritt","ok")))))))</f>
        <v/>
      </c>
    </row>
    <row r="810">
      <c r="A810" s="26" t="n"/>
      <c r="B810" s="24" t="n"/>
      <c r="C810" s="40">
        <f>IF(B810="","",IFERROR(INDEX(Mitarbeiter!$B$6:$B$205,MATCH(B810,Mitarbeiter!$A$6:$A$205,0)),"?"))</f>
        <v/>
      </c>
      <c r="D810" s="41" t="n"/>
      <c r="E810" s="42" t="n"/>
      <c r="F810" s="43" t="n"/>
      <c r="G810" s="44">
        <f>IF(OR(B810="",F810=""),"",IFERROR(F810*INDEX(Mitarbeiter!$F$6:$F$205,MATCH(B810,Mitarbeiter!$A$6:$A$205,0)),0))</f>
        <v/>
      </c>
      <c r="H810" s="8">
        <f>IF(B810="","",IF(ISNA(MATCH(B810,Mitarbeiter!$A$6:$A$205,0)),"Pers.-Nr. unbekannt",IF(A810="","Datum fehlt",IF(AND(D810&lt;&gt;Einstellungen!$C$4,D810&lt;&gt;Einstellungen!$C$5),"Objekt fehlt",IF(YEAR(A810)&lt;&gt;Einstellungen!$C$3,"anderes Jahr",IF(A810&lt;INDEX(Mitarbeiter!$C$6:$C$205,MATCH(B810,Mitarbeiter!$A$6:$A$205,0)),"vor Eintritt",IF(AND(INDEX(Mitarbeiter!$D$6:$D$205,MATCH(B810,Mitarbeiter!$A$6:$A$205,0))&lt;&gt;"",A810&gt;INDEX(Mitarbeiter!$D$6:$D$205,MATCH(B810,Mitarbeiter!$A$6:$A$205,0))),"nach Austritt","ok")))))))</f>
        <v/>
      </c>
    </row>
    <row r="811">
      <c r="A811" s="26" t="n"/>
      <c r="B811" s="24" t="n"/>
      <c r="C811" s="40">
        <f>IF(B811="","",IFERROR(INDEX(Mitarbeiter!$B$6:$B$205,MATCH(B811,Mitarbeiter!$A$6:$A$205,0)),"?"))</f>
        <v/>
      </c>
      <c r="D811" s="41" t="n"/>
      <c r="E811" s="42" t="n"/>
      <c r="F811" s="43" t="n"/>
      <c r="G811" s="44">
        <f>IF(OR(B811="",F811=""),"",IFERROR(F811*INDEX(Mitarbeiter!$F$6:$F$205,MATCH(B811,Mitarbeiter!$A$6:$A$205,0)),0))</f>
        <v/>
      </c>
      <c r="H811" s="8">
        <f>IF(B811="","",IF(ISNA(MATCH(B811,Mitarbeiter!$A$6:$A$205,0)),"Pers.-Nr. unbekannt",IF(A811="","Datum fehlt",IF(AND(D811&lt;&gt;Einstellungen!$C$4,D811&lt;&gt;Einstellungen!$C$5),"Objekt fehlt",IF(YEAR(A811)&lt;&gt;Einstellungen!$C$3,"anderes Jahr",IF(A811&lt;INDEX(Mitarbeiter!$C$6:$C$205,MATCH(B811,Mitarbeiter!$A$6:$A$205,0)),"vor Eintritt",IF(AND(INDEX(Mitarbeiter!$D$6:$D$205,MATCH(B811,Mitarbeiter!$A$6:$A$205,0))&lt;&gt;"",A811&gt;INDEX(Mitarbeiter!$D$6:$D$205,MATCH(B811,Mitarbeiter!$A$6:$A$205,0))),"nach Austritt","ok")))))))</f>
        <v/>
      </c>
    </row>
    <row r="812">
      <c r="A812" s="26" t="n"/>
      <c r="B812" s="24" t="n"/>
      <c r="C812" s="40">
        <f>IF(B812="","",IFERROR(INDEX(Mitarbeiter!$B$6:$B$205,MATCH(B812,Mitarbeiter!$A$6:$A$205,0)),"?"))</f>
        <v/>
      </c>
      <c r="D812" s="41" t="n"/>
      <c r="E812" s="42" t="n"/>
      <c r="F812" s="43" t="n"/>
      <c r="G812" s="44">
        <f>IF(OR(B812="",F812=""),"",IFERROR(F812*INDEX(Mitarbeiter!$F$6:$F$205,MATCH(B812,Mitarbeiter!$A$6:$A$205,0)),0))</f>
        <v/>
      </c>
      <c r="H812" s="8">
        <f>IF(B812="","",IF(ISNA(MATCH(B812,Mitarbeiter!$A$6:$A$205,0)),"Pers.-Nr. unbekannt",IF(A812="","Datum fehlt",IF(AND(D812&lt;&gt;Einstellungen!$C$4,D812&lt;&gt;Einstellungen!$C$5),"Objekt fehlt",IF(YEAR(A812)&lt;&gt;Einstellungen!$C$3,"anderes Jahr",IF(A812&lt;INDEX(Mitarbeiter!$C$6:$C$205,MATCH(B812,Mitarbeiter!$A$6:$A$205,0)),"vor Eintritt",IF(AND(INDEX(Mitarbeiter!$D$6:$D$205,MATCH(B812,Mitarbeiter!$A$6:$A$205,0))&lt;&gt;"",A812&gt;INDEX(Mitarbeiter!$D$6:$D$205,MATCH(B812,Mitarbeiter!$A$6:$A$205,0))),"nach Austritt","ok")))))))</f>
        <v/>
      </c>
    </row>
    <row r="813">
      <c r="A813" s="26" t="n"/>
      <c r="B813" s="24" t="n"/>
      <c r="C813" s="40">
        <f>IF(B813="","",IFERROR(INDEX(Mitarbeiter!$B$6:$B$205,MATCH(B813,Mitarbeiter!$A$6:$A$205,0)),"?"))</f>
        <v/>
      </c>
      <c r="D813" s="41" t="n"/>
      <c r="E813" s="42" t="n"/>
      <c r="F813" s="43" t="n"/>
      <c r="G813" s="44">
        <f>IF(OR(B813="",F813=""),"",IFERROR(F813*INDEX(Mitarbeiter!$F$6:$F$205,MATCH(B813,Mitarbeiter!$A$6:$A$205,0)),0))</f>
        <v/>
      </c>
      <c r="H813" s="8">
        <f>IF(B813="","",IF(ISNA(MATCH(B813,Mitarbeiter!$A$6:$A$205,0)),"Pers.-Nr. unbekannt",IF(A813="","Datum fehlt",IF(AND(D813&lt;&gt;Einstellungen!$C$4,D813&lt;&gt;Einstellungen!$C$5),"Objekt fehlt",IF(YEAR(A813)&lt;&gt;Einstellungen!$C$3,"anderes Jahr",IF(A813&lt;INDEX(Mitarbeiter!$C$6:$C$205,MATCH(B813,Mitarbeiter!$A$6:$A$205,0)),"vor Eintritt",IF(AND(INDEX(Mitarbeiter!$D$6:$D$205,MATCH(B813,Mitarbeiter!$A$6:$A$205,0))&lt;&gt;"",A813&gt;INDEX(Mitarbeiter!$D$6:$D$205,MATCH(B813,Mitarbeiter!$A$6:$A$205,0))),"nach Austritt","ok")))))))</f>
        <v/>
      </c>
    </row>
    <row r="814">
      <c r="A814" s="26" t="n"/>
      <c r="B814" s="24" t="n"/>
      <c r="C814" s="40">
        <f>IF(B814="","",IFERROR(INDEX(Mitarbeiter!$B$6:$B$205,MATCH(B814,Mitarbeiter!$A$6:$A$205,0)),"?"))</f>
        <v/>
      </c>
      <c r="D814" s="41" t="n"/>
      <c r="E814" s="42" t="n"/>
      <c r="F814" s="43" t="n"/>
      <c r="G814" s="44">
        <f>IF(OR(B814="",F814=""),"",IFERROR(F814*INDEX(Mitarbeiter!$F$6:$F$205,MATCH(B814,Mitarbeiter!$A$6:$A$205,0)),0))</f>
        <v/>
      </c>
      <c r="H814" s="8">
        <f>IF(B814="","",IF(ISNA(MATCH(B814,Mitarbeiter!$A$6:$A$205,0)),"Pers.-Nr. unbekannt",IF(A814="","Datum fehlt",IF(AND(D814&lt;&gt;Einstellungen!$C$4,D814&lt;&gt;Einstellungen!$C$5),"Objekt fehlt",IF(YEAR(A814)&lt;&gt;Einstellungen!$C$3,"anderes Jahr",IF(A814&lt;INDEX(Mitarbeiter!$C$6:$C$205,MATCH(B814,Mitarbeiter!$A$6:$A$205,0)),"vor Eintritt",IF(AND(INDEX(Mitarbeiter!$D$6:$D$205,MATCH(B814,Mitarbeiter!$A$6:$A$205,0))&lt;&gt;"",A814&gt;INDEX(Mitarbeiter!$D$6:$D$205,MATCH(B814,Mitarbeiter!$A$6:$A$205,0))),"nach Austritt","ok")))))))</f>
        <v/>
      </c>
    </row>
    <row r="815">
      <c r="A815" s="26" t="n"/>
      <c r="B815" s="24" t="n"/>
      <c r="C815" s="40">
        <f>IF(B815="","",IFERROR(INDEX(Mitarbeiter!$B$6:$B$205,MATCH(B815,Mitarbeiter!$A$6:$A$205,0)),"?"))</f>
        <v/>
      </c>
      <c r="D815" s="41" t="n"/>
      <c r="E815" s="42" t="n"/>
      <c r="F815" s="43" t="n"/>
      <c r="G815" s="44">
        <f>IF(OR(B815="",F815=""),"",IFERROR(F815*INDEX(Mitarbeiter!$F$6:$F$205,MATCH(B815,Mitarbeiter!$A$6:$A$205,0)),0))</f>
        <v/>
      </c>
      <c r="H815" s="8">
        <f>IF(B815="","",IF(ISNA(MATCH(B815,Mitarbeiter!$A$6:$A$205,0)),"Pers.-Nr. unbekannt",IF(A815="","Datum fehlt",IF(AND(D815&lt;&gt;Einstellungen!$C$4,D815&lt;&gt;Einstellungen!$C$5),"Objekt fehlt",IF(YEAR(A815)&lt;&gt;Einstellungen!$C$3,"anderes Jahr",IF(A815&lt;INDEX(Mitarbeiter!$C$6:$C$205,MATCH(B815,Mitarbeiter!$A$6:$A$205,0)),"vor Eintritt",IF(AND(INDEX(Mitarbeiter!$D$6:$D$205,MATCH(B815,Mitarbeiter!$A$6:$A$205,0))&lt;&gt;"",A815&gt;INDEX(Mitarbeiter!$D$6:$D$205,MATCH(B815,Mitarbeiter!$A$6:$A$205,0))),"nach Austritt","ok")))))))</f>
        <v/>
      </c>
    </row>
    <row r="816">
      <c r="A816" s="26" t="n"/>
      <c r="B816" s="24" t="n"/>
      <c r="C816" s="40">
        <f>IF(B816="","",IFERROR(INDEX(Mitarbeiter!$B$6:$B$205,MATCH(B816,Mitarbeiter!$A$6:$A$205,0)),"?"))</f>
        <v/>
      </c>
      <c r="D816" s="41" t="n"/>
      <c r="E816" s="42" t="n"/>
      <c r="F816" s="43" t="n"/>
      <c r="G816" s="44">
        <f>IF(OR(B816="",F816=""),"",IFERROR(F816*INDEX(Mitarbeiter!$F$6:$F$205,MATCH(B816,Mitarbeiter!$A$6:$A$205,0)),0))</f>
        <v/>
      </c>
      <c r="H816" s="8">
        <f>IF(B816="","",IF(ISNA(MATCH(B816,Mitarbeiter!$A$6:$A$205,0)),"Pers.-Nr. unbekannt",IF(A816="","Datum fehlt",IF(AND(D816&lt;&gt;Einstellungen!$C$4,D816&lt;&gt;Einstellungen!$C$5),"Objekt fehlt",IF(YEAR(A816)&lt;&gt;Einstellungen!$C$3,"anderes Jahr",IF(A816&lt;INDEX(Mitarbeiter!$C$6:$C$205,MATCH(B816,Mitarbeiter!$A$6:$A$205,0)),"vor Eintritt",IF(AND(INDEX(Mitarbeiter!$D$6:$D$205,MATCH(B816,Mitarbeiter!$A$6:$A$205,0))&lt;&gt;"",A816&gt;INDEX(Mitarbeiter!$D$6:$D$205,MATCH(B816,Mitarbeiter!$A$6:$A$205,0))),"nach Austritt","ok")))))))</f>
        <v/>
      </c>
    </row>
    <row r="817">
      <c r="A817" s="26" t="n"/>
      <c r="B817" s="24" t="n"/>
      <c r="C817" s="40">
        <f>IF(B817="","",IFERROR(INDEX(Mitarbeiter!$B$6:$B$205,MATCH(B817,Mitarbeiter!$A$6:$A$205,0)),"?"))</f>
        <v/>
      </c>
      <c r="D817" s="41" t="n"/>
      <c r="E817" s="42" t="n"/>
      <c r="F817" s="43" t="n"/>
      <c r="G817" s="44">
        <f>IF(OR(B817="",F817=""),"",IFERROR(F817*INDEX(Mitarbeiter!$F$6:$F$205,MATCH(B817,Mitarbeiter!$A$6:$A$205,0)),0))</f>
        <v/>
      </c>
      <c r="H817" s="8">
        <f>IF(B817="","",IF(ISNA(MATCH(B817,Mitarbeiter!$A$6:$A$205,0)),"Pers.-Nr. unbekannt",IF(A817="","Datum fehlt",IF(AND(D817&lt;&gt;Einstellungen!$C$4,D817&lt;&gt;Einstellungen!$C$5),"Objekt fehlt",IF(YEAR(A817)&lt;&gt;Einstellungen!$C$3,"anderes Jahr",IF(A817&lt;INDEX(Mitarbeiter!$C$6:$C$205,MATCH(B817,Mitarbeiter!$A$6:$A$205,0)),"vor Eintritt",IF(AND(INDEX(Mitarbeiter!$D$6:$D$205,MATCH(B817,Mitarbeiter!$A$6:$A$205,0))&lt;&gt;"",A817&gt;INDEX(Mitarbeiter!$D$6:$D$205,MATCH(B817,Mitarbeiter!$A$6:$A$205,0))),"nach Austritt","ok")))))))</f>
        <v/>
      </c>
    </row>
    <row r="818">
      <c r="A818" s="26" t="n"/>
      <c r="B818" s="24" t="n"/>
      <c r="C818" s="40">
        <f>IF(B818="","",IFERROR(INDEX(Mitarbeiter!$B$6:$B$205,MATCH(B818,Mitarbeiter!$A$6:$A$205,0)),"?"))</f>
        <v/>
      </c>
      <c r="D818" s="41" t="n"/>
      <c r="E818" s="42" t="n"/>
      <c r="F818" s="43" t="n"/>
      <c r="G818" s="44">
        <f>IF(OR(B818="",F818=""),"",IFERROR(F818*INDEX(Mitarbeiter!$F$6:$F$205,MATCH(B818,Mitarbeiter!$A$6:$A$205,0)),0))</f>
        <v/>
      </c>
      <c r="H818" s="8">
        <f>IF(B818="","",IF(ISNA(MATCH(B818,Mitarbeiter!$A$6:$A$205,0)),"Pers.-Nr. unbekannt",IF(A818="","Datum fehlt",IF(AND(D818&lt;&gt;Einstellungen!$C$4,D818&lt;&gt;Einstellungen!$C$5),"Objekt fehlt",IF(YEAR(A818)&lt;&gt;Einstellungen!$C$3,"anderes Jahr",IF(A818&lt;INDEX(Mitarbeiter!$C$6:$C$205,MATCH(B818,Mitarbeiter!$A$6:$A$205,0)),"vor Eintritt",IF(AND(INDEX(Mitarbeiter!$D$6:$D$205,MATCH(B818,Mitarbeiter!$A$6:$A$205,0))&lt;&gt;"",A818&gt;INDEX(Mitarbeiter!$D$6:$D$205,MATCH(B818,Mitarbeiter!$A$6:$A$205,0))),"nach Austritt","ok")))))))</f>
        <v/>
      </c>
    </row>
    <row r="819">
      <c r="A819" s="26" t="n"/>
      <c r="B819" s="24" t="n"/>
      <c r="C819" s="40">
        <f>IF(B819="","",IFERROR(INDEX(Mitarbeiter!$B$6:$B$205,MATCH(B819,Mitarbeiter!$A$6:$A$205,0)),"?"))</f>
        <v/>
      </c>
      <c r="D819" s="41" t="n"/>
      <c r="E819" s="42" t="n"/>
      <c r="F819" s="43" t="n"/>
      <c r="G819" s="44">
        <f>IF(OR(B819="",F819=""),"",IFERROR(F819*INDEX(Mitarbeiter!$F$6:$F$205,MATCH(B819,Mitarbeiter!$A$6:$A$205,0)),0))</f>
        <v/>
      </c>
      <c r="H819" s="8">
        <f>IF(B819="","",IF(ISNA(MATCH(B819,Mitarbeiter!$A$6:$A$205,0)),"Pers.-Nr. unbekannt",IF(A819="","Datum fehlt",IF(AND(D819&lt;&gt;Einstellungen!$C$4,D819&lt;&gt;Einstellungen!$C$5),"Objekt fehlt",IF(YEAR(A819)&lt;&gt;Einstellungen!$C$3,"anderes Jahr",IF(A819&lt;INDEX(Mitarbeiter!$C$6:$C$205,MATCH(B819,Mitarbeiter!$A$6:$A$205,0)),"vor Eintritt",IF(AND(INDEX(Mitarbeiter!$D$6:$D$205,MATCH(B819,Mitarbeiter!$A$6:$A$205,0))&lt;&gt;"",A819&gt;INDEX(Mitarbeiter!$D$6:$D$205,MATCH(B819,Mitarbeiter!$A$6:$A$205,0))),"nach Austritt","ok")))))))</f>
        <v/>
      </c>
    </row>
    <row r="820">
      <c r="A820" s="26" t="n"/>
      <c r="B820" s="24" t="n"/>
      <c r="C820" s="40">
        <f>IF(B820="","",IFERROR(INDEX(Mitarbeiter!$B$6:$B$205,MATCH(B820,Mitarbeiter!$A$6:$A$205,0)),"?"))</f>
        <v/>
      </c>
      <c r="D820" s="41" t="n"/>
      <c r="E820" s="42" t="n"/>
      <c r="F820" s="43" t="n"/>
      <c r="G820" s="44">
        <f>IF(OR(B820="",F820=""),"",IFERROR(F820*INDEX(Mitarbeiter!$F$6:$F$205,MATCH(B820,Mitarbeiter!$A$6:$A$205,0)),0))</f>
        <v/>
      </c>
      <c r="H820" s="8">
        <f>IF(B820="","",IF(ISNA(MATCH(B820,Mitarbeiter!$A$6:$A$205,0)),"Pers.-Nr. unbekannt",IF(A820="","Datum fehlt",IF(AND(D820&lt;&gt;Einstellungen!$C$4,D820&lt;&gt;Einstellungen!$C$5),"Objekt fehlt",IF(YEAR(A820)&lt;&gt;Einstellungen!$C$3,"anderes Jahr",IF(A820&lt;INDEX(Mitarbeiter!$C$6:$C$205,MATCH(B820,Mitarbeiter!$A$6:$A$205,0)),"vor Eintritt",IF(AND(INDEX(Mitarbeiter!$D$6:$D$205,MATCH(B820,Mitarbeiter!$A$6:$A$205,0))&lt;&gt;"",A820&gt;INDEX(Mitarbeiter!$D$6:$D$205,MATCH(B820,Mitarbeiter!$A$6:$A$205,0))),"nach Austritt","ok")))))))</f>
        <v/>
      </c>
    </row>
    <row r="821">
      <c r="A821" s="26" t="n"/>
      <c r="B821" s="24" t="n"/>
      <c r="C821" s="40">
        <f>IF(B821="","",IFERROR(INDEX(Mitarbeiter!$B$6:$B$205,MATCH(B821,Mitarbeiter!$A$6:$A$205,0)),"?"))</f>
        <v/>
      </c>
      <c r="D821" s="41" t="n"/>
      <c r="E821" s="42" t="n"/>
      <c r="F821" s="43" t="n"/>
      <c r="G821" s="44">
        <f>IF(OR(B821="",F821=""),"",IFERROR(F821*INDEX(Mitarbeiter!$F$6:$F$205,MATCH(B821,Mitarbeiter!$A$6:$A$205,0)),0))</f>
        <v/>
      </c>
      <c r="H821" s="8">
        <f>IF(B821="","",IF(ISNA(MATCH(B821,Mitarbeiter!$A$6:$A$205,0)),"Pers.-Nr. unbekannt",IF(A821="","Datum fehlt",IF(AND(D821&lt;&gt;Einstellungen!$C$4,D821&lt;&gt;Einstellungen!$C$5),"Objekt fehlt",IF(YEAR(A821)&lt;&gt;Einstellungen!$C$3,"anderes Jahr",IF(A821&lt;INDEX(Mitarbeiter!$C$6:$C$205,MATCH(B821,Mitarbeiter!$A$6:$A$205,0)),"vor Eintritt",IF(AND(INDEX(Mitarbeiter!$D$6:$D$205,MATCH(B821,Mitarbeiter!$A$6:$A$205,0))&lt;&gt;"",A821&gt;INDEX(Mitarbeiter!$D$6:$D$205,MATCH(B821,Mitarbeiter!$A$6:$A$205,0))),"nach Austritt","ok")))))))</f>
        <v/>
      </c>
    </row>
    <row r="822">
      <c r="A822" s="26" t="n"/>
      <c r="B822" s="24" t="n"/>
      <c r="C822" s="40">
        <f>IF(B822="","",IFERROR(INDEX(Mitarbeiter!$B$6:$B$205,MATCH(B822,Mitarbeiter!$A$6:$A$205,0)),"?"))</f>
        <v/>
      </c>
      <c r="D822" s="41" t="n"/>
      <c r="E822" s="42" t="n"/>
      <c r="F822" s="43" t="n"/>
      <c r="G822" s="44">
        <f>IF(OR(B822="",F822=""),"",IFERROR(F822*INDEX(Mitarbeiter!$F$6:$F$205,MATCH(B822,Mitarbeiter!$A$6:$A$205,0)),0))</f>
        <v/>
      </c>
      <c r="H822" s="8">
        <f>IF(B822="","",IF(ISNA(MATCH(B822,Mitarbeiter!$A$6:$A$205,0)),"Pers.-Nr. unbekannt",IF(A822="","Datum fehlt",IF(AND(D822&lt;&gt;Einstellungen!$C$4,D822&lt;&gt;Einstellungen!$C$5),"Objekt fehlt",IF(YEAR(A822)&lt;&gt;Einstellungen!$C$3,"anderes Jahr",IF(A822&lt;INDEX(Mitarbeiter!$C$6:$C$205,MATCH(B822,Mitarbeiter!$A$6:$A$205,0)),"vor Eintritt",IF(AND(INDEX(Mitarbeiter!$D$6:$D$205,MATCH(B822,Mitarbeiter!$A$6:$A$205,0))&lt;&gt;"",A822&gt;INDEX(Mitarbeiter!$D$6:$D$205,MATCH(B822,Mitarbeiter!$A$6:$A$205,0))),"nach Austritt","ok")))))))</f>
        <v/>
      </c>
    </row>
    <row r="823">
      <c r="A823" s="26" t="n"/>
      <c r="B823" s="24" t="n"/>
      <c r="C823" s="40">
        <f>IF(B823="","",IFERROR(INDEX(Mitarbeiter!$B$6:$B$205,MATCH(B823,Mitarbeiter!$A$6:$A$205,0)),"?"))</f>
        <v/>
      </c>
      <c r="D823" s="41" t="n"/>
      <c r="E823" s="42" t="n"/>
      <c r="F823" s="43" t="n"/>
      <c r="G823" s="44">
        <f>IF(OR(B823="",F823=""),"",IFERROR(F823*INDEX(Mitarbeiter!$F$6:$F$205,MATCH(B823,Mitarbeiter!$A$6:$A$205,0)),0))</f>
        <v/>
      </c>
      <c r="H823" s="8">
        <f>IF(B823="","",IF(ISNA(MATCH(B823,Mitarbeiter!$A$6:$A$205,0)),"Pers.-Nr. unbekannt",IF(A823="","Datum fehlt",IF(AND(D823&lt;&gt;Einstellungen!$C$4,D823&lt;&gt;Einstellungen!$C$5),"Objekt fehlt",IF(YEAR(A823)&lt;&gt;Einstellungen!$C$3,"anderes Jahr",IF(A823&lt;INDEX(Mitarbeiter!$C$6:$C$205,MATCH(B823,Mitarbeiter!$A$6:$A$205,0)),"vor Eintritt",IF(AND(INDEX(Mitarbeiter!$D$6:$D$205,MATCH(B823,Mitarbeiter!$A$6:$A$205,0))&lt;&gt;"",A823&gt;INDEX(Mitarbeiter!$D$6:$D$205,MATCH(B823,Mitarbeiter!$A$6:$A$205,0))),"nach Austritt","ok")))))))</f>
        <v/>
      </c>
    </row>
    <row r="824">
      <c r="A824" s="26" t="n"/>
      <c r="B824" s="24" t="n"/>
      <c r="C824" s="40">
        <f>IF(B824="","",IFERROR(INDEX(Mitarbeiter!$B$6:$B$205,MATCH(B824,Mitarbeiter!$A$6:$A$205,0)),"?"))</f>
        <v/>
      </c>
      <c r="D824" s="41" t="n"/>
      <c r="E824" s="42" t="n"/>
      <c r="F824" s="43" t="n"/>
      <c r="G824" s="44">
        <f>IF(OR(B824="",F824=""),"",IFERROR(F824*INDEX(Mitarbeiter!$F$6:$F$205,MATCH(B824,Mitarbeiter!$A$6:$A$205,0)),0))</f>
        <v/>
      </c>
      <c r="H824" s="8">
        <f>IF(B824="","",IF(ISNA(MATCH(B824,Mitarbeiter!$A$6:$A$205,0)),"Pers.-Nr. unbekannt",IF(A824="","Datum fehlt",IF(AND(D824&lt;&gt;Einstellungen!$C$4,D824&lt;&gt;Einstellungen!$C$5),"Objekt fehlt",IF(YEAR(A824)&lt;&gt;Einstellungen!$C$3,"anderes Jahr",IF(A824&lt;INDEX(Mitarbeiter!$C$6:$C$205,MATCH(B824,Mitarbeiter!$A$6:$A$205,0)),"vor Eintritt",IF(AND(INDEX(Mitarbeiter!$D$6:$D$205,MATCH(B824,Mitarbeiter!$A$6:$A$205,0))&lt;&gt;"",A824&gt;INDEX(Mitarbeiter!$D$6:$D$205,MATCH(B824,Mitarbeiter!$A$6:$A$205,0))),"nach Austritt","ok")))))))</f>
        <v/>
      </c>
    </row>
    <row r="825">
      <c r="A825" s="26" t="n"/>
      <c r="B825" s="24" t="n"/>
      <c r="C825" s="40">
        <f>IF(B825="","",IFERROR(INDEX(Mitarbeiter!$B$6:$B$205,MATCH(B825,Mitarbeiter!$A$6:$A$205,0)),"?"))</f>
        <v/>
      </c>
      <c r="D825" s="41" t="n"/>
      <c r="E825" s="42" t="n"/>
      <c r="F825" s="43" t="n"/>
      <c r="G825" s="44">
        <f>IF(OR(B825="",F825=""),"",IFERROR(F825*INDEX(Mitarbeiter!$F$6:$F$205,MATCH(B825,Mitarbeiter!$A$6:$A$205,0)),0))</f>
        <v/>
      </c>
      <c r="H825" s="8">
        <f>IF(B825="","",IF(ISNA(MATCH(B825,Mitarbeiter!$A$6:$A$205,0)),"Pers.-Nr. unbekannt",IF(A825="","Datum fehlt",IF(AND(D825&lt;&gt;Einstellungen!$C$4,D825&lt;&gt;Einstellungen!$C$5),"Objekt fehlt",IF(YEAR(A825)&lt;&gt;Einstellungen!$C$3,"anderes Jahr",IF(A825&lt;INDEX(Mitarbeiter!$C$6:$C$205,MATCH(B825,Mitarbeiter!$A$6:$A$205,0)),"vor Eintritt",IF(AND(INDEX(Mitarbeiter!$D$6:$D$205,MATCH(B825,Mitarbeiter!$A$6:$A$205,0))&lt;&gt;"",A825&gt;INDEX(Mitarbeiter!$D$6:$D$205,MATCH(B825,Mitarbeiter!$A$6:$A$205,0))),"nach Austritt","ok")))))))</f>
        <v/>
      </c>
    </row>
    <row r="826">
      <c r="A826" s="26" t="n"/>
      <c r="B826" s="24" t="n"/>
      <c r="C826" s="40">
        <f>IF(B826="","",IFERROR(INDEX(Mitarbeiter!$B$6:$B$205,MATCH(B826,Mitarbeiter!$A$6:$A$205,0)),"?"))</f>
        <v/>
      </c>
      <c r="D826" s="41" t="n"/>
      <c r="E826" s="42" t="n"/>
      <c r="F826" s="43" t="n"/>
      <c r="G826" s="44">
        <f>IF(OR(B826="",F826=""),"",IFERROR(F826*INDEX(Mitarbeiter!$F$6:$F$205,MATCH(B826,Mitarbeiter!$A$6:$A$205,0)),0))</f>
        <v/>
      </c>
      <c r="H826" s="8">
        <f>IF(B826="","",IF(ISNA(MATCH(B826,Mitarbeiter!$A$6:$A$205,0)),"Pers.-Nr. unbekannt",IF(A826="","Datum fehlt",IF(AND(D826&lt;&gt;Einstellungen!$C$4,D826&lt;&gt;Einstellungen!$C$5),"Objekt fehlt",IF(YEAR(A826)&lt;&gt;Einstellungen!$C$3,"anderes Jahr",IF(A826&lt;INDEX(Mitarbeiter!$C$6:$C$205,MATCH(B826,Mitarbeiter!$A$6:$A$205,0)),"vor Eintritt",IF(AND(INDEX(Mitarbeiter!$D$6:$D$205,MATCH(B826,Mitarbeiter!$A$6:$A$205,0))&lt;&gt;"",A826&gt;INDEX(Mitarbeiter!$D$6:$D$205,MATCH(B826,Mitarbeiter!$A$6:$A$205,0))),"nach Austritt","ok")))))))</f>
        <v/>
      </c>
    </row>
    <row r="827">
      <c r="A827" s="26" t="n"/>
      <c r="B827" s="24" t="n"/>
      <c r="C827" s="40">
        <f>IF(B827="","",IFERROR(INDEX(Mitarbeiter!$B$6:$B$205,MATCH(B827,Mitarbeiter!$A$6:$A$205,0)),"?"))</f>
        <v/>
      </c>
      <c r="D827" s="41" t="n"/>
      <c r="E827" s="42" t="n"/>
      <c r="F827" s="43" t="n"/>
      <c r="G827" s="44">
        <f>IF(OR(B827="",F827=""),"",IFERROR(F827*INDEX(Mitarbeiter!$F$6:$F$205,MATCH(B827,Mitarbeiter!$A$6:$A$205,0)),0))</f>
        <v/>
      </c>
      <c r="H827" s="8">
        <f>IF(B827="","",IF(ISNA(MATCH(B827,Mitarbeiter!$A$6:$A$205,0)),"Pers.-Nr. unbekannt",IF(A827="","Datum fehlt",IF(AND(D827&lt;&gt;Einstellungen!$C$4,D827&lt;&gt;Einstellungen!$C$5),"Objekt fehlt",IF(YEAR(A827)&lt;&gt;Einstellungen!$C$3,"anderes Jahr",IF(A827&lt;INDEX(Mitarbeiter!$C$6:$C$205,MATCH(B827,Mitarbeiter!$A$6:$A$205,0)),"vor Eintritt",IF(AND(INDEX(Mitarbeiter!$D$6:$D$205,MATCH(B827,Mitarbeiter!$A$6:$A$205,0))&lt;&gt;"",A827&gt;INDEX(Mitarbeiter!$D$6:$D$205,MATCH(B827,Mitarbeiter!$A$6:$A$205,0))),"nach Austritt","ok")))))))</f>
        <v/>
      </c>
    </row>
    <row r="828">
      <c r="A828" s="26" t="n"/>
      <c r="B828" s="24" t="n"/>
      <c r="C828" s="40">
        <f>IF(B828="","",IFERROR(INDEX(Mitarbeiter!$B$6:$B$205,MATCH(B828,Mitarbeiter!$A$6:$A$205,0)),"?"))</f>
        <v/>
      </c>
      <c r="D828" s="41" t="n"/>
      <c r="E828" s="42" t="n"/>
      <c r="F828" s="43" t="n"/>
      <c r="G828" s="44">
        <f>IF(OR(B828="",F828=""),"",IFERROR(F828*INDEX(Mitarbeiter!$F$6:$F$205,MATCH(B828,Mitarbeiter!$A$6:$A$205,0)),0))</f>
        <v/>
      </c>
      <c r="H828" s="8">
        <f>IF(B828="","",IF(ISNA(MATCH(B828,Mitarbeiter!$A$6:$A$205,0)),"Pers.-Nr. unbekannt",IF(A828="","Datum fehlt",IF(AND(D828&lt;&gt;Einstellungen!$C$4,D828&lt;&gt;Einstellungen!$C$5),"Objekt fehlt",IF(YEAR(A828)&lt;&gt;Einstellungen!$C$3,"anderes Jahr",IF(A828&lt;INDEX(Mitarbeiter!$C$6:$C$205,MATCH(B828,Mitarbeiter!$A$6:$A$205,0)),"vor Eintritt",IF(AND(INDEX(Mitarbeiter!$D$6:$D$205,MATCH(B828,Mitarbeiter!$A$6:$A$205,0))&lt;&gt;"",A828&gt;INDEX(Mitarbeiter!$D$6:$D$205,MATCH(B828,Mitarbeiter!$A$6:$A$205,0))),"nach Austritt","ok")))))))</f>
        <v/>
      </c>
    </row>
    <row r="829">
      <c r="A829" s="26" t="n"/>
      <c r="B829" s="24" t="n"/>
      <c r="C829" s="40">
        <f>IF(B829="","",IFERROR(INDEX(Mitarbeiter!$B$6:$B$205,MATCH(B829,Mitarbeiter!$A$6:$A$205,0)),"?"))</f>
        <v/>
      </c>
      <c r="D829" s="41" t="n"/>
      <c r="E829" s="42" t="n"/>
      <c r="F829" s="43" t="n"/>
      <c r="G829" s="44">
        <f>IF(OR(B829="",F829=""),"",IFERROR(F829*INDEX(Mitarbeiter!$F$6:$F$205,MATCH(B829,Mitarbeiter!$A$6:$A$205,0)),0))</f>
        <v/>
      </c>
      <c r="H829" s="8">
        <f>IF(B829="","",IF(ISNA(MATCH(B829,Mitarbeiter!$A$6:$A$205,0)),"Pers.-Nr. unbekannt",IF(A829="","Datum fehlt",IF(AND(D829&lt;&gt;Einstellungen!$C$4,D829&lt;&gt;Einstellungen!$C$5),"Objekt fehlt",IF(YEAR(A829)&lt;&gt;Einstellungen!$C$3,"anderes Jahr",IF(A829&lt;INDEX(Mitarbeiter!$C$6:$C$205,MATCH(B829,Mitarbeiter!$A$6:$A$205,0)),"vor Eintritt",IF(AND(INDEX(Mitarbeiter!$D$6:$D$205,MATCH(B829,Mitarbeiter!$A$6:$A$205,0))&lt;&gt;"",A829&gt;INDEX(Mitarbeiter!$D$6:$D$205,MATCH(B829,Mitarbeiter!$A$6:$A$205,0))),"nach Austritt","ok")))))))</f>
        <v/>
      </c>
    </row>
    <row r="830">
      <c r="A830" s="26" t="n"/>
      <c r="B830" s="24" t="n"/>
      <c r="C830" s="40">
        <f>IF(B830="","",IFERROR(INDEX(Mitarbeiter!$B$6:$B$205,MATCH(B830,Mitarbeiter!$A$6:$A$205,0)),"?"))</f>
        <v/>
      </c>
      <c r="D830" s="41" t="n"/>
      <c r="E830" s="42" t="n"/>
      <c r="F830" s="43" t="n"/>
      <c r="G830" s="44">
        <f>IF(OR(B830="",F830=""),"",IFERROR(F830*INDEX(Mitarbeiter!$F$6:$F$205,MATCH(B830,Mitarbeiter!$A$6:$A$205,0)),0))</f>
        <v/>
      </c>
      <c r="H830" s="8">
        <f>IF(B830="","",IF(ISNA(MATCH(B830,Mitarbeiter!$A$6:$A$205,0)),"Pers.-Nr. unbekannt",IF(A830="","Datum fehlt",IF(AND(D830&lt;&gt;Einstellungen!$C$4,D830&lt;&gt;Einstellungen!$C$5),"Objekt fehlt",IF(YEAR(A830)&lt;&gt;Einstellungen!$C$3,"anderes Jahr",IF(A830&lt;INDEX(Mitarbeiter!$C$6:$C$205,MATCH(B830,Mitarbeiter!$A$6:$A$205,0)),"vor Eintritt",IF(AND(INDEX(Mitarbeiter!$D$6:$D$205,MATCH(B830,Mitarbeiter!$A$6:$A$205,0))&lt;&gt;"",A830&gt;INDEX(Mitarbeiter!$D$6:$D$205,MATCH(B830,Mitarbeiter!$A$6:$A$205,0))),"nach Austritt","ok")))))))</f>
        <v/>
      </c>
    </row>
    <row r="831">
      <c r="A831" s="26" t="n"/>
      <c r="B831" s="24" t="n"/>
      <c r="C831" s="40">
        <f>IF(B831="","",IFERROR(INDEX(Mitarbeiter!$B$6:$B$205,MATCH(B831,Mitarbeiter!$A$6:$A$205,0)),"?"))</f>
        <v/>
      </c>
      <c r="D831" s="41" t="n"/>
      <c r="E831" s="42" t="n"/>
      <c r="F831" s="43" t="n"/>
      <c r="G831" s="44">
        <f>IF(OR(B831="",F831=""),"",IFERROR(F831*INDEX(Mitarbeiter!$F$6:$F$205,MATCH(B831,Mitarbeiter!$A$6:$A$205,0)),0))</f>
        <v/>
      </c>
      <c r="H831" s="8">
        <f>IF(B831="","",IF(ISNA(MATCH(B831,Mitarbeiter!$A$6:$A$205,0)),"Pers.-Nr. unbekannt",IF(A831="","Datum fehlt",IF(AND(D831&lt;&gt;Einstellungen!$C$4,D831&lt;&gt;Einstellungen!$C$5),"Objekt fehlt",IF(YEAR(A831)&lt;&gt;Einstellungen!$C$3,"anderes Jahr",IF(A831&lt;INDEX(Mitarbeiter!$C$6:$C$205,MATCH(B831,Mitarbeiter!$A$6:$A$205,0)),"vor Eintritt",IF(AND(INDEX(Mitarbeiter!$D$6:$D$205,MATCH(B831,Mitarbeiter!$A$6:$A$205,0))&lt;&gt;"",A831&gt;INDEX(Mitarbeiter!$D$6:$D$205,MATCH(B831,Mitarbeiter!$A$6:$A$205,0))),"nach Austritt","ok")))))))</f>
        <v/>
      </c>
    </row>
    <row r="832">
      <c r="A832" s="26" t="n"/>
      <c r="B832" s="24" t="n"/>
      <c r="C832" s="40">
        <f>IF(B832="","",IFERROR(INDEX(Mitarbeiter!$B$6:$B$205,MATCH(B832,Mitarbeiter!$A$6:$A$205,0)),"?"))</f>
        <v/>
      </c>
      <c r="D832" s="41" t="n"/>
      <c r="E832" s="42" t="n"/>
      <c r="F832" s="43" t="n"/>
      <c r="G832" s="44">
        <f>IF(OR(B832="",F832=""),"",IFERROR(F832*INDEX(Mitarbeiter!$F$6:$F$205,MATCH(B832,Mitarbeiter!$A$6:$A$205,0)),0))</f>
        <v/>
      </c>
      <c r="H832" s="8">
        <f>IF(B832="","",IF(ISNA(MATCH(B832,Mitarbeiter!$A$6:$A$205,0)),"Pers.-Nr. unbekannt",IF(A832="","Datum fehlt",IF(AND(D832&lt;&gt;Einstellungen!$C$4,D832&lt;&gt;Einstellungen!$C$5),"Objekt fehlt",IF(YEAR(A832)&lt;&gt;Einstellungen!$C$3,"anderes Jahr",IF(A832&lt;INDEX(Mitarbeiter!$C$6:$C$205,MATCH(B832,Mitarbeiter!$A$6:$A$205,0)),"vor Eintritt",IF(AND(INDEX(Mitarbeiter!$D$6:$D$205,MATCH(B832,Mitarbeiter!$A$6:$A$205,0))&lt;&gt;"",A832&gt;INDEX(Mitarbeiter!$D$6:$D$205,MATCH(B832,Mitarbeiter!$A$6:$A$205,0))),"nach Austritt","ok")))))))</f>
        <v/>
      </c>
    </row>
    <row r="833">
      <c r="A833" s="26" t="n"/>
      <c r="B833" s="24" t="n"/>
      <c r="C833" s="40">
        <f>IF(B833="","",IFERROR(INDEX(Mitarbeiter!$B$6:$B$205,MATCH(B833,Mitarbeiter!$A$6:$A$205,0)),"?"))</f>
        <v/>
      </c>
      <c r="D833" s="41" t="n"/>
      <c r="E833" s="42" t="n"/>
      <c r="F833" s="43" t="n"/>
      <c r="G833" s="44">
        <f>IF(OR(B833="",F833=""),"",IFERROR(F833*INDEX(Mitarbeiter!$F$6:$F$205,MATCH(B833,Mitarbeiter!$A$6:$A$205,0)),0))</f>
        <v/>
      </c>
      <c r="H833" s="8">
        <f>IF(B833="","",IF(ISNA(MATCH(B833,Mitarbeiter!$A$6:$A$205,0)),"Pers.-Nr. unbekannt",IF(A833="","Datum fehlt",IF(AND(D833&lt;&gt;Einstellungen!$C$4,D833&lt;&gt;Einstellungen!$C$5),"Objekt fehlt",IF(YEAR(A833)&lt;&gt;Einstellungen!$C$3,"anderes Jahr",IF(A833&lt;INDEX(Mitarbeiter!$C$6:$C$205,MATCH(B833,Mitarbeiter!$A$6:$A$205,0)),"vor Eintritt",IF(AND(INDEX(Mitarbeiter!$D$6:$D$205,MATCH(B833,Mitarbeiter!$A$6:$A$205,0))&lt;&gt;"",A833&gt;INDEX(Mitarbeiter!$D$6:$D$205,MATCH(B833,Mitarbeiter!$A$6:$A$205,0))),"nach Austritt","ok")))))))</f>
        <v/>
      </c>
    </row>
    <row r="834">
      <c r="A834" s="26" t="n"/>
      <c r="B834" s="24" t="n"/>
      <c r="C834" s="40">
        <f>IF(B834="","",IFERROR(INDEX(Mitarbeiter!$B$6:$B$205,MATCH(B834,Mitarbeiter!$A$6:$A$205,0)),"?"))</f>
        <v/>
      </c>
      <c r="D834" s="41" t="n"/>
      <c r="E834" s="42" t="n"/>
      <c r="F834" s="43" t="n"/>
      <c r="G834" s="44">
        <f>IF(OR(B834="",F834=""),"",IFERROR(F834*INDEX(Mitarbeiter!$F$6:$F$205,MATCH(B834,Mitarbeiter!$A$6:$A$205,0)),0))</f>
        <v/>
      </c>
      <c r="H834" s="8">
        <f>IF(B834="","",IF(ISNA(MATCH(B834,Mitarbeiter!$A$6:$A$205,0)),"Pers.-Nr. unbekannt",IF(A834="","Datum fehlt",IF(AND(D834&lt;&gt;Einstellungen!$C$4,D834&lt;&gt;Einstellungen!$C$5),"Objekt fehlt",IF(YEAR(A834)&lt;&gt;Einstellungen!$C$3,"anderes Jahr",IF(A834&lt;INDEX(Mitarbeiter!$C$6:$C$205,MATCH(B834,Mitarbeiter!$A$6:$A$205,0)),"vor Eintritt",IF(AND(INDEX(Mitarbeiter!$D$6:$D$205,MATCH(B834,Mitarbeiter!$A$6:$A$205,0))&lt;&gt;"",A834&gt;INDEX(Mitarbeiter!$D$6:$D$205,MATCH(B834,Mitarbeiter!$A$6:$A$205,0))),"nach Austritt","ok")))))))</f>
        <v/>
      </c>
    </row>
    <row r="835">
      <c r="A835" s="26" t="n"/>
      <c r="B835" s="24" t="n"/>
      <c r="C835" s="40">
        <f>IF(B835="","",IFERROR(INDEX(Mitarbeiter!$B$6:$B$205,MATCH(B835,Mitarbeiter!$A$6:$A$205,0)),"?"))</f>
        <v/>
      </c>
      <c r="D835" s="41" t="n"/>
      <c r="E835" s="42" t="n"/>
      <c r="F835" s="43" t="n"/>
      <c r="G835" s="44">
        <f>IF(OR(B835="",F835=""),"",IFERROR(F835*INDEX(Mitarbeiter!$F$6:$F$205,MATCH(B835,Mitarbeiter!$A$6:$A$205,0)),0))</f>
        <v/>
      </c>
      <c r="H835" s="8">
        <f>IF(B835="","",IF(ISNA(MATCH(B835,Mitarbeiter!$A$6:$A$205,0)),"Pers.-Nr. unbekannt",IF(A835="","Datum fehlt",IF(AND(D835&lt;&gt;Einstellungen!$C$4,D835&lt;&gt;Einstellungen!$C$5),"Objekt fehlt",IF(YEAR(A835)&lt;&gt;Einstellungen!$C$3,"anderes Jahr",IF(A835&lt;INDEX(Mitarbeiter!$C$6:$C$205,MATCH(B835,Mitarbeiter!$A$6:$A$205,0)),"vor Eintritt",IF(AND(INDEX(Mitarbeiter!$D$6:$D$205,MATCH(B835,Mitarbeiter!$A$6:$A$205,0))&lt;&gt;"",A835&gt;INDEX(Mitarbeiter!$D$6:$D$205,MATCH(B835,Mitarbeiter!$A$6:$A$205,0))),"nach Austritt","ok")))))))</f>
        <v/>
      </c>
    </row>
    <row r="836">
      <c r="A836" s="26" t="n"/>
      <c r="B836" s="24" t="n"/>
      <c r="C836" s="40">
        <f>IF(B836="","",IFERROR(INDEX(Mitarbeiter!$B$6:$B$205,MATCH(B836,Mitarbeiter!$A$6:$A$205,0)),"?"))</f>
        <v/>
      </c>
      <c r="D836" s="41" t="n"/>
      <c r="E836" s="42" t="n"/>
      <c r="F836" s="43" t="n"/>
      <c r="G836" s="44">
        <f>IF(OR(B836="",F836=""),"",IFERROR(F836*INDEX(Mitarbeiter!$F$6:$F$205,MATCH(B836,Mitarbeiter!$A$6:$A$205,0)),0))</f>
        <v/>
      </c>
      <c r="H836" s="8">
        <f>IF(B836="","",IF(ISNA(MATCH(B836,Mitarbeiter!$A$6:$A$205,0)),"Pers.-Nr. unbekannt",IF(A836="","Datum fehlt",IF(AND(D836&lt;&gt;Einstellungen!$C$4,D836&lt;&gt;Einstellungen!$C$5),"Objekt fehlt",IF(YEAR(A836)&lt;&gt;Einstellungen!$C$3,"anderes Jahr",IF(A836&lt;INDEX(Mitarbeiter!$C$6:$C$205,MATCH(B836,Mitarbeiter!$A$6:$A$205,0)),"vor Eintritt",IF(AND(INDEX(Mitarbeiter!$D$6:$D$205,MATCH(B836,Mitarbeiter!$A$6:$A$205,0))&lt;&gt;"",A836&gt;INDEX(Mitarbeiter!$D$6:$D$205,MATCH(B836,Mitarbeiter!$A$6:$A$205,0))),"nach Austritt","ok")))))))</f>
        <v/>
      </c>
    </row>
    <row r="837">
      <c r="A837" s="26" t="n"/>
      <c r="B837" s="24" t="n"/>
      <c r="C837" s="40">
        <f>IF(B837="","",IFERROR(INDEX(Mitarbeiter!$B$6:$B$205,MATCH(B837,Mitarbeiter!$A$6:$A$205,0)),"?"))</f>
        <v/>
      </c>
      <c r="D837" s="41" t="n"/>
      <c r="E837" s="42" t="n"/>
      <c r="F837" s="43" t="n"/>
      <c r="G837" s="44">
        <f>IF(OR(B837="",F837=""),"",IFERROR(F837*INDEX(Mitarbeiter!$F$6:$F$205,MATCH(B837,Mitarbeiter!$A$6:$A$205,0)),0))</f>
        <v/>
      </c>
      <c r="H837" s="8">
        <f>IF(B837="","",IF(ISNA(MATCH(B837,Mitarbeiter!$A$6:$A$205,0)),"Pers.-Nr. unbekannt",IF(A837="","Datum fehlt",IF(AND(D837&lt;&gt;Einstellungen!$C$4,D837&lt;&gt;Einstellungen!$C$5),"Objekt fehlt",IF(YEAR(A837)&lt;&gt;Einstellungen!$C$3,"anderes Jahr",IF(A837&lt;INDEX(Mitarbeiter!$C$6:$C$205,MATCH(B837,Mitarbeiter!$A$6:$A$205,0)),"vor Eintritt",IF(AND(INDEX(Mitarbeiter!$D$6:$D$205,MATCH(B837,Mitarbeiter!$A$6:$A$205,0))&lt;&gt;"",A837&gt;INDEX(Mitarbeiter!$D$6:$D$205,MATCH(B837,Mitarbeiter!$A$6:$A$205,0))),"nach Austritt","ok")))))))</f>
        <v/>
      </c>
    </row>
    <row r="838">
      <c r="A838" s="26" t="n"/>
      <c r="B838" s="24" t="n"/>
      <c r="C838" s="40">
        <f>IF(B838="","",IFERROR(INDEX(Mitarbeiter!$B$6:$B$205,MATCH(B838,Mitarbeiter!$A$6:$A$205,0)),"?"))</f>
        <v/>
      </c>
      <c r="D838" s="41" t="n"/>
      <c r="E838" s="42" t="n"/>
      <c r="F838" s="43" t="n"/>
      <c r="G838" s="44">
        <f>IF(OR(B838="",F838=""),"",IFERROR(F838*INDEX(Mitarbeiter!$F$6:$F$205,MATCH(B838,Mitarbeiter!$A$6:$A$205,0)),0))</f>
        <v/>
      </c>
      <c r="H838" s="8">
        <f>IF(B838="","",IF(ISNA(MATCH(B838,Mitarbeiter!$A$6:$A$205,0)),"Pers.-Nr. unbekannt",IF(A838="","Datum fehlt",IF(AND(D838&lt;&gt;Einstellungen!$C$4,D838&lt;&gt;Einstellungen!$C$5),"Objekt fehlt",IF(YEAR(A838)&lt;&gt;Einstellungen!$C$3,"anderes Jahr",IF(A838&lt;INDEX(Mitarbeiter!$C$6:$C$205,MATCH(B838,Mitarbeiter!$A$6:$A$205,0)),"vor Eintritt",IF(AND(INDEX(Mitarbeiter!$D$6:$D$205,MATCH(B838,Mitarbeiter!$A$6:$A$205,0))&lt;&gt;"",A838&gt;INDEX(Mitarbeiter!$D$6:$D$205,MATCH(B838,Mitarbeiter!$A$6:$A$205,0))),"nach Austritt","ok")))))))</f>
        <v/>
      </c>
    </row>
    <row r="839">
      <c r="A839" s="26" t="n"/>
      <c r="B839" s="24" t="n"/>
      <c r="C839" s="40">
        <f>IF(B839="","",IFERROR(INDEX(Mitarbeiter!$B$6:$B$205,MATCH(B839,Mitarbeiter!$A$6:$A$205,0)),"?"))</f>
        <v/>
      </c>
      <c r="D839" s="41" t="n"/>
      <c r="E839" s="42" t="n"/>
      <c r="F839" s="43" t="n"/>
      <c r="G839" s="44">
        <f>IF(OR(B839="",F839=""),"",IFERROR(F839*INDEX(Mitarbeiter!$F$6:$F$205,MATCH(B839,Mitarbeiter!$A$6:$A$205,0)),0))</f>
        <v/>
      </c>
      <c r="H839" s="8">
        <f>IF(B839="","",IF(ISNA(MATCH(B839,Mitarbeiter!$A$6:$A$205,0)),"Pers.-Nr. unbekannt",IF(A839="","Datum fehlt",IF(AND(D839&lt;&gt;Einstellungen!$C$4,D839&lt;&gt;Einstellungen!$C$5),"Objekt fehlt",IF(YEAR(A839)&lt;&gt;Einstellungen!$C$3,"anderes Jahr",IF(A839&lt;INDEX(Mitarbeiter!$C$6:$C$205,MATCH(B839,Mitarbeiter!$A$6:$A$205,0)),"vor Eintritt",IF(AND(INDEX(Mitarbeiter!$D$6:$D$205,MATCH(B839,Mitarbeiter!$A$6:$A$205,0))&lt;&gt;"",A839&gt;INDEX(Mitarbeiter!$D$6:$D$205,MATCH(B839,Mitarbeiter!$A$6:$A$205,0))),"nach Austritt","ok")))))))</f>
        <v/>
      </c>
    </row>
    <row r="840">
      <c r="A840" s="26" t="n"/>
      <c r="B840" s="24" t="n"/>
      <c r="C840" s="40">
        <f>IF(B840="","",IFERROR(INDEX(Mitarbeiter!$B$6:$B$205,MATCH(B840,Mitarbeiter!$A$6:$A$205,0)),"?"))</f>
        <v/>
      </c>
      <c r="D840" s="41" t="n"/>
      <c r="E840" s="42" t="n"/>
      <c r="F840" s="43" t="n"/>
      <c r="G840" s="44">
        <f>IF(OR(B840="",F840=""),"",IFERROR(F840*INDEX(Mitarbeiter!$F$6:$F$205,MATCH(B840,Mitarbeiter!$A$6:$A$205,0)),0))</f>
        <v/>
      </c>
      <c r="H840" s="8">
        <f>IF(B840="","",IF(ISNA(MATCH(B840,Mitarbeiter!$A$6:$A$205,0)),"Pers.-Nr. unbekannt",IF(A840="","Datum fehlt",IF(AND(D840&lt;&gt;Einstellungen!$C$4,D840&lt;&gt;Einstellungen!$C$5),"Objekt fehlt",IF(YEAR(A840)&lt;&gt;Einstellungen!$C$3,"anderes Jahr",IF(A840&lt;INDEX(Mitarbeiter!$C$6:$C$205,MATCH(B840,Mitarbeiter!$A$6:$A$205,0)),"vor Eintritt",IF(AND(INDEX(Mitarbeiter!$D$6:$D$205,MATCH(B840,Mitarbeiter!$A$6:$A$205,0))&lt;&gt;"",A840&gt;INDEX(Mitarbeiter!$D$6:$D$205,MATCH(B840,Mitarbeiter!$A$6:$A$205,0))),"nach Austritt","ok")))))))</f>
        <v/>
      </c>
    </row>
    <row r="841">
      <c r="A841" s="26" t="n"/>
      <c r="B841" s="24" t="n"/>
      <c r="C841" s="40">
        <f>IF(B841="","",IFERROR(INDEX(Mitarbeiter!$B$6:$B$205,MATCH(B841,Mitarbeiter!$A$6:$A$205,0)),"?"))</f>
        <v/>
      </c>
      <c r="D841" s="41" t="n"/>
      <c r="E841" s="42" t="n"/>
      <c r="F841" s="43" t="n"/>
      <c r="G841" s="44">
        <f>IF(OR(B841="",F841=""),"",IFERROR(F841*INDEX(Mitarbeiter!$F$6:$F$205,MATCH(B841,Mitarbeiter!$A$6:$A$205,0)),0))</f>
        <v/>
      </c>
      <c r="H841" s="8">
        <f>IF(B841="","",IF(ISNA(MATCH(B841,Mitarbeiter!$A$6:$A$205,0)),"Pers.-Nr. unbekannt",IF(A841="","Datum fehlt",IF(AND(D841&lt;&gt;Einstellungen!$C$4,D841&lt;&gt;Einstellungen!$C$5),"Objekt fehlt",IF(YEAR(A841)&lt;&gt;Einstellungen!$C$3,"anderes Jahr",IF(A841&lt;INDEX(Mitarbeiter!$C$6:$C$205,MATCH(B841,Mitarbeiter!$A$6:$A$205,0)),"vor Eintritt",IF(AND(INDEX(Mitarbeiter!$D$6:$D$205,MATCH(B841,Mitarbeiter!$A$6:$A$205,0))&lt;&gt;"",A841&gt;INDEX(Mitarbeiter!$D$6:$D$205,MATCH(B841,Mitarbeiter!$A$6:$A$205,0))),"nach Austritt","ok")))))))</f>
        <v/>
      </c>
    </row>
    <row r="842">
      <c r="A842" s="26" t="n"/>
      <c r="B842" s="24" t="n"/>
      <c r="C842" s="40">
        <f>IF(B842="","",IFERROR(INDEX(Mitarbeiter!$B$6:$B$205,MATCH(B842,Mitarbeiter!$A$6:$A$205,0)),"?"))</f>
        <v/>
      </c>
      <c r="D842" s="41" t="n"/>
      <c r="E842" s="42" t="n"/>
      <c r="F842" s="43" t="n"/>
      <c r="G842" s="44">
        <f>IF(OR(B842="",F842=""),"",IFERROR(F842*INDEX(Mitarbeiter!$F$6:$F$205,MATCH(B842,Mitarbeiter!$A$6:$A$205,0)),0))</f>
        <v/>
      </c>
      <c r="H842" s="8">
        <f>IF(B842="","",IF(ISNA(MATCH(B842,Mitarbeiter!$A$6:$A$205,0)),"Pers.-Nr. unbekannt",IF(A842="","Datum fehlt",IF(AND(D842&lt;&gt;Einstellungen!$C$4,D842&lt;&gt;Einstellungen!$C$5),"Objekt fehlt",IF(YEAR(A842)&lt;&gt;Einstellungen!$C$3,"anderes Jahr",IF(A842&lt;INDEX(Mitarbeiter!$C$6:$C$205,MATCH(B842,Mitarbeiter!$A$6:$A$205,0)),"vor Eintritt",IF(AND(INDEX(Mitarbeiter!$D$6:$D$205,MATCH(B842,Mitarbeiter!$A$6:$A$205,0))&lt;&gt;"",A842&gt;INDEX(Mitarbeiter!$D$6:$D$205,MATCH(B842,Mitarbeiter!$A$6:$A$205,0))),"nach Austritt","ok")))))))</f>
        <v/>
      </c>
    </row>
    <row r="843">
      <c r="A843" s="26" t="n"/>
      <c r="B843" s="24" t="n"/>
      <c r="C843" s="40">
        <f>IF(B843="","",IFERROR(INDEX(Mitarbeiter!$B$6:$B$205,MATCH(B843,Mitarbeiter!$A$6:$A$205,0)),"?"))</f>
        <v/>
      </c>
      <c r="D843" s="41" t="n"/>
      <c r="E843" s="42" t="n"/>
      <c r="F843" s="43" t="n"/>
      <c r="G843" s="44">
        <f>IF(OR(B843="",F843=""),"",IFERROR(F843*INDEX(Mitarbeiter!$F$6:$F$205,MATCH(B843,Mitarbeiter!$A$6:$A$205,0)),0))</f>
        <v/>
      </c>
      <c r="H843" s="8">
        <f>IF(B843="","",IF(ISNA(MATCH(B843,Mitarbeiter!$A$6:$A$205,0)),"Pers.-Nr. unbekannt",IF(A843="","Datum fehlt",IF(AND(D843&lt;&gt;Einstellungen!$C$4,D843&lt;&gt;Einstellungen!$C$5),"Objekt fehlt",IF(YEAR(A843)&lt;&gt;Einstellungen!$C$3,"anderes Jahr",IF(A843&lt;INDEX(Mitarbeiter!$C$6:$C$205,MATCH(B843,Mitarbeiter!$A$6:$A$205,0)),"vor Eintritt",IF(AND(INDEX(Mitarbeiter!$D$6:$D$205,MATCH(B843,Mitarbeiter!$A$6:$A$205,0))&lt;&gt;"",A843&gt;INDEX(Mitarbeiter!$D$6:$D$205,MATCH(B843,Mitarbeiter!$A$6:$A$205,0))),"nach Austritt","ok")))))))</f>
        <v/>
      </c>
    </row>
    <row r="844">
      <c r="A844" s="26" t="n"/>
      <c r="B844" s="24" t="n"/>
      <c r="C844" s="40">
        <f>IF(B844="","",IFERROR(INDEX(Mitarbeiter!$B$6:$B$205,MATCH(B844,Mitarbeiter!$A$6:$A$205,0)),"?"))</f>
        <v/>
      </c>
      <c r="D844" s="41" t="n"/>
      <c r="E844" s="42" t="n"/>
      <c r="F844" s="43" t="n"/>
      <c r="G844" s="44">
        <f>IF(OR(B844="",F844=""),"",IFERROR(F844*INDEX(Mitarbeiter!$F$6:$F$205,MATCH(B844,Mitarbeiter!$A$6:$A$205,0)),0))</f>
        <v/>
      </c>
      <c r="H844" s="8">
        <f>IF(B844="","",IF(ISNA(MATCH(B844,Mitarbeiter!$A$6:$A$205,0)),"Pers.-Nr. unbekannt",IF(A844="","Datum fehlt",IF(AND(D844&lt;&gt;Einstellungen!$C$4,D844&lt;&gt;Einstellungen!$C$5),"Objekt fehlt",IF(YEAR(A844)&lt;&gt;Einstellungen!$C$3,"anderes Jahr",IF(A844&lt;INDEX(Mitarbeiter!$C$6:$C$205,MATCH(B844,Mitarbeiter!$A$6:$A$205,0)),"vor Eintritt",IF(AND(INDEX(Mitarbeiter!$D$6:$D$205,MATCH(B844,Mitarbeiter!$A$6:$A$205,0))&lt;&gt;"",A844&gt;INDEX(Mitarbeiter!$D$6:$D$205,MATCH(B844,Mitarbeiter!$A$6:$A$205,0))),"nach Austritt","ok")))))))</f>
        <v/>
      </c>
    </row>
    <row r="845">
      <c r="A845" s="26" t="n"/>
      <c r="B845" s="24" t="n"/>
      <c r="C845" s="40">
        <f>IF(B845="","",IFERROR(INDEX(Mitarbeiter!$B$6:$B$205,MATCH(B845,Mitarbeiter!$A$6:$A$205,0)),"?"))</f>
        <v/>
      </c>
      <c r="D845" s="41" t="n"/>
      <c r="E845" s="42" t="n"/>
      <c r="F845" s="43" t="n"/>
      <c r="G845" s="44">
        <f>IF(OR(B845="",F845=""),"",IFERROR(F845*INDEX(Mitarbeiter!$F$6:$F$205,MATCH(B845,Mitarbeiter!$A$6:$A$205,0)),0))</f>
        <v/>
      </c>
      <c r="H845" s="8">
        <f>IF(B845="","",IF(ISNA(MATCH(B845,Mitarbeiter!$A$6:$A$205,0)),"Pers.-Nr. unbekannt",IF(A845="","Datum fehlt",IF(AND(D845&lt;&gt;Einstellungen!$C$4,D845&lt;&gt;Einstellungen!$C$5),"Objekt fehlt",IF(YEAR(A845)&lt;&gt;Einstellungen!$C$3,"anderes Jahr",IF(A845&lt;INDEX(Mitarbeiter!$C$6:$C$205,MATCH(B845,Mitarbeiter!$A$6:$A$205,0)),"vor Eintritt",IF(AND(INDEX(Mitarbeiter!$D$6:$D$205,MATCH(B845,Mitarbeiter!$A$6:$A$205,0))&lt;&gt;"",A845&gt;INDEX(Mitarbeiter!$D$6:$D$205,MATCH(B845,Mitarbeiter!$A$6:$A$205,0))),"nach Austritt","ok")))))))</f>
        <v/>
      </c>
    </row>
    <row r="846">
      <c r="A846" s="26" t="n"/>
      <c r="B846" s="24" t="n"/>
      <c r="C846" s="40">
        <f>IF(B846="","",IFERROR(INDEX(Mitarbeiter!$B$6:$B$205,MATCH(B846,Mitarbeiter!$A$6:$A$205,0)),"?"))</f>
        <v/>
      </c>
      <c r="D846" s="41" t="n"/>
      <c r="E846" s="42" t="n"/>
      <c r="F846" s="43" t="n"/>
      <c r="G846" s="44">
        <f>IF(OR(B846="",F846=""),"",IFERROR(F846*INDEX(Mitarbeiter!$F$6:$F$205,MATCH(B846,Mitarbeiter!$A$6:$A$205,0)),0))</f>
        <v/>
      </c>
      <c r="H846" s="8">
        <f>IF(B846="","",IF(ISNA(MATCH(B846,Mitarbeiter!$A$6:$A$205,0)),"Pers.-Nr. unbekannt",IF(A846="","Datum fehlt",IF(AND(D846&lt;&gt;Einstellungen!$C$4,D846&lt;&gt;Einstellungen!$C$5),"Objekt fehlt",IF(YEAR(A846)&lt;&gt;Einstellungen!$C$3,"anderes Jahr",IF(A846&lt;INDEX(Mitarbeiter!$C$6:$C$205,MATCH(B846,Mitarbeiter!$A$6:$A$205,0)),"vor Eintritt",IF(AND(INDEX(Mitarbeiter!$D$6:$D$205,MATCH(B846,Mitarbeiter!$A$6:$A$205,0))&lt;&gt;"",A846&gt;INDEX(Mitarbeiter!$D$6:$D$205,MATCH(B846,Mitarbeiter!$A$6:$A$205,0))),"nach Austritt","ok")))))))</f>
        <v/>
      </c>
    </row>
    <row r="847">
      <c r="A847" s="26" t="n"/>
      <c r="B847" s="24" t="n"/>
      <c r="C847" s="40">
        <f>IF(B847="","",IFERROR(INDEX(Mitarbeiter!$B$6:$B$205,MATCH(B847,Mitarbeiter!$A$6:$A$205,0)),"?"))</f>
        <v/>
      </c>
      <c r="D847" s="41" t="n"/>
      <c r="E847" s="42" t="n"/>
      <c r="F847" s="43" t="n"/>
      <c r="G847" s="44">
        <f>IF(OR(B847="",F847=""),"",IFERROR(F847*INDEX(Mitarbeiter!$F$6:$F$205,MATCH(B847,Mitarbeiter!$A$6:$A$205,0)),0))</f>
        <v/>
      </c>
      <c r="H847" s="8">
        <f>IF(B847="","",IF(ISNA(MATCH(B847,Mitarbeiter!$A$6:$A$205,0)),"Pers.-Nr. unbekannt",IF(A847="","Datum fehlt",IF(AND(D847&lt;&gt;Einstellungen!$C$4,D847&lt;&gt;Einstellungen!$C$5),"Objekt fehlt",IF(YEAR(A847)&lt;&gt;Einstellungen!$C$3,"anderes Jahr",IF(A847&lt;INDEX(Mitarbeiter!$C$6:$C$205,MATCH(B847,Mitarbeiter!$A$6:$A$205,0)),"vor Eintritt",IF(AND(INDEX(Mitarbeiter!$D$6:$D$205,MATCH(B847,Mitarbeiter!$A$6:$A$205,0))&lt;&gt;"",A847&gt;INDEX(Mitarbeiter!$D$6:$D$205,MATCH(B847,Mitarbeiter!$A$6:$A$205,0))),"nach Austritt","ok")))))))</f>
        <v/>
      </c>
    </row>
    <row r="848">
      <c r="A848" s="26" t="n"/>
      <c r="B848" s="24" t="n"/>
      <c r="C848" s="40">
        <f>IF(B848="","",IFERROR(INDEX(Mitarbeiter!$B$6:$B$205,MATCH(B848,Mitarbeiter!$A$6:$A$205,0)),"?"))</f>
        <v/>
      </c>
      <c r="D848" s="41" t="n"/>
      <c r="E848" s="42" t="n"/>
      <c r="F848" s="43" t="n"/>
      <c r="G848" s="44">
        <f>IF(OR(B848="",F848=""),"",IFERROR(F848*INDEX(Mitarbeiter!$F$6:$F$205,MATCH(B848,Mitarbeiter!$A$6:$A$205,0)),0))</f>
        <v/>
      </c>
      <c r="H848" s="8">
        <f>IF(B848="","",IF(ISNA(MATCH(B848,Mitarbeiter!$A$6:$A$205,0)),"Pers.-Nr. unbekannt",IF(A848="","Datum fehlt",IF(AND(D848&lt;&gt;Einstellungen!$C$4,D848&lt;&gt;Einstellungen!$C$5),"Objekt fehlt",IF(YEAR(A848)&lt;&gt;Einstellungen!$C$3,"anderes Jahr",IF(A848&lt;INDEX(Mitarbeiter!$C$6:$C$205,MATCH(B848,Mitarbeiter!$A$6:$A$205,0)),"vor Eintritt",IF(AND(INDEX(Mitarbeiter!$D$6:$D$205,MATCH(B848,Mitarbeiter!$A$6:$A$205,0))&lt;&gt;"",A848&gt;INDEX(Mitarbeiter!$D$6:$D$205,MATCH(B848,Mitarbeiter!$A$6:$A$205,0))),"nach Austritt","ok")))))))</f>
        <v/>
      </c>
    </row>
    <row r="849">
      <c r="A849" s="26" t="n"/>
      <c r="B849" s="24" t="n"/>
      <c r="C849" s="40">
        <f>IF(B849="","",IFERROR(INDEX(Mitarbeiter!$B$6:$B$205,MATCH(B849,Mitarbeiter!$A$6:$A$205,0)),"?"))</f>
        <v/>
      </c>
      <c r="D849" s="41" t="n"/>
      <c r="E849" s="42" t="n"/>
      <c r="F849" s="43" t="n"/>
      <c r="G849" s="44">
        <f>IF(OR(B849="",F849=""),"",IFERROR(F849*INDEX(Mitarbeiter!$F$6:$F$205,MATCH(B849,Mitarbeiter!$A$6:$A$205,0)),0))</f>
        <v/>
      </c>
      <c r="H849" s="8">
        <f>IF(B849="","",IF(ISNA(MATCH(B849,Mitarbeiter!$A$6:$A$205,0)),"Pers.-Nr. unbekannt",IF(A849="","Datum fehlt",IF(AND(D849&lt;&gt;Einstellungen!$C$4,D849&lt;&gt;Einstellungen!$C$5),"Objekt fehlt",IF(YEAR(A849)&lt;&gt;Einstellungen!$C$3,"anderes Jahr",IF(A849&lt;INDEX(Mitarbeiter!$C$6:$C$205,MATCH(B849,Mitarbeiter!$A$6:$A$205,0)),"vor Eintritt",IF(AND(INDEX(Mitarbeiter!$D$6:$D$205,MATCH(B849,Mitarbeiter!$A$6:$A$205,0))&lt;&gt;"",A849&gt;INDEX(Mitarbeiter!$D$6:$D$205,MATCH(B849,Mitarbeiter!$A$6:$A$205,0))),"nach Austritt","ok")))))))</f>
        <v/>
      </c>
    </row>
    <row r="850">
      <c r="A850" s="26" t="n"/>
      <c r="B850" s="24" t="n"/>
      <c r="C850" s="40">
        <f>IF(B850="","",IFERROR(INDEX(Mitarbeiter!$B$6:$B$205,MATCH(B850,Mitarbeiter!$A$6:$A$205,0)),"?"))</f>
        <v/>
      </c>
      <c r="D850" s="41" t="n"/>
      <c r="E850" s="42" t="n"/>
      <c r="F850" s="43" t="n"/>
      <c r="G850" s="44">
        <f>IF(OR(B850="",F850=""),"",IFERROR(F850*INDEX(Mitarbeiter!$F$6:$F$205,MATCH(B850,Mitarbeiter!$A$6:$A$205,0)),0))</f>
        <v/>
      </c>
      <c r="H850" s="8">
        <f>IF(B850="","",IF(ISNA(MATCH(B850,Mitarbeiter!$A$6:$A$205,0)),"Pers.-Nr. unbekannt",IF(A850="","Datum fehlt",IF(AND(D850&lt;&gt;Einstellungen!$C$4,D850&lt;&gt;Einstellungen!$C$5),"Objekt fehlt",IF(YEAR(A850)&lt;&gt;Einstellungen!$C$3,"anderes Jahr",IF(A850&lt;INDEX(Mitarbeiter!$C$6:$C$205,MATCH(B850,Mitarbeiter!$A$6:$A$205,0)),"vor Eintritt",IF(AND(INDEX(Mitarbeiter!$D$6:$D$205,MATCH(B850,Mitarbeiter!$A$6:$A$205,0))&lt;&gt;"",A850&gt;INDEX(Mitarbeiter!$D$6:$D$205,MATCH(B850,Mitarbeiter!$A$6:$A$205,0))),"nach Austritt","ok")))))))</f>
        <v/>
      </c>
    </row>
    <row r="851">
      <c r="A851" s="26" t="n"/>
      <c r="B851" s="24" t="n"/>
      <c r="C851" s="40">
        <f>IF(B851="","",IFERROR(INDEX(Mitarbeiter!$B$6:$B$205,MATCH(B851,Mitarbeiter!$A$6:$A$205,0)),"?"))</f>
        <v/>
      </c>
      <c r="D851" s="41" t="n"/>
      <c r="E851" s="42" t="n"/>
      <c r="F851" s="43" t="n"/>
      <c r="G851" s="44">
        <f>IF(OR(B851="",F851=""),"",IFERROR(F851*INDEX(Mitarbeiter!$F$6:$F$205,MATCH(B851,Mitarbeiter!$A$6:$A$205,0)),0))</f>
        <v/>
      </c>
      <c r="H851" s="8">
        <f>IF(B851="","",IF(ISNA(MATCH(B851,Mitarbeiter!$A$6:$A$205,0)),"Pers.-Nr. unbekannt",IF(A851="","Datum fehlt",IF(AND(D851&lt;&gt;Einstellungen!$C$4,D851&lt;&gt;Einstellungen!$C$5),"Objekt fehlt",IF(YEAR(A851)&lt;&gt;Einstellungen!$C$3,"anderes Jahr",IF(A851&lt;INDEX(Mitarbeiter!$C$6:$C$205,MATCH(B851,Mitarbeiter!$A$6:$A$205,0)),"vor Eintritt",IF(AND(INDEX(Mitarbeiter!$D$6:$D$205,MATCH(B851,Mitarbeiter!$A$6:$A$205,0))&lt;&gt;"",A851&gt;INDEX(Mitarbeiter!$D$6:$D$205,MATCH(B851,Mitarbeiter!$A$6:$A$205,0))),"nach Austritt","ok")))))))</f>
        <v/>
      </c>
    </row>
    <row r="852">
      <c r="A852" s="26" t="n"/>
      <c r="B852" s="24" t="n"/>
      <c r="C852" s="40">
        <f>IF(B852="","",IFERROR(INDEX(Mitarbeiter!$B$6:$B$205,MATCH(B852,Mitarbeiter!$A$6:$A$205,0)),"?"))</f>
        <v/>
      </c>
      <c r="D852" s="41" t="n"/>
      <c r="E852" s="42" t="n"/>
      <c r="F852" s="43" t="n"/>
      <c r="G852" s="44">
        <f>IF(OR(B852="",F852=""),"",IFERROR(F852*INDEX(Mitarbeiter!$F$6:$F$205,MATCH(B852,Mitarbeiter!$A$6:$A$205,0)),0))</f>
        <v/>
      </c>
      <c r="H852" s="8">
        <f>IF(B852="","",IF(ISNA(MATCH(B852,Mitarbeiter!$A$6:$A$205,0)),"Pers.-Nr. unbekannt",IF(A852="","Datum fehlt",IF(AND(D852&lt;&gt;Einstellungen!$C$4,D852&lt;&gt;Einstellungen!$C$5),"Objekt fehlt",IF(YEAR(A852)&lt;&gt;Einstellungen!$C$3,"anderes Jahr",IF(A852&lt;INDEX(Mitarbeiter!$C$6:$C$205,MATCH(B852,Mitarbeiter!$A$6:$A$205,0)),"vor Eintritt",IF(AND(INDEX(Mitarbeiter!$D$6:$D$205,MATCH(B852,Mitarbeiter!$A$6:$A$205,0))&lt;&gt;"",A852&gt;INDEX(Mitarbeiter!$D$6:$D$205,MATCH(B852,Mitarbeiter!$A$6:$A$205,0))),"nach Austritt","ok")))))))</f>
        <v/>
      </c>
    </row>
    <row r="853">
      <c r="A853" s="26" t="n"/>
      <c r="B853" s="24" t="n"/>
      <c r="C853" s="40">
        <f>IF(B853="","",IFERROR(INDEX(Mitarbeiter!$B$6:$B$205,MATCH(B853,Mitarbeiter!$A$6:$A$205,0)),"?"))</f>
        <v/>
      </c>
      <c r="D853" s="41" t="n"/>
      <c r="E853" s="42" t="n"/>
      <c r="F853" s="43" t="n"/>
      <c r="G853" s="44">
        <f>IF(OR(B853="",F853=""),"",IFERROR(F853*INDEX(Mitarbeiter!$F$6:$F$205,MATCH(B853,Mitarbeiter!$A$6:$A$205,0)),0))</f>
        <v/>
      </c>
      <c r="H853" s="8">
        <f>IF(B853="","",IF(ISNA(MATCH(B853,Mitarbeiter!$A$6:$A$205,0)),"Pers.-Nr. unbekannt",IF(A853="","Datum fehlt",IF(AND(D853&lt;&gt;Einstellungen!$C$4,D853&lt;&gt;Einstellungen!$C$5),"Objekt fehlt",IF(YEAR(A853)&lt;&gt;Einstellungen!$C$3,"anderes Jahr",IF(A853&lt;INDEX(Mitarbeiter!$C$6:$C$205,MATCH(B853,Mitarbeiter!$A$6:$A$205,0)),"vor Eintritt",IF(AND(INDEX(Mitarbeiter!$D$6:$D$205,MATCH(B853,Mitarbeiter!$A$6:$A$205,0))&lt;&gt;"",A853&gt;INDEX(Mitarbeiter!$D$6:$D$205,MATCH(B853,Mitarbeiter!$A$6:$A$205,0))),"nach Austritt","ok")))))))</f>
        <v/>
      </c>
    </row>
    <row r="854">
      <c r="A854" s="26" t="n"/>
      <c r="B854" s="24" t="n"/>
      <c r="C854" s="40">
        <f>IF(B854="","",IFERROR(INDEX(Mitarbeiter!$B$6:$B$205,MATCH(B854,Mitarbeiter!$A$6:$A$205,0)),"?"))</f>
        <v/>
      </c>
      <c r="D854" s="41" t="n"/>
      <c r="E854" s="42" t="n"/>
      <c r="F854" s="43" t="n"/>
      <c r="G854" s="44">
        <f>IF(OR(B854="",F854=""),"",IFERROR(F854*INDEX(Mitarbeiter!$F$6:$F$205,MATCH(B854,Mitarbeiter!$A$6:$A$205,0)),0))</f>
        <v/>
      </c>
      <c r="H854" s="8">
        <f>IF(B854="","",IF(ISNA(MATCH(B854,Mitarbeiter!$A$6:$A$205,0)),"Pers.-Nr. unbekannt",IF(A854="","Datum fehlt",IF(AND(D854&lt;&gt;Einstellungen!$C$4,D854&lt;&gt;Einstellungen!$C$5),"Objekt fehlt",IF(YEAR(A854)&lt;&gt;Einstellungen!$C$3,"anderes Jahr",IF(A854&lt;INDEX(Mitarbeiter!$C$6:$C$205,MATCH(B854,Mitarbeiter!$A$6:$A$205,0)),"vor Eintritt",IF(AND(INDEX(Mitarbeiter!$D$6:$D$205,MATCH(B854,Mitarbeiter!$A$6:$A$205,0))&lt;&gt;"",A854&gt;INDEX(Mitarbeiter!$D$6:$D$205,MATCH(B854,Mitarbeiter!$A$6:$A$205,0))),"nach Austritt","ok")))))))</f>
        <v/>
      </c>
    </row>
    <row r="855">
      <c r="A855" s="26" t="n"/>
      <c r="B855" s="24" t="n"/>
      <c r="C855" s="40">
        <f>IF(B855="","",IFERROR(INDEX(Mitarbeiter!$B$6:$B$205,MATCH(B855,Mitarbeiter!$A$6:$A$205,0)),"?"))</f>
        <v/>
      </c>
      <c r="D855" s="41" t="n"/>
      <c r="E855" s="42" t="n"/>
      <c r="F855" s="43" t="n"/>
      <c r="G855" s="44">
        <f>IF(OR(B855="",F855=""),"",IFERROR(F855*INDEX(Mitarbeiter!$F$6:$F$205,MATCH(B855,Mitarbeiter!$A$6:$A$205,0)),0))</f>
        <v/>
      </c>
      <c r="H855" s="8">
        <f>IF(B855="","",IF(ISNA(MATCH(B855,Mitarbeiter!$A$6:$A$205,0)),"Pers.-Nr. unbekannt",IF(A855="","Datum fehlt",IF(AND(D855&lt;&gt;Einstellungen!$C$4,D855&lt;&gt;Einstellungen!$C$5),"Objekt fehlt",IF(YEAR(A855)&lt;&gt;Einstellungen!$C$3,"anderes Jahr",IF(A855&lt;INDEX(Mitarbeiter!$C$6:$C$205,MATCH(B855,Mitarbeiter!$A$6:$A$205,0)),"vor Eintritt",IF(AND(INDEX(Mitarbeiter!$D$6:$D$205,MATCH(B855,Mitarbeiter!$A$6:$A$205,0))&lt;&gt;"",A855&gt;INDEX(Mitarbeiter!$D$6:$D$205,MATCH(B855,Mitarbeiter!$A$6:$A$205,0))),"nach Austritt","ok")))))))</f>
        <v/>
      </c>
    </row>
    <row r="856">
      <c r="A856" s="26" t="n"/>
      <c r="B856" s="24" t="n"/>
      <c r="C856" s="40">
        <f>IF(B856="","",IFERROR(INDEX(Mitarbeiter!$B$6:$B$205,MATCH(B856,Mitarbeiter!$A$6:$A$205,0)),"?"))</f>
        <v/>
      </c>
      <c r="D856" s="41" t="n"/>
      <c r="E856" s="42" t="n"/>
      <c r="F856" s="43" t="n"/>
      <c r="G856" s="44">
        <f>IF(OR(B856="",F856=""),"",IFERROR(F856*INDEX(Mitarbeiter!$F$6:$F$205,MATCH(B856,Mitarbeiter!$A$6:$A$205,0)),0))</f>
        <v/>
      </c>
      <c r="H856" s="8">
        <f>IF(B856="","",IF(ISNA(MATCH(B856,Mitarbeiter!$A$6:$A$205,0)),"Pers.-Nr. unbekannt",IF(A856="","Datum fehlt",IF(AND(D856&lt;&gt;Einstellungen!$C$4,D856&lt;&gt;Einstellungen!$C$5),"Objekt fehlt",IF(YEAR(A856)&lt;&gt;Einstellungen!$C$3,"anderes Jahr",IF(A856&lt;INDEX(Mitarbeiter!$C$6:$C$205,MATCH(B856,Mitarbeiter!$A$6:$A$205,0)),"vor Eintritt",IF(AND(INDEX(Mitarbeiter!$D$6:$D$205,MATCH(B856,Mitarbeiter!$A$6:$A$205,0))&lt;&gt;"",A856&gt;INDEX(Mitarbeiter!$D$6:$D$205,MATCH(B856,Mitarbeiter!$A$6:$A$205,0))),"nach Austritt","ok")))))))</f>
        <v/>
      </c>
    </row>
    <row r="857">
      <c r="A857" s="26" t="n"/>
      <c r="B857" s="24" t="n"/>
      <c r="C857" s="40">
        <f>IF(B857="","",IFERROR(INDEX(Mitarbeiter!$B$6:$B$205,MATCH(B857,Mitarbeiter!$A$6:$A$205,0)),"?"))</f>
        <v/>
      </c>
      <c r="D857" s="41" t="n"/>
      <c r="E857" s="42" t="n"/>
      <c r="F857" s="43" t="n"/>
      <c r="G857" s="44">
        <f>IF(OR(B857="",F857=""),"",IFERROR(F857*INDEX(Mitarbeiter!$F$6:$F$205,MATCH(B857,Mitarbeiter!$A$6:$A$205,0)),0))</f>
        <v/>
      </c>
      <c r="H857" s="8">
        <f>IF(B857="","",IF(ISNA(MATCH(B857,Mitarbeiter!$A$6:$A$205,0)),"Pers.-Nr. unbekannt",IF(A857="","Datum fehlt",IF(AND(D857&lt;&gt;Einstellungen!$C$4,D857&lt;&gt;Einstellungen!$C$5),"Objekt fehlt",IF(YEAR(A857)&lt;&gt;Einstellungen!$C$3,"anderes Jahr",IF(A857&lt;INDEX(Mitarbeiter!$C$6:$C$205,MATCH(B857,Mitarbeiter!$A$6:$A$205,0)),"vor Eintritt",IF(AND(INDEX(Mitarbeiter!$D$6:$D$205,MATCH(B857,Mitarbeiter!$A$6:$A$205,0))&lt;&gt;"",A857&gt;INDEX(Mitarbeiter!$D$6:$D$205,MATCH(B857,Mitarbeiter!$A$6:$A$205,0))),"nach Austritt","ok")))))))</f>
        <v/>
      </c>
    </row>
    <row r="858">
      <c r="A858" s="26" t="n"/>
      <c r="B858" s="24" t="n"/>
      <c r="C858" s="40">
        <f>IF(B858="","",IFERROR(INDEX(Mitarbeiter!$B$6:$B$205,MATCH(B858,Mitarbeiter!$A$6:$A$205,0)),"?"))</f>
        <v/>
      </c>
      <c r="D858" s="41" t="n"/>
      <c r="E858" s="42" t="n"/>
      <c r="F858" s="43" t="n"/>
      <c r="G858" s="44">
        <f>IF(OR(B858="",F858=""),"",IFERROR(F858*INDEX(Mitarbeiter!$F$6:$F$205,MATCH(B858,Mitarbeiter!$A$6:$A$205,0)),0))</f>
        <v/>
      </c>
      <c r="H858" s="8">
        <f>IF(B858="","",IF(ISNA(MATCH(B858,Mitarbeiter!$A$6:$A$205,0)),"Pers.-Nr. unbekannt",IF(A858="","Datum fehlt",IF(AND(D858&lt;&gt;Einstellungen!$C$4,D858&lt;&gt;Einstellungen!$C$5),"Objekt fehlt",IF(YEAR(A858)&lt;&gt;Einstellungen!$C$3,"anderes Jahr",IF(A858&lt;INDEX(Mitarbeiter!$C$6:$C$205,MATCH(B858,Mitarbeiter!$A$6:$A$205,0)),"vor Eintritt",IF(AND(INDEX(Mitarbeiter!$D$6:$D$205,MATCH(B858,Mitarbeiter!$A$6:$A$205,0))&lt;&gt;"",A858&gt;INDEX(Mitarbeiter!$D$6:$D$205,MATCH(B858,Mitarbeiter!$A$6:$A$205,0))),"nach Austritt","ok")))))))</f>
        <v/>
      </c>
    </row>
    <row r="859">
      <c r="A859" s="26" t="n"/>
      <c r="B859" s="24" t="n"/>
      <c r="C859" s="40">
        <f>IF(B859="","",IFERROR(INDEX(Mitarbeiter!$B$6:$B$205,MATCH(B859,Mitarbeiter!$A$6:$A$205,0)),"?"))</f>
        <v/>
      </c>
      <c r="D859" s="41" t="n"/>
      <c r="E859" s="42" t="n"/>
      <c r="F859" s="43" t="n"/>
      <c r="G859" s="44">
        <f>IF(OR(B859="",F859=""),"",IFERROR(F859*INDEX(Mitarbeiter!$F$6:$F$205,MATCH(B859,Mitarbeiter!$A$6:$A$205,0)),0))</f>
        <v/>
      </c>
      <c r="H859" s="8">
        <f>IF(B859="","",IF(ISNA(MATCH(B859,Mitarbeiter!$A$6:$A$205,0)),"Pers.-Nr. unbekannt",IF(A859="","Datum fehlt",IF(AND(D859&lt;&gt;Einstellungen!$C$4,D859&lt;&gt;Einstellungen!$C$5),"Objekt fehlt",IF(YEAR(A859)&lt;&gt;Einstellungen!$C$3,"anderes Jahr",IF(A859&lt;INDEX(Mitarbeiter!$C$6:$C$205,MATCH(B859,Mitarbeiter!$A$6:$A$205,0)),"vor Eintritt",IF(AND(INDEX(Mitarbeiter!$D$6:$D$205,MATCH(B859,Mitarbeiter!$A$6:$A$205,0))&lt;&gt;"",A859&gt;INDEX(Mitarbeiter!$D$6:$D$205,MATCH(B859,Mitarbeiter!$A$6:$A$205,0))),"nach Austritt","ok")))))))</f>
        <v/>
      </c>
    </row>
    <row r="860">
      <c r="A860" s="26" t="n"/>
      <c r="B860" s="24" t="n"/>
      <c r="C860" s="40">
        <f>IF(B860="","",IFERROR(INDEX(Mitarbeiter!$B$6:$B$205,MATCH(B860,Mitarbeiter!$A$6:$A$205,0)),"?"))</f>
        <v/>
      </c>
      <c r="D860" s="41" t="n"/>
      <c r="E860" s="42" t="n"/>
      <c r="F860" s="43" t="n"/>
      <c r="G860" s="44">
        <f>IF(OR(B860="",F860=""),"",IFERROR(F860*INDEX(Mitarbeiter!$F$6:$F$205,MATCH(B860,Mitarbeiter!$A$6:$A$205,0)),0))</f>
        <v/>
      </c>
      <c r="H860" s="8">
        <f>IF(B860="","",IF(ISNA(MATCH(B860,Mitarbeiter!$A$6:$A$205,0)),"Pers.-Nr. unbekannt",IF(A860="","Datum fehlt",IF(AND(D860&lt;&gt;Einstellungen!$C$4,D860&lt;&gt;Einstellungen!$C$5),"Objekt fehlt",IF(YEAR(A860)&lt;&gt;Einstellungen!$C$3,"anderes Jahr",IF(A860&lt;INDEX(Mitarbeiter!$C$6:$C$205,MATCH(B860,Mitarbeiter!$A$6:$A$205,0)),"vor Eintritt",IF(AND(INDEX(Mitarbeiter!$D$6:$D$205,MATCH(B860,Mitarbeiter!$A$6:$A$205,0))&lt;&gt;"",A860&gt;INDEX(Mitarbeiter!$D$6:$D$205,MATCH(B860,Mitarbeiter!$A$6:$A$205,0))),"nach Austritt","ok")))))))</f>
        <v/>
      </c>
    </row>
    <row r="861">
      <c r="A861" s="26" t="n"/>
      <c r="B861" s="24" t="n"/>
      <c r="C861" s="40">
        <f>IF(B861="","",IFERROR(INDEX(Mitarbeiter!$B$6:$B$205,MATCH(B861,Mitarbeiter!$A$6:$A$205,0)),"?"))</f>
        <v/>
      </c>
      <c r="D861" s="41" t="n"/>
      <c r="E861" s="42" t="n"/>
      <c r="F861" s="43" t="n"/>
      <c r="G861" s="44">
        <f>IF(OR(B861="",F861=""),"",IFERROR(F861*INDEX(Mitarbeiter!$F$6:$F$205,MATCH(B861,Mitarbeiter!$A$6:$A$205,0)),0))</f>
        <v/>
      </c>
      <c r="H861" s="8">
        <f>IF(B861="","",IF(ISNA(MATCH(B861,Mitarbeiter!$A$6:$A$205,0)),"Pers.-Nr. unbekannt",IF(A861="","Datum fehlt",IF(AND(D861&lt;&gt;Einstellungen!$C$4,D861&lt;&gt;Einstellungen!$C$5),"Objekt fehlt",IF(YEAR(A861)&lt;&gt;Einstellungen!$C$3,"anderes Jahr",IF(A861&lt;INDEX(Mitarbeiter!$C$6:$C$205,MATCH(B861,Mitarbeiter!$A$6:$A$205,0)),"vor Eintritt",IF(AND(INDEX(Mitarbeiter!$D$6:$D$205,MATCH(B861,Mitarbeiter!$A$6:$A$205,0))&lt;&gt;"",A861&gt;INDEX(Mitarbeiter!$D$6:$D$205,MATCH(B861,Mitarbeiter!$A$6:$A$205,0))),"nach Austritt","ok")))))))</f>
        <v/>
      </c>
    </row>
    <row r="862">
      <c r="A862" s="26" t="n"/>
      <c r="B862" s="24" t="n"/>
      <c r="C862" s="40">
        <f>IF(B862="","",IFERROR(INDEX(Mitarbeiter!$B$6:$B$205,MATCH(B862,Mitarbeiter!$A$6:$A$205,0)),"?"))</f>
        <v/>
      </c>
      <c r="D862" s="41" t="n"/>
      <c r="E862" s="42" t="n"/>
      <c r="F862" s="43" t="n"/>
      <c r="G862" s="44">
        <f>IF(OR(B862="",F862=""),"",IFERROR(F862*INDEX(Mitarbeiter!$F$6:$F$205,MATCH(B862,Mitarbeiter!$A$6:$A$205,0)),0))</f>
        <v/>
      </c>
      <c r="H862" s="8">
        <f>IF(B862="","",IF(ISNA(MATCH(B862,Mitarbeiter!$A$6:$A$205,0)),"Pers.-Nr. unbekannt",IF(A862="","Datum fehlt",IF(AND(D862&lt;&gt;Einstellungen!$C$4,D862&lt;&gt;Einstellungen!$C$5),"Objekt fehlt",IF(YEAR(A862)&lt;&gt;Einstellungen!$C$3,"anderes Jahr",IF(A862&lt;INDEX(Mitarbeiter!$C$6:$C$205,MATCH(B862,Mitarbeiter!$A$6:$A$205,0)),"vor Eintritt",IF(AND(INDEX(Mitarbeiter!$D$6:$D$205,MATCH(B862,Mitarbeiter!$A$6:$A$205,0))&lt;&gt;"",A862&gt;INDEX(Mitarbeiter!$D$6:$D$205,MATCH(B862,Mitarbeiter!$A$6:$A$205,0))),"nach Austritt","ok")))))))</f>
        <v/>
      </c>
    </row>
    <row r="863">
      <c r="A863" s="26" t="n"/>
      <c r="B863" s="24" t="n"/>
      <c r="C863" s="40">
        <f>IF(B863="","",IFERROR(INDEX(Mitarbeiter!$B$6:$B$205,MATCH(B863,Mitarbeiter!$A$6:$A$205,0)),"?"))</f>
        <v/>
      </c>
      <c r="D863" s="41" t="n"/>
      <c r="E863" s="42" t="n"/>
      <c r="F863" s="43" t="n"/>
      <c r="G863" s="44">
        <f>IF(OR(B863="",F863=""),"",IFERROR(F863*INDEX(Mitarbeiter!$F$6:$F$205,MATCH(B863,Mitarbeiter!$A$6:$A$205,0)),0))</f>
        <v/>
      </c>
      <c r="H863" s="8">
        <f>IF(B863="","",IF(ISNA(MATCH(B863,Mitarbeiter!$A$6:$A$205,0)),"Pers.-Nr. unbekannt",IF(A863="","Datum fehlt",IF(AND(D863&lt;&gt;Einstellungen!$C$4,D863&lt;&gt;Einstellungen!$C$5),"Objekt fehlt",IF(YEAR(A863)&lt;&gt;Einstellungen!$C$3,"anderes Jahr",IF(A863&lt;INDEX(Mitarbeiter!$C$6:$C$205,MATCH(B863,Mitarbeiter!$A$6:$A$205,0)),"vor Eintritt",IF(AND(INDEX(Mitarbeiter!$D$6:$D$205,MATCH(B863,Mitarbeiter!$A$6:$A$205,0))&lt;&gt;"",A863&gt;INDEX(Mitarbeiter!$D$6:$D$205,MATCH(B863,Mitarbeiter!$A$6:$A$205,0))),"nach Austritt","ok")))))))</f>
        <v/>
      </c>
    </row>
    <row r="864">
      <c r="A864" s="26" t="n"/>
      <c r="B864" s="24" t="n"/>
      <c r="C864" s="40">
        <f>IF(B864="","",IFERROR(INDEX(Mitarbeiter!$B$6:$B$205,MATCH(B864,Mitarbeiter!$A$6:$A$205,0)),"?"))</f>
        <v/>
      </c>
      <c r="D864" s="41" t="n"/>
      <c r="E864" s="42" t="n"/>
      <c r="F864" s="43" t="n"/>
      <c r="G864" s="44">
        <f>IF(OR(B864="",F864=""),"",IFERROR(F864*INDEX(Mitarbeiter!$F$6:$F$205,MATCH(B864,Mitarbeiter!$A$6:$A$205,0)),0))</f>
        <v/>
      </c>
      <c r="H864" s="8">
        <f>IF(B864="","",IF(ISNA(MATCH(B864,Mitarbeiter!$A$6:$A$205,0)),"Pers.-Nr. unbekannt",IF(A864="","Datum fehlt",IF(AND(D864&lt;&gt;Einstellungen!$C$4,D864&lt;&gt;Einstellungen!$C$5),"Objekt fehlt",IF(YEAR(A864)&lt;&gt;Einstellungen!$C$3,"anderes Jahr",IF(A864&lt;INDEX(Mitarbeiter!$C$6:$C$205,MATCH(B864,Mitarbeiter!$A$6:$A$205,0)),"vor Eintritt",IF(AND(INDEX(Mitarbeiter!$D$6:$D$205,MATCH(B864,Mitarbeiter!$A$6:$A$205,0))&lt;&gt;"",A864&gt;INDEX(Mitarbeiter!$D$6:$D$205,MATCH(B864,Mitarbeiter!$A$6:$A$205,0))),"nach Austritt","ok")))))))</f>
        <v/>
      </c>
    </row>
    <row r="865">
      <c r="A865" s="26" t="n"/>
      <c r="B865" s="24" t="n"/>
      <c r="C865" s="40">
        <f>IF(B865="","",IFERROR(INDEX(Mitarbeiter!$B$6:$B$205,MATCH(B865,Mitarbeiter!$A$6:$A$205,0)),"?"))</f>
        <v/>
      </c>
      <c r="D865" s="41" t="n"/>
      <c r="E865" s="42" t="n"/>
      <c r="F865" s="43" t="n"/>
      <c r="G865" s="44">
        <f>IF(OR(B865="",F865=""),"",IFERROR(F865*INDEX(Mitarbeiter!$F$6:$F$205,MATCH(B865,Mitarbeiter!$A$6:$A$205,0)),0))</f>
        <v/>
      </c>
      <c r="H865" s="8">
        <f>IF(B865="","",IF(ISNA(MATCH(B865,Mitarbeiter!$A$6:$A$205,0)),"Pers.-Nr. unbekannt",IF(A865="","Datum fehlt",IF(AND(D865&lt;&gt;Einstellungen!$C$4,D865&lt;&gt;Einstellungen!$C$5),"Objekt fehlt",IF(YEAR(A865)&lt;&gt;Einstellungen!$C$3,"anderes Jahr",IF(A865&lt;INDEX(Mitarbeiter!$C$6:$C$205,MATCH(B865,Mitarbeiter!$A$6:$A$205,0)),"vor Eintritt",IF(AND(INDEX(Mitarbeiter!$D$6:$D$205,MATCH(B865,Mitarbeiter!$A$6:$A$205,0))&lt;&gt;"",A865&gt;INDEX(Mitarbeiter!$D$6:$D$205,MATCH(B865,Mitarbeiter!$A$6:$A$205,0))),"nach Austritt","ok")))))))</f>
        <v/>
      </c>
    </row>
    <row r="866">
      <c r="A866" s="26" t="n"/>
      <c r="B866" s="24" t="n"/>
      <c r="C866" s="40">
        <f>IF(B866="","",IFERROR(INDEX(Mitarbeiter!$B$6:$B$205,MATCH(B866,Mitarbeiter!$A$6:$A$205,0)),"?"))</f>
        <v/>
      </c>
      <c r="D866" s="41" t="n"/>
      <c r="E866" s="42" t="n"/>
      <c r="F866" s="43" t="n"/>
      <c r="G866" s="44">
        <f>IF(OR(B866="",F866=""),"",IFERROR(F866*INDEX(Mitarbeiter!$F$6:$F$205,MATCH(B866,Mitarbeiter!$A$6:$A$205,0)),0))</f>
        <v/>
      </c>
      <c r="H866" s="8">
        <f>IF(B866="","",IF(ISNA(MATCH(B866,Mitarbeiter!$A$6:$A$205,0)),"Pers.-Nr. unbekannt",IF(A866="","Datum fehlt",IF(AND(D866&lt;&gt;Einstellungen!$C$4,D866&lt;&gt;Einstellungen!$C$5),"Objekt fehlt",IF(YEAR(A866)&lt;&gt;Einstellungen!$C$3,"anderes Jahr",IF(A866&lt;INDEX(Mitarbeiter!$C$6:$C$205,MATCH(B866,Mitarbeiter!$A$6:$A$205,0)),"vor Eintritt",IF(AND(INDEX(Mitarbeiter!$D$6:$D$205,MATCH(B866,Mitarbeiter!$A$6:$A$205,0))&lt;&gt;"",A866&gt;INDEX(Mitarbeiter!$D$6:$D$205,MATCH(B866,Mitarbeiter!$A$6:$A$205,0))),"nach Austritt","ok")))))))</f>
        <v/>
      </c>
    </row>
    <row r="867">
      <c r="A867" s="26" t="n"/>
      <c r="B867" s="24" t="n"/>
      <c r="C867" s="40">
        <f>IF(B867="","",IFERROR(INDEX(Mitarbeiter!$B$6:$B$205,MATCH(B867,Mitarbeiter!$A$6:$A$205,0)),"?"))</f>
        <v/>
      </c>
      <c r="D867" s="41" t="n"/>
      <c r="E867" s="42" t="n"/>
      <c r="F867" s="43" t="n"/>
      <c r="G867" s="44">
        <f>IF(OR(B867="",F867=""),"",IFERROR(F867*INDEX(Mitarbeiter!$F$6:$F$205,MATCH(B867,Mitarbeiter!$A$6:$A$205,0)),0))</f>
        <v/>
      </c>
      <c r="H867" s="8">
        <f>IF(B867="","",IF(ISNA(MATCH(B867,Mitarbeiter!$A$6:$A$205,0)),"Pers.-Nr. unbekannt",IF(A867="","Datum fehlt",IF(AND(D867&lt;&gt;Einstellungen!$C$4,D867&lt;&gt;Einstellungen!$C$5),"Objekt fehlt",IF(YEAR(A867)&lt;&gt;Einstellungen!$C$3,"anderes Jahr",IF(A867&lt;INDEX(Mitarbeiter!$C$6:$C$205,MATCH(B867,Mitarbeiter!$A$6:$A$205,0)),"vor Eintritt",IF(AND(INDEX(Mitarbeiter!$D$6:$D$205,MATCH(B867,Mitarbeiter!$A$6:$A$205,0))&lt;&gt;"",A867&gt;INDEX(Mitarbeiter!$D$6:$D$205,MATCH(B867,Mitarbeiter!$A$6:$A$205,0))),"nach Austritt","ok")))))))</f>
        <v/>
      </c>
    </row>
    <row r="868">
      <c r="A868" s="26" t="n"/>
      <c r="B868" s="24" t="n"/>
      <c r="C868" s="40">
        <f>IF(B868="","",IFERROR(INDEX(Mitarbeiter!$B$6:$B$205,MATCH(B868,Mitarbeiter!$A$6:$A$205,0)),"?"))</f>
        <v/>
      </c>
      <c r="D868" s="41" t="n"/>
      <c r="E868" s="42" t="n"/>
      <c r="F868" s="43" t="n"/>
      <c r="G868" s="44">
        <f>IF(OR(B868="",F868=""),"",IFERROR(F868*INDEX(Mitarbeiter!$F$6:$F$205,MATCH(B868,Mitarbeiter!$A$6:$A$205,0)),0))</f>
        <v/>
      </c>
      <c r="H868" s="8">
        <f>IF(B868="","",IF(ISNA(MATCH(B868,Mitarbeiter!$A$6:$A$205,0)),"Pers.-Nr. unbekannt",IF(A868="","Datum fehlt",IF(AND(D868&lt;&gt;Einstellungen!$C$4,D868&lt;&gt;Einstellungen!$C$5),"Objekt fehlt",IF(YEAR(A868)&lt;&gt;Einstellungen!$C$3,"anderes Jahr",IF(A868&lt;INDEX(Mitarbeiter!$C$6:$C$205,MATCH(B868,Mitarbeiter!$A$6:$A$205,0)),"vor Eintritt",IF(AND(INDEX(Mitarbeiter!$D$6:$D$205,MATCH(B868,Mitarbeiter!$A$6:$A$205,0))&lt;&gt;"",A868&gt;INDEX(Mitarbeiter!$D$6:$D$205,MATCH(B868,Mitarbeiter!$A$6:$A$205,0))),"nach Austritt","ok")))))))</f>
        <v/>
      </c>
    </row>
    <row r="869">
      <c r="A869" s="26" t="n"/>
      <c r="B869" s="24" t="n"/>
      <c r="C869" s="40">
        <f>IF(B869="","",IFERROR(INDEX(Mitarbeiter!$B$6:$B$205,MATCH(B869,Mitarbeiter!$A$6:$A$205,0)),"?"))</f>
        <v/>
      </c>
      <c r="D869" s="41" t="n"/>
      <c r="E869" s="42" t="n"/>
      <c r="F869" s="43" t="n"/>
      <c r="G869" s="44">
        <f>IF(OR(B869="",F869=""),"",IFERROR(F869*INDEX(Mitarbeiter!$F$6:$F$205,MATCH(B869,Mitarbeiter!$A$6:$A$205,0)),0))</f>
        <v/>
      </c>
      <c r="H869" s="8">
        <f>IF(B869="","",IF(ISNA(MATCH(B869,Mitarbeiter!$A$6:$A$205,0)),"Pers.-Nr. unbekannt",IF(A869="","Datum fehlt",IF(AND(D869&lt;&gt;Einstellungen!$C$4,D869&lt;&gt;Einstellungen!$C$5),"Objekt fehlt",IF(YEAR(A869)&lt;&gt;Einstellungen!$C$3,"anderes Jahr",IF(A869&lt;INDEX(Mitarbeiter!$C$6:$C$205,MATCH(B869,Mitarbeiter!$A$6:$A$205,0)),"vor Eintritt",IF(AND(INDEX(Mitarbeiter!$D$6:$D$205,MATCH(B869,Mitarbeiter!$A$6:$A$205,0))&lt;&gt;"",A869&gt;INDEX(Mitarbeiter!$D$6:$D$205,MATCH(B869,Mitarbeiter!$A$6:$A$205,0))),"nach Austritt","ok")))))))</f>
        <v/>
      </c>
    </row>
    <row r="870">
      <c r="A870" s="26" t="n"/>
      <c r="B870" s="24" t="n"/>
      <c r="C870" s="40">
        <f>IF(B870="","",IFERROR(INDEX(Mitarbeiter!$B$6:$B$205,MATCH(B870,Mitarbeiter!$A$6:$A$205,0)),"?"))</f>
        <v/>
      </c>
      <c r="D870" s="41" t="n"/>
      <c r="E870" s="42" t="n"/>
      <c r="F870" s="43" t="n"/>
      <c r="G870" s="44">
        <f>IF(OR(B870="",F870=""),"",IFERROR(F870*INDEX(Mitarbeiter!$F$6:$F$205,MATCH(B870,Mitarbeiter!$A$6:$A$205,0)),0))</f>
        <v/>
      </c>
      <c r="H870" s="8">
        <f>IF(B870="","",IF(ISNA(MATCH(B870,Mitarbeiter!$A$6:$A$205,0)),"Pers.-Nr. unbekannt",IF(A870="","Datum fehlt",IF(AND(D870&lt;&gt;Einstellungen!$C$4,D870&lt;&gt;Einstellungen!$C$5),"Objekt fehlt",IF(YEAR(A870)&lt;&gt;Einstellungen!$C$3,"anderes Jahr",IF(A870&lt;INDEX(Mitarbeiter!$C$6:$C$205,MATCH(B870,Mitarbeiter!$A$6:$A$205,0)),"vor Eintritt",IF(AND(INDEX(Mitarbeiter!$D$6:$D$205,MATCH(B870,Mitarbeiter!$A$6:$A$205,0))&lt;&gt;"",A870&gt;INDEX(Mitarbeiter!$D$6:$D$205,MATCH(B870,Mitarbeiter!$A$6:$A$205,0))),"nach Austritt","ok")))))))</f>
        <v/>
      </c>
    </row>
    <row r="871">
      <c r="A871" s="26" t="n"/>
      <c r="B871" s="24" t="n"/>
      <c r="C871" s="40">
        <f>IF(B871="","",IFERROR(INDEX(Mitarbeiter!$B$6:$B$205,MATCH(B871,Mitarbeiter!$A$6:$A$205,0)),"?"))</f>
        <v/>
      </c>
      <c r="D871" s="41" t="n"/>
      <c r="E871" s="42" t="n"/>
      <c r="F871" s="43" t="n"/>
      <c r="G871" s="44">
        <f>IF(OR(B871="",F871=""),"",IFERROR(F871*INDEX(Mitarbeiter!$F$6:$F$205,MATCH(B871,Mitarbeiter!$A$6:$A$205,0)),0))</f>
        <v/>
      </c>
      <c r="H871" s="8">
        <f>IF(B871="","",IF(ISNA(MATCH(B871,Mitarbeiter!$A$6:$A$205,0)),"Pers.-Nr. unbekannt",IF(A871="","Datum fehlt",IF(AND(D871&lt;&gt;Einstellungen!$C$4,D871&lt;&gt;Einstellungen!$C$5),"Objekt fehlt",IF(YEAR(A871)&lt;&gt;Einstellungen!$C$3,"anderes Jahr",IF(A871&lt;INDEX(Mitarbeiter!$C$6:$C$205,MATCH(B871,Mitarbeiter!$A$6:$A$205,0)),"vor Eintritt",IF(AND(INDEX(Mitarbeiter!$D$6:$D$205,MATCH(B871,Mitarbeiter!$A$6:$A$205,0))&lt;&gt;"",A871&gt;INDEX(Mitarbeiter!$D$6:$D$205,MATCH(B871,Mitarbeiter!$A$6:$A$205,0))),"nach Austritt","ok")))))))</f>
        <v/>
      </c>
    </row>
    <row r="872">
      <c r="A872" s="26" t="n"/>
      <c r="B872" s="24" t="n"/>
      <c r="C872" s="40">
        <f>IF(B872="","",IFERROR(INDEX(Mitarbeiter!$B$6:$B$205,MATCH(B872,Mitarbeiter!$A$6:$A$205,0)),"?"))</f>
        <v/>
      </c>
      <c r="D872" s="41" t="n"/>
      <c r="E872" s="42" t="n"/>
      <c r="F872" s="43" t="n"/>
      <c r="G872" s="44">
        <f>IF(OR(B872="",F872=""),"",IFERROR(F872*INDEX(Mitarbeiter!$F$6:$F$205,MATCH(B872,Mitarbeiter!$A$6:$A$205,0)),0))</f>
        <v/>
      </c>
      <c r="H872" s="8">
        <f>IF(B872="","",IF(ISNA(MATCH(B872,Mitarbeiter!$A$6:$A$205,0)),"Pers.-Nr. unbekannt",IF(A872="","Datum fehlt",IF(AND(D872&lt;&gt;Einstellungen!$C$4,D872&lt;&gt;Einstellungen!$C$5),"Objekt fehlt",IF(YEAR(A872)&lt;&gt;Einstellungen!$C$3,"anderes Jahr",IF(A872&lt;INDEX(Mitarbeiter!$C$6:$C$205,MATCH(B872,Mitarbeiter!$A$6:$A$205,0)),"vor Eintritt",IF(AND(INDEX(Mitarbeiter!$D$6:$D$205,MATCH(B872,Mitarbeiter!$A$6:$A$205,0))&lt;&gt;"",A872&gt;INDEX(Mitarbeiter!$D$6:$D$205,MATCH(B872,Mitarbeiter!$A$6:$A$205,0))),"nach Austritt","ok")))))))</f>
        <v/>
      </c>
    </row>
    <row r="873">
      <c r="A873" s="26" t="n"/>
      <c r="B873" s="24" t="n"/>
      <c r="C873" s="40">
        <f>IF(B873="","",IFERROR(INDEX(Mitarbeiter!$B$6:$B$205,MATCH(B873,Mitarbeiter!$A$6:$A$205,0)),"?"))</f>
        <v/>
      </c>
      <c r="D873" s="41" t="n"/>
      <c r="E873" s="42" t="n"/>
      <c r="F873" s="43" t="n"/>
      <c r="G873" s="44">
        <f>IF(OR(B873="",F873=""),"",IFERROR(F873*INDEX(Mitarbeiter!$F$6:$F$205,MATCH(B873,Mitarbeiter!$A$6:$A$205,0)),0))</f>
        <v/>
      </c>
      <c r="H873" s="8">
        <f>IF(B873="","",IF(ISNA(MATCH(B873,Mitarbeiter!$A$6:$A$205,0)),"Pers.-Nr. unbekannt",IF(A873="","Datum fehlt",IF(AND(D873&lt;&gt;Einstellungen!$C$4,D873&lt;&gt;Einstellungen!$C$5),"Objekt fehlt",IF(YEAR(A873)&lt;&gt;Einstellungen!$C$3,"anderes Jahr",IF(A873&lt;INDEX(Mitarbeiter!$C$6:$C$205,MATCH(B873,Mitarbeiter!$A$6:$A$205,0)),"vor Eintritt",IF(AND(INDEX(Mitarbeiter!$D$6:$D$205,MATCH(B873,Mitarbeiter!$A$6:$A$205,0))&lt;&gt;"",A873&gt;INDEX(Mitarbeiter!$D$6:$D$205,MATCH(B873,Mitarbeiter!$A$6:$A$205,0))),"nach Austritt","ok")))))))</f>
        <v/>
      </c>
    </row>
    <row r="874">
      <c r="A874" s="26" t="n"/>
      <c r="B874" s="24" t="n"/>
      <c r="C874" s="40">
        <f>IF(B874="","",IFERROR(INDEX(Mitarbeiter!$B$6:$B$205,MATCH(B874,Mitarbeiter!$A$6:$A$205,0)),"?"))</f>
        <v/>
      </c>
      <c r="D874" s="41" t="n"/>
      <c r="E874" s="42" t="n"/>
      <c r="F874" s="43" t="n"/>
      <c r="G874" s="44">
        <f>IF(OR(B874="",F874=""),"",IFERROR(F874*INDEX(Mitarbeiter!$F$6:$F$205,MATCH(B874,Mitarbeiter!$A$6:$A$205,0)),0))</f>
        <v/>
      </c>
      <c r="H874" s="8">
        <f>IF(B874="","",IF(ISNA(MATCH(B874,Mitarbeiter!$A$6:$A$205,0)),"Pers.-Nr. unbekannt",IF(A874="","Datum fehlt",IF(AND(D874&lt;&gt;Einstellungen!$C$4,D874&lt;&gt;Einstellungen!$C$5),"Objekt fehlt",IF(YEAR(A874)&lt;&gt;Einstellungen!$C$3,"anderes Jahr",IF(A874&lt;INDEX(Mitarbeiter!$C$6:$C$205,MATCH(B874,Mitarbeiter!$A$6:$A$205,0)),"vor Eintritt",IF(AND(INDEX(Mitarbeiter!$D$6:$D$205,MATCH(B874,Mitarbeiter!$A$6:$A$205,0))&lt;&gt;"",A874&gt;INDEX(Mitarbeiter!$D$6:$D$205,MATCH(B874,Mitarbeiter!$A$6:$A$205,0))),"nach Austritt","ok")))))))</f>
        <v/>
      </c>
    </row>
    <row r="875">
      <c r="A875" s="26" t="n"/>
      <c r="B875" s="24" t="n"/>
      <c r="C875" s="40">
        <f>IF(B875="","",IFERROR(INDEX(Mitarbeiter!$B$6:$B$205,MATCH(B875,Mitarbeiter!$A$6:$A$205,0)),"?"))</f>
        <v/>
      </c>
      <c r="D875" s="41" t="n"/>
      <c r="E875" s="42" t="n"/>
      <c r="F875" s="43" t="n"/>
      <c r="G875" s="44">
        <f>IF(OR(B875="",F875=""),"",IFERROR(F875*INDEX(Mitarbeiter!$F$6:$F$205,MATCH(B875,Mitarbeiter!$A$6:$A$205,0)),0))</f>
        <v/>
      </c>
      <c r="H875" s="8">
        <f>IF(B875="","",IF(ISNA(MATCH(B875,Mitarbeiter!$A$6:$A$205,0)),"Pers.-Nr. unbekannt",IF(A875="","Datum fehlt",IF(AND(D875&lt;&gt;Einstellungen!$C$4,D875&lt;&gt;Einstellungen!$C$5),"Objekt fehlt",IF(YEAR(A875)&lt;&gt;Einstellungen!$C$3,"anderes Jahr",IF(A875&lt;INDEX(Mitarbeiter!$C$6:$C$205,MATCH(B875,Mitarbeiter!$A$6:$A$205,0)),"vor Eintritt",IF(AND(INDEX(Mitarbeiter!$D$6:$D$205,MATCH(B875,Mitarbeiter!$A$6:$A$205,0))&lt;&gt;"",A875&gt;INDEX(Mitarbeiter!$D$6:$D$205,MATCH(B875,Mitarbeiter!$A$6:$A$205,0))),"nach Austritt","ok")))))))</f>
        <v/>
      </c>
    </row>
    <row r="876">
      <c r="A876" s="26" t="n"/>
      <c r="B876" s="24" t="n"/>
      <c r="C876" s="40">
        <f>IF(B876="","",IFERROR(INDEX(Mitarbeiter!$B$6:$B$205,MATCH(B876,Mitarbeiter!$A$6:$A$205,0)),"?"))</f>
        <v/>
      </c>
      <c r="D876" s="41" t="n"/>
      <c r="E876" s="42" t="n"/>
      <c r="F876" s="43" t="n"/>
      <c r="G876" s="44">
        <f>IF(OR(B876="",F876=""),"",IFERROR(F876*INDEX(Mitarbeiter!$F$6:$F$205,MATCH(B876,Mitarbeiter!$A$6:$A$205,0)),0))</f>
        <v/>
      </c>
      <c r="H876" s="8">
        <f>IF(B876="","",IF(ISNA(MATCH(B876,Mitarbeiter!$A$6:$A$205,0)),"Pers.-Nr. unbekannt",IF(A876="","Datum fehlt",IF(AND(D876&lt;&gt;Einstellungen!$C$4,D876&lt;&gt;Einstellungen!$C$5),"Objekt fehlt",IF(YEAR(A876)&lt;&gt;Einstellungen!$C$3,"anderes Jahr",IF(A876&lt;INDEX(Mitarbeiter!$C$6:$C$205,MATCH(B876,Mitarbeiter!$A$6:$A$205,0)),"vor Eintritt",IF(AND(INDEX(Mitarbeiter!$D$6:$D$205,MATCH(B876,Mitarbeiter!$A$6:$A$205,0))&lt;&gt;"",A876&gt;INDEX(Mitarbeiter!$D$6:$D$205,MATCH(B876,Mitarbeiter!$A$6:$A$205,0))),"nach Austritt","ok")))))))</f>
        <v/>
      </c>
    </row>
    <row r="877">
      <c r="A877" s="26" t="n"/>
      <c r="B877" s="24" t="n"/>
      <c r="C877" s="40">
        <f>IF(B877="","",IFERROR(INDEX(Mitarbeiter!$B$6:$B$205,MATCH(B877,Mitarbeiter!$A$6:$A$205,0)),"?"))</f>
        <v/>
      </c>
      <c r="D877" s="41" t="n"/>
      <c r="E877" s="42" t="n"/>
      <c r="F877" s="43" t="n"/>
      <c r="G877" s="44">
        <f>IF(OR(B877="",F877=""),"",IFERROR(F877*INDEX(Mitarbeiter!$F$6:$F$205,MATCH(B877,Mitarbeiter!$A$6:$A$205,0)),0))</f>
        <v/>
      </c>
      <c r="H877" s="8">
        <f>IF(B877="","",IF(ISNA(MATCH(B877,Mitarbeiter!$A$6:$A$205,0)),"Pers.-Nr. unbekannt",IF(A877="","Datum fehlt",IF(AND(D877&lt;&gt;Einstellungen!$C$4,D877&lt;&gt;Einstellungen!$C$5),"Objekt fehlt",IF(YEAR(A877)&lt;&gt;Einstellungen!$C$3,"anderes Jahr",IF(A877&lt;INDEX(Mitarbeiter!$C$6:$C$205,MATCH(B877,Mitarbeiter!$A$6:$A$205,0)),"vor Eintritt",IF(AND(INDEX(Mitarbeiter!$D$6:$D$205,MATCH(B877,Mitarbeiter!$A$6:$A$205,0))&lt;&gt;"",A877&gt;INDEX(Mitarbeiter!$D$6:$D$205,MATCH(B877,Mitarbeiter!$A$6:$A$205,0))),"nach Austritt","ok")))))))</f>
        <v/>
      </c>
    </row>
    <row r="878">
      <c r="A878" s="26" t="n"/>
      <c r="B878" s="24" t="n"/>
      <c r="C878" s="40">
        <f>IF(B878="","",IFERROR(INDEX(Mitarbeiter!$B$6:$B$205,MATCH(B878,Mitarbeiter!$A$6:$A$205,0)),"?"))</f>
        <v/>
      </c>
      <c r="D878" s="41" t="n"/>
      <c r="E878" s="42" t="n"/>
      <c r="F878" s="43" t="n"/>
      <c r="G878" s="44">
        <f>IF(OR(B878="",F878=""),"",IFERROR(F878*INDEX(Mitarbeiter!$F$6:$F$205,MATCH(B878,Mitarbeiter!$A$6:$A$205,0)),0))</f>
        <v/>
      </c>
      <c r="H878" s="8">
        <f>IF(B878="","",IF(ISNA(MATCH(B878,Mitarbeiter!$A$6:$A$205,0)),"Pers.-Nr. unbekannt",IF(A878="","Datum fehlt",IF(AND(D878&lt;&gt;Einstellungen!$C$4,D878&lt;&gt;Einstellungen!$C$5),"Objekt fehlt",IF(YEAR(A878)&lt;&gt;Einstellungen!$C$3,"anderes Jahr",IF(A878&lt;INDEX(Mitarbeiter!$C$6:$C$205,MATCH(B878,Mitarbeiter!$A$6:$A$205,0)),"vor Eintritt",IF(AND(INDEX(Mitarbeiter!$D$6:$D$205,MATCH(B878,Mitarbeiter!$A$6:$A$205,0))&lt;&gt;"",A878&gt;INDEX(Mitarbeiter!$D$6:$D$205,MATCH(B878,Mitarbeiter!$A$6:$A$205,0))),"nach Austritt","ok")))))))</f>
        <v/>
      </c>
    </row>
    <row r="879">
      <c r="A879" s="26" t="n"/>
      <c r="B879" s="24" t="n"/>
      <c r="C879" s="40">
        <f>IF(B879="","",IFERROR(INDEX(Mitarbeiter!$B$6:$B$205,MATCH(B879,Mitarbeiter!$A$6:$A$205,0)),"?"))</f>
        <v/>
      </c>
      <c r="D879" s="41" t="n"/>
      <c r="E879" s="42" t="n"/>
      <c r="F879" s="43" t="n"/>
      <c r="G879" s="44">
        <f>IF(OR(B879="",F879=""),"",IFERROR(F879*INDEX(Mitarbeiter!$F$6:$F$205,MATCH(B879,Mitarbeiter!$A$6:$A$205,0)),0))</f>
        <v/>
      </c>
      <c r="H879" s="8">
        <f>IF(B879="","",IF(ISNA(MATCH(B879,Mitarbeiter!$A$6:$A$205,0)),"Pers.-Nr. unbekannt",IF(A879="","Datum fehlt",IF(AND(D879&lt;&gt;Einstellungen!$C$4,D879&lt;&gt;Einstellungen!$C$5),"Objekt fehlt",IF(YEAR(A879)&lt;&gt;Einstellungen!$C$3,"anderes Jahr",IF(A879&lt;INDEX(Mitarbeiter!$C$6:$C$205,MATCH(B879,Mitarbeiter!$A$6:$A$205,0)),"vor Eintritt",IF(AND(INDEX(Mitarbeiter!$D$6:$D$205,MATCH(B879,Mitarbeiter!$A$6:$A$205,0))&lt;&gt;"",A879&gt;INDEX(Mitarbeiter!$D$6:$D$205,MATCH(B879,Mitarbeiter!$A$6:$A$205,0))),"nach Austritt","ok")))))))</f>
        <v/>
      </c>
    </row>
    <row r="880">
      <c r="A880" s="26" t="n"/>
      <c r="B880" s="24" t="n"/>
      <c r="C880" s="40">
        <f>IF(B880="","",IFERROR(INDEX(Mitarbeiter!$B$6:$B$205,MATCH(B880,Mitarbeiter!$A$6:$A$205,0)),"?"))</f>
        <v/>
      </c>
      <c r="D880" s="41" t="n"/>
      <c r="E880" s="42" t="n"/>
      <c r="F880" s="43" t="n"/>
      <c r="G880" s="44">
        <f>IF(OR(B880="",F880=""),"",IFERROR(F880*INDEX(Mitarbeiter!$F$6:$F$205,MATCH(B880,Mitarbeiter!$A$6:$A$205,0)),0))</f>
        <v/>
      </c>
      <c r="H880" s="8">
        <f>IF(B880="","",IF(ISNA(MATCH(B880,Mitarbeiter!$A$6:$A$205,0)),"Pers.-Nr. unbekannt",IF(A880="","Datum fehlt",IF(AND(D880&lt;&gt;Einstellungen!$C$4,D880&lt;&gt;Einstellungen!$C$5),"Objekt fehlt",IF(YEAR(A880)&lt;&gt;Einstellungen!$C$3,"anderes Jahr",IF(A880&lt;INDEX(Mitarbeiter!$C$6:$C$205,MATCH(B880,Mitarbeiter!$A$6:$A$205,0)),"vor Eintritt",IF(AND(INDEX(Mitarbeiter!$D$6:$D$205,MATCH(B880,Mitarbeiter!$A$6:$A$205,0))&lt;&gt;"",A880&gt;INDEX(Mitarbeiter!$D$6:$D$205,MATCH(B880,Mitarbeiter!$A$6:$A$205,0))),"nach Austritt","ok")))))))</f>
        <v/>
      </c>
    </row>
    <row r="881">
      <c r="A881" s="26" t="n"/>
      <c r="B881" s="24" t="n"/>
      <c r="C881" s="40">
        <f>IF(B881="","",IFERROR(INDEX(Mitarbeiter!$B$6:$B$205,MATCH(B881,Mitarbeiter!$A$6:$A$205,0)),"?"))</f>
        <v/>
      </c>
      <c r="D881" s="41" t="n"/>
      <c r="E881" s="42" t="n"/>
      <c r="F881" s="43" t="n"/>
      <c r="G881" s="44">
        <f>IF(OR(B881="",F881=""),"",IFERROR(F881*INDEX(Mitarbeiter!$F$6:$F$205,MATCH(B881,Mitarbeiter!$A$6:$A$205,0)),0))</f>
        <v/>
      </c>
      <c r="H881" s="8">
        <f>IF(B881="","",IF(ISNA(MATCH(B881,Mitarbeiter!$A$6:$A$205,0)),"Pers.-Nr. unbekannt",IF(A881="","Datum fehlt",IF(AND(D881&lt;&gt;Einstellungen!$C$4,D881&lt;&gt;Einstellungen!$C$5),"Objekt fehlt",IF(YEAR(A881)&lt;&gt;Einstellungen!$C$3,"anderes Jahr",IF(A881&lt;INDEX(Mitarbeiter!$C$6:$C$205,MATCH(B881,Mitarbeiter!$A$6:$A$205,0)),"vor Eintritt",IF(AND(INDEX(Mitarbeiter!$D$6:$D$205,MATCH(B881,Mitarbeiter!$A$6:$A$205,0))&lt;&gt;"",A881&gt;INDEX(Mitarbeiter!$D$6:$D$205,MATCH(B881,Mitarbeiter!$A$6:$A$205,0))),"nach Austritt","ok")))))))</f>
        <v/>
      </c>
    </row>
    <row r="882">
      <c r="A882" s="26" t="n"/>
      <c r="B882" s="24" t="n"/>
      <c r="C882" s="40">
        <f>IF(B882="","",IFERROR(INDEX(Mitarbeiter!$B$6:$B$205,MATCH(B882,Mitarbeiter!$A$6:$A$205,0)),"?"))</f>
        <v/>
      </c>
      <c r="D882" s="41" t="n"/>
      <c r="E882" s="42" t="n"/>
      <c r="F882" s="43" t="n"/>
      <c r="G882" s="44">
        <f>IF(OR(B882="",F882=""),"",IFERROR(F882*INDEX(Mitarbeiter!$F$6:$F$205,MATCH(B882,Mitarbeiter!$A$6:$A$205,0)),0))</f>
        <v/>
      </c>
      <c r="H882" s="8">
        <f>IF(B882="","",IF(ISNA(MATCH(B882,Mitarbeiter!$A$6:$A$205,0)),"Pers.-Nr. unbekannt",IF(A882="","Datum fehlt",IF(AND(D882&lt;&gt;Einstellungen!$C$4,D882&lt;&gt;Einstellungen!$C$5),"Objekt fehlt",IF(YEAR(A882)&lt;&gt;Einstellungen!$C$3,"anderes Jahr",IF(A882&lt;INDEX(Mitarbeiter!$C$6:$C$205,MATCH(B882,Mitarbeiter!$A$6:$A$205,0)),"vor Eintritt",IF(AND(INDEX(Mitarbeiter!$D$6:$D$205,MATCH(B882,Mitarbeiter!$A$6:$A$205,0))&lt;&gt;"",A882&gt;INDEX(Mitarbeiter!$D$6:$D$205,MATCH(B882,Mitarbeiter!$A$6:$A$205,0))),"nach Austritt","ok")))))))</f>
        <v/>
      </c>
    </row>
    <row r="883">
      <c r="A883" s="26" t="n"/>
      <c r="B883" s="24" t="n"/>
      <c r="C883" s="40">
        <f>IF(B883="","",IFERROR(INDEX(Mitarbeiter!$B$6:$B$205,MATCH(B883,Mitarbeiter!$A$6:$A$205,0)),"?"))</f>
        <v/>
      </c>
      <c r="D883" s="41" t="n"/>
      <c r="E883" s="42" t="n"/>
      <c r="F883" s="43" t="n"/>
      <c r="G883" s="44">
        <f>IF(OR(B883="",F883=""),"",IFERROR(F883*INDEX(Mitarbeiter!$F$6:$F$205,MATCH(B883,Mitarbeiter!$A$6:$A$205,0)),0))</f>
        <v/>
      </c>
      <c r="H883" s="8">
        <f>IF(B883="","",IF(ISNA(MATCH(B883,Mitarbeiter!$A$6:$A$205,0)),"Pers.-Nr. unbekannt",IF(A883="","Datum fehlt",IF(AND(D883&lt;&gt;Einstellungen!$C$4,D883&lt;&gt;Einstellungen!$C$5),"Objekt fehlt",IF(YEAR(A883)&lt;&gt;Einstellungen!$C$3,"anderes Jahr",IF(A883&lt;INDEX(Mitarbeiter!$C$6:$C$205,MATCH(B883,Mitarbeiter!$A$6:$A$205,0)),"vor Eintritt",IF(AND(INDEX(Mitarbeiter!$D$6:$D$205,MATCH(B883,Mitarbeiter!$A$6:$A$205,0))&lt;&gt;"",A883&gt;INDEX(Mitarbeiter!$D$6:$D$205,MATCH(B883,Mitarbeiter!$A$6:$A$205,0))),"nach Austritt","ok")))))))</f>
        <v/>
      </c>
    </row>
    <row r="884">
      <c r="A884" s="26" t="n"/>
      <c r="B884" s="24" t="n"/>
      <c r="C884" s="40">
        <f>IF(B884="","",IFERROR(INDEX(Mitarbeiter!$B$6:$B$205,MATCH(B884,Mitarbeiter!$A$6:$A$205,0)),"?"))</f>
        <v/>
      </c>
      <c r="D884" s="41" t="n"/>
      <c r="E884" s="42" t="n"/>
      <c r="F884" s="43" t="n"/>
      <c r="G884" s="44">
        <f>IF(OR(B884="",F884=""),"",IFERROR(F884*INDEX(Mitarbeiter!$F$6:$F$205,MATCH(B884,Mitarbeiter!$A$6:$A$205,0)),0))</f>
        <v/>
      </c>
      <c r="H884" s="8">
        <f>IF(B884="","",IF(ISNA(MATCH(B884,Mitarbeiter!$A$6:$A$205,0)),"Pers.-Nr. unbekannt",IF(A884="","Datum fehlt",IF(AND(D884&lt;&gt;Einstellungen!$C$4,D884&lt;&gt;Einstellungen!$C$5),"Objekt fehlt",IF(YEAR(A884)&lt;&gt;Einstellungen!$C$3,"anderes Jahr",IF(A884&lt;INDEX(Mitarbeiter!$C$6:$C$205,MATCH(B884,Mitarbeiter!$A$6:$A$205,0)),"vor Eintritt",IF(AND(INDEX(Mitarbeiter!$D$6:$D$205,MATCH(B884,Mitarbeiter!$A$6:$A$205,0))&lt;&gt;"",A884&gt;INDEX(Mitarbeiter!$D$6:$D$205,MATCH(B884,Mitarbeiter!$A$6:$A$205,0))),"nach Austritt","ok")))))))</f>
        <v/>
      </c>
    </row>
    <row r="885">
      <c r="A885" s="26" t="n"/>
      <c r="B885" s="24" t="n"/>
      <c r="C885" s="40">
        <f>IF(B885="","",IFERROR(INDEX(Mitarbeiter!$B$6:$B$205,MATCH(B885,Mitarbeiter!$A$6:$A$205,0)),"?"))</f>
        <v/>
      </c>
      <c r="D885" s="41" t="n"/>
      <c r="E885" s="42" t="n"/>
      <c r="F885" s="43" t="n"/>
      <c r="G885" s="44">
        <f>IF(OR(B885="",F885=""),"",IFERROR(F885*INDEX(Mitarbeiter!$F$6:$F$205,MATCH(B885,Mitarbeiter!$A$6:$A$205,0)),0))</f>
        <v/>
      </c>
      <c r="H885" s="8">
        <f>IF(B885="","",IF(ISNA(MATCH(B885,Mitarbeiter!$A$6:$A$205,0)),"Pers.-Nr. unbekannt",IF(A885="","Datum fehlt",IF(AND(D885&lt;&gt;Einstellungen!$C$4,D885&lt;&gt;Einstellungen!$C$5),"Objekt fehlt",IF(YEAR(A885)&lt;&gt;Einstellungen!$C$3,"anderes Jahr",IF(A885&lt;INDEX(Mitarbeiter!$C$6:$C$205,MATCH(B885,Mitarbeiter!$A$6:$A$205,0)),"vor Eintritt",IF(AND(INDEX(Mitarbeiter!$D$6:$D$205,MATCH(B885,Mitarbeiter!$A$6:$A$205,0))&lt;&gt;"",A885&gt;INDEX(Mitarbeiter!$D$6:$D$205,MATCH(B885,Mitarbeiter!$A$6:$A$205,0))),"nach Austritt","ok")))))))</f>
        <v/>
      </c>
    </row>
    <row r="886">
      <c r="A886" s="26" t="n"/>
      <c r="B886" s="24" t="n"/>
      <c r="C886" s="40">
        <f>IF(B886="","",IFERROR(INDEX(Mitarbeiter!$B$6:$B$205,MATCH(B886,Mitarbeiter!$A$6:$A$205,0)),"?"))</f>
        <v/>
      </c>
      <c r="D886" s="41" t="n"/>
      <c r="E886" s="42" t="n"/>
      <c r="F886" s="43" t="n"/>
      <c r="G886" s="44">
        <f>IF(OR(B886="",F886=""),"",IFERROR(F886*INDEX(Mitarbeiter!$F$6:$F$205,MATCH(B886,Mitarbeiter!$A$6:$A$205,0)),0))</f>
        <v/>
      </c>
      <c r="H886" s="8">
        <f>IF(B886="","",IF(ISNA(MATCH(B886,Mitarbeiter!$A$6:$A$205,0)),"Pers.-Nr. unbekannt",IF(A886="","Datum fehlt",IF(AND(D886&lt;&gt;Einstellungen!$C$4,D886&lt;&gt;Einstellungen!$C$5),"Objekt fehlt",IF(YEAR(A886)&lt;&gt;Einstellungen!$C$3,"anderes Jahr",IF(A886&lt;INDEX(Mitarbeiter!$C$6:$C$205,MATCH(B886,Mitarbeiter!$A$6:$A$205,0)),"vor Eintritt",IF(AND(INDEX(Mitarbeiter!$D$6:$D$205,MATCH(B886,Mitarbeiter!$A$6:$A$205,0))&lt;&gt;"",A886&gt;INDEX(Mitarbeiter!$D$6:$D$205,MATCH(B886,Mitarbeiter!$A$6:$A$205,0))),"nach Austritt","ok")))))))</f>
        <v/>
      </c>
    </row>
    <row r="887">
      <c r="A887" s="26" t="n"/>
      <c r="B887" s="24" t="n"/>
      <c r="C887" s="40">
        <f>IF(B887="","",IFERROR(INDEX(Mitarbeiter!$B$6:$B$205,MATCH(B887,Mitarbeiter!$A$6:$A$205,0)),"?"))</f>
        <v/>
      </c>
      <c r="D887" s="41" t="n"/>
      <c r="E887" s="42" t="n"/>
      <c r="F887" s="43" t="n"/>
      <c r="G887" s="44">
        <f>IF(OR(B887="",F887=""),"",IFERROR(F887*INDEX(Mitarbeiter!$F$6:$F$205,MATCH(B887,Mitarbeiter!$A$6:$A$205,0)),0))</f>
        <v/>
      </c>
      <c r="H887" s="8">
        <f>IF(B887="","",IF(ISNA(MATCH(B887,Mitarbeiter!$A$6:$A$205,0)),"Pers.-Nr. unbekannt",IF(A887="","Datum fehlt",IF(AND(D887&lt;&gt;Einstellungen!$C$4,D887&lt;&gt;Einstellungen!$C$5),"Objekt fehlt",IF(YEAR(A887)&lt;&gt;Einstellungen!$C$3,"anderes Jahr",IF(A887&lt;INDEX(Mitarbeiter!$C$6:$C$205,MATCH(B887,Mitarbeiter!$A$6:$A$205,0)),"vor Eintritt",IF(AND(INDEX(Mitarbeiter!$D$6:$D$205,MATCH(B887,Mitarbeiter!$A$6:$A$205,0))&lt;&gt;"",A887&gt;INDEX(Mitarbeiter!$D$6:$D$205,MATCH(B887,Mitarbeiter!$A$6:$A$205,0))),"nach Austritt","ok")))))))</f>
        <v/>
      </c>
    </row>
    <row r="888">
      <c r="A888" s="26" t="n"/>
      <c r="B888" s="24" t="n"/>
      <c r="C888" s="40">
        <f>IF(B888="","",IFERROR(INDEX(Mitarbeiter!$B$6:$B$205,MATCH(B888,Mitarbeiter!$A$6:$A$205,0)),"?"))</f>
        <v/>
      </c>
      <c r="D888" s="41" t="n"/>
      <c r="E888" s="42" t="n"/>
      <c r="F888" s="43" t="n"/>
      <c r="G888" s="44">
        <f>IF(OR(B888="",F888=""),"",IFERROR(F888*INDEX(Mitarbeiter!$F$6:$F$205,MATCH(B888,Mitarbeiter!$A$6:$A$205,0)),0))</f>
        <v/>
      </c>
      <c r="H888" s="8">
        <f>IF(B888="","",IF(ISNA(MATCH(B888,Mitarbeiter!$A$6:$A$205,0)),"Pers.-Nr. unbekannt",IF(A888="","Datum fehlt",IF(AND(D888&lt;&gt;Einstellungen!$C$4,D888&lt;&gt;Einstellungen!$C$5),"Objekt fehlt",IF(YEAR(A888)&lt;&gt;Einstellungen!$C$3,"anderes Jahr",IF(A888&lt;INDEX(Mitarbeiter!$C$6:$C$205,MATCH(B888,Mitarbeiter!$A$6:$A$205,0)),"vor Eintritt",IF(AND(INDEX(Mitarbeiter!$D$6:$D$205,MATCH(B888,Mitarbeiter!$A$6:$A$205,0))&lt;&gt;"",A888&gt;INDEX(Mitarbeiter!$D$6:$D$205,MATCH(B888,Mitarbeiter!$A$6:$A$205,0))),"nach Austritt","ok")))))))</f>
        <v/>
      </c>
    </row>
    <row r="889">
      <c r="A889" s="26" t="n"/>
      <c r="B889" s="24" t="n"/>
      <c r="C889" s="40">
        <f>IF(B889="","",IFERROR(INDEX(Mitarbeiter!$B$6:$B$205,MATCH(B889,Mitarbeiter!$A$6:$A$205,0)),"?"))</f>
        <v/>
      </c>
      <c r="D889" s="41" t="n"/>
      <c r="E889" s="42" t="n"/>
      <c r="F889" s="43" t="n"/>
      <c r="G889" s="44">
        <f>IF(OR(B889="",F889=""),"",IFERROR(F889*INDEX(Mitarbeiter!$F$6:$F$205,MATCH(B889,Mitarbeiter!$A$6:$A$205,0)),0))</f>
        <v/>
      </c>
      <c r="H889" s="8">
        <f>IF(B889="","",IF(ISNA(MATCH(B889,Mitarbeiter!$A$6:$A$205,0)),"Pers.-Nr. unbekannt",IF(A889="","Datum fehlt",IF(AND(D889&lt;&gt;Einstellungen!$C$4,D889&lt;&gt;Einstellungen!$C$5),"Objekt fehlt",IF(YEAR(A889)&lt;&gt;Einstellungen!$C$3,"anderes Jahr",IF(A889&lt;INDEX(Mitarbeiter!$C$6:$C$205,MATCH(B889,Mitarbeiter!$A$6:$A$205,0)),"vor Eintritt",IF(AND(INDEX(Mitarbeiter!$D$6:$D$205,MATCH(B889,Mitarbeiter!$A$6:$A$205,0))&lt;&gt;"",A889&gt;INDEX(Mitarbeiter!$D$6:$D$205,MATCH(B889,Mitarbeiter!$A$6:$A$205,0))),"nach Austritt","ok")))))))</f>
        <v/>
      </c>
    </row>
    <row r="890">
      <c r="A890" s="26" t="n"/>
      <c r="B890" s="24" t="n"/>
      <c r="C890" s="40">
        <f>IF(B890="","",IFERROR(INDEX(Mitarbeiter!$B$6:$B$205,MATCH(B890,Mitarbeiter!$A$6:$A$205,0)),"?"))</f>
        <v/>
      </c>
      <c r="D890" s="41" t="n"/>
      <c r="E890" s="42" t="n"/>
      <c r="F890" s="43" t="n"/>
      <c r="G890" s="44">
        <f>IF(OR(B890="",F890=""),"",IFERROR(F890*INDEX(Mitarbeiter!$F$6:$F$205,MATCH(B890,Mitarbeiter!$A$6:$A$205,0)),0))</f>
        <v/>
      </c>
      <c r="H890" s="8">
        <f>IF(B890="","",IF(ISNA(MATCH(B890,Mitarbeiter!$A$6:$A$205,0)),"Pers.-Nr. unbekannt",IF(A890="","Datum fehlt",IF(AND(D890&lt;&gt;Einstellungen!$C$4,D890&lt;&gt;Einstellungen!$C$5),"Objekt fehlt",IF(YEAR(A890)&lt;&gt;Einstellungen!$C$3,"anderes Jahr",IF(A890&lt;INDEX(Mitarbeiter!$C$6:$C$205,MATCH(B890,Mitarbeiter!$A$6:$A$205,0)),"vor Eintritt",IF(AND(INDEX(Mitarbeiter!$D$6:$D$205,MATCH(B890,Mitarbeiter!$A$6:$A$205,0))&lt;&gt;"",A890&gt;INDEX(Mitarbeiter!$D$6:$D$205,MATCH(B890,Mitarbeiter!$A$6:$A$205,0))),"nach Austritt","ok")))))))</f>
        <v/>
      </c>
    </row>
    <row r="891">
      <c r="A891" s="26" t="n"/>
      <c r="B891" s="24" t="n"/>
      <c r="C891" s="40">
        <f>IF(B891="","",IFERROR(INDEX(Mitarbeiter!$B$6:$B$205,MATCH(B891,Mitarbeiter!$A$6:$A$205,0)),"?"))</f>
        <v/>
      </c>
      <c r="D891" s="41" t="n"/>
      <c r="E891" s="42" t="n"/>
      <c r="F891" s="43" t="n"/>
      <c r="G891" s="44">
        <f>IF(OR(B891="",F891=""),"",IFERROR(F891*INDEX(Mitarbeiter!$F$6:$F$205,MATCH(B891,Mitarbeiter!$A$6:$A$205,0)),0))</f>
        <v/>
      </c>
      <c r="H891" s="8">
        <f>IF(B891="","",IF(ISNA(MATCH(B891,Mitarbeiter!$A$6:$A$205,0)),"Pers.-Nr. unbekannt",IF(A891="","Datum fehlt",IF(AND(D891&lt;&gt;Einstellungen!$C$4,D891&lt;&gt;Einstellungen!$C$5),"Objekt fehlt",IF(YEAR(A891)&lt;&gt;Einstellungen!$C$3,"anderes Jahr",IF(A891&lt;INDEX(Mitarbeiter!$C$6:$C$205,MATCH(B891,Mitarbeiter!$A$6:$A$205,0)),"vor Eintritt",IF(AND(INDEX(Mitarbeiter!$D$6:$D$205,MATCH(B891,Mitarbeiter!$A$6:$A$205,0))&lt;&gt;"",A891&gt;INDEX(Mitarbeiter!$D$6:$D$205,MATCH(B891,Mitarbeiter!$A$6:$A$205,0))),"nach Austritt","ok")))))))</f>
        <v/>
      </c>
    </row>
    <row r="892">
      <c r="A892" s="26" t="n"/>
      <c r="B892" s="24" t="n"/>
      <c r="C892" s="40">
        <f>IF(B892="","",IFERROR(INDEX(Mitarbeiter!$B$6:$B$205,MATCH(B892,Mitarbeiter!$A$6:$A$205,0)),"?"))</f>
        <v/>
      </c>
      <c r="D892" s="41" t="n"/>
      <c r="E892" s="42" t="n"/>
      <c r="F892" s="43" t="n"/>
      <c r="G892" s="44">
        <f>IF(OR(B892="",F892=""),"",IFERROR(F892*INDEX(Mitarbeiter!$F$6:$F$205,MATCH(B892,Mitarbeiter!$A$6:$A$205,0)),0))</f>
        <v/>
      </c>
      <c r="H892" s="8">
        <f>IF(B892="","",IF(ISNA(MATCH(B892,Mitarbeiter!$A$6:$A$205,0)),"Pers.-Nr. unbekannt",IF(A892="","Datum fehlt",IF(AND(D892&lt;&gt;Einstellungen!$C$4,D892&lt;&gt;Einstellungen!$C$5),"Objekt fehlt",IF(YEAR(A892)&lt;&gt;Einstellungen!$C$3,"anderes Jahr",IF(A892&lt;INDEX(Mitarbeiter!$C$6:$C$205,MATCH(B892,Mitarbeiter!$A$6:$A$205,0)),"vor Eintritt",IF(AND(INDEX(Mitarbeiter!$D$6:$D$205,MATCH(B892,Mitarbeiter!$A$6:$A$205,0))&lt;&gt;"",A892&gt;INDEX(Mitarbeiter!$D$6:$D$205,MATCH(B892,Mitarbeiter!$A$6:$A$205,0))),"nach Austritt","ok")))))))</f>
        <v/>
      </c>
    </row>
    <row r="893">
      <c r="A893" s="26" t="n"/>
      <c r="B893" s="24" t="n"/>
      <c r="C893" s="40">
        <f>IF(B893="","",IFERROR(INDEX(Mitarbeiter!$B$6:$B$205,MATCH(B893,Mitarbeiter!$A$6:$A$205,0)),"?"))</f>
        <v/>
      </c>
      <c r="D893" s="41" t="n"/>
      <c r="E893" s="42" t="n"/>
      <c r="F893" s="43" t="n"/>
      <c r="G893" s="44">
        <f>IF(OR(B893="",F893=""),"",IFERROR(F893*INDEX(Mitarbeiter!$F$6:$F$205,MATCH(B893,Mitarbeiter!$A$6:$A$205,0)),0))</f>
        <v/>
      </c>
      <c r="H893" s="8">
        <f>IF(B893="","",IF(ISNA(MATCH(B893,Mitarbeiter!$A$6:$A$205,0)),"Pers.-Nr. unbekannt",IF(A893="","Datum fehlt",IF(AND(D893&lt;&gt;Einstellungen!$C$4,D893&lt;&gt;Einstellungen!$C$5),"Objekt fehlt",IF(YEAR(A893)&lt;&gt;Einstellungen!$C$3,"anderes Jahr",IF(A893&lt;INDEX(Mitarbeiter!$C$6:$C$205,MATCH(B893,Mitarbeiter!$A$6:$A$205,0)),"vor Eintritt",IF(AND(INDEX(Mitarbeiter!$D$6:$D$205,MATCH(B893,Mitarbeiter!$A$6:$A$205,0))&lt;&gt;"",A893&gt;INDEX(Mitarbeiter!$D$6:$D$205,MATCH(B893,Mitarbeiter!$A$6:$A$205,0))),"nach Austritt","ok")))))))</f>
        <v/>
      </c>
    </row>
    <row r="894">
      <c r="A894" s="26" t="n"/>
      <c r="B894" s="24" t="n"/>
      <c r="C894" s="40">
        <f>IF(B894="","",IFERROR(INDEX(Mitarbeiter!$B$6:$B$205,MATCH(B894,Mitarbeiter!$A$6:$A$205,0)),"?"))</f>
        <v/>
      </c>
      <c r="D894" s="41" t="n"/>
      <c r="E894" s="42" t="n"/>
      <c r="F894" s="43" t="n"/>
      <c r="G894" s="44">
        <f>IF(OR(B894="",F894=""),"",IFERROR(F894*INDEX(Mitarbeiter!$F$6:$F$205,MATCH(B894,Mitarbeiter!$A$6:$A$205,0)),0))</f>
        <v/>
      </c>
      <c r="H894" s="8">
        <f>IF(B894="","",IF(ISNA(MATCH(B894,Mitarbeiter!$A$6:$A$205,0)),"Pers.-Nr. unbekannt",IF(A894="","Datum fehlt",IF(AND(D894&lt;&gt;Einstellungen!$C$4,D894&lt;&gt;Einstellungen!$C$5),"Objekt fehlt",IF(YEAR(A894)&lt;&gt;Einstellungen!$C$3,"anderes Jahr",IF(A894&lt;INDEX(Mitarbeiter!$C$6:$C$205,MATCH(B894,Mitarbeiter!$A$6:$A$205,0)),"vor Eintritt",IF(AND(INDEX(Mitarbeiter!$D$6:$D$205,MATCH(B894,Mitarbeiter!$A$6:$A$205,0))&lt;&gt;"",A894&gt;INDEX(Mitarbeiter!$D$6:$D$205,MATCH(B894,Mitarbeiter!$A$6:$A$205,0))),"nach Austritt","ok")))))))</f>
        <v/>
      </c>
    </row>
    <row r="895">
      <c r="A895" s="26" t="n"/>
      <c r="B895" s="24" t="n"/>
      <c r="C895" s="40">
        <f>IF(B895="","",IFERROR(INDEX(Mitarbeiter!$B$6:$B$205,MATCH(B895,Mitarbeiter!$A$6:$A$205,0)),"?"))</f>
        <v/>
      </c>
      <c r="D895" s="41" t="n"/>
      <c r="E895" s="42" t="n"/>
      <c r="F895" s="43" t="n"/>
      <c r="G895" s="44">
        <f>IF(OR(B895="",F895=""),"",IFERROR(F895*INDEX(Mitarbeiter!$F$6:$F$205,MATCH(B895,Mitarbeiter!$A$6:$A$205,0)),0))</f>
        <v/>
      </c>
      <c r="H895" s="8">
        <f>IF(B895="","",IF(ISNA(MATCH(B895,Mitarbeiter!$A$6:$A$205,0)),"Pers.-Nr. unbekannt",IF(A895="","Datum fehlt",IF(AND(D895&lt;&gt;Einstellungen!$C$4,D895&lt;&gt;Einstellungen!$C$5),"Objekt fehlt",IF(YEAR(A895)&lt;&gt;Einstellungen!$C$3,"anderes Jahr",IF(A895&lt;INDEX(Mitarbeiter!$C$6:$C$205,MATCH(B895,Mitarbeiter!$A$6:$A$205,0)),"vor Eintritt",IF(AND(INDEX(Mitarbeiter!$D$6:$D$205,MATCH(B895,Mitarbeiter!$A$6:$A$205,0))&lt;&gt;"",A895&gt;INDEX(Mitarbeiter!$D$6:$D$205,MATCH(B895,Mitarbeiter!$A$6:$A$205,0))),"nach Austritt","ok")))))))</f>
        <v/>
      </c>
    </row>
    <row r="896">
      <c r="A896" s="26" t="n"/>
      <c r="B896" s="24" t="n"/>
      <c r="C896" s="40">
        <f>IF(B896="","",IFERROR(INDEX(Mitarbeiter!$B$6:$B$205,MATCH(B896,Mitarbeiter!$A$6:$A$205,0)),"?"))</f>
        <v/>
      </c>
      <c r="D896" s="41" t="n"/>
      <c r="E896" s="42" t="n"/>
      <c r="F896" s="43" t="n"/>
      <c r="G896" s="44">
        <f>IF(OR(B896="",F896=""),"",IFERROR(F896*INDEX(Mitarbeiter!$F$6:$F$205,MATCH(B896,Mitarbeiter!$A$6:$A$205,0)),0))</f>
        <v/>
      </c>
      <c r="H896" s="8">
        <f>IF(B896="","",IF(ISNA(MATCH(B896,Mitarbeiter!$A$6:$A$205,0)),"Pers.-Nr. unbekannt",IF(A896="","Datum fehlt",IF(AND(D896&lt;&gt;Einstellungen!$C$4,D896&lt;&gt;Einstellungen!$C$5),"Objekt fehlt",IF(YEAR(A896)&lt;&gt;Einstellungen!$C$3,"anderes Jahr",IF(A896&lt;INDEX(Mitarbeiter!$C$6:$C$205,MATCH(B896,Mitarbeiter!$A$6:$A$205,0)),"vor Eintritt",IF(AND(INDEX(Mitarbeiter!$D$6:$D$205,MATCH(B896,Mitarbeiter!$A$6:$A$205,0))&lt;&gt;"",A896&gt;INDEX(Mitarbeiter!$D$6:$D$205,MATCH(B896,Mitarbeiter!$A$6:$A$205,0))),"nach Austritt","ok")))))))</f>
        <v/>
      </c>
    </row>
    <row r="897">
      <c r="A897" s="26" t="n"/>
      <c r="B897" s="24" t="n"/>
      <c r="C897" s="40">
        <f>IF(B897="","",IFERROR(INDEX(Mitarbeiter!$B$6:$B$205,MATCH(B897,Mitarbeiter!$A$6:$A$205,0)),"?"))</f>
        <v/>
      </c>
      <c r="D897" s="41" t="n"/>
      <c r="E897" s="42" t="n"/>
      <c r="F897" s="43" t="n"/>
      <c r="G897" s="44">
        <f>IF(OR(B897="",F897=""),"",IFERROR(F897*INDEX(Mitarbeiter!$F$6:$F$205,MATCH(B897,Mitarbeiter!$A$6:$A$205,0)),0))</f>
        <v/>
      </c>
      <c r="H897" s="8">
        <f>IF(B897="","",IF(ISNA(MATCH(B897,Mitarbeiter!$A$6:$A$205,0)),"Pers.-Nr. unbekannt",IF(A897="","Datum fehlt",IF(AND(D897&lt;&gt;Einstellungen!$C$4,D897&lt;&gt;Einstellungen!$C$5),"Objekt fehlt",IF(YEAR(A897)&lt;&gt;Einstellungen!$C$3,"anderes Jahr",IF(A897&lt;INDEX(Mitarbeiter!$C$6:$C$205,MATCH(B897,Mitarbeiter!$A$6:$A$205,0)),"vor Eintritt",IF(AND(INDEX(Mitarbeiter!$D$6:$D$205,MATCH(B897,Mitarbeiter!$A$6:$A$205,0))&lt;&gt;"",A897&gt;INDEX(Mitarbeiter!$D$6:$D$205,MATCH(B897,Mitarbeiter!$A$6:$A$205,0))),"nach Austritt","ok")))))))</f>
        <v/>
      </c>
    </row>
    <row r="898">
      <c r="A898" s="26" t="n"/>
      <c r="B898" s="24" t="n"/>
      <c r="C898" s="40">
        <f>IF(B898="","",IFERROR(INDEX(Mitarbeiter!$B$6:$B$205,MATCH(B898,Mitarbeiter!$A$6:$A$205,0)),"?"))</f>
        <v/>
      </c>
      <c r="D898" s="41" t="n"/>
      <c r="E898" s="42" t="n"/>
      <c r="F898" s="43" t="n"/>
      <c r="G898" s="44">
        <f>IF(OR(B898="",F898=""),"",IFERROR(F898*INDEX(Mitarbeiter!$F$6:$F$205,MATCH(B898,Mitarbeiter!$A$6:$A$205,0)),0))</f>
        <v/>
      </c>
      <c r="H898" s="8">
        <f>IF(B898="","",IF(ISNA(MATCH(B898,Mitarbeiter!$A$6:$A$205,0)),"Pers.-Nr. unbekannt",IF(A898="","Datum fehlt",IF(AND(D898&lt;&gt;Einstellungen!$C$4,D898&lt;&gt;Einstellungen!$C$5),"Objekt fehlt",IF(YEAR(A898)&lt;&gt;Einstellungen!$C$3,"anderes Jahr",IF(A898&lt;INDEX(Mitarbeiter!$C$6:$C$205,MATCH(B898,Mitarbeiter!$A$6:$A$205,0)),"vor Eintritt",IF(AND(INDEX(Mitarbeiter!$D$6:$D$205,MATCH(B898,Mitarbeiter!$A$6:$A$205,0))&lt;&gt;"",A898&gt;INDEX(Mitarbeiter!$D$6:$D$205,MATCH(B898,Mitarbeiter!$A$6:$A$205,0))),"nach Austritt","ok")))))))</f>
        <v/>
      </c>
    </row>
    <row r="899">
      <c r="A899" s="26" t="n"/>
      <c r="B899" s="24" t="n"/>
      <c r="C899" s="40">
        <f>IF(B899="","",IFERROR(INDEX(Mitarbeiter!$B$6:$B$205,MATCH(B899,Mitarbeiter!$A$6:$A$205,0)),"?"))</f>
        <v/>
      </c>
      <c r="D899" s="41" t="n"/>
      <c r="E899" s="42" t="n"/>
      <c r="F899" s="43" t="n"/>
      <c r="G899" s="44">
        <f>IF(OR(B899="",F899=""),"",IFERROR(F899*INDEX(Mitarbeiter!$F$6:$F$205,MATCH(B899,Mitarbeiter!$A$6:$A$205,0)),0))</f>
        <v/>
      </c>
      <c r="H899" s="8">
        <f>IF(B899="","",IF(ISNA(MATCH(B899,Mitarbeiter!$A$6:$A$205,0)),"Pers.-Nr. unbekannt",IF(A899="","Datum fehlt",IF(AND(D899&lt;&gt;Einstellungen!$C$4,D899&lt;&gt;Einstellungen!$C$5),"Objekt fehlt",IF(YEAR(A899)&lt;&gt;Einstellungen!$C$3,"anderes Jahr",IF(A899&lt;INDEX(Mitarbeiter!$C$6:$C$205,MATCH(B899,Mitarbeiter!$A$6:$A$205,0)),"vor Eintritt",IF(AND(INDEX(Mitarbeiter!$D$6:$D$205,MATCH(B899,Mitarbeiter!$A$6:$A$205,0))&lt;&gt;"",A899&gt;INDEX(Mitarbeiter!$D$6:$D$205,MATCH(B899,Mitarbeiter!$A$6:$A$205,0))),"nach Austritt","ok")))))))</f>
        <v/>
      </c>
    </row>
    <row r="900">
      <c r="A900" s="26" t="n"/>
      <c r="B900" s="24" t="n"/>
      <c r="C900" s="40">
        <f>IF(B900="","",IFERROR(INDEX(Mitarbeiter!$B$6:$B$205,MATCH(B900,Mitarbeiter!$A$6:$A$205,0)),"?"))</f>
        <v/>
      </c>
      <c r="D900" s="41" t="n"/>
      <c r="E900" s="42" t="n"/>
      <c r="F900" s="43" t="n"/>
      <c r="G900" s="44">
        <f>IF(OR(B900="",F900=""),"",IFERROR(F900*INDEX(Mitarbeiter!$F$6:$F$205,MATCH(B900,Mitarbeiter!$A$6:$A$205,0)),0))</f>
        <v/>
      </c>
      <c r="H900" s="8">
        <f>IF(B900="","",IF(ISNA(MATCH(B900,Mitarbeiter!$A$6:$A$205,0)),"Pers.-Nr. unbekannt",IF(A900="","Datum fehlt",IF(AND(D900&lt;&gt;Einstellungen!$C$4,D900&lt;&gt;Einstellungen!$C$5),"Objekt fehlt",IF(YEAR(A900)&lt;&gt;Einstellungen!$C$3,"anderes Jahr",IF(A900&lt;INDEX(Mitarbeiter!$C$6:$C$205,MATCH(B900,Mitarbeiter!$A$6:$A$205,0)),"vor Eintritt",IF(AND(INDEX(Mitarbeiter!$D$6:$D$205,MATCH(B900,Mitarbeiter!$A$6:$A$205,0))&lt;&gt;"",A900&gt;INDEX(Mitarbeiter!$D$6:$D$205,MATCH(B900,Mitarbeiter!$A$6:$A$205,0))),"nach Austritt","ok")))))))</f>
        <v/>
      </c>
    </row>
    <row r="901">
      <c r="A901" s="26" t="n"/>
      <c r="B901" s="24" t="n"/>
      <c r="C901" s="40">
        <f>IF(B901="","",IFERROR(INDEX(Mitarbeiter!$B$6:$B$205,MATCH(B901,Mitarbeiter!$A$6:$A$205,0)),"?"))</f>
        <v/>
      </c>
      <c r="D901" s="41" t="n"/>
      <c r="E901" s="42" t="n"/>
      <c r="F901" s="43" t="n"/>
      <c r="G901" s="44">
        <f>IF(OR(B901="",F901=""),"",IFERROR(F901*INDEX(Mitarbeiter!$F$6:$F$205,MATCH(B901,Mitarbeiter!$A$6:$A$205,0)),0))</f>
        <v/>
      </c>
      <c r="H901" s="8">
        <f>IF(B901="","",IF(ISNA(MATCH(B901,Mitarbeiter!$A$6:$A$205,0)),"Pers.-Nr. unbekannt",IF(A901="","Datum fehlt",IF(AND(D901&lt;&gt;Einstellungen!$C$4,D901&lt;&gt;Einstellungen!$C$5),"Objekt fehlt",IF(YEAR(A901)&lt;&gt;Einstellungen!$C$3,"anderes Jahr",IF(A901&lt;INDEX(Mitarbeiter!$C$6:$C$205,MATCH(B901,Mitarbeiter!$A$6:$A$205,0)),"vor Eintritt",IF(AND(INDEX(Mitarbeiter!$D$6:$D$205,MATCH(B901,Mitarbeiter!$A$6:$A$205,0))&lt;&gt;"",A901&gt;INDEX(Mitarbeiter!$D$6:$D$205,MATCH(B901,Mitarbeiter!$A$6:$A$205,0))),"nach Austritt","ok")))))))</f>
        <v/>
      </c>
    </row>
    <row r="902">
      <c r="A902" s="26" t="n"/>
      <c r="B902" s="24" t="n"/>
      <c r="C902" s="40">
        <f>IF(B902="","",IFERROR(INDEX(Mitarbeiter!$B$6:$B$205,MATCH(B902,Mitarbeiter!$A$6:$A$205,0)),"?"))</f>
        <v/>
      </c>
      <c r="D902" s="41" t="n"/>
      <c r="E902" s="42" t="n"/>
      <c r="F902" s="43" t="n"/>
      <c r="G902" s="44">
        <f>IF(OR(B902="",F902=""),"",IFERROR(F902*INDEX(Mitarbeiter!$F$6:$F$205,MATCH(B902,Mitarbeiter!$A$6:$A$205,0)),0))</f>
        <v/>
      </c>
      <c r="H902" s="8">
        <f>IF(B902="","",IF(ISNA(MATCH(B902,Mitarbeiter!$A$6:$A$205,0)),"Pers.-Nr. unbekannt",IF(A902="","Datum fehlt",IF(AND(D902&lt;&gt;Einstellungen!$C$4,D902&lt;&gt;Einstellungen!$C$5),"Objekt fehlt",IF(YEAR(A902)&lt;&gt;Einstellungen!$C$3,"anderes Jahr",IF(A902&lt;INDEX(Mitarbeiter!$C$6:$C$205,MATCH(B902,Mitarbeiter!$A$6:$A$205,0)),"vor Eintritt",IF(AND(INDEX(Mitarbeiter!$D$6:$D$205,MATCH(B902,Mitarbeiter!$A$6:$A$205,0))&lt;&gt;"",A902&gt;INDEX(Mitarbeiter!$D$6:$D$205,MATCH(B902,Mitarbeiter!$A$6:$A$205,0))),"nach Austritt","ok")))))))</f>
        <v/>
      </c>
    </row>
    <row r="903">
      <c r="A903" s="26" t="n"/>
      <c r="B903" s="24" t="n"/>
      <c r="C903" s="40">
        <f>IF(B903="","",IFERROR(INDEX(Mitarbeiter!$B$6:$B$205,MATCH(B903,Mitarbeiter!$A$6:$A$205,0)),"?"))</f>
        <v/>
      </c>
      <c r="D903" s="41" t="n"/>
      <c r="E903" s="42" t="n"/>
      <c r="F903" s="43" t="n"/>
      <c r="G903" s="44">
        <f>IF(OR(B903="",F903=""),"",IFERROR(F903*INDEX(Mitarbeiter!$F$6:$F$205,MATCH(B903,Mitarbeiter!$A$6:$A$205,0)),0))</f>
        <v/>
      </c>
      <c r="H903" s="8">
        <f>IF(B903="","",IF(ISNA(MATCH(B903,Mitarbeiter!$A$6:$A$205,0)),"Pers.-Nr. unbekannt",IF(A903="","Datum fehlt",IF(AND(D903&lt;&gt;Einstellungen!$C$4,D903&lt;&gt;Einstellungen!$C$5),"Objekt fehlt",IF(YEAR(A903)&lt;&gt;Einstellungen!$C$3,"anderes Jahr",IF(A903&lt;INDEX(Mitarbeiter!$C$6:$C$205,MATCH(B903,Mitarbeiter!$A$6:$A$205,0)),"vor Eintritt",IF(AND(INDEX(Mitarbeiter!$D$6:$D$205,MATCH(B903,Mitarbeiter!$A$6:$A$205,0))&lt;&gt;"",A903&gt;INDEX(Mitarbeiter!$D$6:$D$205,MATCH(B903,Mitarbeiter!$A$6:$A$205,0))),"nach Austritt","ok")))))))</f>
        <v/>
      </c>
    </row>
    <row r="904">
      <c r="A904" s="26" t="n"/>
      <c r="B904" s="24" t="n"/>
      <c r="C904" s="40">
        <f>IF(B904="","",IFERROR(INDEX(Mitarbeiter!$B$6:$B$205,MATCH(B904,Mitarbeiter!$A$6:$A$205,0)),"?"))</f>
        <v/>
      </c>
      <c r="D904" s="41" t="n"/>
      <c r="E904" s="42" t="n"/>
      <c r="F904" s="43" t="n"/>
      <c r="G904" s="44">
        <f>IF(OR(B904="",F904=""),"",IFERROR(F904*INDEX(Mitarbeiter!$F$6:$F$205,MATCH(B904,Mitarbeiter!$A$6:$A$205,0)),0))</f>
        <v/>
      </c>
      <c r="H904" s="8">
        <f>IF(B904="","",IF(ISNA(MATCH(B904,Mitarbeiter!$A$6:$A$205,0)),"Pers.-Nr. unbekannt",IF(A904="","Datum fehlt",IF(AND(D904&lt;&gt;Einstellungen!$C$4,D904&lt;&gt;Einstellungen!$C$5),"Objekt fehlt",IF(YEAR(A904)&lt;&gt;Einstellungen!$C$3,"anderes Jahr",IF(A904&lt;INDEX(Mitarbeiter!$C$6:$C$205,MATCH(B904,Mitarbeiter!$A$6:$A$205,0)),"vor Eintritt",IF(AND(INDEX(Mitarbeiter!$D$6:$D$205,MATCH(B904,Mitarbeiter!$A$6:$A$205,0))&lt;&gt;"",A904&gt;INDEX(Mitarbeiter!$D$6:$D$205,MATCH(B904,Mitarbeiter!$A$6:$A$205,0))),"nach Austritt","ok")))))))</f>
        <v/>
      </c>
    </row>
    <row r="905">
      <c r="A905" s="26" t="n"/>
      <c r="B905" s="24" t="n"/>
      <c r="C905" s="40">
        <f>IF(B905="","",IFERROR(INDEX(Mitarbeiter!$B$6:$B$205,MATCH(B905,Mitarbeiter!$A$6:$A$205,0)),"?"))</f>
        <v/>
      </c>
      <c r="D905" s="41" t="n"/>
      <c r="E905" s="42" t="n"/>
      <c r="F905" s="43" t="n"/>
      <c r="G905" s="44">
        <f>IF(OR(B905="",F905=""),"",IFERROR(F905*INDEX(Mitarbeiter!$F$6:$F$205,MATCH(B905,Mitarbeiter!$A$6:$A$205,0)),0))</f>
        <v/>
      </c>
      <c r="H905" s="8">
        <f>IF(B905="","",IF(ISNA(MATCH(B905,Mitarbeiter!$A$6:$A$205,0)),"Pers.-Nr. unbekannt",IF(A905="","Datum fehlt",IF(AND(D905&lt;&gt;Einstellungen!$C$4,D905&lt;&gt;Einstellungen!$C$5),"Objekt fehlt",IF(YEAR(A905)&lt;&gt;Einstellungen!$C$3,"anderes Jahr",IF(A905&lt;INDEX(Mitarbeiter!$C$6:$C$205,MATCH(B905,Mitarbeiter!$A$6:$A$205,0)),"vor Eintritt",IF(AND(INDEX(Mitarbeiter!$D$6:$D$205,MATCH(B905,Mitarbeiter!$A$6:$A$205,0))&lt;&gt;"",A905&gt;INDEX(Mitarbeiter!$D$6:$D$205,MATCH(B905,Mitarbeiter!$A$6:$A$205,0))),"nach Austritt","ok")))))))</f>
        <v/>
      </c>
    </row>
    <row r="906">
      <c r="A906" s="26" t="n"/>
      <c r="B906" s="24" t="n"/>
      <c r="C906" s="40">
        <f>IF(B906="","",IFERROR(INDEX(Mitarbeiter!$B$6:$B$205,MATCH(B906,Mitarbeiter!$A$6:$A$205,0)),"?"))</f>
        <v/>
      </c>
      <c r="D906" s="41" t="n"/>
      <c r="E906" s="42" t="n"/>
      <c r="F906" s="43" t="n"/>
      <c r="G906" s="44">
        <f>IF(OR(B906="",F906=""),"",IFERROR(F906*INDEX(Mitarbeiter!$F$6:$F$205,MATCH(B906,Mitarbeiter!$A$6:$A$205,0)),0))</f>
        <v/>
      </c>
      <c r="H906" s="8">
        <f>IF(B906="","",IF(ISNA(MATCH(B906,Mitarbeiter!$A$6:$A$205,0)),"Pers.-Nr. unbekannt",IF(A906="","Datum fehlt",IF(AND(D906&lt;&gt;Einstellungen!$C$4,D906&lt;&gt;Einstellungen!$C$5),"Objekt fehlt",IF(YEAR(A906)&lt;&gt;Einstellungen!$C$3,"anderes Jahr",IF(A906&lt;INDEX(Mitarbeiter!$C$6:$C$205,MATCH(B906,Mitarbeiter!$A$6:$A$205,0)),"vor Eintritt",IF(AND(INDEX(Mitarbeiter!$D$6:$D$205,MATCH(B906,Mitarbeiter!$A$6:$A$205,0))&lt;&gt;"",A906&gt;INDEX(Mitarbeiter!$D$6:$D$205,MATCH(B906,Mitarbeiter!$A$6:$A$205,0))),"nach Austritt","ok")))))))</f>
        <v/>
      </c>
    </row>
    <row r="907">
      <c r="A907" s="26" t="n"/>
      <c r="B907" s="24" t="n"/>
      <c r="C907" s="40">
        <f>IF(B907="","",IFERROR(INDEX(Mitarbeiter!$B$6:$B$205,MATCH(B907,Mitarbeiter!$A$6:$A$205,0)),"?"))</f>
        <v/>
      </c>
      <c r="D907" s="41" t="n"/>
      <c r="E907" s="42" t="n"/>
      <c r="F907" s="43" t="n"/>
      <c r="G907" s="44">
        <f>IF(OR(B907="",F907=""),"",IFERROR(F907*INDEX(Mitarbeiter!$F$6:$F$205,MATCH(B907,Mitarbeiter!$A$6:$A$205,0)),0))</f>
        <v/>
      </c>
      <c r="H907" s="8">
        <f>IF(B907="","",IF(ISNA(MATCH(B907,Mitarbeiter!$A$6:$A$205,0)),"Pers.-Nr. unbekannt",IF(A907="","Datum fehlt",IF(AND(D907&lt;&gt;Einstellungen!$C$4,D907&lt;&gt;Einstellungen!$C$5),"Objekt fehlt",IF(YEAR(A907)&lt;&gt;Einstellungen!$C$3,"anderes Jahr",IF(A907&lt;INDEX(Mitarbeiter!$C$6:$C$205,MATCH(B907,Mitarbeiter!$A$6:$A$205,0)),"vor Eintritt",IF(AND(INDEX(Mitarbeiter!$D$6:$D$205,MATCH(B907,Mitarbeiter!$A$6:$A$205,0))&lt;&gt;"",A907&gt;INDEX(Mitarbeiter!$D$6:$D$205,MATCH(B907,Mitarbeiter!$A$6:$A$205,0))),"nach Austritt","ok")))))))</f>
        <v/>
      </c>
    </row>
    <row r="908">
      <c r="A908" s="26" t="n"/>
      <c r="B908" s="24" t="n"/>
      <c r="C908" s="40">
        <f>IF(B908="","",IFERROR(INDEX(Mitarbeiter!$B$6:$B$205,MATCH(B908,Mitarbeiter!$A$6:$A$205,0)),"?"))</f>
        <v/>
      </c>
      <c r="D908" s="41" t="n"/>
      <c r="E908" s="42" t="n"/>
      <c r="F908" s="43" t="n"/>
      <c r="G908" s="44">
        <f>IF(OR(B908="",F908=""),"",IFERROR(F908*INDEX(Mitarbeiter!$F$6:$F$205,MATCH(B908,Mitarbeiter!$A$6:$A$205,0)),0))</f>
        <v/>
      </c>
      <c r="H908" s="8">
        <f>IF(B908="","",IF(ISNA(MATCH(B908,Mitarbeiter!$A$6:$A$205,0)),"Pers.-Nr. unbekannt",IF(A908="","Datum fehlt",IF(AND(D908&lt;&gt;Einstellungen!$C$4,D908&lt;&gt;Einstellungen!$C$5),"Objekt fehlt",IF(YEAR(A908)&lt;&gt;Einstellungen!$C$3,"anderes Jahr",IF(A908&lt;INDEX(Mitarbeiter!$C$6:$C$205,MATCH(B908,Mitarbeiter!$A$6:$A$205,0)),"vor Eintritt",IF(AND(INDEX(Mitarbeiter!$D$6:$D$205,MATCH(B908,Mitarbeiter!$A$6:$A$205,0))&lt;&gt;"",A908&gt;INDEX(Mitarbeiter!$D$6:$D$205,MATCH(B908,Mitarbeiter!$A$6:$A$205,0))),"nach Austritt","ok")))))))</f>
        <v/>
      </c>
    </row>
    <row r="909">
      <c r="A909" s="26" t="n"/>
      <c r="B909" s="24" t="n"/>
      <c r="C909" s="40">
        <f>IF(B909="","",IFERROR(INDEX(Mitarbeiter!$B$6:$B$205,MATCH(B909,Mitarbeiter!$A$6:$A$205,0)),"?"))</f>
        <v/>
      </c>
      <c r="D909" s="41" t="n"/>
      <c r="E909" s="42" t="n"/>
      <c r="F909" s="43" t="n"/>
      <c r="G909" s="44">
        <f>IF(OR(B909="",F909=""),"",IFERROR(F909*INDEX(Mitarbeiter!$F$6:$F$205,MATCH(B909,Mitarbeiter!$A$6:$A$205,0)),0))</f>
        <v/>
      </c>
      <c r="H909" s="8">
        <f>IF(B909="","",IF(ISNA(MATCH(B909,Mitarbeiter!$A$6:$A$205,0)),"Pers.-Nr. unbekannt",IF(A909="","Datum fehlt",IF(AND(D909&lt;&gt;Einstellungen!$C$4,D909&lt;&gt;Einstellungen!$C$5),"Objekt fehlt",IF(YEAR(A909)&lt;&gt;Einstellungen!$C$3,"anderes Jahr",IF(A909&lt;INDEX(Mitarbeiter!$C$6:$C$205,MATCH(B909,Mitarbeiter!$A$6:$A$205,0)),"vor Eintritt",IF(AND(INDEX(Mitarbeiter!$D$6:$D$205,MATCH(B909,Mitarbeiter!$A$6:$A$205,0))&lt;&gt;"",A909&gt;INDEX(Mitarbeiter!$D$6:$D$205,MATCH(B909,Mitarbeiter!$A$6:$A$205,0))),"nach Austritt","ok")))))))</f>
        <v/>
      </c>
    </row>
    <row r="910">
      <c r="A910" s="26" t="n"/>
      <c r="B910" s="24" t="n"/>
      <c r="C910" s="40">
        <f>IF(B910="","",IFERROR(INDEX(Mitarbeiter!$B$6:$B$205,MATCH(B910,Mitarbeiter!$A$6:$A$205,0)),"?"))</f>
        <v/>
      </c>
      <c r="D910" s="41" t="n"/>
      <c r="E910" s="42" t="n"/>
      <c r="F910" s="43" t="n"/>
      <c r="G910" s="44">
        <f>IF(OR(B910="",F910=""),"",IFERROR(F910*INDEX(Mitarbeiter!$F$6:$F$205,MATCH(B910,Mitarbeiter!$A$6:$A$205,0)),0))</f>
        <v/>
      </c>
      <c r="H910" s="8">
        <f>IF(B910="","",IF(ISNA(MATCH(B910,Mitarbeiter!$A$6:$A$205,0)),"Pers.-Nr. unbekannt",IF(A910="","Datum fehlt",IF(AND(D910&lt;&gt;Einstellungen!$C$4,D910&lt;&gt;Einstellungen!$C$5),"Objekt fehlt",IF(YEAR(A910)&lt;&gt;Einstellungen!$C$3,"anderes Jahr",IF(A910&lt;INDEX(Mitarbeiter!$C$6:$C$205,MATCH(B910,Mitarbeiter!$A$6:$A$205,0)),"vor Eintritt",IF(AND(INDEX(Mitarbeiter!$D$6:$D$205,MATCH(B910,Mitarbeiter!$A$6:$A$205,0))&lt;&gt;"",A910&gt;INDEX(Mitarbeiter!$D$6:$D$205,MATCH(B910,Mitarbeiter!$A$6:$A$205,0))),"nach Austritt","ok")))))))</f>
        <v/>
      </c>
    </row>
    <row r="911">
      <c r="A911" s="26" t="n"/>
      <c r="B911" s="24" t="n"/>
      <c r="C911" s="40">
        <f>IF(B911="","",IFERROR(INDEX(Mitarbeiter!$B$6:$B$205,MATCH(B911,Mitarbeiter!$A$6:$A$205,0)),"?"))</f>
        <v/>
      </c>
      <c r="D911" s="41" t="n"/>
      <c r="E911" s="42" t="n"/>
      <c r="F911" s="43" t="n"/>
      <c r="G911" s="44">
        <f>IF(OR(B911="",F911=""),"",IFERROR(F911*INDEX(Mitarbeiter!$F$6:$F$205,MATCH(B911,Mitarbeiter!$A$6:$A$205,0)),0))</f>
        <v/>
      </c>
      <c r="H911" s="8">
        <f>IF(B911="","",IF(ISNA(MATCH(B911,Mitarbeiter!$A$6:$A$205,0)),"Pers.-Nr. unbekannt",IF(A911="","Datum fehlt",IF(AND(D911&lt;&gt;Einstellungen!$C$4,D911&lt;&gt;Einstellungen!$C$5),"Objekt fehlt",IF(YEAR(A911)&lt;&gt;Einstellungen!$C$3,"anderes Jahr",IF(A911&lt;INDEX(Mitarbeiter!$C$6:$C$205,MATCH(B911,Mitarbeiter!$A$6:$A$205,0)),"vor Eintritt",IF(AND(INDEX(Mitarbeiter!$D$6:$D$205,MATCH(B911,Mitarbeiter!$A$6:$A$205,0))&lt;&gt;"",A911&gt;INDEX(Mitarbeiter!$D$6:$D$205,MATCH(B911,Mitarbeiter!$A$6:$A$205,0))),"nach Austritt","ok")))))))</f>
        <v/>
      </c>
    </row>
    <row r="912">
      <c r="A912" s="26" t="n"/>
      <c r="B912" s="24" t="n"/>
      <c r="C912" s="40">
        <f>IF(B912="","",IFERROR(INDEX(Mitarbeiter!$B$6:$B$205,MATCH(B912,Mitarbeiter!$A$6:$A$205,0)),"?"))</f>
        <v/>
      </c>
      <c r="D912" s="41" t="n"/>
      <c r="E912" s="42" t="n"/>
      <c r="F912" s="43" t="n"/>
      <c r="G912" s="44">
        <f>IF(OR(B912="",F912=""),"",IFERROR(F912*INDEX(Mitarbeiter!$F$6:$F$205,MATCH(B912,Mitarbeiter!$A$6:$A$205,0)),0))</f>
        <v/>
      </c>
      <c r="H912" s="8">
        <f>IF(B912="","",IF(ISNA(MATCH(B912,Mitarbeiter!$A$6:$A$205,0)),"Pers.-Nr. unbekannt",IF(A912="","Datum fehlt",IF(AND(D912&lt;&gt;Einstellungen!$C$4,D912&lt;&gt;Einstellungen!$C$5),"Objekt fehlt",IF(YEAR(A912)&lt;&gt;Einstellungen!$C$3,"anderes Jahr",IF(A912&lt;INDEX(Mitarbeiter!$C$6:$C$205,MATCH(B912,Mitarbeiter!$A$6:$A$205,0)),"vor Eintritt",IF(AND(INDEX(Mitarbeiter!$D$6:$D$205,MATCH(B912,Mitarbeiter!$A$6:$A$205,0))&lt;&gt;"",A912&gt;INDEX(Mitarbeiter!$D$6:$D$205,MATCH(B912,Mitarbeiter!$A$6:$A$205,0))),"nach Austritt","ok")))))))</f>
        <v/>
      </c>
    </row>
    <row r="913">
      <c r="A913" s="26" t="n"/>
      <c r="B913" s="24" t="n"/>
      <c r="C913" s="40">
        <f>IF(B913="","",IFERROR(INDEX(Mitarbeiter!$B$6:$B$205,MATCH(B913,Mitarbeiter!$A$6:$A$205,0)),"?"))</f>
        <v/>
      </c>
      <c r="D913" s="41" t="n"/>
      <c r="E913" s="42" t="n"/>
      <c r="F913" s="43" t="n"/>
      <c r="G913" s="44">
        <f>IF(OR(B913="",F913=""),"",IFERROR(F913*INDEX(Mitarbeiter!$F$6:$F$205,MATCH(B913,Mitarbeiter!$A$6:$A$205,0)),0))</f>
        <v/>
      </c>
      <c r="H913" s="8">
        <f>IF(B913="","",IF(ISNA(MATCH(B913,Mitarbeiter!$A$6:$A$205,0)),"Pers.-Nr. unbekannt",IF(A913="","Datum fehlt",IF(AND(D913&lt;&gt;Einstellungen!$C$4,D913&lt;&gt;Einstellungen!$C$5),"Objekt fehlt",IF(YEAR(A913)&lt;&gt;Einstellungen!$C$3,"anderes Jahr",IF(A913&lt;INDEX(Mitarbeiter!$C$6:$C$205,MATCH(B913,Mitarbeiter!$A$6:$A$205,0)),"vor Eintritt",IF(AND(INDEX(Mitarbeiter!$D$6:$D$205,MATCH(B913,Mitarbeiter!$A$6:$A$205,0))&lt;&gt;"",A913&gt;INDEX(Mitarbeiter!$D$6:$D$205,MATCH(B913,Mitarbeiter!$A$6:$A$205,0))),"nach Austritt","ok")))))))</f>
        <v/>
      </c>
    </row>
    <row r="914">
      <c r="A914" s="26" t="n"/>
      <c r="B914" s="24" t="n"/>
      <c r="C914" s="40">
        <f>IF(B914="","",IFERROR(INDEX(Mitarbeiter!$B$6:$B$205,MATCH(B914,Mitarbeiter!$A$6:$A$205,0)),"?"))</f>
        <v/>
      </c>
      <c r="D914" s="41" t="n"/>
      <c r="E914" s="42" t="n"/>
      <c r="F914" s="43" t="n"/>
      <c r="G914" s="44">
        <f>IF(OR(B914="",F914=""),"",IFERROR(F914*INDEX(Mitarbeiter!$F$6:$F$205,MATCH(B914,Mitarbeiter!$A$6:$A$205,0)),0))</f>
        <v/>
      </c>
      <c r="H914" s="8">
        <f>IF(B914="","",IF(ISNA(MATCH(B914,Mitarbeiter!$A$6:$A$205,0)),"Pers.-Nr. unbekannt",IF(A914="","Datum fehlt",IF(AND(D914&lt;&gt;Einstellungen!$C$4,D914&lt;&gt;Einstellungen!$C$5),"Objekt fehlt",IF(YEAR(A914)&lt;&gt;Einstellungen!$C$3,"anderes Jahr",IF(A914&lt;INDEX(Mitarbeiter!$C$6:$C$205,MATCH(B914,Mitarbeiter!$A$6:$A$205,0)),"vor Eintritt",IF(AND(INDEX(Mitarbeiter!$D$6:$D$205,MATCH(B914,Mitarbeiter!$A$6:$A$205,0))&lt;&gt;"",A914&gt;INDEX(Mitarbeiter!$D$6:$D$205,MATCH(B914,Mitarbeiter!$A$6:$A$205,0))),"nach Austritt","ok")))))))</f>
        <v/>
      </c>
    </row>
    <row r="915">
      <c r="A915" s="26" t="n"/>
      <c r="B915" s="24" t="n"/>
      <c r="C915" s="40">
        <f>IF(B915="","",IFERROR(INDEX(Mitarbeiter!$B$6:$B$205,MATCH(B915,Mitarbeiter!$A$6:$A$205,0)),"?"))</f>
        <v/>
      </c>
      <c r="D915" s="41" t="n"/>
      <c r="E915" s="42" t="n"/>
      <c r="F915" s="43" t="n"/>
      <c r="G915" s="44">
        <f>IF(OR(B915="",F915=""),"",IFERROR(F915*INDEX(Mitarbeiter!$F$6:$F$205,MATCH(B915,Mitarbeiter!$A$6:$A$205,0)),0))</f>
        <v/>
      </c>
      <c r="H915" s="8">
        <f>IF(B915="","",IF(ISNA(MATCH(B915,Mitarbeiter!$A$6:$A$205,0)),"Pers.-Nr. unbekannt",IF(A915="","Datum fehlt",IF(AND(D915&lt;&gt;Einstellungen!$C$4,D915&lt;&gt;Einstellungen!$C$5),"Objekt fehlt",IF(YEAR(A915)&lt;&gt;Einstellungen!$C$3,"anderes Jahr",IF(A915&lt;INDEX(Mitarbeiter!$C$6:$C$205,MATCH(B915,Mitarbeiter!$A$6:$A$205,0)),"vor Eintritt",IF(AND(INDEX(Mitarbeiter!$D$6:$D$205,MATCH(B915,Mitarbeiter!$A$6:$A$205,0))&lt;&gt;"",A915&gt;INDEX(Mitarbeiter!$D$6:$D$205,MATCH(B915,Mitarbeiter!$A$6:$A$205,0))),"nach Austritt","ok")))))))</f>
        <v/>
      </c>
    </row>
    <row r="916">
      <c r="A916" s="26" t="n"/>
      <c r="B916" s="24" t="n"/>
      <c r="C916" s="40">
        <f>IF(B916="","",IFERROR(INDEX(Mitarbeiter!$B$6:$B$205,MATCH(B916,Mitarbeiter!$A$6:$A$205,0)),"?"))</f>
        <v/>
      </c>
      <c r="D916" s="41" t="n"/>
      <c r="E916" s="42" t="n"/>
      <c r="F916" s="43" t="n"/>
      <c r="G916" s="44">
        <f>IF(OR(B916="",F916=""),"",IFERROR(F916*INDEX(Mitarbeiter!$F$6:$F$205,MATCH(B916,Mitarbeiter!$A$6:$A$205,0)),0))</f>
        <v/>
      </c>
      <c r="H916" s="8">
        <f>IF(B916="","",IF(ISNA(MATCH(B916,Mitarbeiter!$A$6:$A$205,0)),"Pers.-Nr. unbekannt",IF(A916="","Datum fehlt",IF(AND(D916&lt;&gt;Einstellungen!$C$4,D916&lt;&gt;Einstellungen!$C$5),"Objekt fehlt",IF(YEAR(A916)&lt;&gt;Einstellungen!$C$3,"anderes Jahr",IF(A916&lt;INDEX(Mitarbeiter!$C$6:$C$205,MATCH(B916,Mitarbeiter!$A$6:$A$205,0)),"vor Eintritt",IF(AND(INDEX(Mitarbeiter!$D$6:$D$205,MATCH(B916,Mitarbeiter!$A$6:$A$205,0))&lt;&gt;"",A916&gt;INDEX(Mitarbeiter!$D$6:$D$205,MATCH(B916,Mitarbeiter!$A$6:$A$205,0))),"nach Austritt","ok")))))))</f>
        <v/>
      </c>
    </row>
    <row r="917">
      <c r="A917" s="26" t="n"/>
      <c r="B917" s="24" t="n"/>
      <c r="C917" s="40">
        <f>IF(B917="","",IFERROR(INDEX(Mitarbeiter!$B$6:$B$205,MATCH(B917,Mitarbeiter!$A$6:$A$205,0)),"?"))</f>
        <v/>
      </c>
      <c r="D917" s="41" t="n"/>
      <c r="E917" s="42" t="n"/>
      <c r="F917" s="43" t="n"/>
      <c r="G917" s="44">
        <f>IF(OR(B917="",F917=""),"",IFERROR(F917*INDEX(Mitarbeiter!$F$6:$F$205,MATCH(B917,Mitarbeiter!$A$6:$A$205,0)),0))</f>
        <v/>
      </c>
      <c r="H917" s="8">
        <f>IF(B917="","",IF(ISNA(MATCH(B917,Mitarbeiter!$A$6:$A$205,0)),"Pers.-Nr. unbekannt",IF(A917="","Datum fehlt",IF(AND(D917&lt;&gt;Einstellungen!$C$4,D917&lt;&gt;Einstellungen!$C$5),"Objekt fehlt",IF(YEAR(A917)&lt;&gt;Einstellungen!$C$3,"anderes Jahr",IF(A917&lt;INDEX(Mitarbeiter!$C$6:$C$205,MATCH(B917,Mitarbeiter!$A$6:$A$205,0)),"vor Eintritt",IF(AND(INDEX(Mitarbeiter!$D$6:$D$205,MATCH(B917,Mitarbeiter!$A$6:$A$205,0))&lt;&gt;"",A917&gt;INDEX(Mitarbeiter!$D$6:$D$205,MATCH(B917,Mitarbeiter!$A$6:$A$205,0))),"nach Austritt","ok")))))))</f>
        <v/>
      </c>
    </row>
    <row r="918">
      <c r="A918" s="26" t="n"/>
      <c r="B918" s="24" t="n"/>
      <c r="C918" s="40">
        <f>IF(B918="","",IFERROR(INDEX(Mitarbeiter!$B$6:$B$205,MATCH(B918,Mitarbeiter!$A$6:$A$205,0)),"?"))</f>
        <v/>
      </c>
      <c r="D918" s="41" t="n"/>
      <c r="E918" s="42" t="n"/>
      <c r="F918" s="43" t="n"/>
      <c r="G918" s="44">
        <f>IF(OR(B918="",F918=""),"",IFERROR(F918*INDEX(Mitarbeiter!$F$6:$F$205,MATCH(B918,Mitarbeiter!$A$6:$A$205,0)),0))</f>
        <v/>
      </c>
      <c r="H918" s="8">
        <f>IF(B918="","",IF(ISNA(MATCH(B918,Mitarbeiter!$A$6:$A$205,0)),"Pers.-Nr. unbekannt",IF(A918="","Datum fehlt",IF(AND(D918&lt;&gt;Einstellungen!$C$4,D918&lt;&gt;Einstellungen!$C$5),"Objekt fehlt",IF(YEAR(A918)&lt;&gt;Einstellungen!$C$3,"anderes Jahr",IF(A918&lt;INDEX(Mitarbeiter!$C$6:$C$205,MATCH(B918,Mitarbeiter!$A$6:$A$205,0)),"vor Eintritt",IF(AND(INDEX(Mitarbeiter!$D$6:$D$205,MATCH(B918,Mitarbeiter!$A$6:$A$205,0))&lt;&gt;"",A918&gt;INDEX(Mitarbeiter!$D$6:$D$205,MATCH(B918,Mitarbeiter!$A$6:$A$205,0))),"nach Austritt","ok")))))))</f>
        <v/>
      </c>
    </row>
    <row r="919">
      <c r="A919" s="26" t="n"/>
      <c r="B919" s="24" t="n"/>
      <c r="C919" s="40">
        <f>IF(B919="","",IFERROR(INDEX(Mitarbeiter!$B$6:$B$205,MATCH(B919,Mitarbeiter!$A$6:$A$205,0)),"?"))</f>
        <v/>
      </c>
      <c r="D919" s="41" t="n"/>
      <c r="E919" s="42" t="n"/>
      <c r="F919" s="43" t="n"/>
      <c r="G919" s="44">
        <f>IF(OR(B919="",F919=""),"",IFERROR(F919*INDEX(Mitarbeiter!$F$6:$F$205,MATCH(B919,Mitarbeiter!$A$6:$A$205,0)),0))</f>
        <v/>
      </c>
      <c r="H919" s="8">
        <f>IF(B919="","",IF(ISNA(MATCH(B919,Mitarbeiter!$A$6:$A$205,0)),"Pers.-Nr. unbekannt",IF(A919="","Datum fehlt",IF(AND(D919&lt;&gt;Einstellungen!$C$4,D919&lt;&gt;Einstellungen!$C$5),"Objekt fehlt",IF(YEAR(A919)&lt;&gt;Einstellungen!$C$3,"anderes Jahr",IF(A919&lt;INDEX(Mitarbeiter!$C$6:$C$205,MATCH(B919,Mitarbeiter!$A$6:$A$205,0)),"vor Eintritt",IF(AND(INDEX(Mitarbeiter!$D$6:$D$205,MATCH(B919,Mitarbeiter!$A$6:$A$205,0))&lt;&gt;"",A919&gt;INDEX(Mitarbeiter!$D$6:$D$205,MATCH(B919,Mitarbeiter!$A$6:$A$205,0))),"nach Austritt","ok")))))))</f>
        <v/>
      </c>
    </row>
    <row r="920">
      <c r="A920" s="26" t="n"/>
      <c r="B920" s="24" t="n"/>
      <c r="C920" s="40">
        <f>IF(B920="","",IFERROR(INDEX(Mitarbeiter!$B$6:$B$205,MATCH(B920,Mitarbeiter!$A$6:$A$205,0)),"?"))</f>
        <v/>
      </c>
      <c r="D920" s="41" t="n"/>
      <c r="E920" s="42" t="n"/>
      <c r="F920" s="43" t="n"/>
      <c r="G920" s="44">
        <f>IF(OR(B920="",F920=""),"",IFERROR(F920*INDEX(Mitarbeiter!$F$6:$F$205,MATCH(B920,Mitarbeiter!$A$6:$A$205,0)),0))</f>
        <v/>
      </c>
      <c r="H920" s="8">
        <f>IF(B920="","",IF(ISNA(MATCH(B920,Mitarbeiter!$A$6:$A$205,0)),"Pers.-Nr. unbekannt",IF(A920="","Datum fehlt",IF(AND(D920&lt;&gt;Einstellungen!$C$4,D920&lt;&gt;Einstellungen!$C$5),"Objekt fehlt",IF(YEAR(A920)&lt;&gt;Einstellungen!$C$3,"anderes Jahr",IF(A920&lt;INDEX(Mitarbeiter!$C$6:$C$205,MATCH(B920,Mitarbeiter!$A$6:$A$205,0)),"vor Eintritt",IF(AND(INDEX(Mitarbeiter!$D$6:$D$205,MATCH(B920,Mitarbeiter!$A$6:$A$205,0))&lt;&gt;"",A920&gt;INDEX(Mitarbeiter!$D$6:$D$205,MATCH(B920,Mitarbeiter!$A$6:$A$205,0))),"nach Austritt","ok")))))))</f>
        <v/>
      </c>
    </row>
    <row r="921">
      <c r="A921" s="26" t="n"/>
      <c r="B921" s="24" t="n"/>
      <c r="C921" s="40">
        <f>IF(B921="","",IFERROR(INDEX(Mitarbeiter!$B$6:$B$205,MATCH(B921,Mitarbeiter!$A$6:$A$205,0)),"?"))</f>
        <v/>
      </c>
      <c r="D921" s="41" t="n"/>
      <c r="E921" s="42" t="n"/>
      <c r="F921" s="43" t="n"/>
      <c r="G921" s="44">
        <f>IF(OR(B921="",F921=""),"",IFERROR(F921*INDEX(Mitarbeiter!$F$6:$F$205,MATCH(B921,Mitarbeiter!$A$6:$A$205,0)),0))</f>
        <v/>
      </c>
      <c r="H921" s="8">
        <f>IF(B921="","",IF(ISNA(MATCH(B921,Mitarbeiter!$A$6:$A$205,0)),"Pers.-Nr. unbekannt",IF(A921="","Datum fehlt",IF(AND(D921&lt;&gt;Einstellungen!$C$4,D921&lt;&gt;Einstellungen!$C$5),"Objekt fehlt",IF(YEAR(A921)&lt;&gt;Einstellungen!$C$3,"anderes Jahr",IF(A921&lt;INDEX(Mitarbeiter!$C$6:$C$205,MATCH(B921,Mitarbeiter!$A$6:$A$205,0)),"vor Eintritt",IF(AND(INDEX(Mitarbeiter!$D$6:$D$205,MATCH(B921,Mitarbeiter!$A$6:$A$205,0))&lt;&gt;"",A921&gt;INDEX(Mitarbeiter!$D$6:$D$205,MATCH(B921,Mitarbeiter!$A$6:$A$205,0))),"nach Austritt","ok")))))))</f>
        <v/>
      </c>
    </row>
    <row r="922">
      <c r="A922" s="26" t="n"/>
      <c r="B922" s="24" t="n"/>
      <c r="C922" s="40">
        <f>IF(B922="","",IFERROR(INDEX(Mitarbeiter!$B$6:$B$205,MATCH(B922,Mitarbeiter!$A$6:$A$205,0)),"?"))</f>
        <v/>
      </c>
      <c r="D922" s="41" t="n"/>
      <c r="E922" s="42" t="n"/>
      <c r="F922" s="43" t="n"/>
      <c r="G922" s="44">
        <f>IF(OR(B922="",F922=""),"",IFERROR(F922*INDEX(Mitarbeiter!$F$6:$F$205,MATCH(B922,Mitarbeiter!$A$6:$A$205,0)),0))</f>
        <v/>
      </c>
      <c r="H922" s="8">
        <f>IF(B922="","",IF(ISNA(MATCH(B922,Mitarbeiter!$A$6:$A$205,0)),"Pers.-Nr. unbekannt",IF(A922="","Datum fehlt",IF(AND(D922&lt;&gt;Einstellungen!$C$4,D922&lt;&gt;Einstellungen!$C$5),"Objekt fehlt",IF(YEAR(A922)&lt;&gt;Einstellungen!$C$3,"anderes Jahr",IF(A922&lt;INDEX(Mitarbeiter!$C$6:$C$205,MATCH(B922,Mitarbeiter!$A$6:$A$205,0)),"vor Eintritt",IF(AND(INDEX(Mitarbeiter!$D$6:$D$205,MATCH(B922,Mitarbeiter!$A$6:$A$205,0))&lt;&gt;"",A922&gt;INDEX(Mitarbeiter!$D$6:$D$205,MATCH(B922,Mitarbeiter!$A$6:$A$205,0))),"nach Austritt","ok")))))))</f>
        <v/>
      </c>
    </row>
    <row r="923">
      <c r="A923" s="26" t="n"/>
      <c r="B923" s="24" t="n"/>
      <c r="C923" s="40">
        <f>IF(B923="","",IFERROR(INDEX(Mitarbeiter!$B$6:$B$205,MATCH(B923,Mitarbeiter!$A$6:$A$205,0)),"?"))</f>
        <v/>
      </c>
      <c r="D923" s="41" t="n"/>
      <c r="E923" s="42" t="n"/>
      <c r="F923" s="43" t="n"/>
      <c r="G923" s="44">
        <f>IF(OR(B923="",F923=""),"",IFERROR(F923*INDEX(Mitarbeiter!$F$6:$F$205,MATCH(B923,Mitarbeiter!$A$6:$A$205,0)),0))</f>
        <v/>
      </c>
      <c r="H923" s="8">
        <f>IF(B923="","",IF(ISNA(MATCH(B923,Mitarbeiter!$A$6:$A$205,0)),"Pers.-Nr. unbekannt",IF(A923="","Datum fehlt",IF(AND(D923&lt;&gt;Einstellungen!$C$4,D923&lt;&gt;Einstellungen!$C$5),"Objekt fehlt",IF(YEAR(A923)&lt;&gt;Einstellungen!$C$3,"anderes Jahr",IF(A923&lt;INDEX(Mitarbeiter!$C$6:$C$205,MATCH(B923,Mitarbeiter!$A$6:$A$205,0)),"vor Eintritt",IF(AND(INDEX(Mitarbeiter!$D$6:$D$205,MATCH(B923,Mitarbeiter!$A$6:$A$205,0))&lt;&gt;"",A923&gt;INDEX(Mitarbeiter!$D$6:$D$205,MATCH(B923,Mitarbeiter!$A$6:$A$205,0))),"nach Austritt","ok")))))))</f>
        <v/>
      </c>
    </row>
    <row r="924">
      <c r="A924" s="26" t="n"/>
      <c r="B924" s="24" t="n"/>
      <c r="C924" s="40">
        <f>IF(B924="","",IFERROR(INDEX(Mitarbeiter!$B$6:$B$205,MATCH(B924,Mitarbeiter!$A$6:$A$205,0)),"?"))</f>
        <v/>
      </c>
      <c r="D924" s="41" t="n"/>
      <c r="E924" s="42" t="n"/>
      <c r="F924" s="43" t="n"/>
      <c r="G924" s="44">
        <f>IF(OR(B924="",F924=""),"",IFERROR(F924*INDEX(Mitarbeiter!$F$6:$F$205,MATCH(B924,Mitarbeiter!$A$6:$A$205,0)),0))</f>
        <v/>
      </c>
      <c r="H924" s="8">
        <f>IF(B924="","",IF(ISNA(MATCH(B924,Mitarbeiter!$A$6:$A$205,0)),"Pers.-Nr. unbekannt",IF(A924="","Datum fehlt",IF(AND(D924&lt;&gt;Einstellungen!$C$4,D924&lt;&gt;Einstellungen!$C$5),"Objekt fehlt",IF(YEAR(A924)&lt;&gt;Einstellungen!$C$3,"anderes Jahr",IF(A924&lt;INDEX(Mitarbeiter!$C$6:$C$205,MATCH(B924,Mitarbeiter!$A$6:$A$205,0)),"vor Eintritt",IF(AND(INDEX(Mitarbeiter!$D$6:$D$205,MATCH(B924,Mitarbeiter!$A$6:$A$205,0))&lt;&gt;"",A924&gt;INDEX(Mitarbeiter!$D$6:$D$205,MATCH(B924,Mitarbeiter!$A$6:$A$205,0))),"nach Austritt","ok")))))))</f>
        <v/>
      </c>
    </row>
    <row r="925">
      <c r="A925" s="26" t="n"/>
      <c r="B925" s="24" t="n"/>
      <c r="C925" s="40">
        <f>IF(B925="","",IFERROR(INDEX(Mitarbeiter!$B$6:$B$205,MATCH(B925,Mitarbeiter!$A$6:$A$205,0)),"?"))</f>
        <v/>
      </c>
      <c r="D925" s="41" t="n"/>
      <c r="E925" s="42" t="n"/>
      <c r="F925" s="43" t="n"/>
      <c r="G925" s="44">
        <f>IF(OR(B925="",F925=""),"",IFERROR(F925*INDEX(Mitarbeiter!$F$6:$F$205,MATCH(B925,Mitarbeiter!$A$6:$A$205,0)),0))</f>
        <v/>
      </c>
      <c r="H925" s="8">
        <f>IF(B925="","",IF(ISNA(MATCH(B925,Mitarbeiter!$A$6:$A$205,0)),"Pers.-Nr. unbekannt",IF(A925="","Datum fehlt",IF(AND(D925&lt;&gt;Einstellungen!$C$4,D925&lt;&gt;Einstellungen!$C$5),"Objekt fehlt",IF(YEAR(A925)&lt;&gt;Einstellungen!$C$3,"anderes Jahr",IF(A925&lt;INDEX(Mitarbeiter!$C$6:$C$205,MATCH(B925,Mitarbeiter!$A$6:$A$205,0)),"vor Eintritt",IF(AND(INDEX(Mitarbeiter!$D$6:$D$205,MATCH(B925,Mitarbeiter!$A$6:$A$205,0))&lt;&gt;"",A925&gt;INDEX(Mitarbeiter!$D$6:$D$205,MATCH(B925,Mitarbeiter!$A$6:$A$205,0))),"nach Austritt","ok")))))))</f>
        <v/>
      </c>
    </row>
    <row r="926">
      <c r="A926" s="26" t="n"/>
      <c r="B926" s="24" t="n"/>
      <c r="C926" s="40">
        <f>IF(B926="","",IFERROR(INDEX(Mitarbeiter!$B$6:$B$205,MATCH(B926,Mitarbeiter!$A$6:$A$205,0)),"?"))</f>
        <v/>
      </c>
      <c r="D926" s="41" t="n"/>
      <c r="E926" s="42" t="n"/>
      <c r="F926" s="43" t="n"/>
      <c r="G926" s="44">
        <f>IF(OR(B926="",F926=""),"",IFERROR(F926*INDEX(Mitarbeiter!$F$6:$F$205,MATCH(B926,Mitarbeiter!$A$6:$A$205,0)),0))</f>
        <v/>
      </c>
      <c r="H926" s="8">
        <f>IF(B926="","",IF(ISNA(MATCH(B926,Mitarbeiter!$A$6:$A$205,0)),"Pers.-Nr. unbekannt",IF(A926="","Datum fehlt",IF(AND(D926&lt;&gt;Einstellungen!$C$4,D926&lt;&gt;Einstellungen!$C$5),"Objekt fehlt",IF(YEAR(A926)&lt;&gt;Einstellungen!$C$3,"anderes Jahr",IF(A926&lt;INDEX(Mitarbeiter!$C$6:$C$205,MATCH(B926,Mitarbeiter!$A$6:$A$205,0)),"vor Eintritt",IF(AND(INDEX(Mitarbeiter!$D$6:$D$205,MATCH(B926,Mitarbeiter!$A$6:$A$205,0))&lt;&gt;"",A926&gt;INDEX(Mitarbeiter!$D$6:$D$205,MATCH(B926,Mitarbeiter!$A$6:$A$205,0))),"nach Austritt","ok")))))))</f>
        <v/>
      </c>
    </row>
    <row r="927">
      <c r="A927" s="26" t="n"/>
      <c r="B927" s="24" t="n"/>
      <c r="C927" s="40">
        <f>IF(B927="","",IFERROR(INDEX(Mitarbeiter!$B$6:$B$205,MATCH(B927,Mitarbeiter!$A$6:$A$205,0)),"?"))</f>
        <v/>
      </c>
      <c r="D927" s="41" t="n"/>
      <c r="E927" s="42" t="n"/>
      <c r="F927" s="43" t="n"/>
      <c r="G927" s="44">
        <f>IF(OR(B927="",F927=""),"",IFERROR(F927*INDEX(Mitarbeiter!$F$6:$F$205,MATCH(B927,Mitarbeiter!$A$6:$A$205,0)),0))</f>
        <v/>
      </c>
      <c r="H927" s="8">
        <f>IF(B927="","",IF(ISNA(MATCH(B927,Mitarbeiter!$A$6:$A$205,0)),"Pers.-Nr. unbekannt",IF(A927="","Datum fehlt",IF(AND(D927&lt;&gt;Einstellungen!$C$4,D927&lt;&gt;Einstellungen!$C$5),"Objekt fehlt",IF(YEAR(A927)&lt;&gt;Einstellungen!$C$3,"anderes Jahr",IF(A927&lt;INDEX(Mitarbeiter!$C$6:$C$205,MATCH(B927,Mitarbeiter!$A$6:$A$205,0)),"vor Eintritt",IF(AND(INDEX(Mitarbeiter!$D$6:$D$205,MATCH(B927,Mitarbeiter!$A$6:$A$205,0))&lt;&gt;"",A927&gt;INDEX(Mitarbeiter!$D$6:$D$205,MATCH(B927,Mitarbeiter!$A$6:$A$205,0))),"nach Austritt","ok")))))))</f>
        <v/>
      </c>
    </row>
    <row r="928">
      <c r="A928" s="26" t="n"/>
      <c r="B928" s="24" t="n"/>
      <c r="C928" s="40">
        <f>IF(B928="","",IFERROR(INDEX(Mitarbeiter!$B$6:$B$205,MATCH(B928,Mitarbeiter!$A$6:$A$205,0)),"?"))</f>
        <v/>
      </c>
      <c r="D928" s="41" t="n"/>
      <c r="E928" s="42" t="n"/>
      <c r="F928" s="43" t="n"/>
      <c r="G928" s="44">
        <f>IF(OR(B928="",F928=""),"",IFERROR(F928*INDEX(Mitarbeiter!$F$6:$F$205,MATCH(B928,Mitarbeiter!$A$6:$A$205,0)),0))</f>
        <v/>
      </c>
      <c r="H928" s="8">
        <f>IF(B928="","",IF(ISNA(MATCH(B928,Mitarbeiter!$A$6:$A$205,0)),"Pers.-Nr. unbekannt",IF(A928="","Datum fehlt",IF(AND(D928&lt;&gt;Einstellungen!$C$4,D928&lt;&gt;Einstellungen!$C$5),"Objekt fehlt",IF(YEAR(A928)&lt;&gt;Einstellungen!$C$3,"anderes Jahr",IF(A928&lt;INDEX(Mitarbeiter!$C$6:$C$205,MATCH(B928,Mitarbeiter!$A$6:$A$205,0)),"vor Eintritt",IF(AND(INDEX(Mitarbeiter!$D$6:$D$205,MATCH(B928,Mitarbeiter!$A$6:$A$205,0))&lt;&gt;"",A928&gt;INDEX(Mitarbeiter!$D$6:$D$205,MATCH(B928,Mitarbeiter!$A$6:$A$205,0))),"nach Austritt","ok")))))))</f>
        <v/>
      </c>
    </row>
    <row r="929">
      <c r="A929" s="26" t="n"/>
      <c r="B929" s="24" t="n"/>
      <c r="C929" s="40">
        <f>IF(B929="","",IFERROR(INDEX(Mitarbeiter!$B$6:$B$205,MATCH(B929,Mitarbeiter!$A$6:$A$205,0)),"?"))</f>
        <v/>
      </c>
      <c r="D929" s="41" t="n"/>
      <c r="E929" s="42" t="n"/>
      <c r="F929" s="43" t="n"/>
      <c r="G929" s="44">
        <f>IF(OR(B929="",F929=""),"",IFERROR(F929*INDEX(Mitarbeiter!$F$6:$F$205,MATCH(B929,Mitarbeiter!$A$6:$A$205,0)),0))</f>
        <v/>
      </c>
      <c r="H929" s="8">
        <f>IF(B929="","",IF(ISNA(MATCH(B929,Mitarbeiter!$A$6:$A$205,0)),"Pers.-Nr. unbekannt",IF(A929="","Datum fehlt",IF(AND(D929&lt;&gt;Einstellungen!$C$4,D929&lt;&gt;Einstellungen!$C$5),"Objekt fehlt",IF(YEAR(A929)&lt;&gt;Einstellungen!$C$3,"anderes Jahr",IF(A929&lt;INDEX(Mitarbeiter!$C$6:$C$205,MATCH(B929,Mitarbeiter!$A$6:$A$205,0)),"vor Eintritt",IF(AND(INDEX(Mitarbeiter!$D$6:$D$205,MATCH(B929,Mitarbeiter!$A$6:$A$205,0))&lt;&gt;"",A929&gt;INDEX(Mitarbeiter!$D$6:$D$205,MATCH(B929,Mitarbeiter!$A$6:$A$205,0))),"nach Austritt","ok")))))))</f>
        <v/>
      </c>
    </row>
    <row r="930">
      <c r="A930" s="26" t="n"/>
      <c r="B930" s="24" t="n"/>
      <c r="C930" s="40">
        <f>IF(B930="","",IFERROR(INDEX(Mitarbeiter!$B$6:$B$205,MATCH(B930,Mitarbeiter!$A$6:$A$205,0)),"?"))</f>
        <v/>
      </c>
      <c r="D930" s="41" t="n"/>
      <c r="E930" s="42" t="n"/>
      <c r="F930" s="43" t="n"/>
      <c r="G930" s="44">
        <f>IF(OR(B930="",F930=""),"",IFERROR(F930*INDEX(Mitarbeiter!$F$6:$F$205,MATCH(B930,Mitarbeiter!$A$6:$A$205,0)),0))</f>
        <v/>
      </c>
      <c r="H930" s="8">
        <f>IF(B930="","",IF(ISNA(MATCH(B930,Mitarbeiter!$A$6:$A$205,0)),"Pers.-Nr. unbekannt",IF(A930="","Datum fehlt",IF(AND(D930&lt;&gt;Einstellungen!$C$4,D930&lt;&gt;Einstellungen!$C$5),"Objekt fehlt",IF(YEAR(A930)&lt;&gt;Einstellungen!$C$3,"anderes Jahr",IF(A930&lt;INDEX(Mitarbeiter!$C$6:$C$205,MATCH(B930,Mitarbeiter!$A$6:$A$205,0)),"vor Eintritt",IF(AND(INDEX(Mitarbeiter!$D$6:$D$205,MATCH(B930,Mitarbeiter!$A$6:$A$205,0))&lt;&gt;"",A930&gt;INDEX(Mitarbeiter!$D$6:$D$205,MATCH(B930,Mitarbeiter!$A$6:$A$205,0))),"nach Austritt","ok")))))))</f>
        <v/>
      </c>
    </row>
    <row r="931">
      <c r="A931" s="26" t="n"/>
      <c r="B931" s="24" t="n"/>
      <c r="C931" s="40">
        <f>IF(B931="","",IFERROR(INDEX(Mitarbeiter!$B$6:$B$205,MATCH(B931,Mitarbeiter!$A$6:$A$205,0)),"?"))</f>
        <v/>
      </c>
      <c r="D931" s="41" t="n"/>
      <c r="E931" s="42" t="n"/>
      <c r="F931" s="43" t="n"/>
      <c r="G931" s="44">
        <f>IF(OR(B931="",F931=""),"",IFERROR(F931*INDEX(Mitarbeiter!$F$6:$F$205,MATCH(B931,Mitarbeiter!$A$6:$A$205,0)),0))</f>
        <v/>
      </c>
      <c r="H931" s="8">
        <f>IF(B931="","",IF(ISNA(MATCH(B931,Mitarbeiter!$A$6:$A$205,0)),"Pers.-Nr. unbekannt",IF(A931="","Datum fehlt",IF(AND(D931&lt;&gt;Einstellungen!$C$4,D931&lt;&gt;Einstellungen!$C$5),"Objekt fehlt",IF(YEAR(A931)&lt;&gt;Einstellungen!$C$3,"anderes Jahr",IF(A931&lt;INDEX(Mitarbeiter!$C$6:$C$205,MATCH(B931,Mitarbeiter!$A$6:$A$205,0)),"vor Eintritt",IF(AND(INDEX(Mitarbeiter!$D$6:$D$205,MATCH(B931,Mitarbeiter!$A$6:$A$205,0))&lt;&gt;"",A931&gt;INDEX(Mitarbeiter!$D$6:$D$205,MATCH(B931,Mitarbeiter!$A$6:$A$205,0))),"nach Austritt","ok")))))))</f>
        <v/>
      </c>
    </row>
    <row r="932">
      <c r="A932" s="26" t="n"/>
      <c r="B932" s="24" t="n"/>
      <c r="C932" s="40">
        <f>IF(B932="","",IFERROR(INDEX(Mitarbeiter!$B$6:$B$205,MATCH(B932,Mitarbeiter!$A$6:$A$205,0)),"?"))</f>
        <v/>
      </c>
      <c r="D932" s="41" t="n"/>
      <c r="E932" s="42" t="n"/>
      <c r="F932" s="43" t="n"/>
      <c r="G932" s="44">
        <f>IF(OR(B932="",F932=""),"",IFERROR(F932*INDEX(Mitarbeiter!$F$6:$F$205,MATCH(B932,Mitarbeiter!$A$6:$A$205,0)),0))</f>
        <v/>
      </c>
      <c r="H932" s="8">
        <f>IF(B932="","",IF(ISNA(MATCH(B932,Mitarbeiter!$A$6:$A$205,0)),"Pers.-Nr. unbekannt",IF(A932="","Datum fehlt",IF(AND(D932&lt;&gt;Einstellungen!$C$4,D932&lt;&gt;Einstellungen!$C$5),"Objekt fehlt",IF(YEAR(A932)&lt;&gt;Einstellungen!$C$3,"anderes Jahr",IF(A932&lt;INDEX(Mitarbeiter!$C$6:$C$205,MATCH(B932,Mitarbeiter!$A$6:$A$205,0)),"vor Eintritt",IF(AND(INDEX(Mitarbeiter!$D$6:$D$205,MATCH(B932,Mitarbeiter!$A$6:$A$205,0))&lt;&gt;"",A932&gt;INDEX(Mitarbeiter!$D$6:$D$205,MATCH(B932,Mitarbeiter!$A$6:$A$205,0))),"nach Austritt","ok")))))))</f>
        <v/>
      </c>
    </row>
    <row r="933">
      <c r="A933" s="26" t="n"/>
      <c r="B933" s="24" t="n"/>
      <c r="C933" s="40">
        <f>IF(B933="","",IFERROR(INDEX(Mitarbeiter!$B$6:$B$205,MATCH(B933,Mitarbeiter!$A$6:$A$205,0)),"?"))</f>
        <v/>
      </c>
      <c r="D933" s="41" t="n"/>
      <c r="E933" s="42" t="n"/>
      <c r="F933" s="43" t="n"/>
      <c r="G933" s="44">
        <f>IF(OR(B933="",F933=""),"",IFERROR(F933*INDEX(Mitarbeiter!$F$6:$F$205,MATCH(B933,Mitarbeiter!$A$6:$A$205,0)),0))</f>
        <v/>
      </c>
      <c r="H933" s="8">
        <f>IF(B933="","",IF(ISNA(MATCH(B933,Mitarbeiter!$A$6:$A$205,0)),"Pers.-Nr. unbekannt",IF(A933="","Datum fehlt",IF(AND(D933&lt;&gt;Einstellungen!$C$4,D933&lt;&gt;Einstellungen!$C$5),"Objekt fehlt",IF(YEAR(A933)&lt;&gt;Einstellungen!$C$3,"anderes Jahr",IF(A933&lt;INDEX(Mitarbeiter!$C$6:$C$205,MATCH(B933,Mitarbeiter!$A$6:$A$205,0)),"vor Eintritt",IF(AND(INDEX(Mitarbeiter!$D$6:$D$205,MATCH(B933,Mitarbeiter!$A$6:$A$205,0))&lt;&gt;"",A933&gt;INDEX(Mitarbeiter!$D$6:$D$205,MATCH(B933,Mitarbeiter!$A$6:$A$205,0))),"nach Austritt","ok")))))))</f>
        <v/>
      </c>
    </row>
    <row r="934">
      <c r="A934" s="26" t="n"/>
      <c r="B934" s="24" t="n"/>
      <c r="C934" s="40">
        <f>IF(B934="","",IFERROR(INDEX(Mitarbeiter!$B$6:$B$205,MATCH(B934,Mitarbeiter!$A$6:$A$205,0)),"?"))</f>
        <v/>
      </c>
      <c r="D934" s="41" t="n"/>
      <c r="E934" s="42" t="n"/>
      <c r="F934" s="43" t="n"/>
      <c r="G934" s="44">
        <f>IF(OR(B934="",F934=""),"",IFERROR(F934*INDEX(Mitarbeiter!$F$6:$F$205,MATCH(B934,Mitarbeiter!$A$6:$A$205,0)),0))</f>
        <v/>
      </c>
      <c r="H934" s="8">
        <f>IF(B934="","",IF(ISNA(MATCH(B934,Mitarbeiter!$A$6:$A$205,0)),"Pers.-Nr. unbekannt",IF(A934="","Datum fehlt",IF(AND(D934&lt;&gt;Einstellungen!$C$4,D934&lt;&gt;Einstellungen!$C$5),"Objekt fehlt",IF(YEAR(A934)&lt;&gt;Einstellungen!$C$3,"anderes Jahr",IF(A934&lt;INDEX(Mitarbeiter!$C$6:$C$205,MATCH(B934,Mitarbeiter!$A$6:$A$205,0)),"vor Eintritt",IF(AND(INDEX(Mitarbeiter!$D$6:$D$205,MATCH(B934,Mitarbeiter!$A$6:$A$205,0))&lt;&gt;"",A934&gt;INDEX(Mitarbeiter!$D$6:$D$205,MATCH(B934,Mitarbeiter!$A$6:$A$205,0))),"nach Austritt","ok")))))))</f>
        <v/>
      </c>
    </row>
    <row r="935">
      <c r="A935" s="26" t="n"/>
      <c r="B935" s="24" t="n"/>
      <c r="C935" s="40">
        <f>IF(B935="","",IFERROR(INDEX(Mitarbeiter!$B$6:$B$205,MATCH(B935,Mitarbeiter!$A$6:$A$205,0)),"?"))</f>
        <v/>
      </c>
      <c r="D935" s="41" t="n"/>
      <c r="E935" s="42" t="n"/>
      <c r="F935" s="43" t="n"/>
      <c r="G935" s="44">
        <f>IF(OR(B935="",F935=""),"",IFERROR(F935*INDEX(Mitarbeiter!$F$6:$F$205,MATCH(B935,Mitarbeiter!$A$6:$A$205,0)),0))</f>
        <v/>
      </c>
      <c r="H935" s="8">
        <f>IF(B935="","",IF(ISNA(MATCH(B935,Mitarbeiter!$A$6:$A$205,0)),"Pers.-Nr. unbekannt",IF(A935="","Datum fehlt",IF(AND(D935&lt;&gt;Einstellungen!$C$4,D935&lt;&gt;Einstellungen!$C$5),"Objekt fehlt",IF(YEAR(A935)&lt;&gt;Einstellungen!$C$3,"anderes Jahr",IF(A935&lt;INDEX(Mitarbeiter!$C$6:$C$205,MATCH(B935,Mitarbeiter!$A$6:$A$205,0)),"vor Eintritt",IF(AND(INDEX(Mitarbeiter!$D$6:$D$205,MATCH(B935,Mitarbeiter!$A$6:$A$205,0))&lt;&gt;"",A935&gt;INDEX(Mitarbeiter!$D$6:$D$205,MATCH(B935,Mitarbeiter!$A$6:$A$205,0))),"nach Austritt","ok")))))))</f>
        <v/>
      </c>
    </row>
    <row r="936">
      <c r="A936" s="26" t="n"/>
      <c r="B936" s="24" t="n"/>
      <c r="C936" s="40">
        <f>IF(B936="","",IFERROR(INDEX(Mitarbeiter!$B$6:$B$205,MATCH(B936,Mitarbeiter!$A$6:$A$205,0)),"?"))</f>
        <v/>
      </c>
      <c r="D936" s="41" t="n"/>
      <c r="E936" s="42" t="n"/>
      <c r="F936" s="43" t="n"/>
      <c r="G936" s="44">
        <f>IF(OR(B936="",F936=""),"",IFERROR(F936*INDEX(Mitarbeiter!$F$6:$F$205,MATCH(B936,Mitarbeiter!$A$6:$A$205,0)),0))</f>
        <v/>
      </c>
      <c r="H936" s="8">
        <f>IF(B936="","",IF(ISNA(MATCH(B936,Mitarbeiter!$A$6:$A$205,0)),"Pers.-Nr. unbekannt",IF(A936="","Datum fehlt",IF(AND(D936&lt;&gt;Einstellungen!$C$4,D936&lt;&gt;Einstellungen!$C$5),"Objekt fehlt",IF(YEAR(A936)&lt;&gt;Einstellungen!$C$3,"anderes Jahr",IF(A936&lt;INDEX(Mitarbeiter!$C$6:$C$205,MATCH(B936,Mitarbeiter!$A$6:$A$205,0)),"vor Eintritt",IF(AND(INDEX(Mitarbeiter!$D$6:$D$205,MATCH(B936,Mitarbeiter!$A$6:$A$205,0))&lt;&gt;"",A936&gt;INDEX(Mitarbeiter!$D$6:$D$205,MATCH(B936,Mitarbeiter!$A$6:$A$205,0))),"nach Austritt","ok")))))))</f>
        <v/>
      </c>
    </row>
    <row r="937">
      <c r="A937" s="26" t="n"/>
      <c r="B937" s="24" t="n"/>
      <c r="C937" s="40">
        <f>IF(B937="","",IFERROR(INDEX(Mitarbeiter!$B$6:$B$205,MATCH(B937,Mitarbeiter!$A$6:$A$205,0)),"?"))</f>
        <v/>
      </c>
      <c r="D937" s="41" t="n"/>
      <c r="E937" s="42" t="n"/>
      <c r="F937" s="43" t="n"/>
      <c r="G937" s="44">
        <f>IF(OR(B937="",F937=""),"",IFERROR(F937*INDEX(Mitarbeiter!$F$6:$F$205,MATCH(B937,Mitarbeiter!$A$6:$A$205,0)),0))</f>
        <v/>
      </c>
      <c r="H937" s="8">
        <f>IF(B937="","",IF(ISNA(MATCH(B937,Mitarbeiter!$A$6:$A$205,0)),"Pers.-Nr. unbekannt",IF(A937="","Datum fehlt",IF(AND(D937&lt;&gt;Einstellungen!$C$4,D937&lt;&gt;Einstellungen!$C$5),"Objekt fehlt",IF(YEAR(A937)&lt;&gt;Einstellungen!$C$3,"anderes Jahr",IF(A937&lt;INDEX(Mitarbeiter!$C$6:$C$205,MATCH(B937,Mitarbeiter!$A$6:$A$205,0)),"vor Eintritt",IF(AND(INDEX(Mitarbeiter!$D$6:$D$205,MATCH(B937,Mitarbeiter!$A$6:$A$205,0))&lt;&gt;"",A937&gt;INDEX(Mitarbeiter!$D$6:$D$205,MATCH(B937,Mitarbeiter!$A$6:$A$205,0))),"nach Austritt","ok")))))))</f>
        <v/>
      </c>
    </row>
    <row r="938">
      <c r="A938" s="26" t="n"/>
      <c r="B938" s="24" t="n"/>
      <c r="C938" s="40">
        <f>IF(B938="","",IFERROR(INDEX(Mitarbeiter!$B$6:$B$205,MATCH(B938,Mitarbeiter!$A$6:$A$205,0)),"?"))</f>
        <v/>
      </c>
      <c r="D938" s="41" t="n"/>
      <c r="E938" s="42" t="n"/>
      <c r="F938" s="43" t="n"/>
      <c r="G938" s="44">
        <f>IF(OR(B938="",F938=""),"",IFERROR(F938*INDEX(Mitarbeiter!$F$6:$F$205,MATCH(B938,Mitarbeiter!$A$6:$A$205,0)),0))</f>
        <v/>
      </c>
      <c r="H938" s="8">
        <f>IF(B938="","",IF(ISNA(MATCH(B938,Mitarbeiter!$A$6:$A$205,0)),"Pers.-Nr. unbekannt",IF(A938="","Datum fehlt",IF(AND(D938&lt;&gt;Einstellungen!$C$4,D938&lt;&gt;Einstellungen!$C$5),"Objekt fehlt",IF(YEAR(A938)&lt;&gt;Einstellungen!$C$3,"anderes Jahr",IF(A938&lt;INDEX(Mitarbeiter!$C$6:$C$205,MATCH(B938,Mitarbeiter!$A$6:$A$205,0)),"vor Eintritt",IF(AND(INDEX(Mitarbeiter!$D$6:$D$205,MATCH(B938,Mitarbeiter!$A$6:$A$205,0))&lt;&gt;"",A938&gt;INDEX(Mitarbeiter!$D$6:$D$205,MATCH(B938,Mitarbeiter!$A$6:$A$205,0))),"nach Austritt","ok")))))))</f>
        <v/>
      </c>
    </row>
    <row r="939">
      <c r="A939" s="26" t="n"/>
      <c r="B939" s="24" t="n"/>
      <c r="C939" s="40">
        <f>IF(B939="","",IFERROR(INDEX(Mitarbeiter!$B$6:$B$205,MATCH(B939,Mitarbeiter!$A$6:$A$205,0)),"?"))</f>
        <v/>
      </c>
      <c r="D939" s="41" t="n"/>
      <c r="E939" s="42" t="n"/>
      <c r="F939" s="43" t="n"/>
      <c r="G939" s="44">
        <f>IF(OR(B939="",F939=""),"",IFERROR(F939*INDEX(Mitarbeiter!$F$6:$F$205,MATCH(B939,Mitarbeiter!$A$6:$A$205,0)),0))</f>
        <v/>
      </c>
      <c r="H939" s="8">
        <f>IF(B939="","",IF(ISNA(MATCH(B939,Mitarbeiter!$A$6:$A$205,0)),"Pers.-Nr. unbekannt",IF(A939="","Datum fehlt",IF(AND(D939&lt;&gt;Einstellungen!$C$4,D939&lt;&gt;Einstellungen!$C$5),"Objekt fehlt",IF(YEAR(A939)&lt;&gt;Einstellungen!$C$3,"anderes Jahr",IF(A939&lt;INDEX(Mitarbeiter!$C$6:$C$205,MATCH(B939,Mitarbeiter!$A$6:$A$205,0)),"vor Eintritt",IF(AND(INDEX(Mitarbeiter!$D$6:$D$205,MATCH(B939,Mitarbeiter!$A$6:$A$205,0))&lt;&gt;"",A939&gt;INDEX(Mitarbeiter!$D$6:$D$205,MATCH(B939,Mitarbeiter!$A$6:$A$205,0))),"nach Austritt","ok")))))))</f>
        <v/>
      </c>
    </row>
    <row r="940">
      <c r="A940" s="26" t="n"/>
      <c r="B940" s="24" t="n"/>
      <c r="C940" s="40">
        <f>IF(B940="","",IFERROR(INDEX(Mitarbeiter!$B$6:$B$205,MATCH(B940,Mitarbeiter!$A$6:$A$205,0)),"?"))</f>
        <v/>
      </c>
      <c r="D940" s="41" t="n"/>
      <c r="E940" s="42" t="n"/>
      <c r="F940" s="43" t="n"/>
      <c r="G940" s="44">
        <f>IF(OR(B940="",F940=""),"",IFERROR(F940*INDEX(Mitarbeiter!$F$6:$F$205,MATCH(B940,Mitarbeiter!$A$6:$A$205,0)),0))</f>
        <v/>
      </c>
      <c r="H940" s="8">
        <f>IF(B940="","",IF(ISNA(MATCH(B940,Mitarbeiter!$A$6:$A$205,0)),"Pers.-Nr. unbekannt",IF(A940="","Datum fehlt",IF(AND(D940&lt;&gt;Einstellungen!$C$4,D940&lt;&gt;Einstellungen!$C$5),"Objekt fehlt",IF(YEAR(A940)&lt;&gt;Einstellungen!$C$3,"anderes Jahr",IF(A940&lt;INDEX(Mitarbeiter!$C$6:$C$205,MATCH(B940,Mitarbeiter!$A$6:$A$205,0)),"vor Eintritt",IF(AND(INDEX(Mitarbeiter!$D$6:$D$205,MATCH(B940,Mitarbeiter!$A$6:$A$205,0))&lt;&gt;"",A940&gt;INDEX(Mitarbeiter!$D$6:$D$205,MATCH(B940,Mitarbeiter!$A$6:$A$205,0))),"nach Austritt","ok")))))))</f>
        <v/>
      </c>
    </row>
    <row r="941">
      <c r="A941" s="26" t="n"/>
      <c r="B941" s="24" t="n"/>
      <c r="C941" s="40">
        <f>IF(B941="","",IFERROR(INDEX(Mitarbeiter!$B$6:$B$205,MATCH(B941,Mitarbeiter!$A$6:$A$205,0)),"?"))</f>
        <v/>
      </c>
      <c r="D941" s="41" t="n"/>
      <c r="E941" s="42" t="n"/>
      <c r="F941" s="43" t="n"/>
      <c r="G941" s="44">
        <f>IF(OR(B941="",F941=""),"",IFERROR(F941*INDEX(Mitarbeiter!$F$6:$F$205,MATCH(B941,Mitarbeiter!$A$6:$A$205,0)),0))</f>
        <v/>
      </c>
      <c r="H941" s="8">
        <f>IF(B941="","",IF(ISNA(MATCH(B941,Mitarbeiter!$A$6:$A$205,0)),"Pers.-Nr. unbekannt",IF(A941="","Datum fehlt",IF(AND(D941&lt;&gt;Einstellungen!$C$4,D941&lt;&gt;Einstellungen!$C$5),"Objekt fehlt",IF(YEAR(A941)&lt;&gt;Einstellungen!$C$3,"anderes Jahr",IF(A941&lt;INDEX(Mitarbeiter!$C$6:$C$205,MATCH(B941,Mitarbeiter!$A$6:$A$205,0)),"vor Eintritt",IF(AND(INDEX(Mitarbeiter!$D$6:$D$205,MATCH(B941,Mitarbeiter!$A$6:$A$205,0))&lt;&gt;"",A941&gt;INDEX(Mitarbeiter!$D$6:$D$205,MATCH(B941,Mitarbeiter!$A$6:$A$205,0))),"nach Austritt","ok")))))))</f>
        <v/>
      </c>
    </row>
    <row r="942">
      <c r="A942" s="26" t="n"/>
      <c r="B942" s="24" t="n"/>
      <c r="C942" s="40">
        <f>IF(B942="","",IFERROR(INDEX(Mitarbeiter!$B$6:$B$205,MATCH(B942,Mitarbeiter!$A$6:$A$205,0)),"?"))</f>
        <v/>
      </c>
      <c r="D942" s="41" t="n"/>
      <c r="E942" s="42" t="n"/>
      <c r="F942" s="43" t="n"/>
      <c r="G942" s="44">
        <f>IF(OR(B942="",F942=""),"",IFERROR(F942*INDEX(Mitarbeiter!$F$6:$F$205,MATCH(B942,Mitarbeiter!$A$6:$A$205,0)),0))</f>
        <v/>
      </c>
      <c r="H942" s="8">
        <f>IF(B942="","",IF(ISNA(MATCH(B942,Mitarbeiter!$A$6:$A$205,0)),"Pers.-Nr. unbekannt",IF(A942="","Datum fehlt",IF(AND(D942&lt;&gt;Einstellungen!$C$4,D942&lt;&gt;Einstellungen!$C$5),"Objekt fehlt",IF(YEAR(A942)&lt;&gt;Einstellungen!$C$3,"anderes Jahr",IF(A942&lt;INDEX(Mitarbeiter!$C$6:$C$205,MATCH(B942,Mitarbeiter!$A$6:$A$205,0)),"vor Eintritt",IF(AND(INDEX(Mitarbeiter!$D$6:$D$205,MATCH(B942,Mitarbeiter!$A$6:$A$205,0))&lt;&gt;"",A942&gt;INDEX(Mitarbeiter!$D$6:$D$205,MATCH(B942,Mitarbeiter!$A$6:$A$205,0))),"nach Austritt","ok")))))))</f>
        <v/>
      </c>
    </row>
    <row r="943">
      <c r="A943" s="26" t="n"/>
      <c r="B943" s="24" t="n"/>
      <c r="C943" s="40">
        <f>IF(B943="","",IFERROR(INDEX(Mitarbeiter!$B$6:$B$205,MATCH(B943,Mitarbeiter!$A$6:$A$205,0)),"?"))</f>
        <v/>
      </c>
      <c r="D943" s="41" t="n"/>
      <c r="E943" s="42" t="n"/>
      <c r="F943" s="43" t="n"/>
      <c r="G943" s="44">
        <f>IF(OR(B943="",F943=""),"",IFERROR(F943*INDEX(Mitarbeiter!$F$6:$F$205,MATCH(B943,Mitarbeiter!$A$6:$A$205,0)),0))</f>
        <v/>
      </c>
      <c r="H943" s="8">
        <f>IF(B943="","",IF(ISNA(MATCH(B943,Mitarbeiter!$A$6:$A$205,0)),"Pers.-Nr. unbekannt",IF(A943="","Datum fehlt",IF(AND(D943&lt;&gt;Einstellungen!$C$4,D943&lt;&gt;Einstellungen!$C$5),"Objekt fehlt",IF(YEAR(A943)&lt;&gt;Einstellungen!$C$3,"anderes Jahr",IF(A943&lt;INDEX(Mitarbeiter!$C$6:$C$205,MATCH(B943,Mitarbeiter!$A$6:$A$205,0)),"vor Eintritt",IF(AND(INDEX(Mitarbeiter!$D$6:$D$205,MATCH(B943,Mitarbeiter!$A$6:$A$205,0))&lt;&gt;"",A943&gt;INDEX(Mitarbeiter!$D$6:$D$205,MATCH(B943,Mitarbeiter!$A$6:$A$205,0))),"nach Austritt","ok")))))))</f>
        <v/>
      </c>
    </row>
    <row r="944">
      <c r="A944" s="26" t="n"/>
      <c r="B944" s="24" t="n"/>
      <c r="C944" s="40">
        <f>IF(B944="","",IFERROR(INDEX(Mitarbeiter!$B$6:$B$205,MATCH(B944,Mitarbeiter!$A$6:$A$205,0)),"?"))</f>
        <v/>
      </c>
      <c r="D944" s="41" t="n"/>
      <c r="E944" s="42" t="n"/>
      <c r="F944" s="43" t="n"/>
      <c r="G944" s="44">
        <f>IF(OR(B944="",F944=""),"",IFERROR(F944*INDEX(Mitarbeiter!$F$6:$F$205,MATCH(B944,Mitarbeiter!$A$6:$A$205,0)),0))</f>
        <v/>
      </c>
      <c r="H944" s="8">
        <f>IF(B944="","",IF(ISNA(MATCH(B944,Mitarbeiter!$A$6:$A$205,0)),"Pers.-Nr. unbekannt",IF(A944="","Datum fehlt",IF(AND(D944&lt;&gt;Einstellungen!$C$4,D944&lt;&gt;Einstellungen!$C$5),"Objekt fehlt",IF(YEAR(A944)&lt;&gt;Einstellungen!$C$3,"anderes Jahr",IF(A944&lt;INDEX(Mitarbeiter!$C$6:$C$205,MATCH(B944,Mitarbeiter!$A$6:$A$205,0)),"vor Eintritt",IF(AND(INDEX(Mitarbeiter!$D$6:$D$205,MATCH(B944,Mitarbeiter!$A$6:$A$205,0))&lt;&gt;"",A944&gt;INDEX(Mitarbeiter!$D$6:$D$205,MATCH(B944,Mitarbeiter!$A$6:$A$205,0))),"nach Austritt","ok")))))))</f>
        <v/>
      </c>
    </row>
    <row r="945">
      <c r="A945" s="26" t="n"/>
      <c r="B945" s="24" t="n"/>
      <c r="C945" s="40">
        <f>IF(B945="","",IFERROR(INDEX(Mitarbeiter!$B$6:$B$205,MATCH(B945,Mitarbeiter!$A$6:$A$205,0)),"?"))</f>
        <v/>
      </c>
      <c r="D945" s="41" t="n"/>
      <c r="E945" s="42" t="n"/>
      <c r="F945" s="43" t="n"/>
      <c r="G945" s="44">
        <f>IF(OR(B945="",F945=""),"",IFERROR(F945*INDEX(Mitarbeiter!$F$6:$F$205,MATCH(B945,Mitarbeiter!$A$6:$A$205,0)),0))</f>
        <v/>
      </c>
      <c r="H945" s="8">
        <f>IF(B945="","",IF(ISNA(MATCH(B945,Mitarbeiter!$A$6:$A$205,0)),"Pers.-Nr. unbekannt",IF(A945="","Datum fehlt",IF(AND(D945&lt;&gt;Einstellungen!$C$4,D945&lt;&gt;Einstellungen!$C$5),"Objekt fehlt",IF(YEAR(A945)&lt;&gt;Einstellungen!$C$3,"anderes Jahr",IF(A945&lt;INDEX(Mitarbeiter!$C$6:$C$205,MATCH(B945,Mitarbeiter!$A$6:$A$205,0)),"vor Eintritt",IF(AND(INDEX(Mitarbeiter!$D$6:$D$205,MATCH(B945,Mitarbeiter!$A$6:$A$205,0))&lt;&gt;"",A945&gt;INDEX(Mitarbeiter!$D$6:$D$205,MATCH(B945,Mitarbeiter!$A$6:$A$205,0))),"nach Austritt","ok")))))))</f>
        <v/>
      </c>
    </row>
    <row r="946">
      <c r="A946" s="26" t="n"/>
      <c r="B946" s="24" t="n"/>
      <c r="C946" s="40">
        <f>IF(B946="","",IFERROR(INDEX(Mitarbeiter!$B$6:$B$205,MATCH(B946,Mitarbeiter!$A$6:$A$205,0)),"?"))</f>
        <v/>
      </c>
      <c r="D946" s="41" t="n"/>
      <c r="E946" s="42" t="n"/>
      <c r="F946" s="43" t="n"/>
      <c r="G946" s="44">
        <f>IF(OR(B946="",F946=""),"",IFERROR(F946*INDEX(Mitarbeiter!$F$6:$F$205,MATCH(B946,Mitarbeiter!$A$6:$A$205,0)),0))</f>
        <v/>
      </c>
      <c r="H946" s="8">
        <f>IF(B946="","",IF(ISNA(MATCH(B946,Mitarbeiter!$A$6:$A$205,0)),"Pers.-Nr. unbekannt",IF(A946="","Datum fehlt",IF(AND(D946&lt;&gt;Einstellungen!$C$4,D946&lt;&gt;Einstellungen!$C$5),"Objekt fehlt",IF(YEAR(A946)&lt;&gt;Einstellungen!$C$3,"anderes Jahr",IF(A946&lt;INDEX(Mitarbeiter!$C$6:$C$205,MATCH(B946,Mitarbeiter!$A$6:$A$205,0)),"vor Eintritt",IF(AND(INDEX(Mitarbeiter!$D$6:$D$205,MATCH(B946,Mitarbeiter!$A$6:$A$205,0))&lt;&gt;"",A946&gt;INDEX(Mitarbeiter!$D$6:$D$205,MATCH(B946,Mitarbeiter!$A$6:$A$205,0))),"nach Austritt","ok")))))))</f>
        <v/>
      </c>
    </row>
    <row r="947">
      <c r="A947" s="26" t="n"/>
      <c r="B947" s="24" t="n"/>
      <c r="C947" s="40">
        <f>IF(B947="","",IFERROR(INDEX(Mitarbeiter!$B$6:$B$205,MATCH(B947,Mitarbeiter!$A$6:$A$205,0)),"?"))</f>
        <v/>
      </c>
      <c r="D947" s="41" t="n"/>
      <c r="E947" s="42" t="n"/>
      <c r="F947" s="43" t="n"/>
      <c r="G947" s="44">
        <f>IF(OR(B947="",F947=""),"",IFERROR(F947*INDEX(Mitarbeiter!$F$6:$F$205,MATCH(B947,Mitarbeiter!$A$6:$A$205,0)),0))</f>
        <v/>
      </c>
      <c r="H947" s="8">
        <f>IF(B947="","",IF(ISNA(MATCH(B947,Mitarbeiter!$A$6:$A$205,0)),"Pers.-Nr. unbekannt",IF(A947="","Datum fehlt",IF(AND(D947&lt;&gt;Einstellungen!$C$4,D947&lt;&gt;Einstellungen!$C$5),"Objekt fehlt",IF(YEAR(A947)&lt;&gt;Einstellungen!$C$3,"anderes Jahr",IF(A947&lt;INDEX(Mitarbeiter!$C$6:$C$205,MATCH(B947,Mitarbeiter!$A$6:$A$205,0)),"vor Eintritt",IF(AND(INDEX(Mitarbeiter!$D$6:$D$205,MATCH(B947,Mitarbeiter!$A$6:$A$205,0))&lt;&gt;"",A947&gt;INDEX(Mitarbeiter!$D$6:$D$205,MATCH(B947,Mitarbeiter!$A$6:$A$205,0))),"nach Austritt","ok")))))))</f>
        <v/>
      </c>
    </row>
    <row r="948">
      <c r="A948" s="26" t="n"/>
      <c r="B948" s="24" t="n"/>
      <c r="C948" s="40">
        <f>IF(B948="","",IFERROR(INDEX(Mitarbeiter!$B$6:$B$205,MATCH(B948,Mitarbeiter!$A$6:$A$205,0)),"?"))</f>
        <v/>
      </c>
      <c r="D948" s="41" t="n"/>
      <c r="E948" s="42" t="n"/>
      <c r="F948" s="43" t="n"/>
      <c r="G948" s="44">
        <f>IF(OR(B948="",F948=""),"",IFERROR(F948*INDEX(Mitarbeiter!$F$6:$F$205,MATCH(B948,Mitarbeiter!$A$6:$A$205,0)),0))</f>
        <v/>
      </c>
      <c r="H948" s="8">
        <f>IF(B948="","",IF(ISNA(MATCH(B948,Mitarbeiter!$A$6:$A$205,0)),"Pers.-Nr. unbekannt",IF(A948="","Datum fehlt",IF(AND(D948&lt;&gt;Einstellungen!$C$4,D948&lt;&gt;Einstellungen!$C$5),"Objekt fehlt",IF(YEAR(A948)&lt;&gt;Einstellungen!$C$3,"anderes Jahr",IF(A948&lt;INDEX(Mitarbeiter!$C$6:$C$205,MATCH(B948,Mitarbeiter!$A$6:$A$205,0)),"vor Eintritt",IF(AND(INDEX(Mitarbeiter!$D$6:$D$205,MATCH(B948,Mitarbeiter!$A$6:$A$205,0))&lt;&gt;"",A948&gt;INDEX(Mitarbeiter!$D$6:$D$205,MATCH(B948,Mitarbeiter!$A$6:$A$205,0))),"nach Austritt","ok")))))))</f>
        <v/>
      </c>
    </row>
    <row r="949">
      <c r="A949" s="26" t="n"/>
      <c r="B949" s="24" t="n"/>
      <c r="C949" s="40">
        <f>IF(B949="","",IFERROR(INDEX(Mitarbeiter!$B$6:$B$205,MATCH(B949,Mitarbeiter!$A$6:$A$205,0)),"?"))</f>
        <v/>
      </c>
      <c r="D949" s="41" t="n"/>
      <c r="E949" s="42" t="n"/>
      <c r="F949" s="43" t="n"/>
      <c r="G949" s="44">
        <f>IF(OR(B949="",F949=""),"",IFERROR(F949*INDEX(Mitarbeiter!$F$6:$F$205,MATCH(B949,Mitarbeiter!$A$6:$A$205,0)),0))</f>
        <v/>
      </c>
      <c r="H949" s="8">
        <f>IF(B949="","",IF(ISNA(MATCH(B949,Mitarbeiter!$A$6:$A$205,0)),"Pers.-Nr. unbekannt",IF(A949="","Datum fehlt",IF(AND(D949&lt;&gt;Einstellungen!$C$4,D949&lt;&gt;Einstellungen!$C$5),"Objekt fehlt",IF(YEAR(A949)&lt;&gt;Einstellungen!$C$3,"anderes Jahr",IF(A949&lt;INDEX(Mitarbeiter!$C$6:$C$205,MATCH(B949,Mitarbeiter!$A$6:$A$205,0)),"vor Eintritt",IF(AND(INDEX(Mitarbeiter!$D$6:$D$205,MATCH(B949,Mitarbeiter!$A$6:$A$205,0))&lt;&gt;"",A949&gt;INDEX(Mitarbeiter!$D$6:$D$205,MATCH(B949,Mitarbeiter!$A$6:$A$205,0))),"nach Austritt","ok")))))))</f>
        <v/>
      </c>
    </row>
    <row r="950">
      <c r="A950" s="26" t="n"/>
      <c r="B950" s="24" t="n"/>
      <c r="C950" s="40">
        <f>IF(B950="","",IFERROR(INDEX(Mitarbeiter!$B$6:$B$205,MATCH(B950,Mitarbeiter!$A$6:$A$205,0)),"?"))</f>
        <v/>
      </c>
      <c r="D950" s="41" t="n"/>
      <c r="E950" s="42" t="n"/>
      <c r="F950" s="43" t="n"/>
      <c r="G950" s="44">
        <f>IF(OR(B950="",F950=""),"",IFERROR(F950*INDEX(Mitarbeiter!$F$6:$F$205,MATCH(B950,Mitarbeiter!$A$6:$A$205,0)),0))</f>
        <v/>
      </c>
      <c r="H950" s="8">
        <f>IF(B950="","",IF(ISNA(MATCH(B950,Mitarbeiter!$A$6:$A$205,0)),"Pers.-Nr. unbekannt",IF(A950="","Datum fehlt",IF(AND(D950&lt;&gt;Einstellungen!$C$4,D950&lt;&gt;Einstellungen!$C$5),"Objekt fehlt",IF(YEAR(A950)&lt;&gt;Einstellungen!$C$3,"anderes Jahr",IF(A950&lt;INDEX(Mitarbeiter!$C$6:$C$205,MATCH(B950,Mitarbeiter!$A$6:$A$205,0)),"vor Eintritt",IF(AND(INDEX(Mitarbeiter!$D$6:$D$205,MATCH(B950,Mitarbeiter!$A$6:$A$205,0))&lt;&gt;"",A950&gt;INDEX(Mitarbeiter!$D$6:$D$205,MATCH(B950,Mitarbeiter!$A$6:$A$205,0))),"nach Austritt","ok")))))))</f>
        <v/>
      </c>
    </row>
    <row r="951">
      <c r="A951" s="26" t="n"/>
      <c r="B951" s="24" t="n"/>
      <c r="C951" s="40">
        <f>IF(B951="","",IFERROR(INDEX(Mitarbeiter!$B$6:$B$205,MATCH(B951,Mitarbeiter!$A$6:$A$205,0)),"?"))</f>
        <v/>
      </c>
      <c r="D951" s="41" t="n"/>
      <c r="E951" s="42" t="n"/>
      <c r="F951" s="43" t="n"/>
      <c r="G951" s="44">
        <f>IF(OR(B951="",F951=""),"",IFERROR(F951*INDEX(Mitarbeiter!$F$6:$F$205,MATCH(B951,Mitarbeiter!$A$6:$A$205,0)),0))</f>
        <v/>
      </c>
      <c r="H951" s="8">
        <f>IF(B951="","",IF(ISNA(MATCH(B951,Mitarbeiter!$A$6:$A$205,0)),"Pers.-Nr. unbekannt",IF(A951="","Datum fehlt",IF(AND(D951&lt;&gt;Einstellungen!$C$4,D951&lt;&gt;Einstellungen!$C$5),"Objekt fehlt",IF(YEAR(A951)&lt;&gt;Einstellungen!$C$3,"anderes Jahr",IF(A951&lt;INDEX(Mitarbeiter!$C$6:$C$205,MATCH(B951,Mitarbeiter!$A$6:$A$205,0)),"vor Eintritt",IF(AND(INDEX(Mitarbeiter!$D$6:$D$205,MATCH(B951,Mitarbeiter!$A$6:$A$205,0))&lt;&gt;"",A951&gt;INDEX(Mitarbeiter!$D$6:$D$205,MATCH(B951,Mitarbeiter!$A$6:$A$205,0))),"nach Austritt","ok")))))))</f>
        <v/>
      </c>
    </row>
    <row r="952">
      <c r="A952" s="26" t="n"/>
      <c r="B952" s="24" t="n"/>
      <c r="C952" s="40">
        <f>IF(B952="","",IFERROR(INDEX(Mitarbeiter!$B$6:$B$205,MATCH(B952,Mitarbeiter!$A$6:$A$205,0)),"?"))</f>
        <v/>
      </c>
      <c r="D952" s="41" t="n"/>
      <c r="E952" s="42" t="n"/>
      <c r="F952" s="43" t="n"/>
      <c r="G952" s="44">
        <f>IF(OR(B952="",F952=""),"",IFERROR(F952*INDEX(Mitarbeiter!$F$6:$F$205,MATCH(B952,Mitarbeiter!$A$6:$A$205,0)),0))</f>
        <v/>
      </c>
      <c r="H952" s="8">
        <f>IF(B952="","",IF(ISNA(MATCH(B952,Mitarbeiter!$A$6:$A$205,0)),"Pers.-Nr. unbekannt",IF(A952="","Datum fehlt",IF(AND(D952&lt;&gt;Einstellungen!$C$4,D952&lt;&gt;Einstellungen!$C$5),"Objekt fehlt",IF(YEAR(A952)&lt;&gt;Einstellungen!$C$3,"anderes Jahr",IF(A952&lt;INDEX(Mitarbeiter!$C$6:$C$205,MATCH(B952,Mitarbeiter!$A$6:$A$205,0)),"vor Eintritt",IF(AND(INDEX(Mitarbeiter!$D$6:$D$205,MATCH(B952,Mitarbeiter!$A$6:$A$205,0))&lt;&gt;"",A952&gt;INDEX(Mitarbeiter!$D$6:$D$205,MATCH(B952,Mitarbeiter!$A$6:$A$205,0))),"nach Austritt","ok")))))))</f>
        <v/>
      </c>
    </row>
    <row r="953">
      <c r="A953" s="26" t="n"/>
      <c r="B953" s="24" t="n"/>
      <c r="C953" s="40">
        <f>IF(B953="","",IFERROR(INDEX(Mitarbeiter!$B$6:$B$205,MATCH(B953,Mitarbeiter!$A$6:$A$205,0)),"?"))</f>
        <v/>
      </c>
      <c r="D953" s="41" t="n"/>
      <c r="E953" s="42" t="n"/>
      <c r="F953" s="43" t="n"/>
      <c r="G953" s="44">
        <f>IF(OR(B953="",F953=""),"",IFERROR(F953*INDEX(Mitarbeiter!$F$6:$F$205,MATCH(B953,Mitarbeiter!$A$6:$A$205,0)),0))</f>
        <v/>
      </c>
      <c r="H953" s="8">
        <f>IF(B953="","",IF(ISNA(MATCH(B953,Mitarbeiter!$A$6:$A$205,0)),"Pers.-Nr. unbekannt",IF(A953="","Datum fehlt",IF(AND(D953&lt;&gt;Einstellungen!$C$4,D953&lt;&gt;Einstellungen!$C$5),"Objekt fehlt",IF(YEAR(A953)&lt;&gt;Einstellungen!$C$3,"anderes Jahr",IF(A953&lt;INDEX(Mitarbeiter!$C$6:$C$205,MATCH(B953,Mitarbeiter!$A$6:$A$205,0)),"vor Eintritt",IF(AND(INDEX(Mitarbeiter!$D$6:$D$205,MATCH(B953,Mitarbeiter!$A$6:$A$205,0))&lt;&gt;"",A953&gt;INDEX(Mitarbeiter!$D$6:$D$205,MATCH(B953,Mitarbeiter!$A$6:$A$205,0))),"nach Austritt","ok")))))))</f>
        <v/>
      </c>
    </row>
    <row r="954">
      <c r="A954" s="26" t="n"/>
      <c r="B954" s="24" t="n"/>
      <c r="C954" s="40">
        <f>IF(B954="","",IFERROR(INDEX(Mitarbeiter!$B$6:$B$205,MATCH(B954,Mitarbeiter!$A$6:$A$205,0)),"?"))</f>
        <v/>
      </c>
      <c r="D954" s="41" t="n"/>
      <c r="E954" s="42" t="n"/>
      <c r="F954" s="43" t="n"/>
      <c r="G954" s="44">
        <f>IF(OR(B954="",F954=""),"",IFERROR(F954*INDEX(Mitarbeiter!$F$6:$F$205,MATCH(B954,Mitarbeiter!$A$6:$A$205,0)),0))</f>
        <v/>
      </c>
      <c r="H954" s="8">
        <f>IF(B954="","",IF(ISNA(MATCH(B954,Mitarbeiter!$A$6:$A$205,0)),"Pers.-Nr. unbekannt",IF(A954="","Datum fehlt",IF(AND(D954&lt;&gt;Einstellungen!$C$4,D954&lt;&gt;Einstellungen!$C$5),"Objekt fehlt",IF(YEAR(A954)&lt;&gt;Einstellungen!$C$3,"anderes Jahr",IF(A954&lt;INDEX(Mitarbeiter!$C$6:$C$205,MATCH(B954,Mitarbeiter!$A$6:$A$205,0)),"vor Eintritt",IF(AND(INDEX(Mitarbeiter!$D$6:$D$205,MATCH(B954,Mitarbeiter!$A$6:$A$205,0))&lt;&gt;"",A954&gt;INDEX(Mitarbeiter!$D$6:$D$205,MATCH(B954,Mitarbeiter!$A$6:$A$205,0))),"nach Austritt","ok")))))))</f>
        <v/>
      </c>
    </row>
    <row r="955">
      <c r="A955" s="26" t="n"/>
      <c r="B955" s="24" t="n"/>
      <c r="C955" s="40">
        <f>IF(B955="","",IFERROR(INDEX(Mitarbeiter!$B$6:$B$205,MATCH(B955,Mitarbeiter!$A$6:$A$205,0)),"?"))</f>
        <v/>
      </c>
      <c r="D955" s="41" t="n"/>
      <c r="E955" s="42" t="n"/>
      <c r="F955" s="43" t="n"/>
      <c r="G955" s="44">
        <f>IF(OR(B955="",F955=""),"",IFERROR(F955*INDEX(Mitarbeiter!$F$6:$F$205,MATCH(B955,Mitarbeiter!$A$6:$A$205,0)),0))</f>
        <v/>
      </c>
      <c r="H955" s="8">
        <f>IF(B955="","",IF(ISNA(MATCH(B955,Mitarbeiter!$A$6:$A$205,0)),"Pers.-Nr. unbekannt",IF(A955="","Datum fehlt",IF(AND(D955&lt;&gt;Einstellungen!$C$4,D955&lt;&gt;Einstellungen!$C$5),"Objekt fehlt",IF(YEAR(A955)&lt;&gt;Einstellungen!$C$3,"anderes Jahr",IF(A955&lt;INDEX(Mitarbeiter!$C$6:$C$205,MATCH(B955,Mitarbeiter!$A$6:$A$205,0)),"vor Eintritt",IF(AND(INDEX(Mitarbeiter!$D$6:$D$205,MATCH(B955,Mitarbeiter!$A$6:$A$205,0))&lt;&gt;"",A955&gt;INDEX(Mitarbeiter!$D$6:$D$205,MATCH(B955,Mitarbeiter!$A$6:$A$205,0))),"nach Austritt","ok")))))))</f>
        <v/>
      </c>
    </row>
    <row r="956">
      <c r="A956" s="26" t="n"/>
      <c r="B956" s="24" t="n"/>
      <c r="C956" s="40">
        <f>IF(B956="","",IFERROR(INDEX(Mitarbeiter!$B$6:$B$205,MATCH(B956,Mitarbeiter!$A$6:$A$205,0)),"?"))</f>
        <v/>
      </c>
      <c r="D956" s="41" t="n"/>
      <c r="E956" s="42" t="n"/>
      <c r="F956" s="43" t="n"/>
      <c r="G956" s="44">
        <f>IF(OR(B956="",F956=""),"",IFERROR(F956*INDEX(Mitarbeiter!$F$6:$F$205,MATCH(B956,Mitarbeiter!$A$6:$A$205,0)),0))</f>
        <v/>
      </c>
      <c r="H956" s="8">
        <f>IF(B956="","",IF(ISNA(MATCH(B956,Mitarbeiter!$A$6:$A$205,0)),"Pers.-Nr. unbekannt",IF(A956="","Datum fehlt",IF(AND(D956&lt;&gt;Einstellungen!$C$4,D956&lt;&gt;Einstellungen!$C$5),"Objekt fehlt",IF(YEAR(A956)&lt;&gt;Einstellungen!$C$3,"anderes Jahr",IF(A956&lt;INDEX(Mitarbeiter!$C$6:$C$205,MATCH(B956,Mitarbeiter!$A$6:$A$205,0)),"vor Eintritt",IF(AND(INDEX(Mitarbeiter!$D$6:$D$205,MATCH(B956,Mitarbeiter!$A$6:$A$205,0))&lt;&gt;"",A956&gt;INDEX(Mitarbeiter!$D$6:$D$205,MATCH(B956,Mitarbeiter!$A$6:$A$205,0))),"nach Austritt","ok")))))))</f>
        <v/>
      </c>
    </row>
    <row r="957">
      <c r="A957" s="26" t="n"/>
      <c r="B957" s="24" t="n"/>
      <c r="C957" s="40">
        <f>IF(B957="","",IFERROR(INDEX(Mitarbeiter!$B$6:$B$205,MATCH(B957,Mitarbeiter!$A$6:$A$205,0)),"?"))</f>
        <v/>
      </c>
      <c r="D957" s="41" t="n"/>
      <c r="E957" s="42" t="n"/>
      <c r="F957" s="43" t="n"/>
      <c r="G957" s="44">
        <f>IF(OR(B957="",F957=""),"",IFERROR(F957*INDEX(Mitarbeiter!$F$6:$F$205,MATCH(B957,Mitarbeiter!$A$6:$A$205,0)),0))</f>
        <v/>
      </c>
      <c r="H957" s="8">
        <f>IF(B957="","",IF(ISNA(MATCH(B957,Mitarbeiter!$A$6:$A$205,0)),"Pers.-Nr. unbekannt",IF(A957="","Datum fehlt",IF(AND(D957&lt;&gt;Einstellungen!$C$4,D957&lt;&gt;Einstellungen!$C$5),"Objekt fehlt",IF(YEAR(A957)&lt;&gt;Einstellungen!$C$3,"anderes Jahr",IF(A957&lt;INDEX(Mitarbeiter!$C$6:$C$205,MATCH(B957,Mitarbeiter!$A$6:$A$205,0)),"vor Eintritt",IF(AND(INDEX(Mitarbeiter!$D$6:$D$205,MATCH(B957,Mitarbeiter!$A$6:$A$205,0))&lt;&gt;"",A957&gt;INDEX(Mitarbeiter!$D$6:$D$205,MATCH(B957,Mitarbeiter!$A$6:$A$205,0))),"nach Austritt","ok")))))))</f>
        <v/>
      </c>
    </row>
    <row r="958">
      <c r="A958" s="26" t="n"/>
      <c r="B958" s="24" t="n"/>
      <c r="C958" s="40">
        <f>IF(B958="","",IFERROR(INDEX(Mitarbeiter!$B$6:$B$205,MATCH(B958,Mitarbeiter!$A$6:$A$205,0)),"?"))</f>
        <v/>
      </c>
      <c r="D958" s="41" t="n"/>
      <c r="E958" s="42" t="n"/>
      <c r="F958" s="43" t="n"/>
      <c r="G958" s="44">
        <f>IF(OR(B958="",F958=""),"",IFERROR(F958*INDEX(Mitarbeiter!$F$6:$F$205,MATCH(B958,Mitarbeiter!$A$6:$A$205,0)),0))</f>
        <v/>
      </c>
      <c r="H958" s="8">
        <f>IF(B958="","",IF(ISNA(MATCH(B958,Mitarbeiter!$A$6:$A$205,0)),"Pers.-Nr. unbekannt",IF(A958="","Datum fehlt",IF(AND(D958&lt;&gt;Einstellungen!$C$4,D958&lt;&gt;Einstellungen!$C$5),"Objekt fehlt",IF(YEAR(A958)&lt;&gt;Einstellungen!$C$3,"anderes Jahr",IF(A958&lt;INDEX(Mitarbeiter!$C$6:$C$205,MATCH(B958,Mitarbeiter!$A$6:$A$205,0)),"vor Eintritt",IF(AND(INDEX(Mitarbeiter!$D$6:$D$205,MATCH(B958,Mitarbeiter!$A$6:$A$205,0))&lt;&gt;"",A958&gt;INDEX(Mitarbeiter!$D$6:$D$205,MATCH(B958,Mitarbeiter!$A$6:$A$205,0))),"nach Austritt","ok")))))))</f>
        <v/>
      </c>
    </row>
    <row r="959">
      <c r="A959" s="26" t="n"/>
      <c r="B959" s="24" t="n"/>
      <c r="C959" s="40">
        <f>IF(B959="","",IFERROR(INDEX(Mitarbeiter!$B$6:$B$205,MATCH(B959,Mitarbeiter!$A$6:$A$205,0)),"?"))</f>
        <v/>
      </c>
      <c r="D959" s="41" t="n"/>
      <c r="E959" s="42" t="n"/>
      <c r="F959" s="43" t="n"/>
      <c r="G959" s="44">
        <f>IF(OR(B959="",F959=""),"",IFERROR(F959*INDEX(Mitarbeiter!$F$6:$F$205,MATCH(B959,Mitarbeiter!$A$6:$A$205,0)),0))</f>
        <v/>
      </c>
      <c r="H959" s="8">
        <f>IF(B959="","",IF(ISNA(MATCH(B959,Mitarbeiter!$A$6:$A$205,0)),"Pers.-Nr. unbekannt",IF(A959="","Datum fehlt",IF(AND(D959&lt;&gt;Einstellungen!$C$4,D959&lt;&gt;Einstellungen!$C$5),"Objekt fehlt",IF(YEAR(A959)&lt;&gt;Einstellungen!$C$3,"anderes Jahr",IF(A959&lt;INDEX(Mitarbeiter!$C$6:$C$205,MATCH(B959,Mitarbeiter!$A$6:$A$205,0)),"vor Eintritt",IF(AND(INDEX(Mitarbeiter!$D$6:$D$205,MATCH(B959,Mitarbeiter!$A$6:$A$205,0))&lt;&gt;"",A959&gt;INDEX(Mitarbeiter!$D$6:$D$205,MATCH(B959,Mitarbeiter!$A$6:$A$205,0))),"nach Austritt","ok")))))))</f>
        <v/>
      </c>
    </row>
    <row r="960">
      <c r="A960" s="26" t="n"/>
      <c r="B960" s="24" t="n"/>
      <c r="C960" s="40">
        <f>IF(B960="","",IFERROR(INDEX(Mitarbeiter!$B$6:$B$205,MATCH(B960,Mitarbeiter!$A$6:$A$205,0)),"?"))</f>
        <v/>
      </c>
      <c r="D960" s="41" t="n"/>
      <c r="E960" s="42" t="n"/>
      <c r="F960" s="43" t="n"/>
      <c r="G960" s="44">
        <f>IF(OR(B960="",F960=""),"",IFERROR(F960*INDEX(Mitarbeiter!$F$6:$F$205,MATCH(B960,Mitarbeiter!$A$6:$A$205,0)),0))</f>
        <v/>
      </c>
      <c r="H960" s="8">
        <f>IF(B960="","",IF(ISNA(MATCH(B960,Mitarbeiter!$A$6:$A$205,0)),"Pers.-Nr. unbekannt",IF(A960="","Datum fehlt",IF(AND(D960&lt;&gt;Einstellungen!$C$4,D960&lt;&gt;Einstellungen!$C$5),"Objekt fehlt",IF(YEAR(A960)&lt;&gt;Einstellungen!$C$3,"anderes Jahr",IF(A960&lt;INDEX(Mitarbeiter!$C$6:$C$205,MATCH(B960,Mitarbeiter!$A$6:$A$205,0)),"vor Eintritt",IF(AND(INDEX(Mitarbeiter!$D$6:$D$205,MATCH(B960,Mitarbeiter!$A$6:$A$205,0))&lt;&gt;"",A960&gt;INDEX(Mitarbeiter!$D$6:$D$205,MATCH(B960,Mitarbeiter!$A$6:$A$205,0))),"nach Austritt","ok")))))))</f>
        <v/>
      </c>
    </row>
    <row r="961">
      <c r="A961" s="26" t="n"/>
      <c r="B961" s="24" t="n"/>
      <c r="C961" s="40">
        <f>IF(B961="","",IFERROR(INDEX(Mitarbeiter!$B$6:$B$205,MATCH(B961,Mitarbeiter!$A$6:$A$205,0)),"?"))</f>
        <v/>
      </c>
      <c r="D961" s="41" t="n"/>
      <c r="E961" s="42" t="n"/>
      <c r="F961" s="43" t="n"/>
      <c r="G961" s="44">
        <f>IF(OR(B961="",F961=""),"",IFERROR(F961*INDEX(Mitarbeiter!$F$6:$F$205,MATCH(B961,Mitarbeiter!$A$6:$A$205,0)),0))</f>
        <v/>
      </c>
      <c r="H961" s="8">
        <f>IF(B961="","",IF(ISNA(MATCH(B961,Mitarbeiter!$A$6:$A$205,0)),"Pers.-Nr. unbekannt",IF(A961="","Datum fehlt",IF(AND(D961&lt;&gt;Einstellungen!$C$4,D961&lt;&gt;Einstellungen!$C$5),"Objekt fehlt",IF(YEAR(A961)&lt;&gt;Einstellungen!$C$3,"anderes Jahr",IF(A961&lt;INDEX(Mitarbeiter!$C$6:$C$205,MATCH(B961,Mitarbeiter!$A$6:$A$205,0)),"vor Eintritt",IF(AND(INDEX(Mitarbeiter!$D$6:$D$205,MATCH(B961,Mitarbeiter!$A$6:$A$205,0))&lt;&gt;"",A961&gt;INDEX(Mitarbeiter!$D$6:$D$205,MATCH(B961,Mitarbeiter!$A$6:$A$205,0))),"nach Austritt","ok")))))))</f>
        <v/>
      </c>
    </row>
    <row r="962">
      <c r="A962" s="26" t="n"/>
      <c r="B962" s="24" t="n"/>
      <c r="C962" s="40">
        <f>IF(B962="","",IFERROR(INDEX(Mitarbeiter!$B$6:$B$205,MATCH(B962,Mitarbeiter!$A$6:$A$205,0)),"?"))</f>
        <v/>
      </c>
      <c r="D962" s="41" t="n"/>
      <c r="E962" s="42" t="n"/>
      <c r="F962" s="43" t="n"/>
      <c r="G962" s="44">
        <f>IF(OR(B962="",F962=""),"",IFERROR(F962*INDEX(Mitarbeiter!$F$6:$F$205,MATCH(B962,Mitarbeiter!$A$6:$A$205,0)),0))</f>
        <v/>
      </c>
      <c r="H962" s="8">
        <f>IF(B962="","",IF(ISNA(MATCH(B962,Mitarbeiter!$A$6:$A$205,0)),"Pers.-Nr. unbekannt",IF(A962="","Datum fehlt",IF(AND(D962&lt;&gt;Einstellungen!$C$4,D962&lt;&gt;Einstellungen!$C$5),"Objekt fehlt",IF(YEAR(A962)&lt;&gt;Einstellungen!$C$3,"anderes Jahr",IF(A962&lt;INDEX(Mitarbeiter!$C$6:$C$205,MATCH(B962,Mitarbeiter!$A$6:$A$205,0)),"vor Eintritt",IF(AND(INDEX(Mitarbeiter!$D$6:$D$205,MATCH(B962,Mitarbeiter!$A$6:$A$205,0))&lt;&gt;"",A962&gt;INDEX(Mitarbeiter!$D$6:$D$205,MATCH(B962,Mitarbeiter!$A$6:$A$205,0))),"nach Austritt","ok")))))))</f>
        <v/>
      </c>
    </row>
    <row r="963">
      <c r="A963" s="26" t="n"/>
      <c r="B963" s="24" t="n"/>
      <c r="C963" s="40">
        <f>IF(B963="","",IFERROR(INDEX(Mitarbeiter!$B$6:$B$205,MATCH(B963,Mitarbeiter!$A$6:$A$205,0)),"?"))</f>
        <v/>
      </c>
      <c r="D963" s="41" t="n"/>
      <c r="E963" s="42" t="n"/>
      <c r="F963" s="43" t="n"/>
      <c r="G963" s="44">
        <f>IF(OR(B963="",F963=""),"",IFERROR(F963*INDEX(Mitarbeiter!$F$6:$F$205,MATCH(B963,Mitarbeiter!$A$6:$A$205,0)),0))</f>
        <v/>
      </c>
      <c r="H963" s="8">
        <f>IF(B963="","",IF(ISNA(MATCH(B963,Mitarbeiter!$A$6:$A$205,0)),"Pers.-Nr. unbekannt",IF(A963="","Datum fehlt",IF(AND(D963&lt;&gt;Einstellungen!$C$4,D963&lt;&gt;Einstellungen!$C$5),"Objekt fehlt",IF(YEAR(A963)&lt;&gt;Einstellungen!$C$3,"anderes Jahr",IF(A963&lt;INDEX(Mitarbeiter!$C$6:$C$205,MATCH(B963,Mitarbeiter!$A$6:$A$205,0)),"vor Eintritt",IF(AND(INDEX(Mitarbeiter!$D$6:$D$205,MATCH(B963,Mitarbeiter!$A$6:$A$205,0))&lt;&gt;"",A963&gt;INDEX(Mitarbeiter!$D$6:$D$205,MATCH(B963,Mitarbeiter!$A$6:$A$205,0))),"nach Austritt","ok")))))))</f>
        <v/>
      </c>
    </row>
    <row r="964">
      <c r="A964" s="26" t="n"/>
      <c r="B964" s="24" t="n"/>
      <c r="C964" s="40">
        <f>IF(B964="","",IFERROR(INDEX(Mitarbeiter!$B$6:$B$205,MATCH(B964,Mitarbeiter!$A$6:$A$205,0)),"?"))</f>
        <v/>
      </c>
      <c r="D964" s="41" t="n"/>
      <c r="E964" s="42" t="n"/>
      <c r="F964" s="43" t="n"/>
      <c r="G964" s="44">
        <f>IF(OR(B964="",F964=""),"",IFERROR(F964*INDEX(Mitarbeiter!$F$6:$F$205,MATCH(B964,Mitarbeiter!$A$6:$A$205,0)),0))</f>
        <v/>
      </c>
      <c r="H964" s="8">
        <f>IF(B964="","",IF(ISNA(MATCH(B964,Mitarbeiter!$A$6:$A$205,0)),"Pers.-Nr. unbekannt",IF(A964="","Datum fehlt",IF(AND(D964&lt;&gt;Einstellungen!$C$4,D964&lt;&gt;Einstellungen!$C$5),"Objekt fehlt",IF(YEAR(A964)&lt;&gt;Einstellungen!$C$3,"anderes Jahr",IF(A964&lt;INDEX(Mitarbeiter!$C$6:$C$205,MATCH(B964,Mitarbeiter!$A$6:$A$205,0)),"vor Eintritt",IF(AND(INDEX(Mitarbeiter!$D$6:$D$205,MATCH(B964,Mitarbeiter!$A$6:$A$205,0))&lt;&gt;"",A964&gt;INDEX(Mitarbeiter!$D$6:$D$205,MATCH(B964,Mitarbeiter!$A$6:$A$205,0))),"nach Austritt","ok")))))))</f>
        <v/>
      </c>
    </row>
    <row r="965">
      <c r="A965" s="26" t="n"/>
      <c r="B965" s="24" t="n"/>
      <c r="C965" s="40">
        <f>IF(B965="","",IFERROR(INDEX(Mitarbeiter!$B$6:$B$205,MATCH(B965,Mitarbeiter!$A$6:$A$205,0)),"?"))</f>
        <v/>
      </c>
      <c r="D965" s="41" t="n"/>
      <c r="E965" s="42" t="n"/>
      <c r="F965" s="43" t="n"/>
      <c r="G965" s="44">
        <f>IF(OR(B965="",F965=""),"",IFERROR(F965*INDEX(Mitarbeiter!$F$6:$F$205,MATCH(B965,Mitarbeiter!$A$6:$A$205,0)),0))</f>
        <v/>
      </c>
      <c r="H965" s="8">
        <f>IF(B965="","",IF(ISNA(MATCH(B965,Mitarbeiter!$A$6:$A$205,0)),"Pers.-Nr. unbekannt",IF(A965="","Datum fehlt",IF(AND(D965&lt;&gt;Einstellungen!$C$4,D965&lt;&gt;Einstellungen!$C$5),"Objekt fehlt",IF(YEAR(A965)&lt;&gt;Einstellungen!$C$3,"anderes Jahr",IF(A965&lt;INDEX(Mitarbeiter!$C$6:$C$205,MATCH(B965,Mitarbeiter!$A$6:$A$205,0)),"vor Eintritt",IF(AND(INDEX(Mitarbeiter!$D$6:$D$205,MATCH(B965,Mitarbeiter!$A$6:$A$205,0))&lt;&gt;"",A965&gt;INDEX(Mitarbeiter!$D$6:$D$205,MATCH(B965,Mitarbeiter!$A$6:$A$205,0))),"nach Austritt","ok")))))))</f>
        <v/>
      </c>
    </row>
    <row r="966">
      <c r="A966" s="26" t="n"/>
      <c r="B966" s="24" t="n"/>
      <c r="C966" s="40">
        <f>IF(B966="","",IFERROR(INDEX(Mitarbeiter!$B$6:$B$205,MATCH(B966,Mitarbeiter!$A$6:$A$205,0)),"?"))</f>
        <v/>
      </c>
      <c r="D966" s="41" t="n"/>
      <c r="E966" s="42" t="n"/>
      <c r="F966" s="43" t="n"/>
      <c r="G966" s="44">
        <f>IF(OR(B966="",F966=""),"",IFERROR(F966*INDEX(Mitarbeiter!$F$6:$F$205,MATCH(B966,Mitarbeiter!$A$6:$A$205,0)),0))</f>
        <v/>
      </c>
      <c r="H966" s="8">
        <f>IF(B966="","",IF(ISNA(MATCH(B966,Mitarbeiter!$A$6:$A$205,0)),"Pers.-Nr. unbekannt",IF(A966="","Datum fehlt",IF(AND(D966&lt;&gt;Einstellungen!$C$4,D966&lt;&gt;Einstellungen!$C$5),"Objekt fehlt",IF(YEAR(A966)&lt;&gt;Einstellungen!$C$3,"anderes Jahr",IF(A966&lt;INDEX(Mitarbeiter!$C$6:$C$205,MATCH(B966,Mitarbeiter!$A$6:$A$205,0)),"vor Eintritt",IF(AND(INDEX(Mitarbeiter!$D$6:$D$205,MATCH(B966,Mitarbeiter!$A$6:$A$205,0))&lt;&gt;"",A966&gt;INDEX(Mitarbeiter!$D$6:$D$205,MATCH(B966,Mitarbeiter!$A$6:$A$205,0))),"nach Austritt","ok")))))))</f>
        <v/>
      </c>
    </row>
    <row r="967">
      <c r="A967" s="26" t="n"/>
      <c r="B967" s="24" t="n"/>
      <c r="C967" s="40">
        <f>IF(B967="","",IFERROR(INDEX(Mitarbeiter!$B$6:$B$205,MATCH(B967,Mitarbeiter!$A$6:$A$205,0)),"?"))</f>
        <v/>
      </c>
      <c r="D967" s="41" t="n"/>
      <c r="E967" s="42" t="n"/>
      <c r="F967" s="43" t="n"/>
      <c r="G967" s="44">
        <f>IF(OR(B967="",F967=""),"",IFERROR(F967*INDEX(Mitarbeiter!$F$6:$F$205,MATCH(B967,Mitarbeiter!$A$6:$A$205,0)),0))</f>
        <v/>
      </c>
      <c r="H967" s="8">
        <f>IF(B967="","",IF(ISNA(MATCH(B967,Mitarbeiter!$A$6:$A$205,0)),"Pers.-Nr. unbekannt",IF(A967="","Datum fehlt",IF(AND(D967&lt;&gt;Einstellungen!$C$4,D967&lt;&gt;Einstellungen!$C$5),"Objekt fehlt",IF(YEAR(A967)&lt;&gt;Einstellungen!$C$3,"anderes Jahr",IF(A967&lt;INDEX(Mitarbeiter!$C$6:$C$205,MATCH(B967,Mitarbeiter!$A$6:$A$205,0)),"vor Eintritt",IF(AND(INDEX(Mitarbeiter!$D$6:$D$205,MATCH(B967,Mitarbeiter!$A$6:$A$205,0))&lt;&gt;"",A967&gt;INDEX(Mitarbeiter!$D$6:$D$205,MATCH(B967,Mitarbeiter!$A$6:$A$205,0))),"nach Austritt","ok")))))))</f>
        <v/>
      </c>
    </row>
    <row r="968">
      <c r="A968" s="26" t="n"/>
      <c r="B968" s="24" t="n"/>
      <c r="C968" s="40">
        <f>IF(B968="","",IFERROR(INDEX(Mitarbeiter!$B$6:$B$205,MATCH(B968,Mitarbeiter!$A$6:$A$205,0)),"?"))</f>
        <v/>
      </c>
      <c r="D968" s="41" t="n"/>
      <c r="E968" s="42" t="n"/>
      <c r="F968" s="43" t="n"/>
      <c r="G968" s="44">
        <f>IF(OR(B968="",F968=""),"",IFERROR(F968*INDEX(Mitarbeiter!$F$6:$F$205,MATCH(B968,Mitarbeiter!$A$6:$A$205,0)),0))</f>
        <v/>
      </c>
      <c r="H968" s="8">
        <f>IF(B968="","",IF(ISNA(MATCH(B968,Mitarbeiter!$A$6:$A$205,0)),"Pers.-Nr. unbekannt",IF(A968="","Datum fehlt",IF(AND(D968&lt;&gt;Einstellungen!$C$4,D968&lt;&gt;Einstellungen!$C$5),"Objekt fehlt",IF(YEAR(A968)&lt;&gt;Einstellungen!$C$3,"anderes Jahr",IF(A968&lt;INDEX(Mitarbeiter!$C$6:$C$205,MATCH(B968,Mitarbeiter!$A$6:$A$205,0)),"vor Eintritt",IF(AND(INDEX(Mitarbeiter!$D$6:$D$205,MATCH(B968,Mitarbeiter!$A$6:$A$205,0))&lt;&gt;"",A968&gt;INDEX(Mitarbeiter!$D$6:$D$205,MATCH(B968,Mitarbeiter!$A$6:$A$205,0))),"nach Austritt","ok")))))))</f>
        <v/>
      </c>
    </row>
    <row r="969">
      <c r="A969" s="26" t="n"/>
      <c r="B969" s="24" t="n"/>
      <c r="C969" s="40">
        <f>IF(B969="","",IFERROR(INDEX(Mitarbeiter!$B$6:$B$205,MATCH(B969,Mitarbeiter!$A$6:$A$205,0)),"?"))</f>
        <v/>
      </c>
      <c r="D969" s="41" t="n"/>
      <c r="E969" s="42" t="n"/>
      <c r="F969" s="43" t="n"/>
      <c r="G969" s="44">
        <f>IF(OR(B969="",F969=""),"",IFERROR(F969*INDEX(Mitarbeiter!$F$6:$F$205,MATCH(B969,Mitarbeiter!$A$6:$A$205,0)),0))</f>
        <v/>
      </c>
      <c r="H969" s="8">
        <f>IF(B969="","",IF(ISNA(MATCH(B969,Mitarbeiter!$A$6:$A$205,0)),"Pers.-Nr. unbekannt",IF(A969="","Datum fehlt",IF(AND(D969&lt;&gt;Einstellungen!$C$4,D969&lt;&gt;Einstellungen!$C$5),"Objekt fehlt",IF(YEAR(A969)&lt;&gt;Einstellungen!$C$3,"anderes Jahr",IF(A969&lt;INDEX(Mitarbeiter!$C$6:$C$205,MATCH(B969,Mitarbeiter!$A$6:$A$205,0)),"vor Eintritt",IF(AND(INDEX(Mitarbeiter!$D$6:$D$205,MATCH(B969,Mitarbeiter!$A$6:$A$205,0))&lt;&gt;"",A969&gt;INDEX(Mitarbeiter!$D$6:$D$205,MATCH(B969,Mitarbeiter!$A$6:$A$205,0))),"nach Austritt","ok")))))))</f>
        <v/>
      </c>
    </row>
    <row r="970">
      <c r="A970" s="26" t="n"/>
      <c r="B970" s="24" t="n"/>
      <c r="C970" s="40">
        <f>IF(B970="","",IFERROR(INDEX(Mitarbeiter!$B$6:$B$205,MATCH(B970,Mitarbeiter!$A$6:$A$205,0)),"?"))</f>
        <v/>
      </c>
      <c r="D970" s="41" t="n"/>
      <c r="E970" s="42" t="n"/>
      <c r="F970" s="43" t="n"/>
      <c r="G970" s="44">
        <f>IF(OR(B970="",F970=""),"",IFERROR(F970*INDEX(Mitarbeiter!$F$6:$F$205,MATCH(B970,Mitarbeiter!$A$6:$A$205,0)),0))</f>
        <v/>
      </c>
      <c r="H970" s="8">
        <f>IF(B970="","",IF(ISNA(MATCH(B970,Mitarbeiter!$A$6:$A$205,0)),"Pers.-Nr. unbekannt",IF(A970="","Datum fehlt",IF(AND(D970&lt;&gt;Einstellungen!$C$4,D970&lt;&gt;Einstellungen!$C$5),"Objekt fehlt",IF(YEAR(A970)&lt;&gt;Einstellungen!$C$3,"anderes Jahr",IF(A970&lt;INDEX(Mitarbeiter!$C$6:$C$205,MATCH(B970,Mitarbeiter!$A$6:$A$205,0)),"vor Eintritt",IF(AND(INDEX(Mitarbeiter!$D$6:$D$205,MATCH(B970,Mitarbeiter!$A$6:$A$205,0))&lt;&gt;"",A970&gt;INDEX(Mitarbeiter!$D$6:$D$205,MATCH(B970,Mitarbeiter!$A$6:$A$205,0))),"nach Austritt","ok")))))))</f>
        <v/>
      </c>
    </row>
    <row r="971">
      <c r="A971" s="26" t="n"/>
      <c r="B971" s="24" t="n"/>
      <c r="C971" s="40">
        <f>IF(B971="","",IFERROR(INDEX(Mitarbeiter!$B$6:$B$205,MATCH(B971,Mitarbeiter!$A$6:$A$205,0)),"?"))</f>
        <v/>
      </c>
      <c r="D971" s="41" t="n"/>
      <c r="E971" s="42" t="n"/>
      <c r="F971" s="43" t="n"/>
      <c r="G971" s="44">
        <f>IF(OR(B971="",F971=""),"",IFERROR(F971*INDEX(Mitarbeiter!$F$6:$F$205,MATCH(B971,Mitarbeiter!$A$6:$A$205,0)),0))</f>
        <v/>
      </c>
      <c r="H971" s="8">
        <f>IF(B971="","",IF(ISNA(MATCH(B971,Mitarbeiter!$A$6:$A$205,0)),"Pers.-Nr. unbekannt",IF(A971="","Datum fehlt",IF(AND(D971&lt;&gt;Einstellungen!$C$4,D971&lt;&gt;Einstellungen!$C$5),"Objekt fehlt",IF(YEAR(A971)&lt;&gt;Einstellungen!$C$3,"anderes Jahr",IF(A971&lt;INDEX(Mitarbeiter!$C$6:$C$205,MATCH(B971,Mitarbeiter!$A$6:$A$205,0)),"vor Eintritt",IF(AND(INDEX(Mitarbeiter!$D$6:$D$205,MATCH(B971,Mitarbeiter!$A$6:$A$205,0))&lt;&gt;"",A971&gt;INDEX(Mitarbeiter!$D$6:$D$205,MATCH(B971,Mitarbeiter!$A$6:$A$205,0))),"nach Austritt","ok")))))))</f>
        <v/>
      </c>
    </row>
    <row r="972">
      <c r="A972" s="26" t="n"/>
      <c r="B972" s="24" t="n"/>
      <c r="C972" s="40">
        <f>IF(B972="","",IFERROR(INDEX(Mitarbeiter!$B$6:$B$205,MATCH(B972,Mitarbeiter!$A$6:$A$205,0)),"?"))</f>
        <v/>
      </c>
      <c r="D972" s="41" t="n"/>
      <c r="E972" s="42" t="n"/>
      <c r="F972" s="43" t="n"/>
      <c r="G972" s="44">
        <f>IF(OR(B972="",F972=""),"",IFERROR(F972*INDEX(Mitarbeiter!$F$6:$F$205,MATCH(B972,Mitarbeiter!$A$6:$A$205,0)),0))</f>
        <v/>
      </c>
      <c r="H972" s="8">
        <f>IF(B972="","",IF(ISNA(MATCH(B972,Mitarbeiter!$A$6:$A$205,0)),"Pers.-Nr. unbekannt",IF(A972="","Datum fehlt",IF(AND(D972&lt;&gt;Einstellungen!$C$4,D972&lt;&gt;Einstellungen!$C$5),"Objekt fehlt",IF(YEAR(A972)&lt;&gt;Einstellungen!$C$3,"anderes Jahr",IF(A972&lt;INDEX(Mitarbeiter!$C$6:$C$205,MATCH(B972,Mitarbeiter!$A$6:$A$205,0)),"vor Eintritt",IF(AND(INDEX(Mitarbeiter!$D$6:$D$205,MATCH(B972,Mitarbeiter!$A$6:$A$205,0))&lt;&gt;"",A972&gt;INDEX(Mitarbeiter!$D$6:$D$205,MATCH(B972,Mitarbeiter!$A$6:$A$205,0))),"nach Austritt","ok")))))))</f>
        <v/>
      </c>
    </row>
    <row r="973">
      <c r="A973" s="26" t="n"/>
      <c r="B973" s="24" t="n"/>
      <c r="C973" s="40">
        <f>IF(B973="","",IFERROR(INDEX(Mitarbeiter!$B$6:$B$205,MATCH(B973,Mitarbeiter!$A$6:$A$205,0)),"?"))</f>
        <v/>
      </c>
      <c r="D973" s="41" t="n"/>
      <c r="E973" s="42" t="n"/>
      <c r="F973" s="43" t="n"/>
      <c r="G973" s="44">
        <f>IF(OR(B973="",F973=""),"",IFERROR(F973*INDEX(Mitarbeiter!$F$6:$F$205,MATCH(B973,Mitarbeiter!$A$6:$A$205,0)),0))</f>
        <v/>
      </c>
      <c r="H973" s="8">
        <f>IF(B973="","",IF(ISNA(MATCH(B973,Mitarbeiter!$A$6:$A$205,0)),"Pers.-Nr. unbekannt",IF(A973="","Datum fehlt",IF(AND(D973&lt;&gt;Einstellungen!$C$4,D973&lt;&gt;Einstellungen!$C$5),"Objekt fehlt",IF(YEAR(A973)&lt;&gt;Einstellungen!$C$3,"anderes Jahr",IF(A973&lt;INDEX(Mitarbeiter!$C$6:$C$205,MATCH(B973,Mitarbeiter!$A$6:$A$205,0)),"vor Eintritt",IF(AND(INDEX(Mitarbeiter!$D$6:$D$205,MATCH(B973,Mitarbeiter!$A$6:$A$205,0))&lt;&gt;"",A973&gt;INDEX(Mitarbeiter!$D$6:$D$205,MATCH(B973,Mitarbeiter!$A$6:$A$205,0))),"nach Austritt","ok")))))))</f>
        <v/>
      </c>
    </row>
    <row r="974">
      <c r="A974" s="26" t="n"/>
      <c r="B974" s="24" t="n"/>
      <c r="C974" s="40">
        <f>IF(B974="","",IFERROR(INDEX(Mitarbeiter!$B$6:$B$205,MATCH(B974,Mitarbeiter!$A$6:$A$205,0)),"?"))</f>
        <v/>
      </c>
      <c r="D974" s="41" t="n"/>
      <c r="E974" s="42" t="n"/>
      <c r="F974" s="43" t="n"/>
      <c r="G974" s="44">
        <f>IF(OR(B974="",F974=""),"",IFERROR(F974*INDEX(Mitarbeiter!$F$6:$F$205,MATCH(B974,Mitarbeiter!$A$6:$A$205,0)),0))</f>
        <v/>
      </c>
      <c r="H974" s="8">
        <f>IF(B974="","",IF(ISNA(MATCH(B974,Mitarbeiter!$A$6:$A$205,0)),"Pers.-Nr. unbekannt",IF(A974="","Datum fehlt",IF(AND(D974&lt;&gt;Einstellungen!$C$4,D974&lt;&gt;Einstellungen!$C$5),"Objekt fehlt",IF(YEAR(A974)&lt;&gt;Einstellungen!$C$3,"anderes Jahr",IF(A974&lt;INDEX(Mitarbeiter!$C$6:$C$205,MATCH(B974,Mitarbeiter!$A$6:$A$205,0)),"vor Eintritt",IF(AND(INDEX(Mitarbeiter!$D$6:$D$205,MATCH(B974,Mitarbeiter!$A$6:$A$205,0))&lt;&gt;"",A974&gt;INDEX(Mitarbeiter!$D$6:$D$205,MATCH(B974,Mitarbeiter!$A$6:$A$205,0))),"nach Austritt","ok")))))))</f>
        <v/>
      </c>
    </row>
    <row r="975">
      <c r="A975" s="26" t="n"/>
      <c r="B975" s="24" t="n"/>
      <c r="C975" s="40">
        <f>IF(B975="","",IFERROR(INDEX(Mitarbeiter!$B$6:$B$205,MATCH(B975,Mitarbeiter!$A$6:$A$205,0)),"?"))</f>
        <v/>
      </c>
      <c r="D975" s="41" t="n"/>
      <c r="E975" s="42" t="n"/>
      <c r="F975" s="43" t="n"/>
      <c r="G975" s="44">
        <f>IF(OR(B975="",F975=""),"",IFERROR(F975*INDEX(Mitarbeiter!$F$6:$F$205,MATCH(B975,Mitarbeiter!$A$6:$A$205,0)),0))</f>
        <v/>
      </c>
      <c r="H975" s="8">
        <f>IF(B975="","",IF(ISNA(MATCH(B975,Mitarbeiter!$A$6:$A$205,0)),"Pers.-Nr. unbekannt",IF(A975="","Datum fehlt",IF(AND(D975&lt;&gt;Einstellungen!$C$4,D975&lt;&gt;Einstellungen!$C$5),"Objekt fehlt",IF(YEAR(A975)&lt;&gt;Einstellungen!$C$3,"anderes Jahr",IF(A975&lt;INDEX(Mitarbeiter!$C$6:$C$205,MATCH(B975,Mitarbeiter!$A$6:$A$205,0)),"vor Eintritt",IF(AND(INDEX(Mitarbeiter!$D$6:$D$205,MATCH(B975,Mitarbeiter!$A$6:$A$205,0))&lt;&gt;"",A975&gt;INDEX(Mitarbeiter!$D$6:$D$205,MATCH(B975,Mitarbeiter!$A$6:$A$205,0))),"nach Austritt","ok")))))))</f>
        <v/>
      </c>
    </row>
    <row r="976">
      <c r="A976" s="26" t="n"/>
      <c r="B976" s="24" t="n"/>
      <c r="C976" s="40">
        <f>IF(B976="","",IFERROR(INDEX(Mitarbeiter!$B$6:$B$205,MATCH(B976,Mitarbeiter!$A$6:$A$205,0)),"?"))</f>
        <v/>
      </c>
      <c r="D976" s="41" t="n"/>
      <c r="E976" s="42" t="n"/>
      <c r="F976" s="43" t="n"/>
      <c r="G976" s="44">
        <f>IF(OR(B976="",F976=""),"",IFERROR(F976*INDEX(Mitarbeiter!$F$6:$F$205,MATCH(B976,Mitarbeiter!$A$6:$A$205,0)),0))</f>
        <v/>
      </c>
      <c r="H976" s="8">
        <f>IF(B976="","",IF(ISNA(MATCH(B976,Mitarbeiter!$A$6:$A$205,0)),"Pers.-Nr. unbekannt",IF(A976="","Datum fehlt",IF(AND(D976&lt;&gt;Einstellungen!$C$4,D976&lt;&gt;Einstellungen!$C$5),"Objekt fehlt",IF(YEAR(A976)&lt;&gt;Einstellungen!$C$3,"anderes Jahr",IF(A976&lt;INDEX(Mitarbeiter!$C$6:$C$205,MATCH(B976,Mitarbeiter!$A$6:$A$205,0)),"vor Eintritt",IF(AND(INDEX(Mitarbeiter!$D$6:$D$205,MATCH(B976,Mitarbeiter!$A$6:$A$205,0))&lt;&gt;"",A976&gt;INDEX(Mitarbeiter!$D$6:$D$205,MATCH(B976,Mitarbeiter!$A$6:$A$205,0))),"nach Austritt","ok")))))))</f>
        <v/>
      </c>
    </row>
    <row r="977">
      <c r="A977" s="26" t="n"/>
      <c r="B977" s="24" t="n"/>
      <c r="C977" s="40">
        <f>IF(B977="","",IFERROR(INDEX(Mitarbeiter!$B$6:$B$205,MATCH(B977,Mitarbeiter!$A$6:$A$205,0)),"?"))</f>
        <v/>
      </c>
      <c r="D977" s="41" t="n"/>
      <c r="E977" s="42" t="n"/>
      <c r="F977" s="43" t="n"/>
      <c r="G977" s="44">
        <f>IF(OR(B977="",F977=""),"",IFERROR(F977*INDEX(Mitarbeiter!$F$6:$F$205,MATCH(B977,Mitarbeiter!$A$6:$A$205,0)),0))</f>
        <v/>
      </c>
      <c r="H977" s="8">
        <f>IF(B977="","",IF(ISNA(MATCH(B977,Mitarbeiter!$A$6:$A$205,0)),"Pers.-Nr. unbekannt",IF(A977="","Datum fehlt",IF(AND(D977&lt;&gt;Einstellungen!$C$4,D977&lt;&gt;Einstellungen!$C$5),"Objekt fehlt",IF(YEAR(A977)&lt;&gt;Einstellungen!$C$3,"anderes Jahr",IF(A977&lt;INDEX(Mitarbeiter!$C$6:$C$205,MATCH(B977,Mitarbeiter!$A$6:$A$205,0)),"vor Eintritt",IF(AND(INDEX(Mitarbeiter!$D$6:$D$205,MATCH(B977,Mitarbeiter!$A$6:$A$205,0))&lt;&gt;"",A977&gt;INDEX(Mitarbeiter!$D$6:$D$205,MATCH(B977,Mitarbeiter!$A$6:$A$205,0))),"nach Austritt","ok")))))))</f>
        <v/>
      </c>
    </row>
    <row r="978">
      <c r="A978" s="26" t="n"/>
      <c r="B978" s="24" t="n"/>
      <c r="C978" s="40">
        <f>IF(B978="","",IFERROR(INDEX(Mitarbeiter!$B$6:$B$205,MATCH(B978,Mitarbeiter!$A$6:$A$205,0)),"?"))</f>
        <v/>
      </c>
      <c r="D978" s="41" t="n"/>
      <c r="E978" s="42" t="n"/>
      <c r="F978" s="43" t="n"/>
      <c r="G978" s="44">
        <f>IF(OR(B978="",F978=""),"",IFERROR(F978*INDEX(Mitarbeiter!$F$6:$F$205,MATCH(B978,Mitarbeiter!$A$6:$A$205,0)),0))</f>
        <v/>
      </c>
      <c r="H978" s="8">
        <f>IF(B978="","",IF(ISNA(MATCH(B978,Mitarbeiter!$A$6:$A$205,0)),"Pers.-Nr. unbekannt",IF(A978="","Datum fehlt",IF(AND(D978&lt;&gt;Einstellungen!$C$4,D978&lt;&gt;Einstellungen!$C$5),"Objekt fehlt",IF(YEAR(A978)&lt;&gt;Einstellungen!$C$3,"anderes Jahr",IF(A978&lt;INDEX(Mitarbeiter!$C$6:$C$205,MATCH(B978,Mitarbeiter!$A$6:$A$205,0)),"vor Eintritt",IF(AND(INDEX(Mitarbeiter!$D$6:$D$205,MATCH(B978,Mitarbeiter!$A$6:$A$205,0))&lt;&gt;"",A978&gt;INDEX(Mitarbeiter!$D$6:$D$205,MATCH(B978,Mitarbeiter!$A$6:$A$205,0))),"nach Austritt","ok")))))))</f>
        <v/>
      </c>
    </row>
    <row r="979">
      <c r="A979" s="26" t="n"/>
      <c r="B979" s="24" t="n"/>
      <c r="C979" s="40">
        <f>IF(B979="","",IFERROR(INDEX(Mitarbeiter!$B$6:$B$205,MATCH(B979,Mitarbeiter!$A$6:$A$205,0)),"?"))</f>
        <v/>
      </c>
      <c r="D979" s="41" t="n"/>
      <c r="E979" s="42" t="n"/>
      <c r="F979" s="43" t="n"/>
      <c r="G979" s="44">
        <f>IF(OR(B979="",F979=""),"",IFERROR(F979*INDEX(Mitarbeiter!$F$6:$F$205,MATCH(B979,Mitarbeiter!$A$6:$A$205,0)),0))</f>
        <v/>
      </c>
      <c r="H979" s="8">
        <f>IF(B979="","",IF(ISNA(MATCH(B979,Mitarbeiter!$A$6:$A$205,0)),"Pers.-Nr. unbekannt",IF(A979="","Datum fehlt",IF(AND(D979&lt;&gt;Einstellungen!$C$4,D979&lt;&gt;Einstellungen!$C$5),"Objekt fehlt",IF(YEAR(A979)&lt;&gt;Einstellungen!$C$3,"anderes Jahr",IF(A979&lt;INDEX(Mitarbeiter!$C$6:$C$205,MATCH(B979,Mitarbeiter!$A$6:$A$205,0)),"vor Eintritt",IF(AND(INDEX(Mitarbeiter!$D$6:$D$205,MATCH(B979,Mitarbeiter!$A$6:$A$205,0))&lt;&gt;"",A979&gt;INDEX(Mitarbeiter!$D$6:$D$205,MATCH(B979,Mitarbeiter!$A$6:$A$205,0))),"nach Austritt","ok")))))))</f>
        <v/>
      </c>
    </row>
    <row r="980">
      <c r="A980" s="26" t="n"/>
      <c r="B980" s="24" t="n"/>
      <c r="C980" s="40">
        <f>IF(B980="","",IFERROR(INDEX(Mitarbeiter!$B$6:$B$205,MATCH(B980,Mitarbeiter!$A$6:$A$205,0)),"?"))</f>
        <v/>
      </c>
      <c r="D980" s="41" t="n"/>
      <c r="E980" s="42" t="n"/>
      <c r="F980" s="43" t="n"/>
      <c r="G980" s="44">
        <f>IF(OR(B980="",F980=""),"",IFERROR(F980*INDEX(Mitarbeiter!$F$6:$F$205,MATCH(B980,Mitarbeiter!$A$6:$A$205,0)),0))</f>
        <v/>
      </c>
      <c r="H980" s="8">
        <f>IF(B980="","",IF(ISNA(MATCH(B980,Mitarbeiter!$A$6:$A$205,0)),"Pers.-Nr. unbekannt",IF(A980="","Datum fehlt",IF(AND(D980&lt;&gt;Einstellungen!$C$4,D980&lt;&gt;Einstellungen!$C$5),"Objekt fehlt",IF(YEAR(A980)&lt;&gt;Einstellungen!$C$3,"anderes Jahr",IF(A980&lt;INDEX(Mitarbeiter!$C$6:$C$205,MATCH(B980,Mitarbeiter!$A$6:$A$205,0)),"vor Eintritt",IF(AND(INDEX(Mitarbeiter!$D$6:$D$205,MATCH(B980,Mitarbeiter!$A$6:$A$205,0))&lt;&gt;"",A980&gt;INDEX(Mitarbeiter!$D$6:$D$205,MATCH(B980,Mitarbeiter!$A$6:$A$205,0))),"nach Austritt","ok")))))))</f>
        <v/>
      </c>
    </row>
    <row r="981">
      <c r="A981" s="26" t="n"/>
      <c r="B981" s="24" t="n"/>
      <c r="C981" s="40">
        <f>IF(B981="","",IFERROR(INDEX(Mitarbeiter!$B$6:$B$205,MATCH(B981,Mitarbeiter!$A$6:$A$205,0)),"?"))</f>
        <v/>
      </c>
      <c r="D981" s="41" t="n"/>
      <c r="E981" s="42" t="n"/>
      <c r="F981" s="43" t="n"/>
      <c r="G981" s="44">
        <f>IF(OR(B981="",F981=""),"",IFERROR(F981*INDEX(Mitarbeiter!$F$6:$F$205,MATCH(B981,Mitarbeiter!$A$6:$A$205,0)),0))</f>
        <v/>
      </c>
      <c r="H981" s="8">
        <f>IF(B981="","",IF(ISNA(MATCH(B981,Mitarbeiter!$A$6:$A$205,0)),"Pers.-Nr. unbekannt",IF(A981="","Datum fehlt",IF(AND(D981&lt;&gt;Einstellungen!$C$4,D981&lt;&gt;Einstellungen!$C$5),"Objekt fehlt",IF(YEAR(A981)&lt;&gt;Einstellungen!$C$3,"anderes Jahr",IF(A981&lt;INDEX(Mitarbeiter!$C$6:$C$205,MATCH(B981,Mitarbeiter!$A$6:$A$205,0)),"vor Eintritt",IF(AND(INDEX(Mitarbeiter!$D$6:$D$205,MATCH(B981,Mitarbeiter!$A$6:$A$205,0))&lt;&gt;"",A981&gt;INDEX(Mitarbeiter!$D$6:$D$205,MATCH(B981,Mitarbeiter!$A$6:$A$205,0))),"nach Austritt","ok")))))))</f>
        <v/>
      </c>
    </row>
    <row r="982">
      <c r="A982" s="26" t="n"/>
      <c r="B982" s="24" t="n"/>
      <c r="C982" s="40">
        <f>IF(B982="","",IFERROR(INDEX(Mitarbeiter!$B$6:$B$205,MATCH(B982,Mitarbeiter!$A$6:$A$205,0)),"?"))</f>
        <v/>
      </c>
      <c r="D982" s="41" t="n"/>
      <c r="E982" s="42" t="n"/>
      <c r="F982" s="43" t="n"/>
      <c r="G982" s="44">
        <f>IF(OR(B982="",F982=""),"",IFERROR(F982*INDEX(Mitarbeiter!$F$6:$F$205,MATCH(B982,Mitarbeiter!$A$6:$A$205,0)),0))</f>
        <v/>
      </c>
      <c r="H982" s="8">
        <f>IF(B982="","",IF(ISNA(MATCH(B982,Mitarbeiter!$A$6:$A$205,0)),"Pers.-Nr. unbekannt",IF(A982="","Datum fehlt",IF(AND(D982&lt;&gt;Einstellungen!$C$4,D982&lt;&gt;Einstellungen!$C$5),"Objekt fehlt",IF(YEAR(A982)&lt;&gt;Einstellungen!$C$3,"anderes Jahr",IF(A982&lt;INDEX(Mitarbeiter!$C$6:$C$205,MATCH(B982,Mitarbeiter!$A$6:$A$205,0)),"vor Eintritt",IF(AND(INDEX(Mitarbeiter!$D$6:$D$205,MATCH(B982,Mitarbeiter!$A$6:$A$205,0))&lt;&gt;"",A982&gt;INDEX(Mitarbeiter!$D$6:$D$205,MATCH(B982,Mitarbeiter!$A$6:$A$205,0))),"nach Austritt","ok")))))))</f>
        <v/>
      </c>
    </row>
    <row r="983">
      <c r="A983" s="26" t="n"/>
      <c r="B983" s="24" t="n"/>
      <c r="C983" s="40">
        <f>IF(B983="","",IFERROR(INDEX(Mitarbeiter!$B$6:$B$205,MATCH(B983,Mitarbeiter!$A$6:$A$205,0)),"?"))</f>
        <v/>
      </c>
      <c r="D983" s="41" t="n"/>
      <c r="E983" s="42" t="n"/>
      <c r="F983" s="43" t="n"/>
      <c r="G983" s="44">
        <f>IF(OR(B983="",F983=""),"",IFERROR(F983*INDEX(Mitarbeiter!$F$6:$F$205,MATCH(B983,Mitarbeiter!$A$6:$A$205,0)),0))</f>
        <v/>
      </c>
      <c r="H983" s="8">
        <f>IF(B983="","",IF(ISNA(MATCH(B983,Mitarbeiter!$A$6:$A$205,0)),"Pers.-Nr. unbekannt",IF(A983="","Datum fehlt",IF(AND(D983&lt;&gt;Einstellungen!$C$4,D983&lt;&gt;Einstellungen!$C$5),"Objekt fehlt",IF(YEAR(A983)&lt;&gt;Einstellungen!$C$3,"anderes Jahr",IF(A983&lt;INDEX(Mitarbeiter!$C$6:$C$205,MATCH(B983,Mitarbeiter!$A$6:$A$205,0)),"vor Eintritt",IF(AND(INDEX(Mitarbeiter!$D$6:$D$205,MATCH(B983,Mitarbeiter!$A$6:$A$205,0))&lt;&gt;"",A983&gt;INDEX(Mitarbeiter!$D$6:$D$205,MATCH(B983,Mitarbeiter!$A$6:$A$205,0))),"nach Austritt","ok")))))))</f>
        <v/>
      </c>
    </row>
    <row r="984">
      <c r="A984" s="26" t="n"/>
      <c r="B984" s="24" t="n"/>
      <c r="C984" s="40">
        <f>IF(B984="","",IFERROR(INDEX(Mitarbeiter!$B$6:$B$205,MATCH(B984,Mitarbeiter!$A$6:$A$205,0)),"?"))</f>
        <v/>
      </c>
      <c r="D984" s="41" t="n"/>
      <c r="E984" s="42" t="n"/>
      <c r="F984" s="43" t="n"/>
      <c r="G984" s="44">
        <f>IF(OR(B984="",F984=""),"",IFERROR(F984*INDEX(Mitarbeiter!$F$6:$F$205,MATCH(B984,Mitarbeiter!$A$6:$A$205,0)),0))</f>
        <v/>
      </c>
      <c r="H984" s="8">
        <f>IF(B984="","",IF(ISNA(MATCH(B984,Mitarbeiter!$A$6:$A$205,0)),"Pers.-Nr. unbekannt",IF(A984="","Datum fehlt",IF(AND(D984&lt;&gt;Einstellungen!$C$4,D984&lt;&gt;Einstellungen!$C$5),"Objekt fehlt",IF(YEAR(A984)&lt;&gt;Einstellungen!$C$3,"anderes Jahr",IF(A984&lt;INDEX(Mitarbeiter!$C$6:$C$205,MATCH(B984,Mitarbeiter!$A$6:$A$205,0)),"vor Eintritt",IF(AND(INDEX(Mitarbeiter!$D$6:$D$205,MATCH(B984,Mitarbeiter!$A$6:$A$205,0))&lt;&gt;"",A984&gt;INDEX(Mitarbeiter!$D$6:$D$205,MATCH(B984,Mitarbeiter!$A$6:$A$205,0))),"nach Austritt","ok")))))))</f>
        <v/>
      </c>
    </row>
    <row r="985">
      <c r="A985" s="26" t="n"/>
      <c r="B985" s="24" t="n"/>
      <c r="C985" s="40">
        <f>IF(B985="","",IFERROR(INDEX(Mitarbeiter!$B$6:$B$205,MATCH(B985,Mitarbeiter!$A$6:$A$205,0)),"?"))</f>
        <v/>
      </c>
      <c r="D985" s="41" t="n"/>
      <c r="E985" s="42" t="n"/>
      <c r="F985" s="43" t="n"/>
      <c r="G985" s="44">
        <f>IF(OR(B985="",F985=""),"",IFERROR(F985*INDEX(Mitarbeiter!$F$6:$F$205,MATCH(B985,Mitarbeiter!$A$6:$A$205,0)),0))</f>
        <v/>
      </c>
      <c r="H985" s="8">
        <f>IF(B985="","",IF(ISNA(MATCH(B985,Mitarbeiter!$A$6:$A$205,0)),"Pers.-Nr. unbekannt",IF(A985="","Datum fehlt",IF(AND(D985&lt;&gt;Einstellungen!$C$4,D985&lt;&gt;Einstellungen!$C$5),"Objekt fehlt",IF(YEAR(A985)&lt;&gt;Einstellungen!$C$3,"anderes Jahr",IF(A985&lt;INDEX(Mitarbeiter!$C$6:$C$205,MATCH(B985,Mitarbeiter!$A$6:$A$205,0)),"vor Eintritt",IF(AND(INDEX(Mitarbeiter!$D$6:$D$205,MATCH(B985,Mitarbeiter!$A$6:$A$205,0))&lt;&gt;"",A985&gt;INDEX(Mitarbeiter!$D$6:$D$205,MATCH(B985,Mitarbeiter!$A$6:$A$205,0))),"nach Austritt","ok")))))))</f>
        <v/>
      </c>
    </row>
    <row r="986">
      <c r="A986" s="26" t="n"/>
      <c r="B986" s="24" t="n"/>
      <c r="C986" s="40">
        <f>IF(B986="","",IFERROR(INDEX(Mitarbeiter!$B$6:$B$205,MATCH(B986,Mitarbeiter!$A$6:$A$205,0)),"?"))</f>
        <v/>
      </c>
      <c r="D986" s="41" t="n"/>
      <c r="E986" s="42" t="n"/>
      <c r="F986" s="43" t="n"/>
      <c r="G986" s="44">
        <f>IF(OR(B986="",F986=""),"",IFERROR(F986*INDEX(Mitarbeiter!$F$6:$F$205,MATCH(B986,Mitarbeiter!$A$6:$A$205,0)),0))</f>
        <v/>
      </c>
      <c r="H986" s="8">
        <f>IF(B986="","",IF(ISNA(MATCH(B986,Mitarbeiter!$A$6:$A$205,0)),"Pers.-Nr. unbekannt",IF(A986="","Datum fehlt",IF(AND(D986&lt;&gt;Einstellungen!$C$4,D986&lt;&gt;Einstellungen!$C$5),"Objekt fehlt",IF(YEAR(A986)&lt;&gt;Einstellungen!$C$3,"anderes Jahr",IF(A986&lt;INDEX(Mitarbeiter!$C$6:$C$205,MATCH(B986,Mitarbeiter!$A$6:$A$205,0)),"vor Eintritt",IF(AND(INDEX(Mitarbeiter!$D$6:$D$205,MATCH(B986,Mitarbeiter!$A$6:$A$205,0))&lt;&gt;"",A986&gt;INDEX(Mitarbeiter!$D$6:$D$205,MATCH(B986,Mitarbeiter!$A$6:$A$205,0))),"nach Austritt","ok")))))))</f>
        <v/>
      </c>
    </row>
    <row r="987">
      <c r="A987" s="26" t="n"/>
      <c r="B987" s="24" t="n"/>
      <c r="C987" s="40">
        <f>IF(B987="","",IFERROR(INDEX(Mitarbeiter!$B$6:$B$205,MATCH(B987,Mitarbeiter!$A$6:$A$205,0)),"?"))</f>
        <v/>
      </c>
      <c r="D987" s="41" t="n"/>
      <c r="E987" s="42" t="n"/>
      <c r="F987" s="43" t="n"/>
      <c r="G987" s="44">
        <f>IF(OR(B987="",F987=""),"",IFERROR(F987*INDEX(Mitarbeiter!$F$6:$F$205,MATCH(B987,Mitarbeiter!$A$6:$A$205,0)),0))</f>
        <v/>
      </c>
      <c r="H987" s="8">
        <f>IF(B987="","",IF(ISNA(MATCH(B987,Mitarbeiter!$A$6:$A$205,0)),"Pers.-Nr. unbekannt",IF(A987="","Datum fehlt",IF(AND(D987&lt;&gt;Einstellungen!$C$4,D987&lt;&gt;Einstellungen!$C$5),"Objekt fehlt",IF(YEAR(A987)&lt;&gt;Einstellungen!$C$3,"anderes Jahr",IF(A987&lt;INDEX(Mitarbeiter!$C$6:$C$205,MATCH(B987,Mitarbeiter!$A$6:$A$205,0)),"vor Eintritt",IF(AND(INDEX(Mitarbeiter!$D$6:$D$205,MATCH(B987,Mitarbeiter!$A$6:$A$205,0))&lt;&gt;"",A987&gt;INDEX(Mitarbeiter!$D$6:$D$205,MATCH(B987,Mitarbeiter!$A$6:$A$205,0))),"nach Austritt","ok")))))))</f>
        <v/>
      </c>
    </row>
    <row r="988">
      <c r="A988" s="26" t="n"/>
      <c r="B988" s="24" t="n"/>
      <c r="C988" s="40">
        <f>IF(B988="","",IFERROR(INDEX(Mitarbeiter!$B$6:$B$205,MATCH(B988,Mitarbeiter!$A$6:$A$205,0)),"?"))</f>
        <v/>
      </c>
      <c r="D988" s="41" t="n"/>
      <c r="E988" s="42" t="n"/>
      <c r="F988" s="43" t="n"/>
      <c r="G988" s="44">
        <f>IF(OR(B988="",F988=""),"",IFERROR(F988*INDEX(Mitarbeiter!$F$6:$F$205,MATCH(B988,Mitarbeiter!$A$6:$A$205,0)),0))</f>
        <v/>
      </c>
      <c r="H988" s="8">
        <f>IF(B988="","",IF(ISNA(MATCH(B988,Mitarbeiter!$A$6:$A$205,0)),"Pers.-Nr. unbekannt",IF(A988="","Datum fehlt",IF(AND(D988&lt;&gt;Einstellungen!$C$4,D988&lt;&gt;Einstellungen!$C$5),"Objekt fehlt",IF(YEAR(A988)&lt;&gt;Einstellungen!$C$3,"anderes Jahr",IF(A988&lt;INDEX(Mitarbeiter!$C$6:$C$205,MATCH(B988,Mitarbeiter!$A$6:$A$205,0)),"vor Eintritt",IF(AND(INDEX(Mitarbeiter!$D$6:$D$205,MATCH(B988,Mitarbeiter!$A$6:$A$205,0))&lt;&gt;"",A988&gt;INDEX(Mitarbeiter!$D$6:$D$205,MATCH(B988,Mitarbeiter!$A$6:$A$205,0))),"nach Austritt","ok")))))))</f>
        <v/>
      </c>
    </row>
    <row r="989">
      <c r="A989" s="26" t="n"/>
      <c r="B989" s="24" t="n"/>
      <c r="C989" s="40">
        <f>IF(B989="","",IFERROR(INDEX(Mitarbeiter!$B$6:$B$205,MATCH(B989,Mitarbeiter!$A$6:$A$205,0)),"?"))</f>
        <v/>
      </c>
      <c r="D989" s="41" t="n"/>
      <c r="E989" s="42" t="n"/>
      <c r="F989" s="43" t="n"/>
      <c r="G989" s="44">
        <f>IF(OR(B989="",F989=""),"",IFERROR(F989*INDEX(Mitarbeiter!$F$6:$F$205,MATCH(B989,Mitarbeiter!$A$6:$A$205,0)),0))</f>
        <v/>
      </c>
      <c r="H989" s="8">
        <f>IF(B989="","",IF(ISNA(MATCH(B989,Mitarbeiter!$A$6:$A$205,0)),"Pers.-Nr. unbekannt",IF(A989="","Datum fehlt",IF(AND(D989&lt;&gt;Einstellungen!$C$4,D989&lt;&gt;Einstellungen!$C$5),"Objekt fehlt",IF(YEAR(A989)&lt;&gt;Einstellungen!$C$3,"anderes Jahr",IF(A989&lt;INDEX(Mitarbeiter!$C$6:$C$205,MATCH(B989,Mitarbeiter!$A$6:$A$205,0)),"vor Eintritt",IF(AND(INDEX(Mitarbeiter!$D$6:$D$205,MATCH(B989,Mitarbeiter!$A$6:$A$205,0))&lt;&gt;"",A989&gt;INDEX(Mitarbeiter!$D$6:$D$205,MATCH(B989,Mitarbeiter!$A$6:$A$205,0))),"nach Austritt","ok")))))))</f>
        <v/>
      </c>
    </row>
    <row r="990">
      <c r="A990" s="26" t="n"/>
      <c r="B990" s="24" t="n"/>
      <c r="C990" s="40">
        <f>IF(B990="","",IFERROR(INDEX(Mitarbeiter!$B$6:$B$205,MATCH(B990,Mitarbeiter!$A$6:$A$205,0)),"?"))</f>
        <v/>
      </c>
      <c r="D990" s="41" t="n"/>
      <c r="E990" s="42" t="n"/>
      <c r="F990" s="43" t="n"/>
      <c r="G990" s="44">
        <f>IF(OR(B990="",F990=""),"",IFERROR(F990*INDEX(Mitarbeiter!$F$6:$F$205,MATCH(B990,Mitarbeiter!$A$6:$A$205,0)),0))</f>
        <v/>
      </c>
      <c r="H990" s="8">
        <f>IF(B990="","",IF(ISNA(MATCH(B990,Mitarbeiter!$A$6:$A$205,0)),"Pers.-Nr. unbekannt",IF(A990="","Datum fehlt",IF(AND(D990&lt;&gt;Einstellungen!$C$4,D990&lt;&gt;Einstellungen!$C$5),"Objekt fehlt",IF(YEAR(A990)&lt;&gt;Einstellungen!$C$3,"anderes Jahr",IF(A990&lt;INDEX(Mitarbeiter!$C$6:$C$205,MATCH(B990,Mitarbeiter!$A$6:$A$205,0)),"vor Eintritt",IF(AND(INDEX(Mitarbeiter!$D$6:$D$205,MATCH(B990,Mitarbeiter!$A$6:$A$205,0))&lt;&gt;"",A990&gt;INDEX(Mitarbeiter!$D$6:$D$205,MATCH(B990,Mitarbeiter!$A$6:$A$205,0))),"nach Austritt","ok")))))))</f>
        <v/>
      </c>
    </row>
    <row r="991">
      <c r="A991" s="26" t="n"/>
      <c r="B991" s="24" t="n"/>
      <c r="C991" s="40">
        <f>IF(B991="","",IFERROR(INDEX(Mitarbeiter!$B$6:$B$205,MATCH(B991,Mitarbeiter!$A$6:$A$205,0)),"?"))</f>
        <v/>
      </c>
      <c r="D991" s="41" t="n"/>
      <c r="E991" s="42" t="n"/>
      <c r="F991" s="43" t="n"/>
      <c r="G991" s="44">
        <f>IF(OR(B991="",F991=""),"",IFERROR(F991*INDEX(Mitarbeiter!$F$6:$F$205,MATCH(B991,Mitarbeiter!$A$6:$A$205,0)),0))</f>
        <v/>
      </c>
      <c r="H991" s="8">
        <f>IF(B991="","",IF(ISNA(MATCH(B991,Mitarbeiter!$A$6:$A$205,0)),"Pers.-Nr. unbekannt",IF(A991="","Datum fehlt",IF(AND(D991&lt;&gt;Einstellungen!$C$4,D991&lt;&gt;Einstellungen!$C$5),"Objekt fehlt",IF(YEAR(A991)&lt;&gt;Einstellungen!$C$3,"anderes Jahr",IF(A991&lt;INDEX(Mitarbeiter!$C$6:$C$205,MATCH(B991,Mitarbeiter!$A$6:$A$205,0)),"vor Eintritt",IF(AND(INDEX(Mitarbeiter!$D$6:$D$205,MATCH(B991,Mitarbeiter!$A$6:$A$205,0))&lt;&gt;"",A991&gt;INDEX(Mitarbeiter!$D$6:$D$205,MATCH(B991,Mitarbeiter!$A$6:$A$205,0))),"nach Austritt","ok")))))))</f>
        <v/>
      </c>
    </row>
    <row r="992">
      <c r="A992" s="26" t="n"/>
      <c r="B992" s="24" t="n"/>
      <c r="C992" s="40">
        <f>IF(B992="","",IFERROR(INDEX(Mitarbeiter!$B$6:$B$205,MATCH(B992,Mitarbeiter!$A$6:$A$205,0)),"?"))</f>
        <v/>
      </c>
      <c r="D992" s="41" t="n"/>
      <c r="E992" s="42" t="n"/>
      <c r="F992" s="43" t="n"/>
      <c r="G992" s="44">
        <f>IF(OR(B992="",F992=""),"",IFERROR(F992*INDEX(Mitarbeiter!$F$6:$F$205,MATCH(B992,Mitarbeiter!$A$6:$A$205,0)),0))</f>
        <v/>
      </c>
      <c r="H992" s="8">
        <f>IF(B992="","",IF(ISNA(MATCH(B992,Mitarbeiter!$A$6:$A$205,0)),"Pers.-Nr. unbekannt",IF(A992="","Datum fehlt",IF(AND(D992&lt;&gt;Einstellungen!$C$4,D992&lt;&gt;Einstellungen!$C$5),"Objekt fehlt",IF(YEAR(A992)&lt;&gt;Einstellungen!$C$3,"anderes Jahr",IF(A992&lt;INDEX(Mitarbeiter!$C$6:$C$205,MATCH(B992,Mitarbeiter!$A$6:$A$205,0)),"vor Eintritt",IF(AND(INDEX(Mitarbeiter!$D$6:$D$205,MATCH(B992,Mitarbeiter!$A$6:$A$205,0))&lt;&gt;"",A992&gt;INDEX(Mitarbeiter!$D$6:$D$205,MATCH(B992,Mitarbeiter!$A$6:$A$205,0))),"nach Austritt","ok")))))))</f>
        <v/>
      </c>
    </row>
    <row r="993">
      <c r="A993" s="26" t="n"/>
      <c r="B993" s="24" t="n"/>
      <c r="C993" s="40">
        <f>IF(B993="","",IFERROR(INDEX(Mitarbeiter!$B$6:$B$205,MATCH(B993,Mitarbeiter!$A$6:$A$205,0)),"?"))</f>
        <v/>
      </c>
      <c r="D993" s="41" t="n"/>
      <c r="E993" s="42" t="n"/>
      <c r="F993" s="43" t="n"/>
      <c r="G993" s="44">
        <f>IF(OR(B993="",F993=""),"",IFERROR(F993*INDEX(Mitarbeiter!$F$6:$F$205,MATCH(B993,Mitarbeiter!$A$6:$A$205,0)),0))</f>
        <v/>
      </c>
      <c r="H993" s="8">
        <f>IF(B993="","",IF(ISNA(MATCH(B993,Mitarbeiter!$A$6:$A$205,0)),"Pers.-Nr. unbekannt",IF(A993="","Datum fehlt",IF(AND(D993&lt;&gt;Einstellungen!$C$4,D993&lt;&gt;Einstellungen!$C$5),"Objekt fehlt",IF(YEAR(A993)&lt;&gt;Einstellungen!$C$3,"anderes Jahr",IF(A993&lt;INDEX(Mitarbeiter!$C$6:$C$205,MATCH(B993,Mitarbeiter!$A$6:$A$205,0)),"vor Eintritt",IF(AND(INDEX(Mitarbeiter!$D$6:$D$205,MATCH(B993,Mitarbeiter!$A$6:$A$205,0))&lt;&gt;"",A993&gt;INDEX(Mitarbeiter!$D$6:$D$205,MATCH(B993,Mitarbeiter!$A$6:$A$205,0))),"nach Austritt","ok")))))))</f>
        <v/>
      </c>
    </row>
    <row r="994">
      <c r="A994" s="26" t="n"/>
      <c r="B994" s="24" t="n"/>
      <c r="C994" s="40">
        <f>IF(B994="","",IFERROR(INDEX(Mitarbeiter!$B$6:$B$205,MATCH(B994,Mitarbeiter!$A$6:$A$205,0)),"?"))</f>
        <v/>
      </c>
      <c r="D994" s="41" t="n"/>
      <c r="E994" s="42" t="n"/>
      <c r="F994" s="43" t="n"/>
      <c r="G994" s="44">
        <f>IF(OR(B994="",F994=""),"",IFERROR(F994*INDEX(Mitarbeiter!$F$6:$F$205,MATCH(B994,Mitarbeiter!$A$6:$A$205,0)),0))</f>
        <v/>
      </c>
      <c r="H994" s="8">
        <f>IF(B994="","",IF(ISNA(MATCH(B994,Mitarbeiter!$A$6:$A$205,0)),"Pers.-Nr. unbekannt",IF(A994="","Datum fehlt",IF(AND(D994&lt;&gt;Einstellungen!$C$4,D994&lt;&gt;Einstellungen!$C$5),"Objekt fehlt",IF(YEAR(A994)&lt;&gt;Einstellungen!$C$3,"anderes Jahr",IF(A994&lt;INDEX(Mitarbeiter!$C$6:$C$205,MATCH(B994,Mitarbeiter!$A$6:$A$205,0)),"vor Eintritt",IF(AND(INDEX(Mitarbeiter!$D$6:$D$205,MATCH(B994,Mitarbeiter!$A$6:$A$205,0))&lt;&gt;"",A994&gt;INDEX(Mitarbeiter!$D$6:$D$205,MATCH(B994,Mitarbeiter!$A$6:$A$205,0))),"nach Austritt","ok")))))))</f>
        <v/>
      </c>
    </row>
    <row r="995">
      <c r="A995" s="26" t="n"/>
      <c r="B995" s="24" t="n"/>
      <c r="C995" s="40">
        <f>IF(B995="","",IFERROR(INDEX(Mitarbeiter!$B$6:$B$205,MATCH(B995,Mitarbeiter!$A$6:$A$205,0)),"?"))</f>
        <v/>
      </c>
      <c r="D995" s="41" t="n"/>
      <c r="E995" s="42" t="n"/>
      <c r="F995" s="43" t="n"/>
      <c r="G995" s="44">
        <f>IF(OR(B995="",F995=""),"",IFERROR(F995*INDEX(Mitarbeiter!$F$6:$F$205,MATCH(B995,Mitarbeiter!$A$6:$A$205,0)),0))</f>
        <v/>
      </c>
      <c r="H995" s="8">
        <f>IF(B995="","",IF(ISNA(MATCH(B995,Mitarbeiter!$A$6:$A$205,0)),"Pers.-Nr. unbekannt",IF(A995="","Datum fehlt",IF(AND(D995&lt;&gt;Einstellungen!$C$4,D995&lt;&gt;Einstellungen!$C$5),"Objekt fehlt",IF(YEAR(A995)&lt;&gt;Einstellungen!$C$3,"anderes Jahr",IF(A995&lt;INDEX(Mitarbeiter!$C$6:$C$205,MATCH(B995,Mitarbeiter!$A$6:$A$205,0)),"vor Eintritt",IF(AND(INDEX(Mitarbeiter!$D$6:$D$205,MATCH(B995,Mitarbeiter!$A$6:$A$205,0))&lt;&gt;"",A995&gt;INDEX(Mitarbeiter!$D$6:$D$205,MATCH(B995,Mitarbeiter!$A$6:$A$205,0))),"nach Austritt","ok")))))))</f>
        <v/>
      </c>
    </row>
    <row r="996">
      <c r="A996" s="26" t="n"/>
      <c r="B996" s="24" t="n"/>
      <c r="C996" s="40">
        <f>IF(B996="","",IFERROR(INDEX(Mitarbeiter!$B$6:$B$205,MATCH(B996,Mitarbeiter!$A$6:$A$205,0)),"?"))</f>
        <v/>
      </c>
      <c r="D996" s="41" t="n"/>
      <c r="E996" s="42" t="n"/>
      <c r="F996" s="43" t="n"/>
      <c r="G996" s="44">
        <f>IF(OR(B996="",F996=""),"",IFERROR(F996*INDEX(Mitarbeiter!$F$6:$F$205,MATCH(B996,Mitarbeiter!$A$6:$A$205,0)),0))</f>
        <v/>
      </c>
      <c r="H996" s="8">
        <f>IF(B996="","",IF(ISNA(MATCH(B996,Mitarbeiter!$A$6:$A$205,0)),"Pers.-Nr. unbekannt",IF(A996="","Datum fehlt",IF(AND(D996&lt;&gt;Einstellungen!$C$4,D996&lt;&gt;Einstellungen!$C$5),"Objekt fehlt",IF(YEAR(A996)&lt;&gt;Einstellungen!$C$3,"anderes Jahr",IF(A996&lt;INDEX(Mitarbeiter!$C$6:$C$205,MATCH(B996,Mitarbeiter!$A$6:$A$205,0)),"vor Eintritt",IF(AND(INDEX(Mitarbeiter!$D$6:$D$205,MATCH(B996,Mitarbeiter!$A$6:$A$205,0))&lt;&gt;"",A996&gt;INDEX(Mitarbeiter!$D$6:$D$205,MATCH(B996,Mitarbeiter!$A$6:$A$205,0))),"nach Austritt","ok")))))))</f>
        <v/>
      </c>
    </row>
    <row r="997">
      <c r="A997" s="26" t="n"/>
      <c r="B997" s="24" t="n"/>
      <c r="C997" s="40">
        <f>IF(B997="","",IFERROR(INDEX(Mitarbeiter!$B$6:$B$205,MATCH(B997,Mitarbeiter!$A$6:$A$205,0)),"?"))</f>
        <v/>
      </c>
      <c r="D997" s="41" t="n"/>
      <c r="E997" s="42" t="n"/>
      <c r="F997" s="43" t="n"/>
      <c r="G997" s="44">
        <f>IF(OR(B997="",F997=""),"",IFERROR(F997*INDEX(Mitarbeiter!$F$6:$F$205,MATCH(B997,Mitarbeiter!$A$6:$A$205,0)),0))</f>
        <v/>
      </c>
      <c r="H997" s="8">
        <f>IF(B997="","",IF(ISNA(MATCH(B997,Mitarbeiter!$A$6:$A$205,0)),"Pers.-Nr. unbekannt",IF(A997="","Datum fehlt",IF(AND(D997&lt;&gt;Einstellungen!$C$4,D997&lt;&gt;Einstellungen!$C$5),"Objekt fehlt",IF(YEAR(A997)&lt;&gt;Einstellungen!$C$3,"anderes Jahr",IF(A997&lt;INDEX(Mitarbeiter!$C$6:$C$205,MATCH(B997,Mitarbeiter!$A$6:$A$205,0)),"vor Eintritt",IF(AND(INDEX(Mitarbeiter!$D$6:$D$205,MATCH(B997,Mitarbeiter!$A$6:$A$205,0))&lt;&gt;"",A997&gt;INDEX(Mitarbeiter!$D$6:$D$205,MATCH(B997,Mitarbeiter!$A$6:$A$205,0))),"nach Austritt","ok")))))))</f>
        <v/>
      </c>
    </row>
    <row r="998">
      <c r="A998" s="26" t="n"/>
      <c r="B998" s="24" t="n"/>
      <c r="C998" s="40">
        <f>IF(B998="","",IFERROR(INDEX(Mitarbeiter!$B$6:$B$205,MATCH(B998,Mitarbeiter!$A$6:$A$205,0)),"?"))</f>
        <v/>
      </c>
      <c r="D998" s="41" t="n"/>
      <c r="E998" s="42" t="n"/>
      <c r="F998" s="43" t="n"/>
      <c r="G998" s="44">
        <f>IF(OR(B998="",F998=""),"",IFERROR(F998*INDEX(Mitarbeiter!$F$6:$F$205,MATCH(B998,Mitarbeiter!$A$6:$A$205,0)),0))</f>
        <v/>
      </c>
      <c r="H998" s="8">
        <f>IF(B998="","",IF(ISNA(MATCH(B998,Mitarbeiter!$A$6:$A$205,0)),"Pers.-Nr. unbekannt",IF(A998="","Datum fehlt",IF(AND(D998&lt;&gt;Einstellungen!$C$4,D998&lt;&gt;Einstellungen!$C$5),"Objekt fehlt",IF(YEAR(A998)&lt;&gt;Einstellungen!$C$3,"anderes Jahr",IF(A998&lt;INDEX(Mitarbeiter!$C$6:$C$205,MATCH(B998,Mitarbeiter!$A$6:$A$205,0)),"vor Eintritt",IF(AND(INDEX(Mitarbeiter!$D$6:$D$205,MATCH(B998,Mitarbeiter!$A$6:$A$205,0))&lt;&gt;"",A998&gt;INDEX(Mitarbeiter!$D$6:$D$205,MATCH(B998,Mitarbeiter!$A$6:$A$205,0))),"nach Austritt","ok")))))))</f>
        <v/>
      </c>
    </row>
    <row r="999">
      <c r="A999" s="26" t="n"/>
      <c r="B999" s="24" t="n"/>
      <c r="C999" s="40">
        <f>IF(B999="","",IFERROR(INDEX(Mitarbeiter!$B$6:$B$205,MATCH(B999,Mitarbeiter!$A$6:$A$205,0)),"?"))</f>
        <v/>
      </c>
      <c r="D999" s="41" t="n"/>
      <c r="E999" s="42" t="n"/>
      <c r="F999" s="43" t="n"/>
      <c r="G999" s="44">
        <f>IF(OR(B999="",F999=""),"",IFERROR(F999*INDEX(Mitarbeiter!$F$6:$F$205,MATCH(B999,Mitarbeiter!$A$6:$A$205,0)),0))</f>
        <v/>
      </c>
      <c r="H999" s="8">
        <f>IF(B999="","",IF(ISNA(MATCH(B999,Mitarbeiter!$A$6:$A$205,0)),"Pers.-Nr. unbekannt",IF(A999="","Datum fehlt",IF(AND(D999&lt;&gt;Einstellungen!$C$4,D999&lt;&gt;Einstellungen!$C$5),"Objekt fehlt",IF(YEAR(A999)&lt;&gt;Einstellungen!$C$3,"anderes Jahr",IF(A999&lt;INDEX(Mitarbeiter!$C$6:$C$205,MATCH(B999,Mitarbeiter!$A$6:$A$205,0)),"vor Eintritt",IF(AND(INDEX(Mitarbeiter!$D$6:$D$205,MATCH(B999,Mitarbeiter!$A$6:$A$205,0))&lt;&gt;"",A999&gt;INDEX(Mitarbeiter!$D$6:$D$205,MATCH(B999,Mitarbeiter!$A$6:$A$205,0))),"nach Austritt","ok")))))))</f>
        <v/>
      </c>
    </row>
    <row r="1000">
      <c r="A1000" s="26" t="n"/>
      <c r="B1000" s="24" t="n"/>
      <c r="C1000" s="40">
        <f>IF(B1000="","",IFERROR(INDEX(Mitarbeiter!$B$6:$B$205,MATCH(B1000,Mitarbeiter!$A$6:$A$205,0)),"?"))</f>
        <v/>
      </c>
      <c r="D1000" s="41" t="n"/>
      <c r="E1000" s="42" t="n"/>
      <c r="F1000" s="43" t="n"/>
      <c r="G1000" s="44">
        <f>IF(OR(B1000="",F1000=""),"",IFERROR(F1000*INDEX(Mitarbeiter!$F$6:$F$205,MATCH(B1000,Mitarbeiter!$A$6:$A$205,0)),0))</f>
        <v/>
      </c>
      <c r="H1000" s="8">
        <f>IF(B1000="","",IF(ISNA(MATCH(B1000,Mitarbeiter!$A$6:$A$205,0)),"Pers.-Nr. unbekannt",IF(A1000="","Datum fehlt",IF(AND(D1000&lt;&gt;Einstellungen!$C$4,D1000&lt;&gt;Einstellungen!$C$5),"Objekt fehlt",IF(YEAR(A1000)&lt;&gt;Einstellungen!$C$3,"anderes Jahr",IF(A1000&lt;INDEX(Mitarbeiter!$C$6:$C$205,MATCH(B1000,Mitarbeiter!$A$6:$A$205,0)),"vor Eintritt",IF(AND(INDEX(Mitarbeiter!$D$6:$D$205,MATCH(B1000,Mitarbeiter!$A$6:$A$205,0))&lt;&gt;"",A1000&gt;INDEX(Mitarbeiter!$D$6:$D$205,MATCH(B1000,Mitarbeiter!$A$6:$A$205,0))),"nach Austritt","ok")))))))</f>
        <v/>
      </c>
    </row>
    <row r="1001">
      <c r="A1001" s="26" t="n"/>
      <c r="B1001" s="24" t="n"/>
      <c r="C1001" s="40">
        <f>IF(B1001="","",IFERROR(INDEX(Mitarbeiter!$B$6:$B$205,MATCH(B1001,Mitarbeiter!$A$6:$A$205,0)),"?"))</f>
        <v/>
      </c>
      <c r="D1001" s="41" t="n"/>
      <c r="E1001" s="42" t="n"/>
      <c r="F1001" s="43" t="n"/>
      <c r="G1001" s="44">
        <f>IF(OR(B1001="",F1001=""),"",IFERROR(F1001*INDEX(Mitarbeiter!$F$6:$F$205,MATCH(B1001,Mitarbeiter!$A$6:$A$205,0)),0))</f>
        <v/>
      </c>
      <c r="H1001" s="8">
        <f>IF(B1001="","",IF(ISNA(MATCH(B1001,Mitarbeiter!$A$6:$A$205,0)),"Pers.-Nr. unbekannt",IF(A1001="","Datum fehlt",IF(AND(D1001&lt;&gt;Einstellungen!$C$4,D1001&lt;&gt;Einstellungen!$C$5),"Objekt fehlt",IF(YEAR(A1001)&lt;&gt;Einstellungen!$C$3,"anderes Jahr",IF(A1001&lt;INDEX(Mitarbeiter!$C$6:$C$205,MATCH(B1001,Mitarbeiter!$A$6:$A$205,0)),"vor Eintritt",IF(AND(INDEX(Mitarbeiter!$D$6:$D$205,MATCH(B1001,Mitarbeiter!$A$6:$A$205,0))&lt;&gt;"",A1001&gt;INDEX(Mitarbeiter!$D$6:$D$205,MATCH(B1001,Mitarbeiter!$A$6:$A$205,0))),"nach Austritt","ok")))))))</f>
        <v/>
      </c>
    </row>
    <row r="1002">
      <c r="A1002" s="26" t="n"/>
      <c r="B1002" s="24" t="n"/>
      <c r="C1002" s="40">
        <f>IF(B1002="","",IFERROR(INDEX(Mitarbeiter!$B$6:$B$205,MATCH(B1002,Mitarbeiter!$A$6:$A$205,0)),"?"))</f>
        <v/>
      </c>
      <c r="D1002" s="41" t="n"/>
      <c r="E1002" s="42" t="n"/>
      <c r="F1002" s="43" t="n"/>
      <c r="G1002" s="44">
        <f>IF(OR(B1002="",F1002=""),"",IFERROR(F1002*INDEX(Mitarbeiter!$F$6:$F$205,MATCH(B1002,Mitarbeiter!$A$6:$A$205,0)),0))</f>
        <v/>
      </c>
      <c r="H1002" s="8">
        <f>IF(B1002="","",IF(ISNA(MATCH(B1002,Mitarbeiter!$A$6:$A$205,0)),"Pers.-Nr. unbekannt",IF(A1002="","Datum fehlt",IF(AND(D1002&lt;&gt;Einstellungen!$C$4,D1002&lt;&gt;Einstellungen!$C$5),"Objekt fehlt",IF(YEAR(A1002)&lt;&gt;Einstellungen!$C$3,"anderes Jahr",IF(A1002&lt;INDEX(Mitarbeiter!$C$6:$C$205,MATCH(B1002,Mitarbeiter!$A$6:$A$205,0)),"vor Eintritt",IF(AND(INDEX(Mitarbeiter!$D$6:$D$205,MATCH(B1002,Mitarbeiter!$A$6:$A$205,0))&lt;&gt;"",A1002&gt;INDEX(Mitarbeiter!$D$6:$D$205,MATCH(B1002,Mitarbeiter!$A$6:$A$205,0))),"nach Austritt","ok")))))))</f>
        <v/>
      </c>
    </row>
    <row r="1003">
      <c r="A1003" s="26" t="n"/>
      <c r="B1003" s="24" t="n"/>
      <c r="C1003" s="40">
        <f>IF(B1003="","",IFERROR(INDEX(Mitarbeiter!$B$6:$B$205,MATCH(B1003,Mitarbeiter!$A$6:$A$205,0)),"?"))</f>
        <v/>
      </c>
      <c r="D1003" s="41" t="n"/>
      <c r="E1003" s="42" t="n"/>
      <c r="F1003" s="43" t="n"/>
      <c r="G1003" s="44">
        <f>IF(OR(B1003="",F1003=""),"",IFERROR(F1003*INDEX(Mitarbeiter!$F$6:$F$205,MATCH(B1003,Mitarbeiter!$A$6:$A$205,0)),0))</f>
        <v/>
      </c>
      <c r="H1003" s="8">
        <f>IF(B1003="","",IF(ISNA(MATCH(B1003,Mitarbeiter!$A$6:$A$205,0)),"Pers.-Nr. unbekannt",IF(A1003="","Datum fehlt",IF(AND(D1003&lt;&gt;Einstellungen!$C$4,D1003&lt;&gt;Einstellungen!$C$5),"Objekt fehlt",IF(YEAR(A1003)&lt;&gt;Einstellungen!$C$3,"anderes Jahr",IF(A1003&lt;INDEX(Mitarbeiter!$C$6:$C$205,MATCH(B1003,Mitarbeiter!$A$6:$A$205,0)),"vor Eintritt",IF(AND(INDEX(Mitarbeiter!$D$6:$D$205,MATCH(B1003,Mitarbeiter!$A$6:$A$205,0))&lt;&gt;"",A1003&gt;INDEX(Mitarbeiter!$D$6:$D$205,MATCH(B1003,Mitarbeiter!$A$6:$A$205,0))),"nach Austritt","ok")))))))</f>
        <v/>
      </c>
    </row>
    <row r="1004">
      <c r="A1004" s="26" t="n"/>
      <c r="B1004" s="24" t="n"/>
      <c r="C1004" s="40">
        <f>IF(B1004="","",IFERROR(INDEX(Mitarbeiter!$B$6:$B$205,MATCH(B1004,Mitarbeiter!$A$6:$A$205,0)),"?"))</f>
        <v/>
      </c>
      <c r="D1004" s="41" t="n"/>
      <c r="E1004" s="42" t="n"/>
      <c r="F1004" s="43" t="n"/>
      <c r="G1004" s="44">
        <f>IF(OR(B1004="",F1004=""),"",IFERROR(F1004*INDEX(Mitarbeiter!$F$6:$F$205,MATCH(B1004,Mitarbeiter!$A$6:$A$205,0)),0))</f>
        <v/>
      </c>
      <c r="H1004" s="8">
        <f>IF(B1004="","",IF(ISNA(MATCH(B1004,Mitarbeiter!$A$6:$A$205,0)),"Pers.-Nr. unbekannt",IF(A1004="","Datum fehlt",IF(AND(D1004&lt;&gt;Einstellungen!$C$4,D1004&lt;&gt;Einstellungen!$C$5),"Objekt fehlt",IF(YEAR(A1004)&lt;&gt;Einstellungen!$C$3,"anderes Jahr",IF(A1004&lt;INDEX(Mitarbeiter!$C$6:$C$205,MATCH(B1004,Mitarbeiter!$A$6:$A$205,0)),"vor Eintritt",IF(AND(INDEX(Mitarbeiter!$D$6:$D$205,MATCH(B1004,Mitarbeiter!$A$6:$A$205,0))&lt;&gt;"",A1004&gt;INDEX(Mitarbeiter!$D$6:$D$205,MATCH(B1004,Mitarbeiter!$A$6:$A$205,0))),"nach Austritt","ok")))))))</f>
        <v/>
      </c>
    </row>
    <row r="1005">
      <c r="A1005" s="26" t="n"/>
      <c r="B1005" s="24" t="n"/>
      <c r="C1005" s="40">
        <f>IF(B1005="","",IFERROR(INDEX(Mitarbeiter!$B$6:$B$205,MATCH(B1005,Mitarbeiter!$A$6:$A$205,0)),"?"))</f>
        <v/>
      </c>
      <c r="D1005" s="41" t="n"/>
      <c r="E1005" s="42" t="n"/>
      <c r="F1005" s="43" t="n"/>
      <c r="G1005" s="44">
        <f>IF(OR(B1005="",F1005=""),"",IFERROR(F1005*INDEX(Mitarbeiter!$F$6:$F$205,MATCH(B1005,Mitarbeiter!$A$6:$A$205,0)),0))</f>
        <v/>
      </c>
      <c r="H1005" s="8">
        <f>IF(B1005="","",IF(ISNA(MATCH(B1005,Mitarbeiter!$A$6:$A$205,0)),"Pers.-Nr. unbekannt",IF(A1005="","Datum fehlt",IF(AND(D1005&lt;&gt;Einstellungen!$C$4,D1005&lt;&gt;Einstellungen!$C$5),"Objekt fehlt",IF(YEAR(A1005)&lt;&gt;Einstellungen!$C$3,"anderes Jahr",IF(A1005&lt;INDEX(Mitarbeiter!$C$6:$C$205,MATCH(B1005,Mitarbeiter!$A$6:$A$205,0)),"vor Eintritt",IF(AND(INDEX(Mitarbeiter!$D$6:$D$205,MATCH(B1005,Mitarbeiter!$A$6:$A$205,0))&lt;&gt;"",A1005&gt;INDEX(Mitarbeiter!$D$6:$D$205,MATCH(B1005,Mitarbeiter!$A$6:$A$205,0))),"nach Austritt","ok")))))))</f>
        <v/>
      </c>
    </row>
    <row r="1006">
      <c r="A1006" s="26" t="n"/>
      <c r="B1006" s="24" t="n"/>
      <c r="C1006" s="40">
        <f>IF(B1006="","",IFERROR(INDEX(Mitarbeiter!$B$6:$B$205,MATCH(B1006,Mitarbeiter!$A$6:$A$205,0)),"?"))</f>
        <v/>
      </c>
      <c r="D1006" s="41" t="n"/>
      <c r="E1006" s="42" t="n"/>
      <c r="F1006" s="43" t="n"/>
      <c r="G1006" s="44">
        <f>IF(OR(B1006="",F1006=""),"",IFERROR(F1006*INDEX(Mitarbeiter!$F$6:$F$205,MATCH(B1006,Mitarbeiter!$A$6:$A$205,0)),0))</f>
        <v/>
      </c>
      <c r="H1006" s="8">
        <f>IF(B1006="","",IF(ISNA(MATCH(B1006,Mitarbeiter!$A$6:$A$205,0)),"Pers.-Nr. unbekannt",IF(A1006="","Datum fehlt",IF(AND(D1006&lt;&gt;Einstellungen!$C$4,D1006&lt;&gt;Einstellungen!$C$5),"Objekt fehlt",IF(YEAR(A1006)&lt;&gt;Einstellungen!$C$3,"anderes Jahr",IF(A1006&lt;INDEX(Mitarbeiter!$C$6:$C$205,MATCH(B1006,Mitarbeiter!$A$6:$A$205,0)),"vor Eintritt",IF(AND(INDEX(Mitarbeiter!$D$6:$D$205,MATCH(B1006,Mitarbeiter!$A$6:$A$205,0))&lt;&gt;"",A1006&gt;INDEX(Mitarbeiter!$D$6:$D$205,MATCH(B1006,Mitarbeiter!$A$6:$A$205,0))),"nach Austritt","ok")))))))</f>
        <v/>
      </c>
    </row>
    <row r="1007">
      <c r="A1007" s="26" t="n"/>
      <c r="B1007" s="24" t="n"/>
      <c r="C1007" s="40">
        <f>IF(B1007="","",IFERROR(INDEX(Mitarbeiter!$B$6:$B$205,MATCH(B1007,Mitarbeiter!$A$6:$A$205,0)),"?"))</f>
        <v/>
      </c>
      <c r="D1007" s="41" t="n"/>
      <c r="E1007" s="42" t="n"/>
      <c r="F1007" s="43" t="n"/>
      <c r="G1007" s="44">
        <f>IF(OR(B1007="",F1007=""),"",IFERROR(F1007*INDEX(Mitarbeiter!$F$6:$F$205,MATCH(B1007,Mitarbeiter!$A$6:$A$205,0)),0))</f>
        <v/>
      </c>
      <c r="H1007" s="8">
        <f>IF(B1007="","",IF(ISNA(MATCH(B1007,Mitarbeiter!$A$6:$A$205,0)),"Pers.-Nr. unbekannt",IF(A1007="","Datum fehlt",IF(AND(D1007&lt;&gt;Einstellungen!$C$4,D1007&lt;&gt;Einstellungen!$C$5),"Objekt fehlt",IF(YEAR(A1007)&lt;&gt;Einstellungen!$C$3,"anderes Jahr",IF(A1007&lt;INDEX(Mitarbeiter!$C$6:$C$205,MATCH(B1007,Mitarbeiter!$A$6:$A$205,0)),"vor Eintritt",IF(AND(INDEX(Mitarbeiter!$D$6:$D$205,MATCH(B1007,Mitarbeiter!$A$6:$A$205,0))&lt;&gt;"",A1007&gt;INDEX(Mitarbeiter!$D$6:$D$205,MATCH(B1007,Mitarbeiter!$A$6:$A$205,0))),"nach Austritt","ok")))))))</f>
        <v/>
      </c>
    </row>
    <row r="1008">
      <c r="A1008" s="26" t="n"/>
      <c r="B1008" s="24" t="n"/>
      <c r="C1008" s="40">
        <f>IF(B1008="","",IFERROR(INDEX(Mitarbeiter!$B$6:$B$205,MATCH(B1008,Mitarbeiter!$A$6:$A$205,0)),"?"))</f>
        <v/>
      </c>
      <c r="D1008" s="41" t="n"/>
      <c r="E1008" s="42" t="n"/>
      <c r="F1008" s="43" t="n"/>
      <c r="G1008" s="44">
        <f>IF(OR(B1008="",F1008=""),"",IFERROR(F1008*INDEX(Mitarbeiter!$F$6:$F$205,MATCH(B1008,Mitarbeiter!$A$6:$A$205,0)),0))</f>
        <v/>
      </c>
      <c r="H1008" s="8">
        <f>IF(B1008="","",IF(ISNA(MATCH(B1008,Mitarbeiter!$A$6:$A$205,0)),"Pers.-Nr. unbekannt",IF(A1008="","Datum fehlt",IF(AND(D1008&lt;&gt;Einstellungen!$C$4,D1008&lt;&gt;Einstellungen!$C$5),"Objekt fehlt",IF(YEAR(A1008)&lt;&gt;Einstellungen!$C$3,"anderes Jahr",IF(A1008&lt;INDEX(Mitarbeiter!$C$6:$C$205,MATCH(B1008,Mitarbeiter!$A$6:$A$205,0)),"vor Eintritt",IF(AND(INDEX(Mitarbeiter!$D$6:$D$205,MATCH(B1008,Mitarbeiter!$A$6:$A$205,0))&lt;&gt;"",A1008&gt;INDEX(Mitarbeiter!$D$6:$D$205,MATCH(B1008,Mitarbeiter!$A$6:$A$205,0))),"nach Austritt","ok")))))))</f>
        <v/>
      </c>
    </row>
    <row r="1009">
      <c r="A1009" s="26" t="n"/>
      <c r="B1009" s="24" t="n"/>
      <c r="C1009" s="40">
        <f>IF(B1009="","",IFERROR(INDEX(Mitarbeiter!$B$6:$B$205,MATCH(B1009,Mitarbeiter!$A$6:$A$205,0)),"?"))</f>
        <v/>
      </c>
      <c r="D1009" s="41" t="n"/>
      <c r="E1009" s="42" t="n"/>
      <c r="F1009" s="43" t="n"/>
      <c r="G1009" s="44">
        <f>IF(OR(B1009="",F1009=""),"",IFERROR(F1009*INDEX(Mitarbeiter!$F$6:$F$205,MATCH(B1009,Mitarbeiter!$A$6:$A$205,0)),0))</f>
        <v/>
      </c>
      <c r="H1009" s="8">
        <f>IF(B1009="","",IF(ISNA(MATCH(B1009,Mitarbeiter!$A$6:$A$205,0)),"Pers.-Nr. unbekannt",IF(A1009="","Datum fehlt",IF(AND(D1009&lt;&gt;Einstellungen!$C$4,D1009&lt;&gt;Einstellungen!$C$5),"Objekt fehlt",IF(YEAR(A1009)&lt;&gt;Einstellungen!$C$3,"anderes Jahr",IF(A1009&lt;INDEX(Mitarbeiter!$C$6:$C$205,MATCH(B1009,Mitarbeiter!$A$6:$A$205,0)),"vor Eintritt",IF(AND(INDEX(Mitarbeiter!$D$6:$D$205,MATCH(B1009,Mitarbeiter!$A$6:$A$205,0))&lt;&gt;"",A1009&gt;INDEX(Mitarbeiter!$D$6:$D$205,MATCH(B1009,Mitarbeiter!$A$6:$A$205,0))),"nach Austritt","ok")))))))</f>
        <v/>
      </c>
    </row>
    <row r="1010">
      <c r="A1010" s="26" t="n"/>
      <c r="B1010" s="24" t="n"/>
      <c r="C1010" s="40">
        <f>IF(B1010="","",IFERROR(INDEX(Mitarbeiter!$B$6:$B$205,MATCH(B1010,Mitarbeiter!$A$6:$A$205,0)),"?"))</f>
        <v/>
      </c>
      <c r="D1010" s="41" t="n"/>
      <c r="E1010" s="42" t="n"/>
      <c r="F1010" s="43" t="n"/>
      <c r="G1010" s="44">
        <f>IF(OR(B1010="",F1010=""),"",IFERROR(F1010*INDEX(Mitarbeiter!$F$6:$F$205,MATCH(B1010,Mitarbeiter!$A$6:$A$205,0)),0))</f>
        <v/>
      </c>
      <c r="H1010" s="8">
        <f>IF(B1010="","",IF(ISNA(MATCH(B1010,Mitarbeiter!$A$6:$A$205,0)),"Pers.-Nr. unbekannt",IF(A1010="","Datum fehlt",IF(AND(D1010&lt;&gt;Einstellungen!$C$4,D1010&lt;&gt;Einstellungen!$C$5),"Objekt fehlt",IF(YEAR(A1010)&lt;&gt;Einstellungen!$C$3,"anderes Jahr",IF(A1010&lt;INDEX(Mitarbeiter!$C$6:$C$205,MATCH(B1010,Mitarbeiter!$A$6:$A$205,0)),"vor Eintritt",IF(AND(INDEX(Mitarbeiter!$D$6:$D$205,MATCH(B1010,Mitarbeiter!$A$6:$A$205,0))&lt;&gt;"",A1010&gt;INDEX(Mitarbeiter!$D$6:$D$205,MATCH(B1010,Mitarbeiter!$A$6:$A$205,0))),"nach Austritt","ok")))))))</f>
        <v/>
      </c>
    </row>
    <row r="1011">
      <c r="A1011" s="26" t="n"/>
      <c r="B1011" s="24" t="n"/>
      <c r="C1011" s="40">
        <f>IF(B1011="","",IFERROR(INDEX(Mitarbeiter!$B$6:$B$205,MATCH(B1011,Mitarbeiter!$A$6:$A$205,0)),"?"))</f>
        <v/>
      </c>
      <c r="D1011" s="41" t="n"/>
      <c r="E1011" s="42" t="n"/>
      <c r="F1011" s="43" t="n"/>
      <c r="G1011" s="44">
        <f>IF(OR(B1011="",F1011=""),"",IFERROR(F1011*INDEX(Mitarbeiter!$F$6:$F$205,MATCH(B1011,Mitarbeiter!$A$6:$A$205,0)),0))</f>
        <v/>
      </c>
      <c r="H1011" s="8">
        <f>IF(B1011="","",IF(ISNA(MATCH(B1011,Mitarbeiter!$A$6:$A$205,0)),"Pers.-Nr. unbekannt",IF(A1011="","Datum fehlt",IF(AND(D1011&lt;&gt;Einstellungen!$C$4,D1011&lt;&gt;Einstellungen!$C$5),"Objekt fehlt",IF(YEAR(A1011)&lt;&gt;Einstellungen!$C$3,"anderes Jahr",IF(A1011&lt;INDEX(Mitarbeiter!$C$6:$C$205,MATCH(B1011,Mitarbeiter!$A$6:$A$205,0)),"vor Eintritt",IF(AND(INDEX(Mitarbeiter!$D$6:$D$205,MATCH(B1011,Mitarbeiter!$A$6:$A$205,0))&lt;&gt;"",A1011&gt;INDEX(Mitarbeiter!$D$6:$D$205,MATCH(B1011,Mitarbeiter!$A$6:$A$205,0))),"nach Austritt","ok")))))))</f>
        <v/>
      </c>
    </row>
    <row r="1012">
      <c r="A1012" s="26" t="n"/>
      <c r="B1012" s="24" t="n"/>
      <c r="C1012" s="40">
        <f>IF(B1012="","",IFERROR(INDEX(Mitarbeiter!$B$6:$B$205,MATCH(B1012,Mitarbeiter!$A$6:$A$205,0)),"?"))</f>
        <v/>
      </c>
      <c r="D1012" s="41" t="n"/>
      <c r="E1012" s="42" t="n"/>
      <c r="F1012" s="43" t="n"/>
      <c r="G1012" s="44">
        <f>IF(OR(B1012="",F1012=""),"",IFERROR(F1012*INDEX(Mitarbeiter!$F$6:$F$205,MATCH(B1012,Mitarbeiter!$A$6:$A$205,0)),0))</f>
        <v/>
      </c>
      <c r="H1012" s="8">
        <f>IF(B1012="","",IF(ISNA(MATCH(B1012,Mitarbeiter!$A$6:$A$205,0)),"Pers.-Nr. unbekannt",IF(A1012="","Datum fehlt",IF(AND(D1012&lt;&gt;Einstellungen!$C$4,D1012&lt;&gt;Einstellungen!$C$5),"Objekt fehlt",IF(YEAR(A1012)&lt;&gt;Einstellungen!$C$3,"anderes Jahr",IF(A1012&lt;INDEX(Mitarbeiter!$C$6:$C$205,MATCH(B1012,Mitarbeiter!$A$6:$A$205,0)),"vor Eintritt",IF(AND(INDEX(Mitarbeiter!$D$6:$D$205,MATCH(B1012,Mitarbeiter!$A$6:$A$205,0))&lt;&gt;"",A1012&gt;INDEX(Mitarbeiter!$D$6:$D$205,MATCH(B1012,Mitarbeiter!$A$6:$A$205,0))),"nach Austritt","ok")))))))</f>
        <v/>
      </c>
    </row>
    <row r="1013">
      <c r="A1013" s="26" t="n"/>
      <c r="B1013" s="24" t="n"/>
      <c r="C1013" s="40">
        <f>IF(B1013="","",IFERROR(INDEX(Mitarbeiter!$B$6:$B$205,MATCH(B1013,Mitarbeiter!$A$6:$A$205,0)),"?"))</f>
        <v/>
      </c>
      <c r="D1013" s="41" t="n"/>
      <c r="E1013" s="42" t="n"/>
      <c r="F1013" s="43" t="n"/>
      <c r="G1013" s="44">
        <f>IF(OR(B1013="",F1013=""),"",IFERROR(F1013*INDEX(Mitarbeiter!$F$6:$F$205,MATCH(B1013,Mitarbeiter!$A$6:$A$205,0)),0))</f>
        <v/>
      </c>
      <c r="H1013" s="8">
        <f>IF(B1013="","",IF(ISNA(MATCH(B1013,Mitarbeiter!$A$6:$A$205,0)),"Pers.-Nr. unbekannt",IF(A1013="","Datum fehlt",IF(AND(D1013&lt;&gt;Einstellungen!$C$4,D1013&lt;&gt;Einstellungen!$C$5),"Objekt fehlt",IF(YEAR(A1013)&lt;&gt;Einstellungen!$C$3,"anderes Jahr",IF(A1013&lt;INDEX(Mitarbeiter!$C$6:$C$205,MATCH(B1013,Mitarbeiter!$A$6:$A$205,0)),"vor Eintritt",IF(AND(INDEX(Mitarbeiter!$D$6:$D$205,MATCH(B1013,Mitarbeiter!$A$6:$A$205,0))&lt;&gt;"",A1013&gt;INDEX(Mitarbeiter!$D$6:$D$205,MATCH(B1013,Mitarbeiter!$A$6:$A$205,0))),"nach Austritt","ok")))))))</f>
        <v/>
      </c>
    </row>
    <row r="1014">
      <c r="A1014" s="26" t="n"/>
      <c r="B1014" s="24" t="n"/>
      <c r="C1014" s="40">
        <f>IF(B1014="","",IFERROR(INDEX(Mitarbeiter!$B$6:$B$205,MATCH(B1014,Mitarbeiter!$A$6:$A$205,0)),"?"))</f>
        <v/>
      </c>
      <c r="D1014" s="41" t="n"/>
      <c r="E1014" s="42" t="n"/>
      <c r="F1014" s="43" t="n"/>
      <c r="G1014" s="44">
        <f>IF(OR(B1014="",F1014=""),"",IFERROR(F1014*INDEX(Mitarbeiter!$F$6:$F$205,MATCH(B1014,Mitarbeiter!$A$6:$A$205,0)),0))</f>
        <v/>
      </c>
      <c r="H1014" s="8">
        <f>IF(B1014="","",IF(ISNA(MATCH(B1014,Mitarbeiter!$A$6:$A$205,0)),"Pers.-Nr. unbekannt",IF(A1014="","Datum fehlt",IF(AND(D1014&lt;&gt;Einstellungen!$C$4,D1014&lt;&gt;Einstellungen!$C$5),"Objekt fehlt",IF(YEAR(A1014)&lt;&gt;Einstellungen!$C$3,"anderes Jahr",IF(A1014&lt;INDEX(Mitarbeiter!$C$6:$C$205,MATCH(B1014,Mitarbeiter!$A$6:$A$205,0)),"vor Eintritt",IF(AND(INDEX(Mitarbeiter!$D$6:$D$205,MATCH(B1014,Mitarbeiter!$A$6:$A$205,0))&lt;&gt;"",A1014&gt;INDEX(Mitarbeiter!$D$6:$D$205,MATCH(B1014,Mitarbeiter!$A$6:$A$205,0))),"nach Austritt","ok")))))))</f>
        <v/>
      </c>
    </row>
    <row r="1015">
      <c r="A1015" s="26" t="n"/>
      <c r="B1015" s="24" t="n"/>
      <c r="C1015" s="40">
        <f>IF(B1015="","",IFERROR(INDEX(Mitarbeiter!$B$6:$B$205,MATCH(B1015,Mitarbeiter!$A$6:$A$205,0)),"?"))</f>
        <v/>
      </c>
      <c r="D1015" s="41" t="n"/>
      <c r="E1015" s="42" t="n"/>
      <c r="F1015" s="43" t="n"/>
      <c r="G1015" s="44">
        <f>IF(OR(B1015="",F1015=""),"",IFERROR(F1015*INDEX(Mitarbeiter!$F$6:$F$205,MATCH(B1015,Mitarbeiter!$A$6:$A$205,0)),0))</f>
        <v/>
      </c>
      <c r="H1015" s="8">
        <f>IF(B1015="","",IF(ISNA(MATCH(B1015,Mitarbeiter!$A$6:$A$205,0)),"Pers.-Nr. unbekannt",IF(A1015="","Datum fehlt",IF(AND(D1015&lt;&gt;Einstellungen!$C$4,D1015&lt;&gt;Einstellungen!$C$5),"Objekt fehlt",IF(YEAR(A1015)&lt;&gt;Einstellungen!$C$3,"anderes Jahr",IF(A1015&lt;INDEX(Mitarbeiter!$C$6:$C$205,MATCH(B1015,Mitarbeiter!$A$6:$A$205,0)),"vor Eintritt",IF(AND(INDEX(Mitarbeiter!$D$6:$D$205,MATCH(B1015,Mitarbeiter!$A$6:$A$205,0))&lt;&gt;"",A1015&gt;INDEX(Mitarbeiter!$D$6:$D$205,MATCH(B1015,Mitarbeiter!$A$6:$A$205,0))),"nach Austritt","ok")))))))</f>
        <v/>
      </c>
    </row>
    <row r="1016">
      <c r="A1016" s="26" t="n"/>
      <c r="B1016" s="24" t="n"/>
      <c r="C1016" s="40">
        <f>IF(B1016="","",IFERROR(INDEX(Mitarbeiter!$B$6:$B$205,MATCH(B1016,Mitarbeiter!$A$6:$A$205,0)),"?"))</f>
        <v/>
      </c>
      <c r="D1016" s="41" t="n"/>
      <c r="E1016" s="42" t="n"/>
      <c r="F1016" s="43" t="n"/>
      <c r="G1016" s="44">
        <f>IF(OR(B1016="",F1016=""),"",IFERROR(F1016*INDEX(Mitarbeiter!$F$6:$F$205,MATCH(B1016,Mitarbeiter!$A$6:$A$205,0)),0))</f>
        <v/>
      </c>
      <c r="H1016" s="8">
        <f>IF(B1016="","",IF(ISNA(MATCH(B1016,Mitarbeiter!$A$6:$A$205,0)),"Pers.-Nr. unbekannt",IF(A1016="","Datum fehlt",IF(AND(D1016&lt;&gt;Einstellungen!$C$4,D1016&lt;&gt;Einstellungen!$C$5),"Objekt fehlt",IF(YEAR(A1016)&lt;&gt;Einstellungen!$C$3,"anderes Jahr",IF(A1016&lt;INDEX(Mitarbeiter!$C$6:$C$205,MATCH(B1016,Mitarbeiter!$A$6:$A$205,0)),"vor Eintritt",IF(AND(INDEX(Mitarbeiter!$D$6:$D$205,MATCH(B1016,Mitarbeiter!$A$6:$A$205,0))&lt;&gt;"",A1016&gt;INDEX(Mitarbeiter!$D$6:$D$205,MATCH(B1016,Mitarbeiter!$A$6:$A$205,0))),"nach Austritt","ok")))))))</f>
        <v/>
      </c>
    </row>
    <row r="1017">
      <c r="A1017" s="26" t="n"/>
      <c r="B1017" s="24" t="n"/>
      <c r="C1017" s="40">
        <f>IF(B1017="","",IFERROR(INDEX(Mitarbeiter!$B$6:$B$205,MATCH(B1017,Mitarbeiter!$A$6:$A$205,0)),"?"))</f>
        <v/>
      </c>
      <c r="D1017" s="41" t="n"/>
      <c r="E1017" s="42" t="n"/>
      <c r="F1017" s="43" t="n"/>
      <c r="G1017" s="44">
        <f>IF(OR(B1017="",F1017=""),"",IFERROR(F1017*INDEX(Mitarbeiter!$F$6:$F$205,MATCH(B1017,Mitarbeiter!$A$6:$A$205,0)),0))</f>
        <v/>
      </c>
      <c r="H1017" s="8">
        <f>IF(B1017="","",IF(ISNA(MATCH(B1017,Mitarbeiter!$A$6:$A$205,0)),"Pers.-Nr. unbekannt",IF(A1017="","Datum fehlt",IF(AND(D1017&lt;&gt;Einstellungen!$C$4,D1017&lt;&gt;Einstellungen!$C$5),"Objekt fehlt",IF(YEAR(A1017)&lt;&gt;Einstellungen!$C$3,"anderes Jahr",IF(A1017&lt;INDEX(Mitarbeiter!$C$6:$C$205,MATCH(B1017,Mitarbeiter!$A$6:$A$205,0)),"vor Eintritt",IF(AND(INDEX(Mitarbeiter!$D$6:$D$205,MATCH(B1017,Mitarbeiter!$A$6:$A$205,0))&lt;&gt;"",A1017&gt;INDEX(Mitarbeiter!$D$6:$D$205,MATCH(B1017,Mitarbeiter!$A$6:$A$205,0))),"nach Austritt","ok")))))))</f>
        <v/>
      </c>
    </row>
    <row r="1018">
      <c r="A1018" s="26" t="n"/>
      <c r="B1018" s="24" t="n"/>
      <c r="C1018" s="40">
        <f>IF(B1018="","",IFERROR(INDEX(Mitarbeiter!$B$6:$B$205,MATCH(B1018,Mitarbeiter!$A$6:$A$205,0)),"?"))</f>
        <v/>
      </c>
      <c r="D1018" s="41" t="n"/>
      <c r="E1018" s="42" t="n"/>
      <c r="F1018" s="43" t="n"/>
      <c r="G1018" s="44">
        <f>IF(OR(B1018="",F1018=""),"",IFERROR(F1018*INDEX(Mitarbeiter!$F$6:$F$205,MATCH(B1018,Mitarbeiter!$A$6:$A$205,0)),0))</f>
        <v/>
      </c>
      <c r="H1018" s="8">
        <f>IF(B1018="","",IF(ISNA(MATCH(B1018,Mitarbeiter!$A$6:$A$205,0)),"Pers.-Nr. unbekannt",IF(A1018="","Datum fehlt",IF(AND(D1018&lt;&gt;Einstellungen!$C$4,D1018&lt;&gt;Einstellungen!$C$5),"Objekt fehlt",IF(YEAR(A1018)&lt;&gt;Einstellungen!$C$3,"anderes Jahr",IF(A1018&lt;INDEX(Mitarbeiter!$C$6:$C$205,MATCH(B1018,Mitarbeiter!$A$6:$A$205,0)),"vor Eintritt",IF(AND(INDEX(Mitarbeiter!$D$6:$D$205,MATCH(B1018,Mitarbeiter!$A$6:$A$205,0))&lt;&gt;"",A1018&gt;INDEX(Mitarbeiter!$D$6:$D$205,MATCH(B1018,Mitarbeiter!$A$6:$A$205,0))),"nach Austritt","ok")))))))</f>
        <v/>
      </c>
    </row>
    <row r="1019">
      <c r="A1019" s="26" t="n"/>
      <c r="B1019" s="24" t="n"/>
      <c r="C1019" s="40">
        <f>IF(B1019="","",IFERROR(INDEX(Mitarbeiter!$B$6:$B$205,MATCH(B1019,Mitarbeiter!$A$6:$A$205,0)),"?"))</f>
        <v/>
      </c>
      <c r="D1019" s="41" t="n"/>
      <c r="E1019" s="42" t="n"/>
      <c r="F1019" s="43" t="n"/>
      <c r="G1019" s="44">
        <f>IF(OR(B1019="",F1019=""),"",IFERROR(F1019*INDEX(Mitarbeiter!$F$6:$F$205,MATCH(B1019,Mitarbeiter!$A$6:$A$205,0)),0))</f>
        <v/>
      </c>
      <c r="H1019" s="8">
        <f>IF(B1019="","",IF(ISNA(MATCH(B1019,Mitarbeiter!$A$6:$A$205,0)),"Pers.-Nr. unbekannt",IF(A1019="","Datum fehlt",IF(AND(D1019&lt;&gt;Einstellungen!$C$4,D1019&lt;&gt;Einstellungen!$C$5),"Objekt fehlt",IF(YEAR(A1019)&lt;&gt;Einstellungen!$C$3,"anderes Jahr",IF(A1019&lt;INDEX(Mitarbeiter!$C$6:$C$205,MATCH(B1019,Mitarbeiter!$A$6:$A$205,0)),"vor Eintritt",IF(AND(INDEX(Mitarbeiter!$D$6:$D$205,MATCH(B1019,Mitarbeiter!$A$6:$A$205,0))&lt;&gt;"",A1019&gt;INDEX(Mitarbeiter!$D$6:$D$205,MATCH(B1019,Mitarbeiter!$A$6:$A$205,0))),"nach Austritt","ok")))))))</f>
        <v/>
      </c>
    </row>
    <row r="1020">
      <c r="A1020" s="26" t="n"/>
      <c r="B1020" s="24" t="n"/>
      <c r="C1020" s="40">
        <f>IF(B1020="","",IFERROR(INDEX(Mitarbeiter!$B$6:$B$205,MATCH(B1020,Mitarbeiter!$A$6:$A$205,0)),"?"))</f>
        <v/>
      </c>
      <c r="D1020" s="41" t="n"/>
      <c r="E1020" s="42" t="n"/>
      <c r="F1020" s="43" t="n"/>
      <c r="G1020" s="44">
        <f>IF(OR(B1020="",F1020=""),"",IFERROR(F1020*INDEX(Mitarbeiter!$F$6:$F$205,MATCH(B1020,Mitarbeiter!$A$6:$A$205,0)),0))</f>
        <v/>
      </c>
      <c r="H1020" s="8">
        <f>IF(B1020="","",IF(ISNA(MATCH(B1020,Mitarbeiter!$A$6:$A$205,0)),"Pers.-Nr. unbekannt",IF(A1020="","Datum fehlt",IF(AND(D1020&lt;&gt;Einstellungen!$C$4,D1020&lt;&gt;Einstellungen!$C$5),"Objekt fehlt",IF(YEAR(A1020)&lt;&gt;Einstellungen!$C$3,"anderes Jahr",IF(A1020&lt;INDEX(Mitarbeiter!$C$6:$C$205,MATCH(B1020,Mitarbeiter!$A$6:$A$205,0)),"vor Eintritt",IF(AND(INDEX(Mitarbeiter!$D$6:$D$205,MATCH(B1020,Mitarbeiter!$A$6:$A$205,0))&lt;&gt;"",A1020&gt;INDEX(Mitarbeiter!$D$6:$D$205,MATCH(B1020,Mitarbeiter!$A$6:$A$205,0))),"nach Austritt","ok")))))))</f>
        <v/>
      </c>
    </row>
    <row r="1021">
      <c r="A1021" s="26" t="n"/>
      <c r="B1021" s="24" t="n"/>
      <c r="C1021" s="40">
        <f>IF(B1021="","",IFERROR(INDEX(Mitarbeiter!$B$6:$B$205,MATCH(B1021,Mitarbeiter!$A$6:$A$205,0)),"?"))</f>
        <v/>
      </c>
      <c r="D1021" s="41" t="n"/>
      <c r="E1021" s="42" t="n"/>
      <c r="F1021" s="43" t="n"/>
      <c r="G1021" s="44">
        <f>IF(OR(B1021="",F1021=""),"",IFERROR(F1021*INDEX(Mitarbeiter!$F$6:$F$205,MATCH(B1021,Mitarbeiter!$A$6:$A$205,0)),0))</f>
        <v/>
      </c>
      <c r="H1021" s="8">
        <f>IF(B1021="","",IF(ISNA(MATCH(B1021,Mitarbeiter!$A$6:$A$205,0)),"Pers.-Nr. unbekannt",IF(A1021="","Datum fehlt",IF(AND(D1021&lt;&gt;Einstellungen!$C$4,D1021&lt;&gt;Einstellungen!$C$5),"Objekt fehlt",IF(YEAR(A1021)&lt;&gt;Einstellungen!$C$3,"anderes Jahr",IF(A1021&lt;INDEX(Mitarbeiter!$C$6:$C$205,MATCH(B1021,Mitarbeiter!$A$6:$A$205,0)),"vor Eintritt",IF(AND(INDEX(Mitarbeiter!$D$6:$D$205,MATCH(B1021,Mitarbeiter!$A$6:$A$205,0))&lt;&gt;"",A1021&gt;INDEX(Mitarbeiter!$D$6:$D$205,MATCH(B1021,Mitarbeiter!$A$6:$A$205,0))),"nach Austritt","ok")))))))</f>
        <v/>
      </c>
    </row>
    <row r="1022">
      <c r="A1022" s="26" t="n"/>
      <c r="B1022" s="24" t="n"/>
      <c r="C1022" s="40">
        <f>IF(B1022="","",IFERROR(INDEX(Mitarbeiter!$B$6:$B$205,MATCH(B1022,Mitarbeiter!$A$6:$A$205,0)),"?"))</f>
        <v/>
      </c>
      <c r="D1022" s="41" t="n"/>
      <c r="E1022" s="42" t="n"/>
      <c r="F1022" s="43" t="n"/>
      <c r="G1022" s="44">
        <f>IF(OR(B1022="",F1022=""),"",IFERROR(F1022*INDEX(Mitarbeiter!$F$6:$F$205,MATCH(B1022,Mitarbeiter!$A$6:$A$205,0)),0))</f>
        <v/>
      </c>
      <c r="H1022" s="8">
        <f>IF(B1022="","",IF(ISNA(MATCH(B1022,Mitarbeiter!$A$6:$A$205,0)),"Pers.-Nr. unbekannt",IF(A1022="","Datum fehlt",IF(AND(D1022&lt;&gt;Einstellungen!$C$4,D1022&lt;&gt;Einstellungen!$C$5),"Objekt fehlt",IF(YEAR(A1022)&lt;&gt;Einstellungen!$C$3,"anderes Jahr",IF(A1022&lt;INDEX(Mitarbeiter!$C$6:$C$205,MATCH(B1022,Mitarbeiter!$A$6:$A$205,0)),"vor Eintritt",IF(AND(INDEX(Mitarbeiter!$D$6:$D$205,MATCH(B1022,Mitarbeiter!$A$6:$A$205,0))&lt;&gt;"",A1022&gt;INDEX(Mitarbeiter!$D$6:$D$205,MATCH(B1022,Mitarbeiter!$A$6:$A$205,0))),"nach Austritt","ok")))))))</f>
        <v/>
      </c>
    </row>
    <row r="1023">
      <c r="A1023" s="26" t="n"/>
      <c r="B1023" s="24" t="n"/>
      <c r="C1023" s="40">
        <f>IF(B1023="","",IFERROR(INDEX(Mitarbeiter!$B$6:$B$205,MATCH(B1023,Mitarbeiter!$A$6:$A$205,0)),"?"))</f>
        <v/>
      </c>
      <c r="D1023" s="41" t="n"/>
      <c r="E1023" s="42" t="n"/>
      <c r="F1023" s="43" t="n"/>
      <c r="G1023" s="44">
        <f>IF(OR(B1023="",F1023=""),"",IFERROR(F1023*INDEX(Mitarbeiter!$F$6:$F$205,MATCH(B1023,Mitarbeiter!$A$6:$A$205,0)),0))</f>
        <v/>
      </c>
      <c r="H1023" s="8">
        <f>IF(B1023="","",IF(ISNA(MATCH(B1023,Mitarbeiter!$A$6:$A$205,0)),"Pers.-Nr. unbekannt",IF(A1023="","Datum fehlt",IF(AND(D1023&lt;&gt;Einstellungen!$C$4,D1023&lt;&gt;Einstellungen!$C$5),"Objekt fehlt",IF(YEAR(A1023)&lt;&gt;Einstellungen!$C$3,"anderes Jahr",IF(A1023&lt;INDEX(Mitarbeiter!$C$6:$C$205,MATCH(B1023,Mitarbeiter!$A$6:$A$205,0)),"vor Eintritt",IF(AND(INDEX(Mitarbeiter!$D$6:$D$205,MATCH(B1023,Mitarbeiter!$A$6:$A$205,0))&lt;&gt;"",A1023&gt;INDEX(Mitarbeiter!$D$6:$D$205,MATCH(B1023,Mitarbeiter!$A$6:$A$205,0))),"nach Austritt","ok")))))))</f>
        <v/>
      </c>
    </row>
    <row r="1024">
      <c r="A1024" s="26" t="n"/>
      <c r="B1024" s="24" t="n"/>
      <c r="C1024" s="40">
        <f>IF(B1024="","",IFERROR(INDEX(Mitarbeiter!$B$6:$B$205,MATCH(B1024,Mitarbeiter!$A$6:$A$205,0)),"?"))</f>
        <v/>
      </c>
      <c r="D1024" s="41" t="n"/>
      <c r="E1024" s="42" t="n"/>
      <c r="F1024" s="43" t="n"/>
      <c r="G1024" s="44">
        <f>IF(OR(B1024="",F1024=""),"",IFERROR(F1024*INDEX(Mitarbeiter!$F$6:$F$205,MATCH(B1024,Mitarbeiter!$A$6:$A$205,0)),0))</f>
        <v/>
      </c>
      <c r="H1024" s="8">
        <f>IF(B1024="","",IF(ISNA(MATCH(B1024,Mitarbeiter!$A$6:$A$205,0)),"Pers.-Nr. unbekannt",IF(A1024="","Datum fehlt",IF(AND(D1024&lt;&gt;Einstellungen!$C$4,D1024&lt;&gt;Einstellungen!$C$5),"Objekt fehlt",IF(YEAR(A1024)&lt;&gt;Einstellungen!$C$3,"anderes Jahr",IF(A1024&lt;INDEX(Mitarbeiter!$C$6:$C$205,MATCH(B1024,Mitarbeiter!$A$6:$A$205,0)),"vor Eintritt",IF(AND(INDEX(Mitarbeiter!$D$6:$D$205,MATCH(B1024,Mitarbeiter!$A$6:$A$205,0))&lt;&gt;"",A1024&gt;INDEX(Mitarbeiter!$D$6:$D$205,MATCH(B1024,Mitarbeiter!$A$6:$A$205,0))),"nach Austritt","ok")))))))</f>
        <v/>
      </c>
    </row>
    <row r="1025">
      <c r="A1025" s="26" t="n"/>
      <c r="B1025" s="24" t="n"/>
      <c r="C1025" s="40">
        <f>IF(B1025="","",IFERROR(INDEX(Mitarbeiter!$B$6:$B$205,MATCH(B1025,Mitarbeiter!$A$6:$A$205,0)),"?"))</f>
        <v/>
      </c>
      <c r="D1025" s="41" t="n"/>
      <c r="E1025" s="42" t="n"/>
      <c r="F1025" s="43" t="n"/>
      <c r="G1025" s="44">
        <f>IF(OR(B1025="",F1025=""),"",IFERROR(F1025*INDEX(Mitarbeiter!$F$6:$F$205,MATCH(B1025,Mitarbeiter!$A$6:$A$205,0)),0))</f>
        <v/>
      </c>
      <c r="H1025" s="8">
        <f>IF(B1025="","",IF(ISNA(MATCH(B1025,Mitarbeiter!$A$6:$A$205,0)),"Pers.-Nr. unbekannt",IF(A1025="","Datum fehlt",IF(AND(D1025&lt;&gt;Einstellungen!$C$4,D1025&lt;&gt;Einstellungen!$C$5),"Objekt fehlt",IF(YEAR(A1025)&lt;&gt;Einstellungen!$C$3,"anderes Jahr",IF(A1025&lt;INDEX(Mitarbeiter!$C$6:$C$205,MATCH(B1025,Mitarbeiter!$A$6:$A$205,0)),"vor Eintritt",IF(AND(INDEX(Mitarbeiter!$D$6:$D$205,MATCH(B1025,Mitarbeiter!$A$6:$A$205,0))&lt;&gt;"",A1025&gt;INDEX(Mitarbeiter!$D$6:$D$205,MATCH(B1025,Mitarbeiter!$A$6:$A$205,0))),"nach Austritt","ok")))))))</f>
        <v/>
      </c>
    </row>
    <row r="1026">
      <c r="A1026" s="26" t="n"/>
      <c r="B1026" s="24" t="n"/>
      <c r="C1026" s="40">
        <f>IF(B1026="","",IFERROR(INDEX(Mitarbeiter!$B$6:$B$205,MATCH(B1026,Mitarbeiter!$A$6:$A$205,0)),"?"))</f>
        <v/>
      </c>
      <c r="D1026" s="41" t="n"/>
      <c r="E1026" s="42" t="n"/>
      <c r="F1026" s="43" t="n"/>
      <c r="G1026" s="44">
        <f>IF(OR(B1026="",F1026=""),"",IFERROR(F1026*INDEX(Mitarbeiter!$F$6:$F$205,MATCH(B1026,Mitarbeiter!$A$6:$A$205,0)),0))</f>
        <v/>
      </c>
      <c r="H1026" s="8">
        <f>IF(B1026="","",IF(ISNA(MATCH(B1026,Mitarbeiter!$A$6:$A$205,0)),"Pers.-Nr. unbekannt",IF(A1026="","Datum fehlt",IF(AND(D1026&lt;&gt;Einstellungen!$C$4,D1026&lt;&gt;Einstellungen!$C$5),"Objekt fehlt",IF(YEAR(A1026)&lt;&gt;Einstellungen!$C$3,"anderes Jahr",IF(A1026&lt;INDEX(Mitarbeiter!$C$6:$C$205,MATCH(B1026,Mitarbeiter!$A$6:$A$205,0)),"vor Eintritt",IF(AND(INDEX(Mitarbeiter!$D$6:$D$205,MATCH(B1026,Mitarbeiter!$A$6:$A$205,0))&lt;&gt;"",A1026&gt;INDEX(Mitarbeiter!$D$6:$D$205,MATCH(B1026,Mitarbeiter!$A$6:$A$205,0))),"nach Austritt","ok")))))))</f>
        <v/>
      </c>
    </row>
    <row r="1027">
      <c r="A1027" s="26" t="n"/>
      <c r="B1027" s="24" t="n"/>
      <c r="C1027" s="40">
        <f>IF(B1027="","",IFERROR(INDEX(Mitarbeiter!$B$6:$B$205,MATCH(B1027,Mitarbeiter!$A$6:$A$205,0)),"?"))</f>
        <v/>
      </c>
      <c r="D1027" s="41" t="n"/>
      <c r="E1027" s="42" t="n"/>
      <c r="F1027" s="43" t="n"/>
      <c r="G1027" s="44">
        <f>IF(OR(B1027="",F1027=""),"",IFERROR(F1027*INDEX(Mitarbeiter!$F$6:$F$205,MATCH(B1027,Mitarbeiter!$A$6:$A$205,0)),0))</f>
        <v/>
      </c>
      <c r="H1027" s="8">
        <f>IF(B1027="","",IF(ISNA(MATCH(B1027,Mitarbeiter!$A$6:$A$205,0)),"Pers.-Nr. unbekannt",IF(A1027="","Datum fehlt",IF(AND(D1027&lt;&gt;Einstellungen!$C$4,D1027&lt;&gt;Einstellungen!$C$5),"Objekt fehlt",IF(YEAR(A1027)&lt;&gt;Einstellungen!$C$3,"anderes Jahr",IF(A1027&lt;INDEX(Mitarbeiter!$C$6:$C$205,MATCH(B1027,Mitarbeiter!$A$6:$A$205,0)),"vor Eintritt",IF(AND(INDEX(Mitarbeiter!$D$6:$D$205,MATCH(B1027,Mitarbeiter!$A$6:$A$205,0))&lt;&gt;"",A1027&gt;INDEX(Mitarbeiter!$D$6:$D$205,MATCH(B1027,Mitarbeiter!$A$6:$A$205,0))),"nach Austritt","ok")))))))</f>
        <v/>
      </c>
    </row>
    <row r="1028">
      <c r="A1028" s="26" t="n"/>
      <c r="B1028" s="24" t="n"/>
      <c r="C1028" s="40">
        <f>IF(B1028="","",IFERROR(INDEX(Mitarbeiter!$B$6:$B$205,MATCH(B1028,Mitarbeiter!$A$6:$A$205,0)),"?"))</f>
        <v/>
      </c>
      <c r="D1028" s="41" t="n"/>
      <c r="E1028" s="42" t="n"/>
      <c r="F1028" s="43" t="n"/>
      <c r="G1028" s="44">
        <f>IF(OR(B1028="",F1028=""),"",IFERROR(F1028*INDEX(Mitarbeiter!$F$6:$F$205,MATCH(B1028,Mitarbeiter!$A$6:$A$205,0)),0))</f>
        <v/>
      </c>
      <c r="H1028" s="8">
        <f>IF(B1028="","",IF(ISNA(MATCH(B1028,Mitarbeiter!$A$6:$A$205,0)),"Pers.-Nr. unbekannt",IF(A1028="","Datum fehlt",IF(AND(D1028&lt;&gt;Einstellungen!$C$4,D1028&lt;&gt;Einstellungen!$C$5),"Objekt fehlt",IF(YEAR(A1028)&lt;&gt;Einstellungen!$C$3,"anderes Jahr",IF(A1028&lt;INDEX(Mitarbeiter!$C$6:$C$205,MATCH(B1028,Mitarbeiter!$A$6:$A$205,0)),"vor Eintritt",IF(AND(INDEX(Mitarbeiter!$D$6:$D$205,MATCH(B1028,Mitarbeiter!$A$6:$A$205,0))&lt;&gt;"",A1028&gt;INDEX(Mitarbeiter!$D$6:$D$205,MATCH(B1028,Mitarbeiter!$A$6:$A$205,0))),"nach Austritt","ok")))))))</f>
        <v/>
      </c>
    </row>
    <row r="1029">
      <c r="A1029" s="26" t="n"/>
      <c r="B1029" s="24" t="n"/>
      <c r="C1029" s="40">
        <f>IF(B1029="","",IFERROR(INDEX(Mitarbeiter!$B$6:$B$205,MATCH(B1029,Mitarbeiter!$A$6:$A$205,0)),"?"))</f>
        <v/>
      </c>
      <c r="D1029" s="41" t="n"/>
      <c r="E1029" s="42" t="n"/>
      <c r="F1029" s="43" t="n"/>
      <c r="G1029" s="44">
        <f>IF(OR(B1029="",F1029=""),"",IFERROR(F1029*INDEX(Mitarbeiter!$F$6:$F$205,MATCH(B1029,Mitarbeiter!$A$6:$A$205,0)),0))</f>
        <v/>
      </c>
      <c r="H1029" s="8">
        <f>IF(B1029="","",IF(ISNA(MATCH(B1029,Mitarbeiter!$A$6:$A$205,0)),"Pers.-Nr. unbekannt",IF(A1029="","Datum fehlt",IF(AND(D1029&lt;&gt;Einstellungen!$C$4,D1029&lt;&gt;Einstellungen!$C$5),"Objekt fehlt",IF(YEAR(A1029)&lt;&gt;Einstellungen!$C$3,"anderes Jahr",IF(A1029&lt;INDEX(Mitarbeiter!$C$6:$C$205,MATCH(B1029,Mitarbeiter!$A$6:$A$205,0)),"vor Eintritt",IF(AND(INDEX(Mitarbeiter!$D$6:$D$205,MATCH(B1029,Mitarbeiter!$A$6:$A$205,0))&lt;&gt;"",A1029&gt;INDEX(Mitarbeiter!$D$6:$D$205,MATCH(B1029,Mitarbeiter!$A$6:$A$205,0))),"nach Austritt","ok")))))))</f>
        <v/>
      </c>
    </row>
    <row r="1030">
      <c r="A1030" s="26" t="n"/>
      <c r="B1030" s="24" t="n"/>
      <c r="C1030" s="40">
        <f>IF(B1030="","",IFERROR(INDEX(Mitarbeiter!$B$6:$B$205,MATCH(B1030,Mitarbeiter!$A$6:$A$205,0)),"?"))</f>
        <v/>
      </c>
      <c r="D1030" s="41" t="n"/>
      <c r="E1030" s="42" t="n"/>
      <c r="F1030" s="43" t="n"/>
      <c r="G1030" s="44">
        <f>IF(OR(B1030="",F1030=""),"",IFERROR(F1030*INDEX(Mitarbeiter!$F$6:$F$205,MATCH(B1030,Mitarbeiter!$A$6:$A$205,0)),0))</f>
        <v/>
      </c>
      <c r="H1030" s="8">
        <f>IF(B1030="","",IF(ISNA(MATCH(B1030,Mitarbeiter!$A$6:$A$205,0)),"Pers.-Nr. unbekannt",IF(A1030="","Datum fehlt",IF(AND(D1030&lt;&gt;Einstellungen!$C$4,D1030&lt;&gt;Einstellungen!$C$5),"Objekt fehlt",IF(YEAR(A1030)&lt;&gt;Einstellungen!$C$3,"anderes Jahr",IF(A1030&lt;INDEX(Mitarbeiter!$C$6:$C$205,MATCH(B1030,Mitarbeiter!$A$6:$A$205,0)),"vor Eintritt",IF(AND(INDEX(Mitarbeiter!$D$6:$D$205,MATCH(B1030,Mitarbeiter!$A$6:$A$205,0))&lt;&gt;"",A1030&gt;INDEX(Mitarbeiter!$D$6:$D$205,MATCH(B1030,Mitarbeiter!$A$6:$A$205,0))),"nach Austritt","ok")))))))</f>
        <v/>
      </c>
    </row>
    <row r="1031">
      <c r="A1031" s="26" t="n"/>
      <c r="B1031" s="24" t="n"/>
      <c r="C1031" s="40">
        <f>IF(B1031="","",IFERROR(INDEX(Mitarbeiter!$B$6:$B$205,MATCH(B1031,Mitarbeiter!$A$6:$A$205,0)),"?"))</f>
        <v/>
      </c>
      <c r="D1031" s="41" t="n"/>
      <c r="E1031" s="42" t="n"/>
      <c r="F1031" s="43" t="n"/>
      <c r="G1031" s="44">
        <f>IF(OR(B1031="",F1031=""),"",IFERROR(F1031*INDEX(Mitarbeiter!$F$6:$F$205,MATCH(B1031,Mitarbeiter!$A$6:$A$205,0)),0))</f>
        <v/>
      </c>
      <c r="H1031" s="8">
        <f>IF(B1031="","",IF(ISNA(MATCH(B1031,Mitarbeiter!$A$6:$A$205,0)),"Pers.-Nr. unbekannt",IF(A1031="","Datum fehlt",IF(AND(D1031&lt;&gt;Einstellungen!$C$4,D1031&lt;&gt;Einstellungen!$C$5),"Objekt fehlt",IF(YEAR(A1031)&lt;&gt;Einstellungen!$C$3,"anderes Jahr",IF(A1031&lt;INDEX(Mitarbeiter!$C$6:$C$205,MATCH(B1031,Mitarbeiter!$A$6:$A$205,0)),"vor Eintritt",IF(AND(INDEX(Mitarbeiter!$D$6:$D$205,MATCH(B1031,Mitarbeiter!$A$6:$A$205,0))&lt;&gt;"",A1031&gt;INDEX(Mitarbeiter!$D$6:$D$205,MATCH(B1031,Mitarbeiter!$A$6:$A$205,0))),"nach Austritt","ok")))))))</f>
        <v/>
      </c>
    </row>
    <row r="1032">
      <c r="A1032" s="26" t="n"/>
      <c r="B1032" s="24" t="n"/>
      <c r="C1032" s="40">
        <f>IF(B1032="","",IFERROR(INDEX(Mitarbeiter!$B$6:$B$205,MATCH(B1032,Mitarbeiter!$A$6:$A$205,0)),"?"))</f>
        <v/>
      </c>
      <c r="D1032" s="41" t="n"/>
      <c r="E1032" s="42" t="n"/>
      <c r="F1032" s="43" t="n"/>
      <c r="G1032" s="44">
        <f>IF(OR(B1032="",F1032=""),"",IFERROR(F1032*INDEX(Mitarbeiter!$F$6:$F$205,MATCH(B1032,Mitarbeiter!$A$6:$A$205,0)),0))</f>
        <v/>
      </c>
      <c r="H1032" s="8">
        <f>IF(B1032="","",IF(ISNA(MATCH(B1032,Mitarbeiter!$A$6:$A$205,0)),"Pers.-Nr. unbekannt",IF(A1032="","Datum fehlt",IF(AND(D1032&lt;&gt;Einstellungen!$C$4,D1032&lt;&gt;Einstellungen!$C$5),"Objekt fehlt",IF(YEAR(A1032)&lt;&gt;Einstellungen!$C$3,"anderes Jahr",IF(A1032&lt;INDEX(Mitarbeiter!$C$6:$C$205,MATCH(B1032,Mitarbeiter!$A$6:$A$205,0)),"vor Eintritt",IF(AND(INDEX(Mitarbeiter!$D$6:$D$205,MATCH(B1032,Mitarbeiter!$A$6:$A$205,0))&lt;&gt;"",A1032&gt;INDEX(Mitarbeiter!$D$6:$D$205,MATCH(B1032,Mitarbeiter!$A$6:$A$205,0))),"nach Austritt","ok")))))))</f>
        <v/>
      </c>
    </row>
    <row r="1033">
      <c r="A1033" s="26" t="n"/>
      <c r="B1033" s="24" t="n"/>
      <c r="C1033" s="40">
        <f>IF(B1033="","",IFERROR(INDEX(Mitarbeiter!$B$6:$B$205,MATCH(B1033,Mitarbeiter!$A$6:$A$205,0)),"?"))</f>
        <v/>
      </c>
      <c r="D1033" s="41" t="n"/>
      <c r="E1033" s="42" t="n"/>
      <c r="F1033" s="43" t="n"/>
      <c r="G1033" s="44">
        <f>IF(OR(B1033="",F1033=""),"",IFERROR(F1033*INDEX(Mitarbeiter!$F$6:$F$205,MATCH(B1033,Mitarbeiter!$A$6:$A$205,0)),0))</f>
        <v/>
      </c>
      <c r="H1033" s="8">
        <f>IF(B1033="","",IF(ISNA(MATCH(B1033,Mitarbeiter!$A$6:$A$205,0)),"Pers.-Nr. unbekannt",IF(A1033="","Datum fehlt",IF(AND(D1033&lt;&gt;Einstellungen!$C$4,D1033&lt;&gt;Einstellungen!$C$5),"Objekt fehlt",IF(YEAR(A1033)&lt;&gt;Einstellungen!$C$3,"anderes Jahr",IF(A1033&lt;INDEX(Mitarbeiter!$C$6:$C$205,MATCH(B1033,Mitarbeiter!$A$6:$A$205,0)),"vor Eintritt",IF(AND(INDEX(Mitarbeiter!$D$6:$D$205,MATCH(B1033,Mitarbeiter!$A$6:$A$205,0))&lt;&gt;"",A1033&gt;INDEX(Mitarbeiter!$D$6:$D$205,MATCH(B1033,Mitarbeiter!$A$6:$A$205,0))),"nach Austritt","ok")))))))</f>
        <v/>
      </c>
    </row>
    <row r="1034">
      <c r="A1034" s="26" t="n"/>
      <c r="B1034" s="24" t="n"/>
      <c r="C1034" s="40">
        <f>IF(B1034="","",IFERROR(INDEX(Mitarbeiter!$B$6:$B$205,MATCH(B1034,Mitarbeiter!$A$6:$A$205,0)),"?"))</f>
        <v/>
      </c>
      <c r="D1034" s="41" t="n"/>
      <c r="E1034" s="42" t="n"/>
      <c r="F1034" s="43" t="n"/>
      <c r="G1034" s="44">
        <f>IF(OR(B1034="",F1034=""),"",IFERROR(F1034*INDEX(Mitarbeiter!$F$6:$F$205,MATCH(B1034,Mitarbeiter!$A$6:$A$205,0)),0))</f>
        <v/>
      </c>
      <c r="H1034" s="8">
        <f>IF(B1034="","",IF(ISNA(MATCH(B1034,Mitarbeiter!$A$6:$A$205,0)),"Pers.-Nr. unbekannt",IF(A1034="","Datum fehlt",IF(AND(D1034&lt;&gt;Einstellungen!$C$4,D1034&lt;&gt;Einstellungen!$C$5),"Objekt fehlt",IF(YEAR(A1034)&lt;&gt;Einstellungen!$C$3,"anderes Jahr",IF(A1034&lt;INDEX(Mitarbeiter!$C$6:$C$205,MATCH(B1034,Mitarbeiter!$A$6:$A$205,0)),"vor Eintritt",IF(AND(INDEX(Mitarbeiter!$D$6:$D$205,MATCH(B1034,Mitarbeiter!$A$6:$A$205,0))&lt;&gt;"",A1034&gt;INDEX(Mitarbeiter!$D$6:$D$205,MATCH(B1034,Mitarbeiter!$A$6:$A$205,0))),"nach Austritt","ok")))))))</f>
        <v/>
      </c>
    </row>
    <row r="1035">
      <c r="A1035" s="26" t="n"/>
      <c r="B1035" s="24" t="n"/>
      <c r="C1035" s="40">
        <f>IF(B1035="","",IFERROR(INDEX(Mitarbeiter!$B$6:$B$205,MATCH(B1035,Mitarbeiter!$A$6:$A$205,0)),"?"))</f>
        <v/>
      </c>
      <c r="D1035" s="41" t="n"/>
      <c r="E1035" s="42" t="n"/>
      <c r="F1035" s="43" t="n"/>
      <c r="G1035" s="44">
        <f>IF(OR(B1035="",F1035=""),"",IFERROR(F1035*INDEX(Mitarbeiter!$F$6:$F$205,MATCH(B1035,Mitarbeiter!$A$6:$A$205,0)),0))</f>
        <v/>
      </c>
      <c r="H1035" s="8">
        <f>IF(B1035="","",IF(ISNA(MATCH(B1035,Mitarbeiter!$A$6:$A$205,0)),"Pers.-Nr. unbekannt",IF(A1035="","Datum fehlt",IF(AND(D1035&lt;&gt;Einstellungen!$C$4,D1035&lt;&gt;Einstellungen!$C$5),"Objekt fehlt",IF(YEAR(A1035)&lt;&gt;Einstellungen!$C$3,"anderes Jahr",IF(A1035&lt;INDEX(Mitarbeiter!$C$6:$C$205,MATCH(B1035,Mitarbeiter!$A$6:$A$205,0)),"vor Eintritt",IF(AND(INDEX(Mitarbeiter!$D$6:$D$205,MATCH(B1035,Mitarbeiter!$A$6:$A$205,0))&lt;&gt;"",A1035&gt;INDEX(Mitarbeiter!$D$6:$D$205,MATCH(B1035,Mitarbeiter!$A$6:$A$205,0))),"nach Austritt","ok")))))))</f>
        <v/>
      </c>
    </row>
    <row r="1036">
      <c r="A1036" s="26" t="n"/>
      <c r="B1036" s="24" t="n"/>
      <c r="C1036" s="40">
        <f>IF(B1036="","",IFERROR(INDEX(Mitarbeiter!$B$6:$B$205,MATCH(B1036,Mitarbeiter!$A$6:$A$205,0)),"?"))</f>
        <v/>
      </c>
      <c r="D1036" s="41" t="n"/>
      <c r="E1036" s="42" t="n"/>
      <c r="F1036" s="43" t="n"/>
      <c r="G1036" s="44">
        <f>IF(OR(B1036="",F1036=""),"",IFERROR(F1036*INDEX(Mitarbeiter!$F$6:$F$205,MATCH(B1036,Mitarbeiter!$A$6:$A$205,0)),0))</f>
        <v/>
      </c>
      <c r="H1036" s="8">
        <f>IF(B1036="","",IF(ISNA(MATCH(B1036,Mitarbeiter!$A$6:$A$205,0)),"Pers.-Nr. unbekannt",IF(A1036="","Datum fehlt",IF(AND(D1036&lt;&gt;Einstellungen!$C$4,D1036&lt;&gt;Einstellungen!$C$5),"Objekt fehlt",IF(YEAR(A1036)&lt;&gt;Einstellungen!$C$3,"anderes Jahr",IF(A1036&lt;INDEX(Mitarbeiter!$C$6:$C$205,MATCH(B1036,Mitarbeiter!$A$6:$A$205,0)),"vor Eintritt",IF(AND(INDEX(Mitarbeiter!$D$6:$D$205,MATCH(B1036,Mitarbeiter!$A$6:$A$205,0))&lt;&gt;"",A1036&gt;INDEX(Mitarbeiter!$D$6:$D$205,MATCH(B1036,Mitarbeiter!$A$6:$A$205,0))),"nach Austritt","ok")))))))</f>
        <v/>
      </c>
    </row>
    <row r="1037">
      <c r="A1037" s="26" t="n"/>
      <c r="B1037" s="24" t="n"/>
      <c r="C1037" s="40">
        <f>IF(B1037="","",IFERROR(INDEX(Mitarbeiter!$B$6:$B$205,MATCH(B1037,Mitarbeiter!$A$6:$A$205,0)),"?"))</f>
        <v/>
      </c>
      <c r="D1037" s="41" t="n"/>
      <c r="E1037" s="42" t="n"/>
      <c r="F1037" s="43" t="n"/>
      <c r="G1037" s="44">
        <f>IF(OR(B1037="",F1037=""),"",IFERROR(F1037*INDEX(Mitarbeiter!$F$6:$F$205,MATCH(B1037,Mitarbeiter!$A$6:$A$205,0)),0))</f>
        <v/>
      </c>
      <c r="H1037" s="8">
        <f>IF(B1037="","",IF(ISNA(MATCH(B1037,Mitarbeiter!$A$6:$A$205,0)),"Pers.-Nr. unbekannt",IF(A1037="","Datum fehlt",IF(AND(D1037&lt;&gt;Einstellungen!$C$4,D1037&lt;&gt;Einstellungen!$C$5),"Objekt fehlt",IF(YEAR(A1037)&lt;&gt;Einstellungen!$C$3,"anderes Jahr",IF(A1037&lt;INDEX(Mitarbeiter!$C$6:$C$205,MATCH(B1037,Mitarbeiter!$A$6:$A$205,0)),"vor Eintritt",IF(AND(INDEX(Mitarbeiter!$D$6:$D$205,MATCH(B1037,Mitarbeiter!$A$6:$A$205,0))&lt;&gt;"",A1037&gt;INDEX(Mitarbeiter!$D$6:$D$205,MATCH(B1037,Mitarbeiter!$A$6:$A$205,0))),"nach Austritt","ok")))))))</f>
        <v/>
      </c>
    </row>
    <row r="1038">
      <c r="A1038" s="26" t="n"/>
      <c r="B1038" s="24" t="n"/>
      <c r="C1038" s="40">
        <f>IF(B1038="","",IFERROR(INDEX(Mitarbeiter!$B$6:$B$205,MATCH(B1038,Mitarbeiter!$A$6:$A$205,0)),"?"))</f>
        <v/>
      </c>
      <c r="D1038" s="41" t="n"/>
      <c r="E1038" s="42" t="n"/>
      <c r="F1038" s="43" t="n"/>
      <c r="G1038" s="44">
        <f>IF(OR(B1038="",F1038=""),"",IFERROR(F1038*INDEX(Mitarbeiter!$F$6:$F$205,MATCH(B1038,Mitarbeiter!$A$6:$A$205,0)),0))</f>
        <v/>
      </c>
      <c r="H1038" s="8">
        <f>IF(B1038="","",IF(ISNA(MATCH(B1038,Mitarbeiter!$A$6:$A$205,0)),"Pers.-Nr. unbekannt",IF(A1038="","Datum fehlt",IF(AND(D1038&lt;&gt;Einstellungen!$C$4,D1038&lt;&gt;Einstellungen!$C$5),"Objekt fehlt",IF(YEAR(A1038)&lt;&gt;Einstellungen!$C$3,"anderes Jahr",IF(A1038&lt;INDEX(Mitarbeiter!$C$6:$C$205,MATCH(B1038,Mitarbeiter!$A$6:$A$205,0)),"vor Eintritt",IF(AND(INDEX(Mitarbeiter!$D$6:$D$205,MATCH(B1038,Mitarbeiter!$A$6:$A$205,0))&lt;&gt;"",A1038&gt;INDEX(Mitarbeiter!$D$6:$D$205,MATCH(B1038,Mitarbeiter!$A$6:$A$205,0))),"nach Austritt","ok")))))))</f>
        <v/>
      </c>
    </row>
    <row r="1039">
      <c r="A1039" s="26" t="n"/>
      <c r="B1039" s="24" t="n"/>
      <c r="C1039" s="40">
        <f>IF(B1039="","",IFERROR(INDEX(Mitarbeiter!$B$6:$B$205,MATCH(B1039,Mitarbeiter!$A$6:$A$205,0)),"?"))</f>
        <v/>
      </c>
      <c r="D1039" s="41" t="n"/>
      <c r="E1039" s="42" t="n"/>
      <c r="F1039" s="43" t="n"/>
      <c r="G1039" s="44">
        <f>IF(OR(B1039="",F1039=""),"",IFERROR(F1039*INDEX(Mitarbeiter!$F$6:$F$205,MATCH(B1039,Mitarbeiter!$A$6:$A$205,0)),0))</f>
        <v/>
      </c>
      <c r="H1039" s="8">
        <f>IF(B1039="","",IF(ISNA(MATCH(B1039,Mitarbeiter!$A$6:$A$205,0)),"Pers.-Nr. unbekannt",IF(A1039="","Datum fehlt",IF(AND(D1039&lt;&gt;Einstellungen!$C$4,D1039&lt;&gt;Einstellungen!$C$5),"Objekt fehlt",IF(YEAR(A1039)&lt;&gt;Einstellungen!$C$3,"anderes Jahr",IF(A1039&lt;INDEX(Mitarbeiter!$C$6:$C$205,MATCH(B1039,Mitarbeiter!$A$6:$A$205,0)),"vor Eintritt",IF(AND(INDEX(Mitarbeiter!$D$6:$D$205,MATCH(B1039,Mitarbeiter!$A$6:$A$205,0))&lt;&gt;"",A1039&gt;INDEX(Mitarbeiter!$D$6:$D$205,MATCH(B1039,Mitarbeiter!$A$6:$A$205,0))),"nach Austritt","ok")))))))</f>
        <v/>
      </c>
    </row>
    <row r="1040">
      <c r="A1040" s="26" t="n"/>
      <c r="B1040" s="24" t="n"/>
      <c r="C1040" s="40">
        <f>IF(B1040="","",IFERROR(INDEX(Mitarbeiter!$B$6:$B$205,MATCH(B1040,Mitarbeiter!$A$6:$A$205,0)),"?"))</f>
        <v/>
      </c>
      <c r="D1040" s="41" t="n"/>
      <c r="E1040" s="42" t="n"/>
      <c r="F1040" s="43" t="n"/>
      <c r="G1040" s="44">
        <f>IF(OR(B1040="",F1040=""),"",IFERROR(F1040*INDEX(Mitarbeiter!$F$6:$F$205,MATCH(B1040,Mitarbeiter!$A$6:$A$205,0)),0))</f>
        <v/>
      </c>
      <c r="H1040" s="8">
        <f>IF(B1040="","",IF(ISNA(MATCH(B1040,Mitarbeiter!$A$6:$A$205,0)),"Pers.-Nr. unbekannt",IF(A1040="","Datum fehlt",IF(AND(D1040&lt;&gt;Einstellungen!$C$4,D1040&lt;&gt;Einstellungen!$C$5),"Objekt fehlt",IF(YEAR(A1040)&lt;&gt;Einstellungen!$C$3,"anderes Jahr",IF(A1040&lt;INDEX(Mitarbeiter!$C$6:$C$205,MATCH(B1040,Mitarbeiter!$A$6:$A$205,0)),"vor Eintritt",IF(AND(INDEX(Mitarbeiter!$D$6:$D$205,MATCH(B1040,Mitarbeiter!$A$6:$A$205,0))&lt;&gt;"",A1040&gt;INDEX(Mitarbeiter!$D$6:$D$205,MATCH(B1040,Mitarbeiter!$A$6:$A$205,0))),"nach Austritt","ok")))))))</f>
        <v/>
      </c>
    </row>
    <row r="1041">
      <c r="A1041" s="26" t="n"/>
      <c r="B1041" s="24" t="n"/>
      <c r="C1041" s="40">
        <f>IF(B1041="","",IFERROR(INDEX(Mitarbeiter!$B$6:$B$205,MATCH(B1041,Mitarbeiter!$A$6:$A$205,0)),"?"))</f>
        <v/>
      </c>
      <c r="D1041" s="41" t="n"/>
      <c r="E1041" s="42" t="n"/>
      <c r="F1041" s="43" t="n"/>
      <c r="G1041" s="44">
        <f>IF(OR(B1041="",F1041=""),"",IFERROR(F1041*INDEX(Mitarbeiter!$F$6:$F$205,MATCH(B1041,Mitarbeiter!$A$6:$A$205,0)),0))</f>
        <v/>
      </c>
      <c r="H1041" s="8">
        <f>IF(B1041="","",IF(ISNA(MATCH(B1041,Mitarbeiter!$A$6:$A$205,0)),"Pers.-Nr. unbekannt",IF(A1041="","Datum fehlt",IF(AND(D1041&lt;&gt;Einstellungen!$C$4,D1041&lt;&gt;Einstellungen!$C$5),"Objekt fehlt",IF(YEAR(A1041)&lt;&gt;Einstellungen!$C$3,"anderes Jahr",IF(A1041&lt;INDEX(Mitarbeiter!$C$6:$C$205,MATCH(B1041,Mitarbeiter!$A$6:$A$205,0)),"vor Eintritt",IF(AND(INDEX(Mitarbeiter!$D$6:$D$205,MATCH(B1041,Mitarbeiter!$A$6:$A$205,0))&lt;&gt;"",A1041&gt;INDEX(Mitarbeiter!$D$6:$D$205,MATCH(B1041,Mitarbeiter!$A$6:$A$205,0))),"nach Austritt","ok")))))))</f>
        <v/>
      </c>
    </row>
    <row r="1042">
      <c r="A1042" s="26" t="n"/>
      <c r="B1042" s="24" t="n"/>
      <c r="C1042" s="40">
        <f>IF(B1042="","",IFERROR(INDEX(Mitarbeiter!$B$6:$B$205,MATCH(B1042,Mitarbeiter!$A$6:$A$205,0)),"?"))</f>
        <v/>
      </c>
      <c r="D1042" s="41" t="n"/>
      <c r="E1042" s="42" t="n"/>
      <c r="F1042" s="43" t="n"/>
      <c r="G1042" s="44">
        <f>IF(OR(B1042="",F1042=""),"",IFERROR(F1042*INDEX(Mitarbeiter!$F$6:$F$205,MATCH(B1042,Mitarbeiter!$A$6:$A$205,0)),0))</f>
        <v/>
      </c>
      <c r="H1042" s="8">
        <f>IF(B1042="","",IF(ISNA(MATCH(B1042,Mitarbeiter!$A$6:$A$205,0)),"Pers.-Nr. unbekannt",IF(A1042="","Datum fehlt",IF(AND(D1042&lt;&gt;Einstellungen!$C$4,D1042&lt;&gt;Einstellungen!$C$5),"Objekt fehlt",IF(YEAR(A1042)&lt;&gt;Einstellungen!$C$3,"anderes Jahr",IF(A1042&lt;INDEX(Mitarbeiter!$C$6:$C$205,MATCH(B1042,Mitarbeiter!$A$6:$A$205,0)),"vor Eintritt",IF(AND(INDEX(Mitarbeiter!$D$6:$D$205,MATCH(B1042,Mitarbeiter!$A$6:$A$205,0))&lt;&gt;"",A1042&gt;INDEX(Mitarbeiter!$D$6:$D$205,MATCH(B1042,Mitarbeiter!$A$6:$A$205,0))),"nach Austritt","ok")))))))</f>
        <v/>
      </c>
    </row>
    <row r="1043">
      <c r="A1043" s="26" t="n"/>
      <c r="B1043" s="24" t="n"/>
      <c r="C1043" s="40">
        <f>IF(B1043="","",IFERROR(INDEX(Mitarbeiter!$B$6:$B$205,MATCH(B1043,Mitarbeiter!$A$6:$A$205,0)),"?"))</f>
        <v/>
      </c>
      <c r="D1043" s="41" t="n"/>
      <c r="E1043" s="42" t="n"/>
      <c r="F1043" s="43" t="n"/>
      <c r="G1043" s="44">
        <f>IF(OR(B1043="",F1043=""),"",IFERROR(F1043*INDEX(Mitarbeiter!$F$6:$F$205,MATCH(B1043,Mitarbeiter!$A$6:$A$205,0)),0))</f>
        <v/>
      </c>
      <c r="H1043" s="8">
        <f>IF(B1043="","",IF(ISNA(MATCH(B1043,Mitarbeiter!$A$6:$A$205,0)),"Pers.-Nr. unbekannt",IF(A1043="","Datum fehlt",IF(AND(D1043&lt;&gt;Einstellungen!$C$4,D1043&lt;&gt;Einstellungen!$C$5),"Objekt fehlt",IF(YEAR(A1043)&lt;&gt;Einstellungen!$C$3,"anderes Jahr",IF(A1043&lt;INDEX(Mitarbeiter!$C$6:$C$205,MATCH(B1043,Mitarbeiter!$A$6:$A$205,0)),"vor Eintritt",IF(AND(INDEX(Mitarbeiter!$D$6:$D$205,MATCH(B1043,Mitarbeiter!$A$6:$A$205,0))&lt;&gt;"",A1043&gt;INDEX(Mitarbeiter!$D$6:$D$205,MATCH(B1043,Mitarbeiter!$A$6:$A$205,0))),"nach Austritt","ok")))))))</f>
        <v/>
      </c>
    </row>
    <row r="1044">
      <c r="A1044" s="26" t="n"/>
      <c r="B1044" s="24" t="n"/>
      <c r="C1044" s="40">
        <f>IF(B1044="","",IFERROR(INDEX(Mitarbeiter!$B$6:$B$205,MATCH(B1044,Mitarbeiter!$A$6:$A$205,0)),"?"))</f>
        <v/>
      </c>
      <c r="D1044" s="41" t="n"/>
      <c r="E1044" s="42" t="n"/>
      <c r="F1044" s="43" t="n"/>
      <c r="G1044" s="44">
        <f>IF(OR(B1044="",F1044=""),"",IFERROR(F1044*INDEX(Mitarbeiter!$F$6:$F$205,MATCH(B1044,Mitarbeiter!$A$6:$A$205,0)),0))</f>
        <v/>
      </c>
      <c r="H1044" s="8">
        <f>IF(B1044="","",IF(ISNA(MATCH(B1044,Mitarbeiter!$A$6:$A$205,0)),"Pers.-Nr. unbekannt",IF(A1044="","Datum fehlt",IF(AND(D1044&lt;&gt;Einstellungen!$C$4,D1044&lt;&gt;Einstellungen!$C$5),"Objekt fehlt",IF(YEAR(A1044)&lt;&gt;Einstellungen!$C$3,"anderes Jahr",IF(A1044&lt;INDEX(Mitarbeiter!$C$6:$C$205,MATCH(B1044,Mitarbeiter!$A$6:$A$205,0)),"vor Eintritt",IF(AND(INDEX(Mitarbeiter!$D$6:$D$205,MATCH(B1044,Mitarbeiter!$A$6:$A$205,0))&lt;&gt;"",A1044&gt;INDEX(Mitarbeiter!$D$6:$D$205,MATCH(B1044,Mitarbeiter!$A$6:$A$205,0))),"nach Austritt","ok")))))))</f>
        <v/>
      </c>
    </row>
    <row r="1045">
      <c r="A1045" s="26" t="n"/>
      <c r="B1045" s="24" t="n"/>
      <c r="C1045" s="40">
        <f>IF(B1045="","",IFERROR(INDEX(Mitarbeiter!$B$6:$B$205,MATCH(B1045,Mitarbeiter!$A$6:$A$205,0)),"?"))</f>
        <v/>
      </c>
      <c r="D1045" s="41" t="n"/>
      <c r="E1045" s="42" t="n"/>
      <c r="F1045" s="43" t="n"/>
      <c r="G1045" s="44">
        <f>IF(OR(B1045="",F1045=""),"",IFERROR(F1045*INDEX(Mitarbeiter!$F$6:$F$205,MATCH(B1045,Mitarbeiter!$A$6:$A$205,0)),0))</f>
        <v/>
      </c>
      <c r="H1045" s="8">
        <f>IF(B1045="","",IF(ISNA(MATCH(B1045,Mitarbeiter!$A$6:$A$205,0)),"Pers.-Nr. unbekannt",IF(A1045="","Datum fehlt",IF(AND(D1045&lt;&gt;Einstellungen!$C$4,D1045&lt;&gt;Einstellungen!$C$5),"Objekt fehlt",IF(YEAR(A1045)&lt;&gt;Einstellungen!$C$3,"anderes Jahr",IF(A1045&lt;INDEX(Mitarbeiter!$C$6:$C$205,MATCH(B1045,Mitarbeiter!$A$6:$A$205,0)),"vor Eintritt",IF(AND(INDEX(Mitarbeiter!$D$6:$D$205,MATCH(B1045,Mitarbeiter!$A$6:$A$205,0))&lt;&gt;"",A1045&gt;INDEX(Mitarbeiter!$D$6:$D$205,MATCH(B1045,Mitarbeiter!$A$6:$A$205,0))),"nach Austritt","ok")))))))</f>
        <v/>
      </c>
    </row>
    <row r="1046">
      <c r="A1046" s="26" t="n"/>
      <c r="B1046" s="24" t="n"/>
      <c r="C1046" s="40">
        <f>IF(B1046="","",IFERROR(INDEX(Mitarbeiter!$B$6:$B$205,MATCH(B1046,Mitarbeiter!$A$6:$A$205,0)),"?"))</f>
        <v/>
      </c>
      <c r="D1046" s="41" t="n"/>
      <c r="E1046" s="42" t="n"/>
      <c r="F1046" s="43" t="n"/>
      <c r="G1046" s="44">
        <f>IF(OR(B1046="",F1046=""),"",IFERROR(F1046*INDEX(Mitarbeiter!$F$6:$F$205,MATCH(B1046,Mitarbeiter!$A$6:$A$205,0)),0))</f>
        <v/>
      </c>
      <c r="H1046" s="8">
        <f>IF(B1046="","",IF(ISNA(MATCH(B1046,Mitarbeiter!$A$6:$A$205,0)),"Pers.-Nr. unbekannt",IF(A1046="","Datum fehlt",IF(AND(D1046&lt;&gt;Einstellungen!$C$4,D1046&lt;&gt;Einstellungen!$C$5),"Objekt fehlt",IF(YEAR(A1046)&lt;&gt;Einstellungen!$C$3,"anderes Jahr",IF(A1046&lt;INDEX(Mitarbeiter!$C$6:$C$205,MATCH(B1046,Mitarbeiter!$A$6:$A$205,0)),"vor Eintritt",IF(AND(INDEX(Mitarbeiter!$D$6:$D$205,MATCH(B1046,Mitarbeiter!$A$6:$A$205,0))&lt;&gt;"",A1046&gt;INDEX(Mitarbeiter!$D$6:$D$205,MATCH(B1046,Mitarbeiter!$A$6:$A$205,0))),"nach Austritt","ok")))))))</f>
        <v/>
      </c>
    </row>
    <row r="1047">
      <c r="A1047" s="26" t="n"/>
      <c r="B1047" s="24" t="n"/>
      <c r="C1047" s="40">
        <f>IF(B1047="","",IFERROR(INDEX(Mitarbeiter!$B$6:$B$205,MATCH(B1047,Mitarbeiter!$A$6:$A$205,0)),"?"))</f>
        <v/>
      </c>
      <c r="D1047" s="41" t="n"/>
      <c r="E1047" s="42" t="n"/>
      <c r="F1047" s="43" t="n"/>
      <c r="G1047" s="44">
        <f>IF(OR(B1047="",F1047=""),"",IFERROR(F1047*INDEX(Mitarbeiter!$F$6:$F$205,MATCH(B1047,Mitarbeiter!$A$6:$A$205,0)),0))</f>
        <v/>
      </c>
      <c r="H1047" s="8">
        <f>IF(B1047="","",IF(ISNA(MATCH(B1047,Mitarbeiter!$A$6:$A$205,0)),"Pers.-Nr. unbekannt",IF(A1047="","Datum fehlt",IF(AND(D1047&lt;&gt;Einstellungen!$C$4,D1047&lt;&gt;Einstellungen!$C$5),"Objekt fehlt",IF(YEAR(A1047)&lt;&gt;Einstellungen!$C$3,"anderes Jahr",IF(A1047&lt;INDEX(Mitarbeiter!$C$6:$C$205,MATCH(B1047,Mitarbeiter!$A$6:$A$205,0)),"vor Eintritt",IF(AND(INDEX(Mitarbeiter!$D$6:$D$205,MATCH(B1047,Mitarbeiter!$A$6:$A$205,0))&lt;&gt;"",A1047&gt;INDEX(Mitarbeiter!$D$6:$D$205,MATCH(B1047,Mitarbeiter!$A$6:$A$205,0))),"nach Austritt","ok")))))))</f>
        <v/>
      </c>
    </row>
    <row r="1048">
      <c r="A1048" s="26" t="n"/>
      <c r="B1048" s="24" t="n"/>
      <c r="C1048" s="40">
        <f>IF(B1048="","",IFERROR(INDEX(Mitarbeiter!$B$6:$B$205,MATCH(B1048,Mitarbeiter!$A$6:$A$205,0)),"?"))</f>
        <v/>
      </c>
      <c r="D1048" s="41" t="n"/>
      <c r="E1048" s="42" t="n"/>
      <c r="F1048" s="43" t="n"/>
      <c r="G1048" s="44">
        <f>IF(OR(B1048="",F1048=""),"",IFERROR(F1048*INDEX(Mitarbeiter!$F$6:$F$205,MATCH(B1048,Mitarbeiter!$A$6:$A$205,0)),0))</f>
        <v/>
      </c>
      <c r="H1048" s="8">
        <f>IF(B1048="","",IF(ISNA(MATCH(B1048,Mitarbeiter!$A$6:$A$205,0)),"Pers.-Nr. unbekannt",IF(A1048="","Datum fehlt",IF(AND(D1048&lt;&gt;Einstellungen!$C$4,D1048&lt;&gt;Einstellungen!$C$5),"Objekt fehlt",IF(YEAR(A1048)&lt;&gt;Einstellungen!$C$3,"anderes Jahr",IF(A1048&lt;INDEX(Mitarbeiter!$C$6:$C$205,MATCH(B1048,Mitarbeiter!$A$6:$A$205,0)),"vor Eintritt",IF(AND(INDEX(Mitarbeiter!$D$6:$D$205,MATCH(B1048,Mitarbeiter!$A$6:$A$205,0))&lt;&gt;"",A1048&gt;INDEX(Mitarbeiter!$D$6:$D$205,MATCH(B1048,Mitarbeiter!$A$6:$A$205,0))),"nach Austritt","ok")))))))</f>
        <v/>
      </c>
    </row>
    <row r="1049">
      <c r="A1049" s="26" t="n"/>
      <c r="B1049" s="24" t="n"/>
      <c r="C1049" s="40">
        <f>IF(B1049="","",IFERROR(INDEX(Mitarbeiter!$B$6:$B$205,MATCH(B1049,Mitarbeiter!$A$6:$A$205,0)),"?"))</f>
        <v/>
      </c>
      <c r="D1049" s="41" t="n"/>
      <c r="E1049" s="42" t="n"/>
      <c r="F1049" s="43" t="n"/>
      <c r="G1049" s="44">
        <f>IF(OR(B1049="",F1049=""),"",IFERROR(F1049*INDEX(Mitarbeiter!$F$6:$F$205,MATCH(B1049,Mitarbeiter!$A$6:$A$205,0)),0))</f>
        <v/>
      </c>
      <c r="H1049" s="8">
        <f>IF(B1049="","",IF(ISNA(MATCH(B1049,Mitarbeiter!$A$6:$A$205,0)),"Pers.-Nr. unbekannt",IF(A1049="","Datum fehlt",IF(AND(D1049&lt;&gt;Einstellungen!$C$4,D1049&lt;&gt;Einstellungen!$C$5),"Objekt fehlt",IF(YEAR(A1049)&lt;&gt;Einstellungen!$C$3,"anderes Jahr",IF(A1049&lt;INDEX(Mitarbeiter!$C$6:$C$205,MATCH(B1049,Mitarbeiter!$A$6:$A$205,0)),"vor Eintritt",IF(AND(INDEX(Mitarbeiter!$D$6:$D$205,MATCH(B1049,Mitarbeiter!$A$6:$A$205,0))&lt;&gt;"",A1049&gt;INDEX(Mitarbeiter!$D$6:$D$205,MATCH(B1049,Mitarbeiter!$A$6:$A$205,0))),"nach Austritt","ok")))))))</f>
        <v/>
      </c>
    </row>
    <row r="1050">
      <c r="A1050" s="26" t="n"/>
      <c r="B1050" s="24" t="n"/>
      <c r="C1050" s="40">
        <f>IF(B1050="","",IFERROR(INDEX(Mitarbeiter!$B$6:$B$205,MATCH(B1050,Mitarbeiter!$A$6:$A$205,0)),"?"))</f>
        <v/>
      </c>
      <c r="D1050" s="41" t="n"/>
      <c r="E1050" s="42" t="n"/>
      <c r="F1050" s="43" t="n"/>
      <c r="G1050" s="44">
        <f>IF(OR(B1050="",F1050=""),"",IFERROR(F1050*INDEX(Mitarbeiter!$F$6:$F$205,MATCH(B1050,Mitarbeiter!$A$6:$A$205,0)),0))</f>
        <v/>
      </c>
      <c r="H1050" s="8">
        <f>IF(B1050="","",IF(ISNA(MATCH(B1050,Mitarbeiter!$A$6:$A$205,0)),"Pers.-Nr. unbekannt",IF(A1050="","Datum fehlt",IF(AND(D1050&lt;&gt;Einstellungen!$C$4,D1050&lt;&gt;Einstellungen!$C$5),"Objekt fehlt",IF(YEAR(A1050)&lt;&gt;Einstellungen!$C$3,"anderes Jahr",IF(A1050&lt;INDEX(Mitarbeiter!$C$6:$C$205,MATCH(B1050,Mitarbeiter!$A$6:$A$205,0)),"vor Eintritt",IF(AND(INDEX(Mitarbeiter!$D$6:$D$205,MATCH(B1050,Mitarbeiter!$A$6:$A$205,0))&lt;&gt;"",A1050&gt;INDEX(Mitarbeiter!$D$6:$D$205,MATCH(B1050,Mitarbeiter!$A$6:$A$205,0))),"nach Austritt","ok")))))))</f>
        <v/>
      </c>
    </row>
    <row r="1051">
      <c r="A1051" s="26" t="n"/>
      <c r="B1051" s="24" t="n"/>
      <c r="C1051" s="40">
        <f>IF(B1051="","",IFERROR(INDEX(Mitarbeiter!$B$6:$B$205,MATCH(B1051,Mitarbeiter!$A$6:$A$205,0)),"?"))</f>
        <v/>
      </c>
      <c r="D1051" s="41" t="n"/>
      <c r="E1051" s="42" t="n"/>
      <c r="F1051" s="43" t="n"/>
      <c r="G1051" s="44">
        <f>IF(OR(B1051="",F1051=""),"",IFERROR(F1051*INDEX(Mitarbeiter!$F$6:$F$205,MATCH(B1051,Mitarbeiter!$A$6:$A$205,0)),0))</f>
        <v/>
      </c>
      <c r="H1051" s="8">
        <f>IF(B1051="","",IF(ISNA(MATCH(B1051,Mitarbeiter!$A$6:$A$205,0)),"Pers.-Nr. unbekannt",IF(A1051="","Datum fehlt",IF(AND(D1051&lt;&gt;Einstellungen!$C$4,D1051&lt;&gt;Einstellungen!$C$5),"Objekt fehlt",IF(YEAR(A1051)&lt;&gt;Einstellungen!$C$3,"anderes Jahr",IF(A1051&lt;INDEX(Mitarbeiter!$C$6:$C$205,MATCH(B1051,Mitarbeiter!$A$6:$A$205,0)),"vor Eintritt",IF(AND(INDEX(Mitarbeiter!$D$6:$D$205,MATCH(B1051,Mitarbeiter!$A$6:$A$205,0))&lt;&gt;"",A1051&gt;INDEX(Mitarbeiter!$D$6:$D$205,MATCH(B1051,Mitarbeiter!$A$6:$A$205,0))),"nach Austritt","ok")))))))</f>
        <v/>
      </c>
    </row>
    <row r="1052">
      <c r="A1052" s="26" t="n"/>
      <c r="B1052" s="24" t="n"/>
      <c r="C1052" s="40">
        <f>IF(B1052="","",IFERROR(INDEX(Mitarbeiter!$B$6:$B$205,MATCH(B1052,Mitarbeiter!$A$6:$A$205,0)),"?"))</f>
        <v/>
      </c>
      <c r="D1052" s="41" t="n"/>
      <c r="E1052" s="42" t="n"/>
      <c r="F1052" s="43" t="n"/>
      <c r="G1052" s="44">
        <f>IF(OR(B1052="",F1052=""),"",IFERROR(F1052*INDEX(Mitarbeiter!$F$6:$F$205,MATCH(B1052,Mitarbeiter!$A$6:$A$205,0)),0))</f>
        <v/>
      </c>
      <c r="H1052" s="8">
        <f>IF(B1052="","",IF(ISNA(MATCH(B1052,Mitarbeiter!$A$6:$A$205,0)),"Pers.-Nr. unbekannt",IF(A1052="","Datum fehlt",IF(AND(D1052&lt;&gt;Einstellungen!$C$4,D1052&lt;&gt;Einstellungen!$C$5),"Objekt fehlt",IF(YEAR(A1052)&lt;&gt;Einstellungen!$C$3,"anderes Jahr",IF(A1052&lt;INDEX(Mitarbeiter!$C$6:$C$205,MATCH(B1052,Mitarbeiter!$A$6:$A$205,0)),"vor Eintritt",IF(AND(INDEX(Mitarbeiter!$D$6:$D$205,MATCH(B1052,Mitarbeiter!$A$6:$A$205,0))&lt;&gt;"",A1052&gt;INDEX(Mitarbeiter!$D$6:$D$205,MATCH(B1052,Mitarbeiter!$A$6:$A$205,0))),"nach Austritt","ok")))))))</f>
        <v/>
      </c>
    </row>
    <row r="1053">
      <c r="A1053" s="26" t="n"/>
      <c r="B1053" s="24" t="n"/>
      <c r="C1053" s="40">
        <f>IF(B1053="","",IFERROR(INDEX(Mitarbeiter!$B$6:$B$205,MATCH(B1053,Mitarbeiter!$A$6:$A$205,0)),"?"))</f>
        <v/>
      </c>
      <c r="D1053" s="41" t="n"/>
      <c r="E1053" s="42" t="n"/>
      <c r="F1053" s="43" t="n"/>
      <c r="G1053" s="44">
        <f>IF(OR(B1053="",F1053=""),"",IFERROR(F1053*INDEX(Mitarbeiter!$F$6:$F$205,MATCH(B1053,Mitarbeiter!$A$6:$A$205,0)),0))</f>
        <v/>
      </c>
      <c r="H1053" s="8">
        <f>IF(B1053="","",IF(ISNA(MATCH(B1053,Mitarbeiter!$A$6:$A$205,0)),"Pers.-Nr. unbekannt",IF(A1053="","Datum fehlt",IF(AND(D1053&lt;&gt;Einstellungen!$C$4,D1053&lt;&gt;Einstellungen!$C$5),"Objekt fehlt",IF(YEAR(A1053)&lt;&gt;Einstellungen!$C$3,"anderes Jahr",IF(A1053&lt;INDEX(Mitarbeiter!$C$6:$C$205,MATCH(B1053,Mitarbeiter!$A$6:$A$205,0)),"vor Eintritt",IF(AND(INDEX(Mitarbeiter!$D$6:$D$205,MATCH(B1053,Mitarbeiter!$A$6:$A$205,0))&lt;&gt;"",A1053&gt;INDEX(Mitarbeiter!$D$6:$D$205,MATCH(B1053,Mitarbeiter!$A$6:$A$205,0))),"nach Austritt","ok")))))))</f>
        <v/>
      </c>
    </row>
    <row r="1054">
      <c r="A1054" s="26" t="n"/>
      <c r="B1054" s="24" t="n"/>
      <c r="C1054" s="40">
        <f>IF(B1054="","",IFERROR(INDEX(Mitarbeiter!$B$6:$B$205,MATCH(B1054,Mitarbeiter!$A$6:$A$205,0)),"?"))</f>
        <v/>
      </c>
      <c r="D1054" s="41" t="n"/>
      <c r="E1054" s="42" t="n"/>
      <c r="F1054" s="43" t="n"/>
      <c r="G1054" s="44">
        <f>IF(OR(B1054="",F1054=""),"",IFERROR(F1054*INDEX(Mitarbeiter!$F$6:$F$205,MATCH(B1054,Mitarbeiter!$A$6:$A$205,0)),0))</f>
        <v/>
      </c>
      <c r="H1054" s="8">
        <f>IF(B1054="","",IF(ISNA(MATCH(B1054,Mitarbeiter!$A$6:$A$205,0)),"Pers.-Nr. unbekannt",IF(A1054="","Datum fehlt",IF(AND(D1054&lt;&gt;Einstellungen!$C$4,D1054&lt;&gt;Einstellungen!$C$5),"Objekt fehlt",IF(YEAR(A1054)&lt;&gt;Einstellungen!$C$3,"anderes Jahr",IF(A1054&lt;INDEX(Mitarbeiter!$C$6:$C$205,MATCH(B1054,Mitarbeiter!$A$6:$A$205,0)),"vor Eintritt",IF(AND(INDEX(Mitarbeiter!$D$6:$D$205,MATCH(B1054,Mitarbeiter!$A$6:$A$205,0))&lt;&gt;"",A1054&gt;INDEX(Mitarbeiter!$D$6:$D$205,MATCH(B1054,Mitarbeiter!$A$6:$A$205,0))),"nach Austritt","ok")))))))</f>
        <v/>
      </c>
    </row>
    <row r="1055">
      <c r="A1055" s="26" t="n"/>
      <c r="B1055" s="24" t="n"/>
      <c r="C1055" s="40">
        <f>IF(B1055="","",IFERROR(INDEX(Mitarbeiter!$B$6:$B$205,MATCH(B1055,Mitarbeiter!$A$6:$A$205,0)),"?"))</f>
        <v/>
      </c>
      <c r="D1055" s="41" t="n"/>
      <c r="E1055" s="42" t="n"/>
      <c r="F1055" s="43" t="n"/>
      <c r="G1055" s="44">
        <f>IF(OR(B1055="",F1055=""),"",IFERROR(F1055*INDEX(Mitarbeiter!$F$6:$F$205,MATCH(B1055,Mitarbeiter!$A$6:$A$205,0)),0))</f>
        <v/>
      </c>
      <c r="H1055" s="8">
        <f>IF(B1055="","",IF(ISNA(MATCH(B1055,Mitarbeiter!$A$6:$A$205,0)),"Pers.-Nr. unbekannt",IF(A1055="","Datum fehlt",IF(AND(D1055&lt;&gt;Einstellungen!$C$4,D1055&lt;&gt;Einstellungen!$C$5),"Objekt fehlt",IF(YEAR(A1055)&lt;&gt;Einstellungen!$C$3,"anderes Jahr",IF(A1055&lt;INDEX(Mitarbeiter!$C$6:$C$205,MATCH(B1055,Mitarbeiter!$A$6:$A$205,0)),"vor Eintritt",IF(AND(INDEX(Mitarbeiter!$D$6:$D$205,MATCH(B1055,Mitarbeiter!$A$6:$A$205,0))&lt;&gt;"",A1055&gt;INDEX(Mitarbeiter!$D$6:$D$205,MATCH(B1055,Mitarbeiter!$A$6:$A$205,0))),"nach Austritt","ok")))))))</f>
        <v/>
      </c>
    </row>
    <row r="1056">
      <c r="A1056" s="26" t="n"/>
      <c r="B1056" s="24" t="n"/>
      <c r="C1056" s="40">
        <f>IF(B1056="","",IFERROR(INDEX(Mitarbeiter!$B$6:$B$205,MATCH(B1056,Mitarbeiter!$A$6:$A$205,0)),"?"))</f>
        <v/>
      </c>
      <c r="D1056" s="41" t="n"/>
      <c r="E1056" s="42" t="n"/>
      <c r="F1056" s="43" t="n"/>
      <c r="G1056" s="44">
        <f>IF(OR(B1056="",F1056=""),"",IFERROR(F1056*INDEX(Mitarbeiter!$F$6:$F$205,MATCH(B1056,Mitarbeiter!$A$6:$A$205,0)),0))</f>
        <v/>
      </c>
      <c r="H1056" s="8">
        <f>IF(B1056="","",IF(ISNA(MATCH(B1056,Mitarbeiter!$A$6:$A$205,0)),"Pers.-Nr. unbekannt",IF(A1056="","Datum fehlt",IF(AND(D1056&lt;&gt;Einstellungen!$C$4,D1056&lt;&gt;Einstellungen!$C$5),"Objekt fehlt",IF(YEAR(A1056)&lt;&gt;Einstellungen!$C$3,"anderes Jahr",IF(A1056&lt;INDEX(Mitarbeiter!$C$6:$C$205,MATCH(B1056,Mitarbeiter!$A$6:$A$205,0)),"vor Eintritt",IF(AND(INDEX(Mitarbeiter!$D$6:$D$205,MATCH(B1056,Mitarbeiter!$A$6:$A$205,0))&lt;&gt;"",A1056&gt;INDEX(Mitarbeiter!$D$6:$D$205,MATCH(B1056,Mitarbeiter!$A$6:$A$205,0))),"nach Austritt","ok")))))))</f>
        <v/>
      </c>
    </row>
    <row r="1057">
      <c r="A1057" s="26" t="n"/>
      <c r="B1057" s="24" t="n"/>
      <c r="C1057" s="40">
        <f>IF(B1057="","",IFERROR(INDEX(Mitarbeiter!$B$6:$B$205,MATCH(B1057,Mitarbeiter!$A$6:$A$205,0)),"?"))</f>
        <v/>
      </c>
      <c r="D1057" s="41" t="n"/>
      <c r="E1057" s="42" t="n"/>
      <c r="F1057" s="43" t="n"/>
      <c r="G1057" s="44">
        <f>IF(OR(B1057="",F1057=""),"",IFERROR(F1057*INDEX(Mitarbeiter!$F$6:$F$205,MATCH(B1057,Mitarbeiter!$A$6:$A$205,0)),0))</f>
        <v/>
      </c>
      <c r="H1057" s="8">
        <f>IF(B1057="","",IF(ISNA(MATCH(B1057,Mitarbeiter!$A$6:$A$205,0)),"Pers.-Nr. unbekannt",IF(A1057="","Datum fehlt",IF(AND(D1057&lt;&gt;Einstellungen!$C$4,D1057&lt;&gt;Einstellungen!$C$5),"Objekt fehlt",IF(YEAR(A1057)&lt;&gt;Einstellungen!$C$3,"anderes Jahr",IF(A1057&lt;INDEX(Mitarbeiter!$C$6:$C$205,MATCH(B1057,Mitarbeiter!$A$6:$A$205,0)),"vor Eintritt",IF(AND(INDEX(Mitarbeiter!$D$6:$D$205,MATCH(B1057,Mitarbeiter!$A$6:$A$205,0))&lt;&gt;"",A1057&gt;INDEX(Mitarbeiter!$D$6:$D$205,MATCH(B1057,Mitarbeiter!$A$6:$A$205,0))),"nach Austritt","ok")))))))</f>
        <v/>
      </c>
    </row>
    <row r="1058">
      <c r="A1058" s="26" t="n"/>
      <c r="B1058" s="24" t="n"/>
      <c r="C1058" s="40">
        <f>IF(B1058="","",IFERROR(INDEX(Mitarbeiter!$B$6:$B$205,MATCH(B1058,Mitarbeiter!$A$6:$A$205,0)),"?"))</f>
        <v/>
      </c>
      <c r="D1058" s="41" t="n"/>
      <c r="E1058" s="42" t="n"/>
      <c r="F1058" s="43" t="n"/>
      <c r="G1058" s="44">
        <f>IF(OR(B1058="",F1058=""),"",IFERROR(F1058*INDEX(Mitarbeiter!$F$6:$F$205,MATCH(B1058,Mitarbeiter!$A$6:$A$205,0)),0))</f>
        <v/>
      </c>
      <c r="H1058" s="8">
        <f>IF(B1058="","",IF(ISNA(MATCH(B1058,Mitarbeiter!$A$6:$A$205,0)),"Pers.-Nr. unbekannt",IF(A1058="","Datum fehlt",IF(AND(D1058&lt;&gt;Einstellungen!$C$4,D1058&lt;&gt;Einstellungen!$C$5),"Objekt fehlt",IF(YEAR(A1058)&lt;&gt;Einstellungen!$C$3,"anderes Jahr",IF(A1058&lt;INDEX(Mitarbeiter!$C$6:$C$205,MATCH(B1058,Mitarbeiter!$A$6:$A$205,0)),"vor Eintritt",IF(AND(INDEX(Mitarbeiter!$D$6:$D$205,MATCH(B1058,Mitarbeiter!$A$6:$A$205,0))&lt;&gt;"",A1058&gt;INDEX(Mitarbeiter!$D$6:$D$205,MATCH(B1058,Mitarbeiter!$A$6:$A$205,0))),"nach Austritt","ok")))))))</f>
        <v/>
      </c>
    </row>
    <row r="1059">
      <c r="A1059" s="26" t="n"/>
      <c r="B1059" s="24" t="n"/>
      <c r="C1059" s="40">
        <f>IF(B1059="","",IFERROR(INDEX(Mitarbeiter!$B$6:$B$205,MATCH(B1059,Mitarbeiter!$A$6:$A$205,0)),"?"))</f>
        <v/>
      </c>
      <c r="D1059" s="41" t="n"/>
      <c r="E1059" s="42" t="n"/>
      <c r="F1059" s="43" t="n"/>
      <c r="G1059" s="44">
        <f>IF(OR(B1059="",F1059=""),"",IFERROR(F1059*INDEX(Mitarbeiter!$F$6:$F$205,MATCH(B1059,Mitarbeiter!$A$6:$A$205,0)),0))</f>
        <v/>
      </c>
      <c r="H1059" s="8">
        <f>IF(B1059="","",IF(ISNA(MATCH(B1059,Mitarbeiter!$A$6:$A$205,0)),"Pers.-Nr. unbekannt",IF(A1059="","Datum fehlt",IF(AND(D1059&lt;&gt;Einstellungen!$C$4,D1059&lt;&gt;Einstellungen!$C$5),"Objekt fehlt",IF(YEAR(A1059)&lt;&gt;Einstellungen!$C$3,"anderes Jahr",IF(A1059&lt;INDEX(Mitarbeiter!$C$6:$C$205,MATCH(B1059,Mitarbeiter!$A$6:$A$205,0)),"vor Eintritt",IF(AND(INDEX(Mitarbeiter!$D$6:$D$205,MATCH(B1059,Mitarbeiter!$A$6:$A$205,0))&lt;&gt;"",A1059&gt;INDEX(Mitarbeiter!$D$6:$D$205,MATCH(B1059,Mitarbeiter!$A$6:$A$205,0))),"nach Austritt","ok")))))))</f>
        <v/>
      </c>
    </row>
    <row r="1060">
      <c r="A1060" s="26" t="n"/>
      <c r="B1060" s="24" t="n"/>
      <c r="C1060" s="40">
        <f>IF(B1060="","",IFERROR(INDEX(Mitarbeiter!$B$6:$B$205,MATCH(B1060,Mitarbeiter!$A$6:$A$205,0)),"?"))</f>
        <v/>
      </c>
      <c r="D1060" s="41" t="n"/>
      <c r="E1060" s="42" t="n"/>
      <c r="F1060" s="43" t="n"/>
      <c r="G1060" s="44">
        <f>IF(OR(B1060="",F1060=""),"",IFERROR(F1060*INDEX(Mitarbeiter!$F$6:$F$205,MATCH(B1060,Mitarbeiter!$A$6:$A$205,0)),0))</f>
        <v/>
      </c>
      <c r="H1060" s="8">
        <f>IF(B1060="","",IF(ISNA(MATCH(B1060,Mitarbeiter!$A$6:$A$205,0)),"Pers.-Nr. unbekannt",IF(A1060="","Datum fehlt",IF(AND(D1060&lt;&gt;Einstellungen!$C$4,D1060&lt;&gt;Einstellungen!$C$5),"Objekt fehlt",IF(YEAR(A1060)&lt;&gt;Einstellungen!$C$3,"anderes Jahr",IF(A1060&lt;INDEX(Mitarbeiter!$C$6:$C$205,MATCH(B1060,Mitarbeiter!$A$6:$A$205,0)),"vor Eintritt",IF(AND(INDEX(Mitarbeiter!$D$6:$D$205,MATCH(B1060,Mitarbeiter!$A$6:$A$205,0))&lt;&gt;"",A1060&gt;INDEX(Mitarbeiter!$D$6:$D$205,MATCH(B1060,Mitarbeiter!$A$6:$A$205,0))),"nach Austritt","ok")))))))</f>
        <v/>
      </c>
    </row>
    <row r="1061">
      <c r="A1061" s="26" t="n"/>
      <c r="B1061" s="24" t="n"/>
      <c r="C1061" s="40">
        <f>IF(B1061="","",IFERROR(INDEX(Mitarbeiter!$B$6:$B$205,MATCH(B1061,Mitarbeiter!$A$6:$A$205,0)),"?"))</f>
        <v/>
      </c>
      <c r="D1061" s="41" t="n"/>
      <c r="E1061" s="42" t="n"/>
      <c r="F1061" s="43" t="n"/>
      <c r="G1061" s="44">
        <f>IF(OR(B1061="",F1061=""),"",IFERROR(F1061*INDEX(Mitarbeiter!$F$6:$F$205,MATCH(B1061,Mitarbeiter!$A$6:$A$205,0)),0))</f>
        <v/>
      </c>
      <c r="H1061" s="8">
        <f>IF(B1061="","",IF(ISNA(MATCH(B1061,Mitarbeiter!$A$6:$A$205,0)),"Pers.-Nr. unbekannt",IF(A1061="","Datum fehlt",IF(AND(D1061&lt;&gt;Einstellungen!$C$4,D1061&lt;&gt;Einstellungen!$C$5),"Objekt fehlt",IF(YEAR(A1061)&lt;&gt;Einstellungen!$C$3,"anderes Jahr",IF(A1061&lt;INDEX(Mitarbeiter!$C$6:$C$205,MATCH(B1061,Mitarbeiter!$A$6:$A$205,0)),"vor Eintritt",IF(AND(INDEX(Mitarbeiter!$D$6:$D$205,MATCH(B1061,Mitarbeiter!$A$6:$A$205,0))&lt;&gt;"",A1061&gt;INDEX(Mitarbeiter!$D$6:$D$205,MATCH(B1061,Mitarbeiter!$A$6:$A$205,0))),"nach Austritt","ok")))))))</f>
        <v/>
      </c>
    </row>
    <row r="1062">
      <c r="A1062" s="26" t="n"/>
      <c r="B1062" s="24" t="n"/>
      <c r="C1062" s="40">
        <f>IF(B1062="","",IFERROR(INDEX(Mitarbeiter!$B$6:$B$205,MATCH(B1062,Mitarbeiter!$A$6:$A$205,0)),"?"))</f>
        <v/>
      </c>
      <c r="D1062" s="41" t="n"/>
      <c r="E1062" s="42" t="n"/>
      <c r="F1062" s="43" t="n"/>
      <c r="G1062" s="44">
        <f>IF(OR(B1062="",F1062=""),"",IFERROR(F1062*INDEX(Mitarbeiter!$F$6:$F$205,MATCH(B1062,Mitarbeiter!$A$6:$A$205,0)),0))</f>
        <v/>
      </c>
      <c r="H1062" s="8">
        <f>IF(B1062="","",IF(ISNA(MATCH(B1062,Mitarbeiter!$A$6:$A$205,0)),"Pers.-Nr. unbekannt",IF(A1062="","Datum fehlt",IF(AND(D1062&lt;&gt;Einstellungen!$C$4,D1062&lt;&gt;Einstellungen!$C$5),"Objekt fehlt",IF(YEAR(A1062)&lt;&gt;Einstellungen!$C$3,"anderes Jahr",IF(A1062&lt;INDEX(Mitarbeiter!$C$6:$C$205,MATCH(B1062,Mitarbeiter!$A$6:$A$205,0)),"vor Eintritt",IF(AND(INDEX(Mitarbeiter!$D$6:$D$205,MATCH(B1062,Mitarbeiter!$A$6:$A$205,0))&lt;&gt;"",A1062&gt;INDEX(Mitarbeiter!$D$6:$D$205,MATCH(B1062,Mitarbeiter!$A$6:$A$205,0))),"nach Austritt","ok")))))))</f>
        <v/>
      </c>
    </row>
    <row r="1063">
      <c r="A1063" s="26" t="n"/>
      <c r="B1063" s="24" t="n"/>
      <c r="C1063" s="40">
        <f>IF(B1063="","",IFERROR(INDEX(Mitarbeiter!$B$6:$B$205,MATCH(B1063,Mitarbeiter!$A$6:$A$205,0)),"?"))</f>
        <v/>
      </c>
      <c r="D1063" s="41" t="n"/>
      <c r="E1063" s="42" t="n"/>
      <c r="F1063" s="43" t="n"/>
      <c r="G1063" s="44">
        <f>IF(OR(B1063="",F1063=""),"",IFERROR(F1063*INDEX(Mitarbeiter!$F$6:$F$205,MATCH(B1063,Mitarbeiter!$A$6:$A$205,0)),0))</f>
        <v/>
      </c>
      <c r="H1063" s="8">
        <f>IF(B1063="","",IF(ISNA(MATCH(B1063,Mitarbeiter!$A$6:$A$205,0)),"Pers.-Nr. unbekannt",IF(A1063="","Datum fehlt",IF(AND(D1063&lt;&gt;Einstellungen!$C$4,D1063&lt;&gt;Einstellungen!$C$5),"Objekt fehlt",IF(YEAR(A1063)&lt;&gt;Einstellungen!$C$3,"anderes Jahr",IF(A1063&lt;INDEX(Mitarbeiter!$C$6:$C$205,MATCH(B1063,Mitarbeiter!$A$6:$A$205,0)),"vor Eintritt",IF(AND(INDEX(Mitarbeiter!$D$6:$D$205,MATCH(B1063,Mitarbeiter!$A$6:$A$205,0))&lt;&gt;"",A1063&gt;INDEX(Mitarbeiter!$D$6:$D$205,MATCH(B1063,Mitarbeiter!$A$6:$A$205,0))),"nach Austritt","ok")))))))</f>
        <v/>
      </c>
    </row>
    <row r="1064">
      <c r="A1064" s="26" t="n"/>
      <c r="B1064" s="24" t="n"/>
      <c r="C1064" s="40">
        <f>IF(B1064="","",IFERROR(INDEX(Mitarbeiter!$B$6:$B$205,MATCH(B1064,Mitarbeiter!$A$6:$A$205,0)),"?"))</f>
        <v/>
      </c>
      <c r="D1064" s="41" t="n"/>
      <c r="E1064" s="42" t="n"/>
      <c r="F1064" s="43" t="n"/>
      <c r="G1064" s="44">
        <f>IF(OR(B1064="",F1064=""),"",IFERROR(F1064*INDEX(Mitarbeiter!$F$6:$F$205,MATCH(B1064,Mitarbeiter!$A$6:$A$205,0)),0))</f>
        <v/>
      </c>
      <c r="H1064" s="8">
        <f>IF(B1064="","",IF(ISNA(MATCH(B1064,Mitarbeiter!$A$6:$A$205,0)),"Pers.-Nr. unbekannt",IF(A1064="","Datum fehlt",IF(AND(D1064&lt;&gt;Einstellungen!$C$4,D1064&lt;&gt;Einstellungen!$C$5),"Objekt fehlt",IF(YEAR(A1064)&lt;&gt;Einstellungen!$C$3,"anderes Jahr",IF(A1064&lt;INDEX(Mitarbeiter!$C$6:$C$205,MATCH(B1064,Mitarbeiter!$A$6:$A$205,0)),"vor Eintritt",IF(AND(INDEX(Mitarbeiter!$D$6:$D$205,MATCH(B1064,Mitarbeiter!$A$6:$A$205,0))&lt;&gt;"",A1064&gt;INDEX(Mitarbeiter!$D$6:$D$205,MATCH(B1064,Mitarbeiter!$A$6:$A$205,0))),"nach Austritt","ok")))))))</f>
        <v/>
      </c>
    </row>
    <row r="1065">
      <c r="A1065" s="26" t="n"/>
      <c r="B1065" s="24" t="n"/>
      <c r="C1065" s="40">
        <f>IF(B1065="","",IFERROR(INDEX(Mitarbeiter!$B$6:$B$205,MATCH(B1065,Mitarbeiter!$A$6:$A$205,0)),"?"))</f>
        <v/>
      </c>
      <c r="D1065" s="41" t="n"/>
      <c r="E1065" s="42" t="n"/>
      <c r="F1065" s="43" t="n"/>
      <c r="G1065" s="44">
        <f>IF(OR(B1065="",F1065=""),"",IFERROR(F1065*INDEX(Mitarbeiter!$F$6:$F$205,MATCH(B1065,Mitarbeiter!$A$6:$A$205,0)),0))</f>
        <v/>
      </c>
      <c r="H1065" s="8">
        <f>IF(B1065="","",IF(ISNA(MATCH(B1065,Mitarbeiter!$A$6:$A$205,0)),"Pers.-Nr. unbekannt",IF(A1065="","Datum fehlt",IF(AND(D1065&lt;&gt;Einstellungen!$C$4,D1065&lt;&gt;Einstellungen!$C$5),"Objekt fehlt",IF(YEAR(A1065)&lt;&gt;Einstellungen!$C$3,"anderes Jahr",IF(A1065&lt;INDEX(Mitarbeiter!$C$6:$C$205,MATCH(B1065,Mitarbeiter!$A$6:$A$205,0)),"vor Eintritt",IF(AND(INDEX(Mitarbeiter!$D$6:$D$205,MATCH(B1065,Mitarbeiter!$A$6:$A$205,0))&lt;&gt;"",A1065&gt;INDEX(Mitarbeiter!$D$6:$D$205,MATCH(B1065,Mitarbeiter!$A$6:$A$205,0))),"nach Austritt","ok")))))))</f>
        <v/>
      </c>
    </row>
    <row r="1066">
      <c r="A1066" s="26" t="n"/>
      <c r="B1066" s="24" t="n"/>
      <c r="C1066" s="40">
        <f>IF(B1066="","",IFERROR(INDEX(Mitarbeiter!$B$6:$B$205,MATCH(B1066,Mitarbeiter!$A$6:$A$205,0)),"?"))</f>
        <v/>
      </c>
      <c r="D1066" s="41" t="n"/>
      <c r="E1066" s="42" t="n"/>
      <c r="F1066" s="43" t="n"/>
      <c r="G1066" s="44">
        <f>IF(OR(B1066="",F1066=""),"",IFERROR(F1066*INDEX(Mitarbeiter!$F$6:$F$205,MATCH(B1066,Mitarbeiter!$A$6:$A$205,0)),0))</f>
        <v/>
      </c>
      <c r="H1066" s="8">
        <f>IF(B1066="","",IF(ISNA(MATCH(B1066,Mitarbeiter!$A$6:$A$205,0)),"Pers.-Nr. unbekannt",IF(A1066="","Datum fehlt",IF(AND(D1066&lt;&gt;Einstellungen!$C$4,D1066&lt;&gt;Einstellungen!$C$5),"Objekt fehlt",IF(YEAR(A1066)&lt;&gt;Einstellungen!$C$3,"anderes Jahr",IF(A1066&lt;INDEX(Mitarbeiter!$C$6:$C$205,MATCH(B1066,Mitarbeiter!$A$6:$A$205,0)),"vor Eintritt",IF(AND(INDEX(Mitarbeiter!$D$6:$D$205,MATCH(B1066,Mitarbeiter!$A$6:$A$205,0))&lt;&gt;"",A1066&gt;INDEX(Mitarbeiter!$D$6:$D$205,MATCH(B1066,Mitarbeiter!$A$6:$A$205,0))),"nach Austritt","ok")))))))</f>
        <v/>
      </c>
    </row>
    <row r="1067">
      <c r="A1067" s="26" t="n"/>
      <c r="B1067" s="24" t="n"/>
      <c r="C1067" s="40">
        <f>IF(B1067="","",IFERROR(INDEX(Mitarbeiter!$B$6:$B$205,MATCH(B1067,Mitarbeiter!$A$6:$A$205,0)),"?"))</f>
        <v/>
      </c>
      <c r="D1067" s="41" t="n"/>
      <c r="E1067" s="42" t="n"/>
      <c r="F1067" s="43" t="n"/>
      <c r="G1067" s="44">
        <f>IF(OR(B1067="",F1067=""),"",IFERROR(F1067*INDEX(Mitarbeiter!$F$6:$F$205,MATCH(B1067,Mitarbeiter!$A$6:$A$205,0)),0))</f>
        <v/>
      </c>
      <c r="H1067" s="8">
        <f>IF(B1067="","",IF(ISNA(MATCH(B1067,Mitarbeiter!$A$6:$A$205,0)),"Pers.-Nr. unbekannt",IF(A1067="","Datum fehlt",IF(AND(D1067&lt;&gt;Einstellungen!$C$4,D1067&lt;&gt;Einstellungen!$C$5),"Objekt fehlt",IF(YEAR(A1067)&lt;&gt;Einstellungen!$C$3,"anderes Jahr",IF(A1067&lt;INDEX(Mitarbeiter!$C$6:$C$205,MATCH(B1067,Mitarbeiter!$A$6:$A$205,0)),"vor Eintritt",IF(AND(INDEX(Mitarbeiter!$D$6:$D$205,MATCH(B1067,Mitarbeiter!$A$6:$A$205,0))&lt;&gt;"",A1067&gt;INDEX(Mitarbeiter!$D$6:$D$205,MATCH(B1067,Mitarbeiter!$A$6:$A$205,0))),"nach Austritt","ok")))))))</f>
        <v/>
      </c>
    </row>
    <row r="1068">
      <c r="A1068" s="26" t="n"/>
      <c r="B1068" s="24" t="n"/>
      <c r="C1068" s="40">
        <f>IF(B1068="","",IFERROR(INDEX(Mitarbeiter!$B$6:$B$205,MATCH(B1068,Mitarbeiter!$A$6:$A$205,0)),"?"))</f>
        <v/>
      </c>
      <c r="D1068" s="41" t="n"/>
      <c r="E1068" s="42" t="n"/>
      <c r="F1068" s="43" t="n"/>
      <c r="G1068" s="44">
        <f>IF(OR(B1068="",F1068=""),"",IFERROR(F1068*INDEX(Mitarbeiter!$F$6:$F$205,MATCH(B1068,Mitarbeiter!$A$6:$A$205,0)),0))</f>
        <v/>
      </c>
      <c r="H1068" s="8">
        <f>IF(B1068="","",IF(ISNA(MATCH(B1068,Mitarbeiter!$A$6:$A$205,0)),"Pers.-Nr. unbekannt",IF(A1068="","Datum fehlt",IF(AND(D1068&lt;&gt;Einstellungen!$C$4,D1068&lt;&gt;Einstellungen!$C$5),"Objekt fehlt",IF(YEAR(A1068)&lt;&gt;Einstellungen!$C$3,"anderes Jahr",IF(A1068&lt;INDEX(Mitarbeiter!$C$6:$C$205,MATCH(B1068,Mitarbeiter!$A$6:$A$205,0)),"vor Eintritt",IF(AND(INDEX(Mitarbeiter!$D$6:$D$205,MATCH(B1068,Mitarbeiter!$A$6:$A$205,0))&lt;&gt;"",A1068&gt;INDEX(Mitarbeiter!$D$6:$D$205,MATCH(B1068,Mitarbeiter!$A$6:$A$205,0))),"nach Austritt","ok")))))))</f>
        <v/>
      </c>
    </row>
    <row r="1069">
      <c r="A1069" s="26" t="n"/>
      <c r="B1069" s="24" t="n"/>
      <c r="C1069" s="40">
        <f>IF(B1069="","",IFERROR(INDEX(Mitarbeiter!$B$6:$B$205,MATCH(B1069,Mitarbeiter!$A$6:$A$205,0)),"?"))</f>
        <v/>
      </c>
      <c r="D1069" s="41" t="n"/>
      <c r="E1069" s="42" t="n"/>
      <c r="F1069" s="43" t="n"/>
      <c r="G1069" s="44">
        <f>IF(OR(B1069="",F1069=""),"",IFERROR(F1069*INDEX(Mitarbeiter!$F$6:$F$205,MATCH(B1069,Mitarbeiter!$A$6:$A$205,0)),0))</f>
        <v/>
      </c>
      <c r="H1069" s="8">
        <f>IF(B1069="","",IF(ISNA(MATCH(B1069,Mitarbeiter!$A$6:$A$205,0)),"Pers.-Nr. unbekannt",IF(A1069="","Datum fehlt",IF(AND(D1069&lt;&gt;Einstellungen!$C$4,D1069&lt;&gt;Einstellungen!$C$5),"Objekt fehlt",IF(YEAR(A1069)&lt;&gt;Einstellungen!$C$3,"anderes Jahr",IF(A1069&lt;INDEX(Mitarbeiter!$C$6:$C$205,MATCH(B1069,Mitarbeiter!$A$6:$A$205,0)),"vor Eintritt",IF(AND(INDEX(Mitarbeiter!$D$6:$D$205,MATCH(B1069,Mitarbeiter!$A$6:$A$205,0))&lt;&gt;"",A1069&gt;INDEX(Mitarbeiter!$D$6:$D$205,MATCH(B1069,Mitarbeiter!$A$6:$A$205,0))),"nach Austritt","ok")))))))</f>
        <v/>
      </c>
    </row>
    <row r="1070">
      <c r="A1070" s="26" t="n"/>
      <c r="B1070" s="24" t="n"/>
      <c r="C1070" s="40">
        <f>IF(B1070="","",IFERROR(INDEX(Mitarbeiter!$B$6:$B$205,MATCH(B1070,Mitarbeiter!$A$6:$A$205,0)),"?"))</f>
        <v/>
      </c>
      <c r="D1070" s="41" t="n"/>
      <c r="E1070" s="42" t="n"/>
      <c r="F1070" s="43" t="n"/>
      <c r="G1070" s="44">
        <f>IF(OR(B1070="",F1070=""),"",IFERROR(F1070*INDEX(Mitarbeiter!$F$6:$F$205,MATCH(B1070,Mitarbeiter!$A$6:$A$205,0)),0))</f>
        <v/>
      </c>
      <c r="H1070" s="8">
        <f>IF(B1070="","",IF(ISNA(MATCH(B1070,Mitarbeiter!$A$6:$A$205,0)),"Pers.-Nr. unbekannt",IF(A1070="","Datum fehlt",IF(AND(D1070&lt;&gt;Einstellungen!$C$4,D1070&lt;&gt;Einstellungen!$C$5),"Objekt fehlt",IF(YEAR(A1070)&lt;&gt;Einstellungen!$C$3,"anderes Jahr",IF(A1070&lt;INDEX(Mitarbeiter!$C$6:$C$205,MATCH(B1070,Mitarbeiter!$A$6:$A$205,0)),"vor Eintritt",IF(AND(INDEX(Mitarbeiter!$D$6:$D$205,MATCH(B1070,Mitarbeiter!$A$6:$A$205,0))&lt;&gt;"",A1070&gt;INDEX(Mitarbeiter!$D$6:$D$205,MATCH(B1070,Mitarbeiter!$A$6:$A$205,0))),"nach Austritt","ok")))))))</f>
        <v/>
      </c>
    </row>
    <row r="1071">
      <c r="A1071" s="26" t="n"/>
      <c r="B1071" s="24" t="n"/>
      <c r="C1071" s="40">
        <f>IF(B1071="","",IFERROR(INDEX(Mitarbeiter!$B$6:$B$205,MATCH(B1071,Mitarbeiter!$A$6:$A$205,0)),"?"))</f>
        <v/>
      </c>
      <c r="D1071" s="41" t="n"/>
      <c r="E1071" s="42" t="n"/>
      <c r="F1071" s="43" t="n"/>
      <c r="G1071" s="44">
        <f>IF(OR(B1071="",F1071=""),"",IFERROR(F1071*INDEX(Mitarbeiter!$F$6:$F$205,MATCH(B1071,Mitarbeiter!$A$6:$A$205,0)),0))</f>
        <v/>
      </c>
      <c r="H1071" s="8">
        <f>IF(B1071="","",IF(ISNA(MATCH(B1071,Mitarbeiter!$A$6:$A$205,0)),"Pers.-Nr. unbekannt",IF(A1071="","Datum fehlt",IF(AND(D1071&lt;&gt;Einstellungen!$C$4,D1071&lt;&gt;Einstellungen!$C$5),"Objekt fehlt",IF(YEAR(A1071)&lt;&gt;Einstellungen!$C$3,"anderes Jahr",IF(A1071&lt;INDEX(Mitarbeiter!$C$6:$C$205,MATCH(B1071,Mitarbeiter!$A$6:$A$205,0)),"vor Eintritt",IF(AND(INDEX(Mitarbeiter!$D$6:$D$205,MATCH(B1071,Mitarbeiter!$A$6:$A$205,0))&lt;&gt;"",A1071&gt;INDEX(Mitarbeiter!$D$6:$D$205,MATCH(B1071,Mitarbeiter!$A$6:$A$205,0))),"nach Austritt","ok")))))))</f>
        <v/>
      </c>
    </row>
    <row r="1072">
      <c r="A1072" s="26" t="n"/>
      <c r="B1072" s="24" t="n"/>
      <c r="C1072" s="40">
        <f>IF(B1072="","",IFERROR(INDEX(Mitarbeiter!$B$6:$B$205,MATCH(B1072,Mitarbeiter!$A$6:$A$205,0)),"?"))</f>
        <v/>
      </c>
      <c r="D1072" s="41" t="n"/>
      <c r="E1072" s="42" t="n"/>
      <c r="F1072" s="43" t="n"/>
      <c r="G1072" s="44">
        <f>IF(OR(B1072="",F1072=""),"",IFERROR(F1072*INDEX(Mitarbeiter!$F$6:$F$205,MATCH(B1072,Mitarbeiter!$A$6:$A$205,0)),0))</f>
        <v/>
      </c>
      <c r="H1072" s="8">
        <f>IF(B1072="","",IF(ISNA(MATCH(B1072,Mitarbeiter!$A$6:$A$205,0)),"Pers.-Nr. unbekannt",IF(A1072="","Datum fehlt",IF(AND(D1072&lt;&gt;Einstellungen!$C$4,D1072&lt;&gt;Einstellungen!$C$5),"Objekt fehlt",IF(YEAR(A1072)&lt;&gt;Einstellungen!$C$3,"anderes Jahr",IF(A1072&lt;INDEX(Mitarbeiter!$C$6:$C$205,MATCH(B1072,Mitarbeiter!$A$6:$A$205,0)),"vor Eintritt",IF(AND(INDEX(Mitarbeiter!$D$6:$D$205,MATCH(B1072,Mitarbeiter!$A$6:$A$205,0))&lt;&gt;"",A1072&gt;INDEX(Mitarbeiter!$D$6:$D$205,MATCH(B1072,Mitarbeiter!$A$6:$A$205,0))),"nach Austritt","ok")))))))</f>
        <v/>
      </c>
    </row>
    <row r="1073">
      <c r="A1073" s="26" t="n"/>
      <c r="B1073" s="24" t="n"/>
      <c r="C1073" s="40">
        <f>IF(B1073="","",IFERROR(INDEX(Mitarbeiter!$B$6:$B$205,MATCH(B1073,Mitarbeiter!$A$6:$A$205,0)),"?"))</f>
        <v/>
      </c>
      <c r="D1073" s="41" t="n"/>
      <c r="E1073" s="42" t="n"/>
      <c r="F1073" s="43" t="n"/>
      <c r="G1073" s="44">
        <f>IF(OR(B1073="",F1073=""),"",IFERROR(F1073*INDEX(Mitarbeiter!$F$6:$F$205,MATCH(B1073,Mitarbeiter!$A$6:$A$205,0)),0))</f>
        <v/>
      </c>
      <c r="H1073" s="8">
        <f>IF(B1073="","",IF(ISNA(MATCH(B1073,Mitarbeiter!$A$6:$A$205,0)),"Pers.-Nr. unbekannt",IF(A1073="","Datum fehlt",IF(AND(D1073&lt;&gt;Einstellungen!$C$4,D1073&lt;&gt;Einstellungen!$C$5),"Objekt fehlt",IF(YEAR(A1073)&lt;&gt;Einstellungen!$C$3,"anderes Jahr",IF(A1073&lt;INDEX(Mitarbeiter!$C$6:$C$205,MATCH(B1073,Mitarbeiter!$A$6:$A$205,0)),"vor Eintritt",IF(AND(INDEX(Mitarbeiter!$D$6:$D$205,MATCH(B1073,Mitarbeiter!$A$6:$A$205,0))&lt;&gt;"",A1073&gt;INDEX(Mitarbeiter!$D$6:$D$205,MATCH(B1073,Mitarbeiter!$A$6:$A$205,0))),"nach Austritt","ok")))))))</f>
        <v/>
      </c>
    </row>
    <row r="1074">
      <c r="A1074" s="26" t="n"/>
      <c r="B1074" s="24" t="n"/>
      <c r="C1074" s="40">
        <f>IF(B1074="","",IFERROR(INDEX(Mitarbeiter!$B$6:$B$205,MATCH(B1074,Mitarbeiter!$A$6:$A$205,0)),"?"))</f>
        <v/>
      </c>
      <c r="D1074" s="41" t="n"/>
      <c r="E1074" s="42" t="n"/>
      <c r="F1074" s="43" t="n"/>
      <c r="G1074" s="44">
        <f>IF(OR(B1074="",F1074=""),"",IFERROR(F1074*INDEX(Mitarbeiter!$F$6:$F$205,MATCH(B1074,Mitarbeiter!$A$6:$A$205,0)),0))</f>
        <v/>
      </c>
      <c r="H1074" s="8">
        <f>IF(B1074="","",IF(ISNA(MATCH(B1074,Mitarbeiter!$A$6:$A$205,0)),"Pers.-Nr. unbekannt",IF(A1074="","Datum fehlt",IF(AND(D1074&lt;&gt;Einstellungen!$C$4,D1074&lt;&gt;Einstellungen!$C$5),"Objekt fehlt",IF(YEAR(A1074)&lt;&gt;Einstellungen!$C$3,"anderes Jahr",IF(A1074&lt;INDEX(Mitarbeiter!$C$6:$C$205,MATCH(B1074,Mitarbeiter!$A$6:$A$205,0)),"vor Eintritt",IF(AND(INDEX(Mitarbeiter!$D$6:$D$205,MATCH(B1074,Mitarbeiter!$A$6:$A$205,0))&lt;&gt;"",A1074&gt;INDEX(Mitarbeiter!$D$6:$D$205,MATCH(B1074,Mitarbeiter!$A$6:$A$205,0))),"nach Austritt","ok")))))))</f>
        <v/>
      </c>
    </row>
    <row r="1075">
      <c r="A1075" s="26" t="n"/>
      <c r="B1075" s="24" t="n"/>
      <c r="C1075" s="40">
        <f>IF(B1075="","",IFERROR(INDEX(Mitarbeiter!$B$6:$B$205,MATCH(B1075,Mitarbeiter!$A$6:$A$205,0)),"?"))</f>
        <v/>
      </c>
      <c r="D1075" s="41" t="n"/>
      <c r="E1075" s="42" t="n"/>
      <c r="F1075" s="43" t="n"/>
      <c r="G1075" s="44">
        <f>IF(OR(B1075="",F1075=""),"",IFERROR(F1075*INDEX(Mitarbeiter!$F$6:$F$205,MATCH(B1075,Mitarbeiter!$A$6:$A$205,0)),0))</f>
        <v/>
      </c>
      <c r="H1075" s="8">
        <f>IF(B1075="","",IF(ISNA(MATCH(B1075,Mitarbeiter!$A$6:$A$205,0)),"Pers.-Nr. unbekannt",IF(A1075="","Datum fehlt",IF(AND(D1075&lt;&gt;Einstellungen!$C$4,D1075&lt;&gt;Einstellungen!$C$5),"Objekt fehlt",IF(YEAR(A1075)&lt;&gt;Einstellungen!$C$3,"anderes Jahr",IF(A1075&lt;INDEX(Mitarbeiter!$C$6:$C$205,MATCH(B1075,Mitarbeiter!$A$6:$A$205,0)),"vor Eintritt",IF(AND(INDEX(Mitarbeiter!$D$6:$D$205,MATCH(B1075,Mitarbeiter!$A$6:$A$205,0))&lt;&gt;"",A1075&gt;INDEX(Mitarbeiter!$D$6:$D$205,MATCH(B1075,Mitarbeiter!$A$6:$A$205,0))),"nach Austritt","ok")))))))</f>
        <v/>
      </c>
    </row>
    <row r="1076">
      <c r="A1076" s="26" t="n"/>
      <c r="B1076" s="24" t="n"/>
      <c r="C1076" s="40">
        <f>IF(B1076="","",IFERROR(INDEX(Mitarbeiter!$B$6:$B$205,MATCH(B1076,Mitarbeiter!$A$6:$A$205,0)),"?"))</f>
        <v/>
      </c>
      <c r="D1076" s="41" t="n"/>
      <c r="E1076" s="42" t="n"/>
      <c r="F1076" s="43" t="n"/>
      <c r="G1076" s="44">
        <f>IF(OR(B1076="",F1076=""),"",IFERROR(F1076*INDEX(Mitarbeiter!$F$6:$F$205,MATCH(B1076,Mitarbeiter!$A$6:$A$205,0)),0))</f>
        <v/>
      </c>
      <c r="H1076" s="8">
        <f>IF(B1076="","",IF(ISNA(MATCH(B1076,Mitarbeiter!$A$6:$A$205,0)),"Pers.-Nr. unbekannt",IF(A1076="","Datum fehlt",IF(AND(D1076&lt;&gt;Einstellungen!$C$4,D1076&lt;&gt;Einstellungen!$C$5),"Objekt fehlt",IF(YEAR(A1076)&lt;&gt;Einstellungen!$C$3,"anderes Jahr",IF(A1076&lt;INDEX(Mitarbeiter!$C$6:$C$205,MATCH(B1076,Mitarbeiter!$A$6:$A$205,0)),"vor Eintritt",IF(AND(INDEX(Mitarbeiter!$D$6:$D$205,MATCH(B1076,Mitarbeiter!$A$6:$A$205,0))&lt;&gt;"",A1076&gt;INDEX(Mitarbeiter!$D$6:$D$205,MATCH(B1076,Mitarbeiter!$A$6:$A$205,0))),"nach Austritt","ok")))))))</f>
        <v/>
      </c>
    </row>
    <row r="1077">
      <c r="A1077" s="26" t="n"/>
      <c r="B1077" s="24" t="n"/>
      <c r="C1077" s="40">
        <f>IF(B1077="","",IFERROR(INDEX(Mitarbeiter!$B$6:$B$205,MATCH(B1077,Mitarbeiter!$A$6:$A$205,0)),"?"))</f>
        <v/>
      </c>
      <c r="D1077" s="41" t="n"/>
      <c r="E1077" s="42" t="n"/>
      <c r="F1077" s="43" t="n"/>
      <c r="G1077" s="44">
        <f>IF(OR(B1077="",F1077=""),"",IFERROR(F1077*INDEX(Mitarbeiter!$F$6:$F$205,MATCH(B1077,Mitarbeiter!$A$6:$A$205,0)),0))</f>
        <v/>
      </c>
      <c r="H1077" s="8">
        <f>IF(B1077="","",IF(ISNA(MATCH(B1077,Mitarbeiter!$A$6:$A$205,0)),"Pers.-Nr. unbekannt",IF(A1077="","Datum fehlt",IF(AND(D1077&lt;&gt;Einstellungen!$C$4,D1077&lt;&gt;Einstellungen!$C$5),"Objekt fehlt",IF(YEAR(A1077)&lt;&gt;Einstellungen!$C$3,"anderes Jahr",IF(A1077&lt;INDEX(Mitarbeiter!$C$6:$C$205,MATCH(B1077,Mitarbeiter!$A$6:$A$205,0)),"vor Eintritt",IF(AND(INDEX(Mitarbeiter!$D$6:$D$205,MATCH(B1077,Mitarbeiter!$A$6:$A$205,0))&lt;&gt;"",A1077&gt;INDEX(Mitarbeiter!$D$6:$D$205,MATCH(B1077,Mitarbeiter!$A$6:$A$205,0))),"nach Austritt","ok")))))))</f>
        <v/>
      </c>
    </row>
    <row r="1078">
      <c r="A1078" s="26" t="n"/>
      <c r="B1078" s="24" t="n"/>
      <c r="C1078" s="40">
        <f>IF(B1078="","",IFERROR(INDEX(Mitarbeiter!$B$6:$B$205,MATCH(B1078,Mitarbeiter!$A$6:$A$205,0)),"?"))</f>
        <v/>
      </c>
      <c r="D1078" s="41" t="n"/>
      <c r="E1078" s="42" t="n"/>
      <c r="F1078" s="43" t="n"/>
      <c r="G1078" s="44">
        <f>IF(OR(B1078="",F1078=""),"",IFERROR(F1078*INDEX(Mitarbeiter!$F$6:$F$205,MATCH(B1078,Mitarbeiter!$A$6:$A$205,0)),0))</f>
        <v/>
      </c>
      <c r="H1078" s="8">
        <f>IF(B1078="","",IF(ISNA(MATCH(B1078,Mitarbeiter!$A$6:$A$205,0)),"Pers.-Nr. unbekannt",IF(A1078="","Datum fehlt",IF(AND(D1078&lt;&gt;Einstellungen!$C$4,D1078&lt;&gt;Einstellungen!$C$5),"Objekt fehlt",IF(YEAR(A1078)&lt;&gt;Einstellungen!$C$3,"anderes Jahr",IF(A1078&lt;INDEX(Mitarbeiter!$C$6:$C$205,MATCH(B1078,Mitarbeiter!$A$6:$A$205,0)),"vor Eintritt",IF(AND(INDEX(Mitarbeiter!$D$6:$D$205,MATCH(B1078,Mitarbeiter!$A$6:$A$205,0))&lt;&gt;"",A1078&gt;INDEX(Mitarbeiter!$D$6:$D$205,MATCH(B1078,Mitarbeiter!$A$6:$A$205,0))),"nach Austritt","ok")))))))</f>
        <v/>
      </c>
    </row>
    <row r="1079">
      <c r="A1079" s="26" t="n"/>
      <c r="B1079" s="24" t="n"/>
      <c r="C1079" s="40">
        <f>IF(B1079="","",IFERROR(INDEX(Mitarbeiter!$B$6:$B$205,MATCH(B1079,Mitarbeiter!$A$6:$A$205,0)),"?"))</f>
        <v/>
      </c>
      <c r="D1079" s="41" t="n"/>
      <c r="E1079" s="42" t="n"/>
      <c r="F1079" s="43" t="n"/>
      <c r="G1079" s="44">
        <f>IF(OR(B1079="",F1079=""),"",IFERROR(F1079*INDEX(Mitarbeiter!$F$6:$F$205,MATCH(B1079,Mitarbeiter!$A$6:$A$205,0)),0))</f>
        <v/>
      </c>
      <c r="H1079" s="8">
        <f>IF(B1079="","",IF(ISNA(MATCH(B1079,Mitarbeiter!$A$6:$A$205,0)),"Pers.-Nr. unbekannt",IF(A1079="","Datum fehlt",IF(AND(D1079&lt;&gt;Einstellungen!$C$4,D1079&lt;&gt;Einstellungen!$C$5),"Objekt fehlt",IF(YEAR(A1079)&lt;&gt;Einstellungen!$C$3,"anderes Jahr",IF(A1079&lt;INDEX(Mitarbeiter!$C$6:$C$205,MATCH(B1079,Mitarbeiter!$A$6:$A$205,0)),"vor Eintritt",IF(AND(INDEX(Mitarbeiter!$D$6:$D$205,MATCH(B1079,Mitarbeiter!$A$6:$A$205,0))&lt;&gt;"",A1079&gt;INDEX(Mitarbeiter!$D$6:$D$205,MATCH(B1079,Mitarbeiter!$A$6:$A$205,0))),"nach Austritt","ok")))))))</f>
        <v/>
      </c>
    </row>
    <row r="1080">
      <c r="A1080" s="26" t="n"/>
      <c r="B1080" s="24" t="n"/>
      <c r="C1080" s="40">
        <f>IF(B1080="","",IFERROR(INDEX(Mitarbeiter!$B$6:$B$205,MATCH(B1080,Mitarbeiter!$A$6:$A$205,0)),"?"))</f>
        <v/>
      </c>
      <c r="D1080" s="41" t="n"/>
      <c r="E1080" s="42" t="n"/>
      <c r="F1080" s="43" t="n"/>
      <c r="G1080" s="44">
        <f>IF(OR(B1080="",F1080=""),"",IFERROR(F1080*INDEX(Mitarbeiter!$F$6:$F$205,MATCH(B1080,Mitarbeiter!$A$6:$A$205,0)),0))</f>
        <v/>
      </c>
      <c r="H1080" s="8">
        <f>IF(B1080="","",IF(ISNA(MATCH(B1080,Mitarbeiter!$A$6:$A$205,0)),"Pers.-Nr. unbekannt",IF(A1080="","Datum fehlt",IF(AND(D1080&lt;&gt;Einstellungen!$C$4,D1080&lt;&gt;Einstellungen!$C$5),"Objekt fehlt",IF(YEAR(A1080)&lt;&gt;Einstellungen!$C$3,"anderes Jahr",IF(A1080&lt;INDEX(Mitarbeiter!$C$6:$C$205,MATCH(B1080,Mitarbeiter!$A$6:$A$205,0)),"vor Eintritt",IF(AND(INDEX(Mitarbeiter!$D$6:$D$205,MATCH(B1080,Mitarbeiter!$A$6:$A$205,0))&lt;&gt;"",A1080&gt;INDEX(Mitarbeiter!$D$6:$D$205,MATCH(B1080,Mitarbeiter!$A$6:$A$205,0))),"nach Austritt","ok")))))))</f>
        <v/>
      </c>
    </row>
    <row r="1081">
      <c r="A1081" s="26" t="n"/>
      <c r="B1081" s="24" t="n"/>
      <c r="C1081" s="40">
        <f>IF(B1081="","",IFERROR(INDEX(Mitarbeiter!$B$6:$B$205,MATCH(B1081,Mitarbeiter!$A$6:$A$205,0)),"?"))</f>
        <v/>
      </c>
      <c r="D1081" s="41" t="n"/>
      <c r="E1081" s="42" t="n"/>
      <c r="F1081" s="43" t="n"/>
      <c r="G1081" s="44">
        <f>IF(OR(B1081="",F1081=""),"",IFERROR(F1081*INDEX(Mitarbeiter!$F$6:$F$205,MATCH(B1081,Mitarbeiter!$A$6:$A$205,0)),0))</f>
        <v/>
      </c>
      <c r="H1081" s="8">
        <f>IF(B1081="","",IF(ISNA(MATCH(B1081,Mitarbeiter!$A$6:$A$205,0)),"Pers.-Nr. unbekannt",IF(A1081="","Datum fehlt",IF(AND(D1081&lt;&gt;Einstellungen!$C$4,D1081&lt;&gt;Einstellungen!$C$5),"Objekt fehlt",IF(YEAR(A1081)&lt;&gt;Einstellungen!$C$3,"anderes Jahr",IF(A1081&lt;INDEX(Mitarbeiter!$C$6:$C$205,MATCH(B1081,Mitarbeiter!$A$6:$A$205,0)),"vor Eintritt",IF(AND(INDEX(Mitarbeiter!$D$6:$D$205,MATCH(B1081,Mitarbeiter!$A$6:$A$205,0))&lt;&gt;"",A1081&gt;INDEX(Mitarbeiter!$D$6:$D$205,MATCH(B1081,Mitarbeiter!$A$6:$A$205,0))),"nach Austritt","ok")))))))</f>
        <v/>
      </c>
    </row>
    <row r="1082">
      <c r="A1082" s="26" t="n"/>
      <c r="B1082" s="24" t="n"/>
      <c r="C1082" s="40">
        <f>IF(B1082="","",IFERROR(INDEX(Mitarbeiter!$B$6:$B$205,MATCH(B1082,Mitarbeiter!$A$6:$A$205,0)),"?"))</f>
        <v/>
      </c>
      <c r="D1082" s="41" t="n"/>
      <c r="E1082" s="42" t="n"/>
      <c r="F1082" s="43" t="n"/>
      <c r="G1082" s="44">
        <f>IF(OR(B1082="",F1082=""),"",IFERROR(F1082*INDEX(Mitarbeiter!$F$6:$F$205,MATCH(B1082,Mitarbeiter!$A$6:$A$205,0)),0))</f>
        <v/>
      </c>
      <c r="H1082" s="8">
        <f>IF(B1082="","",IF(ISNA(MATCH(B1082,Mitarbeiter!$A$6:$A$205,0)),"Pers.-Nr. unbekannt",IF(A1082="","Datum fehlt",IF(AND(D1082&lt;&gt;Einstellungen!$C$4,D1082&lt;&gt;Einstellungen!$C$5),"Objekt fehlt",IF(YEAR(A1082)&lt;&gt;Einstellungen!$C$3,"anderes Jahr",IF(A1082&lt;INDEX(Mitarbeiter!$C$6:$C$205,MATCH(B1082,Mitarbeiter!$A$6:$A$205,0)),"vor Eintritt",IF(AND(INDEX(Mitarbeiter!$D$6:$D$205,MATCH(B1082,Mitarbeiter!$A$6:$A$205,0))&lt;&gt;"",A1082&gt;INDEX(Mitarbeiter!$D$6:$D$205,MATCH(B1082,Mitarbeiter!$A$6:$A$205,0))),"nach Austritt","ok")))))))</f>
        <v/>
      </c>
    </row>
    <row r="1083">
      <c r="A1083" s="26" t="n"/>
      <c r="B1083" s="24" t="n"/>
      <c r="C1083" s="40">
        <f>IF(B1083="","",IFERROR(INDEX(Mitarbeiter!$B$6:$B$205,MATCH(B1083,Mitarbeiter!$A$6:$A$205,0)),"?"))</f>
        <v/>
      </c>
      <c r="D1083" s="41" t="n"/>
      <c r="E1083" s="42" t="n"/>
      <c r="F1083" s="43" t="n"/>
      <c r="G1083" s="44">
        <f>IF(OR(B1083="",F1083=""),"",IFERROR(F1083*INDEX(Mitarbeiter!$F$6:$F$205,MATCH(B1083,Mitarbeiter!$A$6:$A$205,0)),0))</f>
        <v/>
      </c>
      <c r="H1083" s="8">
        <f>IF(B1083="","",IF(ISNA(MATCH(B1083,Mitarbeiter!$A$6:$A$205,0)),"Pers.-Nr. unbekannt",IF(A1083="","Datum fehlt",IF(AND(D1083&lt;&gt;Einstellungen!$C$4,D1083&lt;&gt;Einstellungen!$C$5),"Objekt fehlt",IF(YEAR(A1083)&lt;&gt;Einstellungen!$C$3,"anderes Jahr",IF(A1083&lt;INDEX(Mitarbeiter!$C$6:$C$205,MATCH(B1083,Mitarbeiter!$A$6:$A$205,0)),"vor Eintritt",IF(AND(INDEX(Mitarbeiter!$D$6:$D$205,MATCH(B1083,Mitarbeiter!$A$6:$A$205,0))&lt;&gt;"",A1083&gt;INDEX(Mitarbeiter!$D$6:$D$205,MATCH(B1083,Mitarbeiter!$A$6:$A$205,0))),"nach Austritt","ok")))))))</f>
        <v/>
      </c>
    </row>
    <row r="1084">
      <c r="A1084" s="26" t="n"/>
      <c r="B1084" s="24" t="n"/>
      <c r="C1084" s="40">
        <f>IF(B1084="","",IFERROR(INDEX(Mitarbeiter!$B$6:$B$205,MATCH(B1084,Mitarbeiter!$A$6:$A$205,0)),"?"))</f>
        <v/>
      </c>
      <c r="D1084" s="41" t="n"/>
      <c r="E1084" s="42" t="n"/>
      <c r="F1084" s="43" t="n"/>
      <c r="G1084" s="44">
        <f>IF(OR(B1084="",F1084=""),"",IFERROR(F1084*INDEX(Mitarbeiter!$F$6:$F$205,MATCH(B1084,Mitarbeiter!$A$6:$A$205,0)),0))</f>
        <v/>
      </c>
      <c r="H1084" s="8">
        <f>IF(B1084="","",IF(ISNA(MATCH(B1084,Mitarbeiter!$A$6:$A$205,0)),"Pers.-Nr. unbekannt",IF(A1084="","Datum fehlt",IF(AND(D1084&lt;&gt;Einstellungen!$C$4,D1084&lt;&gt;Einstellungen!$C$5),"Objekt fehlt",IF(YEAR(A1084)&lt;&gt;Einstellungen!$C$3,"anderes Jahr",IF(A1084&lt;INDEX(Mitarbeiter!$C$6:$C$205,MATCH(B1084,Mitarbeiter!$A$6:$A$205,0)),"vor Eintritt",IF(AND(INDEX(Mitarbeiter!$D$6:$D$205,MATCH(B1084,Mitarbeiter!$A$6:$A$205,0))&lt;&gt;"",A1084&gt;INDEX(Mitarbeiter!$D$6:$D$205,MATCH(B1084,Mitarbeiter!$A$6:$A$205,0))),"nach Austritt","ok")))))))</f>
        <v/>
      </c>
    </row>
    <row r="1085">
      <c r="A1085" s="26" t="n"/>
      <c r="B1085" s="24" t="n"/>
      <c r="C1085" s="40">
        <f>IF(B1085="","",IFERROR(INDEX(Mitarbeiter!$B$6:$B$205,MATCH(B1085,Mitarbeiter!$A$6:$A$205,0)),"?"))</f>
        <v/>
      </c>
      <c r="D1085" s="41" t="n"/>
      <c r="E1085" s="42" t="n"/>
      <c r="F1085" s="43" t="n"/>
      <c r="G1085" s="44">
        <f>IF(OR(B1085="",F1085=""),"",IFERROR(F1085*INDEX(Mitarbeiter!$F$6:$F$205,MATCH(B1085,Mitarbeiter!$A$6:$A$205,0)),0))</f>
        <v/>
      </c>
      <c r="H1085" s="8">
        <f>IF(B1085="","",IF(ISNA(MATCH(B1085,Mitarbeiter!$A$6:$A$205,0)),"Pers.-Nr. unbekannt",IF(A1085="","Datum fehlt",IF(AND(D1085&lt;&gt;Einstellungen!$C$4,D1085&lt;&gt;Einstellungen!$C$5),"Objekt fehlt",IF(YEAR(A1085)&lt;&gt;Einstellungen!$C$3,"anderes Jahr",IF(A1085&lt;INDEX(Mitarbeiter!$C$6:$C$205,MATCH(B1085,Mitarbeiter!$A$6:$A$205,0)),"vor Eintritt",IF(AND(INDEX(Mitarbeiter!$D$6:$D$205,MATCH(B1085,Mitarbeiter!$A$6:$A$205,0))&lt;&gt;"",A1085&gt;INDEX(Mitarbeiter!$D$6:$D$205,MATCH(B1085,Mitarbeiter!$A$6:$A$205,0))),"nach Austritt","ok")))))))</f>
        <v/>
      </c>
    </row>
    <row r="1086">
      <c r="A1086" s="26" t="n"/>
      <c r="B1086" s="24" t="n"/>
      <c r="C1086" s="40">
        <f>IF(B1086="","",IFERROR(INDEX(Mitarbeiter!$B$6:$B$205,MATCH(B1086,Mitarbeiter!$A$6:$A$205,0)),"?"))</f>
        <v/>
      </c>
      <c r="D1086" s="41" t="n"/>
      <c r="E1086" s="42" t="n"/>
      <c r="F1086" s="43" t="n"/>
      <c r="G1086" s="44">
        <f>IF(OR(B1086="",F1086=""),"",IFERROR(F1086*INDEX(Mitarbeiter!$F$6:$F$205,MATCH(B1086,Mitarbeiter!$A$6:$A$205,0)),0))</f>
        <v/>
      </c>
      <c r="H1086" s="8">
        <f>IF(B1086="","",IF(ISNA(MATCH(B1086,Mitarbeiter!$A$6:$A$205,0)),"Pers.-Nr. unbekannt",IF(A1086="","Datum fehlt",IF(AND(D1086&lt;&gt;Einstellungen!$C$4,D1086&lt;&gt;Einstellungen!$C$5),"Objekt fehlt",IF(YEAR(A1086)&lt;&gt;Einstellungen!$C$3,"anderes Jahr",IF(A1086&lt;INDEX(Mitarbeiter!$C$6:$C$205,MATCH(B1086,Mitarbeiter!$A$6:$A$205,0)),"vor Eintritt",IF(AND(INDEX(Mitarbeiter!$D$6:$D$205,MATCH(B1086,Mitarbeiter!$A$6:$A$205,0))&lt;&gt;"",A1086&gt;INDEX(Mitarbeiter!$D$6:$D$205,MATCH(B1086,Mitarbeiter!$A$6:$A$205,0))),"nach Austritt","ok")))))))</f>
        <v/>
      </c>
    </row>
    <row r="1087">
      <c r="A1087" s="26" t="n"/>
      <c r="B1087" s="24" t="n"/>
      <c r="C1087" s="40">
        <f>IF(B1087="","",IFERROR(INDEX(Mitarbeiter!$B$6:$B$205,MATCH(B1087,Mitarbeiter!$A$6:$A$205,0)),"?"))</f>
        <v/>
      </c>
      <c r="D1087" s="41" t="n"/>
      <c r="E1087" s="42" t="n"/>
      <c r="F1087" s="43" t="n"/>
      <c r="G1087" s="44">
        <f>IF(OR(B1087="",F1087=""),"",IFERROR(F1087*INDEX(Mitarbeiter!$F$6:$F$205,MATCH(B1087,Mitarbeiter!$A$6:$A$205,0)),0))</f>
        <v/>
      </c>
      <c r="H1087" s="8">
        <f>IF(B1087="","",IF(ISNA(MATCH(B1087,Mitarbeiter!$A$6:$A$205,0)),"Pers.-Nr. unbekannt",IF(A1087="","Datum fehlt",IF(AND(D1087&lt;&gt;Einstellungen!$C$4,D1087&lt;&gt;Einstellungen!$C$5),"Objekt fehlt",IF(YEAR(A1087)&lt;&gt;Einstellungen!$C$3,"anderes Jahr",IF(A1087&lt;INDEX(Mitarbeiter!$C$6:$C$205,MATCH(B1087,Mitarbeiter!$A$6:$A$205,0)),"vor Eintritt",IF(AND(INDEX(Mitarbeiter!$D$6:$D$205,MATCH(B1087,Mitarbeiter!$A$6:$A$205,0))&lt;&gt;"",A1087&gt;INDEX(Mitarbeiter!$D$6:$D$205,MATCH(B1087,Mitarbeiter!$A$6:$A$205,0))),"nach Austritt","ok")))))))</f>
        <v/>
      </c>
    </row>
    <row r="1088">
      <c r="A1088" s="26" t="n"/>
      <c r="B1088" s="24" t="n"/>
      <c r="C1088" s="40">
        <f>IF(B1088="","",IFERROR(INDEX(Mitarbeiter!$B$6:$B$205,MATCH(B1088,Mitarbeiter!$A$6:$A$205,0)),"?"))</f>
        <v/>
      </c>
      <c r="D1088" s="41" t="n"/>
      <c r="E1088" s="42" t="n"/>
      <c r="F1088" s="43" t="n"/>
      <c r="G1088" s="44">
        <f>IF(OR(B1088="",F1088=""),"",IFERROR(F1088*INDEX(Mitarbeiter!$F$6:$F$205,MATCH(B1088,Mitarbeiter!$A$6:$A$205,0)),0))</f>
        <v/>
      </c>
      <c r="H1088" s="8">
        <f>IF(B1088="","",IF(ISNA(MATCH(B1088,Mitarbeiter!$A$6:$A$205,0)),"Pers.-Nr. unbekannt",IF(A1088="","Datum fehlt",IF(AND(D1088&lt;&gt;Einstellungen!$C$4,D1088&lt;&gt;Einstellungen!$C$5),"Objekt fehlt",IF(YEAR(A1088)&lt;&gt;Einstellungen!$C$3,"anderes Jahr",IF(A1088&lt;INDEX(Mitarbeiter!$C$6:$C$205,MATCH(B1088,Mitarbeiter!$A$6:$A$205,0)),"vor Eintritt",IF(AND(INDEX(Mitarbeiter!$D$6:$D$205,MATCH(B1088,Mitarbeiter!$A$6:$A$205,0))&lt;&gt;"",A1088&gt;INDEX(Mitarbeiter!$D$6:$D$205,MATCH(B1088,Mitarbeiter!$A$6:$A$205,0))),"nach Austritt","ok")))))))</f>
        <v/>
      </c>
    </row>
    <row r="1089">
      <c r="A1089" s="26" t="n"/>
      <c r="B1089" s="24" t="n"/>
      <c r="C1089" s="40">
        <f>IF(B1089="","",IFERROR(INDEX(Mitarbeiter!$B$6:$B$205,MATCH(B1089,Mitarbeiter!$A$6:$A$205,0)),"?"))</f>
        <v/>
      </c>
      <c r="D1089" s="41" t="n"/>
      <c r="E1089" s="42" t="n"/>
      <c r="F1089" s="43" t="n"/>
      <c r="G1089" s="44">
        <f>IF(OR(B1089="",F1089=""),"",IFERROR(F1089*INDEX(Mitarbeiter!$F$6:$F$205,MATCH(B1089,Mitarbeiter!$A$6:$A$205,0)),0))</f>
        <v/>
      </c>
      <c r="H1089" s="8">
        <f>IF(B1089="","",IF(ISNA(MATCH(B1089,Mitarbeiter!$A$6:$A$205,0)),"Pers.-Nr. unbekannt",IF(A1089="","Datum fehlt",IF(AND(D1089&lt;&gt;Einstellungen!$C$4,D1089&lt;&gt;Einstellungen!$C$5),"Objekt fehlt",IF(YEAR(A1089)&lt;&gt;Einstellungen!$C$3,"anderes Jahr",IF(A1089&lt;INDEX(Mitarbeiter!$C$6:$C$205,MATCH(B1089,Mitarbeiter!$A$6:$A$205,0)),"vor Eintritt",IF(AND(INDEX(Mitarbeiter!$D$6:$D$205,MATCH(B1089,Mitarbeiter!$A$6:$A$205,0))&lt;&gt;"",A1089&gt;INDEX(Mitarbeiter!$D$6:$D$205,MATCH(B1089,Mitarbeiter!$A$6:$A$205,0))),"nach Austritt","ok")))))))</f>
        <v/>
      </c>
    </row>
    <row r="1090">
      <c r="A1090" s="26" t="n"/>
      <c r="B1090" s="24" t="n"/>
      <c r="C1090" s="40">
        <f>IF(B1090="","",IFERROR(INDEX(Mitarbeiter!$B$6:$B$205,MATCH(B1090,Mitarbeiter!$A$6:$A$205,0)),"?"))</f>
        <v/>
      </c>
      <c r="D1090" s="41" t="n"/>
      <c r="E1090" s="42" t="n"/>
      <c r="F1090" s="43" t="n"/>
      <c r="G1090" s="44">
        <f>IF(OR(B1090="",F1090=""),"",IFERROR(F1090*INDEX(Mitarbeiter!$F$6:$F$205,MATCH(B1090,Mitarbeiter!$A$6:$A$205,0)),0))</f>
        <v/>
      </c>
      <c r="H1090" s="8">
        <f>IF(B1090="","",IF(ISNA(MATCH(B1090,Mitarbeiter!$A$6:$A$205,0)),"Pers.-Nr. unbekannt",IF(A1090="","Datum fehlt",IF(AND(D1090&lt;&gt;Einstellungen!$C$4,D1090&lt;&gt;Einstellungen!$C$5),"Objekt fehlt",IF(YEAR(A1090)&lt;&gt;Einstellungen!$C$3,"anderes Jahr",IF(A1090&lt;INDEX(Mitarbeiter!$C$6:$C$205,MATCH(B1090,Mitarbeiter!$A$6:$A$205,0)),"vor Eintritt",IF(AND(INDEX(Mitarbeiter!$D$6:$D$205,MATCH(B1090,Mitarbeiter!$A$6:$A$205,0))&lt;&gt;"",A1090&gt;INDEX(Mitarbeiter!$D$6:$D$205,MATCH(B1090,Mitarbeiter!$A$6:$A$205,0))),"nach Austritt","ok")))))))</f>
        <v/>
      </c>
    </row>
    <row r="1091">
      <c r="A1091" s="26" t="n"/>
      <c r="B1091" s="24" t="n"/>
      <c r="C1091" s="40">
        <f>IF(B1091="","",IFERROR(INDEX(Mitarbeiter!$B$6:$B$205,MATCH(B1091,Mitarbeiter!$A$6:$A$205,0)),"?"))</f>
        <v/>
      </c>
      <c r="D1091" s="41" t="n"/>
      <c r="E1091" s="42" t="n"/>
      <c r="F1091" s="43" t="n"/>
      <c r="G1091" s="44">
        <f>IF(OR(B1091="",F1091=""),"",IFERROR(F1091*INDEX(Mitarbeiter!$F$6:$F$205,MATCH(B1091,Mitarbeiter!$A$6:$A$205,0)),0))</f>
        <v/>
      </c>
      <c r="H1091" s="8">
        <f>IF(B1091="","",IF(ISNA(MATCH(B1091,Mitarbeiter!$A$6:$A$205,0)),"Pers.-Nr. unbekannt",IF(A1091="","Datum fehlt",IF(AND(D1091&lt;&gt;Einstellungen!$C$4,D1091&lt;&gt;Einstellungen!$C$5),"Objekt fehlt",IF(YEAR(A1091)&lt;&gt;Einstellungen!$C$3,"anderes Jahr",IF(A1091&lt;INDEX(Mitarbeiter!$C$6:$C$205,MATCH(B1091,Mitarbeiter!$A$6:$A$205,0)),"vor Eintritt",IF(AND(INDEX(Mitarbeiter!$D$6:$D$205,MATCH(B1091,Mitarbeiter!$A$6:$A$205,0))&lt;&gt;"",A1091&gt;INDEX(Mitarbeiter!$D$6:$D$205,MATCH(B1091,Mitarbeiter!$A$6:$A$205,0))),"nach Austritt","ok")))))))</f>
        <v/>
      </c>
    </row>
    <row r="1092">
      <c r="A1092" s="26" t="n"/>
      <c r="B1092" s="24" t="n"/>
      <c r="C1092" s="40">
        <f>IF(B1092="","",IFERROR(INDEX(Mitarbeiter!$B$6:$B$205,MATCH(B1092,Mitarbeiter!$A$6:$A$205,0)),"?"))</f>
        <v/>
      </c>
      <c r="D1092" s="41" t="n"/>
      <c r="E1092" s="42" t="n"/>
      <c r="F1092" s="43" t="n"/>
      <c r="G1092" s="44">
        <f>IF(OR(B1092="",F1092=""),"",IFERROR(F1092*INDEX(Mitarbeiter!$F$6:$F$205,MATCH(B1092,Mitarbeiter!$A$6:$A$205,0)),0))</f>
        <v/>
      </c>
      <c r="H1092" s="8">
        <f>IF(B1092="","",IF(ISNA(MATCH(B1092,Mitarbeiter!$A$6:$A$205,0)),"Pers.-Nr. unbekannt",IF(A1092="","Datum fehlt",IF(AND(D1092&lt;&gt;Einstellungen!$C$4,D1092&lt;&gt;Einstellungen!$C$5),"Objekt fehlt",IF(YEAR(A1092)&lt;&gt;Einstellungen!$C$3,"anderes Jahr",IF(A1092&lt;INDEX(Mitarbeiter!$C$6:$C$205,MATCH(B1092,Mitarbeiter!$A$6:$A$205,0)),"vor Eintritt",IF(AND(INDEX(Mitarbeiter!$D$6:$D$205,MATCH(B1092,Mitarbeiter!$A$6:$A$205,0))&lt;&gt;"",A1092&gt;INDEX(Mitarbeiter!$D$6:$D$205,MATCH(B1092,Mitarbeiter!$A$6:$A$205,0))),"nach Austritt","ok")))))))</f>
        <v/>
      </c>
    </row>
    <row r="1093">
      <c r="A1093" s="26" t="n"/>
      <c r="B1093" s="24" t="n"/>
      <c r="C1093" s="40">
        <f>IF(B1093="","",IFERROR(INDEX(Mitarbeiter!$B$6:$B$205,MATCH(B1093,Mitarbeiter!$A$6:$A$205,0)),"?"))</f>
        <v/>
      </c>
      <c r="D1093" s="41" t="n"/>
      <c r="E1093" s="42" t="n"/>
      <c r="F1093" s="43" t="n"/>
      <c r="G1093" s="44">
        <f>IF(OR(B1093="",F1093=""),"",IFERROR(F1093*INDEX(Mitarbeiter!$F$6:$F$205,MATCH(B1093,Mitarbeiter!$A$6:$A$205,0)),0))</f>
        <v/>
      </c>
      <c r="H1093" s="8">
        <f>IF(B1093="","",IF(ISNA(MATCH(B1093,Mitarbeiter!$A$6:$A$205,0)),"Pers.-Nr. unbekannt",IF(A1093="","Datum fehlt",IF(AND(D1093&lt;&gt;Einstellungen!$C$4,D1093&lt;&gt;Einstellungen!$C$5),"Objekt fehlt",IF(YEAR(A1093)&lt;&gt;Einstellungen!$C$3,"anderes Jahr",IF(A1093&lt;INDEX(Mitarbeiter!$C$6:$C$205,MATCH(B1093,Mitarbeiter!$A$6:$A$205,0)),"vor Eintritt",IF(AND(INDEX(Mitarbeiter!$D$6:$D$205,MATCH(B1093,Mitarbeiter!$A$6:$A$205,0))&lt;&gt;"",A1093&gt;INDEX(Mitarbeiter!$D$6:$D$205,MATCH(B1093,Mitarbeiter!$A$6:$A$205,0))),"nach Austritt","ok")))))))</f>
        <v/>
      </c>
    </row>
    <row r="1094">
      <c r="A1094" s="26" t="n"/>
      <c r="B1094" s="24" t="n"/>
      <c r="C1094" s="40">
        <f>IF(B1094="","",IFERROR(INDEX(Mitarbeiter!$B$6:$B$205,MATCH(B1094,Mitarbeiter!$A$6:$A$205,0)),"?"))</f>
        <v/>
      </c>
      <c r="D1094" s="41" t="n"/>
      <c r="E1094" s="42" t="n"/>
      <c r="F1094" s="43" t="n"/>
      <c r="G1094" s="44">
        <f>IF(OR(B1094="",F1094=""),"",IFERROR(F1094*INDEX(Mitarbeiter!$F$6:$F$205,MATCH(B1094,Mitarbeiter!$A$6:$A$205,0)),0))</f>
        <v/>
      </c>
      <c r="H1094" s="8">
        <f>IF(B1094="","",IF(ISNA(MATCH(B1094,Mitarbeiter!$A$6:$A$205,0)),"Pers.-Nr. unbekannt",IF(A1094="","Datum fehlt",IF(AND(D1094&lt;&gt;Einstellungen!$C$4,D1094&lt;&gt;Einstellungen!$C$5),"Objekt fehlt",IF(YEAR(A1094)&lt;&gt;Einstellungen!$C$3,"anderes Jahr",IF(A1094&lt;INDEX(Mitarbeiter!$C$6:$C$205,MATCH(B1094,Mitarbeiter!$A$6:$A$205,0)),"vor Eintritt",IF(AND(INDEX(Mitarbeiter!$D$6:$D$205,MATCH(B1094,Mitarbeiter!$A$6:$A$205,0))&lt;&gt;"",A1094&gt;INDEX(Mitarbeiter!$D$6:$D$205,MATCH(B1094,Mitarbeiter!$A$6:$A$205,0))),"nach Austritt","ok")))))))</f>
        <v/>
      </c>
    </row>
    <row r="1095">
      <c r="A1095" s="26" t="n"/>
      <c r="B1095" s="24" t="n"/>
      <c r="C1095" s="40">
        <f>IF(B1095="","",IFERROR(INDEX(Mitarbeiter!$B$6:$B$205,MATCH(B1095,Mitarbeiter!$A$6:$A$205,0)),"?"))</f>
        <v/>
      </c>
      <c r="D1095" s="41" t="n"/>
      <c r="E1095" s="42" t="n"/>
      <c r="F1095" s="43" t="n"/>
      <c r="G1095" s="44">
        <f>IF(OR(B1095="",F1095=""),"",IFERROR(F1095*INDEX(Mitarbeiter!$F$6:$F$205,MATCH(B1095,Mitarbeiter!$A$6:$A$205,0)),0))</f>
        <v/>
      </c>
      <c r="H1095" s="8">
        <f>IF(B1095="","",IF(ISNA(MATCH(B1095,Mitarbeiter!$A$6:$A$205,0)),"Pers.-Nr. unbekannt",IF(A1095="","Datum fehlt",IF(AND(D1095&lt;&gt;Einstellungen!$C$4,D1095&lt;&gt;Einstellungen!$C$5),"Objekt fehlt",IF(YEAR(A1095)&lt;&gt;Einstellungen!$C$3,"anderes Jahr",IF(A1095&lt;INDEX(Mitarbeiter!$C$6:$C$205,MATCH(B1095,Mitarbeiter!$A$6:$A$205,0)),"vor Eintritt",IF(AND(INDEX(Mitarbeiter!$D$6:$D$205,MATCH(B1095,Mitarbeiter!$A$6:$A$205,0))&lt;&gt;"",A1095&gt;INDEX(Mitarbeiter!$D$6:$D$205,MATCH(B1095,Mitarbeiter!$A$6:$A$205,0))),"nach Austritt","ok")))))))</f>
        <v/>
      </c>
    </row>
    <row r="1096">
      <c r="A1096" s="26" t="n"/>
      <c r="B1096" s="24" t="n"/>
      <c r="C1096" s="40">
        <f>IF(B1096="","",IFERROR(INDEX(Mitarbeiter!$B$6:$B$205,MATCH(B1096,Mitarbeiter!$A$6:$A$205,0)),"?"))</f>
        <v/>
      </c>
      <c r="D1096" s="41" t="n"/>
      <c r="E1096" s="42" t="n"/>
      <c r="F1096" s="43" t="n"/>
      <c r="G1096" s="44">
        <f>IF(OR(B1096="",F1096=""),"",IFERROR(F1096*INDEX(Mitarbeiter!$F$6:$F$205,MATCH(B1096,Mitarbeiter!$A$6:$A$205,0)),0))</f>
        <v/>
      </c>
      <c r="H1096" s="8">
        <f>IF(B1096="","",IF(ISNA(MATCH(B1096,Mitarbeiter!$A$6:$A$205,0)),"Pers.-Nr. unbekannt",IF(A1096="","Datum fehlt",IF(AND(D1096&lt;&gt;Einstellungen!$C$4,D1096&lt;&gt;Einstellungen!$C$5),"Objekt fehlt",IF(YEAR(A1096)&lt;&gt;Einstellungen!$C$3,"anderes Jahr",IF(A1096&lt;INDEX(Mitarbeiter!$C$6:$C$205,MATCH(B1096,Mitarbeiter!$A$6:$A$205,0)),"vor Eintritt",IF(AND(INDEX(Mitarbeiter!$D$6:$D$205,MATCH(B1096,Mitarbeiter!$A$6:$A$205,0))&lt;&gt;"",A1096&gt;INDEX(Mitarbeiter!$D$6:$D$205,MATCH(B1096,Mitarbeiter!$A$6:$A$205,0))),"nach Austritt","ok")))))))</f>
        <v/>
      </c>
    </row>
    <row r="1097">
      <c r="A1097" s="26" t="n"/>
      <c r="B1097" s="24" t="n"/>
      <c r="C1097" s="40">
        <f>IF(B1097="","",IFERROR(INDEX(Mitarbeiter!$B$6:$B$205,MATCH(B1097,Mitarbeiter!$A$6:$A$205,0)),"?"))</f>
        <v/>
      </c>
      <c r="D1097" s="41" t="n"/>
      <c r="E1097" s="42" t="n"/>
      <c r="F1097" s="43" t="n"/>
      <c r="G1097" s="44">
        <f>IF(OR(B1097="",F1097=""),"",IFERROR(F1097*INDEX(Mitarbeiter!$F$6:$F$205,MATCH(B1097,Mitarbeiter!$A$6:$A$205,0)),0))</f>
        <v/>
      </c>
      <c r="H1097" s="8">
        <f>IF(B1097="","",IF(ISNA(MATCH(B1097,Mitarbeiter!$A$6:$A$205,0)),"Pers.-Nr. unbekannt",IF(A1097="","Datum fehlt",IF(AND(D1097&lt;&gt;Einstellungen!$C$4,D1097&lt;&gt;Einstellungen!$C$5),"Objekt fehlt",IF(YEAR(A1097)&lt;&gt;Einstellungen!$C$3,"anderes Jahr",IF(A1097&lt;INDEX(Mitarbeiter!$C$6:$C$205,MATCH(B1097,Mitarbeiter!$A$6:$A$205,0)),"vor Eintritt",IF(AND(INDEX(Mitarbeiter!$D$6:$D$205,MATCH(B1097,Mitarbeiter!$A$6:$A$205,0))&lt;&gt;"",A1097&gt;INDEX(Mitarbeiter!$D$6:$D$205,MATCH(B1097,Mitarbeiter!$A$6:$A$205,0))),"nach Austritt","ok")))))))</f>
        <v/>
      </c>
    </row>
    <row r="1098">
      <c r="A1098" s="26" t="n"/>
      <c r="B1098" s="24" t="n"/>
      <c r="C1098" s="40">
        <f>IF(B1098="","",IFERROR(INDEX(Mitarbeiter!$B$6:$B$205,MATCH(B1098,Mitarbeiter!$A$6:$A$205,0)),"?"))</f>
        <v/>
      </c>
      <c r="D1098" s="41" t="n"/>
      <c r="E1098" s="42" t="n"/>
      <c r="F1098" s="43" t="n"/>
      <c r="G1098" s="44">
        <f>IF(OR(B1098="",F1098=""),"",IFERROR(F1098*INDEX(Mitarbeiter!$F$6:$F$205,MATCH(B1098,Mitarbeiter!$A$6:$A$205,0)),0))</f>
        <v/>
      </c>
      <c r="H1098" s="8">
        <f>IF(B1098="","",IF(ISNA(MATCH(B1098,Mitarbeiter!$A$6:$A$205,0)),"Pers.-Nr. unbekannt",IF(A1098="","Datum fehlt",IF(AND(D1098&lt;&gt;Einstellungen!$C$4,D1098&lt;&gt;Einstellungen!$C$5),"Objekt fehlt",IF(YEAR(A1098)&lt;&gt;Einstellungen!$C$3,"anderes Jahr",IF(A1098&lt;INDEX(Mitarbeiter!$C$6:$C$205,MATCH(B1098,Mitarbeiter!$A$6:$A$205,0)),"vor Eintritt",IF(AND(INDEX(Mitarbeiter!$D$6:$D$205,MATCH(B1098,Mitarbeiter!$A$6:$A$205,0))&lt;&gt;"",A1098&gt;INDEX(Mitarbeiter!$D$6:$D$205,MATCH(B1098,Mitarbeiter!$A$6:$A$205,0))),"nach Austritt","ok")))))))</f>
        <v/>
      </c>
    </row>
    <row r="1099">
      <c r="A1099" s="26" t="n"/>
      <c r="B1099" s="24" t="n"/>
      <c r="C1099" s="40">
        <f>IF(B1099="","",IFERROR(INDEX(Mitarbeiter!$B$6:$B$205,MATCH(B1099,Mitarbeiter!$A$6:$A$205,0)),"?"))</f>
        <v/>
      </c>
      <c r="D1099" s="41" t="n"/>
      <c r="E1099" s="42" t="n"/>
      <c r="F1099" s="43" t="n"/>
      <c r="G1099" s="44">
        <f>IF(OR(B1099="",F1099=""),"",IFERROR(F1099*INDEX(Mitarbeiter!$F$6:$F$205,MATCH(B1099,Mitarbeiter!$A$6:$A$205,0)),0))</f>
        <v/>
      </c>
      <c r="H1099" s="8">
        <f>IF(B1099="","",IF(ISNA(MATCH(B1099,Mitarbeiter!$A$6:$A$205,0)),"Pers.-Nr. unbekannt",IF(A1099="","Datum fehlt",IF(AND(D1099&lt;&gt;Einstellungen!$C$4,D1099&lt;&gt;Einstellungen!$C$5),"Objekt fehlt",IF(YEAR(A1099)&lt;&gt;Einstellungen!$C$3,"anderes Jahr",IF(A1099&lt;INDEX(Mitarbeiter!$C$6:$C$205,MATCH(B1099,Mitarbeiter!$A$6:$A$205,0)),"vor Eintritt",IF(AND(INDEX(Mitarbeiter!$D$6:$D$205,MATCH(B1099,Mitarbeiter!$A$6:$A$205,0))&lt;&gt;"",A1099&gt;INDEX(Mitarbeiter!$D$6:$D$205,MATCH(B1099,Mitarbeiter!$A$6:$A$205,0))),"nach Austritt","ok")))))))</f>
        <v/>
      </c>
    </row>
    <row r="1100">
      <c r="A1100" s="26" t="n"/>
      <c r="B1100" s="24" t="n"/>
      <c r="C1100" s="40">
        <f>IF(B1100="","",IFERROR(INDEX(Mitarbeiter!$B$6:$B$205,MATCH(B1100,Mitarbeiter!$A$6:$A$205,0)),"?"))</f>
        <v/>
      </c>
      <c r="D1100" s="41" t="n"/>
      <c r="E1100" s="42" t="n"/>
      <c r="F1100" s="43" t="n"/>
      <c r="G1100" s="44">
        <f>IF(OR(B1100="",F1100=""),"",IFERROR(F1100*INDEX(Mitarbeiter!$F$6:$F$205,MATCH(B1100,Mitarbeiter!$A$6:$A$205,0)),0))</f>
        <v/>
      </c>
      <c r="H1100" s="8">
        <f>IF(B1100="","",IF(ISNA(MATCH(B1100,Mitarbeiter!$A$6:$A$205,0)),"Pers.-Nr. unbekannt",IF(A1100="","Datum fehlt",IF(AND(D1100&lt;&gt;Einstellungen!$C$4,D1100&lt;&gt;Einstellungen!$C$5),"Objekt fehlt",IF(YEAR(A1100)&lt;&gt;Einstellungen!$C$3,"anderes Jahr",IF(A1100&lt;INDEX(Mitarbeiter!$C$6:$C$205,MATCH(B1100,Mitarbeiter!$A$6:$A$205,0)),"vor Eintritt",IF(AND(INDEX(Mitarbeiter!$D$6:$D$205,MATCH(B1100,Mitarbeiter!$A$6:$A$205,0))&lt;&gt;"",A1100&gt;INDEX(Mitarbeiter!$D$6:$D$205,MATCH(B1100,Mitarbeiter!$A$6:$A$205,0))),"nach Austritt","ok")))))))</f>
        <v/>
      </c>
    </row>
    <row r="1101">
      <c r="A1101" s="26" t="n"/>
      <c r="B1101" s="24" t="n"/>
      <c r="C1101" s="40">
        <f>IF(B1101="","",IFERROR(INDEX(Mitarbeiter!$B$6:$B$205,MATCH(B1101,Mitarbeiter!$A$6:$A$205,0)),"?"))</f>
        <v/>
      </c>
      <c r="D1101" s="41" t="n"/>
      <c r="E1101" s="42" t="n"/>
      <c r="F1101" s="43" t="n"/>
      <c r="G1101" s="44">
        <f>IF(OR(B1101="",F1101=""),"",IFERROR(F1101*INDEX(Mitarbeiter!$F$6:$F$205,MATCH(B1101,Mitarbeiter!$A$6:$A$205,0)),0))</f>
        <v/>
      </c>
      <c r="H1101" s="8">
        <f>IF(B1101="","",IF(ISNA(MATCH(B1101,Mitarbeiter!$A$6:$A$205,0)),"Pers.-Nr. unbekannt",IF(A1101="","Datum fehlt",IF(AND(D1101&lt;&gt;Einstellungen!$C$4,D1101&lt;&gt;Einstellungen!$C$5),"Objekt fehlt",IF(YEAR(A1101)&lt;&gt;Einstellungen!$C$3,"anderes Jahr",IF(A1101&lt;INDEX(Mitarbeiter!$C$6:$C$205,MATCH(B1101,Mitarbeiter!$A$6:$A$205,0)),"vor Eintritt",IF(AND(INDEX(Mitarbeiter!$D$6:$D$205,MATCH(B1101,Mitarbeiter!$A$6:$A$205,0))&lt;&gt;"",A1101&gt;INDEX(Mitarbeiter!$D$6:$D$205,MATCH(B1101,Mitarbeiter!$A$6:$A$205,0))),"nach Austritt","ok")))))))</f>
        <v/>
      </c>
    </row>
    <row r="1102">
      <c r="A1102" s="26" t="n"/>
      <c r="B1102" s="24" t="n"/>
      <c r="C1102" s="40">
        <f>IF(B1102="","",IFERROR(INDEX(Mitarbeiter!$B$6:$B$205,MATCH(B1102,Mitarbeiter!$A$6:$A$205,0)),"?"))</f>
        <v/>
      </c>
      <c r="D1102" s="41" t="n"/>
      <c r="E1102" s="42" t="n"/>
      <c r="F1102" s="43" t="n"/>
      <c r="G1102" s="44">
        <f>IF(OR(B1102="",F1102=""),"",IFERROR(F1102*INDEX(Mitarbeiter!$F$6:$F$205,MATCH(B1102,Mitarbeiter!$A$6:$A$205,0)),0))</f>
        <v/>
      </c>
      <c r="H1102" s="8">
        <f>IF(B1102="","",IF(ISNA(MATCH(B1102,Mitarbeiter!$A$6:$A$205,0)),"Pers.-Nr. unbekannt",IF(A1102="","Datum fehlt",IF(AND(D1102&lt;&gt;Einstellungen!$C$4,D1102&lt;&gt;Einstellungen!$C$5),"Objekt fehlt",IF(YEAR(A1102)&lt;&gt;Einstellungen!$C$3,"anderes Jahr",IF(A1102&lt;INDEX(Mitarbeiter!$C$6:$C$205,MATCH(B1102,Mitarbeiter!$A$6:$A$205,0)),"vor Eintritt",IF(AND(INDEX(Mitarbeiter!$D$6:$D$205,MATCH(B1102,Mitarbeiter!$A$6:$A$205,0))&lt;&gt;"",A1102&gt;INDEX(Mitarbeiter!$D$6:$D$205,MATCH(B1102,Mitarbeiter!$A$6:$A$205,0))),"nach Austritt","ok")))))))</f>
        <v/>
      </c>
    </row>
    <row r="1103">
      <c r="A1103" s="26" t="n"/>
      <c r="B1103" s="24" t="n"/>
      <c r="C1103" s="40">
        <f>IF(B1103="","",IFERROR(INDEX(Mitarbeiter!$B$6:$B$205,MATCH(B1103,Mitarbeiter!$A$6:$A$205,0)),"?"))</f>
        <v/>
      </c>
      <c r="D1103" s="41" t="n"/>
      <c r="E1103" s="42" t="n"/>
      <c r="F1103" s="43" t="n"/>
      <c r="G1103" s="44">
        <f>IF(OR(B1103="",F1103=""),"",IFERROR(F1103*INDEX(Mitarbeiter!$F$6:$F$205,MATCH(B1103,Mitarbeiter!$A$6:$A$205,0)),0))</f>
        <v/>
      </c>
      <c r="H1103" s="8">
        <f>IF(B1103="","",IF(ISNA(MATCH(B1103,Mitarbeiter!$A$6:$A$205,0)),"Pers.-Nr. unbekannt",IF(A1103="","Datum fehlt",IF(AND(D1103&lt;&gt;Einstellungen!$C$4,D1103&lt;&gt;Einstellungen!$C$5),"Objekt fehlt",IF(YEAR(A1103)&lt;&gt;Einstellungen!$C$3,"anderes Jahr",IF(A1103&lt;INDEX(Mitarbeiter!$C$6:$C$205,MATCH(B1103,Mitarbeiter!$A$6:$A$205,0)),"vor Eintritt",IF(AND(INDEX(Mitarbeiter!$D$6:$D$205,MATCH(B1103,Mitarbeiter!$A$6:$A$205,0))&lt;&gt;"",A1103&gt;INDEX(Mitarbeiter!$D$6:$D$205,MATCH(B1103,Mitarbeiter!$A$6:$A$205,0))),"nach Austritt","ok")))))))</f>
        <v/>
      </c>
    </row>
    <row r="1104">
      <c r="A1104" s="26" t="n"/>
      <c r="B1104" s="24" t="n"/>
      <c r="C1104" s="40">
        <f>IF(B1104="","",IFERROR(INDEX(Mitarbeiter!$B$6:$B$205,MATCH(B1104,Mitarbeiter!$A$6:$A$205,0)),"?"))</f>
        <v/>
      </c>
      <c r="D1104" s="41" t="n"/>
      <c r="E1104" s="42" t="n"/>
      <c r="F1104" s="43" t="n"/>
      <c r="G1104" s="44">
        <f>IF(OR(B1104="",F1104=""),"",IFERROR(F1104*INDEX(Mitarbeiter!$F$6:$F$205,MATCH(B1104,Mitarbeiter!$A$6:$A$205,0)),0))</f>
        <v/>
      </c>
      <c r="H1104" s="8">
        <f>IF(B1104="","",IF(ISNA(MATCH(B1104,Mitarbeiter!$A$6:$A$205,0)),"Pers.-Nr. unbekannt",IF(A1104="","Datum fehlt",IF(AND(D1104&lt;&gt;Einstellungen!$C$4,D1104&lt;&gt;Einstellungen!$C$5),"Objekt fehlt",IF(YEAR(A1104)&lt;&gt;Einstellungen!$C$3,"anderes Jahr",IF(A1104&lt;INDEX(Mitarbeiter!$C$6:$C$205,MATCH(B1104,Mitarbeiter!$A$6:$A$205,0)),"vor Eintritt",IF(AND(INDEX(Mitarbeiter!$D$6:$D$205,MATCH(B1104,Mitarbeiter!$A$6:$A$205,0))&lt;&gt;"",A1104&gt;INDEX(Mitarbeiter!$D$6:$D$205,MATCH(B1104,Mitarbeiter!$A$6:$A$205,0))),"nach Austritt","ok")))))))</f>
        <v/>
      </c>
    </row>
    <row r="1105">
      <c r="A1105" s="26" t="n"/>
      <c r="B1105" s="24" t="n"/>
      <c r="C1105" s="40">
        <f>IF(B1105="","",IFERROR(INDEX(Mitarbeiter!$B$6:$B$205,MATCH(B1105,Mitarbeiter!$A$6:$A$205,0)),"?"))</f>
        <v/>
      </c>
      <c r="D1105" s="41" t="n"/>
      <c r="E1105" s="42" t="n"/>
      <c r="F1105" s="43" t="n"/>
      <c r="G1105" s="44">
        <f>IF(OR(B1105="",F1105=""),"",IFERROR(F1105*INDEX(Mitarbeiter!$F$6:$F$205,MATCH(B1105,Mitarbeiter!$A$6:$A$205,0)),0))</f>
        <v/>
      </c>
      <c r="H1105" s="8">
        <f>IF(B1105="","",IF(ISNA(MATCH(B1105,Mitarbeiter!$A$6:$A$205,0)),"Pers.-Nr. unbekannt",IF(A1105="","Datum fehlt",IF(AND(D1105&lt;&gt;Einstellungen!$C$4,D1105&lt;&gt;Einstellungen!$C$5),"Objekt fehlt",IF(YEAR(A1105)&lt;&gt;Einstellungen!$C$3,"anderes Jahr",IF(A1105&lt;INDEX(Mitarbeiter!$C$6:$C$205,MATCH(B1105,Mitarbeiter!$A$6:$A$205,0)),"vor Eintritt",IF(AND(INDEX(Mitarbeiter!$D$6:$D$205,MATCH(B1105,Mitarbeiter!$A$6:$A$205,0))&lt;&gt;"",A1105&gt;INDEX(Mitarbeiter!$D$6:$D$205,MATCH(B1105,Mitarbeiter!$A$6:$A$205,0))),"nach Austritt","ok")))))))</f>
        <v/>
      </c>
    </row>
    <row r="1106">
      <c r="A1106" s="26" t="n"/>
      <c r="B1106" s="24" t="n"/>
      <c r="C1106" s="40">
        <f>IF(B1106="","",IFERROR(INDEX(Mitarbeiter!$B$6:$B$205,MATCH(B1106,Mitarbeiter!$A$6:$A$205,0)),"?"))</f>
        <v/>
      </c>
      <c r="D1106" s="41" t="n"/>
      <c r="E1106" s="42" t="n"/>
      <c r="F1106" s="43" t="n"/>
      <c r="G1106" s="44">
        <f>IF(OR(B1106="",F1106=""),"",IFERROR(F1106*INDEX(Mitarbeiter!$F$6:$F$205,MATCH(B1106,Mitarbeiter!$A$6:$A$205,0)),0))</f>
        <v/>
      </c>
      <c r="H1106" s="8">
        <f>IF(B1106="","",IF(ISNA(MATCH(B1106,Mitarbeiter!$A$6:$A$205,0)),"Pers.-Nr. unbekannt",IF(A1106="","Datum fehlt",IF(AND(D1106&lt;&gt;Einstellungen!$C$4,D1106&lt;&gt;Einstellungen!$C$5),"Objekt fehlt",IF(YEAR(A1106)&lt;&gt;Einstellungen!$C$3,"anderes Jahr",IF(A1106&lt;INDEX(Mitarbeiter!$C$6:$C$205,MATCH(B1106,Mitarbeiter!$A$6:$A$205,0)),"vor Eintritt",IF(AND(INDEX(Mitarbeiter!$D$6:$D$205,MATCH(B1106,Mitarbeiter!$A$6:$A$205,0))&lt;&gt;"",A1106&gt;INDEX(Mitarbeiter!$D$6:$D$205,MATCH(B1106,Mitarbeiter!$A$6:$A$205,0))),"nach Austritt","ok")))))))</f>
        <v/>
      </c>
    </row>
    <row r="1107">
      <c r="A1107" s="26" t="n"/>
      <c r="B1107" s="24" t="n"/>
      <c r="C1107" s="40">
        <f>IF(B1107="","",IFERROR(INDEX(Mitarbeiter!$B$6:$B$205,MATCH(B1107,Mitarbeiter!$A$6:$A$205,0)),"?"))</f>
        <v/>
      </c>
      <c r="D1107" s="41" t="n"/>
      <c r="E1107" s="42" t="n"/>
      <c r="F1107" s="43" t="n"/>
      <c r="G1107" s="44">
        <f>IF(OR(B1107="",F1107=""),"",IFERROR(F1107*INDEX(Mitarbeiter!$F$6:$F$205,MATCH(B1107,Mitarbeiter!$A$6:$A$205,0)),0))</f>
        <v/>
      </c>
      <c r="H1107" s="8">
        <f>IF(B1107="","",IF(ISNA(MATCH(B1107,Mitarbeiter!$A$6:$A$205,0)),"Pers.-Nr. unbekannt",IF(A1107="","Datum fehlt",IF(AND(D1107&lt;&gt;Einstellungen!$C$4,D1107&lt;&gt;Einstellungen!$C$5),"Objekt fehlt",IF(YEAR(A1107)&lt;&gt;Einstellungen!$C$3,"anderes Jahr",IF(A1107&lt;INDEX(Mitarbeiter!$C$6:$C$205,MATCH(B1107,Mitarbeiter!$A$6:$A$205,0)),"vor Eintritt",IF(AND(INDEX(Mitarbeiter!$D$6:$D$205,MATCH(B1107,Mitarbeiter!$A$6:$A$205,0))&lt;&gt;"",A1107&gt;INDEX(Mitarbeiter!$D$6:$D$205,MATCH(B1107,Mitarbeiter!$A$6:$A$205,0))),"nach Austritt","ok")))))))</f>
        <v/>
      </c>
    </row>
    <row r="1108">
      <c r="A1108" s="26" t="n"/>
      <c r="B1108" s="24" t="n"/>
      <c r="C1108" s="40">
        <f>IF(B1108="","",IFERROR(INDEX(Mitarbeiter!$B$6:$B$205,MATCH(B1108,Mitarbeiter!$A$6:$A$205,0)),"?"))</f>
        <v/>
      </c>
      <c r="D1108" s="41" t="n"/>
      <c r="E1108" s="42" t="n"/>
      <c r="F1108" s="43" t="n"/>
      <c r="G1108" s="44">
        <f>IF(OR(B1108="",F1108=""),"",IFERROR(F1108*INDEX(Mitarbeiter!$F$6:$F$205,MATCH(B1108,Mitarbeiter!$A$6:$A$205,0)),0))</f>
        <v/>
      </c>
      <c r="H1108" s="8">
        <f>IF(B1108="","",IF(ISNA(MATCH(B1108,Mitarbeiter!$A$6:$A$205,0)),"Pers.-Nr. unbekannt",IF(A1108="","Datum fehlt",IF(AND(D1108&lt;&gt;Einstellungen!$C$4,D1108&lt;&gt;Einstellungen!$C$5),"Objekt fehlt",IF(YEAR(A1108)&lt;&gt;Einstellungen!$C$3,"anderes Jahr",IF(A1108&lt;INDEX(Mitarbeiter!$C$6:$C$205,MATCH(B1108,Mitarbeiter!$A$6:$A$205,0)),"vor Eintritt",IF(AND(INDEX(Mitarbeiter!$D$6:$D$205,MATCH(B1108,Mitarbeiter!$A$6:$A$205,0))&lt;&gt;"",A1108&gt;INDEX(Mitarbeiter!$D$6:$D$205,MATCH(B1108,Mitarbeiter!$A$6:$A$205,0))),"nach Austritt","ok")))))))</f>
        <v/>
      </c>
    </row>
    <row r="1109">
      <c r="A1109" s="26" t="n"/>
      <c r="B1109" s="24" t="n"/>
      <c r="C1109" s="40">
        <f>IF(B1109="","",IFERROR(INDEX(Mitarbeiter!$B$6:$B$205,MATCH(B1109,Mitarbeiter!$A$6:$A$205,0)),"?"))</f>
        <v/>
      </c>
      <c r="D1109" s="41" t="n"/>
      <c r="E1109" s="42" t="n"/>
      <c r="F1109" s="43" t="n"/>
      <c r="G1109" s="44">
        <f>IF(OR(B1109="",F1109=""),"",IFERROR(F1109*INDEX(Mitarbeiter!$F$6:$F$205,MATCH(B1109,Mitarbeiter!$A$6:$A$205,0)),0))</f>
        <v/>
      </c>
      <c r="H1109" s="8">
        <f>IF(B1109="","",IF(ISNA(MATCH(B1109,Mitarbeiter!$A$6:$A$205,0)),"Pers.-Nr. unbekannt",IF(A1109="","Datum fehlt",IF(AND(D1109&lt;&gt;Einstellungen!$C$4,D1109&lt;&gt;Einstellungen!$C$5),"Objekt fehlt",IF(YEAR(A1109)&lt;&gt;Einstellungen!$C$3,"anderes Jahr",IF(A1109&lt;INDEX(Mitarbeiter!$C$6:$C$205,MATCH(B1109,Mitarbeiter!$A$6:$A$205,0)),"vor Eintritt",IF(AND(INDEX(Mitarbeiter!$D$6:$D$205,MATCH(B1109,Mitarbeiter!$A$6:$A$205,0))&lt;&gt;"",A1109&gt;INDEX(Mitarbeiter!$D$6:$D$205,MATCH(B1109,Mitarbeiter!$A$6:$A$205,0))),"nach Austritt","ok")))))))</f>
        <v/>
      </c>
    </row>
    <row r="1110">
      <c r="A1110" s="26" t="n"/>
      <c r="B1110" s="24" t="n"/>
      <c r="C1110" s="40">
        <f>IF(B1110="","",IFERROR(INDEX(Mitarbeiter!$B$6:$B$205,MATCH(B1110,Mitarbeiter!$A$6:$A$205,0)),"?"))</f>
        <v/>
      </c>
      <c r="D1110" s="41" t="n"/>
      <c r="E1110" s="42" t="n"/>
      <c r="F1110" s="43" t="n"/>
      <c r="G1110" s="44">
        <f>IF(OR(B1110="",F1110=""),"",IFERROR(F1110*INDEX(Mitarbeiter!$F$6:$F$205,MATCH(B1110,Mitarbeiter!$A$6:$A$205,0)),0))</f>
        <v/>
      </c>
      <c r="H1110" s="8">
        <f>IF(B1110="","",IF(ISNA(MATCH(B1110,Mitarbeiter!$A$6:$A$205,0)),"Pers.-Nr. unbekannt",IF(A1110="","Datum fehlt",IF(AND(D1110&lt;&gt;Einstellungen!$C$4,D1110&lt;&gt;Einstellungen!$C$5),"Objekt fehlt",IF(YEAR(A1110)&lt;&gt;Einstellungen!$C$3,"anderes Jahr",IF(A1110&lt;INDEX(Mitarbeiter!$C$6:$C$205,MATCH(B1110,Mitarbeiter!$A$6:$A$205,0)),"vor Eintritt",IF(AND(INDEX(Mitarbeiter!$D$6:$D$205,MATCH(B1110,Mitarbeiter!$A$6:$A$205,0))&lt;&gt;"",A1110&gt;INDEX(Mitarbeiter!$D$6:$D$205,MATCH(B1110,Mitarbeiter!$A$6:$A$205,0))),"nach Austritt","ok")))))))</f>
        <v/>
      </c>
    </row>
    <row r="1111">
      <c r="A1111" s="26" t="n"/>
      <c r="B1111" s="24" t="n"/>
      <c r="C1111" s="40">
        <f>IF(B1111="","",IFERROR(INDEX(Mitarbeiter!$B$6:$B$205,MATCH(B1111,Mitarbeiter!$A$6:$A$205,0)),"?"))</f>
        <v/>
      </c>
      <c r="D1111" s="41" t="n"/>
      <c r="E1111" s="42" t="n"/>
      <c r="F1111" s="43" t="n"/>
      <c r="G1111" s="44">
        <f>IF(OR(B1111="",F1111=""),"",IFERROR(F1111*INDEX(Mitarbeiter!$F$6:$F$205,MATCH(B1111,Mitarbeiter!$A$6:$A$205,0)),0))</f>
        <v/>
      </c>
      <c r="H1111" s="8">
        <f>IF(B1111="","",IF(ISNA(MATCH(B1111,Mitarbeiter!$A$6:$A$205,0)),"Pers.-Nr. unbekannt",IF(A1111="","Datum fehlt",IF(AND(D1111&lt;&gt;Einstellungen!$C$4,D1111&lt;&gt;Einstellungen!$C$5),"Objekt fehlt",IF(YEAR(A1111)&lt;&gt;Einstellungen!$C$3,"anderes Jahr",IF(A1111&lt;INDEX(Mitarbeiter!$C$6:$C$205,MATCH(B1111,Mitarbeiter!$A$6:$A$205,0)),"vor Eintritt",IF(AND(INDEX(Mitarbeiter!$D$6:$D$205,MATCH(B1111,Mitarbeiter!$A$6:$A$205,0))&lt;&gt;"",A1111&gt;INDEX(Mitarbeiter!$D$6:$D$205,MATCH(B1111,Mitarbeiter!$A$6:$A$205,0))),"nach Austritt","ok")))))))</f>
        <v/>
      </c>
    </row>
    <row r="1112">
      <c r="A1112" s="26" t="n"/>
      <c r="B1112" s="24" t="n"/>
      <c r="C1112" s="40">
        <f>IF(B1112="","",IFERROR(INDEX(Mitarbeiter!$B$6:$B$205,MATCH(B1112,Mitarbeiter!$A$6:$A$205,0)),"?"))</f>
        <v/>
      </c>
      <c r="D1112" s="41" t="n"/>
      <c r="E1112" s="42" t="n"/>
      <c r="F1112" s="43" t="n"/>
      <c r="G1112" s="44">
        <f>IF(OR(B1112="",F1112=""),"",IFERROR(F1112*INDEX(Mitarbeiter!$F$6:$F$205,MATCH(B1112,Mitarbeiter!$A$6:$A$205,0)),0))</f>
        <v/>
      </c>
      <c r="H1112" s="8">
        <f>IF(B1112="","",IF(ISNA(MATCH(B1112,Mitarbeiter!$A$6:$A$205,0)),"Pers.-Nr. unbekannt",IF(A1112="","Datum fehlt",IF(AND(D1112&lt;&gt;Einstellungen!$C$4,D1112&lt;&gt;Einstellungen!$C$5),"Objekt fehlt",IF(YEAR(A1112)&lt;&gt;Einstellungen!$C$3,"anderes Jahr",IF(A1112&lt;INDEX(Mitarbeiter!$C$6:$C$205,MATCH(B1112,Mitarbeiter!$A$6:$A$205,0)),"vor Eintritt",IF(AND(INDEX(Mitarbeiter!$D$6:$D$205,MATCH(B1112,Mitarbeiter!$A$6:$A$205,0))&lt;&gt;"",A1112&gt;INDEX(Mitarbeiter!$D$6:$D$205,MATCH(B1112,Mitarbeiter!$A$6:$A$205,0))),"nach Austritt","ok")))))))</f>
        <v/>
      </c>
    </row>
    <row r="1113">
      <c r="A1113" s="26" t="n"/>
      <c r="B1113" s="24" t="n"/>
      <c r="C1113" s="40">
        <f>IF(B1113="","",IFERROR(INDEX(Mitarbeiter!$B$6:$B$205,MATCH(B1113,Mitarbeiter!$A$6:$A$205,0)),"?"))</f>
        <v/>
      </c>
      <c r="D1113" s="41" t="n"/>
      <c r="E1113" s="42" t="n"/>
      <c r="F1113" s="43" t="n"/>
      <c r="G1113" s="44">
        <f>IF(OR(B1113="",F1113=""),"",IFERROR(F1113*INDEX(Mitarbeiter!$F$6:$F$205,MATCH(B1113,Mitarbeiter!$A$6:$A$205,0)),0))</f>
        <v/>
      </c>
      <c r="H1113" s="8">
        <f>IF(B1113="","",IF(ISNA(MATCH(B1113,Mitarbeiter!$A$6:$A$205,0)),"Pers.-Nr. unbekannt",IF(A1113="","Datum fehlt",IF(AND(D1113&lt;&gt;Einstellungen!$C$4,D1113&lt;&gt;Einstellungen!$C$5),"Objekt fehlt",IF(YEAR(A1113)&lt;&gt;Einstellungen!$C$3,"anderes Jahr",IF(A1113&lt;INDEX(Mitarbeiter!$C$6:$C$205,MATCH(B1113,Mitarbeiter!$A$6:$A$205,0)),"vor Eintritt",IF(AND(INDEX(Mitarbeiter!$D$6:$D$205,MATCH(B1113,Mitarbeiter!$A$6:$A$205,0))&lt;&gt;"",A1113&gt;INDEX(Mitarbeiter!$D$6:$D$205,MATCH(B1113,Mitarbeiter!$A$6:$A$205,0))),"nach Austritt","ok")))))))</f>
        <v/>
      </c>
    </row>
    <row r="1114">
      <c r="A1114" s="26" t="n"/>
      <c r="B1114" s="24" t="n"/>
      <c r="C1114" s="40">
        <f>IF(B1114="","",IFERROR(INDEX(Mitarbeiter!$B$6:$B$205,MATCH(B1114,Mitarbeiter!$A$6:$A$205,0)),"?"))</f>
        <v/>
      </c>
      <c r="D1114" s="41" t="n"/>
      <c r="E1114" s="42" t="n"/>
      <c r="F1114" s="43" t="n"/>
      <c r="G1114" s="44">
        <f>IF(OR(B1114="",F1114=""),"",IFERROR(F1114*INDEX(Mitarbeiter!$F$6:$F$205,MATCH(B1114,Mitarbeiter!$A$6:$A$205,0)),0))</f>
        <v/>
      </c>
      <c r="H1114" s="8">
        <f>IF(B1114="","",IF(ISNA(MATCH(B1114,Mitarbeiter!$A$6:$A$205,0)),"Pers.-Nr. unbekannt",IF(A1114="","Datum fehlt",IF(AND(D1114&lt;&gt;Einstellungen!$C$4,D1114&lt;&gt;Einstellungen!$C$5),"Objekt fehlt",IF(YEAR(A1114)&lt;&gt;Einstellungen!$C$3,"anderes Jahr",IF(A1114&lt;INDEX(Mitarbeiter!$C$6:$C$205,MATCH(B1114,Mitarbeiter!$A$6:$A$205,0)),"vor Eintritt",IF(AND(INDEX(Mitarbeiter!$D$6:$D$205,MATCH(B1114,Mitarbeiter!$A$6:$A$205,0))&lt;&gt;"",A1114&gt;INDEX(Mitarbeiter!$D$6:$D$205,MATCH(B1114,Mitarbeiter!$A$6:$A$205,0))),"nach Austritt","ok")))))))</f>
        <v/>
      </c>
    </row>
    <row r="1115">
      <c r="A1115" s="26" t="n"/>
      <c r="B1115" s="24" t="n"/>
      <c r="C1115" s="40">
        <f>IF(B1115="","",IFERROR(INDEX(Mitarbeiter!$B$6:$B$205,MATCH(B1115,Mitarbeiter!$A$6:$A$205,0)),"?"))</f>
        <v/>
      </c>
      <c r="D1115" s="41" t="n"/>
      <c r="E1115" s="42" t="n"/>
      <c r="F1115" s="43" t="n"/>
      <c r="G1115" s="44">
        <f>IF(OR(B1115="",F1115=""),"",IFERROR(F1115*INDEX(Mitarbeiter!$F$6:$F$205,MATCH(B1115,Mitarbeiter!$A$6:$A$205,0)),0))</f>
        <v/>
      </c>
      <c r="H1115" s="8">
        <f>IF(B1115="","",IF(ISNA(MATCH(B1115,Mitarbeiter!$A$6:$A$205,0)),"Pers.-Nr. unbekannt",IF(A1115="","Datum fehlt",IF(AND(D1115&lt;&gt;Einstellungen!$C$4,D1115&lt;&gt;Einstellungen!$C$5),"Objekt fehlt",IF(YEAR(A1115)&lt;&gt;Einstellungen!$C$3,"anderes Jahr",IF(A1115&lt;INDEX(Mitarbeiter!$C$6:$C$205,MATCH(B1115,Mitarbeiter!$A$6:$A$205,0)),"vor Eintritt",IF(AND(INDEX(Mitarbeiter!$D$6:$D$205,MATCH(B1115,Mitarbeiter!$A$6:$A$205,0))&lt;&gt;"",A1115&gt;INDEX(Mitarbeiter!$D$6:$D$205,MATCH(B1115,Mitarbeiter!$A$6:$A$205,0))),"nach Austritt","ok")))))))</f>
        <v/>
      </c>
    </row>
    <row r="1116">
      <c r="A1116" s="26" t="n"/>
      <c r="B1116" s="24" t="n"/>
      <c r="C1116" s="40">
        <f>IF(B1116="","",IFERROR(INDEX(Mitarbeiter!$B$6:$B$205,MATCH(B1116,Mitarbeiter!$A$6:$A$205,0)),"?"))</f>
        <v/>
      </c>
      <c r="D1116" s="41" t="n"/>
      <c r="E1116" s="42" t="n"/>
      <c r="F1116" s="43" t="n"/>
      <c r="G1116" s="44">
        <f>IF(OR(B1116="",F1116=""),"",IFERROR(F1116*INDEX(Mitarbeiter!$F$6:$F$205,MATCH(B1116,Mitarbeiter!$A$6:$A$205,0)),0))</f>
        <v/>
      </c>
      <c r="H1116" s="8">
        <f>IF(B1116="","",IF(ISNA(MATCH(B1116,Mitarbeiter!$A$6:$A$205,0)),"Pers.-Nr. unbekannt",IF(A1116="","Datum fehlt",IF(AND(D1116&lt;&gt;Einstellungen!$C$4,D1116&lt;&gt;Einstellungen!$C$5),"Objekt fehlt",IF(YEAR(A1116)&lt;&gt;Einstellungen!$C$3,"anderes Jahr",IF(A1116&lt;INDEX(Mitarbeiter!$C$6:$C$205,MATCH(B1116,Mitarbeiter!$A$6:$A$205,0)),"vor Eintritt",IF(AND(INDEX(Mitarbeiter!$D$6:$D$205,MATCH(B1116,Mitarbeiter!$A$6:$A$205,0))&lt;&gt;"",A1116&gt;INDEX(Mitarbeiter!$D$6:$D$205,MATCH(B1116,Mitarbeiter!$A$6:$A$205,0))),"nach Austritt","ok")))))))</f>
        <v/>
      </c>
    </row>
    <row r="1117">
      <c r="A1117" s="26" t="n"/>
      <c r="B1117" s="24" t="n"/>
      <c r="C1117" s="40">
        <f>IF(B1117="","",IFERROR(INDEX(Mitarbeiter!$B$6:$B$205,MATCH(B1117,Mitarbeiter!$A$6:$A$205,0)),"?"))</f>
        <v/>
      </c>
      <c r="D1117" s="41" t="n"/>
      <c r="E1117" s="42" t="n"/>
      <c r="F1117" s="43" t="n"/>
      <c r="G1117" s="44">
        <f>IF(OR(B1117="",F1117=""),"",IFERROR(F1117*INDEX(Mitarbeiter!$F$6:$F$205,MATCH(B1117,Mitarbeiter!$A$6:$A$205,0)),0))</f>
        <v/>
      </c>
      <c r="H1117" s="8">
        <f>IF(B1117="","",IF(ISNA(MATCH(B1117,Mitarbeiter!$A$6:$A$205,0)),"Pers.-Nr. unbekannt",IF(A1117="","Datum fehlt",IF(AND(D1117&lt;&gt;Einstellungen!$C$4,D1117&lt;&gt;Einstellungen!$C$5),"Objekt fehlt",IF(YEAR(A1117)&lt;&gt;Einstellungen!$C$3,"anderes Jahr",IF(A1117&lt;INDEX(Mitarbeiter!$C$6:$C$205,MATCH(B1117,Mitarbeiter!$A$6:$A$205,0)),"vor Eintritt",IF(AND(INDEX(Mitarbeiter!$D$6:$D$205,MATCH(B1117,Mitarbeiter!$A$6:$A$205,0))&lt;&gt;"",A1117&gt;INDEX(Mitarbeiter!$D$6:$D$205,MATCH(B1117,Mitarbeiter!$A$6:$A$205,0))),"nach Austritt","ok")))))))</f>
        <v/>
      </c>
    </row>
    <row r="1118">
      <c r="A1118" s="26" t="n"/>
      <c r="B1118" s="24" t="n"/>
      <c r="C1118" s="40">
        <f>IF(B1118="","",IFERROR(INDEX(Mitarbeiter!$B$6:$B$205,MATCH(B1118,Mitarbeiter!$A$6:$A$205,0)),"?"))</f>
        <v/>
      </c>
      <c r="D1118" s="41" t="n"/>
      <c r="E1118" s="42" t="n"/>
      <c r="F1118" s="43" t="n"/>
      <c r="G1118" s="44">
        <f>IF(OR(B1118="",F1118=""),"",IFERROR(F1118*INDEX(Mitarbeiter!$F$6:$F$205,MATCH(B1118,Mitarbeiter!$A$6:$A$205,0)),0))</f>
        <v/>
      </c>
      <c r="H1118" s="8">
        <f>IF(B1118="","",IF(ISNA(MATCH(B1118,Mitarbeiter!$A$6:$A$205,0)),"Pers.-Nr. unbekannt",IF(A1118="","Datum fehlt",IF(AND(D1118&lt;&gt;Einstellungen!$C$4,D1118&lt;&gt;Einstellungen!$C$5),"Objekt fehlt",IF(YEAR(A1118)&lt;&gt;Einstellungen!$C$3,"anderes Jahr",IF(A1118&lt;INDEX(Mitarbeiter!$C$6:$C$205,MATCH(B1118,Mitarbeiter!$A$6:$A$205,0)),"vor Eintritt",IF(AND(INDEX(Mitarbeiter!$D$6:$D$205,MATCH(B1118,Mitarbeiter!$A$6:$A$205,0))&lt;&gt;"",A1118&gt;INDEX(Mitarbeiter!$D$6:$D$205,MATCH(B1118,Mitarbeiter!$A$6:$A$205,0))),"nach Austritt","ok")))))))</f>
        <v/>
      </c>
    </row>
    <row r="1119">
      <c r="A1119" s="26" t="n"/>
      <c r="B1119" s="24" t="n"/>
      <c r="C1119" s="40">
        <f>IF(B1119="","",IFERROR(INDEX(Mitarbeiter!$B$6:$B$205,MATCH(B1119,Mitarbeiter!$A$6:$A$205,0)),"?"))</f>
        <v/>
      </c>
      <c r="D1119" s="41" t="n"/>
      <c r="E1119" s="42" t="n"/>
      <c r="F1119" s="43" t="n"/>
      <c r="G1119" s="44">
        <f>IF(OR(B1119="",F1119=""),"",IFERROR(F1119*INDEX(Mitarbeiter!$F$6:$F$205,MATCH(B1119,Mitarbeiter!$A$6:$A$205,0)),0))</f>
        <v/>
      </c>
      <c r="H1119" s="8">
        <f>IF(B1119="","",IF(ISNA(MATCH(B1119,Mitarbeiter!$A$6:$A$205,0)),"Pers.-Nr. unbekannt",IF(A1119="","Datum fehlt",IF(AND(D1119&lt;&gt;Einstellungen!$C$4,D1119&lt;&gt;Einstellungen!$C$5),"Objekt fehlt",IF(YEAR(A1119)&lt;&gt;Einstellungen!$C$3,"anderes Jahr",IF(A1119&lt;INDEX(Mitarbeiter!$C$6:$C$205,MATCH(B1119,Mitarbeiter!$A$6:$A$205,0)),"vor Eintritt",IF(AND(INDEX(Mitarbeiter!$D$6:$D$205,MATCH(B1119,Mitarbeiter!$A$6:$A$205,0))&lt;&gt;"",A1119&gt;INDEX(Mitarbeiter!$D$6:$D$205,MATCH(B1119,Mitarbeiter!$A$6:$A$205,0))),"nach Austritt","ok")))))))</f>
        <v/>
      </c>
    </row>
    <row r="1120">
      <c r="A1120" s="26" t="n"/>
      <c r="B1120" s="24" t="n"/>
      <c r="C1120" s="40">
        <f>IF(B1120="","",IFERROR(INDEX(Mitarbeiter!$B$6:$B$205,MATCH(B1120,Mitarbeiter!$A$6:$A$205,0)),"?"))</f>
        <v/>
      </c>
      <c r="D1120" s="41" t="n"/>
      <c r="E1120" s="42" t="n"/>
      <c r="F1120" s="43" t="n"/>
      <c r="G1120" s="44">
        <f>IF(OR(B1120="",F1120=""),"",IFERROR(F1120*INDEX(Mitarbeiter!$F$6:$F$205,MATCH(B1120,Mitarbeiter!$A$6:$A$205,0)),0))</f>
        <v/>
      </c>
      <c r="H1120" s="8">
        <f>IF(B1120="","",IF(ISNA(MATCH(B1120,Mitarbeiter!$A$6:$A$205,0)),"Pers.-Nr. unbekannt",IF(A1120="","Datum fehlt",IF(AND(D1120&lt;&gt;Einstellungen!$C$4,D1120&lt;&gt;Einstellungen!$C$5),"Objekt fehlt",IF(YEAR(A1120)&lt;&gt;Einstellungen!$C$3,"anderes Jahr",IF(A1120&lt;INDEX(Mitarbeiter!$C$6:$C$205,MATCH(B1120,Mitarbeiter!$A$6:$A$205,0)),"vor Eintritt",IF(AND(INDEX(Mitarbeiter!$D$6:$D$205,MATCH(B1120,Mitarbeiter!$A$6:$A$205,0))&lt;&gt;"",A1120&gt;INDEX(Mitarbeiter!$D$6:$D$205,MATCH(B1120,Mitarbeiter!$A$6:$A$205,0))),"nach Austritt","ok")))))))</f>
        <v/>
      </c>
    </row>
    <row r="1121">
      <c r="A1121" s="26" t="n"/>
      <c r="B1121" s="24" t="n"/>
      <c r="C1121" s="40">
        <f>IF(B1121="","",IFERROR(INDEX(Mitarbeiter!$B$6:$B$205,MATCH(B1121,Mitarbeiter!$A$6:$A$205,0)),"?"))</f>
        <v/>
      </c>
      <c r="D1121" s="41" t="n"/>
      <c r="E1121" s="42" t="n"/>
      <c r="F1121" s="43" t="n"/>
      <c r="G1121" s="44">
        <f>IF(OR(B1121="",F1121=""),"",IFERROR(F1121*INDEX(Mitarbeiter!$F$6:$F$205,MATCH(B1121,Mitarbeiter!$A$6:$A$205,0)),0))</f>
        <v/>
      </c>
      <c r="H1121" s="8">
        <f>IF(B1121="","",IF(ISNA(MATCH(B1121,Mitarbeiter!$A$6:$A$205,0)),"Pers.-Nr. unbekannt",IF(A1121="","Datum fehlt",IF(AND(D1121&lt;&gt;Einstellungen!$C$4,D1121&lt;&gt;Einstellungen!$C$5),"Objekt fehlt",IF(YEAR(A1121)&lt;&gt;Einstellungen!$C$3,"anderes Jahr",IF(A1121&lt;INDEX(Mitarbeiter!$C$6:$C$205,MATCH(B1121,Mitarbeiter!$A$6:$A$205,0)),"vor Eintritt",IF(AND(INDEX(Mitarbeiter!$D$6:$D$205,MATCH(B1121,Mitarbeiter!$A$6:$A$205,0))&lt;&gt;"",A1121&gt;INDEX(Mitarbeiter!$D$6:$D$205,MATCH(B1121,Mitarbeiter!$A$6:$A$205,0))),"nach Austritt","ok")))))))</f>
        <v/>
      </c>
    </row>
    <row r="1122">
      <c r="A1122" s="26" t="n"/>
      <c r="B1122" s="24" t="n"/>
      <c r="C1122" s="40">
        <f>IF(B1122="","",IFERROR(INDEX(Mitarbeiter!$B$6:$B$205,MATCH(B1122,Mitarbeiter!$A$6:$A$205,0)),"?"))</f>
        <v/>
      </c>
      <c r="D1122" s="41" t="n"/>
      <c r="E1122" s="42" t="n"/>
      <c r="F1122" s="43" t="n"/>
      <c r="G1122" s="44">
        <f>IF(OR(B1122="",F1122=""),"",IFERROR(F1122*INDEX(Mitarbeiter!$F$6:$F$205,MATCH(B1122,Mitarbeiter!$A$6:$A$205,0)),0))</f>
        <v/>
      </c>
      <c r="H1122" s="8">
        <f>IF(B1122="","",IF(ISNA(MATCH(B1122,Mitarbeiter!$A$6:$A$205,0)),"Pers.-Nr. unbekannt",IF(A1122="","Datum fehlt",IF(AND(D1122&lt;&gt;Einstellungen!$C$4,D1122&lt;&gt;Einstellungen!$C$5),"Objekt fehlt",IF(YEAR(A1122)&lt;&gt;Einstellungen!$C$3,"anderes Jahr",IF(A1122&lt;INDEX(Mitarbeiter!$C$6:$C$205,MATCH(B1122,Mitarbeiter!$A$6:$A$205,0)),"vor Eintritt",IF(AND(INDEX(Mitarbeiter!$D$6:$D$205,MATCH(B1122,Mitarbeiter!$A$6:$A$205,0))&lt;&gt;"",A1122&gt;INDEX(Mitarbeiter!$D$6:$D$205,MATCH(B1122,Mitarbeiter!$A$6:$A$205,0))),"nach Austritt","ok")))))))</f>
        <v/>
      </c>
    </row>
    <row r="1123">
      <c r="A1123" s="26" t="n"/>
      <c r="B1123" s="24" t="n"/>
      <c r="C1123" s="40">
        <f>IF(B1123="","",IFERROR(INDEX(Mitarbeiter!$B$6:$B$205,MATCH(B1123,Mitarbeiter!$A$6:$A$205,0)),"?"))</f>
        <v/>
      </c>
      <c r="D1123" s="41" t="n"/>
      <c r="E1123" s="42" t="n"/>
      <c r="F1123" s="43" t="n"/>
      <c r="G1123" s="44">
        <f>IF(OR(B1123="",F1123=""),"",IFERROR(F1123*INDEX(Mitarbeiter!$F$6:$F$205,MATCH(B1123,Mitarbeiter!$A$6:$A$205,0)),0))</f>
        <v/>
      </c>
      <c r="H1123" s="8">
        <f>IF(B1123="","",IF(ISNA(MATCH(B1123,Mitarbeiter!$A$6:$A$205,0)),"Pers.-Nr. unbekannt",IF(A1123="","Datum fehlt",IF(AND(D1123&lt;&gt;Einstellungen!$C$4,D1123&lt;&gt;Einstellungen!$C$5),"Objekt fehlt",IF(YEAR(A1123)&lt;&gt;Einstellungen!$C$3,"anderes Jahr",IF(A1123&lt;INDEX(Mitarbeiter!$C$6:$C$205,MATCH(B1123,Mitarbeiter!$A$6:$A$205,0)),"vor Eintritt",IF(AND(INDEX(Mitarbeiter!$D$6:$D$205,MATCH(B1123,Mitarbeiter!$A$6:$A$205,0))&lt;&gt;"",A1123&gt;INDEX(Mitarbeiter!$D$6:$D$205,MATCH(B1123,Mitarbeiter!$A$6:$A$205,0))),"nach Austritt","ok")))))))</f>
        <v/>
      </c>
    </row>
    <row r="1124">
      <c r="A1124" s="26" t="n"/>
      <c r="B1124" s="24" t="n"/>
      <c r="C1124" s="40">
        <f>IF(B1124="","",IFERROR(INDEX(Mitarbeiter!$B$6:$B$205,MATCH(B1124,Mitarbeiter!$A$6:$A$205,0)),"?"))</f>
        <v/>
      </c>
      <c r="D1124" s="41" t="n"/>
      <c r="E1124" s="42" t="n"/>
      <c r="F1124" s="43" t="n"/>
      <c r="G1124" s="44">
        <f>IF(OR(B1124="",F1124=""),"",IFERROR(F1124*INDEX(Mitarbeiter!$F$6:$F$205,MATCH(B1124,Mitarbeiter!$A$6:$A$205,0)),0))</f>
        <v/>
      </c>
      <c r="H1124" s="8">
        <f>IF(B1124="","",IF(ISNA(MATCH(B1124,Mitarbeiter!$A$6:$A$205,0)),"Pers.-Nr. unbekannt",IF(A1124="","Datum fehlt",IF(AND(D1124&lt;&gt;Einstellungen!$C$4,D1124&lt;&gt;Einstellungen!$C$5),"Objekt fehlt",IF(YEAR(A1124)&lt;&gt;Einstellungen!$C$3,"anderes Jahr",IF(A1124&lt;INDEX(Mitarbeiter!$C$6:$C$205,MATCH(B1124,Mitarbeiter!$A$6:$A$205,0)),"vor Eintritt",IF(AND(INDEX(Mitarbeiter!$D$6:$D$205,MATCH(B1124,Mitarbeiter!$A$6:$A$205,0))&lt;&gt;"",A1124&gt;INDEX(Mitarbeiter!$D$6:$D$205,MATCH(B1124,Mitarbeiter!$A$6:$A$205,0))),"nach Austritt","ok")))))))</f>
        <v/>
      </c>
    </row>
    <row r="1125">
      <c r="A1125" s="26" t="n"/>
      <c r="B1125" s="24" t="n"/>
      <c r="C1125" s="40">
        <f>IF(B1125="","",IFERROR(INDEX(Mitarbeiter!$B$6:$B$205,MATCH(B1125,Mitarbeiter!$A$6:$A$205,0)),"?"))</f>
        <v/>
      </c>
      <c r="D1125" s="41" t="n"/>
      <c r="E1125" s="42" t="n"/>
      <c r="F1125" s="43" t="n"/>
      <c r="G1125" s="44">
        <f>IF(OR(B1125="",F1125=""),"",IFERROR(F1125*INDEX(Mitarbeiter!$F$6:$F$205,MATCH(B1125,Mitarbeiter!$A$6:$A$205,0)),0))</f>
        <v/>
      </c>
      <c r="H1125" s="8">
        <f>IF(B1125="","",IF(ISNA(MATCH(B1125,Mitarbeiter!$A$6:$A$205,0)),"Pers.-Nr. unbekannt",IF(A1125="","Datum fehlt",IF(AND(D1125&lt;&gt;Einstellungen!$C$4,D1125&lt;&gt;Einstellungen!$C$5),"Objekt fehlt",IF(YEAR(A1125)&lt;&gt;Einstellungen!$C$3,"anderes Jahr",IF(A1125&lt;INDEX(Mitarbeiter!$C$6:$C$205,MATCH(B1125,Mitarbeiter!$A$6:$A$205,0)),"vor Eintritt",IF(AND(INDEX(Mitarbeiter!$D$6:$D$205,MATCH(B1125,Mitarbeiter!$A$6:$A$205,0))&lt;&gt;"",A1125&gt;INDEX(Mitarbeiter!$D$6:$D$205,MATCH(B1125,Mitarbeiter!$A$6:$A$205,0))),"nach Austritt","ok")))))))</f>
        <v/>
      </c>
    </row>
    <row r="1126">
      <c r="A1126" s="26" t="n"/>
      <c r="B1126" s="24" t="n"/>
      <c r="C1126" s="40">
        <f>IF(B1126="","",IFERROR(INDEX(Mitarbeiter!$B$6:$B$205,MATCH(B1126,Mitarbeiter!$A$6:$A$205,0)),"?"))</f>
        <v/>
      </c>
      <c r="D1126" s="41" t="n"/>
      <c r="E1126" s="42" t="n"/>
      <c r="F1126" s="43" t="n"/>
      <c r="G1126" s="44">
        <f>IF(OR(B1126="",F1126=""),"",IFERROR(F1126*INDEX(Mitarbeiter!$F$6:$F$205,MATCH(B1126,Mitarbeiter!$A$6:$A$205,0)),0))</f>
        <v/>
      </c>
      <c r="H1126" s="8">
        <f>IF(B1126="","",IF(ISNA(MATCH(B1126,Mitarbeiter!$A$6:$A$205,0)),"Pers.-Nr. unbekannt",IF(A1126="","Datum fehlt",IF(AND(D1126&lt;&gt;Einstellungen!$C$4,D1126&lt;&gt;Einstellungen!$C$5),"Objekt fehlt",IF(YEAR(A1126)&lt;&gt;Einstellungen!$C$3,"anderes Jahr",IF(A1126&lt;INDEX(Mitarbeiter!$C$6:$C$205,MATCH(B1126,Mitarbeiter!$A$6:$A$205,0)),"vor Eintritt",IF(AND(INDEX(Mitarbeiter!$D$6:$D$205,MATCH(B1126,Mitarbeiter!$A$6:$A$205,0))&lt;&gt;"",A1126&gt;INDEX(Mitarbeiter!$D$6:$D$205,MATCH(B1126,Mitarbeiter!$A$6:$A$205,0))),"nach Austritt","ok")))))))</f>
        <v/>
      </c>
    </row>
    <row r="1127">
      <c r="A1127" s="26" t="n"/>
      <c r="B1127" s="24" t="n"/>
      <c r="C1127" s="40">
        <f>IF(B1127="","",IFERROR(INDEX(Mitarbeiter!$B$6:$B$205,MATCH(B1127,Mitarbeiter!$A$6:$A$205,0)),"?"))</f>
        <v/>
      </c>
      <c r="D1127" s="41" t="n"/>
      <c r="E1127" s="42" t="n"/>
      <c r="F1127" s="43" t="n"/>
      <c r="G1127" s="44">
        <f>IF(OR(B1127="",F1127=""),"",IFERROR(F1127*INDEX(Mitarbeiter!$F$6:$F$205,MATCH(B1127,Mitarbeiter!$A$6:$A$205,0)),0))</f>
        <v/>
      </c>
      <c r="H1127" s="8">
        <f>IF(B1127="","",IF(ISNA(MATCH(B1127,Mitarbeiter!$A$6:$A$205,0)),"Pers.-Nr. unbekannt",IF(A1127="","Datum fehlt",IF(AND(D1127&lt;&gt;Einstellungen!$C$4,D1127&lt;&gt;Einstellungen!$C$5),"Objekt fehlt",IF(YEAR(A1127)&lt;&gt;Einstellungen!$C$3,"anderes Jahr",IF(A1127&lt;INDEX(Mitarbeiter!$C$6:$C$205,MATCH(B1127,Mitarbeiter!$A$6:$A$205,0)),"vor Eintritt",IF(AND(INDEX(Mitarbeiter!$D$6:$D$205,MATCH(B1127,Mitarbeiter!$A$6:$A$205,0))&lt;&gt;"",A1127&gt;INDEX(Mitarbeiter!$D$6:$D$205,MATCH(B1127,Mitarbeiter!$A$6:$A$205,0))),"nach Austritt","ok")))))))</f>
        <v/>
      </c>
    </row>
    <row r="1128">
      <c r="A1128" s="26" t="n"/>
      <c r="B1128" s="24" t="n"/>
      <c r="C1128" s="40">
        <f>IF(B1128="","",IFERROR(INDEX(Mitarbeiter!$B$6:$B$205,MATCH(B1128,Mitarbeiter!$A$6:$A$205,0)),"?"))</f>
        <v/>
      </c>
      <c r="D1128" s="41" t="n"/>
      <c r="E1128" s="42" t="n"/>
      <c r="F1128" s="43" t="n"/>
      <c r="G1128" s="44">
        <f>IF(OR(B1128="",F1128=""),"",IFERROR(F1128*INDEX(Mitarbeiter!$F$6:$F$205,MATCH(B1128,Mitarbeiter!$A$6:$A$205,0)),0))</f>
        <v/>
      </c>
      <c r="H1128" s="8">
        <f>IF(B1128="","",IF(ISNA(MATCH(B1128,Mitarbeiter!$A$6:$A$205,0)),"Pers.-Nr. unbekannt",IF(A1128="","Datum fehlt",IF(AND(D1128&lt;&gt;Einstellungen!$C$4,D1128&lt;&gt;Einstellungen!$C$5),"Objekt fehlt",IF(YEAR(A1128)&lt;&gt;Einstellungen!$C$3,"anderes Jahr",IF(A1128&lt;INDEX(Mitarbeiter!$C$6:$C$205,MATCH(B1128,Mitarbeiter!$A$6:$A$205,0)),"vor Eintritt",IF(AND(INDEX(Mitarbeiter!$D$6:$D$205,MATCH(B1128,Mitarbeiter!$A$6:$A$205,0))&lt;&gt;"",A1128&gt;INDEX(Mitarbeiter!$D$6:$D$205,MATCH(B1128,Mitarbeiter!$A$6:$A$205,0))),"nach Austritt","ok")))))))</f>
        <v/>
      </c>
    </row>
    <row r="1129">
      <c r="A1129" s="26" t="n"/>
      <c r="B1129" s="24" t="n"/>
      <c r="C1129" s="40">
        <f>IF(B1129="","",IFERROR(INDEX(Mitarbeiter!$B$6:$B$205,MATCH(B1129,Mitarbeiter!$A$6:$A$205,0)),"?"))</f>
        <v/>
      </c>
      <c r="D1129" s="41" t="n"/>
      <c r="E1129" s="42" t="n"/>
      <c r="F1129" s="43" t="n"/>
      <c r="G1129" s="44">
        <f>IF(OR(B1129="",F1129=""),"",IFERROR(F1129*INDEX(Mitarbeiter!$F$6:$F$205,MATCH(B1129,Mitarbeiter!$A$6:$A$205,0)),0))</f>
        <v/>
      </c>
      <c r="H1129" s="8">
        <f>IF(B1129="","",IF(ISNA(MATCH(B1129,Mitarbeiter!$A$6:$A$205,0)),"Pers.-Nr. unbekannt",IF(A1129="","Datum fehlt",IF(AND(D1129&lt;&gt;Einstellungen!$C$4,D1129&lt;&gt;Einstellungen!$C$5),"Objekt fehlt",IF(YEAR(A1129)&lt;&gt;Einstellungen!$C$3,"anderes Jahr",IF(A1129&lt;INDEX(Mitarbeiter!$C$6:$C$205,MATCH(B1129,Mitarbeiter!$A$6:$A$205,0)),"vor Eintritt",IF(AND(INDEX(Mitarbeiter!$D$6:$D$205,MATCH(B1129,Mitarbeiter!$A$6:$A$205,0))&lt;&gt;"",A1129&gt;INDEX(Mitarbeiter!$D$6:$D$205,MATCH(B1129,Mitarbeiter!$A$6:$A$205,0))),"nach Austritt","ok")))))))</f>
        <v/>
      </c>
    </row>
    <row r="1130">
      <c r="A1130" s="26" t="n"/>
      <c r="B1130" s="24" t="n"/>
      <c r="C1130" s="40">
        <f>IF(B1130="","",IFERROR(INDEX(Mitarbeiter!$B$6:$B$205,MATCH(B1130,Mitarbeiter!$A$6:$A$205,0)),"?"))</f>
        <v/>
      </c>
      <c r="D1130" s="41" t="n"/>
      <c r="E1130" s="42" t="n"/>
      <c r="F1130" s="43" t="n"/>
      <c r="G1130" s="44">
        <f>IF(OR(B1130="",F1130=""),"",IFERROR(F1130*INDEX(Mitarbeiter!$F$6:$F$205,MATCH(B1130,Mitarbeiter!$A$6:$A$205,0)),0))</f>
        <v/>
      </c>
      <c r="H1130" s="8">
        <f>IF(B1130="","",IF(ISNA(MATCH(B1130,Mitarbeiter!$A$6:$A$205,0)),"Pers.-Nr. unbekannt",IF(A1130="","Datum fehlt",IF(AND(D1130&lt;&gt;Einstellungen!$C$4,D1130&lt;&gt;Einstellungen!$C$5),"Objekt fehlt",IF(YEAR(A1130)&lt;&gt;Einstellungen!$C$3,"anderes Jahr",IF(A1130&lt;INDEX(Mitarbeiter!$C$6:$C$205,MATCH(B1130,Mitarbeiter!$A$6:$A$205,0)),"vor Eintritt",IF(AND(INDEX(Mitarbeiter!$D$6:$D$205,MATCH(B1130,Mitarbeiter!$A$6:$A$205,0))&lt;&gt;"",A1130&gt;INDEX(Mitarbeiter!$D$6:$D$205,MATCH(B1130,Mitarbeiter!$A$6:$A$205,0))),"nach Austritt","ok")))))))</f>
        <v/>
      </c>
    </row>
    <row r="1131">
      <c r="A1131" s="26" t="n"/>
      <c r="B1131" s="24" t="n"/>
      <c r="C1131" s="40">
        <f>IF(B1131="","",IFERROR(INDEX(Mitarbeiter!$B$6:$B$205,MATCH(B1131,Mitarbeiter!$A$6:$A$205,0)),"?"))</f>
        <v/>
      </c>
      <c r="D1131" s="41" t="n"/>
      <c r="E1131" s="42" t="n"/>
      <c r="F1131" s="43" t="n"/>
      <c r="G1131" s="44">
        <f>IF(OR(B1131="",F1131=""),"",IFERROR(F1131*INDEX(Mitarbeiter!$F$6:$F$205,MATCH(B1131,Mitarbeiter!$A$6:$A$205,0)),0))</f>
        <v/>
      </c>
      <c r="H1131" s="8">
        <f>IF(B1131="","",IF(ISNA(MATCH(B1131,Mitarbeiter!$A$6:$A$205,0)),"Pers.-Nr. unbekannt",IF(A1131="","Datum fehlt",IF(AND(D1131&lt;&gt;Einstellungen!$C$4,D1131&lt;&gt;Einstellungen!$C$5),"Objekt fehlt",IF(YEAR(A1131)&lt;&gt;Einstellungen!$C$3,"anderes Jahr",IF(A1131&lt;INDEX(Mitarbeiter!$C$6:$C$205,MATCH(B1131,Mitarbeiter!$A$6:$A$205,0)),"vor Eintritt",IF(AND(INDEX(Mitarbeiter!$D$6:$D$205,MATCH(B1131,Mitarbeiter!$A$6:$A$205,0))&lt;&gt;"",A1131&gt;INDEX(Mitarbeiter!$D$6:$D$205,MATCH(B1131,Mitarbeiter!$A$6:$A$205,0))),"nach Austritt","ok")))))))</f>
        <v/>
      </c>
    </row>
    <row r="1132">
      <c r="A1132" s="26" t="n"/>
      <c r="B1132" s="24" t="n"/>
      <c r="C1132" s="40">
        <f>IF(B1132="","",IFERROR(INDEX(Mitarbeiter!$B$6:$B$205,MATCH(B1132,Mitarbeiter!$A$6:$A$205,0)),"?"))</f>
        <v/>
      </c>
      <c r="D1132" s="41" t="n"/>
      <c r="E1132" s="42" t="n"/>
      <c r="F1132" s="43" t="n"/>
      <c r="G1132" s="44">
        <f>IF(OR(B1132="",F1132=""),"",IFERROR(F1132*INDEX(Mitarbeiter!$F$6:$F$205,MATCH(B1132,Mitarbeiter!$A$6:$A$205,0)),0))</f>
        <v/>
      </c>
      <c r="H1132" s="8">
        <f>IF(B1132="","",IF(ISNA(MATCH(B1132,Mitarbeiter!$A$6:$A$205,0)),"Pers.-Nr. unbekannt",IF(A1132="","Datum fehlt",IF(AND(D1132&lt;&gt;Einstellungen!$C$4,D1132&lt;&gt;Einstellungen!$C$5),"Objekt fehlt",IF(YEAR(A1132)&lt;&gt;Einstellungen!$C$3,"anderes Jahr",IF(A1132&lt;INDEX(Mitarbeiter!$C$6:$C$205,MATCH(B1132,Mitarbeiter!$A$6:$A$205,0)),"vor Eintritt",IF(AND(INDEX(Mitarbeiter!$D$6:$D$205,MATCH(B1132,Mitarbeiter!$A$6:$A$205,0))&lt;&gt;"",A1132&gt;INDEX(Mitarbeiter!$D$6:$D$205,MATCH(B1132,Mitarbeiter!$A$6:$A$205,0))),"nach Austritt","ok")))))))</f>
        <v/>
      </c>
    </row>
    <row r="1133">
      <c r="A1133" s="26" t="n"/>
      <c r="B1133" s="24" t="n"/>
      <c r="C1133" s="40">
        <f>IF(B1133="","",IFERROR(INDEX(Mitarbeiter!$B$6:$B$205,MATCH(B1133,Mitarbeiter!$A$6:$A$205,0)),"?"))</f>
        <v/>
      </c>
      <c r="D1133" s="41" t="n"/>
      <c r="E1133" s="42" t="n"/>
      <c r="F1133" s="43" t="n"/>
      <c r="G1133" s="44">
        <f>IF(OR(B1133="",F1133=""),"",IFERROR(F1133*INDEX(Mitarbeiter!$F$6:$F$205,MATCH(B1133,Mitarbeiter!$A$6:$A$205,0)),0))</f>
        <v/>
      </c>
      <c r="H1133" s="8">
        <f>IF(B1133="","",IF(ISNA(MATCH(B1133,Mitarbeiter!$A$6:$A$205,0)),"Pers.-Nr. unbekannt",IF(A1133="","Datum fehlt",IF(AND(D1133&lt;&gt;Einstellungen!$C$4,D1133&lt;&gt;Einstellungen!$C$5),"Objekt fehlt",IF(YEAR(A1133)&lt;&gt;Einstellungen!$C$3,"anderes Jahr",IF(A1133&lt;INDEX(Mitarbeiter!$C$6:$C$205,MATCH(B1133,Mitarbeiter!$A$6:$A$205,0)),"vor Eintritt",IF(AND(INDEX(Mitarbeiter!$D$6:$D$205,MATCH(B1133,Mitarbeiter!$A$6:$A$205,0))&lt;&gt;"",A1133&gt;INDEX(Mitarbeiter!$D$6:$D$205,MATCH(B1133,Mitarbeiter!$A$6:$A$205,0))),"nach Austritt","ok")))))))</f>
        <v/>
      </c>
    </row>
    <row r="1134">
      <c r="A1134" s="26" t="n"/>
      <c r="B1134" s="24" t="n"/>
      <c r="C1134" s="40">
        <f>IF(B1134="","",IFERROR(INDEX(Mitarbeiter!$B$6:$B$205,MATCH(B1134,Mitarbeiter!$A$6:$A$205,0)),"?"))</f>
        <v/>
      </c>
      <c r="D1134" s="41" t="n"/>
      <c r="E1134" s="42" t="n"/>
      <c r="F1134" s="43" t="n"/>
      <c r="G1134" s="44">
        <f>IF(OR(B1134="",F1134=""),"",IFERROR(F1134*INDEX(Mitarbeiter!$F$6:$F$205,MATCH(B1134,Mitarbeiter!$A$6:$A$205,0)),0))</f>
        <v/>
      </c>
      <c r="H1134" s="8">
        <f>IF(B1134="","",IF(ISNA(MATCH(B1134,Mitarbeiter!$A$6:$A$205,0)),"Pers.-Nr. unbekannt",IF(A1134="","Datum fehlt",IF(AND(D1134&lt;&gt;Einstellungen!$C$4,D1134&lt;&gt;Einstellungen!$C$5),"Objekt fehlt",IF(YEAR(A1134)&lt;&gt;Einstellungen!$C$3,"anderes Jahr",IF(A1134&lt;INDEX(Mitarbeiter!$C$6:$C$205,MATCH(B1134,Mitarbeiter!$A$6:$A$205,0)),"vor Eintritt",IF(AND(INDEX(Mitarbeiter!$D$6:$D$205,MATCH(B1134,Mitarbeiter!$A$6:$A$205,0))&lt;&gt;"",A1134&gt;INDEX(Mitarbeiter!$D$6:$D$205,MATCH(B1134,Mitarbeiter!$A$6:$A$205,0))),"nach Austritt","ok")))))))</f>
        <v/>
      </c>
    </row>
    <row r="1135">
      <c r="A1135" s="26" t="n"/>
      <c r="B1135" s="24" t="n"/>
      <c r="C1135" s="40">
        <f>IF(B1135="","",IFERROR(INDEX(Mitarbeiter!$B$6:$B$205,MATCH(B1135,Mitarbeiter!$A$6:$A$205,0)),"?"))</f>
        <v/>
      </c>
      <c r="D1135" s="41" t="n"/>
      <c r="E1135" s="42" t="n"/>
      <c r="F1135" s="43" t="n"/>
      <c r="G1135" s="44">
        <f>IF(OR(B1135="",F1135=""),"",IFERROR(F1135*INDEX(Mitarbeiter!$F$6:$F$205,MATCH(B1135,Mitarbeiter!$A$6:$A$205,0)),0))</f>
        <v/>
      </c>
      <c r="H1135" s="8">
        <f>IF(B1135="","",IF(ISNA(MATCH(B1135,Mitarbeiter!$A$6:$A$205,0)),"Pers.-Nr. unbekannt",IF(A1135="","Datum fehlt",IF(AND(D1135&lt;&gt;Einstellungen!$C$4,D1135&lt;&gt;Einstellungen!$C$5),"Objekt fehlt",IF(YEAR(A1135)&lt;&gt;Einstellungen!$C$3,"anderes Jahr",IF(A1135&lt;INDEX(Mitarbeiter!$C$6:$C$205,MATCH(B1135,Mitarbeiter!$A$6:$A$205,0)),"vor Eintritt",IF(AND(INDEX(Mitarbeiter!$D$6:$D$205,MATCH(B1135,Mitarbeiter!$A$6:$A$205,0))&lt;&gt;"",A1135&gt;INDEX(Mitarbeiter!$D$6:$D$205,MATCH(B1135,Mitarbeiter!$A$6:$A$205,0))),"nach Austritt","ok")))))))</f>
        <v/>
      </c>
    </row>
    <row r="1136">
      <c r="A1136" s="26" t="n"/>
      <c r="B1136" s="24" t="n"/>
      <c r="C1136" s="40">
        <f>IF(B1136="","",IFERROR(INDEX(Mitarbeiter!$B$6:$B$205,MATCH(B1136,Mitarbeiter!$A$6:$A$205,0)),"?"))</f>
        <v/>
      </c>
      <c r="D1136" s="41" t="n"/>
      <c r="E1136" s="42" t="n"/>
      <c r="F1136" s="43" t="n"/>
      <c r="G1136" s="44">
        <f>IF(OR(B1136="",F1136=""),"",IFERROR(F1136*INDEX(Mitarbeiter!$F$6:$F$205,MATCH(B1136,Mitarbeiter!$A$6:$A$205,0)),0))</f>
        <v/>
      </c>
      <c r="H1136" s="8">
        <f>IF(B1136="","",IF(ISNA(MATCH(B1136,Mitarbeiter!$A$6:$A$205,0)),"Pers.-Nr. unbekannt",IF(A1136="","Datum fehlt",IF(AND(D1136&lt;&gt;Einstellungen!$C$4,D1136&lt;&gt;Einstellungen!$C$5),"Objekt fehlt",IF(YEAR(A1136)&lt;&gt;Einstellungen!$C$3,"anderes Jahr",IF(A1136&lt;INDEX(Mitarbeiter!$C$6:$C$205,MATCH(B1136,Mitarbeiter!$A$6:$A$205,0)),"vor Eintritt",IF(AND(INDEX(Mitarbeiter!$D$6:$D$205,MATCH(B1136,Mitarbeiter!$A$6:$A$205,0))&lt;&gt;"",A1136&gt;INDEX(Mitarbeiter!$D$6:$D$205,MATCH(B1136,Mitarbeiter!$A$6:$A$205,0))),"nach Austritt","ok")))))))</f>
        <v/>
      </c>
    </row>
    <row r="1137">
      <c r="A1137" s="26" t="n"/>
      <c r="B1137" s="24" t="n"/>
      <c r="C1137" s="40">
        <f>IF(B1137="","",IFERROR(INDEX(Mitarbeiter!$B$6:$B$205,MATCH(B1137,Mitarbeiter!$A$6:$A$205,0)),"?"))</f>
        <v/>
      </c>
      <c r="D1137" s="41" t="n"/>
      <c r="E1137" s="42" t="n"/>
      <c r="F1137" s="43" t="n"/>
      <c r="G1137" s="44">
        <f>IF(OR(B1137="",F1137=""),"",IFERROR(F1137*INDEX(Mitarbeiter!$F$6:$F$205,MATCH(B1137,Mitarbeiter!$A$6:$A$205,0)),0))</f>
        <v/>
      </c>
      <c r="H1137" s="8">
        <f>IF(B1137="","",IF(ISNA(MATCH(B1137,Mitarbeiter!$A$6:$A$205,0)),"Pers.-Nr. unbekannt",IF(A1137="","Datum fehlt",IF(AND(D1137&lt;&gt;Einstellungen!$C$4,D1137&lt;&gt;Einstellungen!$C$5),"Objekt fehlt",IF(YEAR(A1137)&lt;&gt;Einstellungen!$C$3,"anderes Jahr",IF(A1137&lt;INDEX(Mitarbeiter!$C$6:$C$205,MATCH(B1137,Mitarbeiter!$A$6:$A$205,0)),"vor Eintritt",IF(AND(INDEX(Mitarbeiter!$D$6:$D$205,MATCH(B1137,Mitarbeiter!$A$6:$A$205,0))&lt;&gt;"",A1137&gt;INDEX(Mitarbeiter!$D$6:$D$205,MATCH(B1137,Mitarbeiter!$A$6:$A$205,0))),"nach Austritt","ok")))))))</f>
        <v/>
      </c>
    </row>
    <row r="1138">
      <c r="A1138" s="26" t="n"/>
      <c r="B1138" s="24" t="n"/>
      <c r="C1138" s="40">
        <f>IF(B1138="","",IFERROR(INDEX(Mitarbeiter!$B$6:$B$205,MATCH(B1138,Mitarbeiter!$A$6:$A$205,0)),"?"))</f>
        <v/>
      </c>
      <c r="D1138" s="41" t="n"/>
      <c r="E1138" s="42" t="n"/>
      <c r="F1138" s="43" t="n"/>
      <c r="G1138" s="44">
        <f>IF(OR(B1138="",F1138=""),"",IFERROR(F1138*INDEX(Mitarbeiter!$F$6:$F$205,MATCH(B1138,Mitarbeiter!$A$6:$A$205,0)),0))</f>
        <v/>
      </c>
      <c r="H1138" s="8">
        <f>IF(B1138="","",IF(ISNA(MATCH(B1138,Mitarbeiter!$A$6:$A$205,0)),"Pers.-Nr. unbekannt",IF(A1138="","Datum fehlt",IF(AND(D1138&lt;&gt;Einstellungen!$C$4,D1138&lt;&gt;Einstellungen!$C$5),"Objekt fehlt",IF(YEAR(A1138)&lt;&gt;Einstellungen!$C$3,"anderes Jahr",IF(A1138&lt;INDEX(Mitarbeiter!$C$6:$C$205,MATCH(B1138,Mitarbeiter!$A$6:$A$205,0)),"vor Eintritt",IF(AND(INDEX(Mitarbeiter!$D$6:$D$205,MATCH(B1138,Mitarbeiter!$A$6:$A$205,0))&lt;&gt;"",A1138&gt;INDEX(Mitarbeiter!$D$6:$D$205,MATCH(B1138,Mitarbeiter!$A$6:$A$205,0))),"nach Austritt","ok")))))))</f>
        <v/>
      </c>
    </row>
    <row r="1139">
      <c r="A1139" s="26" t="n"/>
      <c r="B1139" s="24" t="n"/>
      <c r="C1139" s="40">
        <f>IF(B1139="","",IFERROR(INDEX(Mitarbeiter!$B$6:$B$205,MATCH(B1139,Mitarbeiter!$A$6:$A$205,0)),"?"))</f>
        <v/>
      </c>
      <c r="D1139" s="41" t="n"/>
      <c r="E1139" s="42" t="n"/>
      <c r="F1139" s="43" t="n"/>
      <c r="G1139" s="44">
        <f>IF(OR(B1139="",F1139=""),"",IFERROR(F1139*INDEX(Mitarbeiter!$F$6:$F$205,MATCH(B1139,Mitarbeiter!$A$6:$A$205,0)),0))</f>
        <v/>
      </c>
      <c r="H1139" s="8">
        <f>IF(B1139="","",IF(ISNA(MATCH(B1139,Mitarbeiter!$A$6:$A$205,0)),"Pers.-Nr. unbekannt",IF(A1139="","Datum fehlt",IF(AND(D1139&lt;&gt;Einstellungen!$C$4,D1139&lt;&gt;Einstellungen!$C$5),"Objekt fehlt",IF(YEAR(A1139)&lt;&gt;Einstellungen!$C$3,"anderes Jahr",IF(A1139&lt;INDEX(Mitarbeiter!$C$6:$C$205,MATCH(B1139,Mitarbeiter!$A$6:$A$205,0)),"vor Eintritt",IF(AND(INDEX(Mitarbeiter!$D$6:$D$205,MATCH(B1139,Mitarbeiter!$A$6:$A$205,0))&lt;&gt;"",A1139&gt;INDEX(Mitarbeiter!$D$6:$D$205,MATCH(B1139,Mitarbeiter!$A$6:$A$205,0))),"nach Austritt","ok")))))))</f>
        <v/>
      </c>
    </row>
    <row r="1140">
      <c r="A1140" s="26" t="n"/>
      <c r="B1140" s="24" t="n"/>
      <c r="C1140" s="40">
        <f>IF(B1140="","",IFERROR(INDEX(Mitarbeiter!$B$6:$B$205,MATCH(B1140,Mitarbeiter!$A$6:$A$205,0)),"?"))</f>
        <v/>
      </c>
      <c r="D1140" s="41" t="n"/>
      <c r="E1140" s="42" t="n"/>
      <c r="F1140" s="43" t="n"/>
      <c r="G1140" s="44">
        <f>IF(OR(B1140="",F1140=""),"",IFERROR(F1140*INDEX(Mitarbeiter!$F$6:$F$205,MATCH(B1140,Mitarbeiter!$A$6:$A$205,0)),0))</f>
        <v/>
      </c>
      <c r="H1140" s="8">
        <f>IF(B1140="","",IF(ISNA(MATCH(B1140,Mitarbeiter!$A$6:$A$205,0)),"Pers.-Nr. unbekannt",IF(A1140="","Datum fehlt",IF(AND(D1140&lt;&gt;Einstellungen!$C$4,D1140&lt;&gt;Einstellungen!$C$5),"Objekt fehlt",IF(YEAR(A1140)&lt;&gt;Einstellungen!$C$3,"anderes Jahr",IF(A1140&lt;INDEX(Mitarbeiter!$C$6:$C$205,MATCH(B1140,Mitarbeiter!$A$6:$A$205,0)),"vor Eintritt",IF(AND(INDEX(Mitarbeiter!$D$6:$D$205,MATCH(B1140,Mitarbeiter!$A$6:$A$205,0))&lt;&gt;"",A1140&gt;INDEX(Mitarbeiter!$D$6:$D$205,MATCH(B1140,Mitarbeiter!$A$6:$A$205,0))),"nach Austritt","ok")))))))</f>
        <v/>
      </c>
    </row>
    <row r="1141">
      <c r="A1141" s="26" t="n"/>
      <c r="B1141" s="24" t="n"/>
      <c r="C1141" s="40">
        <f>IF(B1141="","",IFERROR(INDEX(Mitarbeiter!$B$6:$B$205,MATCH(B1141,Mitarbeiter!$A$6:$A$205,0)),"?"))</f>
        <v/>
      </c>
      <c r="D1141" s="41" t="n"/>
      <c r="E1141" s="42" t="n"/>
      <c r="F1141" s="43" t="n"/>
      <c r="G1141" s="44">
        <f>IF(OR(B1141="",F1141=""),"",IFERROR(F1141*INDEX(Mitarbeiter!$F$6:$F$205,MATCH(B1141,Mitarbeiter!$A$6:$A$205,0)),0))</f>
        <v/>
      </c>
      <c r="H1141" s="8">
        <f>IF(B1141="","",IF(ISNA(MATCH(B1141,Mitarbeiter!$A$6:$A$205,0)),"Pers.-Nr. unbekannt",IF(A1141="","Datum fehlt",IF(AND(D1141&lt;&gt;Einstellungen!$C$4,D1141&lt;&gt;Einstellungen!$C$5),"Objekt fehlt",IF(YEAR(A1141)&lt;&gt;Einstellungen!$C$3,"anderes Jahr",IF(A1141&lt;INDEX(Mitarbeiter!$C$6:$C$205,MATCH(B1141,Mitarbeiter!$A$6:$A$205,0)),"vor Eintritt",IF(AND(INDEX(Mitarbeiter!$D$6:$D$205,MATCH(B1141,Mitarbeiter!$A$6:$A$205,0))&lt;&gt;"",A1141&gt;INDEX(Mitarbeiter!$D$6:$D$205,MATCH(B1141,Mitarbeiter!$A$6:$A$205,0))),"nach Austritt","ok")))))))</f>
        <v/>
      </c>
    </row>
    <row r="1142">
      <c r="A1142" s="26" t="n"/>
      <c r="B1142" s="24" t="n"/>
      <c r="C1142" s="40">
        <f>IF(B1142="","",IFERROR(INDEX(Mitarbeiter!$B$6:$B$205,MATCH(B1142,Mitarbeiter!$A$6:$A$205,0)),"?"))</f>
        <v/>
      </c>
      <c r="D1142" s="41" t="n"/>
      <c r="E1142" s="42" t="n"/>
      <c r="F1142" s="43" t="n"/>
      <c r="G1142" s="44">
        <f>IF(OR(B1142="",F1142=""),"",IFERROR(F1142*INDEX(Mitarbeiter!$F$6:$F$205,MATCH(B1142,Mitarbeiter!$A$6:$A$205,0)),0))</f>
        <v/>
      </c>
      <c r="H1142" s="8">
        <f>IF(B1142="","",IF(ISNA(MATCH(B1142,Mitarbeiter!$A$6:$A$205,0)),"Pers.-Nr. unbekannt",IF(A1142="","Datum fehlt",IF(AND(D1142&lt;&gt;Einstellungen!$C$4,D1142&lt;&gt;Einstellungen!$C$5),"Objekt fehlt",IF(YEAR(A1142)&lt;&gt;Einstellungen!$C$3,"anderes Jahr",IF(A1142&lt;INDEX(Mitarbeiter!$C$6:$C$205,MATCH(B1142,Mitarbeiter!$A$6:$A$205,0)),"vor Eintritt",IF(AND(INDEX(Mitarbeiter!$D$6:$D$205,MATCH(B1142,Mitarbeiter!$A$6:$A$205,0))&lt;&gt;"",A1142&gt;INDEX(Mitarbeiter!$D$6:$D$205,MATCH(B1142,Mitarbeiter!$A$6:$A$205,0))),"nach Austritt","ok")))))))</f>
        <v/>
      </c>
    </row>
    <row r="1143">
      <c r="A1143" s="26" t="n"/>
      <c r="B1143" s="24" t="n"/>
      <c r="C1143" s="40">
        <f>IF(B1143="","",IFERROR(INDEX(Mitarbeiter!$B$6:$B$205,MATCH(B1143,Mitarbeiter!$A$6:$A$205,0)),"?"))</f>
        <v/>
      </c>
      <c r="D1143" s="41" t="n"/>
      <c r="E1143" s="42" t="n"/>
      <c r="F1143" s="43" t="n"/>
      <c r="G1143" s="44">
        <f>IF(OR(B1143="",F1143=""),"",IFERROR(F1143*INDEX(Mitarbeiter!$F$6:$F$205,MATCH(B1143,Mitarbeiter!$A$6:$A$205,0)),0))</f>
        <v/>
      </c>
      <c r="H1143" s="8">
        <f>IF(B1143="","",IF(ISNA(MATCH(B1143,Mitarbeiter!$A$6:$A$205,0)),"Pers.-Nr. unbekannt",IF(A1143="","Datum fehlt",IF(AND(D1143&lt;&gt;Einstellungen!$C$4,D1143&lt;&gt;Einstellungen!$C$5),"Objekt fehlt",IF(YEAR(A1143)&lt;&gt;Einstellungen!$C$3,"anderes Jahr",IF(A1143&lt;INDEX(Mitarbeiter!$C$6:$C$205,MATCH(B1143,Mitarbeiter!$A$6:$A$205,0)),"vor Eintritt",IF(AND(INDEX(Mitarbeiter!$D$6:$D$205,MATCH(B1143,Mitarbeiter!$A$6:$A$205,0))&lt;&gt;"",A1143&gt;INDEX(Mitarbeiter!$D$6:$D$205,MATCH(B1143,Mitarbeiter!$A$6:$A$205,0))),"nach Austritt","ok")))))))</f>
        <v/>
      </c>
    </row>
    <row r="1144">
      <c r="A1144" s="26" t="n"/>
      <c r="B1144" s="24" t="n"/>
      <c r="C1144" s="40">
        <f>IF(B1144="","",IFERROR(INDEX(Mitarbeiter!$B$6:$B$205,MATCH(B1144,Mitarbeiter!$A$6:$A$205,0)),"?"))</f>
        <v/>
      </c>
      <c r="D1144" s="41" t="n"/>
      <c r="E1144" s="42" t="n"/>
      <c r="F1144" s="43" t="n"/>
      <c r="G1144" s="44">
        <f>IF(OR(B1144="",F1144=""),"",IFERROR(F1144*INDEX(Mitarbeiter!$F$6:$F$205,MATCH(B1144,Mitarbeiter!$A$6:$A$205,0)),0))</f>
        <v/>
      </c>
      <c r="H1144" s="8">
        <f>IF(B1144="","",IF(ISNA(MATCH(B1144,Mitarbeiter!$A$6:$A$205,0)),"Pers.-Nr. unbekannt",IF(A1144="","Datum fehlt",IF(AND(D1144&lt;&gt;Einstellungen!$C$4,D1144&lt;&gt;Einstellungen!$C$5),"Objekt fehlt",IF(YEAR(A1144)&lt;&gt;Einstellungen!$C$3,"anderes Jahr",IF(A1144&lt;INDEX(Mitarbeiter!$C$6:$C$205,MATCH(B1144,Mitarbeiter!$A$6:$A$205,0)),"vor Eintritt",IF(AND(INDEX(Mitarbeiter!$D$6:$D$205,MATCH(B1144,Mitarbeiter!$A$6:$A$205,0))&lt;&gt;"",A1144&gt;INDEX(Mitarbeiter!$D$6:$D$205,MATCH(B1144,Mitarbeiter!$A$6:$A$205,0))),"nach Austritt","ok")))))))</f>
        <v/>
      </c>
    </row>
    <row r="1145">
      <c r="A1145" s="26" t="n"/>
      <c r="B1145" s="24" t="n"/>
      <c r="C1145" s="40">
        <f>IF(B1145="","",IFERROR(INDEX(Mitarbeiter!$B$6:$B$205,MATCH(B1145,Mitarbeiter!$A$6:$A$205,0)),"?"))</f>
        <v/>
      </c>
      <c r="D1145" s="41" t="n"/>
      <c r="E1145" s="42" t="n"/>
      <c r="F1145" s="43" t="n"/>
      <c r="G1145" s="44">
        <f>IF(OR(B1145="",F1145=""),"",IFERROR(F1145*INDEX(Mitarbeiter!$F$6:$F$205,MATCH(B1145,Mitarbeiter!$A$6:$A$205,0)),0))</f>
        <v/>
      </c>
      <c r="H1145" s="8">
        <f>IF(B1145="","",IF(ISNA(MATCH(B1145,Mitarbeiter!$A$6:$A$205,0)),"Pers.-Nr. unbekannt",IF(A1145="","Datum fehlt",IF(AND(D1145&lt;&gt;Einstellungen!$C$4,D1145&lt;&gt;Einstellungen!$C$5),"Objekt fehlt",IF(YEAR(A1145)&lt;&gt;Einstellungen!$C$3,"anderes Jahr",IF(A1145&lt;INDEX(Mitarbeiter!$C$6:$C$205,MATCH(B1145,Mitarbeiter!$A$6:$A$205,0)),"vor Eintritt",IF(AND(INDEX(Mitarbeiter!$D$6:$D$205,MATCH(B1145,Mitarbeiter!$A$6:$A$205,0))&lt;&gt;"",A1145&gt;INDEX(Mitarbeiter!$D$6:$D$205,MATCH(B1145,Mitarbeiter!$A$6:$A$205,0))),"nach Austritt","ok")))))))</f>
        <v/>
      </c>
    </row>
    <row r="1146">
      <c r="A1146" s="26" t="n"/>
      <c r="B1146" s="24" t="n"/>
      <c r="C1146" s="40">
        <f>IF(B1146="","",IFERROR(INDEX(Mitarbeiter!$B$6:$B$205,MATCH(B1146,Mitarbeiter!$A$6:$A$205,0)),"?"))</f>
        <v/>
      </c>
      <c r="D1146" s="41" t="n"/>
      <c r="E1146" s="42" t="n"/>
      <c r="F1146" s="43" t="n"/>
      <c r="G1146" s="44">
        <f>IF(OR(B1146="",F1146=""),"",IFERROR(F1146*INDEX(Mitarbeiter!$F$6:$F$205,MATCH(B1146,Mitarbeiter!$A$6:$A$205,0)),0))</f>
        <v/>
      </c>
      <c r="H1146" s="8">
        <f>IF(B1146="","",IF(ISNA(MATCH(B1146,Mitarbeiter!$A$6:$A$205,0)),"Pers.-Nr. unbekannt",IF(A1146="","Datum fehlt",IF(AND(D1146&lt;&gt;Einstellungen!$C$4,D1146&lt;&gt;Einstellungen!$C$5),"Objekt fehlt",IF(YEAR(A1146)&lt;&gt;Einstellungen!$C$3,"anderes Jahr",IF(A1146&lt;INDEX(Mitarbeiter!$C$6:$C$205,MATCH(B1146,Mitarbeiter!$A$6:$A$205,0)),"vor Eintritt",IF(AND(INDEX(Mitarbeiter!$D$6:$D$205,MATCH(B1146,Mitarbeiter!$A$6:$A$205,0))&lt;&gt;"",A1146&gt;INDEX(Mitarbeiter!$D$6:$D$205,MATCH(B1146,Mitarbeiter!$A$6:$A$205,0))),"nach Austritt","ok")))))))</f>
        <v/>
      </c>
    </row>
    <row r="1147">
      <c r="A1147" s="26" t="n"/>
      <c r="B1147" s="24" t="n"/>
      <c r="C1147" s="40">
        <f>IF(B1147="","",IFERROR(INDEX(Mitarbeiter!$B$6:$B$205,MATCH(B1147,Mitarbeiter!$A$6:$A$205,0)),"?"))</f>
        <v/>
      </c>
      <c r="D1147" s="41" t="n"/>
      <c r="E1147" s="42" t="n"/>
      <c r="F1147" s="43" t="n"/>
      <c r="G1147" s="44">
        <f>IF(OR(B1147="",F1147=""),"",IFERROR(F1147*INDEX(Mitarbeiter!$F$6:$F$205,MATCH(B1147,Mitarbeiter!$A$6:$A$205,0)),0))</f>
        <v/>
      </c>
      <c r="H1147" s="8">
        <f>IF(B1147="","",IF(ISNA(MATCH(B1147,Mitarbeiter!$A$6:$A$205,0)),"Pers.-Nr. unbekannt",IF(A1147="","Datum fehlt",IF(AND(D1147&lt;&gt;Einstellungen!$C$4,D1147&lt;&gt;Einstellungen!$C$5),"Objekt fehlt",IF(YEAR(A1147)&lt;&gt;Einstellungen!$C$3,"anderes Jahr",IF(A1147&lt;INDEX(Mitarbeiter!$C$6:$C$205,MATCH(B1147,Mitarbeiter!$A$6:$A$205,0)),"vor Eintritt",IF(AND(INDEX(Mitarbeiter!$D$6:$D$205,MATCH(B1147,Mitarbeiter!$A$6:$A$205,0))&lt;&gt;"",A1147&gt;INDEX(Mitarbeiter!$D$6:$D$205,MATCH(B1147,Mitarbeiter!$A$6:$A$205,0))),"nach Austritt","ok")))))))</f>
        <v/>
      </c>
    </row>
    <row r="1148">
      <c r="A1148" s="26" t="n"/>
      <c r="B1148" s="24" t="n"/>
      <c r="C1148" s="40">
        <f>IF(B1148="","",IFERROR(INDEX(Mitarbeiter!$B$6:$B$205,MATCH(B1148,Mitarbeiter!$A$6:$A$205,0)),"?"))</f>
        <v/>
      </c>
      <c r="D1148" s="41" t="n"/>
      <c r="E1148" s="42" t="n"/>
      <c r="F1148" s="43" t="n"/>
      <c r="G1148" s="44">
        <f>IF(OR(B1148="",F1148=""),"",IFERROR(F1148*INDEX(Mitarbeiter!$F$6:$F$205,MATCH(B1148,Mitarbeiter!$A$6:$A$205,0)),0))</f>
        <v/>
      </c>
      <c r="H1148" s="8">
        <f>IF(B1148="","",IF(ISNA(MATCH(B1148,Mitarbeiter!$A$6:$A$205,0)),"Pers.-Nr. unbekannt",IF(A1148="","Datum fehlt",IF(AND(D1148&lt;&gt;Einstellungen!$C$4,D1148&lt;&gt;Einstellungen!$C$5),"Objekt fehlt",IF(YEAR(A1148)&lt;&gt;Einstellungen!$C$3,"anderes Jahr",IF(A1148&lt;INDEX(Mitarbeiter!$C$6:$C$205,MATCH(B1148,Mitarbeiter!$A$6:$A$205,0)),"vor Eintritt",IF(AND(INDEX(Mitarbeiter!$D$6:$D$205,MATCH(B1148,Mitarbeiter!$A$6:$A$205,0))&lt;&gt;"",A1148&gt;INDEX(Mitarbeiter!$D$6:$D$205,MATCH(B1148,Mitarbeiter!$A$6:$A$205,0))),"nach Austritt","ok")))))))</f>
        <v/>
      </c>
    </row>
    <row r="1149">
      <c r="A1149" s="26" t="n"/>
      <c r="B1149" s="24" t="n"/>
      <c r="C1149" s="40">
        <f>IF(B1149="","",IFERROR(INDEX(Mitarbeiter!$B$6:$B$205,MATCH(B1149,Mitarbeiter!$A$6:$A$205,0)),"?"))</f>
        <v/>
      </c>
      <c r="D1149" s="41" t="n"/>
      <c r="E1149" s="42" t="n"/>
      <c r="F1149" s="43" t="n"/>
      <c r="G1149" s="44">
        <f>IF(OR(B1149="",F1149=""),"",IFERROR(F1149*INDEX(Mitarbeiter!$F$6:$F$205,MATCH(B1149,Mitarbeiter!$A$6:$A$205,0)),0))</f>
        <v/>
      </c>
      <c r="H1149" s="8">
        <f>IF(B1149="","",IF(ISNA(MATCH(B1149,Mitarbeiter!$A$6:$A$205,0)),"Pers.-Nr. unbekannt",IF(A1149="","Datum fehlt",IF(AND(D1149&lt;&gt;Einstellungen!$C$4,D1149&lt;&gt;Einstellungen!$C$5),"Objekt fehlt",IF(YEAR(A1149)&lt;&gt;Einstellungen!$C$3,"anderes Jahr",IF(A1149&lt;INDEX(Mitarbeiter!$C$6:$C$205,MATCH(B1149,Mitarbeiter!$A$6:$A$205,0)),"vor Eintritt",IF(AND(INDEX(Mitarbeiter!$D$6:$D$205,MATCH(B1149,Mitarbeiter!$A$6:$A$205,0))&lt;&gt;"",A1149&gt;INDEX(Mitarbeiter!$D$6:$D$205,MATCH(B1149,Mitarbeiter!$A$6:$A$205,0))),"nach Austritt","ok")))))))</f>
        <v/>
      </c>
    </row>
    <row r="1150">
      <c r="A1150" s="26" t="n"/>
      <c r="B1150" s="24" t="n"/>
      <c r="C1150" s="40">
        <f>IF(B1150="","",IFERROR(INDEX(Mitarbeiter!$B$6:$B$205,MATCH(B1150,Mitarbeiter!$A$6:$A$205,0)),"?"))</f>
        <v/>
      </c>
      <c r="D1150" s="41" t="n"/>
      <c r="E1150" s="42" t="n"/>
      <c r="F1150" s="43" t="n"/>
      <c r="G1150" s="44">
        <f>IF(OR(B1150="",F1150=""),"",IFERROR(F1150*INDEX(Mitarbeiter!$F$6:$F$205,MATCH(B1150,Mitarbeiter!$A$6:$A$205,0)),0))</f>
        <v/>
      </c>
      <c r="H1150" s="8">
        <f>IF(B1150="","",IF(ISNA(MATCH(B1150,Mitarbeiter!$A$6:$A$205,0)),"Pers.-Nr. unbekannt",IF(A1150="","Datum fehlt",IF(AND(D1150&lt;&gt;Einstellungen!$C$4,D1150&lt;&gt;Einstellungen!$C$5),"Objekt fehlt",IF(YEAR(A1150)&lt;&gt;Einstellungen!$C$3,"anderes Jahr",IF(A1150&lt;INDEX(Mitarbeiter!$C$6:$C$205,MATCH(B1150,Mitarbeiter!$A$6:$A$205,0)),"vor Eintritt",IF(AND(INDEX(Mitarbeiter!$D$6:$D$205,MATCH(B1150,Mitarbeiter!$A$6:$A$205,0))&lt;&gt;"",A1150&gt;INDEX(Mitarbeiter!$D$6:$D$205,MATCH(B1150,Mitarbeiter!$A$6:$A$205,0))),"nach Austritt","ok")))))))</f>
        <v/>
      </c>
    </row>
    <row r="1151">
      <c r="A1151" s="26" t="n"/>
      <c r="B1151" s="24" t="n"/>
      <c r="C1151" s="40">
        <f>IF(B1151="","",IFERROR(INDEX(Mitarbeiter!$B$6:$B$205,MATCH(B1151,Mitarbeiter!$A$6:$A$205,0)),"?"))</f>
        <v/>
      </c>
      <c r="D1151" s="41" t="n"/>
      <c r="E1151" s="42" t="n"/>
      <c r="F1151" s="43" t="n"/>
      <c r="G1151" s="44">
        <f>IF(OR(B1151="",F1151=""),"",IFERROR(F1151*INDEX(Mitarbeiter!$F$6:$F$205,MATCH(B1151,Mitarbeiter!$A$6:$A$205,0)),0))</f>
        <v/>
      </c>
      <c r="H1151" s="8">
        <f>IF(B1151="","",IF(ISNA(MATCH(B1151,Mitarbeiter!$A$6:$A$205,0)),"Pers.-Nr. unbekannt",IF(A1151="","Datum fehlt",IF(AND(D1151&lt;&gt;Einstellungen!$C$4,D1151&lt;&gt;Einstellungen!$C$5),"Objekt fehlt",IF(YEAR(A1151)&lt;&gt;Einstellungen!$C$3,"anderes Jahr",IF(A1151&lt;INDEX(Mitarbeiter!$C$6:$C$205,MATCH(B1151,Mitarbeiter!$A$6:$A$205,0)),"vor Eintritt",IF(AND(INDEX(Mitarbeiter!$D$6:$D$205,MATCH(B1151,Mitarbeiter!$A$6:$A$205,0))&lt;&gt;"",A1151&gt;INDEX(Mitarbeiter!$D$6:$D$205,MATCH(B1151,Mitarbeiter!$A$6:$A$205,0))),"nach Austritt","ok")))))))</f>
        <v/>
      </c>
    </row>
    <row r="1152">
      <c r="A1152" s="26" t="n"/>
      <c r="B1152" s="24" t="n"/>
      <c r="C1152" s="40">
        <f>IF(B1152="","",IFERROR(INDEX(Mitarbeiter!$B$6:$B$205,MATCH(B1152,Mitarbeiter!$A$6:$A$205,0)),"?"))</f>
        <v/>
      </c>
      <c r="D1152" s="41" t="n"/>
      <c r="E1152" s="42" t="n"/>
      <c r="F1152" s="43" t="n"/>
      <c r="G1152" s="44">
        <f>IF(OR(B1152="",F1152=""),"",IFERROR(F1152*INDEX(Mitarbeiter!$F$6:$F$205,MATCH(B1152,Mitarbeiter!$A$6:$A$205,0)),0))</f>
        <v/>
      </c>
      <c r="H1152" s="8">
        <f>IF(B1152="","",IF(ISNA(MATCH(B1152,Mitarbeiter!$A$6:$A$205,0)),"Pers.-Nr. unbekannt",IF(A1152="","Datum fehlt",IF(AND(D1152&lt;&gt;Einstellungen!$C$4,D1152&lt;&gt;Einstellungen!$C$5),"Objekt fehlt",IF(YEAR(A1152)&lt;&gt;Einstellungen!$C$3,"anderes Jahr",IF(A1152&lt;INDEX(Mitarbeiter!$C$6:$C$205,MATCH(B1152,Mitarbeiter!$A$6:$A$205,0)),"vor Eintritt",IF(AND(INDEX(Mitarbeiter!$D$6:$D$205,MATCH(B1152,Mitarbeiter!$A$6:$A$205,0))&lt;&gt;"",A1152&gt;INDEX(Mitarbeiter!$D$6:$D$205,MATCH(B1152,Mitarbeiter!$A$6:$A$205,0))),"nach Austritt","ok")))))))</f>
        <v/>
      </c>
    </row>
    <row r="1153">
      <c r="A1153" s="26" t="n"/>
      <c r="B1153" s="24" t="n"/>
      <c r="C1153" s="40">
        <f>IF(B1153="","",IFERROR(INDEX(Mitarbeiter!$B$6:$B$205,MATCH(B1153,Mitarbeiter!$A$6:$A$205,0)),"?"))</f>
        <v/>
      </c>
      <c r="D1153" s="41" t="n"/>
      <c r="E1153" s="42" t="n"/>
      <c r="F1153" s="43" t="n"/>
      <c r="G1153" s="44">
        <f>IF(OR(B1153="",F1153=""),"",IFERROR(F1153*INDEX(Mitarbeiter!$F$6:$F$205,MATCH(B1153,Mitarbeiter!$A$6:$A$205,0)),0))</f>
        <v/>
      </c>
      <c r="H1153" s="8">
        <f>IF(B1153="","",IF(ISNA(MATCH(B1153,Mitarbeiter!$A$6:$A$205,0)),"Pers.-Nr. unbekannt",IF(A1153="","Datum fehlt",IF(AND(D1153&lt;&gt;Einstellungen!$C$4,D1153&lt;&gt;Einstellungen!$C$5),"Objekt fehlt",IF(YEAR(A1153)&lt;&gt;Einstellungen!$C$3,"anderes Jahr",IF(A1153&lt;INDEX(Mitarbeiter!$C$6:$C$205,MATCH(B1153,Mitarbeiter!$A$6:$A$205,0)),"vor Eintritt",IF(AND(INDEX(Mitarbeiter!$D$6:$D$205,MATCH(B1153,Mitarbeiter!$A$6:$A$205,0))&lt;&gt;"",A1153&gt;INDEX(Mitarbeiter!$D$6:$D$205,MATCH(B1153,Mitarbeiter!$A$6:$A$205,0))),"nach Austritt","ok")))))))</f>
        <v/>
      </c>
    </row>
    <row r="1154">
      <c r="A1154" s="26" t="n"/>
      <c r="B1154" s="24" t="n"/>
      <c r="C1154" s="40">
        <f>IF(B1154="","",IFERROR(INDEX(Mitarbeiter!$B$6:$B$205,MATCH(B1154,Mitarbeiter!$A$6:$A$205,0)),"?"))</f>
        <v/>
      </c>
      <c r="D1154" s="41" t="n"/>
      <c r="E1154" s="42" t="n"/>
      <c r="F1154" s="43" t="n"/>
      <c r="G1154" s="44">
        <f>IF(OR(B1154="",F1154=""),"",IFERROR(F1154*INDEX(Mitarbeiter!$F$6:$F$205,MATCH(B1154,Mitarbeiter!$A$6:$A$205,0)),0))</f>
        <v/>
      </c>
      <c r="H1154" s="8">
        <f>IF(B1154="","",IF(ISNA(MATCH(B1154,Mitarbeiter!$A$6:$A$205,0)),"Pers.-Nr. unbekannt",IF(A1154="","Datum fehlt",IF(AND(D1154&lt;&gt;Einstellungen!$C$4,D1154&lt;&gt;Einstellungen!$C$5),"Objekt fehlt",IF(YEAR(A1154)&lt;&gt;Einstellungen!$C$3,"anderes Jahr",IF(A1154&lt;INDEX(Mitarbeiter!$C$6:$C$205,MATCH(B1154,Mitarbeiter!$A$6:$A$205,0)),"vor Eintritt",IF(AND(INDEX(Mitarbeiter!$D$6:$D$205,MATCH(B1154,Mitarbeiter!$A$6:$A$205,0))&lt;&gt;"",A1154&gt;INDEX(Mitarbeiter!$D$6:$D$205,MATCH(B1154,Mitarbeiter!$A$6:$A$205,0))),"nach Austritt","ok")))))))</f>
        <v/>
      </c>
    </row>
    <row r="1155">
      <c r="A1155" s="26" t="n"/>
      <c r="B1155" s="24" t="n"/>
      <c r="C1155" s="40">
        <f>IF(B1155="","",IFERROR(INDEX(Mitarbeiter!$B$6:$B$205,MATCH(B1155,Mitarbeiter!$A$6:$A$205,0)),"?"))</f>
        <v/>
      </c>
      <c r="D1155" s="41" t="n"/>
      <c r="E1155" s="42" t="n"/>
      <c r="F1155" s="43" t="n"/>
      <c r="G1155" s="44">
        <f>IF(OR(B1155="",F1155=""),"",IFERROR(F1155*INDEX(Mitarbeiter!$F$6:$F$205,MATCH(B1155,Mitarbeiter!$A$6:$A$205,0)),0))</f>
        <v/>
      </c>
      <c r="H1155" s="8">
        <f>IF(B1155="","",IF(ISNA(MATCH(B1155,Mitarbeiter!$A$6:$A$205,0)),"Pers.-Nr. unbekannt",IF(A1155="","Datum fehlt",IF(AND(D1155&lt;&gt;Einstellungen!$C$4,D1155&lt;&gt;Einstellungen!$C$5),"Objekt fehlt",IF(YEAR(A1155)&lt;&gt;Einstellungen!$C$3,"anderes Jahr",IF(A1155&lt;INDEX(Mitarbeiter!$C$6:$C$205,MATCH(B1155,Mitarbeiter!$A$6:$A$205,0)),"vor Eintritt",IF(AND(INDEX(Mitarbeiter!$D$6:$D$205,MATCH(B1155,Mitarbeiter!$A$6:$A$205,0))&lt;&gt;"",A1155&gt;INDEX(Mitarbeiter!$D$6:$D$205,MATCH(B1155,Mitarbeiter!$A$6:$A$205,0))),"nach Austritt","ok")))))))</f>
        <v/>
      </c>
    </row>
    <row r="1156">
      <c r="A1156" s="26" t="n"/>
      <c r="B1156" s="24" t="n"/>
      <c r="C1156" s="40">
        <f>IF(B1156="","",IFERROR(INDEX(Mitarbeiter!$B$6:$B$205,MATCH(B1156,Mitarbeiter!$A$6:$A$205,0)),"?"))</f>
        <v/>
      </c>
      <c r="D1156" s="41" t="n"/>
      <c r="E1156" s="42" t="n"/>
      <c r="F1156" s="43" t="n"/>
      <c r="G1156" s="44">
        <f>IF(OR(B1156="",F1156=""),"",IFERROR(F1156*INDEX(Mitarbeiter!$F$6:$F$205,MATCH(B1156,Mitarbeiter!$A$6:$A$205,0)),0))</f>
        <v/>
      </c>
      <c r="H1156" s="8">
        <f>IF(B1156="","",IF(ISNA(MATCH(B1156,Mitarbeiter!$A$6:$A$205,0)),"Pers.-Nr. unbekannt",IF(A1156="","Datum fehlt",IF(AND(D1156&lt;&gt;Einstellungen!$C$4,D1156&lt;&gt;Einstellungen!$C$5),"Objekt fehlt",IF(YEAR(A1156)&lt;&gt;Einstellungen!$C$3,"anderes Jahr",IF(A1156&lt;INDEX(Mitarbeiter!$C$6:$C$205,MATCH(B1156,Mitarbeiter!$A$6:$A$205,0)),"vor Eintritt",IF(AND(INDEX(Mitarbeiter!$D$6:$D$205,MATCH(B1156,Mitarbeiter!$A$6:$A$205,0))&lt;&gt;"",A1156&gt;INDEX(Mitarbeiter!$D$6:$D$205,MATCH(B1156,Mitarbeiter!$A$6:$A$205,0))),"nach Austritt","ok")))))))</f>
        <v/>
      </c>
    </row>
    <row r="1157">
      <c r="A1157" s="26" t="n"/>
      <c r="B1157" s="24" t="n"/>
      <c r="C1157" s="40">
        <f>IF(B1157="","",IFERROR(INDEX(Mitarbeiter!$B$6:$B$205,MATCH(B1157,Mitarbeiter!$A$6:$A$205,0)),"?"))</f>
        <v/>
      </c>
      <c r="D1157" s="41" t="n"/>
      <c r="E1157" s="42" t="n"/>
      <c r="F1157" s="43" t="n"/>
      <c r="G1157" s="44">
        <f>IF(OR(B1157="",F1157=""),"",IFERROR(F1157*INDEX(Mitarbeiter!$F$6:$F$205,MATCH(B1157,Mitarbeiter!$A$6:$A$205,0)),0))</f>
        <v/>
      </c>
      <c r="H1157" s="8">
        <f>IF(B1157="","",IF(ISNA(MATCH(B1157,Mitarbeiter!$A$6:$A$205,0)),"Pers.-Nr. unbekannt",IF(A1157="","Datum fehlt",IF(AND(D1157&lt;&gt;Einstellungen!$C$4,D1157&lt;&gt;Einstellungen!$C$5),"Objekt fehlt",IF(YEAR(A1157)&lt;&gt;Einstellungen!$C$3,"anderes Jahr",IF(A1157&lt;INDEX(Mitarbeiter!$C$6:$C$205,MATCH(B1157,Mitarbeiter!$A$6:$A$205,0)),"vor Eintritt",IF(AND(INDEX(Mitarbeiter!$D$6:$D$205,MATCH(B1157,Mitarbeiter!$A$6:$A$205,0))&lt;&gt;"",A1157&gt;INDEX(Mitarbeiter!$D$6:$D$205,MATCH(B1157,Mitarbeiter!$A$6:$A$205,0))),"nach Austritt","ok")))))))</f>
        <v/>
      </c>
    </row>
    <row r="1158">
      <c r="A1158" s="26" t="n"/>
      <c r="B1158" s="24" t="n"/>
      <c r="C1158" s="40">
        <f>IF(B1158="","",IFERROR(INDEX(Mitarbeiter!$B$6:$B$205,MATCH(B1158,Mitarbeiter!$A$6:$A$205,0)),"?"))</f>
        <v/>
      </c>
      <c r="D1158" s="41" t="n"/>
      <c r="E1158" s="42" t="n"/>
      <c r="F1158" s="43" t="n"/>
      <c r="G1158" s="44">
        <f>IF(OR(B1158="",F1158=""),"",IFERROR(F1158*INDEX(Mitarbeiter!$F$6:$F$205,MATCH(B1158,Mitarbeiter!$A$6:$A$205,0)),0))</f>
        <v/>
      </c>
      <c r="H1158" s="8">
        <f>IF(B1158="","",IF(ISNA(MATCH(B1158,Mitarbeiter!$A$6:$A$205,0)),"Pers.-Nr. unbekannt",IF(A1158="","Datum fehlt",IF(AND(D1158&lt;&gt;Einstellungen!$C$4,D1158&lt;&gt;Einstellungen!$C$5),"Objekt fehlt",IF(YEAR(A1158)&lt;&gt;Einstellungen!$C$3,"anderes Jahr",IF(A1158&lt;INDEX(Mitarbeiter!$C$6:$C$205,MATCH(B1158,Mitarbeiter!$A$6:$A$205,0)),"vor Eintritt",IF(AND(INDEX(Mitarbeiter!$D$6:$D$205,MATCH(B1158,Mitarbeiter!$A$6:$A$205,0))&lt;&gt;"",A1158&gt;INDEX(Mitarbeiter!$D$6:$D$205,MATCH(B1158,Mitarbeiter!$A$6:$A$205,0))),"nach Austritt","ok")))))))</f>
        <v/>
      </c>
    </row>
    <row r="1159">
      <c r="A1159" s="26" t="n"/>
      <c r="B1159" s="24" t="n"/>
      <c r="C1159" s="40">
        <f>IF(B1159="","",IFERROR(INDEX(Mitarbeiter!$B$6:$B$205,MATCH(B1159,Mitarbeiter!$A$6:$A$205,0)),"?"))</f>
        <v/>
      </c>
      <c r="D1159" s="41" t="n"/>
      <c r="E1159" s="42" t="n"/>
      <c r="F1159" s="43" t="n"/>
      <c r="G1159" s="44">
        <f>IF(OR(B1159="",F1159=""),"",IFERROR(F1159*INDEX(Mitarbeiter!$F$6:$F$205,MATCH(B1159,Mitarbeiter!$A$6:$A$205,0)),0))</f>
        <v/>
      </c>
      <c r="H1159" s="8">
        <f>IF(B1159="","",IF(ISNA(MATCH(B1159,Mitarbeiter!$A$6:$A$205,0)),"Pers.-Nr. unbekannt",IF(A1159="","Datum fehlt",IF(AND(D1159&lt;&gt;Einstellungen!$C$4,D1159&lt;&gt;Einstellungen!$C$5),"Objekt fehlt",IF(YEAR(A1159)&lt;&gt;Einstellungen!$C$3,"anderes Jahr",IF(A1159&lt;INDEX(Mitarbeiter!$C$6:$C$205,MATCH(B1159,Mitarbeiter!$A$6:$A$205,0)),"vor Eintritt",IF(AND(INDEX(Mitarbeiter!$D$6:$D$205,MATCH(B1159,Mitarbeiter!$A$6:$A$205,0))&lt;&gt;"",A1159&gt;INDEX(Mitarbeiter!$D$6:$D$205,MATCH(B1159,Mitarbeiter!$A$6:$A$205,0))),"nach Austritt","ok")))))))</f>
        <v/>
      </c>
    </row>
    <row r="1160">
      <c r="A1160" s="26" t="n"/>
      <c r="B1160" s="24" t="n"/>
      <c r="C1160" s="40">
        <f>IF(B1160="","",IFERROR(INDEX(Mitarbeiter!$B$6:$B$205,MATCH(B1160,Mitarbeiter!$A$6:$A$205,0)),"?"))</f>
        <v/>
      </c>
      <c r="D1160" s="41" t="n"/>
      <c r="E1160" s="42" t="n"/>
      <c r="F1160" s="43" t="n"/>
      <c r="G1160" s="44">
        <f>IF(OR(B1160="",F1160=""),"",IFERROR(F1160*INDEX(Mitarbeiter!$F$6:$F$205,MATCH(B1160,Mitarbeiter!$A$6:$A$205,0)),0))</f>
        <v/>
      </c>
      <c r="H1160" s="8">
        <f>IF(B1160="","",IF(ISNA(MATCH(B1160,Mitarbeiter!$A$6:$A$205,0)),"Pers.-Nr. unbekannt",IF(A1160="","Datum fehlt",IF(AND(D1160&lt;&gt;Einstellungen!$C$4,D1160&lt;&gt;Einstellungen!$C$5),"Objekt fehlt",IF(YEAR(A1160)&lt;&gt;Einstellungen!$C$3,"anderes Jahr",IF(A1160&lt;INDEX(Mitarbeiter!$C$6:$C$205,MATCH(B1160,Mitarbeiter!$A$6:$A$205,0)),"vor Eintritt",IF(AND(INDEX(Mitarbeiter!$D$6:$D$205,MATCH(B1160,Mitarbeiter!$A$6:$A$205,0))&lt;&gt;"",A1160&gt;INDEX(Mitarbeiter!$D$6:$D$205,MATCH(B1160,Mitarbeiter!$A$6:$A$205,0))),"nach Austritt","ok")))))))</f>
        <v/>
      </c>
    </row>
    <row r="1161">
      <c r="A1161" s="26" t="n"/>
      <c r="B1161" s="24" t="n"/>
      <c r="C1161" s="40">
        <f>IF(B1161="","",IFERROR(INDEX(Mitarbeiter!$B$6:$B$205,MATCH(B1161,Mitarbeiter!$A$6:$A$205,0)),"?"))</f>
        <v/>
      </c>
      <c r="D1161" s="41" t="n"/>
      <c r="E1161" s="42" t="n"/>
      <c r="F1161" s="43" t="n"/>
      <c r="G1161" s="44">
        <f>IF(OR(B1161="",F1161=""),"",IFERROR(F1161*INDEX(Mitarbeiter!$F$6:$F$205,MATCH(B1161,Mitarbeiter!$A$6:$A$205,0)),0))</f>
        <v/>
      </c>
      <c r="H1161" s="8">
        <f>IF(B1161="","",IF(ISNA(MATCH(B1161,Mitarbeiter!$A$6:$A$205,0)),"Pers.-Nr. unbekannt",IF(A1161="","Datum fehlt",IF(AND(D1161&lt;&gt;Einstellungen!$C$4,D1161&lt;&gt;Einstellungen!$C$5),"Objekt fehlt",IF(YEAR(A1161)&lt;&gt;Einstellungen!$C$3,"anderes Jahr",IF(A1161&lt;INDEX(Mitarbeiter!$C$6:$C$205,MATCH(B1161,Mitarbeiter!$A$6:$A$205,0)),"vor Eintritt",IF(AND(INDEX(Mitarbeiter!$D$6:$D$205,MATCH(B1161,Mitarbeiter!$A$6:$A$205,0))&lt;&gt;"",A1161&gt;INDEX(Mitarbeiter!$D$6:$D$205,MATCH(B1161,Mitarbeiter!$A$6:$A$205,0))),"nach Austritt","ok")))))))</f>
        <v/>
      </c>
    </row>
    <row r="1162">
      <c r="A1162" s="26" t="n"/>
      <c r="B1162" s="24" t="n"/>
      <c r="C1162" s="40">
        <f>IF(B1162="","",IFERROR(INDEX(Mitarbeiter!$B$6:$B$205,MATCH(B1162,Mitarbeiter!$A$6:$A$205,0)),"?"))</f>
        <v/>
      </c>
      <c r="D1162" s="41" t="n"/>
      <c r="E1162" s="42" t="n"/>
      <c r="F1162" s="43" t="n"/>
      <c r="G1162" s="44">
        <f>IF(OR(B1162="",F1162=""),"",IFERROR(F1162*INDEX(Mitarbeiter!$F$6:$F$205,MATCH(B1162,Mitarbeiter!$A$6:$A$205,0)),0))</f>
        <v/>
      </c>
      <c r="H1162" s="8">
        <f>IF(B1162="","",IF(ISNA(MATCH(B1162,Mitarbeiter!$A$6:$A$205,0)),"Pers.-Nr. unbekannt",IF(A1162="","Datum fehlt",IF(AND(D1162&lt;&gt;Einstellungen!$C$4,D1162&lt;&gt;Einstellungen!$C$5),"Objekt fehlt",IF(YEAR(A1162)&lt;&gt;Einstellungen!$C$3,"anderes Jahr",IF(A1162&lt;INDEX(Mitarbeiter!$C$6:$C$205,MATCH(B1162,Mitarbeiter!$A$6:$A$205,0)),"vor Eintritt",IF(AND(INDEX(Mitarbeiter!$D$6:$D$205,MATCH(B1162,Mitarbeiter!$A$6:$A$205,0))&lt;&gt;"",A1162&gt;INDEX(Mitarbeiter!$D$6:$D$205,MATCH(B1162,Mitarbeiter!$A$6:$A$205,0))),"nach Austritt","ok")))))))</f>
        <v/>
      </c>
    </row>
    <row r="1163">
      <c r="A1163" s="26" t="n"/>
      <c r="B1163" s="24" t="n"/>
      <c r="C1163" s="40">
        <f>IF(B1163="","",IFERROR(INDEX(Mitarbeiter!$B$6:$B$205,MATCH(B1163,Mitarbeiter!$A$6:$A$205,0)),"?"))</f>
        <v/>
      </c>
      <c r="D1163" s="41" t="n"/>
      <c r="E1163" s="42" t="n"/>
      <c r="F1163" s="43" t="n"/>
      <c r="G1163" s="44">
        <f>IF(OR(B1163="",F1163=""),"",IFERROR(F1163*INDEX(Mitarbeiter!$F$6:$F$205,MATCH(B1163,Mitarbeiter!$A$6:$A$205,0)),0))</f>
        <v/>
      </c>
      <c r="H1163" s="8">
        <f>IF(B1163="","",IF(ISNA(MATCH(B1163,Mitarbeiter!$A$6:$A$205,0)),"Pers.-Nr. unbekannt",IF(A1163="","Datum fehlt",IF(AND(D1163&lt;&gt;Einstellungen!$C$4,D1163&lt;&gt;Einstellungen!$C$5),"Objekt fehlt",IF(YEAR(A1163)&lt;&gt;Einstellungen!$C$3,"anderes Jahr",IF(A1163&lt;INDEX(Mitarbeiter!$C$6:$C$205,MATCH(B1163,Mitarbeiter!$A$6:$A$205,0)),"vor Eintritt",IF(AND(INDEX(Mitarbeiter!$D$6:$D$205,MATCH(B1163,Mitarbeiter!$A$6:$A$205,0))&lt;&gt;"",A1163&gt;INDEX(Mitarbeiter!$D$6:$D$205,MATCH(B1163,Mitarbeiter!$A$6:$A$205,0))),"nach Austritt","ok")))))))</f>
        <v/>
      </c>
    </row>
    <row r="1164">
      <c r="A1164" s="26" t="n"/>
      <c r="B1164" s="24" t="n"/>
      <c r="C1164" s="40">
        <f>IF(B1164="","",IFERROR(INDEX(Mitarbeiter!$B$6:$B$205,MATCH(B1164,Mitarbeiter!$A$6:$A$205,0)),"?"))</f>
        <v/>
      </c>
      <c r="D1164" s="41" t="n"/>
      <c r="E1164" s="42" t="n"/>
      <c r="F1164" s="43" t="n"/>
      <c r="G1164" s="44">
        <f>IF(OR(B1164="",F1164=""),"",IFERROR(F1164*INDEX(Mitarbeiter!$F$6:$F$205,MATCH(B1164,Mitarbeiter!$A$6:$A$205,0)),0))</f>
        <v/>
      </c>
      <c r="H1164" s="8">
        <f>IF(B1164="","",IF(ISNA(MATCH(B1164,Mitarbeiter!$A$6:$A$205,0)),"Pers.-Nr. unbekannt",IF(A1164="","Datum fehlt",IF(AND(D1164&lt;&gt;Einstellungen!$C$4,D1164&lt;&gt;Einstellungen!$C$5),"Objekt fehlt",IF(YEAR(A1164)&lt;&gt;Einstellungen!$C$3,"anderes Jahr",IF(A1164&lt;INDEX(Mitarbeiter!$C$6:$C$205,MATCH(B1164,Mitarbeiter!$A$6:$A$205,0)),"vor Eintritt",IF(AND(INDEX(Mitarbeiter!$D$6:$D$205,MATCH(B1164,Mitarbeiter!$A$6:$A$205,0))&lt;&gt;"",A1164&gt;INDEX(Mitarbeiter!$D$6:$D$205,MATCH(B1164,Mitarbeiter!$A$6:$A$205,0))),"nach Austritt","ok")))))))</f>
        <v/>
      </c>
    </row>
    <row r="1165">
      <c r="A1165" s="26" t="n"/>
      <c r="B1165" s="24" t="n"/>
      <c r="C1165" s="40">
        <f>IF(B1165="","",IFERROR(INDEX(Mitarbeiter!$B$6:$B$205,MATCH(B1165,Mitarbeiter!$A$6:$A$205,0)),"?"))</f>
        <v/>
      </c>
      <c r="D1165" s="41" t="n"/>
      <c r="E1165" s="42" t="n"/>
      <c r="F1165" s="43" t="n"/>
      <c r="G1165" s="44">
        <f>IF(OR(B1165="",F1165=""),"",IFERROR(F1165*INDEX(Mitarbeiter!$F$6:$F$205,MATCH(B1165,Mitarbeiter!$A$6:$A$205,0)),0))</f>
        <v/>
      </c>
      <c r="H1165" s="8">
        <f>IF(B1165="","",IF(ISNA(MATCH(B1165,Mitarbeiter!$A$6:$A$205,0)),"Pers.-Nr. unbekannt",IF(A1165="","Datum fehlt",IF(AND(D1165&lt;&gt;Einstellungen!$C$4,D1165&lt;&gt;Einstellungen!$C$5),"Objekt fehlt",IF(YEAR(A1165)&lt;&gt;Einstellungen!$C$3,"anderes Jahr",IF(A1165&lt;INDEX(Mitarbeiter!$C$6:$C$205,MATCH(B1165,Mitarbeiter!$A$6:$A$205,0)),"vor Eintritt",IF(AND(INDEX(Mitarbeiter!$D$6:$D$205,MATCH(B1165,Mitarbeiter!$A$6:$A$205,0))&lt;&gt;"",A1165&gt;INDEX(Mitarbeiter!$D$6:$D$205,MATCH(B1165,Mitarbeiter!$A$6:$A$205,0))),"nach Austritt","ok")))))))</f>
        <v/>
      </c>
    </row>
    <row r="1166">
      <c r="A1166" s="26" t="n"/>
      <c r="B1166" s="24" t="n"/>
      <c r="C1166" s="40">
        <f>IF(B1166="","",IFERROR(INDEX(Mitarbeiter!$B$6:$B$205,MATCH(B1166,Mitarbeiter!$A$6:$A$205,0)),"?"))</f>
        <v/>
      </c>
      <c r="D1166" s="41" t="n"/>
      <c r="E1166" s="42" t="n"/>
      <c r="F1166" s="43" t="n"/>
      <c r="G1166" s="44">
        <f>IF(OR(B1166="",F1166=""),"",IFERROR(F1166*INDEX(Mitarbeiter!$F$6:$F$205,MATCH(B1166,Mitarbeiter!$A$6:$A$205,0)),0))</f>
        <v/>
      </c>
      <c r="H1166" s="8">
        <f>IF(B1166="","",IF(ISNA(MATCH(B1166,Mitarbeiter!$A$6:$A$205,0)),"Pers.-Nr. unbekannt",IF(A1166="","Datum fehlt",IF(AND(D1166&lt;&gt;Einstellungen!$C$4,D1166&lt;&gt;Einstellungen!$C$5),"Objekt fehlt",IF(YEAR(A1166)&lt;&gt;Einstellungen!$C$3,"anderes Jahr",IF(A1166&lt;INDEX(Mitarbeiter!$C$6:$C$205,MATCH(B1166,Mitarbeiter!$A$6:$A$205,0)),"vor Eintritt",IF(AND(INDEX(Mitarbeiter!$D$6:$D$205,MATCH(B1166,Mitarbeiter!$A$6:$A$205,0))&lt;&gt;"",A1166&gt;INDEX(Mitarbeiter!$D$6:$D$205,MATCH(B1166,Mitarbeiter!$A$6:$A$205,0))),"nach Austritt","ok")))))))</f>
        <v/>
      </c>
    </row>
    <row r="1167">
      <c r="A1167" s="26" t="n"/>
      <c r="B1167" s="24" t="n"/>
      <c r="C1167" s="40">
        <f>IF(B1167="","",IFERROR(INDEX(Mitarbeiter!$B$6:$B$205,MATCH(B1167,Mitarbeiter!$A$6:$A$205,0)),"?"))</f>
        <v/>
      </c>
      <c r="D1167" s="41" t="n"/>
      <c r="E1167" s="42" t="n"/>
      <c r="F1167" s="43" t="n"/>
      <c r="G1167" s="44">
        <f>IF(OR(B1167="",F1167=""),"",IFERROR(F1167*INDEX(Mitarbeiter!$F$6:$F$205,MATCH(B1167,Mitarbeiter!$A$6:$A$205,0)),0))</f>
        <v/>
      </c>
      <c r="H1167" s="8">
        <f>IF(B1167="","",IF(ISNA(MATCH(B1167,Mitarbeiter!$A$6:$A$205,0)),"Pers.-Nr. unbekannt",IF(A1167="","Datum fehlt",IF(AND(D1167&lt;&gt;Einstellungen!$C$4,D1167&lt;&gt;Einstellungen!$C$5),"Objekt fehlt",IF(YEAR(A1167)&lt;&gt;Einstellungen!$C$3,"anderes Jahr",IF(A1167&lt;INDEX(Mitarbeiter!$C$6:$C$205,MATCH(B1167,Mitarbeiter!$A$6:$A$205,0)),"vor Eintritt",IF(AND(INDEX(Mitarbeiter!$D$6:$D$205,MATCH(B1167,Mitarbeiter!$A$6:$A$205,0))&lt;&gt;"",A1167&gt;INDEX(Mitarbeiter!$D$6:$D$205,MATCH(B1167,Mitarbeiter!$A$6:$A$205,0))),"nach Austritt","ok")))))))</f>
        <v/>
      </c>
    </row>
    <row r="1168">
      <c r="A1168" s="26" t="n"/>
      <c r="B1168" s="24" t="n"/>
      <c r="C1168" s="40">
        <f>IF(B1168="","",IFERROR(INDEX(Mitarbeiter!$B$6:$B$205,MATCH(B1168,Mitarbeiter!$A$6:$A$205,0)),"?"))</f>
        <v/>
      </c>
      <c r="D1168" s="41" t="n"/>
      <c r="E1168" s="42" t="n"/>
      <c r="F1168" s="43" t="n"/>
      <c r="G1168" s="44">
        <f>IF(OR(B1168="",F1168=""),"",IFERROR(F1168*INDEX(Mitarbeiter!$F$6:$F$205,MATCH(B1168,Mitarbeiter!$A$6:$A$205,0)),0))</f>
        <v/>
      </c>
      <c r="H1168" s="8">
        <f>IF(B1168="","",IF(ISNA(MATCH(B1168,Mitarbeiter!$A$6:$A$205,0)),"Pers.-Nr. unbekannt",IF(A1168="","Datum fehlt",IF(AND(D1168&lt;&gt;Einstellungen!$C$4,D1168&lt;&gt;Einstellungen!$C$5),"Objekt fehlt",IF(YEAR(A1168)&lt;&gt;Einstellungen!$C$3,"anderes Jahr",IF(A1168&lt;INDEX(Mitarbeiter!$C$6:$C$205,MATCH(B1168,Mitarbeiter!$A$6:$A$205,0)),"vor Eintritt",IF(AND(INDEX(Mitarbeiter!$D$6:$D$205,MATCH(B1168,Mitarbeiter!$A$6:$A$205,0))&lt;&gt;"",A1168&gt;INDEX(Mitarbeiter!$D$6:$D$205,MATCH(B1168,Mitarbeiter!$A$6:$A$205,0))),"nach Austritt","ok")))))))</f>
        <v/>
      </c>
    </row>
    <row r="1169">
      <c r="A1169" s="26" t="n"/>
      <c r="B1169" s="24" t="n"/>
      <c r="C1169" s="40">
        <f>IF(B1169="","",IFERROR(INDEX(Mitarbeiter!$B$6:$B$205,MATCH(B1169,Mitarbeiter!$A$6:$A$205,0)),"?"))</f>
        <v/>
      </c>
      <c r="D1169" s="41" t="n"/>
      <c r="E1169" s="42" t="n"/>
      <c r="F1169" s="43" t="n"/>
      <c r="G1169" s="44">
        <f>IF(OR(B1169="",F1169=""),"",IFERROR(F1169*INDEX(Mitarbeiter!$F$6:$F$205,MATCH(B1169,Mitarbeiter!$A$6:$A$205,0)),0))</f>
        <v/>
      </c>
      <c r="H1169" s="8">
        <f>IF(B1169="","",IF(ISNA(MATCH(B1169,Mitarbeiter!$A$6:$A$205,0)),"Pers.-Nr. unbekannt",IF(A1169="","Datum fehlt",IF(AND(D1169&lt;&gt;Einstellungen!$C$4,D1169&lt;&gt;Einstellungen!$C$5),"Objekt fehlt",IF(YEAR(A1169)&lt;&gt;Einstellungen!$C$3,"anderes Jahr",IF(A1169&lt;INDEX(Mitarbeiter!$C$6:$C$205,MATCH(B1169,Mitarbeiter!$A$6:$A$205,0)),"vor Eintritt",IF(AND(INDEX(Mitarbeiter!$D$6:$D$205,MATCH(B1169,Mitarbeiter!$A$6:$A$205,0))&lt;&gt;"",A1169&gt;INDEX(Mitarbeiter!$D$6:$D$205,MATCH(B1169,Mitarbeiter!$A$6:$A$205,0))),"nach Austritt","ok")))))))</f>
        <v/>
      </c>
    </row>
    <row r="1170">
      <c r="A1170" s="26" t="n"/>
      <c r="B1170" s="24" t="n"/>
      <c r="C1170" s="40">
        <f>IF(B1170="","",IFERROR(INDEX(Mitarbeiter!$B$6:$B$205,MATCH(B1170,Mitarbeiter!$A$6:$A$205,0)),"?"))</f>
        <v/>
      </c>
      <c r="D1170" s="41" t="n"/>
      <c r="E1170" s="42" t="n"/>
      <c r="F1170" s="43" t="n"/>
      <c r="G1170" s="44">
        <f>IF(OR(B1170="",F1170=""),"",IFERROR(F1170*INDEX(Mitarbeiter!$F$6:$F$205,MATCH(B1170,Mitarbeiter!$A$6:$A$205,0)),0))</f>
        <v/>
      </c>
      <c r="H1170" s="8">
        <f>IF(B1170="","",IF(ISNA(MATCH(B1170,Mitarbeiter!$A$6:$A$205,0)),"Pers.-Nr. unbekannt",IF(A1170="","Datum fehlt",IF(AND(D1170&lt;&gt;Einstellungen!$C$4,D1170&lt;&gt;Einstellungen!$C$5),"Objekt fehlt",IF(YEAR(A1170)&lt;&gt;Einstellungen!$C$3,"anderes Jahr",IF(A1170&lt;INDEX(Mitarbeiter!$C$6:$C$205,MATCH(B1170,Mitarbeiter!$A$6:$A$205,0)),"vor Eintritt",IF(AND(INDEX(Mitarbeiter!$D$6:$D$205,MATCH(B1170,Mitarbeiter!$A$6:$A$205,0))&lt;&gt;"",A1170&gt;INDEX(Mitarbeiter!$D$6:$D$205,MATCH(B1170,Mitarbeiter!$A$6:$A$205,0))),"nach Austritt","ok")))))))</f>
        <v/>
      </c>
    </row>
    <row r="1171">
      <c r="A1171" s="26" t="n"/>
      <c r="B1171" s="24" t="n"/>
      <c r="C1171" s="40">
        <f>IF(B1171="","",IFERROR(INDEX(Mitarbeiter!$B$6:$B$205,MATCH(B1171,Mitarbeiter!$A$6:$A$205,0)),"?"))</f>
        <v/>
      </c>
      <c r="D1171" s="41" t="n"/>
      <c r="E1171" s="42" t="n"/>
      <c r="F1171" s="43" t="n"/>
      <c r="G1171" s="44">
        <f>IF(OR(B1171="",F1171=""),"",IFERROR(F1171*INDEX(Mitarbeiter!$F$6:$F$205,MATCH(B1171,Mitarbeiter!$A$6:$A$205,0)),0))</f>
        <v/>
      </c>
      <c r="H1171" s="8">
        <f>IF(B1171="","",IF(ISNA(MATCH(B1171,Mitarbeiter!$A$6:$A$205,0)),"Pers.-Nr. unbekannt",IF(A1171="","Datum fehlt",IF(AND(D1171&lt;&gt;Einstellungen!$C$4,D1171&lt;&gt;Einstellungen!$C$5),"Objekt fehlt",IF(YEAR(A1171)&lt;&gt;Einstellungen!$C$3,"anderes Jahr",IF(A1171&lt;INDEX(Mitarbeiter!$C$6:$C$205,MATCH(B1171,Mitarbeiter!$A$6:$A$205,0)),"vor Eintritt",IF(AND(INDEX(Mitarbeiter!$D$6:$D$205,MATCH(B1171,Mitarbeiter!$A$6:$A$205,0))&lt;&gt;"",A1171&gt;INDEX(Mitarbeiter!$D$6:$D$205,MATCH(B1171,Mitarbeiter!$A$6:$A$205,0))),"nach Austritt","ok")))))))</f>
        <v/>
      </c>
    </row>
    <row r="1172">
      <c r="A1172" s="26" t="n"/>
      <c r="B1172" s="24" t="n"/>
      <c r="C1172" s="40">
        <f>IF(B1172="","",IFERROR(INDEX(Mitarbeiter!$B$6:$B$205,MATCH(B1172,Mitarbeiter!$A$6:$A$205,0)),"?"))</f>
        <v/>
      </c>
      <c r="D1172" s="41" t="n"/>
      <c r="E1172" s="42" t="n"/>
      <c r="F1172" s="43" t="n"/>
      <c r="G1172" s="44">
        <f>IF(OR(B1172="",F1172=""),"",IFERROR(F1172*INDEX(Mitarbeiter!$F$6:$F$205,MATCH(B1172,Mitarbeiter!$A$6:$A$205,0)),0))</f>
        <v/>
      </c>
      <c r="H1172" s="8">
        <f>IF(B1172="","",IF(ISNA(MATCH(B1172,Mitarbeiter!$A$6:$A$205,0)),"Pers.-Nr. unbekannt",IF(A1172="","Datum fehlt",IF(AND(D1172&lt;&gt;Einstellungen!$C$4,D1172&lt;&gt;Einstellungen!$C$5),"Objekt fehlt",IF(YEAR(A1172)&lt;&gt;Einstellungen!$C$3,"anderes Jahr",IF(A1172&lt;INDEX(Mitarbeiter!$C$6:$C$205,MATCH(B1172,Mitarbeiter!$A$6:$A$205,0)),"vor Eintritt",IF(AND(INDEX(Mitarbeiter!$D$6:$D$205,MATCH(B1172,Mitarbeiter!$A$6:$A$205,0))&lt;&gt;"",A1172&gt;INDEX(Mitarbeiter!$D$6:$D$205,MATCH(B1172,Mitarbeiter!$A$6:$A$205,0))),"nach Austritt","ok")))))))</f>
        <v/>
      </c>
    </row>
    <row r="1173">
      <c r="A1173" s="26" t="n"/>
      <c r="B1173" s="24" t="n"/>
      <c r="C1173" s="40">
        <f>IF(B1173="","",IFERROR(INDEX(Mitarbeiter!$B$6:$B$205,MATCH(B1173,Mitarbeiter!$A$6:$A$205,0)),"?"))</f>
        <v/>
      </c>
      <c r="D1173" s="41" t="n"/>
      <c r="E1173" s="42" t="n"/>
      <c r="F1173" s="43" t="n"/>
      <c r="G1173" s="44">
        <f>IF(OR(B1173="",F1173=""),"",IFERROR(F1173*INDEX(Mitarbeiter!$F$6:$F$205,MATCH(B1173,Mitarbeiter!$A$6:$A$205,0)),0))</f>
        <v/>
      </c>
      <c r="H1173" s="8">
        <f>IF(B1173="","",IF(ISNA(MATCH(B1173,Mitarbeiter!$A$6:$A$205,0)),"Pers.-Nr. unbekannt",IF(A1173="","Datum fehlt",IF(AND(D1173&lt;&gt;Einstellungen!$C$4,D1173&lt;&gt;Einstellungen!$C$5),"Objekt fehlt",IF(YEAR(A1173)&lt;&gt;Einstellungen!$C$3,"anderes Jahr",IF(A1173&lt;INDEX(Mitarbeiter!$C$6:$C$205,MATCH(B1173,Mitarbeiter!$A$6:$A$205,0)),"vor Eintritt",IF(AND(INDEX(Mitarbeiter!$D$6:$D$205,MATCH(B1173,Mitarbeiter!$A$6:$A$205,0))&lt;&gt;"",A1173&gt;INDEX(Mitarbeiter!$D$6:$D$205,MATCH(B1173,Mitarbeiter!$A$6:$A$205,0))),"nach Austritt","ok")))))))</f>
        <v/>
      </c>
    </row>
    <row r="1174">
      <c r="A1174" s="26" t="n"/>
      <c r="B1174" s="24" t="n"/>
      <c r="C1174" s="40">
        <f>IF(B1174="","",IFERROR(INDEX(Mitarbeiter!$B$6:$B$205,MATCH(B1174,Mitarbeiter!$A$6:$A$205,0)),"?"))</f>
        <v/>
      </c>
      <c r="D1174" s="41" t="n"/>
      <c r="E1174" s="42" t="n"/>
      <c r="F1174" s="43" t="n"/>
      <c r="G1174" s="44">
        <f>IF(OR(B1174="",F1174=""),"",IFERROR(F1174*INDEX(Mitarbeiter!$F$6:$F$205,MATCH(B1174,Mitarbeiter!$A$6:$A$205,0)),0))</f>
        <v/>
      </c>
      <c r="H1174" s="8">
        <f>IF(B1174="","",IF(ISNA(MATCH(B1174,Mitarbeiter!$A$6:$A$205,0)),"Pers.-Nr. unbekannt",IF(A1174="","Datum fehlt",IF(AND(D1174&lt;&gt;Einstellungen!$C$4,D1174&lt;&gt;Einstellungen!$C$5),"Objekt fehlt",IF(YEAR(A1174)&lt;&gt;Einstellungen!$C$3,"anderes Jahr",IF(A1174&lt;INDEX(Mitarbeiter!$C$6:$C$205,MATCH(B1174,Mitarbeiter!$A$6:$A$205,0)),"vor Eintritt",IF(AND(INDEX(Mitarbeiter!$D$6:$D$205,MATCH(B1174,Mitarbeiter!$A$6:$A$205,0))&lt;&gt;"",A1174&gt;INDEX(Mitarbeiter!$D$6:$D$205,MATCH(B1174,Mitarbeiter!$A$6:$A$205,0))),"nach Austritt","ok")))))))</f>
        <v/>
      </c>
    </row>
    <row r="1175">
      <c r="A1175" s="26" t="n"/>
      <c r="B1175" s="24" t="n"/>
      <c r="C1175" s="40">
        <f>IF(B1175="","",IFERROR(INDEX(Mitarbeiter!$B$6:$B$205,MATCH(B1175,Mitarbeiter!$A$6:$A$205,0)),"?"))</f>
        <v/>
      </c>
      <c r="D1175" s="41" t="n"/>
      <c r="E1175" s="42" t="n"/>
      <c r="F1175" s="43" t="n"/>
      <c r="G1175" s="44">
        <f>IF(OR(B1175="",F1175=""),"",IFERROR(F1175*INDEX(Mitarbeiter!$F$6:$F$205,MATCH(B1175,Mitarbeiter!$A$6:$A$205,0)),0))</f>
        <v/>
      </c>
      <c r="H1175" s="8">
        <f>IF(B1175="","",IF(ISNA(MATCH(B1175,Mitarbeiter!$A$6:$A$205,0)),"Pers.-Nr. unbekannt",IF(A1175="","Datum fehlt",IF(AND(D1175&lt;&gt;Einstellungen!$C$4,D1175&lt;&gt;Einstellungen!$C$5),"Objekt fehlt",IF(YEAR(A1175)&lt;&gt;Einstellungen!$C$3,"anderes Jahr",IF(A1175&lt;INDEX(Mitarbeiter!$C$6:$C$205,MATCH(B1175,Mitarbeiter!$A$6:$A$205,0)),"vor Eintritt",IF(AND(INDEX(Mitarbeiter!$D$6:$D$205,MATCH(B1175,Mitarbeiter!$A$6:$A$205,0))&lt;&gt;"",A1175&gt;INDEX(Mitarbeiter!$D$6:$D$205,MATCH(B1175,Mitarbeiter!$A$6:$A$205,0))),"nach Austritt","ok")))))))</f>
        <v/>
      </c>
    </row>
    <row r="1176">
      <c r="A1176" s="26" t="n"/>
      <c r="B1176" s="24" t="n"/>
      <c r="C1176" s="40">
        <f>IF(B1176="","",IFERROR(INDEX(Mitarbeiter!$B$6:$B$205,MATCH(B1176,Mitarbeiter!$A$6:$A$205,0)),"?"))</f>
        <v/>
      </c>
      <c r="D1176" s="41" t="n"/>
      <c r="E1176" s="42" t="n"/>
      <c r="F1176" s="43" t="n"/>
      <c r="G1176" s="44">
        <f>IF(OR(B1176="",F1176=""),"",IFERROR(F1176*INDEX(Mitarbeiter!$F$6:$F$205,MATCH(B1176,Mitarbeiter!$A$6:$A$205,0)),0))</f>
        <v/>
      </c>
      <c r="H1176" s="8">
        <f>IF(B1176="","",IF(ISNA(MATCH(B1176,Mitarbeiter!$A$6:$A$205,0)),"Pers.-Nr. unbekannt",IF(A1176="","Datum fehlt",IF(AND(D1176&lt;&gt;Einstellungen!$C$4,D1176&lt;&gt;Einstellungen!$C$5),"Objekt fehlt",IF(YEAR(A1176)&lt;&gt;Einstellungen!$C$3,"anderes Jahr",IF(A1176&lt;INDEX(Mitarbeiter!$C$6:$C$205,MATCH(B1176,Mitarbeiter!$A$6:$A$205,0)),"vor Eintritt",IF(AND(INDEX(Mitarbeiter!$D$6:$D$205,MATCH(B1176,Mitarbeiter!$A$6:$A$205,0))&lt;&gt;"",A1176&gt;INDEX(Mitarbeiter!$D$6:$D$205,MATCH(B1176,Mitarbeiter!$A$6:$A$205,0))),"nach Austritt","ok")))))))</f>
        <v/>
      </c>
    </row>
    <row r="1177">
      <c r="A1177" s="26" t="n"/>
      <c r="B1177" s="24" t="n"/>
      <c r="C1177" s="40">
        <f>IF(B1177="","",IFERROR(INDEX(Mitarbeiter!$B$6:$B$205,MATCH(B1177,Mitarbeiter!$A$6:$A$205,0)),"?"))</f>
        <v/>
      </c>
      <c r="D1177" s="41" t="n"/>
      <c r="E1177" s="42" t="n"/>
      <c r="F1177" s="43" t="n"/>
      <c r="G1177" s="44">
        <f>IF(OR(B1177="",F1177=""),"",IFERROR(F1177*INDEX(Mitarbeiter!$F$6:$F$205,MATCH(B1177,Mitarbeiter!$A$6:$A$205,0)),0))</f>
        <v/>
      </c>
      <c r="H1177" s="8">
        <f>IF(B1177="","",IF(ISNA(MATCH(B1177,Mitarbeiter!$A$6:$A$205,0)),"Pers.-Nr. unbekannt",IF(A1177="","Datum fehlt",IF(AND(D1177&lt;&gt;Einstellungen!$C$4,D1177&lt;&gt;Einstellungen!$C$5),"Objekt fehlt",IF(YEAR(A1177)&lt;&gt;Einstellungen!$C$3,"anderes Jahr",IF(A1177&lt;INDEX(Mitarbeiter!$C$6:$C$205,MATCH(B1177,Mitarbeiter!$A$6:$A$205,0)),"vor Eintritt",IF(AND(INDEX(Mitarbeiter!$D$6:$D$205,MATCH(B1177,Mitarbeiter!$A$6:$A$205,0))&lt;&gt;"",A1177&gt;INDEX(Mitarbeiter!$D$6:$D$205,MATCH(B1177,Mitarbeiter!$A$6:$A$205,0))),"nach Austritt","ok")))))))</f>
        <v/>
      </c>
    </row>
    <row r="1178">
      <c r="A1178" s="26" t="n"/>
      <c r="B1178" s="24" t="n"/>
      <c r="C1178" s="40">
        <f>IF(B1178="","",IFERROR(INDEX(Mitarbeiter!$B$6:$B$205,MATCH(B1178,Mitarbeiter!$A$6:$A$205,0)),"?"))</f>
        <v/>
      </c>
      <c r="D1178" s="41" t="n"/>
      <c r="E1178" s="42" t="n"/>
      <c r="F1178" s="43" t="n"/>
      <c r="G1178" s="44">
        <f>IF(OR(B1178="",F1178=""),"",IFERROR(F1178*INDEX(Mitarbeiter!$F$6:$F$205,MATCH(B1178,Mitarbeiter!$A$6:$A$205,0)),0))</f>
        <v/>
      </c>
      <c r="H1178" s="8">
        <f>IF(B1178="","",IF(ISNA(MATCH(B1178,Mitarbeiter!$A$6:$A$205,0)),"Pers.-Nr. unbekannt",IF(A1178="","Datum fehlt",IF(AND(D1178&lt;&gt;Einstellungen!$C$4,D1178&lt;&gt;Einstellungen!$C$5),"Objekt fehlt",IF(YEAR(A1178)&lt;&gt;Einstellungen!$C$3,"anderes Jahr",IF(A1178&lt;INDEX(Mitarbeiter!$C$6:$C$205,MATCH(B1178,Mitarbeiter!$A$6:$A$205,0)),"vor Eintritt",IF(AND(INDEX(Mitarbeiter!$D$6:$D$205,MATCH(B1178,Mitarbeiter!$A$6:$A$205,0))&lt;&gt;"",A1178&gt;INDEX(Mitarbeiter!$D$6:$D$205,MATCH(B1178,Mitarbeiter!$A$6:$A$205,0))),"nach Austritt","ok")))))))</f>
        <v/>
      </c>
    </row>
    <row r="1179">
      <c r="A1179" s="26" t="n"/>
      <c r="B1179" s="24" t="n"/>
      <c r="C1179" s="40">
        <f>IF(B1179="","",IFERROR(INDEX(Mitarbeiter!$B$6:$B$205,MATCH(B1179,Mitarbeiter!$A$6:$A$205,0)),"?"))</f>
        <v/>
      </c>
      <c r="D1179" s="41" t="n"/>
      <c r="E1179" s="42" t="n"/>
      <c r="F1179" s="43" t="n"/>
      <c r="G1179" s="44">
        <f>IF(OR(B1179="",F1179=""),"",IFERROR(F1179*INDEX(Mitarbeiter!$F$6:$F$205,MATCH(B1179,Mitarbeiter!$A$6:$A$205,0)),0))</f>
        <v/>
      </c>
      <c r="H1179" s="8">
        <f>IF(B1179="","",IF(ISNA(MATCH(B1179,Mitarbeiter!$A$6:$A$205,0)),"Pers.-Nr. unbekannt",IF(A1179="","Datum fehlt",IF(AND(D1179&lt;&gt;Einstellungen!$C$4,D1179&lt;&gt;Einstellungen!$C$5),"Objekt fehlt",IF(YEAR(A1179)&lt;&gt;Einstellungen!$C$3,"anderes Jahr",IF(A1179&lt;INDEX(Mitarbeiter!$C$6:$C$205,MATCH(B1179,Mitarbeiter!$A$6:$A$205,0)),"vor Eintritt",IF(AND(INDEX(Mitarbeiter!$D$6:$D$205,MATCH(B1179,Mitarbeiter!$A$6:$A$205,0))&lt;&gt;"",A1179&gt;INDEX(Mitarbeiter!$D$6:$D$205,MATCH(B1179,Mitarbeiter!$A$6:$A$205,0))),"nach Austritt","ok")))))))</f>
        <v/>
      </c>
    </row>
    <row r="1180">
      <c r="A1180" s="26" t="n"/>
      <c r="B1180" s="24" t="n"/>
      <c r="C1180" s="40">
        <f>IF(B1180="","",IFERROR(INDEX(Mitarbeiter!$B$6:$B$205,MATCH(B1180,Mitarbeiter!$A$6:$A$205,0)),"?"))</f>
        <v/>
      </c>
      <c r="D1180" s="41" t="n"/>
      <c r="E1180" s="42" t="n"/>
      <c r="F1180" s="43" t="n"/>
      <c r="G1180" s="44">
        <f>IF(OR(B1180="",F1180=""),"",IFERROR(F1180*INDEX(Mitarbeiter!$F$6:$F$205,MATCH(B1180,Mitarbeiter!$A$6:$A$205,0)),0))</f>
        <v/>
      </c>
      <c r="H1180" s="8">
        <f>IF(B1180="","",IF(ISNA(MATCH(B1180,Mitarbeiter!$A$6:$A$205,0)),"Pers.-Nr. unbekannt",IF(A1180="","Datum fehlt",IF(AND(D1180&lt;&gt;Einstellungen!$C$4,D1180&lt;&gt;Einstellungen!$C$5),"Objekt fehlt",IF(YEAR(A1180)&lt;&gt;Einstellungen!$C$3,"anderes Jahr",IF(A1180&lt;INDEX(Mitarbeiter!$C$6:$C$205,MATCH(B1180,Mitarbeiter!$A$6:$A$205,0)),"vor Eintritt",IF(AND(INDEX(Mitarbeiter!$D$6:$D$205,MATCH(B1180,Mitarbeiter!$A$6:$A$205,0))&lt;&gt;"",A1180&gt;INDEX(Mitarbeiter!$D$6:$D$205,MATCH(B1180,Mitarbeiter!$A$6:$A$205,0))),"nach Austritt","ok")))))))</f>
        <v/>
      </c>
    </row>
    <row r="1181">
      <c r="A1181" s="26" t="n"/>
      <c r="B1181" s="24" t="n"/>
      <c r="C1181" s="40">
        <f>IF(B1181="","",IFERROR(INDEX(Mitarbeiter!$B$6:$B$205,MATCH(B1181,Mitarbeiter!$A$6:$A$205,0)),"?"))</f>
        <v/>
      </c>
      <c r="D1181" s="41" t="n"/>
      <c r="E1181" s="42" t="n"/>
      <c r="F1181" s="43" t="n"/>
      <c r="G1181" s="44">
        <f>IF(OR(B1181="",F1181=""),"",IFERROR(F1181*INDEX(Mitarbeiter!$F$6:$F$205,MATCH(B1181,Mitarbeiter!$A$6:$A$205,0)),0))</f>
        <v/>
      </c>
      <c r="H1181" s="8">
        <f>IF(B1181="","",IF(ISNA(MATCH(B1181,Mitarbeiter!$A$6:$A$205,0)),"Pers.-Nr. unbekannt",IF(A1181="","Datum fehlt",IF(AND(D1181&lt;&gt;Einstellungen!$C$4,D1181&lt;&gt;Einstellungen!$C$5),"Objekt fehlt",IF(YEAR(A1181)&lt;&gt;Einstellungen!$C$3,"anderes Jahr",IF(A1181&lt;INDEX(Mitarbeiter!$C$6:$C$205,MATCH(B1181,Mitarbeiter!$A$6:$A$205,0)),"vor Eintritt",IF(AND(INDEX(Mitarbeiter!$D$6:$D$205,MATCH(B1181,Mitarbeiter!$A$6:$A$205,0))&lt;&gt;"",A1181&gt;INDEX(Mitarbeiter!$D$6:$D$205,MATCH(B1181,Mitarbeiter!$A$6:$A$205,0))),"nach Austritt","ok")))))))</f>
        <v/>
      </c>
    </row>
    <row r="1182">
      <c r="A1182" s="26" t="n"/>
      <c r="B1182" s="24" t="n"/>
      <c r="C1182" s="40">
        <f>IF(B1182="","",IFERROR(INDEX(Mitarbeiter!$B$6:$B$205,MATCH(B1182,Mitarbeiter!$A$6:$A$205,0)),"?"))</f>
        <v/>
      </c>
      <c r="D1182" s="41" t="n"/>
      <c r="E1182" s="42" t="n"/>
      <c r="F1182" s="43" t="n"/>
      <c r="G1182" s="44">
        <f>IF(OR(B1182="",F1182=""),"",IFERROR(F1182*INDEX(Mitarbeiter!$F$6:$F$205,MATCH(B1182,Mitarbeiter!$A$6:$A$205,0)),0))</f>
        <v/>
      </c>
      <c r="H1182" s="8">
        <f>IF(B1182="","",IF(ISNA(MATCH(B1182,Mitarbeiter!$A$6:$A$205,0)),"Pers.-Nr. unbekannt",IF(A1182="","Datum fehlt",IF(AND(D1182&lt;&gt;Einstellungen!$C$4,D1182&lt;&gt;Einstellungen!$C$5),"Objekt fehlt",IF(YEAR(A1182)&lt;&gt;Einstellungen!$C$3,"anderes Jahr",IF(A1182&lt;INDEX(Mitarbeiter!$C$6:$C$205,MATCH(B1182,Mitarbeiter!$A$6:$A$205,0)),"vor Eintritt",IF(AND(INDEX(Mitarbeiter!$D$6:$D$205,MATCH(B1182,Mitarbeiter!$A$6:$A$205,0))&lt;&gt;"",A1182&gt;INDEX(Mitarbeiter!$D$6:$D$205,MATCH(B1182,Mitarbeiter!$A$6:$A$205,0))),"nach Austritt","ok")))))))</f>
        <v/>
      </c>
    </row>
    <row r="1183">
      <c r="A1183" s="26" t="n"/>
      <c r="B1183" s="24" t="n"/>
      <c r="C1183" s="40">
        <f>IF(B1183="","",IFERROR(INDEX(Mitarbeiter!$B$6:$B$205,MATCH(B1183,Mitarbeiter!$A$6:$A$205,0)),"?"))</f>
        <v/>
      </c>
      <c r="D1183" s="41" t="n"/>
      <c r="E1183" s="42" t="n"/>
      <c r="F1183" s="43" t="n"/>
      <c r="G1183" s="44">
        <f>IF(OR(B1183="",F1183=""),"",IFERROR(F1183*INDEX(Mitarbeiter!$F$6:$F$205,MATCH(B1183,Mitarbeiter!$A$6:$A$205,0)),0))</f>
        <v/>
      </c>
      <c r="H1183" s="8">
        <f>IF(B1183="","",IF(ISNA(MATCH(B1183,Mitarbeiter!$A$6:$A$205,0)),"Pers.-Nr. unbekannt",IF(A1183="","Datum fehlt",IF(AND(D1183&lt;&gt;Einstellungen!$C$4,D1183&lt;&gt;Einstellungen!$C$5),"Objekt fehlt",IF(YEAR(A1183)&lt;&gt;Einstellungen!$C$3,"anderes Jahr",IF(A1183&lt;INDEX(Mitarbeiter!$C$6:$C$205,MATCH(B1183,Mitarbeiter!$A$6:$A$205,0)),"vor Eintritt",IF(AND(INDEX(Mitarbeiter!$D$6:$D$205,MATCH(B1183,Mitarbeiter!$A$6:$A$205,0))&lt;&gt;"",A1183&gt;INDEX(Mitarbeiter!$D$6:$D$205,MATCH(B1183,Mitarbeiter!$A$6:$A$205,0))),"nach Austritt","ok")))))))</f>
        <v/>
      </c>
    </row>
    <row r="1184">
      <c r="A1184" s="26" t="n"/>
      <c r="B1184" s="24" t="n"/>
      <c r="C1184" s="40">
        <f>IF(B1184="","",IFERROR(INDEX(Mitarbeiter!$B$6:$B$205,MATCH(B1184,Mitarbeiter!$A$6:$A$205,0)),"?"))</f>
        <v/>
      </c>
      <c r="D1184" s="41" t="n"/>
      <c r="E1184" s="42" t="n"/>
      <c r="F1184" s="43" t="n"/>
      <c r="G1184" s="44">
        <f>IF(OR(B1184="",F1184=""),"",IFERROR(F1184*INDEX(Mitarbeiter!$F$6:$F$205,MATCH(B1184,Mitarbeiter!$A$6:$A$205,0)),0))</f>
        <v/>
      </c>
      <c r="H1184" s="8">
        <f>IF(B1184="","",IF(ISNA(MATCH(B1184,Mitarbeiter!$A$6:$A$205,0)),"Pers.-Nr. unbekannt",IF(A1184="","Datum fehlt",IF(AND(D1184&lt;&gt;Einstellungen!$C$4,D1184&lt;&gt;Einstellungen!$C$5),"Objekt fehlt",IF(YEAR(A1184)&lt;&gt;Einstellungen!$C$3,"anderes Jahr",IF(A1184&lt;INDEX(Mitarbeiter!$C$6:$C$205,MATCH(B1184,Mitarbeiter!$A$6:$A$205,0)),"vor Eintritt",IF(AND(INDEX(Mitarbeiter!$D$6:$D$205,MATCH(B1184,Mitarbeiter!$A$6:$A$205,0))&lt;&gt;"",A1184&gt;INDEX(Mitarbeiter!$D$6:$D$205,MATCH(B1184,Mitarbeiter!$A$6:$A$205,0))),"nach Austritt","ok")))))))</f>
        <v/>
      </c>
    </row>
    <row r="1185">
      <c r="A1185" s="26" t="n"/>
      <c r="B1185" s="24" t="n"/>
      <c r="C1185" s="40">
        <f>IF(B1185="","",IFERROR(INDEX(Mitarbeiter!$B$6:$B$205,MATCH(B1185,Mitarbeiter!$A$6:$A$205,0)),"?"))</f>
        <v/>
      </c>
      <c r="D1185" s="41" t="n"/>
      <c r="E1185" s="42" t="n"/>
      <c r="F1185" s="43" t="n"/>
      <c r="G1185" s="44">
        <f>IF(OR(B1185="",F1185=""),"",IFERROR(F1185*INDEX(Mitarbeiter!$F$6:$F$205,MATCH(B1185,Mitarbeiter!$A$6:$A$205,0)),0))</f>
        <v/>
      </c>
      <c r="H1185" s="8">
        <f>IF(B1185="","",IF(ISNA(MATCH(B1185,Mitarbeiter!$A$6:$A$205,0)),"Pers.-Nr. unbekannt",IF(A1185="","Datum fehlt",IF(AND(D1185&lt;&gt;Einstellungen!$C$4,D1185&lt;&gt;Einstellungen!$C$5),"Objekt fehlt",IF(YEAR(A1185)&lt;&gt;Einstellungen!$C$3,"anderes Jahr",IF(A1185&lt;INDEX(Mitarbeiter!$C$6:$C$205,MATCH(B1185,Mitarbeiter!$A$6:$A$205,0)),"vor Eintritt",IF(AND(INDEX(Mitarbeiter!$D$6:$D$205,MATCH(B1185,Mitarbeiter!$A$6:$A$205,0))&lt;&gt;"",A1185&gt;INDEX(Mitarbeiter!$D$6:$D$205,MATCH(B1185,Mitarbeiter!$A$6:$A$205,0))),"nach Austritt","ok")))))))</f>
        <v/>
      </c>
    </row>
    <row r="1186">
      <c r="A1186" s="26" t="n"/>
      <c r="B1186" s="24" t="n"/>
      <c r="C1186" s="40">
        <f>IF(B1186="","",IFERROR(INDEX(Mitarbeiter!$B$6:$B$205,MATCH(B1186,Mitarbeiter!$A$6:$A$205,0)),"?"))</f>
        <v/>
      </c>
      <c r="D1186" s="41" t="n"/>
      <c r="E1186" s="42" t="n"/>
      <c r="F1186" s="43" t="n"/>
      <c r="G1186" s="44">
        <f>IF(OR(B1186="",F1186=""),"",IFERROR(F1186*INDEX(Mitarbeiter!$F$6:$F$205,MATCH(B1186,Mitarbeiter!$A$6:$A$205,0)),0))</f>
        <v/>
      </c>
      <c r="H1186" s="8">
        <f>IF(B1186="","",IF(ISNA(MATCH(B1186,Mitarbeiter!$A$6:$A$205,0)),"Pers.-Nr. unbekannt",IF(A1186="","Datum fehlt",IF(AND(D1186&lt;&gt;Einstellungen!$C$4,D1186&lt;&gt;Einstellungen!$C$5),"Objekt fehlt",IF(YEAR(A1186)&lt;&gt;Einstellungen!$C$3,"anderes Jahr",IF(A1186&lt;INDEX(Mitarbeiter!$C$6:$C$205,MATCH(B1186,Mitarbeiter!$A$6:$A$205,0)),"vor Eintritt",IF(AND(INDEX(Mitarbeiter!$D$6:$D$205,MATCH(B1186,Mitarbeiter!$A$6:$A$205,0))&lt;&gt;"",A1186&gt;INDEX(Mitarbeiter!$D$6:$D$205,MATCH(B1186,Mitarbeiter!$A$6:$A$205,0))),"nach Austritt","ok")))))))</f>
        <v/>
      </c>
    </row>
    <row r="1187">
      <c r="A1187" s="26" t="n"/>
      <c r="B1187" s="24" t="n"/>
      <c r="C1187" s="40">
        <f>IF(B1187="","",IFERROR(INDEX(Mitarbeiter!$B$6:$B$205,MATCH(B1187,Mitarbeiter!$A$6:$A$205,0)),"?"))</f>
        <v/>
      </c>
      <c r="D1187" s="41" t="n"/>
      <c r="E1187" s="42" t="n"/>
      <c r="F1187" s="43" t="n"/>
      <c r="G1187" s="44">
        <f>IF(OR(B1187="",F1187=""),"",IFERROR(F1187*INDEX(Mitarbeiter!$F$6:$F$205,MATCH(B1187,Mitarbeiter!$A$6:$A$205,0)),0))</f>
        <v/>
      </c>
      <c r="H1187" s="8">
        <f>IF(B1187="","",IF(ISNA(MATCH(B1187,Mitarbeiter!$A$6:$A$205,0)),"Pers.-Nr. unbekannt",IF(A1187="","Datum fehlt",IF(AND(D1187&lt;&gt;Einstellungen!$C$4,D1187&lt;&gt;Einstellungen!$C$5),"Objekt fehlt",IF(YEAR(A1187)&lt;&gt;Einstellungen!$C$3,"anderes Jahr",IF(A1187&lt;INDEX(Mitarbeiter!$C$6:$C$205,MATCH(B1187,Mitarbeiter!$A$6:$A$205,0)),"vor Eintritt",IF(AND(INDEX(Mitarbeiter!$D$6:$D$205,MATCH(B1187,Mitarbeiter!$A$6:$A$205,0))&lt;&gt;"",A1187&gt;INDEX(Mitarbeiter!$D$6:$D$205,MATCH(B1187,Mitarbeiter!$A$6:$A$205,0))),"nach Austritt","ok")))))))</f>
        <v/>
      </c>
    </row>
    <row r="1188">
      <c r="A1188" s="26" t="n"/>
      <c r="B1188" s="24" t="n"/>
      <c r="C1188" s="40">
        <f>IF(B1188="","",IFERROR(INDEX(Mitarbeiter!$B$6:$B$205,MATCH(B1188,Mitarbeiter!$A$6:$A$205,0)),"?"))</f>
        <v/>
      </c>
      <c r="D1188" s="41" t="n"/>
      <c r="E1188" s="42" t="n"/>
      <c r="F1188" s="43" t="n"/>
      <c r="G1188" s="44">
        <f>IF(OR(B1188="",F1188=""),"",IFERROR(F1188*INDEX(Mitarbeiter!$F$6:$F$205,MATCH(B1188,Mitarbeiter!$A$6:$A$205,0)),0))</f>
        <v/>
      </c>
      <c r="H1188" s="8">
        <f>IF(B1188="","",IF(ISNA(MATCH(B1188,Mitarbeiter!$A$6:$A$205,0)),"Pers.-Nr. unbekannt",IF(A1188="","Datum fehlt",IF(AND(D1188&lt;&gt;Einstellungen!$C$4,D1188&lt;&gt;Einstellungen!$C$5),"Objekt fehlt",IF(YEAR(A1188)&lt;&gt;Einstellungen!$C$3,"anderes Jahr",IF(A1188&lt;INDEX(Mitarbeiter!$C$6:$C$205,MATCH(B1188,Mitarbeiter!$A$6:$A$205,0)),"vor Eintritt",IF(AND(INDEX(Mitarbeiter!$D$6:$D$205,MATCH(B1188,Mitarbeiter!$A$6:$A$205,0))&lt;&gt;"",A1188&gt;INDEX(Mitarbeiter!$D$6:$D$205,MATCH(B1188,Mitarbeiter!$A$6:$A$205,0))),"nach Austritt","ok")))))))</f>
        <v/>
      </c>
    </row>
    <row r="1189">
      <c r="A1189" s="26" t="n"/>
      <c r="B1189" s="24" t="n"/>
      <c r="C1189" s="40">
        <f>IF(B1189="","",IFERROR(INDEX(Mitarbeiter!$B$6:$B$205,MATCH(B1189,Mitarbeiter!$A$6:$A$205,0)),"?"))</f>
        <v/>
      </c>
      <c r="D1189" s="41" t="n"/>
      <c r="E1189" s="42" t="n"/>
      <c r="F1189" s="43" t="n"/>
      <c r="G1189" s="44">
        <f>IF(OR(B1189="",F1189=""),"",IFERROR(F1189*INDEX(Mitarbeiter!$F$6:$F$205,MATCH(B1189,Mitarbeiter!$A$6:$A$205,0)),0))</f>
        <v/>
      </c>
      <c r="H1189" s="8">
        <f>IF(B1189="","",IF(ISNA(MATCH(B1189,Mitarbeiter!$A$6:$A$205,0)),"Pers.-Nr. unbekannt",IF(A1189="","Datum fehlt",IF(AND(D1189&lt;&gt;Einstellungen!$C$4,D1189&lt;&gt;Einstellungen!$C$5),"Objekt fehlt",IF(YEAR(A1189)&lt;&gt;Einstellungen!$C$3,"anderes Jahr",IF(A1189&lt;INDEX(Mitarbeiter!$C$6:$C$205,MATCH(B1189,Mitarbeiter!$A$6:$A$205,0)),"vor Eintritt",IF(AND(INDEX(Mitarbeiter!$D$6:$D$205,MATCH(B1189,Mitarbeiter!$A$6:$A$205,0))&lt;&gt;"",A1189&gt;INDEX(Mitarbeiter!$D$6:$D$205,MATCH(B1189,Mitarbeiter!$A$6:$A$205,0))),"nach Austritt","ok")))))))</f>
        <v/>
      </c>
    </row>
    <row r="1190">
      <c r="A1190" s="26" t="n"/>
      <c r="B1190" s="24" t="n"/>
      <c r="C1190" s="40">
        <f>IF(B1190="","",IFERROR(INDEX(Mitarbeiter!$B$6:$B$205,MATCH(B1190,Mitarbeiter!$A$6:$A$205,0)),"?"))</f>
        <v/>
      </c>
      <c r="D1190" s="41" t="n"/>
      <c r="E1190" s="42" t="n"/>
      <c r="F1190" s="43" t="n"/>
      <c r="G1190" s="44">
        <f>IF(OR(B1190="",F1190=""),"",IFERROR(F1190*INDEX(Mitarbeiter!$F$6:$F$205,MATCH(B1190,Mitarbeiter!$A$6:$A$205,0)),0))</f>
        <v/>
      </c>
      <c r="H1190" s="8">
        <f>IF(B1190="","",IF(ISNA(MATCH(B1190,Mitarbeiter!$A$6:$A$205,0)),"Pers.-Nr. unbekannt",IF(A1190="","Datum fehlt",IF(AND(D1190&lt;&gt;Einstellungen!$C$4,D1190&lt;&gt;Einstellungen!$C$5),"Objekt fehlt",IF(YEAR(A1190)&lt;&gt;Einstellungen!$C$3,"anderes Jahr",IF(A1190&lt;INDEX(Mitarbeiter!$C$6:$C$205,MATCH(B1190,Mitarbeiter!$A$6:$A$205,0)),"vor Eintritt",IF(AND(INDEX(Mitarbeiter!$D$6:$D$205,MATCH(B1190,Mitarbeiter!$A$6:$A$205,0))&lt;&gt;"",A1190&gt;INDEX(Mitarbeiter!$D$6:$D$205,MATCH(B1190,Mitarbeiter!$A$6:$A$205,0))),"nach Austritt","ok")))))))</f>
        <v/>
      </c>
    </row>
    <row r="1191">
      <c r="A1191" s="26" t="n"/>
      <c r="B1191" s="24" t="n"/>
      <c r="C1191" s="40">
        <f>IF(B1191="","",IFERROR(INDEX(Mitarbeiter!$B$6:$B$205,MATCH(B1191,Mitarbeiter!$A$6:$A$205,0)),"?"))</f>
        <v/>
      </c>
      <c r="D1191" s="41" t="n"/>
      <c r="E1191" s="42" t="n"/>
      <c r="F1191" s="43" t="n"/>
      <c r="G1191" s="44">
        <f>IF(OR(B1191="",F1191=""),"",IFERROR(F1191*INDEX(Mitarbeiter!$F$6:$F$205,MATCH(B1191,Mitarbeiter!$A$6:$A$205,0)),0))</f>
        <v/>
      </c>
      <c r="H1191" s="8">
        <f>IF(B1191="","",IF(ISNA(MATCH(B1191,Mitarbeiter!$A$6:$A$205,0)),"Pers.-Nr. unbekannt",IF(A1191="","Datum fehlt",IF(AND(D1191&lt;&gt;Einstellungen!$C$4,D1191&lt;&gt;Einstellungen!$C$5),"Objekt fehlt",IF(YEAR(A1191)&lt;&gt;Einstellungen!$C$3,"anderes Jahr",IF(A1191&lt;INDEX(Mitarbeiter!$C$6:$C$205,MATCH(B1191,Mitarbeiter!$A$6:$A$205,0)),"vor Eintritt",IF(AND(INDEX(Mitarbeiter!$D$6:$D$205,MATCH(B1191,Mitarbeiter!$A$6:$A$205,0))&lt;&gt;"",A1191&gt;INDEX(Mitarbeiter!$D$6:$D$205,MATCH(B1191,Mitarbeiter!$A$6:$A$205,0))),"nach Austritt","ok")))))))</f>
        <v/>
      </c>
    </row>
    <row r="1192">
      <c r="A1192" s="26" t="n"/>
      <c r="B1192" s="24" t="n"/>
      <c r="C1192" s="40">
        <f>IF(B1192="","",IFERROR(INDEX(Mitarbeiter!$B$6:$B$205,MATCH(B1192,Mitarbeiter!$A$6:$A$205,0)),"?"))</f>
        <v/>
      </c>
      <c r="D1192" s="41" t="n"/>
      <c r="E1192" s="42" t="n"/>
      <c r="F1192" s="43" t="n"/>
      <c r="G1192" s="44">
        <f>IF(OR(B1192="",F1192=""),"",IFERROR(F1192*INDEX(Mitarbeiter!$F$6:$F$205,MATCH(B1192,Mitarbeiter!$A$6:$A$205,0)),0))</f>
        <v/>
      </c>
      <c r="H1192" s="8">
        <f>IF(B1192="","",IF(ISNA(MATCH(B1192,Mitarbeiter!$A$6:$A$205,0)),"Pers.-Nr. unbekannt",IF(A1192="","Datum fehlt",IF(AND(D1192&lt;&gt;Einstellungen!$C$4,D1192&lt;&gt;Einstellungen!$C$5),"Objekt fehlt",IF(YEAR(A1192)&lt;&gt;Einstellungen!$C$3,"anderes Jahr",IF(A1192&lt;INDEX(Mitarbeiter!$C$6:$C$205,MATCH(B1192,Mitarbeiter!$A$6:$A$205,0)),"vor Eintritt",IF(AND(INDEX(Mitarbeiter!$D$6:$D$205,MATCH(B1192,Mitarbeiter!$A$6:$A$205,0))&lt;&gt;"",A1192&gt;INDEX(Mitarbeiter!$D$6:$D$205,MATCH(B1192,Mitarbeiter!$A$6:$A$205,0))),"nach Austritt","ok")))))))</f>
        <v/>
      </c>
    </row>
    <row r="1193">
      <c r="A1193" s="26" t="n"/>
      <c r="B1193" s="24" t="n"/>
      <c r="C1193" s="40">
        <f>IF(B1193="","",IFERROR(INDEX(Mitarbeiter!$B$6:$B$205,MATCH(B1193,Mitarbeiter!$A$6:$A$205,0)),"?"))</f>
        <v/>
      </c>
      <c r="D1193" s="41" t="n"/>
      <c r="E1193" s="42" t="n"/>
      <c r="F1193" s="43" t="n"/>
      <c r="G1193" s="44">
        <f>IF(OR(B1193="",F1193=""),"",IFERROR(F1193*INDEX(Mitarbeiter!$F$6:$F$205,MATCH(B1193,Mitarbeiter!$A$6:$A$205,0)),0))</f>
        <v/>
      </c>
      <c r="H1193" s="8">
        <f>IF(B1193="","",IF(ISNA(MATCH(B1193,Mitarbeiter!$A$6:$A$205,0)),"Pers.-Nr. unbekannt",IF(A1193="","Datum fehlt",IF(AND(D1193&lt;&gt;Einstellungen!$C$4,D1193&lt;&gt;Einstellungen!$C$5),"Objekt fehlt",IF(YEAR(A1193)&lt;&gt;Einstellungen!$C$3,"anderes Jahr",IF(A1193&lt;INDEX(Mitarbeiter!$C$6:$C$205,MATCH(B1193,Mitarbeiter!$A$6:$A$205,0)),"vor Eintritt",IF(AND(INDEX(Mitarbeiter!$D$6:$D$205,MATCH(B1193,Mitarbeiter!$A$6:$A$205,0))&lt;&gt;"",A1193&gt;INDEX(Mitarbeiter!$D$6:$D$205,MATCH(B1193,Mitarbeiter!$A$6:$A$205,0))),"nach Austritt","ok")))))))</f>
        <v/>
      </c>
    </row>
    <row r="1194">
      <c r="A1194" s="26" t="n"/>
      <c r="B1194" s="24" t="n"/>
      <c r="C1194" s="40">
        <f>IF(B1194="","",IFERROR(INDEX(Mitarbeiter!$B$6:$B$205,MATCH(B1194,Mitarbeiter!$A$6:$A$205,0)),"?"))</f>
        <v/>
      </c>
      <c r="D1194" s="41" t="n"/>
      <c r="E1194" s="42" t="n"/>
      <c r="F1194" s="43" t="n"/>
      <c r="G1194" s="44">
        <f>IF(OR(B1194="",F1194=""),"",IFERROR(F1194*INDEX(Mitarbeiter!$F$6:$F$205,MATCH(B1194,Mitarbeiter!$A$6:$A$205,0)),0))</f>
        <v/>
      </c>
      <c r="H1194" s="8">
        <f>IF(B1194="","",IF(ISNA(MATCH(B1194,Mitarbeiter!$A$6:$A$205,0)),"Pers.-Nr. unbekannt",IF(A1194="","Datum fehlt",IF(AND(D1194&lt;&gt;Einstellungen!$C$4,D1194&lt;&gt;Einstellungen!$C$5),"Objekt fehlt",IF(YEAR(A1194)&lt;&gt;Einstellungen!$C$3,"anderes Jahr",IF(A1194&lt;INDEX(Mitarbeiter!$C$6:$C$205,MATCH(B1194,Mitarbeiter!$A$6:$A$205,0)),"vor Eintritt",IF(AND(INDEX(Mitarbeiter!$D$6:$D$205,MATCH(B1194,Mitarbeiter!$A$6:$A$205,0))&lt;&gt;"",A1194&gt;INDEX(Mitarbeiter!$D$6:$D$205,MATCH(B1194,Mitarbeiter!$A$6:$A$205,0))),"nach Austritt","ok")))))))</f>
        <v/>
      </c>
    </row>
    <row r="1195">
      <c r="A1195" s="26" t="n"/>
      <c r="B1195" s="24" t="n"/>
      <c r="C1195" s="40">
        <f>IF(B1195="","",IFERROR(INDEX(Mitarbeiter!$B$6:$B$205,MATCH(B1195,Mitarbeiter!$A$6:$A$205,0)),"?"))</f>
        <v/>
      </c>
      <c r="D1195" s="41" t="n"/>
      <c r="E1195" s="42" t="n"/>
      <c r="F1195" s="43" t="n"/>
      <c r="G1195" s="44">
        <f>IF(OR(B1195="",F1195=""),"",IFERROR(F1195*INDEX(Mitarbeiter!$F$6:$F$205,MATCH(B1195,Mitarbeiter!$A$6:$A$205,0)),0))</f>
        <v/>
      </c>
      <c r="H1195" s="8">
        <f>IF(B1195="","",IF(ISNA(MATCH(B1195,Mitarbeiter!$A$6:$A$205,0)),"Pers.-Nr. unbekannt",IF(A1195="","Datum fehlt",IF(AND(D1195&lt;&gt;Einstellungen!$C$4,D1195&lt;&gt;Einstellungen!$C$5),"Objekt fehlt",IF(YEAR(A1195)&lt;&gt;Einstellungen!$C$3,"anderes Jahr",IF(A1195&lt;INDEX(Mitarbeiter!$C$6:$C$205,MATCH(B1195,Mitarbeiter!$A$6:$A$205,0)),"vor Eintritt",IF(AND(INDEX(Mitarbeiter!$D$6:$D$205,MATCH(B1195,Mitarbeiter!$A$6:$A$205,0))&lt;&gt;"",A1195&gt;INDEX(Mitarbeiter!$D$6:$D$205,MATCH(B1195,Mitarbeiter!$A$6:$A$205,0))),"nach Austritt","ok")))))))</f>
        <v/>
      </c>
    </row>
    <row r="1196">
      <c r="A1196" s="26" t="n"/>
      <c r="B1196" s="24" t="n"/>
      <c r="C1196" s="40">
        <f>IF(B1196="","",IFERROR(INDEX(Mitarbeiter!$B$6:$B$205,MATCH(B1196,Mitarbeiter!$A$6:$A$205,0)),"?"))</f>
        <v/>
      </c>
      <c r="D1196" s="41" t="n"/>
      <c r="E1196" s="42" t="n"/>
      <c r="F1196" s="43" t="n"/>
      <c r="G1196" s="44">
        <f>IF(OR(B1196="",F1196=""),"",IFERROR(F1196*INDEX(Mitarbeiter!$F$6:$F$205,MATCH(B1196,Mitarbeiter!$A$6:$A$205,0)),0))</f>
        <v/>
      </c>
      <c r="H1196" s="8">
        <f>IF(B1196="","",IF(ISNA(MATCH(B1196,Mitarbeiter!$A$6:$A$205,0)),"Pers.-Nr. unbekannt",IF(A1196="","Datum fehlt",IF(AND(D1196&lt;&gt;Einstellungen!$C$4,D1196&lt;&gt;Einstellungen!$C$5),"Objekt fehlt",IF(YEAR(A1196)&lt;&gt;Einstellungen!$C$3,"anderes Jahr",IF(A1196&lt;INDEX(Mitarbeiter!$C$6:$C$205,MATCH(B1196,Mitarbeiter!$A$6:$A$205,0)),"vor Eintritt",IF(AND(INDEX(Mitarbeiter!$D$6:$D$205,MATCH(B1196,Mitarbeiter!$A$6:$A$205,0))&lt;&gt;"",A1196&gt;INDEX(Mitarbeiter!$D$6:$D$205,MATCH(B1196,Mitarbeiter!$A$6:$A$205,0))),"nach Austritt","ok")))))))</f>
        <v/>
      </c>
    </row>
    <row r="1197">
      <c r="A1197" s="26" t="n"/>
      <c r="B1197" s="24" t="n"/>
      <c r="C1197" s="40">
        <f>IF(B1197="","",IFERROR(INDEX(Mitarbeiter!$B$6:$B$205,MATCH(B1197,Mitarbeiter!$A$6:$A$205,0)),"?"))</f>
        <v/>
      </c>
      <c r="D1197" s="41" t="n"/>
      <c r="E1197" s="42" t="n"/>
      <c r="F1197" s="43" t="n"/>
      <c r="G1197" s="44">
        <f>IF(OR(B1197="",F1197=""),"",IFERROR(F1197*INDEX(Mitarbeiter!$F$6:$F$205,MATCH(B1197,Mitarbeiter!$A$6:$A$205,0)),0))</f>
        <v/>
      </c>
      <c r="H1197" s="8">
        <f>IF(B1197="","",IF(ISNA(MATCH(B1197,Mitarbeiter!$A$6:$A$205,0)),"Pers.-Nr. unbekannt",IF(A1197="","Datum fehlt",IF(AND(D1197&lt;&gt;Einstellungen!$C$4,D1197&lt;&gt;Einstellungen!$C$5),"Objekt fehlt",IF(YEAR(A1197)&lt;&gt;Einstellungen!$C$3,"anderes Jahr",IF(A1197&lt;INDEX(Mitarbeiter!$C$6:$C$205,MATCH(B1197,Mitarbeiter!$A$6:$A$205,0)),"vor Eintritt",IF(AND(INDEX(Mitarbeiter!$D$6:$D$205,MATCH(B1197,Mitarbeiter!$A$6:$A$205,0))&lt;&gt;"",A1197&gt;INDEX(Mitarbeiter!$D$6:$D$205,MATCH(B1197,Mitarbeiter!$A$6:$A$205,0))),"nach Austritt","ok")))))))</f>
        <v/>
      </c>
    </row>
    <row r="1198">
      <c r="A1198" s="26" t="n"/>
      <c r="B1198" s="24" t="n"/>
      <c r="C1198" s="40">
        <f>IF(B1198="","",IFERROR(INDEX(Mitarbeiter!$B$6:$B$205,MATCH(B1198,Mitarbeiter!$A$6:$A$205,0)),"?"))</f>
        <v/>
      </c>
      <c r="D1198" s="41" t="n"/>
      <c r="E1198" s="42" t="n"/>
      <c r="F1198" s="43" t="n"/>
      <c r="G1198" s="44">
        <f>IF(OR(B1198="",F1198=""),"",IFERROR(F1198*INDEX(Mitarbeiter!$F$6:$F$205,MATCH(B1198,Mitarbeiter!$A$6:$A$205,0)),0))</f>
        <v/>
      </c>
      <c r="H1198" s="8">
        <f>IF(B1198="","",IF(ISNA(MATCH(B1198,Mitarbeiter!$A$6:$A$205,0)),"Pers.-Nr. unbekannt",IF(A1198="","Datum fehlt",IF(AND(D1198&lt;&gt;Einstellungen!$C$4,D1198&lt;&gt;Einstellungen!$C$5),"Objekt fehlt",IF(YEAR(A1198)&lt;&gt;Einstellungen!$C$3,"anderes Jahr",IF(A1198&lt;INDEX(Mitarbeiter!$C$6:$C$205,MATCH(B1198,Mitarbeiter!$A$6:$A$205,0)),"vor Eintritt",IF(AND(INDEX(Mitarbeiter!$D$6:$D$205,MATCH(B1198,Mitarbeiter!$A$6:$A$205,0))&lt;&gt;"",A1198&gt;INDEX(Mitarbeiter!$D$6:$D$205,MATCH(B1198,Mitarbeiter!$A$6:$A$205,0))),"nach Austritt","ok")))))))</f>
        <v/>
      </c>
    </row>
    <row r="1199">
      <c r="A1199" s="26" t="n"/>
      <c r="B1199" s="24" t="n"/>
      <c r="C1199" s="40">
        <f>IF(B1199="","",IFERROR(INDEX(Mitarbeiter!$B$6:$B$205,MATCH(B1199,Mitarbeiter!$A$6:$A$205,0)),"?"))</f>
        <v/>
      </c>
      <c r="D1199" s="41" t="n"/>
      <c r="E1199" s="42" t="n"/>
      <c r="F1199" s="43" t="n"/>
      <c r="G1199" s="44">
        <f>IF(OR(B1199="",F1199=""),"",IFERROR(F1199*INDEX(Mitarbeiter!$F$6:$F$205,MATCH(B1199,Mitarbeiter!$A$6:$A$205,0)),0))</f>
        <v/>
      </c>
      <c r="H1199" s="8">
        <f>IF(B1199="","",IF(ISNA(MATCH(B1199,Mitarbeiter!$A$6:$A$205,0)),"Pers.-Nr. unbekannt",IF(A1199="","Datum fehlt",IF(AND(D1199&lt;&gt;Einstellungen!$C$4,D1199&lt;&gt;Einstellungen!$C$5),"Objekt fehlt",IF(YEAR(A1199)&lt;&gt;Einstellungen!$C$3,"anderes Jahr",IF(A1199&lt;INDEX(Mitarbeiter!$C$6:$C$205,MATCH(B1199,Mitarbeiter!$A$6:$A$205,0)),"vor Eintritt",IF(AND(INDEX(Mitarbeiter!$D$6:$D$205,MATCH(B1199,Mitarbeiter!$A$6:$A$205,0))&lt;&gt;"",A1199&gt;INDEX(Mitarbeiter!$D$6:$D$205,MATCH(B1199,Mitarbeiter!$A$6:$A$205,0))),"nach Austritt","ok")))))))</f>
        <v/>
      </c>
    </row>
    <row r="1200">
      <c r="A1200" s="26" t="n"/>
      <c r="B1200" s="24" t="n"/>
      <c r="C1200" s="40">
        <f>IF(B1200="","",IFERROR(INDEX(Mitarbeiter!$B$6:$B$205,MATCH(B1200,Mitarbeiter!$A$6:$A$205,0)),"?"))</f>
        <v/>
      </c>
      <c r="D1200" s="41" t="n"/>
      <c r="E1200" s="42" t="n"/>
      <c r="F1200" s="43" t="n"/>
      <c r="G1200" s="44">
        <f>IF(OR(B1200="",F1200=""),"",IFERROR(F1200*INDEX(Mitarbeiter!$F$6:$F$205,MATCH(B1200,Mitarbeiter!$A$6:$A$205,0)),0))</f>
        <v/>
      </c>
      <c r="H1200" s="8">
        <f>IF(B1200="","",IF(ISNA(MATCH(B1200,Mitarbeiter!$A$6:$A$205,0)),"Pers.-Nr. unbekannt",IF(A1200="","Datum fehlt",IF(AND(D1200&lt;&gt;Einstellungen!$C$4,D1200&lt;&gt;Einstellungen!$C$5),"Objekt fehlt",IF(YEAR(A1200)&lt;&gt;Einstellungen!$C$3,"anderes Jahr",IF(A1200&lt;INDEX(Mitarbeiter!$C$6:$C$205,MATCH(B1200,Mitarbeiter!$A$6:$A$205,0)),"vor Eintritt",IF(AND(INDEX(Mitarbeiter!$D$6:$D$205,MATCH(B1200,Mitarbeiter!$A$6:$A$205,0))&lt;&gt;"",A1200&gt;INDEX(Mitarbeiter!$D$6:$D$205,MATCH(B1200,Mitarbeiter!$A$6:$A$205,0))),"nach Austritt","ok")))))))</f>
        <v/>
      </c>
    </row>
    <row r="1201">
      <c r="A1201" s="26" t="n"/>
      <c r="B1201" s="24" t="n"/>
      <c r="C1201" s="40">
        <f>IF(B1201="","",IFERROR(INDEX(Mitarbeiter!$B$6:$B$205,MATCH(B1201,Mitarbeiter!$A$6:$A$205,0)),"?"))</f>
        <v/>
      </c>
      <c r="D1201" s="41" t="n"/>
      <c r="E1201" s="42" t="n"/>
      <c r="F1201" s="43" t="n"/>
      <c r="G1201" s="44">
        <f>IF(OR(B1201="",F1201=""),"",IFERROR(F1201*INDEX(Mitarbeiter!$F$6:$F$205,MATCH(B1201,Mitarbeiter!$A$6:$A$205,0)),0))</f>
        <v/>
      </c>
      <c r="H1201" s="8">
        <f>IF(B1201="","",IF(ISNA(MATCH(B1201,Mitarbeiter!$A$6:$A$205,0)),"Pers.-Nr. unbekannt",IF(A1201="","Datum fehlt",IF(AND(D1201&lt;&gt;Einstellungen!$C$4,D1201&lt;&gt;Einstellungen!$C$5),"Objekt fehlt",IF(YEAR(A1201)&lt;&gt;Einstellungen!$C$3,"anderes Jahr",IF(A1201&lt;INDEX(Mitarbeiter!$C$6:$C$205,MATCH(B1201,Mitarbeiter!$A$6:$A$205,0)),"vor Eintritt",IF(AND(INDEX(Mitarbeiter!$D$6:$D$205,MATCH(B1201,Mitarbeiter!$A$6:$A$205,0))&lt;&gt;"",A1201&gt;INDEX(Mitarbeiter!$D$6:$D$205,MATCH(B1201,Mitarbeiter!$A$6:$A$205,0))),"nach Austritt","ok")))))))</f>
        <v/>
      </c>
    </row>
    <row r="1202">
      <c r="A1202" s="26" t="n"/>
      <c r="B1202" s="24" t="n"/>
      <c r="C1202" s="40">
        <f>IF(B1202="","",IFERROR(INDEX(Mitarbeiter!$B$6:$B$205,MATCH(B1202,Mitarbeiter!$A$6:$A$205,0)),"?"))</f>
        <v/>
      </c>
      <c r="D1202" s="41" t="n"/>
      <c r="E1202" s="42" t="n"/>
      <c r="F1202" s="43" t="n"/>
      <c r="G1202" s="44">
        <f>IF(OR(B1202="",F1202=""),"",IFERROR(F1202*INDEX(Mitarbeiter!$F$6:$F$205,MATCH(B1202,Mitarbeiter!$A$6:$A$205,0)),0))</f>
        <v/>
      </c>
      <c r="H1202" s="8">
        <f>IF(B1202="","",IF(ISNA(MATCH(B1202,Mitarbeiter!$A$6:$A$205,0)),"Pers.-Nr. unbekannt",IF(A1202="","Datum fehlt",IF(AND(D1202&lt;&gt;Einstellungen!$C$4,D1202&lt;&gt;Einstellungen!$C$5),"Objekt fehlt",IF(YEAR(A1202)&lt;&gt;Einstellungen!$C$3,"anderes Jahr",IF(A1202&lt;INDEX(Mitarbeiter!$C$6:$C$205,MATCH(B1202,Mitarbeiter!$A$6:$A$205,0)),"vor Eintritt",IF(AND(INDEX(Mitarbeiter!$D$6:$D$205,MATCH(B1202,Mitarbeiter!$A$6:$A$205,0))&lt;&gt;"",A1202&gt;INDEX(Mitarbeiter!$D$6:$D$205,MATCH(B1202,Mitarbeiter!$A$6:$A$205,0))),"nach Austritt","ok")))))))</f>
        <v/>
      </c>
    </row>
    <row r="1203">
      <c r="A1203" s="26" t="n"/>
      <c r="B1203" s="24" t="n"/>
      <c r="C1203" s="40">
        <f>IF(B1203="","",IFERROR(INDEX(Mitarbeiter!$B$6:$B$205,MATCH(B1203,Mitarbeiter!$A$6:$A$205,0)),"?"))</f>
        <v/>
      </c>
      <c r="D1203" s="41" t="n"/>
      <c r="E1203" s="42" t="n"/>
      <c r="F1203" s="43" t="n"/>
      <c r="G1203" s="44">
        <f>IF(OR(B1203="",F1203=""),"",IFERROR(F1203*INDEX(Mitarbeiter!$F$6:$F$205,MATCH(B1203,Mitarbeiter!$A$6:$A$205,0)),0))</f>
        <v/>
      </c>
      <c r="H1203" s="8">
        <f>IF(B1203="","",IF(ISNA(MATCH(B1203,Mitarbeiter!$A$6:$A$205,0)),"Pers.-Nr. unbekannt",IF(A1203="","Datum fehlt",IF(AND(D1203&lt;&gt;Einstellungen!$C$4,D1203&lt;&gt;Einstellungen!$C$5),"Objekt fehlt",IF(YEAR(A1203)&lt;&gt;Einstellungen!$C$3,"anderes Jahr",IF(A1203&lt;INDEX(Mitarbeiter!$C$6:$C$205,MATCH(B1203,Mitarbeiter!$A$6:$A$205,0)),"vor Eintritt",IF(AND(INDEX(Mitarbeiter!$D$6:$D$205,MATCH(B1203,Mitarbeiter!$A$6:$A$205,0))&lt;&gt;"",A1203&gt;INDEX(Mitarbeiter!$D$6:$D$205,MATCH(B1203,Mitarbeiter!$A$6:$A$205,0))),"nach Austritt","ok")))))))</f>
        <v/>
      </c>
    </row>
    <row r="1204">
      <c r="A1204" s="26" t="n"/>
      <c r="B1204" s="24" t="n"/>
      <c r="C1204" s="40">
        <f>IF(B1204="","",IFERROR(INDEX(Mitarbeiter!$B$6:$B$205,MATCH(B1204,Mitarbeiter!$A$6:$A$205,0)),"?"))</f>
        <v/>
      </c>
      <c r="D1204" s="41" t="n"/>
      <c r="E1204" s="42" t="n"/>
      <c r="F1204" s="43" t="n"/>
      <c r="G1204" s="44">
        <f>IF(OR(B1204="",F1204=""),"",IFERROR(F1204*INDEX(Mitarbeiter!$F$6:$F$205,MATCH(B1204,Mitarbeiter!$A$6:$A$205,0)),0))</f>
        <v/>
      </c>
      <c r="H1204" s="8">
        <f>IF(B1204="","",IF(ISNA(MATCH(B1204,Mitarbeiter!$A$6:$A$205,0)),"Pers.-Nr. unbekannt",IF(A1204="","Datum fehlt",IF(AND(D1204&lt;&gt;Einstellungen!$C$4,D1204&lt;&gt;Einstellungen!$C$5),"Objekt fehlt",IF(YEAR(A1204)&lt;&gt;Einstellungen!$C$3,"anderes Jahr",IF(A1204&lt;INDEX(Mitarbeiter!$C$6:$C$205,MATCH(B1204,Mitarbeiter!$A$6:$A$205,0)),"vor Eintritt",IF(AND(INDEX(Mitarbeiter!$D$6:$D$205,MATCH(B1204,Mitarbeiter!$A$6:$A$205,0))&lt;&gt;"",A1204&gt;INDEX(Mitarbeiter!$D$6:$D$205,MATCH(B1204,Mitarbeiter!$A$6:$A$205,0))),"nach Austritt","ok")))))))</f>
        <v/>
      </c>
    </row>
    <row r="1205">
      <c r="A1205" s="26" t="n"/>
      <c r="B1205" s="24" t="n"/>
      <c r="C1205" s="40">
        <f>IF(B1205="","",IFERROR(INDEX(Mitarbeiter!$B$6:$B$205,MATCH(B1205,Mitarbeiter!$A$6:$A$205,0)),"?"))</f>
        <v/>
      </c>
      <c r="D1205" s="41" t="n"/>
      <c r="E1205" s="42" t="n"/>
      <c r="F1205" s="43" t="n"/>
      <c r="G1205" s="44">
        <f>IF(OR(B1205="",F1205=""),"",IFERROR(F1205*INDEX(Mitarbeiter!$F$6:$F$205,MATCH(B1205,Mitarbeiter!$A$6:$A$205,0)),0))</f>
        <v/>
      </c>
      <c r="H1205" s="8">
        <f>IF(B1205="","",IF(ISNA(MATCH(B1205,Mitarbeiter!$A$6:$A$205,0)),"Pers.-Nr. unbekannt",IF(A1205="","Datum fehlt",IF(AND(D1205&lt;&gt;Einstellungen!$C$4,D1205&lt;&gt;Einstellungen!$C$5),"Objekt fehlt",IF(YEAR(A1205)&lt;&gt;Einstellungen!$C$3,"anderes Jahr",IF(A1205&lt;INDEX(Mitarbeiter!$C$6:$C$205,MATCH(B1205,Mitarbeiter!$A$6:$A$205,0)),"vor Eintritt",IF(AND(INDEX(Mitarbeiter!$D$6:$D$205,MATCH(B1205,Mitarbeiter!$A$6:$A$205,0))&lt;&gt;"",A1205&gt;INDEX(Mitarbeiter!$D$6:$D$205,MATCH(B1205,Mitarbeiter!$A$6:$A$205,0))),"nach Austritt","ok")))))))</f>
        <v/>
      </c>
    </row>
    <row r="1206">
      <c r="A1206" s="26" t="n"/>
      <c r="B1206" s="24" t="n"/>
      <c r="C1206" s="40">
        <f>IF(B1206="","",IFERROR(INDEX(Mitarbeiter!$B$6:$B$205,MATCH(B1206,Mitarbeiter!$A$6:$A$205,0)),"?"))</f>
        <v/>
      </c>
      <c r="D1206" s="41" t="n"/>
      <c r="E1206" s="42" t="n"/>
      <c r="F1206" s="43" t="n"/>
      <c r="G1206" s="44">
        <f>IF(OR(B1206="",F1206=""),"",IFERROR(F1206*INDEX(Mitarbeiter!$F$6:$F$205,MATCH(B1206,Mitarbeiter!$A$6:$A$205,0)),0))</f>
        <v/>
      </c>
      <c r="H1206" s="8">
        <f>IF(B1206="","",IF(ISNA(MATCH(B1206,Mitarbeiter!$A$6:$A$205,0)),"Pers.-Nr. unbekannt",IF(A1206="","Datum fehlt",IF(AND(D1206&lt;&gt;Einstellungen!$C$4,D1206&lt;&gt;Einstellungen!$C$5),"Objekt fehlt",IF(YEAR(A1206)&lt;&gt;Einstellungen!$C$3,"anderes Jahr",IF(A1206&lt;INDEX(Mitarbeiter!$C$6:$C$205,MATCH(B1206,Mitarbeiter!$A$6:$A$205,0)),"vor Eintritt",IF(AND(INDEX(Mitarbeiter!$D$6:$D$205,MATCH(B1206,Mitarbeiter!$A$6:$A$205,0))&lt;&gt;"",A1206&gt;INDEX(Mitarbeiter!$D$6:$D$205,MATCH(B1206,Mitarbeiter!$A$6:$A$205,0))),"nach Austritt","ok")))))))</f>
        <v/>
      </c>
    </row>
    <row r="1207">
      <c r="A1207" s="26" t="n"/>
      <c r="B1207" s="24" t="n"/>
      <c r="C1207" s="40">
        <f>IF(B1207="","",IFERROR(INDEX(Mitarbeiter!$B$6:$B$205,MATCH(B1207,Mitarbeiter!$A$6:$A$205,0)),"?"))</f>
        <v/>
      </c>
      <c r="D1207" s="41" t="n"/>
      <c r="E1207" s="42" t="n"/>
      <c r="F1207" s="43" t="n"/>
      <c r="G1207" s="44">
        <f>IF(OR(B1207="",F1207=""),"",IFERROR(F1207*INDEX(Mitarbeiter!$F$6:$F$205,MATCH(B1207,Mitarbeiter!$A$6:$A$205,0)),0))</f>
        <v/>
      </c>
      <c r="H1207" s="8">
        <f>IF(B1207="","",IF(ISNA(MATCH(B1207,Mitarbeiter!$A$6:$A$205,0)),"Pers.-Nr. unbekannt",IF(A1207="","Datum fehlt",IF(AND(D1207&lt;&gt;Einstellungen!$C$4,D1207&lt;&gt;Einstellungen!$C$5),"Objekt fehlt",IF(YEAR(A1207)&lt;&gt;Einstellungen!$C$3,"anderes Jahr",IF(A1207&lt;INDEX(Mitarbeiter!$C$6:$C$205,MATCH(B1207,Mitarbeiter!$A$6:$A$205,0)),"vor Eintritt",IF(AND(INDEX(Mitarbeiter!$D$6:$D$205,MATCH(B1207,Mitarbeiter!$A$6:$A$205,0))&lt;&gt;"",A1207&gt;INDEX(Mitarbeiter!$D$6:$D$205,MATCH(B1207,Mitarbeiter!$A$6:$A$205,0))),"nach Austritt","ok")))))))</f>
        <v/>
      </c>
    </row>
    <row r="1208">
      <c r="A1208" s="26" t="n"/>
      <c r="B1208" s="24" t="n"/>
      <c r="C1208" s="40">
        <f>IF(B1208="","",IFERROR(INDEX(Mitarbeiter!$B$6:$B$205,MATCH(B1208,Mitarbeiter!$A$6:$A$205,0)),"?"))</f>
        <v/>
      </c>
      <c r="D1208" s="41" t="n"/>
      <c r="E1208" s="42" t="n"/>
      <c r="F1208" s="43" t="n"/>
      <c r="G1208" s="44">
        <f>IF(OR(B1208="",F1208=""),"",IFERROR(F1208*INDEX(Mitarbeiter!$F$6:$F$205,MATCH(B1208,Mitarbeiter!$A$6:$A$205,0)),0))</f>
        <v/>
      </c>
      <c r="H1208" s="8">
        <f>IF(B1208="","",IF(ISNA(MATCH(B1208,Mitarbeiter!$A$6:$A$205,0)),"Pers.-Nr. unbekannt",IF(A1208="","Datum fehlt",IF(AND(D1208&lt;&gt;Einstellungen!$C$4,D1208&lt;&gt;Einstellungen!$C$5),"Objekt fehlt",IF(YEAR(A1208)&lt;&gt;Einstellungen!$C$3,"anderes Jahr",IF(A1208&lt;INDEX(Mitarbeiter!$C$6:$C$205,MATCH(B1208,Mitarbeiter!$A$6:$A$205,0)),"vor Eintritt",IF(AND(INDEX(Mitarbeiter!$D$6:$D$205,MATCH(B1208,Mitarbeiter!$A$6:$A$205,0))&lt;&gt;"",A1208&gt;INDEX(Mitarbeiter!$D$6:$D$205,MATCH(B1208,Mitarbeiter!$A$6:$A$205,0))),"nach Austritt","ok")))))))</f>
        <v/>
      </c>
    </row>
    <row r="1209">
      <c r="A1209" s="26" t="n"/>
      <c r="B1209" s="24" t="n"/>
      <c r="C1209" s="40">
        <f>IF(B1209="","",IFERROR(INDEX(Mitarbeiter!$B$6:$B$205,MATCH(B1209,Mitarbeiter!$A$6:$A$205,0)),"?"))</f>
        <v/>
      </c>
      <c r="D1209" s="41" t="n"/>
      <c r="E1209" s="42" t="n"/>
      <c r="F1209" s="43" t="n"/>
      <c r="G1209" s="44">
        <f>IF(OR(B1209="",F1209=""),"",IFERROR(F1209*INDEX(Mitarbeiter!$F$6:$F$205,MATCH(B1209,Mitarbeiter!$A$6:$A$205,0)),0))</f>
        <v/>
      </c>
      <c r="H1209" s="8">
        <f>IF(B1209="","",IF(ISNA(MATCH(B1209,Mitarbeiter!$A$6:$A$205,0)),"Pers.-Nr. unbekannt",IF(A1209="","Datum fehlt",IF(AND(D1209&lt;&gt;Einstellungen!$C$4,D1209&lt;&gt;Einstellungen!$C$5),"Objekt fehlt",IF(YEAR(A1209)&lt;&gt;Einstellungen!$C$3,"anderes Jahr",IF(A1209&lt;INDEX(Mitarbeiter!$C$6:$C$205,MATCH(B1209,Mitarbeiter!$A$6:$A$205,0)),"vor Eintritt",IF(AND(INDEX(Mitarbeiter!$D$6:$D$205,MATCH(B1209,Mitarbeiter!$A$6:$A$205,0))&lt;&gt;"",A1209&gt;INDEX(Mitarbeiter!$D$6:$D$205,MATCH(B1209,Mitarbeiter!$A$6:$A$205,0))),"nach Austritt","ok")))))))</f>
        <v/>
      </c>
    </row>
    <row r="1210">
      <c r="A1210" s="26" t="n"/>
      <c r="B1210" s="24" t="n"/>
      <c r="C1210" s="40">
        <f>IF(B1210="","",IFERROR(INDEX(Mitarbeiter!$B$6:$B$205,MATCH(B1210,Mitarbeiter!$A$6:$A$205,0)),"?"))</f>
        <v/>
      </c>
      <c r="D1210" s="41" t="n"/>
      <c r="E1210" s="42" t="n"/>
      <c r="F1210" s="43" t="n"/>
      <c r="G1210" s="44">
        <f>IF(OR(B1210="",F1210=""),"",IFERROR(F1210*INDEX(Mitarbeiter!$F$6:$F$205,MATCH(B1210,Mitarbeiter!$A$6:$A$205,0)),0))</f>
        <v/>
      </c>
      <c r="H1210" s="8">
        <f>IF(B1210="","",IF(ISNA(MATCH(B1210,Mitarbeiter!$A$6:$A$205,0)),"Pers.-Nr. unbekannt",IF(A1210="","Datum fehlt",IF(AND(D1210&lt;&gt;Einstellungen!$C$4,D1210&lt;&gt;Einstellungen!$C$5),"Objekt fehlt",IF(YEAR(A1210)&lt;&gt;Einstellungen!$C$3,"anderes Jahr",IF(A1210&lt;INDEX(Mitarbeiter!$C$6:$C$205,MATCH(B1210,Mitarbeiter!$A$6:$A$205,0)),"vor Eintritt",IF(AND(INDEX(Mitarbeiter!$D$6:$D$205,MATCH(B1210,Mitarbeiter!$A$6:$A$205,0))&lt;&gt;"",A1210&gt;INDEX(Mitarbeiter!$D$6:$D$205,MATCH(B1210,Mitarbeiter!$A$6:$A$205,0))),"nach Austritt","ok")))))))</f>
        <v/>
      </c>
    </row>
    <row r="1211">
      <c r="A1211" s="26" t="n"/>
      <c r="B1211" s="24" t="n"/>
      <c r="C1211" s="40">
        <f>IF(B1211="","",IFERROR(INDEX(Mitarbeiter!$B$6:$B$205,MATCH(B1211,Mitarbeiter!$A$6:$A$205,0)),"?"))</f>
        <v/>
      </c>
      <c r="D1211" s="41" t="n"/>
      <c r="E1211" s="42" t="n"/>
      <c r="F1211" s="43" t="n"/>
      <c r="G1211" s="44">
        <f>IF(OR(B1211="",F1211=""),"",IFERROR(F1211*INDEX(Mitarbeiter!$F$6:$F$205,MATCH(B1211,Mitarbeiter!$A$6:$A$205,0)),0))</f>
        <v/>
      </c>
      <c r="H1211" s="8">
        <f>IF(B1211="","",IF(ISNA(MATCH(B1211,Mitarbeiter!$A$6:$A$205,0)),"Pers.-Nr. unbekannt",IF(A1211="","Datum fehlt",IF(AND(D1211&lt;&gt;Einstellungen!$C$4,D1211&lt;&gt;Einstellungen!$C$5),"Objekt fehlt",IF(YEAR(A1211)&lt;&gt;Einstellungen!$C$3,"anderes Jahr",IF(A1211&lt;INDEX(Mitarbeiter!$C$6:$C$205,MATCH(B1211,Mitarbeiter!$A$6:$A$205,0)),"vor Eintritt",IF(AND(INDEX(Mitarbeiter!$D$6:$D$205,MATCH(B1211,Mitarbeiter!$A$6:$A$205,0))&lt;&gt;"",A1211&gt;INDEX(Mitarbeiter!$D$6:$D$205,MATCH(B1211,Mitarbeiter!$A$6:$A$205,0))),"nach Austritt","ok")))))))</f>
        <v/>
      </c>
    </row>
    <row r="1212">
      <c r="A1212" s="26" t="n"/>
      <c r="B1212" s="24" t="n"/>
      <c r="C1212" s="40">
        <f>IF(B1212="","",IFERROR(INDEX(Mitarbeiter!$B$6:$B$205,MATCH(B1212,Mitarbeiter!$A$6:$A$205,0)),"?"))</f>
        <v/>
      </c>
      <c r="D1212" s="41" t="n"/>
      <c r="E1212" s="42" t="n"/>
      <c r="F1212" s="43" t="n"/>
      <c r="G1212" s="44">
        <f>IF(OR(B1212="",F1212=""),"",IFERROR(F1212*INDEX(Mitarbeiter!$F$6:$F$205,MATCH(B1212,Mitarbeiter!$A$6:$A$205,0)),0))</f>
        <v/>
      </c>
      <c r="H1212" s="8">
        <f>IF(B1212="","",IF(ISNA(MATCH(B1212,Mitarbeiter!$A$6:$A$205,0)),"Pers.-Nr. unbekannt",IF(A1212="","Datum fehlt",IF(AND(D1212&lt;&gt;Einstellungen!$C$4,D1212&lt;&gt;Einstellungen!$C$5),"Objekt fehlt",IF(YEAR(A1212)&lt;&gt;Einstellungen!$C$3,"anderes Jahr",IF(A1212&lt;INDEX(Mitarbeiter!$C$6:$C$205,MATCH(B1212,Mitarbeiter!$A$6:$A$205,0)),"vor Eintritt",IF(AND(INDEX(Mitarbeiter!$D$6:$D$205,MATCH(B1212,Mitarbeiter!$A$6:$A$205,0))&lt;&gt;"",A1212&gt;INDEX(Mitarbeiter!$D$6:$D$205,MATCH(B1212,Mitarbeiter!$A$6:$A$205,0))),"nach Austritt","ok")))))))</f>
        <v/>
      </c>
    </row>
    <row r="1213">
      <c r="A1213" s="26" t="n"/>
      <c r="B1213" s="24" t="n"/>
      <c r="C1213" s="40">
        <f>IF(B1213="","",IFERROR(INDEX(Mitarbeiter!$B$6:$B$205,MATCH(B1213,Mitarbeiter!$A$6:$A$205,0)),"?"))</f>
        <v/>
      </c>
      <c r="D1213" s="41" t="n"/>
      <c r="E1213" s="42" t="n"/>
      <c r="F1213" s="43" t="n"/>
      <c r="G1213" s="44">
        <f>IF(OR(B1213="",F1213=""),"",IFERROR(F1213*INDEX(Mitarbeiter!$F$6:$F$205,MATCH(B1213,Mitarbeiter!$A$6:$A$205,0)),0))</f>
        <v/>
      </c>
      <c r="H1213" s="8">
        <f>IF(B1213="","",IF(ISNA(MATCH(B1213,Mitarbeiter!$A$6:$A$205,0)),"Pers.-Nr. unbekannt",IF(A1213="","Datum fehlt",IF(AND(D1213&lt;&gt;Einstellungen!$C$4,D1213&lt;&gt;Einstellungen!$C$5),"Objekt fehlt",IF(YEAR(A1213)&lt;&gt;Einstellungen!$C$3,"anderes Jahr",IF(A1213&lt;INDEX(Mitarbeiter!$C$6:$C$205,MATCH(B1213,Mitarbeiter!$A$6:$A$205,0)),"vor Eintritt",IF(AND(INDEX(Mitarbeiter!$D$6:$D$205,MATCH(B1213,Mitarbeiter!$A$6:$A$205,0))&lt;&gt;"",A1213&gt;INDEX(Mitarbeiter!$D$6:$D$205,MATCH(B1213,Mitarbeiter!$A$6:$A$205,0))),"nach Austritt","ok")))))))</f>
        <v/>
      </c>
    </row>
    <row r="1214">
      <c r="A1214" s="26" t="n"/>
      <c r="B1214" s="24" t="n"/>
      <c r="C1214" s="40">
        <f>IF(B1214="","",IFERROR(INDEX(Mitarbeiter!$B$6:$B$205,MATCH(B1214,Mitarbeiter!$A$6:$A$205,0)),"?"))</f>
        <v/>
      </c>
      <c r="D1214" s="41" t="n"/>
      <c r="E1214" s="42" t="n"/>
      <c r="F1214" s="43" t="n"/>
      <c r="G1214" s="44">
        <f>IF(OR(B1214="",F1214=""),"",IFERROR(F1214*INDEX(Mitarbeiter!$F$6:$F$205,MATCH(B1214,Mitarbeiter!$A$6:$A$205,0)),0))</f>
        <v/>
      </c>
      <c r="H1214" s="8">
        <f>IF(B1214="","",IF(ISNA(MATCH(B1214,Mitarbeiter!$A$6:$A$205,0)),"Pers.-Nr. unbekannt",IF(A1214="","Datum fehlt",IF(AND(D1214&lt;&gt;Einstellungen!$C$4,D1214&lt;&gt;Einstellungen!$C$5),"Objekt fehlt",IF(YEAR(A1214)&lt;&gt;Einstellungen!$C$3,"anderes Jahr",IF(A1214&lt;INDEX(Mitarbeiter!$C$6:$C$205,MATCH(B1214,Mitarbeiter!$A$6:$A$205,0)),"vor Eintritt",IF(AND(INDEX(Mitarbeiter!$D$6:$D$205,MATCH(B1214,Mitarbeiter!$A$6:$A$205,0))&lt;&gt;"",A1214&gt;INDEX(Mitarbeiter!$D$6:$D$205,MATCH(B1214,Mitarbeiter!$A$6:$A$205,0))),"nach Austritt","ok")))))))</f>
        <v/>
      </c>
    </row>
    <row r="1215">
      <c r="A1215" s="26" t="n"/>
      <c r="B1215" s="24" t="n"/>
      <c r="C1215" s="40">
        <f>IF(B1215="","",IFERROR(INDEX(Mitarbeiter!$B$6:$B$205,MATCH(B1215,Mitarbeiter!$A$6:$A$205,0)),"?"))</f>
        <v/>
      </c>
      <c r="D1215" s="41" t="n"/>
      <c r="E1215" s="42" t="n"/>
      <c r="F1215" s="43" t="n"/>
      <c r="G1215" s="44">
        <f>IF(OR(B1215="",F1215=""),"",IFERROR(F1215*INDEX(Mitarbeiter!$F$6:$F$205,MATCH(B1215,Mitarbeiter!$A$6:$A$205,0)),0))</f>
        <v/>
      </c>
      <c r="H1215" s="8">
        <f>IF(B1215="","",IF(ISNA(MATCH(B1215,Mitarbeiter!$A$6:$A$205,0)),"Pers.-Nr. unbekannt",IF(A1215="","Datum fehlt",IF(AND(D1215&lt;&gt;Einstellungen!$C$4,D1215&lt;&gt;Einstellungen!$C$5),"Objekt fehlt",IF(YEAR(A1215)&lt;&gt;Einstellungen!$C$3,"anderes Jahr",IF(A1215&lt;INDEX(Mitarbeiter!$C$6:$C$205,MATCH(B1215,Mitarbeiter!$A$6:$A$205,0)),"vor Eintritt",IF(AND(INDEX(Mitarbeiter!$D$6:$D$205,MATCH(B1215,Mitarbeiter!$A$6:$A$205,0))&lt;&gt;"",A1215&gt;INDEX(Mitarbeiter!$D$6:$D$205,MATCH(B1215,Mitarbeiter!$A$6:$A$205,0))),"nach Austritt","ok")))))))</f>
        <v/>
      </c>
    </row>
    <row r="1216">
      <c r="A1216" s="26" t="n"/>
      <c r="B1216" s="24" t="n"/>
      <c r="C1216" s="40">
        <f>IF(B1216="","",IFERROR(INDEX(Mitarbeiter!$B$6:$B$205,MATCH(B1216,Mitarbeiter!$A$6:$A$205,0)),"?"))</f>
        <v/>
      </c>
      <c r="D1216" s="41" t="n"/>
      <c r="E1216" s="42" t="n"/>
      <c r="F1216" s="43" t="n"/>
      <c r="G1216" s="44">
        <f>IF(OR(B1216="",F1216=""),"",IFERROR(F1216*INDEX(Mitarbeiter!$F$6:$F$205,MATCH(B1216,Mitarbeiter!$A$6:$A$205,0)),0))</f>
        <v/>
      </c>
      <c r="H1216" s="8">
        <f>IF(B1216="","",IF(ISNA(MATCH(B1216,Mitarbeiter!$A$6:$A$205,0)),"Pers.-Nr. unbekannt",IF(A1216="","Datum fehlt",IF(AND(D1216&lt;&gt;Einstellungen!$C$4,D1216&lt;&gt;Einstellungen!$C$5),"Objekt fehlt",IF(YEAR(A1216)&lt;&gt;Einstellungen!$C$3,"anderes Jahr",IF(A1216&lt;INDEX(Mitarbeiter!$C$6:$C$205,MATCH(B1216,Mitarbeiter!$A$6:$A$205,0)),"vor Eintritt",IF(AND(INDEX(Mitarbeiter!$D$6:$D$205,MATCH(B1216,Mitarbeiter!$A$6:$A$205,0))&lt;&gt;"",A1216&gt;INDEX(Mitarbeiter!$D$6:$D$205,MATCH(B1216,Mitarbeiter!$A$6:$A$205,0))),"nach Austritt","ok")))))))</f>
        <v/>
      </c>
    </row>
    <row r="1217">
      <c r="A1217" s="26" t="n"/>
      <c r="B1217" s="24" t="n"/>
      <c r="C1217" s="40">
        <f>IF(B1217="","",IFERROR(INDEX(Mitarbeiter!$B$6:$B$205,MATCH(B1217,Mitarbeiter!$A$6:$A$205,0)),"?"))</f>
        <v/>
      </c>
      <c r="D1217" s="41" t="n"/>
      <c r="E1217" s="42" t="n"/>
      <c r="F1217" s="43" t="n"/>
      <c r="G1217" s="44">
        <f>IF(OR(B1217="",F1217=""),"",IFERROR(F1217*INDEX(Mitarbeiter!$F$6:$F$205,MATCH(B1217,Mitarbeiter!$A$6:$A$205,0)),0))</f>
        <v/>
      </c>
      <c r="H1217" s="8">
        <f>IF(B1217="","",IF(ISNA(MATCH(B1217,Mitarbeiter!$A$6:$A$205,0)),"Pers.-Nr. unbekannt",IF(A1217="","Datum fehlt",IF(AND(D1217&lt;&gt;Einstellungen!$C$4,D1217&lt;&gt;Einstellungen!$C$5),"Objekt fehlt",IF(YEAR(A1217)&lt;&gt;Einstellungen!$C$3,"anderes Jahr",IF(A1217&lt;INDEX(Mitarbeiter!$C$6:$C$205,MATCH(B1217,Mitarbeiter!$A$6:$A$205,0)),"vor Eintritt",IF(AND(INDEX(Mitarbeiter!$D$6:$D$205,MATCH(B1217,Mitarbeiter!$A$6:$A$205,0))&lt;&gt;"",A1217&gt;INDEX(Mitarbeiter!$D$6:$D$205,MATCH(B1217,Mitarbeiter!$A$6:$A$205,0))),"nach Austritt","ok")))))))</f>
        <v/>
      </c>
    </row>
    <row r="1218">
      <c r="A1218" s="26" t="n"/>
      <c r="B1218" s="24" t="n"/>
      <c r="C1218" s="40">
        <f>IF(B1218="","",IFERROR(INDEX(Mitarbeiter!$B$6:$B$205,MATCH(B1218,Mitarbeiter!$A$6:$A$205,0)),"?"))</f>
        <v/>
      </c>
      <c r="D1218" s="41" t="n"/>
      <c r="E1218" s="42" t="n"/>
      <c r="F1218" s="43" t="n"/>
      <c r="G1218" s="44">
        <f>IF(OR(B1218="",F1218=""),"",IFERROR(F1218*INDEX(Mitarbeiter!$F$6:$F$205,MATCH(B1218,Mitarbeiter!$A$6:$A$205,0)),0))</f>
        <v/>
      </c>
      <c r="H1218" s="8">
        <f>IF(B1218="","",IF(ISNA(MATCH(B1218,Mitarbeiter!$A$6:$A$205,0)),"Pers.-Nr. unbekannt",IF(A1218="","Datum fehlt",IF(AND(D1218&lt;&gt;Einstellungen!$C$4,D1218&lt;&gt;Einstellungen!$C$5),"Objekt fehlt",IF(YEAR(A1218)&lt;&gt;Einstellungen!$C$3,"anderes Jahr",IF(A1218&lt;INDEX(Mitarbeiter!$C$6:$C$205,MATCH(B1218,Mitarbeiter!$A$6:$A$205,0)),"vor Eintritt",IF(AND(INDEX(Mitarbeiter!$D$6:$D$205,MATCH(B1218,Mitarbeiter!$A$6:$A$205,0))&lt;&gt;"",A1218&gt;INDEX(Mitarbeiter!$D$6:$D$205,MATCH(B1218,Mitarbeiter!$A$6:$A$205,0))),"nach Austritt","ok")))))))</f>
        <v/>
      </c>
    </row>
    <row r="1219">
      <c r="A1219" s="26" t="n"/>
      <c r="B1219" s="24" t="n"/>
      <c r="C1219" s="40">
        <f>IF(B1219="","",IFERROR(INDEX(Mitarbeiter!$B$6:$B$205,MATCH(B1219,Mitarbeiter!$A$6:$A$205,0)),"?"))</f>
        <v/>
      </c>
      <c r="D1219" s="41" t="n"/>
      <c r="E1219" s="42" t="n"/>
      <c r="F1219" s="43" t="n"/>
      <c r="G1219" s="44">
        <f>IF(OR(B1219="",F1219=""),"",IFERROR(F1219*INDEX(Mitarbeiter!$F$6:$F$205,MATCH(B1219,Mitarbeiter!$A$6:$A$205,0)),0))</f>
        <v/>
      </c>
      <c r="H1219" s="8">
        <f>IF(B1219="","",IF(ISNA(MATCH(B1219,Mitarbeiter!$A$6:$A$205,0)),"Pers.-Nr. unbekannt",IF(A1219="","Datum fehlt",IF(AND(D1219&lt;&gt;Einstellungen!$C$4,D1219&lt;&gt;Einstellungen!$C$5),"Objekt fehlt",IF(YEAR(A1219)&lt;&gt;Einstellungen!$C$3,"anderes Jahr",IF(A1219&lt;INDEX(Mitarbeiter!$C$6:$C$205,MATCH(B1219,Mitarbeiter!$A$6:$A$205,0)),"vor Eintritt",IF(AND(INDEX(Mitarbeiter!$D$6:$D$205,MATCH(B1219,Mitarbeiter!$A$6:$A$205,0))&lt;&gt;"",A1219&gt;INDEX(Mitarbeiter!$D$6:$D$205,MATCH(B1219,Mitarbeiter!$A$6:$A$205,0))),"nach Austritt","ok")))))))</f>
        <v/>
      </c>
    </row>
    <row r="1220">
      <c r="A1220" s="26" t="n"/>
      <c r="B1220" s="24" t="n"/>
      <c r="C1220" s="40">
        <f>IF(B1220="","",IFERROR(INDEX(Mitarbeiter!$B$6:$B$205,MATCH(B1220,Mitarbeiter!$A$6:$A$205,0)),"?"))</f>
        <v/>
      </c>
      <c r="D1220" s="41" t="n"/>
      <c r="E1220" s="42" t="n"/>
      <c r="F1220" s="43" t="n"/>
      <c r="G1220" s="44">
        <f>IF(OR(B1220="",F1220=""),"",IFERROR(F1220*INDEX(Mitarbeiter!$F$6:$F$205,MATCH(B1220,Mitarbeiter!$A$6:$A$205,0)),0))</f>
        <v/>
      </c>
      <c r="H1220" s="8">
        <f>IF(B1220="","",IF(ISNA(MATCH(B1220,Mitarbeiter!$A$6:$A$205,0)),"Pers.-Nr. unbekannt",IF(A1220="","Datum fehlt",IF(AND(D1220&lt;&gt;Einstellungen!$C$4,D1220&lt;&gt;Einstellungen!$C$5),"Objekt fehlt",IF(YEAR(A1220)&lt;&gt;Einstellungen!$C$3,"anderes Jahr",IF(A1220&lt;INDEX(Mitarbeiter!$C$6:$C$205,MATCH(B1220,Mitarbeiter!$A$6:$A$205,0)),"vor Eintritt",IF(AND(INDEX(Mitarbeiter!$D$6:$D$205,MATCH(B1220,Mitarbeiter!$A$6:$A$205,0))&lt;&gt;"",A1220&gt;INDEX(Mitarbeiter!$D$6:$D$205,MATCH(B1220,Mitarbeiter!$A$6:$A$205,0))),"nach Austritt","ok")))))))</f>
        <v/>
      </c>
    </row>
    <row r="1221">
      <c r="A1221" s="26" t="n"/>
      <c r="B1221" s="24" t="n"/>
      <c r="C1221" s="40">
        <f>IF(B1221="","",IFERROR(INDEX(Mitarbeiter!$B$6:$B$205,MATCH(B1221,Mitarbeiter!$A$6:$A$205,0)),"?"))</f>
        <v/>
      </c>
      <c r="D1221" s="41" t="n"/>
      <c r="E1221" s="42" t="n"/>
      <c r="F1221" s="43" t="n"/>
      <c r="G1221" s="44">
        <f>IF(OR(B1221="",F1221=""),"",IFERROR(F1221*INDEX(Mitarbeiter!$F$6:$F$205,MATCH(B1221,Mitarbeiter!$A$6:$A$205,0)),0))</f>
        <v/>
      </c>
      <c r="H1221" s="8">
        <f>IF(B1221="","",IF(ISNA(MATCH(B1221,Mitarbeiter!$A$6:$A$205,0)),"Pers.-Nr. unbekannt",IF(A1221="","Datum fehlt",IF(AND(D1221&lt;&gt;Einstellungen!$C$4,D1221&lt;&gt;Einstellungen!$C$5),"Objekt fehlt",IF(YEAR(A1221)&lt;&gt;Einstellungen!$C$3,"anderes Jahr",IF(A1221&lt;INDEX(Mitarbeiter!$C$6:$C$205,MATCH(B1221,Mitarbeiter!$A$6:$A$205,0)),"vor Eintritt",IF(AND(INDEX(Mitarbeiter!$D$6:$D$205,MATCH(B1221,Mitarbeiter!$A$6:$A$205,0))&lt;&gt;"",A1221&gt;INDEX(Mitarbeiter!$D$6:$D$205,MATCH(B1221,Mitarbeiter!$A$6:$A$205,0))),"nach Austritt","ok")))))))</f>
        <v/>
      </c>
    </row>
    <row r="1222">
      <c r="A1222" s="26" t="n"/>
      <c r="B1222" s="24" t="n"/>
      <c r="C1222" s="40">
        <f>IF(B1222="","",IFERROR(INDEX(Mitarbeiter!$B$6:$B$205,MATCH(B1222,Mitarbeiter!$A$6:$A$205,0)),"?"))</f>
        <v/>
      </c>
      <c r="D1222" s="41" t="n"/>
      <c r="E1222" s="42" t="n"/>
      <c r="F1222" s="43" t="n"/>
      <c r="G1222" s="44">
        <f>IF(OR(B1222="",F1222=""),"",IFERROR(F1222*INDEX(Mitarbeiter!$F$6:$F$205,MATCH(B1222,Mitarbeiter!$A$6:$A$205,0)),0))</f>
        <v/>
      </c>
      <c r="H1222" s="8">
        <f>IF(B1222="","",IF(ISNA(MATCH(B1222,Mitarbeiter!$A$6:$A$205,0)),"Pers.-Nr. unbekannt",IF(A1222="","Datum fehlt",IF(AND(D1222&lt;&gt;Einstellungen!$C$4,D1222&lt;&gt;Einstellungen!$C$5),"Objekt fehlt",IF(YEAR(A1222)&lt;&gt;Einstellungen!$C$3,"anderes Jahr",IF(A1222&lt;INDEX(Mitarbeiter!$C$6:$C$205,MATCH(B1222,Mitarbeiter!$A$6:$A$205,0)),"vor Eintritt",IF(AND(INDEX(Mitarbeiter!$D$6:$D$205,MATCH(B1222,Mitarbeiter!$A$6:$A$205,0))&lt;&gt;"",A1222&gt;INDEX(Mitarbeiter!$D$6:$D$205,MATCH(B1222,Mitarbeiter!$A$6:$A$205,0))),"nach Austritt","ok")))))))</f>
        <v/>
      </c>
    </row>
    <row r="1223">
      <c r="A1223" s="26" t="n"/>
      <c r="B1223" s="24" t="n"/>
      <c r="C1223" s="40">
        <f>IF(B1223="","",IFERROR(INDEX(Mitarbeiter!$B$6:$B$205,MATCH(B1223,Mitarbeiter!$A$6:$A$205,0)),"?"))</f>
        <v/>
      </c>
      <c r="D1223" s="41" t="n"/>
      <c r="E1223" s="42" t="n"/>
      <c r="F1223" s="43" t="n"/>
      <c r="G1223" s="44">
        <f>IF(OR(B1223="",F1223=""),"",IFERROR(F1223*INDEX(Mitarbeiter!$F$6:$F$205,MATCH(B1223,Mitarbeiter!$A$6:$A$205,0)),0))</f>
        <v/>
      </c>
      <c r="H1223" s="8">
        <f>IF(B1223="","",IF(ISNA(MATCH(B1223,Mitarbeiter!$A$6:$A$205,0)),"Pers.-Nr. unbekannt",IF(A1223="","Datum fehlt",IF(AND(D1223&lt;&gt;Einstellungen!$C$4,D1223&lt;&gt;Einstellungen!$C$5),"Objekt fehlt",IF(YEAR(A1223)&lt;&gt;Einstellungen!$C$3,"anderes Jahr",IF(A1223&lt;INDEX(Mitarbeiter!$C$6:$C$205,MATCH(B1223,Mitarbeiter!$A$6:$A$205,0)),"vor Eintritt",IF(AND(INDEX(Mitarbeiter!$D$6:$D$205,MATCH(B1223,Mitarbeiter!$A$6:$A$205,0))&lt;&gt;"",A1223&gt;INDEX(Mitarbeiter!$D$6:$D$205,MATCH(B1223,Mitarbeiter!$A$6:$A$205,0))),"nach Austritt","ok")))))))</f>
        <v/>
      </c>
    </row>
    <row r="1224">
      <c r="A1224" s="26" t="n"/>
      <c r="B1224" s="24" t="n"/>
      <c r="C1224" s="40">
        <f>IF(B1224="","",IFERROR(INDEX(Mitarbeiter!$B$6:$B$205,MATCH(B1224,Mitarbeiter!$A$6:$A$205,0)),"?"))</f>
        <v/>
      </c>
      <c r="D1224" s="41" t="n"/>
      <c r="E1224" s="42" t="n"/>
      <c r="F1224" s="43" t="n"/>
      <c r="G1224" s="44">
        <f>IF(OR(B1224="",F1224=""),"",IFERROR(F1224*INDEX(Mitarbeiter!$F$6:$F$205,MATCH(B1224,Mitarbeiter!$A$6:$A$205,0)),0))</f>
        <v/>
      </c>
      <c r="H1224" s="8">
        <f>IF(B1224="","",IF(ISNA(MATCH(B1224,Mitarbeiter!$A$6:$A$205,0)),"Pers.-Nr. unbekannt",IF(A1224="","Datum fehlt",IF(AND(D1224&lt;&gt;Einstellungen!$C$4,D1224&lt;&gt;Einstellungen!$C$5),"Objekt fehlt",IF(YEAR(A1224)&lt;&gt;Einstellungen!$C$3,"anderes Jahr",IF(A1224&lt;INDEX(Mitarbeiter!$C$6:$C$205,MATCH(B1224,Mitarbeiter!$A$6:$A$205,0)),"vor Eintritt",IF(AND(INDEX(Mitarbeiter!$D$6:$D$205,MATCH(B1224,Mitarbeiter!$A$6:$A$205,0))&lt;&gt;"",A1224&gt;INDEX(Mitarbeiter!$D$6:$D$205,MATCH(B1224,Mitarbeiter!$A$6:$A$205,0))),"nach Austritt","ok")))))))</f>
        <v/>
      </c>
    </row>
    <row r="1225">
      <c r="A1225" s="26" t="n"/>
      <c r="B1225" s="24" t="n"/>
      <c r="C1225" s="40">
        <f>IF(B1225="","",IFERROR(INDEX(Mitarbeiter!$B$6:$B$205,MATCH(B1225,Mitarbeiter!$A$6:$A$205,0)),"?"))</f>
        <v/>
      </c>
      <c r="D1225" s="41" t="n"/>
      <c r="E1225" s="42" t="n"/>
      <c r="F1225" s="43" t="n"/>
      <c r="G1225" s="44">
        <f>IF(OR(B1225="",F1225=""),"",IFERROR(F1225*INDEX(Mitarbeiter!$F$6:$F$205,MATCH(B1225,Mitarbeiter!$A$6:$A$205,0)),0))</f>
        <v/>
      </c>
      <c r="H1225" s="8">
        <f>IF(B1225="","",IF(ISNA(MATCH(B1225,Mitarbeiter!$A$6:$A$205,0)),"Pers.-Nr. unbekannt",IF(A1225="","Datum fehlt",IF(AND(D1225&lt;&gt;Einstellungen!$C$4,D1225&lt;&gt;Einstellungen!$C$5),"Objekt fehlt",IF(YEAR(A1225)&lt;&gt;Einstellungen!$C$3,"anderes Jahr",IF(A1225&lt;INDEX(Mitarbeiter!$C$6:$C$205,MATCH(B1225,Mitarbeiter!$A$6:$A$205,0)),"vor Eintritt",IF(AND(INDEX(Mitarbeiter!$D$6:$D$205,MATCH(B1225,Mitarbeiter!$A$6:$A$205,0))&lt;&gt;"",A1225&gt;INDEX(Mitarbeiter!$D$6:$D$205,MATCH(B1225,Mitarbeiter!$A$6:$A$205,0))),"nach Austritt","ok")))))))</f>
        <v/>
      </c>
    </row>
    <row r="1226">
      <c r="A1226" s="26" t="n"/>
      <c r="B1226" s="24" t="n"/>
      <c r="C1226" s="40">
        <f>IF(B1226="","",IFERROR(INDEX(Mitarbeiter!$B$6:$B$205,MATCH(B1226,Mitarbeiter!$A$6:$A$205,0)),"?"))</f>
        <v/>
      </c>
      <c r="D1226" s="41" t="n"/>
      <c r="E1226" s="42" t="n"/>
      <c r="F1226" s="43" t="n"/>
      <c r="G1226" s="44">
        <f>IF(OR(B1226="",F1226=""),"",IFERROR(F1226*INDEX(Mitarbeiter!$F$6:$F$205,MATCH(B1226,Mitarbeiter!$A$6:$A$205,0)),0))</f>
        <v/>
      </c>
      <c r="H1226" s="8">
        <f>IF(B1226="","",IF(ISNA(MATCH(B1226,Mitarbeiter!$A$6:$A$205,0)),"Pers.-Nr. unbekannt",IF(A1226="","Datum fehlt",IF(AND(D1226&lt;&gt;Einstellungen!$C$4,D1226&lt;&gt;Einstellungen!$C$5),"Objekt fehlt",IF(YEAR(A1226)&lt;&gt;Einstellungen!$C$3,"anderes Jahr",IF(A1226&lt;INDEX(Mitarbeiter!$C$6:$C$205,MATCH(B1226,Mitarbeiter!$A$6:$A$205,0)),"vor Eintritt",IF(AND(INDEX(Mitarbeiter!$D$6:$D$205,MATCH(B1226,Mitarbeiter!$A$6:$A$205,0))&lt;&gt;"",A1226&gt;INDEX(Mitarbeiter!$D$6:$D$205,MATCH(B1226,Mitarbeiter!$A$6:$A$205,0))),"nach Austritt","ok")))))))</f>
        <v/>
      </c>
    </row>
    <row r="1227">
      <c r="A1227" s="26" t="n"/>
      <c r="B1227" s="24" t="n"/>
      <c r="C1227" s="40">
        <f>IF(B1227="","",IFERROR(INDEX(Mitarbeiter!$B$6:$B$205,MATCH(B1227,Mitarbeiter!$A$6:$A$205,0)),"?"))</f>
        <v/>
      </c>
      <c r="D1227" s="41" t="n"/>
      <c r="E1227" s="42" t="n"/>
      <c r="F1227" s="43" t="n"/>
      <c r="G1227" s="44">
        <f>IF(OR(B1227="",F1227=""),"",IFERROR(F1227*INDEX(Mitarbeiter!$F$6:$F$205,MATCH(B1227,Mitarbeiter!$A$6:$A$205,0)),0))</f>
        <v/>
      </c>
      <c r="H1227" s="8">
        <f>IF(B1227="","",IF(ISNA(MATCH(B1227,Mitarbeiter!$A$6:$A$205,0)),"Pers.-Nr. unbekannt",IF(A1227="","Datum fehlt",IF(AND(D1227&lt;&gt;Einstellungen!$C$4,D1227&lt;&gt;Einstellungen!$C$5),"Objekt fehlt",IF(YEAR(A1227)&lt;&gt;Einstellungen!$C$3,"anderes Jahr",IF(A1227&lt;INDEX(Mitarbeiter!$C$6:$C$205,MATCH(B1227,Mitarbeiter!$A$6:$A$205,0)),"vor Eintritt",IF(AND(INDEX(Mitarbeiter!$D$6:$D$205,MATCH(B1227,Mitarbeiter!$A$6:$A$205,0))&lt;&gt;"",A1227&gt;INDEX(Mitarbeiter!$D$6:$D$205,MATCH(B1227,Mitarbeiter!$A$6:$A$205,0))),"nach Austritt","ok")))))))</f>
        <v/>
      </c>
    </row>
    <row r="1228">
      <c r="A1228" s="26" t="n"/>
      <c r="B1228" s="24" t="n"/>
      <c r="C1228" s="40">
        <f>IF(B1228="","",IFERROR(INDEX(Mitarbeiter!$B$6:$B$205,MATCH(B1228,Mitarbeiter!$A$6:$A$205,0)),"?"))</f>
        <v/>
      </c>
      <c r="D1228" s="41" t="n"/>
      <c r="E1228" s="42" t="n"/>
      <c r="F1228" s="43" t="n"/>
      <c r="G1228" s="44">
        <f>IF(OR(B1228="",F1228=""),"",IFERROR(F1228*INDEX(Mitarbeiter!$F$6:$F$205,MATCH(B1228,Mitarbeiter!$A$6:$A$205,0)),0))</f>
        <v/>
      </c>
      <c r="H1228" s="8">
        <f>IF(B1228="","",IF(ISNA(MATCH(B1228,Mitarbeiter!$A$6:$A$205,0)),"Pers.-Nr. unbekannt",IF(A1228="","Datum fehlt",IF(AND(D1228&lt;&gt;Einstellungen!$C$4,D1228&lt;&gt;Einstellungen!$C$5),"Objekt fehlt",IF(YEAR(A1228)&lt;&gt;Einstellungen!$C$3,"anderes Jahr",IF(A1228&lt;INDEX(Mitarbeiter!$C$6:$C$205,MATCH(B1228,Mitarbeiter!$A$6:$A$205,0)),"vor Eintritt",IF(AND(INDEX(Mitarbeiter!$D$6:$D$205,MATCH(B1228,Mitarbeiter!$A$6:$A$205,0))&lt;&gt;"",A1228&gt;INDEX(Mitarbeiter!$D$6:$D$205,MATCH(B1228,Mitarbeiter!$A$6:$A$205,0))),"nach Austritt","ok")))))))</f>
        <v/>
      </c>
    </row>
    <row r="1229">
      <c r="A1229" s="26" t="n"/>
      <c r="B1229" s="24" t="n"/>
      <c r="C1229" s="40">
        <f>IF(B1229="","",IFERROR(INDEX(Mitarbeiter!$B$6:$B$205,MATCH(B1229,Mitarbeiter!$A$6:$A$205,0)),"?"))</f>
        <v/>
      </c>
      <c r="D1229" s="41" t="n"/>
      <c r="E1229" s="42" t="n"/>
      <c r="F1229" s="43" t="n"/>
      <c r="G1229" s="44">
        <f>IF(OR(B1229="",F1229=""),"",IFERROR(F1229*INDEX(Mitarbeiter!$F$6:$F$205,MATCH(B1229,Mitarbeiter!$A$6:$A$205,0)),0))</f>
        <v/>
      </c>
      <c r="H1229" s="8">
        <f>IF(B1229="","",IF(ISNA(MATCH(B1229,Mitarbeiter!$A$6:$A$205,0)),"Pers.-Nr. unbekannt",IF(A1229="","Datum fehlt",IF(AND(D1229&lt;&gt;Einstellungen!$C$4,D1229&lt;&gt;Einstellungen!$C$5),"Objekt fehlt",IF(YEAR(A1229)&lt;&gt;Einstellungen!$C$3,"anderes Jahr",IF(A1229&lt;INDEX(Mitarbeiter!$C$6:$C$205,MATCH(B1229,Mitarbeiter!$A$6:$A$205,0)),"vor Eintritt",IF(AND(INDEX(Mitarbeiter!$D$6:$D$205,MATCH(B1229,Mitarbeiter!$A$6:$A$205,0))&lt;&gt;"",A1229&gt;INDEX(Mitarbeiter!$D$6:$D$205,MATCH(B1229,Mitarbeiter!$A$6:$A$205,0))),"nach Austritt","ok")))))))</f>
        <v/>
      </c>
    </row>
    <row r="1230">
      <c r="A1230" s="26" t="n"/>
      <c r="B1230" s="24" t="n"/>
      <c r="C1230" s="40">
        <f>IF(B1230="","",IFERROR(INDEX(Mitarbeiter!$B$6:$B$205,MATCH(B1230,Mitarbeiter!$A$6:$A$205,0)),"?"))</f>
        <v/>
      </c>
      <c r="D1230" s="41" t="n"/>
      <c r="E1230" s="42" t="n"/>
      <c r="F1230" s="43" t="n"/>
      <c r="G1230" s="44">
        <f>IF(OR(B1230="",F1230=""),"",IFERROR(F1230*INDEX(Mitarbeiter!$F$6:$F$205,MATCH(B1230,Mitarbeiter!$A$6:$A$205,0)),0))</f>
        <v/>
      </c>
      <c r="H1230" s="8">
        <f>IF(B1230="","",IF(ISNA(MATCH(B1230,Mitarbeiter!$A$6:$A$205,0)),"Pers.-Nr. unbekannt",IF(A1230="","Datum fehlt",IF(AND(D1230&lt;&gt;Einstellungen!$C$4,D1230&lt;&gt;Einstellungen!$C$5),"Objekt fehlt",IF(YEAR(A1230)&lt;&gt;Einstellungen!$C$3,"anderes Jahr",IF(A1230&lt;INDEX(Mitarbeiter!$C$6:$C$205,MATCH(B1230,Mitarbeiter!$A$6:$A$205,0)),"vor Eintritt",IF(AND(INDEX(Mitarbeiter!$D$6:$D$205,MATCH(B1230,Mitarbeiter!$A$6:$A$205,0))&lt;&gt;"",A1230&gt;INDEX(Mitarbeiter!$D$6:$D$205,MATCH(B1230,Mitarbeiter!$A$6:$A$205,0))),"nach Austritt","ok")))))))</f>
        <v/>
      </c>
    </row>
    <row r="1231">
      <c r="A1231" s="26" t="n"/>
      <c r="B1231" s="24" t="n"/>
      <c r="C1231" s="40">
        <f>IF(B1231="","",IFERROR(INDEX(Mitarbeiter!$B$6:$B$205,MATCH(B1231,Mitarbeiter!$A$6:$A$205,0)),"?"))</f>
        <v/>
      </c>
      <c r="D1231" s="41" t="n"/>
      <c r="E1231" s="42" t="n"/>
      <c r="F1231" s="43" t="n"/>
      <c r="G1231" s="44">
        <f>IF(OR(B1231="",F1231=""),"",IFERROR(F1231*INDEX(Mitarbeiter!$F$6:$F$205,MATCH(B1231,Mitarbeiter!$A$6:$A$205,0)),0))</f>
        <v/>
      </c>
      <c r="H1231" s="8">
        <f>IF(B1231="","",IF(ISNA(MATCH(B1231,Mitarbeiter!$A$6:$A$205,0)),"Pers.-Nr. unbekannt",IF(A1231="","Datum fehlt",IF(AND(D1231&lt;&gt;Einstellungen!$C$4,D1231&lt;&gt;Einstellungen!$C$5),"Objekt fehlt",IF(YEAR(A1231)&lt;&gt;Einstellungen!$C$3,"anderes Jahr",IF(A1231&lt;INDEX(Mitarbeiter!$C$6:$C$205,MATCH(B1231,Mitarbeiter!$A$6:$A$205,0)),"vor Eintritt",IF(AND(INDEX(Mitarbeiter!$D$6:$D$205,MATCH(B1231,Mitarbeiter!$A$6:$A$205,0))&lt;&gt;"",A1231&gt;INDEX(Mitarbeiter!$D$6:$D$205,MATCH(B1231,Mitarbeiter!$A$6:$A$205,0))),"nach Austritt","ok")))))))</f>
        <v/>
      </c>
    </row>
    <row r="1232">
      <c r="A1232" s="26" t="n"/>
      <c r="B1232" s="24" t="n"/>
      <c r="C1232" s="40">
        <f>IF(B1232="","",IFERROR(INDEX(Mitarbeiter!$B$6:$B$205,MATCH(B1232,Mitarbeiter!$A$6:$A$205,0)),"?"))</f>
        <v/>
      </c>
      <c r="D1232" s="41" t="n"/>
      <c r="E1232" s="42" t="n"/>
      <c r="F1232" s="43" t="n"/>
      <c r="G1232" s="44">
        <f>IF(OR(B1232="",F1232=""),"",IFERROR(F1232*INDEX(Mitarbeiter!$F$6:$F$205,MATCH(B1232,Mitarbeiter!$A$6:$A$205,0)),0))</f>
        <v/>
      </c>
      <c r="H1232" s="8">
        <f>IF(B1232="","",IF(ISNA(MATCH(B1232,Mitarbeiter!$A$6:$A$205,0)),"Pers.-Nr. unbekannt",IF(A1232="","Datum fehlt",IF(AND(D1232&lt;&gt;Einstellungen!$C$4,D1232&lt;&gt;Einstellungen!$C$5),"Objekt fehlt",IF(YEAR(A1232)&lt;&gt;Einstellungen!$C$3,"anderes Jahr",IF(A1232&lt;INDEX(Mitarbeiter!$C$6:$C$205,MATCH(B1232,Mitarbeiter!$A$6:$A$205,0)),"vor Eintritt",IF(AND(INDEX(Mitarbeiter!$D$6:$D$205,MATCH(B1232,Mitarbeiter!$A$6:$A$205,0))&lt;&gt;"",A1232&gt;INDEX(Mitarbeiter!$D$6:$D$205,MATCH(B1232,Mitarbeiter!$A$6:$A$205,0))),"nach Austritt","ok")))))))</f>
        <v/>
      </c>
    </row>
    <row r="1233">
      <c r="A1233" s="26" t="n"/>
      <c r="B1233" s="24" t="n"/>
      <c r="C1233" s="40">
        <f>IF(B1233="","",IFERROR(INDEX(Mitarbeiter!$B$6:$B$205,MATCH(B1233,Mitarbeiter!$A$6:$A$205,0)),"?"))</f>
        <v/>
      </c>
      <c r="D1233" s="41" t="n"/>
      <c r="E1233" s="42" t="n"/>
      <c r="F1233" s="43" t="n"/>
      <c r="G1233" s="44">
        <f>IF(OR(B1233="",F1233=""),"",IFERROR(F1233*INDEX(Mitarbeiter!$F$6:$F$205,MATCH(B1233,Mitarbeiter!$A$6:$A$205,0)),0))</f>
        <v/>
      </c>
      <c r="H1233" s="8">
        <f>IF(B1233="","",IF(ISNA(MATCH(B1233,Mitarbeiter!$A$6:$A$205,0)),"Pers.-Nr. unbekannt",IF(A1233="","Datum fehlt",IF(AND(D1233&lt;&gt;Einstellungen!$C$4,D1233&lt;&gt;Einstellungen!$C$5),"Objekt fehlt",IF(YEAR(A1233)&lt;&gt;Einstellungen!$C$3,"anderes Jahr",IF(A1233&lt;INDEX(Mitarbeiter!$C$6:$C$205,MATCH(B1233,Mitarbeiter!$A$6:$A$205,0)),"vor Eintritt",IF(AND(INDEX(Mitarbeiter!$D$6:$D$205,MATCH(B1233,Mitarbeiter!$A$6:$A$205,0))&lt;&gt;"",A1233&gt;INDEX(Mitarbeiter!$D$6:$D$205,MATCH(B1233,Mitarbeiter!$A$6:$A$205,0))),"nach Austritt","ok")))))))</f>
        <v/>
      </c>
    </row>
    <row r="1234">
      <c r="A1234" s="26" t="n"/>
      <c r="B1234" s="24" t="n"/>
      <c r="C1234" s="40">
        <f>IF(B1234="","",IFERROR(INDEX(Mitarbeiter!$B$6:$B$205,MATCH(B1234,Mitarbeiter!$A$6:$A$205,0)),"?"))</f>
        <v/>
      </c>
      <c r="D1234" s="41" t="n"/>
      <c r="E1234" s="42" t="n"/>
      <c r="F1234" s="43" t="n"/>
      <c r="G1234" s="44">
        <f>IF(OR(B1234="",F1234=""),"",IFERROR(F1234*INDEX(Mitarbeiter!$F$6:$F$205,MATCH(B1234,Mitarbeiter!$A$6:$A$205,0)),0))</f>
        <v/>
      </c>
      <c r="H1234" s="8">
        <f>IF(B1234="","",IF(ISNA(MATCH(B1234,Mitarbeiter!$A$6:$A$205,0)),"Pers.-Nr. unbekannt",IF(A1234="","Datum fehlt",IF(AND(D1234&lt;&gt;Einstellungen!$C$4,D1234&lt;&gt;Einstellungen!$C$5),"Objekt fehlt",IF(YEAR(A1234)&lt;&gt;Einstellungen!$C$3,"anderes Jahr",IF(A1234&lt;INDEX(Mitarbeiter!$C$6:$C$205,MATCH(B1234,Mitarbeiter!$A$6:$A$205,0)),"vor Eintritt",IF(AND(INDEX(Mitarbeiter!$D$6:$D$205,MATCH(B1234,Mitarbeiter!$A$6:$A$205,0))&lt;&gt;"",A1234&gt;INDEX(Mitarbeiter!$D$6:$D$205,MATCH(B1234,Mitarbeiter!$A$6:$A$205,0))),"nach Austritt","ok")))))))</f>
        <v/>
      </c>
    </row>
    <row r="1235">
      <c r="A1235" s="26" t="n"/>
      <c r="B1235" s="24" t="n"/>
      <c r="C1235" s="40">
        <f>IF(B1235="","",IFERROR(INDEX(Mitarbeiter!$B$6:$B$205,MATCH(B1235,Mitarbeiter!$A$6:$A$205,0)),"?"))</f>
        <v/>
      </c>
      <c r="D1235" s="41" t="n"/>
      <c r="E1235" s="42" t="n"/>
      <c r="F1235" s="43" t="n"/>
      <c r="G1235" s="44">
        <f>IF(OR(B1235="",F1235=""),"",IFERROR(F1235*INDEX(Mitarbeiter!$F$6:$F$205,MATCH(B1235,Mitarbeiter!$A$6:$A$205,0)),0))</f>
        <v/>
      </c>
      <c r="H1235" s="8">
        <f>IF(B1235="","",IF(ISNA(MATCH(B1235,Mitarbeiter!$A$6:$A$205,0)),"Pers.-Nr. unbekannt",IF(A1235="","Datum fehlt",IF(AND(D1235&lt;&gt;Einstellungen!$C$4,D1235&lt;&gt;Einstellungen!$C$5),"Objekt fehlt",IF(YEAR(A1235)&lt;&gt;Einstellungen!$C$3,"anderes Jahr",IF(A1235&lt;INDEX(Mitarbeiter!$C$6:$C$205,MATCH(B1235,Mitarbeiter!$A$6:$A$205,0)),"vor Eintritt",IF(AND(INDEX(Mitarbeiter!$D$6:$D$205,MATCH(B1235,Mitarbeiter!$A$6:$A$205,0))&lt;&gt;"",A1235&gt;INDEX(Mitarbeiter!$D$6:$D$205,MATCH(B1235,Mitarbeiter!$A$6:$A$205,0))),"nach Austritt","ok")))))))</f>
        <v/>
      </c>
    </row>
    <row r="1236">
      <c r="A1236" s="26" t="n"/>
      <c r="B1236" s="24" t="n"/>
      <c r="C1236" s="40">
        <f>IF(B1236="","",IFERROR(INDEX(Mitarbeiter!$B$6:$B$205,MATCH(B1236,Mitarbeiter!$A$6:$A$205,0)),"?"))</f>
        <v/>
      </c>
      <c r="D1236" s="41" t="n"/>
      <c r="E1236" s="42" t="n"/>
      <c r="F1236" s="43" t="n"/>
      <c r="G1236" s="44">
        <f>IF(OR(B1236="",F1236=""),"",IFERROR(F1236*INDEX(Mitarbeiter!$F$6:$F$205,MATCH(B1236,Mitarbeiter!$A$6:$A$205,0)),0))</f>
        <v/>
      </c>
      <c r="H1236" s="8">
        <f>IF(B1236="","",IF(ISNA(MATCH(B1236,Mitarbeiter!$A$6:$A$205,0)),"Pers.-Nr. unbekannt",IF(A1236="","Datum fehlt",IF(AND(D1236&lt;&gt;Einstellungen!$C$4,D1236&lt;&gt;Einstellungen!$C$5),"Objekt fehlt",IF(YEAR(A1236)&lt;&gt;Einstellungen!$C$3,"anderes Jahr",IF(A1236&lt;INDEX(Mitarbeiter!$C$6:$C$205,MATCH(B1236,Mitarbeiter!$A$6:$A$205,0)),"vor Eintritt",IF(AND(INDEX(Mitarbeiter!$D$6:$D$205,MATCH(B1236,Mitarbeiter!$A$6:$A$205,0))&lt;&gt;"",A1236&gt;INDEX(Mitarbeiter!$D$6:$D$205,MATCH(B1236,Mitarbeiter!$A$6:$A$205,0))),"nach Austritt","ok")))))))</f>
        <v/>
      </c>
    </row>
    <row r="1237">
      <c r="A1237" s="26" t="n"/>
      <c r="B1237" s="24" t="n"/>
      <c r="C1237" s="40">
        <f>IF(B1237="","",IFERROR(INDEX(Mitarbeiter!$B$6:$B$205,MATCH(B1237,Mitarbeiter!$A$6:$A$205,0)),"?"))</f>
        <v/>
      </c>
      <c r="D1237" s="41" t="n"/>
      <c r="E1237" s="42" t="n"/>
      <c r="F1237" s="43" t="n"/>
      <c r="G1237" s="44">
        <f>IF(OR(B1237="",F1237=""),"",IFERROR(F1237*INDEX(Mitarbeiter!$F$6:$F$205,MATCH(B1237,Mitarbeiter!$A$6:$A$205,0)),0))</f>
        <v/>
      </c>
      <c r="H1237" s="8">
        <f>IF(B1237="","",IF(ISNA(MATCH(B1237,Mitarbeiter!$A$6:$A$205,0)),"Pers.-Nr. unbekannt",IF(A1237="","Datum fehlt",IF(AND(D1237&lt;&gt;Einstellungen!$C$4,D1237&lt;&gt;Einstellungen!$C$5),"Objekt fehlt",IF(YEAR(A1237)&lt;&gt;Einstellungen!$C$3,"anderes Jahr",IF(A1237&lt;INDEX(Mitarbeiter!$C$6:$C$205,MATCH(B1237,Mitarbeiter!$A$6:$A$205,0)),"vor Eintritt",IF(AND(INDEX(Mitarbeiter!$D$6:$D$205,MATCH(B1237,Mitarbeiter!$A$6:$A$205,0))&lt;&gt;"",A1237&gt;INDEX(Mitarbeiter!$D$6:$D$205,MATCH(B1237,Mitarbeiter!$A$6:$A$205,0))),"nach Austritt","ok")))))))</f>
        <v/>
      </c>
    </row>
    <row r="1238">
      <c r="A1238" s="26" t="n"/>
      <c r="B1238" s="24" t="n"/>
      <c r="C1238" s="40">
        <f>IF(B1238="","",IFERROR(INDEX(Mitarbeiter!$B$6:$B$205,MATCH(B1238,Mitarbeiter!$A$6:$A$205,0)),"?"))</f>
        <v/>
      </c>
      <c r="D1238" s="41" t="n"/>
      <c r="E1238" s="42" t="n"/>
      <c r="F1238" s="43" t="n"/>
      <c r="G1238" s="44">
        <f>IF(OR(B1238="",F1238=""),"",IFERROR(F1238*INDEX(Mitarbeiter!$F$6:$F$205,MATCH(B1238,Mitarbeiter!$A$6:$A$205,0)),0))</f>
        <v/>
      </c>
      <c r="H1238" s="8">
        <f>IF(B1238="","",IF(ISNA(MATCH(B1238,Mitarbeiter!$A$6:$A$205,0)),"Pers.-Nr. unbekannt",IF(A1238="","Datum fehlt",IF(AND(D1238&lt;&gt;Einstellungen!$C$4,D1238&lt;&gt;Einstellungen!$C$5),"Objekt fehlt",IF(YEAR(A1238)&lt;&gt;Einstellungen!$C$3,"anderes Jahr",IF(A1238&lt;INDEX(Mitarbeiter!$C$6:$C$205,MATCH(B1238,Mitarbeiter!$A$6:$A$205,0)),"vor Eintritt",IF(AND(INDEX(Mitarbeiter!$D$6:$D$205,MATCH(B1238,Mitarbeiter!$A$6:$A$205,0))&lt;&gt;"",A1238&gt;INDEX(Mitarbeiter!$D$6:$D$205,MATCH(B1238,Mitarbeiter!$A$6:$A$205,0))),"nach Austritt","ok")))))))</f>
        <v/>
      </c>
    </row>
    <row r="1239">
      <c r="A1239" s="26" t="n"/>
      <c r="B1239" s="24" t="n"/>
      <c r="C1239" s="40">
        <f>IF(B1239="","",IFERROR(INDEX(Mitarbeiter!$B$6:$B$205,MATCH(B1239,Mitarbeiter!$A$6:$A$205,0)),"?"))</f>
        <v/>
      </c>
      <c r="D1239" s="41" t="n"/>
      <c r="E1239" s="42" t="n"/>
      <c r="F1239" s="43" t="n"/>
      <c r="G1239" s="44">
        <f>IF(OR(B1239="",F1239=""),"",IFERROR(F1239*INDEX(Mitarbeiter!$F$6:$F$205,MATCH(B1239,Mitarbeiter!$A$6:$A$205,0)),0))</f>
        <v/>
      </c>
      <c r="H1239" s="8">
        <f>IF(B1239="","",IF(ISNA(MATCH(B1239,Mitarbeiter!$A$6:$A$205,0)),"Pers.-Nr. unbekannt",IF(A1239="","Datum fehlt",IF(AND(D1239&lt;&gt;Einstellungen!$C$4,D1239&lt;&gt;Einstellungen!$C$5),"Objekt fehlt",IF(YEAR(A1239)&lt;&gt;Einstellungen!$C$3,"anderes Jahr",IF(A1239&lt;INDEX(Mitarbeiter!$C$6:$C$205,MATCH(B1239,Mitarbeiter!$A$6:$A$205,0)),"vor Eintritt",IF(AND(INDEX(Mitarbeiter!$D$6:$D$205,MATCH(B1239,Mitarbeiter!$A$6:$A$205,0))&lt;&gt;"",A1239&gt;INDEX(Mitarbeiter!$D$6:$D$205,MATCH(B1239,Mitarbeiter!$A$6:$A$205,0))),"nach Austritt","ok")))))))</f>
        <v/>
      </c>
    </row>
    <row r="1240">
      <c r="A1240" s="26" t="n"/>
      <c r="B1240" s="24" t="n"/>
      <c r="C1240" s="40">
        <f>IF(B1240="","",IFERROR(INDEX(Mitarbeiter!$B$6:$B$205,MATCH(B1240,Mitarbeiter!$A$6:$A$205,0)),"?"))</f>
        <v/>
      </c>
      <c r="D1240" s="41" t="n"/>
      <c r="E1240" s="42" t="n"/>
      <c r="F1240" s="43" t="n"/>
      <c r="G1240" s="44">
        <f>IF(OR(B1240="",F1240=""),"",IFERROR(F1240*INDEX(Mitarbeiter!$F$6:$F$205,MATCH(B1240,Mitarbeiter!$A$6:$A$205,0)),0))</f>
        <v/>
      </c>
      <c r="H1240" s="8">
        <f>IF(B1240="","",IF(ISNA(MATCH(B1240,Mitarbeiter!$A$6:$A$205,0)),"Pers.-Nr. unbekannt",IF(A1240="","Datum fehlt",IF(AND(D1240&lt;&gt;Einstellungen!$C$4,D1240&lt;&gt;Einstellungen!$C$5),"Objekt fehlt",IF(YEAR(A1240)&lt;&gt;Einstellungen!$C$3,"anderes Jahr",IF(A1240&lt;INDEX(Mitarbeiter!$C$6:$C$205,MATCH(B1240,Mitarbeiter!$A$6:$A$205,0)),"vor Eintritt",IF(AND(INDEX(Mitarbeiter!$D$6:$D$205,MATCH(B1240,Mitarbeiter!$A$6:$A$205,0))&lt;&gt;"",A1240&gt;INDEX(Mitarbeiter!$D$6:$D$205,MATCH(B1240,Mitarbeiter!$A$6:$A$205,0))),"nach Austritt","ok")))))))</f>
        <v/>
      </c>
    </row>
    <row r="1241">
      <c r="A1241" s="26" t="n"/>
      <c r="B1241" s="24" t="n"/>
      <c r="C1241" s="40">
        <f>IF(B1241="","",IFERROR(INDEX(Mitarbeiter!$B$6:$B$205,MATCH(B1241,Mitarbeiter!$A$6:$A$205,0)),"?"))</f>
        <v/>
      </c>
      <c r="D1241" s="41" t="n"/>
      <c r="E1241" s="42" t="n"/>
      <c r="F1241" s="43" t="n"/>
      <c r="G1241" s="44">
        <f>IF(OR(B1241="",F1241=""),"",IFERROR(F1241*INDEX(Mitarbeiter!$F$6:$F$205,MATCH(B1241,Mitarbeiter!$A$6:$A$205,0)),0))</f>
        <v/>
      </c>
      <c r="H1241" s="8">
        <f>IF(B1241="","",IF(ISNA(MATCH(B1241,Mitarbeiter!$A$6:$A$205,0)),"Pers.-Nr. unbekannt",IF(A1241="","Datum fehlt",IF(AND(D1241&lt;&gt;Einstellungen!$C$4,D1241&lt;&gt;Einstellungen!$C$5),"Objekt fehlt",IF(YEAR(A1241)&lt;&gt;Einstellungen!$C$3,"anderes Jahr",IF(A1241&lt;INDEX(Mitarbeiter!$C$6:$C$205,MATCH(B1241,Mitarbeiter!$A$6:$A$205,0)),"vor Eintritt",IF(AND(INDEX(Mitarbeiter!$D$6:$D$205,MATCH(B1241,Mitarbeiter!$A$6:$A$205,0))&lt;&gt;"",A1241&gt;INDEX(Mitarbeiter!$D$6:$D$205,MATCH(B1241,Mitarbeiter!$A$6:$A$205,0))),"nach Austritt","ok")))))))</f>
        <v/>
      </c>
    </row>
    <row r="1242">
      <c r="A1242" s="26" t="n"/>
      <c r="B1242" s="24" t="n"/>
      <c r="C1242" s="40">
        <f>IF(B1242="","",IFERROR(INDEX(Mitarbeiter!$B$6:$B$205,MATCH(B1242,Mitarbeiter!$A$6:$A$205,0)),"?"))</f>
        <v/>
      </c>
      <c r="D1242" s="41" t="n"/>
      <c r="E1242" s="42" t="n"/>
      <c r="F1242" s="43" t="n"/>
      <c r="G1242" s="44">
        <f>IF(OR(B1242="",F1242=""),"",IFERROR(F1242*INDEX(Mitarbeiter!$F$6:$F$205,MATCH(B1242,Mitarbeiter!$A$6:$A$205,0)),0))</f>
        <v/>
      </c>
      <c r="H1242" s="8">
        <f>IF(B1242="","",IF(ISNA(MATCH(B1242,Mitarbeiter!$A$6:$A$205,0)),"Pers.-Nr. unbekannt",IF(A1242="","Datum fehlt",IF(AND(D1242&lt;&gt;Einstellungen!$C$4,D1242&lt;&gt;Einstellungen!$C$5),"Objekt fehlt",IF(YEAR(A1242)&lt;&gt;Einstellungen!$C$3,"anderes Jahr",IF(A1242&lt;INDEX(Mitarbeiter!$C$6:$C$205,MATCH(B1242,Mitarbeiter!$A$6:$A$205,0)),"vor Eintritt",IF(AND(INDEX(Mitarbeiter!$D$6:$D$205,MATCH(B1242,Mitarbeiter!$A$6:$A$205,0))&lt;&gt;"",A1242&gt;INDEX(Mitarbeiter!$D$6:$D$205,MATCH(B1242,Mitarbeiter!$A$6:$A$205,0))),"nach Austritt","ok")))))))</f>
        <v/>
      </c>
    </row>
    <row r="1243">
      <c r="A1243" s="26" t="n"/>
      <c r="B1243" s="24" t="n"/>
      <c r="C1243" s="40">
        <f>IF(B1243="","",IFERROR(INDEX(Mitarbeiter!$B$6:$B$205,MATCH(B1243,Mitarbeiter!$A$6:$A$205,0)),"?"))</f>
        <v/>
      </c>
      <c r="D1243" s="41" t="n"/>
      <c r="E1243" s="42" t="n"/>
      <c r="F1243" s="43" t="n"/>
      <c r="G1243" s="44">
        <f>IF(OR(B1243="",F1243=""),"",IFERROR(F1243*INDEX(Mitarbeiter!$F$6:$F$205,MATCH(B1243,Mitarbeiter!$A$6:$A$205,0)),0))</f>
        <v/>
      </c>
      <c r="H1243" s="8">
        <f>IF(B1243="","",IF(ISNA(MATCH(B1243,Mitarbeiter!$A$6:$A$205,0)),"Pers.-Nr. unbekannt",IF(A1243="","Datum fehlt",IF(AND(D1243&lt;&gt;Einstellungen!$C$4,D1243&lt;&gt;Einstellungen!$C$5),"Objekt fehlt",IF(YEAR(A1243)&lt;&gt;Einstellungen!$C$3,"anderes Jahr",IF(A1243&lt;INDEX(Mitarbeiter!$C$6:$C$205,MATCH(B1243,Mitarbeiter!$A$6:$A$205,0)),"vor Eintritt",IF(AND(INDEX(Mitarbeiter!$D$6:$D$205,MATCH(B1243,Mitarbeiter!$A$6:$A$205,0))&lt;&gt;"",A1243&gt;INDEX(Mitarbeiter!$D$6:$D$205,MATCH(B1243,Mitarbeiter!$A$6:$A$205,0))),"nach Austritt","ok")))))))</f>
        <v/>
      </c>
    </row>
    <row r="1244">
      <c r="A1244" s="26" t="n"/>
      <c r="B1244" s="24" t="n"/>
      <c r="C1244" s="40">
        <f>IF(B1244="","",IFERROR(INDEX(Mitarbeiter!$B$6:$B$205,MATCH(B1244,Mitarbeiter!$A$6:$A$205,0)),"?"))</f>
        <v/>
      </c>
      <c r="D1244" s="41" t="n"/>
      <c r="E1244" s="42" t="n"/>
      <c r="F1244" s="43" t="n"/>
      <c r="G1244" s="44">
        <f>IF(OR(B1244="",F1244=""),"",IFERROR(F1244*INDEX(Mitarbeiter!$F$6:$F$205,MATCH(B1244,Mitarbeiter!$A$6:$A$205,0)),0))</f>
        <v/>
      </c>
      <c r="H1244" s="8">
        <f>IF(B1244="","",IF(ISNA(MATCH(B1244,Mitarbeiter!$A$6:$A$205,0)),"Pers.-Nr. unbekannt",IF(A1244="","Datum fehlt",IF(AND(D1244&lt;&gt;Einstellungen!$C$4,D1244&lt;&gt;Einstellungen!$C$5),"Objekt fehlt",IF(YEAR(A1244)&lt;&gt;Einstellungen!$C$3,"anderes Jahr",IF(A1244&lt;INDEX(Mitarbeiter!$C$6:$C$205,MATCH(B1244,Mitarbeiter!$A$6:$A$205,0)),"vor Eintritt",IF(AND(INDEX(Mitarbeiter!$D$6:$D$205,MATCH(B1244,Mitarbeiter!$A$6:$A$205,0))&lt;&gt;"",A1244&gt;INDEX(Mitarbeiter!$D$6:$D$205,MATCH(B1244,Mitarbeiter!$A$6:$A$205,0))),"nach Austritt","ok")))))))</f>
        <v/>
      </c>
    </row>
    <row r="1245">
      <c r="A1245" s="26" t="n"/>
      <c r="B1245" s="24" t="n"/>
      <c r="C1245" s="40">
        <f>IF(B1245="","",IFERROR(INDEX(Mitarbeiter!$B$6:$B$205,MATCH(B1245,Mitarbeiter!$A$6:$A$205,0)),"?"))</f>
        <v/>
      </c>
      <c r="D1245" s="41" t="n"/>
      <c r="E1245" s="42" t="n"/>
      <c r="F1245" s="43" t="n"/>
      <c r="G1245" s="44">
        <f>IF(OR(B1245="",F1245=""),"",IFERROR(F1245*INDEX(Mitarbeiter!$F$6:$F$205,MATCH(B1245,Mitarbeiter!$A$6:$A$205,0)),0))</f>
        <v/>
      </c>
      <c r="H1245" s="8">
        <f>IF(B1245="","",IF(ISNA(MATCH(B1245,Mitarbeiter!$A$6:$A$205,0)),"Pers.-Nr. unbekannt",IF(A1245="","Datum fehlt",IF(AND(D1245&lt;&gt;Einstellungen!$C$4,D1245&lt;&gt;Einstellungen!$C$5),"Objekt fehlt",IF(YEAR(A1245)&lt;&gt;Einstellungen!$C$3,"anderes Jahr",IF(A1245&lt;INDEX(Mitarbeiter!$C$6:$C$205,MATCH(B1245,Mitarbeiter!$A$6:$A$205,0)),"vor Eintritt",IF(AND(INDEX(Mitarbeiter!$D$6:$D$205,MATCH(B1245,Mitarbeiter!$A$6:$A$205,0))&lt;&gt;"",A1245&gt;INDEX(Mitarbeiter!$D$6:$D$205,MATCH(B1245,Mitarbeiter!$A$6:$A$205,0))),"nach Austritt","ok")))))))</f>
        <v/>
      </c>
    </row>
    <row r="1246">
      <c r="A1246" s="26" t="n"/>
      <c r="B1246" s="24" t="n"/>
      <c r="C1246" s="40">
        <f>IF(B1246="","",IFERROR(INDEX(Mitarbeiter!$B$6:$B$205,MATCH(B1246,Mitarbeiter!$A$6:$A$205,0)),"?"))</f>
        <v/>
      </c>
      <c r="D1246" s="41" t="n"/>
      <c r="E1246" s="42" t="n"/>
      <c r="F1246" s="43" t="n"/>
      <c r="G1246" s="44">
        <f>IF(OR(B1246="",F1246=""),"",IFERROR(F1246*INDEX(Mitarbeiter!$F$6:$F$205,MATCH(B1246,Mitarbeiter!$A$6:$A$205,0)),0))</f>
        <v/>
      </c>
      <c r="H1246" s="8">
        <f>IF(B1246="","",IF(ISNA(MATCH(B1246,Mitarbeiter!$A$6:$A$205,0)),"Pers.-Nr. unbekannt",IF(A1246="","Datum fehlt",IF(AND(D1246&lt;&gt;Einstellungen!$C$4,D1246&lt;&gt;Einstellungen!$C$5),"Objekt fehlt",IF(YEAR(A1246)&lt;&gt;Einstellungen!$C$3,"anderes Jahr",IF(A1246&lt;INDEX(Mitarbeiter!$C$6:$C$205,MATCH(B1246,Mitarbeiter!$A$6:$A$205,0)),"vor Eintritt",IF(AND(INDEX(Mitarbeiter!$D$6:$D$205,MATCH(B1246,Mitarbeiter!$A$6:$A$205,0))&lt;&gt;"",A1246&gt;INDEX(Mitarbeiter!$D$6:$D$205,MATCH(B1246,Mitarbeiter!$A$6:$A$205,0))),"nach Austritt","ok")))))))</f>
        <v/>
      </c>
    </row>
    <row r="1247">
      <c r="A1247" s="26" t="n"/>
      <c r="B1247" s="24" t="n"/>
      <c r="C1247" s="40">
        <f>IF(B1247="","",IFERROR(INDEX(Mitarbeiter!$B$6:$B$205,MATCH(B1247,Mitarbeiter!$A$6:$A$205,0)),"?"))</f>
        <v/>
      </c>
      <c r="D1247" s="41" t="n"/>
      <c r="E1247" s="42" t="n"/>
      <c r="F1247" s="43" t="n"/>
      <c r="G1247" s="44">
        <f>IF(OR(B1247="",F1247=""),"",IFERROR(F1247*INDEX(Mitarbeiter!$F$6:$F$205,MATCH(B1247,Mitarbeiter!$A$6:$A$205,0)),0))</f>
        <v/>
      </c>
      <c r="H1247" s="8">
        <f>IF(B1247="","",IF(ISNA(MATCH(B1247,Mitarbeiter!$A$6:$A$205,0)),"Pers.-Nr. unbekannt",IF(A1247="","Datum fehlt",IF(AND(D1247&lt;&gt;Einstellungen!$C$4,D1247&lt;&gt;Einstellungen!$C$5),"Objekt fehlt",IF(YEAR(A1247)&lt;&gt;Einstellungen!$C$3,"anderes Jahr",IF(A1247&lt;INDEX(Mitarbeiter!$C$6:$C$205,MATCH(B1247,Mitarbeiter!$A$6:$A$205,0)),"vor Eintritt",IF(AND(INDEX(Mitarbeiter!$D$6:$D$205,MATCH(B1247,Mitarbeiter!$A$6:$A$205,0))&lt;&gt;"",A1247&gt;INDEX(Mitarbeiter!$D$6:$D$205,MATCH(B1247,Mitarbeiter!$A$6:$A$205,0))),"nach Austritt","ok")))))))</f>
        <v/>
      </c>
    </row>
    <row r="1248">
      <c r="A1248" s="26" t="n"/>
      <c r="B1248" s="24" t="n"/>
      <c r="C1248" s="40">
        <f>IF(B1248="","",IFERROR(INDEX(Mitarbeiter!$B$6:$B$205,MATCH(B1248,Mitarbeiter!$A$6:$A$205,0)),"?"))</f>
        <v/>
      </c>
      <c r="D1248" s="41" t="n"/>
      <c r="E1248" s="42" t="n"/>
      <c r="F1248" s="43" t="n"/>
      <c r="G1248" s="44">
        <f>IF(OR(B1248="",F1248=""),"",IFERROR(F1248*INDEX(Mitarbeiter!$F$6:$F$205,MATCH(B1248,Mitarbeiter!$A$6:$A$205,0)),0))</f>
        <v/>
      </c>
      <c r="H1248" s="8">
        <f>IF(B1248="","",IF(ISNA(MATCH(B1248,Mitarbeiter!$A$6:$A$205,0)),"Pers.-Nr. unbekannt",IF(A1248="","Datum fehlt",IF(AND(D1248&lt;&gt;Einstellungen!$C$4,D1248&lt;&gt;Einstellungen!$C$5),"Objekt fehlt",IF(YEAR(A1248)&lt;&gt;Einstellungen!$C$3,"anderes Jahr",IF(A1248&lt;INDEX(Mitarbeiter!$C$6:$C$205,MATCH(B1248,Mitarbeiter!$A$6:$A$205,0)),"vor Eintritt",IF(AND(INDEX(Mitarbeiter!$D$6:$D$205,MATCH(B1248,Mitarbeiter!$A$6:$A$205,0))&lt;&gt;"",A1248&gt;INDEX(Mitarbeiter!$D$6:$D$205,MATCH(B1248,Mitarbeiter!$A$6:$A$205,0))),"nach Austritt","ok")))))))</f>
        <v/>
      </c>
    </row>
    <row r="1249">
      <c r="A1249" s="26" t="n"/>
      <c r="B1249" s="24" t="n"/>
      <c r="C1249" s="40">
        <f>IF(B1249="","",IFERROR(INDEX(Mitarbeiter!$B$6:$B$205,MATCH(B1249,Mitarbeiter!$A$6:$A$205,0)),"?"))</f>
        <v/>
      </c>
      <c r="D1249" s="41" t="n"/>
      <c r="E1249" s="42" t="n"/>
      <c r="F1249" s="43" t="n"/>
      <c r="G1249" s="44">
        <f>IF(OR(B1249="",F1249=""),"",IFERROR(F1249*INDEX(Mitarbeiter!$F$6:$F$205,MATCH(B1249,Mitarbeiter!$A$6:$A$205,0)),0))</f>
        <v/>
      </c>
      <c r="H1249" s="8">
        <f>IF(B1249="","",IF(ISNA(MATCH(B1249,Mitarbeiter!$A$6:$A$205,0)),"Pers.-Nr. unbekannt",IF(A1249="","Datum fehlt",IF(AND(D1249&lt;&gt;Einstellungen!$C$4,D1249&lt;&gt;Einstellungen!$C$5),"Objekt fehlt",IF(YEAR(A1249)&lt;&gt;Einstellungen!$C$3,"anderes Jahr",IF(A1249&lt;INDEX(Mitarbeiter!$C$6:$C$205,MATCH(B1249,Mitarbeiter!$A$6:$A$205,0)),"vor Eintritt",IF(AND(INDEX(Mitarbeiter!$D$6:$D$205,MATCH(B1249,Mitarbeiter!$A$6:$A$205,0))&lt;&gt;"",A1249&gt;INDEX(Mitarbeiter!$D$6:$D$205,MATCH(B1249,Mitarbeiter!$A$6:$A$205,0))),"nach Austritt","ok")))))))</f>
        <v/>
      </c>
    </row>
    <row r="1250">
      <c r="A1250" s="26" t="n"/>
      <c r="B1250" s="24" t="n"/>
      <c r="C1250" s="40">
        <f>IF(B1250="","",IFERROR(INDEX(Mitarbeiter!$B$6:$B$205,MATCH(B1250,Mitarbeiter!$A$6:$A$205,0)),"?"))</f>
        <v/>
      </c>
      <c r="D1250" s="41" t="n"/>
      <c r="E1250" s="42" t="n"/>
      <c r="F1250" s="43" t="n"/>
      <c r="G1250" s="44">
        <f>IF(OR(B1250="",F1250=""),"",IFERROR(F1250*INDEX(Mitarbeiter!$F$6:$F$205,MATCH(B1250,Mitarbeiter!$A$6:$A$205,0)),0))</f>
        <v/>
      </c>
      <c r="H1250" s="8">
        <f>IF(B1250="","",IF(ISNA(MATCH(B1250,Mitarbeiter!$A$6:$A$205,0)),"Pers.-Nr. unbekannt",IF(A1250="","Datum fehlt",IF(AND(D1250&lt;&gt;Einstellungen!$C$4,D1250&lt;&gt;Einstellungen!$C$5),"Objekt fehlt",IF(YEAR(A1250)&lt;&gt;Einstellungen!$C$3,"anderes Jahr",IF(A1250&lt;INDEX(Mitarbeiter!$C$6:$C$205,MATCH(B1250,Mitarbeiter!$A$6:$A$205,0)),"vor Eintritt",IF(AND(INDEX(Mitarbeiter!$D$6:$D$205,MATCH(B1250,Mitarbeiter!$A$6:$A$205,0))&lt;&gt;"",A1250&gt;INDEX(Mitarbeiter!$D$6:$D$205,MATCH(B1250,Mitarbeiter!$A$6:$A$205,0))),"nach Austritt","ok")))))))</f>
        <v/>
      </c>
    </row>
    <row r="1251">
      <c r="A1251" s="26" t="n"/>
      <c r="B1251" s="24" t="n"/>
      <c r="C1251" s="40">
        <f>IF(B1251="","",IFERROR(INDEX(Mitarbeiter!$B$6:$B$205,MATCH(B1251,Mitarbeiter!$A$6:$A$205,0)),"?"))</f>
        <v/>
      </c>
      <c r="D1251" s="41" t="n"/>
      <c r="E1251" s="42" t="n"/>
      <c r="F1251" s="43" t="n"/>
      <c r="G1251" s="44">
        <f>IF(OR(B1251="",F1251=""),"",IFERROR(F1251*INDEX(Mitarbeiter!$F$6:$F$205,MATCH(B1251,Mitarbeiter!$A$6:$A$205,0)),0))</f>
        <v/>
      </c>
      <c r="H1251" s="8">
        <f>IF(B1251="","",IF(ISNA(MATCH(B1251,Mitarbeiter!$A$6:$A$205,0)),"Pers.-Nr. unbekannt",IF(A1251="","Datum fehlt",IF(AND(D1251&lt;&gt;Einstellungen!$C$4,D1251&lt;&gt;Einstellungen!$C$5),"Objekt fehlt",IF(YEAR(A1251)&lt;&gt;Einstellungen!$C$3,"anderes Jahr",IF(A1251&lt;INDEX(Mitarbeiter!$C$6:$C$205,MATCH(B1251,Mitarbeiter!$A$6:$A$205,0)),"vor Eintritt",IF(AND(INDEX(Mitarbeiter!$D$6:$D$205,MATCH(B1251,Mitarbeiter!$A$6:$A$205,0))&lt;&gt;"",A1251&gt;INDEX(Mitarbeiter!$D$6:$D$205,MATCH(B1251,Mitarbeiter!$A$6:$A$205,0))),"nach Austritt","ok")))))))</f>
        <v/>
      </c>
    </row>
    <row r="1252">
      <c r="A1252" s="26" t="n"/>
      <c r="B1252" s="24" t="n"/>
      <c r="C1252" s="40">
        <f>IF(B1252="","",IFERROR(INDEX(Mitarbeiter!$B$6:$B$205,MATCH(B1252,Mitarbeiter!$A$6:$A$205,0)),"?"))</f>
        <v/>
      </c>
      <c r="D1252" s="41" t="n"/>
      <c r="E1252" s="42" t="n"/>
      <c r="F1252" s="43" t="n"/>
      <c r="G1252" s="44">
        <f>IF(OR(B1252="",F1252=""),"",IFERROR(F1252*INDEX(Mitarbeiter!$F$6:$F$205,MATCH(B1252,Mitarbeiter!$A$6:$A$205,0)),0))</f>
        <v/>
      </c>
      <c r="H1252" s="8">
        <f>IF(B1252="","",IF(ISNA(MATCH(B1252,Mitarbeiter!$A$6:$A$205,0)),"Pers.-Nr. unbekannt",IF(A1252="","Datum fehlt",IF(AND(D1252&lt;&gt;Einstellungen!$C$4,D1252&lt;&gt;Einstellungen!$C$5),"Objekt fehlt",IF(YEAR(A1252)&lt;&gt;Einstellungen!$C$3,"anderes Jahr",IF(A1252&lt;INDEX(Mitarbeiter!$C$6:$C$205,MATCH(B1252,Mitarbeiter!$A$6:$A$205,0)),"vor Eintritt",IF(AND(INDEX(Mitarbeiter!$D$6:$D$205,MATCH(B1252,Mitarbeiter!$A$6:$A$205,0))&lt;&gt;"",A1252&gt;INDEX(Mitarbeiter!$D$6:$D$205,MATCH(B1252,Mitarbeiter!$A$6:$A$205,0))),"nach Austritt","ok")))))))</f>
        <v/>
      </c>
    </row>
    <row r="1253">
      <c r="A1253" s="26" t="n"/>
      <c r="B1253" s="24" t="n"/>
      <c r="C1253" s="40">
        <f>IF(B1253="","",IFERROR(INDEX(Mitarbeiter!$B$6:$B$205,MATCH(B1253,Mitarbeiter!$A$6:$A$205,0)),"?"))</f>
        <v/>
      </c>
      <c r="D1253" s="41" t="n"/>
      <c r="E1253" s="42" t="n"/>
      <c r="F1253" s="43" t="n"/>
      <c r="G1253" s="44">
        <f>IF(OR(B1253="",F1253=""),"",IFERROR(F1253*INDEX(Mitarbeiter!$F$6:$F$205,MATCH(B1253,Mitarbeiter!$A$6:$A$205,0)),0))</f>
        <v/>
      </c>
      <c r="H1253" s="8">
        <f>IF(B1253="","",IF(ISNA(MATCH(B1253,Mitarbeiter!$A$6:$A$205,0)),"Pers.-Nr. unbekannt",IF(A1253="","Datum fehlt",IF(AND(D1253&lt;&gt;Einstellungen!$C$4,D1253&lt;&gt;Einstellungen!$C$5),"Objekt fehlt",IF(YEAR(A1253)&lt;&gt;Einstellungen!$C$3,"anderes Jahr",IF(A1253&lt;INDEX(Mitarbeiter!$C$6:$C$205,MATCH(B1253,Mitarbeiter!$A$6:$A$205,0)),"vor Eintritt",IF(AND(INDEX(Mitarbeiter!$D$6:$D$205,MATCH(B1253,Mitarbeiter!$A$6:$A$205,0))&lt;&gt;"",A1253&gt;INDEX(Mitarbeiter!$D$6:$D$205,MATCH(B1253,Mitarbeiter!$A$6:$A$205,0))),"nach Austritt","ok")))))))</f>
        <v/>
      </c>
    </row>
    <row r="1254">
      <c r="A1254" s="26" t="n"/>
      <c r="B1254" s="24" t="n"/>
      <c r="C1254" s="40">
        <f>IF(B1254="","",IFERROR(INDEX(Mitarbeiter!$B$6:$B$205,MATCH(B1254,Mitarbeiter!$A$6:$A$205,0)),"?"))</f>
        <v/>
      </c>
      <c r="D1254" s="41" t="n"/>
      <c r="E1254" s="42" t="n"/>
      <c r="F1254" s="43" t="n"/>
      <c r="G1254" s="44">
        <f>IF(OR(B1254="",F1254=""),"",IFERROR(F1254*INDEX(Mitarbeiter!$F$6:$F$205,MATCH(B1254,Mitarbeiter!$A$6:$A$205,0)),0))</f>
        <v/>
      </c>
      <c r="H1254" s="8">
        <f>IF(B1254="","",IF(ISNA(MATCH(B1254,Mitarbeiter!$A$6:$A$205,0)),"Pers.-Nr. unbekannt",IF(A1254="","Datum fehlt",IF(AND(D1254&lt;&gt;Einstellungen!$C$4,D1254&lt;&gt;Einstellungen!$C$5),"Objekt fehlt",IF(YEAR(A1254)&lt;&gt;Einstellungen!$C$3,"anderes Jahr",IF(A1254&lt;INDEX(Mitarbeiter!$C$6:$C$205,MATCH(B1254,Mitarbeiter!$A$6:$A$205,0)),"vor Eintritt",IF(AND(INDEX(Mitarbeiter!$D$6:$D$205,MATCH(B1254,Mitarbeiter!$A$6:$A$205,0))&lt;&gt;"",A1254&gt;INDEX(Mitarbeiter!$D$6:$D$205,MATCH(B1254,Mitarbeiter!$A$6:$A$205,0))),"nach Austritt","ok")))))))</f>
        <v/>
      </c>
    </row>
    <row r="1255">
      <c r="A1255" s="26" t="n"/>
      <c r="B1255" s="24" t="n"/>
      <c r="C1255" s="40">
        <f>IF(B1255="","",IFERROR(INDEX(Mitarbeiter!$B$6:$B$205,MATCH(B1255,Mitarbeiter!$A$6:$A$205,0)),"?"))</f>
        <v/>
      </c>
      <c r="D1255" s="41" t="n"/>
      <c r="E1255" s="42" t="n"/>
      <c r="F1255" s="43" t="n"/>
      <c r="G1255" s="44">
        <f>IF(OR(B1255="",F1255=""),"",IFERROR(F1255*INDEX(Mitarbeiter!$F$6:$F$205,MATCH(B1255,Mitarbeiter!$A$6:$A$205,0)),0))</f>
        <v/>
      </c>
      <c r="H1255" s="8">
        <f>IF(B1255="","",IF(ISNA(MATCH(B1255,Mitarbeiter!$A$6:$A$205,0)),"Pers.-Nr. unbekannt",IF(A1255="","Datum fehlt",IF(AND(D1255&lt;&gt;Einstellungen!$C$4,D1255&lt;&gt;Einstellungen!$C$5),"Objekt fehlt",IF(YEAR(A1255)&lt;&gt;Einstellungen!$C$3,"anderes Jahr",IF(A1255&lt;INDEX(Mitarbeiter!$C$6:$C$205,MATCH(B1255,Mitarbeiter!$A$6:$A$205,0)),"vor Eintritt",IF(AND(INDEX(Mitarbeiter!$D$6:$D$205,MATCH(B1255,Mitarbeiter!$A$6:$A$205,0))&lt;&gt;"",A1255&gt;INDEX(Mitarbeiter!$D$6:$D$205,MATCH(B1255,Mitarbeiter!$A$6:$A$205,0))),"nach Austritt","ok")))))))</f>
        <v/>
      </c>
    </row>
    <row r="1256">
      <c r="A1256" s="26" t="n"/>
      <c r="B1256" s="24" t="n"/>
      <c r="C1256" s="40">
        <f>IF(B1256="","",IFERROR(INDEX(Mitarbeiter!$B$6:$B$205,MATCH(B1256,Mitarbeiter!$A$6:$A$205,0)),"?"))</f>
        <v/>
      </c>
      <c r="D1256" s="41" t="n"/>
      <c r="E1256" s="42" t="n"/>
      <c r="F1256" s="43" t="n"/>
      <c r="G1256" s="44">
        <f>IF(OR(B1256="",F1256=""),"",IFERROR(F1256*INDEX(Mitarbeiter!$F$6:$F$205,MATCH(B1256,Mitarbeiter!$A$6:$A$205,0)),0))</f>
        <v/>
      </c>
      <c r="H1256" s="8">
        <f>IF(B1256="","",IF(ISNA(MATCH(B1256,Mitarbeiter!$A$6:$A$205,0)),"Pers.-Nr. unbekannt",IF(A1256="","Datum fehlt",IF(AND(D1256&lt;&gt;Einstellungen!$C$4,D1256&lt;&gt;Einstellungen!$C$5),"Objekt fehlt",IF(YEAR(A1256)&lt;&gt;Einstellungen!$C$3,"anderes Jahr",IF(A1256&lt;INDEX(Mitarbeiter!$C$6:$C$205,MATCH(B1256,Mitarbeiter!$A$6:$A$205,0)),"vor Eintritt",IF(AND(INDEX(Mitarbeiter!$D$6:$D$205,MATCH(B1256,Mitarbeiter!$A$6:$A$205,0))&lt;&gt;"",A1256&gt;INDEX(Mitarbeiter!$D$6:$D$205,MATCH(B1256,Mitarbeiter!$A$6:$A$205,0))),"nach Austritt","ok")))))))</f>
        <v/>
      </c>
    </row>
    <row r="1257">
      <c r="A1257" s="26" t="n"/>
      <c r="B1257" s="24" t="n"/>
      <c r="C1257" s="40">
        <f>IF(B1257="","",IFERROR(INDEX(Mitarbeiter!$B$6:$B$205,MATCH(B1257,Mitarbeiter!$A$6:$A$205,0)),"?"))</f>
        <v/>
      </c>
      <c r="D1257" s="41" t="n"/>
      <c r="E1257" s="42" t="n"/>
      <c r="F1257" s="43" t="n"/>
      <c r="G1257" s="44">
        <f>IF(OR(B1257="",F1257=""),"",IFERROR(F1257*INDEX(Mitarbeiter!$F$6:$F$205,MATCH(B1257,Mitarbeiter!$A$6:$A$205,0)),0))</f>
        <v/>
      </c>
      <c r="H1257" s="8">
        <f>IF(B1257="","",IF(ISNA(MATCH(B1257,Mitarbeiter!$A$6:$A$205,0)),"Pers.-Nr. unbekannt",IF(A1257="","Datum fehlt",IF(AND(D1257&lt;&gt;Einstellungen!$C$4,D1257&lt;&gt;Einstellungen!$C$5),"Objekt fehlt",IF(YEAR(A1257)&lt;&gt;Einstellungen!$C$3,"anderes Jahr",IF(A1257&lt;INDEX(Mitarbeiter!$C$6:$C$205,MATCH(B1257,Mitarbeiter!$A$6:$A$205,0)),"vor Eintritt",IF(AND(INDEX(Mitarbeiter!$D$6:$D$205,MATCH(B1257,Mitarbeiter!$A$6:$A$205,0))&lt;&gt;"",A1257&gt;INDEX(Mitarbeiter!$D$6:$D$205,MATCH(B1257,Mitarbeiter!$A$6:$A$205,0))),"nach Austritt","ok")))))))</f>
        <v/>
      </c>
    </row>
    <row r="1258">
      <c r="A1258" s="26" t="n"/>
      <c r="B1258" s="24" t="n"/>
      <c r="C1258" s="40">
        <f>IF(B1258="","",IFERROR(INDEX(Mitarbeiter!$B$6:$B$205,MATCH(B1258,Mitarbeiter!$A$6:$A$205,0)),"?"))</f>
        <v/>
      </c>
      <c r="D1258" s="41" t="n"/>
      <c r="E1258" s="42" t="n"/>
      <c r="F1258" s="43" t="n"/>
      <c r="G1258" s="44">
        <f>IF(OR(B1258="",F1258=""),"",IFERROR(F1258*INDEX(Mitarbeiter!$F$6:$F$205,MATCH(B1258,Mitarbeiter!$A$6:$A$205,0)),0))</f>
        <v/>
      </c>
      <c r="H1258" s="8">
        <f>IF(B1258="","",IF(ISNA(MATCH(B1258,Mitarbeiter!$A$6:$A$205,0)),"Pers.-Nr. unbekannt",IF(A1258="","Datum fehlt",IF(AND(D1258&lt;&gt;Einstellungen!$C$4,D1258&lt;&gt;Einstellungen!$C$5),"Objekt fehlt",IF(YEAR(A1258)&lt;&gt;Einstellungen!$C$3,"anderes Jahr",IF(A1258&lt;INDEX(Mitarbeiter!$C$6:$C$205,MATCH(B1258,Mitarbeiter!$A$6:$A$205,0)),"vor Eintritt",IF(AND(INDEX(Mitarbeiter!$D$6:$D$205,MATCH(B1258,Mitarbeiter!$A$6:$A$205,0))&lt;&gt;"",A1258&gt;INDEX(Mitarbeiter!$D$6:$D$205,MATCH(B1258,Mitarbeiter!$A$6:$A$205,0))),"nach Austritt","ok")))))))</f>
        <v/>
      </c>
    </row>
    <row r="1259">
      <c r="A1259" s="26" t="n"/>
      <c r="B1259" s="24" t="n"/>
      <c r="C1259" s="40">
        <f>IF(B1259="","",IFERROR(INDEX(Mitarbeiter!$B$6:$B$205,MATCH(B1259,Mitarbeiter!$A$6:$A$205,0)),"?"))</f>
        <v/>
      </c>
      <c r="D1259" s="41" t="n"/>
      <c r="E1259" s="42" t="n"/>
      <c r="F1259" s="43" t="n"/>
      <c r="G1259" s="44">
        <f>IF(OR(B1259="",F1259=""),"",IFERROR(F1259*INDEX(Mitarbeiter!$F$6:$F$205,MATCH(B1259,Mitarbeiter!$A$6:$A$205,0)),0))</f>
        <v/>
      </c>
      <c r="H1259" s="8">
        <f>IF(B1259="","",IF(ISNA(MATCH(B1259,Mitarbeiter!$A$6:$A$205,0)),"Pers.-Nr. unbekannt",IF(A1259="","Datum fehlt",IF(AND(D1259&lt;&gt;Einstellungen!$C$4,D1259&lt;&gt;Einstellungen!$C$5),"Objekt fehlt",IF(YEAR(A1259)&lt;&gt;Einstellungen!$C$3,"anderes Jahr",IF(A1259&lt;INDEX(Mitarbeiter!$C$6:$C$205,MATCH(B1259,Mitarbeiter!$A$6:$A$205,0)),"vor Eintritt",IF(AND(INDEX(Mitarbeiter!$D$6:$D$205,MATCH(B1259,Mitarbeiter!$A$6:$A$205,0))&lt;&gt;"",A1259&gt;INDEX(Mitarbeiter!$D$6:$D$205,MATCH(B1259,Mitarbeiter!$A$6:$A$205,0))),"nach Austritt","ok")))))))</f>
        <v/>
      </c>
    </row>
    <row r="1260">
      <c r="A1260" s="26" t="n"/>
      <c r="B1260" s="24" t="n"/>
      <c r="C1260" s="40">
        <f>IF(B1260="","",IFERROR(INDEX(Mitarbeiter!$B$6:$B$205,MATCH(B1260,Mitarbeiter!$A$6:$A$205,0)),"?"))</f>
        <v/>
      </c>
      <c r="D1260" s="41" t="n"/>
      <c r="E1260" s="42" t="n"/>
      <c r="F1260" s="43" t="n"/>
      <c r="G1260" s="44">
        <f>IF(OR(B1260="",F1260=""),"",IFERROR(F1260*INDEX(Mitarbeiter!$F$6:$F$205,MATCH(B1260,Mitarbeiter!$A$6:$A$205,0)),0))</f>
        <v/>
      </c>
      <c r="H1260" s="8">
        <f>IF(B1260="","",IF(ISNA(MATCH(B1260,Mitarbeiter!$A$6:$A$205,0)),"Pers.-Nr. unbekannt",IF(A1260="","Datum fehlt",IF(AND(D1260&lt;&gt;Einstellungen!$C$4,D1260&lt;&gt;Einstellungen!$C$5),"Objekt fehlt",IF(YEAR(A1260)&lt;&gt;Einstellungen!$C$3,"anderes Jahr",IF(A1260&lt;INDEX(Mitarbeiter!$C$6:$C$205,MATCH(B1260,Mitarbeiter!$A$6:$A$205,0)),"vor Eintritt",IF(AND(INDEX(Mitarbeiter!$D$6:$D$205,MATCH(B1260,Mitarbeiter!$A$6:$A$205,0))&lt;&gt;"",A1260&gt;INDEX(Mitarbeiter!$D$6:$D$205,MATCH(B1260,Mitarbeiter!$A$6:$A$205,0))),"nach Austritt","ok")))))))</f>
        <v/>
      </c>
    </row>
    <row r="1261">
      <c r="A1261" s="26" t="n"/>
      <c r="B1261" s="24" t="n"/>
      <c r="C1261" s="40">
        <f>IF(B1261="","",IFERROR(INDEX(Mitarbeiter!$B$6:$B$205,MATCH(B1261,Mitarbeiter!$A$6:$A$205,0)),"?"))</f>
        <v/>
      </c>
      <c r="D1261" s="41" t="n"/>
      <c r="E1261" s="42" t="n"/>
      <c r="F1261" s="43" t="n"/>
      <c r="G1261" s="44">
        <f>IF(OR(B1261="",F1261=""),"",IFERROR(F1261*INDEX(Mitarbeiter!$F$6:$F$205,MATCH(B1261,Mitarbeiter!$A$6:$A$205,0)),0))</f>
        <v/>
      </c>
      <c r="H1261" s="8">
        <f>IF(B1261="","",IF(ISNA(MATCH(B1261,Mitarbeiter!$A$6:$A$205,0)),"Pers.-Nr. unbekannt",IF(A1261="","Datum fehlt",IF(AND(D1261&lt;&gt;Einstellungen!$C$4,D1261&lt;&gt;Einstellungen!$C$5),"Objekt fehlt",IF(YEAR(A1261)&lt;&gt;Einstellungen!$C$3,"anderes Jahr",IF(A1261&lt;INDEX(Mitarbeiter!$C$6:$C$205,MATCH(B1261,Mitarbeiter!$A$6:$A$205,0)),"vor Eintritt",IF(AND(INDEX(Mitarbeiter!$D$6:$D$205,MATCH(B1261,Mitarbeiter!$A$6:$A$205,0))&lt;&gt;"",A1261&gt;INDEX(Mitarbeiter!$D$6:$D$205,MATCH(B1261,Mitarbeiter!$A$6:$A$205,0))),"nach Austritt","ok")))))))</f>
        <v/>
      </c>
    </row>
    <row r="1262">
      <c r="A1262" s="26" t="n"/>
      <c r="B1262" s="24" t="n"/>
      <c r="C1262" s="40">
        <f>IF(B1262="","",IFERROR(INDEX(Mitarbeiter!$B$6:$B$205,MATCH(B1262,Mitarbeiter!$A$6:$A$205,0)),"?"))</f>
        <v/>
      </c>
      <c r="D1262" s="41" t="n"/>
      <c r="E1262" s="42" t="n"/>
      <c r="F1262" s="43" t="n"/>
      <c r="G1262" s="44">
        <f>IF(OR(B1262="",F1262=""),"",IFERROR(F1262*INDEX(Mitarbeiter!$F$6:$F$205,MATCH(B1262,Mitarbeiter!$A$6:$A$205,0)),0))</f>
        <v/>
      </c>
      <c r="H1262" s="8">
        <f>IF(B1262="","",IF(ISNA(MATCH(B1262,Mitarbeiter!$A$6:$A$205,0)),"Pers.-Nr. unbekannt",IF(A1262="","Datum fehlt",IF(AND(D1262&lt;&gt;Einstellungen!$C$4,D1262&lt;&gt;Einstellungen!$C$5),"Objekt fehlt",IF(YEAR(A1262)&lt;&gt;Einstellungen!$C$3,"anderes Jahr",IF(A1262&lt;INDEX(Mitarbeiter!$C$6:$C$205,MATCH(B1262,Mitarbeiter!$A$6:$A$205,0)),"vor Eintritt",IF(AND(INDEX(Mitarbeiter!$D$6:$D$205,MATCH(B1262,Mitarbeiter!$A$6:$A$205,0))&lt;&gt;"",A1262&gt;INDEX(Mitarbeiter!$D$6:$D$205,MATCH(B1262,Mitarbeiter!$A$6:$A$205,0))),"nach Austritt","ok")))))))</f>
        <v/>
      </c>
    </row>
    <row r="1263">
      <c r="A1263" s="26" t="n"/>
      <c r="B1263" s="24" t="n"/>
      <c r="C1263" s="40">
        <f>IF(B1263="","",IFERROR(INDEX(Mitarbeiter!$B$6:$B$205,MATCH(B1263,Mitarbeiter!$A$6:$A$205,0)),"?"))</f>
        <v/>
      </c>
      <c r="D1263" s="41" t="n"/>
      <c r="E1263" s="42" t="n"/>
      <c r="F1263" s="43" t="n"/>
      <c r="G1263" s="44">
        <f>IF(OR(B1263="",F1263=""),"",IFERROR(F1263*INDEX(Mitarbeiter!$F$6:$F$205,MATCH(B1263,Mitarbeiter!$A$6:$A$205,0)),0))</f>
        <v/>
      </c>
      <c r="H1263" s="8">
        <f>IF(B1263="","",IF(ISNA(MATCH(B1263,Mitarbeiter!$A$6:$A$205,0)),"Pers.-Nr. unbekannt",IF(A1263="","Datum fehlt",IF(AND(D1263&lt;&gt;Einstellungen!$C$4,D1263&lt;&gt;Einstellungen!$C$5),"Objekt fehlt",IF(YEAR(A1263)&lt;&gt;Einstellungen!$C$3,"anderes Jahr",IF(A1263&lt;INDEX(Mitarbeiter!$C$6:$C$205,MATCH(B1263,Mitarbeiter!$A$6:$A$205,0)),"vor Eintritt",IF(AND(INDEX(Mitarbeiter!$D$6:$D$205,MATCH(B1263,Mitarbeiter!$A$6:$A$205,0))&lt;&gt;"",A1263&gt;INDEX(Mitarbeiter!$D$6:$D$205,MATCH(B1263,Mitarbeiter!$A$6:$A$205,0))),"nach Austritt","ok")))))))</f>
        <v/>
      </c>
    </row>
    <row r="1264">
      <c r="A1264" s="26" t="n"/>
      <c r="B1264" s="24" t="n"/>
      <c r="C1264" s="40">
        <f>IF(B1264="","",IFERROR(INDEX(Mitarbeiter!$B$6:$B$205,MATCH(B1264,Mitarbeiter!$A$6:$A$205,0)),"?"))</f>
        <v/>
      </c>
      <c r="D1264" s="41" t="n"/>
      <c r="E1264" s="42" t="n"/>
      <c r="F1264" s="43" t="n"/>
      <c r="G1264" s="44">
        <f>IF(OR(B1264="",F1264=""),"",IFERROR(F1264*INDEX(Mitarbeiter!$F$6:$F$205,MATCH(B1264,Mitarbeiter!$A$6:$A$205,0)),0))</f>
        <v/>
      </c>
      <c r="H1264" s="8">
        <f>IF(B1264="","",IF(ISNA(MATCH(B1264,Mitarbeiter!$A$6:$A$205,0)),"Pers.-Nr. unbekannt",IF(A1264="","Datum fehlt",IF(AND(D1264&lt;&gt;Einstellungen!$C$4,D1264&lt;&gt;Einstellungen!$C$5),"Objekt fehlt",IF(YEAR(A1264)&lt;&gt;Einstellungen!$C$3,"anderes Jahr",IF(A1264&lt;INDEX(Mitarbeiter!$C$6:$C$205,MATCH(B1264,Mitarbeiter!$A$6:$A$205,0)),"vor Eintritt",IF(AND(INDEX(Mitarbeiter!$D$6:$D$205,MATCH(B1264,Mitarbeiter!$A$6:$A$205,0))&lt;&gt;"",A1264&gt;INDEX(Mitarbeiter!$D$6:$D$205,MATCH(B1264,Mitarbeiter!$A$6:$A$205,0))),"nach Austritt","ok")))))))</f>
        <v/>
      </c>
    </row>
    <row r="1265">
      <c r="A1265" s="26" t="n"/>
      <c r="B1265" s="24" t="n"/>
      <c r="C1265" s="40">
        <f>IF(B1265="","",IFERROR(INDEX(Mitarbeiter!$B$6:$B$205,MATCH(B1265,Mitarbeiter!$A$6:$A$205,0)),"?"))</f>
        <v/>
      </c>
      <c r="D1265" s="41" t="n"/>
      <c r="E1265" s="42" t="n"/>
      <c r="F1265" s="43" t="n"/>
      <c r="G1265" s="44">
        <f>IF(OR(B1265="",F1265=""),"",IFERROR(F1265*INDEX(Mitarbeiter!$F$6:$F$205,MATCH(B1265,Mitarbeiter!$A$6:$A$205,0)),0))</f>
        <v/>
      </c>
      <c r="H1265" s="8">
        <f>IF(B1265="","",IF(ISNA(MATCH(B1265,Mitarbeiter!$A$6:$A$205,0)),"Pers.-Nr. unbekannt",IF(A1265="","Datum fehlt",IF(AND(D1265&lt;&gt;Einstellungen!$C$4,D1265&lt;&gt;Einstellungen!$C$5),"Objekt fehlt",IF(YEAR(A1265)&lt;&gt;Einstellungen!$C$3,"anderes Jahr",IF(A1265&lt;INDEX(Mitarbeiter!$C$6:$C$205,MATCH(B1265,Mitarbeiter!$A$6:$A$205,0)),"vor Eintritt",IF(AND(INDEX(Mitarbeiter!$D$6:$D$205,MATCH(B1265,Mitarbeiter!$A$6:$A$205,0))&lt;&gt;"",A1265&gt;INDEX(Mitarbeiter!$D$6:$D$205,MATCH(B1265,Mitarbeiter!$A$6:$A$205,0))),"nach Austritt","ok")))))))</f>
        <v/>
      </c>
    </row>
    <row r="1266">
      <c r="A1266" s="26" t="n"/>
      <c r="B1266" s="24" t="n"/>
      <c r="C1266" s="40">
        <f>IF(B1266="","",IFERROR(INDEX(Mitarbeiter!$B$6:$B$205,MATCH(B1266,Mitarbeiter!$A$6:$A$205,0)),"?"))</f>
        <v/>
      </c>
      <c r="D1266" s="41" t="n"/>
      <c r="E1266" s="42" t="n"/>
      <c r="F1266" s="43" t="n"/>
      <c r="G1266" s="44">
        <f>IF(OR(B1266="",F1266=""),"",IFERROR(F1266*INDEX(Mitarbeiter!$F$6:$F$205,MATCH(B1266,Mitarbeiter!$A$6:$A$205,0)),0))</f>
        <v/>
      </c>
      <c r="H1266" s="8">
        <f>IF(B1266="","",IF(ISNA(MATCH(B1266,Mitarbeiter!$A$6:$A$205,0)),"Pers.-Nr. unbekannt",IF(A1266="","Datum fehlt",IF(AND(D1266&lt;&gt;Einstellungen!$C$4,D1266&lt;&gt;Einstellungen!$C$5),"Objekt fehlt",IF(YEAR(A1266)&lt;&gt;Einstellungen!$C$3,"anderes Jahr",IF(A1266&lt;INDEX(Mitarbeiter!$C$6:$C$205,MATCH(B1266,Mitarbeiter!$A$6:$A$205,0)),"vor Eintritt",IF(AND(INDEX(Mitarbeiter!$D$6:$D$205,MATCH(B1266,Mitarbeiter!$A$6:$A$205,0))&lt;&gt;"",A1266&gt;INDEX(Mitarbeiter!$D$6:$D$205,MATCH(B1266,Mitarbeiter!$A$6:$A$205,0))),"nach Austritt","ok")))))))</f>
        <v/>
      </c>
    </row>
    <row r="1267">
      <c r="A1267" s="26" t="n"/>
      <c r="B1267" s="24" t="n"/>
      <c r="C1267" s="40">
        <f>IF(B1267="","",IFERROR(INDEX(Mitarbeiter!$B$6:$B$205,MATCH(B1267,Mitarbeiter!$A$6:$A$205,0)),"?"))</f>
        <v/>
      </c>
      <c r="D1267" s="41" t="n"/>
      <c r="E1267" s="42" t="n"/>
      <c r="F1267" s="43" t="n"/>
      <c r="G1267" s="44">
        <f>IF(OR(B1267="",F1267=""),"",IFERROR(F1267*INDEX(Mitarbeiter!$F$6:$F$205,MATCH(B1267,Mitarbeiter!$A$6:$A$205,0)),0))</f>
        <v/>
      </c>
      <c r="H1267" s="8">
        <f>IF(B1267="","",IF(ISNA(MATCH(B1267,Mitarbeiter!$A$6:$A$205,0)),"Pers.-Nr. unbekannt",IF(A1267="","Datum fehlt",IF(AND(D1267&lt;&gt;Einstellungen!$C$4,D1267&lt;&gt;Einstellungen!$C$5),"Objekt fehlt",IF(YEAR(A1267)&lt;&gt;Einstellungen!$C$3,"anderes Jahr",IF(A1267&lt;INDEX(Mitarbeiter!$C$6:$C$205,MATCH(B1267,Mitarbeiter!$A$6:$A$205,0)),"vor Eintritt",IF(AND(INDEX(Mitarbeiter!$D$6:$D$205,MATCH(B1267,Mitarbeiter!$A$6:$A$205,0))&lt;&gt;"",A1267&gt;INDEX(Mitarbeiter!$D$6:$D$205,MATCH(B1267,Mitarbeiter!$A$6:$A$205,0))),"nach Austritt","ok")))))))</f>
        <v/>
      </c>
    </row>
    <row r="1268">
      <c r="A1268" s="26" t="n"/>
      <c r="B1268" s="24" t="n"/>
      <c r="C1268" s="40">
        <f>IF(B1268="","",IFERROR(INDEX(Mitarbeiter!$B$6:$B$205,MATCH(B1268,Mitarbeiter!$A$6:$A$205,0)),"?"))</f>
        <v/>
      </c>
      <c r="D1268" s="41" t="n"/>
      <c r="E1268" s="42" t="n"/>
      <c r="F1268" s="43" t="n"/>
      <c r="G1268" s="44">
        <f>IF(OR(B1268="",F1268=""),"",IFERROR(F1268*INDEX(Mitarbeiter!$F$6:$F$205,MATCH(B1268,Mitarbeiter!$A$6:$A$205,0)),0))</f>
        <v/>
      </c>
      <c r="H1268" s="8">
        <f>IF(B1268="","",IF(ISNA(MATCH(B1268,Mitarbeiter!$A$6:$A$205,0)),"Pers.-Nr. unbekannt",IF(A1268="","Datum fehlt",IF(AND(D1268&lt;&gt;Einstellungen!$C$4,D1268&lt;&gt;Einstellungen!$C$5),"Objekt fehlt",IF(YEAR(A1268)&lt;&gt;Einstellungen!$C$3,"anderes Jahr",IF(A1268&lt;INDEX(Mitarbeiter!$C$6:$C$205,MATCH(B1268,Mitarbeiter!$A$6:$A$205,0)),"vor Eintritt",IF(AND(INDEX(Mitarbeiter!$D$6:$D$205,MATCH(B1268,Mitarbeiter!$A$6:$A$205,0))&lt;&gt;"",A1268&gt;INDEX(Mitarbeiter!$D$6:$D$205,MATCH(B1268,Mitarbeiter!$A$6:$A$205,0))),"nach Austritt","ok")))))))</f>
        <v/>
      </c>
    </row>
    <row r="1269">
      <c r="A1269" s="26" t="n"/>
      <c r="B1269" s="24" t="n"/>
      <c r="C1269" s="40">
        <f>IF(B1269="","",IFERROR(INDEX(Mitarbeiter!$B$6:$B$205,MATCH(B1269,Mitarbeiter!$A$6:$A$205,0)),"?"))</f>
        <v/>
      </c>
      <c r="D1269" s="41" t="n"/>
      <c r="E1269" s="42" t="n"/>
      <c r="F1269" s="43" t="n"/>
      <c r="G1269" s="44">
        <f>IF(OR(B1269="",F1269=""),"",IFERROR(F1269*INDEX(Mitarbeiter!$F$6:$F$205,MATCH(B1269,Mitarbeiter!$A$6:$A$205,0)),0))</f>
        <v/>
      </c>
      <c r="H1269" s="8">
        <f>IF(B1269="","",IF(ISNA(MATCH(B1269,Mitarbeiter!$A$6:$A$205,0)),"Pers.-Nr. unbekannt",IF(A1269="","Datum fehlt",IF(AND(D1269&lt;&gt;Einstellungen!$C$4,D1269&lt;&gt;Einstellungen!$C$5),"Objekt fehlt",IF(YEAR(A1269)&lt;&gt;Einstellungen!$C$3,"anderes Jahr",IF(A1269&lt;INDEX(Mitarbeiter!$C$6:$C$205,MATCH(B1269,Mitarbeiter!$A$6:$A$205,0)),"vor Eintritt",IF(AND(INDEX(Mitarbeiter!$D$6:$D$205,MATCH(B1269,Mitarbeiter!$A$6:$A$205,0))&lt;&gt;"",A1269&gt;INDEX(Mitarbeiter!$D$6:$D$205,MATCH(B1269,Mitarbeiter!$A$6:$A$205,0))),"nach Austritt","ok")))))))</f>
        <v/>
      </c>
    </row>
    <row r="1270">
      <c r="A1270" s="26" t="n"/>
      <c r="B1270" s="24" t="n"/>
      <c r="C1270" s="40">
        <f>IF(B1270="","",IFERROR(INDEX(Mitarbeiter!$B$6:$B$205,MATCH(B1270,Mitarbeiter!$A$6:$A$205,0)),"?"))</f>
        <v/>
      </c>
      <c r="D1270" s="41" t="n"/>
      <c r="E1270" s="42" t="n"/>
      <c r="F1270" s="43" t="n"/>
      <c r="G1270" s="44">
        <f>IF(OR(B1270="",F1270=""),"",IFERROR(F1270*INDEX(Mitarbeiter!$F$6:$F$205,MATCH(B1270,Mitarbeiter!$A$6:$A$205,0)),0))</f>
        <v/>
      </c>
      <c r="H1270" s="8">
        <f>IF(B1270="","",IF(ISNA(MATCH(B1270,Mitarbeiter!$A$6:$A$205,0)),"Pers.-Nr. unbekannt",IF(A1270="","Datum fehlt",IF(AND(D1270&lt;&gt;Einstellungen!$C$4,D1270&lt;&gt;Einstellungen!$C$5),"Objekt fehlt",IF(YEAR(A1270)&lt;&gt;Einstellungen!$C$3,"anderes Jahr",IF(A1270&lt;INDEX(Mitarbeiter!$C$6:$C$205,MATCH(B1270,Mitarbeiter!$A$6:$A$205,0)),"vor Eintritt",IF(AND(INDEX(Mitarbeiter!$D$6:$D$205,MATCH(B1270,Mitarbeiter!$A$6:$A$205,0))&lt;&gt;"",A1270&gt;INDEX(Mitarbeiter!$D$6:$D$205,MATCH(B1270,Mitarbeiter!$A$6:$A$205,0))),"nach Austritt","ok")))))))</f>
        <v/>
      </c>
    </row>
    <row r="1271">
      <c r="A1271" s="26" t="n"/>
      <c r="B1271" s="24" t="n"/>
      <c r="C1271" s="40">
        <f>IF(B1271="","",IFERROR(INDEX(Mitarbeiter!$B$6:$B$205,MATCH(B1271,Mitarbeiter!$A$6:$A$205,0)),"?"))</f>
        <v/>
      </c>
      <c r="D1271" s="41" t="n"/>
      <c r="E1271" s="42" t="n"/>
      <c r="F1271" s="43" t="n"/>
      <c r="G1271" s="44">
        <f>IF(OR(B1271="",F1271=""),"",IFERROR(F1271*INDEX(Mitarbeiter!$F$6:$F$205,MATCH(B1271,Mitarbeiter!$A$6:$A$205,0)),0))</f>
        <v/>
      </c>
      <c r="H1271" s="8">
        <f>IF(B1271="","",IF(ISNA(MATCH(B1271,Mitarbeiter!$A$6:$A$205,0)),"Pers.-Nr. unbekannt",IF(A1271="","Datum fehlt",IF(AND(D1271&lt;&gt;Einstellungen!$C$4,D1271&lt;&gt;Einstellungen!$C$5),"Objekt fehlt",IF(YEAR(A1271)&lt;&gt;Einstellungen!$C$3,"anderes Jahr",IF(A1271&lt;INDEX(Mitarbeiter!$C$6:$C$205,MATCH(B1271,Mitarbeiter!$A$6:$A$205,0)),"vor Eintritt",IF(AND(INDEX(Mitarbeiter!$D$6:$D$205,MATCH(B1271,Mitarbeiter!$A$6:$A$205,0))&lt;&gt;"",A1271&gt;INDEX(Mitarbeiter!$D$6:$D$205,MATCH(B1271,Mitarbeiter!$A$6:$A$205,0))),"nach Austritt","ok")))))))</f>
        <v/>
      </c>
    </row>
    <row r="1272">
      <c r="A1272" s="26" t="n"/>
      <c r="B1272" s="24" t="n"/>
      <c r="C1272" s="40">
        <f>IF(B1272="","",IFERROR(INDEX(Mitarbeiter!$B$6:$B$205,MATCH(B1272,Mitarbeiter!$A$6:$A$205,0)),"?"))</f>
        <v/>
      </c>
      <c r="D1272" s="41" t="n"/>
      <c r="E1272" s="42" t="n"/>
      <c r="F1272" s="43" t="n"/>
      <c r="G1272" s="44">
        <f>IF(OR(B1272="",F1272=""),"",IFERROR(F1272*INDEX(Mitarbeiter!$F$6:$F$205,MATCH(B1272,Mitarbeiter!$A$6:$A$205,0)),0))</f>
        <v/>
      </c>
      <c r="H1272" s="8">
        <f>IF(B1272="","",IF(ISNA(MATCH(B1272,Mitarbeiter!$A$6:$A$205,0)),"Pers.-Nr. unbekannt",IF(A1272="","Datum fehlt",IF(AND(D1272&lt;&gt;Einstellungen!$C$4,D1272&lt;&gt;Einstellungen!$C$5),"Objekt fehlt",IF(YEAR(A1272)&lt;&gt;Einstellungen!$C$3,"anderes Jahr",IF(A1272&lt;INDEX(Mitarbeiter!$C$6:$C$205,MATCH(B1272,Mitarbeiter!$A$6:$A$205,0)),"vor Eintritt",IF(AND(INDEX(Mitarbeiter!$D$6:$D$205,MATCH(B1272,Mitarbeiter!$A$6:$A$205,0))&lt;&gt;"",A1272&gt;INDEX(Mitarbeiter!$D$6:$D$205,MATCH(B1272,Mitarbeiter!$A$6:$A$205,0))),"nach Austritt","ok")))))))</f>
        <v/>
      </c>
    </row>
    <row r="1273">
      <c r="A1273" s="26" t="n"/>
      <c r="B1273" s="24" t="n"/>
      <c r="C1273" s="40">
        <f>IF(B1273="","",IFERROR(INDEX(Mitarbeiter!$B$6:$B$205,MATCH(B1273,Mitarbeiter!$A$6:$A$205,0)),"?"))</f>
        <v/>
      </c>
      <c r="D1273" s="41" t="n"/>
      <c r="E1273" s="42" t="n"/>
      <c r="F1273" s="43" t="n"/>
      <c r="G1273" s="44">
        <f>IF(OR(B1273="",F1273=""),"",IFERROR(F1273*INDEX(Mitarbeiter!$F$6:$F$205,MATCH(B1273,Mitarbeiter!$A$6:$A$205,0)),0))</f>
        <v/>
      </c>
      <c r="H1273" s="8">
        <f>IF(B1273="","",IF(ISNA(MATCH(B1273,Mitarbeiter!$A$6:$A$205,0)),"Pers.-Nr. unbekannt",IF(A1273="","Datum fehlt",IF(AND(D1273&lt;&gt;Einstellungen!$C$4,D1273&lt;&gt;Einstellungen!$C$5),"Objekt fehlt",IF(YEAR(A1273)&lt;&gt;Einstellungen!$C$3,"anderes Jahr",IF(A1273&lt;INDEX(Mitarbeiter!$C$6:$C$205,MATCH(B1273,Mitarbeiter!$A$6:$A$205,0)),"vor Eintritt",IF(AND(INDEX(Mitarbeiter!$D$6:$D$205,MATCH(B1273,Mitarbeiter!$A$6:$A$205,0))&lt;&gt;"",A1273&gt;INDEX(Mitarbeiter!$D$6:$D$205,MATCH(B1273,Mitarbeiter!$A$6:$A$205,0))),"nach Austritt","ok")))))))</f>
        <v/>
      </c>
    </row>
    <row r="1274">
      <c r="A1274" s="26" t="n"/>
      <c r="B1274" s="24" t="n"/>
      <c r="C1274" s="40">
        <f>IF(B1274="","",IFERROR(INDEX(Mitarbeiter!$B$6:$B$205,MATCH(B1274,Mitarbeiter!$A$6:$A$205,0)),"?"))</f>
        <v/>
      </c>
      <c r="D1274" s="41" t="n"/>
      <c r="E1274" s="42" t="n"/>
      <c r="F1274" s="43" t="n"/>
      <c r="G1274" s="44">
        <f>IF(OR(B1274="",F1274=""),"",IFERROR(F1274*INDEX(Mitarbeiter!$F$6:$F$205,MATCH(B1274,Mitarbeiter!$A$6:$A$205,0)),0))</f>
        <v/>
      </c>
      <c r="H1274" s="8">
        <f>IF(B1274="","",IF(ISNA(MATCH(B1274,Mitarbeiter!$A$6:$A$205,0)),"Pers.-Nr. unbekannt",IF(A1274="","Datum fehlt",IF(AND(D1274&lt;&gt;Einstellungen!$C$4,D1274&lt;&gt;Einstellungen!$C$5),"Objekt fehlt",IF(YEAR(A1274)&lt;&gt;Einstellungen!$C$3,"anderes Jahr",IF(A1274&lt;INDEX(Mitarbeiter!$C$6:$C$205,MATCH(B1274,Mitarbeiter!$A$6:$A$205,0)),"vor Eintritt",IF(AND(INDEX(Mitarbeiter!$D$6:$D$205,MATCH(B1274,Mitarbeiter!$A$6:$A$205,0))&lt;&gt;"",A1274&gt;INDEX(Mitarbeiter!$D$6:$D$205,MATCH(B1274,Mitarbeiter!$A$6:$A$205,0))),"nach Austritt","ok")))))))</f>
        <v/>
      </c>
    </row>
    <row r="1275">
      <c r="A1275" s="26" t="n"/>
      <c r="B1275" s="24" t="n"/>
      <c r="C1275" s="40">
        <f>IF(B1275="","",IFERROR(INDEX(Mitarbeiter!$B$6:$B$205,MATCH(B1275,Mitarbeiter!$A$6:$A$205,0)),"?"))</f>
        <v/>
      </c>
      <c r="D1275" s="41" t="n"/>
      <c r="E1275" s="42" t="n"/>
      <c r="F1275" s="43" t="n"/>
      <c r="G1275" s="44">
        <f>IF(OR(B1275="",F1275=""),"",IFERROR(F1275*INDEX(Mitarbeiter!$F$6:$F$205,MATCH(B1275,Mitarbeiter!$A$6:$A$205,0)),0))</f>
        <v/>
      </c>
      <c r="H1275" s="8">
        <f>IF(B1275="","",IF(ISNA(MATCH(B1275,Mitarbeiter!$A$6:$A$205,0)),"Pers.-Nr. unbekannt",IF(A1275="","Datum fehlt",IF(AND(D1275&lt;&gt;Einstellungen!$C$4,D1275&lt;&gt;Einstellungen!$C$5),"Objekt fehlt",IF(YEAR(A1275)&lt;&gt;Einstellungen!$C$3,"anderes Jahr",IF(A1275&lt;INDEX(Mitarbeiter!$C$6:$C$205,MATCH(B1275,Mitarbeiter!$A$6:$A$205,0)),"vor Eintritt",IF(AND(INDEX(Mitarbeiter!$D$6:$D$205,MATCH(B1275,Mitarbeiter!$A$6:$A$205,0))&lt;&gt;"",A1275&gt;INDEX(Mitarbeiter!$D$6:$D$205,MATCH(B1275,Mitarbeiter!$A$6:$A$205,0))),"nach Austritt","ok")))))))</f>
        <v/>
      </c>
    </row>
    <row r="1276">
      <c r="A1276" s="26" t="n"/>
      <c r="B1276" s="24" t="n"/>
      <c r="C1276" s="40">
        <f>IF(B1276="","",IFERROR(INDEX(Mitarbeiter!$B$6:$B$205,MATCH(B1276,Mitarbeiter!$A$6:$A$205,0)),"?"))</f>
        <v/>
      </c>
      <c r="D1276" s="41" t="n"/>
      <c r="E1276" s="42" t="n"/>
      <c r="F1276" s="43" t="n"/>
      <c r="G1276" s="44">
        <f>IF(OR(B1276="",F1276=""),"",IFERROR(F1276*INDEX(Mitarbeiter!$F$6:$F$205,MATCH(B1276,Mitarbeiter!$A$6:$A$205,0)),0))</f>
        <v/>
      </c>
      <c r="H1276" s="8">
        <f>IF(B1276="","",IF(ISNA(MATCH(B1276,Mitarbeiter!$A$6:$A$205,0)),"Pers.-Nr. unbekannt",IF(A1276="","Datum fehlt",IF(AND(D1276&lt;&gt;Einstellungen!$C$4,D1276&lt;&gt;Einstellungen!$C$5),"Objekt fehlt",IF(YEAR(A1276)&lt;&gt;Einstellungen!$C$3,"anderes Jahr",IF(A1276&lt;INDEX(Mitarbeiter!$C$6:$C$205,MATCH(B1276,Mitarbeiter!$A$6:$A$205,0)),"vor Eintritt",IF(AND(INDEX(Mitarbeiter!$D$6:$D$205,MATCH(B1276,Mitarbeiter!$A$6:$A$205,0))&lt;&gt;"",A1276&gt;INDEX(Mitarbeiter!$D$6:$D$205,MATCH(B1276,Mitarbeiter!$A$6:$A$205,0))),"nach Austritt","ok")))))))</f>
        <v/>
      </c>
    </row>
    <row r="1277">
      <c r="A1277" s="26" t="n"/>
      <c r="B1277" s="24" t="n"/>
      <c r="C1277" s="40">
        <f>IF(B1277="","",IFERROR(INDEX(Mitarbeiter!$B$6:$B$205,MATCH(B1277,Mitarbeiter!$A$6:$A$205,0)),"?"))</f>
        <v/>
      </c>
      <c r="D1277" s="41" t="n"/>
      <c r="E1277" s="42" t="n"/>
      <c r="F1277" s="43" t="n"/>
      <c r="G1277" s="44">
        <f>IF(OR(B1277="",F1277=""),"",IFERROR(F1277*INDEX(Mitarbeiter!$F$6:$F$205,MATCH(B1277,Mitarbeiter!$A$6:$A$205,0)),0))</f>
        <v/>
      </c>
      <c r="H1277" s="8">
        <f>IF(B1277="","",IF(ISNA(MATCH(B1277,Mitarbeiter!$A$6:$A$205,0)),"Pers.-Nr. unbekannt",IF(A1277="","Datum fehlt",IF(AND(D1277&lt;&gt;Einstellungen!$C$4,D1277&lt;&gt;Einstellungen!$C$5),"Objekt fehlt",IF(YEAR(A1277)&lt;&gt;Einstellungen!$C$3,"anderes Jahr",IF(A1277&lt;INDEX(Mitarbeiter!$C$6:$C$205,MATCH(B1277,Mitarbeiter!$A$6:$A$205,0)),"vor Eintritt",IF(AND(INDEX(Mitarbeiter!$D$6:$D$205,MATCH(B1277,Mitarbeiter!$A$6:$A$205,0))&lt;&gt;"",A1277&gt;INDEX(Mitarbeiter!$D$6:$D$205,MATCH(B1277,Mitarbeiter!$A$6:$A$205,0))),"nach Austritt","ok")))))))</f>
        <v/>
      </c>
    </row>
    <row r="1278">
      <c r="A1278" s="26" t="n"/>
      <c r="B1278" s="24" t="n"/>
      <c r="C1278" s="40">
        <f>IF(B1278="","",IFERROR(INDEX(Mitarbeiter!$B$6:$B$205,MATCH(B1278,Mitarbeiter!$A$6:$A$205,0)),"?"))</f>
        <v/>
      </c>
      <c r="D1278" s="41" t="n"/>
      <c r="E1278" s="42" t="n"/>
      <c r="F1278" s="43" t="n"/>
      <c r="G1278" s="44">
        <f>IF(OR(B1278="",F1278=""),"",IFERROR(F1278*INDEX(Mitarbeiter!$F$6:$F$205,MATCH(B1278,Mitarbeiter!$A$6:$A$205,0)),0))</f>
        <v/>
      </c>
      <c r="H1278" s="8">
        <f>IF(B1278="","",IF(ISNA(MATCH(B1278,Mitarbeiter!$A$6:$A$205,0)),"Pers.-Nr. unbekannt",IF(A1278="","Datum fehlt",IF(AND(D1278&lt;&gt;Einstellungen!$C$4,D1278&lt;&gt;Einstellungen!$C$5),"Objekt fehlt",IF(YEAR(A1278)&lt;&gt;Einstellungen!$C$3,"anderes Jahr",IF(A1278&lt;INDEX(Mitarbeiter!$C$6:$C$205,MATCH(B1278,Mitarbeiter!$A$6:$A$205,0)),"vor Eintritt",IF(AND(INDEX(Mitarbeiter!$D$6:$D$205,MATCH(B1278,Mitarbeiter!$A$6:$A$205,0))&lt;&gt;"",A1278&gt;INDEX(Mitarbeiter!$D$6:$D$205,MATCH(B1278,Mitarbeiter!$A$6:$A$205,0))),"nach Austritt","ok")))))))</f>
        <v/>
      </c>
    </row>
    <row r="1279">
      <c r="A1279" s="26" t="n"/>
      <c r="B1279" s="24" t="n"/>
      <c r="C1279" s="40">
        <f>IF(B1279="","",IFERROR(INDEX(Mitarbeiter!$B$6:$B$205,MATCH(B1279,Mitarbeiter!$A$6:$A$205,0)),"?"))</f>
        <v/>
      </c>
      <c r="D1279" s="41" t="n"/>
      <c r="E1279" s="42" t="n"/>
      <c r="F1279" s="43" t="n"/>
      <c r="G1279" s="44">
        <f>IF(OR(B1279="",F1279=""),"",IFERROR(F1279*INDEX(Mitarbeiter!$F$6:$F$205,MATCH(B1279,Mitarbeiter!$A$6:$A$205,0)),0))</f>
        <v/>
      </c>
      <c r="H1279" s="8">
        <f>IF(B1279="","",IF(ISNA(MATCH(B1279,Mitarbeiter!$A$6:$A$205,0)),"Pers.-Nr. unbekannt",IF(A1279="","Datum fehlt",IF(AND(D1279&lt;&gt;Einstellungen!$C$4,D1279&lt;&gt;Einstellungen!$C$5),"Objekt fehlt",IF(YEAR(A1279)&lt;&gt;Einstellungen!$C$3,"anderes Jahr",IF(A1279&lt;INDEX(Mitarbeiter!$C$6:$C$205,MATCH(B1279,Mitarbeiter!$A$6:$A$205,0)),"vor Eintritt",IF(AND(INDEX(Mitarbeiter!$D$6:$D$205,MATCH(B1279,Mitarbeiter!$A$6:$A$205,0))&lt;&gt;"",A1279&gt;INDEX(Mitarbeiter!$D$6:$D$205,MATCH(B1279,Mitarbeiter!$A$6:$A$205,0))),"nach Austritt","ok")))))))</f>
        <v/>
      </c>
    </row>
    <row r="1280">
      <c r="A1280" s="26" t="n"/>
      <c r="B1280" s="24" t="n"/>
      <c r="C1280" s="40">
        <f>IF(B1280="","",IFERROR(INDEX(Mitarbeiter!$B$6:$B$205,MATCH(B1280,Mitarbeiter!$A$6:$A$205,0)),"?"))</f>
        <v/>
      </c>
      <c r="D1280" s="41" t="n"/>
      <c r="E1280" s="42" t="n"/>
      <c r="F1280" s="43" t="n"/>
      <c r="G1280" s="44">
        <f>IF(OR(B1280="",F1280=""),"",IFERROR(F1280*INDEX(Mitarbeiter!$F$6:$F$205,MATCH(B1280,Mitarbeiter!$A$6:$A$205,0)),0))</f>
        <v/>
      </c>
      <c r="H1280" s="8">
        <f>IF(B1280="","",IF(ISNA(MATCH(B1280,Mitarbeiter!$A$6:$A$205,0)),"Pers.-Nr. unbekannt",IF(A1280="","Datum fehlt",IF(AND(D1280&lt;&gt;Einstellungen!$C$4,D1280&lt;&gt;Einstellungen!$C$5),"Objekt fehlt",IF(YEAR(A1280)&lt;&gt;Einstellungen!$C$3,"anderes Jahr",IF(A1280&lt;INDEX(Mitarbeiter!$C$6:$C$205,MATCH(B1280,Mitarbeiter!$A$6:$A$205,0)),"vor Eintritt",IF(AND(INDEX(Mitarbeiter!$D$6:$D$205,MATCH(B1280,Mitarbeiter!$A$6:$A$205,0))&lt;&gt;"",A1280&gt;INDEX(Mitarbeiter!$D$6:$D$205,MATCH(B1280,Mitarbeiter!$A$6:$A$205,0))),"nach Austritt","ok")))))))</f>
        <v/>
      </c>
    </row>
    <row r="1281">
      <c r="A1281" s="26" t="n"/>
      <c r="B1281" s="24" t="n"/>
      <c r="C1281" s="40">
        <f>IF(B1281="","",IFERROR(INDEX(Mitarbeiter!$B$6:$B$205,MATCH(B1281,Mitarbeiter!$A$6:$A$205,0)),"?"))</f>
        <v/>
      </c>
      <c r="D1281" s="41" t="n"/>
      <c r="E1281" s="42" t="n"/>
      <c r="F1281" s="43" t="n"/>
      <c r="G1281" s="44">
        <f>IF(OR(B1281="",F1281=""),"",IFERROR(F1281*INDEX(Mitarbeiter!$F$6:$F$205,MATCH(B1281,Mitarbeiter!$A$6:$A$205,0)),0))</f>
        <v/>
      </c>
      <c r="H1281" s="8">
        <f>IF(B1281="","",IF(ISNA(MATCH(B1281,Mitarbeiter!$A$6:$A$205,0)),"Pers.-Nr. unbekannt",IF(A1281="","Datum fehlt",IF(AND(D1281&lt;&gt;Einstellungen!$C$4,D1281&lt;&gt;Einstellungen!$C$5),"Objekt fehlt",IF(YEAR(A1281)&lt;&gt;Einstellungen!$C$3,"anderes Jahr",IF(A1281&lt;INDEX(Mitarbeiter!$C$6:$C$205,MATCH(B1281,Mitarbeiter!$A$6:$A$205,0)),"vor Eintritt",IF(AND(INDEX(Mitarbeiter!$D$6:$D$205,MATCH(B1281,Mitarbeiter!$A$6:$A$205,0))&lt;&gt;"",A1281&gt;INDEX(Mitarbeiter!$D$6:$D$205,MATCH(B1281,Mitarbeiter!$A$6:$A$205,0))),"nach Austritt","ok")))))))</f>
        <v/>
      </c>
    </row>
    <row r="1282">
      <c r="A1282" s="26" t="n"/>
      <c r="B1282" s="24" t="n"/>
      <c r="C1282" s="40">
        <f>IF(B1282="","",IFERROR(INDEX(Mitarbeiter!$B$6:$B$205,MATCH(B1282,Mitarbeiter!$A$6:$A$205,0)),"?"))</f>
        <v/>
      </c>
      <c r="D1282" s="41" t="n"/>
      <c r="E1282" s="42" t="n"/>
      <c r="F1282" s="43" t="n"/>
      <c r="G1282" s="44">
        <f>IF(OR(B1282="",F1282=""),"",IFERROR(F1282*INDEX(Mitarbeiter!$F$6:$F$205,MATCH(B1282,Mitarbeiter!$A$6:$A$205,0)),0))</f>
        <v/>
      </c>
      <c r="H1282" s="8">
        <f>IF(B1282="","",IF(ISNA(MATCH(B1282,Mitarbeiter!$A$6:$A$205,0)),"Pers.-Nr. unbekannt",IF(A1282="","Datum fehlt",IF(AND(D1282&lt;&gt;Einstellungen!$C$4,D1282&lt;&gt;Einstellungen!$C$5),"Objekt fehlt",IF(YEAR(A1282)&lt;&gt;Einstellungen!$C$3,"anderes Jahr",IF(A1282&lt;INDEX(Mitarbeiter!$C$6:$C$205,MATCH(B1282,Mitarbeiter!$A$6:$A$205,0)),"vor Eintritt",IF(AND(INDEX(Mitarbeiter!$D$6:$D$205,MATCH(B1282,Mitarbeiter!$A$6:$A$205,0))&lt;&gt;"",A1282&gt;INDEX(Mitarbeiter!$D$6:$D$205,MATCH(B1282,Mitarbeiter!$A$6:$A$205,0))),"nach Austritt","ok")))))))</f>
        <v/>
      </c>
    </row>
    <row r="1283">
      <c r="A1283" s="26" t="n"/>
      <c r="B1283" s="24" t="n"/>
      <c r="C1283" s="40">
        <f>IF(B1283="","",IFERROR(INDEX(Mitarbeiter!$B$6:$B$205,MATCH(B1283,Mitarbeiter!$A$6:$A$205,0)),"?"))</f>
        <v/>
      </c>
      <c r="D1283" s="41" t="n"/>
      <c r="E1283" s="42" t="n"/>
      <c r="F1283" s="43" t="n"/>
      <c r="G1283" s="44">
        <f>IF(OR(B1283="",F1283=""),"",IFERROR(F1283*INDEX(Mitarbeiter!$F$6:$F$205,MATCH(B1283,Mitarbeiter!$A$6:$A$205,0)),0))</f>
        <v/>
      </c>
      <c r="H1283" s="8">
        <f>IF(B1283="","",IF(ISNA(MATCH(B1283,Mitarbeiter!$A$6:$A$205,0)),"Pers.-Nr. unbekannt",IF(A1283="","Datum fehlt",IF(AND(D1283&lt;&gt;Einstellungen!$C$4,D1283&lt;&gt;Einstellungen!$C$5),"Objekt fehlt",IF(YEAR(A1283)&lt;&gt;Einstellungen!$C$3,"anderes Jahr",IF(A1283&lt;INDEX(Mitarbeiter!$C$6:$C$205,MATCH(B1283,Mitarbeiter!$A$6:$A$205,0)),"vor Eintritt",IF(AND(INDEX(Mitarbeiter!$D$6:$D$205,MATCH(B1283,Mitarbeiter!$A$6:$A$205,0))&lt;&gt;"",A1283&gt;INDEX(Mitarbeiter!$D$6:$D$205,MATCH(B1283,Mitarbeiter!$A$6:$A$205,0))),"nach Austritt","ok")))))))</f>
        <v/>
      </c>
    </row>
    <row r="1284">
      <c r="A1284" s="26" t="n"/>
      <c r="B1284" s="24" t="n"/>
      <c r="C1284" s="40">
        <f>IF(B1284="","",IFERROR(INDEX(Mitarbeiter!$B$6:$B$205,MATCH(B1284,Mitarbeiter!$A$6:$A$205,0)),"?"))</f>
        <v/>
      </c>
      <c r="D1284" s="41" t="n"/>
      <c r="E1284" s="42" t="n"/>
      <c r="F1284" s="43" t="n"/>
      <c r="G1284" s="44">
        <f>IF(OR(B1284="",F1284=""),"",IFERROR(F1284*INDEX(Mitarbeiter!$F$6:$F$205,MATCH(B1284,Mitarbeiter!$A$6:$A$205,0)),0))</f>
        <v/>
      </c>
      <c r="H1284" s="8">
        <f>IF(B1284="","",IF(ISNA(MATCH(B1284,Mitarbeiter!$A$6:$A$205,0)),"Pers.-Nr. unbekannt",IF(A1284="","Datum fehlt",IF(AND(D1284&lt;&gt;Einstellungen!$C$4,D1284&lt;&gt;Einstellungen!$C$5),"Objekt fehlt",IF(YEAR(A1284)&lt;&gt;Einstellungen!$C$3,"anderes Jahr",IF(A1284&lt;INDEX(Mitarbeiter!$C$6:$C$205,MATCH(B1284,Mitarbeiter!$A$6:$A$205,0)),"vor Eintritt",IF(AND(INDEX(Mitarbeiter!$D$6:$D$205,MATCH(B1284,Mitarbeiter!$A$6:$A$205,0))&lt;&gt;"",A1284&gt;INDEX(Mitarbeiter!$D$6:$D$205,MATCH(B1284,Mitarbeiter!$A$6:$A$205,0))),"nach Austritt","ok")))))))</f>
        <v/>
      </c>
    </row>
    <row r="1285">
      <c r="A1285" s="26" t="n"/>
      <c r="B1285" s="24" t="n"/>
      <c r="C1285" s="40">
        <f>IF(B1285="","",IFERROR(INDEX(Mitarbeiter!$B$6:$B$205,MATCH(B1285,Mitarbeiter!$A$6:$A$205,0)),"?"))</f>
        <v/>
      </c>
      <c r="D1285" s="41" t="n"/>
      <c r="E1285" s="42" t="n"/>
      <c r="F1285" s="43" t="n"/>
      <c r="G1285" s="44">
        <f>IF(OR(B1285="",F1285=""),"",IFERROR(F1285*INDEX(Mitarbeiter!$F$6:$F$205,MATCH(B1285,Mitarbeiter!$A$6:$A$205,0)),0))</f>
        <v/>
      </c>
      <c r="H1285" s="8">
        <f>IF(B1285="","",IF(ISNA(MATCH(B1285,Mitarbeiter!$A$6:$A$205,0)),"Pers.-Nr. unbekannt",IF(A1285="","Datum fehlt",IF(AND(D1285&lt;&gt;Einstellungen!$C$4,D1285&lt;&gt;Einstellungen!$C$5),"Objekt fehlt",IF(YEAR(A1285)&lt;&gt;Einstellungen!$C$3,"anderes Jahr",IF(A1285&lt;INDEX(Mitarbeiter!$C$6:$C$205,MATCH(B1285,Mitarbeiter!$A$6:$A$205,0)),"vor Eintritt",IF(AND(INDEX(Mitarbeiter!$D$6:$D$205,MATCH(B1285,Mitarbeiter!$A$6:$A$205,0))&lt;&gt;"",A1285&gt;INDEX(Mitarbeiter!$D$6:$D$205,MATCH(B1285,Mitarbeiter!$A$6:$A$205,0))),"nach Austritt","ok")))))))</f>
        <v/>
      </c>
    </row>
    <row r="1286">
      <c r="A1286" s="26" t="n"/>
      <c r="B1286" s="24" t="n"/>
      <c r="C1286" s="40">
        <f>IF(B1286="","",IFERROR(INDEX(Mitarbeiter!$B$6:$B$205,MATCH(B1286,Mitarbeiter!$A$6:$A$205,0)),"?"))</f>
        <v/>
      </c>
      <c r="D1286" s="41" t="n"/>
      <c r="E1286" s="42" t="n"/>
      <c r="F1286" s="43" t="n"/>
      <c r="G1286" s="44">
        <f>IF(OR(B1286="",F1286=""),"",IFERROR(F1286*INDEX(Mitarbeiter!$F$6:$F$205,MATCH(B1286,Mitarbeiter!$A$6:$A$205,0)),0))</f>
        <v/>
      </c>
      <c r="H1286" s="8">
        <f>IF(B1286="","",IF(ISNA(MATCH(B1286,Mitarbeiter!$A$6:$A$205,0)),"Pers.-Nr. unbekannt",IF(A1286="","Datum fehlt",IF(AND(D1286&lt;&gt;Einstellungen!$C$4,D1286&lt;&gt;Einstellungen!$C$5),"Objekt fehlt",IF(YEAR(A1286)&lt;&gt;Einstellungen!$C$3,"anderes Jahr",IF(A1286&lt;INDEX(Mitarbeiter!$C$6:$C$205,MATCH(B1286,Mitarbeiter!$A$6:$A$205,0)),"vor Eintritt",IF(AND(INDEX(Mitarbeiter!$D$6:$D$205,MATCH(B1286,Mitarbeiter!$A$6:$A$205,0))&lt;&gt;"",A1286&gt;INDEX(Mitarbeiter!$D$6:$D$205,MATCH(B1286,Mitarbeiter!$A$6:$A$205,0))),"nach Austritt","ok")))))))</f>
        <v/>
      </c>
    </row>
    <row r="1287">
      <c r="A1287" s="26" t="n"/>
      <c r="B1287" s="24" t="n"/>
      <c r="C1287" s="40">
        <f>IF(B1287="","",IFERROR(INDEX(Mitarbeiter!$B$6:$B$205,MATCH(B1287,Mitarbeiter!$A$6:$A$205,0)),"?"))</f>
        <v/>
      </c>
      <c r="D1287" s="41" t="n"/>
      <c r="E1287" s="42" t="n"/>
      <c r="F1287" s="43" t="n"/>
      <c r="G1287" s="44">
        <f>IF(OR(B1287="",F1287=""),"",IFERROR(F1287*INDEX(Mitarbeiter!$F$6:$F$205,MATCH(B1287,Mitarbeiter!$A$6:$A$205,0)),0))</f>
        <v/>
      </c>
      <c r="H1287" s="8">
        <f>IF(B1287="","",IF(ISNA(MATCH(B1287,Mitarbeiter!$A$6:$A$205,0)),"Pers.-Nr. unbekannt",IF(A1287="","Datum fehlt",IF(AND(D1287&lt;&gt;Einstellungen!$C$4,D1287&lt;&gt;Einstellungen!$C$5),"Objekt fehlt",IF(YEAR(A1287)&lt;&gt;Einstellungen!$C$3,"anderes Jahr",IF(A1287&lt;INDEX(Mitarbeiter!$C$6:$C$205,MATCH(B1287,Mitarbeiter!$A$6:$A$205,0)),"vor Eintritt",IF(AND(INDEX(Mitarbeiter!$D$6:$D$205,MATCH(B1287,Mitarbeiter!$A$6:$A$205,0))&lt;&gt;"",A1287&gt;INDEX(Mitarbeiter!$D$6:$D$205,MATCH(B1287,Mitarbeiter!$A$6:$A$205,0))),"nach Austritt","ok")))))))</f>
        <v/>
      </c>
    </row>
    <row r="1288">
      <c r="A1288" s="26" t="n"/>
      <c r="B1288" s="24" t="n"/>
      <c r="C1288" s="40">
        <f>IF(B1288="","",IFERROR(INDEX(Mitarbeiter!$B$6:$B$205,MATCH(B1288,Mitarbeiter!$A$6:$A$205,0)),"?"))</f>
        <v/>
      </c>
      <c r="D1288" s="41" t="n"/>
      <c r="E1288" s="42" t="n"/>
      <c r="F1288" s="43" t="n"/>
      <c r="G1288" s="44">
        <f>IF(OR(B1288="",F1288=""),"",IFERROR(F1288*INDEX(Mitarbeiter!$F$6:$F$205,MATCH(B1288,Mitarbeiter!$A$6:$A$205,0)),0))</f>
        <v/>
      </c>
      <c r="H1288" s="8">
        <f>IF(B1288="","",IF(ISNA(MATCH(B1288,Mitarbeiter!$A$6:$A$205,0)),"Pers.-Nr. unbekannt",IF(A1288="","Datum fehlt",IF(AND(D1288&lt;&gt;Einstellungen!$C$4,D1288&lt;&gt;Einstellungen!$C$5),"Objekt fehlt",IF(YEAR(A1288)&lt;&gt;Einstellungen!$C$3,"anderes Jahr",IF(A1288&lt;INDEX(Mitarbeiter!$C$6:$C$205,MATCH(B1288,Mitarbeiter!$A$6:$A$205,0)),"vor Eintritt",IF(AND(INDEX(Mitarbeiter!$D$6:$D$205,MATCH(B1288,Mitarbeiter!$A$6:$A$205,0))&lt;&gt;"",A1288&gt;INDEX(Mitarbeiter!$D$6:$D$205,MATCH(B1288,Mitarbeiter!$A$6:$A$205,0))),"nach Austritt","ok")))))))</f>
        <v/>
      </c>
    </row>
    <row r="1289">
      <c r="A1289" s="26" t="n"/>
      <c r="B1289" s="24" t="n"/>
      <c r="C1289" s="40">
        <f>IF(B1289="","",IFERROR(INDEX(Mitarbeiter!$B$6:$B$205,MATCH(B1289,Mitarbeiter!$A$6:$A$205,0)),"?"))</f>
        <v/>
      </c>
      <c r="D1289" s="41" t="n"/>
      <c r="E1289" s="42" t="n"/>
      <c r="F1289" s="43" t="n"/>
      <c r="G1289" s="44">
        <f>IF(OR(B1289="",F1289=""),"",IFERROR(F1289*INDEX(Mitarbeiter!$F$6:$F$205,MATCH(B1289,Mitarbeiter!$A$6:$A$205,0)),0))</f>
        <v/>
      </c>
      <c r="H1289" s="8">
        <f>IF(B1289="","",IF(ISNA(MATCH(B1289,Mitarbeiter!$A$6:$A$205,0)),"Pers.-Nr. unbekannt",IF(A1289="","Datum fehlt",IF(AND(D1289&lt;&gt;Einstellungen!$C$4,D1289&lt;&gt;Einstellungen!$C$5),"Objekt fehlt",IF(YEAR(A1289)&lt;&gt;Einstellungen!$C$3,"anderes Jahr",IF(A1289&lt;INDEX(Mitarbeiter!$C$6:$C$205,MATCH(B1289,Mitarbeiter!$A$6:$A$205,0)),"vor Eintritt",IF(AND(INDEX(Mitarbeiter!$D$6:$D$205,MATCH(B1289,Mitarbeiter!$A$6:$A$205,0))&lt;&gt;"",A1289&gt;INDEX(Mitarbeiter!$D$6:$D$205,MATCH(B1289,Mitarbeiter!$A$6:$A$205,0))),"nach Austritt","ok")))))))</f>
        <v/>
      </c>
    </row>
    <row r="1290">
      <c r="A1290" s="26" t="n"/>
      <c r="B1290" s="24" t="n"/>
      <c r="C1290" s="40">
        <f>IF(B1290="","",IFERROR(INDEX(Mitarbeiter!$B$6:$B$205,MATCH(B1290,Mitarbeiter!$A$6:$A$205,0)),"?"))</f>
        <v/>
      </c>
      <c r="D1290" s="41" t="n"/>
      <c r="E1290" s="42" t="n"/>
      <c r="F1290" s="43" t="n"/>
      <c r="G1290" s="44">
        <f>IF(OR(B1290="",F1290=""),"",IFERROR(F1290*INDEX(Mitarbeiter!$F$6:$F$205,MATCH(B1290,Mitarbeiter!$A$6:$A$205,0)),0))</f>
        <v/>
      </c>
      <c r="H1290" s="8">
        <f>IF(B1290="","",IF(ISNA(MATCH(B1290,Mitarbeiter!$A$6:$A$205,0)),"Pers.-Nr. unbekannt",IF(A1290="","Datum fehlt",IF(AND(D1290&lt;&gt;Einstellungen!$C$4,D1290&lt;&gt;Einstellungen!$C$5),"Objekt fehlt",IF(YEAR(A1290)&lt;&gt;Einstellungen!$C$3,"anderes Jahr",IF(A1290&lt;INDEX(Mitarbeiter!$C$6:$C$205,MATCH(B1290,Mitarbeiter!$A$6:$A$205,0)),"vor Eintritt",IF(AND(INDEX(Mitarbeiter!$D$6:$D$205,MATCH(B1290,Mitarbeiter!$A$6:$A$205,0))&lt;&gt;"",A1290&gt;INDEX(Mitarbeiter!$D$6:$D$205,MATCH(B1290,Mitarbeiter!$A$6:$A$205,0))),"nach Austritt","ok")))))))</f>
        <v/>
      </c>
    </row>
    <row r="1291">
      <c r="A1291" s="26" t="n"/>
      <c r="B1291" s="24" t="n"/>
      <c r="C1291" s="40">
        <f>IF(B1291="","",IFERROR(INDEX(Mitarbeiter!$B$6:$B$205,MATCH(B1291,Mitarbeiter!$A$6:$A$205,0)),"?"))</f>
        <v/>
      </c>
      <c r="D1291" s="41" t="n"/>
      <c r="E1291" s="42" t="n"/>
      <c r="F1291" s="43" t="n"/>
      <c r="G1291" s="44">
        <f>IF(OR(B1291="",F1291=""),"",IFERROR(F1291*INDEX(Mitarbeiter!$F$6:$F$205,MATCH(B1291,Mitarbeiter!$A$6:$A$205,0)),0))</f>
        <v/>
      </c>
      <c r="H1291" s="8">
        <f>IF(B1291="","",IF(ISNA(MATCH(B1291,Mitarbeiter!$A$6:$A$205,0)),"Pers.-Nr. unbekannt",IF(A1291="","Datum fehlt",IF(AND(D1291&lt;&gt;Einstellungen!$C$4,D1291&lt;&gt;Einstellungen!$C$5),"Objekt fehlt",IF(YEAR(A1291)&lt;&gt;Einstellungen!$C$3,"anderes Jahr",IF(A1291&lt;INDEX(Mitarbeiter!$C$6:$C$205,MATCH(B1291,Mitarbeiter!$A$6:$A$205,0)),"vor Eintritt",IF(AND(INDEX(Mitarbeiter!$D$6:$D$205,MATCH(B1291,Mitarbeiter!$A$6:$A$205,0))&lt;&gt;"",A1291&gt;INDEX(Mitarbeiter!$D$6:$D$205,MATCH(B1291,Mitarbeiter!$A$6:$A$205,0))),"nach Austritt","ok")))))))</f>
        <v/>
      </c>
    </row>
    <row r="1292">
      <c r="A1292" s="26" t="n"/>
      <c r="B1292" s="24" t="n"/>
      <c r="C1292" s="40">
        <f>IF(B1292="","",IFERROR(INDEX(Mitarbeiter!$B$6:$B$205,MATCH(B1292,Mitarbeiter!$A$6:$A$205,0)),"?"))</f>
        <v/>
      </c>
      <c r="D1292" s="41" t="n"/>
      <c r="E1292" s="42" t="n"/>
      <c r="F1292" s="43" t="n"/>
      <c r="G1292" s="44">
        <f>IF(OR(B1292="",F1292=""),"",IFERROR(F1292*INDEX(Mitarbeiter!$F$6:$F$205,MATCH(B1292,Mitarbeiter!$A$6:$A$205,0)),0))</f>
        <v/>
      </c>
      <c r="H1292" s="8">
        <f>IF(B1292="","",IF(ISNA(MATCH(B1292,Mitarbeiter!$A$6:$A$205,0)),"Pers.-Nr. unbekannt",IF(A1292="","Datum fehlt",IF(AND(D1292&lt;&gt;Einstellungen!$C$4,D1292&lt;&gt;Einstellungen!$C$5),"Objekt fehlt",IF(YEAR(A1292)&lt;&gt;Einstellungen!$C$3,"anderes Jahr",IF(A1292&lt;INDEX(Mitarbeiter!$C$6:$C$205,MATCH(B1292,Mitarbeiter!$A$6:$A$205,0)),"vor Eintritt",IF(AND(INDEX(Mitarbeiter!$D$6:$D$205,MATCH(B1292,Mitarbeiter!$A$6:$A$205,0))&lt;&gt;"",A1292&gt;INDEX(Mitarbeiter!$D$6:$D$205,MATCH(B1292,Mitarbeiter!$A$6:$A$205,0))),"nach Austritt","ok")))))))</f>
        <v/>
      </c>
    </row>
    <row r="1293">
      <c r="A1293" s="26" t="n"/>
      <c r="B1293" s="24" t="n"/>
      <c r="C1293" s="40">
        <f>IF(B1293="","",IFERROR(INDEX(Mitarbeiter!$B$6:$B$205,MATCH(B1293,Mitarbeiter!$A$6:$A$205,0)),"?"))</f>
        <v/>
      </c>
      <c r="D1293" s="41" t="n"/>
      <c r="E1293" s="42" t="n"/>
      <c r="F1293" s="43" t="n"/>
      <c r="G1293" s="44">
        <f>IF(OR(B1293="",F1293=""),"",IFERROR(F1293*INDEX(Mitarbeiter!$F$6:$F$205,MATCH(B1293,Mitarbeiter!$A$6:$A$205,0)),0))</f>
        <v/>
      </c>
      <c r="H1293" s="8">
        <f>IF(B1293="","",IF(ISNA(MATCH(B1293,Mitarbeiter!$A$6:$A$205,0)),"Pers.-Nr. unbekannt",IF(A1293="","Datum fehlt",IF(AND(D1293&lt;&gt;Einstellungen!$C$4,D1293&lt;&gt;Einstellungen!$C$5),"Objekt fehlt",IF(YEAR(A1293)&lt;&gt;Einstellungen!$C$3,"anderes Jahr",IF(A1293&lt;INDEX(Mitarbeiter!$C$6:$C$205,MATCH(B1293,Mitarbeiter!$A$6:$A$205,0)),"vor Eintritt",IF(AND(INDEX(Mitarbeiter!$D$6:$D$205,MATCH(B1293,Mitarbeiter!$A$6:$A$205,0))&lt;&gt;"",A1293&gt;INDEX(Mitarbeiter!$D$6:$D$205,MATCH(B1293,Mitarbeiter!$A$6:$A$205,0))),"nach Austritt","ok")))))))</f>
        <v/>
      </c>
    </row>
    <row r="1294">
      <c r="A1294" s="26" t="n"/>
      <c r="B1294" s="24" t="n"/>
      <c r="C1294" s="40">
        <f>IF(B1294="","",IFERROR(INDEX(Mitarbeiter!$B$6:$B$205,MATCH(B1294,Mitarbeiter!$A$6:$A$205,0)),"?"))</f>
        <v/>
      </c>
      <c r="D1294" s="41" t="n"/>
      <c r="E1294" s="42" t="n"/>
      <c r="F1294" s="43" t="n"/>
      <c r="G1294" s="44">
        <f>IF(OR(B1294="",F1294=""),"",IFERROR(F1294*INDEX(Mitarbeiter!$F$6:$F$205,MATCH(B1294,Mitarbeiter!$A$6:$A$205,0)),0))</f>
        <v/>
      </c>
      <c r="H1294" s="8">
        <f>IF(B1294="","",IF(ISNA(MATCH(B1294,Mitarbeiter!$A$6:$A$205,0)),"Pers.-Nr. unbekannt",IF(A1294="","Datum fehlt",IF(AND(D1294&lt;&gt;Einstellungen!$C$4,D1294&lt;&gt;Einstellungen!$C$5),"Objekt fehlt",IF(YEAR(A1294)&lt;&gt;Einstellungen!$C$3,"anderes Jahr",IF(A1294&lt;INDEX(Mitarbeiter!$C$6:$C$205,MATCH(B1294,Mitarbeiter!$A$6:$A$205,0)),"vor Eintritt",IF(AND(INDEX(Mitarbeiter!$D$6:$D$205,MATCH(B1294,Mitarbeiter!$A$6:$A$205,0))&lt;&gt;"",A1294&gt;INDEX(Mitarbeiter!$D$6:$D$205,MATCH(B1294,Mitarbeiter!$A$6:$A$205,0))),"nach Austritt","ok")))))))</f>
        <v/>
      </c>
    </row>
    <row r="1295">
      <c r="A1295" s="26" t="n"/>
      <c r="B1295" s="24" t="n"/>
      <c r="C1295" s="40">
        <f>IF(B1295="","",IFERROR(INDEX(Mitarbeiter!$B$6:$B$205,MATCH(B1295,Mitarbeiter!$A$6:$A$205,0)),"?"))</f>
        <v/>
      </c>
      <c r="D1295" s="41" t="n"/>
      <c r="E1295" s="42" t="n"/>
      <c r="F1295" s="43" t="n"/>
      <c r="G1295" s="44">
        <f>IF(OR(B1295="",F1295=""),"",IFERROR(F1295*INDEX(Mitarbeiter!$F$6:$F$205,MATCH(B1295,Mitarbeiter!$A$6:$A$205,0)),0))</f>
        <v/>
      </c>
      <c r="H1295" s="8">
        <f>IF(B1295="","",IF(ISNA(MATCH(B1295,Mitarbeiter!$A$6:$A$205,0)),"Pers.-Nr. unbekannt",IF(A1295="","Datum fehlt",IF(AND(D1295&lt;&gt;Einstellungen!$C$4,D1295&lt;&gt;Einstellungen!$C$5),"Objekt fehlt",IF(YEAR(A1295)&lt;&gt;Einstellungen!$C$3,"anderes Jahr",IF(A1295&lt;INDEX(Mitarbeiter!$C$6:$C$205,MATCH(B1295,Mitarbeiter!$A$6:$A$205,0)),"vor Eintritt",IF(AND(INDEX(Mitarbeiter!$D$6:$D$205,MATCH(B1295,Mitarbeiter!$A$6:$A$205,0))&lt;&gt;"",A1295&gt;INDEX(Mitarbeiter!$D$6:$D$205,MATCH(B1295,Mitarbeiter!$A$6:$A$205,0))),"nach Austritt","ok")))))))</f>
        <v/>
      </c>
    </row>
    <row r="1296">
      <c r="A1296" s="26" t="n"/>
      <c r="B1296" s="24" t="n"/>
      <c r="C1296" s="40">
        <f>IF(B1296="","",IFERROR(INDEX(Mitarbeiter!$B$6:$B$205,MATCH(B1296,Mitarbeiter!$A$6:$A$205,0)),"?"))</f>
        <v/>
      </c>
      <c r="D1296" s="41" t="n"/>
      <c r="E1296" s="42" t="n"/>
      <c r="F1296" s="43" t="n"/>
      <c r="G1296" s="44">
        <f>IF(OR(B1296="",F1296=""),"",IFERROR(F1296*INDEX(Mitarbeiter!$F$6:$F$205,MATCH(B1296,Mitarbeiter!$A$6:$A$205,0)),0))</f>
        <v/>
      </c>
      <c r="H1296" s="8">
        <f>IF(B1296="","",IF(ISNA(MATCH(B1296,Mitarbeiter!$A$6:$A$205,0)),"Pers.-Nr. unbekannt",IF(A1296="","Datum fehlt",IF(AND(D1296&lt;&gt;Einstellungen!$C$4,D1296&lt;&gt;Einstellungen!$C$5),"Objekt fehlt",IF(YEAR(A1296)&lt;&gt;Einstellungen!$C$3,"anderes Jahr",IF(A1296&lt;INDEX(Mitarbeiter!$C$6:$C$205,MATCH(B1296,Mitarbeiter!$A$6:$A$205,0)),"vor Eintritt",IF(AND(INDEX(Mitarbeiter!$D$6:$D$205,MATCH(B1296,Mitarbeiter!$A$6:$A$205,0))&lt;&gt;"",A1296&gt;INDEX(Mitarbeiter!$D$6:$D$205,MATCH(B1296,Mitarbeiter!$A$6:$A$205,0))),"nach Austritt","ok")))))))</f>
        <v/>
      </c>
    </row>
    <row r="1297">
      <c r="A1297" s="26" t="n"/>
      <c r="B1297" s="24" t="n"/>
      <c r="C1297" s="40">
        <f>IF(B1297="","",IFERROR(INDEX(Mitarbeiter!$B$6:$B$205,MATCH(B1297,Mitarbeiter!$A$6:$A$205,0)),"?"))</f>
        <v/>
      </c>
      <c r="D1297" s="41" t="n"/>
      <c r="E1297" s="42" t="n"/>
      <c r="F1297" s="43" t="n"/>
      <c r="G1297" s="44">
        <f>IF(OR(B1297="",F1297=""),"",IFERROR(F1297*INDEX(Mitarbeiter!$F$6:$F$205,MATCH(B1297,Mitarbeiter!$A$6:$A$205,0)),0))</f>
        <v/>
      </c>
      <c r="H1297" s="8">
        <f>IF(B1297="","",IF(ISNA(MATCH(B1297,Mitarbeiter!$A$6:$A$205,0)),"Pers.-Nr. unbekannt",IF(A1297="","Datum fehlt",IF(AND(D1297&lt;&gt;Einstellungen!$C$4,D1297&lt;&gt;Einstellungen!$C$5),"Objekt fehlt",IF(YEAR(A1297)&lt;&gt;Einstellungen!$C$3,"anderes Jahr",IF(A1297&lt;INDEX(Mitarbeiter!$C$6:$C$205,MATCH(B1297,Mitarbeiter!$A$6:$A$205,0)),"vor Eintritt",IF(AND(INDEX(Mitarbeiter!$D$6:$D$205,MATCH(B1297,Mitarbeiter!$A$6:$A$205,0))&lt;&gt;"",A1297&gt;INDEX(Mitarbeiter!$D$6:$D$205,MATCH(B1297,Mitarbeiter!$A$6:$A$205,0))),"nach Austritt","ok")))))))</f>
        <v/>
      </c>
    </row>
    <row r="1298">
      <c r="A1298" s="26" t="n"/>
      <c r="B1298" s="24" t="n"/>
      <c r="C1298" s="40">
        <f>IF(B1298="","",IFERROR(INDEX(Mitarbeiter!$B$6:$B$205,MATCH(B1298,Mitarbeiter!$A$6:$A$205,0)),"?"))</f>
        <v/>
      </c>
      <c r="D1298" s="41" t="n"/>
      <c r="E1298" s="42" t="n"/>
      <c r="F1298" s="43" t="n"/>
      <c r="G1298" s="44">
        <f>IF(OR(B1298="",F1298=""),"",IFERROR(F1298*INDEX(Mitarbeiter!$F$6:$F$205,MATCH(B1298,Mitarbeiter!$A$6:$A$205,0)),0))</f>
        <v/>
      </c>
      <c r="H1298" s="8">
        <f>IF(B1298="","",IF(ISNA(MATCH(B1298,Mitarbeiter!$A$6:$A$205,0)),"Pers.-Nr. unbekannt",IF(A1298="","Datum fehlt",IF(AND(D1298&lt;&gt;Einstellungen!$C$4,D1298&lt;&gt;Einstellungen!$C$5),"Objekt fehlt",IF(YEAR(A1298)&lt;&gt;Einstellungen!$C$3,"anderes Jahr",IF(A1298&lt;INDEX(Mitarbeiter!$C$6:$C$205,MATCH(B1298,Mitarbeiter!$A$6:$A$205,0)),"vor Eintritt",IF(AND(INDEX(Mitarbeiter!$D$6:$D$205,MATCH(B1298,Mitarbeiter!$A$6:$A$205,0))&lt;&gt;"",A1298&gt;INDEX(Mitarbeiter!$D$6:$D$205,MATCH(B1298,Mitarbeiter!$A$6:$A$205,0))),"nach Austritt","ok")))))))</f>
        <v/>
      </c>
    </row>
    <row r="1299">
      <c r="A1299" s="26" t="n"/>
      <c r="B1299" s="24" t="n"/>
      <c r="C1299" s="40">
        <f>IF(B1299="","",IFERROR(INDEX(Mitarbeiter!$B$6:$B$205,MATCH(B1299,Mitarbeiter!$A$6:$A$205,0)),"?"))</f>
        <v/>
      </c>
      <c r="D1299" s="41" t="n"/>
      <c r="E1299" s="42" t="n"/>
      <c r="F1299" s="43" t="n"/>
      <c r="G1299" s="44">
        <f>IF(OR(B1299="",F1299=""),"",IFERROR(F1299*INDEX(Mitarbeiter!$F$6:$F$205,MATCH(B1299,Mitarbeiter!$A$6:$A$205,0)),0))</f>
        <v/>
      </c>
      <c r="H1299" s="8">
        <f>IF(B1299="","",IF(ISNA(MATCH(B1299,Mitarbeiter!$A$6:$A$205,0)),"Pers.-Nr. unbekannt",IF(A1299="","Datum fehlt",IF(AND(D1299&lt;&gt;Einstellungen!$C$4,D1299&lt;&gt;Einstellungen!$C$5),"Objekt fehlt",IF(YEAR(A1299)&lt;&gt;Einstellungen!$C$3,"anderes Jahr",IF(A1299&lt;INDEX(Mitarbeiter!$C$6:$C$205,MATCH(B1299,Mitarbeiter!$A$6:$A$205,0)),"vor Eintritt",IF(AND(INDEX(Mitarbeiter!$D$6:$D$205,MATCH(B1299,Mitarbeiter!$A$6:$A$205,0))&lt;&gt;"",A1299&gt;INDEX(Mitarbeiter!$D$6:$D$205,MATCH(B1299,Mitarbeiter!$A$6:$A$205,0))),"nach Austritt","ok")))))))</f>
        <v/>
      </c>
    </row>
    <row r="1300">
      <c r="A1300" s="26" t="n"/>
      <c r="B1300" s="24" t="n"/>
      <c r="C1300" s="40">
        <f>IF(B1300="","",IFERROR(INDEX(Mitarbeiter!$B$6:$B$205,MATCH(B1300,Mitarbeiter!$A$6:$A$205,0)),"?"))</f>
        <v/>
      </c>
      <c r="D1300" s="41" t="n"/>
      <c r="E1300" s="42" t="n"/>
      <c r="F1300" s="43" t="n"/>
      <c r="G1300" s="44">
        <f>IF(OR(B1300="",F1300=""),"",IFERROR(F1300*INDEX(Mitarbeiter!$F$6:$F$205,MATCH(B1300,Mitarbeiter!$A$6:$A$205,0)),0))</f>
        <v/>
      </c>
      <c r="H1300" s="8">
        <f>IF(B1300="","",IF(ISNA(MATCH(B1300,Mitarbeiter!$A$6:$A$205,0)),"Pers.-Nr. unbekannt",IF(A1300="","Datum fehlt",IF(AND(D1300&lt;&gt;Einstellungen!$C$4,D1300&lt;&gt;Einstellungen!$C$5),"Objekt fehlt",IF(YEAR(A1300)&lt;&gt;Einstellungen!$C$3,"anderes Jahr",IF(A1300&lt;INDEX(Mitarbeiter!$C$6:$C$205,MATCH(B1300,Mitarbeiter!$A$6:$A$205,0)),"vor Eintritt",IF(AND(INDEX(Mitarbeiter!$D$6:$D$205,MATCH(B1300,Mitarbeiter!$A$6:$A$205,0))&lt;&gt;"",A1300&gt;INDEX(Mitarbeiter!$D$6:$D$205,MATCH(B1300,Mitarbeiter!$A$6:$A$205,0))),"nach Austritt","ok")))))))</f>
        <v/>
      </c>
    </row>
    <row r="1301">
      <c r="A1301" s="26" t="n"/>
      <c r="B1301" s="24" t="n"/>
      <c r="C1301" s="40">
        <f>IF(B1301="","",IFERROR(INDEX(Mitarbeiter!$B$6:$B$205,MATCH(B1301,Mitarbeiter!$A$6:$A$205,0)),"?"))</f>
        <v/>
      </c>
      <c r="D1301" s="41" t="n"/>
      <c r="E1301" s="42" t="n"/>
      <c r="F1301" s="43" t="n"/>
      <c r="G1301" s="44">
        <f>IF(OR(B1301="",F1301=""),"",IFERROR(F1301*INDEX(Mitarbeiter!$F$6:$F$205,MATCH(B1301,Mitarbeiter!$A$6:$A$205,0)),0))</f>
        <v/>
      </c>
      <c r="H1301" s="8">
        <f>IF(B1301="","",IF(ISNA(MATCH(B1301,Mitarbeiter!$A$6:$A$205,0)),"Pers.-Nr. unbekannt",IF(A1301="","Datum fehlt",IF(AND(D1301&lt;&gt;Einstellungen!$C$4,D1301&lt;&gt;Einstellungen!$C$5),"Objekt fehlt",IF(YEAR(A1301)&lt;&gt;Einstellungen!$C$3,"anderes Jahr",IF(A1301&lt;INDEX(Mitarbeiter!$C$6:$C$205,MATCH(B1301,Mitarbeiter!$A$6:$A$205,0)),"vor Eintritt",IF(AND(INDEX(Mitarbeiter!$D$6:$D$205,MATCH(B1301,Mitarbeiter!$A$6:$A$205,0))&lt;&gt;"",A1301&gt;INDEX(Mitarbeiter!$D$6:$D$205,MATCH(B1301,Mitarbeiter!$A$6:$A$205,0))),"nach Austritt","ok")))))))</f>
        <v/>
      </c>
    </row>
    <row r="1302">
      <c r="A1302" s="26" t="n"/>
      <c r="B1302" s="24" t="n"/>
      <c r="C1302" s="40">
        <f>IF(B1302="","",IFERROR(INDEX(Mitarbeiter!$B$6:$B$205,MATCH(B1302,Mitarbeiter!$A$6:$A$205,0)),"?"))</f>
        <v/>
      </c>
      <c r="D1302" s="41" t="n"/>
      <c r="E1302" s="42" t="n"/>
      <c r="F1302" s="43" t="n"/>
      <c r="G1302" s="44">
        <f>IF(OR(B1302="",F1302=""),"",IFERROR(F1302*INDEX(Mitarbeiter!$F$6:$F$205,MATCH(B1302,Mitarbeiter!$A$6:$A$205,0)),0))</f>
        <v/>
      </c>
      <c r="H1302" s="8">
        <f>IF(B1302="","",IF(ISNA(MATCH(B1302,Mitarbeiter!$A$6:$A$205,0)),"Pers.-Nr. unbekannt",IF(A1302="","Datum fehlt",IF(AND(D1302&lt;&gt;Einstellungen!$C$4,D1302&lt;&gt;Einstellungen!$C$5),"Objekt fehlt",IF(YEAR(A1302)&lt;&gt;Einstellungen!$C$3,"anderes Jahr",IF(A1302&lt;INDEX(Mitarbeiter!$C$6:$C$205,MATCH(B1302,Mitarbeiter!$A$6:$A$205,0)),"vor Eintritt",IF(AND(INDEX(Mitarbeiter!$D$6:$D$205,MATCH(B1302,Mitarbeiter!$A$6:$A$205,0))&lt;&gt;"",A1302&gt;INDEX(Mitarbeiter!$D$6:$D$205,MATCH(B1302,Mitarbeiter!$A$6:$A$205,0))),"nach Austritt","ok")))))))</f>
        <v/>
      </c>
    </row>
    <row r="1303">
      <c r="A1303" s="26" t="n"/>
      <c r="B1303" s="24" t="n"/>
      <c r="C1303" s="40">
        <f>IF(B1303="","",IFERROR(INDEX(Mitarbeiter!$B$6:$B$205,MATCH(B1303,Mitarbeiter!$A$6:$A$205,0)),"?"))</f>
        <v/>
      </c>
      <c r="D1303" s="41" t="n"/>
      <c r="E1303" s="42" t="n"/>
      <c r="F1303" s="43" t="n"/>
      <c r="G1303" s="44">
        <f>IF(OR(B1303="",F1303=""),"",IFERROR(F1303*INDEX(Mitarbeiter!$F$6:$F$205,MATCH(B1303,Mitarbeiter!$A$6:$A$205,0)),0))</f>
        <v/>
      </c>
      <c r="H1303" s="8">
        <f>IF(B1303="","",IF(ISNA(MATCH(B1303,Mitarbeiter!$A$6:$A$205,0)),"Pers.-Nr. unbekannt",IF(A1303="","Datum fehlt",IF(AND(D1303&lt;&gt;Einstellungen!$C$4,D1303&lt;&gt;Einstellungen!$C$5),"Objekt fehlt",IF(YEAR(A1303)&lt;&gt;Einstellungen!$C$3,"anderes Jahr",IF(A1303&lt;INDEX(Mitarbeiter!$C$6:$C$205,MATCH(B1303,Mitarbeiter!$A$6:$A$205,0)),"vor Eintritt",IF(AND(INDEX(Mitarbeiter!$D$6:$D$205,MATCH(B1303,Mitarbeiter!$A$6:$A$205,0))&lt;&gt;"",A1303&gt;INDEX(Mitarbeiter!$D$6:$D$205,MATCH(B1303,Mitarbeiter!$A$6:$A$205,0))),"nach Austritt","ok")))))))</f>
        <v/>
      </c>
    </row>
    <row r="1304">
      <c r="A1304" s="26" t="n"/>
      <c r="B1304" s="24" t="n"/>
      <c r="C1304" s="40">
        <f>IF(B1304="","",IFERROR(INDEX(Mitarbeiter!$B$6:$B$205,MATCH(B1304,Mitarbeiter!$A$6:$A$205,0)),"?"))</f>
        <v/>
      </c>
      <c r="D1304" s="41" t="n"/>
      <c r="E1304" s="42" t="n"/>
      <c r="F1304" s="43" t="n"/>
      <c r="G1304" s="44">
        <f>IF(OR(B1304="",F1304=""),"",IFERROR(F1304*INDEX(Mitarbeiter!$F$6:$F$205,MATCH(B1304,Mitarbeiter!$A$6:$A$205,0)),0))</f>
        <v/>
      </c>
      <c r="H1304" s="8">
        <f>IF(B1304="","",IF(ISNA(MATCH(B1304,Mitarbeiter!$A$6:$A$205,0)),"Pers.-Nr. unbekannt",IF(A1304="","Datum fehlt",IF(AND(D1304&lt;&gt;Einstellungen!$C$4,D1304&lt;&gt;Einstellungen!$C$5),"Objekt fehlt",IF(YEAR(A1304)&lt;&gt;Einstellungen!$C$3,"anderes Jahr",IF(A1304&lt;INDEX(Mitarbeiter!$C$6:$C$205,MATCH(B1304,Mitarbeiter!$A$6:$A$205,0)),"vor Eintritt",IF(AND(INDEX(Mitarbeiter!$D$6:$D$205,MATCH(B1304,Mitarbeiter!$A$6:$A$205,0))&lt;&gt;"",A1304&gt;INDEX(Mitarbeiter!$D$6:$D$205,MATCH(B1304,Mitarbeiter!$A$6:$A$205,0))),"nach Austritt","ok")))))))</f>
        <v/>
      </c>
    </row>
    <row r="1305">
      <c r="A1305" s="26" t="n"/>
      <c r="B1305" s="24" t="n"/>
      <c r="C1305" s="40">
        <f>IF(B1305="","",IFERROR(INDEX(Mitarbeiter!$B$6:$B$205,MATCH(B1305,Mitarbeiter!$A$6:$A$205,0)),"?"))</f>
        <v/>
      </c>
      <c r="D1305" s="41" t="n"/>
      <c r="E1305" s="42" t="n"/>
      <c r="F1305" s="43" t="n"/>
      <c r="G1305" s="44">
        <f>IF(OR(B1305="",F1305=""),"",IFERROR(F1305*INDEX(Mitarbeiter!$F$6:$F$205,MATCH(B1305,Mitarbeiter!$A$6:$A$205,0)),0))</f>
        <v/>
      </c>
      <c r="H1305" s="8">
        <f>IF(B1305="","",IF(ISNA(MATCH(B1305,Mitarbeiter!$A$6:$A$205,0)),"Pers.-Nr. unbekannt",IF(A1305="","Datum fehlt",IF(AND(D1305&lt;&gt;Einstellungen!$C$4,D1305&lt;&gt;Einstellungen!$C$5),"Objekt fehlt",IF(YEAR(A1305)&lt;&gt;Einstellungen!$C$3,"anderes Jahr",IF(A1305&lt;INDEX(Mitarbeiter!$C$6:$C$205,MATCH(B1305,Mitarbeiter!$A$6:$A$205,0)),"vor Eintritt",IF(AND(INDEX(Mitarbeiter!$D$6:$D$205,MATCH(B1305,Mitarbeiter!$A$6:$A$205,0))&lt;&gt;"",A1305&gt;INDEX(Mitarbeiter!$D$6:$D$205,MATCH(B1305,Mitarbeiter!$A$6:$A$205,0))),"nach Austritt","ok")))))))</f>
        <v/>
      </c>
    </row>
    <row r="1306">
      <c r="A1306" s="26" t="n"/>
      <c r="B1306" s="24" t="n"/>
      <c r="C1306" s="40">
        <f>IF(B1306="","",IFERROR(INDEX(Mitarbeiter!$B$6:$B$205,MATCH(B1306,Mitarbeiter!$A$6:$A$205,0)),"?"))</f>
        <v/>
      </c>
      <c r="D1306" s="41" t="n"/>
      <c r="E1306" s="42" t="n"/>
      <c r="F1306" s="43" t="n"/>
      <c r="G1306" s="44">
        <f>IF(OR(B1306="",F1306=""),"",IFERROR(F1306*INDEX(Mitarbeiter!$F$6:$F$205,MATCH(B1306,Mitarbeiter!$A$6:$A$205,0)),0))</f>
        <v/>
      </c>
      <c r="H1306" s="8">
        <f>IF(B1306="","",IF(ISNA(MATCH(B1306,Mitarbeiter!$A$6:$A$205,0)),"Pers.-Nr. unbekannt",IF(A1306="","Datum fehlt",IF(AND(D1306&lt;&gt;Einstellungen!$C$4,D1306&lt;&gt;Einstellungen!$C$5),"Objekt fehlt",IF(YEAR(A1306)&lt;&gt;Einstellungen!$C$3,"anderes Jahr",IF(A1306&lt;INDEX(Mitarbeiter!$C$6:$C$205,MATCH(B1306,Mitarbeiter!$A$6:$A$205,0)),"vor Eintritt",IF(AND(INDEX(Mitarbeiter!$D$6:$D$205,MATCH(B1306,Mitarbeiter!$A$6:$A$205,0))&lt;&gt;"",A1306&gt;INDEX(Mitarbeiter!$D$6:$D$205,MATCH(B1306,Mitarbeiter!$A$6:$A$205,0))),"nach Austritt","ok")))))))</f>
        <v/>
      </c>
    </row>
    <row r="1307">
      <c r="A1307" s="26" t="n"/>
      <c r="B1307" s="24" t="n"/>
      <c r="C1307" s="40">
        <f>IF(B1307="","",IFERROR(INDEX(Mitarbeiter!$B$6:$B$205,MATCH(B1307,Mitarbeiter!$A$6:$A$205,0)),"?"))</f>
        <v/>
      </c>
      <c r="D1307" s="41" t="n"/>
      <c r="E1307" s="42" t="n"/>
      <c r="F1307" s="43" t="n"/>
      <c r="G1307" s="44">
        <f>IF(OR(B1307="",F1307=""),"",IFERROR(F1307*INDEX(Mitarbeiter!$F$6:$F$205,MATCH(B1307,Mitarbeiter!$A$6:$A$205,0)),0))</f>
        <v/>
      </c>
      <c r="H1307" s="8">
        <f>IF(B1307="","",IF(ISNA(MATCH(B1307,Mitarbeiter!$A$6:$A$205,0)),"Pers.-Nr. unbekannt",IF(A1307="","Datum fehlt",IF(AND(D1307&lt;&gt;Einstellungen!$C$4,D1307&lt;&gt;Einstellungen!$C$5),"Objekt fehlt",IF(YEAR(A1307)&lt;&gt;Einstellungen!$C$3,"anderes Jahr",IF(A1307&lt;INDEX(Mitarbeiter!$C$6:$C$205,MATCH(B1307,Mitarbeiter!$A$6:$A$205,0)),"vor Eintritt",IF(AND(INDEX(Mitarbeiter!$D$6:$D$205,MATCH(B1307,Mitarbeiter!$A$6:$A$205,0))&lt;&gt;"",A1307&gt;INDEX(Mitarbeiter!$D$6:$D$205,MATCH(B1307,Mitarbeiter!$A$6:$A$205,0))),"nach Austritt","ok")))))))</f>
        <v/>
      </c>
    </row>
    <row r="1308">
      <c r="A1308" s="26" t="n"/>
      <c r="B1308" s="24" t="n"/>
      <c r="C1308" s="40">
        <f>IF(B1308="","",IFERROR(INDEX(Mitarbeiter!$B$6:$B$205,MATCH(B1308,Mitarbeiter!$A$6:$A$205,0)),"?"))</f>
        <v/>
      </c>
      <c r="D1308" s="41" t="n"/>
      <c r="E1308" s="42" t="n"/>
      <c r="F1308" s="43" t="n"/>
      <c r="G1308" s="44">
        <f>IF(OR(B1308="",F1308=""),"",IFERROR(F1308*INDEX(Mitarbeiter!$F$6:$F$205,MATCH(B1308,Mitarbeiter!$A$6:$A$205,0)),0))</f>
        <v/>
      </c>
      <c r="H1308" s="8">
        <f>IF(B1308="","",IF(ISNA(MATCH(B1308,Mitarbeiter!$A$6:$A$205,0)),"Pers.-Nr. unbekannt",IF(A1308="","Datum fehlt",IF(AND(D1308&lt;&gt;Einstellungen!$C$4,D1308&lt;&gt;Einstellungen!$C$5),"Objekt fehlt",IF(YEAR(A1308)&lt;&gt;Einstellungen!$C$3,"anderes Jahr",IF(A1308&lt;INDEX(Mitarbeiter!$C$6:$C$205,MATCH(B1308,Mitarbeiter!$A$6:$A$205,0)),"vor Eintritt",IF(AND(INDEX(Mitarbeiter!$D$6:$D$205,MATCH(B1308,Mitarbeiter!$A$6:$A$205,0))&lt;&gt;"",A1308&gt;INDEX(Mitarbeiter!$D$6:$D$205,MATCH(B1308,Mitarbeiter!$A$6:$A$205,0))),"nach Austritt","ok")))))))</f>
        <v/>
      </c>
    </row>
    <row r="1309">
      <c r="A1309" s="26" t="n"/>
      <c r="B1309" s="24" t="n"/>
      <c r="C1309" s="40">
        <f>IF(B1309="","",IFERROR(INDEX(Mitarbeiter!$B$6:$B$205,MATCH(B1309,Mitarbeiter!$A$6:$A$205,0)),"?"))</f>
        <v/>
      </c>
      <c r="D1309" s="41" t="n"/>
      <c r="E1309" s="42" t="n"/>
      <c r="F1309" s="43" t="n"/>
      <c r="G1309" s="44">
        <f>IF(OR(B1309="",F1309=""),"",IFERROR(F1309*INDEX(Mitarbeiter!$F$6:$F$205,MATCH(B1309,Mitarbeiter!$A$6:$A$205,0)),0))</f>
        <v/>
      </c>
      <c r="H1309" s="8">
        <f>IF(B1309="","",IF(ISNA(MATCH(B1309,Mitarbeiter!$A$6:$A$205,0)),"Pers.-Nr. unbekannt",IF(A1309="","Datum fehlt",IF(AND(D1309&lt;&gt;Einstellungen!$C$4,D1309&lt;&gt;Einstellungen!$C$5),"Objekt fehlt",IF(YEAR(A1309)&lt;&gt;Einstellungen!$C$3,"anderes Jahr",IF(A1309&lt;INDEX(Mitarbeiter!$C$6:$C$205,MATCH(B1309,Mitarbeiter!$A$6:$A$205,0)),"vor Eintritt",IF(AND(INDEX(Mitarbeiter!$D$6:$D$205,MATCH(B1309,Mitarbeiter!$A$6:$A$205,0))&lt;&gt;"",A1309&gt;INDEX(Mitarbeiter!$D$6:$D$205,MATCH(B1309,Mitarbeiter!$A$6:$A$205,0))),"nach Austritt","ok")))))))</f>
        <v/>
      </c>
    </row>
    <row r="1310">
      <c r="A1310" s="26" t="n"/>
      <c r="B1310" s="24" t="n"/>
      <c r="C1310" s="40">
        <f>IF(B1310="","",IFERROR(INDEX(Mitarbeiter!$B$6:$B$205,MATCH(B1310,Mitarbeiter!$A$6:$A$205,0)),"?"))</f>
        <v/>
      </c>
      <c r="D1310" s="41" t="n"/>
      <c r="E1310" s="42" t="n"/>
      <c r="F1310" s="43" t="n"/>
      <c r="G1310" s="44">
        <f>IF(OR(B1310="",F1310=""),"",IFERROR(F1310*INDEX(Mitarbeiter!$F$6:$F$205,MATCH(B1310,Mitarbeiter!$A$6:$A$205,0)),0))</f>
        <v/>
      </c>
      <c r="H1310" s="8">
        <f>IF(B1310="","",IF(ISNA(MATCH(B1310,Mitarbeiter!$A$6:$A$205,0)),"Pers.-Nr. unbekannt",IF(A1310="","Datum fehlt",IF(AND(D1310&lt;&gt;Einstellungen!$C$4,D1310&lt;&gt;Einstellungen!$C$5),"Objekt fehlt",IF(YEAR(A1310)&lt;&gt;Einstellungen!$C$3,"anderes Jahr",IF(A1310&lt;INDEX(Mitarbeiter!$C$6:$C$205,MATCH(B1310,Mitarbeiter!$A$6:$A$205,0)),"vor Eintritt",IF(AND(INDEX(Mitarbeiter!$D$6:$D$205,MATCH(B1310,Mitarbeiter!$A$6:$A$205,0))&lt;&gt;"",A1310&gt;INDEX(Mitarbeiter!$D$6:$D$205,MATCH(B1310,Mitarbeiter!$A$6:$A$205,0))),"nach Austritt","ok")))))))</f>
        <v/>
      </c>
    </row>
    <row r="1311">
      <c r="A1311" s="26" t="n"/>
      <c r="B1311" s="24" t="n"/>
      <c r="C1311" s="40">
        <f>IF(B1311="","",IFERROR(INDEX(Mitarbeiter!$B$6:$B$205,MATCH(B1311,Mitarbeiter!$A$6:$A$205,0)),"?"))</f>
        <v/>
      </c>
      <c r="D1311" s="41" t="n"/>
      <c r="E1311" s="42" t="n"/>
      <c r="F1311" s="43" t="n"/>
      <c r="G1311" s="44">
        <f>IF(OR(B1311="",F1311=""),"",IFERROR(F1311*INDEX(Mitarbeiter!$F$6:$F$205,MATCH(B1311,Mitarbeiter!$A$6:$A$205,0)),0))</f>
        <v/>
      </c>
      <c r="H1311" s="8">
        <f>IF(B1311="","",IF(ISNA(MATCH(B1311,Mitarbeiter!$A$6:$A$205,0)),"Pers.-Nr. unbekannt",IF(A1311="","Datum fehlt",IF(AND(D1311&lt;&gt;Einstellungen!$C$4,D1311&lt;&gt;Einstellungen!$C$5),"Objekt fehlt",IF(YEAR(A1311)&lt;&gt;Einstellungen!$C$3,"anderes Jahr",IF(A1311&lt;INDEX(Mitarbeiter!$C$6:$C$205,MATCH(B1311,Mitarbeiter!$A$6:$A$205,0)),"vor Eintritt",IF(AND(INDEX(Mitarbeiter!$D$6:$D$205,MATCH(B1311,Mitarbeiter!$A$6:$A$205,0))&lt;&gt;"",A1311&gt;INDEX(Mitarbeiter!$D$6:$D$205,MATCH(B1311,Mitarbeiter!$A$6:$A$205,0))),"nach Austritt","ok")))))))</f>
        <v/>
      </c>
    </row>
    <row r="1312">
      <c r="A1312" s="26" t="n"/>
      <c r="B1312" s="24" t="n"/>
      <c r="C1312" s="40">
        <f>IF(B1312="","",IFERROR(INDEX(Mitarbeiter!$B$6:$B$205,MATCH(B1312,Mitarbeiter!$A$6:$A$205,0)),"?"))</f>
        <v/>
      </c>
      <c r="D1312" s="41" t="n"/>
      <c r="E1312" s="42" t="n"/>
      <c r="F1312" s="43" t="n"/>
      <c r="G1312" s="44">
        <f>IF(OR(B1312="",F1312=""),"",IFERROR(F1312*INDEX(Mitarbeiter!$F$6:$F$205,MATCH(B1312,Mitarbeiter!$A$6:$A$205,0)),0))</f>
        <v/>
      </c>
      <c r="H1312" s="8">
        <f>IF(B1312="","",IF(ISNA(MATCH(B1312,Mitarbeiter!$A$6:$A$205,0)),"Pers.-Nr. unbekannt",IF(A1312="","Datum fehlt",IF(AND(D1312&lt;&gt;Einstellungen!$C$4,D1312&lt;&gt;Einstellungen!$C$5),"Objekt fehlt",IF(YEAR(A1312)&lt;&gt;Einstellungen!$C$3,"anderes Jahr",IF(A1312&lt;INDEX(Mitarbeiter!$C$6:$C$205,MATCH(B1312,Mitarbeiter!$A$6:$A$205,0)),"vor Eintritt",IF(AND(INDEX(Mitarbeiter!$D$6:$D$205,MATCH(B1312,Mitarbeiter!$A$6:$A$205,0))&lt;&gt;"",A1312&gt;INDEX(Mitarbeiter!$D$6:$D$205,MATCH(B1312,Mitarbeiter!$A$6:$A$205,0))),"nach Austritt","ok")))))))</f>
        <v/>
      </c>
    </row>
    <row r="1313">
      <c r="A1313" s="26" t="n"/>
      <c r="B1313" s="24" t="n"/>
      <c r="C1313" s="40">
        <f>IF(B1313="","",IFERROR(INDEX(Mitarbeiter!$B$6:$B$205,MATCH(B1313,Mitarbeiter!$A$6:$A$205,0)),"?"))</f>
        <v/>
      </c>
      <c r="D1313" s="41" t="n"/>
      <c r="E1313" s="42" t="n"/>
      <c r="F1313" s="43" t="n"/>
      <c r="G1313" s="44">
        <f>IF(OR(B1313="",F1313=""),"",IFERROR(F1313*INDEX(Mitarbeiter!$F$6:$F$205,MATCH(B1313,Mitarbeiter!$A$6:$A$205,0)),0))</f>
        <v/>
      </c>
      <c r="H1313" s="8">
        <f>IF(B1313="","",IF(ISNA(MATCH(B1313,Mitarbeiter!$A$6:$A$205,0)),"Pers.-Nr. unbekannt",IF(A1313="","Datum fehlt",IF(AND(D1313&lt;&gt;Einstellungen!$C$4,D1313&lt;&gt;Einstellungen!$C$5),"Objekt fehlt",IF(YEAR(A1313)&lt;&gt;Einstellungen!$C$3,"anderes Jahr",IF(A1313&lt;INDEX(Mitarbeiter!$C$6:$C$205,MATCH(B1313,Mitarbeiter!$A$6:$A$205,0)),"vor Eintritt",IF(AND(INDEX(Mitarbeiter!$D$6:$D$205,MATCH(B1313,Mitarbeiter!$A$6:$A$205,0))&lt;&gt;"",A1313&gt;INDEX(Mitarbeiter!$D$6:$D$205,MATCH(B1313,Mitarbeiter!$A$6:$A$205,0))),"nach Austritt","ok")))))))</f>
        <v/>
      </c>
    </row>
    <row r="1314">
      <c r="A1314" s="26" t="n"/>
      <c r="B1314" s="24" t="n"/>
      <c r="C1314" s="40">
        <f>IF(B1314="","",IFERROR(INDEX(Mitarbeiter!$B$6:$B$205,MATCH(B1314,Mitarbeiter!$A$6:$A$205,0)),"?"))</f>
        <v/>
      </c>
      <c r="D1314" s="41" t="n"/>
      <c r="E1314" s="42" t="n"/>
      <c r="F1314" s="43" t="n"/>
      <c r="G1314" s="44">
        <f>IF(OR(B1314="",F1314=""),"",IFERROR(F1314*INDEX(Mitarbeiter!$F$6:$F$205,MATCH(B1314,Mitarbeiter!$A$6:$A$205,0)),0))</f>
        <v/>
      </c>
      <c r="H1314" s="8">
        <f>IF(B1314="","",IF(ISNA(MATCH(B1314,Mitarbeiter!$A$6:$A$205,0)),"Pers.-Nr. unbekannt",IF(A1314="","Datum fehlt",IF(AND(D1314&lt;&gt;Einstellungen!$C$4,D1314&lt;&gt;Einstellungen!$C$5),"Objekt fehlt",IF(YEAR(A1314)&lt;&gt;Einstellungen!$C$3,"anderes Jahr",IF(A1314&lt;INDEX(Mitarbeiter!$C$6:$C$205,MATCH(B1314,Mitarbeiter!$A$6:$A$205,0)),"vor Eintritt",IF(AND(INDEX(Mitarbeiter!$D$6:$D$205,MATCH(B1314,Mitarbeiter!$A$6:$A$205,0))&lt;&gt;"",A1314&gt;INDEX(Mitarbeiter!$D$6:$D$205,MATCH(B1314,Mitarbeiter!$A$6:$A$205,0))),"nach Austritt","ok")))))))</f>
        <v/>
      </c>
    </row>
    <row r="1315">
      <c r="A1315" s="26" t="n"/>
      <c r="B1315" s="24" t="n"/>
      <c r="C1315" s="40">
        <f>IF(B1315="","",IFERROR(INDEX(Mitarbeiter!$B$6:$B$205,MATCH(B1315,Mitarbeiter!$A$6:$A$205,0)),"?"))</f>
        <v/>
      </c>
      <c r="D1315" s="41" t="n"/>
      <c r="E1315" s="42" t="n"/>
      <c r="F1315" s="43" t="n"/>
      <c r="G1315" s="44">
        <f>IF(OR(B1315="",F1315=""),"",IFERROR(F1315*INDEX(Mitarbeiter!$F$6:$F$205,MATCH(B1315,Mitarbeiter!$A$6:$A$205,0)),0))</f>
        <v/>
      </c>
      <c r="H1315" s="8">
        <f>IF(B1315="","",IF(ISNA(MATCH(B1315,Mitarbeiter!$A$6:$A$205,0)),"Pers.-Nr. unbekannt",IF(A1315="","Datum fehlt",IF(AND(D1315&lt;&gt;Einstellungen!$C$4,D1315&lt;&gt;Einstellungen!$C$5),"Objekt fehlt",IF(YEAR(A1315)&lt;&gt;Einstellungen!$C$3,"anderes Jahr",IF(A1315&lt;INDEX(Mitarbeiter!$C$6:$C$205,MATCH(B1315,Mitarbeiter!$A$6:$A$205,0)),"vor Eintritt",IF(AND(INDEX(Mitarbeiter!$D$6:$D$205,MATCH(B1315,Mitarbeiter!$A$6:$A$205,0))&lt;&gt;"",A1315&gt;INDEX(Mitarbeiter!$D$6:$D$205,MATCH(B1315,Mitarbeiter!$A$6:$A$205,0))),"nach Austritt","ok")))))))</f>
        <v/>
      </c>
    </row>
    <row r="1316">
      <c r="A1316" s="26" t="n"/>
      <c r="B1316" s="24" t="n"/>
      <c r="C1316" s="40">
        <f>IF(B1316="","",IFERROR(INDEX(Mitarbeiter!$B$6:$B$205,MATCH(B1316,Mitarbeiter!$A$6:$A$205,0)),"?"))</f>
        <v/>
      </c>
      <c r="D1316" s="41" t="n"/>
      <c r="E1316" s="42" t="n"/>
      <c r="F1316" s="43" t="n"/>
      <c r="G1316" s="44">
        <f>IF(OR(B1316="",F1316=""),"",IFERROR(F1316*INDEX(Mitarbeiter!$F$6:$F$205,MATCH(B1316,Mitarbeiter!$A$6:$A$205,0)),0))</f>
        <v/>
      </c>
      <c r="H1316" s="8">
        <f>IF(B1316="","",IF(ISNA(MATCH(B1316,Mitarbeiter!$A$6:$A$205,0)),"Pers.-Nr. unbekannt",IF(A1316="","Datum fehlt",IF(AND(D1316&lt;&gt;Einstellungen!$C$4,D1316&lt;&gt;Einstellungen!$C$5),"Objekt fehlt",IF(YEAR(A1316)&lt;&gt;Einstellungen!$C$3,"anderes Jahr",IF(A1316&lt;INDEX(Mitarbeiter!$C$6:$C$205,MATCH(B1316,Mitarbeiter!$A$6:$A$205,0)),"vor Eintritt",IF(AND(INDEX(Mitarbeiter!$D$6:$D$205,MATCH(B1316,Mitarbeiter!$A$6:$A$205,0))&lt;&gt;"",A1316&gt;INDEX(Mitarbeiter!$D$6:$D$205,MATCH(B1316,Mitarbeiter!$A$6:$A$205,0))),"nach Austritt","ok")))))))</f>
        <v/>
      </c>
    </row>
    <row r="1317">
      <c r="A1317" s="26" t="n"/>
      <c r="B1317" s="24" t="n"/>
      <c r="C1317" s="40">
        <f>IF(B1317="","",IFERROR(INDEX(Mitarbeiter!$B$6:$B$205,MATCH(B1317,Mitarbeiter!$A$6:$A$205,0)),"?"))</f>
        <v/>
      </c>
      <c r="D1317" s="41" t="n"/>
      <c r="E1317" s="42" t="n"/>
      <c r="F1317" s="43" t="n"/>
      <c r="G1317" s="44">
        <f>IF(OR(B1317="",F1317=""),"",IFERROR(F1317*INDEX(Mitarbeiter!$F$6:$F$205,MATCH(B1317,Mitarbeiter!$A$6:$A$205,0)),0))</f>
        <v/>
      </c>
      <c r="H1317" s="8">
        <f>IF(B1317="","",IF(ISNA(MATCH(B1317,Mitarbeiter!$A$6:$A$205,0)),"Pers.-Nr. unbekannt",IF(A1317="","Datum fehlt",IF(AND(D1317&lt;&gt;Einstellungen!$C$4,D1317&lt;&gt;Einstellungen!$C$5),"Objekt fehlt",IF(YEAR(A1317)&lt;&gt;Einstellungen!$C$3,"anderes Jahr",IF(A1317&lt;INDEX(Mitarbeiter!$C$6:$C$205,MATCH(B1317,Mitarbeiter!$A$6:$A$205,0)),"vor Eintritt",IF(AND(INDEX(Mitarbeiter!$D$6:$D$205,MATCH(B1317,Mitarbeiter!$A$6:$A$205,0))&lt;&gt;"",A1317&gt;INDEX(Mitarbeiter!$D$6:$D$205,MATCH(B1317,Mitarbeiter!$A$6:$A$205,0))),"nach Austritt","ok")))))))</f>
        <v/>
      </c>
    </row>
    <row r="1318">
      <c r="A1318" s="26" t="n"/>
      <c r="B1318" s="24" t="n"/>
      <c r="C1318" s="40">
        <f>IF(B1318="","",IFERROR(INDEX(Mitarbeiter!$B$6:$B$205,MATCH(B1318,Mitarbeiter!$A$6:$A$205,0)),"?"))</f>
        <v/>
      </c>
      <c r="D1318" s="41" t="n"/>
      <c r="E1318" s="42" t="n"/>
      <c r="F1318" s="43" t="n"/>
      <c r="G1318" s="44">
        <f>IF(OR(B1318="",F1318=""),"",IFERROR(F1318*INDEX(Mitarbeiter!$F$6:$F$205,MATCH(B1318,Mitarbeiter!$A$6:$A$205,0)),0))</f>
        <v/>
      </c>
      <c r="H1318" s="8">
        <f>IF(B1318="","",IF(ISNA(MATCH(B1318,Mitarbeiter!$A$6:$A$205,0)),"Pers.-Nr. unbekannt",IF(A1318="","Datum fehlt",IF(AND(D1318&lt;&gt;Einstellungen!$C$4,D1318&lt;&gt;Einstellungen!$C$5),"Objekt fehlt",IF(YEAR(A1318)&lt;&gt;Einstellungen!$C$3,"anderes Jahr",IF(A1318&lt;INDEX(Mitarbeiter!$C$6:$C$205,MATCH(B1318,Mitarbeiter!$A$6:$A$205,0)),"vor Eintritt",IF(AND(INDEX(Mitarbeiter!$D$6:$D$205,MATCH(B1318,Mitarbeiter!$A$6:$A$205,0))&lt;&gt;"",A1318&gt;INDEX(Mitarbeiter!$D$6:$D$205,MATCH(B1318,Mitarbeiter!$A$6:$A$205,0))),"nach Austritt","ok")))))))</f>
        <v/>
      </c>
    </row>
    <row r="1319">
      <c r="A1319" s="26" t="n"/>
      <c r="B1319" s="24" t="n"/>
      <c r="C1319" s="40">
        <f>IF(B1319="","",IFERROR(INDEX(Mitarbeiter!$B$6:$B$205,MATCH(B1319,Mitarbeiter!$A$6:$A$205,0)),"?"))</f>
        <v/>
      </c>
      <c r="D1319" s="41" t="n"/>
      <c r="E1319" s="42" t="n"/>
      <c r="F1319" s="43" t="n"/>
      <c r="G1319" s="44">
        <f>IF(OR(B1319="",F1319=""),"",IFERROR(F1319*INDEX(Mitarbeiter!$F$6:$F$205,MATCH(B1319,Mitarbeiter!$A$6:$A$205,0)),0))</f>
        <v/>
      </c>
      <c r="H1319" s="8">
        <f>IF(B1319="","",IF(ISNA(MATCH(B1319,Mitarbeiter!$A$6:$A$205,0)),"Pers.-Nr. unbekannt",IF(A1319="","Datum fehlt",IF(AND(D1319&lt;&gt;Einstellungen!$C$4,D1319&lt;&gt;Einstellungen!$C$5),"Objekt fehlt",IF(YEAR(A1319)&lt;&gt;Einstellungen!$C$3,"anderes Jahr",IF(A1319&lt;INDEX(Mitarbeiter!$C$6:$C$205,MATCH(B1319,Mitarbeiter!$A$6:$A$205,0)),"vor Eintritt",IF(AND(INDEX(Mitarbeiter!$D$6:$D$205,MATCH(B1319,Mitarbeiter!$A$6:$A$205,0))&lt;&gt;"",A1319&gt;INDEX(Mitarbeiter!$D$6:$D$205,MATCH(B1319,Mitarbeiter!$A$6:$A$205,0))),"nach Austritt","ok")))))))</f>
        <v/>
      </c>
    </row>
    <row r="1320">
      <c r="A1320" s="26" t="n"/>
      <c r="B1320" s="24" t="n"/>
      <c r="C1320" s="40">
        <f>IF(B1320="","",IFERROR(INDEX(Mitarbeiter!$B$6:$B$205,MATCH(B1320,Mitarbeiter!$A$6:$A$205,0)),"?"))</f>
        <v/>
      </c>
      <c r="D1320" s="41" t="n"/>
      <c r="E1320" s="42" t="n"/>
      <c r="F1320" s="43" t="n"/>
      <c r="G1320" s="44">
        <f>IF(OR(B1320="",F1320=""),"",IFERROR(F1320*INDEX(Mitarbeiter!$F$6:$F$205,MATCH(B1320,Mitarbeiter!$A$6:$A$205,0)),0))</f>
        <v/>
      </c>
      <c r="H1320" s="8">
        <f>IF(B1320="","",IF(ISNA(MATCH(B1320,Mitarbeiter!$A$6:$A$205,0)),"Pers.-Nr. unbekannt",IF(A1320="","Datum fehlt",IF(AND(D1320&lt;&gt;Einstellungen!$C$4,D1320&lt;&gt;Einstellungen!$C$5),"Objekt fehlt",IF(YEAR(A1320)&lt;&gt;Einstellungen!$C$3,"anderes Jahr",IF(A1320&lt;INDEX(Mitarbeiter!$C$6:$C$205,MATCH(B1320,Mitarbeiter!$A$6:$A$205,0)),"vor Eintritt",IF(AND(INDEX(Mitarbeiter!$D$6:$D$205,MATCH(B1320,Mitarbeiter!$A$6:$A$205,0))&lt;&gt;"",A1320&gt;INDEX(Mitarbeiter!$D$6:$D$205,MATCH(B1320,Mitarbeiter!$A$6:$A$205,0))),"nach Austritt","ok")))))))</f>
        <v/>
      </c>
    </row>
    <row r="1321">
      <c r="A1321" s="26" t="n"/>
      <c r="B1321" s="24" t="n"/>
      <c r="C1321" s="40">
        <f>IF(B1321="","",IFERROR(INDEX(Mitarbeiter!$B$6:$B$205,MATCH(B1321,Mitarbeiter!$A$6:$A$205,0)),"?"))</f>
        <v/>
      </c>
      <c r="D1321" s="41" t="n"/>
      <c r="E1321" s="42" t="n"/>
      <c r="F1321" s="43" t="n"/>
      <c r="G1321" s="44">
        <f>IF(OR(B1321="",F1321=""),"",IFERROR(F1321*INDEX(Mitarbeiter!$F$6:$F$205,MATCH(B1321,Mitarbeiter!$A$6:$A$205,0)),0))</f>
        <v/>
      </c>
      <c r="H1321" s="8">
        <f>IF(B1321="","",IF(ISNA(MATCH(B1321,Mitarbeiter!$A$6:$A$205,0)),"Pers.-Nr. unbekannt",IF(A1321="","Datum fehlt",IF(AND(D1321&lt;&gt;Einstellungen!$C$4,D1321&lt;&gt;Einstellungen!$C$5),"Objekt fehlt",IF(YEAR(A1321)&lt;&gt;Einstellungen!$C$3,"anderes Jahr",IF(A1321&lt;INDEX(Mitarbeiter!$C$6:$C$205,MATCH(B1321,Mitarbeiter!$A$6:$A$205,0)),"vor Eintritt",IF(AND(INDEX(Mitarbeiter!$D$6:$D$205,MATCH(B1321,Mitarbeiter!$A$6:$A$205,0))&lt;&gt;"",A1321&gt;INDEX(Mitarbeiter!$D$6:$D$205,MATCH(B1321,Mitarbeiter!$A$6:$A$205,0))),"nach Austritt","ok")))))))</f>
        <v/>
      </c>
    </row>
    <row r="1322">
      <c r="A1322" s="26" t="n"/>
      <c r="B1322" s="24" t="n"/>
      <c r="C1322" s="40">
        <f>IF(B1322="","",IFERROR(INDEX(Mitarbeiter!$B$6:$B$205,MATCH(B1322,Mitarbeiter!$A$6:$A$205,0)),"?"))</f>
        <v/>
      </c>
      <c r="D1322" s="41" t="n"/>
      <c r="E1322" s="42" t="n"/>
      <c r="F1322" s="43" t="n"/>
      <c r="G1322" s="44">
        <f>IF(OR(B1322="",F1322=""),"",IFERROR(F1322*INDEX(Mitarbeiter!$F$6:$F$205,MATCH(B1322,Mitarbeiter!$A$6:$A$205,0)),0))</f>
        <v/>
      </c>
      <c r="H1322" s="8">
        <f>IF(B1322="","",IF(ISNA(MATCH(B1322,Mitarbeiter!$A$6:$A$205,0)),"Pers.-Nr. unbekannt",IF(A1322="","Datum fehlt",IF(AND(D1322&lt;&gt;Einstellungen!$C$4,D1322&lt;&gt;Einstellungen!$C$5),"Objekt fehlt",IF(YEAR(A1322)&lt;&gt;Einstellungen!$C$3,"anderes Jahr",IF(A1322&lt;INDEX(Mitarbeiter!$C$6:$C$205,MATCH(B1322,Mitarbeiter!$A$6:$A$205,0)),"vor Eintritt",IF(AND(INDEX(Mitarbeiter!$D$6:$D$205,MATCH(B1322,Mitarbeiter!$A$6:$A$205,0))&lt;&gt;"",A1322&gt;INDEX(Mitarbeiter!$D$6:$D$205,MATCH(B1322,Mitarbeiter!$A$6:$A$205,0))),"nach Austritt","ok")))))))</f>
        <v/>
      </c>
    </row>
    <row r="1323">
      <c r="A1323" s="26" t="n"/>
      <c r="B1323" s="24" t="n"/>
      <c r="C1323" s="40">
        <f>IF(B1323="","",IFERROR(INDEX(Mitarbeiter!$B$6:$B$205,MATCH(B1323,Mitarbeiter!$A$6:$A$205,0)),"?"))</f>
        <v/>
      </c>
      <c r="D1323" s="41" t="n"/>
      <c r="E1323" s="42" t="n"/>
      <c r="F1323" s="43" t="n"/>
      <c r="G1323" s="44">
        <f>IF(OR(B1323="",F1323=""),"",IFERROR(F1323*INDEX(Mitarbeiter!$F$6:$F$205,MATCH(B1323,Mitarbeiter!$A$6:$A$205,0)),0))</f>
        <v/>
      </c>
      <c r="H1323" s="8">
        <f>IF(B1323="","",IF(ISNA(MATCH(B1323,Mitarbeiter!$A$6:$A$205,0)),"Pers.-Nr. unbekannt",IF(A1323="","Datum fehlt",IF(AND(D1323&lt;&gt;Einstellungen!$C$4,D1323&lt;&gt;Einstellungen!$C$5),"Objekt fehlt",IF(YEAR(A1323)&lt;&gt;Einstellungen!$C$3,"anderes Jahr",IF(A1323&lt;INDEX(Mitarbeiter!$C$6:$C$205,MATCH(B1323,Mitarbeiter!$A$6:$A$205,0)),"vor Eintritt",IF(AND(INDEX(Mitarbeiter!$D$6:$D$205,MATCH(B1323,Mitarbeiter!$A$6:$A$205,0))&lt;&gt;"",A1323&gt;INDEX(Mitarbeiter!$D$6:$D$205,MATCH(B1323,Mitarbeiter!$A$6:$A$205,0))),"nach Austritt","ok")))))))</f>
        <v/>
      </c>
    </row>
    <row r="1324">
      <c r="A1324" s="26" t="n"/>
      <c r="B1324" s="24" t="n"/>
      <c r="C1324" s="40">
        <f>IF(B1324="","",IFERROR(INDEX(Mitarbeiter!$B$6:$B$205,MATCH(B1324,Mitarbeiter!$A$6:$A$205,0)),"?"))</f>
        <v/>
      </c>
      <c r="D1324" s="41" t="n"/>
      <c r="E1324" s="42" t="n"/>
      <c r="F1324" s="43" t="n"/>
      <c r="G1324" s="44">
        <f>IF(OR(B1324="",F1324=""),"",IFERROR(F1324*INDEX(Mitarbeiter!$F$6:$F$205,MATCH(B1324,Mitarbeiter!$A$6:$A$205,0)),0))</f>
        <v/>
      </c>
      <c r="H1324" s="8">
        <f>IF(B1324="","",IF(ISNA(MATCH(B1324,Mitarbeiter!$A$6:$A$205,0)),"Pers.-Nr. unbekannt",IF(A1324="","Datum fehlt",IF(AND(D1324&lt;&gt;Einstellungen!$C$4,D1324&lt;&gt;Einstellungen!$C$5),"Objekt fehlt",IF(YEAR(A1324)&lt;&gt;Einstellungen!$C$3,"anderes Jahr",IF(A1324&lt;INDEX(Mitarbeiter!$C$6:$C$205,MATCH(B1324,Mitarbeiter!$A$6:$A$205,0)),"vor Eintritt",IF(AND(INDEX(Mitarbeiter!$D$6:$D$205,MATCH(B1324,Mitarbeiter!$A$6:$A$205,0))&lt;&gt;"",A1324&gt;INDEX(Mitarbeiter!$D$6:$D$205,MATCH(B1324,Mitarbeiter!$A$6:$A$205,0))),"nach Austritt","ok")))))))</f>
        <v/>
      </c>
    </row>
    <row r="1325">
      <c r="A1325" s="26" t="n"/>
      <c r="B1325" s="24" t="n"/>
      <c r="C1325" s="40">
        <f>IF(B1325="","",IFERROR(INDEX(Mitarbeiter!$B$6:$B$205,MATCH(B1325,Mitarbeiter!$A$6:$A$205,0)),"?"))</f>
        <v/>
      </c>
      <c r="D1325" s="41" t="n"/>
      <c r="E1325" s="42" t="n"/>
      <c r="F1325" s="43" t="n"/>
      <c r="G1325" s="44">
        <f>IF(OR(B1325="",F1325=""),"",IFERROR(F1325*INDEX(Mitarbeiter!$F$6:$F$205,MATCH(B1325,Mitarbeiter!$A$6:$A$205,0)),0))</f>
        <v/>
      </c>
      <c r="H1325" s="8">
        <f>IF(B1325="","",IF(ISNA(MATCH(B1325,Mitarbeiter!$A$6:$A$205,0)),"Pers.-Nr. unbekannt",IF(A1325="","Datum fehlt",IF(AND(D1325&lt;&gt;Einstellungen!$C$4,D1325&lt;&gt;Einstellungen!$C$5),"Objekt fehlt",IF(YEAR(A1325)&lt;&gt;Einstellungen!$C$3,"anderes Jahr",IF(A1325&lt;INDEX(Mitarbeiter!$C$6:$C$205,MATCH(B1325,Mitarbeiter!$A$6:$A$205,0)),"vor Eintritt",IF(AND(INDEX(Mitarbeiter!$D$6:$D$205,MATCH(B1325,Mitarbeiter!$A$6:$A$205,0))&lt;&gt;"",A1325&gt;INDEX(Mitarbeiter!$D$6:$D$205,MATCH(B1325,Mitarbeiter!$A$6:$A$205,0))),"nach Austritt","ok")))))))</f>
        <v/>
      </c>
    </row>
    <row r="1326">
      <c r="A1326" s="26" t="n"/>
      <c r="B1326" s="24" t="n"/>
      <c r="C1326" s="40">
        <f>IF(B1326="","",IFERROR(INDEX(Mitarbeiter!$B$6:$B$205,MATCH(B1326,Mitarbeiter!$A$6:$A$205,0)),"?"))</f>
        <v/>
      </c>
      <c r="D1326" s="41" t="n"/>
      <c r="E1326" s="42" t="n"/>
      <c r="F1326" s="43" t="n"/>
      <c r="G1326" s="44">
        <f>IF(OR(B1326="",F1326=""),"",IFERROR(F1326*INDEX(Mitarbeiter!$F$6:$F$205,MATCH(B1326,Mitarbeiter!$A$6:$A$205,0)),0))</f>
        <v/>
      </c>
      <c r="H1326" s="8">
        <f>IF(B1326="","",IF(ISNA(MATCH(B1326,Mitarbeiter!$A$6:$A$205,0)),"Pers.-Nr. unbekannt",IF(A1326="","Datum fehlt",IF(AND(D1326&lt;&gt;Einstellungen!$C$4,D1326&lt;&gt;Einstellungen!$C$5),"Objekt fehlt",IF(YEAR(A1326)&lt;&gt;Einstellungen!$C$3,"anderes Jahr",IF(A1326&lt;INDEX(Mitarbeiter!$C$6:$C$205,MATCH(B1326,Mitarbeiter!$A$6:$A$205,0)),"vor Eintritt",IF(AND(INDEX(Mitarbeiter!$D$6:$D$205,MATCH(B1326,Mitarbeiter!$A$6:$A$205,0))&lt;&gt;"",A1326&gt;INDEX(Mitarbeiter!$D$6:$D$205,MATCH(B1326,Mitarbeiter!$A$6:$A$205,0))),"nach Austritt","ok")))))))</f>
        <v/>
      </c>
    </row>
    <row r="1327">
      <c r="A1327" s="26" t="n"/>
      <c r="B1327" s="24" t="n"/>
      <c r="C1327" s="40">
        <f>IF(B1327="","",IFERROR(INDEX(Mitarbeiter!$B$6:$B$205,MATCH(B1327,Mitarbeiter!$A$6:$A$205,0)),"?"))</f>
        <v/>
      </c>
      <c r="D1327" s="41" t="n"/>
      <c r="E1327" s="42" t="n"/>
      <c r="F1327" s="43" t="n"/>
      <c r="G1327" s="44">
        <f>IF(OR(B1327="",F1327=""),"",IFERROR(F1327*INDEX(Mitarbeiter!$F$6:$F$205,MATCH(B1327,Mitarbeiter!$A$6:$A$205,0)),0))</f>
        <v/>
      </c>
      <c r="H1327" s="8">
        <f>IF(B1327="","",IF(ISNA(MATCH(B1327,Mitarbeiter!$A$6:$A$205,0)),"Pers.-Nr. unbekannt",IF(A1327="","Datum fehlt",IF(AND(D1327&lt;&gt;Einstellungen!$C$4,D1327&lt;&gt;Einstellungen!$C$5),"Objekt fehlt",IF(YEAR(A1327)&lt;&gt;Einstellungen!$C$3,"anderes Jahr",IF(A1327&lt;INDEX(Mitarbeiter!$C$6:$C$205,MATCH(B1327,Mitarbeiter!$A$6:$A$205,0)),"vor Eintritt",IF(AND(INDEX(Mitarbeiter!$D$6:$D$205,MATCH(B1327,Mitarbeiter!$A$6:$A$205,0))&lt;&gt;"",A1327&gt;INDEX(Mitarbeiter!$D$6:$D$205,MATCH(B1327,Mitarbeiter!$A$6:$A$205,0))),"nach Austritt","ok")))))))</f>
        <v/>
      </c>
    </row>
    <row r="1328">
      <c r="A1328" s="26" t="n"/>
      <c r="B1328" s="24" t="n"/>
      <c r="C1328" s="40">
        <f>IF(B1328="","",IFERROR(INDEX(Mitarbeiter!$B$6:$B$205,MATCH(B1328,Mitarbeiter!$A$6:$A$205,0)),"?"))</f>
        <v/>
      </c>
      <c r="D1328" s="41" t="n"/>
      <c r="E1328" s="42" t="n"/>
      <c r="F1328" s="43" t="n"/>
      <c r="G1328" s="44">
        <f>IF(OR(B1328="",F1328=""),"",IFERROR(F1328*INDEX(Mitarbeiter!$F$6:$F$205,MATCH(B1328,Mitarbeiter!$A$6:$A$205,0)),0))</f>
        <v/>
      </c>
      <c r="H1328" s="8">
        <f>IF(B1328="","",IF(ISNA(MATCH(B1328,Mitarbeiter!$A$6:$A$205,0)),"Pers.-Nr. unbekannt",IF(A1328="","Datum fehlt",IF(AND(D1328&lt;&gt;Einstellungen!$C$4,D1328&lt;&gt;Einstellungen!$C$5),"Objekt fehlt",IF(YEAR(A1328)&lt;&gt;Einstellungen!$C$3,"anderes Jahr",IF(A1328&lt;INDEX(Mitarbeiter!$C$6:$C$205,MATCH(B1328,Mitarbeiter!$A$6:$A$205,0)),"vor Eintritt",IF(AND(INDEX(Mitarbeiter!$D$6:$D$205,MATCH(B1328,Mitarbeiter!$A$6:$A$205,0))&lt;&gt;"",A1328&gt;INDEX(Mitarbeiter!$D$6:$D$205,MATCH(B1328,Mitarbeiter!$A$6:$A$205,0))),"nach Austritt","ok")))))))</f>
        <v/>
      </c>
    </row>
    <row r="1329">
      <c r="A1329" s="26" t="n"/>
      <c r="B1329" s="24" t="n"/>
      <c r="C1329" s="40">
        <f>IF(B1329="","",IFERROR(INDEX(Mitarbeiter!$B$6:$B$205,MATCH(B1329,Mitarbeiter!$A$6:$A$205,0)),"?"))</f>
        <v/>
      </c>
      <c r="D1329" s="41" t="n"/>
      <c r="E1329" s="42" t="n"/>
      <c r="F1329" s="43" t="n"/>
      <c r="G1329" s="44">
        <f>IF(OR(B1329="",F1329=""),"",IFERROR(F1329*INDEX(Mitarbeiter!$F$6:$F$205,MATCH(B1329,Mitarbeiter!$A$6:$A$205,0)),0))</f>
        <v/>
      </c>
      <c r="H1329" s="8">
        <f>IF(B1329="","",IF(ISNA(MATCH(B1329,Mitarbeiter!$A$6:$A$205,0)),"Pers.-Nr. unbekannt",IF(A1329="","Datum fehlt",IF(AND(D1329&lt;&gt;Einstellungen!$C$4,D1329&lt;&gt;Einstellungen!$C$5),"Objekt fehlt",IF(YEAR(A1329)&lt;&gt;Einstellungen!$C$3,"anderes Jahr",IF(A1329&lt;INDEX(Mitarbeiter!$C$6:$C$205,MATCH(B1329,Mitarbeiter!$A$6:$A$205,0)),"vor Eintritt",IF(AND(INDEX(Mitarbeiter!$D$6:$D$205,MATCH(B1329,Mitarbeiter!$A$6:$A$205,0))&lt;&gt;"",A1329&gt;INDEX(Mitarbeiter!$D$6:$D$205,MATCH(B1329,Mitarbeiter!$A$6:$A$205,0))),"nach Austritt","ok")))))))</f>
        <v/>
      </c>
    </row>
    <row r="1330">
      <c r="A1330" s="26" t="n"/>
      <c r="B1330" s="24" t="n"/>
      <c r="C1330" s="40">
        <f>IF(B1330="","",IFERROR(INDEX(Mitarbeiter!$B$6:$B$205,MATCH(B1330,Mitarbeiter!$A$6:$A$205,0)),"?"))</f>
        <v/>
      </c>
      <c r="D1330" s="41" t="n"/>
      <c r="E1330" s="42" t="n"/>
      <c r="F1330" s="43" t="n"/>
      <c r="G1330" s="44">
        <f>IF(OR(B1330="",F1330=""),"",IFERROR(F1330*INDEX(Mitarbeiter!$F$6:$F$205,MATCH(B1330,Mitarbeiter!$A$6:$A$205,0)),0))</f>
        <v/>
      </c>
      <c r="H1330" s="8">
        <f>IF(B1330="","",IF(ISNA(MATCH(B1330,Mitarbeiter!$A$6:$A$205,0)),"Pers.-Nr. unbekannt",IF(A1330="","Datum fehlt",IF(AND(D1330&lt;&gt;Einstellungen!$C$4,D1330&lt;&gt;Einstellungen!$C$5),"Objekt fehlt",IF(YEAR(A1330)&lt;&gt;Einstellungen!$C$3,"anderes Jahr",IF(A1330&lt;INDEX(Mitarbeiter!$C$6:$C$205,MATCH(B1330,Mitarbeiter!$A$6:$A$205,0)),"vor Eintritt",IF(AND(INDEX(Mitarbeiter!$D$6:$D$205,MATCH(B1330,Mitarbeiter!$A$6:$A$205,0))&lt;&gt;"",A1330&gt;INDEX(Mitarbeiter!$D$6:$D$205,MATCH(B1330,Mitarbeiter!$A$6:$A$205,0))),"nach Austritt","ok")))))))</f>
        <v/>
      </c>
    </row>
    <row r="1331">
      <c r="A1331" s="26" t="n"/>
      <c r="B1331" s="24" t="n"/>
      <c r="C1331" s="40">
        <f>IF(B1331="","",IFERROR(INDEX(Mitarbeiter!$B$6:$B$205,MATCH(B1331,Mitarbeiter!$A$6:$A$205,0)),"?"))</f>
        <v/>
      </c>
      <c r="D1331" s="41" t="n"/>
      <c r="E1331" s="42" t="n"/>
      <c r="F1331" s="43" t="n"/>
      <c r="G1331" s="44">
        <f>IF(OR(B1331="",F1331=""),"",IFERROR(F1331*INDEX(Mitarbeiter!$F$6:$F$205,MATCH(B1331,Mitarbeiter!$A$6:$A$205,0)),0))</f>
        <v/>
      </c>
      <c r="H1331" s="8">
        <f>IF(B1331="","",IF(ISNA(MATCH(B1331,Mitarbeiter!$A$6:$A$205,0)),"Pers.-Nr. unbekannt",IF(A1331="","Datum fehlt",IF(AND(D1331&lt;&gt;Einstellungen!$C$4,D1331&lt;&gt;Einstellungen!$C$5),"Objekt fehlt",IF(YEAR(A1331)&lt;&gt;Einstellungen!$C$3,"anderes Jahr",IF(A1331&lt;INDEX(Mitarbeiter!$C$6:$C$205,MATCH(B1331,Mitarbeiter!$A$6:$A$205,0)),"vor Eintritt",IF(AND(INDEX(Mitarbeiter!$D$6:$D$205,MATCH(B1331,Mitarbeiter!$A$6:$A$205,0))&lt;&gt;"",A1331&gt;INDEX(Mitarbeiter!$D$6:$D$205,MATCH(B1331,Mitarbeiter!$A$6:$A$205,0))),"nach Austritt","ok")))))))</f>
        <v/>
      </c>
    </row>
    <row r="1332">
      <c r="A1332" s="26" t="n"/>
      <c r="B1332" s="24" t="n"/>
      <c r="C1332" s="40">
        <f>IF(B1332="","",IFERROR(INDEX(Mitarbeiter!$B$6:$B$205,MATCH(B1332,Mitarbeiter!$A$6:$A$205,0)),"?"))</f>
        <v/>
      </c>
      <c r="D1332" s="41" t="n"/>
      <c r="E1332" s="42" t="n"/>
      <c r="F1332" s="43" t="n"/>
      <c r="G1332" s="44">
        <f>IF(OR(B1332="",F1332=""),"",IFERROR(F1332*INDEX(Mitarbeiter!$F$6:$F$205,MATCH(B1332,Mitarbeiter!$A$6:$A$205,0)),0))</f>
        <v/>
      </c>
      <c r="H1332" s="8">
        <f>IF(B1332="","",IF(ISNA(MATCH(B1332,Mitarbeiter!$A$6:$A$205,0)),"Pers.-Nr. unbekannt",IF(A1332="","Datum fehlt",IF(AND(D1332&lt;&gt;Einstellungen!$C$4,D1332&lt;&gt;Einstellungen!$C$5),"Objekt fehlt",IF(YEAR(A1332)&lt;&gt;Einstellungen!$C$3,"anderes Jahr",IF(A1332&lt;INDEX(Mitarbeiter!$C$6:$C$205,MATCH(B1332,Mitarbeiter!$A$6:$A$205,0)),"vor Eintritt",IF(AND(INDEX(Mitarbeiter!$D$6:$D$205,MATCH(B1332,Mitarbeiter!$A$6:$A$205,0))&lt;&gt;"",A1332&gt;INDEX(Mitarbeiter!$D$6:$D$205,MATCH(B1332,Mitarbeiter!$A$6:$A$205,0))),"nach Austritt","ok")))))))</f>
        <v/>
      </c>
    </row>
    <row r="1333">
      <c r="A1333" s="26" t="n"/>
      <c r="B1333" s="24" t="n"/>
      <c r="C1333" s="40">
        <f>IF(B1333="","",IFERROR(INDEX(Mitarbeiter!$B$6:$B$205,MATCH(B1333,Mitarbeiter!$A$6:$A$205,0)),"?"))</f>
        <v/>
      </c>
      <c r="D1333" s="41" t="n"/>
      <c r="E1333" s="42" t="n"/>
      <c r="F1333" s="43" t="n"/>
      <c r="G1333" s="44">
        <f>IF(OR(B1333="",F1333=""),"",IFERROR(F1333*INDEX(Mitarbeiter!$F$6:$F$205,MATCH(B1333,Mitarbeiter!$A$6:$A$205,0)),0))</f>
        <v/>
      </c>
      <c r="H1333" s="8">
        <f>IF(B1333="","",IF(ISNA(MATCH(B1333,Mitarbeiter!$A$6:$A$205,0)),"Pers.-Nr. unbekannt",IF(A1333="","Datum fehlt",IF(AND(D1333&lt;&gt;Einstellungen!$C$4,D1333&lt;&gt;Einstellungen!$C$5),"Objekt fehlt",IF(YEAR(A1333)&lt;&gt;Einstellungen!$C$3,"anderes Jahr",IF(A1333&lt;INDEX(Mitarbeiter!$C$6:$C$205,MATCH(B1333,Mitarbeiter!$A$6:$A$205,0)),"vor Eintritt",IF(AND(INDEX(Mitarbeiter!$D$6:$D$205,MATCH(B1333,Mitarbeiter!$A$6:$A$205,0))&lt;&gt;"",A1333&gt;INDEX(Mitarbeiter!$D$6:$D$205,MATCH(B1333,Mitarbeiter!$A$6:$A$205,0))),"nach Austritt","ok")))))))</f>
        <v/>
      </c>
    </row>
    <row r="1334">
      <c r="A1334" s="26" t="n"/>
      <c r="B1334" s="24" t="n"/>
      <c r="C1334" s="40">
        <f>IF(B1334="","",IFERROR(INDEX(Mitarbeiter!$B$6:$B$205,MATCH(B1334,Mitarbeiter!$A$6:$A$205,0)),"?"))</f>
        <v/>
      </c>
      <c r="D1334" s="41" t="n"/>
      <c r="E1334" s="42" t="n"/>
      <c r="F1334" s="43" t="n"/>
      <c r="G1334" s="44">
        <f>IF(OR(B1334="",F1334=""),"",IFERROR(F1334*INDEX(Mitarbeiter!$F$6:$F$205,MATCH(B1334,Mitarbeiter!$A$6:$A$205,0)),0))</f>
        <v/>
      </c>
      <c r="H1334" s="8">
        <f>IF(B1334="","",IF(ISNA(MATCH(B1334,Mitarbeiter!$A$6:$A$205,0)),"Pers.-Nr. unbekannt",IF(A1334="","Datum fehlt",IF(AND(D1334&lt;&gt;Einstellungen!$C$4,D1334&lt;&gt;Einstellungen!$C$5),"Objekt fehlt",IF(YEAR(A1334)&lt;&gt;Einstellungen!$C$3,"anderes Jahr",IF(A1334&lt;INDEX(Mitarbeiter!$C$6:$C$205,MATCH(B1334,Mitarbeiter!$A$6:$A$205,0)),"vor Eintritt",IF(AND(INDEX(Mitarbeiter!$D$6:$D$205,MATCH(B1334,Mitarbeiter!$A$6:$A$205,0))&lt;&gt;"",A1334&gt;INDEX(Mitarbeiter!$D$6:$D$205,MATCH(B1334,Mitarbeiter!$A$6:$A$205,0))),"nach Austritt","ok")))))))</f>
        <v/>
      </c>
    </row>
    <row r="1335">
      <c r="A1335" s="26" t="n"/>
      <c r="B1335" s="24" t="n"/>
      <c r="C1335" s="40">
        <f>IF(B1335="","",IFERROR(INDEX(Mitarbeiter!$B$6:$B$205,MATCH(B1335,Mitarbeiter!$A$6:$A$205,0)),"?"))</f>
        <v/>
      </c>
      <c r="D1335" s="41" t="n"/>
      <c r="E1335" s="42" t="n"/>
      <c r="F1335" s="43" t="n"/>
      <c r="G1335" s="44">
        <f>IF(OR(B1335="",F1335=""),"",IFERROR(F1335*INDEX(Mitarbeiter!$F$6:$F$205,MATCH(B1335,Mitarbeiter!$A$6:$A$205,0)),0))</f>
        <v/>
      </c>
      <c r="H1335" s="8">
        <f>IF(B1335="","",IF(ISNA(MATCH(B1335,Mitarbeiter!$A$6:$A$205,0)),"Pers.-Nr. unbekannt",IF(A1335="","Datum fehlt",IF(AND(D1335&lt;&gt;Einstellungen!$C$4,D1335&lt;&gt;Einstellungen!$C$5),"Objekt fehlt",IF(YEAR(A1335)&lt;&gt;Einstellungen!$C$3,"anderes Jahr",IF(A1335&lt;INDEX(Mitarbeiter!$C$6:$C$205,MATCH(B1335,Mitarbeiter!$A$6:$A$205,0)),"vor Eintritt",IF(AND(INDEX(Mitarbeiter!$D$6:$D$205,MATCH(B1335,Mitarbeiter!$A$6:$A$205,0))&lt;&gt;"",A1335&gt;INDEX(Mitarbeiter!$D$6:$D$205,MATCH(B1335,Mitarbeiter!$A$6:$A$205,0))),"nach Austritt","ok")))))))</f>
        <v/>
      </c>
    </row>
    <row r="1336">
      <c r="A1336" s="26" t="n"/>
      <c r="B1336" s="24" t="n"/>
      <c r="C1336" s="40">
        <f>IF(B1336="","",IFERROR(INDEX(Mitarbeiter!$B$6:$B$205,MATCH(B1336,Mitarbeiter!$A$6:$A$205,0)),"?"))</f>
        <v/>
      </c>
      <c r="D1336" s="41" t="n"/>
      <c r="E1336" s="42" t="n"/>
      <c r="F1336" s="43" t="n"/>
      <c r="G1336" s="44">
        <f>IF(OR(B1336="",F1336=""),"",IFERROR(F1336*INDEX(Mitarbeiter!$F$6:$F$205,MATCH(B1336,Mitarbeiter!$A$6:$A$205,0)),0))</f>
        <v/>
      </c>
      <c r="H1336" s="8">
        <f>IF(B1336="","",IF(ISNA(MATCH(B1336,Mitarbeiter!$A$6:$A$205,0)),"Pers.-Nr. unbekannt",IF(A1336="","Datum fehlt",IF(AND(D1336&lt;&gt;Einstellungen!$C$4,D1336&lt;&gt;Einstellungen!$C$5),"Objekt fehlt",IF(YEAR(A1336)&lt;&gt;Einstellungen!$C$3,"anderes Jahr",IF(A1336&lt;INDEX(Mitarbeiter!$C$6:$C$205,MATCH(B1336,Mitarbeiter!$A$6:$A$205,0)),"vor Eintritt",IF(AND(INDEX(Mitarbeiter!$D$6:$D$205,MATCH(B1336,Mitarbeiter!$A$6:$A$205,0))&lt;&gt;"",A1336&gt;INDEX(Mitarbeiter!$D$6:$D$205,MATCH(B1336,Mitarbeiter!$A$6:$A$205,0))),"nach Austritt","ok")))))))</f>
        <v/>
      </c>
    </row>
    <row r="1337">
      <c r="A1337" s="26" t="n"/>
      <c r="B1337" s="24" t="n"/>
      <c r="C1337" s="40">
        <f>IF(B1337="","",IFERROR(INDEX(Mitarbeiter!$B$6:$B$205,MATCH(B1337,Mitarbeiter!$A$6:$A$205,0)),"?"))</f>
        <v/>
      </c>
      <c r="D1337" s="41" t="n"/>
      <c r="E1337" s="42" t="n"/>
      <c r="F1337" s="43" t="n"/>
      <c r="G1337" s="44">
        <f>IF(OR(B1337="",F1337=""),"",IFERROR(F1337*INDEX(Mitarbeiter!$F$6:$F$205,MATCH(B1337,Mitarbeiter!$A$6:$A$205,0)),0))</f>
        <v/>
      </c>
      <c r="H1337" s="8">
        <f>IF(B1337="","",IF(ISNA(MATCH(B1337,Mitarbeiter!$A$6:$A$205,0)),"Pers.-Nr. unbekannt",IF(A1337="","Datum fehlt",IF(AND(D1337&lt;&gt;Einstellungen!$C$4,D1337&lt;&gt;Einstellungen!$C$5),"Objekt fehlt",IF(YEAR(A1337)&lt;&gt;Einstellungen!$C$3,"anderes Jahr",IF(A1337&lt;INDEX(Mitarbeiter!$C$6:$C$205,MATCH(B1337,Mitarbeiter!$A$6:$A$205,0)),"vor Eintritt",IF(AND(INDEX(Mitarbeiter!$D$6:$D$205,MATCH(B1337,Mitarbeiter!$A$6:$A$205,0))&lt;&gt;"",A1337&gt;INDEX(Mitarbeiter!$D$6:$D$205,MATCH(B1337,Mitarbeiter!$A$6:$A$205,0))),"nach Austritt","ok")))))))</f>
        <v/>
      </c>
    </row>
    <row r="1338">
      <c r="A1338" s="26" t="n"/>
      <c r="B1338" s="24" t="n"/>
      <c r="C1338" s="40">
        <f>IF(B1338="","",IFERROR(INDEX(Mitarbeiter!$B$6:$B$205,MATCH(B1338,Mitarbeiter!$A$6:$A$205,0)),"?"))</f>
        <v/>
      </c>
      <c r="D1338" s="41" t="n"/>
      <c r="E1338" s="42" t="n"/>
      <c r="F1338" s="43" t="n"/>
      <c r="G1338" s="44">
        <f>IF(OR(B1338="",F1338=""),"",IFERROR(F1338*INDEX(Mitarbeiter!$F$6:$F$205,MATCH(B1338,Mitarbeiter!$A$6:$A$205,0)),0))</f>
        <v/>
      </c>
      <c r="H1338" s="8">
        <f>IF(B1338="","",IF(ISNA(MATCH(B1338,Mitarbeiter!$A$6:$A$205,0)),"Pers.-Nr. unbekannt",IF(A1338="","Datum fehlt",IF(AND(D1338&lt;&gt;Einstellungen!$C$4,D1338&lt;&gt;Einstellungen!$C$5),"Objekt fehlt",IF(YEAR(A1338)&lt;&gt;Einstellungen!$C$3,"anderes Jahr",IF(A1338&lt;INDEX(Mitarbeiter!$C$6:$C$205,MATCH(B1338,Mitarbeiter!$A$6:$A$205,0)),"vor Eintritt",IF(AND(INDEX(Mitarbeiter!$D$6:$D$205,MATCH(B1338,Mitarbeiter!$A$6:$A$205,0))&lt;&gt;"",A1338&gt;INDEX(Mitarbeiter!$D$6:$D$205,MATCH(B1338,Mitarbeiter!$A$6:$A$205,0))),"nach Austritt","ok")))))))</f>
        <v/>
      </c>
    </row>
    <row r="1339">
      <c r="A1339" s="26" t="n"/>
      <c r="B1339" s="24" t="n"/>
      <c r="C1339" s="40">
        <f>IF(B1339="","",IFERROR(INDEX(Mitarbeiter!$B$6:$B$205,MATCH(B1339,Mitarbeiter!$A$6:$A$205,0)),"?"))</f>
        <v/>
      </c>
      <c r="D1339" s="41" t="n"/>
      <c r="E1339" s="42" t="n"/>
      <c r="F1339" s="43" t="n"/>
      <c r="G1339" s="44">
        <f>IF(OR(B1339="",F1339=""),"",IFERROR(F1339*INDEX(Mitarbeiter!$F$6:$F$205,MATCH(B1339,Mitarbeiter!$A$6:$A$205,0)),0))</f>
        <v/>
      </c>
      <c r="H1339" s="8">
        <f>IF(B1339="","",IF(ISNA(MATCH(B1339,Mitarbeiter!$A$6:$A$205,0)),"Pers.-Nr. unbekannt",IF(A1339="","Datum fehlt",IF(AND(D1339&lt;&gt;Einstellungen!$C$4,D1339&lt;&gt;Einstellungen!$C$5),"Objekt fehlt",IF(YEAR(A1339)&lt;&gt;Einstellungen!$C$3,"anderes Jahr",IF(A1339&lt;INDEX(Mitarbeiter!$C$6:$C$205,MATCH(B1339,Mitarbeiter!$A$6:$A$205,0)),"vor Eintritt",IF(AND(INDEX(Mitarbeiter!$D$6:$D$205,MATCH(B1339,Mitarbeiter!$A$6:$A$205,0))&lt;&gt;"",A1339&gt;INDEX(Mitarbeiter!$D$6:$D$205,MATCH(B1339,Mitarbeiter!$A$6:$A$205,0))),"nach Austritt","ok")))))))</f>
        <v/>
      </c>
    </row>
    <row r="1340">
      <c r="A1340" s="26" t="n"/>
      <c r="B1340" s="24" t="n"/>
      <c r="C1340" s="40">
        <f>IF(B1340="","",IFERROR(INDEX(Mitarbeiter!$B$6:$B$205,MATCH(B1340,Mitarbeiter!$A$6:$A$205,0)),"?"))</f>
        <v/>
      </c>
      <c r="D1340" s="41" t="n"/>
      <c r="E1340" s="42" t="n"/>
      <c r="F1340" s="43" t="n"/>
      <c r="G1340" s="44">
        <f>IF(OR(B1340="",F1340=""),"",IFERROR(F1340*INDEX(Mitarbeiter!$F$6:$F$205,MATCH(B1340,Mitarbeiter!$A$6:$A$205,0)),0))</f>
        <v/>
      </c>
      <c r="H1340" s="8">
        <f>IF(B1340="","",IF(ISNA(MATCH(B1340,Mitarbeiter!$A$6:$A$205,0)),"Pers.-Nr. unbekannt",IF(A1340="","Datum fehlt",IF(AND(D1340&lt;&gt;Einstellungen!$C$4,D1340&lt;&gt;Einstellungen!$C$5),"Objekt fehlt",IF(YEAR(A1340)&lt;&gt;Einstellungen!$C$3,"anderes Jahr",IF(A1340&lt;INDEX(Mitarbeiter!$C$6:$C$205,MATCH(B1340,Mitarbeiter!$A$6:$A$205,0)),"vor Eintritt",IF(AND(INDEX(Mitarbeiter!$D$6:$D$205,MATCH(B1340,Mitarbeiter!$A$6:$A$205,0))&lt;&gt;"",A1340&gt;INDEX(Mitarbeiter!$D$6:$D$205,MATCH(B1340,Mitarbeiter!$A$6:$A$205,0))),"nach Austritt","ok")))))))</f>
        <v/>
      </c>
    </row>
    <row r="1341">
      <c r="A1341" s="26" t="n"/>
      <c r="B1341" s="24" t="n"/>
      <c r="C1341" s="40">
        <f>IF(B1341="","",IFERROR(INDEX(Mitarbeiter!$B$6:$B$205,MATCH(B1341,Mitarbeiter!$A$6:$A$205,0)),"?"))</f>
        <v/>
      </c>
      <c r="D1341" s="41" t="n"/>
      <c r="E1341" s="42" t="n"/>
      <c r="F1341" s="43" t="n"/>
      <c r="G1341" s="44">
        <f>IF(OR(B1341="",F1341=""),"",IFERROR(F1341*INDEX(Mitarbeiter!$F$6:$F$205,MATCH(B1341,Mitarbeiter!$A$6:$A$205,0)),0))</f>
        <v/>
      </c>
      <c r="H1341" s="8">
        <f>IF(B1341="","",IF(ISNA(MATCH(B1341,Mitarbeiter!$A$6:$A$205,0)),"Pers.-Nr. unbekannt",IF(A1341="","Datum fehlt",IF(AND(D1341&lt;&gt;Einstellungen!$C$4,D1341&lt;&gt;Einstellungen!$C$5),"Objekt fehlt",IF(YEAR(A1341)&lt;&gt;Einstellungen!$C$3,"anderes Jahr",IF(A1341&lt;INDEX(Mitarbeiter!$C$6:$C$205,MATCH(B1341,Mitarbeiter!$A$6:$A$205,0)),"vor Eintritt",IF(AND(INDEX(Mitarbeiter!$D$6:$D$205,MATCH(B1341,Mitarbeiter!$A$6:$A$205,0))&lt;&gt;"",A1341&gt;INDEX(Mitarbeiter!$D$6:$D$205,MATCH(B1341,Mitarbeiter!$A$6:$A$205,0))),"nach Austritt","ok")))))))</f>
        <v/>
      </c>
    </row>
    <row r="1342">
      <c r="A1342" s="26" t="n"/>
      <c r="B1342" s="24" t="n"/>
      <c r="C1342" s="40">
        <f>IF(B1342="","",IFERROR(INDEX(Mitarbeiter!$B$6:$B$205,MATCH(B1342,Mitarbeiter!$A$6:$A$205,0)),"?"))</f>
        <v/>
      </c>
      <c r="D1342" s="41" t="n"/>
      <c r="E1342" s="42" t="n"/>
      <c r="F1342" s="43" t="n"/>
      <c r="G1342" s="44">
        <f>IF(OR(B1342="",F1342=""),"",IFERROR(F1342*INDEX(Mitarbeiter!$F$6:$F$205,MATCH(B1342,Mitarbeiter!$A$6:$A$205,0)),0))</f>
        <v/>
      </c>
      <c r="H1342" s="8">
        <f>IF(B1342="","",IF(ISNA(MATCH(B1342,Mitarbeiter!$A$6:$A$205,0)),"Pers.-Nr. unbekannt",IF(A1342="","Datum fehlt",IF(AND(D1342&lt;&gt;Einstellungen!$C$4,D1342&lt;&gt;Einstellungen!$C$5),"Objekt fehlt",IF(YEAR(A1342)&lt;&gt;Einstellungen!$C$3,"anderes Jahr",IF(A1342&lt;INDEX(Mitarbeiter!$C$6:$C$205,MATCH(B1342,Mitarbeiter!$A$6:$A$205,0)),"vor Eintritt",IF(AND(INDEX(Mitarbeiter!$D$6:$D$205,MATCH(B1342,Mitarbeiter!$A$6:$A$205,0))&lt;&gt;"",A1342&gt;INDEX(Mitarbeiter!$D$6:$D$205,MATCH(B1342,Mitarbeiter!$A$6:$A$205,0))),"nach Austritt","ok")))))))</f>
        <v/>
      </c>
    </row>
    <row r="1343">
      <c r="A1343" s="26" t="n"/>
      <c r="B1343" s="24" t="n"/>
      <c r="C1343" s="40">
        <f>IF(B1343="","",IFERROR(INDEX(Mitarbeiter!$B$6:$B$205,MATCH(B1343,Mitarbeiter!$A$6:$A$205,0)),"?"))</f>
        <v/>
      </c>
      <c r="D1343" s="41" t="n"/>
      <c r="E1343" s="42" t="n"/>
      <c r="F1343" s="43" t="n"/>
      <c r="G1343" s="44">
        <f>IF(OR(B1343="",F1343=""),"",IFERROR(F1343*INDEX(Mitarbeiter!$F$6:$F$205,MATCH(B1343,Mitarbeiter!$A$6:$A$205,0)),0))</f>
        <v/>
      </c>
      <c r="H1343" s="8">
        <f>IF(B1343="","",IF(ISNA(MATCH(B1343,Mitarbeiter!$A$6:$A$205,0)),"Pers.-Nr. unbekannt",IF(A1343="","Datum fehlt",IF(AND(D1343&lt;&gt;Einstellungen!$C$4,D1343&lt;&gt;Einstellungen!$C$5),"Objekt fehlt",IF(YEAR(A1343)&lt;&gt;Einstellungen!$C$3,"anderes Jahr",IF(A1343&lt;INDEX(Mitarbeiter!$C$6:$C$205,MATCH(B1343,Mitarbeiter!$A$6:$A$205,0)),"vor Eintritt",IF(AND(INDEX(Mitarbeiter!$D$6:$D$205,MATCH(B1343,Mitarbeiter!$A$6:$A$205,0))&lt;&gt;"",A1343&gt;INDEX(Mitarbeiter!$D$6:$D$205,MATCH(B1343,Mitarbeiter!$A$6:$A$205,0))),"nach Austritt","ok")))))))</f>
        <v/>
      </c>
    </row>
    <row r="1344">
      <c r="A1344" s="26" t="n"/>
      <c r="B1344" s="24" t="n"/>
      <c r="C1344" s="40">
        <f>IF(B1344="","",IFERROR(INDEX(Mitarbeiter!$B$6:$B$205,MATCH(B1344,Mitarbeiter!$A$6:$A$205,0)),"?"))</f>
        <v/>
      </c>
      <c r="D1344" s="41" t="n"/>
      <c r="E1344" s="42" t="n"/>
      <c r="F1344" s="43" t="n"/>
      <c r="G1344" s="44">
        <f>IF(OR(B1344="",F1344=""),"",IFERROR(F1344*INDEX(Mitarbeiter!$F$6:$F$205,MATCH(B1344,Mitarbeiter!$A$6:$A$205,0)),0))</f>
        <v/>
      </c>
      <c r="H1344" s="8">
        <f>IF(B1344="","",IF(ISNA(MATCH(B1344,Mitarbeiter!$A$6:$A$205,0)),"Pers.-Nr. unbekannt",IF(A1344="","Datum fehlt",IF(AND(D1344&lt;&gt;Einstellungen!$C$4,D1344&lt;&gt;Einstellungen!$C$5),"Objekt fehlt",IF(YEAR(A1344)&lt;&gt;Einstellungen!$C$3,"anderes Jahr",IF(A1344&lt;INDEX(Mitarbeiter!$C$6:$C$205,MATCH(B1344,Mitarbeiter!$A$6:$A$205,0)),"vor Eintritt",IF(AND(INDEX(Mitarbeiter!$D$6:$D$205,MATCH(B1344,Mitarbeiter!$A$6:$A$205,0))&lt;&gt;"",A1344&gt;INDEX(Mitarbeiter!$D$6:$D$205,MATCH(B1344,Mitarbeiter!$A$6:$A$205,0))),"nach Austritt","ok")))))))</f>
        <v/>
      </c>
    </row>
    <row r="1345">
      <c r="A1345" s="26" t="n"/>
      <c r="B1345" s="24" t="n"/>
      <c r="C1345" s="40">
        <f>IF(B1345="","",IFERROR(INDEX(Mitarbeiter!$B$6:$B$205,MATCH(B1345,Mitarbeiter!$A$6:$A$205,0)),"?"))</f>
        <v/>
      </c>
      <c r="D1345" s="41" t="n"/>
      <c r="E1345" s="42" t="n"/>
      <c r="F1345" s="43" t="n"/>
      <c r="G1345" s="44">
        <f>IF(OR(B1345="",F1345=""),"",IFERROR(F1345*INDEX(Mitarbeiter!$F$6:$F$205,MATCH(B1345,Mitarbeiter!$A$6:$A$205,0)),0))</f>
        <v/>
      </c>
      <c r="H1345" s="8">
        <f>IF(B1345="","",IF(ISNA(MATCH(B1345,Mitarbeiter!$A$6:$A$205,0)),"Pers.-Nr. unbekannt",IF(A1345="","Datum fehlt",IF(AND(D1345&lt;&gt;Einstellungen!$C$4,D1345&lt;&gt;Einstellungen!$C$5),"Objekt fehlt",IF(YEAR(A1345)&lt;&gt;Einstellungen!$C$3,"anderes Jahr",IF(A1345&lt;INDEX(Mitarbeiter!$C$6:$C$205,MATCH(B1345,Mitarbeiter!$A$6:$A$205,0)),"vor Eintritt",IF(AND(INDEX(Mitarbeiter!$D$6:$D$205,MATCH(B1345,Mitarbeiter!$A$6:$A$205,0))&lt;&gt;"",A1345&gt;INDEX(Mitarbeiter!$D$6:$D$205,MATCH(B1345,Mitarbeiter!$A$6:$A$205,0))),"nach Austritt","ok")))))))</f>
        <v/>
      </c>
    </row>
    <row r="1346">
      <c r="A1346" s="26" t="n"/>
      <c r="B1346" s="24" t="n"/>
      <c r="C1346" s="40">
        <f>IF(B1346="","",IFERROR(INDEX(Mitarbeiter!$B$6:$B$205,MATCH(B1346,Mitarbeiter!$A$6:$A$205,0)),"?"))</f>
        <v/>
      </c>
      <c r="D1346" s="41" t="n"/>
      <c r="E1346" s="42" t="n"/>
      <c r="F1346" s="43" t="n"/>
      <c r="G1346" s="44">
        <f>IF(OR(B1346="",F1346=""),"",IFERROR(F1346*INDEX(Mitarbeiter!$F$6:$F$205,MATCH(B1346,Mitarbeiter!$A$6:$A$205,0)),0))</f>
        <v/>
      </c>
      <c r="H1346" s="8">
        <f>IF(B1346="","",IF(ISNA(MATCH(B1346,Mitarbeiter!$A$6:$A$205,0)),"Pers.-Nr. unbekannt",IF(A1346="","Datum fehlt",IF(AND(D1346&lt;&gt;Einstellungen!$C$4,D1346&lt;&gt;Einstellungen!$C$5),"Objekt fehlt",IF(YEAR(A1346)&lt;&gt;Einstellungen!$C$3,"anderes Jahr",IF(A1346&lt;INDEX(Mitarbeiter!$C$6:$C$205,MATCH(B1346,Mitarbeiter!$A$6:$A$205,0)),"vor Eintritt",IF(AND(INDEX(Mitarbeiter!$D$6:$D$205,MATCH(B1346,Mitarbeiter!$A$6:$A$205,0))&lt;&gt;"",A1346&gt;INDEX(Mitarbeiter!$D$6:$D$205,MATCH(B1346,Mitarbeiter!$A$6:$A$205,0))),"nach Austritt","ok")))))))</f>
        <v/>
      </c>
    </row>
    <row r="1347">
      <c r="A1347" s="26" t="n"/>
      <c r="B1347" s="24" t="n"/>
      <c r="C1347" s="40">
        <f>IF(B1347="","",IFERROR(INDEX(Mitarbeiter!$B$6:$B$205,MATCH(B1347,Mitarbeiter!$A$6:$A$205,0)),"?"))</f>
        <v/>
      </c>
      <c r="D1347" s="41" t="n"/>
      <c r="E1347" s="42" t="n"/>
      <c r="F1347" s="43" t="n"/>
      <c r="G1347" s="44">
        <f>IF(OR(B1347="",F1347=""),"",IFERROR(F1347*INDEX(Mitarbeiter!$F$6:$F$205,MATCH(B1347,Mitarbeiter!$A$6:$A$205,0)),0))</f>
        <v/>
      </c>
      <c r="H1347" s="8">
        <f>IF(B1347="","",IF(ISNA(MATCH(B1347,Mitarbeiter!$A$6:$A$205,0)),"Pers.-Nr. unbekannt",IF(A1347="","Datum fehlt",IF(AND(D1347&lt;&gt;Einstellungen!$C$4,D1347&lt;&gt;Einstellungen!$C$5),"Objekt fehlt",IF(YEAR(A1347)&lt;&gt;Einstellungen!$C$3,"anderes Jahr",IF(A1347&lt;INDEX(Mitarbeiter!$C$6:$C$205,MATCH(B1347,Mitarbeiter!$A$6:$A$205,0)),"vor Eintritt",IF(AND(INDEX(Mitarbeiter!$D$6:$D$205,MATCH(B1347,Mitarbeiter!$A$6:$A$205,0))&lt;&gt;"",A1347&gt;INDEX(Mitarbeiter!$D$6:$D$205,MATCH(B1347,Mitarbeiter!$A$6:$A$205,0))),"nach Austritt","ok")))))))</f>
        <v/>
      </c>
    </row>
    <row r="1348">
      <c r="A1348" s="26" t="n"/>
      <c r="B1348" s="24" t="n"/>
      <c r="C1348" s="40">
        <f>IF(B1348="","",IFERROR(INDEX(Mitarbeiter!$B$6:$B$205,MATCH(B1348,Mitarbeiter!$A$6:$A$205,0)),"?"))</f>
        <v/>
      </c>
      <c r="D1348" s="41" t="n"/>
      <c r="E1348" s="42" t="n"/>
      <c r="F1348" s="43" t="n"/>
      <c r="G1348" s="44">
        <f>IF(OR(B1348="",F1348=""),"",IFERROR(F1348*INDEX(Mitarbeiter!$F$6:$F$205,MATCH(B1348,Mitarbeiter!$A$6:$A$205,0)),0))</f>
        <v/>
      </c>
      <c r="H1348" s="8">
        <f>IF(B1348="","",IF(ISNA(MATCH(B1348,Mitarbeiter!$A$6:$A$205,0)),"Pers.-Nr. unbekannt",IF(A1348="","Datum fehlt",IF(AND(D1348&lt;&gt;Einstellungen!$C$4,D1348&lt;&gt;Einstellungen!$C$5),"Objekt fehlt",IF(YEAR(A1348)&lt;&gt;Einstellungen!$C$3,"anderes Jahr",IF(A1348&lt;INDEX(Mitarbeiter!$C$6:$C$205,MATCH(B1348,Mitarbeiter!$A$6:$A$205,0)),"vor Eintritt",IF(AND(INDEX(Mitarbeiter!$D$6:$D$205,MATCH(B1348,Mitarbeiter!$A$6:$A$205,0))&lt;&gt;"",A1348&gt;INDEX(Mitarbeiter!$D$6:$D$205,MATCH(B1348,Mitarbeiter!$A$6:$A$205,0))),"nach Austritt","ok")))))))</f>
        <v/>
      </c>
    </row>
    <row r="1349">
      <c r="A1349" s="26" t="n"/>
      <c r="B1349" s="24" t="n"/>
      <c r="C1349" s="40">
        <f>IF(B1349="","",IFERROR(INDEX(Mitarbeiter!$B$6:$B$205,MATCH(B1349,Mitarbeiter!$A$6:$A$205,0)),"?"))</f>
        <v/>
      </c>
      <c r="D1349" s="41" t="n"/>
      <c r="E1349" s="42" t="n"/>
      <c r="F1349" s="43" t="n"/>
      <c r="G1349" s="44">
        <f>IF(OR(B1349="",F1349=""),"",IFERROR(F1349*INDEX(Mitarbeiter!$F$6:$F$205,MATCH(B1349,Mitarbeiter!$A$6:$A$205,0)),0))</f>
        <v/>
      </c>
      <c r="H1349" s="8">
        <f>IF(B1349="","",IF(ISNA(MATCH(B1349,Mitarbeiter!$A$6:$A$205,0)),"Pers.-Nr. unbekannt",IF(A1349="","Datum fehlt",IF(AND(D1349&lt;&gt;Einstellungen!$C$4,D1349&lt;&gt;Einstellungen!$C$5),"Objekt fehlt",IF(YEAR(A1349)&lt;&gt;Einstellungen!$C$3,"anderes Jahr",IF(A1349&lt;INDEX(Mitarbeiter!$C$6:$C$205,MATCH(B1349,Mitarbeiter!$A$6:$A$205,0)),"vor Eintritt",IF(AND(INDEX(Mitarbeiter!$D$6:$D$205,MATCH(B1349,Mitarbeiter!$A$6:$A$205,0))&lt;&gt;"",A1349&gt;INDEX(Mitarbeiter!$D$6:$D$205,MATCH(B1349,Mitarbeiter!$A$6:$A$205,0))),"nach Austritt","ok")))))))</f>
        <v/>
      </c>
    </row>
    <row r="1350">
      <c r="A1350" s="26" t="n"/>
      <c r="B1350" s="24" t="n"/>
      <c r="C1350" s="40">
        <f>IF(B1350="","",IFERROR(INDEX(Mitarbeiter!$B$6:$B$205,MATCH(B1350,Mitarbeiter!$A$6:$A$205,0)),"?"))</f>
        <v/>
      </c>
      <c r="D1350" s="41" t="n"/>
      <c r="E1350" s="42" t="n"/>
      <c r="F1350" s="43" t="n"/>
      <c r="G1350" s="44">
        <f>IF(OR(B1350="",F1350=""),"",IFERROR(F1350*INDEX(Mitarbeiter!$F$6:$F$205,MATCH(B1350,Mitarbeiter!$A$6:$A$205,0)),0))</f>
        <v/>
      </c>
      <c r="H1350" s="8">
        <f>IF(B1350="","",IF(ISNA(MATCH(B1350,Mitarbeiter!$A$6:$A$205,0)),"Pers.-Nr. unbekannt",IF(A1350="","Datum fehlt",IF(AND(D1350&lt;&gt;Einstellungen!$C$4,D1350&lt;&gt;Einstellungen!$C$5),"Objekt fehlt",IF(YEAR(A1350)&lt;&gt;Einstellungen!$C$3,"anderes Jahr",IF(A1350&lt;INDEX(Mitarbeiter!$C$6:$C$205,MATCH(B1350,Mitarbeiter!$A$6:$A$205,0)),"vor Eintritt",IF(AND(INDEX(Mitarbeiter!$D$6:$D$205,MATCH(B1350,Mitarbeiter!$A$6:$A$205,0))&lt;&gt;"",A1350&gt;INDEX(Mitarbeiter!$D$6:$D$205,MATCH(B1350,Mitarbeiter!$A$6:$A$205,0))),"nach Austritt","ok")))))))</f>
        <v/>
      </c>
    </row>
    <row r="1351">
      <c r="A1351" s="26" t="n"/>
      <c r="B1351" s="24" t="n"/>
      <c r="C1351" s="40">
        <f>IF(B1351="","",IFERROR(INDEX(Mitarbeiter!$B$6:$B$205,MATCH(B1351,Mitarbeiter!$A$6:$A$205,0)),"?"))</f>
        <v/>
      </c>
      <c r="D1351" s="41" t="n"/>
      <c r="E1351" s="42" t="n"/>
      <c r="F1351" s="43" t="n"/>
      <c r="G1351" s="44">
        <f>IF(OR(B1351="",F1351=""),"",IFERROR(F1351*INDEX(Mitarbeiter!$F$6:$F$205,MATCH(B1351,Mitarbeiter!$A$6:$A$205,0)),0))</f>
        <v/>
      </c>
      <c r="H1351" s="8">
        <f>IF(B1351="","",IF(ISNA(MATCH(B1351,Mitarbeiter!$A$6:$A$205,0)),"Pers.-Nr. unbekannt",IF(A1351="","Datum fehlt",IF(AND(D1351&lt;&gt;Einstellungen!$C$4,D1351&lt;&gt;Einstellungen!$C$5),"Objekt fehlt",IF(YEAR(A1351)&lt;&gt;Einstellungen!$C$3,"anderes Jahr",IF(A1351&lt;INDEX(Mitarbeiter!$C$6:$C$205,MATCH(B1351,Mitarbeiter!$A$6:$A$205,0)),"vor Eintritt",IF(AND(INDEX(Mitarbeiter!$D$6:$D$205,MATCH(B1351,Mitarbeiter!$A$6:$A$205,0))&lt;&gt;"",A1351&gt;INDEX(Mitarbeiter!$D$6:$D$205,MATCH(B1351,Mitarbeiter!$A$6:$A$205,0))),"nach Austritt","ok")))))))</f>
        <v/>
      </c>
    </row>
    <row r="1352">
      <c r="A1352" s="26" t="n"/>
      <c r="B1352" s="24" t="n"/>
      <c r="C1352" s="40">
        <f>IF(B1352="","",IFERROR(INDEX(Mitarbeiter!$B$6:$B$205,MATCH(B1352,Mitarbeiter!$A$6:$A$205,0)),"?"))</f>
        <v/>
      </c>
      <c r="D1352" s="41" t="n"/>
      <c r="E1352" s="42" t="n"/>
      <c r="F1352" s="43" t="n"/>
      <c r="G1352" s="44">
        <f>IF(OR(B1352="",F1352=""),"",IFERROR(F1352*INDEX(Mitarbeiter!$F$6:$F$205,MATCH(B1352,Mitarbeiter!$A$6:$A$205,0)),0))</f>
        <v/>
      </c>
      <c r="H1352" s="8">
        <f>IF(B1352="","",IF(ISNA(MATCH(B1352,Mitarbeiter!$A$6:$A$205,0)),"Pers.-Nr. unbekannt",IF(A1352="","Datum fehlt",IF(AND(D1352&lt;&gt;Einstellungen!$C$4,D1352&lt;&gt;Einstellungen!$C$5),"Objekt fehlt",IF(YEAR(A1352)&lt;&gt;Einstellungen!$C$3,"anderes Jahr",IF(A1352&lt;INDEX(Mitarbeiter!$C$6:$C$205,MATCH(B1352,Mitarbeiter!$A$6:$A$205,0)),"vor Eintritt",IF(AND(INDEX(Mitarbeiter!$D$6:$D$205,MATCH(B1352,Mitarbeiter!$A$6:$A$205,0))&lt;&gt;"",A1352&gt;INDEX(Mitarbeiter!$D$6:$D$205,MATCH(B1352,Mitarbeiter!$A$6:$A$205,0))),"nach Austritt","ok")))))))</f>
        <v/>
      </c>
    </row>
    <row r="1353">
      <c r="A1353" s="26" t="n"/>
      <c r="B1353" s="24" t="n"/>
      <c r="C1353" s="40">
        <f>IF(B1353="","",IFERROR(INDEX(Mitarbeiter!$B$6:$B$205,MATCH(B1353,Mitarbeiter!$A$6:$A$205,0)),"?"))</f>
        <v/>
      </c>
      <c r="D1353" s="41" t="n"/>
      <c r="E1353" s="42" t="n"/>
      <c r="F1353" s="43" t="n"/>
      <c r="G1353" s="44">
        <f>IF(OR(B1353="",F1353=""),"",IFERROR(F1353*INDEX(Mitarbeiter!$F$6:$F$205,MATCH(B1353,Mitarbeiter!$A$6:$A$205,0)),0))</f>
        <v/>
      </c>
      <c r="H1353" s="8">
        <f>IF(B1353="","",IF(ISNA(MATCH(B1353,Mitarbeiter!$A$6:$A$205,0)),"Pers.-Nr. unbekannt",IF(A1353="","Datum fehlt",IF(AND(D1353&lt;&gt;Einstellungen!$C$4,D1353&lt;&gt;Einstellungen!$C$5),"Objekt fehlt",IF(YEAR(A1353)&lt;&gt;Einstellungen!$C$3,"anderes Jahr",IF(A1353&lt;INDEX(Mitarbeiter!$C$6:$C$205,MATCH(B1353,Mitarbeiter!$A$6:$A$205,0)),"vor Eintritt",IF(AND(INDEX(Mitarbeiter!$D$6:$D$205,MATCH(B1353,Mitarbeiter!$A$6:$A$205,0))&lt;&gt;"",A1353&gt;INDEX(Mitarbeiter!$D$6:$D$205,MATCH(B1353,Mitarbeiter!$A$6:$A$205,0))),"nach Austritt","ok")))))))</f>
        <v/>
      </c>
    </row>
    <row r="1354">
      <c r="A1354" s="26" t="n"/>
      <c r="B1354" s="24" t="n"/>
      <c r="C1354" s="40">
        <f>IF(B1354="","",IFERROR(INDEX(Mitarbeiter!$B$6:$B$205,MATCH(B1354,Mitarbeiter!$A$6:$A$205,0)),"?"))</f>
        <v/>
      </c>
      <c r="D1354" s="41" t="n"/>
      <c r="E1354" s="42" t="n"/>
      <c r="F1354" s="43" t="n"/>
      <c r="G1354" s="44">
        <f>IF(OR(B1354="",F1354=""),"",IFERROR(F1354*INDEX(Mitarbeiter!$F$6:$F$205,MATCH(B1354,Mitarbeiter!$A$6:$A$205,0)),0))</f>
        <v/>
      </c>
      <c r="H1354" s="8">
        <f>IF(B1354="","",IF(ISNA(MATCH(B1354,Mitarbeiter!$A$6:$A$205,0)),"Pers.-Nr. unbekannt",IF(A1354="","Datum fehlt",IF(AND(D1354&lt;&gt;Einstellungen!$C$4,D1354&lt;&gt;Einstellungen!$C$5),"Objekt fehlt",IF(YEAR(A1354)&lt;&gt;Einstellungen!$C$3,"anderes Jahr",IF(A1354&lt;INDEX(Mitarbeiter!$C$6:$C$205,MATCH(B1354,Mitarbeiter!$A$6:$A$205,0)),"vor Eintritt",IF(AND(INDEX(Mitarbeiter!$D$6:$D$205,MATCH(B1354,Mitarbeiter!$A$6:$A$205,0))&lt;&gt;"",A1354&gt;INDEX(Mitarbeiter!$D$6:$D$205,MATCH(B1354,Mitarbeiter!$A$6:$A$205,0))),"nach Austritt","ok")))))))</f>
        <v/>
      </c>
    </row>
    <row r="1355">
      <c r="A1355" s="26" t="n"/>
      <c r="B1355" s="24" t="n"/>
      <c r="C1355" s="40">
        <f>IF(B1355="","",IFERROR(INDEX(Mitarbeiter!$B$6:$B$205,MATCH(B1355,Mitarbeiter!$A$6:$A$205,0)),"?"))</f>
        <v/>
      </c>
      <c r="D1355" s="41" t="n"/>
      <c r="E1355" s="42" t="n"/>
      <c r="F1355" s="43" t="n"/>
      <c r="G1355" s="44">
        <f>IF(OR(B1355="",F1355=""),"",IFERROR(F1355*INDEX(Mitarbeiter!$F$6:$F$205,MATCH(B1355,Mitarbeiter!$A$6:$A$205,0)),0))</f>
        <v/>
      </c>
      <c r="H1355" s="8">
        <f>IF(B1355="","",IF(ISNA(MATCH(B1355,Mitarbeiter!$A$6:$A$205,0)),"Pers.-Nr. unbekannt",IF(A1355="","Datum fehlt",IF(AND(D1355&lt;&gt;Einstellungen!$C$4,D1355&lt;&gt;Einstellungen!$C$5),"Objekt fehlt",IF(YEAR(A1355)&lt;&gt;Einstellungen!$C$3,"anderes Jahr",IF(A1355&lt;INDEX(Mitarbeiter!$C$6:$C$205,MATCH(B1355,Mitarbeiter!$A$6:$A$205,0)),"vor Eintritt",IF(AND(INDEX(Mitarbeiter!$D$6:$D$205,MATCH(B1355,Mitarbeiter!$A$6:$A$205,0))&lt;&gt;"",A1355&gt;INDEX(Mitarbeiter!$D$6:$D$205,MATCH(B1355,Mitarbeiter!$A$6:$A$205,0))),"nach Austritt","ok")))))))</f>
        <v/>
      </c>
    </row>
    <row r="1356">
      <c r="A1356" s="26" t="n"/>
      <c r="B1356" s="24" t="n"/>
      <c r="C1356" s="40">
        <f>IF(B1356="","",IFERROR(INDEX(Mitarbeiter!$B$6:$B$205,MATCH(B1356,Mitarbeiter!$A$6:$A$205,0)),"?"))</f>
        <v/>
      </c>
      <c r="D1356" s="41" t="n"/>
      <c r="E1356" s="42" t="n"/>
      <c r="F1356" s="43" t="n"/>
      <c r="G1356" s="44">
        <f>IF(OR(B1356="",F1356=""),"",IFERROR(F1356*INDEX(Mitarbeiter!$F$6:$F$205,MATCH(B1356,Mitarbeiter!$A$6:$A$205,0)),0))</f>
        <v/>
      </c>
      <c r="H1356" s="8">
        <f>IF(B1356="","",IF(ISNA(MATCH(B1356,Mitarbeiter!$A$6:$A$205,0)),"Pers.-Nr. unbekannt",IF(A1356="","Datum fehlt",IF(AND(D1356&lt;&gt;Einstellungen!$C$4,D1356&lt;&gt;Einstellungen!$C$5),"Objekt fehlt",IF(YEAR(A1356)&lt;&gt;Einstellungen!$C$3,"anderes Jahr",IF(A1356&lt;INDEX(Mitarbeiter!$C$6:$C$205,MATCH(B1356,Mitarbeiter!$A$6:$A$205,0)),"vor Eintritt",IF(AND(INDEX(Mitarbeiter!$D$6:$D$205,MATCH(B1356,Mitarbeiter!$A$6:$A$205,0))&lt;&gt;"",A1356&gt;INDEX(Mitarbeiter!$D$6:$D$205,MATCH(B1356,Mitarbeiter!$A$6:$A$205,0))),"nach Austritt","ok")))))))</f>
        <v/>
      </c>
    </row>
    <row r="1357">
      <c r="A1357" s="26" t="n"/>
      <c r="B1357" s="24" t="n"/>
      <c r="C1357" s="40">
        <f>IF(B1357="","",IFERROR(INDEX(Mitarbeiter!$B$6:$B$205,MATCH(B1357,Mitarbeiter!$A$6:$A$205,0)),"?"))</f>
        <v/>
      </c>
      <c r="D1357" s="41" t="n"/>
      <c r="E1357" s="42" t="n"/>
      <c r="F1357" s="43" t="n"/>
      <c r="G1357" s="44">
        <f>IF(OR(B1357="",F1357=""),"",IFERROR(F1357*INDEX(Mitarbeiter!$F$6:$F$205,MATCH(B1357,Mitarbeiter!$A$6:$A$205,0)),0))</f>
        <v/>
      </c>
      <c r="H1357" s="8">
        <f>IF(B1357="","",IF(ISNA(MATCH(B1357,Mitarbeiter!$A$6:$A$205,0)),"Pers.-Nr. unbekannt",IF(A1357="","Datum fehlt",IF(AND(D1357&lt;&gt;Einstellungen!$C$4,D1357&lt;&gt;Einstellungen!$C$5),"Objekt fehlt",IF(YEAR(A1357)&lt;&gt;Einstellungen!$C$3,"anderes Jahr",IF(A1357&lt;INDEX(Mitarbeiter!$C$6:$C$205,MATCH(B1357,Mitarbeiter!$A$6:$A$205,0)),"vor Eintritt",IF(AND(INDEX(Mitarbeiter!$D$6:$D$205,MATCH(B1357,Mitarbeiter!$A$6:$A$205,0))&lt;&gt;"",A1357&gt;INDEX(Mitarbeiter!$D$6:$D$205,MATCH(B1357,Mitarbeiter!$A$6:$A$205,0))),"nach Austritt","ok")))))))</f>
        <v/>
      </c>
    </row>
    <row r="1358">
      <c r="A1358" s="26" t="n"/>
      <c r="B1358" s="24" t="n"/>
      <c r="C1358" s="40">
        <f>IF(B1358="","",IFERROR(INDEX(Mitarbeiter!$B$6:$B$205,MATCH(B1358,Mitarbeiter!$A$6:$A$205,0)),"?"))</f>
        <v/>
      </c>
      <c r="D1358" s="41" t="n"/>
      <c r="E1358" s="42" t="n"/>
      <c r="F1358" s="43" t="n"/>
      <c r="G1358" s="44">
        <f>IF(OR(B1358="",F1358=""),"",IFERROR(F1358*INDEX(Mitarbeiter!$F$6:$F$205,MATCH(B1358,Mitarbeiter!$A$6:$A$205,0)),0))</f>
        <v/>
      </c>
      <c r="H1358" s="8">
        <f>IF(B1358="","",IF(ISNA(MATCH(B1358,Mitarbeiter!$A$6:$A$205,0)),"Pers.-Nr. unbekannt",IF(A1358="","Datum fehlt",IF(AND(D1358&lt;&gt;Einstellungen!$C$4,D1358&lt;&gt;Einstellungen!$C$5),"Objekt fehlt",IF(YEAR(A1358)&lt;&gt;Einstellungen!$C$3,"anderes Jahr",IF(A1358&lt;INDEX(Mitarbeiter!$C$6:$C$205,MATCH(B1358,Mitarbeiter!$A$6:$A$205,0)),"vor Eintritt",IF(AND(INDEX(Mitarbeiter!$D$6:$D$205,MATCH(B1358,Mitarbeiter!$A$6:$A$205,0))&lt;&gt;"",A1358&gt;INDEX(Mitarbeiter!$D$6:$D$205,MATCH(B1358,Mitarbeiter!$A$6:$A$205,0))),"nach Austritt","ok")))))))</f>
        <v/>
      </c>
    </row>
    <row r="1359">
      <c r="A1359" s="26" t="n"/>
      <c r="B1359" s="24" t="n"/>
      <c r="C1359" s="40">
        <f>IF(B1359="","",IFERROR(INDEX(Mitarbeiter!$B$6:$B$205,MATCH(B1359,Mitarbeiter!$A$6:$A$205,0)),"?"))</f>
        <v/>
      </c>
      <c r="D1359" s="41" t="n"/>
      <c r="E1359" s="42" t="n"/>
      <c r="F1359" s="43" t="n"/>
      <c r="G1359" s="44">
        <f>IF(OR(B1359="",F1359=""),"",IFERROR(F1359*INDEX(Mitarbeiter!$F$6:$F$205,MATCH(B1359,Mitarbeiter!$A$6:$A$205,0)),0))</f>
        <v/>
      </c>
      <c r="H1359" s="8">
        <f>IF(B1359="","",IF(ISNA(MATCH(B1359,Mitarbeiter!$A$6:$A$205,0)),"Pers.-Nr. unbekannt",IF(A1359="","Datum fehlt",IF(AND(D1359&lt;&gt;Einstellungen!$C$4,D1359&lt;&gt;Einstellungen!$C$5),"Objekt fehlt",IF(YEAR(A1359)&lt;&gt;Einstellungen!$C$3,"anderes Jahr",IF(A1359&lt;INDEX(Mitarbeiter!$C$6:$C$205,MATCH(B1359,Mitarbeiter!$A$6:$A$205,0)),"vor Eintritt",IF(AND(INDEX(Mitarbeiter!$D$6:$D$205,MATCH(B1359,Mitarbeiter!$A$6:$A$205,0))&lt;&gt;"",A1359&gt;INDEX(Mitarbeiter!$D$6:$D$205,MATCH(B1359,Mitarbeiter!$A$6:$A$205,0))),"nach Austritt","ok")))))))</f>
        <v/>
      </c>
    </row>
    <row r="1360">
      <c r="A1360" s="26" t="n"/>
      <c r="B1360" s="24" t="n"/>
      <c r="C1360" s="40">
        <f>IF(B1360="","",IFERROR(INDEX(Mitarbeiter!$B$6:$B$205,MATCH(B1360,Mitarbeiter!$A$6:$A$205,0)),"?"))</f>
        <v/>
      </c>
      <c r="D1360" s="41" t="n"/>
      <c r="E1360" s="42" t="n"/>
      <c r="F1360" s="43" t="n"/>
      <c r="G1360" s="44">
        <f>IF(OR(B1360="",F1360=""),"",IFERROR(F1360*INDEX(Mitarbeiter!$F$6:$F$205,MATCH(B1360,Mitarbeiter!$A$6:$A$205,0)),0))</f>
        <v/>
      </c>
      <c r="H1360" s="8">
        <f>IF(B1360="","",IF(ISNA(MATCH(B1360,Mitarbeiter!$A$6:$A$205,0)),"Pers.-Nr. unbekannt",IF(A1360="","Datum fehlt",IF(AND(D1360&lt;&gt;Einstellungen!$C$4,D1360&lt;&gt;Einstellungen!$C$5),"Objekt fehlt",IF(YEAR(A1360)&lt;&gt;Einstellungen!$C$3,"anderes Jahr",IF(A1360&lt;INDEX(Mitarbeiter!$C$6:$C$205,MATCH(B1360,Mitarbeiter!$A$6:$A$205,0)),"vor Eintritt",IF(AND(INDEX(Mitarbeiter!$D$6:$D$205,MATCH(B1360,Mitarbeiter!$A$6:$A$205,0))&lt;&gt;"",A1360&gt;INDEX(Mitarbeiter!$D$6:$D$205,MATCH(B1360,Mitarbeiter!$A$6:$A$205,0))),"nach Austritt","ok")))))))</f>
        <v/>
      </c>
    </row>
    <row r="1361">
      <c r="A1361" s="26" t="n"/>
      <c r="B1361" s="24" t="n"/>
      <c r="C1361" s="40">
        <f>IF(B1361="","",IFERROR(INDEX(Mitarbeiter!$B$6:$B$205,MATCH(B1361,Mitarbeiter!$A$6:$A$205,0)),"?"))</f>
        <v/>
      </c>
      <c r="D1361" s="41" t="n"/>
      <c r="E1361" s="42" t="n"/>
      <c r="F1361" s="43" t="n"/>
      <c r="G1361" s="44">
        <f>IF(OR(B1361="",F1361=""),"",IFERROR(F1361*INDEX(Mitarbeiter!$F$6:$F$205,MATCH(B1361,Mitarbeiter!$A$6:$A$205,0)),0))</f>
        <v/>
      </c>
      <c r="H1361" s="8">
        <f>IF(B1361="","",IF(ISNA(MATCH(B1361,Mitarbeiter!$A$6:$A$205,0)),"Pers.-Nr. unbekannt",IF(A1361="","Datum fehlt",IF(AND(D1361&lt;&gt;Einstellungen!$C$4,D1361&lt;&gt;Einstellungen!$C$5),"Objekt fehlt",IF(YEAR(A1361)&lt;&gt;Einstellungen!$C$3,"anderes Jahr",IF(A1361&lt;INDEX(Mitarbeiter!$C$6:$C$205,MATCH(B1361,Mitarbeiter!$A$6:$A$205,0)),"vor Eintritt",IF(AND(INDEX(Mitarbeiter!$D$6:$D$205,MATCH(B1361,Mitarbeiter!$A$6:$A$205,0))&lt;&gt;"",A1361&gt;INDEX(Mitarbeiter!$D$6:$D$205,MATCH(B1361,Mitarbeiter!$A$6:$A$205,0))),"nach Austritt","ok")))))))</f>
        <v/>
      </c>
    </row>
    <row r="1362">
      <c r="A1362" s="26" t="n"/>
      <c r="B1362" s="24" t="n"/>
      <c r="C1362" s="40">
        <f>IF(B1362="","",IFERROR(INDEX(Mitarbeiter!$B$6:$B$205,MATCH(B1362,Mitarbeiter!$A$6:$A$205,0)),"?"))</f>
        <v/>
      </c>
      <c r="D1362" s="41" t="n"/>
      <c r="E1362" s="42" t="n"/>
      <c r="F1362" s="43" t="n"/>
      <c r="G1362" s="44">
        <f>IF(OR(B1362="",F1362=""),"",IFERROR(F1362*INDEX(Mitarbeiter!$F$6:$F$205,MATCH(B1362,Mitarbeiter!$A$6:$A$205,0)),0))</f>
        <v/>
      </c>
      <c r="H1362" s="8">
        <f>IF(B1362="","",IF(ISNA(MATCH(B1362,Mitarbeiter!$A$6:$A$205,0)),"Pers.-Nr. unbekannt",IF(A1362="","Datum fehlt",IF(AND(D1362&lt;&gt;Einstellungen!$C$4,D1362&lt;&gt;Einstellungen!$C$5),"Objekt fehlt",IF(YEAR(A1362)&lt;&gt;Einstellungen!$C$3,"anderes Jahr",IF(A1362&lt;INDEX(Mitarbeiter!$C$6:$C$205,MATCH(B1362,Mitarbeiter!$A$6:$A$205,0)),"vor Eintritt",IF(AND(INDEX(Mitarbeiter!$D$6:$D$205,MATCH(B1362,Mitarbeiter!$A$6:$A$205,0))&lt;&gt;"",A1362&gt;INDEX(Mitarbeiter!$D$6:$D$205,MATCH(B1362,Mitarbeiter!$A$6:$A$205,0))),"nach Austritt","ok")))))))</f>
        <v/>
      </c>
    </row>
    <row r="1363">
      <c r="A1363" s="26" t="n"/>
      <c r="B1363" s="24" t="n"/>
      <c r="C1363" s="40">
        <f>IF(B1363="","",IFERROR(INDEX(Mitarbeiter!$B$6:$B$205,MATCH(B1363,Mitarbeiter!$A$6:$A$205,0)),"?"))</f>
        <v/>
      </c>
      <c r="D1363" s="41" t="n"/>
      <c r="E1363" s="42" t="n"/>
      <c r="F1363" s="43" t="n"/>
      <c r="G1363" s="44">
        <f>IF(OR(B1363="",F1363=""),"",IFERROR(F1363*INDEX(Mitarbeiter!$F$6:$F$205,MATCH(B1363,Mitarbeiter!$A$6:$A$205,0)),0))</f>
        <v/>
      </c>
      <c r="H1363" s="8">
        <f>IF(B1363="","",IF(ISNA(MATCH(B1363,Mitarbeiter!$A$6:$A$205,0)),"Pers.-Nr. unbekannt",IF(A1363="","Datum fehlt",IF(AND(D1363&lt;&gt;Einstellungen!$C$4,D1363&lt;&gt;Einstellungen!$C$5),"Objekt fehlt",IF(YEAR(A1363)&lt;&gt;Einstellungen!$C$3,"anderes Jahr",IF(A1363&lt;INDEX(Mitarbeiter!$C$6:$C$205,MATCH(B1363,Mitarbeiter!$A$6:$A$205,0)),"vor Eintritt",IF(AND(INDEX(Mitarbeiter!$D$6:$D$205,MATCH(B1363,Mitarbeiter!$A$6:$A$205,0))&lt;&gt;"",A1363&gt;INDEX(Mitarbeiter!$D$6:$D$205,MATCH(B1363,Mitarbeiter!$A$6:$A$205,0))),"nach Austritt","ok")))))))</f>
        <v/>
      </c>
    </row>
    <row r="1364">
      <c r="A1364" s="26" t="n"/>
      <c r="B1364" s="24" t="n"/>
      <c r="C1364" s="40">
        <f>IF(B1364="","",IFERROR(INDEX(Mitarbeiter!$B$6:$B$205,MATCH(B1364,Mitarbeiter!$A$6:$A$205,0)),"?"))</f>
        <v/>
      </c>
      <c r="D1364" s="41" t="n"/>
      <c r="E1364" s="42" t="n"/>
      <c r="F1364" s="43" t="n"/>
      <c r="G1364" s="44">
        <f>IF(OR(B1364="",F1364=""),"",IFERROR(F1364*INDEX(Mitarbeiter!$F$6:$F$205,MATCH(B1364,Mitarbeiter!$A$6:$A$205,0)),0))</f>
        <v/>
      </c>
      <c r="H1364" s="8">
        <f>IF(B1364="","",IF(ISNA(MATCH(B1364,Mitarbeiter!$A$6:$A$205,0)),"Pers.-Nr. unbekannt",IF(A1364="","Datum fehlt",IF(AND(D1364&lt;&gt;Einstellungen!$C$4,D1364&lt;&gt;Einstellungen!$C$5),"Objekt fehlt",IF(YEAR(A1364)&lt;&gt;Einstellungen!$C$3,"anderes Jahr",IF(A1364&lt;INDEX(Mitarbeiter!$C$6:$C$205,MATCH(B1364,Mitarbeiter!$A$6:$A$205,0)),"vor Eintritt",IF(AND(INDEX(Mitarbeiter!$D$6:$D$205,MATCH(B1364,Mitarbeiter!$A$6:$A$205,0))&lt;&gt;"",A1364&gt;INDEX(Mitarbeiter!$D$6:$D$205,MATCH(B1364,Mitarbeiter!$A$6:$A$205,0))),"nach Austritt","ok")))))))</f>
        <v/>
      </c>
    </row>
    <row r="1365">
      <c r="A1365" s="26" t="n"/>
      <c r="B1365" s="24" t="n"/>
      <c r="C1365" s="40">
        <f>IF(B1365="","",IFERROR(INDEX(Mitarbeiter!$B$6:$B$205,MATCH(B1365,Mitarbeiter!$A$6:$A$205,0)),"?"))</f>
        <v/>
      </c>
      <c r="D1365" s="41" t="n"/>
      <c r="E1365" s="42" t="n"/>
      <c r="F1365" s="43" t="n"/>
      <c r="G1365" s="44">
        <f>IF(OR(B1365="",F1365=""),"",IFERROR(F1365*INDEX(Mitarbeiter!$F$6:$F$205,MATCH(B1365,Mitarbeiter!$A$6:$A$205,0)),0))</f>
        <v/>
      </c>
      <c r="H1365" s="8">
        <f>IF(B1365="","",IF(ISNA(MATCH(B1365,Mitarbeiter!$A$6:$A$205,0)),"Pers.-Nr. unbekannt",IF(A1365="","Datum fehlt",IF(AND(D1365&lt;&gt;Einstellungen!$C$4,D1365&lt;&gt;Einstellungen!$C$5),"Objekt fehlt",IF(YEAR(A1365)&lt;&gt;Einstellungen!$C$3,"anderes Jahr",IF(A1365&lt;INDEX(Mitarbeiter!$C$6:$C$205,MATCH(B1365,Mitarbeiter!$A$6:$A$205,0)),"vor Eintritt",IF(AND(INDEX(Mitarbeiter!$D$6:$D$205,MATCH(B1365,Mitarbeiter!$A$6:$A$205,0))&lt;&gt;"",A1365&gt;INDEX(Mitarbeiter!$D$6:$D$205,MATCH(B1365,Mitarbeiter!$A$6:$A$205,0))),"nach Austritt","ok")))))))</f>
        <v/>
      </c>
    </row>
    <row r="1366">
      <c r="A1366" s="26" t="n"/>
      <c r="B1366" s="24" t="n"/>
      <c r="C1366" s="40">
        <f>IF(B1366="","",IFERROR(INDEX(Mitarbeiter!$B$6:$B$205,MATCH(B1366,Mitarbeiter!$A$6:$A$205,0)),"?"))</f>
        <v/>
      </c>
      <c r="D1366" s="41" t="n"/>
      <c r="E1366" s="42" t="n"/>
      <c r="F1366" s="43" t="n"/>
      <c r="G1366" s="44">
        <f>IF(OR(B1366="",F1366=""),"",IFERROR(F1366*INDEX(Mitarbeiter!$F$6:$F$205,MATCH(B1366,Mitarbeiter!$A$6:$A$205,0)),0))</f>
        <v/>
      </c>
      <c r="H1366" s="8">
        <f>IF(B1366="","",IF(ISNA(MATCH(B1366,Mitarbeiter!$A$6:$A$205,0)),"Pers.-Nr. unbekannt",IF(A1366="","Datum fehlt",IF(AND(D1366&lt;&gt;Einstellungen!$C$4,D1366&lt;&gt;Einstellungen!$C$5),"Objekt fehlt",IF(YEAR(A1366)&lt;&gt;Einstellungen!$C$3,"anderes Jahr",IF(A1366&lt;INDEX(Mitarbeiter!$C$6:$C$205,MATCH(B1366,Mitarbeiter!$A$6:$A$205,0)),"vor Eintritt",IF(AND(INDEX(Mitarbeiter!$D$6:$D$205,MATCH(B1366,Mitarbeiter!$A$6:$A$205,0))&lt;&gt;"",A1366&gt;INDEX(Mitarbeiter!$D$6:$D$205,MATCH(B1366,Mitarbeiter!$A$6:$A$205,0))),"nach Austritt","ok")))))))</f>
        <v/>
      </c>
    </row>
    <row r="1367">
      <c r="A1367" s="26" t="n"/>
      <c r="B1367" s="24" t="n"/>
      <c r="C1367" s="40">
        <f>IF(B1367="","",IFERROR(INDEX(Mitarbeiter!$B$6:$B$205,MATCH(B1367,Mitarbeiter!$A$6:$A$205,0)),"?"))</f>
        <v/>
      </c>
      <c r="D1367" s="41" t="n"/>
      <c r="E1367" s="42" t="n"/>
      <c r="F1367" s="43" t="n"/>
      <c r="G1367" s="44">
        <f>IF(OR(B1367="",F1367=""),"",IFERROR(F1367*INDEX(Mitarbeiter!$F$6:$F$205,MATCH(B1367,Mitarbeiter!$A$6:$A$205,0)),0))</f>
        <v/>
      </c>
      <c r="H1367" s="8">
        <f>IF(B1367="","",IF(ISNA(MATCH(B1367,Mitarbeiter!$A$6:$A$205,0)),"Pers.-Nr. unbekannt",IF(A1367="","Datum fehlt",IF(AND(D1367&lt;&gt;Einstellungen!$C$4,D1367&lt;&gt;Einstellungen!$C$5),"Objekt fehlt",IF(YEAR(A1367)&lt;&gt;Einstellungen!$C$3,"anderes Jahr",IF(A1367&lt;INDEX(Mitarbeiter!$C$6:$C$205,MATCH(B1367,Mitarbeiter!$A$6:$A$205,0)),"vor Eintritt",IF(AND(INDEX(Mitarbeiter!$D$6:$D$205,MATCH(B1367,Mitarbeiter!$A$6:$A$205,0))&lt;&gt;"",A1367&gt;INDEX(Mitarbeiter!$D$6:$D$205,MATCH(B1367,Mitarbeiter!$A$6:$A$205,0))),"nach Austritt","ok")))))))</f>
        <v/>
      </c>
    </row>
    <row r="1368">
      <c r="A1368" s="26" t="n"/>
      <c r="B1368" s="24" t="n"/>
      <c r="C1368" s="40">
        <f>IF(B1368="","",IFERROR(INDEX(Mitarbeiter!$B$6:$B$205,MATCH(B1368,Mitarbeiter!$A$6:$A$205,0)),"?"))</f>
        <v/>
      </c>
      <c r="D1368" s="41" t="n"/>
      <c r="E1368" s="42" t="n"/>
      <c r="F1368" s="43" t="n"/>
      <c r="G1368" s="44">
        <f>IF(OR(B1368="",F1368=""),"",IFERROR(F1368*INDEX(Mitarbeiter!$F$6:$F$205,MATCH(B1368,Mitarbeiter!$A$6:$A$205,0)),0))</f>
        <v/>
      </c>
      <c r="H1368" s="8">
        <f>IF(B1368="","",IF(ISNA(MATCH(B1368,Mitarbeiter!$A$6:$A$205,0)),"Pers.-Nr. unbekannt",IF(A1368="","Datum fehlt",IF(AND(D1368&lt;&gt;Einstellungen!$C$4,D1368&lt;&gt;Einstellungen!$C$5),"Objekt fehlt",IF(YEAR(A1368)&lt;&gt;Einstellungen!$C$3,"anderes Jahr",IF(A1368&lt;INDEX(Mitarbeiter!$C$6:$C$205,MATCH(B1368,Mitarbeiter!$A$6:$A$205,0)),"vor Eintritt",IF(AND(INDEX(Mitarbeiter!$D$6:$D$205,MATCH(B1368,Mitarbeiter!$A$6:$A$205,0))&lt;&gt;"",A1368&gt;INDEX(Mitarbeiter!$D$6:$D$205,MATCH(B1368,Mitarbeiter!$A$6:$A$205,0))),"nach Austritt","ok")))))))</f>
        <v/>
      </c>
    </row>
    <row r="1369">
      <c r="A1369" s="26" t="n"/>
      <c r="B1369" s="24" t="n"/>
      <c r="C1369" s="40">
        <f>IF(B1369="","",IFERROR(INDEX(Mitarbeiter!$B$6:$B$205,MATCH(B1369,Mitarbeiter!$A$6:$A$205,0)),"?"))</f>
        <v/>
      </c>
      <c r="D1369" s="41" t="n"/>
      <c r="E1369" s="42" t="n"/>
      <c r="F1369" s="43" t="n"/>
      <c r="G1369" s="44">
        <f>IF(OR(B1369="",F1369=""),"",IFERROR(F1369*INDEX(Mitarbeiter!$F$6:$F$205,MATCH(B1369,Mitarbeiter!$A$6:$A$205,0)),0))</f>
        <v/>
      </c>
      <c r="H1369" s="8">
        <f>IF(B1369="","",IF(ISNA(MATCH(B1369,Mitarbeiter!$A$6:$A$205,0)),"Pers.-Nr. unbekannt",IF(A1369="","Datum fehlt",IF(AND(D1369&lt;&gt;Einstellungen!$C$4,D1369&lt;&gt;Einstellungen!$C$5),"Objekt fehlt",IF(YEAR(A1369)&lt;&gt;Einstellungen!$C$3,"anderes Jahr",IF(A1369&lt;INDEX(Mitarbeiter!$C$6:$C$205,MATCH(B1369,Mitarbeiter!$A$6:$A$205,0)),"vor Eintritt",IF(AND(INDEX(Mitarbeiter!$D$6:$D$205,MATCH(B1369,Mitarbeiter!$A$6:$A$205,0))&lt;&gt;"",A1369&gt;INDEX(Mitarbeiter!$D$6:$D$205,MATCH(B1369,Mitarbeiter!$A$6:$A$205,0))),"nach Austritt","ok")))))))</f>
        <v/>
      </c>
    </row>
    <row r="1370">
      <c r="A1370" s="26" t="n"/>
      <c r="B1370" s="24" t="n"/>
      <c r="C1370" s="40">
        <f>IF(B1370="","",IFERROR(INDEX(Mitarbeiter!$B$6:$B$205,MATCH(B1370,Mitarbeiter!$A$6:$A$205,0)),"?"))</f>
        <v/>
      </c>
      <c r="D1370" s="41" t="n"/>
      <c r="E1370" s="42" t="n"/>
      <c r="F1370" s="43" t="n"/>
      <c r="G1370" s="44">
        <f>IF(OR(B1370="",F1370=""),"",IFERROR(F1370*INDEX(Mitarbeiter!$F$6:$F$205,MATCH(B1370,Mitarbeiter!$A$6:$A$205,0)),0))</f>
        <v/>
      </c>
      <c r="H1370" s="8">
        <f>IF(B1370="","",IF(ISNA(MATCH(B1370,Mitarbeiter!$A$6:$A$205,0)),"Pers.-Nr. unbekannt",IF(A1370="","Datum fehlt",IF(AND(D1370&lt;&gt;Einstellungen!$C$4,D1370&lt;&gt;Einstellungen!$C$5),"Objekt fehlt",IF(YEAR(A1370)&lt;&gt;Einstellungen!$C$3,"anderes Jahr",IF(A1370&lt;INDEX(Mitarbeiter!$C$6:$C$205,MATCH(B1370,Mitarbeiter!$A$6:$A$205,0)),"vor Eintritt",IF(AND(INDEX(Mitarbeiter!$D$6:$D$205,MATCH(B1370,Mitarbeiter!$A$6:$A$205,0))&lt;&gt;"",A1370&gt;INDEX(Mitarbeiter!$D$6:$D$205,MATCH(B1370,Mitarbeiter!$A$6:$A$205,0))),"nach Austritt","ok")))))))</f>
        <v/>
      </c>
    </row>
    <row r="1371">
      <c r="A1371" s="26" t="n"/>
      <c r="B1371" s="24" t="n"/>
      <c r="C1371" s="40">
        <f>IF(B1371="","",IFERROR(INDEX(Mitarbeiter!$B$6:$B$205,MATCH(B1371,Mitarbeiter!$A$6:$A$205,0)),"?"))</f>
        <v/>
      </c>
      <c r="D1371" s="41" t="n"/>
      <c r="E1371" s="42" t="n"/>
      <c r="F1371" s="43" t="n"/>
      <c r="G1371" s="44">
        <f>IF(OR(B1371="",F1371=""),"",IFERROR(F1371*INDEX(Mitarbeiter!$F$6:$F$205,MATCH(B1371,Mitarbeiter!$A$6:$A$205,0)),0))</f>
        <v/>
      </c>
      <c r="H1371" s="8">
        <f>IF(B1371="","",IF(ISNA(MATCH(B1371,Mitarbeiter!$A$6:$A$205,0)),"Pers.-Nr. unbekannt",IF(A1371="","Datum fehlt",IF(AND(D1371&lt;&gt;Einstellungen!$C$4,D1371&lt;&gt;Einstellungen!$C$5),"Objekt fehlt",IF(YEAR(A1371)&lt;&gt;Einstellungen!$C$3,"anderes Jahr",IF(A1371&lt;INDEX(Mitarbeiter!$C$6:$C$205,MATCH(B1371,Mitarbeiter!$A$6:$A$205,0)),"vor Eintritt",IF(AND(INDEX(Mitarbeiter!$D$6:$D$205,MATCH(B1371,Mitarbeiter!$A$6:$A$205,0))&lt;&gt;"",A1371&gt;INDEX(Mitarbeiter!$D$6:$D$205,MATCH(B1371,Mitarbeiter!$A$6:$A$205,0))),"nach Austritt","ok")))))))</f>
        <v/>
      </c>
    </row>
    <row r="1372">
      <c r="A1372" s="26" t="n"/>
      <c r="B1372" s="24" t="n"/>
      <c r="C1372" s="40">
        <f>IF(B1372="","",IFERROR(INDEX(Mitarbeiter!$B$6:$B$205,MATCH(B1372,Mitarbeiter!$A$6:$A$205,0)),"?"))</f>
        <v/>
      </c>
      <c r="D1372" s="41" t="n"/>
      <c r="E1372" s="42" t="n"/>
      <c r="F1372" s="43" t="n"/>
      <c r="G1372" s="44">
        <f>IF(OR(B1372="",F1372=""),"",IFERROR(F1372*INDEX(Mitarbeiter!$F$6:$F$205,MATCH(B1372,Mitarbeiter!$A$6:$A$205,0)),0))</f>
        <v/>
      </c>
      <c r="H1372" s="8">
        <f>IF(B1372="","",IF(ISNA(MATCH(B1372,Mitarbeiter!$A$6:$A$205,0)),"Pers.-Nr. unbekannt",IF(A1372="","Datum fehlt",IF(AND(D1372&lt;&gt;Einstellungen!$C$4,D1372&lt;&gt;Einstellungen!$C$5),"Objekt fehlt",IF(YEAR(A1372)&lt;&gt;Einstellungen!$C$3,"anderes Jahr",IF(A1372&lt;INDEX(Mitarbeiter!$C$6:$C$205,MATCH(B1372,Mitarbeiter!$A$6:$A$205,0)),"vor Eintritt",IF(AND(INDEX(Mitarbeiter!$D$6:$D$205,MATCH(B1372,Mitarbeiter!$A$6:$A$205,0))&lt;&gt;"",A1372&gt;INDEX(Mitarbeiter!$D$6:$D$205,MATCH(B1372,Mitarbeiter!$A$6:$A$205,0))),"nach Austritt","ok")))))))</f>
        <v/>
      </c>
    </row>
    <row r="1373">
      <c r="A1373" s="26" t="n"/>
      <c r="B1373" s="24" t="n"/>
      <c r="C1373" s="40">
        <f>IF(B1373="","",IFERROR(INDEX(Mitarbeiter!$B$6:$B$205,MATCH(B1373,Mitarbeiter!$A$6:$A$205,0)),"?"))</f>
        <v/>
      </c>
      <c r="D1373" s="41" t="n"/>
      <c r="E1373" s="42" t="n"/>
      <c r="F1373" s="43" t="n"/>
      <c r="G1373" s="44">
        <f>IF(OR(B1373="",F1373=""),"",IFERROR(F1373*INDEX(Mitarbeiter!$F$6:$F$205,MATCH(B1373,Mitarbeiter!$A$6:$A$205,0)),0))</f>
        <v/>
      </c>
      <c r="H1373" s="8">
        <f>IF(B1373="","",IF(ISNA(MATCH(B1373,Mitarbeiter!$A$6:$A$205,0)),"Pers.-Nr. unbekannt",IF(A1373="","Datum fehlt",IF(AND(D1373&lt;&gt;Einstellungen!$C$4,D1373&lt;&gt;Einstellungen!$C$5),"Objekt fehlt",IF(YEAR(A1373)&lt;&gt;Einstellungen!$C$3,"anderes Jahr",IF(A1373&lt;INDEX(Mitarbeiter!$C$6:$C$205,MATCH(B1373,Mitarbeiter!$A$6:$A$205,0)),"vor Eintritt",IF(AND(INDEX(Mitarbeiter!$D$6:$D$205,MATCH(B1373,Mitarbeiter!$A$6:$A$205,0))&lt;&gt;"",A1373&gt;INDEX(Mitarbeiter!$D$6:$D$205,MATCH(B1373,Mitarbeiter!$A$6:$A$205,0))),"nach Austritt","ok")))))))</f>
        <v/>
      </c>
    </row>
    <row r="1374">
      <c r="A1374" s="26" t="n"/>
      <c r="B1374" s="24" t="n"/>
      <c r="C1374" s="40">
        <f>IF(B1374="","",IFERROR(INDEX(Mitarbeiter!$B$6:$B$205,MATCH(B1374,Mitarbeiter!$A$6:$A$205,0)),"?"))</f>
        <v/>
      </c>
      <c r="D1374" s="41" t="n"/>
      <c r="E1374" s="42" t="n"/>
      <c r="F1374" s="43" t="n"/>
      <c r="G1374" s="44">
        <f>IF(OR(B1374="",F1374=""),"",IFERROR(F1374*INDEX(Mitarbeiter!$F$6:$F$205,MATCH(B1374,Mitarbeiter!$A$6:$A$205,0)),0))</f>
        <v/>
      </c>
      <c r="H1374" s="8">
        <f>IF(B1374="","",IF(ISNA(MATCH(B1374,Mitarbeiter!$A$6:$A$205,0)),"Pers.-Nr. unbekannt",IF(A1374="","Datum fehlt",IF(AND(D1374&lt;&gt;Einstellungen!$C$4,D1374&lt;&gt;Einstellungen!$C$5),"Objekt fehlt",IF(YEAR(A1374)&lt;&gt;Einstellungen!$C$3,"anderes Jahr",IF(A1374&lt;INDEX(Mitarbeiter!$C$6:$C$205,MATCH(B1374,Mitarbeiter!$A$6:$A$205,0)),"vor Eintritt",IF(AND(INDEX(Mitarbeiter!$D$6:$D$205,MATCH(B1374,Mitarbeiter!$A$6:$A$205,0))&lt;&gt;"",A1374&gt;INDEX(Mitarbeiter!$D$6:$D$205,MATCH(B1374,Mitarbeiter!$A$6:$A$205,0))),"nach Austritt","ok")))))))</f>
        <v/>
      </c>
    </row>
    <row r="1375">
      <c r="A1375" s="26" t="n"/>
      <c r="B1375" s="24" t="n"/>
      <c r="C1375" s="40">
        <f>IF(B1375="","",IFERROR(INDEX(Mitarbeiter!$B$6:$B$205,MATCH(B1375,Mitarbeiter!$A$6:$A$205,0)),"?"))</f>
        <v/>
      </c>
      <c r="D1375" s="41" t="n"/>
      <c r="E1375" s="42" t="n"/>
      <c r="F1375" s="43" t="n"/>
      <c r="G1375" s="44">
        <f>IF(OR(B1375="",F1375=""),"",IFERROR(F1375*INDEX(Mitarbeiter!$F$6:$F$205,MATCH(B1375,Mitarbeiter!$A$6:$A$205,0)),0))</f>
        <v/>
      </c>
      <c r="H1375" s="8">
        <f>IF(B1375="","",IF(ISNA(MATCH(B1375,Mitarbeiter!$A$6:$A$205,0)),"Pers.-Nr. unbekannt",IF(A1375="","Datum fehlt",IF(AND(D1375&lt;&gt;Einstellungen!$C$4,D1375&lt;&gt;Einstellungen!$C$5),"Objekt fehlt",IF(YEAR(A1375)&lt;&gt;Einstellungen!$C$3,"anderes Jahr",IF(A1375&lt;INDEX(Mitarbeiter!$C$6:$C$205,MATCH(B1375,Mitarbeiter!$A$6:$A$205,0)),"vor Eintritt",IF(AND(INDEX(Mitarbeiter!$D$6:$D$205,MATCH(B1375,Mitarbeiter!$A$6:$A$205,0))&lt;&gt;"",A1375&gt;INDEX(Mitarbeiter!$D$6:$D$205,MATCH(B1375,Mitarbeiter!$A$6:$A$205,0))),"nach Austritt","ok")))))))</f>
        <v/>
      </c>
    </row>
    <row r="1376">
      <c r="A1376" s="26" t="n"/>
      <c r="B1376" s="24" t="n"/>
      <c r="C1376" s="40">
        <f>IF(B1376="","",IFERROR(INDEX(Mitarbeiter!$B$6:$B$205,MATCH(B1376,Mitarbeiter!$A$6:$A$205,0)),"?"))</f>
        <v/>
      </c>
      <c r="D1376" s="41" t="n"/>
      <c r="E1376" s="42" t="n"/>
      <c r="F1376" s="43" t="n"/>
      <c r="G1376" s="44">
        <f>IF(OR(B1376="",F1376=""),"",IFERROR(F1376*INDEX(Mitarbeiter!$F$6:$F$205,MATCH(B1376,Mitarbeiter!$A$6:$A$205,0)),0))</f>
        <v/>
      </c>
      <c r="H1376" s="8">
        <f>IF(B1376="","",IF(ISNA(MATCH(B1376,Mitarbeiter!$A$6:$A$205,0)),"Pers.-Nr. unbekannt",IF(A1376="","Datum fehlt",IF(AND(D1376&lt;&gt;Einstellungen!$C$4,D1376&lt;&gt;Einstellungen!$C$5),"Objekt fehlt",IF(YEAR(A1376)&lt;&gt;Einstellungen!$C$3,"anderes Jahr",IF(A1376&lt;INDEX(Mitarbeiter!$C$6:$C$205,MATCH(B1376,Mitarbeiter!$A$6:$A$205,0)),"vor Eintritt",IF(AND(INDEX(Mitarbeiter!$D$6:$D$205,MATCH(B1376,Mitarbeiter!$A$6:$A$205,0))&lt;&gt;"",A1376&gt;INDEX(Mitarbeiter!$D$6:$D$205,MATCH(B1376,Mitarbeiter!$A$6:$A$205,0))),"nach Austritt","ok")))))))</f>
        <v/>
      </c>
    </row>
    <row r="1377">
      <c r="A1377" s="26" t="n"/>
      <c r="B1377" s="24" t="n"/>
      <c r="C1377" s="40">
        <f>IF(B1377="","",IFERROR(INDEX(Mitarbeiter!$B$6:$B$205,MATCH(B1377,Mitarbeiter!$A$6:$A$205,0)),"?"))</f>
        <v/>
      </c>
      <c r="D1377" s="41" t="n"/>
      <c r="E1377" s="42" t="n"/>
      <c r="F1377" s="43" t="n"/>
      <c r="G1377" s="44">
        <f>IF(OR(B1377="",F1377=""),"",IFERROR(F1377*INDEX(Mitarbeiter!$F$6:$F$205,MATCH(B1377,Mitarbeiter!$A$6:$A$205,0)),0))</f>
        <v/>
      </c>
      <c r="H1377" s="8">
        <f>IF(B1377="","",IF(ISNA(MATCH(B1377,Mitarbeiter!$A$6:$A$205,0)),"Pers.-Nr. unbekannt",IF(A1377="","Datum fehlt",IF(AND(D1377&lt;&gt;Einstellungen!$C$4,D1377&lt;&gt;Einstellungen!$C$5),"Objekt fehlt",IF(YEAR(A1377)&lt;&gt;Einstellungen!$C$3,"anderes Jahr",IF(A1377&lt;INDEX(Mitarbeiter!$C$6:$C$205,MATCH(B1377,Mitarbeiter!$A$6:$A$205,0)),"vor Eintritt",IF(AND(INDEX(Mitarbeiter!$D$6:$D$205,MATCH(B1377,Mitarbeiter!$A$6:$A$205,0))&lt;&gt;"",A1377&gt;INDEX(Mitarbeiter!$D$6:$D$205,MATCH(B1377,Mitarbeiter!$A$6:$A$205,0))),"nach Austritt","ok")))))))</f>
        <v/>
      </c>
    </row>
    <row r="1378">
      <c r="A1378" s="26" t="n"/>
      <c r="B1378" s="24" t="n"/>
      <c r="C1378" s="40">
        <f>IF(B1378="","",IFERROR(INDEX(Mitarbeiter!$B$6:$B$205,MATCH(B1378,Mitarbeiter!$A$6:$A$205,0)),"?"))</f>
        <v/>
      </c>
      <c r="D1378" s="41" t="n"/>
      <c r="E1378" s="42" t="n"/>
      <c r="F1378" s="43" t="n"/>
      <c r="G1378" s="44">
        <f>IF(OR(B1378="",F1378=""),"",IFERROR(F1378*INDEX(Mitarbeiter!$F$6:$F$205,MATCH(B1378,Mitarbeiter!$A$6:$A$205,0)),0))</f>
        <v/>
      </c>
      <c r="H1378" s="8">
        <f>IF(B1378="","",IF(ISNA(MATCH(B1378,Mitarbeiter!$A$6:$A$205,0)),"Pers.-Nr. unbekannt",IF(A1378="","Datum fehlt",IF(AND(D1378&lt;&gt;Einstellungen!$C$4,D1378&lt;&gt;Einstellungen!$C$5),"Objekt fehlt",IF(YEAR(A1378)&lt;&gt;Einstellungen!$C$3,"anderes Jahr",IF(A1378&lt;INDEX(Mitarbeiter!$C$6:$C$205,MATCH(B1378,Mitarbeiter!$A$6:$A$205,0)),"vor Eintritt",IF(AND(INDEX(Mitarbeiter!$D$6:$D$205,MATCH(B1378,Mitarbeiter!$A$6:$A$205,0))&lt;&gt;"",A1378&gt;INDEX(Mitarbeiter!$D$6:$D$205,MATCH(B1378,Mitarbeiter!$A$6:$A$205,0))),"nach Austritt","ok")))))))</f>
        <v/>
      </c>
    </row>
    <row r="1379">
      <c r="A1379" s="26" t="n"/>
      <c r="B1379" s="24" t="n"/>
      <c r="C1379" s="40">
        <f>IF(B1379="","",IFERROR(INDEX(Mitarbeiter!$B$6:$B$205,MATCH(B1379,Mitarbeiter!$A$6:$A$205,0)),"?"))</f>
        <v/>
      </c>
      <c r="D1379" s="41" t="n"/>
      <c r="E1379" s="42" t="n"/>
      <c r="F1379" s="43" t="n"/>
      <c r="G1379" s="44">
        <f>IF(OR(B1379="",F1379=""),"",IFERROR(F1379*INDEX(Mitarbeiter!$F$6:$F$205,MATCH(B1379,Mitarbeiter!$A$6:$A$205,0)),0))</f>
        <v/>
      </c>
      <c r="H1379" s="8">
        <f>IF(B1379="","",IF(ISNA(MATCH(B1379,Mitarbeiter!$A$6:$A$205,0)),"Pers.-Nr. unbekannt",IF(A1379="","Datum fehlt",IF(AND(D1379&lt;&gt;Einstellungen!$C$4,D1379&lt;&gt;Einstellungen!$C$5),"Objekt fehlt",IF(YEAR(A1379)&lt;&gt;Einstellungen!$C$3,"anderes Jahr",IF(A1379&lt;INDEX(Mitarbeiter!$C$6:$C$205,MATCH(B1379,Mitarbeiter!$A$6:$A$205,0)),"vor Eintritt",IF(AND(INDEX(Mitarbeiter!$D$6:$D$205,MATCH(B1379,Mitarbeiter!$A$6:$A$205,0))&lt;&gt;"",A1379&gt;INDEX(Mitarbeiter!$D$6:$D$205,MATCH(B1379,Mitarbeiter!$A$6:$A$205,0))),"nach Austritt","ok")))))))</f>
        <v/>
      </c>
    </row>
    <row r="1380">
      <c r="A1380" s="26" t="n"/>
      <c r="B1380" s="24" t="n"/>
      <c r="C1380" s="40">
        <f>IF(B1380="","",IFERROR(INDEX(Mitarbeiter!$B$6:$B$205,MATCH(B1380,Mitarbeiter!$A$6:$A$205,0)),"?"))</f>
        <v/>
      </c>
      <c r="D1380" s="41" t="n"/>
      <c r="E1380" s="42" t="n"/>
      <c r="F1380" s="43" t="n"/>
      <c r="G1380" s="44">
        <f>IF(OR(B1380="",F1380=""),"",IFERROR(F1380*INDEX(Mitarbeiter!$F$6:$F$205,MATCH(B1380,Mitarbeiter!$A$6:$A$205,0)),0))</f>
        <v/>
      </c>
      <c r="H1380" s="8">
        <f>IF(B1380="","",IF(ISNA(MATCH(B1380,Mitarbeiter!$A$6:$A$205,0)),"Pers.-Nr. unbekannt",IF(A1380="","Datum fehlt",IF(AND(D1380&lt;&gt;Einstellungen!$C$4,D1380&lt;&gt;Einstellungen!$C$5),"Objekt fehlt",IF(YEAR(A1380)&lt;&gt;Einstellungen!$C$3,"anderes Jahr",IF(A1380&lt;INDEX(Mitarbeiter!$C$6:$C$205,MATCH(B1380,Mitarbeiter!$A$6:$A$205,0)),"vor Eintritt",IF(AND(INDEX(Mitarbeiter!$D$6:$D$205,MATCH(B1380,Mitarbeiter!$A$6:$A$205,0))&lt;&gt;"",A1380&gt;INDEX(Mitarbeiter!$D$6:$D$205,MATCH(B1380,Mitarbeiter!$A$6:$A$205,0))),"nach Austritt","ok")))))))</f>
        <v/>
      </c>
    </row>
    <row r="1381">
      <c r="A1381" s="26" t="n"/>
      <c r="B1381" s="24" t="n"/>
      <c r="C1381" s="40">
        <f>IF(B1381="","",IFERROR(INDEX(Mitarbeiter!$B$6:$B$205,MATCH(B1381,Mitarbeiter!$A$6:$A$205,0)),"?"))</f>
        <v/>
      </c>
      <c r="D1381" s="41" t="n"/>
      <c r="E1381" s="42" t="n"/>
      <c r="F1381" s="43" t="n"/>
      <c r="G1381" s="44">
        <f>IF(OR(B1381="",F1381=""),"",IFERROR(F1381*INDEX(Mitarbeiter!$F$6:$F$205,MATCH(B1381,Mitarbeiter!$A$6:$A$205,0)),0))</f>
        <v/>
      </c>
      <c r="H1381" s="8">
        <f>IF(B1381="","",IF(ISNA(MATCH(B1381,Mitarbeiter!$A$6:$A$205,0)),"Pers.-Nr. unbekannt",IF(A1381="","Datum fehlt",IF(AND(D1381&lt;&gt;Einstellungen!$C$4,D1381&lt;&gt;Einstellungen!$C$5),"Objekt fehlt",IF(YEAR(A1381)&lt;&gt;Einstellungen!$C$3,"anderes Jahr",IF(A1381&lt;INDEX(Mitarbeiter!$C$6:$C$205,MATCH(B1381,Mitarbeiter!$A$6:$A$205,0)),"vor Eintritt",IF(AND(INDEX(Mitarbeiter!$D$6:$D$205,MATCH(B1381,Mitarbeiter!$A$6:$A$205,0))&lt;&gt;"",A1381&gt;INDEX(Mitarbeiter!$D$6:$D$205,MATCH(B1381,Mitarbeiter!$A$6:$A$205,0))),"nach Austritt","ok")))))))</f>
        <v/>
      </c>
    </row>
    <row r="1382">
      <c r="A1382" s="26" t="n"/>
      <c r="B1382" s="24" t="n"/>
      <c r="C1382" s="40">
        <f>IF(B1382="","",IFERROR(INDEX(Mitarbeiter!$B$6:$B$205,MATCH(B1382,Mitarbeiter!$A$6:$A$205,0)),"?"))</f>
        <v/>
      </c>
      <c r="D1382" s="41" t="n"/>
      <c r="E1382" s="42" t="n"/>
      <c r="F1382" s="43" t="n"/>
      <c r="G1382" s="44">
        <f>IF(OR(B1382="",F1382=""),"",IFERROR(F1382*INDEX(Mitarbeiter!$F$6:$F$205,MATCH(B1382,Mitarbeiter!$A$6:$A$205,0)),0))</f>
        <v/>
      </c>
      <c r="H1382" s="8">
        <f>IF(B1382="","",IF(ISNA(MATCH(B1382,Mitarbeiter!$A$6:$A$205,0)),"Pers.-Nr. unbekannt",IF(A1382="","Datum fehlt",IF(AND(D1382&lt;&gt;Einstellungen!$C$4,D1382&lt;&gt;Einstellungen!$C$5),"Objekt fehlt",IF(YEAR(A1382)&lt;&gt;Einstellungen!$C$3,"anderes Jahr",IF(A1382&lt;INDEX(Mitarbeiter!$C$6:$C$205,MATCH(B1382,Mitarbeiter!$A$6:$A$205,0)),"vor Eintritt",IF(AND(INDEX(Mitarbeiter!$D$6:$D$205,MATCH(B1382,Mitarbeiter!$A$6:$A$205,0))&lt;&gt;"",A1382&gt;INDEX(Mitarbeiter!$D$6:$D$205,MATCH(B1382,Mitarbeiter!$A$6:$A$205,0))),"nach Austritt","ok")))))))</f>
        <v/>
      </c>
    </row>
    <row r="1383">
      <c r="A1383" s="26" t="n"/>
      <c r="B1383" s="24" t="n"/>
      <c r="C1383" s="40">
        <f>IF(B1383="","",IFERROR(INDEX(Mitarbeiter!$B$6:$B$205,MATCH(B1383,Mitarbeiter!$A$6:$A$205,0)),"?"))</f>
        <v/>
      </c>
      <c r="D1383" s="41" t="n"/>
      <c r="E1383" s="42" t="n"/>
      <c r="F1383" s="43" t="n"/>
      <c r="G1383" s="44">
        <f>IF(OR(B1383="",F1383=""),"",IFERROR(F1383*INDEX(Mitarbeiter!$F$6:$F$205,MATCH(B1383,Mitarbeiter!$A$6:$A$205,0)),0))</f>
        <v/>
      </c>
      <c r="H1383" s="8">
        <f>IF(B1383="","",IF(ISNA(MATCH(B1383,Mitarbeiter!$A$6:$A$205,0)),"Pers.-Nr. unbekannt",IF(A1383="","Datum fehlt",IF(AND(D1383&lt;&gt;Einstellungen!$C$4,D1383&lt;&gt;Einstellungen!$C$5),"Objekt fehlt",IF(YEAR(A1383)&lt;&gt;Einstellungen!$C$3,"anderes Jahr",IF(A1383&lt;INDEX(Mitarbeiter!$C$6:$C$205,MATCH(B1383,Mitarbeiter!$A$6:$A$205,0)),"vor Eintritt",IF(AND(INDEX(Mitarbeiter!$D$6:$D$205,MATCH(B1383,Mitarbeiter!$A$6:$A$205,0))&lt;&gt;"",A1383&gt;INDEX(Mitarbeiter!$D$6:$D$205,MATCH(B1383,Mitarbeiter!$A$6:$A$205,0))),"nach Austritt","ok")))))))</f>
        <v/>
      </c>
    </row>
    <row r="1384">
      <c r="A1384" s="26" t="n"/>
      <c r="B1384" s="24" t="n"/>
      <c r="C1384" s="40">
        <f>IF(B1384="","",IFERROR(INDEX(Mitarbeiter!$B$6:$B$205,MATCH(B1384,Mitarbeiter!$A$6:$A$205,0)),"?"))</f>
        <v/>
      </c>
      <c r="D1384" s="41" t="n"/>
      <c r="E1384" s="42" t="n"/>
      <c r="F1384" s="43" t="n"/>
      <c r="G1384" s="44">
        <f>IF(OR(B1384="",F1384=""),"",IFERROR(F1384*INDEX(Mitarbeiter!$F$6:$F$205,MATCH(B1384,Mitarbeiter!$A$6:$A$205,0)),0))</f>
        <v/>
      </c>
      <c r="H1384" s="8">
        <f>IF(B1384="","",IF(ISNA(MATCH(B1384,Mitarbeiter!$A$6:$A$205,0)),"Pers.-Nr. unbekannt",IF(A1384="","Datum fehlt",IF(AND(D1384&lt;&gt;Einstellungen!$C$4,D1384&lt;&gt;Einstellungen!$C$5),"Objekt fehlt",IF(YEAR(A1384)&lt;&gt;Einstellungen!$C$3,"anderes Jahr",IF(A1384&lt;INDEX(Mitarbeiter!$C$6:$C$205,MATCH(B1384,Mitarbeiter!$A$6:$A$205,0)),"vor Eintritt",IF(AND(INDEX(Mitarbeiter!$D$6:$D$205,MATCH(B1384,Mitarbeiter!$A$6:$A$205,0))&lt;&gt;"",A1384&gt;INDEX(Mitarbeiter!$D$6:$D$205,MATCH(B1384,Mitarbeiter!$A$6:$A$205,0))),"nach Austritt","ok")))))))</f>
        <v/>
      </c>
    </row>
    <row r="1385">
      <c r="A1385" s="26" t="n"/>
      <c r="B1385" s="24" t="n"/>
      <c r="C1385" s="40">
        <f>IF(B1385="","",IFERROR(INDEX(Mitarbeiter!$B$6:$B$205,MATCH(B1385,Mitarbeiter!$A$6:$A$205,0)),"?"))</f>
        <v/>
      </c>
      <c r="D1385" s="41" t="n"/>
      <c r="E1385" s="42" t="n"/>
      <c r="F1385" s="43" t="n"/>
      <c r="G1385" s="44">
        <f>IF(OR(B1385="",F1385=""),"",IFERROR(F1385*INDEX(Mitarbeiter!$F$6:$F$205,MATCH(B1385,Mitarbeiter!$A$6:$A$205,0)),0))</f>
        <v/>
      </c>
      <c r="H1385" s="8">
        <f>IF(B1385="","",IF(ISNA(MATCH(B1385,Mitarbeiter!$A$6:$A$205,0)),"Pers.-Nr. unbekannt",IF(A1385="","Datum fehlt",IF(AND(D1385&lt;&gt;Einstellungen!$C$4,D1385&lt;&gt;Einstellungen!$C$5),"Objekt fehlt",IF(YEAR(A1385)&lt;&gt;Einstellungen!$C$3,"anderes Jahr",IF(A1385&lt;INDEX(Mitarbeiter!$C$6:$C$205,MATCH(B1385,Mitarbeiter!$A$6:$A$205,0)),"vor Eintritt",IF(AND(INDEX(Mitarbeiter!$D$6:$D$205,MATCH(B1385,Mitarbeiter!$A$6:$A$205,0))&lt;&gt;"",A1385&gt;INDEX(Mitarbeiter!$D$6:$D$205,MATCH(B1385,Mitarbeiter!$A$6:$A$205,0))),"nach Austritt","ok")))))))</f>
        <v/>
      </c>
    </row>
    <row r="1386">
      <c r="A1386" s="26" t="n"/>
      <c r="B1386" s="24" t="n"/>
      <c r="C1386" s="40">
        <f>IF(B1386="","",IFERROR(INDEX(Mitarbeiter!$B$6:$B$205,MATCH(B1386,Mitarbeiter!$A$6:$A$205,0)),"?"))</f>
        <v/>
      </c>
      <c r="D1386" s="41" t="n"/>
      <c r="E1386" s="42" t="n"/>
      <c r="F1386" s="43" t="n"/>
      <c r="G1386" s="44">
        <f>IF(OR(B1386="",F1386=""),"",IFERROR(F1386*INDEX(Mitarbeiter!$F$6:$F$205,MATCH(B1386,Mitarbeiter!$A$6:$A$205,0)),0))</f>
        <v/>
      </c>
      <c r="H1386" s="8">
        <f>IF(B1386="","",IF(ISNA(MATCH(B1386,Mitarbeiter!$A$6:$A$205,0)),"Pers.-Nr. unbekannt",IF(A1386="","Datum fehlt",IF(AND(D1386&lt;&gt;Einstellungen!$C$4,D1386&lt;&gt;Einstellungen!$C$5),"Objekt fehlt",IF(YEAR(A1386)&lt;&gt;Einstellungen!$C$3,"anderes Jahr",IF(A1386&lt;INDEX(Mitarbeiter!$C$6:$C$205,MATCH(B1386,Mitarbeiter!$A$6:$A$205,0)),"vor Eintritt",IF(AND(INDEX(Mitarbeiter!$D$6:$D$205,MATCH(B1386,Mitarbeiter!$A$6:$A$205,0))&lt;&gt;"",A1386&gt;INDEX(Mitarbeiter!$D$6:$D$205,MATCH(B1386,Mitarbeiter!$A$6:$A$205,0))),"nach Austritt","ok")))))))</f>
        <v/>
      </c>
    </row>
    <row r="1387">
      <c r="A1387" s="26" t="n"/>
      <c r="B1387" s="24" t="n"/>
      <c r="C1387" s="40">
        <f>IF(B1387="","",IFERROR(INDEX(Mitarbeiter!$B$6:$B$205,MATCH(B1387,Mitarbeiter!$A$6:$A$205,0)),"?"))</f>
        <v/>
      </c>
      <c r="D1387" s="41" t="n"/>
      <c r="E1387" s="42" t="n"/>
      <c r="F1387" s="43" t="n"/>
      <c r="G1387" s="44">
        <f>IF(OR(B1387="",F1387=""),"",IFERROR(F1387*INDEX(Mitarbeiter!$F$6:$F$205,MATCH(B1387,Mitarbeiter!$A$6:$A$205,0)),0))</f>
        <v/>
      </c>
      <c r="H1387" s="8">
        <f>IF(B1387="","",IF(ISNA(MATCH(B1387,Mitarbeiter!$A$6:$A$205,0)),"Pers.-Nr. unbekannt",IF(A1387="","Datum fehlt",IF(AND(D1387&lt;&gt;Einstellungen!$C$4,D1387&lt;&gt;Einstellungen!$C$5),"Objekt fehlt",IF(YEAR(A1387)&lt;&gt;Einstellungen!$C$3,"anderes Jahr",IF(A1387&lt;INDEX(Mitarbeiter!$C$6:$C$205,MATCH(B1387,Mitarbeiter!$A$6:$A$205,0)),"vor Eintritt",IF(AND(INDEX(Mitarbeiter!$D$6:$D$205,MATCH(B1387,Mitarbeiter!$A$6:$A$205,0))&lt;&gt;"",A1387&gt;INDEX(Mitarbeiter!$D$6:$D$205,MATCH(B1387,Mitarbeiter!$A$6:$A$205,0))),"nach Austritt","ok")))))))</f>
        <v/>
      </c>
    </row>
    <row r="1388">
      <c r="A1388" s="26" t="n"/>
      <c r="B1388" s="24" t="n"/>
      <c r="C1388" s="40">
        <f>IF(B1388="","",IFERROR(INDEX(Mitarbeiter!$B$6:$B$205,MATCH(B1388,Mitarbeiter!$A$6:$A$205,0)),"?"))</f>
        <v/>
      </c>
      <c r="D1388" s="41" t="n"/>
      <c r="E1388" s="42" t="n"/>
      <c r="F1388" s="43" t="n"/>
      <c r="G1388" s="44">
        <f>IF(OR(B1388="",F1388=""),"",IFERROR(F1388*INDEX(Mitarbeiter!$F$6:$F$205,MATCH(B1388,Mitarbeiter!$A$6:$A$205,0)),0))</f>
        <v/>
      </c>
      <c r="H1388" s="8">
        <f>IF(B1388="","",IF(ISNA(MATCH(B1388,Mitarbeiter!$A$6:$A$205,0)),"Pers.-Nr. unbekannt",IF(A1388="","Datum fehlt",IF(AND(D1388&lt;&gt;Einstellungen!$C$4,D1388&lt;&gt;Einstellungen!$C$5),"Objekt fehlt",IF(YEAR(A1388)&lt;&gt;Einstellungen!$C$3,"anderes Jahr",IF(A1388&lt;INDEX(Mitarbeiter!$C$6:$C$205,MATCH(B1388,Mitarbeiter!$A$6:$A$205,0)),"vor Eintritt",IF(AND(INDEX(Mitarbeiter!$D$6:$D$205,MATCH(B1388,Mitarbeiter!$A$6:$A$205,0))&lt;&gt;"",A1388&gt;INDEX(Mitarbeiter!$D$6:$D$205,MATCH(B1388,Mitarbeiter!$A$6:$A$205,0))),"nach Austritt","ok")))))))</f>
        <v/>
      </c>
    </row>
    <row r="1389">
      <c r="A1389" s="26" t="n"/>
      <c r="B1389" s="24" t="n"/>
      <c r="C1389" s="40">
        <f>IF(B1389="","",IFERROR(INDEX(Mitarbeiter!$B$6:$B$205,MATCH(B1389,Mitarbeiter!$A$6:$A$205,0)),"?"))</f>
        <v/>
      </c>
      <c r="D1389" s="41" t="n"/>
      <c r="E1389" s="42" t="n"/>
      <c r="F1389" s="43" t="n"/>
      <c r="G1389" s="44">
        <f>IF(OR(B1389="",F1389=""),"",IFERROR(F1389*INDEX(Mitarbeiter!$F$6:$F$205,MATCH(B1389,Mitarbeiter!$A$6:$A$205,0)),0))</f>
        <v/>
      </c>
      <c r="H1389" s="8">
        <f>IF(B1389="","",IF(ISNA(MATCH(B1389,Mitarbeiter!$A$6:$A$205,0)),"Pers.-Nr. unbekannt",IF(A1389="","Datum fehlt",IF(AND(D1389&lt;&gt;Einstellungen!$C$4,D1389&lt;&gt;Einstellungen!$C$5),"Objekt fehlt",IF(YEAR(A1389)&lt;&gt;Einstellungen!$C$3,"anderes Jahr",IF(A1389&lt;INDEX(Mitarbeiter!$C$6:$C$205,MATCH(B1389,Mitarbeiter!$A$6:$A$205,0)),"vor Eintritt",IF(AND(INDEX(Mitarbeiter!$D$6:$D$205,MATCH(B1389,Mitarbeiter!$A$6:$A$205,0))&lt;&gt;"",A1389&gt;INDEX(Mitarbeiter!$D$6:$D$205,MATCH(B1389,Mitarbeiter!$A$6:$A$205,0))),"nach Austritt","ok")))))))</f>
        <v/>
      </c>
    </row>
    <row r="1390">
      <c r="A1390" s="26" t="n"/>
      <c r="B1390" s="24" t="n"/>
      <c r="C1390" s="40">
        <f>IF(B1390="","",IFERROR(INDEX(Mitarbeiter!$B$6:$B$205,MATCH(B1390,Mitarbeiter!$A$6:$A$205,0)),"?"))</f>
        <v/>
      </c>
      <c r="D1390" s="41" t="n"/>
      <c r="E1390" s="42" t="n"/>
      <c r="F1390" s="43" t="n"/>
      <c r="G1390" s="44">
        <f>IF(OR(B1390="",F1390=""),"",IFERROR(F1390*INDEX(Mitarbeiter!$F$6:$F$205,MATCH(B1390,Mitarbeiter!$A$6:$A$205,0)),0))</f>
        <v/>
      </c>
      <c r="H1390" s="8">
        <f>IF(B1390="","",IF(ISNA(MATCH(B1390,Mitarbeiter!$A$6:$A$205,0)),"Pers.-Nr. unbekannt",IF(A1390="","Datum fehlt",IF(AND(D1390&lt;&gt;Einstellungen!$C$4,D1390&lt;&gt;Einstellungen!$C$5),"Objekt fehlt",IF(YEAR(A1390)&lt;&gt;Einstellungen!$C$3,"anderes Jahr",IF(A1390&lt;INDEX(Mitarbeiter!$C$6:$C$205,MATCH(B1390,Mitarbeiter!$A$6:$A$205,0)),"vor Eintritt",IF(AND(INDEX(Mitarbeiter!$D$6:$D$205,MATCH(B1390,Mitarbeiter!$A$6:$A$205,0))&lt;&gt;"",A1390&gt;INDEX(Mitarbeiter!$D$6:$D$205,MATCH(B1390,Mitarbeiter!$A$6:$A$205,0))),"nach Austritt","ok")))))))</f>
        <v/>
      </c>
    </row>
    <row r="1391">
      <c r="A1391" s="26" t="n"/>
      <c r="B1391" s="24" t="n"/>
      <c r="C1391" s="40">
        <f>IF(B1391="","",IFERROR(INDEX(Mitarbeiter!$B$6:$B$205,MATCH(B1391,Mitarbeiter!$A$6:$A$205,0)),"?"))</f>
        <v/>
      </c>
      <c r="D1391" s="41" t="n"/>
      <c r="E1391" s="42" t="n"/>
      <c r="F1391" s="43" t="n"/>
      <c r="G1391" s="44">
        <f>IF(OR(B1391="",F1391=""),"",IFERROR(F1391*INDEX(Mitarbeiter!$F$6:$F$205,MATCH(B1391,Mitarbeiter!$A$6:$A$205,0)),0))</f>
        <v/>
      </c>
      <c r="H1391" s="8">
        <f>IF(B1391="","",IF(ISNA(MATCH(B1391,Mitarbeiter!$A$6:$A$205,0)),"Pers.-Nr. unbekannt",IF(A1391="","Datum fehlt",IF(AND(D1391&lt;&gt;Einstellungen!$C$4,D1391&lt;&gt;Einstellungen!$C$5),"Objekt fehlt",IF(YEAR(A1391)&lt;&gt;Einstellungen!$C$3,"anderes Jahr",IF(A1391&lt;INDEX(Mitarbeiter!$C$6:$C$205,MATCH(B1391,Mitarbeiter!$A$6:$A$205,0)),"vor Eintritt",IF(AND(INDEX(Mitarbeiter!$D$6:$D$205,MATCH(B1391,Mitarbeiter!$A$6:$A$205,0))&lt;&gt;"",A1391&gt;INDEX(Mitarbeiter!$D$6:$D$205,MATCH(B1391,Mitarbeiter!$A$6:$A$205,0))),"nach Austritt","ok")))))))</f>
        <v/>
      </c>
    </row>
    <row r="1392">
      <c r="A1392" s="26" t="n"/>
      <c r="B1392" s="24" t="n"/>
      <c r="C1392" s="40">
        <f>IF(B1392="","",IFERROR(INDEX(Mitarbeiter!$B$6:$B$205,MATCH(B1392,Mitarbeiter!$A$6:$A$205,0)),"?"))</f>
        <v/>
      </c>
      <c r="D1392" s="41" t="n"/>
      <c r="E1392" s="42" t="n"/>
      <c r="F1392" s="43" t="n"/>
      <c r="G1392" s="44">
        <f>IF(OR(B1392="",F1392=""),"",IFERROR(F1392*INDEX(Mitarbeiter!$F$6:$F$205,MATCH(B1392,Mitarbeiter!$A$6:$A$205,0)),0))</f>
        <v/>
      </c>
      <c r="H1392" s="8">
        <f>IF(B1392="","",IF(ISNA(MATCH(B1392,Mitarbeiter!$A$6:$A$205,0)),"Pers.-Nr. unbekannt",IF(A1392="","Datum fehlt",IF(AND(D1392&lt;&gt;Einstellungen!$C$4,D1392&lt;&gt;Einstellungen!$C$5),"Objekt fehlt",IF(YEAR(A1392)&lt;&gt;Einstellungen!$C$3,"anderes Jahr",IF(A1392&lt;INDEX(Mitarbeiter!$C$6:$C$205,MATCH(B1392,Mitarbeiter!$A$6:$A$205,0)),"vor Eintritt",IF(AND(INDEX(Mitarbeiter!$D$6:$D$205,MATCH(B1392,Mitarbeiter!$A$6:$A$205,0))&lt;&gt;"",A1392&gt;INDEX(Mitarbeiter!$D$6:$D$205,MATCH(B1392,Mitarbeiter!$A$6:$A$205,0))),"nach Austritt","ok")))))))</f>
        <v/>
      </c>
    </row>
    <row r="1393">
      <c r="A1393" s="26" t="n"/>
      <c r="B1393" s="24" t="n"/>
      <c r="C1393" s="40">
        <f>IF(B1393="","",IFERROR(INDEX(Mitarbeiter!$B$6:$B$205,MATCH(B1393,Mitarbeiter!$A$6:$A$205,0)),"?"))</f>
        <v/>
      </c>
      <c r="D1393" s="41" t="n"/>
      <c r="E1393" s="42" t="n"/>
      <c r="F1393" s="43" t="n"/>
      <c r="G1393" s="44">
        <f>IF(OR(B1393="",F1393=""),"",IFERROR(F1393*INDEX(Mitarbeiter!$F$6:$F$205,MATCH(B1393,Mitarbeiter!$A$6:$A$205,0)),0))</f>
        <v/>
      </c>
      <c r="H1393" s="8">
        <f>IF(B1393="","",IF(ISNA(MATCH(B1393,Mitarbeiter!$A$6:$A$205,0)),"Pers.-Nr. unbekannt",IF(A1393="","Datum fehlt",IF(AND(D1393&lt;&gt;Einstellungen!$C$4,D1393&lt;&gt;Einstellungen!$C$5),"Objekt fehlt",IF(YEAR(A1393)&lt;&gt;Einstellungen!$C$3,"anderes Jahr",IF(A1393&lt;INDEX(Mitarbeiter!$C$6:$C$205,MATCH(B1393,Mitarbeiter!$A$6:$A$205,0)),"vor Eintritt",IF(AND(INDEX(Mitarbeiter!$D$6:$D$205,MATCH(B1393,Mitarbeiter!$A$6:$A$205,0))&lt;&gt;"",A1393&gt;INDEX(Mitarbeiter!$D$6:$D$205,MATCH(B1393,Mitarbeiter!$A$6:$A$205,0))),"nach Austritt","ok")))))))</f>
        <v/>
      </c>
    </row>
    <row r="1394">
      <c r="A1394" s="26" t="n"/>
      <c r="B1394" s="24" t="n"/>
      <c r="C1394" s="40">
        <f>IF(B1394="","",IFERROR(INDEX(Mitarbeiter!$B$6:$B$205,MATCH(B1394,Mitarbeiter!$A$6:$A$205,0)),"?"))</f>
        <v/>
      </c>
      <c r="D1394" s="41" t="n"/>
      <c r="E1394" s="42" t="n"/>
      <c r="F1394" s="43" t="n"/>
      <c r="G1394" s="44">
        <f>IF(OR(B1394="",F1394=""),"",IFERROR(F1394*INDEX(Mitarbeiter!$F$6:$F$205,MATCH(B1394,Mitarbeiter!$A$6:$A$205,0)),0))</f>
        <v/>
      </c>
      <c r="H1394" s="8">
        <f>IF(B1394="","",IF(ISNA(MATCH(B1394,Mitarbeiter!$A$6:$A$205,0)),"Pers.-Nr. unbekannt",IF(A1394="","Datum fehlt",IF(AND(D1394&lt;&gt;Einstellungen!$C$4,D1394&lt;&gt;Einstellungen!$C$5),"Objekt fehlt",IF(YEAR(A1394)&lt;&gt;Einstellungen!$C$3,"anderes Jahr",IF(A1394&lt;INDEX(Mitarbeiter!$C$6:$C$205,MATCH(B1394,Mitarbeiter!$A$6:$A$205,0)),"vor Eintritt",IF(AND(INDEX(Mitarbeiter!$D$6:$D$205,MATCH(B1394,Mitarbeiter!$A$6:$A$205,0))&lt;&gt;"",A1394&gt;INDEX(Mitarbeiter!$D$6:$D$205,MATCH(B1394,Mitarbeiter!$A$6:$A$205,0))),"nach Austritt","ok")))))))</f>
        <v/>
      </c>
    </row>
    <row r="1395">
      <c r="A1395" s="26" t="n"/>
      <c r="B1395" s="24" t="n"/>
      <c r="C1395" s="40">
        <f>IF(B1395="","",IFERROR(INDEX(Mitarbeiter!$B$6:$B$205,MATCH(B1395,Mitarbeiter!$A$6:$A$205,0)),"?"))</f>
        <v/>
      </c>
      <c r="D1395" s="41" t="n"/>
      <c r="E1395" s="42" t="n"/>
      <c r="F1395" s="43" t="n"/>
      <c r="G1395" s="44">
        <f>IF(OR(B1395="",F1395=""),"",IFERROR(F1395*INDEX(Mitarbeiter!$F$6:$F$205,MATCH(B1395,Mitarbeiter!$A$6:$A$205,0)),0))</f>
        <v/>
      </c>
      <c r="H1395" s="8">
        <f>IF(B1395="","",IF(ISNA(MATCH(B1395,Mitarbeiter!$A$6:$A$205,0)),"Pers.-Nr. unbekannt",IF(A1395="","Datum fehlt",IF(AND(D1395&lt;&gt;Einstellungen!$C$4,D1395&lt;&gt;Einstellungen!$C$5),"Objekt fehlt",IF(YEAR(A1395)&lt;&gt;Einstellungen!$C$3,"anderes Jahr",IF(A1395&lt;INDEX(Mitarbeiter!$C$6:$C$205,MATCH(B1395,Mitarbeiter!$A$6:$A$205,0)),"vor Eintritt",IF(AND(INDEX(Mitarbeiter!$D$6:$D$205,MATCH(B1395,Mitarbeiter!$A$6:$A$205,0))&lt;&gt;"",A1395&gt;INDEX(Mitarbeiter!$D$6:$D$205,MATCH(B1395,Mitarbeiter!$A$6:$A$205,0))),"nach Austritt","ok")))))))</f>
        <v/>
      </c>
    </row>
    <row r="1396">
      <c r="A1396" s="26" t="n"/>
      <c r="B1396" s="24" t="n"/>
      <c r="C1396" s="40">
        <f>IF(B1396="","",IFERROR(INDEX(Mitarbeiter!$B$6:$B$205,MATCH(B1396,Mitarbeiter!$A$6:$A$205,0)),"?"))</f>
        <v/>
      </c>
      <c r="D1396" s="41" t="n"/>
      <c r="E1396" s="42" t="n"/>
      <c r="F1396" s="43" t="n"/>
      <c r="G1396" s="44">
        <f>IF(OR(B1396="",F1396=""),"",IFERROR(F1396*INDEX(Mitarbeiter!$F$6:$F$205,MATCH(B1396,Mitarbeiter!$A$6:$A$205,0)),0))</f>
        <v/>
      </c>
      <c r="H1396" s="8">
        <f>IF(B1396="","",IF(ISNA(MATCH(B1396,Mitarbeiter!$A$6:$A$205,0)),"Pers.-Nr. unbekannt",IF(A1396="","Datum fehlt",IF(AND(D1396&lt;&gt;Einstellungen!$C$4,D1396&lt;&gt;Einstellungen!$C$5),"Objekt fehlt",IF(YEAR(A1396)&lt;&gt;Einstellungen!$C$3,"anderes Jahr",IF(A1396&lt;INDEX(Mitarbeiter!$C$6:$C$205,MATCH(B1396,Mitarbeiter!$A$6:$A$205,0)),"vor Eintritt",IF(AND(INDEX(Mitarbeiter!$D$6:$D$205,MATCH(B1396,Mitarbeiter!$A$6:$A$205,0))&lt;&gt;"",A1396&gt;INDEX(Mitarbeiter!$D$6:$D$205,MATCH(B1396,Mitarbeiter!$A$6:$A$205,0))),"nach Austritt","ok")))))))</f>
        <v/>
      </c>
    </row>
    <row r="1397">
      <c r="A1397" s="26" t="n"/>
      <c r="B1397" s="24" t="n"/>
      <c r="C1397" s="40">
        <f>IF(B1397="","",IFERROR(INDEX(Mitarbeiter!$B$6:$B$205,MATCH(B1397,Mitarbeiter!$A$6:$A$205,0)),"?"))</f>
        <v/>
      </c>
      <c r="D1397" s="41" t="n"/>
      <c r="E1397" s="42" t="n"/>
      <c r="F1397" s="43" t="n"/>
      <c r="G1397" s="44">
        <f>IF(OR(B1397="",F1397=""),"",IFERROR(F1397*INDEX(Mitarbeiter!$F$6:$F$205,MATCH(B1397,Mitarbeiter!$A$6:$A$205,0)),0))</f>
        <v/>
      </c>
      <c r="H1397" s="8">
        <f>IF(B1397="","",IF(ISNA(MATCH(B1397,Mitarbeiter!$A$6:$A$205,0)),"Pers.-Nr. unbekannt",IF(A1397="","Datum fehlt",IF(AND(D1397&lt;&gt;Einstellungen!$C$4,D1397&lt;&gt;Einstellungen!$C$5),"Objekt fehlt",IF(YEAR(A1397)&lt;&gt;Einstellungen!$C$3,"anderes Jahr",IF(A1397&lt;INDEX(Mitarbeiter!$C$6:$C$205,MATCH(B1397,Mitarbeiter!$A$6:$A$205,0)),"vor Eintritt",IF(AND(INDEX(Mitarbeiter!$D$6:$D$205,MATCH(B1397,Mitarbeiter!$A$6:$A$205,0))&lt;&gt;"",A1397&gt;INDEX(Mitarbeiter!$D$6:$D$205,MATCH(B1397,Mitarbeiter!$A$6:$A$205,0))),"nach Austritt","ok")))))))</f>
        <v/>
      </c>
    </row>
    <row r="1398">
      <c r="A1398" s="26" t="n"/>
      <c r="B1398" s="24" t="n"/>
      <c r="C1398" s="40">
        <f>IF(B1398="","",IFERROR(INDEX(Mitarbeiter!$B$6:$B$205,MATCH(B1398,Mitarbeiter!$A$6:$A$205,0)),"?"))</f>
        <v/>
      </c>
      <c r="D1398" s="41" t="n"/>
      <c r="E1398" s="42" t="n"/>
      <c r="F1398" s="43" t="n"/>
      <c r="G1398" s="44">
        <f>IF(OR(B1398="",F1398=""),"",IFERROR(F1398*INDEX(Mitarbeiter!$F$6:$F$205,MATCH(B1398,Mitarbeiter!$A$6:$A$205,0)),0))</f>
        <v/>
      </c>
      <c r="H1398" s="8">
        <f>IF(B1398="","",IF(ISNA(MATCH(B1398,Mitarbeiter!$A$6:$A$205,0)),"Pers.-Nr. unbekannt",IF(A1398="","Datum fehlt",IF(AND(D1398&lt;&gt;Einstellungen!$C$4,D1398&lt;&gt;Einstellungen!$C$5),"Objekt fehlt",IF(YEAR(A1398)&lt;&gt;Einstellungen!$C$3,"anderes Jahr",IF(A1398&lt;INDEX(Mitarbeiter!$C$6:$C$205,MATCH(B1398,Mitarbeiter!$A$6:$A$205,0)),"vor Eintritt",IF(AND(INDEX(Mitarbeiter!$D$6:$D$205,MATCH(B1398,Mitarbeiter!$A$6:$A$205,0))&lt;&gt;"",A1398&gt;INDEX(Mitarbeiter!$D$6:$D$205,MATCH(B1398,Mitarbeiter!$A$6:$A$205,0))),"nach Austritt","ok")))))))</f>
        <v/>
      </c>
    </row>
    <row r="1399">
      <c r="A1399" s="26" t="n"/>
      <c r="B1399" s="24" t="n"/>
      <c r="C1399" s="40">
        <f>IF(B1399="","",IFERROR(INDEX(Mitarbeiter!$B$6:$B$205,MATCH(B1399,Mitarbeiter!$A$6:$A$205,0)),"?"))</f>
        <v/>
      </c>
      <c r="D1399" s="41" t="n"/>
      <c r="E1399" s="42" t="n"/>
      <c r="F1399" s="43" t="n"/>
      <c r="G1399" s="44">
        <f>IF(OR(B1399="",F1399=""),"",IFERROR(F1399*INDEX(Mitarbeiter!$F$6:$F$205,MATCH(B1399,Mitarbeiter!$A$6:$A$205,0)),0))</f>
        <v/>
      </c>
      <c r="H1399" s="8">
        <f>IF(B1399="","",IF(ISNA(MATCH(B1399,Mitarbeiter!$A$6:$A$205,0)),"Pers.-Nr. unbekannt",IF(A1399="","Datum fehlt",IF(AND(D1399&lt;&gt;Einstellungen!$C$4,D1399&lt;&gt;Einstellungen!$C$5),"Objekt fehlt",IF(YEAR(A1399)&lt;&gt;Einstellungen!$C$3,"anderes Jahr",IF(A1399&lt;INDEX(Mitarbeiter!$C$6:$C$205,MATCH(B1399,Mitarbeiter!$A$6:$A$205,0)),"vor Eintritt",IF(AND(INDEX(Mitarbeiter!$D$6:$D$205,MATCH(B1399,Mitarbeiter!$A$6:$A$205,0))&lt;&gt;"",A1399&gt;INDEX(Mitarbeiter!$D$6:$D$205,MATCH(B1399,Mitarbeiter!$A$6:$A$205,0))),"nach Austritt","ok")))))))</f>
        <v/>
      </c>
    </row>
    <row r="1400">
      <c r="A1400" s="26" t="n"/>
      <c r="B1400" s="24" t="n"/>
      <c r="C1400" s="40">
        <f>IF(B1400="","",IFERROR(INDEX(Mitarbeiter!$B$6:$B$205,MATCH(B1400,Mitarbeiter!$A$6:$A$205,0)),"?"))</f>
        <v/>
      </c>
      <c r="D1400" s="41" t="n"/>
      <c r="E1400" s="42" t="n"/>
      <c r="F1400" s="43" t="n"/>
      <c r="G1400" s="44">
        <f>IF(OR(B1400="",F1400=""),"",IFERROR(F1400*INDEX(Mitarbeiter!$F$6:$F$205,MATCH(B1400,Mitarbeiter!$A$6:$A$205,0)),0))</f>
        <v/>
      </c>
      <c r="H1400" s="8">
        <f>IF(B1400="","",IF(ISNA(MATCH(B1400,Mitarbeiter!$A$6:$A$205,0)),"Pers.-Nr. unbekannt",IF(A1400="","Datum fehlt",IF(AND(D1400&lt;&gt;Einstellungen!$C$4,D1400&lt;&gt;Einstellungen!$C$5),"Objekt fehlt",IF(YEAR(A1400)&lt;&gt;Einstellungen!$C$3,"anderes Jahr",IF(A1400&lt;INDEX(Mitarbeiter!$C$6:$C$205,MATCH(B1400,Mitarbeiter!$A$6:$A$205,0)),"vor Eintritt",IF(AND(INDEX(Mitarbeiter!$D$6:$D$205,MATCH(B1400,Mitarbeiter!$A$6:$A$205,0))&lt;&gt;"",A1400&gt;INDEX(Mitarbeiter!$D$6:$D$205,MATCH(B1400,Mitarbeiter!$A$6:$A$205,0))),"nach Austritt","ok")))))))</f>
        <v/>
      </c>
    </row>
    <row r="1401">
      <c r="A1401" s="26" t="n"/>
      <c r="B1401" s="24" t="n"/>
      <c r="C1401" s="40">
        <f>IF(B1401="","",IFERROR(INDEX(Mitarbeiter!$B$6:$B$205,MATCH(B1401,Mitarbeiter!$A$6:$A$205,0)),"?"))</f>
        <v/>
      </c>
      <c r="D1401" s="41" t="n"/>
      <c r="E1401" s="42" t="n"/>
      <c r="F1401" s="43" t="n"/>
      <c r="G1401" s="44">
        <f>IF(OR(B1401="",F1401=""),"",IFERROR(F1401*INDEX(Mitarbeiter!$F$6:$F$205,MATCH(B1401,Mitarbeiter!$A$6:$A$205,0)),0))</f>
        <v/>
      </c>
      <c r="H1401" s="8">
        <f>IF(B1401="","",IF(ISNA(MATCH(B1401,Mitarbeiter!$A$6:$A$205,0)),"Pers.-Nr. unbekannt",IF(A1401="","Datum fehlt",IF(AND(D1401&lt;&gt;Einstellungen!$C$4,D1401&lt;&gt;Einstellungen!$C$5),"Objekt fehlt",IF(YEAR(A1401)&lt;&gt;Einstellungen!$C$3,"anderes Jahr",IF(A1401&lt;INDEX(Mitarbeiter!$C$6:$C$205,MATCH(B1401,Mitarbeiter!$A$6:$A$205,0)),"vor Eintritt",IF(AND(INDEX(Mitarbeiter!$D$6:$D$205,MATCH(B1401,Mitarbeiter!$A$6:$A$205,0))&lt;&gt;"",A1401&gt;INDEX(Mitarbeiter!$D$6:$D$205,MATCH(B1401,Mitarbeiter!$A$6:$A$205,0))),"nach Austritt","ok")))))))</f>
        <v/>
      </c>
    </row>
    <row r="1402">
      <c r="A1402" s="26" t="n"/>
      <c r="B1402" s="24" t="n"/>
      <c r="C1402" s="40">
        <f>IF(B1402="","",IFERROR(INDEX(Mitarbeiter!$B$6:$B$205,MATCH(B1402,Mitarbeiter!$A$6:$A$205,0)),"?"))</f>
        <v/>
      </c>
      <c r="D1402" s="41" t="n"/>
      <c r="E1402" s="42" t="n"/>
      <c r="F1402" s="43" t="n"/>
      <c r="G1402" s="44">
        <f>IF(OR(B1402="",F1402=""),"",IFERROR(F1402*INDEX(Mitarbeiter!$F$6:$F$205,MATCH(B1402,Mitarbeiter!$A$6:$A$205,0)),0))</f>
        <v/>
      </c>
      <c r="H1402" s="8">
        <f>IF(B1402="","",IF(ISNA(MATCH(B1402,Mitarbeiter!$A$6:$A$205,0)),"Pers.-Nr. unbekannt",IF(A1402="","Datum fehlt",IF(AND(D1402&lt;&gt;Einstellungen!$C$4,D1402&lt;&gt;Einstellungen!$C$5),"Objekt fehlt",IF(YEAR(A1402)&lt;&gt;Einstellungen!$C$3,"anderes Jahr",IF(A1402&lt;INDEX(Mitarbeiter!$C$6:$C$205,MATCH(B1402,Mitarbeiter!$A$6:$A$205,0)),"vor Eintritt",IF(AND(INDEX(Mitarbeiter!$D$6:$D$205,MATCH(B1402,Mitarbeiter!$A$6:$A$205,0))&lt;&gt;"",A1402&gt;INDEX(Mitarbeiter!$D$6:$D$205,MATCH(B1402,Mitarbeiter!$A$6:$A$205,0))),"nach Austritt","ok")))))))</f>
        <v/>
      </c>
    </row>
    <row r="1403">
      <c r="A1403" s="26" t="n"/>
      <c r="B1403" s="24" t="n"/>
      <c r="C1403" s="40">
        <f>IF(B1403="","",IFERROR(INDEX(Mitarbeiter!$B$6:$B$205,MATCH(B1403,Mitarbeiter!$A$6:$A$205,0)),"?"))</f>
        <v/>
      </c>
      <c r="D1403" s="41" t="n"/>
      <c r="E1403" s="42" t="n"/>
      <c r="F1403" s="43" t="n"/>
      <c r="G1403" s="44">
        <f>IF(OR(B1403="",F1403=""),"",IFERROR(F1403*INDEX(Mitarbeiter!$F$6:$F$205,MATCH(B1403,Mitarbeiter!$A$6:$A$205,0)),0))</f>
        <v/>
      </c>
      <c r="H1403" s="8">
        <f>IF(B1403="","",IF(ISNA(MATCH(B1403,Mitarbeiter!$A$6:$A$205,0)),"Pers.-Nr. unbekannt",IF(A1403="","Datum fehlt",IF(AND(D1403&lt;&gt;Einstellungen!$C$4,D1403&lt;&gt;Einstellungen!$C$5),"Objekt fehlt",IF(YEAR(A1403)&lt;&gt;Einstellungen!$C$3,"anderes Jahr",IF(A1403&lt;INDEX(Mitarbeiter!$C$6:$C$205,MATCH(B1403,Mitarbeiter!$A$6:$A$205,0)),"vor Eintritt",IF(AND(INDEX(Mitarbeiter!$D$6:$D$205,MATCH(B1403,Mitarbeiter!$A$6:$A$205,0))&lt;&gt;"",A1403&gt;INDEX(Mitarbeiter!$D$6:$D$205,MATCH(B1403,Mitarbeiter!$A$6:$A$205,0))),"nach Austritt","ok")))))))</f>
        <v/>
      </c>
    </row>
    <row r="1404">
      <c r="A1404" s="26" t="n"/>
      <c r="B1404" s="24" t="n"/>
      <c r="C1404" s="40">
        <f>IF(B1404="","",IFERROR(INDEX(Mitarbeiter!$B$6:$B$205,MATCH(B1404,Mitarbeiter!$A$6:$A$205,0)),"?"))</f>
        <v/>
      </c>
      <c r="D1404" s="41" t="n"/>
      <c r="E1404" s="42" t="n"/>
      <c r="F1404" s="43" t="n"/>
      <c r="G1404" s="44">
        <f>IF(OR(B1404="",F1404=""),"",IFERROR(F1404*INDEX(Mitarbeiter!$F$6:$F$205,MATCH(B1404,Mitarbeiter!$A$6:$A$205,0)),0))</f>
        <v/>
      </c>
      <c r="H1404" s="8">
        <f>IF(B1404="","",IF(ISNA(MATCH(B1404,Mitarbeiter!$A$6:$A$205,0)),"Pers.-Nr. unbekannt",IF(A1404="","Datum fehlt",IF(AND(D1404&lt;&gt;Einstellungen!$C$4,D1404&lt;&gt;Einstellungen!$C$5),"Objekt fehlt",IF(YEAR(A1404)&lt;&gt;Einstellungen!$C$3,"anderes Jahr",IF(A1404&lt;INDEX(Mitarbeiter!$C$6:$C$205,MATCH(B1404,Mitarbeiter!$A$6:$A$205,0)),"vor Eintritt",IF(AND(INDEX(Mitarbeiter!$D$6:$D$205,MATCH(B1404,Mitarbeiter!$A$6:$A$205,0))&lt;&gt;"",A1404&gt;INDEX(Mitarbeiter!$D$6:$D$205,MATCH(B1404,Mitarbeiter!$A$6:$A$205,0))),"nach Austritt","ok")))))))</f>
        <v/>
      </c>
    </row>
    <row r="1405">
      <c r="A1405" s="26" t="n"/>
      <c r="B1405" s="24" t="n"/>
      <c r="C1405" s="40">
        <f>IF(B1405="","",IFERROR(INDEX(Mitarbeiter!$B$6:$B$205,MATCH(B1405,Mitarbeiter!$A$6:$A$205,0)),"?"))</f>
        <v/>
      </c>
      <c r="D1405" s="41" t="n"/>
      <c r="E1405" s="42" t="n"/>
      <c r="F1405" s="43" t="n"/>
      <c r="G1405" s="44">
        <f>IF(OR(B1405="",F1405=""),"",IFERROR(F1405*INDEX(Mitarbeiter!$F$6:$F$205,MATCH(B1405,Mitarbeiter!$A$6:$A$205,0)),0))</f>
        <v/>
      </c>
      <c r="H1405" s="8">
        <f>IF(B1405="","",IF(ISNA(MATCH(B1405,Mitarbeiter!$A$6:$A$205,0)),"Pers.-Nr. unbekannt",IF(A1405="","Datum fehlt",IF(AND(D1405&lt;&gt;Einstellungen!$C$4,D1405&lt;&gt;Einstellungen!$C$5),"Objekt fehlt",IF(YEAR(A1405)&lt;&gt;Einstellungen!$C$3,"anderes Jahr",IF(A1405&lt;INDEX(Mitarbeiter!$C$6:$C$205,MATCH(B1405,Mitarbeiter!$A$6:$A$205,0)),"vor Eintritt",IF(AND(INDEX(Mitarbeiter!$D$6:$D$205,MATCH(B1405,Mitarbeiter!$A$6:$A$205,0))&lt;&gt;"",A1405&gt;INDEX(Mitarbeiter!$D$6:$D$205,MATCH(B1405,Mitarbeiter!$A$6:$A$205,0))),"nach Austritt","ok")))))))</f>
        <v/>
      </c>
    </row>
    <row r="1406">
      <c r="A1406" s="26" t="n"/>
      <c r="B1406" s="24" t="n"/>
      <c r="C1406" s="40">
        <f>IF(B1406="","",IFERROR(INDEX(Mitarbeiter!$B$6:$B$205,MATCH(B1406,Mitarbeiter!$A$6:$A$205,0)),"?"))</f>
        <v/>
      </c>
      <c r="D1406" s="41" t="n"/>
      <c r="E1406" s="42" t="n"/>
      <c r="F1406" s="43" t="n"/>
      <c r="G1406" s="44">
        <f>IF(OR(B1406="",F1406=""),"",IFERROR(F1406*INDEX(Mitarbeiter!$F$6:$F$205,MATCH(B1406,Mitarbeiter!$A$6:$A$205,0)),0))</f>
        <v/>
      </c>
      <c r="H1406" s="8">
        <f>IF(B1406="","",IF(ISNA(MATCH(B1406,Mitarbeiter!$A$6:$A$205,0)),"Pers.-Nr. unbekannt",IF(A1406="","Datum fehlt",IF(AND(D1406&lt;&gt;Einstellungen!$C$4,D1406&lt;&gt;Einstellungen!$C$5),"Objekt fehlt",IF(YEAR(A1406)&lt;&gt;Einstellungen!$C$3,"anderes Jahr",IF(A1406&lt;INDEX(Mitarbeiter!$C$6:$C$205,MATCH(B1406,Mitarbeiter!$A$6:$A$205,0)),"vor Eintritt",IF(AND(INDEX(Mitarbeiter!$D$6:$D$205,MATCH(B1406,Mitarbeiter!$A$6:$A$205,0))&lt;&gt;"",A1406&gt;INDEX(Mitarbeiter!$D$6:$D$205,MATCH(B1406,Mitarbeiter!$A$6:$A$205,0))),"nach Austritt","ok")))))))</f>
        <v/>
      </c>
    </row>
    <row r="1407">
      <c r="A1407" s="26" t="n"/>
      <c r="B1407" s="24" t="n"/>
      <c r="C1407" s="40">
        <f>IF(B1407="","",IFERROR(INDEX(Mitarbeiter!$B$6:$B$205,MATCH(B1407,Mitarbeiter!$A$6:$A$205,0)),"?"))</f>
        <v/>
      </c>
      <c r="D1407" s="41" t="n"/>
      <c r="E1407" s="42" t="n"/>
      <c r="F1407" s="43" t="n"/>
      <c r="G1407" s="44">
        <f>IF(OR(B1407="",F1407=""),"",IFERROR(F1407*INDEX(Mitarbeiter!$F$6:$F$205,MATCH(B1407,Mitarbeiter!$A$6:$A$205,0)),0))</f>
        <v/>
      </c>
      <c r="H1407" s="8">
        <f>IF(B1407="","",IF(ISNA(MATCH(B1407,Mitarbeiter!$A$6:$A$205,0)),"Pers.-Nr. unbekannt",IF(A1407="","Datum fehlt",IF(AND(D1407&lt;&gt;Einstellungen!$C$4,D1407&lt;&gt;Einstellungen!$C$5),"Objekt fehlt",IF(YEAR(A1407)&lt;&gt;Einstellungen!$C$3,"anderes Jahr",IF(A1407&lt;INDEX(Mitarbeiter!$C$6:$C$205,MATCH(B1407,Mitarbeiter!$A$6:$A$205,0)),"vor Eintritt",IF(AND(INDEX(Mitarbeiter!$D$6:$D$205,MATCH(B1407,Mitarbeiter!$A$6:$A$205,0))&lt;&gt;"",A1407&gt;INDEX(Mitarbeiter!$D$6:$D$205,MATCH(B1407,Mitarbeiter!$A$6:$A$205,0))),"nach Austritt","ok")))))))</f>
        <v/>
      </c>
    </row>
    <row r="1408">
      <c r="A1408" s="26" t="n"/>
      <c r="B1408" s="24" t="n"/>
      <c r="C1408" s="40">
        <f>IF(B1408="","",IFERROR(INDEX(Mitarbeiter!$B$6:$B$205,MATCH(B1408,Mitarbeiter!$A$6:$A$205,0)),"?"))</f>
        <v/>
      </c>
      <c r="D1408" s="41" t="n"/>
      <c r="E1408" s="42" t="n"/>
      <c r="F1408" s="43" t="n"/>
      <c r="G1408" s="44">
        <f>IF(OR(B1408="",F1408=""),"",IFERROR(F1408*INDEX(Mitarbeiter!$F$6:$F$205,MATCH(B1408,Mitarbeiter!$A$6:$A$205,0)),0))</f>
        <v/>
      </c>
      <c r="H1408" s="8">
        <f>IF(B1408="","",IF(ISNA(MATCH(B1408,Mitarbeiter!$A$6:$A$205,0)),"Pers.-Nr. unbekannt",IF(A1408="","Datum fehlt",IF(AND(D1408&lt;&gt;Einstellungen!$C$4,D1408&lt;&gt;Einstellungen!$C$5),"Objekt fehlt",IF(YEAR(A1408)&lt;&gt;Einstellungen!$C$3,"anderes Jahr",IF(A1408&lt;INDEX(Mitarbeiter!$C$6:$C$205,MATCH(B1408,Mitarbeiter!$A$6:$A$205,0)),"vor Eintritt",IF(AND(INDEX(Mitarbeiter!$D$6:$D$205,MATCH(B1408,Mitarbeiter!$A$6:$A$205,0))&lt;&gt;"",A1408&gt;INDEX(Mitarbeiter!$D$6:$D$205,MATCH(B1408,Mitarbeiter!$A$6:$A$205,0))),"nach Austritt","ok")))))))</f>
        <v/>
      </c>
    </row>
    <row r="1409">
      <c r="A1409" s="26" t="n"/>
      <c r="B1409" s="24" t="n"/>
      <c r="C1409" s="40">
        <f>IF(B1409="","",IFERROR(INDEX(Mitarbeiter!$B$6:$B$205,MATCH(B1409,Mitarbeiter!$A$6:$A$205,0)),"?"))</f>
        <v/>
      </c>
      <c r="D1409" s="41" t="n"/>
      <c r="E1409" s="42" t="n"/>
      <c r="F1409" s="43" t="n"/>
      <c r="G1409" s="44">
        <f>IF(OR(B1409="",F1409=""),"",IFERROR(F1409*INDEX(Mitarbeiter!$F$6:$F$205,MATCH(B1409,Mitarbeiter!$A$6:$A$205,0)),0))</f>
        <v/>
      </c>
      <c r="H1409" s="8">
        <f>IF(B1409="","",IF(ISNA(MATCH(B1409,Mitarbeiter!$A$6:$A$205,0)),"Pers.-Nr. unbekannt",IF(A1409="","Datum fehlt",IF(AND(D1409&lt;&gt;Einstellungen!$C$4,D1409&lt;&gt;Einstellungen!$C$5),"Objekt fehlt",IF(YEAR(A1409)&lt;&gt;Einstellungen!$C$3,"anderes Jahr",IF(A1409&lt;INDEX(Mitarbeiter!$C$6:$C$205,MATCH(B1409,Mitarbeiter!$A$6:$A$205,0)),"vor Eintritt",IF(AND(INDEX(Mitarbeiter!$D$6:$D$205,MATCH(B1409,Mitarbeiter!$A$6:$A$205,0))&lt;&gt;"",A1409&gt;INDEX(Mitarbeiter!$D$6:$D$205,MATCH(B1409,Mitarbeiter!$A$6:$A$205,0))),"nach Austritt","ok")))))))</f>
        <v/>
      </c>
    </row>
    <row r="1410">
      <c r="A1410" s="26" t="n"/>
      <c r="B1410" s="24" t="n"/>
      <c r="C1410" s="40">
        <f>IF(B1410="","",IFERROR(INDEX(Mitarbeiter!$B$6:$B$205,MATCH(B1410,Mitarbeiter!$A$6:$A$205,0)),"?"))</f>
        <v/>
      </c>
      <c r="D1410" s="41" t="n"/>
      <c r="E1410" s="42" t="n"/>
      <c r="F1410" s="43" t="n"/>
      <c r="G1410" s="44">
        <f>IF(OR(B1410="",F1410=""),"",IFERROR(F1410*INDEX(Mitarbeiter!$F$6:$F$205,MATCH(B1410,Mitarbeiter!$A$6:$A$205,0)),0))</f>
        <v/>
      </c>
      <c r="H1410" s="8">
        <f>IF(B1410="","",IF(ISNA(MATCH(B1410,Mitarbeiter!$A$6:$A$205,0)),"Pers.-Nr. unbekannt",IF(A1410="","Datum fehlt",IF(AND(D1410&lt;&gt;Einstellungen!$C$4,D1410&lt;&gt;Einstellungen!$C$5),"Objekt fehlt",IF(YEAR(A1410)&lt;&gt;Einstellungen!$C$3,"anderes Jahr",IF(A1410&lt;INDEX(Mitarbeiter!$C$6:$C$205,MATCH(B1410,Mitarbeiter!$A$6:$A$205,0)),"vor Eintritt",IF(AND(INDEX(Mitarbeiter!$D$6:$D$205,MATCH(B1410,Mitarbeiter!$A$6:$A$205,0))&lt;&gt;"",A1410&gt;INDEX(Mitarbeiter!$D$6:$D$205,MATCH(B1410,Mitarbeiter!$A$6:$A$205,0))),"nach Austritt","ok")))))))</f>
        <v/>
      </c>
    </row>
    <row r="1411">
      <c r="A1411" s="26" t="n"/>
      <c r="B1411" s="24" t="n"/>
      <c r="C1411" s="40">
        <f>IF(B1411="","",IFERROR(INDEX(Mitarbeiter!$B$6:$B$205,MATCH(B1411,Mitarbeiter!$A$6:$A$205,0)),"?"))</f>
        <v/>
      </c>
      <c r="D1411" s="41" t="n"/>
      <c r="E1411" s="42" t="n"/>
      <c r="F1411" s="43" t="n"/>
      <c r="G1411" s="44">
        <f>IF(OR(B1411="",F1411=""),"",IFERROR(F1411*INDEX(Mitarbeiter!$F$6:$F$205,MATCH(B1411,Mitarbeiter!$A$6:$A$205,0)),0))</f>
        <v/>
      </c>
      <c r="H1411" s="8">
        <f>IF(B1411="","",IF(ISNA(MATCH(B1411,Mitarbeiter!$A$6:$A$205,0)),"Pers.-Nr. unbekannt",IF(A1411="","Datum fehlt",IF(AND(D1411&lt;&gt;Einstellungen!$C$4,D1411&lt;&gt;Einstellungen!$C$5),"Objekt fehlt",IF(YEAR(A1411)&lt;&gt;Einstellungen!$C$3,"anderes Jahr",IF(A1411&lt;INDEX(Mitarbeiter!$C$6:$C$205,MATCH(B1411,Mitarbeiter!$A$6:$A$205,0)),"vor Eintritt",IF(AND(INDEX(Mitarbeiter!$D$6:$D$205,MATCH(B1411,Mitarbeiter!$A$6:$A$205,0))&lt;&gt;"",A1411&gt;INDEX(Mitarbeiter!$D$6:$D$205,MATCH(B1411,Mitarbeiter!$A$6:$A$205,0))),"nach Austritt","ok")))))))</f>
        <v/>
      </c>
    </row>
    <row r="1412">
      <c r="A1412" s="26" t="n"/>
      <c r="B1412" s="24" t="n"/>
      <c r="C1412" s="40">
        <f>IF(B1412="","",IFERROR(INDEX(Mitarbeiter!$B$6:$B$205,MATCH(B1412,Mitarbeiter!$A$6:$A$205,0)),"?"))</f>
        <v/>
      </c>
      <c r="D1412" s="41" t="n"/>
      <c r="E1412" s="42" t="n"/>
      <c r="F1412" s="43" t="n"/>
      <c r="G1412" s="44">
        <f>IF(OR(B1412="",F1412=""),"",IFERROR(F1412*INDEX(Mitarbeiter!$F$6:$F$205,MATCH(B1412,Mitarbeiter!$A$6:$A$205,0)),0))</f>
        <v/>
      </c>
      <c r="H1412" s="8">
        <f>IF(B1412="","",IF(ISNA(MATCH(B1412,Mitarbeiter!$A$6:$A$205,0)),"Pers.-Nr. unbekannt",IF(A1412="","Datum fehlt",IF(AND(D1412&lt;&gt;Einstellungen!$C$4,D1412&lt;&gt;Einstellungen!$C$5),"Objekt fehlt",IF(YEAR(A1412)&lt;&gt;Einstellungen!$C$3,"anderes Jahr",IF(A1412&lt;INDEX(Mitarbeiter!$C$6:$C$205,MATCH(B1412,Mitarbeiter!$A$6:$A$205,0)),"vor Eintritt",IF(AND(INDEX(Mitarbeiter!$D$6:$D$205,MATCH(B1412,Mitarbeiter!$A$6:$A$205,0))&lt;&gt;"",A1412&gt;INDEX(Mitarbeiter!$D$6:$D$205,MATCH(B1412,Mitarbeiter!$A$6:$A$205,0))),"nach Austritt","ok")))))))</f>
        <v/>
      </c>
    </row>
    <row r="1413">
      <c r="A1413" s="26" t="n"/>
      <c r="B1413" s="24" t="n"/>
      <c r="C1413" s="40">
        <f>IF(B1413="","",IFERROR(INDEX(Mitarbeiter!$B$6:$B$205,MATCH(B1413,Mitarbeiter!$A$6:$A$205,0)),"?"))</f>
        <v/>
      </c>
      <c r="D1413" s="41" t="n"/>
      <c r="E1413" s="42" t="n"/>
      <c r="F1413" s="43" t="n"/>
      <c r="G1413" s="44">
        <f>IF(OR(B1413="",F1413=""),"",IFERROR(F1413*INDEX(Mitarbeiter!$F$6:$F$205,MATCH(B1413,Mitarbeiter!$A$6:$A$205,0)),0))</f>
        <v/>
      </c>
      <c r="H1413" s="8">
        <f>IF(B1413="","",IF(ISNA(MATCH(B1413,Mitarbeiter!$A$6:$A$205,0)),"Pers.-Nr. unbekannt",IF(A1413="","Datum fehlt",IF(AND(D1413&lt;&gt;Einstellungen!$C$4,D1413&lt;&gt;Einstellungen!$C$5),"Objekt fehlt",IF(YEAR(A1413)&lt;&gt;Einstellungen!$C$3,"anderes Jahr",IF(A1413&lt;INDEX(Mitarbeiter!$C$6:$C$205,MATCH(B1413,Mitarbeiter!$A$6:$A$205,0)),"vor Eintritt",IF(AND(INDEX(Mitarbeiter!$D$6:$D$205,MATCH(B1413,Mitarbeiter!$A$6:$A$205,0))&lt;&gt;"",A1413&gt;INDEX(Mitarbeiter!$D$6:$D$205,MATCH(B1413,Mitarbeiter!$A$6:$A$205,0))),"nach Austritt","ok")))))))</f>
        <v/>
      </c>
    </row>
    <row r="1414">
      <c r="A1414" s="26" t="n"/>
      <c r="B1414" s="24" t="n"/>
      <c r="C1414" s="40">
        <f>IF(B1414="","",IFERROR(INDEX(Mitarbeiter!$B$6:$B$205,MATCH(B1414,Mitarbeiter!$A$6:$A$205,0)),"?"))</f>
        <v/>
      </c>
      <c r="D1414" s="41" t="n"/>
      <c r="E1414" s="42" t="n"/>
      <c r="F1414" s="43" t="n"/>
      <c r="G1414" s="44">
        <f>IF(OR(B1414="",F1414=""),"",IFERROR(F1414*INDEX(Mitarbeiter!$F$6:$F$205,MATCH(B1414,Mitarbeiter!$A$6:$A$205,0)),0))</f>
        <v/>
      </c>
      <c r="H1414" s="8">
        <f>IF(B1414="","",IF(ISNA(MATCH(B1414,Mitarbeiter!$A$6:$A$205,0)),"Pers.-Nr. unbekannt",IF(A1414="","Datum fehlt",IF(AND(D1414&lt;&gt;Einstellungen!$C$4,D1414&lt;&gt;Einstellungen!$C$5),"Objekt fehlt",IF(YEAR(A1414)&lt;&gt;Einstellungen!$C$3,"anderes Jahr",IF(A1414&lt;INDEX(Mitarbeiter!$C$6:$C$205,MATCH(B1414,Mitarbeiter!$A$6:$A$205,0)),"vor Eintritt",IF(AND(INDEX(Mitarbeiter!$D$6:$D$205,MATCH(B1414,Mitarbeiter!$A$6:$A$205,0))&lt;&gt;"",A1414&gt;INDEX(Mitarbeiter!$D$6:$D$205,MATCH(B1414,Mitarbeiter!$A$6:$A$205,0))),"nach Austritt","ok")))))))</f>
        <v/>
      </c>
    </row>
    <row r="1415">
      <c r="A1415" s="26" t="n"/>
      <c r="B1415" s="24" t="n"/>
      <c r="C1415" s="40">
        <f>IF(B1415="","",IFERROR(INDEX(Mitarbeiter!$B$6:$B$205,MATCH(B1415,Mitarbeiter!$A$6:$A$205,0)),"?"))</f>
        <v/>
      </c>
      <c r="D1415" s="41" t="n"/>
      <c r="E1415" s="42" t="n"/>
      <c r="F1415" s="43" t="n"/>
      <c r="G1415" s="44">
        <f>IF(OR(B1415="",F1415=""),"",IFERROR(F1415*INDEX(Mitarbeiter!$F$6:$F$205,MATCH(B1415,Mitarbeiter!$A$6:$A$205,0)),0))</f>
        <v/>
      </c>
      <c r="H1415" s="8">
        <f>IF(B1415="","",IF(ISNA(MATCH(B1415,Mitarbeiter!$A$6:$A$205,0)),"Pers.-Nr. unbekannt",IF(A1415="","Datum fehlt",IF(AND(D1415&lt;&gt;Einstellungen!$C$4,D1415&lt;&gt;Einstellungen!$C$5),"Objekt fehlt",IF(YEAR(A1415)&lt;&gt;Einstellungen!$C$3,"anderes Jahr",IF(A1415&lt;INDEX(Mitarbeiter!$C$6:$C$205,MATCH(B1415,Mitarbeiter!$A$6:$A$205,0)),"vor Eintritt",IF(AND(INDEX(Mitarbeiter!$D$6:$D$205,MATCH(B1415,Mitarbeiter!$A$6:$A$205,0))&lt;&gt;"",A1415&gt;INDEX(Mitarbeiter!$D$6:$D$205,MATCH(B1415,Mitarbeiter!$A$6:$A$205,0))),"nach Austritt","ok")))))))</f>
        <v/>
      </c>
    </row>
    <row r="1416">
      <c r="A1416" s="26" t="n"/>
      <c r="B1416" s="24" t="n"/>
      <c r="C1416" s="40">
        <f>IF(B1416="","",IFERROR(INDEX(Mitarbeiter!$B$6:$B$205,MATCH(B1416,Mitarbeiter!$A$6:$A$205,0)),"?"))</f>
        <v/>
      </c>
      <c r="D1416" s="41" t="n"/>
      <c r="E1416" s="42" t="n"/>
      <c r="F1416" s="43" t="n"/>
      <c r="G1416" s="44">
        <f>IF(OR(B1416="",F1416=""),"",IFERROR(F1416*INDEX(Mitarbeiter!$F$6:$F$205,MATCH(B1416,Mitarbeiter!$A$6:$A$205,0)),0))</f>
        <v/>
      </c>
      <c r="H1416" s="8">
        <f>IF(B1416="","",IF(ISNA(MATCH(B1416,Mitarbeiter!$A$6:$A$205,0)),"Pers.-Nr. unbekannt",IF(A1416="","Datum fehlt",IF(AND(D1416&lt;&gt;Einstellungen!$C$4,D1416&lt;&gt;Einstellungen!$C$5),"Objekt fehlt",IF(YEAR(A1416)&lt;&gt;Einstellungen!$C$3,"anderes Jahr",IF(A1416&lt;INDEX(Mitarbeiter!$C$6:$C$205,MATCH(B1416,Mitarbeiter!$A$6:$A$205,0)),"vor Eintritt",IF(AND(INDEX(Mitarbeiter!$D$6:$D$205,MATCH(B1416,Mitarbeiter!$A$6:$A$205,0))&lt;&gt;"",A1416&gt;INDEX(Mitarbeiter!$D$6:$D$205,MATCH(B1416,Mitarbeiter!$A$6:$A$205,0))),"nach Austritt","ok")))))))</f>
        <v/>
      </c>
    </row>
    <row r="1417">
      <c r="A1417" s="26" t="n"/>
      <c r="B1417" s="24" t="n"/>
      <c r="C1417" s="40">
        <f>IF(B1417="","",IFERROR(INDEX(Mitarbeiter!$B$6:$B$205,MATCH(B1417,Mitarbeiter!$A$6:$A$205,0)),"?"))</f>
        <v/>
      </c>
      <c r="D1417" s="41" t="n"/>
      <c r="E1417" s="42" t="n"/>
      <c r="F1417" s="43" t="n"/>
      <c r="G1417" s="44">
        <f>IF(OR(B1417="",F1417=""),"",IFERROR(F1417*INDEX(Mitarbeiter!$F$6:$F$205,MATCH(B1417,Mitarbeiter!$A$6:$A$205,0)),0))</f>
        <v/>
      </c>
      <c r="H1417" s="8">
        <f>IF(B1417="","",IF(ISNA(MATCH(B1417,Mitarbeiter!$A$6:$A$205,0)),"Pers.-Nr. unbekannt",IF(A1417="","Datum fehlt",IF(AND(D1417&lt;&gt;Einstellungen!$C$4,D1417&lt;&gt;Einstellungen!$C$5),"Objekt fehlt",IF(YEAR(A1417)&lt;&gt;Einstellungen!$C$3,"anderes Jahr",IF(A1417&lt;INDEX(Mitarbeiter!$C$6:$C$205,MATCH(B1417,Mitarbeiter!$A$6:$A$205,0)),"vor Eintritt",IF(AND(INDEX(Mitarbeiter!$D$6:$D$205,MATCH(B1417,Mitarbeiter!$A$6:$A$205,0))&lt;&gt;"",A1417&gt;INDEX(Mitarbeiter!$D$6:$D$205,MATCH(B1417,Mitarbeiter!$A$6:$A$205,0))),"nach Austritt","ok")))))))</f>
        <v/>
      </c>
    </row>
    <row r="1418">
      <c r="A1418" s="26" t="n"/>
      <c r="B1418" s="24" t="n"/>
      <c r="C1418" s="40">
        <f>IF(B1418="","",IFERROR(INDEX(Mitarbeiter!$B$6:$B$205,MATCH(B1418,Mitarbeiter!$A$6:$A$205,0)),"?"))</f>
        <v/>
      </c>
      <c r="D1418" s="41" t="n"/>
      <c r="E1418" s="42" t="n"/>
      <c r="F1418" s="43" t="n"/>
      <c r="G1418" s="44">
        <f>IF(OR(B1418="",F1418=""),"",IFERROR(F1418*INDEX(Mitarbeiter!$F$6:$F$205,MATCH(B1418,Mitarbeiter!$A$6:$A$205,0)),0))</f>
        <v/>
      </c>
      <c r="H1418" s="8">
        <f>IF(B1418="","",IF(ISNA(MATCH(B1418,Mitarbeiter!$A$6:$A$205,0)),"Pers.-Nr. unbekannt",IF(A1418="","Datum fehlt",IF(AND(D1418&lt;&gt;Einstellungen!$C$4,D1418&lt;&gt;Einstellungen!$C$5),"Objekt fehlt",IF(YEAR(A1418)&lt;&gt;Einstellungen!$C$3,"anderes Jahr",IF(A1418&lt;INDEX(Mitarbeiter!$C$6:$C$205,MATCH(B1418,Mitarbeiter!$A$6:$A$205,0)),"vor Eintritt",IF(AND(INDEX(Mitarbeiter!$D$6:$D$205,MATCH(B1418,Mitarbeiter!$A$6:$A$205,0))&lt;&gt;"",A1418&gt;INDEX(Mitarbeiter!$D$6:$D$205,MATCH(B1418,Mitarbeiter!$A$6:$A$205,0))),"nach Austritt","ok")))))))</f>
        <v/>
      </c>
    </row>
    <row r="1419">
      <c r="A1419" s="26" t="n"/>
      <c r="B1419" s="24" t="n"/>
      <c r="C1419" s="40">
        <f>IF(B1419="","",IFERROR(INDEX(Mitarbeiter!$B$6:$B$205,MATCH(B1419,Mitarbeiter!$A$6:$A$205,0)),"?"))</f>
        <v/>
      </c>
      <c r="D1419" s="41" t="n"/>
      <c r="E1419" s="42" t="n"/>
      <c r="F1419" s="43" t="n"/>
      <c r="G1419" s="44">
        <f>IF(OR(B1419="",F1419=""),"",IFERROR(F1419*INDEX(Mitarbeiter!$F$6:$F$205,MATCH(B1419,Mitarbeiter!$A$6:$A$205,0)),0))</f>
        <v/>
      </c>
      <c r="H1419" s="8">
        <f>IF(B1419="","",IF(ISNA(MATCH(B1419,Mitarbeiter!$A$6:$A$205,0)),"Pers.-Nr. unbekannt",IF(A1419="","Datum fehlt",IF(AND(D1419&lt;&gt;Einstellungen!$C$4,D1419&lt;&gt;Einstellungen!$C$5),"Objekt fehlt",IF(YEAR(A1419)&lt;&gt;Einstellungen!$C$3,"anderes Jahr",IF(A1419&lt;INDEX(Mitarbeiter!$C$6:$C$205,MATCH(B1419,Mitarbeiter!$A$6:$A$205,0)),"vor Eintritt",IF(AND(INDEX(Mitarbeiter!$D$6:$D$205,MATCH(B1419,Mitarbeiter!$A$6:$A$205,0))&lt;&gt;"",A1419&gt;INDEX(Mitarbeiter!$D$6:$D$205,MATCH(B1419,Mitarbeiter!$A$6:$A$205,0))),"nach Austritt","ok")))))))</f>
        <v/>
      </c>
    </row>
    <row r="1420">
      <c r="A1420" s="26" t="n"/>
      <c r="B1420" s="24" t="n"/>
      <c r="C1420" s="40">
        <f>IF(B1420="","",IFERROR(INDEX(Mitarbeiter!$B$6:$B$205,MATCH(B1420,Mitarbeiter!$A$6:$A$205,0)),"?"))</f>
        <v/>
      </c>
      <c r="D1420" s="41" t="n"/>
      <c r="E1420" s="42" t="n"/>
      <c r="F1420" s="43" t="n"/>
      <c r="G1420" s="44">
        <f>IF(OR(B1420="",F1420=""),"",IFERROR(F1420*INDEX(Mitarbeiter!$F$6:$F$205,MATCH(B1420,Mitarbeiter!$A$6:$A$205,0)),0))</f>
        <v/>
      </c>
      <c r="H1420" s="8">
        <f>IF(B1420="","",IF(ISNA(MATCH(B1420,Mitarbeiter!$A$6:$A$205,0)),"Pers.-Nr. unbekannt",IF(A1420="","Datum fehlt",IF(AND(D1420&lt;&gt;Einstellungen!$C$4,D1420&lt;&gt;Einstellungen!$C$5),"Objekt fehlt",IF(YEAR(A1420)&lt;&gt;Einstellungen!$C$3,"anderes Jahr",IF(A1420&lt;INDEX(Mitarbeiter!$C$6:$C$205,MATCH(B1420,Mitarbeiter!$A$6:$A$205,0)),"vor Eintritt",IF(AND(INDEX(Mitarbeiter!$D$6:$D$205,MATCH(B1420,Mitarbeiter!$A$6:$A$205,0))&lt;&gt;"",A1420&gt;INDEX(Mitarbeiter!$D$6:$D$205,MATCH(B1420,Mitarbeiter!$A$6:$A$205,0))),"nach Austritt","ok")))))))</f>
        <v/>
      </c>
    </row>
    <row r="1421">
      <c r="A1421" s="26" t="n"/>
      <c r="B1421" s="24" t="n"/>
      <c r="C1421" s="40">
        <f>IF(B1421="","",IFERROR(INDEX(Mitarbeiter!$B$6:$B$205,MATCH(B1421,Mitarbeiter!$A$6:$A$205,0)),"?"))</f>
        <v/>
      </c>
      <c r="D1421" s="41" t="n"/>
      <c r="E1421" s="42" t="n"/>
      <c r="F1421" s="43" t="n"/>
      <c r="G1421" s="44">
        <f>IF(OR(B1421="",F1421=""),"",IFERROR(F1421*INDEX(Mitarbeiter!$F$6:$F$205,MATCH(B1421,Mitarbeiter!$A$6:$A$205,0)),0))</f>
        <v/>
      </c>
      <c r="H1421" s="8">
        <f>IF(B1421="","",IF(ISNA(MATCH(B1421,Mitarbeiter!$A$6:$A$205,0)),"Pers.-Nr. unbekannt",IF(A1421="","Datum fehlt",IF(AND(D1421&lt;&gt;Einstellungen!$C$4,D1421&lt;&gt;Einstellungen!$C$5),"Objekt fehlt",IF(YEAR(A1421)&lt;&gt;Einstellungen!$C$3,"anderes Jahr",IF(A1421&lt;INDEX(Mitarbeiter!$C$6:$C$205,MATCH(B1421,Mitarbeiter!$A$6:$A$205,0)),"vor Eintritt",IF(AND(INDEX(Mitarbeiter!$D$6:$D$205,MATCH(B1421,Mitarbeiter!$A$6:$A$205,0))&lt;&gt;"",A1421&gt;INDEX(Mitarbeiter!$D$6:$D$205,MATCH(B1421,Mitarbeiter!$A$6:$A$205,0))),"nach Austritt","ok")))))))</f>
        <v/>
      </c>
    </row>
    <row r="1422">
      <c r="A1422" s="26" t="n"/>
      <c r="B1422" s="24" t="n"/>
      <c r="C1422" s="40">
        <f>IF(B1422="","",IFERROR(INDEX(Mitarbeiter!$B$6:$B$205,MATCH(B1422,Mitarbeiter!$A$6:$A$205,0)),"?"))</f>
        <v/>
      </c>
      <c r="D1422" s="41" t="n"/>
      <c r="E1422" s="42" t="n"/>
      <c r="F1422" s="43" t="n"/>
      <c r="G1422" s="44">
        <f>IF(OR(B1422="",F1422=""),"",IFERROR(F1422*INDEX(Mitarbeiter!$F$6:$F$205,MATCH(B1422,Mitarbeiter!$A$6:$A$205,0)),0))</f>
        <v/>
      </c>
      <c r="H1422" s="8">
        <f>IF(B1422="","",IF(ISNA(MATCH(B1422,Mitarbeiter!$A$6:$A$205,0)),"Pers.-Nr. unbekannt",IF(A1422="","Datum fehlt",IF(AND(D1422&lt;&gt;Einstellungen!$C$4,D1422&lt;&gt;Einstellungen!$C$5),"Objekt fehlt",IF(YEAR(A1422)&lt;&gt;Einstellungen!$C$3,"anderes Jahr",IF(A1422&lt;INDEX(Mitarbeiter!$C$6:$C$205,MATCH(B1422,Mitarbeiter!$A$6:$A$205,0)),"vor Eintritt",IF(AND(INDEX(Mitarbeiter!$D$6:$D$205,MATCH(B1422,Mitarbeiter!$A$6:$A$205,0))&lt;&gt;"",A1422&gt;INDEX(Mitarbeiter!$D$6:$D$205,MATCH(B1422,Mitarbeiter!$A$6:$A$205,0))),"nach Austritt","ok")))))))</f>
        <v/>
      </c>
    </row>
    <row r="1423">
      <c r="A1423" s="26" t="n"/>
      <c r="B1423" s="24" t="n"/>
      <c r="C1423" s="40">
        <f>IF(B1423="","",IFERROR(INDEX(Mitarbeiter!$B$6:$B$205,MATCH(B1423,Mitarbeiter!$A$6:$A$205,0)),"?"))</f>
        <v/>
      </c>
      <c r="D1423" s="41" t="n"/>
      <c r="E1423" s="42" t="n"/>
      <c r="F1423" s="43" t="n"/>
      <c r="G1423" s="44">
        <f>IF(OR(B1423="",F1423=""),"",IFERROR(F1423*INDEX(Mitarbeiter!$F$6:$F$205,MATCH(B1423,Mitarbeiter!$A$6:$A$205,0)),0))</f>
        <v/>
      </c>
      <c r="H1423" s="8">
        <f>IF(B1423="","",IF(ISNA(MATCH(B1423,Mitarbeiter!$A$6:$A$205,0)),"Pers.-Nr. unbekannt",IF(A1423="","Datum fehlt",IF(AND(D1423&lt;&gt;Einstellungen!$C$4,D1423&lt;&gt;Einstellungen!$C$5),"Objekt fehlt",IF(YEAR(A1423)&lt;&gt;Einstellungen!$C$3,"anderes Jahr",IF(A1423&lt;INDEX(Mitarbeiter!$C$6:$C$205,MATCH(B1423,Mitarbeiter!$A$6:$A$205,0)),"vor Eintritt",IF(AND(INDEX(Mitarbeiter!$D$6:$D$205,MATCH(B1423,Mitarbeiter!$A$6:$A$205,0))&lt;&gt;"",A1423&gt;INDEX(Mitarbeiter!$D$6:$D$205,MATCH(B1423,Mitarbeiter!$A$6:$A$205,0))),"nach Austritt","ok")))))))</f>
        <v/>
      </c>
    </row>
    <row r="1424">
      <c r="A1424" s="26" t="n"/>
      <c r="B1424" s="24" t="n"/>
      <c r="C1424" s="40">
        <f>IF(B1424="","",IFERROR(INDEX(Mitarbeiter!$B$6:$B$205,MATCH(B1424,Mitarbeiter!$A$6:$A$205,0)),"?"))</f>
        <v/>
      </c>
      <c r="D1424" s="41" t="n"/>
      <c r="E1424" s="42" t="n"/>
      <c r="F1424" s="43" t="n"/>
      <c r="G1424" s="44">
        <f>IF(OR(B1424="",F1424=""),"",IFERROR(F1424*INDEX(Mitarbeiter!$F$6:$F$205,MATCH(B1424,Mitarbeiter!$A$6:$A$205,0)),0))</f>
        <v/>
      </c>
      <c r="H1424" s="8">
        <f>IF(B1424="","",IF(ISNA(MATCH(B1424,Mitarbeiter!$A$6:$A$205,0)),"Pers.-Nr. unbekannt",IF(A1424="","Datum fehlt",IF(AND(D1424&lt;&gt;Einstellungen!$C$4,D1424&lt;&gt;Einstellungen!$C$5),"Objekt fehlt",IF(YEAR(A1424)&lt;&gt;Einstellungen!$C$3,"anderes Jahr",IF(A1424&lt;INDEX(Mitarbeiter!$C$6:$C$205,MATCH(B1424,Mitarbeiter!$A$6:$A$205,0)),"vor Eintritt",IF(AND(INDEX(Mitarbeiter!$D$6:$D$205,MATCH(B1424,Mitarbeiter!$A$6:$A$205,0))&lt;&gt;"",A1424&gt;INDEX(Mitarbeiter!$D$6:$D$205,MATCH(B1424,Mitarbeiter!$A$6:$A$205,0))),"nach Austritt","ok")))))))</f>
        <v/>
      </c>
    </row>
    <row r="1425">
      <c r="A1425" s="26" t="n"/>
      <c r="B1425" s="24" t="n"/>
      <c r="C1425" s="40">
        <f>IF(B1425="","",IFERROR(INDEX(Mitarbeiter!$B$6:$B$205,MATCH(B1425,Mitarbeiter!$A$6:$A$205,0)),"?"))</f>
        <v/>
      </c>
      <c r="D1425" s="41" t="n"/>
      <c r="E1425" s="42" t="n"/>
      <c r="F1425" s="43" t="n"/>
      <c r="G1425" s="44">
        <f>IF(OR(B1425="",F1425=""),"",IFERROR(F1425*INDEX(Mitarbeiter!$F$6:$F$205,MATCH(B1425,Mitarbeiter!$A$6:$A$205,0)),0))</f>
        <v/>
      </c>
      <c r="H1425" s="8">
        <f>IF(B1425="","",IF(ISNA(MATCH(B1425,Mitarbeiter!$A$6:$A$205,0)),"Pers.-Nr. unbekannt",IF(A1425="","Datum fehlt",IF(AND(D1425&lt;&gt;Einstellungen!$C$4,D1425&lt;&gt;Einstellungen!$C$5),"Objekt fehlt",IF(YEAR(A1425)&lt;&gt;Einstellungen!$C$3,"anderes Jahr",IF(A1425&lt;INDEX(Mitarbeiter!$C$6:$C$205,MATCH(B1425,Mitarbeiter!$A$6:$A$205,0)),"vor Eintritt",IF(AND(INDEX(Mitarbeiter!$D$6:$D$205,MATCH(B1425,Mitarbeiter!$A$6:$A$205,0))&lt;&gt;"",A1425&gt;INDEX(Mitarbeiter!$D$6:$D$205,MATCH(B1425,Mitarbeiter!$A$6:$A$205,0))),"nach Austritt","ok")))))))</f>
        <v/>
      </c>
    </row>
    <row r="1426">
      <c r="A1426" s="26" t="n"/>
      <c r="B1426" s="24" t="n"/>
      <c r="C1426" s="40">
        <f>IF(B1426="","",IFERROR(INDEX(Mitarbeiter!$B$6:$B$205,MATCH(B1426,Mitarbeiter!$A$6:$A$205,0)),"?"))</f>
        <v/>
      </c>
      <c r="D1426" s="41" t="n"/>
      <c r="E1426" s="42" t="n"/>
      <c r="F1426" s="43" t="n"/>
      <c r="G1426" s="44">
        <f>IF(OR(B1426="",F1426=""),"",IFERROR(F1426*INDEX(Mitarbeiter!$F$6:$F$205,MATCH(B1426,Mitarbeiter!$A$6:$A$205,0)),0))</f>
        <v/>
      </c>
      <c r="H1426" s="8">
        <f>IF(B1426="","",IF(ISNA(MATCH(B1426,Mitarbeiter!$A$6:$A$205,0)),"Pers.-Nr. unbekannt",IF(A1426="","Datum fehlt",IF(AND(D1426&lt;&gt;Einstellungen!$C$4,D1426&lt;&gt;Einstellungen!$C$5),"Objekt fehlt",IF(YEAR(A1426)&lt;&gt;Einstellungen!$C$3,"anderes Jahr",IF(A1426&lt;INDEX(Mitarbeiter!$C$6:$C$205,MATCH(B1426,Mitarbeiter!$A$6:$A$205,0)),"vor Eintritt",IF(AND(INDEX(Mitarbeiter!$D$6:$D$205,MATCH(B1426,Mitarbeiter!$A$6:$A$205,0))&lt;&gt;"",A1426&gt;INDEX(Mitarbeiter!$D$6:$D$205,MATCH(B1426,Mitarbeiter!$A$6:$A$205,0))),"nach Austritt","ok")))))))</f>
        <v/>
      </c>
    </row>
    <row r="1427">
      <c r="A1427" s="26" t="n"/>
      <c r="B1427" s="24" t="n"/>
      <c r="C1427" s="40">
        <f>IF(B1427="","",IFERROR(INDEX(Mitarbeiter!$B$6:$B$205,MATCH(B1427,Mitarbeiter!$A$6:$A$205,0)),"?"))</f>
        <v/>
      </c>
      <c r="D1427" s="41" t="n"/>
      <c r="E1427" s="42" t="n"/>
      <c r="F1427" s="43" t="n"/>
      <c r="G1427" s="44">
        <f>IF(OR(B1427="",F1427=""),"",IFERROR(F1427*INDEX(Mitarbeiter!$F$6:$F$205,MATCH(B1427,Mitarbeiter!$A$6:$A$205,0)),0))</f>
        <v/>
      </c>
      <c r="H1427" s="8">
        <f>IF(B1427="","",IF(ISNA(MATCH(B1427,Mitarbeiter!$A$6:$A$205,0)),"Pers.-Nr. unbekannt",IF(A1427="","Datum fehlt",IF(AND(D1427&lt;&gt;Einstellungen!$C$4,D1427&lt;&gt;Einstellungen!$C$5),"Objekt fehlt",IF(YEAR(A1427)&lt;&gt;Einstellungen!$C$3,"anderes Jahr",IF(A1427&lt;INDEX(Mitarbeiter!$C$6:$C$205,MATCH(B1427,Mitarbeiter!$A$6:$A$205,0)),"vor Eintritt",IF(AND(INDEX(Mitarbeiter!$D$6:$D$205,MATCH(B1427,Mitarbeiter!$A$6:$A$205,0))&lt;&gt;"",A1427&gt;INDEX(Mitarbeiter!$D$6:$D$205,MATCH(B1427,Mitarbeiter!$A$6:$A$205,0))),"nach Austritt","ok")))))))</f>
        <v/>
      </c>
    </row>
    <row r="1428">
      <c r="A1428" s="26" t="n"/>
      <c r="B1428" s="24" t="n"/>
      <c r="C1428" s="40">
        <f>IF(B1428="","",IFERROR(INDEX(Mitarbeiter!$B$6:$B$205,MATCH(B1428,Mitarbeiter!$A$6:$A$205,0)),"?"))</f>
        <v/>
      </c>
      <c r="D1428" s="41" t="n"/>
      <c r="E1428" s="42" t="n"/>
      <c r="F1428" s="43" t="n"/>
      <c r="G1428" s="44">
        <f>IF(OR(B1428="",F1428=""),"",IFERROR(F1428*INDEX(Mitarbeiter!$F$6:$F$205,MATCH(B1428,Mitarbeiter!$A$6:$A$205,0)),0))</f>
        <v/>
      </c>
      <c r="H1428" s="8">
        <f>IF(B1428="","",IF(ISNA(MATCH(B1428,Mitarbeiter!$A$6:$A$205,0)),"Pers.-Nr. unbekannt",IF(A1428="","Datum fehlt",IF(AND(D1428&lt;&gt;Einstellungen!$C$4,D1428&lt;&gt;Einstellungen!$C$5),"Objekt fehlt",IF(YEAR(A1428)&lt;&gt;Einstellungen!$C$3,"anderes Jahr",IF(A1428&lt;INDEX(Mitarbeiter!$C$6:$C$205,MATCH(B1428,Mitarbeiter!$A$6:$A$205,0)),"vor Eintritt",IF(AND(INDEX(Mitarbeiter!$D$6:$D$205,MATCH(B1428,Mitarbeiter!$A$6:$A$205,0))&lt;&gt;"",A1428&gt;INDEX(Mitarbeiter!$D$6:$D$205,MATCH(B1428,Mitarbeiter!$A$6:$A$205,0))),"nach Austritt","ok")))))))</f>
        <v/>
      </c>
    </row>
    <row r="1429">
      <c r="A1429" s="26" t="n"/>
      <c r="B1429" s="24" t="n"/>
      <c r="C1429" s="40">
        <f>IF(B1429="","",IFERROR(INDEX(Mitarbeiter!$B$6:$B$205,MATCH(B1429,Mitarbeiter!$A$6:$A$205,0)),"?"))</f>
        <v/>
      </c>
      <c r="D1429" s="41" t="n"/>
      <c r="E1429" s="42" t="n"/>
      <c r="F1429" s="43" t="n"/>
      <c r="G1429" s="44">
        <f>IF(OR(B1429="",F1429=""),"",IFERROR(F1429*INDEX(Mitarbeiter!$F$6:$F$205,MATCH(B1429,Mitarbeiter!$A$6:$A$205,0)),0))</f>
        <v/>
      </c>
      <c r="H1429" s="8">
        <f>IF(B1429="","",IF(ISNA(MATCH(B1429,Mitarbeiter!$A$6:$A$205,0)),"Pers.-Nr. unbekannt",IF(A1429="","Datum fehlt",IF(AND(D1429&lt;&gt;Einstellungen!$C$4,D1429&lt;&gt;Einstellungen!$C$5),"Objekt fehlt",IF(YEAR(A1429)&lt;&gt;Einstellungen!$C$3,"anderes Jahr",IF(A1429&lt;INDEX(Mitarbeiter!$C$6:$C$205,MATCH(B1429,Mitarbeiter!$A$6:$A$205,0)),"vor Eintritt",IF(AND(INDEX(Mitarbeiter!$D$6:$D$205,MATCH(B1429,Mitarbeiter!$A$6:$A$205,0))&lt;&gt;"",A1429&gt;INDEX(Mitarbeiter!$D$6:$D$205,MATCH(B1429,Mitarbeiter!$A$6:$A$205,0))),"nach Austritt","ok")))))))</f>
        <v/>
      </c>
    </row>
    <row r="1430">
      <c r="A1430" s="26" t="n"/>
      <c r="B1430" s="24" t="n"/>
      <c r="C1430" s="40">
        <f>IF(B1430="","",IFERROR(INDEX(Mitarbeiter!$B$6:$B$205,MATCH(B1430,Mitarbeiter!$A$6:$A$205,0)),"?"))</f>
        <v/>
      </c>
      <c r="D1430" s="41" t="n"/>
      <c r="E1430" s="42" t="n"/>
      <c r="F1430" s="43" t="n"/>
      <c r="G1430" s="44">
        <f>IF(OR(B1430="",F1430=""),"",IFERROR(F1430*INDEX(Mitarbeiter!$F$6:$F$205,MATCH(B1430,Mitarbeiter!$A$6:$A$205,0)),0))</f>
        <v/>
      </c>
      <c r="H1430" s="8">
        <f>IF(B1430="","",IF(ISNA(MATCH(B1430,Mitarbeiter!$A$6:$A$205,0)),"Pers.-Nr. unbekannt",IF(A1430="","Datum fehlt",IF(AND(D1430&lt;&gt;Einstellungen!$C$4,D1430&lt;&gt;Einstellungen!$C$5),"Objekt fehlt",IF(YEAR(A1430)&lt;&gt;Einstellungen!$C$3,"anderes Jahr",IF(A1430&lt;INDEX(Mitarbeiter!$C$6:$C$205,MATCH(B1430,Mitarbeiter!$A$6:$A$205,0)),"vor Eintritt",IF(AND(INDEX(Mitarbeiter!$D$6:$D$205,MATCH(B1430,Mitarbeiter!$A$6:$A$205,0))&lt;&gt;"",A1430&gt;INDEX(Mitarbeiter!$D$6:$D$205,MATCH(B1430,Mitarbeiter!$A$6:$A$205,0))),"nach Austritt","ok")))))))</f>
        <v/>
      </c>
    </row>
    <row r="1431">
      <c r="A1431" s="26" t="n"/>
      <c r="B1431" s="24" t="n"/>
      <c r="C1431" s="40">
        <f>IF(B1431="","",IFERROR(INDEX(Mitarbeiter!$B$6:$B$205,MATCH(B1431,Mitarbeiter!$A$6:$A$205,0)),"?"))</f>
        <v/>
      </c>
      <c r="D1431" s="41" t="n"/>
      <c r="E1431" s="42" t="n"/>
      <c r="F1431" s="43" t="n"/>
      <c r="G1431" s="44">
        <f>IF(OR(B1431="",F1431=""),"",IFERROR(F1431*INDEX(Mitarbeiter!$F$6:$F$205,MATCH(B1431,Mitarbeiter!$A$6:$A$205,0)),0))</f>
        <v/>
      </c>
      <c r="H1431" s="8">
        <f>IF(B1431="","",IF(ISNA(MATCH(B1431,Mitarbeiter!$A$6:$A$205,0)),"Pers.-Nr. unbekannt",IF(A1431="","Datum fehlt",IF(AND(D1431&lt;&gt;Einstellungen!$C$4,D1431&lt;&gt;Einstellungen!$C$5),"Objekt fehlt",IF(YEAR(A1431)&lt;&gt;Einstellungen!$C$3,"anderes Jahr",IF(A1431&lt;INDEX(Mitarbeiter!$C$6:$C$205,MATCH(B1431,Mitarbeiter!$A$6:$A$205,0)),"vor Eintritt",IF(AND(INDEX(Mitarbeiter!$D$6:$D$205,MATCH(B1431,Mitarbeiter!$A$6:$A$205,0))&lt;&gt;"",A1431&gt;INDEX(Mitarbeiter!$D$6:$D$205,MATCH(B1431,Mitarbeiter!$A$6:$A$205,0))),"nach Austritt","ok")))))))</f>
        <v/>
      </c>
    </row>
    <row r="1432">
      <c r="A1432" s="26" t="n"/>
      <c r="B1432" s="24" t="n"/>
      <c r="C1432" s="40">
        <f>IF(B1432="","",IFERROR(INDEX(Mitarbeiter!$B$6:$B$205,MATCH(B1432,Mitarbeiter!$A$6:$A$205,0)),"?"))</f>
        <v/>
      </c>
      <c r="D1432" s="41" t="n"/>
      <c r="E1432" s="42" t="n"/>
      <c r="F1432" s="43" t="n"/>
      <c r="G1432" s="44">
        <f>IF(OR(B1432="",F1432=""),"",IFERROR(F1432*INDEX(Mitarbeiter!$F$6:$F$205,MATCH(B1432,Mitarbeiter!$A$6:$A$205,0)),0))</f>
        <v/>
      </c>
      <c r="H1432" s="8">
        <f>IF(B1432="","",IF(ISNA(MATCH(B1432,Mitarbeiter!$A$6:$A$205,0)),"Pers.-Nr. unbekannt",IF(A1432="","Datum fehlt",IF(AND(D1432&lt;&gt;Einstellungen!$C$4,D1432&lt;&gt;Einstellungen!$C$5),"Objekt fehlt",IF(YEAR(A1432)&lt;&gt;Einstellungen!$C$3,"anderes Jahr",IF(A1432&lt;INDEX(Mitarbeiter!$C$6:$C$205,MATCH(B1432,Mitarbeiter!$A$6:$A$205,0)),"vor Eintritt",IF(AND(INDEX(Mitarbeiter!$D$6:$D$205,MATCH(B1432,Mitarbeiter!$A$6:$A$205,0))&lt;&gt;"",A1432&gt;INDEX(Mitarbeiter!$D$6:$D$205,MATCH(B1432,Mitarbeiter!$A$6:$A$205,0))),"nach Austritt","ok")))))))</f>
        <v/>
      </c>
    </row>
    <row r="1433">
      <c r="A1433" s="26" t="n"/>
      <c r="B1433" s="24" t="n"/>
      <c r="C1433" s="40">
        <f>IF(B1433="","",IFERROR(INDEX(Mitarbeiter!$B$6:$B$205,MATCH(B1433,Mitarbeiter!$A$6:$A$205,0)),"?"))</f>
        <v/>
      </c>
      <c r="D1433" s="41" t="n"/>
      <c r="E1433" s="42" t="n"/>
      <c r="F1433" s="43" t="n"/>
      <c r="G1433" s="44">
        <f>IF(OR(B1433="",F1433=""),"",IFERROR(F1433*INDEX(Mitarbeiter!$F$6:$F$205,MATCH(B1433,Mitarbeiter!$A$6:$A$205,0)),0))</f>
        <v/>
      </c>
      <c r="H1433" s="8">
        <f>IF(B1433="","",IF(ISNA(MATCH(B1433,Mitarbeiter!$A$6:$A$205,0)),"Pers.-Nr. unbekannt",IF(A1433="","Datum fehlt",IF(AND(D1433&lt;&gt;Einstellungen!$C$4,D1433&lt;&gt;Einstellungen!$C$5),"Objekt fehlt",IF(YEAR(A1433)&lt;&gt;Einstellungen!$C$3,"anderes Jahr",IF(A1433&lt;INDEX(Mitarbeiter!$C$6:$C$205,MATCH(B1433,Mitarbeiter!$A$6:$A$205,0)),"vor Eintritt",IF(AND(INDEX(Mitarbeiter!$D$6:$D$205,MATCH(B1433,Mitarbeiter!$A$6:$A$205,0))&lt;&gt;"",A1433&gt;INDEX(Mitarbeiter!$D$6:$D$205,MATCH(B1433,Mitarbeiter!$A$6:$A$205,0))),"nach Austritt","ok")))))))</f>
        <v/>
      </c>
    </row>
    <row r="1434">
      <c r="A1434" s="26" t="n"/>
      <c r="B1434" s="24" t="n"/>
      <c r="C1434" s="40">
        <f>IF(B1434="","",IFERROR(INDEX(Mitarbeiter!$B$6:$B$205,MATCH(B1434,Mitarbeiter!$A$6:$A$205,0)),"?"))</f>
        <v/>
      </c>
      <c r="D1434" s="41" t="n"/>
      <c r="E1434" s="42" t="n"/>
      <c r="F1434" s="43" t="n"/>
      <c r="G1434" s="44">
        <f>IF(OR(B1434="",F1434=""),"",IFERROR(F1434*INDEX(Mitarbeiter!$F$6:$F$205,MATCH(B1434,Mitarbeiter!$A$6:$A$205,0)),0))</f>
        <v/>
      </c>
      <c r="H1434" s="8">
        <f>IF(B1434="","",IF(ISNA(MATCH(B1434,Mitarbeiter!$A$6:$A$205,0)),"Pers.-Nr. unbekannt",IF(A1434="","Datum fehlt",IF(AND(D1434&lt;&gt;Einstellungen!$C$4,D1434&lt;&gt;Einstellungen!$C$5),"Objekt fehlt",IF(YEAR(A1434)&lt;&gt;Einstellungen!$C$3,"anderes Jahr",IF(A1434&lt;INDEX(Mitarbeiter!$C$6:$C$205,MATCH(B1434,Mitarbeiter!$A$6:$A$205,0)),"vor Eintritt",IF(AND(INDEX(Mitarbeiter!$D$6:$D$205,MATCH(B1434,Mitarbeiter!$A$6:$A$205,0))&lt;&gt;"",A1434&gt;INDEX(Mitarbeiter!$D$6:$D$205,MATCH(B1434,Mitarbeiter!$A$6:$A$205,0))),"nach Austritt","ok")))))))</f>
        <v/>
      </c>
    </row>
    <row r="1435">
      <c r="A1435" s="26" t="n"/>
      <c r="B1435" s="24" t="n"/>
      <c r="C1435" s="40">
        <f>IF(B1435="","",IFERROR(INDEX(Mitarbeiter!$B$6:$B$205,MATCH(B1435,Mitarbeiter!$A$6:$A$205,0)),"?"))</f>
        <v/>
      </c>
      <c r="D1435" s="41" t="n"/>
      <c r="E1435" s="42" t="n"/>
      <c r="F1435" s="43" t="n"/>
      <c r="G1435" s="44">
        <f>IF(OR(B1435="",F1435=""),"",IFERROR(F1435*INDEX(Mitarbeiter!$F$6:$F$205,MATCH(B1435,Mitarbeiter!$A$6:$A$205,0)),0))</f>
        <v/>
      </c>
      <c r="H1435" s="8">
        <f>IF(B1435="","",IF(ISNA(MATCH(B1435,Mitarbeiter!$A$6:$A$205,0)),"Pers.-Nr. unbekannt",IF(A1435="","Datum fehlt",IF(AND(D1435&lt;&gt;Einstellungen!$C$4,D1435&lt;&gt;Einstellungen!$C$5),"Objekt fehlt",IF(YEAR(A1435)&lt;&gt;Einstellungen!$C$3,"anderes Jahr",IF(A1435&lt;INDEX(Mitarbeiter!$C$6:$C$205,MATCH(B1435,Mitarbeiter!$A$6:$A$205,0)),"vor Eintritt",IF(AND(INDEX(Mitarbeiter!$D$6:$D$205,MATCH(B1435,Mitarbeiter!$A$6:$A$205,0))&lt;&gt;"",A1435&gt;INDEX(Mitarbeiter!$D$6:$D$205,MATCH(B1435,Mitarbeiter!$A$6:$A$205,0))),"nach Austritt","ok")))))))</f>
        <v/>
      </c>
    </row>
    <row r="1436">
      <c r="A1436" s="26" t="n"/>
      <c r="B1436" s="24" t="n"/>
      <c r="C1436" s="40">
        <f>IF(B1436="","",IFERROR(INDEX(Mitarbeiter!$B$6:$B$205,MATCH(B1436,Mitarbeiter!$A$6:$A$205,0)),"?"))</f>
        <v/>
      </c>
      <c r="D1436" s="41" t="n"/>
      <c r="E1436" s="42" t="n"/>
      <c r="F1436" s="43" t="n"/>
      <c r="G1436" s="44">
        <f>IF(OR(B1436="",F1436=""),"",IFERROR(F1436*INDEX(Mitarbeiter!$F$6:$F$205,MATCH(B1436,Mitarbeiter!$A$6:$A$205,0)),0))</f>
        <v/>
      </c>
      <c r="H1436" s="8">
        <f>IF(B1436="","",IF(ISNA(MATCH(B1436,Mitarbeiter!$A$6:$A$205,0)),"Pers.-Nr. unbekannt",IF(A1436="","Datum fehlt",IF(AND(D1436&lt;&gt;Einstellungen!$C$4,D1436&lt;&gt;Einstellungen!$C$5),"Objekt fehlt",IF(YEAR(A1436)&lt;&gt;Einstellungen!$C$3,"anderes Jahr",IF(A1436&lt;INDEX(Mitarbeiter!$C$6:$C$205,MATCH(B1436,Mitarbeiter!$A$6:$A$205,0)),"vor Eintritt",IF(AND(INDEX(Mitarbeiter!$D$6:$D$205,MATCH(B1436,Mitarbeiter!$A$6:$A$205,0))&lt;&gt;"",A1436&gt;INDEX(Mitarbeiter!$D$6:$D$205,MATCH(B1436,Mitarbeiter!$A$6:$A$205,0))),"nach Austritt","ok")))))))</f>
        <v/>
      </c>
    </row>
    <row r="1437">
      <c r="A1437" s="26" t="n"/>
      <c r="B1437" s="24" t="n"/>
      <c r="C1437" s="40">
        <f>IF(B1437="","",IFERROR(INDEX(Mitarbeiter!$B$6:$B$205,MATCH(B1437,Mitarbeiter!$A$6:$A$205,0)),"?"))</f>
        <v/>
      </c>
      <c r="D1437" s="41" t="n"/>
      <c r="E1437" s="42" t="n"/>
      <c r="F1437" s="43" t="n"/>
      <c r="G1437" s="44">
        <f>IF(OR(B1437="",F1437=""),"",IFERROR(F1437*INDEX(Mitarbeiter!$F$6:$F$205,MATCH(B1437,Mitarbeiter!$A$6:$A$205,0)),0))</f>
        <v/>
      </c>
      <c r="H1437" s="8">
        <f>IF(B1437="","",IF(ISNA(MATCH(B1437,Mitarbeiter!$A$6:$A$205,0)),"Pers.-Nr. unbekannt",IF(A1437="","Datum fehlt",IF(AND(D1437&lt;&gt;Einstellungen!$C$4,D1437&lt;&gt;Einstellungen!$C$5),"Objekt fehlt",IF(YEAR(A1437)&lt;&gt;Einstellungen!$C$3,"anderes Jahr",IF(A1437&lt;INDEX(Mitarbeiter!$C$6:$C$205,MATCH(B1437,Mitarbeiter!$A$6:$A$205,0)),"vor Eintritt",IF(AND(INDEX(Mitarbeiter!$D$6:$D$205,MATCH(B1437,Mitarbeiter!$A$6:$A$205,0))&lt;&gt;"",A1437&gt;INDEX(Mitarbeiter!$D$6:$D$205,MATCH(B1437,Mitarbeiter!$A$6:$A$205,0))),"nach Austritt","ok")))))))</f>
        <v/>
      </c>
    </row>
    <row r="1438">
      <c r="A1438" s="26" t="n"/>
      <c r="B1438" s="24" t="n"/>
      <c r="C1438" s="40">
        <f>IF(B1438="","",IFERROR(INDEX(Mitarbeiter!$B$6:$B$205,MATCH(B1438,Mitarbeiter!$A$6:$A$205,0)),"?"))</f>
        <v/>
      </c>
      <c r="D1438" s="41" t="n"/>
      <c r="E1438" s="42" t="n"/>
      <c r="F1438" s="43" t="n"/>
      <c r="G1438" s="44">
        <f>IF(OR(B1438="",F1438=""),"",IFERROR(F1438*INDEX(Mitarbeiter!$F$6:$F$205,MATCH(B1438,Mitarbeiter!$A$6:$A$205,0)),0))</f>
        <v/>
      </c>
      <c r="H1438" s="8">
        <f>IF(B1438="","",IF(ISNA(MATCH(B1438,Mitarbeiter!$A$6:$A$205,0)),"Pers.-Nr. unbekannt",IF(A1438="","Datum fehlt",IF(AND(D1438&lt;&gt;Einstellungen!$C$4,D1438&lt;&gt;Einstellungen!$C$5),"Objekt fehlt",IF(YEAR(A1438)&lt;&gt;Einstellungen!$C$3,"anderes Jahr",IF(A1438&lt;INDEX(Mitarbeiter!$C$6:$C$205,MATCH(B1438,Mitarbeiter!$A$6:$A$205,0)),"vor Eintritt",IF(AND(INDEX(Mitarbeiter!$D$6:$D$205,MATCH(B1438,Mitarbeiter!$A$6:$A$205,0))&lt;&gt;"",A1438&gt;INDEX(Mitarbeiter!$D$6:$D$205,MATCH(B1438,Mitarbeiter!$A$6:$A$205,0))),"nach Austritt","ok")))))))</f>
        <v/>
      </c>
    </row>
    <row r="1439">
      <c r="A1439" s="26" t="n"/>
      <c r="B1439" s="24" t="n"/>
      <c r="C1439" s="40">
        <f>IF(B1439="","",IFERROR(INDEX(Mitarbeiter!$B$6:$B$205,MATCH(B1439,Mitarbeiter!$A$6:$A$205,0)),"?"))</f>
        <v/>
      </c>
      <c r="D1439" s="41" t="n"/>
      <c r="E1439" s="42" t="n"/>
      <c r="F1439" s="43" t="n"/>
      <c r="G1439" s="44">
        <f>IF(OR(B1439="",F1439=""),"",IFERROR(F1439*INDEX(Mitarbeiter!$F$6:$F$205,MATCH(B1439,Mitarbeiter!$A$6:$A$205,0)),0))</f>
        <v/>
      </c>
      <c r="H1439" s="8">
        <f>IF(B1439="","",IF(ISNA(MATCH(B1439,Mitarbeiter!$A$6:$A$205,0)),"Pers.-Nr. unbekannt",IF(A1439="","Datum fehlt",IF(AND(D1439&lt;&gt;Einstellungen!$C$4,D1439&lt;&gt;Einstellungen!$C$5),"Objekt fehlt",IF(YEAR(A1439)&lt;&gt;Einstellungen!$C$3,"anderes Jahr",IF(A1439&lt;INDEX(Mitarbeiter!$C$6:$C$205,MATCH(B1439,Mitarbeiter!$A$6:$A$205,0)),"vor Eintritt",IF(AND(INDEX(Mitarbeiter!$D$6:$D$205,MATCH(B1439,Mitarbeiter!$A$6:$A$205,0))&lt;&gt;"",A1439&gt;INDEX(Mitarbeiter!$D$6:$D$205,MATCH(B1439,Mitarbeiter!$A$6:$A$205,0))),"nach Austritt","ok")))))))</f>
        <v/>
      </c>
    </row>
    <row r="1440">
      <c r="A1440" s="26" t="n"/>
      <c r="B1440" s="24" t="n"/>
      <c r="C1440" s="40">
        <f>IF(B1440="","",IFERROR(INDEX(Mitarbeiter!$B$6:$B$205,MATCH(B1440,Mitarbeiter!$A$6:$A$205,0)),"?"))</f>
        <v/>
      </c>
      <c r="D1440" s="41" t="n"/>
      <c r="E1440" s="42" t="n"/>
      <c r="F1440" s="43" t="n"/>
      <c r="G1440" s="44">
        <f>IF(OR(B1440="",F1440=""),"",IFERROR(F1440*INDEX(Mitarbeiter!$F$6:$F$205,MATCH(B1440,Mitarbeiter!$A$6:$A$205,0)),0))</f>
        <v/>
      </c>
      <c r="H1440" s="8">
        <f>IF(B1440="","",IF(ISNA(MATCH(B1440,Mitarbeiter!$A$6:$A$205,0)),"Pers.-Nr. unbekannt",IF(A1440="","Datum fehlt",IF(AND(D1440&lt;&gt;Einstellungen!$C$4,D1440&lt;&gt;Einstellungen!$C$5),"Objekt fehlt",IF(YEAR(A1440)&lt;&gt;Einstellungen!$C$3,"anderes Jahr",IF(A1440&lt;INDEX(Mitarbeiter!$C$6:$C$205,MATCH(B1440,Mitarbeiter!$A$6:$A$205,0)),"vor Eintritt",IF(AND(INDEX(Mitarbeiter!$D$6:$D$205,MATCH(B1440,Mitarbeiter!$A$6:$A$205,0))&lt;&gt;"",A1440&gt;INDEX(Mitarbeiter!$D$6:$D$205,MATCH(B1440,Mitarbeiter!$A$6:$A$205,0))),"nach Austritt","ok")))))))</f>
        <v/>
      </c>
    </row>
    <row r="1441">
      <c r="A1441" s="26" t="n"/>
      <c r="B1441" s="24" t="n"/>
      <c r="C1441" s="40">
        <f>IF(B1441="","",IFERROR(INDEX(Mitarbeiter!$B$6:$B$205,MATCH(B1441,Mitarbeiter!$A$6:$A$205,0)),"?"))</f>
        <v/>
      </c>
      <c r="D1441" s="41" t="n"/>
      <c r="E1441" s="42" t="n"/>
      <c r="F1441" s="43" t="n"/>
      <c r="G1441" s="44">
        <f>IF(OR(B1441="",F1441=""),"",IFERROR(F1441*INDEX(Mitarbeiter!$F$6:$F$205,MATCH(B1441,Mitarbeiter!$A$6:$A$205,0)),0))</f>
        <v/>
      </c>
      <c r="H1441" s="8">
        <f>IF(B1441="","",IF(ISNA(MATCH(B1441,Mitarbeiter!$A$6:$A$205,0)),"Pers.-Nr. unbekannt",IF(A1441="","Datum fehlt",IF(AND(D1441&lt;&gt;Einstellungen!$C$4,D1441&lt;&gt;Einstellungen!$C$5),"Objekt fehlt",IF(YEAR(A1441)&lt;&gt;Einstellungen!$C$3,"anderes Jahr",IF(A1441&lt;INDEX(Mitarbeiter!$C$6:$C$205,MATCH(B1441,Mitarbeiter!$A$6:$A$205,0)),"vor Eintritt",IF(AND(INDEX(Mitarbeiter!$D$6:$D$205,MATCH(B1441,Mitarbeiter!$A$6:$A$205,0))&lt;&gt;"",A1441&gt;INDEX(Mitarbeiter!$D$6:$D$205,MATCH(B1441,Mitarbeiter!$A$6:$A$205,0))),"nach Austritt","ok")))))))</f>
        <v/>
      </c>
    </row>
    <row r="1442">
      <c r="A1442" s="26" t="n"/>
      <c r="B1442" s="24" t="n"/>
      <c r="C1442" s="40">
        <f>IF(B1442="","",IFERROR(INDEX(Mitarbeiter!$B$6:$B$205,MATCH(B1442,Mitarbeiter!$A$6:$A$205,0)),"?"))</f>
        <v/>
      </c>
      <c r="D1442" s="41" t="n"/>
      <c r="E1442" s="42" t="n"/>
      <c r="F1442" s="43" t="n"/>
      <c r="G1442" s="44">
        <f>IF(OR(B1442="",F1442=""),"",IFERROR(F1442*INDEX(Mitarbeiter!$F$6:$F$205,MATCH(B1442,Mitarbeiter!$A$6:$A$205,0)),0))</f>
        <v/>
      </c>
      <c r="H1442" s="8">
        <f>IF(B1442="","",IF(ISNA(MATCH(B1442,Mitarbeiter!$A$6:$A$205,0)),"Pers.-Nr. unbekannt",IF(A1442="","Datum fehlt",IF(AND(D1442&lt;&gt;Einstellungen!$C$4,D1442&lt;&gt;Einstellungen!$C$5),"Objekt fehlt",IF(YEAR(A1442)&lt;&gt;Einstellungen!$C$3,"anderes Jahr",IF(A1442&lt;INDEX(Mitarbeiter!$C$6:$C$205,MATCH(B1442,Mitarbeiter!$A$6:$A$205,0)),"vor Eintritt",IF(AND(INDEX(Mitarbeiter!$D$6:$D$205,MATCH(B1442,Mitarbeiter!$A$6:$A$205,0))&lt;&gt;"",A1442&gt;INDEX(Mitarbeiter!$D$6:$D$205,MATCH(B1442,Mitarbeiter!$A$6:$A$205,0))),"nach Austritt","ok")))))))</f>
        <v/>
      </c>
    </row>
    <row r="1443">
      <c r="A1443" s="26" t="n"/>
      <c r="B1443" s="24" t="n"/>
      <c r="C1443" s="40">
        <f>IF(B1443="","",IFERROR(INDEX(Mitarbeiter!$B$6:$B$205,MATCH(B1443,Mitarbeiter!$A$6:$A$205,0)),"?"))</f>
        <v/>
      </c>
      <c r="D1443" s="41" t="n"/>
      <c r="E1443" s="42" t="n"/>
      <c r="F1443" s="43" t="n"/>
      <c r="G1443" s="44">
        <f>IF(OR(B1443="",F1443=""),"",IFERROR(F1443*INDEX(Mitarbeiter!$F$6:$F$205,MATCH(B1443,Mitarbeiter!$A$6:$A$205,0)),0))</f>
        <v/>
      </c>
      <c r="H1443" s="8">
        <f>IF(B1443="","",IF(ISNA(MATCH(B1443,Mitarbeiter!$A$6:$A$205,0)),"Pers.-Nr. unbekannt",IF(A1443="","Datum fehlt",IF(AND(D1443&lt;&gt;Einstellungen!$C$4,D1443&lt;&gt;Einstellungen!$C$5),"Objekt fehlt",IF(YEAR(A1443)&lt;&gt;Einstellungen!$C$3,"anderes Jahr",IF(A1443&lt;INDEX(Mitarbeiter!$C$6:$C$205,MATCH(B1443,Mitarbeiter!$A$6:$A$205,0)),"vor Eintritt",IF(AND(INDEX(Mitarbeiter!$D$6:$D$205,MATCH(B1443,Mitarbeiter!$A$6:$A$205,0))&lt;&gt;"",A1443&gt;INDEX(Mitarbeiter!$D$6:$D$205,MATCH(B1443,Mitarbeiter!$A$6:$A$205,0))),"nach Austritt","ok")))))))</f>
        <v/>
      </c>
    </row>
    <row r="1444">
      <c r="A1444" s="26" t="n"/>
      <c r="B1444" s="24" t="n"/>
      <c r="C1444" s="40">
        <f>IF(B1444="","",IFERROR(INDEX(Mitarbeiter!$B$6:$B$205,MATCH(B1444,Mitarbeiter!$A$6:$A$205,0)),"?"))</f>
        <v/>
      </c>
      <c r="D1444" s="41" t="n"/>
      <c r="E1444" s="42" t="n"/>
      <c r="F1444" s="43" t="n"/>
      <c r="G1444" s="44">
        <f>IF(OR(B1444="",F1444=""),"",IFERROR(F1444*INDEX(Mitarbeiter!$F$6:$F$205,MATCH(B1444,Mitarbeiter!$A$6:$A$205,0)),0))</f>
        <v/>
      </c>
      <c r="H1444" s="8">
        <f>IF(B1444="","",IF(ISNA(MATCH(B1444,Mitarbeiter!$A$6:$A$205,0)),"Pers.-Nr. unbekannt",IF(A1444="","Datum fehlt",IF(AND(D1444&lt;&gt;Einstellungen!$C$4,D1444&lt;&gt;Einstellungen!$C$5),"Objekt fehlt",IF(YEAR(A1444)&lt;&gt;Einstellungen!$C$3,"anderes Jahr",IF(A1444&lt;INDEX(Mitarbeiter!$C$6:$C$205,MATCH(B1444,Mitarbeiter!$A$6:$A$205,0)),"vor Eintritt",IF(AND(INDEX(Mitarbeiter!$D$6:$D$205,MATCH(B1444,Mitarbeiter!$A$6:$A$205,0))&lt;&gt;"",A1444&gt;INDEX(Mitarbeiter!$D$6:$D$205,MATCH(B1444,Mitarbeiter!$A$6:$A$205,0))),"nach Austritt","ok")))))))</f>
        <v/>
      </c>
    </row>
    <row r="1445">
      <c r="A1445" s="26" t="n"/>
      <c r="B1445" s="24" t="n"/>
      <c r="C1445" s="40">
        <f>IF(B1445="","",IFERROR(INDEX(Mitarbeiter!$B$6:$B$205,MATCH(B1445,Mitarbeiter!$A$6:$A$205,0)),"?"))</f>
        <v/>
      </c>
      <c r="D1445" s="41" t="n"/>
      <c r="E1445" s="42" t="n"/>
      <c r="F1445" s="43" t="n"/>
      <c r="G1445" s="44">
        <f>IF(OR(B1445="",F1445=""),"",IFERROR(F1445*INDEX(Mitarbeiter!$F$6:$F$205,MATCH(B1445,Mitarbeiter!$A$6:$A$205,0)),0))</f>
        <v/>
      </c>
      <c r="H1445" s="8">
        <f>IF(B1445="","",IF(ISNA(MATCH(B1445,Mitarbeiter!$A$6:$A$205,0)),"Pers.-Nr. unbekannt",IF(A1445="","Datum fehlt",IF(AND(D1445&lt;&gt;Einstellungen!$C$4,D1445&lt;&gt;Einstellungen!$C$5),"Objekt fehlt",IF(YEAR(A1445)&lt;&gt;Einstellungen!$C$3,"anderes Jahr",IF(A1445&lt;INDEX(Mitarbeiter!$C$6:$C$205,MATCH(B1445,Mitarbeiter!$A$6:$A$205,0)),"vor Eintritt",IF(AND(INDEX(Mitarbeiter!$D$6:$D$205,MATCH(B1445,Mitarbeiter!$A$6:$A$205,0))&lt;&gt;"",A1445&gt;INDEX(Mitarbeiter!$D$6:$D$205,MATCH(B1445,Mitarbeiter!$A$6:$A$205,0))),"nach Austritt","ok")))))))</f>
        <v/>
      </c>
    </row>
    <row r="1446">
      <c r="A1446" s="26" t="n"/>
      <c r="B1446" s="24" t="n"/>
      <c r="C1446" s="40">
        <f>IF(B1446="","",IFERROR(INDEX(Mitarbeiter!$B$6:$B$205,MATCH(B1446,Mitarbeiter!$A$6:$A$205,0)),"?"))</f>
        <v/>
      </c>
      <c r="D1446" s="41" t="n"/>
      <c r="E1446" s="42" t="n"/>
      <c r="F1446" s="43" t="n"/>
      <c r="G1446" s="44">
        <f>IF(OR(B1446="",F1446=""),"",IFERROR(F1446*INDEX(Mitarbeiter!$F$6:$F$205,MATCH(B1446,Mitarbeiter!$A$6:$A$205,0)),0))</f>
        <v/>
      </c>
      <c r="H1446" s="8">
        <f>IF(B1446="","",IF(ISNA(MATCH(B1446,Mitarbeiter!$A$6:$A$205,0)),"Pers.-Nr. unbekannt",IF(A1446="","Datum fehlt",IF(AND(D1446&lt;&gt;Einstellungen!$C$4,D1446&lt;&gt;Einstellungen!$C$5),"Objekt fehlt",IF(YEAR(A1446)&lt;&gt;Einstellungen!$C$3,"anderes Jahr",IF(A1446&lt;INDEX(Mitarbeiter!$C$6:$C$205,MATCH(B1446,Mitarbeiter!$A$6:$A$205,0)),"vor Eintritt",IF(AND(INDEX(Mitarbeiter!$D$6:$D$205,MATCH(B1446,Mitarbeiter!$A$6:$A$205,0))&lt;&gt;"",A1446&gt;INDEX(Mitarbeiter!$D$6:$D$205,MATCH(B1446,Mitarbeiter!$A$6:$A$205,0))),"nach Austritt","ok")))))))</f>
        <v/>
      </c>
    </row>
    <row r="1447">
      <c r="A1447" s="26" t="n"/>
      <c r="B1447" s="24" t="n"/>
      <c r="C1447" s="40">
        <f>IF(B1447="","",IFERROR(INDEX(Mitarbeiter!$B$6:$B$205,MATCH(B1447,Mitarbeiter!$A$6:$A$205,0)),"?"))</f>
        <v/>
      </c>
      <c r="D1447" s="41" t="n"/>
      <c r="E1447" s="42" t="n"/>
      <c r="F1447" s="43" t="n"/>
      <c r="G1447" s="44">
        <f>IF(OR(B1447="",F1447=""),"",IFERROR(F1447*INDEX(Mitarbeiter!$F$6:$F$205,MATCH(B1447,Mitarbeiter!$A$6:$A$205,0)),0))</f>
        <v/>
      </c>
      <c r="H1447" s="8">
        <f>IF(B1447="","",IF(ISNA(MATCH(B1447,Mitarbeiter!$A$6:$A$205,0)),"Pers.-Nr. unbekannt",IF(A1447="","Datum fehlt",IF(AND(D1447&lt;&gt;Einstellungen!$C$4,D1447&lt;&gt;Einstellungen!$C$5),"Objekt fehlt",IF(YEAR(A1447)&lt;&gt;Einstellungen!$C$3,"anderes Jahr",IF(A1447&lt;INDEX(Mitarbeiter!$C$6:$C$205,MATCH(B1447,Mitarbeiter!$A$6:$A$205,0)),"vor Eintritt",IF(AND(INDEX(Mitarbeiter!$D$6:$D$205,MATCH(B1447,Mitarbeiter!$A$6:$A$205,0))&lt;&gt;"",A1447&gt;INDEX(Mitarbeiter!$D$6:$D$205,MATCH(B1447,Mitarbeiter!$A$6:$A$205,0))),"nach Austritt","ok")))))))</f>
        <v/>
      </c>
    </row>
    <row r="1448">
      <c r="A1448" s="26" t="n"/>
      <c r="B1448" s="24" t="n"/>
      <c r="C1448" s="40">
        <f>IF(B1448="","",IFERROR(INDEX(Mitarbeiter!$B$6:$B$205,MATCH(B1448,Mitarbeiter!$A$6:$A$205,0)),"?"))</f>
        <v/>
      </c>
      <c r="D1448" s="41" t="n"/>
      <c r="E1448" s="42" t="n"/>
      <c r="F1448" s="43" t="n"/>
      <c r="G1448" s="44">
        <f>IF(OR(B1448="",F1448=""),"",IFERROR(F1448*INDEX(Mitarbeiter!$F$6:$F$205,MATCH(B1448,Mitarbeiter!$A$6:$A$205,0)),0))</f>
        <v/>
      </c>
      <c r="H1448" s="8">
        <f>IF(B1448="","",IF(ISNA(MATCH(B1448,Mitarbeiter!$A$6:$A$205,0)),"Pers.-Nr. unbekannt",IF(A1448="","Datum fehlt",IF(AND(D1448&lt;&gt;Einstellungen!$C$4,D1448&lt;&gt;Einstellungen!$C$5),"Objekt fehlt",IF(YEAR(A1448)&lt;&gt;Einstellungen!$C$3,"anderes Jahr",IF(A1448&lt;INDEX(Mitarbeiter!$C$6:$C$205,MATCH(B1448,Mitarbeiter!$A$6:$A$205,0)),"vor Eintritt",IF(AND(INDEX(Mitarbeiter!$D$6:$D$205,MATCH(B1448,Mitarbeiter!$A$6:$A$205,0))&lt;&gt;"",A1448&gt;INDEX(Mitarbeiter!$D$6:$D$205,MATCH(B1448,Mitarbeiter!$A$6:$A$205,0))),"nach Austritt","ok")))))))</f>
        <v/>
      </c>
    </row>
    <row r="1449">
      <c r="A1449" s="26" t="n"/>
      <c r="B1449" s="24" t="n"/>
      <c r="C1449" s="40">
        <f>IF(B1449="","",IFERROR(INDEX(Mitarbeiter!$B$6:$B$205,MATCH(B1449,Mitarbeiter!$A$6:$A$205,0)),"?"))</f>
        <v/>
      </c>
      <c r="D1449" s="41" t="n"/>
      <c r="E1449" s="42" t="n"/>
      <c r="F1449" s="43" t="n"/>
      <c r="G1449" s="44">
        <f>IF(OR(B1449="",F1449=""),"",IFERROR(F1449*INDEX(Mitarbeiter!$F$6:$F$205,MATCH(B1449,Mitarbeiter!$A$6:$A$205,0)),0))</f>
        <v/>
      </c>
      <c r="H1449" s="8">
        <f>IF(B1449="","",IF(ISNA(MATCH(B1449,Mitarbeiter!$A$6:$A$205,0)),"Pers.-Nr. unbekannt",IF(A1449="","Datum fehlt",IF(AND(D1449&lt;&gt;Einstellungen!$C$4,D1449&lt;&gt;Einstellungen!$C$5),"Objekt fehlt",IF(YEAR(A1449)&lt;&gt;Einstellungen!$C$3,"anderes Jahr",IF(A1449&lt;INDEX(Mitarbeiter!$C$6:$C$205,MATCH(B1449,Mitarbeiter!$A$6:$A$205,0)),"vor Eintritt",IF(AND(INDEX(Mitarbeiter!$D$6:$D$205,MATCH(B1449,Mitarbeiter!$A$6:$A$205,0))&lt;&gt;"",A1449&gt;INDEX(Mitarbeiter!$D$6:$D$205,MATCH(B1449,Mitarbeiter!$A$6:$A$205,0))),"nach Austritt","ok")))))))</f>
        <v/>
      </c>
    </row>
    <row r="1450">
      <c r="A1450" s="26" t="n"/>
      <c r="B1450" s="24" t="n"/>
      <c r="C1450" s="40">
        <f>IF(B1450="","",IFERROR(INDEX(Mitarbeiter!$B$6:$B$205,MATCH(B1450,Mitarbeiter!$A$6:$A$205,0)),"?"))</f>
        <v/>
      </c>
      <c r="D1450" s="41" t="n"/>
      <c r="E1450" s="42" t="n"/>
      <c r="F1450" s="43" t="n"/>
      <c r="G1450" s="44">
        <f>IF(OR(B1450="",F1450=""),"",IFERROR(F1450*INDEX(Mitarbeiter!$F$6:$F$205,MATCH(B1450,Mitarbeiter!$A$6:$A$205,0)),0))</f>
        <v/>
      </c>
      <c r="H1450" s="8">
        <f>IF(B1450="","",IF(ISNA(MATCH(B1450,Mitarbeiter!$A$6:$A$205,0)),"Pers.-Nr. unbekannt",IF(A1450="","Datum fehlt",IF(AND(D1450&lt;&gt;Einstellungen!$C$4,D1450&lt;&gt;Einstellungen!$C$5),"Objekt fehlt",IF(YEAR(A1450)&lt;&gt;Einstellungen!$C$3,"anderes Jahr",IF(A1450&lt;INDEX(Mitarbeiter!$C$6:$C$205,MATCH(B1450,Mitarbeiter!$A$6:$A$205,0)),"vor Eintritt",IF(AND(INDEX(Mitarbeiter!$D$6:$D$205,MATCH(B1450,Mitarbeiter!$A$6:$A$205,0))&lt;&gt;"",A1450&gt;INDEX(Mitarbeiter!$D$6:$D$205,MATCH(B1450,Mitarbeiter!$A$6:$A$205,0))),"nach Austritt","ok")))))))</f>
        <v/>
      </c>
    </row>
    <row r="1451">
      <c r="A1451" s="26" t="n"/>
      <c r="B1451" s="24" t="n"/>
      <c r="C1451" s="40">
        <f>IF(B1451="","",IFERROR(INDEX(Mitarbeiter!$B$6:$B$205,MATCH(B1451,Mitarbeiter!$A$6:$A$205,0)),"?"))</f>
        <v/>
      </c>
      <c r="D1451" s="41" t="n"/>
      <c r="E1451" s="42" t="n"/>
      <c r="F1451" s="43" t="n"/>
      <c r="G1451" s="44">
        <f>IF(OR(B1451="",F1451=""),"",IFERROR(F1451*INDEX(Mitarbeiter!$F$6:$F$205,MATCH(B1451,Mitarbeiter!$A$6:$A$205,0)),0))</f>
        <v/>
      </c>
      <c r="H1451" s="8">
        <f>IF(B1451="","",IF(ISNA(MATCH(B1451,Mitarbeiter!$A$6:$A$205,0)),"Pers.-Nr. unbekannt",IF(A1451="","Datum fehlt",IF(AND(D1451&lt;&gt;Einstellungen!$C$4,D1451&lt;&gt;Einstellungen!$C$5),"Objekt fehlt",IF(YEAR(A1451)&lt;&gt;Einstellungen!$C$3,"anderes Jahr",IF(A1451&lt;INDEX(Mitarbeiter!$C$6:$C$205,MATCH(B1451,Mitarbeiter!$A$6:$A$205,0)),"vor Eintritt",IF(AND(INDEX(Mitarbeiter!$D$6:$D$205,MATCH(B1451,Mitarbeiter!$A$6:$A$205,0))&lt;&gt;"",A1451&gt;INDEX(Mitarbeiter!$D$6:$D$205,MATCH(B1451,Mitarbeiter!$A$6:$A$205,0))),"nach Austritt","ok")))))))</f>
        <v/>
      </c>
    </row>
    <row r="1452">
      <c r="A1452" s="26" t="n"/>
      <c r="B1452" s="24" t="n"/>
      <c r="C1452" s="40">
        <f>IF(B1452="","",IFERROR(INDEX(Mitarbeiter!$B$6:$B$205,MATCH(B1452,Mitarbeiter!$A$6:$A$205,0)),"?"))</f>
        <v/>
      </c>
      <c r="D1452" s="41" t="n"/>
      <c r="E1452" s="42" t="n"/>
      <c r="F1452" s="43" t="n"/>
      <c r="G1452" s="44">
        <f>IF(OR(B1452="",F1452=""),"",IFERROR(F1452*INDEX(Mitarbeiter!$F$6:$F$205,MATCH(B1452,Mitarbeiter!$A$6:$A$205,0)),0))</f>
        <v/>
      </c>
      <c r="H1452" s="8">
        <f>IF(B1452="","",IF(ISNA(MATCH(B1452,Mitarbeiter!$A$6:$A$205,0)),"Pers.-Nr. unbekannt",IF(A1452="","Datum fehlt",IF(AND(D1452&lt;&gt;Einstellungen!$C$4,D1452&lt;&gt;Einstellungen!$C$5),"Objekt fehlt",IF(YEAR(A1452)&lt;&gt;Einstellungen!$C$3,"anderes Jahr",IF(A1452&lt;INDEX(Mitarbeiter!$C$6:$C$205,MATCH(B1452,Mitarbeiter!$A$6:$A$205,0)),"vor Eintritt",IF(AND(INDEX(Mitarbeiter!$D$6:$D$205,MATCH(B1452,Mitarbeiter!$A$6:$A$205,0))&lt;&gt;"",A1452&gt;INDEX(Mitarbeiter!$D$6:$D$205,MATCH(B1452,Mitarbeiter!$A$6:$A$205,0))),"nach Austritt","ok")))))))</f>
        <v/>
      </c>
    </row>
    <row r="1453">
      <c r="A1453" s="26" t="n"/>
      <c r="B1453" s="24" t="n"/>
      <c r="C1453" s="40">
        <f>IF(B1453="","",IFERROR(INDEX(Mitarbeiter!$B$6:$B$205,MATCH(B1453,Mitarbeiter!$A$6:$A$205,0)),"?"))</f>
        <v/>
      </c>
      <c r="D1453" s="41" t="n"/>
      <c r="E1453" s="42" t="n"/>
      <c r="F1453" s="43" t="n"/>
      <c r="G1453" s="44">
        <f>IF(OR(B1453="",F1453=""),"",IFERROR(F1453*INDEX(Mitarbeiter!$F$6:$F$205,MATCH(B1453,Mitarbeiter!$A$6:$A$205,0)),0))</f>
        <v/>
      </c>
      <c r="H1453" s="8">
        <f>IF(B1453="","",IF(ISNA(MATCH(B1453,Mitarbeiter!$A$6:$A$205,0)),"Pers.-Nr. unbekannt",IF(A1453="","Datum fehlt",IF(AND(D1453&lt;&gt;Einstellungen!$C$4,D1453&lt;&gt;Einstellungen!$C$5),"Objekt fehlt",IF(YEAR(A1453)&lt;&gt;Einstellungen!$C$3,"anderes Jahr",IF(A1453&lt;INDEX(Mitarbeiter!$C$6:$C$205,MATCH(B1453,Mitarbeiter!$A$6:$A$205,0)),"vor Eintritt",IF(AND(INDEX(Mitarbeiter!$D$6:$D$205,MATCH(B1453,Mitarbeiter!$A$6:$A$205,0))&lt;&gt;"",A1453&gt;INDEX(Mitarbeiter!$D$6:$D$205,MATCH(B1453,Mitarbeiter!$A$6:$A$205,0))),"nach Austritt","ok")))))))</f>
        <v/>
      </c>
    </row>
    <row r="1454">
      <c r="A1454" s="26" t="n"/>
      <c r="B1454" s="24" t="n"/>
      <c r="C1454" s="40">
        <f>IF(B1454="","",IFERROR(INDEX(Mitarbeiter!$B$6:$B$205,MATCH(B1454,Mitarbeiter!$A$6:$A$205,0)),"?"))</f>
        <v/>
      </c>
      <c r="D1454" s="41" t="n"/>
      <c r="E1454" s="42" t="n"/>
      <c r="F1454" s="43" t="n"/>
      <c r="G1454" s="44">
        <f>IF(OR(B1454="",F1454=""),"",IFERROR(F1454*INDEX(Mitarbeiter!$F$6:$F$205,MATCH(B1454,Mitarbeiter!$A$6:$A$205,0)),0))</f>
        <v/>
      </c>
      <c r="H1454" s="8">
        <f>IF(B1454="","",IF(ISNA(MATCH(B1454,Mitarbeiter!$A$6:$A$205,0)),"Pers.-Nr. unbekannt",IF(A1454="","Datum fehlt",IF(AND(D1454&lt;&gt;Einstellungen!$C$4,D1454&lt;&gt;Einstellungen!$C$5),"Objekt fehlt",IF(YEAR(A1454)&lt;&gt;Einstellungen!$C$3,"anderes Jahr",IF(A1454&lt;INDEX(Mitarbeiter!$C$6:$C$205,MATCH(B1454,Mitarbeiter!$A$6:$A$205,0)),"vor Eintritt",IF(AND(INDEX(Mitarbeiter!$D$6:$D$205,MATCH(B1454,Mitarbeiter!$A$6:$A$205,0))&lt;&gt;"",A1454&gt;INDEX(Mitarbeiter!$D$6:$D$205,MATCH(B1454,Mitarbeiter!$A$6:$A$205,0))),"nach Austritt","ok")))))))</f>
        <v/>
      </c>
    </row>
    <row r="1455">
      <c r="A1455" s="26" t="n"/>
      <c r="B1455" s="24" t="n"/>
      <c r="C1455" s="40">
        <f>IF(B1455="","",IFERROR(INDEX(Mitarbeiter!$B$6:$B$205,MATCH(B1455,Mitarbeiter!$A$6:$A$205,0)),"?"))</f>
        <v/>
      </c>
      <c r="D1455" s="41" t="n"/>
      <c r="E1455" s="42" t="n"/>
      <c r="F1455" s="43" t="n"/>
      <c r="G1455" s="44">
        <f>IF(OR(B1455="",F1455=""),"",IFERROR(F1455*INDEX(Mitarbeiter!$F$6:$F$205,MATCH(B1455,Mitarbeiter!$A$6:$A$205,0)),0))</f>
        <v/>
      </c>
      <c r="H1455" s="8">
        <f>IF(B1455="","",IF(ISNA(MATCH(B1455,Mitarbeiter!$A$6:$A$205,0)),"Pers.-Nr. unbekannt",IF(A1455="","Datum fehlt",IF(AND(D1455&lt;&gt;Einstellungen!$C$4,D1455&lt;&gt;Einstellungen!$C$5),"Objekt fehlt",IF(YEAR(A1455)&lt;&gt;Einstellungen!$C$3,"anderes Jahr",IF(A1455&lt;INDEX(Mitarbeiter!$C$6:$C$205,MATCH(B1455,Mitarbeiter!$A$6:$A$205,0)),"vor Eintritt",IF(AND(INDEX(Mitarbeiter!$D$6:$D$205,MATCH(B1455,Mitarbeiter!$A$6:$A$205,0))&lt;&gt;"",A1455&gt;INDEX(Mitarbeiter!$D$6:$D$205,MATCH(B1455,Mitarbeiter!$A$6:$A$205,0))),"nach Austritt","ok")))))))</f>
        <v/>
      </c>
    </row>
    <row r="1456">
      <c r="A1456" s="26" t="n"/>
      <c r="B1456" s="24" t="n"/>
      <c r="C1456" s="40">
        <f>IF(B1456="","",IFERROR(INDEX(Mitarbeiter!$B$6:$B$205,MATCH(B1456,Mitarbeiter!$A$6:$A$205,0)),"?"))</f>
        <v/>
      </c>
      <c r="D1456" s="41" t="n"/>
      <c r="E1456" s="42" t="n"/>
      <c r="F1456" s="43" t="n"/>
      <c r="G1456" s="44">
        <f>IF(OR(B1456="",F1456=""),"",IFERROR(F1456*INDEX(Mitarbeiter!$F$6:$F$205,MATCH(B1456,Mitarbeiter!$A$6:$A$205,0)),0))</f>
        <v/>
      </c>
      <c r="H1456" s="8">
        <f>IF(B1456="","",IF(ISNA(MATCH(B1456,Mitarbeiter!$A$6:$A$205,0)),"Pers.-Nr. unbekannt",IF(A1456="","Datum fehlt",IF(AND(D1456&lt;&gt;Einstellungen!$C$4,D1456&lt;&gt;Einstellungen!$C$5),"Objekt fehlt",IF(YEAR(A1456)&lt;&gt;Einstellungen!$C$3,"anderes Jahr",IF(A1456&lt;INDEX(Mitarbeiter!$C$6:$C$205,MATCH(B1456,Mitarbeiter!$A$6:$A$205,0)),"vor Eintritt",IF(AND(INDEX(Mitarbeiter!$D$6:$D$205,MATCH(B1456,Mitarbeiter!$A$6:$A$205,0))&lt;&gt;"",A1456&gt;INDEX(Mitarbeiter!$D$6:$D$205,MATCH(B1456,Mitarbeiter!$A$6:$A$205,0))),"nach Austritt","ok")))))))</f>
        <v/>
      </c>
    </row>
    <row r="1457">
      <c r="A1457" s="26" t="n"/>
      <c r="B1457" s="24" t="n"/>
      <c r="C1457" s="40">
        <f>IF(B1457="","",IFERROR(INDEX(Mitarbeiter!$B$6:$B$205,MATCH(B1457,Mitarbeiter!$A$6:$A$205,0)),"?"))</f>
        <v/>
      </c>
      <c r="D1457" s="41" t="n"/>
      <c r="E1457" s="42" t="n"/>
      <c r="F1457" s="43" t="n"/>
      <c r="G1457" s="44">
        <f>IF(OR(B1457="",F1457=""),"",IFERROR(F1457*INDEX(Mitarbeiter!$F$6:$F$205,MATCH(B1457,Mitarbeiter!$A$6:$A$205,0)),0))</f>
        <v/>
      </c>
      <c r="H1457" s="8">
        <f>IF(B1457="","",IF(ISNA(MATCH(B1457,Mitarbeiter!$A$6:$A$205,0)),"Pers.-Nr. unbekannt",IF(A1457="","Datum fehlt",IF(AND(D1457&lt;&gt;Einstellungen!$C$4,D1457&lt;&gt;Einstellungen!$C$5),"Objekt fehlt",IF(YEAR(A1457)&lt;&gt;Einstellungen!$C$3,"anderes Jahr",IF(A1457&lt;INDEX(Mitarbeiter!$C$6:$C$205,MATCH(B1457,Mitarbeiter!$A$6:$A$205,0)),"vor Eintritt",IF(AND(INDEX(Mitarbeiter!$D$6:$D$205,MATCH(B1457,Mitarbeiter!$A$6:$A$205,0))&lt;&gt;"",A1457&gt;INDEX(Mitarbeiter!$D$6:$D$205,MATCH(B1457,Mitarbeiter!$A$6:$A$205,0))),"nach Austritt","ok")))))))</f>
        <v/>
      </c>
    </row>
    <row r="1458">
      <c r="A1458" s="26" t="n"/>
      <c r="B1458" s="24" t="n"/>
      <c r="C1458" s="40">
        <f>IF(B1458="","",IFERROR(INDEX(Mitarbeiter!$B$6:$B$205,MATCH(B1458,Mitarbeiter!$A$6:$A$205,0)),"?"))</f>
        <v/>
      </c>
      <c r="D1458" s="41" t="n"/>
      <c r="E1458" s="42" t="n"/>
      <c r="F1458" s="43" t="n"/>
      <c r="G1458" s="44">
        <f>IF(OR(B1458="",F1458=""),"",IFERROR(F1458*INDEX(Mitarbeiter!$F$6:$F$205,MATCH(B1458,Mitarbeiter!$A$6:$A$205,0)),0))</f>
        <v/>
      </c>
      <c r="H1458" s="8">
        <f>IF(B1458="","",IF(ISNA(MATCH(B1458,Mitarbeiter!$A$6:$A$205,0)),"Pers.-Nr. unbekannt",IF(A1458="","Datum fehlt",IF(AND(D1458&lt;&gt;Einstellungen!$C$4,D1458&lt;&gt;Einstellungen!$C$5),"Objekt fehlt",IF(YEAR(A1458)&lt;&gt;Einstellungen!$C$3,"anderes Jahr",IF(A1458&lt;INDEX(Mitarbeiter!$C$6:$C$205,MATCH(B1458,Mitarbeiter!$A$6:$A$205,0)),"vor Eintritt",IF(AND(INDEX(Mitarbeiter!$D$6:$D$205,MATCH(B1458,Mitarbeiter!$A$6:$A$205,0))&lt;&gt;"",A1458&gt;INDEX(Mitarbeiter!$D$6:$D$205,MATCH(B1458,Mitarbeiter!$A$6:$A$205,0))),"nach Austritt","ok")))))))</f>
        <v/>
      </c>
    </row>
    <row r="1459">
      <c r="A1459" s="26" t="n"/>
      <c r="B1459" s="24" t="n"/>
      <c r="C1459" s="40">
        <f>IF(B1459="","",IFERROR(INDEX(Mitarbeiter!$B$6:$B$205,MATCH(B1459,Mitarbeiter!$A$6:$A$205,0)),"?"))</f>
        <v/>
      </c>
      <c r="D1459" s="41" t="n"/>
      <c r="E1459" s="42" t="n"/>
      <c r="F1459" s="43" t="n"/>
      <c r="G1459" s="44">
        <f>IF(OR(B1459="",F1459=""),"",IFERROR(F1459*INDEX(Mitarbeiter!$F$6:$F$205,MATCH(B1459,Mitarbeiter!$A$6:$A$205,0)),0))</f>
        <v/>
      </c>
      <c r="H1459" s="8">
        <f>IF(B1459="","",IF(ISNA(MATCH(B1459,Mitarbeiter!$A$6:$A$205,0)),"Pers.-Nr. unbekannt",IF(A1459="","Datum fehlt",IF(AND(D1459&lt;&gt;Einstellungen!$C$4,D1459&lt;&gt;Einstellungen!$C$5),"Objekt fehlt",IF(YEAR(A1459)&lt;&gt;Einstellungen!$C$3,"anderes Jahr",IF(A1459&lt;INDEX(Mitarbeiter!$C$6:$C$205,MATCH(B1459,Mitarbeiter!$A$6:$A$205,0)),"vor Eintritt",IF(AND(INDEX(Mitarbeiter!$D$6:$D$205,MATCH(B1459,Mitarbeiter!$A$6:$A$205,0))&lt;&gt;"",A1459&gt;INDEX(Mitarbeiter!$D$6:$D$205,MATCH(B1459,Mitarbeiter!$A$6:$A$205,0))),"nach Austritt","ok")))))))</f>
        <v/>
      </c>
    </row>
    <row r="1460">
      <c r="A1460" s="26" t="n"/>
      <c r="B1460" s="24" t="n"/>
      <c r="C1460" s="40">
        <f>IF(B1460="","",IFERROR(INDEX(Mitarbeiter!$B$6:$B$205,MATCH(B1460,Mitarbeiter!$A$6:$A$205,0)),"?"))</f>
        <v/>
      </c>
      <c r="D1460" s="41" t="n"/>
      <c r="E1460" s="42" t="n"/>
      <c r="F1460" s="43" t="n"/>
      <c r="G1460" s="44">
        <f>IF(OR(B1460="",F1460=""),"",IFERROR(F1460*INDEX(Mitarbeiter!$F$6:$F$205,MATCH(B1460,Mitarbeiter!$A$6:$A$205,0)),0))</f>
        <v/>
      </c>
      <c r="H1460" s="8">
        <f>IF(B1460="","",IF(ISNA(MATCH(B1460,Mitarbeiter!$A$6:$A$205,0)),"Pers.-Nr. unbekannt",IF(A1460="","Datum fehlt",IF(AND(D1460&lt;&gt;Einstellungen!$C$4,D1460&lt;&gt;Einstellungen!$C$5),"Objekt fehlt",IF(YEAR(A1460)&lt;&gt;Einstellungen!$C$3,"anderes Jahr",IF(A1460&lt;INDEX(Mitarbeiter!$C$6:$C$205,MATCH(B1460,Mitarbeiter!$A$6:$A$205,0)),"vor Eintritt",IF(AND(INDEX(Mitarbeiter!$D$6:$D$205,MATCH(B1460,Mitarbeiter!$A$6:$A$205,0))&lt;&gt;"",A1460&gt;INDEX(Mitarbeiter!$D$6:$D$205,MATCH(B1460,Mitarbeiter!$A$6:$A$205,0))),"nach Austritt","ok")))))))</f>
        <v/>
      </c>
    </row>
    <row r="1461">
      <c r="A1461" s="26" t="n"/>
      <c r="B1461" s="24" t="n"/>
      <c r="C1461" s="40">
        <f>IF(B1461="","",IFERROR(INDEX(Mitarbeiter!$B$6:$B$205,MATCH(B1461,Mitarbeiter!$A$6:$A$205,0)),"?"))</f>
        <v/>
      </c>
      <c r="D1461" s="41" t="n"/>
      <c r="E1461" s="42" t="n"/>
      <c r="F1461" s="43" t="n"/>
      <c r="G1461" s="44">
        <f>IF(OR(B1461="",F1461=""),"",IFERROR(F1461*INDEX(Mitarbeiter!$F$6:$F$205,MATCH(B1461,Mitarbeiter!$A$6:$A$205,0)),0))</f>
        <v/>
      </c>
      <c r="H1461" s="8">
        <f>IF(B1461="","",IF(ISNA(MATCH(B1461,Mitarbeiter!$A$6:$A$205,0)),"Pers.-Nr. unbekannt",IF(A1461="","Datum fehlt",IF(AND(D1461&lt;&gt;Einstellungen!$C$4,D1461&lt;&gt;Einstellungen!$C$5),"Objekt fehlt",IF(YEAR(A1461)&lt;&gt;Einstellungen!$C$3,"anderes Jahr",IF(A1461&lt;INDEX(Mitarbeiter!$C$6:$C$205,MATCH(B1461,Mitarbeiter!$A$6:$A$205,0)),"vor Eintritt",IF(AND(INDEX(Mitarbeiter!$D$6:$D$205,MATCH(B1461,Mitarbeiter!$A$6:$A$205,0))&lt;&gt;"",A1461&gt;INDEX(Mitarbeiter!$D$6:$D$205,MATCH(B1461,Mitarbeiter!$A$6:$A$205,0))),"nach Austritt","ok")))))))</f>
        <v/>
      </c>
    </row>
    <row r="1462">
      <c r="A1462" s="26" t="n"/>
      <c r="B1462" s="24" t="n"/>
      <c r="C1462" s="40">
        <f>IF(B1462="","",IFERROR(INDEX(Mitarbeiter!$B$6:$B$205,MATCH(B1462,Mitarbeiter!$A$6:$A$205,0)),"?"))</f>
        <v/>
      </c>
      <c r="D1462" s="41" t="n"/>
      <c r="E1462" s="42" t="n"/>
      <c r="F1462" s="43" t="n"/>
      <c r="G1462" s="44">
        <f>IF(OR(B1462="",F1462=""),"",IFERROR(F1462*INDEX(Mitarbeiter!$F$6:$F$205,MATCH(B1462,Mitarbeiter!$A$6:$A$205,0)),0))</f>
        <v/>
      </c>
      <c r="H1462" s="8">
        <f>IF(B1462="","",IF(ISNA(MATCH(B1462,Mitarbeiter!$A$6:$A$205,0)),"Pers.-Nr. unbekannt",IF(A1462="","Datum fehlt",IF(AND(D1462&lt;&gt;Einstellungen!$C$4,D1462&lt;&gt;Einstellungen!$C$5),"Objekt fehlt",IF(YEAR(A1462)&lt;&gt;Einstellungen!$C$3,"anderes Jahr",IF(A1462&lt;INDEX(Mitarbeiter!$C$6:$C$205,MATCH(B1462,Mitarbeiter!$A$6:$A$205,0)),"vor Eintritt",IF(AND(INDEX(Mitarbeiter!$D$6:$D$205,MATCH(B1462,Mitarbeiter!$A$6:$A$205,0))&lt;&gt;"",A1462&gt;INDEX(Mitarbeiter!$D$6:$D$205,MATCH(B1462,Mitarbeiter!$A$6:$A$205,0))),"nach Austritt","ok")))))))</f>
        <v/>
      </c>
    </row>
    <row r="1463">
      <c r="A1463" s="26" t="n"/>
      <c r="B1463" s="24" t="n"/>
      <c r="C1463" s="40">
        <f>IF(B1463="","",IFERROR(INDEX(Mitarbeiter!$B$6:$B$205,MATCH(B1463,Mitarbeiter!$A$6:$A$205,0)),"?"))</f>
        <v/>
      </c>
      <c r="D1463" s="41" t="n"/>
      <c r="E1463" s="42" t="n"/>
      <c r="F1463" s="43" t="n"/>
      <c r="G1463" s="44">
        <f>IF(OR(B1463="",F1463=""),"",IFERROR(F1463*INDEX(Mitarbeiter!$F$6:$F$205,MATCH(B1463,Mitarbeiter!$A$6:$A$205,0)),0))</f>
        <v/>
      </c>
      <c r="H1463" s="8">
        <f>IF(B1463="","",IF(ISNA(MATCH(B1463,Mitarbeiter!$A$6:$A$205,0)),"Pers.-Nr. unbekannt",IF(A1463="","Datum fehlt",IF(AND(D1463&lt;&gt;Einstellungen!$C$4,D1463&lt;&gt;Einstellungen!$C$5),"Objekt fehlt",IF(YEAR(A1463)&lt;&gt;Einstellungen!$C$3,"anderes Jahr",IF(A1463&lt;INDEX(Mitarbeiter!$C$6:$C$205,MATCH(B1463,Mitarbeiter!$A$6:$A$205,0)),"vor Eintritt",IF(AND(INDEX(Mitarbeiter!$D$6:$D$205,MATCH(B1463,Mitarbeiter!$A$6:$A$205,0))&lt;&gt;"",A1463&gt;INDEX(Mitarbeiter!$D$6:$D$205,MATCH(B1463,Mitarbeiter!$A$6:$A$205,0))),"nach Austritt","ok")))))))</f>
        <v/>
      </c>
    </row>
    <row r="1464">
      <c r="A1464" s="26" t="n"/>
      <c r="B1464" s="24" t="n"/>
      <c r="C1464" s="40">
        <f>IF(B1464="","",IFERROR(INDEX(Mitarbeiter!$B$6:$B$205,MATCH(B1464,Mitarbeiter!$A$6:$A$205,0)),"?"))</f>
        <v/>
      </c>
      <c r="D1464" s="41" t="n"/>
      <c r="E1464" s="42" t="n"/>
      <c r="F1464" s="43" t="n"/>
      <c r="G1464" s="44">
        <f>IF(OR(B1464="",F1464=""),"",IFERROR(F1464*INDEX(Mitarbeiter!$F$6:$F$205,MATCH(B1464,Mitarbeiter!$A$6:$A$205,0)),0))</f>
        <v/>
      </c>
      <c r="H1464" s="8">
        <f>IF(B1464="","",IF(ISNA(MATCH(B1464,Mitarbeiter!$A$6:$A$205,0)),"Pers.-Nr. unbekannt",IF(A1464="","Datum fehlt",IF(AND(D1464&lt;&gt;Einstellungen!$C$4,D1464&lt;&gt;Einstellungen!$C$5),"Objekt fehlt",IF(YEAR(A1464)&lt;&gt;Einstellungen!$C$3,"anderes Jahr",IF(A1464&lt;INDEX(Mitarbeiter!$C$6:$C$205,MATCH(B1464,Mitarbeiter!$A$6:$A$205,0)),"vor Eintritt",IF(AND(INDEX(Mitarbeiter!$D$6:$D$205,MATCH(B1464,Mitarbeiter!$A$6:$A$205,0))&lt;&gt;"",A1464&gt;INDEX(Mitarbeiter!$D$6:$D$205,MATCH(B1464,Mitarbeiter!$A$6:$A$205,0))),"nach Austritt","ok")))))))</f>
        <v/>
      </c>
    </row>
    <row r="1465">
      <c r="A1465" s="26" t="n"/>
      <c r="B1465" s="24" t="n"/>
      <c r="C1465" s="40">
        <f>IF(B1465="","",IFERROR(INDEX(Mitarbeiter!$B$6:$B$205,MATCH(B1465,Mitarbeiter!$A$6:$A$205,0)),"?"))</f>
        <v/>
      </c>
      <c r="D1465" s="41" t="n"/>
      <c r="E1465" s="42" t="n"/>
      <c r="F1465" s="43" t="n"/>
      <c r="G1465" s="44">
        <f>IF(OR(B1465="",F1465=""),"",IFERROR(F1465*INDEX(Mitarbeiter!$F$6:$F$205,MATCH(B1465,Mitarbeiter!$A$6:$A$205,0)),0))</f>
        <v/>
      </c>
      <c r="H1465" s="8">
        <f>IF(B1465="","",IF(ISNA(MATCH(B1465,Mitarbeiter!$A$6:$A$205,0)),"Pers.-Nr. unbekannt",IF(A1465="","Datum fehlt",IF(AND(D1465&lt;&gt;Einstellungen!$C$4,D1465&lt;&gt;Einstellungen!$C$5),"Objekt fehlt",IF(YEAR(A1465)&lt;&gt;Einstellungen!$C$3,"anderes Jahr",IF(A1465&lt;INDEX(Mitarbeiter!$C$6:$C$205,MATCH(B1465,Mitarbeiter!$A$6:$A$205,0)),"vor Eintritt",IF(AND(INDEX(Mitarbeiter!$D$6:$D$205,MATCH(B1465,Mitarbeiter!$A$6:$A$205,0))&lt;&gt;"",A1465&gt;INDEX(Mitarbeiter!$D$6:$D$205,MATCH(B1465,Mitarbeiter!$A$6:$A$205,0))),"nach Austritt","ok")))))))</f>
        <v/>
      </c>
    </row>
    <row r="1466">
      <c r="A1466" s="26" t="n"/>
      <c r="B1466" s="24" t="n"/>
      <c r="C1466" s="40">
        <f>IF(B1466="","",IFERROR(INDEX(Mitarbeiter!$B$6:$B$205,MATCH(B1466,Mitarbeiter!$A$6:$A$205,0)),"?"))</f>
        <v/>
      </c>
      <c r="D1466" s="41" t="n"/>
      <c r="E1466" s="42" t="n"/>
      <c r="F1466" s="43" t="n"/>
      <c r="G1466" s="44">
        <f>IF(OR(B1466="",F1466=""),"",IFERROR(F1466*INDEX(Mitarbeiter!$F$6:$F$205,MATCH(B1466,Mitarbeiter!$A$6:$A$205,0)),0))</f>
        <v/>
      </c>
      <c r="H1466" s="8">
        <f>IF(B1466="","",IF(ISNA(MATCH(B1466,Mitarbeiter!$A$6:$A$205,0)),"Pers.-Nr. unbekannt",IF(A1466="","Datum fehlt",IF(AND(D1466&lt;&gt;Einstellungen!$C$4,D1466&lt;&gt;Einstellungen!$C$5),"Objekt fehlt",IF(YEAR(A1466)&lt;&gt;Einstellungen!$C$3,"anderes Jahr",IF(A1466&lt;INDEX(Mitarbeiter!$C$6:$C$205,MATCH(B1466,Mitarbeiter!$A$6:$A$205,0)),"vor Eintritt",IF(AND(INDEX(Mitarbeiter!$D$6:$D$205,MATCH(B1466,Mitarbeiter!$A$6:$A$205,0))&lt;&gt;"",A1466&gt;INDEX(Mitarbeiter!$D$6:$D$205,MATCH(B1466,Mitarbeiter!$A$6:$A$205,0))),"nach Austritt","ok")))))))</f>
        <v/>
      </c>
    </row>
    <row r="1467">
      <c r="A1467" s="26" t="n"/>
      <c r="B1467" s="24" t="n"/>
      <c r="C1467" s="40">
        <f>IF(B1467="","",IFERROR(INDEX(Mitarbeiter!$B$6:$B$205,MATCH(B1467,Mitarbeiter!$A$6:$A$205,0)),"?"))</f>
        <v/>
      </c>
      <c r="D1467" s="41" t="n"/>
      <c r="E1467" s="42" t="n"/>
      <c r="F1467" s="43" t="n"/>
      <c r="G1467" s="44">
        <f>IF(OR(B1467="",F1467=""),"",IFERROR(F1467*INDEX(Mitarbeiter!$F$6:$F$205,MATCH(B1467,Mitarbeiter!$A$6:$A$205,0)),0))</f>
        <v/>
      </c>
      <c r="H1467" s="8">
        <f>IF(B1467="","",IF(ISNA(MATCH(B1467,Mitarbeiter!$A$6:$A$205,0)),"Pers.-Nr. unbekannt",IF(A1467="","Datum fehlt",IF(AND(D1467&lt;&gt;Einstellungen!$C$4,D1467&lt;&gt;Einstellungen!$C$5),"Objekt fehlt",IF(YEAR(A1467)&lt;&gt;Einstellungen!$C$3,"anderes Jahr",IF(A1467&lt;INDEX(Mitarbeiter!$C$6:$C$205,MATCH(B1467,Mitarbeiter!$A$6:$A$205,0)),"vor Eintritt",IF(AND(INDEX(Mitarbeiter!$D$6:$D$205,MATCH(B1467,Mitarbeiter!$A$6:$A$205,0))&lt;&gt;"",A1467&gt;INDEX(Mitarbeiter!$D$6:$D$205,MATCH(B1467,Mitarbeiter!$A$6:$A$205,0))),"nach Austritt","ok")))))))</f>
        <v/>
      </c>
    </row>
    <row r="1468">
      <c r="A1468" s="26" t="n"/>
      <c r="B1468" s="24" t="n"/>
      <c r="C1468" s="40">
        <f>IF(B1468="","",IFERROR(INDEX(Mitarbeiter!$B$6:$B$205,MATCH(B1468,Mitarbeiter!$A$6:$A$205,0)),"?"))</f>
        <v/>
      </c>
      <c r="D1468" s="41" t="n"/>
      <c r="E1468" s="42" t="n"/>
      <c r="F1468" s="43" t="n"/>
      <c r="G1468" s="44">
        <f>IF(OR(B1468="",F1468=""),"",IFERROR(F1468*INDEX(Mitarbeiter!$F$6:$F$205,MATCH(B1468,Mitarbeiter!$A$6:$A$205,0)),0))</f>
        <v/>
      </c>
      <c r="H1468" s="8">
        <f>IF(B1468="","",IF(ISNA(MATCH(B1468,Mitarbeiter!$A$6:$A$205,0)),"Pers.-Nr. unbekannt",IF(A1468="","Datum fehlt",IF(AND(D1468&lt;&gt;Einstellungen!$C$4,D1468&lt;&gt;Einstellungen!$C$5),"Objekt fehlt",IF(YEAR(A1468)&lt;&gt;Einstellungen!$C$3,"anderes Jahr",IF(A1468&lt;INDEX(Mitarbeiter!$C$6:$C$205,MATCH(B1468,Mitarbeiter!$A$6:$A$205,0)),"vor Eintritt",IF(AND(INDEX(Mitarbeiter!$D$6:$D$205,MATCH(B1468,Mitarbeiter!$A$6:$A$205,0))&lt;&gt;"",A1468&gt;INDEX(Mitarbeiter!$D$6:$D$205,MATCH(B1468,Mitarbeiter!$A$6:$A$205,0))),"nach Austritt","ok")))))))</f>
        <v/>
      </c>
    </row>
    <row r="1469">
      <c r="A1469" s="26" t="n"/>
      <c r="B1469" s="24" t="n"/>
      <c r="C1469" s="40">
        <f>IF(B1469="","",IFERROR(INDEX(Mitarbeiter!$B$6:$B$205,MATCH(B1469,Mitarbeiter!$A$6:$A$205,0)),"?"))</f>
        <v/>
      </c>
      <c r="D1469" s="41" t="n"/>
      <c r="E1469" s="42" t="n"/>
      <c r="F1469" s="43" t="n"/>
      <c r="G1469" s="44">
        <f>IF(OR(B1469="",F1469=""),"",IFERROR(F1469*INDEX(Mitarbeiter!$F$6:$F$205,MATCH(B1469,Mitarbeiter!$A$6:$A$205,0)),0))</f>
        <v/>
      </c>
      <c r="H1469" s="8">
        <f>IF(B1469="","",IF(ISNA(MATCH(B1469,Mitarbeiter!$A$6:$A$205,0)),"Pers.-Nr. unbekannt",IF(A1469="","Datum fehlt",IF(AND(D1469&lt;&gt;Einstellungen!$C$4,D1469&lt;&gt;Einstellungen!$C$5),"Objekt fehlt",IF(YEAR(A1469)&lt;&gt;Einstellungen!$C$3,"anderes Jahr",IF(A1469&lt;INDEX(Mitarbeiter!$C$6:$C$205,MATCH(B1469,Mitarbeiter!$A$6:$A$205,0)),"vor Eintritt",IF(AND(INDEX(Mitarbeiter!$D$6:$D$205,MATCH(B1469,Mitarbeiter!$A$6:$A$205,0))&lt;&gt;"",A1469&gt;INDEX(Mitarbeiter!$D$6:$D$205,MATCH(B1469,Mitarbeiter!$A$6:$A$205,0))),"nach Austritt","ok")))))))</f>
        <v/>
      </c>
    </row>
    <row r="1470">
      <c r="A1470" s="26" t="n"/>
      <c r="B1470" s="24" t="n"/>
      <c r="C1470" s="40">
        <f>IF(B1470="","",IFERROR(INDEX(Mitarbeiter!$B$6:$B$205,MATCH(B1470,Mitarbeiter!$A$6:$A$205,0)),"?"))</f>
        <v/>
      </c>
      <c r="D1470" s="41" t="n"/>
      <c r="E1470" s="42" t="n"/>
      <c r="F1470" s="43" t="n"/>
      <c r="G1470" s="44">
        <f>IF(OR(B1470="",F1470=""),"",IFERROR(F1470*INDEX(Mitarbeiter!$F$6:$F$205,MATCH(B1470,Mitarbeiter!$A$6:$A$205,0)),0))</f>
        <v/>
      </c>
      <c r="H1470" s="8">
        <f>IF(B1470="","",IF(ISNA(MATCH(B1470,Mitarbeiter!$A$6:$A$205,0)),"Pers.-Nr. unbekannt",IF(A1470="","Datum fehlt",IF(AND(D1470&lt;&gt;Einstellungen!$C$4,D1470&lt;&gt;Einstellungen!$C$5),"Objekt fehlt",IF(YEAR(A1470)&lt;&gt;Einstellungen!$C$3,"anderes Jahr",IF(A1470&lt;INDEX(Mitarbeiter!$C$6:$C$205,MATCH(B1470,Mitarbeiter!$A$6:$A$205,0)),"vor Eintritt",IF(AND(INDEX(Mitarbeiter!$D$6:$D$205,MATCH(B1470,Mitarbeiter!$A$6:$A$205,0))&lt;&gt;"",A1470&gt;INDEX(Mitarbeiter!$D$6:$D$205,MATCH(B1470,Mitarbeiter!$A$6:$A$205,0))),"nach Austritt","ok")))))))</f>
        <v/>
      </c>
    </row>
    <row r="1471">
      <c r="A1471" s="26" t="n"/>
      <c r="B1471" s="24" t="n"/>
      <c r="C1471" s="40">
        <f>IF(B1471="","",IFERROR(INDEX(Mitarbeiter!$B$6:$B$205,MATCH(B1471,Mitarbeiter!$A$6:$A$205,0)),"?"))</f>
        <v/>
      </c>
      <c r="D1471" s="41" t="n"/>
      <c r="E1471" s="42" t="n"/>
      <c r="F1471" s="43" t="n"/>
      <c r="G1471" s="44">
        <f>IF(OR(B1471="",F1471=""),"",IFERROR(F1471*INDEX(Mitarbeiter!$F$6:$F$205,MATCH(B1471,Mitarbeiter!$A$6:$A$205,0)),0))</f>
        <v/>
      </c>
      <c r="H1471" s="8">
        <f>IF(B1471="","",IF(ISNA(MATCH(B1471,Mitarbeiter!$A$6:$A$205,0)),"Pers.-Nr. unbekannt",IF(A1471="","Datum fehlt",IF(AND(D1471&lt;&gt;Einstellungen!$C$4,D1471&lt;&gt;Einstellungen!$C$5),"Objekt fehlt",IF(YEAR(A1471)&lt;&gt;Einstellungen!$C$3,"anderes Jahr",IF(A1471&lt;INDEX(Mitarbeiter!$C$6:$C$205,MATCH(B1471,Mitarbeiter!$A$6:$A$205,0)),"vor Eintritt",IF(AND(INDEX(Mitarbeiter!$D$6:$D$205,MATCH(B1471,Mitarbeiter!$A$6:$A$205,0))&lt;&gt;"",A1471&gt;INDEX(Mitarbeiter!$D$6:$D$205,MATCH(B1471,Mitarbeiter!$A$6:$A$205,0))),"nach Austritt","ok")))))))</f>
        <v/>
      </c>
    </row>
    <row r="1472">
      <c r="A1472" s="26" t="n"/>
      <c r="B1472" s="24" t="n"/>
      <c r="C1472" s="40">
        <f>IF(B1472="","",IFERROR(INDEX(Mitarbeiter!$B$6:$B$205,MATCH(B1472,Mitarbeiter!$A$6:$A$205,0)),"?"))</f>
        <v/>
      </c>
      <c r="D1472" s="41" t="n"/>
      <c r="E1472" s="42" t="n"/>
      <c r="F1472" s="43" t="n"/>
      <c r="G1472" s="44">
        <f>IF(OR(B1472="",F1472=""),"",IFERROR(F1472*INDEX(Mitarbeiter!$F$6:$F$205,MATCH(B1472,Mitarbeiter!$A$6:$A$205,0)),0))</f>
        <v/>
      </c>
      <c r="H1472" s="8">
        <f>IF(B1472="","",IF(ISNA(MATCH(B1472,Mitarbeiter!$A$6:$A$205,0)),"Pers.-Nr. unbekannt",IF(A1472="","Datum fehlt",IF(AND(D1472&lt;&gt;Einstellungen!$C$4,D1472&lt;&gt;Einstellungen!$C$5),"Objekt fehlt",IF(YEAR(A1472)&lt;&gt;Einstellungen!$C$3,"anderes Jahr",IF(A1472&lt;INDEX(Mitarbeiter!$C$6:$C$205,MATCH(B1472,Mitarbeiter!$A$6:$A$205,0)),"vor Eintritt",IF(AND(INDEX(Mitarbeiter!$D$6:$D$205,MATCH(B1472,Mitarbeiter!$A$6:$A$205,0))&lt;&gt;"",A1472&gt;INDEX(Mitarbeiter!$D$6:$D$205,MATCH(B1472,Mitarbeiter!$A$6:$A$205,0))),"nach Austritt","ok")))))))</f>
        <v/>
      </c>
    </row>
    <row r="1473">
      <c r="A1473" s="26" t="n"/>
      <c r="B1473" s="24" t="n"/>
      <c r="C1473" s="40">
        <f>IF(B1473="","",IFERROR(INDEX(Mitarbeiter!$B$6:$B$205,MATCH(B1473,Mitarbeiter!$A$6:$A$205,0)),"?"))</f>
        <v/>
      </c>
      <c r="D1473" s="41" t="n"/>
      <c r="E1473" s="42" t="n"/>
      <c r="F1473" s="43" t="n"/>
      <c r="G1473" s="44">
        <f>IF(OR(B1473="",F1473=""),"",IFERROR(F1473*INDEX(Mitarbeiter!$F$6:$F$205,MATCH(B1473,Mitarbeiter!$A$6:$A$205,0)),0))</f>
        <v/>
      </c>
      <c r="H1473" s="8">
        <f>IF(B1473="","",IF(ISNA(MATCH(B1473,Mitarbeiter!$A$6:$A$205,0)),"Pers.-Nr. unbekannt",IF(A1473="","Datum fehlt",IF(AND(D1473&lt;&gt;Einstellungen!$C$4,D1473&lt;&gt;Einstellungen!$C$5),"Objekt fehlt",IF(YEAR(A1473)&lt;&gt;Einstellungen!$C$3,"anderes Jahr",IF(A1473&lt;INDEX(Mitarbeiter!$C$6:$C$205,MATCH(B1473,Mitarbeiter!$A$6:$A$205,0)),"vor Eintritt",IF(AND(INDEX(Mitarbeiter!$D$6:$D$205,MATCH(B1473,Mitarbeiter!$A$6:$A$205,0))&lt;&gt;"",A1473&gt;INDEX(Mitarbeiter!$D$6:$D$205,MATCH(B1473,Mitarbeiter!$A$6:$A$205,0))),"nach Austritt","ok")))))))</f>
        <v/>
      </c>
    </row>
    <row r="1474">
      <c r="A1474" s="26" t="n"/>
      <c r="B1474" s="24" t="n"/>
      <c r="C1474" s="40">
        <f>IF(B1474="","",IFERROR(INDEX(Mitarbeiter!$B$6:$B$205,MATCH(B1474,Mitarbeiter!$A$6:$A$205,0)),"?"))</f>
        <v/>
      </c>
      <c r="D1474" s="41" t="n"/>
      <c r="E1474" s="42" t="n"/>
      <c r="F1474" s="43" t="n"/>
      <c r="G1474" s="44">
        <f>IF(OR(B1474="",F1474=""),"",IFERROR(F1474*INDEX(Mitarbeiter!$F$6:$F$205,MATCH(B1474,Mitarbeiter!$A$6:$A$205,0)),0))</f>
        <v/>
      </c>
      <c r="H1474" s="8">
        <f>IF(B1474="","",IF(ISNA(MATCH(B1474,Mitarbeiter!$A$6:$A$205,0)),"Pers.-Nr. unbekannt",IF(A1474="","Datum fehlt",IF(AND(D1474&lt;&gt;Einstellungen!$C$4,D1474&lt;&gt;Einstellungen!$C$5),"Objekt fehlt",IF(YEAR(A1474)&lt;&gt;Einstellungen!$C$3,"anderes Jahr",IF(A1474&lt;INDEX(Mitarbeiter!$C$6:$C$205,MATCH(B1474,Mitarbeiter!$A$6:$A$205,0)),"vor Eintritt",IF(AND(INDEX(Mitarbeiter!$D$6:$D$205,MATCH(B1474,Mitarbeiter!$A$6:$A$205,0))&lt;&gt;"",A1474&gt;INDEX(Mitarbeiter!$D$6:$D$205,MATCH(B1474,Mitarbeiter!$A$6:$A$205,0))),"nach Austritt","ok")))))))</f>
        <v/>
      </c>
    </row>
    <row r="1475">
      <c r="A1475" s="26" t="n"/>
      <c r="B1475" s="24" t="n"/>
      <c r="C1475" s="40">
        <f>IF(B1475="","",IFERROR(INDEX(Mitarbeiter!$B$6:$B$205,MATCH(B1475,Mitarbeiter!$A$6:$A$205,0)),"?"))</f>
        <v/>
      </c>
      <c r="D1475" s="41" t="n"/>
      <c r="E1475" s="42" t="n"/>
      <c r="F1475" s="43" t="n"/>
      <c r="G1475" s="44">
        <f>IF(OR(B1475="",F1475=""),"",IFERROR(F1475*INDEX(Mitarbeiter!$F$6:$F$205,MATCH(B1475,Mitarbeiter!$A$6:$A$205,0)),0))</f>
        <v/>
      </c>
      <c r="H1475" s="8">
        <f>IF(B1475="","",IF(ISNA(MATCH(B1475,Mitarbeiter!$A$6:$A$205,0)),"Pers.-Nr. unbekannt",IF(A1475="","Datum fehlt",IF(AND(D1475&lt;&gt;Einstellungen!$C$4,D1475&lt;&gt;Einstellungen!$C$5),"Objekt fehlt",IF(YEAR(A1475)&lt;&gt;Einstellungen!$C$3,"anderes Jahr",IF(A1475&lt;INDEX(Mitarbeiter!$C$6:$C$205,MATCH(B1475,Mitarbeiter!$A$6:$A$205,0)),"vor Eintritt",IF(AND(INDEX(Mitarbeiter!$D$6:$D$205,MATCH(B1475,Mitarbeiter!$A$6:$A$205,0))&lt;&gt;"",A1475&gt;INDEX(Mitarbeiter!$D$6:$D$205,MATCH(B1475,Mitarbeiter!$A$6:$A$205,0))),"nach Austritt","ok")))))))</f>
        <v/>
      </c>
    </row>
    <row r="1476">
      <c r="A1476" s="26" t="n"/>
      <c r="B1476" s="24" t="n"/>
      <c r="C1476" s="40">
        <f>IF(B1476="","",IFERROR(INDEX(Mitarbeiter!$B$6:$B$205,MATCH(B1476,Mitarbeiter!$A$6:$A$205,0)),"?"))</f>
        <v/>
      </c>
      <c r="D1476" s="41" t="n"/>
      <c r="E1476" s="42" t="n"/>
      <c r="F1476" s="43" t="n"/>
      <c r="G1476" s="44">
        <f>IF(OR(B1476="",F1476=""),"",IFERROR(F1476*INDEX(Mitarbeiter!$F$6:$F$205,MATCH(B1476,Mitarbeiter!$A$6:$A$205,0)),0))</f>
        <v/>
      </c>
      <c r="H1476" s="8">
        <f>IF(B1476="","",IF(ISNA(MATCH(B1476,Mitarbeiter!$A$6:$A$205,0)),"Pers.-Nr. unbekannt",IF(A1476="","Datum fehlt",IF(AND(D1476&lt;&gt;Einstellungen!$C$4,D1476&lt;&gt;Einstellungen!$C$5),"Objekt fehlt",IF(YEAR(A1476)&lt;&gt;Einstellungen!$C$3,"anderes Jahr",IF(A1476&lt;INDEX(Mitarbeiter!$C$6:$C$205,MATCH(B1476,Mitarbeiter!$A$6:$A$205,0)),"vor Eintritt",IF(AND(INDEX(Mitarbeiter!$D$6:$D$205,MATCH(B1476,Mitarbeiter!$A$6:$A$205,0))&lt;&gt;"",A1476&gt;INDEX(Mitarbeiter!$D$6:$D$205,MATCH(B1476,Mitarbeiter!$A$6:$A$205,0))),"nach Austritt","ok")))))))</f>
        <v/>
      </c>
    </row>
    <row r="1477">
      <c r="A1477" s="26" t="n"/>
      <c r="B1477" s="24" t="n"/>
      <c r="C1477" s="40">
        <f>IF(B1477="","",IFERROR(INDEX(Mitarbeiter!$B$6:$B$205,MATCH(B1477,Mitarbeiter!$A$6:$A$205,0)),"?"))</f>
        <v/>
      </c>
      <c r="D1477" s="41" t="n"/>
      <c r="E1477" s="42" t="n"/>
      <c r="F1477" s="43" t="n"/>
      <c r="G1477" s="44">
        <f>IF(OR(B1477="",F1477=""),"",IFERROR(F1477*INDEX(Mitarbeiter!$F$6:$F$205,MATCH(B1477,Mitarbeiter!$A$6:$A$205,0)),0))</f>
        <v/>
      </c>
      <c r="H1477" s="8">
        <f>IF(B1477="","",IF(ISNA(MATCH(B1477,Mitarbeiter!$A$6:$A$205,0)),"Pers.-Nr. unbekannt",IF(A1477="","Datum fehlt",IF(AND(D1477&lt;&gt;Einstellungen!$C$4,D1477&lt;&gt;Einstellungen!$C$5),"Objekt fehlt",IF(YEAR(A1477)&lt;&gt;Einstellungen!$C$3,"anderes Jahr",IF(A1477&lt;INDEX(Mitarbeiter!$C$6:$C$205,MATCH(B1477,Mitarbeiter!$A$6:$A$205,0)),"vor Eintritt",IF(AND(INDEX(Mitarbeiter!$D$6:$D$205,MATCH(B1477,Mitarbeiter!$A$6:$A$205,0))&lt;&gt;"",A1477&gt;INDEX(Mitarbeiter!$D$6:$D$205,MATCH(B1477,Mitarbeiter!$A$6:$A$205,0))),"nach Austritt","ok")))))))</f>
        <v/>
      </c>
    </row>
    <row r="1478">
      <c r="A1478" s="26" t="n"/>
      <c r="B1478" s="24" t="n"/>
      <c r="C1478" s="40">
        <f>IF(B1478="","",IFERROR(INDEX(Mitarbeiter!$B$6:$B$205,MATCH(B1478,Mitarbeiter!$A$6:$A$205,0)),"?"))</f>
        <v/>
      </c>
      <c r="D1478" s="41" t="n"/>
      <c r="E1478" s="42" t="n"/>
      <c r="F1478" s="43" t="n"/>
      <c r="G1478" s="44">
        <f>IF(OR(B1478="",F1478=""),"",IFERROR(F1478*INDEX(Mitarbeiter!$F$6:$F$205,MATCH(B1478,Mitarbeiter!$A$6:$A$205,0)),0))</f>
        <v/>
      </c>
      <c r="H1478" s="8">
        <f>IF(B1478="","",IF(ISNA(MATCH(B1478,Mitarbeiter!$A$6:$A$205,0)),"Pers.-Nr. unbekannt",IF(A1478="","Datum fehlt",IF(AND(D1478&lt;&gt;Einstellungen!$C$4,D1478&lt;&gt;Einstellungen!$C$5),"Objekt fehlt",IF(YEAR(A1478)&lt;&gt;Einstellungen!$C$3,"anderes Jahr",IF(A1478&lt;INDEX(Mitarbeiter!$C$6:$C$205,MATCH(B1478,Mitarbeiter!$A$6:$A$205,0)),"vor Eintritt",IF(AND(INDEX(Mitarbeiter!$D$6:$D$205,MATCH(B1478,Mitarbeiter!$A$6:$A$205,0))&lt;&gt;"",A1478&gt;INDEX(Mitarbeiter!$D$6:$D$205,MATCH(B1478,Mitarbeiter!$A$6:$A$205,0))),"nach Austritt","ok")))))))</f>
        <v/>
      </c>
    </row>
    <row r="1479">
      <c r="A1479" s="26" t="n"/>
      <c r="B1479" s="24" t="n"/>
      <c r="C1479" s="40">
        <f>IF(B1479="","",IFERROR(INDEX(Mitarbeiter!$B$6:$B$205,MATCH(B1479,Mitarbeiter!$A$6:$A$205,0)),"?"))</f>
        <v/>
      </c>
      <c r="D1479" s="41" t="n"/>
      <c r="E1479" s="42" t="n"/>
      <c r="F1479" s="43" t="n"/>
      <c r="G1479" s="44">
        <f>IF(OR(B1479="",F1479=""),"",IFERROR(F1479*INDEX(Mitarbeiter!$F$6:$F$205,MATCH(B1479,Mitarbeiter!$A$6:$A$205,0)),0))</f>
        <v/>
      </c>
      <c r="H1479" s="8">
        <f>IF(B1479="","",IF(ISNA(MATCH(B1479,Mitarbeiter!$A$6:$A$205,0)),"Pers.-Nr. unbekannt",IF(A1479="","Datum fehlt",IF(AND(D1479&lt;&gt;Einstellungen!$C$4,D1479&lt;&gt;Einstellungen!$C$5),"Objekt fehlt",IF(YEAR(A1479)&lt;&gt;Einstellungen!$C$3,"anderes Jahr",IF(A1479&lt;INDEX(Mitarbeiter!$C$6:$C$205,MATCH(B1479,Mitarbeiter!$A$6:$A$205,0)),"vor Eintritt",IF(AND(INDEX(Mitarbeiter!$D$6:$D$205,MATCH(B1479,Mitarbeiter!$A$6:$A$205,0))&lt;&gt;"",A1479&gt;INDEX(Mitarbeiter!$D$6:$D$205,MATCH(B1479,Mitarbeiter!$A$6:$A$205,0))),"nach Austritt","ok")))))))</f>
        <v/>
      </c>
    </row>
    <row r="1480">
      <c r="A1480" s="26" t="n"/>
      <c r="B1480" s="24" t="n"/>
      <c r="C1480" s="40">
        <f>IF(B1480="","",IFERROR(INDEX(Mitarbeiter!$B$6:$B$205,MATCH(B1480,Mitarbeiter!$A$6:$A$205,0)),"?"))</f>
        <v/>
      </c>
      <c r="D1480" s="41" t="n"/>
      <c r="E1480" s="42" t="n"/>
      <c r="F1480" s="43" t="n"/>
      <c r="G1480" s="44">
        <f>IF(OR(B1480="",F1480=""),"",IFERROR(F1480*INDEX(Mitarbeiter!$F$6:$F$205,MATCH(B1480,Mitarbeiter!$A$6:$A$205,0)),0))</f>
        <v/>
      </c>
      <c r="H1480" s="8">
        <f>IF(B1480="","",IF(ISNA(MATCH(B1480,Mitarbeiter!$A$6:$A$205,0)),"Pers.-Nr. unbekannt",IF(A1480="","Datum fehlt",IF(AND(D1480&lt;&gt;Einstellungen!$C$4,D1480&lt;&gt;Einstellungen!$C$5),"Objekt fehlt",IF(YEAR(A1480)&lt;&gt;Einstellungen!$C$3,"anderes Jahr",IF(A1480&lt;INDEX(Mitarbeiter!$C$6:$C$205,MATCH(B1480,Mitarbeiter!$A$6:$A$205,0)),"vor Eintritt",IF(AND(INDEX(Mitarbeiter!$D$6:$D$205,MATCH(B1480,Mitarbeiter!$A$6:$A$205,0))&lt;&gt;"",A1480&gt;INDEX(Mitarbeiter!$D$6:$D$205,MATCH(B1480,Mitarbeiter!$A$6:$A$205,0))),"nach Austritt","ok")))))))</f>
        <v/>
      </c>
    </row>
    <row r="1481">
      <c r="A1481" s="26" t="n"/>
      <c r="B1481" s="24" t="n"/>
      <c r="C1481" s="40">
        <f>IF(B1481="","",IFERROR(INDEX(Mitarbeiter!$B$6:$B$205,MATCH(B1481,Mitarbeiter!$A$6:$A$205,0)),"?"))</f>
        <v/>
      </c>
      <c r="D1481" s="41" t="n"/>
      <c r="E1481" s="42" t="n"/>
      <c r="F1481" s="43" t="n"/>
      <c r="G1481" s="44">
        <f>IF(OR(B1481="",F1481=""),"",IFERROR(F1481*INDEX(Mitarbeiter!$F$6:$F$205,MATCH(B1481,Mitarbeiter!$A$6:$A$205,0)),0))</f>
        <v/>
      </c>
      <c r="H1481" s="8">
        <f>IF(B1481="","",IF(ISNA(MATCH(B1481,Mitarbeiter!$A$6:$A$205,0)),"Pers.-Nr. unbekannt",IF(A1481="","Datum fehlt",IF(AND(D1481&lt;&gt;Einstellungen!$C$4,D1481&lt;&gt;Einstellungen!$C$5),"Objekt fehlt",IF(YEAR(A1481)&lt;&gt;Einstellungen!$C$3,"anderes Jahr",IF(A1481&lt;INDEX(Mitarbeiter!$C$6:$C$205,MATCH(B1481,Mitarbeiter!$A$6:$A$205,0)),"vor Eintritt",IF(AND(INDEX(Mitarbeiter!$D$6:$D$205,MATCH(B1481,Mitarbeiter!$A$6:$A$205,0))&lt;&gt;"",A1481&gt;INDEX(Mitarbeiter!$D$6:$D$205,MATCH(B1481,Mitarbeiter!$A$6:$A$205,0))),"nach Austritt","ok")))))))</f>
        <v/>
      </c>
    </row>
    <row r="1482">
      <c r="A1482" s="26" t="n"/>
      <c r="B1482" s="24" t="n"/>
      <c r="C1482" s="40">
        <f>IF(B1482="","",IFERROR(INDEX(Mitarbeiter!$B$6:$B$205,MATCH(B1482,Mitarbeiter!$A$6:$A$205,0)),"?"))</f>
        <v/>
      </c>
      <c r="D1482" s="41" t="n"/>
      <c r="E1482" s="42" t="n"/>
      <c r="F1482" s="43" t="n"/>
      <c r="G1482" s="44">
        <f>IF(OR(B1482="",F1482=""),"",IFERROR(F1482*INDEX(Mitarbeiter!$F$6:$F$205,MATCH(B1482,Mitarbeiter!$A$6:$A$205,0)),0))</f>
        <v/>
      </c>
      <c r="H1482" s="8">
        <f>IF(B1482="","",IF(ISNA(MATCH(B1482,Mitarbeiter!$A$6:$A$205,0)),"Pers.-Nr. unbekannt",IF(A1482="","Datum fehlt",IF(AND(D1482&lt;&gt;Einstellungen!$C$4,D1482&lt;&gt;Einstellungen!$C$5),"Objekt fehlt",IF(YEAR(A1482)&lt;&gt;Einstellungen!$C$3,"anderes Jahr",IF(A1482&lt;INDEX(Mitarbeiter!$C$6:$C$205,MATCH(B1482,Mitarbeiter!$A$6:$A$205,0)),"vor Eintritt",IF(AND(INDEX(Mitarbeiter!$D$6:$D$205,MATCH(B1482,Mitarbeiter!$A$6:$A$205,0))&lt;&gt;"",A1482&gt;INDEX(Mitarbeiter!$D$6:$D$205,MATCH(B1482,Mitarbeiter!$A$6:$A$205,0))),"nach Austritt","ok")))))))</f>
        <v/>
      </c>
    </row>
    <row r="1483">
      <c r="A1483" s="26" t="n"/>
      <c r="B1483" s="24" t="n"/>
      <c r="C1483" s="40">
        <f>IF(B1483="","",IFERROR(INDEX(Mitarbeiter!$B$6:$B$205,MATCH(B1483,Mitarbeiter!$A$6:$A$205,0)),"?"))</f>
        <v/>
      </c>
      <c r="D1483" s="41" t="n"/>
      <c r="E1483" s="42" t="n"/>
      <c r="F1483" s="43" t="n"/>
      <c r="G1483" s="44">
        <f>IF(OR(B1483="",F1483=""),"",IFERROR(F1483*INDEX(Mitarbeiter!$F$6:$F$205,MATCH(B1483,Mitarbeiter!$A$6:$A$205,0)),0))</f>
        <v/>
      </c>
      <c r="H1483" s="8">
        <f>IF(B1483="","",IF(ISNA(MATCH(B1483,Mitarbeiter!$A$6:$A$205,0)),"Pers.-Nr. unbekannt",IF(A1483="","Datum fehlt",IF(AND(D1483&lt;&gt;Einstellungen!$C$4,D1483&lt;&gt;Einstellungen!$C$5),"Objekt fehlt",IF(YEAR(A1483)&lt;&gt;Einstellungen!$C$3,"anderes Jahr",IF(A1483&lt;INDEX(Mitarbeiter!$C$6:$C$205,MATCH(B1483,Mitarbeiter!$A$6:$A$205,0)),"vor Eintritt",IF(AND(INDEX(Mitarbeiter!$D$6:$D$205,MATCH(B1483,Mitarbeiter!$A$6:$A$205,0))&lt;&gt;"",A1483&gt;INDEX(Mitarbeiter!$D$6:$D$205,MATCH(B1483,Mitarbeiter!$A$6:$A$205,0))),"nach Austritt","ok")))))))</f>
        <v/>
      </c>
    </row>
    <row r="1484">
      <c r="A1484" s="26" t="n"/>
      <c r="B1484" s="24" t="n"/>
      <c r="C1484" s="40">
        <f>IF(B1484="","",IFERROR(INDEX(Mitarbeiter!$B$6:$B$205,MATCH(B1484,Mitarbeiter!$A$6:$A$205,0)),"?"))</f>
        <v/>
      </c>
      <c r="D1484" s="41" t="n"/>
      <c r="E1484" s="42" t="n"/>
      <c r="F1484" s="43" t="n"/>
      <c r="G1484" s="44">
        <f>IF(OR(B1484="",F1484=""),"",IFERROR(F1484*INDEX(Mitarbeiter!$F$6:$F$205,MATCH(B1484,Mitarbeiter!$A$6:$A$205,0)),0))</f>
        <v/>
      </c>
      <c r="H1484" s="8">
        <f>IF(B1484="","",IF(ISNA(MATCH(B1484,Mitarbeiter!$A$6:$A$205,0)),"Pers.-Nr. unbekannt",IF(A1484="","Datum fehlt",IF(AND(D1484&lt;&gt;Einstellungen!$C$4,D1484&lt;&gt;Einstellungen!$C$5),"Objekt fehlt",IF(YEAR(A1484)&lt;&gt;Einstellungen!$C$3,"anderes Jahr",IF(A1484&lt;INDEX(Mitarbeiter!$C$6:$C$205,MATCH(B1484,Mitarbeiter!$A$6:$A$205,0)),"vor Eintritt",IF(AND(INDEX(Mitarbeiter!$D$6:$D$205,MATCH(B1484,Mitarbeiter!$A$6:$A$205,0))&lt;&gt;"",A1484&gt;INDEX(Mitarbeiter!$D$6:$D$205,MATCH(B1484,Mitarbeiter!$A$6:$A$205,0))),"nach Austritt","ok")))))))</f>
        <v/>
      </c>
    </row>
    <row r="1485">
      <c r="A1485" s="26" t="n"/>
      <c r="B1485" s="24" t="n"/>
      <c r="C1485" s="40">
        <f>IF(B1485="","",IFERROR(INDEX(Mitarbeiter!$B$6:$B$205,MATCH(B1485,Mitarbeiter!$A$6:$A$205,0)),"?"))</f>
        <v/>
      </c>
      <c r="D1485" s="41" t="n"/>
      <c r="E1485" s="42" t="n"/>
      <c r="F1485" s="43" t="n"/>
      <c r="G1485" s="44">
        <f>IF(OR(B1485="",F1485=""),"",IFERROR(F1485*INDEX(Mitarbeiter!$F$6:$F$205,MATCH(B1485,Mitarbeiter!$A$6:$A$205,0)),0))</f>
        <v/>
      </c>
      <c r="H1485" s="8">
        <f>IF(B1485="","",IF(ISNA(MATCH(B1485,Mitarbeiter!$A$6:$A$205,0)),"Pers.-Nr. unbekannt",IF(A1485="","Datum fehlt",IF(AND(D1485&lt;&gt;Einstellungen!$C$4,D1485&lt;&gt;Einstellungen!$C$5),"Objekt fehlt",IF(YEAR(A1485)&lt;&gt;Einstellungen!$C$3,"anderes Jahr",IF(A1485&lt;INDEX(Mitarbeiter!$C$6:$C$205,MATCH(B1485,Mitarbeiter!$A$6:$A$205,0)),"vor Eintritt",IF(AND(INDEX(Mitarbeiter!$D$6:$D$205,MATCH(B1485,Mitarbeiter!$A$6:$A$205,0))&lt;&gt;"",A1485&gt;INDEX(Mitarbeiter!$D$6:$D$205,MATCH(B1485,Mitarbeiter!$A$6:$A$205,0))),"nach Austritt","ok")))))))</f>
        <v/>
      </c>
    </row>
    <row r="1486">
      <c r="A1486" s="26" t="n"/>
      <c r="B1486" s="24" t="n"/>
      <c r="C1486" s="40">
        <f>IF(B1486="","",IFERROR(INDEX(Mitarbeiter!$B$6:$B$205,MATCH(B1486,Mitarbeiter!$A$6:$A$205,0)),"?"))</f>
        <v/>
      </c>
      <c r="D1486" s="41" t="n"/>
      <c r="E1486" s="42" t="n"/>
      <c r="F1486" s="43" t="n"/>
      <c r="G1486" s="44">
        <f>IF(OR(B1486="",F1486=""),"",IFERROR(F1486*INDEX(Mitarbeiter!$F$6:$F$205,MATCH(B1486,Mitarbeiter!$A$6:$A$205,0)),0))</f>
        <v/>
      </c>
      <c r="H1486" s="8">
        <f>IF(B1486="","",IF(ISNA(MATCH(B1486,Mitarbeiter!$A$6:$A$205,0)),"Pers.-Nr. unbekannt",IF(A1486="","Datum fehlt",IF(AND(D1486&lt;&gt;Einstellungen!$C$4,D1486&lt;&gt;Einstellungen!$C$5),"Objekt fehlt",IF(YEAR(A1486)&lt;&gt;Einstellungen!$C$3,"anderes Jahr",IF(A1486&lt;INDEX(Mitarbeiter!$C$6:$C$205,MATCH(B1486,Mitarbeiter!$A$6:$A$205,0)),"vor Eintritt",IF(AND(INDEX(Mitarbeiter!$D$6:$D$205,MATCH(B1486,Mitarbeiter!$A$6:$A$205,0))&lt;&gt;"",A1486&gt;INDEX(Mitarbeiter!$D$6:$D$205,MATCH(B1486,Mitarbeiter!$A$6:$A$205,0))),"nach Austritt","ok")))))))</f>
        <v/>
      </c>
    </row>
    <row r="1487">
      <c r="A1487" s="26" t="n"/>
      <c r="B1487" s="24" t="n"/>
      <c r="C1487" s="40">
        <f>IF(B1487="","",IFERROR(INDEX(Mitarbeiter!$B$6:$B$205,MATCH(B1487,Mitarbeiter!$A$6:$A$205,0)),"?"))</f>
        <v/>
      </c>
      <c r="D1487" s="41" t="n"/>
      <c r="E1487" s="42" t="n"/>
      <c r="F1487" s="43" t="n"/>
      <c r="G1487" s="44">
        <f>IF(OR(B1487="",F1487=""),"",IFERROR(F1487*INDEX(Mitarbeiter!$F$6:$F$205,MATCH(B1487,Mitarbeiter!$A$6:$A$205,0)),0))</f>
        <v/>
      </c>
      <c r="H1487" s="8">
        <f>IF(B1487="","",IF(ISNA(MATCH(B1487,Mitarbeiter!$A$6:$A$205,0)),"Pers.-Nr. unbekannt",IF(A1487="","Datum fehlt",IF(AND(D1487&lt;&gt;Einstellungen!$C$4,D1487&lt;&gt;Einstellungen!$C$5),"Objekt fehlt",IF(YEAR(A1487)&lt;&gt;Einstellungen!$C$3,"anderes Jahr",IF(A1487&lt;INDEX(Mitarbeiter!$C$6:$C$205,MATCH(B1487,Mitarbeiter!$A$6:$A$205,0)),"vor Eintritt",IF(AND(INDEX(Mitarbeiter!$D$6:$D$205,MATCH(B1487,Mitarbeiter!$A$6:$A$205,0))&lt;&gt;"",A1487&gt;INDEX(Mitarbeiter!$D$6:$D$205,MATCH(B1487,Mitarbeiter!$A$6:$A$205,0))),"nach Austritt","ok")))))))</f>
        <v/>
      </c>
    </row>
    <row r="1488">
      <c r="A1488" s="26" t="n"/>
      <c r="B1488" s="24" t="n"/>
      <c r="C1488" s="40">
        <f>IF(B1488="","",IFERROR(INDEX(Mitarbeiter!$B$6:$B$205,MATCH(B1488,Mitarbeiter!$A$6:$A$205,0)),"?"))</f>
        <v/>
      </c>
      <c r="D1488" s="41" t="n"/>
      <c r="E1488" s="42" t="n"/>
      <c r="F1488" s="43" t="n"/>
      <c r="G1488" s="44">
        <f>IF(OR(B1488="",F1488=""),"",IFERROR(F1488*INDEX(Mitarbeiter!$F$6:$F$205,MATCH(B1488,Mitarbeiter!$A$6:$A$205,0)),0))</f>
        <v/>
      </c>
      <c r="H1488" s="8">
        <f>IF(B1488="","",IF(ISNA(MATCH(B1488,Mitarbeiter!$A$6:$A$205,0)),"Pers.-Nr. unbekannt",IF(A1488="","Datum fehlt",IF(AND(D1488&lt;&gt;Einstellungen!$C$4,D1488&lt;&gt;Einstellungen!$C$5),"Objekt fehlt",IF(YEAR(A1488)&lt;&gt;Einstellungen!$C$3,"anderes Jahr",IF(A1488&lt;INDEX(Mitarbeiter!$C$6:$C$205,MATCH(B1488,Mitarbeiter!$A$6:$A$205,0)),"vor Eintritt",IF(AND(INDEX(Mitarbeiter!$D$6:$D$205,MATCH(B1488,Mitarbeiter!$A$6:$A$205,0))&lt;&gt;"",A1488&gt;INDEX(Mitarbeiter!$D$6:$D$205,MATCH(B1488,Mitarbeiter!$A$6:$A$205,0))),"nach Austritt","ok")))))))</f>
        <v/>
      </c>
    </row>
    <row r="1489">
      <c r="A1489" s="26" t="n"/>
      <c r="B1489" s="24" t="n"/>
      <c r="C1489" s="40">
        <f>IF(B1489="","",IFERROR(INDEX(Mitarbeiter!$B$6:$B$205,MATCH(B1489,Mitarbeiter!$A$6:$A$205,0)),"?"))</f>
        <v/>
      </c>
      <c r="D1489" s="41" t="n"/>
      <c r="E1489" s="42" t="n"/>
      <c r="F1489" s="43" t="n"/>
      <c r="G1489" s="44">
        <f>IF(OR(B1489="",F1489=""),"",IFERROR(F1489*INDEX(Mitarbeiter!$F$6:$F$205,MATCH(B1489,Mitarbeiter!$A$6:$A$205,0)),0))</f>
        <v/>
      </c>
      <c r="H1489" s="8">
        <f>IF(B1489="","",IF(ISNA(MATCH(B1489,Mitarbeiter!$A$6:$A$205,0)),"Pers.-Nr. unbekannt",IF(A1489="","Datum fehlt",IF(AND(D1489&lt;&gt;Einstellungen!$C$4,D1489&lt;&gt;Einstellungen!$C$5),"Objekt fehlt",IF(YEAR(A1489)&lt;&gt;Einstellungen!$C$3,"anderes Jahr",IF(A1489&lt;INDEX(Mitarbeiter!$C$6:$C$205,MATCH(B1489,Mitarbeiter!$A$6:$A$205,0)),"vor Eintritt",IF(AND(INDEX(Mitarbeiter!$D$6:$D$205,MATCH(B1489,Mitarbeiter!$A$6:$A$205,0))&lt;&gt;"",A1489&gt;INDEX(Mitarbeiter!$D$6:$D$205,MATCH(B1489,Mitarbeiter!$A$6:$A$205,0))),"nach Austritt","ok")))))))</f>
        <v/>
      </c>
    </row>
    <row r="1490">
      <c r="A1490" s="26" t="n"/>
      <c r="B1490" s="24" t="n"/>
      <c r="C1490" s="40">
        <f>IF(B1490="","",IFERROR(INDEX(Mitarbeiter!$B$6:$B$205,MATCH(B1490,Mitarbeiter!$A$6:$A$205,0)),"?"))</f>
        <v/>
      </c>
      <c r="D1490" s="41" t="n"/>
      <c r="E1490" s="42" t="n"/>
      <c r="F1490" s="43" t="n"/>
      <c r="G1490" s="44">
        <f>IF(OR(B1490="",F1490=""),"",IFERROR(F1490*INDEX(Mitarbeiter!$F$6:$F$205,MATCH(B1490,Mitarbeiter!$A$6:$A$205,0)),0))</f>
        <v/>
      </c>
      <c r="H1490" s="8">
        <f>IF(B1490="","",IF(ISNA(MATCH(B1490,Mitarbeiter!$A$6:$A$205,0)),"Pers.-Nr. unbekannt",IF(A1490="","Datum fehlt",IF(AND(D1490&lt;&gt;Einstellungen!$C$4,D1490&lt;&gt;Einstellungen!$C$5),"Objekt fehlt",IF(YEAR(A1490)&lt;&gt;Einstellungen!$C$3,"anderes Jahr",IF(A1490&lt;INDEX(Mitarbeiter!$C$6:$C$205,MATCH(B1490,Mitarbeiter!$A$6:$A$205,0)),"vor Eintritt",IF(AND(INDEX(Mitarbeiter!$D$6:$D$205,MATCH(B1490,Mitarbeiter!$A$6:$A$205,0))&lt;&gt;"",A1490&gt;INDEX(Mitarbeiter!$D$6:$D$205,MATCH(B1490,Mitarbeiter!$A$6:$A$205,0))),"nach Austritt","ok")))))))</f>
        <v/>
      </c>
    </row>
    <row r="1491">
      <c r="A1491" s="26" t="n"/>
      <c r="B1491" s="24" t="n"/>
      <c r="C1491" s="40">
        <f>IF(B1491="","",IFERROR(INDEX(Mitarbeiter!$B$6:$B$205,MATCH(B1491,Mitarbeiter!$A$6:$A$205,0)),"?"))</f>
        <v/>
      </c>
      <c r="D1491" s="41" t="n"/>
      <c r="E1491" s="42" t="n"/>
      <c r="F1491" s="43" t="n"/>
      <c r="G1491" s="44">
        <f>IF(OR(B1491="",F1491=""),"",IFERROR(F1491*INDEX(Mitarbeiter!$F$6:$F$205,MATCH(B1491,Mitarbeiter!$A$6:$A$205,0)),0))</f>
        <v/>
      </c>
      <c r="H1491" s="8">
        <f>IF(B1491="","",IF(ISNA(MATCH(B1491,Mitarbeiter!$A$6:$A$205,0)),"Pers.-Nr. unbekannt",IF(A1491="","Datum fehlt",IF(AND(D1491&lt;&gt;Einstellungen!$C$4,D1491&lt;&gt;Einstellungen!$C$5),"Objekt fehlt",IF(YEAR(A1491)&lt;&gt;Einstellungen!$C$3,"anderes Jahr",IF(A1491&lt;INDEX(Mitarbeiter!$C$6:$C$205,MATCH(B1491,Mitarbeiter!$A$6:$A$205,0)),"vor Eintritt",IF(AND(INDEX(Mitarbeiter!$D$6:$D$205,MATCH(B1491,Mitarbeiter!$A$6:$A$205,0))&lt;&gt;"",A1491&gt;INDEX(Mitarbeiter!$D$6:$D$205,MATCH(B1491,Mitarbeiter!$A$6:$A$205,0))),"nach Austritt","ok")))))))</f>
        <v/>
      </c>
    </row>
    <row r="1492">
      <c r="A1492" s="26" t="n"/>
      <c r="B1492" s="24" t="n"/>
      <c r="C1492" s="40">
        <f>IF(B1492="","",IFERROR(INDEX(Mitarbeiter!$B$6:$B$205,MATCH(B1492,Mitarbeiter!$A$6:$A$205,0)),"?"))</f>
        <v/>
      </c>
      <c r="D1492" s="41" t="n"/>
      <c r="E1492" s="42" t="n"/>
      <c r="F1492" s="43" t="n"/>
      <c r="G1492" s="44">
        <f>IF(OR(B1492="",F1492=""),"",IFERROR(F1492*INDEX(Mitarbeiter!$F$6:$F$205,MATCH(B1492,Mitarbeiter!$A$6:$A$205,0)),0))</f>
        <v/>
      </c>
      <c r="H1492" s="8">
        <f>IF(B1492="","",IF(ISNA(MATCH(B1492,Mitarbeiter!$A$6:$A$205,0)),"Pers.-Nr. unbekannt",IF(A1492="","Datum fehlt",IF(AND(D1492&lt;&gt;Einstellungen!$C$4,D1492&lt;&gt;Einstellungen!$C$5),"Objekt fehlt",IF(YEAR(A1492)&lt;&gt;Einstellungen!$C$3,"anderes Jahr",IF(A1492&lt;INDEX(Mitarbeiter!$C$6:$C$205,MATCH(B1492,Mitarbeiter!$A$6:$A$205,0)),"vor Eintritt",IF(AND(INDEX(Mitarbeiter!$D$6:$D$205,MATCH(B1492,Mitarbeiter!$A$6:$A$205,0))&lt;&gt;"",A1492&gt;INDEX(Mitarbeiter!$D$6:$D$205,MATCH(B1492,Mitarbeiter!$A$6:$A$205,0))),"nach Austritt","ok")))))))</f>
        <v/>
      </c>
    </row>
    <row r="1493">
      <c r="A1493" s="26" t="n"/>
      <c r="B1493" s="24" t="n"/>
      <c r="C1493" s="40">
        <f>IF(B1493="","",IFERROR(INDEX(Mitarbeiter!$B$6:$B$205,MATCH(B1493,Mitarbeiter!$A$6:$A$205,0)),"?"))</f>
        <v/>
      </c>
      <c r="D1493" s="41" t="n"/>
      <c r="E1493" s="42" t="n"/>
      <c r="F1493" s="43" t="n"/>
      <c r="G1493" s="44">
        <f>IF(OR(B1493="",F1493=""),"",IFERROR(F1493*INDEX(Mitarbeiter!$F$6:$F$205,MATCH(B1493,Mitarbeiter!$A$6:$A$205,0)),0))</f>
        <v/>
      </c>
      <c r="H1493" s="8">
        <f>IF(B1493="","",IF(ISNA(MATCH(B1493,Mitarbeiter!$A$6:$A$205,0)),"Pers.-Nr. unbekannt",IF(A1493="","Datum fehlt",IF(AND(D1493&lt;&gt;Einstellungen!$C$4,D1493&lt;&gt;Einstellungen!$C$5),"Objekt fehlt",IF(YEAR(A1493)&lt;&gt;Einstellungen!$C$3,"anderes Jahr",IF(A1493&lt;INDEX(Mitarbeiter!$C$6:$C$205,MATCH(B1493,Mitarbeiter!$A$6:$A$205,0)),"vor Eintritt",IF(AND(INDEX(Mitarbeiter!$D$6:$D$205,MATCH(B1493,Mitarbeiter!$A$6:$A$205,0))&lt;&gt;"",A1493&gt;INDEX(Mitarbeiter!$D$6:$D$205,MATCH(B1493,Mitarbeiter!$A$6:$A$205,0))),"nach Austritt","ok")))))))</f>
        <v/>
      </c>
    </row>
    <row r="1494">
      <c r="A1494" s="26" t="n"/>
      <c r="B1494" s="24" t="n"/>
      <c r="C1494" s="40">
        <f>IF(B1494="","",IFERROR(INDEX(Mitarbeiter!$B$6:$B$205,MATCH(B1494,Mitarbeiter!$A$6:$A$205,0)),"?"))</f>
        <v/>
      </c>
      <c r="D1494" s="41" t="n"/>
      <c r="E1494" s="42" t="n"/>
      <c r="F1494" s="43" t="n"/>
      <c r="G1494" s="44">
        <f>IF(OR(B1494="",F1494=""),"",IFERROR(F1494*INDEX(Mitarbeiter!$F$6:$F$205,MATCH(B1494,Mitarbeiter!$A$6:$A$205,0)),0))</f>
        <v/>
      </c>
      <c r="H1494" s="8">
        <f>IF(B1494="","",IF(ISNA(MATCH(B1494,Mitarbeiter!$A$6:$A$205,0)),"Pers.-Nr. unbekannt",IF(A1494="","Datum fehlt",IF(AND(D1494&lt;&gt;Einstellungen!$C$4,D1494&lt;&gt;Einstellungen!$C$5),"Objekt fehlt",IF(YEAR(A1494)&lt;&gt;Einstellungen!$C$3,"anderes Jahr",IF(A1494&lt;INDEX(Mitarbeiter!$C$6:$C$205,MATCH(B1494,Mitarbeiter!$A$6:$A$205,0)),"vor Eintritt",IF(AND(INDEX(Mitarbeiter!$D$6:$D$205,MATCH(B1494,Mitarbeiter!$A$6:$A$205,0))&lt;&gt;"",A1494&gt;INDEX(Mitarbeiter!$D$6:$D$205,MATCH(B1494,Mitarbeiter!$A$6:$A$205,0))),"nach Austritt","ok")))))))</f>
        <v/>
      </c>
    </row>
    <row r="1495">
      <c r="A1495" s="26" t="n"/>
      <c r="B1495" s="24" t="n"/>
      <c r="C1495" s="40">
        <f>IF(B1495="","",IFERROR(INDEX(Mitarbeiter!$B$6:$B$205,MATCH(B1495,Mitarbeiter!$A$6:$A$205,0)),"?"))</f>
        <v/>
      </c>
      <c r="D1495" s="41" t="n"/>
      <c r="E1495" s="42" t="n"/>
      <c r="F1495" s="43" t="n"/>
      <c r="G1495" s="44">
        <f>IF(OR(B1495="",F1495=""),"",IFERROR(F1495*INDEX(Mitarbeiter!$F$6:$F$205,MATCH(B1495,Mitarbeiter!$A$6:$A$205,0)),0))</f>
        <v/>
      </c>
      <c r="H1495" s="8">
        <f>IF(B1495="","",IF(ISNA(MATCH(B1495,Mitarbeiter!$A$6:$A$205,0)),"Pers.-Nr. unbekannt",IF(A1495="","Datum fehlt",IF(AND(D1495&lt;&gt;Einstellungen!$C$4,D1495&lt;&gt;Einstellungen!$C$5),"Objekt fehlt",IF(YEAR(A1495)&lt;&gt;Einstellungen!$C$3,"anderes Jahr",IF(A1495&lt;INDEX(Mitarbeiter!$C$6:$C$205,MATCH(B1495,Mitarbeiter!$A$6:$A$205,0)),"vor Eintritt",IF(AND(INDEX(Mitarbeiter!$D$6:$D$205,MATCH(B1495,Mitarbeiter!$A$6:$A$205,0))&lt;&gt;"",A1495&gt;INDEX(Mitarbeiter!$D$6:$D$205,MATCH(B1495,Mitarbeiter!$A$6:$A$205,0))),"nach Austritt","ok")))))))</f>
        <v/>
      </c>
    </row>
    <row r="1496">
      <c r="A1496" s="26" t="n"/>
      <c r="B1496" s="24" t="n"/>
      <c r="C1496" s="40">
        <f>IF(B1496="","",IFERROR(INDEX(Mitarbeiter!$B$6:$B$205,MATCH(B1496,Mitarbeiter!$A$6:$A$205,0)),"?"))</f>
        <v/>
      </c>
      <c r="D1496" s="41" t="n"/>
      <c r="E1496" s="42" t="n"/>
      <c r="F1496" s="43" t="n"/>
      <c r="G1496" s="44">
        <f>IF(OR(B1496="",F1496=""),"",IFERROR(F1496*INDEX(Mitarbeiter!$F$6:$F$205,MATCH(B1496,Mitarbeiter!$A$6:$A$205,0)),0))</f>
        <v/>
      </c>
      <c r="H1496" s="8">
        <f>IF(B1496="","",IF(ISNA(MATCH(B1496,Mitarbeiter!$A$6:$A$205,0)),"Pers.-Nr. unbekannt",IF(A1496="","Datum fehlt",IF(AND(D1496&lt;&gt;Einstellungen!$C$4,D1496&lt;&gt;Einstellungen!$C$5),"Objekt fehlt",IF(YEAR(A1496)&lt;&gt;Einstellungen!$C$3,"anderes Jahr",IF(A1496&lt;INDEX(Mitarbeiter!$C$6:$C$205,MATCH(B1496,Mitarbeiter!$A$6:$A$205,0)),"vor Eintritt",IF(AND(INDEX(Mitarbeiter!$D$6:$D$205,MATCH(B1496,Mitarbeiter!$A$6:$A$205,0))&lt;&gt;"",A1496&gt;INDEX(Mitarbeiter!$D$6:$D$205,MATCH(B1496,Mitarbeiter!$A$6:$A$205,0))),"nach Austritt","ok")))))))</f>
        <v/>
      </c>
    </row>
    <row r="1497">
      <c r="A1497" s="26" t="n"/>
      <c r="B1497" s="24" t="n"/>
      <c r="C1497" s="40">
        <f>IF(B1497="","",IFERROR(INDEX(Mitarbeiter!$B$6:$B$205,MATCH(B1497,Mitarbeiter!$A$6:$A$205,0)),"?"))</f>
        <v/>
      </c>
      <c r="D1497" s="41" t="n"/>
      <c r="E1497" s="42" t="n"/>
      <c r="F1497" s="43" t="n"/>
      <c r="G1497" s="44">
        <f>IF(OR(B1497="",F1497=""),"",IFERROR(F1497*INDEX(Mitarbeiter!$F$6:$F$205,MATCH(B1497,Mitarbeiter!$A$6:$A$205,0)),0))</f>
        <v/>
      </c>
      <c r="H1497" s="8">
        <f>IF(B1497="","",IF(ISNA(MATCH(B1497,Mitarbeiter!$A$6:$A$205,0)),"Pers.-Nr. unbekannt",IF(A1497="","Datum fehlt",IF(AND(D1497&lt;&gt;Einstellungen!$C$4,D1497&lt;&gt;Einstellungen!$C$5),"Objekt fehlt",IF(YEAR(A1497)&lt;&gt;Einstellungen!$C$3,"anderes Jahr",IF(A1497&lt;INDEX(Mitarbeiter!$C$6:$C$205,MATCH(B1497,Mitarbeiter!$A$6:$A$205,0)),"vor Eintritt",IF(AND(INDEX(Mitarbeiter!$D$6:$D$205,MATCH(B1497,Mitarbeiter!$A$6:$A$205,0))&lt;&gt;"",A1497&gt;INDEX(Mitarbeiter!$D$6:$D$205,MATCH(B1497,Mitarbeiter!$A$6:$A$205,0))),"nach Austritt","ok")))))))</f>
        <v/>
      </c>
    </row>
    <row r="1498">
      <c r="A1498" s="26" t="n"/>
      <c r="B1498" s="24" t="n"/>
      <c r="C1498" s="40">
        <f>IF(B1498="","",IFERROR(INDEX(Mitarbeiter!$B$6:$B$205,MATCH(B1498,Mitarbeiter!$A$6:$A$205,0)),"?"))</f>
        <v/>
      </c>
      <c r="D1498" s="41" t="n"/>
      <c r="E1498" s="42" t="n"/>
      <c r="F1498" s="43" t="n"/>
      <c r="G1498" s="44">
        <f>IF(OR(B1498="",F1498=""),"",IFERROR(F1498*INDEX(Mitarbeiter!$F$6:$F$205,MATCH(B1498,Mitarbeiter!$A$6:$A$205,0)),0))</f>
        <v/>
      </c>
      <c r="H1498" s="8">
        <f>IF(B1498="","",IF(ISNA(MATCH(B1498,Mitarbeiter!$A$6:$A$205,0)),"Pers.-Nr. unbekannt",IF(A1498="","Datum fehlt",IF(AND(D1498&lt;&gt;Einstellungen!$C$4,D1498&lt;&gt;Einstellungen!$C$5),"Objekt fehlt",IF(YEAR(A1498)&lt;&gt;Einstellungen!$C$3,"anderes Jahr",IF(A1498&lt;INDEX(Mitarbeiter!$C$6:$C$205,MATCH(B1498,Mitarbeiter!$A$6:$A$205,0)),"vor Eintritt",IF(AND(INDEX(Mitarbeiter!$D$6:$D$205,MATCH(B1498,Mitarbeiter!$A$6:$A$205,0))&lt;&gt;"",A1498&gt;INDEX(Mitarbeiter!$D$6:$D$205,MATCH(B1498,Mitarbeiter!$A$6:$A$205,0))),"nach Austritt","ok")))))))</f>
        <v/>
      </c>
    </row>
    <row r="1499">
      <c r="A1499" s="26" t="n"/>
      <c r="B1499" s="24" t="n"/>
      <c r="C1499" s="40">
        <f>IF(B1499="","",IFERROR(INDEX(Mitarbeiter!$B$6:$B$205,MATCH(B1499,Mitarbeiter!$A$6:$A$205,0)),"?"))</f>
        <v/>
      </c>
      <c r="D1499" s="41" t="n"/>
      <c r="E1499" s="42" t="n"/>
      <c r="F1499" s="43" t="n"/>
      <c r="G1499" s="44">
        <f>IF(OR(B1499="",F1499=""),"",IFERROR(F1499*INDEX(Mitarbeiter!$F$6:$F$205,MATCH(B1499,Mitarbeiter!$A$6:$A$205,0)),0))</f>
        <v/>
      </c>
      <c r="H1499" s="8">
        <f>IF(B1499="","",IF(ISNA(MATCH(B1499,Mitarbeiter!$A$6:$A$205,0)),"Pers.-Nr. unbekannt",IF(A1499="","Datum fehlt",IF(AND(D1499&lt;&gt;Einstellungen!$C$4,D1499&lt;&gt;Einstellungen!$C$5),"Objekt fehlt",IF(YEAR(A1499)&lt;&gt;Einstellungen!$C$3,"anderes Jahr",IF(A1499&lt;INDEX(Mitarbeiter!$C$6:$C$205,MATCH(B1499,Mitarbeiter!$A$6:$A$205,0)),"vor Eintritt",IF(AND(INDEX(Mitarbeiter!$D$6:$D$205,MATCH(B1499,Mitarbeiter!$A$6:$A$205,0))&lt;&gt;"",A1499&gt;INDEX(Mitarbeiter!$D$6:$D$205,MATCH(B1499,Mitarbeiter!$A$6:$A$205,0))),"nach Austritt","ok")))))))</f>
        <v/>
      </c>
    </row>
    <row r="1500">
      <c r="A1500" s="26" t="n"/>
      <c r="B1500" s="24" t="n"/>
      <c r="C1500" s="40">
        <f>IF(B1500="","",IFERROR(INDEX(Mitarbeiter!$B$6:$B$205,MATCH(B1500,Mitarbeiter!$A$6:$A$205,0)),"?"))</f>
        <v/>
      </c>
      <c r="D1500" s="41" t="n"/>
      <c r="E1500" s="42" t="n"/>
      <c r="F1500" s="43" t="n"/>
      <c r="G1500" s="44">
        <f>IF(OR(B1500="",F1500=""),"",IFERROR(F1500*INDEX(Mitarbeiter!$F$6:$F$205,MATCH(B1500,Mitarbeiter!$A$6:$A$205,0)),0))</f>
        <v/>
      </c>
      <c r="H1500" s="8">
        <f>IF(B1500="","",IF(ISNA(MATCH(B1500,Mitarbeiter!$A$6:$A$205,0)),"Pers.-Nr. unbekannt",IF(A1500="","Datum fehlt",IF(AND(D1500&lt;&gt;Einstellungen!$C$4,D1500&lt;&gt;Einstellungen!$C$5),"Objekt fehlt",IF(YEAR(A1500)&lt;&gt;Einstellungen!$C$3,"anderes Jahr",IF(A1500&lt;INDEX(Mitarbeiter!$C$6:$C$205,MATCH(B1500,Mitarbeiter!$A$6:$A$205,0)),"vor Eintritt",IF(AND(INDEX(Mitarbeiter!$D$6:$D$205,MATCH(B1500,Mitarbeiter!$A$6:$A$205,0))&lt;&gt;"",A1500&gt;INDEX(Mitarbeiter!$D$6:$D$205,MATCH(B1500,Mitarbeiter!$A$6:$A$205,0))),"nach Austritt","ok")))))))</f>
        <v/>
      </c>
    </row>
    <row r="1501">
      <c r="A1501" s="26" t="n"/>
      <c r="B1501" s="24" t="n"/>
      <c r="C1501" s="40">
        <f>IF(B1501="","",IFERROR(INDEX(Mitarbeiter!$B$6:$B$205,MATCH(B1501,Mitarbeiter!$A$6:$A$205,0)),"?"))</f>
        <v/>
      </c>
      <c r="D1501" s="41" t="n"/>
      <c r="E1501" s="42" t="n"/>
      <c r="F1501" s="43" t="n"/>
      <c r="G1501" s="44">
        <f>IF(OR(B1501="",F1501=""),"",IFERROR(F1501*INDEX(Mitarbeiter!$F$6:$F$205,MATCH(B1501,Mitarbeiter!$A$6:$A$205,0)),0))</f>
        <v/>
      </c>
      <c r="H1501" s="8">
        <f>IF(B1501="","",IF(ISNA(MATCH(B1501,Mitarbeiter!$A$6:$A$205,0)),"Pers.-Nr. unbekannt",IF(A1501="","Datum fehlt",IF(AND(D1501&lt;&gt;Einstellungen!$C$4,D1501&lt;&gt;Einstellungen!$C$5),"Objekt fehlt",IF(YEAR(A1501)&lt;&gt;Einstellungen!$C$3,"anderes Jahr",IF(A1501&lt;INDEX(Mitarbeiter!$C$6:$C$205,MATCH(B1501,Mitarbeiter!$A$6:$A$205,0)),"vor Eintritt",IF(AND(INDEX(Mitarbeiter!$D$6:$D$205,MATCH(B1501,Mitarbeiter!$A$6:$A$205,0))&lt;&gt;"",A1501&gt;INDEX(Mitarbeiter!$D$6:$D$205,MATCH(B1501,Mitarbeiter!$A$6:$A$205,0))),"nach Austritt","ok")))))))</f>
        <v/>
      </c>
    </row>
    <row r="1502">
      <c r="A1502" s="26" t="n"/>
      <c r="B1502" s="24" t="n"/>
      <c r="C1502" s="40">
        <f>IF(B1502="","",IFERROR(INDEX(Mitarbeiter!$B$6:$B$205,MATCH(B1502,Mitarbeiter!$A$6:$A$205,0)),"?"))</f>
        <v/>
      </c>
      <c r="D1502" s="41" t="n"/>
      <c r="E1502" s="42" t="n"/>
      <c r="F1502" s="43" t="n"/>
      <c r="G1502" s="44">
        <f>IF(OR(B1502="",F1502=""),"",IFERROR(F1502*INDEX(Mitarbeiter!$F$6:$F$205,MATCH(B1502,Mitarbeiter!$A$6:$A$205,0)),0))</f>
        <v/>
      </c>
      <c r="H1502" s="8">
        <f>IF(B1502="","",IF(ISNA(MATCH(B1502,Mitarbeiter!$A$6:$A$205,0)),"Pers.-Nr. unbekannt",IF(A1502="","Datum fehlt",IF(AND(D1502&lt;&gt;Einstellungen!$C$4,D1502&lt;&gt;Einstellungen!$C$5),"Objekt fehlt",IF(YEAR(A1502)&lt;&gt;Einstellungen!$C$3,"anderes Jahr",IF(A1502&lt;INDEX(Mitarbeiter!$C$6:$C$205,MATCH(B1502,Mitarbeiter!$A$6:$A$205,0)),"vor Eintritt",IF(AND(INDEX(Mitarbeiter!$D$6:$D$205,MATCH(B1502,Mitarbeiter!$A$6:$A$205,0))&lt;&gt;"",A1502&gt;INDEX(Mitarbeiter!$D$6:$D$205,MATCH(B1502,Mitarbeiter!$A$6:$A$205,0))),"nach Austritt","ok")))))))</f>
        <v/>
      </c>
    </row>
    <row r="1503">
      <c r="A1503" s="26" t="n"/>
      <c r="B1503" s="24" t="n"/>
      <c r="C1503" s="40">
        <f>IF(B1503="","",IFERROR(INDEX(Mitarbeiter!$B$6:$B$205,MATCH(B1503,Mitarbeiter!$A$6:$A$205,0)),"?"))</f>
        <v/>
      </c>
      <c r="D1503" s="41" t="n"/>
      <c r="E1503" s="42" t="n"/>
      <c r="F1503" s="43" t="n"/>
      <c r="G1503" s="44">
        <f>IF(OR(B1503="",F1503=""),"",IFERROR(F1503*INDEX(Mitarbeiter!$F$6:$F$205,MATCH(B1503,Mitarbeiter!$A$6:$A$205,0)),0))</f>
        <v/>
      </c>
      <c r="H1503" s="8">
        <f>IF(B1503="","",IF(ISNA(MATCH(B1503,Mitarbeiter!$A$6:$A$205,0)),"Pers.-Nr. unbekannt",IF(A1503="","Datum fehlt",IF(AND(D1503&lt;&gt;Einstellungen!$C$4,D1503&lt;&gt;Einstellungen!$C$5),"Objekt fehlt",IF(YEAR(A1503)&lt;&gt;Einstellungen!$C$3,"anderes Jahr",IF(A1503&lt;INDEX(Mitarbeiter!$C$6:$C$205,MATCH(B1503,Mitarbeiter!$A$6:$A$205,0)),"vor Eintritt",IF(AND(INDEX(Mitarbeiter!$D$6:$D$205,MATCH(B1503,Mitarbeiter!$A$6:$A$205,0))&lt;&gt;"",A1503&gt;INDEX(Mitarbeiter!$D$6:$D$205,MATCH(B1503,Mitarbeiter!$A$6:$A$205,0))),"nach Austritt","ok")))))))</f>
        <v/>
      </c>
    </row>
    <row r="1504">
      <c r="A1504" s="26" t="n"/>
      <c r="B1504" s="24" t="n"/>
      <c r="C1504" s="40">
        <f>IF(B1504="","",IFERROR(INDEX(Mitarbeiter!$B$6:$B$205,MATCH(B1504,Mitarbeiter!$A$6:$A$205,0)),"?"))</f>
        <v/>
      </c>
      <c r="D1504" s="41" t="n"/>
      <c r="E1504" s="42" t="n"/>
      <c r="F1504" s="43" t="n"/>
      <c r="G1504" s="44">
        <f>IF(OR(B1504="",F1504=""),"",IFERROR(F1504*INDEX(Mitarbeiter!$F$6:$F$205,MATCH(B1504,Mitarbeiter!$A$6:$A$205,0)),0))</f>
        <v/>
      </c>
      <c r="H1504" s="8">
        <f>IF(B1504="","",IF(ISNA(MATCH(B1504,Mitarbeiter!$A$6:$A$205,0)),"Pers.-Nr. unbekannt",IF(A1504="","Datum fehlt",IF(AND(D1504&lt;&gt;Einstellungen!$C$4,D1504&lt;&gt;Einstellungen!$C$5),"Objekt fehlt",IF(YEAR(A1504)&lt;&gt;Einstellungen!$C$3,"anderes Jahr",IF(A1504&lt;INDEX(Mitarbeiter!$C$6:$C$205,MATCH(B1504,Mitarbeiter!$A$6:$A$205,0)),"vor Eintritt",IF(AND(INDEX(Mitarbeiter!$D$6:$D$205,MATCH(B1504,Mitarbeiter!$A$6:$A$205,0))&lt;&gt;"",A1504&gt;INDEX(Mitarbeiter!$D$6:$D$205,MATCH(B1504,Mitarbeiter!$A$6:$A$205,0))),"nach Austritt","ok")))))))</f>
        <v/>
      </c>
    </row>
    <row r="1505">
      <c r="A1505" s="26" t="n"/>
      <c r="B1505" s="24" t="n"/>
      <c r="C1505" s="40">
        <f>IF(B1505="","",IFERROR(INDEX(Mitarbeiter!$B$6:$B$205,MATCH(B1505,Mitarbeiter!$A$6:$A$205,0)),"?"))</f>
        <v/>
      </c>
      <c r="D1505" s="41" t="n"/>
      <c r="E1505" s="42" t="n"/>
      <c r="F1505" s="43" t="n"/>
      <c r="G1505" s="44">
        <f>IF(OR(B1505="",F1505=""),"",IFERROR(F1505*INDEX(Mitarbeiter!$F$6:$F$205,MATCH(B1505,Mitarbeiter!$A$6:$A$205,0)),0))</f>
        <v/>
      </c>
      <c r="H1505" s="8">
        <f>IF(B1505="","",IF(ISNA(MATCH(B1505,Mitarbeiter!$A$6:$A$205,0)),"Pers.-Nr. unbekannt",IF(A1505="","Datum fehlt",IF(AND(D1505&lt;&gt;Einstellungen!$C$4,D1505&lt;&gt;Einstellungen!$C$5),"Objekt fehlt",IF(YEAR(A1505)&lt;&gt;Einstellungen!$C$3,"anderes Jahr",IF(A1505&lt;INDEX(Mitarbeiter!$C$6:$C$205,MATCH(B1505,Mitarbeiter!$A$6:$A$205,0)),"vor Eintritt",IF(AND(INDEX(Mitarbeiter!$D$6:$D$205,MATCH(B1505,Mitarbeiter!$A$6:$A$205,0))&lt;&gt;"",A1505&gt;INDEX(Mitarbeiter!$D$6:$D$205,MATCH(B1505,Mitarbeiter!$A$6:$A$205,0))),"nach Austritt","ok")))))))</f>
        <v/>
      </c>
    </row>
    <row r="1506">
      <c r="A1506" s="26" t="n"/>
      <c r="B1506" s="24" t="n"/>
      <c r="C1506" s="40">
        <f>IF(B1506="","",IFERROR(INDEX(Mitarbeiter!$B$6:$B$205,MATCH(B1506,Mitarbeiter!$A$6:$A$205,0)),"?"))</f>
        <v/>
      </c>
      <c r="D1506" s="41" t="n"/>
      <c r="E1506" s="42" t="n"/>
      <c r="F1506" s="43" t="n"/>
      <c r="G1506" s="44">
        <f>IF(OR(B1506="",F1506=""),"",IFERROR(F1506*INDEX(Mitarbeiter!$F$6:$F$205,MATCH(B1506,Mitarbeiter!$A$6:$A$205,0)),0))</f>
        <v/>
      </c>
      <c r="H1506" s="8">
        <f>IF(B1506="","",IF(ISNA(MATCH(B1506,Mitarbeiter!$A$6:$A$205,0)),"Pers.-Nr. unbekannt",IF(A1506="","Datum fehlt",IF(AND(D1506&lt;&gt;Einstellungen!$C$4,D1506&lt;&gt;Einstellungen!$C$5),"Objekt fehlt",IF(YEAR(A1506)&lt;&gt;Einstellungen!$C$3,"anderes Jahr",IF(A1506&lt;INDEX(Mitarbeiter!$C$6:$C$205,MATCH(B1506,Mitarbeiter!$A$6:$A$205,0)),"vor Eintritt",IF(AND(INDEX(Mitarbeiter!$D$6:$D$205,MATCH(B1506,Mitarbeiter!$A$6:$A$205,0))&lt;&gt;"",A1506&gt;INDEX(Mitarbeiter!$D$6:$D$205,MATCH(B1506,Mitarbeiter!$A$6:$A$205,0))),"nach Austritt","ok")))))))</f>
        <v/>
      </c>
    </row>
    <row r="1507">
      <c r="A1507" s="26" t="n"/>
      <c r="B1507" s="24" t="n"/>
      <c r="C1507" s="40">
        <f>IF(B1507="","",IFERROR(INDEX(Mitarbeiter!$B$6:$B$205,MATCH(B1507,Mitarbeiter!$A$6:$A$205,0)),"?"))</f>
        <v/>
      </c>
      <c r="D1507" s="41" t="n"/>
      <c r="E1507" s="42" t="n"/>
      <c r="F1507" s="43" t="n"/>
      <c r="G1507" s="44">
        <f>IF(OR(B1507="",F1507=""),"",IFERROR(F1507*INDEX(Mitarbeiter!$F$6:$F$205,MATCH(B1507,Mitarbeiter!$A$6:$A$205,0)),0))</f>
        <v/>
      </c>
      <c r="H1507" s="8">
        <f>IF(B1507="","",IF(ISNA(MATCH(B1507,Mitarbeiter!$A$6:$A$205,0)),"Pers.-Nr. unbekannt",IF(A1507="","Datum fehlt",IF(AND(D1507&lt;&gt;Einstellungen!$C$4,D1507&lt;&gt;Einstellungen!$C$5),"Objekt fehlt",IF(YEAR(A1507)&lt;&gt;Einstellungen!$C$3,"anderes Jahr",IF(A1507&lt;INDEX(Mitarbeiter!$C$6:$C$205,MATCH(B1507,Mitarbeiter!$A$6:$A$205,0)),"vor Eintritt",IF(AND(INDEX(Mitarbeiter!$D$6:$D$205,MATCH(B1507,Mitarbeiter!$A$6:$A$205,0))&lt;&gt;"",A1507&gt;INDEX(Mitarbeiter!$D$6:$D$205,MATCH(B1507,Mitarbeiter!$A$6:$A$205,0))),"nach Austritt","ok")))))))</f>
        <v/>
      </c>
    </row>
    <row r="1508">
      <c r="A1508" s="26" t="n"/>
      <c r="B1508" s="24" t="n"/>
      <c r="C1508" s="40">
        <f>IF(B1508="","",IFERROR(INDEX(Mitarbeiter!$B$6:$B$205,MATCH(B1508,Mitarbeiter!$A$6:$A$205,0)),"?"))</f>
        <v/>
      </c>
      <c r="D1508" s="41" t="n"/>
      <c r="E1508" s="42" t="n"/>
      <c r="F1508" s="43" t="n"/>
      <c r="G1508" s="44">
        <f>IF(OR(B1508="",F1508=""),"",IFERROR(F1508*INDEX(Mitarbeiter!$F$6:$F$205,MATCH(B1508,Mitarbeiter!$A$6:$A$205,0)),0))</f>
        <v/>
      </c>
      <c r="H1508" s="8">
        <f>IF(B1508="","",IF(ISNA(MATCH(B1508,Mitarbeiter!$A$6:$A$205,0)),"Pers.-Nr. unbekannt",IF(A1508="","Datum fehlt",IF(AND(D1508&lt;&gt;Einstellungen!$C$4,D1508&lt;&gt;Einstellungen!$C$5),"Objekt fehlt",IF(YEAR(A1508)&lt;&gt;Einstellungen!$C$3,"anderes Jahr",IF(A1508&lt;INDEX(Mitarbeiter!$C$6:$C$205,MATCH(B1508,Mitarbeiter!$A$6:$A$205,0)),"vor Eintritt",IF(AND(INDEX(Mitarbeiter!$D$6:$D$205,MATCH(B1508,Mitarbeiter!$A$6:$A$205,0))&lt;&gt;"",A1508&gt;INDEX(Mitarbeiter!$D$6:$D$205,MATCH(B1508,Mitarbeiter!$A$6:$A$205,0))),"nach Austritt","ok")))))))</f>
        <v/>
      </c>
    </row>
    <row r="1509">
      <c r="A1509" s="26" t="n"/>
      <c r="B1509" s="24" t="n"/>
      <c r="C1509" s="40">
        <f>IF(B1509="","",IFERROR(INDEX(Mitarbeiter!$B$6:$B$205,MATCH(B1509,Mitarbeiter!$A$6:$A$205,0)),"?"))</f>
        <v/>
      </c>
      <c r="D1509" s="41" t="n"/>
      <c r="E1509" s="42" t="n"/>
      <c r="F1509" s="43" t="n"/>
      <c r="G1509" s="44">
        <f>IF(OR(B1509="",F1509=""),"",IFERROR(F1509*INDEX(Mitarbeiter!$F$6:$F$205,MATCH(B1509,Mitarbeiter!$A$6:$A$205,0)),0))</f>
        <v/>
      </c>
      <c r="H1509" s="8">
        <f>IF(B1509="","",IF(ISNA(MATCH(B1509,Mitarbeiter!$A$6:$A$205,0)),"Pers.-Nr. unbekannt",IF(A1509="","Datum fehlt",IF(AND(D1509&lt;&gt;Einstellungen!$C$4,D1509&lt;&gt;Einstellungen!$C$5),"Objekt fehlt",IF(YEAR(A1509)&lt;&gt;Einstellungen!$C$3,"anderes Jahr",IF(A1509&lt;INDEX(Mitarbeiter!$C$6:$C$205,MATCH(B1509,Mitarbeiter!$A$6:$A$205,0)),"vor Eintritt",IF(AND(INDEX(Mitarbeiter!$D$6:$D$205,MATCH(B1509,Mitarbeiter!$A$6:$A$205,0))&lt;&gt;"",A1509&gt;INDEX(Mitarbeiter!$D$6:$D$205,MATCH(B1509,Mitarbeiter!$A$6:$A$205,0))),"nach Austritt","ok")))))))</f>
        <v/>
      </c>
    </row>
    <row r="1510">
      <c r="A1510" s="26" t="n"/>
      <c r="B1510" s="24" t="n"/>
      <c r="C1510" s="40">
        <f>IF(B1510="","",IFERROR(INDEX(Mitarbeiter!$B$6:$B$205,MATCH(B1510,Mitarbeiter!$A$6:$A$205,0)),"?"))</f>
        <v/>
      </c>
      <c r="D1510" s="41" t="n"/>
      <c r="E1510" s="42" t="n"/>
      <c r="F1510" s="43" t="n"/>
      <c r="G1510" s="44">
        <f>IF(OR(B1510="",F1510=""),"",IFERROR(F1510*INDEX(Mitarbeiter!$F$6:$F$205,MATCH(B1510,Mitarbeiter!$A$6:$A$205,0)),0))</f>
        <v/>
      </c>
      <c r="H1510" s="8">
        <f>IF(B1510="","",IF(ISNA(MATCH(B1510,Mitarbeiter!$A$6:$A$205,0)),"Pers.-Nr. unbekannt",IF(A1510="","Datum fehlt",IF(AND(D1510&lt;&gt;Einstellungen!$C$4,D1510&lt;&gt;Einstellungen!$C$5),"Objekt fehlt",IF(YEAR(A1510)&lt;&gt;Einstellungen!$C$3,"anderes Jahr",IF(A1510&lt;INDEX(Mitarbeiter!$C$6:$C$205,MATCH(B1510,Mitarbeiter!$A$6:$A$205,0)),"vor Eintritt",IF(AND(INDEX(Mitarbeiter!$D$6:$D$205,MATCH(B1510,Mitarbeiter!$A$6:$A$205,0))&lt;&gt;"",A1510&gt;INDEX(Mitarbeiter!$D$6:$D$205,MATCH(B1510,Mitarbeiter!$A$6:$A$205,0))),"nach Austritt","ok")))))))</f>
        <v/>
      </c>
    </row>
    <row r="1511">
      <c r="A1511" s="26" t="n"/>
      <c r="B1511" s="24" t="n"/>
      <c r="C1511" s="40">
        <f>IF(B1511="","",IFERROR(INDEX(Mitarbeiter!$B$6:$B$205,MATCH(B1511,Mitarbeiter!$A$6:$A$205,0)),"?"))</f>
        <v/>
      </c>
      <c r="D1511" s="41" t="n"/>
      <c r="E1511" s="42" t="n"/>
      <c r="F1511" s="43" t="n"/>
      <c r="G1511" s="44">
        <f>IF(OR(B1511="",F1511=""),"",IFERROR(F1511*INDEX(Mitarbeiter!$F$6:$F$205,MATCH(B1511,Mitarbeiter!$A$6:$A$205,0)),0))</f>
        <v/>
      </c>
      <c r="H1511" s="8">
        <f>IF(B1511="","",IF(ISNA(MATCH(B1511,Mitarbeiter!$A$6:$A$205,0)),"Pers.-Nr. unbekannt",IF(A1511="","Datum fehlt",IF(AND(D1511&lt;&gt;Einstellungen!$C$4,D1511&lt;&gt;Einstellungen!$C$5),"Objekt fehlt",IF(YEAR(A1511)&lt;&gt;Einstellungen!$C$3,"anderes Jahr",IF(A1511&lt;INDEX(Mitarbeiter!$C$6:$C$205,MATCH(B1511,Mitarbeiter!$A$6:$A$205,0)),"vor Eintritt",IF(AND(INDEX(Mitarbeiter!$D$6:$D$205,MATCH(B1511,Mitarbeiter!$A$6:$A$205,0))&lt;&gt;"",A1511&gt;INDEX(Mitarbeiter!$D$6:$D$205,MATCH(B1511,Mitarbeiter!$A$6:$A$205,0))),"nach Austritt","ok")))))))</f>
        <v/>
      </c>
    </row>
    <row r="1512">
      <c r="A1512" s="26" t="n"/>
      <c r="B1512" s="24" t="n"/>
      <c r="C1512" s="40">
        <f>IF(B1512="","",IFERROR(INDEX(Mitarbeiter!$B$6:$B$205,MATCH(B1512,Mitarbeiter!$A$6:$A$205,0)),"?"))</f>
        <v/>
      </c>
      <c r="D1512" s="41" t="n"/>
      <c r="E1512" s="42" t="n"/>
      <c r="F1512" s="43" t="n"/>
      <c r="G1512" s="44">
        <f>IF(OR(B1512="",F1512=""),"",IFERROR(F1512*INDEX(Mitarbeiter!$F$6:$F$205,MATCH(B1512,Mitarbeiter!$A$6:$A$205,0)),0))</f>
        <v/>
      </c>
      <c r="H1512" s="8">
        <f>IF(B1512="","",IF(ISNA(MATCH(B1512,Mitarbeiter!$A$6:$A$205,0)),"Pers.-Nr. unbekannt",IF(A1512="","Datum fehlt",IF(AND(D1512&lt;&gt;Einstellungen!$C$4,D1512&lt;&gt;Einstellungen!$C$5),"Objekt fehlt",IF(YEAR(A1512)&lt;&gt;Einstellungen!$C$3,"anderes Jahr",IF(A1512&lt;INDEX(Mitarbeiter!$C$6:$C$205,MATCH(B1512,Mitarbeiter!$A$6:$A$205,0)),"vor Eintritt",IF(AND(INDEX(Mitarbeiter!$D$6:$D$205,MATCH(B1512,Mitarbeiter!$A$6:$A$205,0))&lt;&gt;"",A1512&gt;INDEX(Mitarbeiter!$D$6:$D$205,MATCH(B1512,Mitarbeiter!$A$6:$A$205,0))),"nach Austritt","ok")))))))</f>
        <v/>
      </c>
    </row>
    <row r="1513">
      <c r="A1513" s="26" t="n"/>
      <c r="B1513" s="24" t="n"/>
      <c r="C1513" s="40">
        <f>IF(B1513="","",IFERROR(INDEX(Mitarbeiter!$B$6:$B$205,MATCH(B1513,Mitarbeiter!$A$6:$A$205,0)),"?"))</f>
        <v/>
      </c>
      <c r="D1513" s="41" t="n"/>
      <c r="E1513" s="42" t="n"/>
      <c r="F1513" s="43" t="n"/>
      <c r="G1513" s="44">
        <f>IF(OR(B1513="",F1513=""),"",IFERROR(F1513*INDEX(Mitarbeiter!$F$6:$F$205,MATCH(B1513,Mitarbeiter!$A$6:$A$205,0)),0))</f>
        <v/>
      </c>
      <c r="H1513" s="8">
        <f>IF(B1513="","",IF(ISNA(MATCH(B1513,Mitarbeiter!$A$6:$A$205,0)),"Pers.-Nr. unbekannt",IF(A1513="","Datum fehlt",IF(AND(D1513&lt;&gt;Einstellungen!$C$4,D1513&lt;&gt;Einstellungen!$C$5),"Objekt fehlt",IF(YEAR(A1513)&lt;&gt;Einstellungen!$C$3,"anderes Jahr",IF(A1513&lt;INDEX(Mitarbeiter!$C$6:$C$205,MATCH(B1513,Mitarbeiter!$A$6:$A$205,0)),"vor Eintritt",IF(AND(INDEX(Mitarbeiter!$D$6:$D$205,MATCH(B1513,Mitarbeiter!$A$6:$A$205,0))&lt;&gt;"",A1513&gt;INDEX(Mitarbeiter!$D$6:$D$205,MATCH(B1513,Mitarbeiter!$A$6:$A$205,0))),"nach Austritt","ok")))))))</f>
        <v/>
      </c>
    </row>
    <row r="1514">
      <c r="A1514" s="26" t="n"/>
      <c r="B1514" s="24" t="n"/>
      <c r="C1514" s="40">
        <f>IF(B1514="","",IFERROR(INDEX(Mitarbeiter!$B$6:$B$205,MATCH(B1514,Mitarbeiter!$A$6:$A$205,0)),"?"))</f>
        <v/>
      </c>
      <c r="D1514" s="41" t="n"/>
      <c r="E1514" s="42" t="n"/>
      <c r="F1514" s="43" t="n"/>
      <c r="G1514" s="44">
        <f>IF(OR(B1514="",F1514=""),"",IFERROR(F1514*INDEX(Mitarbeiter!$F$6:$F$205,MATCH(B1514,Mitarbeiter!$A$6:$A$205,0)),0))</f>
        <v/>
      </c>
      <c r="H1514" s="8">
        <f>IF(B1514="","",IF(ISNA(MATCH(B1514,Mitarbeiter!$A$6:$A$205,0)),"Pers.-Nr. unbekannt",IF(A1514="","Datum fehlt",IF(AND(D1514&lt;&gt;Einstellungen!$C$4,D1514&lt;&gt;Einstellungen!$C$5),"Objekt fehlt",IF(YEAR(A1514)&lt;&gt;Einstellungen!$C$3,"anderes Jahr",IF(A1514&lt;INDEX(Mitarbeiter!$C$6:$C$205,MATCH(B1514,Mitarbeiter!$A$6:$A$205,0)),"vor Eintritt",IF(AND(INDEX(Mitarbeiter!$D$6:$D$205,MATCH(B1514,Mitarbeiter!$A$6:$A$205,0))&lt;&gt;"",A1514&gt;INDEX(Mitarbeiter!$D$6:$D$205,MATCH(B1514,Mitarbeiter!$A$6:$A$205,0))),"nach Austritt","ok")))))))</f>
        <v/>
      </c>
    </row>
    <row r="1515">
      <c r="A1515" s="26" t="n"/>
      <c r="B1515" s="24" t="n"/>
      <c r="C1515" s="40">
        <f>IF(B1515="","",IFERROR(INDEX(Mitarbeiter!$B$6:$B$205,MATCH(B1515,Mitarbeiter!$A$6:$A$205,0)),"?"))</f>
        <v/>
      </c>
      <c r="D1515" s="41" t="n"/>
      <c r="E1515" s="42" t="n"/>
      <c r="F1515" s="43" t="n"/>
      <c r="G1515" s="44">
        <f>IF(OR(B1515="",F1515=""),"",IFERROR(F1515*INDEX(Mitarbeiter!$F$6:$F$205,MATCH(B1515,Mitarbeiter!$A$6:$A$205,0)),0))</f>
        <v/>
      </c>
      <c r="H1515" s="8">
        <f>IF(B1515="","",IF(ISNA(MATCH(B1515,Mitarbeiter!$A$6:$A$205,0)),"Pers.-Nr. unbekannt",IF(A1515="","Datum fehlt",IF(AND(D1515&lt;&gt;Einstellungen!$C$4,D1515&lt;&gt;Einstellungen!$C$5),"Objekt fehlt",IF(YEAR(A1515)&lt;&gt;Einstellungen!$C$3,"anderes Jahr",IF(A1515&lt;INDEX(Mitarbeiter!$C$6:$C$205,MATCH(B1515,Mitarbeiter!$A$6:$A$205,0)),"vor Eintritt",IF(AND(INDEX(Mitarbeiter!$D$6:$D$205,MATCH(B1515,Mitarbeiter!$A$6:$A$205,0))&lt;&gt;"",A1515&gt;INDEX(Mitarbeiter!$D$6:$D$205,MATCH(B1515,Mitarbeiter!$A$6:$A$205,0))),"nach Austritt","ok")))))))</f>
        <v/>
      </c>
    </row>
    <row r="1516">
      <c r="A1516" s="26" t="n"/>
      <c r="B1516" s="24" t="n"/>
      <c r="C1516" s="40">
        <f>IF(B1516="","",IFERROR(INDEX(Mitarbeiter!$B$6:$B$205,MATCH(B1516,Mitarbeiter!$A$6:$A$205,0)),"?"))</f>
        <v/>
      </c>
      <c r="D1516" s="41" t="n"/>
      <c r="E1516" s="42" t="n"/>
      <c r="F1516" s="43" t="n"/>
      <c r="G1516" s="44">
        <f>IF(OR(B1516="",F1516=""),"",IFERROR(F1516*INDEX(Mitarbeiter!$F$6:$F$205,MATCH(B1516,Mitarbeiter!$A$6:$A$205,0)),0))</f>
        <v/>
      </c>
      <c r="H1516" s="8">
        <f>IF(B1516="","",IF(ISNA(MATCH(B1516,Mitarbeiter!$A$6:$A$205,0)),"Pers.-Nr. unbekannt",IF(A1516="","Datum fehlt",IF(AND(D1516&lt;&gt;Einstellungen!$C$4,D1516&lt;&gt;Einstellungen!$C$5),"Objekt fehlt",IF(YEAR(A1516)&lt;&gt;Einstellungen!$C$3,"anderes Jahr",IF(A1516&lt;INDEX(Mitarbeiter!$C$6:$C$205,MATCH(B1516,Mitarbeiter!$A$6:$A$205,0)),"vor Eintritt",IF(AND(INDEX(Mitarbeiter!$D$6:$D$205,MATCH(B1516,Mitarbeiter!$A$6:$A$205,0))&lt;&gt;"",A1516&gt;INDEX(Mitarbeiter!$D$6:$D$205,MATCH(B1516,Mitarbeiter!$A$6:$A$205,0))),"nach Austritt","ok")))))))</f>
        <v/>
      </c>
    </row>
    <row r="1517">
      <c r="A1517" s="26" t="n"/>
      <c r="B1517" s="24" t="n"/>
      <c r="C1517" s="40">
        <f>IF(B1517="","",IFERROR(INDEX(Mitarbeiter!$B$6:$B$205,MATCH(B1517,Mitarbeiter!$A$6:$A$205,0)),"?"))</f>
        <v/>
      </c>
      <c r="D1517" s="41" t="n"/>
      <c r="E1517" s="42" t="n"/>
      <c r="F1517" s="43" t="n"/>
      <c r="G1517" s="44">
        <f>IF(OR(B1517="",F1517=""),"",IFERROR(F1517*INDEX(Mitarbeiter!$F$6:$F$205,MATCH(B1517,Mitarbeiter!$A$6:$A$205,0)),0))</f>
        <v/>
      </c>
      <c r="H1517" s="8">
        <f>IF(B1517="","",IF(ISNA(MATCH(B1517,Mitarbeiter!$A$6:$A$205,0)),"Pers.-Nr. unbekannt",IF(A1517="","Datum fehlt",IF(AND(D1517&lt;&gt;Einstellungen!$C$4,D1517&lt;&gt;Einstellungen!$C$5),"Objekt fehlt",IF(YEAR(A1517)&lt;&gt;Einstellungen!$C$3,"anderes Jahr",IF(A1517&lt;INDEX(Mitarbeiter!$C$6:$C$205,MATCH(B1517,Mitarbeiter!$A$6:$A$205,0)),"vor Eintritt",IF(AND(INDEX(Mitarbeiter!$D$6:$D$205,MATCH(B1517,Mitarbeiter!$A$6:$A$205,0))&lt;&gt;"",A1517&gt;INDEX(Mitarbeiter!$D$6:$D$205,MATCH(B1517,Mitarbeiter!$A$6:$A$205,0))),"nach Austritt","ok")))))))</f>
        <v/>
      </c>
    </row>
    <row r="1518">
      <c r="A1518" s="26" t="n"/>
      <c r="B1518" s="24" t="n"/>
      <c r="C1518" s="40">
        <f>IF(B1518="","",IFERROR(INDEX(Mitarbeiter!$B$6:$B$205,MATCH(B1518,Mitarbeiter!$A$6:$A$205,0)),"?"))</f>
        <v/>
      </c>
      <c r="D1518" s="41" t="n"/>
      <c r="E1518" s="42" t="n"/>
      <c r="F1518" s="43" t="n"/>
      <c r="G1518" s="44">
        <f>IF(OR(B1518="",F1518=""),"",IFERROR(F1518*INDEX(Mitarbeiter!$F$6:$F$205,MATCH(B1518,Mitarbeiter!$A$6:$A$205,0)),0))</f>
        <v/>
      </c>
      <c r="H1518" s="8">
        <f>IF(B1518="","",IF(ISNA(MATCH(B1518,Mitarbeiter!$A$6:$A$205,0)),"Pers.-Nr. unbekannt",IF(A1518="","Datum fehlt",IF(AND(D1518&lt;&gt;Einstellungen!$C$4,D1518&lt;&gt;Einstellungen!$C$5),"Objekt fehlt",IF(YEAR(A1518)&lt;&gt;Einstellungen!$C$3,"anderes Jahr",IF(A1518&lt;INDEX(Mitarbeiter!$C$6:$C$205,MATCH(B1518,Mitarbeiter!$A$6:$A$205,0)),"vor Eintritt",IF(AND(INDEX(Mitarbeiter!$D$6:$D$205,MATCH(B1518,Mitarbeiter!$A$6:$A$205,0))&lt;&gt;"",A1518&gt;INDEX(Mitarbeiter!$D$6:$D$205,MATCH(B1518,Mitarbeiter!$A$6:$A$205,0))),"nach Austritt","ok")))))))</f>
        <v/>
      </c>
    </row>
    <row r="1519">
      <c r="A1519" s="26" t="n"/>
      <c r="B1519" s="24" t="n"/>
      <c r="C1519" s="40">
        <f>IF(B1519="","",IFERROR(INDEX(Mitarbeiter!$B$6:$B$205,MATCH(B1519,Mitarbeiter!$A$6:$A$205,0)),"?"))</f>
        <v/>
      </c>
      <c r="D1519" s="41" t="n"/>
      <c r="E1519" s="42" t="n"/>
      <c r="F1519" s="43" t="n"/>
      <c r="G1519" s="44">
        <f>IF(OR(B1519="",F1519=""),"",IFERROR(F1519*INDEX(Mitarbeiter!$F$6:$F$205,MATCH(B1519,Mitarbeiter!$A$6:$A$205,0)),0))</f>
        <v/>
      </c>
      <c r="H1519" s="8">
        <f>IF(B1519="","",IF(ISNA(MATCH(B1519,Mitarbeiter!$A$6:$A$205,0)),"Pers.-Nr. unbekannt",IF(A1519="","Datum fehlt",IF(AND(D1519&lt;&gt;Einstellungen!$C$4,D1519&lt;&gt;Einstellungen!$C$5),"Objekt fehlt",IF(YEAR(A1519)&lt;&gt;Einstellungen!$C$3,"anderes Jahr",IF(A1519&lt;INDEX(Mitarbeiter!$C$6:$C$205,MATCH(B1519,Mitarbeiter!$A$6:$A$205,0)),"vor Eintritt",IF(AND(INDEX(Mitarbeiter!$D$6:$D$205,MATCH(B1519,Mitarbeiter!$A$6:$A$205,0))&lt;&gt;"",A1519&gt;INDEX(Mitarbeiter!$D$6:$D$205,MATCH(B1519,Mitarbeiter!$A$6:$A$205,0))),"nach Austritt","ok")))))))</f>
        <v/>
      </c>
    </row>
    <row r="1520">
      <c r="A1520" s="26" t="n"/>
      <c r="B1520" s="24" t="n"/>
      <c r="C1520" s="40">
        <f>IF(B1520="","",IFERROR(INDEX(Mitarbeiter!$B$6:$B$205,MATCH(B1520,Mitarbeiter!$A$6:$A$205,0)),"?"))</f>
        <v/>
      </c>
      <c r="D1520" s="41" t="n"/>
      <c r="E1520" s="42" t="n"/>
      <c r="F1520" s="43" t="n"/>
      <c r="G1520" s="44">
        <f>IF(OR(B1520="",F1520=""),"",IFERROR(F1520*INDEX(Mitarbeiter!$F$6:$F$205,MATCH(B1520,Mitarbeiter!$A$6:$A$205,0)),0))</f>
        <v/>
      </c>
      <c r="H1520" s="8">
        <f>IF(B1520="","",IF(ISNA(MATCH(B1520,Mitarbeiter!$A$6:$A$205,0)),"Pers.-Nr. unbekannt",IF(A1520="","Datum fehlt",IF(AND(D1520&lt;&gt;Einstellungen!$C$4,D1520&lt;&gt;Einstellungen!$C$5),"Objekt fehlt",IF(YEAR(A1520)&lt;&gt;Einstellungen!$C$3,"anderes Jahr",IF(A1520&lt;INDEX(Mitarbeiter!$C$6:$C$205,MATCH(B1520,Mitarbeiter!$A$6:$A$205,0)),"vor Eintritt",IF(AND(INDEX(Mitarbeiter!$D$6:$D$205,MATCH(B1520,Mitarbeiter!$A$6:$A$205,0))&lt;&gt;"",A1520&gt;INDEX(Mitarbeiter!$D$6:$D$205,MATCH(B1520,Mitarbeiter!$A$6:$A$205,0))),"nach Austritt","ok")))))))</f>
        <v/>
      </c>
    </row>
    <row r="1521">
      <c r="A1521" s="26" t="n"/>
      <c r="B1521" s="24" t="n"/>
      <c r="C1521" s="40">
        <f>IF(B1521="","",IFERROR(INDEX(Mitarbeiter!$B$6:$B$205,MATCH(B1521,Mitarbeiter!$A$6:$A$205,0)),"?"))</f>
        <v/>
      </c>
      <c r="D1521" s="41" t="n"/>
      <c r="E1521" s="42" t="n"/>
      <c r="F1521" s="43" t="n"/>
      <c r="G1521" s="44">
        <f>IF(OR(B1521="",F1521=""),"",IFERROR(F1521*INDEX(Mitarbeiter!$F$6:$F$205,MATCH(B1521,Mitarbeiter!$A$6:$A$205,0)),0))</f>
        <v/>
      </c>
      <c r="H1521" s="8">
        <f>IF(B1521="","",IF(ISNA(MATCH(B1521,Mitarbeiter!$A$6:$A$205,0)),"Pers.-Nr. unbekannt",IF(A1521="","Datum fehlt",IF(AND(D1521&lt;&gt;Einstellungen!$C$4,D1521&lt;&gt;Einstellungen!$C$5),"Objekt fehlt",IF(YEAR(A1521)&lt;&gt;Einstellungen!$C$3,"anderes Jahr",IF(A1521&lt;INDEX(Mitarbeiter!$C$6:$C$205,MATCH(B1521,Mitarbeiter!$A$6:$A$205,0)),"vor Eintritt",IF(AND(INDEX(Mitarbeiter!$D$6:$D$205,MATCH(B1521,Mitarbeiter!$A$6:$A$205,0))&lt;&gt;"",A1521&gt;INDEX(Mitarbeiter!$D$6:$D$205,MATCH(B1521,Mitarbeiter!$A$6:$A$205,0))),"nach Austritt","ok")))))))</f>
        <v/>
      </c>
    </row>
    <row r="1522">
      <c r="A1522" s="26" t="n"/>
      <c r="B1522" s="24" t="n"/>
      <c r="C1522" s="40">
        <f>IF(B1522="","",IFERROR(INDEX(Mitarbeiter!$B$6:$B$205,MATCH(B1522,Mitarbeiter!$A$6:$A$205,0)),"?"))</f>
        <v/>
      </c>
      <c r="D1522" s="41" t="n"/>
      <c r="E1522" s="42" t="n"/>
      <c r="F1522" s="43" t="n"/>
      <c r="G1522" s="44">
        <f>IF(OR(B1522="",F1522=""),"",IFERROR(F1522*INDEX(Mitarbeiter!$F$6:$F$205,MATCH(B1522,Mitarbeiter!$A$6:$A$205,0)),0))</f>
        <v/>
      </c>
      <c r="H1522" s="8">
        <f>IF(B1522="","",IF(ISNA(MATCH(B1522,Mitarbeiter!$A$6:$A$205,0)),"Pers.-Nr. unbekannt",IF(A1522="","Datum fehlt",IF(AND(D1522&lt;&gt;Einstellungen!$C$4,D1522&lt;&gt;Einstellungen!$C$5),"Objekt fehlt",IF(YEAR(A1522)&lt;&gt;Einstellungen!$C$3,"anderes Jahr",IF(A1522&lt;INDEX(Mitarbeiter!$C$6:$C$205,MATCH(B1522,Mitarbeiter!$A$6:$A$205,0)),"vor Eintritt",IF(AND(INDEX(Mitarbeiter!$D$6:$D$205,MATCH(B1522,Mitarbeiter!$A$6:$A$205,0))&lt;&gt;"",A1522&gt;INDEX(Mitarbeiter!$D$6:$D$205,MATCH(B1522,Mitarbeiter!$A$6:$A$205,0))),"nach Austritt","ok")))))))</f>
        <v/>
      </c>
    </row>
    <row r="1523">
      <c r="A1523" s="26" t="n"/>
      <c r="B1523" s="24" t="n"/>
      <c r="C1523" s="40">
        <f>IF(B1523="","",IFERROR(INDEX(Mitarbeiter!$B$6:$B$205,MATCH(B1523,Mitarbeiter!$A$6:$A$205,0)),"?"))</f>
        <v/>
      </c>
      <c r="D1523" s="41" t="n"/>
      <c r="E1523" s="42" t="n"/>
      <c r="F1523" s="43" t="n"/>
      <c r="G1523" s="44">
        <f>IF(OR(B1523="",F1523=""),"",IFERROR(F1523*INDEX(Mitarbeiter!$F$6:$F$205,MATCH(B1523,Mitarbeiter!$A$6:$A$205,0)),0))</f>
        <v/>
      </c>
      <c r="H1523" s="8">
        <f>IF(B1523="","",IF(ISNA(MATCH(B1523,Mitarbeiter!$A$6:$A$205,0)),"Pers.-Nr. unbekannt",IF(A1523="","Datum fehlt",IF(AND(D1523&lt;&gt;Einstellungen!$C$4,D1523&lt;&gt;Einstellungen!$C$5),"Objekt fehlt",IF(YEAR(A1523)&lt;&gt;Einstellungen!$C$3,"anderes Jahr",IF(A1523&lt;INDEX(Mitarbeiter!$C$6:$C$205,MATCH(B1523,Mitarbeiter!$A$6:$A$205,0)),"vor Eintritt",IF(AND(INDEX(Mitarbeiter!$D$6:$D$205,MATCH(B1523,Mitarbeiter!$A$6:$A$205,0))&lt;&gt;"",A1523&gt;INDEX(Mitarbeiter!$D$6:$D$205,MATCH(B1523,Mitarbeiter!$A$6:$A$205,0))),"nach Austritt","ok")))))))</f>
        <v/>
      </c>
    </row>
    <row r="1524">
      <c r="A1524" s="26" t="n"/>
      <c r="B1524" s="24" t="n"/>
      <c r="C1524" s="40">
        <f>IF(B1524="","",IFERROR(INDEX(Mitarbeiter!$B$6:$B$205,MATCH(B1524,Mitarbeiter!$A$6:$A$205,0)),"?"))</f>
        <v/>
      </c>
      <c r="D1524" s="41" t="n"/>
      <c r="E1524" s="42" t="n"/>
      <c r="F1524" s="43" t="n"/>
      <c r="G1524" s="44">
        <f>IF(OR(B1524="",F1524=""),"",IFERROR(F1524*INDEX(Mitarbeiter!$F$6:$F$205,MATCH(B1524,Mitarbeiter!$A$6:$A$205,0)),0))</f>
        <v/>
      </c>
      <c r="H1524" s="8">
        <f>IF(B1524="","",IF(ISNA(MATCH(B1524,Mitarbeiter!$A$6:$A$205,0)),"Pers.-Nr. unbekannt",IF(A1524="","Datum fehlt",IF(AND(D1524&lt;&gt;Einstellungen!$C$4,D1524&lt;&gt;Einstellungen!$C$5),"Objekt fehlt",IF(YEAR(A1524)&lt;&gt;Einstellungen!$C$3,"anderes Jahr",IF(A1524&lt;INDEX(Mitarbeiter!$C$6:$C$205,MATCH(B1524,Mitarbeiter!$A$6:$A$205,0)),"vor Eintritt",IF(AND(INDEX(Mitarbeiter!$D$6:$D$205,MATCH(B1524,Mitarbeiter!$A$6:$A$205,0))&lt;&gt;"",A1524&gt;INDEX(Mitarbeiter!$D$6:$D$205,MATCH(B1524,Mitarbeiter!$A$6:$A$205,0))),"nach Austritt","ok")))))))</f>
        <v/>
      </c>
    </row>
    <row r="1525">
      <c r="A1525" s="26" t="n"/>
      <c r="B1525" s="24" t="n"/>
      <c r="C1525" s="40">
        <f>IF(B1525="","",IFERROR(INDEX(Mitarbeiter!$B$6:$B$205,MATCH(B1525,Mitarbeiter!$A$6:$A$205,0)),"?"))</f>
        <v/>
      </c>
      <c r="D1525" s="41" t="n"/>
      <c r="E1525" s="42" t="n"/>
      <c r="F1525" s="43" t="n"/>
      <c r="G1525" s="44">
        <f>IF(OR(B1525="",F1525=""),"",IFERROR(F1525*INDEX(Mitarbeiter!$F$6:$F$205,MATCH(B1525,Mitarbeiter!$A$6:$A$205,0)),0))</f>
        <v/>
      </c>
      <c r="H1525" s="8">
        <f>IF(B1525="","",IF(ISNA(MATCH(B1525,Mitarbeiter!$A$6:$A$205,0)),"Pers.-Nr. unbekannt",IF(A1525="","Datum fehlt",IF(AND(D1525&lt;&gt;Einstellungen!$C$4,D1525&lt;&gt;Einstellungen!$C$5),"Objekt fehlt",IF(YEAR(A1525)&lt;&gt;Einstellungen!$C$3,"anderes Jahr",IF(A1525&lt;INDEX(Mitarbeiter!$C$6:$C$205,MATCH(B1525,Mitarbeiter!$A$6:$A$205,0)),"vor Eintritt",IF(AND(INDEX(Mitarbeiter!$D$6:$D$205,MATCH(B1525,Mitarbeiter!$A$6:$A$205,0))&lt;&gt;"",A1525&gt;INDEX(Mitarbeiter!$D$6:$D$205,MATCH(B1525,Mitarbeiter!$A$6:$A$205,0))),"nach Austritt","ok")))))))</f>
        <v/>
      </c>
    </row>
    <row r="1526">
      <c r="A1526" s="26" t="n"/>
      <c r="B1526" s="24" t="n"/>
      <c r="C1526" s="40">
        <f>IF(B1526="","",IFERROR(INDEX(Mitarbeiter!$B$6:$B$205,MATCH(B1526,Mitarbeiter!$A$6:$A$205,0)),"?"))</f>
        <v/>
      </c>
      <c r="D1526" s="41" t="n"/>
      <c r="E1526" s="42" t="n"/>
      <c r="F1526" s="43" t="n"/>
      <c r="G1526" s="44">
        <f>IF(OR(B1526="",F1526=""),"",IFERROR(F1526*INDEX(Mitarbeiter!$F$6:$F$205,MATCH(B1526,Mitarbeiter!$A$6:$A$205,0)),0))</f>
        <v/>
      </c>
      <c r="H1526" s="8">
        <f>IF(B1526="","",IF(ISNA(MATCH(B1526,Mitarbeiter!$A$6:$A$205,0)),"Pers.-Nr. unbekannt",IF(A1526="","Datum fehlt",IF(AND(D1526&lt;&gt;Einstellungen!$C$4,D1526&lt;&gt;Einstellungen!$C$5),"Objekt fehlt",IF(YEAR(A1526)&lt;&gt;Einstellungen!$C$3,"anderes Jahr",IF(A1526&lt;INDEX(Mitarbeiter!$C$6:$C$205,MATCH(B1526,Mitarbeiter!$A$6:$A$205,0)),"vor Eintritt",IF(AND(INDEX(Mitarbeiter!$D$6:$D$205,MATCH(B1526,Mitarbeiter!$A$6:$A$205,0))&lt;&gt;"",A1526&gt;INDEX(Mitarbeiter!$D$6:$D$205,MATCH(B1526,Mitarbeiter!$A$6:$A$205,0))),"nach Austritt","ok")))))))</f>
        <v/>
      </c>
    </row>
    <row r="1527">
      <c r="A1527" s="26" t="n"/>
      <c r="B1527" s="24" t="n"/>
      <c r="C1527" s="40">
        <f>IF(B1527="","",IFERROR(INDEX(Mitarbeiter!$B$6:$B$205,MATCH(B1527,Mitarbeiter!$A$6:$A$205,0)),"?"))</f>
        <v/>
      </c>
      <c r="D1527" s="41" t="n"/>
      <c r="E1527" s="42" t="n"/>
      <c r="F1527" s="43" t="n"/>
      <c r="G1527" s="44">
        <f>IF(OR(B1527="",F1527=""),"",IFERROR(F1527*INDEX(Mitarbeiter!$F$6:$F$205,MATCH(B1527,Mitarbeiter!$A$6:$A$205,0)),0))</f>
        <v/>
      </c>
      <c r="H1527" s="8">
        <f>IF(B1527="","",IF(ISNA(MATCH(B1527,Mitarbeiter!$A$6:$A$205,0)),"Pers.-Nr. unbekannt",IF(A1527="","Datum fehlt",IF(AND(D1527&lt;&gt;Einstellungen!$C$4,D1527&lt;&gt;Einstellungen!$C$5),"Objekt fehlt",IF(YEAR(A1527)&lt;&gt;Einstellungen!$C$3,"anderes Jahr",IF(A1527&lt;INDEX(Mitarbeiter!$C$6:$C$205,MATCH(B1527,Mitarbeiter!$A$6:$A$205,0)),"vor Eintritt",IF(AND(INDEX(Mitarbeiter!$D$6:$D$205,MATCH(B1527,Mitarbeiter!$A$6:$A$205,0))&lt;&gt;"",A1527&gt;INDEX(Mitarbeiter!$D$6:$D$205,MATCH(B1527,Mitarbeiter!$A$6:$A$205,0))),"nach Austritt","ok")))))))</f>
        <v/>
      </c>
    </row>
    <row r="1528">
      <c r="A1528" s="26" t="n"/>
      <c r="B1528" s="24" t="n"/>
      <c r="C1528" s="40">
        <f>IF(B1528="","",IFERROR(INDEX(Mitarbeiter!$B$6:$B$205,MATCH(B1528,Mitarbeiter!$A$6:$A$205,0)),"?"))</f>
        <v/>
      </c>
      <c r="D1528" s="41" t="n"/>
      <c r="E1528" s="42" t="n"/>
      <c r="F1528" s="43" t="n"/>
      <c r="G1528" s="44">
        <f>IF(OR(B1528="",F1528=""),"",IFERROR(F1528*INDEX(Mitarbeiter!$F$6:$F$205,MATCH(B1528,Mitarbeiter!$A$6:$A$205,0)),0))</f>
        <v/>
      </c>
      <c r="H1528" s="8">
        <f>IF(B1528="","",IF(ISNA(MATCH(B1528,Mitarbeiter!$A$6:$A$205,0)),"Pers.-Nr. unbekannt",IF(A1528="","Datum fehlt",IF(AND(D1528&lt;&gt;Einstellungen!$C$4,D1528&lt;&gt;Einstellungen!$C$5),"Objekt fehlt",IF(YEAR(A1528)&lt;&gt;Einstellungen!$C$3,"anderes Jahr",IF(A1528&lt;INDEX(Mitarbeiter!$C$6:$C$205,MATCH(B1528,Mitarbeiter!$A$6:$A$205,0)),"vor Eintritt",IF(AND(INDEX(Mitarbeiter!$D$6:$D$205,MATCH(B1528,Mitarbeiter!$A$6:$A$205,0))&lt;&gt;"",A1528&gt;INDEX(Mitarbeiter!$D$6:$D$205,MATCH(B1528,Mitarbeiter!$A$6:$A$205,0))),"nach Austritt","ok")))))))</f>
        <v/>
      </c>
    </row>
    <row r="1529">
      <c r="A1529" s="26" t="n"/>
      <c r="B1529" s="24" t="n"/>
      <c r="C1529" s="40">
        <f>IF(B1529="","",IFERROR(INDEX(Mitarbeiter!$B$6:$B$205,MATCH(B1529,Mitarbeiter!$A$6:$A$205,0)),"?"))</f>
        <v/>
      </c>
      <c r="D1529" s="41" t="n"/>
      <c r="E1529" s="42" t="n"/>
      <c r="F1529" s="43" t="n"/>
      <c r="G1529" s="44">
        <f>IF(OR(B1529="",F1529=""),"",IFERROR(F1529*INDEX(Mitarbeiter!$F$6:$F$205,MATCH(B1529,Mitarbeiter!$A$6:$A$205,0)),0))</f>
        <v/>
      </c>
      <c r="H1529" s="8">
        <f>IF(B1529="","",IF(ISNA(MATCH(B1529,Mitarbeiter!$A$6:$A$205,0)),"Pers.-Nr. unbekannt",IF(A1529="","Datum fehlt",IF(AND(D1529&lt;&gt;Einstellungen!$C$4,D1529&lt;&gt;Einstellungen!$C$5),"Objekt fehlt",IF(YEAR(A1529)&lt;&gt;Einstellungen!$C$3,"anderes Jahr",IF(A1529&lt;INDEX(Mitarbeiter!$C$6:$C$205,MATCH(B1529,Mitarbeiter!$A$6:$A$205,0)),"vor Eintritt",IF(AND(INDEX(Mitarbeiter!$D$6:$D$205,MATCH(B1529,Mitarbeiter!$A$6:$A$205,0))&lt;&gt;"",A1529&gt;INDEX(Mitarbeiter!$D$6:$D$205,MATCH(B1529,Mitarbeiter!$A$6:$A$205,0))),"nach Austritt","ok")))))))</f>
        <v/>
      </c>
    </row>
    <row r="1530">
      <c r="A1530" s="26" t="n"/>
      <c r="B1530" s="24" t="n"/>
      <c r="C1530" s="40">
        <f>IF(B1530="","",IFERROR(INDEX(Mitarbeiter!$B$6:$B$205,MATCH(B1530,Mitarbeiter!$A$6:$A$205,0)),"?"))</f>
        <v/>
      </c>
      <c r="D1530" s="41" t="n"/>
      <c r="E1530" s="42" t="n"/>
      <c r="F1530" s="43" t="n"/>
      <c r="G1530" s="44">
        <f>IF(OR(B1530="",F1530=""),"",IFERROR(F1530*INDEX(Mitarbeiter!$F$6:$F$205,MATCH(B1530,Mitarbeiter!$A$6:$A$205,0)),0))</f>
        <v/>
      </c>
      <c r="H1530" s="8">
        <f>IF(B1530="","",IF(ISNA(MATCH(B1530,Mitarbeiter!$A$6:$A$205,0)),"Pers.-Nr. unbekannt",IF(A1530="","Datum fehlt",IF(AND(D1530&lt;&gt;Einstellungen!$C$4,D1530&lt;&gt;Einstellungen!$C$5),"Objekt fehlt",IF(YEAR(A1530)&lt;&gt;Einstellungen!$C$3,"anderes Jahr",IF(A1530&lt;INDEX(Mitarbeiter!$C$6:$C$205,MATCH(B1530,Mitarbeiter!$A$6:$A$205,0)),"vor Eintritt",IF(AND(INDEX(Mitarbeiter!$D$6:$D$205,MATCH(B1530,Mitarbeiter!$A$6:$A$205,0))&lt;&gt;"",A1530&gt;INDEX(Mitarbeiter!$D$6:$D$205,MATCH(B1530,Mitarbeiter!$A$6:$A$205,0))),"nach Austritt","ok")))))))</f>
        <v/>
      </c>
    </row>
    <row r="1531">
      <c r="A1531" s="26" t="n"/>
      <c r="B1531" s="24" t="n"/>
      <c r="C1531" s="40">
        <f>IF(B1531="","",IFERROR(INDEX(Mitarbeiter!$B$6:$B$205,MATCH(B1531,Mitarbeiter!$A$6:$A$205,0)),"?"))</f>
        <v/>
      </c>
      <c r="D1531" s="41" t="n"/>
      <c r="E1531" s="42" t="n"/>
      <c r="F1531" s="43" t="n"/>
      <c r="G1531" s="44">
        <f>IF(OR(B1531="",F1531=""),"",IFERROR(F1531*INDEX(Mitarbeiter!$F$6:$F$205,MATCH(B1531,Mitarbeiter!$A$6:$A$205,0)),0))</f>
        <v/>
      </c>
      <c r="H1531" s="8">
        <f>IF(B1531="","",IF(ISNA(MATCH(B1531,Mitarbeiter!$A$6:$A$205,0)),"Pers.-Nr. unbekannt",IF(A1531="","Datum fehlt",IF(AND(D1531&lt;&gt;Einstellungen!$C$4,D1531&lt;&gt;Einstellungen!$C$5),"Objekt fehlt",IF(YEAR(A1531)&lt;&gt;Einstellungen!$C$3,"anderes Jahr",IF(A1531&lt;INDEX(Mitarbeiter!$C$6:$C$205,MATCH(B1531,Mitarbeiter!$A$6:$A$205,0)),"vor Eintritt",IF(AND(INDEX(Mitarbeiter!$D$6:$D$205,MATCH(B1531,Mitarbeiter!$A$6:$A$205,0))&lt;&gt;"",A1531&gt;INDEX(Mitarbeiter!$D$6:$D$205,MATCH(B1531,Mitarbeiter!$A$6:$A$205,0))),"nach Austritt","ok")))))))</f>
        <v/>
      </c>
    </row>
    <row r="1532">
      <c r="A1532" s="26" t="n"/>
      <c r="B1532" s="24" t="n"/>
      <c r="C1532" s="40">
        <f>IF(B1532="","",IFERROR(INDEX(Mitarbeiter!$B$6:$B$205,MATCH(B1532,Mitarbeiter!$A$6:$A$205,0)),"?"))</f>
        <v/>
      </c>
      <c r="D1532" s="41" t="n"/>
      <c r="E1532" s="42" t="n"/>
      <c r="F1532" s="43" t="n"/>
      <c r="G1532" s="44">
        <f>IF(OR(B1532="",F1532=""),"",IFERROR(F1532*INDEX(Mitarbeiter!$F$6:$F$205,MATCH(B1532,Mitarbeiter!$A$6:$A$205,0)),0))</f>
        <v/>
      </c>
      <c r="H1532" s="8">
        <f>IF(B1532="","",IF(ISNA(MATCH(B1532,Mitarbeiter!$A$6:$A$205,0)),"Pers.-Nr. unbekannt",IF(A1532="","Datum fehlt",IF(AND(D1532&lt;&gt;Einstellungen!$C$4,D1532&lt;&gt;Einstellungen!$C$5),"Objekt fehlt",IF(YEAR(A1532)&lt;&gt;Einstellungen!$C$3,"anderes Jahr",IF(A1532&lt;INDEX(Mitarbeiter!$C$6:$C$205,MATCH(B1532,Mitarbeiter!$A$6:$A$205,0)),"vor Eintritt",IF(AND(INDEX(Mitarbeiter!$D$6:$D$205,MATCH(B1532,Mitarbeiter!$A$6:$A$205,0))&lt;&gt;"",A1532&gt;INDEX(Mitarbeiter!$D$6:$D$205,MATCH(B1532,Mitarbeiter!$A$6:$A$205,0))),"nach Austritt","ok")))))))</f>
        <v/>
      </c>
    </row>
    <row r="1533">
      <c r="A1533" s="26" t="n"/>
      <c r="B1533" s="24" t="n"/>
      <c r="C1533" s="40">
        <f>IF(B1533="","",IFERROR(INDEX(Mitarbeiter!$B$6:$B$205,MATCH(B1533,Mitarbeiter!$A$6:$A$205,0)),"?"))</f>
        <v/>
      </c>
      <c r="D1533" s="41" t="n"/>
      <c r="E1533" s="42" t="n"/>
      <c r="F1533" s="43" t="n"/>
      <c r="G1533" s="44">
        <f>IF(OR(B1533="",F1533=""),"",IFERROR(F1533*INDEX(Mitarbeiter!$F$6:$F$205,MATCH(B1533,Mitarbeiter!$A$6:$A$205,0)),0))</f>
        <v/>
      </c>
      <c r="H1533" s="8">
        <f>IF(B1533="","",IF(ISNA(MATCH(B1533,Mitarbeiter!$A$6:$A$205,0)),"Pers.-Nr. unbekannt",IF(A1533="","Datum fehlt",IF(AND(D1533&lt;&gt;Einstellungen!$C$4,D1533&lt;&gt;Einstellungen!$C$5),"Objekt fehlt",IF(YEAR(A1533)&lt;&gt;Einstellungen!$C$3,"anderes Jahr",IF(A1533&lt;INDEX(Mitarbeiter!$C$6:$C$205,MATCH(B1533,Mitarbeiter!$A$6:$A$205,0)),"vor Eintritt",IF(AND(INDEX(Mitarbeiter!$D$6:$D$205,MATCH(B1533,Mitarbeiter!$A$6:$A$205,0))&lt;&gt;"",A1533&gt;INDEX(Mitarbeiter!$D$6:$D$205,MATCH(B1533,Mitarbeiter!$A$6:$A$205,0))),"nach Austritt","ok")))))))</f>
        <v/>
      </c>
    </row>
    <row r="1534">
      <c r="A1534" s="26" t="n"/>
      <c r="B1534" s="24" t="n"/>
      <c r="C1534" s="40">
        <f>IF(B1534="","",IFERROR(INDEX(Mitarbeiter!$B$6:$B$205,MATCH(B1534,Mitarbeiter!$A$6:$A$205,0)),"?"))</f>
        <v/>
      </c>
      <c r="D1534" s="41" t="n"/>
      <c r="E1534" s="42" t="n"/>
      <c r="F1534" s="43" t="n"/>
      <c r="G1534" s="44">
        <f>IF(OR(B1534="",F1534=""),"",IFERROR(F1534*INDEX(Mitarbeiter!$F$6:$F$205,MATCH(B1534,Mitarbeiter!$A$6:$A$205,0)),0))</f>
        <v/>
      </c>
      <c r="H1534" s="8">
        <f>IF(B1534="","",IF(ISNA(MATCH(B1534,Mitarbeiter!$A$6:$A$205,0)),"Pers.-Nr. unbekannt",IF(A1534="","Datum fehlt",IF(AND(D1534&lt;&gt;Einstellungen!$C$4,D1534&lt;&gt;Einstellungen!$C$5),"Objekt fehlt",IF(YEAR(A1534)&lt;&gt;Einstellungen!$C$3,"anderes Jahr",IF(A1534&lt;INDEX(Mitarbeiter!$C$6:$C$205,MATCH(B1534,Mitarbeiter!$A$6:$A$205,0)),"vor Eintritt",IF(AND(INDEX(Mitarbeiter!$D$6:$D$205,MATCH(B1534,Mitarbeiter!$A$6:$A$205,0))&lt;&gt;"",A1534&gt;INDEX(Mitarbeiter!$D$6:$D$205,MATCH(B1534,Mitarbeiter!$A$6:$A$205,0))),"nach Austritt","ok")))))))</f>
        <v/>
      </c>
    </row>
    <row r="1535">
      <c r="A1535" s="26" t="n"/>
      <c r="B1535" s="24" t="n"/>
      <c r="C1535" s="40">
        <f>IF(B1535="","",IFERROR(INDEX(Mitarbeiter!$B$6:$B$205,MATCH(B1535,Mitarbeiter!$A$6:$A$205,0)),"?"))</f>
        <v/>
      </c>
      <c r="D1535" s="41" t="n"/>
      <c r="E1535" s="42" t="n"/>
      <c r="F1535" s="43" t="n"/>
      <c r="G1535" s="44">
        <f>IF(OR(B1535="",F1535=""),"",IFERROR(F1535*INDEX(Mitarbeiter!$F$6:$F$205,MATCH(B1535,Mitarbeiter!$A$6:$A$205,0)),0))</f>
        <v/>
      </c>
      <c r="H1535" s="8">
        <f>IF(B1535="","",IF(ISNA(MATCH(B1535,Mitarbeiter!$A$6:$A$205,0)),"Pers.-Nr. unbekannt",IF(A1535="","Datum fehlt",IF(AND(D1535&lt;&gt;Einstellungen!$C$4,D1535&lt;&gt;Einstellungen!$C$5),"Objekt fehlt",IF(YEAR(A1535)&lt;&gt;Einstellungen!$C$3,"anderes Jahr",IF(A1535&lt;INDEX(Mitarbeiter!$C$6:$C$205,MATCH(B1535,Mitarbeiter!$A$6:$A$205,0)),"vor Eintritt",IF(AND(INDEX(Mitarbeiter!$D$6:$D$205,MATCH(B1535,Mitarbeiter!$A$6:$A$205,0))&lt;&gt;"",A1535&gt;INDEX(Mitarbeiter!$D$6:$D$205,MATCH(B1535,Mitarbeiter!$A$6:$A$205,0))),"nach Austritt","ok")))))))</f>
        <v/>
      </c>
    </row>
    <row r="1536">
      <c r="A1536" s="26" t="n"/>
      <c r="B1536" s="24" t="n"/>
      <c r="C1536" s="40">
        <f>IF(B1536="","",IFERROR(INDEX(Mitarbeiter!$B$6:$B$205,MATCH(B1536,Mitarbeiter!$A$6:$A$205,0)),"?"))</f>
        <v/>
      </c>
      <c r="D1536" s="41" t="n"/>
      <c r="E1536" s="42" t="n"/>
      <c r="F1536" s="43" t="n"/>
      <c r="G1536" s="44">
        <f>IF(OR(B1536="",F1536=""),"",IFERROR(F1536*INDEX(Mitarbeiter!$F$6:$F$205,MATCH(B1536,Mitarbeiter!$A$6:$A$205,0)),0))</f>
        <v/>
      </c>
      <c r="H1536" s="8">
        <f>IF(B1536="","",IF(ISNA(MATCH(B1536,Mitarbeiter!$A$6:$A$205,0)),"Pers.-Nr. unbekannt",IF(A1536="","Datum fehlt",IF(AND(D1536&lt;&gt;Einstellungen!$C$4,D1536&lt;&gt;Einstellungen!$C$5),"Objekt fehlt",IF(YEAR(A1536)&lt;&gt;Einstellungen!$C$3,"anderes Jahr",IF(A1536&lt;INDEX(Mitarbeiter!$C$6:$C$205,MATCH(B1536,Mitarbeiter!$A$6:$A$205,0)),"vor Eintritt",IF(AND(INDEX(Mitarbeiter!$D$6:$D$205,MATCH(B1536,Mitarbeiter!$A$6:$A$205,0))&lt;&gt;"",A1536&gt;INDEX(Mitarbeiter!$D$6:$D$205,MATCH(B1536,Mitarbeiter!$A$6:$A$205,0))),"nach Austritt","ok")))))))</f>
        <v/>
      </c>
    </row>
    <row r="1537">
      <c r="A1537" s="26" t="n"/>
      <c r="B1537" s="24" t="n"/>
      <c r="C1537" s="40">
        <f>IF(B1537="","",IFERROR(INDEX(Mitarbeiter!$B$6:$B$205,MATCH(B1537,Mitarbeiter!$A$6:$A$205,0)),"?"))</f>
        <v/>
      </c>
      <c r="D1537" s="41" t="n"/>
      <c r="E1537" s="42" t="n"/>
      <c r="F1537" s="43" t="n"/>
      <c r="G1537" s="44">
        <f>IF(OR(B1537="",F1537=""),"",IFERROR(F1537*INDEX(Mitarbeiter!$F$6:$F$205,MATCH(B1537,Mitarbeiter!$A$6:$A$205,0)),0))</f>
        <v/>
      </c>
      <c r="H1537" s="8">
        <f>IF(B1537="","",IF(ISNA(MATCH(B1537,Mitarbeiter!$A$6:$A$205,0)),"Pers.-Nr. unbekannt",IF(A1537="","Datum fehlt",IF(AND(D1537&lt;&gt;Einstellungen!$C$4,D1537&lt;&gt;Einstellungen!$C$5),"Objekt fehlt",IF(YEAR(A1537)&lt;&gt;Einstellungen!$C$3,"anderes Jahr",IF(A1537&lt;INDEX(Mitarbeiter!$C$6:$C$205,MATCH(B1537,Mitarbeiter!$A$6:$A$205,0)),"vor Eintritt",IF(AND(INDEX(Mitarbeiter!$D$6:$D$205,MATCH(B1537,Mitarbeiter!$A$6:$A$205,0))&lt;&gt;"",A1537&gt;INDEX(Mitarbeiter!$D$6:$D$205,MATCH(B1537,Mitarbeiter!$A$6:$A$205,0))),"nach Austritt","ok")))))))</f>
        <v/>
      </c>
    </row>
    <row r="1538">
      <c r="A1538" s="26" t="n"/>
      <c r="B1538" s="24" t="n"/>
      <c r="C1538" s="40">
        <f>IF(B1538="","",IFERROR(INDEX(Mitarbeiter!$B$6:$B$205,MATCH(B1538,Mitarbeiter!$A$6:$A$205,0)),"?"))</f>
        <v/>
      </c>
      <c r="D1538" s="41" t="n"/>
      <c r="E1538" s="42" t="n"/>
      <c r="F1538" s="43" t="n"/>
      <c r="G1538" s="44">
        <f>IF(OR(B1538="",F1538=""),"",IFERROR(F1538*INDEX(Mitarbeiter!$F$6:$F$205,MATCH(B1538,Mitarbeiter!$A$6:$A$205,0)),0))</f>
        <v/>
      </c>
      <c r="H1538" s="8">
        <f>IF(B1538="","",IF(ISNA(MATCH(B1538,Mitarbeiter!$A$6:$A$205,0)),"Pers.-Nr. unbekannt",IF(A1538="","Datum fehlt",IF(AND(D1538&lt;&gt;Einstellungen!$C$4,D1538&lt;&gt;Einstellungen!$C$5),"Objekt fehlt",IF(YEAR(A1538)&lt;&gt;Einstellungen!$C$3,"anderes Jahr",IF(A1538&lt;INDEX(Mitarbeiter!$C$6:$C$205,MATCH(B1538,Mitarbeiter!$A$6:$A$205,0)),"vor Eintritt",IF(AND(INDEX(Mitarbeiter!$D$6:$D$205,MATCH(B1538,Mitarbeiter!$A$6:$A$205,0))&lt;&gt;"",A1538&gt;INDEX(Mitarbeiter!$D$6:$D$205,MATCH(B1538,Mitarbeiter!$A$6:$A$205,0))),"nach Austritt","ok")))))))</f>
        <v/>
      </c>
    </row>
    <row r="1539">
      <c r="A1539" s="26" t="n"/>
      <c r="B1539" s="24" t="n"/>
      <c r="C1539" s="40">
        <f>IF(B1539="","",IFERROR(INDEX(Mitarbeiter!$B$6:$B$205,MATCH(B1539,Mitarbeiter!$A$6:$A$205,0)),"?"))</f>
        <v/>
      </c>
      <c r="D1539" s="41" t="n"/>
      <c r="E1539" s="42" t="n"/>
      <c r="F1539" s="43" t="n"/>
      <c r="G1539" s="44">
        <f>IF(OR(B1539="",F1539=""),"",IFERROR(F1539*INDEX(Mitarbeiter!$F$6:$F$205,MATCH(B1539,Mitarbeiter!$A$6:$A$205,0)),0))</f>
        <v/>
      </c>
      <c r="H1539" s="8">
        <f>IF(B1539="","",IF(ISNA(MATCH(B1539,Mitarbeiter!$A$6:$A$205,0)),"Pers.-Nr. unbekannt",IF(A1539="","Datum fehlt",IF(AND(D1539&lt;&gt;Einstellungen!$C$4,D1539&lt;&gt;Einstellungen!$C$5),"Objekt fehlt",IF(YEAR(A1539)&lt;&gt;Einstellungen!$C$3,"anderes Jahr",IF(A1539&lt;INDEX(Mitarbeiter!$C$6:$C$205,MATCH(B1539,Mitarbeiter!$A$6:$A$205,0)),"vor Eintritt",IF(AND(INDEX(Mitarbeiter!$D$6:$D$205,MATCH(B1539,Mitarbeiter!$A$6:$A$205,0))&lt;&gt;"",A1539&gt;INDEX(Mitarbeiter!$D$6:$D$205,MATCH(B1539,Mitarbeiter!$A$6:$A$205,0))),"nach Austritt","ok")))))))</f>
        <v/>
      </c>
    </row>
    <row r="1540">
      <c r="A1540" s="26" t="n"/>
      <c r="B1540" s="24" t="n"/>
      <c r="C1540" s="40">
        <f>IF(B1540="","",IFERROR(INDEX(Mitarbeiter!$B$6:$B$205,MATCH(B1540,Mitarbeiter!$A$6:$A$205,0)),"?"))</f>
        <v/>
      </c>
      <c r="D1540" s="41" t="n"/>
      <c r="E1540" s="42" t="n"/>
      <c r="F1540" s="43" t="n"/>
      <c r="G1540" s="44">
        <f>IF(OR(B1540="",F1540=""),"",IFERROR(F1540*INDEX(Mitarbeiter!$F$6:$F$205,MATCH(B1540,Mitarbeiter!$A$6:$A$205,0)),0))</f>
        <v/>
      </c>
      <c r="H1540" s="8">
        <f>IF(B1540="","",IF(ISNA(MATCH(B1540,Mitarbeiter!$A$6:$A$205,0)),"Pers.-Nr. unbekannt",IF(A1540="","Datum fehlt",IF(AND(D1540&lt;&gt;Einstellungen!$C$4,D1540&lt;&gt;Einstellungen!$C$5),"Objekt fehlt",IF(YEAR(A1540)&lt;&gt;Einstellungen!$C$3,"anderes Jahr",IF(A1540&lt;INDEX(Mitarbeiter!$C$6:$C$205,MATCH(B1540,Mitarbeiter!$A$6:$A$205,0)),"vor Eintritt",IF(AND(INDEX(Mitarbeiter!$D$6:$D$205,MATCH(B1540,Mitarbeiter!$A$6:$A$205,0))&lt;&gt;"",A1540&gt;INDEX(Mitarbeiter!$D$6:$D$205,MATCH(B1540,Mitarbeiter!$A$6:$A$205,0))),"nach Austritt","ok")))))))</f>
        <v/>
      </c>
    </row>
    <row r="1541">
      <c r="A1541" s="26" t="n"/>
      <c r="B1541" s="24" t="n"/>
      <c r="C1541" s="40">
        <f>IF(B1541="","",IFERROR(INDEX(Mitarbeiter!$B$6:$B$205,MATCH(B1541,Mitarbeiter!$A$6:$A$205,0)),"?"))</f>
        <v/>
      </c>
      <c r="D1541" s="41" t="n"/>
      <c r="E1541" s="42" t="n"/>
      <c r="F1541" s="43" t="n"/>
      <c r="G1541" s="44">
        <f>IF(OR(B1541="",F1541=""),"",IFERROR(F1541*INDEX(Mitarbeiter!$F$6:$F$205,MATCH(B1541,Mitarbeiter!$A$6:$A$205,0)),0))</f>
        <v/>
      </c>
      <c r="H1541" s="8">
        <f>IF(B1541="","",IF(ISNA(MATCH(B1541,Mitarbeiter!$A$6:$A$205,0)),"Pers.-Nr. unbekannt",IF(A1541="","Datum fehlt",IF(AND(D1541&lt;&gt;Einstellungen!$C$4,D1541&lt;&gt;Einstellungen!$C$5),"Objekt fehlt",IF(YEAR(A1541)&lt;&gt;Einstellungen!$C$3,"anderes Jahr",IF(A1541&lt;INDEX(Mitarbeiter!$C$6:$C$205,MATCH(B1541,Mitarbeiter!$A$6:$A$205,0)),"vor Eintritt",IF(AND(INDEX(Mitarbeiter!$D$6:$D$205,MATCH(B1541,Mitarbeiter!$A$6:$A$205,0))&lt;&gt;"",A1541&gt;INDEX(Mitarbeiter!$D$6:$D$205,MATCH(B1541,Mitarbeiter!$A$6:$A$205,0))),"nach Austritt","ok")))))))</f>
        <v/>
      </c>
    </row>
    <row r="1542">
      <c r="A1542" s="26" t="n"/>
      <c r="B1542" s="24" t="n"/>
      <c r="C1542" s="40">
        <f>IF(B1542="","",IFERROR(INDEX(Mitarbeiter!$B$6:$B$205,MATCH(B1542,Mitarbeiter!$A$6:$A$205,0)),"?"))</f>
        <v/>
      </c>
      <c r="D1542" s="41" t="n"/>
      <c r="E1542" s="42" t="n"/>
      <c r="F1542" s="43" t="n"/>
      <c r="G1542" s="44">
        <f>IF(OR(B1542="",F1542=""),"",IFERROR(F1542*INDEX(Mitarbeiter!$F$6:$F$205,MATCH(B1542,Mitarbeiter!$A$6:$A$205,0)),0))</f>
        <v/>
      </c>
      <c r="H1542" s="8">
        <f>IF(B1542="","",IF(ISNA(MATCH(B1542,Mitarbeiter!$A$6:$A$205,0)),"Pers.-Nr. unbekannt",IF(A1542="","Datum fehlt",IF(AND(D1542&lt;&gt;Einstellungen!$C$4,D1542&lt;&gt;Einstellungen!$C$5),"Objekt fehlt",IF(YEAR(A1542)&lt;&gt;Einstellungen!$C$3,"anderes Jahr",IF(A1542&lt;INDEX(Mitarbeiter!$C$6:$C$205,MATCH(B1542,Mitarbeiter!$A$6:$A$205,0)),"vor Eintritt",IF(AND(INDEX(Mitarbeiter!$D$6:$D$205,MATCH(B1542,Mitarbeiter!$A$6:$A$205,0))&lt;&gt;"",A1542&gt;INDEX(Mitarbeiter!$D$6:$D$205,MATCH(B1542,Mitarbeiter!$A$6:$A$205,0))),"nach Austritt","ok")))))))</f>
        <v/>
      </c>
    </row>
    <row r="1543">
      <c r="A1543" s="26" t="n"/>
      <c r="B1543" s="24" t="n"/>
      <c r="C1543" s="40">
        <f>IF(B1543="","",IFERROR(INDEX(Mitarbeiter!$B$6:$B$205,MATCH(B1543,Mitarbeiter!$A$6:$A$205,0)),"?"))</f>
        <v/>
      </c>
      <c r="D1543" s="41" t="n"/>
      <c r="E1543" s="42" t="n"/>
      <c r="F1543" s="43" t="n"/>
      <c r="G1543" s="44">
        <f>IF(OR(B1543="",F1543=""),"",IFERROR(F1543*INDEX(Mitarbeiter!$F$6:$F$205,MATCH(B1543,Mitarbeiter!$A$6:$A$205,0)),0))</f>
        <v/>
      </c>
      <c r="H1543" s="8">
        <f>IF(B1543="","",IF(ISNA(MATCH(B1543,Mitarbeiter!$A$6:$A$205,0)),"Pers.-Nr. unbekannt",IF(A1543="","Datum fehlt",IF(AND(D1543&lt;&gt;Einstellungen!$C$4,D1543&lt;&gt;Einstellungen!$C$5),"Objekt fehlt",IF(YEAR(A1543)&lt;&gt;Einstellungen!$C$3,"anderes Jahr",IF(A1543&lt;INDEX(Mitarbeiter!$C$6:$C$205,MATCH(B1543,Mitarbeiter!$A$6:$A$205,0)),"vor Eintritt",IF(AND(INDEX(Mitarbeiter!$D$6:$D$205,MATCH(B1543,Mitarbeiter!$A$6:$A$205,0))&lt;&gt;"",A1543&gt;INDEX(Mitarbeiter!$D$6:$D$205,MATCH(B1543,Mitarbeiter!$A$6:$A$205,0))),"nach Austritt","ok")))))))</f>
        <v/>
      </c>
    </row>
    <row r="1544">
      <c r="A1544" s="26" t="n"/>
      <c r="B1544" s="24" t="n"/>
      <c r="C1544" s="40">
        <f>IF(B1544="","",IFERROR(INDEX(Mitarbeiter!$B$6:$B$205,MATCH(B1544,Mitarbeiter!$A$6:$A$205,0)),"?"))</f>
        <v/>
      </c>
      <c r="D1544" s="41" t="n"/>
      <c r="E1544" s="42" t="n"/>
      <c r="F1544" s="43" t="n"/>
      <c r="G1544" s="44">
        <f>IF(OR(B1544="",F1544=""),"",IFERROR(F1544*INDEX(Mitarbeiter!$F$6:$F$205,MATCH(B1544,Mitarbeiter!$A$6:$A$205,0)),0))</f>
        <v/>
      </c>
      <c r="H1544" s="8">
        <f>IF(B1544="","",IF(ISNA(MATCH(B1544,Mitarbeiter!$A$6:$A$205,0)),"Pers.-Nr. unbekannt",IF(A1544="","Datum fehlt",IF(AND(D1544&lt;&gt;Einstellungen!$C$4,D1544&lt;&gt;Einstellungen!$C$5),"Objekt fehlt",IF(YEAR(A1544)&lt;&gt;Einstellungen!$C$3,"anderes Jahr",IF(A1544&lt;INDEX(Mitarbeiter!$C$6:$C$205,MATCH(B1544,Mitarbeiter!$A$6:$A$205,0)),"vor Eintritt",IF(AND(INDEX(Mitarbeiter!$D$6:$D$205,MATCH(B1544,Mitarbeiter!$A$6:$A$205,0))&lt;&gt;"",A1544&gt;INDEX(Mitarbeiter!$D$6:$D$205,MATCH(B1544,Mitarbeiter!$A$6:$A$205,0))),"nach Austritt","ok")))))))</f>
        <v/>
      </c>
    </row>
    <row r="1545">
      <c r="A1545" s="26" t="n"/>
      <c r="B1545" s="24" t="n"/>
      <c r="C1545" s="40">
        <f>IF(B1545="","",IFERROR(INDEX(Mitarbeiter!$B$6:$B$205,MATCH(B1545,Mitarbeiter!$A$6:$A$205,0)),"?"))</f>
        <v/>
      </c>
      <c r="D1545" s="41" t="n"/>
      <c r="E1545" s="42" t="n"/>
      <c r="F1545" s="43" t="n"/>
      <c r="G1545" s="44">
        <f>IF(OR(B1545="",F1545=""),"",IFERROR(F1545*INDEX(Mitarbeiter!$F$6:$F$205,MATCH(B1545,Mitarbeiter!$A$6:$A$205,0)),0))</f>
        <v/>
      </c>
      <c r="H1545" s="8">
        <f>IF(B1545="","",IF(ISNA(MATCH(B1545,Mitarbeiter!$A$6:$A$205,0)),"Pers.-Nr. unbekannt",IF(A1545="","Datum fehlt",IF(AND(D1545&lt;&gt;Einstellungen!$C$4,D1545&lt;&gt;Einstellungen!$C$5),"Objekt fehlt",IF(YEAR(A1545)&lt;&gt;Einstellungen!$C$3,"anderes Jahr",IF(A1545&lt;INDEX(Mitarbeiter!$C$6:$C$205,MATCH(B1545,Mitarbeiter!$A$6:$A$205,0)),"vor Eintritt",IF(AND(INDEX(Mitarbeiter!$D$6:$D$205,MATCH(B1545,Mitarbeiter!$A$6:$A$205,0))&lt;&gt;"",A1545&gt;INDEX(Mitarbeiter!$D$6:$D$205,MATCH(B1545,Mitarbeiter!$A$6:$A$205,0))),"nach Austritt","ok")))))))</f>
        <v/>
      </c>
    </row>
    <row r="1546">
      <c r="A1546" s="26" t="n"/>
      <c r="B1546" s="24" t="n"/>
      <c r="C1546" s="40">
        <f>IF(B1546="","",IFERROR(INDEX(Mitarbeiter!$B$6:$B$205,MATCH(B1546,Mitarbeiter!$A$6:$A$205,0)),"?"))</f>
        <v/>
      </c>
      <c r="D1546" s="41" t="n"/>
      <c r="E1546" s="42" t="n"/>
      <c r="F1546" s="43" t="n"/>
      <c r="G1546" s="44">
        <f>IF(OR(B1546="",F1546=""),"",IFERROR(F1546*INDEX(Mitarbeiter!$F$6:$F$205,MATCH(B1546,Mitarbeiter!$A$6:$A$205,0)),0))</f>
        <v/>
      </c>
      <c r="H1546" s="8">
        <f>IF(B1546="","",IF(ISNA(MATCH(B1546,Mitarbeiter!$A$6:$A$205,0)),"Pers.-Nr. unbekannt",IF(A1546="","Datum fehlt",IF(AND(D1546&lt;&gt;Einstellungen!$C$4,D1546&lt;&gt;Einstellungen!$C$5),"Objekt fehlt",IF(YEAR(A1546)&lt;&gt;Einstellungen!$C$3,"anderes Jahr",IF(A1546&lt;INDEX(Mitarbeiter!$C$6:$C$205,MATCH(B1546,Mitarbeiter!$A$6:$A$205,0)),"vor Eintritt",IF(AND(INDEX(Mitarbeiter!$D$6:$D$205,MATCH(B1546,Mitarbeiter!$A$6:$A$205,0))&lt;&gt;"",A1546&gt;INDEX(Mitarbeiter!$D$6:$D$205,MATCH(B1546,Mitarbeiter!$A$6:$A$205,0))),"nach Austritt","ok")))))))</f>
        <v/>
      </c>
    </row>
    <row r="1547">
      <c r="A1547" s="26" t="n"/>
      <c r="B1547" s="24" t="n"/>
      <c r="C1547" s="40">
        <f>IF(B1547="","",IFERROR(INDEX(Mitarbeiter!$B$6:$B$205,MATCH(B1547,Mitarbeiter!$A$6:$A$205,0)),"?"))</f>
        <v/>
      </c>
      <c r="D1547" s="41" t="n"/>
      <c r="E1547" s="42" t="n"/>
      <c r="F1547" s="43" t="n"/>
      <c r="G1547" s="44">
        <f>IF(OR(B1547="",F1547=""),"",IFERROR(F1547*INDEX(Mitarbeiter!$F$6:$F$205,MATCH(B1547,Mitarbeiter!$A$6:$A$205,0)),0))</f>
        <v/>
      </c>
      <c r="H1547" s="8">
        <f>IF(B1547="","",IF(ISNA(MATCH(B1547,Mitarbeiter!$A$6:$A$205,0)),"Pers.-Nr. unbekannt",IF(A1547="","Datum fehlt",IF(AND(D1547&lt;&gt;Einstellungen!$C$4,D1547&lt;&gt;Einstellungen!$C$5),"Objekt fehlt",IF(YEAR(A1547)&lt;&gt;Einstellungen!$C$3,"anderes Jahr",IF(A1547&lt;INDEX(Mitarbeiter!$C$6:$C$205,MATCH(B1547,Mitarbeiter!$A$6:$A$205,0)),"vor Eintritt",IF(AND(INDEX(Mitarbeiter!$D$6:$D$205,MATCH(B1547,Mitarbeiter!$A$6:$A$205,0))&lt;&gt;"",A1547&gt;INDEX(Mitarbeiter!$D$6:$D$205,MATCH(B1547,Mitarbeiter!$A$6:$A$205,0))),"nach Austritt","ok")))))))</f>
        <v/>
      </c>
    </row>
    <row r="1548">
      <c r="A1548" s="26" t="n"/>
      <c r="B1548" s="24" t="n"/>
      <c r="C1548" s="40">
        <f>IF(B1548="","",IFERROR(INDEX(Mitarbeiter!$B$6:$B$205,MATCH(B1548,Mitarbeiter!$A$6:$A$205,0)),"?"))</f>
        <v/>
      </c>
      <c r="D1548" s="41" t="n"/>
      <c r="E1548" s="42" t="n"/>
      <c r="F1548" s="43" t="n"/>
      <c r="G1548" s="44">
        <f>IF(OR(B1548="",F1548=""),"",IFERROR(F1548*INDEX(Mitarbeiter!$F$6:$F$205,MATCH(B1548,Mitarbeiter!$A$6:$A$205,0)),0))</f>
        <v/>
      </c>
      <c r="H1548" s="8">
        <f>IF(B1548="","",IF(ISNA(MATCH(B1548,Mitarbeiter!$A$6:$A$205,0)),"Pers.-Nr. unbekannt",IF(A1548="","Datum fehlt",IF(AND(D1548&lt;&gt;Einstellungen!$C$4,D1548&lt;&gt;Einstellungen!$C$5),"Objekt fehlt",IF(YEAR(A1548)&lt;&gt;Einstellungen!$C$3,"anderes Jahr",IF(A1548&lt;INDEX(Mitarbeiter!$C$6:$C$205,MATCH(B1548,Mitarbeiter!$A$6:$A$205,0)),"vor Eintritt",IF(AND(INDEX(Mitarbeiter!$D$6:$D$205,MATCH(B1548,Mitarbeiter!$A$6:$A$205,0))&lt;&gt;"",A1548&gt;INDEX(Mitarbeiter!$D$6:$D$205,MATCH(B1548,Mitarbeiter!$A$6:$A$205,0))),"nach Austritt","ok")))))))</f>
        <v/>
      </c>
    </row>
    <row r="1549">
      <c r="A1549" s="26" t="n"/>
      <c r="B1549" s="24" t="n"/>
      <c r="C1549" s="40">
        <f>IF(B1549="","",IFERROR(INDEX(Mitarbeiter!$B$6:$B$205,MATCH(B1549,Mitarbeiter!$A$6:$A$205,0)),"?"))</f>
        <v/>
      </c>
      <c r="D1549" s="41" t="n"/>
      <c r="E1549" s="42" t="n"/>
      <c r="F1549" s="43" t="n"/>
      <c r="G1549" s="44">
        <f>IF(OR(B1549="",F1549=""),"",IFERROR(F1549*INDEX(Mitarbeiter!$F$6:$F$205,MATCH(B1549,Mitarbeiter!$A$6:$A$205,0)),0))</f>
        <v/>
      </c>
      <c r="H1549" s="8">
        <f>IF(B1549="","",IF(ISNA(MATCH(B1549,Mitarbeiter!$A$6:$A$205,0)),"Pers.-Nr. unbekannt",IF(A1549="","Datum fehlt",IF(AND(D1549&lt;&gt;Einstellungen!$C$4,D1549&lt;&gt;Einstellungen!$C$5),"Objekt fehlt",IF(YEAR(A1549)&lt;&gt;Einstellungen!$C$3,"anderes Jahr",IF(A1549&lt;INDEX(Mitarbeiter!$C$6:$C$205,MATCH(B1549,Mitarbeiter!$A$6:$A$205,0)),"vor Eintritt",IF(AND(INDEX(Mitarbeiter!$D$6:$D$205,MATCH(B1549,Mitarbeiter!$A$6:$A$205,0))&lt;&gt;"",A1549&gt;INDEX(Mitarbeiter!$D$6:$D$205,MATCH(B1549,Mitarbeiter!$A$6:$A$205,0))),"nach Austritt","ok")))))))</f>
        <v/>
      </c>
    </row>
    <row r="1550">
      <c r="A1550" s="26" t="n"/>
      <c r="B1550" s="24" t="n"/>
      <c r="C1550" s="40">
        <f>IF(B1550="","",IFERROR(INDEX(Mitarbeiter!$B$6:$B$205,MATCH(B1550,Mitarbeiter!$A$6:$A$205,0)),"?"))</f>
        <v/>
      </c>
      <c r="D1550" s="41" t="n"/>
      <c r="E1550" s="42" t="n"/>
      <c r="F1550" s="43" t="n"/>
      <c r="G1550" s="44">
        <f>IF(OR(B1550="",F1550=""),"",IFERROR(F1550*INDEX(Mitarbeiter!$F$6:$F$205,MATCH(B1550,Mitarbeiter!$A$6:$A$205,0)),0))</f>
        <v/>
      </c>
      <c r="H1550" s="8">
        <f>IF(B1550="","",IF(ISNA(MATCH(B1550,Mitarbeiter!$A$6:$A$205,0)),"Pers.-Nr. unbekannt",IF(A1550="","Datum fehlt",IF(AND(D1550&lt;&gt;Einstellungen!$C$4,D1550&lt;&gt;Einstellungen!$C$5),"Objekt fehlt",IF(YEAR(A1550)&lt;&gt;Einstellungen!$C$3,"anderes Jahr",IF(A1550&lt;INDEX(Mitarbeiter!$C$6:$C$205,MATCH(B1550,Mitarbeiter!$A$6:$A$205,0)),"vor Eintritt",IF(AND(INDEX(Mitarbeiter!$D$6:$D$205,MATCH(B1550,Mitarbeiter!$A$6:$A$205,0))&lt;&gt;"",A1550&gt;INDEX(Mitarbeiter!$D$6:$D$205,MATCH(B1550,Mitarbeiter!$A$6:$A$205,0))),"nach Austritt","ok")))))))</f>
        <v/>
      </c>
    </row>
    <row r="1551">
      <c r="A1551" s="26" t="n"/>
      <c r="B1551" s="24" t="n"/>
      <c r="C1551" s="40">
        <f>IF(B1551="","",IFERROR(INDEX(Mitarbeiter!$B$6:$B$205,MATCH(B1551,Mitarbeiter!$A$6:$A$205,0)),"?"))</f>
        <v/>
      </c>
      <c r="D1551" s="41" t="n"/>
      <c r="E1551" s="42" t="n"/>
      <c r="F1551" s="43" t="n"/>
      <c r="G1551" s="44">
        <f>IF(OR(B1551="",F1551=""),"",IFERROR(F1551*INDEX(Mitarbeiter!$F$6:$F$205,MATCH(B1551,Mitarbeiter!$A$6:$A$205,0)),0))</f>
        <v/>
      </c>
      <c r="H1551" s="8">
        <f>IF(B1551="","",IF(ISNA(MATCH(B1551,Mitarbeiter!$A$6:$A$205,0)),"Pers.-Nr. unbekannt",IF(A1551="","Datum fehlt",IF(AND(D1551&lt;&gt;Einstellungen!$C$4,D1551&lt;&gt;Einstellungen!$C$5),"Objekt fehlt",IF(YEAR(A1551)&lt;&gt;Einstellungen!$C$3,"anderes Jahr",IF(A1551&lt;INDEX(Mitarbeiter!$C$6:$C$205,MATCH(B1551,Mitarbeiter!$A$6:$A$205,0)),"vor Eintritt",IF(AND(INDEX(Mitarbeiter!$D$6:$D$205,MATCH(B1551,Mitarbeiter!$A$6:$A$205,0))&lt;&gt;"",A1551&gt;INDEX(Mitarbeiter!$D$6:$D$205,MATCH(B1551,Mitarbeiter!$A$6:$A$205,0))),"nach Austritt","ok")))))))</f>
        <v/>
      </c>
    </row>
    <row r="1552">
      <c r="A1552" s="26" t="n"/>
      <c r="B1552" s="24" t="n"/>
      <c r="C1552" s="40">
        <f>IF(B1552="","",IFERROR(INDEX(Mitarbeiter!$B$6:$B$205,MATCH(B1552,Mitarbeiter!$A$6:$A$205,0)),"?"))</f>
        <v/>
      </c>
      <c r="D1552" s="41" t="n"/>
      <c r="E1552" s="42" t="n"/>
      <c r="F1552" s="43" t="n"/>
      <c r="G1552" s="44">
        <f>IF(OR(B1552="",F1552=""),"",IFERROR(F1552*INDEX(Mitarbeiter!$F$6:$F$205,MATCH(B1552,Mitarbeiter!$A$6:$A$205,0)),0))</f>
        <v/>
      </c>
      <c r="H1552" s="8">
        <f>IF(B1552="","",IF(ISNA(MATCH(B1552,Mitarbeiter!$A$6:$A$205,0)),"Pers.-Nr. unbekannt",IF(A1552="","Datum fehlt",IF(AND(D1552&lt;&gt;Einstellungen!$C$4,D1552&lt;&gt;Einstellungen!$C$5),"Objekt fehlt",IF(YEAR(A1552)&lt;&gt;Einstellungen!$C$3,"anderes Jahr",IF(A1552&lt;INDEX(Mitarbeiter!$C$6:$C$205,MATCH(B1552,Mitarbeiter!$A$6:$A$205,0)),"vor Eintritt",IF(AND(INDEX(Mitarbeiter!$D$6:$D$205,MATCH(B1552,Mitarbeiter!$A$6:$A$205,0))&lt;&gt;"",A1552&gt;INDEX(Mitarbeiter!$D$6:$D$205,MATCH(B1552,Mitarbeiter!$A$6:$A$205,0))),"nach Austritt","ok")))))))</f>
        <v/>
      </c>
    </row>
    <row r="1553">
      <c r="A1553" s="26" t="n"/>
      <c r="B1553" s="24" t="n"/>
      <c r="C1553" s="40">
        <f>IF(B1553="","",IFERROR(INDEX(Mitarbeiter!$B$6:$B$205,MATCH(B1553,Mitarbeiter!$A$6:$A$205,0)),"?"))</f>
        <v/>
      </c>
      <c r="D1553" s="41" t="n"/>
      <c r="E1553" s="42" t="n"/>
      <c r="F1553" s="43" t="n"/>
      <c r="G1553" s="44">
        <f>IF(OR(B1553="",F1553=""),"",IFERROR(F1553*INDEX(Mitarbeiter!$F$6:$F$205,MATCH(B1553,Mitarbeiter!$A$6:$A$205,0)),0))</f>
        <v/>
      </c>
      <c r="H1553" s="8">
        <f>IF(B1553="","",IF(ISNA(MATCH(B1553,Mitarbeiter!$A$6:$A$205,0)),"Pers.-Nr. unbekannt",IF(A1553="","Datum fehlt",IF(AND(D1553&lt;&gt;Einstellungen!$C$4,D1553&lt;&gt;Einstellungen!$C$5),"Objekt fehlt",IF(YEAR(A1553)&lt;&gt;Einstellungen!$C$3,"anderes Jahr",IF(A1553&lt;INDEX(Mitarbeiter!$C$6:$C$205,MATCH(B1553,Mitarbeiter!$A$6:$A$205,0)),"vor Eintritt",IF(AND(INDEX(Mitarbeiter!$D$6:$D$205,MATCH(B1553,Mitarbeiter!$A$6:$A$205,0))&lt;&gt;"",A1553&gt;INDEX(Mitarbeiter!$D$6:$D$205,MATCH(B1553,Mitarbeiter!$A$6:$A$205,0))),"nach Austritt","ok")))))))</f>
        <v/>
      </c>
    </row>
    <row r="1554">
      <c r="A1554" s="26" t="n"/>
      <c r="B1554" s="24" t="n"/>
      <c r="C1554" s="40">
        <f>IF(B1554="","",IFERROR(INDEX(Mitarbeiter!$B$6:$B$205,MATCH(B1554,Mitarbeiter!$A$6:$A$205,0)),"?"))</f>
        <v/>
      </c>
      <c r="D1554" s="41" t="n"/>
      <c r="E1554" s="42" t="n"/>
      <c r="F1554" s="43" t="n"/>
      <c r="G1554" s="44">
        <f>IF(OR(B1554="",F1554=""),"",IFERROR(F1554*INDEX(Mitarbeiter!$F$6:$F$205,MATCH(B1554,Mitarbeiter!$A$6:$A$205,0)),0))</f>
        <v/>
      </c>
      <c r="H1554" s="8">
        <f>IF(B1554="","",IF(ISNA(MATCH(B1554,Mitarbeiter!$A$6:$A$205,0)),"Pers.-Nr. unbekannt",IF(A1554="","Datum fehlt",IF(AND(D1554&lt;&gt;Einstellungen!$C$4,D1554&lt;&gt;Einstellungen!$C$5),"Objekt fehlt",IF(YEAR(A1554)&lt;&gt;Einstellungen!$C$3,"anderes Jahr",IF(A1554&lt;INDEX(Mitarbeiter!$C$6:$C$205,MATCH(B1554,Mitarbeiter!$A$6:$A$205,0)),"vor Eintritt",IF(AND(INDEX(Mitarbeiter!$D$6:$D$205,MATCH(B1554,Mitarbeiter!$A$6:$A$205,0))&lt;&gt;"",A1554&gt;INDEX(Mitarbeiter!$D$6:$D$205,MATCH(B1554,Mitarbeiter!$A$6:$A$205,0))),"nach Austritt","ok")))))))</f>
        <v/>
      </c>
    </row>
    <row r="1555">
      <c r="A1555" s="26" t="n"/>
      <c r="B1555" s="24" t="n"/>
      <c r="C1555" s="40">
        <f>IF(B1555="","",IFERROR(INDEX(Mitarbeiter!$B$6:$B$205,MATCH(B1555,Mitarbeiter!$A$6:$A$205,0)),"?"))</f>
        <v/>
      </c>
      <c r="D1555" s="41" t="n"/>
      <c r="E1555" s="42" t="n"/>
      <c r="F1555" s="43" t="n"/>
      <c r="G1555" s="44">
        <f>IF(OR(B1555="",F1555=""),"",IFERROR(F1555*INDEX(Mitarbeiter!$F$6:$F$205,MATCH(B1555,Mitarbeiter!$A$6:$A$205,0)),0))</f>
        <v/>
      </c>
      <c r="H1555" s="8">
        <f>IF(B1555="","",IF(ISNA(MATCH(B1555,Mitarbeiter!$A$6:$A$205,0)),"Pers.-Nr. unbekannt",IF(A1555="","Datum fehlt",IF(AND(D1555&lt;&gt;Einstellungen!$C$4,D1555&lt;&gt;Einstellungen!$C$5),"Objekt fehlt",IF(YEAR(A1555)&lt;&gt;Einstellungen!$C$3,"anderes Jahr",IF(A1555&lt;INDEX(Mitarbeiter!$C$6:$C$205,MATCH(B1555,Mitarbeiter!$A$6:$A$205,0)),"vor Eintritt",IF(AND(INDEX(Mitarbeiter!$D$6:$D$205,MATCH(B1555,Mitarbeiter!$A$6:$A$205,0))&lt;&gt;"",A1555&gt;INDEX(Mitarbeiter!$D$6:$D$205,MATCH(B1555,Mitarbeiter!$A$6:$A$205,0))),"nach Austritt","ok")))))))</f>
        <v/>
      </c>
    </row>
    <row r="1556">
      <c r="A1556" s="26" t="n"/>
      <c r="B1556" s="24" t="n"/>
      <c r="C1556" s="40">
        <f>IF(B1556="","",IFERROR(INDEX(Mitarbeiter!$B$6:$B$205,MATCH(B1556,Mitarbeiter!$A$6:$A$205,0)),"?"))</f>
        <v/>
      </c>
      <c r="D1556" s="41" t="n"/>
      <c r="E1556" s="42" t="n"/>
      <c r="F1556" s="43" t="n"/>
      <c r="G1556" s="44">
        <f>IF(OR(B1556="",F1556=""),"",IFERROR(F1556*INDEX(Mitarbeiter!$F$6:$F$205,MATCH(B1556,Mitarbeiter!$A$6:$A$205,0)),0))</f>
        <v/>
      </c>
      <c r="H1556" s="8">
        <f>IF(B1556="","",IF(ISNA(MATCH(B1556,Mitarbeiter!$A$6:$A$205,0)),"Pers.-Nr. unbekannt",IF(A1556="","Datum fehlt",IF(AND(D1556&lt;&gt;Einstellungen!$C$4,D1556&lt;&gt;Einstellungen!$C$5),"Objekt fehlt",IF(YEAR(A1556)&lt;&gt;Einstellungen!$C$3,"anderes Jahr",IF(A1556&lt;INDEX(Mitarbeiter!$C$6:$C$205,MATCH(B1556,Mitarbeiter!$A$6:$A$205,0)),"vor Eintritt",IF(AND(INDEX(Mitarbeiter!$D$6:$D$205,MATCH(B1556,Mitarbeiter!$A$6:$A$205,0))&lt;&gt;"",A1556&gt;INDEX(Mitarbeiter!$D$6:$D$205,MATCH(B1556,Mitarbeiter!$A$6:$A$205,0))),"nach Austritt","ok")))))))</f>
        <v/>
      </c>
    </row>
    <row r="1557">
      <c r="A1557" s="26" t="n"/>
      <c r="B1557" s="24" t="n"/>
      <c r="C1557" s="40">
        <f>IF(B1557="","",IFERROR(INDEX(Mitarbeiter!$B$6:$B$205,MATCH(B1557,Mitarbeiter!$A$6:$A$205,0)),"?"))</f>
        <v/>
      </c>
      <c r="D1557" s="41" t="n"/>
      <c r="E1557" s="42" t="n"/>
      <c r="F1557" s="43" t="n"/>
      <c r="G1557" s="44">
        <f>IF(OR(B1557="",F1557=""),"",IFERROR(F1557*INDEX(Mitarbeiter!$F$6:$F$205,MATCH(B1557,Mitarbeiter!$A$6:$A$205,0)),0))</f>
        <v/>
      </c>
      <c r="H1557" s="8">
        <f>IF(B1557="","",IF(ISNA(MATCH(B1557,Mitarbeiter!$A$6:$A$205,0)),"Pers.-Nr. unbekannt",IF(A1557="","Datum fehlt",IF(AND(D1557&lt;&gt;Einstellungen!$C$4,D1557&lt;&gt;Einstellungen!$C$5),"Objekt fehlt",IF(YEAR(A1557)&lt;&gt;Einstellungen!$C$3,"anderes Jahr",IF(A1557&lt;INDEX(Mitarbeiter!$C$6:$C$205,MATCH(B1557,Mitarbeiter!$A$6:$A$205,0)),"vor Eintritt",IF(AND(INDEX(Mitarbeiter!$D$6:$D$205,MATCH(B1557,Mitarbeiter!$A$6:$A$205,0))&lt;&gt;"",A1557&gt;INDEX(Mitarbeiter!$D$6:$D$205,MATCH(B1557,Mitarbeiter!$A$6:$A$205,0))),"nach Austritt","ok")))))))</f>
        <v/>
      </c>
    </row>
    <row r="1558">
      <c r="A1558" s="26" t="n"/>
      <c r="B1558" s="24" t="n"/>
      <c r="C1558" s="40">
        <f>IF(B1558="","",IFERROR(INDEX(Mitarbeiter!$B$6:$B$205,MATCH(B1558,Mitarbeiter!$A$6:$A$205,0)),"?"))</f>
        <v/>
      </c>
      <c r="D1558" s="41" t="n"/>
      <c r="E1558" s="42" t="n"/>
      <c r="F1558" s="43" t="n"/>
      <c r="G1558" s="44">
        <f>IF(OR(B1558="",F1558=""),"",IFERROR(F1558*INDEX(Mitarbeiter!$F$6:$F$205,MATCH(B1558,Mitarbeiter!$A$6:$A$205,0)),0))</f>
        <v/>
      </c>
      <c r="H1558" s="8">
        <f>IF(B1558="","",IF(ISNA(MATCH(B1558,Mitarbeiter!$A$6:$A$205,0)),"Pers.-Nr. unbekannt",IF(A1558="","Datum fehlt",IF(AND(D1558&lt;&gt;Einstellungen!$C$4,D1558&lt;&gt;Einstellungen!$C$5),"Objekt fehlt",IF(YEAR(A1558)&lt;&gt;Einstellungen!$C$3,"anderes Jahr",IF(A1558&lt;INDEX(Mitarbeiter!$C$6:$C$205,MATCH(B1558,Mitarbeiter!$A$6:$A$205,0)),"vor Eintritt",IF(AND(INDEX(Mitarbeiter!$D$6:$D$205,MATCH(B1558,Mitarbeiter!$A$6:$A$205,0))&lt;&gt;"",A1558&gt;INDEX(Mitarbeiter!$D$6:$D$205,MATCH(B1558,Mitarbeiter!$A$6:$A$205,0))),"nach Austritt","ok")))))))</f>
        <v/>
      </c>
    </row>
    <row r="1559">
      <c r="A1559" s="26" t="n"/>
      <c r="B1559" s="24" t="n"/>
      <c r="C1559" s="40">
        <f>IF(B1559="","",IFERROR(INDEX(Mitarbeiter!$B$6:$B$205,MATCH(B1559,Mitarbeiter!$A$6:$A$205,0)),"?"))</f>
        <v/>
      </c>
      <c r="D1559" s="41" t="n"/>
      <c r="E1559" s="42" t="n"/>
      <c r="F1559" s="43" t="n"/>
      <c r="G1559" s="44">
        <f>IF(OR(B1559="",F1559=""),"",IFERROR(F1559*INDEX(Mitarbeiter!$F$6:$F$205,MATCH(B1559,Mitarbeiter!$A$6:$A$205,0)),0))</f>
        <v/>
      </c>
      <c r="H1559" s="8">
        <f>IF(B1559="","",IF(ISNA(MATCH(B1559,Mitarbeiter!$A$6:$A$205,0)),"Pers.-Nr. unbekannt",IF(A1559="","Datum fehlt",IF(AND(D1559&lt;&gt;Einstellungen!$C$4,D1559&lt;&gt;Einstellungen!$C$5),"Objekt fehlt",IF(YEAR(A1559)&lt;&gt;Einstellungen!$C$3,"anderes Jahr",IF(A1559&lt;INDEX(Mitarbeiter!$C$6:$C$205,MATCH(B1559,Mitarbeiter!$A$6:$A$205,0)),"vor Eintritt",IF(AND(INDEX(Mitarbeiter!$D$6:$D$205,MATCH(B1559,Mitarbeiter!$A$6:$A$205,0))&lt;&gt;"",A1559&gt;INDEX(Mitarbeiter!$D$6:$D$205,MATCH(B1559,Mitarbeiter!$A$6:$A$205,0))),"nach Austritt","ok")))))))</f>
        <v/>
      </c>
    </row>
    <row r="1560">
      <c r="A1560" s="26" t="n"/>
      <c r="B1560" s="24" t="n"/>
      <c r="C1560" s="40">
        <f>IF(B1560="","",IFERROR(INDEX(Mitarbeiter!$B$6:$B$205,MATCH(B1560,Mitarbeiter!$A$6:$A$205,0)),"?"))</f>
        <v/>
      </c>
      <c r="D1560" s="41" t="n"/>
      <c r="E1560" s="42" t="n"/>
      <c r="F1560" s="43" t="n"/>
      <c r="G1560" s="44">
        <f>IF(OR(B1560="",F1560=""),"",IFERROR(F1560*INDEX(Mitarbeiter!$F$6:$F$205,MATCH(B1560,Mitarbeiter!$A$6:$A$205,0)),0))</f>
        <v/>
      </c>
      <c r="H1560" s="8">
        <f>IF(B1560="","",IF(ISNA(MATCH(B1560,Mitarbeiter!$A$6:$A$205,0)),"Pers.-Nr. unbekannt",IF(A1560="","Datum fehlt",IF(AND(D1560&lt;&gt;Einstellungen!$C$4,D1560&lt;&gt;Einstellungen!$C$5),"Objekt fehlt",IF(YEAR(A1560)&lt;&gt;Einstellungen!$C$3,"anderes Jahr",IF(A1560&lt;INDEX(Mitarbeiter!$C$6:$C$205,MATCH(B1560,Mitarbeiter!$A$6:$A$205,0)),"vor Eintritt",IF(AND(INDEX(Mitarbeiter!$D$6:$D$205,MATCH(B1560,Mitarbeiter!$A$6:$A$205,0))&lt;&gt;"",A1560&gt;INDEX(Mitarbeiter!$D$6:$D$205,MATCH(B1560,Mitarbeiter!$A$6:$A$205,0))),"nach Austritt","ok")))))))</f>
        <v/>
      </c>
    </row>
    <row r="1561">
      <c r="A1561" s="26" t="n"/>
      <c r="B1561" s="24" t="n"/>
      <c r="C1561" s="40">
        <f>IF(B1561="","",IFERROR(INDEX(Mitarbeiter!$B$6:$B$205,MATCH(B1561,Mitarbeiter!$A$6:$A$205,0)),"?"))</f>
        <v/>
      </c>
      <c r="D1561" s="41" t="n"/>
      <c r="E1561" s="42" t="n"/>
      <c r="F1561" s="43" t="n"/>
      <c r="G1561" s="44">
        <f>IF(OR(B1561="",F1561=""),"",IFERROR(F1561*INDEX(Mitarbeiter!$F$6:$F$205,MATCH(B1561,Mitarbeiter!$A$6:$A$205,0)),0))</f>
        <v/>
      </c>
      <c r="H1561" s="8">
        <f>IF(B1561="","",IF(ISNA(MATCH(B1561,Mitarbeiter!$A$6:$A$205,0)),"Pers.-Nr. unbekannt",IF(A1561="","Datum fehlt",IF(AND(D1561&lt;&gt;Einstellungen!$C$4,D1561&lt;&gt;Einstellungen!$C$5),"Objekt fehlt",IF(YEAR(A1561)&lt;&gt;Einstellungen!$C$3,"anderes Jahr",IF(A1561&lt;INDEX(Mitarbeiter!$C$6:$C$205,MATCH(B1561,Mitarbeiter!$A$6:$A$205,0)),"vor Eintritt",IF(AND(INDEX(Mitarbeiter!$D$6:$D$205,MATCH(B1561,Mitarbeiter!$A$6:$A$205,0))&lt;&gt;"",A1561&gt;INDEX(Mitarbeiter!$D$6:$D$205,MATCH(B1561,Mitarbeiter!$A$6:$A$205,0))),"nach Austritt","ok")))))))</f>
        <v/>
      </c>
    </row>
    <row r="1562">
      <c r="A1562" s="26" t="n"/>
      <c r="B1562" s="24" t="n"/>
      <c r="C1562" s="40">
        <f>IF(B1562="","",IFERROR(INDEX(Mitarbeiter!$B$6:$B$205,MATCH(B1562,Mitarbeiter!$A$6:$A$205,0)),"?"))</f>
        <v/>
      </c>
      <c r="D1562" s="41" t="n"/>
      <c r="E1562" s="42" t="n"/>
      <c r="F1562" s="43" t="n"/>
      <c r="G1562" s="44">
        <f>IF(OR(B1562="",F1562=""),"",IFERROR(F1562*INDEX(Mitarbeiter!$F$6:$F$205,MATCH(B1562,Mitarbeiter!$A$6:$A$205,0)),0))</f>
        <v/>
      </c>
      <c r="H1562" s="8">
        <f>IF(B1562="","",IF(ISNA(MATCH(B1562,Mitarbeiter!$A$6:$A$205,0)),"Pers.-Nr. unbekannt",IF(A1562="","Datum fehlt",IF(AND(D1562&lt;&gt;Einstellungen!$C$4,D1562&lt;&gt;Einstellungen!$C$5),"Objekt fehlt",IF(YEAR(A1562)&lt;&gt;Einstellungen!$C$3,"anderes Jahr",IF(A1562&lt;INDEX(Mitarbeiter!$C$6:$C$205,MATCH(B1562,Mitarbeiter!$A$6:$A$205,0)),"vor Eintritt",IF(AND(INDEX(Mitarbeiter!$D$6:$D$205,MATCH(B1562,Mitarbeiter!$A$6:$A$205,0))&lt;&gt;"",A1562&gt;INDEX(Mitarbeiter!$D$6:$D$205,MATCH(B1562,Mitarbeiter!$A$6:$A$205,0))),"nach Austritt","ok")))))))</f>
        <v/>
      </c>
    </row>
    <row r="1563">
      <c r="A1563" s="26" t="n"/>
      <c r="B1563" s="24" t="n"/>
      <c r="C1563" s="40">
        <f>IF(B1563="","",IFERROR(INDEX(Mitarbeiter!$B$6:$B$205,MATCH(B1563,Mitarbeiter!$A$6:$A$205,0)),"?"))</f>
        <v/>
      </c>
      <c r="D1563" s="41" t="n"/>
      <c r="E1563" s="42" t="n"/>
      <c r="F1563" s="43" t="n"/>
      <c r="G1563" s="44">
        <f>IF(OR(B1563="",F1563=""),"",IFERROR(F1563*INDEX(Mitarbeiter!$F$6:$F$205,MATCH(B1563,Mitarbeiter!$A$6:$A$205,0)),0))</f>
        <v/>
      </c>
      <c r="H1563" s="8">
        <f>IF(B1563="","",IF(ISNA(MATCH(B1563,Mitarbeiter!$A$6:$A$205,0)),"Pers.-Nr. unbekannt",IF(A1563="","Datum fehlt",IF(AND(D1563&lt;&gt;Einstellungen!$C$4,D1563&lt;&gt;Einstellungen!$C$5),"Objekt fehlt",IF(YEAR(A1563)&lt;&gt;Einstellungen!$C$3,"anderes Jahr",IF(A1563&lt;INDEX(Mitarbeiter!$C$6:$C$205,MATCH(B1563,Mitarbeiter!$A$6:$A$205,0)),"vor Eintritt",IF(AND(INDEX(Mitarbeiter!$D$6:$D$205,MATCH(B1563,Mitarbeiter!$A$6:$A$205,0))&lt;&gt;"",A1563&gt;INDEX(Mitarbeiter!$D$6:$D$205,MATCH(B1563,Mitarbeiter!$A$6:$A$205,0))),"nach Austritt","ok")))))))</f>
        <v/>
      </c>
    </row>
    <row r="1564">
      <c r="A1564" s="26" t="n"/>
      <c r="B1564" s="24" t="n"/>
      <c r="C1564" s="40">
        <f>IF(B1564="","",IFERROR(INDEX(Mitarbeiter!$B$6:$B$205,MATCH(B1564,Mitarbeiter!$A$6:$A$205,0)),"?"))</f>
        <v/>
      </c>
      <c r="D1564" s="41" t="n"/>
      <c r="E1564" s="42" t="n"/>
      <c r="F1564" s="43" t="n"/>
      <c r="G1564" s="44">
        <f>IF(OR(B1564="",F1564=""),"",IFERROR(F1564*INDEX(Mitarbeiter!$F$6:$F$205,MATCH(B1564,Mitarbeiter!$A$6:$A$205,0)),0))</f>
        <v/>
      </c>
      <c r="H1564" s="8">
        <f>IF(B1564="","",IF(ISNA(MATCH(B1564,Mitarbeiter!$A$6:$A$205,0)),"Pers.-Nr. unbekannt",IF(A1564="","Datum fehlt",IF(AND(D1564&lt;&gt;Einstellungen!$C$4,D1564&lt;&gt;Einstellungen!$C$5),"Objekt fehlt",IF(YEAR(A1564)&lt;&gt;Einstellungen!$C$3,"anderes Jahr",IF(A1564&lt;INDEX(Mitarbeiter!$C$6:$C$205,MATCH(B1564,Mitarbeiter!$A$6:$A$205,0)),"vor Eintritt",IF(AND(INDEX(Mitarbeiter!$D$6:$D$205,MATCH(B1564,Mitarbeiter!$A$6:$A$205,0))&lt;&gt;"",A1564&gt;INDEX(Mitarbeiter!$D$6:$D$205,MATCH(B1564,Mitarbeiter!$A$6:$A$205,0))),"nach Austritt","ok")))))))</f>
        <v/>
      </c>
    </row>
    <row r="1565">
      <c r="A1565" s="26" t="n"/>
      <c r="B1565" s="24" t="n"/>
      <c r="C1565" s="40">
        <f>IF(B1565="","",IFERROR(INDEX(Mitarbeiter!$B$6:$B$205,MATCH(B1565,Mitarbeiter!$A$6:$A$205,0)),"?"))</f>
        <v/>
      </c>
      <c r="D1565" s="41" t="n"/>
      <c r="E1565" s="42" t="n"/>
      <c r="F1565" s="43" t="n"/>
      <c r="G1565" s="44">
        <f>IF(OR(B1565="",F1565=""),"",IFERROR(F1565*INDEX(Mitarbeiter!$F$6:$F$205,MATCH(B1565,Mitarbeiter!$A$6:$A$205,0)),0))</f>
        <v/>
      </c>
      <c r="H1565" s="8">
        <f>IF(B1565="","",IF(ISNA(MATCH(B1565,Mitarbeiter!$A$6:$A$205,0)),"Pers.-Nr. unbekannt",IF(A1565="","Datum fehlt",IF(AND(D1565&lt;&gt;Einstellungen!$C$4,D1565&lt;&gt;Einstellungen!$C$5),"Objekt fehlt",IF(YEAR(A1565)&lt;&gt;Einstellungen!$C$3,"anderes Jahr",IF(A1565&lt;INDEX(Mitarbeiter!$C$6:$C$205,MATCH(B1565,Mitarbeiter!$A$6:$A$205,0)),"vor Eintritt",IF(AND(INDEX(Mitarbeiter!$D$6:$D$205,MATCH(B1565,Mitarbeiter!$A$6:$A$205,0))&lt;&gt;"",A1565&gt;INDEX(Mitarbeiter!$D$6:$D$205,MATCH(B1565,Mitarbeiter!$A$6:$A$205,0))),"nach Austritt","ok")))))))</f>
        <v/>
      </c>
    </row>
    <row r="1566">
      <c r="A1566" s="26" t="n"/>
      <c r="B1566" s="24" t="n"/>
      <c r="C1566" s="40">
        <f>IF(B1566="","",IFERROR(INDEX(Mitarbeiter!$B$6:$B$205,MATCH(B1566,Mitarbeiter!$A$6:$A$205,0)),"?"))</f>
        <v/>
      </c>
      <c r="D1566" s="41" t="n"/>
      <c r="E1566" s="42" t="n"/>
      <c r="F1566" s="43" t="n"/>
      <c r="G1566" s="44">
        <f>IF(OR(B1566="",F1566=""),"",IFERROR(F1566*INDEX(Mitarbeiter!$F$6:$F$205,MATCH(B1566,Mitarbeiter!$A$6:$A$205,0)),0))</f>
        <v/>
      </c>
      <c r="H1566" s="8">
        <f>IF(B1566="","",IF(ISNA(MATCH(B1566,Mitarbeiter!$A$6:$A$205,0)),"Pers.-Nr. unbekannt",IF(A1566="","Datum fehlt",IF(AND(D1566&lt;&gt;Einstellungen!$C$4,D1566&lt;&gt;Einstellungen!$C$5),"Objekt fehlt",IF(YEAR(A1566)&lt;&gt;Einstellungen!$C$3,"anderes Jahr",IF(A1566&lt;INDEX(Mitarbeiter!$C$6:$C$205,MATCH(B1566,Mitarbeiter!$A$6:$A$205,0)),"vor Eintritt",IF(AND(INDEX(Mitarbeiter!$D$6:$D$205,MATCH(B1566,Mitarbeiter!$A$6:$A$205,0))&lt;&gt;"",A1566&gt;INDEX(Mitarbeiter!$D$6:$D$205,MATCH(B1566,Mitarbeiter!$A$6:$A$205,0))),"nach Austritt","ok")))))))</f>
        <v/>
      </c>
    </row>
    <row r="1567">
      <c r="A1567" s="26" t="n"/>
      <c r="B1567" s="24" t="n"/>
      <c r="C1567" s="40">
        <f>IF(B1567="","",IFERROR(INDEX(Mitarbeiter!$B$6:$B$205,MATCH(B1567,Mitarbeiter!$A$6:$A$205,0)),"?"))</f>
        <v/>
      </c>
      <c r="D1567" s="41" t="n"/>
      <c r="E1567" s="42" t="n"/>
      <c r="F1567" s="43" t="n"/>
      <c r="G1567" s="44">
        <f>IF(OR(B1567="",F1567=""),"",IFERROR(F1567*INDEX(Mitarbeiter!$F$6:$F$205,MATCH(B1567,Mitarbeiter!$A$6:$A$205,0)),0))</f>
        <v/>
      </c>
      <c r="H1567" s="8">
        <f>IF(B1567="","",IF(ISNA(MATCH(B1567,Mitarbeiter!$A$6:$A$205,0)),"Pers.-Nr. unbekannt",IF(A1567="","Datum fehlt",IF(AND(D1567&lt;&gt;Einstellungen!$C$4,D1567&lt;&gt;Einstellungen!$C$5),"Objekt fehlt",IF(YEAR(A1567)&lt;&gt;Einstellungen!$C$3,"anderes Jahr",IF(A1567&lt;INDEX(Mitarbeiter!$C$6:$C$205,MATCH(B1567,Mitarbeiter!$A$6:$A$205,0)),"vor Eintritt",IF(AND(INDEX(Mitarbeiter!$D$6:$D$205,MATCH(B1567,Mitarbeiter!$A$6:$A$205,0))&lt;&gt;"",A1567&gt;INDEX(Mitarbeiter!$D$6:$D$205,MATCH(B1567,Mitarbeiter!$A$6:$A$205,0))),"nach Austritt","ok")))))))</f>
        <v/>
      </c>
    </row>
    <row r="1568">
      <c r="A1568" s="26" t="n"/>
      <c r="B1568" s="24" t="n"/>
      <c r="C1568" s="40">
        <f>IF(B1568="","",IFERROR(INDEX(Mitarbeiter!$B$6:$B$205,MATCH(B1568,Mitarbeiter!$A$6:$A$205,0)),"?"))</f>
        <v/>
      </c>
      <c r="D1568" s="41" t="n"/>
      <c r="E1568" s="42" t="n"/>
      <c r="F1568" s="43" t="n"/>
      <c r="G1568" s="44">
        <f>IF(OR(B1568="",F1568=""),"",IFERROR(F1568*INDEX(Mitarbeiter!$F$6:$F$205,MATCH(B1568,Mitarbeiter!$A$6:$A$205,0)),0))</f>
        <v/>
      </c>
      <c r="H1568" s="8">
        <f>IF(B1568="","",IF(ISNA(MATCH(B1568,Mitarbeiter!$A$6:$A$205,0)),"Pers.-Nr. unbekannt",IF(A1568="","Datum fehlt",IF(AND(D1568&lt;&gt;Einstellungen!$C$4,D1568&lt;&gt;Einstellungen!$C$5),"Objekt fehlt",IF(YEAR(A1568)&lt;&gt;Einstellungen!$C$3,"anderes Jahr",IF(A1568&lt;INDEX(Mitarbeiter!$C$6:$C$205,MATCH(B1568,Mitarbeiter!$A$6:$A$205,0)),"vor Eintritt",IF(AND(INDEX(Mitarbeiter!$D$6:$D$205,MATCH(B1568,Mitarbeiter!$A$6:$A$205,0))&lt;&gt;"",A1568&gt;INDEX(Mitarbeiter!$D$6:$D$205,MATCH(B1568,Mitarbeiter!$A$6:$A$205,0))),"nach Austritt","ok")))))))</f>
        <v/>
      </c>
    </row>
    <row r="1569">
      <c r="A1569" s="26" t="n"/>
      <c r="B1569" s="24" t="n"/>
      <c r="C1569" s="40">
        <f>IF(B1569="","",IFERROR(INDEX(Mitarbeiter!$B$6:$B$205,MATCH(B1569,Mitarbeiter!$A$6:$A$205,0)),"?"))</f>
        <v/>
      </c>
      <c r="D1569" s="41" t="n"/>
      <c r="E1569" s="42" t="n"/>
      <c r="F1569" s="43" t="n"/>
      <c r="G1569" s="44">
        <f>IF(OR(B1569="",F1569=""),"",IFERROR(F1569*INDEX(Mitarbeiter!$F$6:$F$205,MATCH(B1569,Mitarbeiter!$A$6:$A$205,0)),0))</f>
        <v/>
      </c>
      <c r="H1569" s="8">
        <f>IF(B1569="","",IF(ISNA(MATCH(B1569,Mitarbeiter!$A$6:$A$205,0)),"Pers.-Nr. unbekannt",IF(A1569="","Datum fehlt",IF(AND(D1569&lt;&gt;Einstellungen!$C$4,D1569&lt;&gt;Einstellungen!$C$5),"Objekt fehlt",IF(YEAR(A1569)&lt;&gt;Einstellungen!$C$3,"anderes Jahr",IF(A1569&lt;INDEX(Mitarbeiter!$C$6:$C$205,MATCH(B1569,Mitarbeiter!$A$6:$A$205,0)),"vor Eintritt",IF(AND(INDEX(Mitarbeiter!$D$6:$D$205,MATCH(B1569,Mitarbeiter!$A$6:$A$205,0))&lt;&gt;"",A1569&gt;INDEX(Mitarbeiter!$D$6:$D$205,MATCH(B1569,Mitarbeiter!$A$6:$A$205,0))),"nach Austritt","ok")))))))</f>
        <v/>
      </c>
    </row>
    <row r="1570">
      <c r="A1570" s="26" t="n"/>
      <c r="B1570" s="24" t="n"/>
      <c r="C1570" s="40">
        <f>IF(B1570="","",IFERROR(INDEX(Mitarbeiter!$B$6:$B$205,MATCH(B1570,Mitarbeiter!$A$6:$A$205,0)),"?"))</f>
        <v/>
      </c>
      <c r="D1570" s="41" t="n"/>
      <c r="E1570" s="42" t="n"/>
      <c r="F1570" s="43" t="n"/>
      <c r="G1570" s="44">
        <f>IF(OR(B1570="",F1570=""),"",IFERROR(F1570*INDEX(Mitarbeiter!$F$6:$F$205,MATCH(B1570,Mitarbeiter!$A$6:$A$205,0)),0))</f>
        <v/>
      </c>
      <c r="H1570" s="8">
        <f>IF(B1570="","",IF(ISNA(MATCH(B1570,Mitarbeiter!$A$6:$A$205,0)),"Pers.-Nr. unbekannt",IF(A1570="","Datum fehlt",IF(AND(D1570&lt;&gt;Einstellungen!$C$4,D1570&lt;&gt;Einstellungen!$C$5),"Objekt fehlt",IF(YEAR(A1570)&lt;&gt;Einstellungen!$C$3,"anderes Jahr",IF(A1570&lt;INDEX(Mitarbeiter!$C$6:$C$205,MATCH(B1570,Mitarbeiter!$A$6:$A$205,0)),"vor Eintritt",IF(AND(INDEX(Mitarbeiter!$D$6:$D$205,MATCH(B1570,Mitarbeiter!$A$6:$A$205,0))&lt;&gt;"",A1570&gt;INDEX(Mitarbeiter!$D$6:$D$205,MATCH(B1570,Mitarbeiter!$A$6:$A$205,0))),"nach Austritt","ok")))))))</f>
        <v/>
      </c>
    </row>
    <row r="1571">
      <c r="A1571" s="26" t="n"/>
      <c r="B1571" s="24" t="n"/>
      <c r="C1571" s="40">
        <f>IF(B1571="","",IFERROR(INDEX(Mitarbeiter!$B$6:$B$205,MATCH(B1571,Mitarbeiter!$A$6:$A$205,0)),"?"))</f>
        <v/>
      </c>
      <c r="D1571" s="41" t="n"/>
      <c r="E1571" s="42" t="n"/>
      <c r="F1571" s="43" t="n"/>
      <c r="G1571" s="44">
        <f>IF(OR(B1571="",F1571=""),"",IFERROR(F1571*INDEX(Mitarbeiter!$F$6:$F$205,MATCH(B1571,Mitarbeiter!$A$6:$A$205,0)),0))</f>
        <v/>
      </c>
      <c r="H1571" s="8">
        <f>IF(B1571="","",IF(ISNA(MATCH(B1571,Mitarbeiter!$A$6:$A$205,0)),"Pers.-Nr. unbekannt",IF(A1571="","Datum fehlt",IF(AND(D1571&lt;&gt;Einstellungen!$C$4,D1571&lt;&gt;Einstellungen!$C$5),"Objekt fehlt",IF(YEAR(A1571)&lt;&gt;Einstellungen!$C$3,"anderes Jahr",IF(A1571&lt;INDEX(Mitarbeiter!$C$6:$C$205,MATCH(B1571,Mitarbeiter!$A$6:$A$205,0)),"vor Eintritt",IF(AND(INDEX(Mitarbeiter!$D$6:$D$205,MATCH(B1571,Mitarbeiter!$A$6:$A$205,0))&lt;&gt;"",A1571&gt;INDEX(Mitarbeiter!$D$6:$D$205,MATCH(B1571,Mitarbeiter!$A$6:$A$205,0))),"nach Austritt","ok")))))))</f>
        <v/>
      </c>
    </row>
    <row r="1572">
      <c r="A1572" s="26" t="n"/>
      <c r="B1572" s="24" t="n"/>
      <c r="C1572" s="40">
        <f>IF(B1572="","",IFERROR(INDEX(Mitarbeiter!$B$6:$B$205,MATCH(B1572,Mitarbeiter!$A$6:$A$205,0)),"?"))</f>
        <v/>
      </c>
      <c r="D1572" s="41" t="n"/>
      <c r="E1572" s="42" t="n"/>
      <c r="F1572" s="43" t="n"/>
      <c r="G1572" s="44">
        <f>IF(OR(B1572="",F1572=""),"",IFERROR(F1572*INDEX(Mitarbeiter!$F$6:$F$205,MATCH(B1572,Mitarbeiter!$A$6:$A$205,0)),0))</f>
        <v/>
      </c>
      <c r="H1572" s="8">
        <f>IF(B1572="","",IF(ISNA(MATCH(B1572,Mitarbeiter!$A$6:$A$205,0)),"Pers.-Nr. unbekannt",IF(A1572="","Datum fehlt",IF(AND(D1572&lt;&gt;Einstellungen!$C$4,D1572&lt;&gt;Einstellungen!$C$5),"Objekt fehlt",IF(YEAR(A1572)&lt;&gt;Einstellungen!$C$3,"anderes Jahr",IF(A1572&lt;INDEX(Mitarbeiter!$C$6:$C$205,MATCH(B1572,Mitarbeiter!$A$6:$A$205,0)),"vor Eintritt",IF(AND(INDEX(Mitarbeiter!$D$6:$D$205,MATCH(B1572,Mitarbeiter!$A$6:$A$205,0))&lt;&gt;"",A1572&gt;INDEX(Mitarbeiter!$D$6:$D$205,MATCH(B1572,Mitarbeiter!$A$6:$A$205,0))),"nach Austritt","ok")))))))</f>
        <v/>
      </c>
    </row>
    <row r="1573">
      <c r="A1573" s="26" t="n"/>
      <c r="B1573" s="24" t="n"/>
      <c r="C1573" s="40">
        <f>IF(B1573="","",IFERROR(INDEX(Mitarbeiter!$B$6:$B$205,MATCH(B1573,Mitarbeiter!$A$6:$A$205,0)),"?"))</f>
        <v/>
      </c>
      <c r="D1573" s="41" t="n"/>
      <c r="E1573" s="42" t="n"/>
      <c r="F1573" s="43" t="n"/>
      <c r="G1573" s="44">
        <f>IF(OR(B1573="",F1573=""),"",IFERROR(F1573*INDEX(Mitarbeiter!$F$6:$F$205,MATCH(B1573,Mitarbeiter!$A$6:$A$205,0)),0))</f>
        <v/>
      </c>
      <c r="H1573" s="8">
        <f>IF(B1573="","",IF(ISNA(MATCH(B1573,Mitarbeiter!$A$6:$A$205,0)),"Pers.-Nr. unbekannt",IF(A1573="","Datum fehlt",IF(AND(D1573&lt;&gt;Einstellungen!$C$4,D1573&lt;&gt;Einstellungen!$C$5),"Objekt fehlt",IF(YEAR(A1573)&lt;&gt;Einstellungen!$C$3,"anderes Jahr",IF(A1573&lt;INDEX(Mitarbeiter!$C$6:$C$205,MATCH(B1573,Mitarbeiter!$A$6:$A$205,0)),"vor Eintritt",IF(AND(INDEX(Mitarbeiter!$D$6:$D$205,MATCH(B1573,Mitarbeiter!$A$6:$A$205,0))&lt;&gt;"",A1573&gt;INDEX(Mitarbeiter!$D$6:$D$205,MATCH(B1573,Mitarbeiter!$A$6:$A$205,0))),"nach Austritt","ok")))))))</f>
        <v/>
      </c>
    </row>
    <row r="1574">
      <c r="A1574" s="26" t="n"/>
      <c r="B1574" s="24" t="n"/>
      <c r="C1574" s="40">
        <f>IF(B1574="","",IFERROR(INDEX(Mitarbeiter!$B$6:$B$205,MATCH(B1574,Mitarbeiter!$A$6:$A$205,0)),"?"))</f>
        <v/>
      </c>
      <c r="D1574" s="41" t="n"/>
      <c r="E1574" s="42" t="n"/>
      <c r="F1574" s="43" t="n"/>
      <c r="G1574" s="44">
        <f>IF(OR(B1574="",F1574=""),"",IFERROR(F1574*INDEX(Mitarbeiter!$F$6:$F$205,MATCH(B1574,Mitarbeiter!$A$6:$A$205,0)),0))</f>
        <v/>
      </c>
      <c r="H1574" s="8">
        <f>IF(B1574="","",IF(ISNA(MATCH(B1574,Mitarbeiter!$A$6:$A$205,0)),"Pers.-Nr. unbekannt",IF(A1574="","Datum fehlt",IF(AND(D1574&lt;&gt;Einstellungen!$C$4,D1574&lt;&gt;Einstellungen!$C$5),"Objekt fehlt",IF(YEAR(A1574)&lt;&gt;Einstellungen!$C$3,"anderes Jahr",IF(A1574&lt;INDEX(Mitarbeiter!$C$6:$C$205,MATCH(B1574,Mitarbeiter!$A$6:$A$205,0)),"vor Eintritt",IF(AND(INDEX(Mitarbeiter!$D$6:$D$205,MATCH(B1574,Mitarbeiter!$A$6:$A$205,0))&lt;&gt;"",A1574&gt;INDEX(Mitarbeiter!$D$6:$D$205,MATCH(B1574,Mitarbeiter!$A$6:$A$205,0))),"nach Austritt","ok")))))))</f>
        <v/>
      </c>
    </row>
    <row r="1575">
      <c r="A1575" s="26" t="n"/>
      <c r="B1575" s="24" t="n"/>
      <c r="C1575" s="40">
        <f>IF(B1575="","",IFERROR(INDEX(Mitarbeiter!$B$6:$B$205,MATCH(B1575,Mitarbeiter!$A$6:$A$205,0)),"?"))</f>
        <v/>
      </c>
      <c r="D1575" s="41" t="n"/>
      <c r="E1575" s="42" t="n"/>
      <c r="F1575" s="43" t="n"/>
      <c r="G1575" s="44">
        <f>IF(OR(B1575="",F1575=""),"",IFERROR(F1575*INDEX(Mitarbeiter!$F$6:$F$205,MATCH(B1575,Mitarbeiter!$A$6:$A$205,0)),0))</f>
        <v/>
      </c>
      <c r="H1575" s="8">
        <f>IF(B1575="","",IF(ISNA(MATCH(B1575,Mitarbeiter!$A$6:$A$205,0)),"Pers.-Nr. unbekannt",IF(A1575="","Datum fehlt",IF(AND(D1575&lt;&gt;Einstellungen!$C$4,D1575&lt;&gt;Einstellungen!$C$5),"Objekt fehlt",IF(YEAR(A1575)&lt;&gt;Einstellungen!$C$3,"anderes Jahr",IF(A1575&lt;INDEX(Mitarbeiter!$C$6:$C$205,MATCH(B1575,Mitarbeiter!$A$6:$A$205,0)),"vor Eintritt",IF(AND(INDEX(Mitarbeiter!$D$6:$D$205,MATCH(B1575,Mitarbeiter!$A$6:$A$205,0))&lt;&gt;"",A1575&gt;INDEX(Mitarbeiter!$D$6:$D$205,MATCH(B1575,Mitarbeiter!$A$6:$A$205,0))),"nach Austritt","ok")))))))</f>
        <v/>
      </c>
    </row>
    <row r="1576">
      <c r="A1576" s="26" t="n"/>
      <c r="B1576" s="24" t="n"/>
      <c r="C1576" s="40">
        <f>IF(B1576="","",IFERROR(INDEX(Mitarbeiter!$B$6:$B$205,MATCH(B1576,Mitarbeiter!$A$6:$A$205,0)),"?"))</f>
        <v/>
      </c>
      <c r="D1576" s="41" t="n"/>
      <c r="E1576" s="42" t="n"/>
      <c r="F1576" s="43" t="n"/>
      <c r="G1576" s="44">
        <f>IF(OR(B1576="",F1576=""),"",IFERROR(F1576*INDEX(Mitarbeiter!$F$6:$F$205,MATCH(B1576,Mitarbeiter!$A$6:$A$205,0)),0))</f>
        <v/>
      </c>
      <c r="H1576" s="8">
        <f>IF(B1576="","",IF(ISNA(MATCH(B1576,Mitarbeiter!$A$6:$A$205,0)),"Pers.-Nr. unbekannt",IF(A1576="","Datum fehlt",IF(AND(D1576&lt;&gt;Einstellungen!$C$4,D1576&lt;&gt;Einstellungen!$C$5),"Objekt fehlt",IF(YEAR(A1576)&lt;&gt;Einstellungen!$C$3,"anderes Jahr",IF(A1576&lt;INDEX(Mitarbeiter!$C$6:$C$205,MATCH(B1576,Mitarbeiter!$A$6:$A$205,0)),"vor Eintritt",IF(AND(INDEX(Mitarbeiter!$D$6:$D$205,MATCH(B1576,Mitarbeiter!$A$6:$A$205,0))&lt;&gt;"",A1576&gt;INDEX(Mitarbeiter!$D$6:$D$205,MATCH(B1576,Mitarbeiter!$A$6:$A$205,0))),"nach Austritt","ok")))))))</f>
        <v/>
      </c>
    </row>
    <row r="1577">
      <c r="A1577" s="26" t="n"/>
      <c r="B1577" s="24" t="n"/>
      <c r="C1577" s="40">
        <f>IF(B1577="","",IFERROR(INDEX(Mitarbeiter!$B$6:$B$205,MATCH(B1577,Mitarbeiter!$A$6:$A$205,0)),"?"))</f>
        <v/>
      </c>
      <c r="D1577" s="41" t="n"/>
      <c r="E1577" s="42" t="n"/>
      <c r="F1577" s="43" t="n"/>
      <c r="G1577" s="44">
        <f>IF(OR(B1577="",F1577=""),"",IFERROR(F1577*INDEX(Mitarbeiter!$F$6:$F$205,MATCH(B1577,Mitarbeiter!$A$6:$A$205,0)),0))</f>
        <v/>
      </c>
      <c r="H1577" s="8">
        <f>IF(B1577="","",IF(ISNA(MATCH(B1577,Mitarbeiter!$A$6:$A$205,0)),"Pers.-Nr. unbekannt",IF(A1577="","Datum fehlt",IF(AND(D1577&lt;&gt;Einstellungen!$C$4,D1577&lt;&gt;Einstellungen!$C$5),"Objekt fehlt",IF(YEAR(A1577)&lt;&gt;Einstellungen!$C$3,"anderes Jahr",IF(A1577&lt;INDEX(Mitarbeiter!$C$6:$C$205,MATCH(B1577,Mitarbeiter!$A$6:$A$205,0)),"vor Eintritt",IF(AND(INDEX(Mitarbeiter!$D$6:$D$205,MATCH(B1577,Mitarbeiter!$A$6:$A$205,0))&lt;&gt;"",A1577&gt;INDEX(Mitarbeiter!$D$6:$D$205,MATCH(B1577,Mitarbeiter!$A$6:$A$205,0))),"nach Austritt","ok")))))))</f>
        <v/>
      </c>
    </row>
    <row r="1578">
      <c r="A1578" s="26" t="n"/>
      <c r="B1578" s="24" t="n"/>
      <c r="C1578" s="40">
        <f>IF(B1578="","",IFERROR(INDEX(Mitarbeiter!$B$6:$B$205,MATCH(B1578,Mitarbeiter!$A$6:$A$205,0)),"?"))</f>
        <v/>
      </c>
      <c r="D1578" s="41" t="n"/>
      <c r="E1578" s="42" t="n"/>
      <c r="F1578" s="43" t="n"/>
      <c r="G1578" s="44">
        <f>IF(OR(B1578="",F1578=""),"",IFERROR(F1578*INDEX(Mitarbeiter!$F$6:$F$205,MATCH(B1578,Mitarbeiter!$A$6:$A$205,0)),0))</f>
        <v/>
      </c>
      <c r="H1578" s="8">
        <f>IF(B1578="","",IF(ISNA(MATCH(B1578,Mitarbeiter!$A$6:$A$205,0)),"Pers.-Nr. unbekannt",IF(A1578="","Datum fehlt",IF(AND(D1578&lt;&gt;Einstellungen!$C$4,D1578&lt;&gt;Einstellungen!$C$5),"Objekt fehlt",IF(YEAR(A1578)&lt;&gt;Einstellungen!$C$3,"anderes Jahr",IF(A1578&lt;INDEX(Mitarbeiter!$C$6:$C$205,MATCH(B1578,Mitarbeiter!$A$6:$A$205,0)),"vor Eintritt",IF(AND(INDEX(Mitarbeiter!$D$6:$D$205,MATCH(B1578,Mitarbeiter!$A$6:$A$205,0))&lt;&gt;"",A1578&gt;INDEX(Mitarbeiter!$D$6:$D$205,MATCH(B1578,Mitarbeiter!$A$6:$A$205,0))),"nach Austritt","ok")))))))</f>
        <v/>
      </c>
    </row>
    <row r="1579">
      <c r="A1579" s="26" t="n"/>
      <c r="B1579" s="24" t="n"/>
      <c r="C1579" s="40">
        <f>IF(B1579="","",IFERROR(INDEX(Mitarbeiter!$B$6:$B$205,MATCH(B1579,Mitarbeiter!$A$6:$A$205,0)),"?"))</f>
        <v/>
      </c>
      <c r="D1579" s="41" t="n"/>
      <c r="E1579" s="42" t="n"/>
      <c r="F1579" s="43" t="n"/>
      <c r="G1579" s="44">
        <f>IF(OR(B1579="",F1579=""),"",IFERROR(F1579*INDEX(Mitarbeiter!$F$6:$F$205,MATCH(B1579,Mitarbeiter!$A$6:$A$205,0)),0))</f>
        <v/>
      </c>
      <c r="H1579" s="8">
        <f>IF(B1579="","",IF(ISNA(MATCH(B1579,Mitarbeiter!$A$6:$A$205,0)),"Pers.-Nr. unbekannt",IF(A1579="","Datum fehlt",IF(AND(D1579&lt;&gt;Einstellungen!$C$4,D1579&lt;&gt;Einstellungen!$C$5),"Objekt fehlt",IF(YEAR(A1579)&lt;&gt;Einstellungen!$C$3,"anderes Jahr",IF(A1579&lt;INDEX(Mitarbeiter!$C$6:$C$205,MATCH(B1579,Mitarbeiter!$A$6:$A$205,0)),"vor Eintritt",IF(AND(INDEX(Mitarbeiter!$D$6:$D$205,MATCH(B1579,Mitarbeiter!$A$6:$A$205,0))&lt;&gt;"",A1579&gt;INDEX(Mitarbeiter!$D$6:$D$205,MATCH(B1579,Mitarbeiter!$A$6:$A$205,0))),"nach Austritt","ok")))))))</f>
        <v/>
      </c>
    </row>
    <row r="1580">
      <c r="A1580" s="26" t="n"/>
      <c r="B1580" s="24" t="n"/>
      <c r="C1580" s="40">
        <f>IF(B1580="","",IFERROR(INDEX(Mitarbeiter!$B$6:$B$205,MATCH(B1580,Mitarbeiter!$A$6:$A$205,0)),"?"))</f>
        <v/>
      </c>
      <c r="D1580" s="41" t="n"/>
      <c r="E1580" s="42" t="n"/>
      <c r="F1580" s="43" t="n"/>
      <c r="G1580" s="44">
        <f>IF(OR(B1580="",F1580=""),"",IFERROR(F1580*INDEX(Mitarbeiter!$F$6:$F$205,MATCH(B1580,Mitarbeiter!$A$6:$A$205,0)),0))</f>
        <v/>
      </c>
      <c r="H1580" s="8">
        <f>IF(B1580="","",IF(ISNA(MATCH(B1580,Mitarbeiter!$A$6:$A$205,0)),"Pers.-Nr. unbekannt",IF(A1580="","Datum fehlt",IF(AND(D1580&lt;&gt;Einstellungen!$C$4,D1580&lt;&gt;Einstellungen!$C$5),"Objekt fehlt",IF(YEAR(A1580)&lt;&gt;Einstellungen!$C$3,"anderes Jahr",IF(A1580&lt;INDEX(Mitarbeiter!$C$6:$C$205,MATCH(B1580,Mitarbeiter!$A$6:$A$205,0)),"vor Eintritt",IF(AND(INDEX(Mitarbeiter!$D$6:$D$205,MATCH(B1580,Mitarbeiter!$A$6:$A$205,0))&lt;&gt;"",A1580&gt;INDEX(Mitarbeiter!$D$6:$D$205,MATCH(B1580,Mitarbeiter!$A$6:$A$205,0))),"nach Austritt","ok")))))))</f>
        <v/>
      </c>
    </row>
    <row r="1581">
      <c r="A1581" s="26" t="n"/>
      <c r="B1581" s="24" t="n"/>
      <c r="C1581" s="40">
        <f>IF(B1581="","",IFERROR(INDEX(Mitarbeiter!$B$6:$B$205,MATCH(B1581,Mitarbeiter!$A$6:$A$205,0)),"?"))</f>
        <v/>
      </c>
      <c r="D1581" s="41" t="n"/>
      <c r="E1581" s="42" t="n"/>
      <c r="F1581" s="43" t="n"/>
      <c r="G1581" s="44">
        <f>IF(OR(B1581="",F1581=""),"",IFERROR(F1581*INDEX(Mitarbeiter!$F$6:$F$205,MATCH(B1581,Mitarbeiter!$A$6:$A$205,0)),0))</f>
        <v/>
      </c>
      <c r="H1581" s="8">
        <f>IF(B1581="","",IF(ISNA(MATCH(B1581,Mitarbeiter!$A$6:$A$205,0)),"Pers.-Nr. unbekannt",IF(A1581="","Datum fehlt",IF(AND(D1581&lt;&gt;Einstellungen!$C$4,D1581&lt;&gt;Einstellungen!$C$5),"Objekt fehlt",IF(YEAR(A1581)&lt;&gt;Einstellungen!$C$3,"anderes Jahr",IF(A1581&lt;INDEX(Mitarbeiter!$C$6:$C$205,MATCH(B1581,Mitarbeiter!$A$6:$A$205,0)),"vor Eintritt",IF(AND(INDEX(Mitarbeiter!$D$6:$D$205,MATCH(B1581,Mitarbeiter!$A$6:$A$205,0))&lt;&gt;"",A1581&gt;INDEX(Mitarbeiter!$D$6:$D$205,MATCH(B1581,Mitarbeiter!$A$6:$A$205,0))),"nach Austritt","ok")))))))</f>
        <v/>
      </c>
    </row>
    <row r="1582">
      <c r="A1582" s="26" t="n"/>
      <c r="B1582" s="24" t="n"/>
      <c r="C1582" s="40">
        <f>IF(B1582="","",IFERROR(INDEX(Mitarbeiter!$B$6:$B$205,MATCH(B1582,Mitarbeiter!$A$6:$A$205,0)),"?"))</f>
        <v/>
      </c>
      <c r="D1582" s="41" t="n"/>
      <c r="E1582" s="42" t="n"/>
      <c r="F1582" s="43" t="n"/>
      <c r="G1582" s="44">
        <f>IF(OR(B1582="",F1582=""),"",IFERROR(F1582*INDEX(Mitarbeiter!$F$6:$F$205,MATCH(B1582,Mitarbeiter!$A$6:$A$205,0)),0))</f>
        <v/>
      </c>
      <c r="H1582" s="8">
        <f>IF(B1582="","",IF(ISNA(MATCH(B1582,Mitarbeiter!$A$6:$A$205,0)),"Pers.-Nr. unbekannt",IF(A1582="","Datum fehlt",IF(AND(D1582&lt;&gt;Einstellungen!$C$4,D1582&lt;&gt;Einstellungen!$C$5),"Objekt fehlt",IF(YEAR(A1582)&lt;&gt;Einstellungen!$C$3,"anderes Jahr",IF(A1582&lt;INDEX(Mitarbeiter!$C$6:$C$205,MATCH(B1582,Mitarbeiter!$A$6:$A$205,0)),"vor Eintritt",IF(AND(INDEX(Mitarbeiter!$D$6:$D$205,MATCH(B1582,Mitarbeiter!$A$6:$A$205,0))&lt;&gt;"",A1582&gt;INDEX(Mitarbeiter!$D$6:$D$205,MATCH(B1582,Mitarbeiter!$A$6:$A$205,0))),"nach Austritt","ok")))))))</f>
        <v/>
      </c>
    </row>
    <row r="1583">
      <c r="A1583" s="26" t="n"/>
      <c r="B1583" s="24" t="n"/>
      <c r="C1583" s="40">
        <f>IF(B1583="","",IFERROR(INDEX(Mitarbeiter!$B$6:$B$205,MATCH(B1583,Mitarbeiter!$A$6:$A$205,0)),"?"))</f>
        <v/>
      </c>
      <c r="D1583" s="41" t="n"/>
      <c r="E1583" s="42" t="n"/>
      <c r="F1583" s="43" t="n"/>
      <c r="G1583" s="44">
        <f>IF(OR(B1583="",F1583=""),"",IFERROR(F1583*INDEX(Mitarbeiter!$F$6:$F$205,MATCH(B1583,Mitarbeiter!$A$6:$A$205,0)),0))</f>
        <v/>
      </c>
      <c r="H1583" s="8">
        <f>IF(B1583="","",IF(ISNA(MATCH(B1583,Mitarbeiter!$A$6:$A$205,0)),"Pers.-Nr. unbekannt",IF(A1583="","Datum fehlt",IF(AND(D1583&lt;&gt;Einstellungen!$C$4,D1583&lt;&gt;Einstellungen!$C$5),"Objekt fehlt",IF(YEAR(A1583)&lt;&gt;Einstellungen!$C$3,"anderes Jahr",IF(A1583&lt;INDEX(Mitarbeiter!$C$6:$C$205,MATCH(B1583,Mitarbeiter!$A$6:$A$205,0)),"vor Eintritt",IF(AND(INDEX(Mitarbeiter!$D$6:$D$205,MATCH(B1583,Mitarbeiter!$A$6:$A$205,0))&lt;&gt;"",A1583&gt;INDEX(Mitarbeiter!$D$6:$D$205,MATCH(B1583,Mitarbeiter!$A$6:$A$205,0))),"nach Austritt","ok")))))))</f>
        <v/>
      </c>
    </row>
    <row r="1584">
      <c r="A1584" s="26" t="n"/>
      <c r="B1584" s="24" t="n"/>
      <c r="C1584" s="40">
        <f>IF(B1584="","",IFERROR(INDEX(Mitarbeiter!$B$6:$B$205,MATCH(B1584,Mitarbeiter!$A$6:$A$205,0)),"?"))</f>
        <v/>
      </c>
      <c r="D1584" s="41" t="n"/>
      <c r="E1584" s="42" t="n"/>
      <c r="F1584" s="43" t="n"/>
      <c r="G1584" s="44">
        <f>IF(OR(B1584="",F1584=""),"",IFERROR(F1584*INDEX(Mitarbeiter!$F$6:$F$205,MATCH(B1584,Mitarbeiter!$A$6:$A$205,0)),0))</f>
        <v/>
      </c>
      <c r="H1584" s="8">
        <f>IF(B1584="","",IF(ISNA(MATCH(B1584,Mitarbeiter!$A$6:$A$205,0)),"Pers.-Nr. unbekannt",IF(A1584="","Datum fehlt",IF(AND(D1584&lt;&gt;Einstellungen!$C$4,D1584&lt;&gt;Einstellungen!$C$5),"Objekt fehlt",IF(YEAR(A1584)&lt;&gt;Einstellungen!$C$3,"anderes Jahr",IF(A1584&lt;INDEX(Mitarbeiter!$C$6:$C$205,MATCH(B1584,Mitarbeiter!$A$6:$A$205,0)),"vor Eintritt",IF(AND(INDEX(Mitarbeiter!$D$6:$D$205,MATCH(B1584,Mitarbeiter!$A$6:$A$205,0))&lt;&gt;"",A1584&gt;INDEX(Mitarbeiter!$D$6:$D$205,MATCH(B1584,Mitarbeiter!$A$6:$A$205,0))),"nach Austritt","ok")))))))</f>
        <v/>
      </c>
    </row>
    <row r="1585">
      <c r="A1585" s="26" t="n"/>
      <c r="B1585" s="24" t="n"/>
      <c r="C1585" s="40">
        <f>IF(B1585="","",IFERROR(INDEX(Mitarbeiter!$B$6:$B$205,MATCH(B1585,Mitarbeiter!$A$6:$A$205,0)),"?"))</f>
        <v/>
      </c>
      <c r="D1585" s="41" t="n"/>
      <c r="E1585" s="42" t="n"/>
      <c r="F1585" s="43" t="n"/>
      <c r="G1585" s="44">
        <f>IF(OR(B1585="",F1585=""),"",IFERROR(F1585*INDEX(Mitarbeiter!$F$6:$F$205,MATCH(B1585,Mitarbeiter!$A$6:$A$205,0)),0))</f>
        <v/>
      </c>
      <c r="H1585" s="8">
        <f>IF(B1585="","",IF(ISNA(MATCH(B1585,Mitarbeiter!$A$6:$A$205,0)),"Pers.-Nr. unbekannt",IF(A1585="","Datum fehlt",IF(AND(D1585&lt;&gt;Einstellungen!$C$4,D1585&lt;&gt;Einstellungen!$C$5),"Objekt fehlt",IF(YEAR(A1585)&lt;&gt;Einstellungen!$C$3,"anderes Jahr",IF(A1585&lt;INDEX(Mitarbeiter!$C$6:$C$205,MATCH(B1585,Mitarbeiter!$A$6:$A$205,0)),"vor Eintritt",IF(AND(INDEX(Mitarbeiter!$D$6:$D$205,MATCH(B1585,Mitarbeiter!$A$6:$A$205,0))&lt;&gt;"",A1585&gt;INDEX(Mitarbeiter!$D$6:$D$205,MATCH(B1585,Mitarbeiter!$A$6:$A$205,0))),"nach Austritt","ok")))))))</f>
        <v/>
      </c>
    </row>
    <row r="1586">
      <c r="A1586" s="26" t="n"/>
      <c r="B1586" s="24" t="n"/>
      <c r="C1586" s="40">
        <f>IF(B1586="","",IFERROR(INDEX(Mitarbeiter!$B$6:$B$205,MATCH(B1586,Mitarbeiter!$A$6:$A$205,0)),"?"))</f>
        <v/>
      </c>
      <c r="D1586" s="41" t="n"/>
      <c r="E1586" s="42" t="n"/>
      <c r="F1586" s="43" t="n"/>
      <c r="G1586" s="44">
        <f>IF(OR(B1586="",F1586=""),"",IFERROR(F1586*INDEX(Mitarbeiter!$F$6:$F$205,MATCH(B1586,Mitarbeiter!$A$6:$A$205,0)),0))</f>
        <v/>
      </c>
      <c r="H1586" s="8">
        <f>IF(B1586="","",IF(ISNA(MATCH(B1586,Mitarbeiter!$A$6:$A$205,0)),"Pers.-Nr. unbekannt",IF(A1586="","Datum fehlt",IF(AND(D1586&lt;&gt;Einstellungen!$C$4,D1586&lt;&gt;Einstellungen!$C$5),"Objekt fehlt",IF(YEAR(A1586)&lt;&gt;Einstellungen!$C$3,"anderes Jahr",IF(A1586&lt;INDEX(Mitarbeiter!$C$6:$C$205,MATCH(B1586,Mitarbeiter!$A$6:$A$205,0)),"vor Eintritt",IF(AND(INDEX(Mitarbeiter!$D$6:$D$205,MATCH(B1586,Mitarbeiter!$A$6:$A$205,0))&lt;&gt;"",A1586&gt;INDEX(Mitarbeiter!$D$6:$D$205,MATCH(B1586,Mitarbeiter!$A$6:$A$205,0))),"nach Austritt","ok")))))))</f>
        <v/>
      </c>
    </row>
    <row r="1587">
      <c r="A1587" s="26" t="n"/>
      <c r="B1587" s="24" t="n"/>
      <c r="C1587" s="40">
        <f>IF(B1587="","",IFERROR(INDEX(Mitarbeiter!$B$6:$B$205,MATCH(B1587,Mitarbeiter!$A$6:$A$205,0)),"?"))</f>
        <v/>
      </c>
      <c r="D1587" s="41" t="n"/>
      <c r="E1587" s="42" t="n"/>
      <c r="F1587" s="43" t="n"/>
      <c r="G1587" s="44">
        <f>IF(OR(B1587="",F1587=""),"",IFERROR(F1587*INDEX(Mitarbeiter!$F$6:$F$205,MATCH(B1587,Mitarbeiter!$A$6:$A$205,0)),0))</f>
        <v/>
      </c>
      <c r="H1587" s="8">
        <f>IF(B1587="","",IF(ISNA(MATCH(B1587,Mitarbeiter!$A$6:$A$205,0)),"Pers.-Nr. unbekannt",IF(A1587="","Datum fehlt",IF(AND(D1587&lt;&gt;Einstellungen!$C$4,D1587&lt;&gt;Einstellungen!$C$5),"Objekt fehlt",IF(YEAR(A1587)&lt;&gt;Einstellungen!$C$3,"anderes Jahr",IF(A1587&lt;INDEX(Mitarbeiter!$C$6:$C$205,MATCH(B1587,Mitarbeiter!$A$6:$A$205,0)),"vor Eintritt",IF(AND(INDEX(Mitarbeiter!$D$6:$D$205,MATCH(B1587,Mitarbeiter!$A$6:$A$205,0))&lt;&gt;"",A1587&gt;INDEX(Mitarbeiter!$D$6:$D$205,MATCH(B1587,Mitarbeiter!$A$6:$A$205,0))),"nach Austritt","ok")))))))</f>
        <v/>
      </c>
    </row>
    <row r="1588">
      <c r="A1588" s="26" t="n"/>
      <c r="B1588" s="24" t="n"/>
      <c r="C1588" s="40">
        <f>IF(B1588="","",IFERROR(INDEX(Mitarbeiter!$B$6:$B$205,MATCH(B1588,Mitarbeiter!$A$6:$A$205,0)),"?"))</f>
        <v/>
      </c>
      <c r="D1588" s="41" t="n"/>
      <c r="E1588" s="42" t="n"/>
      <c r="F1588" s="43" t="n"/>
      <c r="G1588" s="44">
        <f>IF(OR(B1588="",F1588=""),"",IFERROR(F1588*INDEX(Mitarbeiter!$F$6:$F$205,MATCH(B1588,Mitarbeiter!$A$6:$A$205,0)),0))</f>
        <v/>
      </c>
      <c r="H1588" s="8">
        <f>IF(B1588="","",IF(ISNA(MATCH(B1588,Mitarbeiter!$A$6:$A$205,0)),"Pers.-Nr. unbekannt",IF(A1588="","Datum fehlt",IF(AND(D1588&lt;&gt;Einstellungen!$C$4,D1588&lt;&gt;Einstellungen!$C$5),"Objekt fehlt",IF(YEAR(A1588)&lt;&gt;Einstellungen!$C$3,"anderes Jahr",IF(A1588&lt;INDEX(Mitarbeiter!$C$6:$C$205,MATCH(B1588,Mitarbeiter!$A$6:$A$205,0)),"vor Eintritt",IF(AND(INDEX(Mitarbeiter!$D$6:$D$205,MATCH(B1588,Mitarbeiter!$A$6:$A$205,0))&lt;&gt;"",A1588&gt;INDEX(Mitarbeiter!$D$6:$D$205,MATCH(B1588,Mitarbeiter!$A$6:$A$205,0))),"nach Austritt","ok")))))))</f>
        <v/>
      </c>
    </row>
    <row r="1589">
      <c r="A1589" s="26" t="n"/>
      <c r="B1589" s="24" t="n"/>
      <c r="C1589" s="40">
        <f>IF(B1589="","",IFERROR(INDEX(Mitarbeiter!$B$6:$B$205,MATCH(B1589,Mitarbeiter!$A$6:$A$205,0)),"?"))</f>
        <v/>
      </c>
      <c r="D1589" s="41" t="n"/>
      <c r="E1589" s="42" t="n"/>
      <c r="F1589" s="43" t="n"/>
      <c r="G1589" s="44">
        <f>IF(OR(B1589="",F1589=""),"",IFERROR(F1589*INDEX(Mitarbeiter!$F$6:$F$205,MATCH(B1589,Mitarbeiter!$A$6:$A$205,0)),0))</f>
        <v/>
      </c>
      <c r="H1589" s="8">
        <f>IF(B1589="","",IF(ISNA(MATCH(B1589,Mitarbeiter!$A$6:$A$205,0)),"Pers.-Nr. unbekannt",IF(A1589="","Datum fehlt",IF(AND(D1589&lt;&gt;Einstellungen!$C$4,D1589&lt;&gt;Einstellungen!$C$5),"Objekt fehlt",IF(YEAR(A1589)&lt;&gt;Einstellungen!$C$3,"anderes Jahr",IF(A1589&lt;INDEX(Mitarbeiter!$C$6:$C$205,MATCH(B1589,Mitarbeiter!$A$6:$A$205,0)),"vor Eintritt",IF(AND(INDEX(Mitarbeiter!$D$6:$D$205,MATCH(B1589,Mitarbeiter!$A$6:$A$205,0))&lt;&gt;"",A1589&gt;INDEX(Mitarbeiter!$D$6:$D$205,MATCH(B1589,Mitarbeiter!$A$6:$A$205,0))),"nach Austritt","ok")))))))</f>
        <v/>
      </c>
    </row>
    <row r="1590">
      <c r="A1590" s="26" t="n"/>
      <c r="B1590" s="24" t="n"/>
      <c r="C1590" s="40">
        <f>IF(B1590="","",IFERROR(INDEX(Mitarbeiter!$B$6:$B$205,MATCH(B1590,Mitarbeiter!$A$6:$A$205,0)),"?"))</f>
        <v/>
      </c>
      <c r="D1590" s="41" t="n"/>
      <c r="E1590" s="42" t="n"/>
      <c r="F1590" s="43" t="n"/>
      <c r="G1590" s="44">
        <f>IF(OR(B1590="",F1590=""),"",IFERROR(F1590*INDEX(Mitarbeiter!$F$6:$F$205,MATCH(B1590,Mitarbeiter!$A$6:$A$205,0)),0))</f>
        <v/>
      </c>
      <c r="H1590" s="8">
        <f>IF(B1590="","",IF(ISNA(MATCH(B1590,Mitarbeiter!$A$6:$A$205,0)),"Pers.-Nr. unbekannt",IF(A1590="","Datum fehlt",IF(AND(D1590&lt;&gt;Einstellungen!$C$4,D1590&lt;&gt;Einstellungen!$C$5),"Objekt fehlt",IF(YEAR(A1590)&lt;&gt;Einstellungen!$C$3,"anderes Jahr",IF(A1590&lt;INDEX(Mitarbeiter!$C$6:$C$205,MATCH(B1590,Mitarbeiter!$A$6:$A$205,0)),"vor Eintritt",IF(AND(INDEX(Mitarbeiter!$D$6:$D$205,MATCH(B1590,Mitarbeiter!$A$6:$A$205,0))&lt;&gt;"",A1590&gt;INDEX(Mitarbeiter!$D$6:$D$205,MATCH(B1590,Mitarbeiter!$A$6:$A$205,0))),"nach Austritt","ok")))))))</f>
        <v/>
      </c>
    </row>
    <row r="1591">
      <c r="A1591" s="26" t="n"/>
      <c r="B1591" s="24" t="n"/>
      <c r="C1591" s="40">
        <f>IF(B1591="","",IFERROR(INDEX(Mitarbeiter!$B$6:$B$205,MATCH(B1591,Mitarbeiter!$A$6:$A$205,0)),"?"))</f>
        <v/>
      </c>
      <c r="D1591" s="41" t="n"/>
      <c r="E1591" s="42" t="n"/>
      <c r="F1591" s="43" t="n"/>
      <c r="G1591" s="44">
        <f>IF(OR(B1591="",F1591=""),"",IFERROR(F1591*INDEX(Mitarbeiter!$F$6:$F$205,MATCH(B1591,Mitarbeiter!$A$6:$A$205,0)),0))</f>
        <v/>
      </c>
      <c r="H1591" s="8">
        <f>IF(B1591="","",IF(ISNA(MATCH(B1591,Mitarbeiter!$A$6:$A$205,0)),"Pers.-Nr. unbekannt",IF(A1591="","Datum fehlt",IF(AND(D1591&lt;&gt;Einstellungen!$C$4,D1591&lt;&gt;Einstellungen!$C$5),"Objekt fehlt",IF(YEAR(A1591)&lt;&gt;Einstellungen!$C$3,"anderes Jahr",IF(A1591&lt;INDEX(Mitarbeiter!$C$6:$C$205,MATCH(B1591,Mitarbeiter!$A$6:$A$205,0)),"vor Eintritt",IF(AND(INDEX(Mitarbeiter!$D$6:$D$205,MATCH(B1591,Mitarbeiter!$A$6:$A$205,0))&lt;&gt;"",A1591&gt;INDEX(Mitarbeiter!$D$6:$D$205,MATCH(B1591,Mitarbeiter!$A$6:$A$205,0))),"nach Austritt","ok")))))))</f>
        <v/>
      </c>
    </row>
    <row r="1592">
      <c r="A1592" s="26" t="n"/>
      <c r="B1592" s="24" t="n"/>
      <c r="C1592" s="40">
        <f>IF(B1592="","",IFERROR(INDEX(Mitarbeiter!$B$6:$B$205,MATCH(B1592,Mitarbeiter!$A$6:$A$205,0)),"?"))</f>
        <v/>
      </c>
      <c r="D1592" s="41" t="n"/>
      <c r="E1592" s="42" t="n"/>
      <c r="F1592" s="43" t="n"/>
      <c r="G1592" s="44">
        <f>IF(OR(B1592="",F1592=""),"",IFERROR(F1592*INDEX(Mitarbeiter!$F$6:$F$205,MATCH(B1592,Mitarbeiter!$A$6:$A$205,0)),0))</f>
        <v/>
      </c>
      <c r="H1592" s="8">
        <f>IF(B1592="","",IF(ISNA(MATCH(B1592,Mitarbeiter!$A$6:$A$205,0)),"Pers.-Nr. unbekannt",IF(A1592="","Datum fehlt",IF(AND(D1592&lt;&gt;Einstellungen!$C$4,D1592&lt;&gt;Einstellungen!$C$5),"Objekt fehlt",IF(YEAR(A1592)&lt;&gt;Einstellungen!$C$3,"anderes Jahr",IF(A1592&lt;INDEX(Mitarbeiter!$C$6:$C$205,MATCH(B1592,Mitarbeiter!$A$6:$A$205,0)),"vor Eintritt",IF(AND(INDEX(Mitarbeiter!$D$6:$D$205,MATCH(B1592,Mitarbeiter!$A$6:$A$205,0))&lt;&gt;"",A1592&gt;INDEX(Mitarbeiter!$D$6:$D$205,MATCH(B1592,Mitarbeiter!$A$6:$A$205,0))),"nach Austritt","ok")))))))</f>
        <v/>
      </c>
    </row>
    <row r="1593">
      <c r="A1593" s="26" t="n"/>
      <c r="B1593" s="24" t="n"/>
      <c r="C1593" s="40">
        <f>IF(B1593="","",IFERROR(INDEX(Mitarbeiter!$B$6:$B$205,MATCH(B1593,Mitarbeiter!$A$6:$A$205,0)),"?"))</f>
        <v/>
      </c>
      <c r="D1593" s="41" t="n"/>
      <c r="E1593" s="42" t="n"/>
      <c r="F1593" s="43" t="n"/>
      <c r="G1593" s="44">
        <f>IF(OR(B1593="",F1593=""),"",IFERROR(F1593*INDEX(Mitarbeiter!$F$6:$F$205,MATCH(B1593,Mitarbeiter!$A$6:$A$205,0)),0))</f>
        <v/>
      </c>
      <c r="H1593" s="8">
        <f>IF(B1593="","",IF(ISNA(MATCH(B1593,Mitarbeiter!$A$6:$A$205,0)),"Pers.-Nr. unbekannt",IF(A1593="","Datum fehlt",IF(AND(D1593&lt;&gt;Einstellungen!$C$4,D1593&lt;&gt;Einstellungen!$C$5),"Objekt fehlt",IF(YEAR(A1593)&lt;&gt;Einstellungen!$C$3,"anderes Jahr",IF(A1593&lt;INDEX(Mitarbeiter!$C$6:$C$205,MATCH(B1593,Mitarbeiter!$A$6:$A$205,0)),"vor Eintritt",IF(AND(INDEX(Mitarbeiter!$D$6:$D$205,MATCH(B1593,Mitarbeiter!$A$6:$A$205,0))&lt;&gt;"",A1593&gt;INDEX(Mitarbeiter!$D$6:$D$205,MATCH(B1593,Mitarbeiter!$A$6:$A$205,0))),"nach Austritt","ok")))))))</f>
        <v/>
      </c>
    </row>
    <row r="1594">
      <c r="A1594" s="26" t="n"/>
      <c r="B1594" s="24" t="n"/>
      <c r="C1594" s="40">
        <f>IF(B1594="","",IFERROR(INDEX(Mitarbeiter!$B$6:$B$205,MATCH(B1594,Mitarbeiter!$A$6:$A$205,0)),"?"))</f>
        <v/>
      </c>
      <c r="D1594" s="41" t="n"/>
      <c r="E1594" s="42" t="n"/>
      <c r="F1594" s="43" t="n"/>
      <c r="G1594" s="44">
        <f>IF(OR(B1594="",F1594=""),"",IFERROR(F1594*INDEX(Mitarbeiter!$F$6:$F$205,MATCH(B1594,Mitarbeiter!$A$6:$A$205,0)),0))</f>
        <v/>
      </c>
      <c r="H1594" s="8">
        <f>IF(B1594="","",IF(ISNA(MATCH(B1594,Mitarbeiter!$A$6:$A$205,0)),"Pers.-Nr. unbekannt",IF(A1594="","Datum fehlt",IF(AND(D1594&lt;&gt;Einstellungen!$C$4,D1594&lt;&gt;Einstellungen!$C$5),"Objekt fehlt",IF(YEAR(A1594)&lt;&gt;Einstellungen!$C$3,"anderes Jahr",IF(A1594&lt;INDEX(Mitarbeiter!$C$6:$C$205,MATCH(B1594,Mitarbeiter!$A$6:$A$205,0)),"vor Eintritt",IF(AND(INDEX(Mitarbeiter!$D$6:$D$205,MATCH(B1594,Mitarbeiter!$A$6:$A$205,0))&lt;&gt;"",A1594&gt;INDEX(Mitarbeiter!$D$6:$D$205,MATCH(B1594,Mitarbeiter!$A$6:$A$205,0))),"nach Austritt","ok")))))))</f>
        <v/>
      </c>
    </row>
    <row r="1595">
      <c r="A1595" s="26" t="n"/>
      <c r="B1595" s="24" t="n"/>
      <c r="C1595" s="40">
        <f>IF(B1595="","",IFERROR(INDEX(Mitarbeiter!$B$6:$B$205,MATCH(B1595,Mitarbeiter!$A$6:$A$205,0)),"?"))</f>
        <v/>
      </c>
      <c r="D1595" s="41" t="n"/>
      <c r="E1595" s="42" t="n"/>
      <c r="F1595" s="43" t="n"/>
      <c r="G1595" s="44">
        <f>IF(OR(B1595="",F1595=""),"",IFERROR(F1595*INDEX(Mitarbeiter!$F$6:$F$205,MATCH(B1595,Mitarbeiter!$A$6:$A$205,0)),0))</f>
        <v/>
      </c>
      <c r="H1595" s="8">
        <f>IF(B1595="","",IF(ISNA(MATCH(B1595,Mitarbeiter!$A$6:$A$205,0)),"Pers.-Nr. unbekannt",IF(A1595="","Datum fehlt",IF(AND(D1595&lt;&gt;Einstellungen!$C$4,D1595&lt;&gt;Einstellungen!$C$5),"Objekt fehlt",IF(YEAR(A1595)&lt;&gt;Einstellungen!$C$3,"anderes Jahr",IF(A1595&lt;INDEX(Mitarbeiter!$C$6:$C$205,MATCH(B1595,Mitarbeiter!$A$6:$A$205,0)),"vor Eintritt",IF(AND(INDEX(Mitarbeiter!$D$6:$D$205,MATCH(B1595,Mitarbeiter!$A$6:$A$205,0))&lt;&gt;"",A1595&gt;INDEX(Mitarbeiter!$D$6:$D$205,MATCH(B1595,Mitarbeiter!$A$6:$A$205,0))),"nach Austritt","ok")))))))</f>
        <v/>
      </c>
    </row>
    <row r="1596">
      <c r="A1596" s="26" t="n"/>
      <c r="B1596" s="24" t="n"/>
      <c r="C1596" s="40">
        <f>IF(B1596="","",IFERROR(INDEX(Mitarbeiter!$B$6:$B$205,MATCH(B1596,Mitarbeiter!$A$6:$A$205,0)),"?"))</f>
        <v/>
      </c>
      <c r="D1596" s="41" t="n"/>
      <c r="E1596" s="42" t="n"/>
      <c r="F1596" s="43" t="n"/>
      <c r="G1596" s="44">
        <f>IF(OR(B1596="",F1596=""),"",IFERROR(F1596*INDEX(Mitarbeiter!$F$6:$F$205,MATCH(B1596,Mitarbeiter!$A$6:$A$205,0)),0))</f>
        <v/>
      </c>
      <c r="H1596" s="8">
        <f>IF(B1596="","",IF(ISNA(MATCH(B1596,Mitarbeiter!$A$6:$A$205,0)),"Pers.-Nr. unbekannt",IF(A1596="","Datum fehlt",IF(AND(D1596&lt;&gt;Einstellungen!$C$4,D1596&lt;&gt;Einstellungen!$C$5),"Objekt fehlt",IF(YEAR(A1596)&lt;&gt;Einstellungen!$C$3,"anderes Jahr",IF(A1596&lt;INDEX(Mitarbeiter!$C$6:$C$205,MATCH(B1596,Mitarbeiter!$A$6:$A$205,0)),"vor Eintritt",IF(AND(INDEX(Mitarbeiter!$D$6:$D$205,MATCH(B1596,Mitarbeiter!$A$6:$A$205,0))&lt;&gt;"",A1596&gt;INDEX(Mitarbeiter!$D$6:$D$205,MATCH(B1596,Mitarbeiter!$A$6:$A$205,0))),"nach Austritt","ok")))))))</f>
        <v/>
      </c>
    </row>
    <row r="1597">
      <c r="A1597" s="26" t="n"/>
      <c r="B1597" s="24" t="n"/>
      <c r="C1597" s="40">
        <f>IF(B1597="","",IFERROR(INDEX(Mitarbeiter!$B$6:$B$205,MATCH(B1597,Mitarbeiter!$A$6:$A$205,0)),"?"))</f>
        <v/>
      </c>
      <c r="D1597" s="41" t="n"/>
      <c r="E1597" s="42" t="n"/>
      <c r="F1597" s="43" t="n"/>
      <c r="G1597" s="44">
        <f>IF(OR(B1597="",F1597=""),"",IFERROR(F1597*INDEX(Mitarbeiter!$F$6:$F$205,MATCH(B1597,Mitarbeiter!$A$6:$A$205,0)),0))</f>
        <v/>
      </c>
      <c r="H1597" s="8">
        <f>IF(B1597="","",IF(ISNA(MATCH(B1597,Mitarbeiter!$A$6:$A$205,0)),"Pers.-Nr. unbekannt",IF(A1597="","Datum fehlt",IF(AND(D1597&lt;&gt;Einstellungen!$C$4,D1597&lt;&gt;Einstellungen!$C$5),"Objekt fehlt",IF(YEAR(A1597)&lt;&gt;Einstellungen!$C$3,"anderes Jahr",IF(A1597&lt;INDEX(Mitarbeiter!$C$6:$C$205,MATCH(B1597,Mitarbeiter!$A$6:$A$205,0)),"vor Eintritt",IF(AND(INDEX(Mitarbeiter!$D$6:$D$205,MATCH(B1597,Mitarbeiter!$A$6:$A$205,0))&lt;&gt;"",A1597&gt;INDEX(Mitarbeiter!$D$6:$D$205,MATCH(B1597,Mitarbeiter!$A$6:$A$205,0))),"nach Austritt","ok")))))))</f>
        <v/>
      </c>
    </row>
    <row r="1598">
      <c r="A1598" s="26" t="n"/>
      <c r="B1598" s="24" t="n"/>
      <c r="C1598" s="40">
        <f>IF(B1598="","",IFERROR(INDEX(Mitarbeiter!$B$6:$B$205,MATCH(B1598,Mitarbeiter!$A$6:$A$205,0)),"?"))</f>
        <v/>
      </c>
      <c r="D1598" s="41" t="n"/>
      <c r="E1598" s="42" t="n"/>
      <c r="F1598" s="43" t="n"/>
      <c r="G1598" s="44">
        <f>IF(OR(B1598="",F1598=""),"",IFERROR(F1598*INDEX(Mitarbeiter!$F$6:$F$205,MATCH(B1598,Mitarbeiter!$A$6:$A$205,0)),0))</f>
        <v/>
      </c>
      <c r="H1598" s="8">
        <f>IF(B1598="","",IF(ISNA(MATCH(B1598,Mitarbeiter!$A$6:$A$205,0)),"Pers.-Nr. unbekannt",IF(A1598="","Datum fehlt",IF(AND(D1598&lt;&gt;Einstellungen!$C$4,D1598&lt;&gt;Einstellungen!$C$5),"Objekt fehlt",IF(YEAR(A1598)&lt;&gt;Einstellungen!$C$3,"anderes Jahr",IF(A1598&lt;INDEX(Mitarbeiter!$C$6:$C$205,MATCH(B1598,Mitarbeiter!$A$6:$A$205,0)),"vor Eintritt",IF(AND(INDEX(Mitarbeiter!$D$6:$D$205,MATCH(B1598,Mitarbeiter!$A$6:$A$205,0))&lt;&gt;"",A1598&gt;INDEX(Mitarbeiter!$D$6:$D$205,MATCH(B1598,Mitarbeiter!$A$6:$A$205,0))),"nach Austritt","ok")))))))</f>
        <v/>
      </c>
    </row>
    <row r="1599">
      <c r="A1599" s="26" t="n"/>
      <c r="B1599" s="24" t="n"/>
      <c r="C1599" s="40">
        <f>IF(B1599="","",IFERROR(INDEX(Mitarbeiter!$B$6:$B$205,MATCH(B1599,Mitarbeiter!$A$6:$A$205,0)),"?"))</f>
        <v/>
      </c>
      <c r="D1599" s="41" t="n"/>
      <c r="E1599" s="42" t="n"/>
      <c r="F1599" s="43" t="n"/>
      <c r="G1599" s="44">
        <f>IF(OR(B1599="",F1599=""),"",IFERROR(F1599*INDEX(Mitarbeiter!$F$6:$F$205,MATCH(B1599,Mitarbeiter!$A$6:$A$205,0)),0))</f>
        <v/>
      </c>
      <c r="H1599" s="8">
        <f>IF(B1599="","",IF(ISNA(MATCH(B1599,Mitarbeiter!$A$6:$A$205,0)),"Pers.-Nr. unbekannt",IF(A1599="","Datum fehlt",IF(AND(D1599&lt;&gt;Einstellungen!$C$4,D1599&lt;&gt;Einstellungen!$C$5),"Objekt fehlt",IF(YEAR(A1599)&lt;&gt;Einstellungen!$C$3,"anderes Jahr",IF(A1599&lt;INDEX(Mitarbeiter!$C$6:$C$205,MATCH(B1599,Mitarbeiter!$A$6:$A$205,0)),"vor Eintritt",IF(AND(INDEX(Mitarbeiter!$D$6:$D$205,MATCH(B1599,Mitarbeiter!$A$6:$A$205,0))&lt;&gt;"",A1599&gt;INDEX(Mitarbeiter!$D$6:$D$205,MATCH(B1599,Mitarbeiter!$A$6:$A$205,0))),"nach Austritt","ok")))))))</f>
        <v/>
      </c>
    </row>
    <row r="1600">
      <c r="A1600" s="26" t="n"/>
      <c r="B1600" s="24" t="n"/>
      <c r="C1600" s="40">
        <f>IF(B1600="","",IFERROR(INDEX(Mitarbeiter!$B$6:$B$205,MATCH(B1600,Mitarbeiter!$A$6:$A$205,0)),"?"))</f>
        <v/>
      </c>
      <c r="D1600" s="41" t="n"/>
      <c r="E1600" s="42" t="n"/>
      <c r="F1600" s="43" t="n"/>
      <c r="G1600" s="44">
        <f>IF(OR(B1600="",F1600=""),"",IFERROR(F1600*INDEX(Mitarbeiter!$F$6:$F$205,MATCH(B1600,Mitarbeiter!$A$6:$A$205,0)),0))</f>
        <v/>
      </c>
      <c r="H1600" s="8">
        <f>IF(B1600="","",IF(ISNA(MATCH(B1600,Mitarbeiter!$A$6:$A$205,0)),"Pers.-Nr. unbekannt",IF(A1600="","Datum fehlt",IF(AND(D1600&lt;&gt;Einstellungen!$C$4,D1600&lt;&gt;Einstellungen!$C$5),"Objekt fehlt",IF(YEAR(A1600)&lt;&gt;Einstellungen!$C$3,"anderes Jahr",IF(A1600&lt;INDEX(Mitarbeiter!$C$6:$C$205,MATCH(B1600,Mitarbeiter!$A$6:$A$205,0)),"vor Eintritt",IF(AND(INDEX(Mitarbeiter!$D$6:$D$205,MATCH(B1600,Mitarbeiter!$A$6:$A$205,0))&lt;&gt;"",A1600&gt;INDEX(Mitarbeiter!$D$6:$D$205,MATCH(B1600,Mitarbeiter!$A$6:$A$205,0))),"nach Austritt","ok")))))))</f>
        <v/>
      </c>
    </row>
    <row r="1601">
      <c r="A1601" s="26" t="n"/>
      <c r="B1601" s="24" t="n"/>
      <c r="C1601" s="40">
        <f>IF(B1601="","",IFERROR(INDEX(Mitarbeiter!$B$6:$B$205,MATCH(B1601,Mitarbeiter!$A$6:$A$205,0)),"?"))</f>
        <v/>
      </c>
      <c r="D1601" s="41" t="n"/>
      <c r="E1601" s="42" t="n"/>
      <c r="F1601" s="43" t="n"/>
      <c r="G1601" s="44">
        <f>IF(OR(B1601="",F1601=""),"",IFERROR(F1601*INDEX(Mitarbeiter!$F$6:$F$205,MATCH(B1601,Mitarbeiter!$A$6:$A$205,0)),0))</f>
        <v/>
      </c>
      <c r="H1601" s="8">
        <f>IF(B1601="","",IF(ISNA(MATCH(B1601,Mitarbeiter!$A$6:$A$205,0)),"Pers.-Nr. unbekannt",IF(A1601="","Datum fehlt",IF(AND(D1601&lt;&gt;Einstellungen!$C$4,D1601&lt;&gt;Einstellungen!$C$5),"Objekt fehlt",IF(YEAR(A1601)&lt;&gt;Einstellungen!$C$3,"anderes Jahr",IF(A1601&lt;INDEX(Mitarbeiter!$C$6:$C$205,MATCH(B1601,Mitarbeiter!$A$6:$A$205,0)),"vor Eintritt",IF(AND(INDEX(Mitarbeiter!$D$6:$D$205,MATCH(B1601,Mitarbeiter!$A$6:$A$205,0))&lt;&gt;"",A1601&gt;INDEX(Mitarbeiter!$D$6:$D$205,MATCH(B1601,Mitarbeiter!$A$6:$A$205,0))),"nach Austritt","ok")))))))</f>
        <v/>
      </c>
    </row>
    <row r="1602">
      <c r="A1602" s="26" t="n"/>
      <c r="B1602" s="24" t="n"/>
      <c r="C1602" s="40">
        <f>IF(B1602="","",IFERROR(INDEX(Mitarbeiter!$B$6:$B$205,MATCH(B1602,Mitarbeiter!$A$6:$A$205,0)),"?"))</f>
        <v/>
      </c>
      <c r="D1602" s="41" t="n"/>
      <c r="E1602" s="42" t="n"/>
      <c r="F1602" s="43" t="n"/>
      <c r="G1602" s="44">
        <f>IF(OR(B1602="",F1602=""),"",IFERROR(F1602*INDEX(Mitarbeiter!$F$6:$F$205,MATCH(B1602,Mitarbeiter!$A$6:$A$205,0)),0))</f>
        <v/>
      </c>
      <c r="H1602" s="8">
        <f>IF(B1602="","",IF(ISNA(MATCH(B1602,Mitarbeiter!$A$6:$A$205,0)),"Pers.-Nr. unbekannt",IF(A1602="","Datum fehlt",IF(AND(D1602&lt;&gt;Einstellungen!$C$4,D1602&lt;&gt;Einstellungen!$C$5),"Objekt fehlt",IF(YEAR(A1602)&lt;&gt;Einstellungen!$C$3,"anderes Jahr",IF(A1602&lt;INDEX(Mitarbeiter!$C$6:$C$205,MATCH(B1602,Mitarbeiter!$A$6:$A$205,0)),"vor Eintritt",IF(AND(INDEX(Mitarbeiter!$D$6:$D$205,MATCH(B1602,Mitarbeiter!$A$6:$A$205,0))&lt;&gt;"",A1602&gt;INDEX(Mitarbeiter!$D$6:$D$205,MATCH(B1602,Mitarbeiter!$A$6:$A$205,0))),"nach Austritt","ok")))))))</f>
        <v/>
      </c>
    </row>
    <row r="1603">
      <c r="A1603" s="26" t="n"/>
      <c r="B1603" s="24" t="n"/>
      <c r="C1603" s="40">
        <f>IF(B1603="","",IFERROR(INDEX(Mitarbeiter!$B$6:$B$205,MATCH(B1603,Mitarbeiter!$A$6:$A$205,0)),"?"))</f>
        <v/>
      </c>
      <c r="D1603" s="41" t="n"/>
      <c r="E1603" s="42" t="n"/>
      <c r="F1603" s="43" t="n"/>
      <c r="G1603" s="44">
        <f>IF(OR(B1603="",F1603=""),"",IFERROR(F1603*INDEX(Mitarbeiter!$F$6:$F$205,MATCH(B1603,Mitarbeiter!$A$6:$A$205,0)),0))</f>
        <v/>
      </c>
      <c r="H1603" s="8">
        <f>IF(B1603="","",IF(ISNA(MATCH(B1603,Mitarbeiter!$A$6:$A$205,0)),"Pers.-Nr. unbekannt",IF(A1603="","Datum fehlt",IF(AND(D1603&lt;&gt;Einstellungen!$C$4,D1603&lt;&gt;Einstellungen!$C$5),"Objekt fehlt",IF(YEAR(A1603)&lt;&gt;Einstellungen!$C$3,"anderes Jahr",IF(A1603&lt;INDEX(Mitarbeiter!$C$6:$C$205,MATCH(B1603,Mitarbeiter!$A$6:$A$205,0)),"vor Eintritt",IF(AND(INDEX(Mitarbeiter!$D$6:$D$205,MATCH(B1603,Mitarbeiter!$A$6:$A$205,0))&lt;&gt;"",A1603&gt;INDEX(Mitarbeiter!$D$6:$D$205,MATCH(B1603,Mitarbeiter!$A$6:$A$205,0))),"nach Austritt","ok")))))))</f>
        <v/>
      </c>
    </row>
    <row r="1604">
      <c r="A1604" s="26" t="n"/>
      <c r="B1604" s="24" t="n"/>
      <c r="C1604" s="40">
        <f>IF(B1604="","",IFERROR(INDEX(Mitarbeiter!$B$6:$B$205,MATCH(B1604,Mitarbeiter!$A$6:$A$205,0)),"?"))</f>
        <v/>
      </c>
      <c r="D1604" s="41" t="n"/>
      <c r="E1604" s="42" t="n"/>
      <c r="F1604" s="43" t="n"/>
      <c r="G1604" s="44">
        <f>IF(OR(B1604="",F1604=""),"",IFERROR(F1604*INDEX(Mitarbeiter!$F$6:$F$205,MATCH(B1604,Mitarbeiter!$A$6:$A$205,0)),0))</f>
        <v/>
      </c>
      <c r="H1604" s="8">
        <f>IF(B1604="","",IF(ISNA(MATCH(B1604,Mitarbeiter!$A$6:$A$205,0)),"Pers.-Nr. unbekannt",IF(A1604="","Datum fehlt",IF(AND(D1604&lt;&gt;Einstellungen!$C$4,D1604&lt;&gt;Einstellungen!$C$5),"Objekt fehlt",IF(YEAR(A1604)&lt;&gt;Einstellungen!$C$3,"anderes Jahr",IF(A1604&lt;INDEX(Mitarbeiter!$C$6:$C$205,MATCH(B1604,Mitarbeiter!$A$6:$A$205,0)),"vor Eintritt",IF(AND(INDEX(Mitarbeiter!$D$6:$D$205,MATCH(B1604,Mitarbeiter!$A$6:$A$205,0))&lt;&gt;"",A1604&gt;INDEX(Mitarbeiter!$D$6:$D$205,MATCH(B1604,Mitarbeiter!$A$6:$A$205,0))),"nach Austritt","ok")))))))</f>
        <v/>
      </c>
    </row>
    <row r="1605">
      <c r="A1605" s="26" t="n"/>
      <c r="B1605" s="24" t="n"/>
      <c r="C1605" s="40">
        <f>IF(B1605="","",IFERROR(INDEX(Mitarbeiter!$B$6:$B$205,MATCH(B1605,Mitarbeiter!$A$6:$A$205,0)),"?"))</f>
        <v/>
      </c>
      <c r="D1605" s="41" t="n"/>
      <c r="E1605" s="42" t="n"/>
      <c r="F1605" s="43" t="n"/>
      <c r="G1605" s="44">
        <f>IF(OR(B1605="",F1605=""),"",IFERROR(F1605*INDEX(Mitarbeiter!$F$6:$F$205,MATCH(B1605,Mitarbeiter!$A$6:$A$205,0)),0))</f>
        <v/>
      </c>
      <c r="H1605" s="8">
        <f>IF(B1605="","",IF(ISNA(MATCH(B1605,Mitarbeiter!$A$6:$A$205,0)),"Pers.-Nr. unbekannt",IF(A1605="","Datum fehlt",IF(AND(D1605&lt;&gt;Einstellungen!$C$4,D1605&lt;&gt;Einstellungen!$C$5),"Objekt fehlt",IF(YEAR(A1605)&lt;&gt;Einstellungen!$C$3,"anderes Jahr",IF(A1605&lt;INDEX(Mitarbeiter!$C$6:$C$205,MATCH(B1605,Mitarbeiter!$A$6:$A$205,0)),"vor Eintritt",IF(AND(INDEX(Mitarbeiter!$D$6:$D$205,MATCH(B1605,Mitarbeiter!$A$6:$A$205,0))&lt;&gt;"",A1605&gt;INDEX(Mitarbeiter!$D$6:$D$205,MATCH(B1605,Mitarbeiter!$A$6:$A$205,0))),"nach Austritt","ok")))))))</f>
        <v/>
      </c>
    </row>
    <row r="1606">
      <c r="A1606" s="26" t="n"/>
      <c r="B1606" s="24" t="n"/>
      <c r="C1606" s="40">
        <f>IF(B1606="","",IFERROR(INDEX(Mitarbeiter!$B$6:$B$205,MATCH(B1606,Mitarbeiter!$A$6:$A$205,0)),"?"))</f>
        <v/>
      </c>
      <c r="D1606" s="41" t="n"/>
      <c r="E1606" s="42" t="n"/>
      <c r="F1606" s="43" t="n"/>
      <c r="G1606" s="44">
        <f>IF(OR(B1606="",F1606=""),"",IFERROR(F1606*INDEX(Mitarbeiter!$F$6:$F$205,MATCH(B1606,Mitarbeiter!$A$6:$A$205,0)),0))</f>
        <v/>
      </c>
      <c r="H1606" s="8">
        <f>IF(B1606="","",IF(ISNA(MATCH(B1606,Mitarbeiter!$A$6:$A$205,0)),"Pers.-Nr. unbekannt",IF(A1606="","Datum fehlt",IF(AND(D1606&lt;&gt;Einstellungen!$C$4,D1606&lt;&gt;Einstellungen!$C$5),"Objekt fehlt",IF(YEAR(A1606)&lt;&gt;Einstellungen!$C$3,"anderes Jahr",IF(A1606&lt;INDEX(Mitarbeiter!$C$6:$C$205,MATCH(B1606,Mitarbeiter!$A$6:$A$205,0)),"vor Eintritt",IF(AND(INDEX(Mitarbeiter!$D$6:$D$205,MATCH(B1606,Mitarbeiter!$A$6:$A$205,0))&lt;&gt;"",A1606&gt;INDEX(Mitarbeiter!$D$6:$D$205,MATCH(B1606,Mitarbeiter!$A$6:$A$205,0))),"nach Austritt","ok")))))))</f>
        <v/>
      </c>
    </row>
    <row r="1607">
      <c r="A1607" s="26" t="n"/>
      <c r="B1607" s="24" t="n"/>
      <c r="C1607" s="40">
        <f>IF(B1607="","",IFERROR(INDEX(Mitarbeiter!$B$6:$B$205,MATCH(B1607,Mitarbeiter!$A$6:$A$205,0)),"?"))</f>
        <v/>
      </c>
      <c r="D1607" s="41" t="n"/>
      <c r="E1607" s="42" t="n"/>
      <c r="F1607" s="43" t="n"/>
      <c r="G1607" s="44">
        <f>IF(OR(B1607="",F1607=""),"",IFERROR(F1607*INDEX(Mitarbeiter!$F$6:$F$205,MATCH(B1607,Mitarbeiter!$A$6:$A$205,0)),0))</f>
        <v/>
      </c>
      <c r="H1607" s="8">
        <f>IF(B1607="","",IF(ISNA(MATCH(B1607,Mitarbeiter!$A$6:$A$205,0)),"Pers.-Nr. unbekannt",IF(A1607="","Datum fehlt",IF(AND(D1607&lt;&gt;Einstellungen!$C$4,D1607&lt;&gt;Einstellungen!$C$5),"Objekt fehlt",IF(YEAR(A1607)&lt;&gt;Einstellungen!$C$3,"anderes Jahr",IF(A1607&lt;INDEX(Mitarbeiter!$C$6:$C$205,MATCH(B1607,Mitarbeiter!$A$6:$A$205,0)),"vor Eintritt",IF(AND(INDEX(Mitarbeiter!$D$6:$D$205,MATCH(B1607,Mitarbeiter!$A$6:$A$205,0))&lt;&gt;"",A1607&gt;INDEX(Mitarbeiter!$D$6:$D$205,MATCH(B1607,Mitarbeiter!$A$6:$A$205,0))),"nach Austritt","ok")))))))</f>
        <v/>
      </c>
    </row>
    <row r="1608">
      <c r="A1608" s="26" t="n"/>
      <c r="B1608" s="24" t="n"/>
      <c r="C1608" s="40">
        <f>IF(B1608="","",IFERROR(INDEX(Mitarbeiter!$B$6:$B$205,MATCH(B1608,Mitarbeiter!$A$6:$A$205,0)),"?"))</f>
        <v/>
      </c>
      <c r="D1608" s="41" t="n"/>
      <c r="E1608" s="42" t="n"/>
      <c r="F1608" s="43" t="n"/>
      <c r="G1608" s="44">
        <f>IF(OR(B1608="",F1608=""),"",IFERROR(F1608*INDEX(Mitarbeiter!$F$6:$F$205,MATCH(B1608,Mitarbeiter!$A$6:$A$205,0)),0))</f>
        <v/>
      </c>
      <c r="H1608" s="8">
        <f>IF(B1608="","",IF(ISNA(MATCH(B1608,Mitarbeiter!$A$6:$A$205,0)),"Pers.-Nr. unbekannt",IF(A1608="","Datum fehlt",IF(AND(D1608&lt;&gt;Einstellungen!$C$4,D1608&lt;&gt;Einstellungen!$C$5),"Objekt fehlt",IF(YEAR(A1608)&lt;&gt;Einstellungen!$C$3,"anderes Jahr",IF(A1608&lt;INDEX(Mitarbeiter!$C$6:$C$205,MATCH(B1608,Mitarbeiter!$A$6:$A$205,0)),"vor Eintritt",IF(AND(INDEX(Mitarbeiter!$D$6:$D$205,MATCH(B1608,Mitarbeiter!$A$6:$A$205,0))&lt;&gt;"",A1608&gt;INDEX(Mitarbeiter!$D$6:$D$205,MATCH(B1608,Mitarbeiter!$A$6:$A$205,0))),"nach Austritt","ok")))))))</f>
        <v/>
      </c>
    </row>
    <row r="1609">
      <c r="A1609" s="26" t="n"/>
      <c r="B1609" s="24" t="n"/>
      <c r="C1609" s="40">
        <f>IF(B1609="","",IFERROR(INDEX(Mitarbeiter!$B$6:$B$205,MATCH(B1609,Mitarbeiter!$A$6:$A$205,0)),"?"))</f>
        <v/>
      </c>
      <c r="D1609" s="41" t="n"/>
      <c r="E1609" s="42" t="n"/>
      <c r="F1609" s="43" t="n"/>
      <c r="G1609" s="44">
        <f>IF(OR(B1609="",F1609=""),"",IFERROR(F1609*INDEX(Mitarbeiter!$F$6:$F$205,MATCH(B1609,Mitarbeiter!$A$6:$A$205,0)),0))</f>
        <v/>
      </c>
      <c r="H1609" s="8">
        <f>IF(B1609="","",IF(ISNA(MATCH(B1609,Mitarbeiter!$A$6:$A$205,0)),"Pers.-Nr. unbekannt",IF(A1609="","Datum fehlt",IF(AND(D1609&lt;&gt;Einstellungen!$C$4,D1609&lt;&gt;Einstellungen!$C$5),"Objekt fehlt",IF(YEAR(A1609)&lt;&gt;Einstellungen!$C$3,"anderes Jahr",IF(A1609&lt;INDEX(Mitarbeiter!$C$6:$C$205,MATCH(B1609,Mitarbeiter!$A$6:$A$205,0)),"vor Eintritt",IF(AND(INDEX(Mitarbeiter!$D$6:$D$205,MATCH(B1609,Mitarbeiter!$A$6:$A$205,0))&lt;&gt;"",A1609&gt;INDEX(Mitarbeiter!$D$6:$D$205,MATCH(B1609,Mitarbeiter!$A$6:$A$205,0))),"nach Austritt","ok")))))))</f>
        <v/>
      </c>
    </row>
    <row r="1610">
      <c r="A1610" s="26" t="n"/>
      <c r="B1610" s="24" t="n"/>
      <c r="C1610" s="40">
        <f>IF(B1610="","",IFERROR(INDEX(Mitarbeiter!$B$6:$B$205,MATCH(B1610,Mitarbeiter!$A$6:$A$205,0)),"?"))</f>
        <v/>
      </c>
      <c r="D1610" s="41" t="n"/>
      <c r="E1610" s="42" t="n"/>
      <c r="F1610" s="43" t="n"/>
      <c r="G1610" s="44">
        <f>IF(OR(B1610="",F1610=""),"",IFERROR(F1610*INDEX(Mitarbeiter!$F$6:$F$205,MATCH(B1610,Mitarbeiter!$A$6:$A$205,0)),0))</f>
        <v/>
      </c>
      <c r="H1610" s="8">
        <f>IF(B1610="","",IF(ISNA(MATCH(B1610,Mitarbeiter!$A$6:$A$205,0)),"Pers.-Nr. unbekannt",IF(A1610="","Datum fehlt",IF(AND(D1610&lt;&gt;Einstellungen!$C$4,D1610&lt;&gt;Einstellungen!$C$5),"Objekt fehlt",IF(YEAR(A1610)&lt;&gt;Einstellungen!$C$3,"anderes Jahr",IF(A1610&lt;INDEX(Mitarbeiter!$C$6:$C$205,MATCH(B1610,Mitarbeiter!$A$6:$A$205,0)),"vor Eintritt",IF(AND(INDEX(Mitarbeiter!$D$6:$D$205,MATCH(B1610,Mitarbeiter!$A$6:$A$205,0))&lt;&gt;"",A1610&gt;INDEX(Mitarbeiter!$D$6:$D$205,MATCH(B1610,Mitarbeiter!$A$6:$A$205,0))),"nach Austritt","ok")))))))</f>
        <v/>
      </c>
    </row>
    <row r="1611">
      <c r="A1611" s="26" t="n"/>
      <c r="B1611" s="24" t="n"/>
      <c r="C1611" s="40">
        <f>IF(B1611="","",IFERROR(INDEX(Mitarbeiter!$B$6:$B$205,MATCH(B1611,Mitarbeiter!$A$6:$A$205,0)),"?"))</f>
        <v/>
      </c>
      <c r="D1611" s="41" t="n"/>
      <c r="E1611" s="42" t="n"/>
      <c r="F1611" s="43" t="n"/>
      <c r="G1611" s="44">
        <f>IF(OR(B1611="",F1611=""),"",IFERROR(F1611*INDEX(Mitarbeiter!$F$6:$F$205,MATCH(B1611,Mitarbeiter!$A$6:$A$205,0)),0))</f>
        <v/>
      </c>
      <c r="H1611" s="8">
        <f>IF(B1611="","",IF(ISNA(MATCH(B1611,Mitarbeiter!$A$6:$A$205,0)),"Pers.-Nr. unbekannt",IF(A1611="","Datum fehlt",IF(AND(D1611&lt;&gt;Einstellungen!$C$4,D1611&lt;&gt;Einstellungen!$C$5),"Objekt fehlt",IF(YEAR(A1611)&lt;&gt;Einstellungen!$C$3,"anderes Jahr",IF(A1611&lt;INDEX(Mitarbeiter!$C$6:$C$205,MATCH(B1611,Mitarbeiter!$A$6:$A$205,0)),"vor Eintritt",IF(AND(INDEX(Mitarbeiter!$D$6:$D$205,MATCH(B1611,Mitarbeiter!$A$6:$A$205,0))&lt;&gt;"",A1611&gt;INDEX(Mitarbeiter!$D$6:$D$205,MATCH(B1611,Mitarbeiter!$A$6:$A$205,0))),"nach Austritt","ok")))))))</f>
        <v/>
      </c>
    </row>
    <row r="1612">
      <c r="A1612" s="26" t="n"/>
      <c r="B1612" s="24" t="n"/>
      <c r="C1612" s="40">
        <f>IF(B1612="","",IFERROR(INDEX(Mitarbeiter!$B$6:$B$205,MATCH(B1612,Mitarbeiter!$A$6:$A$205,0)),"?"))</f>
        <v/>
      </c>
      <c r="D1612" s="41" t="n"/>
      <c r="E1612" s="42" t="n"/>
      <c r="F1612" s="43" t="n"/>
      <c r="G1612" s="44">
        <f>IF(OR(B1612="",F1612=""),"",IFERROR(F1612*INDEX(Mitarbeiter!$F$6:$F$205,MATCH(B1612,Mitarbeiter!$A$6:$A$205,0)),0))</f>
        <v/>
      </c>
      <c r="H1612" s="8">
        <f>IF(B1612="","",IF(ISNA(MATCH(B1612,Mitarbeiter!$A$6:$A$205,0)),"Pers.-Nr. unbekannt",IF(A1612="","Datum fehlt",IF(AND(D1612&lt;&gt;Einstellungen!$C$4,D1612&lt;&gt;Einstellungen!$C$5),"Objekt fehlt",IF(YEAR(A1612)&lt;&gt;Einstellungen!$C$3,"anderes Jahr",IF(A1612&lt;INDEX(Mitarbeiter!$C$6:$C$205,MATCH(B1612,Mitarbeiter!$A$6:$A$205,0)),"vor Eintritt",IF(AND(INDEX(Mitarbeiter!$D$6:$D$205,MATCH(B1612,Mitarbeiter!$A$6:$A$205,0))&lt;&gt;"",A1612&gt;INDEX(Mitarbeiter!$D$6:$D$205,MATCH(B1612,Mitarbeiter!$A$6:$A$205,0))),"nach Austritt","ok")))))))</f>
        <v/>
      </c>
    </row>
    <row r="1613">
      <c r="A1613" s="26" t="n"/>
      <c r="B1613" s="24" t="n"/>
      <c r="C1613" s="40">
        <f>IF(B1613="","",IFERROR(INDEX(Mitarbeiter!$B$6:$B$205,MATCH(B1613,Mitarbeiter!$A$6:$A$205,0)),"?"))</f>
        <v/>
      </c>
      <c r="D1613" s="41" t="n"/>
      <c r="E1613" s="42" t="n"/>
      <c r="F1613" s="43" t="n"/>
      <c r="G1613" s="44">
        <f>IF(OR(B1613="",F1613=""),"",IFERROR(F1613*INDEX(Mitarbeiter!$F$6:$F$205,MATCH(B1613,Mitarbeiter!$A$6:$A$205,0)),0))</f>
        <v/>
      </c>
      <c r="H1613" s="8">
        <f>IF(B1613="","",IF(ISNA(MATCH(B1613,Mitarbeiter!$A$6:$A$205,0)),"Pers.-Nr. unbekannt",IF(A1613="","Datum fehlt",IF(AND(D1613&lt;&gt;Einstellungen!$C$4,D1613&lt;&gt;Einstellungen!$C$5),"Objekt fehlt",IF(YEAR(A1613)&lt;&gt;Einstellungen!$C$3,"anderes Jahr",IF(A1613&lt;INDEX(Mitarbeiter!$C$6:$C$205,MATCH(B1613,Mitarbeiter!$A$6:$A$205,0)),"vor Eintritt",IF(AND(INDEX(Mitarbeiter!$D$6:$D$205,MATCH(B1613,Mitarbeiter!$A$6:$A$205,0))&lt;&gt;"",A1613&gt;INDEX(Mitarbeiter!$D$6:$D$205,MATCH(B1613,Mitarbeiter!$A$6:$A$205,0))),"nach Austritt","ok")))))))</f>
        <v/>
      </c>
    </row>
    <row r="1614">
      <c r="A1614" s="26" t="n"/>
      <c r="B1614" s="24" t="n"/>
      <c r="C1614" s="40">
        <f>IF(B1614="","",IFERROR(INDEX(Mitarbeiter!$B$6:$B$205,MATCH(B1614,Mitarbeiter!$A$6:$A$205,0)),"?"))</f>
        <v/>
      </c>
      <c r="D1614" s="41" t="n"/>
      <c r="E1614" s="42" t="n"/>
      <c r="F1614" s="43" t="n"/>
      <c r="G1614" s="44">
        <f>IF(OR(B1614="",F1614=""),"",IFERROR(F1614*INDEX(Mitarbeiter!$F$6:$F$205,MATCH(B1614,Mitarbeiter!$A$6:$A$205,0)),0))</f>
        <v/>
      </c>
      <c r="H1614" s="8">
        <f>IF(B1614="","",IF(ISNA(MATCH(B1614,Mitarbeiter!$A$6:$A$205,0)),"Pers.-Nr. unbekannt",IF(A1614="","Datum fehlt",IF(AND(D1614&lt;&gt;Einstellungen!$C$4,D1614&lt;&gt;Einstellungen!$C$5),"Objekt fehlt",IF(YEAR(A1614)&lt;&gt;Einstellungen!$C$3,"anderes Jahr",IF(A1614&lt;INDEX(Mitarbeiter!$C$6:$C$205,MATCH(B1614,Mitarbeiter!$A$6:$A$205,0)),"vor Eintritt",IF(AND(INDEX(Mitarbeiter!$D$6:$D$205,MATCH(B1614,Mitarbeiter!$A$6:$A$205,0))&lt;&gt;"",A1614&gt;INDEX(Mitarbeiter!$D$6:$D$205,MATCH(B1614,Mitarbeiter!$A$6:$A$205,0))),"nach Austritt","ok")))))))</f>
        <v/>
      </c>
    </row>
    <row r="1615">
      <c r="A1615" s="26" t="n"/>
      <c r="B1615" s="24" t="n"/>
      <c r="C1615" s="40">
        <f>IF(B1615="","",IFERROR(INDEX(Mitarbeiter!$B$6:$B$205,MATCH(B1615,Mitarbeiter!$A$6:$A$205,0)),"?"))</f>
        <v/>
      </c>
      <c r="D1615" s="41" t="n"/>
      <c r="E1615" s="42" t="n"/>
      <c r="F1615" s="43" t="n"/>
      <c r="G1615" s="44">
        <f>IF(OR(B1615="",F1615=""),"",IFERROR(F1615*INDEX(Mitarbeiter!$F$6:$F$205,MATCH(B1615,Mitarbeiter!$A$6:$A$205,0)),0))</f>
        <v/>
      </c>
      <c r="H1615" s="8">
        <f>IF(B1615="","",IF(ISNA(MATCH(B1615,Mitarbeiter!$A$6:$A$205,0)),"Pers.-Nr. unbekannt",IF(A1615="","Datum fehlt",IF(AND(D1615&lt;&gt;Einstellungen!$C$4,D1615&lt;&gt;Einstellungen!$C$5),"Objekt fehlt",IF(YEAR(A1615)&lt;&gt;Einstellungen!$C$3,"anderes Jahr",IF(A1615&lt;INDEX(Mitarbeiter!$C$6:$C$205,MATCH(B1615,Mitarbeiter!$A$6:$A$205,0)),"vor Eintritt",IF(AND(INDEX(Mitarbeiter!$D$6:$D$205,MATCH(B1615,Mitarbeiter!$A$6:$A$205,0))&lt;&gt;"",A1615&gt;INDEX(Mitarbeiter!$D$6:$D$205,MATCH(B1615,Mitarbeiter!$A$6:$A$205,0))),"nach Austritt","ok")))))))</f>
        <v/>
      </c>
    </row>
    <row r="1616">
      <c r="A1616" s="26" t="n"/>
      <c r="B1616" s="24" t="n"/>
      <c r="C1616" s="40">
        <f>IF(B1616="","",IFERROR(INDEX(Mitarbeiter!$B$6:$B$205,MATCH(B1616,Mitarbeiter!$A$6:$A$205,0)),"?"))</f>
        <v/>
      </c>
      <c r="D1616" s="41" t="n"/>
      <c r="E1616" s="42" t="n"/>
      <c r="F1616" s="43" t="n"/>
      <c r="G1616" s="44">
        <f>IF(OR(B1616="",F1616=""),"",IFERROR(F1616*INDEX(Mitarbeiter!$F$6:$F$205,MATCH(B1616,Mitarbeiter!$A$6:$A$205,0)),0))</f>
        <v/>
      </c>
      <c r="H1616" s="8">
        <f>IF(B1616="","",IF(ISNA(MATCH(B1616,Mitarbeiter!$A$6:$A$205,0)),"Pers.-Nr. unbekannt",IF(A1616="","Datum fehlt",IF(AND(D1616&lt;&gt;Einstellungen!$C$4,D1616&lt;&gt;Einstellungen!$C$5),"Objekt fehlt",IF(YEAR(A1616)&lt;&gt;Einstellungen!$C$3,"anderes Jahr",IF(A1616&lt;INDEX(Mitarbeiter!$C$6:$C$205,MATCH(B1616,Mitarbeiter!$A$6:$A$205,0)),"vor Eintritt",IF(AND(INDEX(Mitarbeiter!$D$6:$D$205,MATCH(B1616,Mitarbeiter!$A$6:$A$205,0))&lt;&gt;"",A1616&gt;INDEX(Mitarbeiter!$D$6:$D$205,MATCH(B1616,Mitarbeiter!$A$6:$A$205,0))),"nach Austritt","ok")))))))</f>
        <v/>
      </c>
    </row>
    <row r="1617">
      <c r="A1617" s="26" t="n"/>
      <c r="B1617" s="24" t="n"/>
      <c r="C1617" s="40">
        <f>IF(B1617="","",IFERROR(INDEX(Mitarbeiter!$B$6:$B$205,MATCH(B1617,Mitarbeiter!$A$6:$A$205,0)),"?"))</f>
        <v/>
      </c>
      <c r="D1617" s="41" t="n"/>
      <c r="E1617" s="42" t="n"/>
      <c r="F1617" s="43" t="n"/>
      <c r="G1617" s="44">
        <f>IF(OR(B1617="",F1617=""),"",IFERROR(F1617*INDEX(Mitarbeiter!$F$6:$F$205,MATCH(B1617,Mitarbeiter!$A$6:$A$205,0)),0))</f>
        <v/>
      </c>
      <c r="H1617" s="8">
        <f>IF(B1617="","",IF(ISNA(MATCH(B1617,Mitarbeiter!$A$6:$A$205,0)),"Pers.-Nr. unbekannt",IF(A1617="","Datum fehlt",IF(AND(D1617&lt;&gt;Einstellungen!$C$4,D1617&lt;&gt;Einstellungen!$C$5),"Objekt fehlt",IF(YEAR(A1617)&lt;&gt;Einstellungen!$C$3,"anderes Jahr",IF(A1617&lt;INDEX(Mitarbeiter!$C$6:$C$205,MATCH(B1617,Mitarbeiter!$A$6:$A$205,0)),"vor Eintritt",IF(AND(INDEX(Mitarbeiter!$D$6:$D$205,MATCH(B1617,Mitarbeiter!$A$6:$A$205,0))&lt;&gt;"",A1617&gt;INDEX(Mitarbeiter!$D$6:$D$205,MATCH(B1617,Mitarbeiter!$A$6:$A$205,0))),"nach Austritt","ok")))))))</f>
        <v/>
      </c>
    </row>
    <row r="1618">
      <c r="A1618" s="26" t="n"/>
      <c r="B1618" s="24" t="n"/>
      <c r="C1618" s="40">
        <f>IF(B1618="","",IFERROR(INDEX(Mitarbeiter!$B$6:$B$205,MATCH(B1618,Mitarbeiter!$A$6:$A$205,0)),"?"))</f>
        <v/>
      </c>
      <c r="D1618" s="41" t="n"/>
      <c r="E1618" s="42" t="n"/>
      <c r="F1618" s="43" t="n"/>
      <c r="G1618" s="44">
        <f>IF(OR(B1618="",F1618=""),"",IFERROR(F1618*INDEX(Mitarbeiter!$F$6:$F$205,MATCH(B1618,Mitarbeiter!$A$6:$A$205,0)),0))</f>
        <v/>
      </c>
      <c r="H1618" s="8">
        <f>IF(B1618="","",IF(ISNA(MATCH(B1618,Mitarbeiter!$A$6:$A$205,0)),"Pers.-Nr. unbekannt",IF(A1618="","Datum fehlt",IF(AND(D1618&lt;&gt;Einstellungen!$C$4,D1618&lt;&gt;Einstellungen!$C$5),"Objekt fehlt",IF(YEAR(A1618)&lt;&gt;Einstellungen!$C$3,"anderes Jahr",IF(A1618&lt;INDEX(Mitarbeiter!$C$6:$C$205,MATCH(B1618,Mitarbeiter!$A$6:$A$205,0)),"vor Eintritt",IF(AND(INDEX(Mitarbeiter!$D$6:$D$205,MATCH(B1618,Mitarbeiter!$A$6:$A$205,0))&lt;&gt;"",A1618&gt;INDEX(Mitarbeiter!$D$6:$D$205,MATCH(B1618,Mitarbeiter!$A$6:$A$205,0))),"nach Austritt","ok")))))))</f>
        <v/>
      </c>
    </row>
    <row r="1619">
      <c r="A1619" s="26" t="n"/>
      <c r="B1619" s="24" t="n"/>
      <c r="C1619" s="40">
        <f>IF(B1619="","",IFERROR(INDEX(Mitarbeiter!$B$6:$B$205,MATCH(B1619,Mitarbeiter!$A$6:$A$205,0)),"?"))</f>
        <v/>
      </c>
      <c r="D1619" s="41" t="n"/>
      <c r="E1619" s="42" t="n"/>
      <c r="F1619" s="43" t="n"/>
      <c r="G1619" s="44">
        <f>IF(OR(B1619="",F1619=""),"",IFERROR(F1619*INDEX(Mitarbeiter!$F$6:$F$205,MATCH(B1619,Mitarbeiter!$A$6:$A$205,0)),0))</f>
        <v/>
      </c>
      <c r="H1619" s="8">
        <f>IF(B1619="","",IF(ISNA(MATCH(B1619,Mitarbeiter!$A$6:$A$205,0)),"Pers.-Nr. unbekannt",IF(A1619="","Datum fehlt",IF(AND(D1619&lt;&gt;Einstellungen!$C$4,D1619&lt;&gt;Einstellungen!$C$5),"Objekt fehlt",IF(YEAR(A1619)&lt;&gt;Einstellungen!$C$3,"anderes Jahr",IF(A1619&lt;INDEX(Mitarbeiter!$C$6:$C$205,MATCH(B1619,Mitarbeiter!$A$6:$A$205,0)),"vor Eintritt",IF(AND(INDEX(Mitarbeiter!$D$6:$D$205,MATCH(B1619,Mitarbeiter!$A$6:$A$205,0))&lt;&gt;"",A1619&gt;INDEX(Mitarbeiter!$D$6:$D$205,MATCH(B1619,Mitarbeiter!$A$6:$A$205,0))),"nach Austritt","ok")))))))</f>
        <v/>
      </c>
    </row>
    <row r="1620">
      <c r="A1620" s="26" t="n"/>
      <c r="B1620" s="24" t="n"/>
      <c r="C1620" s="40">
        <f>IF(B1620="","",IFERROR(INDEX(Mitarbeiter!$B$6:$B$205,MATCH(B1620,Mitarbeiter!$A$6:$A$205,0)),"?"))</f>
        <v/>
      </c>
      <c r="D1620" s="41" t="n"/>
      <c r="E1620" s="42" t="n"/>
      <c r="F1620" s="43" t="n"/>
      <c r="G1620" s="44">
        <f>IF(OR(B1620="",F1620=""),"",IFERROR(F1620*INDEX(Mitarbeiter!$F$6:$F$205,MATCH(B1620,Mitarbeiter!$A$6:$A$205,0)),0))</f>
        <v/>
      </c>
      <c r="H1620" s="8">
        <f>IF(B1620="","",IF(ISNA(MATCH(B1620,Mitarbeiter!$A$6:$A$205,0)),"Pers.-Nr. unbekannt",IF(A1620="","Datum fehlt",IF(AND(D1620&lt;&gt;Einstellungen!$C$4,D1620&lt;&gt;Einstellungen!$C$5),"Objekt fehlt",IF(YEAR(A1620)&lt;&gt;Einstellungen!$C$3,"anderes Jahr",IF(A1620&lt;INDEX(Mitarbeiter!$C$6:$C$205,MATCH(B1620,Mitarbeiter!$A$6:$A$205,0)),"vor Eintritt",IF(AND(INDEX(Mitarbeiter!$D$6:$D$205,MATCH(B1620,Mitarbeiter!$A$6:$A$205,0))&lt;&gt;"",A1620&gt;INDEX(Mitarbeiter!$D$6:$D$205,MATCH(B1620,Mitarbeiter!$A$6:$A$205,0))),"nach Austritt","ok")))))))</f>
        <v/>
      </c>
    </row>
    <row r="1621">
      <c r="A1621" s="26" t="n"/>
      <c r="B1621" s="24" t="n"/>
      <c r="C1621" s="40">
        <f>IF(B1621="","",IFERROR(INDEX(Mitarbeiter!$B$6:$B$205,MATCH(B1621,Mitarbeiter!$A$6:$A$205,0)),"?"))</f>
        <v/>
      </c>
      <c r="D1621" s="41" t="n"/>
      <c r="E1621" s="42" t="n"/>
      <c r="F1621" s="43" t="n"/>
      <c r="G1621" s="44">
        <f>IF(OR(B1621="",F1621=""),"",IFERROR(F1621*INDEX(Mitarbeiter!$F$6:$F$205,MATCH(B1621,Mitarbeiter!$A$6:$A$205,0)),0))</f>
        <v/>
      </c>
      <c r="H1621" s="8">
        <f>IF(B1621="","",IF(ISNA(MATCH(B1621,Mitarbeiter!$A$6:$A$205,0)),"Pers.-Nr. unbekannt",IF(A1621="","Datum fehlt",IF(AND(D1621&lt;&gt;Einstellungen!$C$4,D1621&lt;&gt;Einstellungen!$C$5),"Objekt fehlt",IF(YEAR(A1621)&lt;&gt;Einstellungen!$C$3,"anderes Jahr",IF(A1621&lt;INDEX(Mitarbeiter!$C$6:$C$205,MATCH(B1621,Mitarbeiter!$A$6:$A$205,0)),"vor Eintritt",IF(AND(INDEX(Mitarbeiter!$D$6:$D$205,MATCH(B1621,Mitarbeiter!$A$6:$A$205,0))&lt;&gt;"",A1621&gt;INDEX(Mitarbeiter!$D$6:$D$205,MATCH(B1621,Mitarbeiter!$A$6:$A$205,0))),"nach Austritt","ok")))))))</f>
        <v/>
      </c>
    </row>
    <row r="1622">
      <c r="A1622" s="26" t="n"/>
      <c r="B1622" s="24" t="n"/>
      <c r="C1622" s="40">
        <f>IF(B1622="","",IFERROR(INDEX(Mitarbeiter!$B$6:$B$205,MATCH(B1622,Mitarbeiter!$A$6:$A$205,0)),"?"))</f>
        <v/>
      </c>
      <c r="D1622" s="41" t="n"/>
      <c r="E1622" s="42" t="n"/>
      <c r="F1622" s="43" t="n"/>
      <c r="G1622" s="44">
        <f>IF(OR(B1622="",F1622=""),"",IFERROR(F1622*INDEX(Mitarbeiter!$F$6:$F$205,MATCH(B1622,Mitarbeiter!$A$6:$A$205,0)),0))</f>
        <v/>
      </c>
      <c r="H1622" s="8">
        <f>IF(B1622="","",IF(ISNA(MATCH(B1622,Mitarbeiter!$A$6:$A$205,0)),"Pers.-Nr. unbekannt",IF(A1622="","Datum fehlt",IF(AND(D1622&lt;&gt;Einstellungen!$C$4,D1622&lt;&gt;Einstellungen!$C$5),"Objekt fehlt",IF(YEAR(A1622)&lt;&gt;Einstellungen!$C$3,"anderes Jahr",IF(A1622&lt;INDEX(Mitarbeiter!$C$6:$C$205,MATCH(B1622,Mitarbeiter!$A$6:$A$205,0)),"vor Eintritt",IF(AND(INDEX(Mitarbeiter!$D$6:$D$205,MATCH(B1622,Mitarbeiter!$A$6:$A$205,0))&lt;&gt;"",A1622&gt;INDEX(Mitarbeiter!$D$6:$D$205,MATCH(B1622,Mitarbeiter!$A$6:$A$205,0))),"nach Austritt","ok")))))))</f>
        <v/>
      </c>
    </row>
    <row r="1623">
      <c r="A1623" s="26" t="n"/>
      <c r="B1623" s="24" t="n"/>
      <c r="C1623" s="40">
        <f>IF(B1623="","",IFERROR(INDEX(Mitarbeiter!$B$6:$B$205,MATCH(B1623,Mitarbeiter!$A$6:$A$205,0)),"?"))</f>
        <v/>
      </c>
      <c r="D1623" s="41" t="n"/>
      <c r="E1623" s="42" t="n"/>
      <c r="F1623" s="43" t="n"/>
      <c r="G1623" s="44">
        <f>IF(OR(B1623="",F1623=""),"",IFERROR(F1623*INDEX(Mitarbeiter!$F$6:$F$205,MATCH(B1623,Mitarbeiter!$A$6:$A$205,0)),0))</f>
        <v/>
      </c>
      <c r="H1623" s="8">
        <f>IF(B1623="","",IF(ISNA(MATCH(B1623,Mitarbeiter!$A$6:$A$205,0)),"Pers.-Nr. unbekannt",IF(A1623="","Datum fehlt",IF(AND(D1623&lt;&gt;Einstellungen!$C$4,D1623&lt;&gt;Einstellungen!$C$5),"Objekt fehlt",IF(YEAR(A1623)&lt;&gt;Einstellungen!$C$3,"anderes Jahr",IF(A1623&lt;INDEX(Mitarbeiter!$C$6:$C$205,MATCH(B1623,Mitarbeiter!$A$6:$A$205,0)),"vor Eintritt",IF(AND(INDEX(Mitarbeiter!$D$6:$D$205,MATCH(B1623,Mitarbeiter!$A$6:$A$205,0))&lt;&gt;"",A1623&gt;INDEX(Mitarbeiter!$D$6:$D$205,MATCH(B1623,Mitarbeiter!$A$6:$A$205,0))),"nach Austritt","ok")))))))</f>
        <v/>
      </c>
    </row>
    <row r="1624">
      <c r="A1624" s="26" t="n"/>
      <c r="B1624" s="24" t="n"/>
      <c r="C1624" s="40">
        <f>IF(B1624="","",IFERROR(INDEX(Mitarbeiter!$B$6:$B$205,MATCH(B1624,Mitarbeiter!$A$6:$A$205,0)),"?"))</f>
        <v/>
      </c>
      <c r="D1624" s="41" t="n"/>
      <c r="E1624" s="42" t="n"/>
      <c r="F1624" s="43" t="n"/>
      <c r="G1624" s="44">
        <f>IF(OR(B1624="",F1624=""),"",IFERROR(F1624*INDEX(Mitarbeiter!$F$6:$F$205,MATCH(B1624,Mitarbeiter!$A$6:$A$205,0)),0))</f>
        <v/>
      </c>
      <c r="H1624" s="8">
        <f>IF(B1624="","",IF(ISNA(MATCH(B1624,Mitarbeiter!$A$6:$A$205,0)),"Pers.-Nr. unbekannt",IF(A1624="","Datum fehlt",IF(AND(D1624&lt;&gt;Einstellungen!$C$4,D1624&lt;&gt;Einstellungen!$C$5),"Objekt fehlt",IF(YEAR(A1624)&lt;&gt;Einstellungen!$C$3,"anderes Jahr",IF(A1624&lt;INDEX(Mitarbeiter!$C$6:$C$205,MATCH(B1624,Mitarbeiter!$A$6:$A$205,0)),"vor Eintritt",IF(AND(INDEX(Mitarbeiter!$D$6:$D$205,MATCH(B1624,Mitarbeiter!$A$6:$A$205,0))&lt;&gt;"",A1624&gt;INDEX(Mitarbeiter!$D$6:$D$205,MATCH(B1624,Mitarbeiter!$A$6:$A$205,0))),"nach Austritt","ok")))))))</f>
        <v/>
      </c>
    </row>
    <row r="1625">
      <c r="A1625" s="26" t="n"/>
      <c r="B1625" s="24" t="n"/>
      <c r="C1625" s="40">
        <f>IF(B1625="","",IFERROR(INDEX(Mitarbeiter!$B$6:$B$205,MATCH(B1625,Mitarbeiter!$A$6:$A$205,0)),"?"))</f>
        <v/>
      </c>
      <c r="D1625" s="41" t="n"/>
      <c r="E1625" s="42" t="n"/>
      <c r="F1625" s="43" t="n"/>
      <c r="G1625" s="44">
        <f>IF(OR(B1625="",F1625=""),"",IFERROR(F1625*INDEX(Mitarbeiter!$F$6:$F$205,MATCH(B1625,Mitarbeiter!$A$6:$A$205,0)),0))</f>
        <v/>
      </c>
      <c r="H1625" s="8">
        <f>IF(B1625="","",IF(ISNA(MATCH(B1625,Mitarbeiter!$A$6:$A$205,0)),"Pers.-Nr. unbekannt",IF(A1625="","Datum fehlt",IF(AND(D1625&lt;&gt;Einstellungen!$C$4,D1625&lt;&gt;Einstellungen!$C$5),"Objekt fehlt",IF(YEAR(A1625)&lt;&gt;Einstellungen!$C$3,"anderes Jahr",IF(A1625&lt;INDEX(Mitarbeiter!$C$6:$C$205,MATCH(B1625,Mitarbeiter!$A$6:$A$205,0)),"vor Eintritt",IF(AND(INDEX(Mitarbeiter!$D$6:$D$205,MATCH(B1625,Mitarbeiter!$A$6:$A$205,0))&lt;&gt;"",A1625&gt;INDEX(Mitarbeiter!$D$6:$D$205,MATCH(B1625,Mitarbeiter!$A$6:$A$205,0))),"nach Austritt","ok")))))))</f>
        <v/>
      </c>
    </row>
    <row r="1626">
      <c r="A1626" s="26" t="n"/>
      <c r="B1626" s="24" t="n"/>
      <c r="C1626" s="40">
        <f>IF(B1626="","",IFERROR(INDEX(Mitarbeiter!$B$6:$B$205,MATCH(B1626,Mitarbeiter!$A$6:$A$205,0)),"?"))</f>
        <v/>
      </c>
      <c r="D1626" s="41" t="n"/>
      <c r="E1626" s="42" t="n"/>
      <c r="F1626" s="43" t="n"/>
      <c r="G1626" s="44">
        <f>IF(OR(B1626="",F1626=""),"",IFERROR(F1626*INDEX(Mitarbeiter!$F$6:$F$205,MATCH(B1626,Mitarbeiter!$A$6:$A$205,0)),0))</f>
        <v/>
      </c>
      <c r="H1626" s="8">
        <f>IF(B1626="","",IF(ISNA(MATCH(B1626,Mitarbeiter!$A$6:$A$205,0)),"Pers.-Nr. unbekannt",IF(A1626="","Datum fehlt",IF(AND(D1626&lt;&gt;Einstellungen!$C$4,D1626&lt;&gt;Einstellungen!$C$5),"Objekt fehlt",IF(YEAR(A1626)&lt;&gt;Einstellungen!$C$3,"anderes Jahr",IF(A1626&lt;INDEX(Mitarbeiter!$C$6:$C$205,MATCH(B1626,Mitarbeiter!$A$6:$A$205,0)),"vor Eintritt",IF(AND(INDEX(Mitarbeiter!$D$6:$D$205,MATCH(B1626,Mitarbeiter!$A$6:$A$205,0))&lt;&gt;"",A1626&gt;INDEX(Mitarbeiter!$D$6:$D$205,MATCH(B1626,Mitarbeiter!$A$6:$A$205,0))),"nach Austritt","ok")))))))</f>
        <v/>
      </c>
    </row>
    <row r="1627">
      <c r="A1627" s="26" t="n"/>
      <c r="B1627" s="24" t="n"/>
      <c r="C1627" s="40">
        <f>IF(B1627="","",IFERROR(INDEX(Mitarbeiter!$B$6:$B$205,MATCH(B1627,Mitarbeiter!$A$6:$A$205,0)),"?"))</f>
        <v/>
      </c>
      <c r="D1627" s="41" t="n"/>
      <c r="E1627" s="42" t="n"/>
      <c r="F1627" s="43" t="n"/>
      <c r="G1627" s="44">
        <f>IF(OR(B1627="",F1627=""),"",IFERROR(F1627*INDEX(Mitarbeiter!$F$6:$F$205,MATCH(B1627,Mitarbeiter!$A$6:$A$205,0)),0))</f>
        <v/>
      </c>
      <c r="H1627" s="8">
        <f>IF(B1627="","",IF(ISNA(MATCH(B1627,Mitarbeiter!$A$6:$A$205,0)),"Pers.-Nr. unbekannt",IF(A1627="","Datum fehlt",IF(AND(D1627&lt;&gt;Einstellungen!$C$4,D1627&lt;&gt;Einstellungen!$C$5),"Objekt fehlt",IF(YEAR(A1627)&lt;&gt;Einstellungen!$C$3,"anderes Jahr",IF(A1627&lt;INDEX(Mitarbeiter!$C$6:$C$205,MATCH(B1627,Mitarbeiter!$A$6:$A$205,0)),"vor Eintritt",IF(AND(INDEX(Mitarbeiter!$D$6:$D$205,MATCH(B1627,Mitarbeiter!$A$6:$A$205,0))&lt;&gt;"",A1627&gt;INDEX(Mitarbeiter!$D$6:$D$205,MATCH(B1627,Mitarbeiter!$A$6:$A$205,0))),"nach Austritt","ok")))))))</f>
        <v/>
      </c>
    </row>
    <row r="1628">
      <c r="A1628" s="26" t="n"/>
      <c r="B1628" s="24" t="n"/>
      <c r="C1628" s="40">
        <f>IF(B1628="","",IFERROR(INDEX(Mitarbeiter!$B$6:$B$205,MATCH(B1628,Mitarbeiter!$A$6:$A$205,0)),"?"))</f>
        <v/>
      </c>
      <c r="D1628" s="41" t="n"/>
      <c r="E1628" s="42" t="n"/>
      <c r="F1628" s="43" t="n"/>
      <c r="G1628" s="44">
        <f>IF(OR(B1628="",F1628=""),"",IFERROR(F1628*INDEX(Mitarbeiter!$F$6:$F$205,MATCH(B1628,Mitarbeiter!$A$6:$A$205,0)),0))</f>
        <v/>
      </c>
      <c r="H1628" s="8">
        <f>IF(B1628="","",IF(ISNA(MATCH(B1628,Mitarbeiter!$A$6:$A$205,0)),"Pers.-Nr. unbekannt",IF(A1628="","Datum fehlt",IF(AND(D1628&lt;&gt;Einstellungen!$C$4,D1628&lt;&gt;Einstellungen!$C$5),"Objekt fehlt",IF(YEAR(A1628)&lt;&gt;Einstellungen!$C$3,"anderes Jahr",IF(A1628&lt;INDEX(Mitarbeiter!$C$6:$C$205,MATCH(B1628,Mitarbeiter!$A$6:$A$205,0)),"vor Eintritt",IF(AND(INDEX(Mitarbeiter!$D$6:$D$205,MATCH(B1628,Mitarbeiter!$A$6:$A$205,0))&lt;&gt;"",A1628&gt;INDEX(Mitarbeiter!$D$6:$D$205,MATCH(B1628,Mitarbeiter!$A$6:$A$205,0))),"nach Austritt","ok")))))))</f>
        <v/>
      </c>
    </row>
    <row r="1629">
      <c r="A1629" s="26" t="n"/>
      <c r="B1629" s="24" t="n"/>
      <c r="C1629" s="40">
        <f>IF(B1629="","",IFERROR(INDEX(Mitarbeiter!$B$6:$B$205,MATCH(B1629,Mitarbeiter!$A$6:$A$205,0)),"?"))</f>
        <v/>
      </c>
      <c r="D1629" s="41" t="n"/>
      <c r="E1629" s="42" t="n"/>
      <c r="F1629" s="43" t="n"/>
      <c r="G1629" s="44">
        <f>IF(OR(B1629="",F1629=""),"",IFERROR(F1629*INDEX(Mitarbeiter!$F$6:$F$205,MATCH(B1629,Mitarbeiter!$A$6:$A$205,0)),0))</f>
        <v/>
      </c>
      <c r="H1629" s="8">
        <f>IF(B1629="","",IF(ISNA(MATCH(B1629,Mitarbeiter!$A$6:$A$205,0)),"Pers.-Nr. unbekannt",IF(A1629="","Datum fehlt",IF(AND(D1629&lt;&gt;Einstellungen!$C$4,D1629&lt;&gt;Einstellungen!$C$5),"Objekt fehlt",IF(YEAR(A1629)&lt;&gt;Einstellungen!$C$3,"anderes Jahr",IF(A1629&lt;INDEX(Mitarbeiter!$C$6:$C$205,MATCH(B1629,Mitarbeiter!$A$6:$A$205,0)),"vor Eintritt",IF(AND(INDEX(Mitarbeiter!$D$6:$D$205,MATCH(B1629,Mitarbeiter!$A$6:$A$205,0))&lt;&gt;"",A1629&gt;INDEX(Mitarbeiter!$D$6:$D$205,MATCH(B1629,Mitarbeiter!$A$6:$A$205,0))),"nach Austritt","ok")))))))</f>
        <v/>
      </c>
    </row>
    <row r="1630">
      <c r="A1630" s="26" t="n"/>
      <c r="B1630" s="24" t="n"/>
      <c r="C1630" s="40">
        <f>IF(B1630="","",IFERROR(INDEX(Mitarbeiter!$B$6:$B$205,MATCH(B1630,Mitarbeiter!$A$6:$A$205,0)),"?"))</f>
        <v/>
      </c>
      <c r="D1630" s="41" t="n"/>
      <c r="E1630" s="42" t="n"/>
      <c r="F1630" s="43" t="n"/>
      <c r="G1630" s="44">
        <f>IF(OR(B1630="",F1630=""),"",IFERROR(F1630*INDEX(Mitarbeiter!$F$6:$F$205,MATCH(B1630,Mitarbeiter!$A$6:$A$205,0)),0))</f>
        <v/>
      </c>
      <c r="H1630" s="8">
        <f>IF(B1630="","",IF(ISNA(MATCH(B1630,Mitarbeiter!$A$6:$A$205,0)),"Pers.-Nr. unbekannt",IF(A1630="","Datum fehlt",IF(AND(D1630&lt;&gt;Einstellungen!$C$4,D1630&lt;&gt;Einstellungen!$C$5),"Objekt fehlt",IF(YEAR(A1630)&lt;&gt;Einstellungen!$C$3,"anderes Jahr",IF(A1630&lt;INDEX(Mitarbeiter!$C$6:$C$205,MATCH(B1630,Mitarbeiter!$A$6:$A$205,0)),"vor Eintritt",IF(AND(INDEX(Mitarbeiter!$D$6:$D$205,MATCH(B1630,Mitarbeiter!$A$6:$A$205,0))&lt;&gt;"",A1630&gt;INDEX(Mitarbeiter!$D$6:$D$205,MATCH(B1630,Mitarbeiter!$A$6:$A$205,0))),"nach Austritt","ok")))))))</f>
        <v/>
      </c>
    </row>
    <row r="1631">
      <c r="A1631" s="26" t="n"/>
      <c r="B1631" s="24" t="n"/>
      <c r="C1631" s="40">
        <f>IF(B1631="","",IFERROR(INDEX(Mitarbeiter!$B$6:$B$205,MATCH(B1631,Mitarbeiter!$A$6:$A$205,0)),"?"))</f>
        <v/>
      </c>
      <c r="D1631" s="41" t="n"/>
      <c r="E1631" s="42" t="n"/>
      <c r="F1631" s="43" t="n"/>
      <c r="G1631" s="44">
        <f>IF(OR(B1631="",F1631=""),"",IFERROR(F1631*INDEX(Mitarbeiter!$F$6:$F$205,MATCH(B1631,Mitarbeiter!$A$6:$A$205,0)),0))</f>
        <v/>
      </c>
      <c r="H1631" s="8">
        <f>IF(B1631="","",IF(ISNA(MATCH(B1631,Mitarbeiter!$A$6:$A$205,0)),"Pers.-Nr. unbekannt",IF(A1631="","Datum fehlt",IF(AND(D1631&lt;&gt;Einstellungen!$C$4,D1631&lt;&gt;Einstellungen!$C$5),"Objekt fehlt",IF(YEAR(A1631)&lt;&gt;Einstellungen!$C$3,"anderes Jahr",IF(A1631&lt;INDEX(Mitarbeiter!$C$6:$C$205,MATCH(B1631,Mitarbeiter!$A$6:$A$205,0)),"vor Eintritt",IF(AND(INDEX(Mitarbeiter!$D$6:$D$205,MATCH(B1631,Mitarbeiter!$A$6:$A$205,0))&lt;&gt;"",A1631&gt;INDEX(Mitarbeiter!$D$6:$D$205,MATCH(B1631,Mitarbeiter!$A$6:$A$205,0))),"nach Austritt","ok")))))))</f>
        <v/>
      </c>
    </row>
    <row r="1632">
      <c r="A1632" s="26" t="n"/>
      <c r="B1632" s="24" t="n"/>
      <c r="C1632" s="40">
        <f>IF(B1632="","",IFERROR(INDEX(Mitarbeiter!$B$6:$B$205,MATCH(B1632,Mitarbeiter!$A$6:$A$205,0)),"?"))</f>
        <v/>
      </c>
      <c r="D1632" s="41" t="n"/>
      <c r="E1632" s="42" t="n"/>
      <c r="F1632" s="43" t="n"/>
      <c r="G1632" s="44">
        <f>IF(OR(B1632="",F1632=""),"",IFERROR(F1632*INDEX(Mitarbeiter!$F$6:$F$205,MATCH(B1632,Mitarbeiter!$A$6:$A$205,0)),0))</f>
        <v/>
      </c>
      <c r="H1632" s="8">
        <f>IF(B1632="","",IF(ISNA(MATCH(B1632,Mitarbeiter!$A$6:$A$205,0)),"Pers.-Nr. unbekannt",IF(A1632="","Datum fehlt",IF(AND(D1632&lt;&gt;Einstellungen!$C$4,D1632&lt;&gt;Einstellungen!$C$5),"Objekt fehlt",IF(YEAR(A1632)&lt;&gt;Einstellungen!$C$3,"anderes Jahr",IF(A1632&lt;INDEX(Mitarbeiter!$C$6:$C$205,MATCH(B1632,Mitarbeiter!$A$6:$A$205,0)),"vor Eintritt",IF(AND(INDEX(Mitarbeiter!$D$6:$D$205,MATCH(B1632,Mitarbeiter!$A$6:$A$205,0))&lt;&gt;"",A1632&gt;INDEX(Mitarbeiter!$D$6:$D$205,MATCH(B1632,Mitarbeiter!$A$6:$A$205,0))),"nach Austritt","ok")))))))</f>
        <v/>
      </c>
    </row>
    <row r="1633">
      <c r="A1633" s="26" t="n"/>
      <c r="B1633" s="24" t="n"/>
      <c r="C1633" s="40">
        <f>IF(B1633="","",IFERROR(INDEX(Mitarbeiter!$B$6:$B$205,MATCH(B1633,Mitarbeiter!$A$6:$A$205,0)),"?"))</f>
        <v/>
      </c>
      <c r="D1633" s="41" t="n"/>
      <c r="E1633" s="42" t="n"/>
      <c r="F1633" s="43" t="n"/>
      <c r="G1633" s="44">
        <f>IF(OR(B1633="",F1633=""),"",IFERROR(F1633*INDEX(Mitarbeiter!$F$6:$F$205,MATCH(B1633,Mitarbeiter!$A$6:$A$205,0)),0))</f>
        <v/>
      </c>
      <c r="H1633" s="8">
        <f>IF(B1633="","",IF(ISNA(MATCH(B1633,Mitarbeiter!$A$6:$A$205,0)),"Pers.-Nr. unbekannt",IF(A1633="","Datum fehlt",IF(AND(D1633&lt;&gt;Einstellungen!$C$4,D1633&lt;&gt;Einstellungen!$C$5),"Objekt fehlt",IF(YEAR(A1633)&lt;&gt;Einstellungen!$C$3,"anderes Jahr",IF(A1633&lt;INDEX(Mitarbeiter!$C$6:$C$205,MATCH(B1633,Mitarbeiter!$A$6:$A$205,0)),"vor Eintritt",IF(AND(INDEX(Mitarbeiter!$D$6:$D$205,MATCH(B1633,Mitarbeiter!$A$6:$A$205,0))&lt;&gt;"",A1633&gt;INDEX(Mitarbeiter!$D$6:$D$205,MATCH(B1633,Mitarbeiter!$A$6:$A$205,0))),"nach Austritt","ok")))))))</f>
        <v/>
      </c>
    </row>
    <row r="1634">
      <c r="A1634" s="26" t="n"/>
      <c r="B1634" s="24" t="n"/>
      <c r="C1634" s="40">
        <f>IF(B1634="","",IFERROR(INDEX(Mitarbeiter!$B$6:$B$205,MATCH(B1634,Mitarbeiter!$A$6:$A$205,0)),"?"))</f>
        <v/>
      </c>
      <c r="D1634" s="41" t="n"/>
      <c r="E1634" s="42" t="n"/>
      <c r="F1634" s="43" t="n"/>
      <c r="G1634" s="44">
        <f>IF(OR(B1634="",F1634=""),"",IFERROR(F1634*INDEX(Mitarbeiter!$F$6:$F$205,MATCH(B1634,Mitarbeiter!$A$6:$A$205,0)),0))</f>
        <v/>
      </c>
      <c r="H1634" s="8">
        <f>IF(B1634="","",IF(ISNA(MATCH(B1634,Mitarbeiter!$A$6:$A$205,0)),"Pers.-Nr. unbekannt",IF(A1634="","Datum fehlt",IF(AND(D1634&lt;&gt;Einstellungen!$C$4,D1634&lt;&gt;Einstellungen!$C$5),"Objekt fehlt",IF(YEAR(A1634)&lt;&gt;Einstellungen!$C$3,"anderes Jahr",IF(A1634&lt;INDEX(Mitarbeiter!$C$6:$C$205,MATCH(B1634,Mitarbeiter!$A$6:$A$205,0)),"vor Eintritt",IF(AND(INDEX(Mitarbeiter!$D$6:$D$205,MATCH(B1634,Mitarbeiter!$A$6:$A$205,0))&lt;&gt;"",A1634&gt;INDEX(Mitarbeiter!$D$6:$D$205,MATCH(B1634,Mitarbeiter!$A$6:$A$205,0))),"nach Austritt","ok")))))))</f>
        <v/>
      </c>
    </row>
    <row r="1635">
      <c r="A1635" s="26" t="n"/>
      <c r="B1635" s="24" t="n"/>
      <c r="C1635" s="40">
        <f>IF(B1635="","",IFERROR(INDEX(Mitarbeiter!$B$6:$B$205,MATCH(B1635,Mitarbeiter!$A$6:$A$205,0)),"?"))</f>
        <v/>
      </c>
      <c r="D1635" s="41" t="n"/>
      <c r="E1635" s="42" t="n"/>
      <c r="F1635" s="43" t="n"/>
      <c r="G1635" s="44">
        <f>IF(OR(B1635="",F1635=""),"",IFERROR(F1635*INDEX(Mitarbeiter!$F$6:$F$205,MATCH(B1635,Mitarbeiter!$A$6:$A$205,0)),0))</f>
        <v/>
      </c>
      <c r="H1635" s="8">
        <f>IF(B1635="","",IF(ISNA(MATCH(B1635,Mitarbeiter!$A$6:$A$205,0)),"Pers.-Nr. unbekannt",IF(A1635="","Datum fehlt",IF(AND(D1635&lt;&gt;Einstellungen!$C$4,D1635&lt;&gt;Einstellungen!$C$5),"Objekt fehlt",IF(YEAR(A1635)&lt;&gt;Einstellungen!$C$3,"anderes Jahr",IF(A1635&lt;INDEX(Mitarbeiter!$C$6:$C$205,MATCH(B1635,Mitarbeiter!$A$6:$A$205,0)),"vor Eintritt",IF(AND(INDEX(Mitarbeiter!$D$6:$D$205,MATCH(B1635,Mitarbeiter!$A$6:$A$205,0))&lt;&gt;"",A1635&gt;INDEX(Mitarbeiter!$D$6:$D$205,MATCH(B1635,Mitarbeiter!$A$6:$A$205,0))),"nach Austritt","ok")))))))</f>
        <v/>
      </c>
    </row>
    <row r="1636">
      <c r="A1636" s="26" t="n"/>
      <c r="B1636" s="24" t="n"/>
      <c r="C1636" s="40">
        <f>IF(B1636="","",IFERROR(INDEX(Mitarbeiter!$B$6:$B$205,MATCH(B1636,Mitarbeiter!$A$6:$A$205,0)),"?"))</f>
        <v/>
      </c>
      <c r="D1636" s="41" t="n"/>
      <c r="E1636" s="42" t="n"/>
      <c r="F1636" s="43" t="n"/>
      <c r="G1636" s="44">
        <f>IF(OR(B1636="",F1636=""),"",IFERROR(F1636*INDEX(Mitarbeiter!$F$6:$F$205,MATCH(B1636,Mitarbeiter!$A$6:$A$205,0)),0))</f>
        <v/>
      </c>
      <c r="H1636" s="8">
        <f>IF(B1636="","",IF(ISNA(MATCH(B1636,Mitarbeiter!$A$6:$A$205,0)),"Pers.-Nr. unbekannt",IF(A1636="","Datum fehlt",IF(AND(D1636&lt;&gt;Einstellungen!$C$4,D1636&lt;&gt;Einstellungen!$C$5),"Objekt fehlt",IF(YEAR(A1636)&lt;&gt;Einstellungen!$C$3,"anderes Jahr",IF(A1636&lt;INDEX(Mitarbeiter!$C$6:$C$205,MATCH(B1636,Mitarbeiter!$A$6:$A$205,0)),"vor Eintritt",IF(AND(INDEX(Mitarbeiter!$D$6:$D$205,MATCH(B1636,Mitarbeiter!$A$6:$A$205,0))&lt;&gt;"",A1636&gt;INDEX(Mitarbeiter!$D$6:$D$205,MATCH(B1636,Mitarbeiter!$A$6:$A$205,0))),"nach Austritt","ok")))))))</f>
        <v/>
      </c>
    </row>
    <row r="1637">
      <c r="A1637" s="26" t="n"/>
      <c r="B1637" s="24" t="n"/>
      <c r="C1637" s="40">
        <f>IF(B1637="","",IFERROR(INDEX(Mitarbeiter!$B$6:$B$205,MATCH(B1637,Mitarbeiter!$A$6:$A$205,0)),"?"))</f>
        <v/>
      </c>
      <c r="D1637" s="41" t="n"/>
      <c r="E1637" s="42" t="n"/>
      <c r="F1637" s="43" t="n"/>
      <c r="G1637" s="44">
        <f>IF(OR(B1637="",F1637=""),"",IFERROR(F1637*INDEX(Mitarbeiter!$F$6:$F$205,MATCH(B1637,Mitarbeiter!$A$6:$A$205,0)),0))</f>
        <v/>
      </c>
      <c r="H1637" s="8">
        <f>IF(B1637="","",IF(ISNA(MATCH(B1637,Mitarbeiter!$A$6:$A$205,0)),"Pers.-Nr. unbekannt",IF(A1637="","Datum fehlt",IF(AND(D1637&lt;&gt;Einstellungen!$C$4,D1637&lt;&gt;Einstellungen!$C$5),"Objekt fehlt",IF(YEAR(A1637)&lt;&gt;Einstellungen!$C$3,"anderes Jahr",IF(A1637&lt;INDEX(Mitarbeiter!$C$6:$C$205,MATCH(B1637,Mitarbeiter!$A$6:$A$205,0)),"vor Eintritt",IF(AND(INDEX(Mitarbeiter!$D$6:$D$205,MATCH(B1637,Mitarbeiter!$A$6:$A$205,0))&lt;&gt;"",A1637&gt;INDEX(Mitarbeiter!$D$6:$D$205,MATCH(B1637,Mitarbeiter!$A$6:$A$205,0))),"nach Austritt","ok")))))))</f>
        <v/>
      </c>
    </row>
    <row r="1638">
      <c r="A1638" s="26" t="n"/>
      <c r="B1638" s="24" t="n"/>
      <c r="C1638" s="40">
        <f>IF(B1638="","",IFERROR(INDEX(Mitarbeiter!$B$6:$B$205,MATCH(B1638,Mitarbeiter!$A$6:$A$205,0)),"?"))</f>
        <v/>
      </c>
      <c r="D1638" s="41" t="n"/>
      <c r="E1638" s="42" t="n"/>
      <c r="F1638" s="43" t="n"/>
      <c r="G1638" s="44">
        <f>IF(OR(B1638="",F1638=""),"",IFERROR(F1638*INDEX(Mitarbeiter!$F$6:$F$205,MATCH(B1638,Mitarbeiter!$A$6:$A$205,0)),0))</f>
        <v/>
      </c>
      <c r="H1638" s="8">
        <f>IF(B1638="","",IF(ISNA(MATCH(B1638,Mitarbeiter!$A$6:$A$205,0)),"Pers.-Nr. unbekannt",IF(A1638="","Datum fehlt",IF(AND(D1638&lt;&gt;Einstellungen!$C$4,D1638&lt;&gt;Einstellungen!$C$5),"Objekt fehlt",IF(YEAR(A1638)&lt;&gt;Einstellungen!$C$3,"anderes Jahr",IF(A1638&lt;INDEX(Mitarbeiter!$C$6:$C$205,MATCH(B1638,Mitarbeiter!$A$6:$A$205,0)),"vor Eintritt",IF(AND(INDEX(Mitarbeiter!$D$6:$D$205,MATCH(B1638,Mitarbeiter!$A$6:$A$205,0))&lt;&gt;"",A1638&gt;INDEX(Mitarbeiter!$D$6:$D$205,MATCH(B1638,Mitarbeiter!$A$6:$A$205,0))),"nach Austritt","ok")))))))</f>
        <v/>
      </c>
    </row>
    <row r="1639">
      <c r="A1639" s="26" t="n"/>
      <c r="B1639" s="24" t="n"/>
      <c r="C1639" s="40">
        <f>IF(B1639="","",IFERROR(INDEX(Mitarbeiter!$B$6:$B$205,MATCH(B1639,Mitarbeiter!$A$6:$A$205,0)),"?"))</f>
        <v/>
      </c>
      <c r="D1639" s="41" t="n"/>
      <c r="E1639" s="42" t="n"/>
      <c r="F1639" s="43" t="n"/>
      <c r="G1639" s="44">
        <f>IF(OR(B1639="",F1639=""),"",IFERROR(F1639*INDEX(Mitarbeiter!$F$6:$F$205,MATCH(B1639,Mitarbeiter!$A$6:$A$205,0)),0))</f>
        <v/>
      </c>
      <c r="H1639" s="8">
        <f>IF(B1639="","",IF(ISNA(MATCH(B1639,Mitarbeiter!$A$6:$A$205,0)),"Pers.-Nr. unbekannt",IF(A1639="","Datum fehlt",IF(AND(D1639&lt;&gt;Einstellungen!$C$4,D1639&lt;&gt;Einstellungen!$C$5),"Objekt fehlt",IF(YEAR(A1639)&lt;&gt;Einstellungen!$C$3,"anderes Jahr",IF(A1639&lt;INDEX(Mitarbeiter!$C$6:$C$205,MATCH(B1639,Mitarbeiter!$A$6:$A$205,0)),"vor Eintritt",IF(AND(INDEX(Mitarbeiter!$D$6:$D$205,MATCH(B1639,Mitarbeiter!$A$6:$A$205,0))&lt;&gt;"",A1639&gt;INDEX(Mitarbeiter!$D$6:$D$205,MATCH(B1639,Mitarbeiter!$A$6:$A$205,0))),"nach Austritt","ok")))))))</f>
        <v/>
      </c>
    </row>
    <row r="1640">
      <c r="A1640" s="26" t="n"/>
      <c r="B1640" s="24" t="n"/>
      <c r="C1640" s="40">
        <f>IF(B1640="","",IFERROR(INDEX(Mitarbeiter!$B$6:$B$205,MATCH(B1640,Mitarbeiter!$A$6:$A$205,0)),"?"))</f>
        <v/>
      </c>
      <c r="D1640" s="41" t="n"/>
      <c r="E1640" s="42" t="n"/>
      <c r="F1640" s="43" t="n"/>
      <c r="G1640" s="44">
        <f>IF(OR(B1640="",F1640=""),"",IFERROR(F1640*INDEX(Mitarbeiter!$F$6:$F$205,MATCH(B1640,Mitarbeiter!$A$6:$A$205,0)),0))</f>
        <v/>
      </c>
      <c r="H1640" s="8">
        <f>IF(B1640="","",IF(ISNA(MATCH(B1640,Mitarbeiter!$A$6:$A$205,0)),"Pers.-Nr. unbekannt",IF(A1640="","Datum fehlt",IF(AND(D1640&lt;&gt;Einstellungen!$C$4,D1640&lt;&gt;Einstellungen!$C$5),"Objekt fehlt",IF(YEAR(A1640)&lt;&gt;Einstellungen!$C$3,"anderes Jahr",IF(A1640&lt;INDEX(Mitarbeiter!$C$6:$C$205,MATCH(B1640,Mitarbeiter!$A$6:$A$205,0)),"vor Eintritt",IF(AND(INDEX(Mitarbeiter!$D$6:$D$205,MATCH(B1640,Mitarbeiter!$A$6:$A$205,0))&lt;&gt;"",A1640&gt;INDEX(Mitarbeiter!$D$6:$D$205,MATCH(B1640,Mitarbeiter!$A$6:$A$205,0))),"nach Austritt","ok")))))))</f>
        <v/>
      </c>
    </row>
    <row r="1641">
      <c r="A1641" s="26" t="n"/>
      <c r="B1641" s="24" t="n"/>
      <c r="C1641" s="40">
        <f>IF(B1641="","",IFERROR(INDEX(Mitarbeiter!$B$6:$B$205,MATCH(B1641,Mitarbeiter!$A$6:$A$205,0)),"?"))</f>
        <v/>
      </c>
      <c r="D1641" s="41" t="n"/>
      <c r="E1641" s="42" t="n"/>
      <c r="F1641" s="43" t="n"/>
      <c r="G1641" s="44">
        <f>IF(OR(B1641="",F1641=""),"",IFERROR(F1641*INDEX(Mitarbeiter!$F$6:$F$205,MATCH(B1641,Mitarbeiter!$A$6:$A$205,0)),0))</f>
        <v/>
      </c>
      <c r="H1641" s="8">
        <f>IF(B1641="","",IF(ISNA(MATCH(B1641,Mitarbeiter!$A$6:$A$205,0)),"Pers.-Nr. unbekannt",IF(A1641="","Datum fehlt",IF(AND(D1641&lt;&gt;Einstellungen!$C$4,D1641&lt;&gt;Einstellungen!$C$5),"Objekt fehlt",IF(YEAR(A1641)&lt;&gt;Einstellungen!$C$3,"anderes Jahr",IF(A1641&lt;INDEX(Mitarbeiter!$C$6:$C$205,MATCH(B1641,Mitarbeiter!$A$6:$A$205,0)),"vor Eintritt",IF(AND(INDEX(Mitarbeiter!$D$6:$D$205,MATCH(B1641,Mitarbeiter!$A$6:$A$205,0))&lt;&gt;"",A1641&gt;INDEX(Mitarbeiter!$D$6:$D$205,MATCH(B1641,Mitarbeiter!$A$6:$A$205,0))),"nach Austritt","ok")))))))</f>
        <v/>
      </c>
    </row>
    <row r="1642">
      <c r="A1642" s="26" t="n"/>
      <c r="B1642" s="24" t="n"/>
      <c r="C1642" s="40">
        <f>IF(B1642="","",IFERROR(INDEX(Mitarbeiter!$B$6:$B$205,MATCH(B1642,Mitarbeiter!$A$6:$A$205,0)),"?"))</f>
        <v/>
      </c>
      <c r="D1642" s="41" t="n"/>
      <c r="E1642" s="42" t="n"/>
      <c r="F1642" s="43" t="n"/>
      <c r="G1642" s="44">
        <f>IF(OR(B1642="",F1642=""),"",IFERROR(F1642*INDEX(Mitarbeiter!$F$6:$F$205,MATCH(B1642,Mitarbeiter!$A$6:$A$205,0)),0))</f>
        <v/>
      </c>
      <c r="H1642" s="8">
        <f>IF(B1642="","",IF(ISNA(MATCH(B1642,Mitarbeiter!$A$6:$A$205,0)),"Pers.-Nr. unbekannt",IF(A1642="","Datum fehlt",IF(AND(D1642&lt;&gt;Einstellungen!$C$4,D1642&lt;&gt;Einstellungen!$C$5),"Objekt fehlt",IF(YEAR(A1642)&lt;&gt;Einstellungen!$C$3,"anderes Jahr",IF(A1642&lt;INDEX(Mitarbeiter!$C$6:$C$205,MATCH(B1642,Mitarbeiter!$A$6:$A$205,0)),"vor Eintritt",IF(AND(INDEX(Mitarbeiter!$D$6:$D$205,MATCH(B1642,Mitarbeiter!$A$6:$A$205,0))&lt;&gt;"",A1642&gt;INDEX(Mitarbeiter!$D$6:$D$205,MATCH(B1642,Mitarbeiter!$A$6:$A$205,0))),"nach Austritt","ok")))))))</f>
        <v/>
      </c>
    </row>
    <row r="1643">
      <c r="A1643" s="26" t="n"/>
      <c r="B1643" s="24" t="n"/>
      <c r="C1643" s="40">
        <f>IF(B1643="","",IFERROR(INDEX(Mitarbeiter!$B$6:$B$205,MATCH(B1643,Mitarbeiter!$A$6:$A$205,0)),"?"))</f>
        <v/>
      </c>
      <c r="D1643" s="41" t="n"/>
      <c r="E1643" s="42" t="n"/>
      <c r="F1643" s="43" t="n"/>
      <c r="G1643" s="44">
        <f>IF(OR(B1643="",F1643=""),"",IFERROR(F1643*INDEX(Mitarbeiter!$F$6:$F$205,MATCH(B1643,Mitarbeiter!$A$6:$A$205,0)),0))</f>
        <v/>
      </c>
      <c r="H1643" s="8">
        <f>IF(B1643="","",IF(ISNA(MATCH(B1643,Mitarbeiter!$A$6:$A$205,0)),"Pers.-Nr. unbekannt",IF(A1643="","Datum fehlt",IF(AND(D1643&lt;&gt;Einstellungen!$C$4,D1643&lt;&gt;Einstellungen!$C$5),"Objekt fehlt",IF(YEAR(A1643)&lt;&gt;Einstellungen!$C$3,"anderes Jahr",IF(A1643&lt;INDEX(Mitarbeiter!$C$6:$C$205,MATCH(B1643,Mitarbeiter!$A$6:$A$205,0)),"vor Eintritt",IF(AND(INDEX(Mitarbeiter!$D$6:$D$205,MATCH(B1643,Mitarbeiter!$A$6:$A$205,0))&lt;&gt;"",A1643&gt;INDEX(Mitarbeiter!$D$6:$D$205,MATCH(B1643,Mitarbeiter!$A$6:$A$205,0))),"nach Austritt","ok")))))))</f>
        <v/>
      </c>
    </row>
    <row r="1644">
      <c r="A1644" s="26" t="n"/>
      <c r="B1644" s="24" t="n"/>
      <c r="C1644" s="40">
        <f>IF(B1644="","",IFERROR(INDEX(Mitarbeiter!$B$6:$B$205,MATCH(B1644,Mitarbeiter!$A$6:$A$205,0)),"?"))</f>
        <v/>
      </c>
      <c r="D1644" s="41" t="n"/>
      <c r="E1644" s="42" t="n"/>
      <c r="F1644" s="43" t="n"/>
      <c r="G1644" s="44">
        <f>IF(OR(B1644="",F1644=""),"",IFERROR(F1644*INDEX(Mitarbeiter!$F$6:$F$205,MATCH(B1644,Mitarbeiter!$A$6:$A$205,0)),0))</f>
        <v/>
      </c>
      <c r="H1644" s="8">
        <f>IF(B1644="","",IF(ISNA(MATCH(B1644,Mitarbeiter!$A$6:$A$205,0)),"Pers.-Nr. unbekannt",IF(A1644="","Datum fehlt",IF(AND(D1644&lt;&gt;Einstellungen!$C$4,D1644&lt;&gt;Einstellungen!$C$5),"Objekt fehlt",IF(YEAR(A1644)&lt;&gt;Einstellungen!$C$3,"anderes Jahr",IF(A1644&lt;INDEX(Mitarbeiter!$C$6:$C$205,MATCH(B1644,Mitarbeiter!$A$6:$A$205,0)),"vor Eintritt",IF(AND(INDEX(Mitarbeiter!$D$6:$D$205,MATCH(B1644,Mitarbeiter!$A$6:$A$205,0))&lt;&gt;"",A1644&gt;INDEX(Mitarbeiter!$D$6:$D$205,MATCH(B1644,Mitarbeiter!$A$6:$A$205,0))),"nach Austritt","ok")))))))</f>
        <v/>
      </c>
    </row>
    <row r="1645">
      <c r="A1645" s="26" t="n"/>
      <c r="B1645" s="24" t="n"/>
      <c r="C1645" s="40">
        <f>IF(B1645="","",IFERROR(INDEX(Mitarbeiter!$B$6:$B$205,MATCH(B1645,Mitarbeiter!$A$6:$A$205,0)),"?"))</f>
        <v/>
      </c>
      <c r="D1645" s="41" t="n"/>
      <c r="E1645" s="42" t="n"/>
      <c r="F1645" s="43" t="n"/>
      <c r="G1645" s="44">
        <f>IF(OR(B1645="",F1645=""),"",IFERROR(F1645*INDEX(Mitarbeiter!$F$6:$F$205,MATCH(B1645,Mitarbeiter!$A$6:$A$205,0)),0))</f>
        <v/>
      </c>
      <c r="H1645" s="8">
        <f>IF(B1645="","",IF(ISNA(MATCH(B1645,Mitarbeiter!$A$6:$A$205,0)),"Pers.-Nr. unbekannt",IF(A1645="","Datum fehlt",IF(AND(D1645&lt;&gt;Einstellungen!$C$4,D1645&lt;&gt;Einstellungen!$C$5),"Objekt fehlt",IF(YEAR(A1645)&lt;&gt;Einstellungen!$C$3,"anderes Jahr",IF(A1645&lt;INDEX(Mitarbeiter!$C$6:$C$205,MATCH(B1645,Mitarbeiter!$A$6:$A$205,0)),"vor Eintritt",IF(AND(INDEX(Mitarbeiter!$D$6:$D$205,MATCH(B1645,Mitarbeiter!$A$6:$A$205,0))&lt;&gt;"",A1645&gt;INDEX(Mitarbeiter!$D$6:$D$205,MATCH(B1645,Mitarbeiter!$A$6:$A$205,0))),"nach Austritt","ok")))))))</f>
        <v/>
      </c>
    </row>
    <row r="1646">
      <c r="A1646" s="26" t="n"/>
      <c r="B1646" s="24" t="n"/>
      <c r="C1646" s="40">
        <f>IF(B1646="","",IFERROR(INDEX(Mitarbeiter!$B$6:$B$205,MATCH(B1646,Mitarbeiter!$A$6:$A$205,0)),"?"))</f>
        <v/>
      </c>
      <c r="D1646" s="41" t="n"/>
      <c r="E1646" s="42" t="n"/>
      <c r="F1646" s="43" t="n"/>
      <c r="G1646" s="44">
        <f>IF(OR(B1646="",F1646=""),"",IFERROR(F1646*INDEX(Mitarbeiter!$F$6:$F$205,MATCH(B1646,Mitarbeiter!$A$6:$A$205,0)),0))</f>
        <v/>
      </c>
      <c r="H1646" s="8">
        <f>IF(B1646="","",IF(ISNA(MATCH(B1646,Mitarbeiter!$A$6:$A$205,0)),"Pers.-Nr. unbekannt",IF(A1646="","Datum fehlt",IF(AND(D1646&lt;&gt;Einstellungen!$C$4,D1646&lt;&gt;Einstellungen!$C$5),"Objekt fehlt",IF(YEAR(A1646)&lt;&gt;Einstellungen!$C$3,"anderes Jahr",IF(A1646&lt;INDEX(Mitarbeiter!$C$6:$C$205,MATCH(B1646,Mitarbeiter!$A$6:$A$205,0)),"vor Eintritt",IF(AND(INDEX(Mitarbeiter!$D$6:$D$205,MATCH(B1646,Mitarbeiter!$A$6:$A$205,0))&lt;&gt;"",A1646&gt;INDEX(Mitarbeiter!$D$6:$D$205,MATCH(B1646,Mitarbeiter!$A$6:$A$205,0))),"nach Austritt","ok")))))))</f>
        <v/>
      </c>
    </row>
    <row r="1647">
      <c r="A1647" s="26" t="n"/>
      <c r="B1647" s="24" t="n"/>
      <c r="C1647" s="40">
        <f>IF(B1647="","",IFERROR(INDEX(Mitarbeiter!$B$6:$B$205,MATCH(B1647,Mitarbeiter!$A$6:$A$205,0)),"?"))</f>
        <v/>
      </c>
      <c r="D1647" s="41" t="n"/>
      <c r="E1647" s="42" t="n"/>
      <c r="F1647" s="43" t="n"/>
      <c r="G1647" s="44">
        <f>IF(OR(B1647="",F1647=""),"",IFERROR(F1647*INDEX(Mitarbeiter!$F$6:$F$205,MATCH(B1647,Mitarbeiter!$A$6:$A$205,0)),0))</f>
        <v/>
      </c>
      <c r="H1647" s="8">
        <f>IF(B1647="","",IF(ISNA(MATCH(B1647,Mitarbeiter!$A$6:$A$205,0)),"Pers.-Nr. unbekannt",IF(A1647="","Datum fehlt",IF(AND(D1647&lt;&gt;Einstellungen!$C$4,D1647&lt;&gt;Einstellungen!$C$5),"Objekt fehlt",IF(YEAR(A1647)&lt;&gt;Einstellungen!$C$3,"anderes Jahr",IF(A1647&lt;INDEX(Mitarbeiter!$C$6:$C$205,MATCH(B1647,Mitarbeiter!$A$6:$A$205,0)),"vor Eintritt",IF(AND(INDEX(Mitarbeiter!$D$6:$D$205,MATCH(B1647,Mitarbeiter!$A$6:$A$205,0))&lt;&gt;"",A1647&gt;INDEX(Mitarbeiter!$D$6:$D$205,MATCH(B1647,Mitarbeiter!$A$6:$A$205,0))),"nach Austritt","ok")))))))</f>
        <v/>
      </c>
    </row>
    <row r="1648">
      <c r="A1648" s="26" t="n"/>
      <c r="B1648" s="24" t="n"/>
      <c r="C1648" s="40">
        <f>IF(B1648="","",IFERROR(INDEX(Mitarbeiter!$B$6:$B$205,MATCH(B1648,Mitarbeiter!$A$6:$A$205,0)),"?"))</f>
        <v/>
      </c>
      <c r="D1648" s="41" t="n"/>
      <c r="E1648" s="42" t="n"/>
      <c r="F1648" s="43" t="n"/>
      <c r="G1648" s="44">
        <f>IF(OR(B1648="",F1648=""),"",IFERROR(F1648*INDEX(Mitarbeiter!$F$6:$F$205,MATCH(B1648,Mitarbeiter!$A$6:$A$205,0)),0))</f>
        <v/>
      </c>
      <c r="H1648" s="8">
        <f>IF(B1648="","",IF(ISNA(MATCH(B1648,Mitarbeiter!$A$6:$A$205,0)),"Pers.-Nr. unbekannt",IF(A1648="","Datum fehlt",IF(AND(D1648&lt;&gt;Einstellungen!$C$4,D1648&lt;&gt;Einstellungen!$C$5),"Objekt fehlt",IF(YEAR(A1648)&lt;&gt;Einstellungen!$C$3,"anderes Jahr",IF(A1648&lt;INDEX(Mitarbeiter!$C$6:$C$205,MATCH(B1648,Mitarbeiter!$A$6:$A$205,0)),"vor Eintritt",IF(AND(INDEX(Mitarbeiter!$D$6:$D$205,MATCH(B1648,Mitarbeiter!$A$6:$A$205,0))&lt;&gt;"",A1648&gt;INDEX(Mitarbeiter!$D$6:$D$205,MATCH(B1648,Mitarbeiter!$A$6:$A$205,0))),"nach Austritt","ok")))))))</f>
        <v/>
      </c>
    </row>
    <row r="1649">
      <c r="A1649" s="26" t="n"/>
      <c r="B1649" s="24" t="n"/>
      <c r="C1649" s="40">
        <f>IF(B1649="","",IFERROR(INDEX(Mitarbeiter!$B$6:$B$205,MATCH(B1649,Mitarbeiter!$A$6:$A$205,0)),"?"))</f>
        <v/>
      </c>
      <c r="D1649" s="41" t="n"/>
      <c r="E1649" s="42" t="n"/>
      <c r="F1649" s="43" t="n"/>
      <c r="G1649" s="44">
        <f>IF(OR(B1649="",F1649=""),"",IFERROR(F1649*INDEX(Mitarbeiter!$F$6:$F$205,MATCH(B1649,Mitarbeiter!$A$6:$A$205,0)),0))</f>
        <v/>
      </c>
      <c r="H1649" s="8">
        <f>IF(B1649="","",IF(ISNA(MATCH(B1649,Mitarbeiter!$A$6:$A$205,0)),"Pers.-Nr. unbekannt",IF(A1649="","Datum fehlt",IF(AND(D1649&lt;&gt;Einstellungen!$C$4,D1649&lt;&gt;Einstellungen!$C$5),"Objekt fehlt",IF(YEAR(A1649)&lt;&gt;Einstellungen!$C$3,"anderes Jahr",IF(A1649&lt;INDEX(Mitarbeiter!$C$6:$C$205,MATCH(B1649,Mitarbeiter!$A$6:$A$205,0)),"vor Eintritt",IF(AND(INDEX(Mitarbeiter!$D$6:$D$205,MATCH(B1649,Mitarbeiter!$A$6:$A$205,0))&lt;&gt;"",A1649&gt;INDEX(Mitarbeiter!$D$6:$D$205,MATCH(B1649,Mitarbeiter!$A$6:$A$205,0))),"nach Austritt","ok")))))))</f>
        <v/>
      </c>
    </row>
    <row r="1650">
      <c r="A1650" s="26" t="n"/>
      <c r="B1650" s="24" t="n"/>
      <c r="C1650" s="40">
        <f>IF(B1650="","",IFERROR(INDEX(Mitarbeiter!$B$6:$B$205,MATCH(B1650,Mitarbeiter!$A$6:$A$205,0)),"?"))</f>
        <v/>
      </c>
      <c r="D1650" s="41" t="n"/>
      <c r="E1650" s="42" t="n"/>
      <c r="F1650" s="43" t="n"/>
      <c r="G1650" s="44">
        <f>IF(OR(B1650="",F1650=""),"",IFERROR(F1650*INDEX(Mitarbeiter!$F$6:$F$205,MATCH(B1650,Mitarbeiter!$A$6:$A$205,0)),0))</f>
        <v/>
      </c>
      <c r="H1650" s="8">
        <f>IF(B1650="","",IF(ISNA(MATCH(B1650,Mitarbeiter!$A$6:$A$205,0)),"Pers.-Nr. unbekannt",IF(A1650="","Datum fehlt",IF(AND(D1650&lt;&gt;Einstellungen!$C$4,D1650&lt;&gt;Einstellungen!$C$5),"Objekt fehlt",IF(YEAR(A1650)&lt;&gt;Einstellungen!$C$3,"anderes Jahr",IF(A1650&lt;INDEX(Mitarbeiter!$C$6:$C$205,MATCH(B1650,Mitarbeiter!$A$6:$A$205,0)),"vor Eintritt",IF(AND(INDEX(Mitarbeiter!$D$6:$D$205,MATCH(B1650,Mitarbeiter!$A$6:$A$205,0))&lt;&gt;"",A1650&gt;INDEX(Mitarbeiter!$D$6:$D$205,MATCH(B1650,Mitarbeiter!$A$6:$A$205,0))),"nach Austritt","ok")))))))</f>
        <v/>
      </c>
    </row>
    <row r="1651">
      <c r="A1651" s="26" t="n"/>
      <c r="B1651" s="24" t="n"/>
      <c r="C1651" s="40">
        <f>IF(B1651="","",IFERROR(INDEX(Mitarbeiter!$B$6:$B$205,MATCH(B1651,Mitarbeiter!$A$6:$A$205,0)),"?"))</f>
        <v/>
      </c>
      <c r="D1651" s="41" t="n"/>
      <c r="E1651" s="42" t="n"/>
      <c r="F1651" s="43" t="n"/>
      <c r="G1651" s="44">
        <f>IF(OR(B1651="",F1651=""),"",IFERROR(F1651*INDEX(Mitarbeiter!$F$6:$F$205,MATCH(B1651,Mitarbeiter!$A$6:$A$205,0)),0))</f>
        <v/>
      </c>
      <c r="H1651" s="8">
        <f>IF(B1651="","",IF(ISNA(MATCH(B1651,Mitarbeiter!$A$6:$A$205,0)),"Pers.-Nr. unbekannt",IF(A1651="","Datum fehlt",IF(AND(D1651&lt;&gt;Einstellungen!$C$4,D1651&lt;&gt;Einstellungen!$C$5),"Objekt fehlt",IF(YEAR(A1651)&lt;&gt;Einstellungen!$C$3,"anderes Jahr",IF(A1651&lt;INDEX(Mitarbeiter!$C$6:$C$205,MATCH(B1651,Mitarbeiter!$A$6:$A$205,0)),"vor Eintritt",IF(AND(INDEX(Mitarbeiter!$D$6:$D$205,MATCH(B1651,Mitarbeiter!$A$6:$A$205,0))&lt;&gt;"",A1651&gt;INDEX(Mitarbeiter!$D$6:$D$205,MATCH(B1651,Mitarbeiter!$A$6:$A$205,0))),"nach Austritt","ok")))))))</f>
        <v/>
      </c>
    </row>
    <row r="1652">
      <c r="A1652" s="26" t="n"/>
      <c r="B1652" s="24" t="n"/>
      <c r="C1652" s="40">
        <f>IF(B1652="","",IFERROR(INDEX(Mitarbeiter!$B$6:$B$205,MATCH(B1652,Mitarbeiter!$A$6:$A$205,0)),"?"))</f>
        <v/>
      </c>
      <c r="D1652" s="41" t="n"/>
      <c r="E1652" s="42" t="n"/>
      <c r="F1652" s="43" t="n"/>
      <c r="G1652" s="44">
        <f>IF(OR(B1652="",F1652=""),"",IFERROR(F1652*INDEX(Mitarbeiter!$F$6:$F$205,MATCH(B1652,Mitarbeiter!$A$6:$A$205,0)),0))</f>
        <v/>
      </c>
      <c r="H1652" s="8">
        <f>IF(B1652="","",IF(ISNA(MATCH(B1652,Mitarbeiter!$A$6:$A$205,0)),"Pers.-Nr. unbekannt",IF(A1652="","Datum fehlt",IF(AND(D1652&lt;&gt;Einstellungen!$C$4,D1652&lt;&gt;Einstellungen!$C$5),"Objekt fehlt",IF(YEAR(A1652)&lt;&gt;Einstellungen!$C$3,"anderes Jahr",IF(A1652&lt;INDEX(Mitarbeiter!$C$6:$C$205,MATCH(B1652,Mitarbeiter!$A$6:$A$205,0)),"vor Eintritt",IF(AND(INDEX(Mitarbeiter!$D$6:$D$205,MATCH(B1652,Mitarbeiter!$A$6:$A$205,0))&lt;&gt;"",A1652&gt;INDEX(Mitarbeiter!$D$6:$D$205,MATCH(B1652,Mitarbeiter!$A$6:$A$205,0))),"nach Austritt","ok")))))))</f>
        <v/>
      </c>
    </row>
    <row r="1653">
      <c r="A1653" s="26" t="n"/>
      <c r="B1653" s="24" t="n"/>
      <c r="C1653" s="40">
        <f>IF(B1653="","",IFERROR(INDEX(Mitarbeiter!$B$6:$B$205,MATCH(B1653,Mitarbeiter!$A$6:$A$205,0)),"?"))</f>
        <v/>
      </c>
      <c r="D1653" s="41" t="n"/>
      <c r="E1653" s="42" t="n"/>
      <c r="F1653" s="43" t="n"/>
      <c r="G1653" s="44">
        <f>IF(OR(B1653="",F1653=""),"",IFERROR(F1653*INDEX(Mitarbeiter!$F$6:$F$205,MATCH(B1653,Mitarbeiter!$A$6:$A$205,0)),0))</f>
        <v/>
      </c>
      <c r="H1653" s="8">
        <f>IF(B1653="","",IF(ISNA(MATCH(B1653,Mitarbeiter!$A$6:$A$205,0)),"Pers.-Nr. unbekannt",IF(A1653="","Datum fehlt",IF(AND(D1653&lt;&gt;Einstellungen!$C$4,D1653&lt;&gt;Einstellungen!$C$5),"Objekt fehlt",IF(YEAR(A1653)&lt;&gt;Einstellungen!$C$3,"anderes Jahr",IF(A1653&lt;INDEX(Mitarbeiter!$C$6:$C$205,MATCH(B1653,Mitarbeiter!$A$6:$A$205,0)),"vor Eintritt",IF(AND(INDEX(Mitarbeiter!$D$6:$D$205,MATCH(B1653,Mitarbeiter!$A$6:$A$205,0))&lt;&gt;"",A1653&gt;INDEX(Mitarbeiter!$D$6:$D$205,MATCH(B1653,Mitarbeiter!$A$6:$A$205,0))),"nach Austritt","ok")))))))</f>
        <v/>
      </c>
    </row>
    <row r="1654">
      <c r="A1654" s="26" t="n"/>
      <c r="B1654" s="24" t="n"/>
      <c r="C1654" s="40">
        <f>IF(B1654="","",IFERROR(INDEX(Mitarbeiter!$B$6:$B$205,MATCH(B1654,Mitarbeiter!$A$6:$A$205,0)),"?"))</f>
        <v/>
      </c>
      <c r="D1654" s="41" t="n"/>
      <c r="E1654" s="42" t="n"/>
      <c r="F1654" s="43" t="n"/>
      <c r="G1654" s="44">
        <f>IF(OR(B1654="",F1654=""),"",IFERROR(F1654*INDEX(Mitarbeiter!$F$6:$F$205,MATCH(B1654,Mitarbeiter!$A$6:$A$205,0)),0))</f>
        <v/>
      </c>
      <c r="H1654" s="8">
        <f>IF(B1654="","",IF(ISNA(MATCH(B1654,Mitarbeiter!$A$6:$A$205,0)),"Pers.-Nr. unbekannt",IF(A1654="","Datum fehlt",IF(AND(D1654&lt;&gt;Einstellungen!$C$4,D1654&lt;&gt;Einstellungen!$C$5),"Objekt fehlt",IF(YEAR(A1654)&lt;&gt;Einstellungen!$C$3,"anderes Jahr",IF(A1654&lt;INDEX(Mitarbeiter!$C$6:$C$205,MATCH(B1654,Mitarbeiter!$A$6:$A$205,0)),"vor Eintritt",IF(AND(INDEX(Mitarbeiter!$D$6:$D$205,MATCH(B1654,Mitarbeiter!$A$6:$A$205,0))&lt;&gt;"",A1654&gt;INDEX(Mitarbeiter!$D$6:$D$205,MATCH(B1654,Mitarbeiter!$A$6:$A$205,0))),"nach Austritt","ok")))))))</f>
        <v/>
      </c>
    </row>
    <row r="1655">
      <c r="A1655" s="26" t="n"/>
      <c r="B1655" s="24" t="n"/>
      <c r="C1655" s="40">
        <f>IF(B1655="","",IFERROR(INDEX(Mitarbeiter!$B$6:$B$205,MATCH(B1655,Mitarbeiter!$A$6:$A$205,0)),"?"))</f>
        <v/>
      </c>
      <c r="D1655" s="41" t="n"/>
      <c r="E1655" s="42" t="n"/>
      <c r="F1655" s="43" t="n"/>
      <c r="G1655" s="44">
        <f>IF(OR(B1655="",F1655=""),"",IFERROR(F1655*INDEX(Mitarbeiter!$F$6:$F$205,MATCH(B1655,Mitarbeiter!$A$6:$A$205,0)),0))</f>
        <v/>
      </c>
      <c r="H1655" s="8">
        <f>IF(B1655="","",IF(ISNA(MATCH(B1655,Mitarbeiter!$A$6:$A$205,0)),"Pers.-Nr. unbekannt",IF(A1655="","Datum fehlt",IF(AND(D1655&lt;&gt;Einstellungen!$C$4,D1655&lt;&gt;Einstellungen!$C$5),"Objekt fehlt",IF(YEAR(A1655)&lt;&gt;Einstellungen!$C$3,"anderes Jahr",IF(A1655&lt;INDEX(Mitarbeiter!$C$6:$C$205,MATCH(B1655,Mitarbeiter!$A$6:$A$205,0)),"vor Eintritt",IF(AND(INDEX(Mitarbeiter!$D$6:$D$205,MATCH(B1655,Mitarbeiter!$A$6:$A$205,0))&lt;&gt;"",A1655&gt;INDEX(Mitarbeiter!$D$6:$D$205,MATCH(B1655,Mitarbeiter!$A$6:$A$205,0))),"nach Austritt","ok")))))))</f>
        <v/>
      </c>
    </row>
    <row r="1656">
      <c r="A1656" s="26" t="n"/>
      <c r="B1656" s="24" t="n"/>
      <c r="C1656" s="40">
        <f>IF(B1656="","",IFERROR(INDEX(Mitarbeiter!$B$6:$B$205,MATCH(B1656,Mitarbeiter!$A$6:$A$205,0)),"?"))</f>
        <v/>
      </c>
      <c r="D1656" s="41" t="n"/>
      <c r="E1656" s="42" t="n"/>
      <c r="F1656" s="43" t="n"/>
      <c r="G1656" s="44">
        <f>IF(OR(B1656="",F1656=""),"",IFERROR(F1656*INDEX(Mitarbeiter!$F$6:$F$205,MATCH(B1656,Mitarbeiter!$A$6:$A$205,0)),0))</f>
        <v/>
      </c>
      <c r="H1656" s="8">
        <f>IF(B1656="","",IF(ISNA(MATCH(B1656,Mitarbeiter!$A$6:$A$205,0)),"Pers.-Nr. unbekannt",IF(A1656="","Datum fehlt",IF(AND(D1656&lt;&gt;Einstellungen!$C$4,D1656&lt;&gt;Einstellungen!$C$5),"Objekt fehlt",IF(YEAR(A1656)&lt;&gt;Einstellungen!$C$3,"anderes Jahr",IF(A1656&lt;INDEX(Mitarbeiter!$C$6:$C$205,MATCH(B1656,Mitarbeiter!$A$6:$A$205,0)),"vor Eintritt",IF(AND(INDEX(Mitarbeiter!$D$6:$D$205,MATCH(B1656,Mitarbeiter!$A$6:$A$205,0))&lt;&gt;"",A1656&gt;INDEX(Mitarbeiter!$D$6:$D$205,MATCH(B1656,Mitarbeiter!$A$6:$A$205,0))),"nach Austritt","ok")))))))</f>
        <v/>
      </c>
    </row>
    <row r="1657">
      <c r="A1657" s="26" t="n"/>
      <c r="B1657" s="24" t="n"/>
      <c r="C1657" s="40">
        <f>IF(B1657="","",IFERROR(INDEX(Mitarbeiter!$B$6:$B$205,MATCH(B1657,Mitarbeiter!$A$6:$A$205,0)),"?"))</f>
        <v/>
      </c>
      <c r="D1657" s="41" t="n"/>
      <c r="E1657" s="42" t="n"/>
      <c r="F1657" s="43" t="n"/>
      <c r="G1657" s="44">
        <f>IF(OR(B1657="",F1657=""),"",IFERROR(F1657*INDEX(Mitarbeiter!$F$6:$F$205,MATCH(B1657,Mitarbeiter!$A$6:$A$205,0)),0))</f>
        <v/>
      </c>
      <c r="H1657" s="8">
        <f>IF(B1657="","",IF(ISNA(MATCH(B1657,Mitarbeiter!$A$6:$A$205,0)),"Pers.-Nr. unbekannt",IF(A1657="","Datum fehlt",IF(AND(D1657&lt;&gt;Einstellungen!$C$4,D1657&lt;&gt;Einstellungen!$C$5),"Objekt fehlt",IF(YEAR(A1657)&lt;&gt;Einstellungen!$C$3,"anderes Jahr",IF(A1657&lt;INDEX(Mitarbeiter!$C$6:$C$205,MATCH(B1657,Mitarbeiter!$A$6:$A$205,0)),"vor Eintritt",IF(AND(INDEX(Mitarbeiter!$D$6:$D$205,MATCH(B1657,Mitarbeiter!$A$6:$A$205,0))&lt;&gt;"",A1657&gt;INDEX(Mitarbeiter!$D$6:$D$205,MATCH(B1657,Mitarbeiter!$A$6:$A$205,0))),"nach Austritt","ok")))))))</f>
        <v/>
      </c>
    </row>
    <row r="1658">
      <c r="A1658" s="26" t="n"/>
      <c r="B1658" s="24" t="n"/>
      <c r="C1658" s="40">
        <f>IF(B1658="","",IFERROR(INDEX(Mitarbeiter!$B$6:$B$205,MATCH(B1658,Mitarbeiter!$A$6:$A$205,0)),"?"))</f>
        <v/>
      </c>
      <c r="D1658" s="41" t="n"/>
      <c r="E1658" s="42" t="n"/>
      <c r="F1658" s="43" t="n"/>
      <c r="G1658" s="44">
        <f>IF(OR(B1658="",F1658=""),"",IFERROR(F1658*INDEX(Mitarbeiter!$F$6:$F$205,MATCH(B1658,Mitarbeiter!$A$6:$A$205,0)),0))</f>
        <v/>
      </c>
      <c r="H1658" s="8">
        <f>IF(B1658="","",IF(ISNA(MATCH(B1658,Mitarbeiter!$A$6:$A$205,0)),"Pers.-Nr. unbekannt",IF(A1658="","Datum fehlt",IF(AND(D1658&lt;&gt;Einstellungen!$C$4,D1658&lt;&gt;Einstellungen!$C$5),"Objekt fehlt",IF(YEAR(A1658)&lt;&gt;Einstellungen!$C$3,"anderes Jahr",IF(A1658&lt;INDEX(Mitarbeiter!$C$6:$C$205,MATCH(B1658,Mitarbeiter!$A$6:$A$205,0)),"vor Eintritt",IF(AND(INDEX(Mitarbeiter!$D$6:$D$205,MATCH(B1658,Mitarbeiter!$A$6:$A$205,0))&lt;&gt;"",A1658&gt;INDEX(Mitarbeiter!$D$6:$D$205,MATCH(B1658,Mitarbeiter!$A$6:$A$205,0))),"nach Austritt","ok")))))))</f>
        <v/>
      </c>
    </row>
    <row r="1659">
      <c r="A1659" s="26" t="n"/>
      <c r="B1659" s="24" t="n"/>
      <c r="C1659" s="40">
        <f>IF(B1659="","",IFERROR(INDEX(Mitarbeiter!$B$6:$B$205,MATCH(B1659,Mitarbeiter!$A$6:$A$205,0)),"?"))</f>
        <v/>
      </c>
      <c r="D1659" s="41" t="n"/>
      <c r="E1659" s="42" t="n"/>
      <c r="F1659" s="43" t="n"/>
      <c r="G1659" s="44">
        <f>IF(OR(B1659="",F1659=""),"",IFERROR(F1659*INDEX(Mitarbeiter!$F$6:$F$205,MATCH(B1659,Mitarbeiter!$A$6:$A$205,0)),0))</f>
        <v/>
      </c>
      <c r="H1659" s="8">
        <f>IF(B1659="","",IF(ISNA(MATCH(B1659,Mitarbeiter!$A$6:$A$205,0)),"Pers.-Nr. unbekannt",IF(A1659="","Datum fehlt",IF(AND(D1659&lt;&gt;Einstellungen!$C$4,D1659&lt;&gt;Einstellungen!$C$5),"Objekt fehlt",IF(YEAR(A1659)&lt;&gt;Einstellungen!$C$3,"anderes Jahr",IF(A1659&lt;INDEX(Mitarbeiter!$C$6:$C$205,MATCH(B1659,Mitarbeiter!$A$6:$A$205,0)),"vor Eintritt",IF(AND(INDEX(Mitarbeiter!$D$6:$D$205,MATCH(B1659,Mitarbeiter!$A$6:$A$205,0))&lt;&gt;"",A1659&gt;INDEX(Mitarbeiter!$D$6:$D$205,MATCH(B1659,Mitarbeiter!$A$6:$A$205,0))),"nach Austritt","ok")))))))</f>
        <v/>
      </c>
    </row>
    <row r="1660">
      <c r="A1660" s="26" t="n"/>
      <c r="B1660" s="24" t="n"/>
      <c r="C1660" s="40">
        <f>IF(B1660="","",IFERROR(INDEX(Mitarbeiter!$B$6:$B$205,MATCH(B1660,Mitarbeiter!$A$6:$A$205,0)),"?"))</f>
        <v/>
      </c>
      <c r="D1660" s="41" t="n"/>
      <c r="E1660" s="42" t="n"/>
      <c r="F1660" s="43" t="n"/>
      <c r="G1660" s="44">
        <f>IF(OR(B1660="",F1660=""),"",IFERROR(F1660*INDEX(Mitarbeiter!$F$6:$F$205,MATCH(B1660,Mitarbeiter!$A$6:$A$205,0)),0))</f>
        <v/>
      </c>
      <c r="H1660" s="8">
        <f>IF(B1660="","",IF(ISNA(MATCH(B1660,Mitarbeiter!$A$6:$A$205,0)),"Pers.-Nr. unbekannt",IF(A1660="","Datum fehlt",IF(AND(D1660&lt;&gt;Einstellungen!$C$4,D1660&lt;&gt;Einstellungen!$C$5),"Objekt fehlt",IF(YEAR(A1660)&lt;&gt;Einstellungen!$C$3,"anderes Jahr",IF(A1660&lt;INDEX(Mitarbeiter!$C$6:$C$205,MATCH(B1660,Mitarbeiter!$A$6:$A$205,0)),"vor Eintritt",IF(AND(INDEX(Mitarbeiter!$D$6:$D$205,MATCH(B1660,Mitarbeiter!$A$6:$A$205,0))&lt;&gt;"",A1660&gt;INDEX(Mitarbeiter!$D$6:$D$205,MATCH(B1660,Mitarbeiter!$A$6:$A$205,0))),"nach Austritt","ok")))))))</f>
        <v/>
      </c>
    </row>
    <row r="1661">
      <c r="A1661" s="26" t="n"/>
      <c r="B1661" s="24" t="n"/>
      <c r="C1661" s="40">
        <f>IF(B1661="","",IFERROR(INDEX(Mitarbeiter!$B$6:$B$205,MATCH(B1661,Mitarbeiter!$A$6:$A$205,0)),"?"))</f>
        <v/>
      </c>
      <c r="D1661" s="41" t="n"/>
      <c r="E1661" s="42" t="n"/>
      <c r="F1661" s="43" t="n"/>
      <c r="G1661" s="44">
        <f>IF(OR(B1661="",F1661=""),"",IFERROR(F1661*INDEX(Mitarbeiter!$F$6:$F$205,MATCH(B1661,Mitarbeiter!$A$6:$A$205,0)),0))</f>
        <v/>
      </c>
      <c r="H1661" s="8">
        <f>IF(B1661="","",IF(ISNA(MATCH(B1661,Mitarbeiter!$A$6:$A$205,0)),"Pers.-Nr. unbekannt",IF(A1661="","Datum fehlt",IF(AND(D1661&lt;&gt;Einstellungen!$C$4,D1661&lt;&gt;Einstellungen!$C$5),"Objekt fehlt",IF(YEAR(A1661)&lt;&gt;Einstellungen!$C$3,"anderes Jahr",IF(A1661&lt;INDEX(Mitarbeiter!$C$6:$C$205,MATCH(B1661,Mitarbeiter!$A$6:$A$205,0)),"vor Eintritt",IF(AND(INDEX(Mitarbeiter!$D$6:$D$205,MATCH(B1661,Mitarbeiter!$A$6:$A$205,0))&lt;&gt;"",A1661&gt;INDEX(Mitarbeiter!$D$6:$D$205,MATCH(B1661,Mitarbeiter!$A$6:$A$205,0))),"nach Austritt","ok")))))))</f>
        <v/>
      </c>
    </row>
    <row r="1662">
      <c r="A1662" s="26" t="n"/>
      <c r="B1662" s="24" t="n"/>
      <c r="C1662" s="40">
        <f>IF(B1662="","",IFERROR(INDEX(Mitarbeiter!$B$6:$B$205,MATCH(B1662,Mitarbeiter!$A$6:$A$205,0)),"?"))</f>
        <v/>
      </c>
      <c r="D1662" s="41" t="n"/>
      <c r="E1662" s="42" t="n"/>
      <c r="F1662" s="43" t="n"/>
      <c r="G1662" s="44">
        <f>IF(OR(B1662="",F1662=""),"",IFERROR(F1662*INDEX(Mitarbeiter!$F$6:$F$205,MATCH(B1662,Mitarbeiter!$A$6:$A$205,0)),0))</f>
        <v/>
      </c>
      <c r="H1662" s="8">
        <f>IF(B1662="","",IF(ISNA(MATCH(B1662,Mitarbeiter!$A$6:$A$205,0)),"Pers.-Nr. unbekannt",IF(A1662="","Datum fehlt",IF(AND(D1662&lt;&gt;Einstellungen!$C$4,D1662&lt;&gt;Einstellungen!$C$5),"Objekt fehlt",IF(YEAR(A1662)&lt;&gt;Einstellungen!$C$3,"anderes Jahr",IF(A1662&lt;INDEX(Mitarbeiter!$C$6:$C$205,MATCH(B1662,Mitarbeiter!$A$6:$A$205,0)),"vor Eintritt",IF(AND(INDEX(Mitarbeiter!$D$6:$D$205,MATCH(B1662,Mitarbeiter!$A$6:$A$205,0))&lt;&gt;"",A1662&gt;INDEX(Mitarbeiter!$D$6:$D$205,MATCH(B1662,Mitarbeiter!$A$6:$A$205,0))),"nach Austritt","ok")))))))</f>
        <v/>
      </c>
    </row>
    <row r="1663">
      <c r="A1663" s="26" t="n"/>
      <c r="B1663" s="24" t="n"/>
      <c r="C1663" s="40">
        <f>IF(B1663="","",IFERROR(INDEX(Mitarbeiter!$B$6:$B$205,MATCH(B1663,Mitarbeiter!$A$6:$A$205,0)),"?"))</f>
        <v/>
      </c>
      <c r="D1663" s="41" t="n"/>
      <c r="E1663" s="42" t="n"/>
      <c r="F1663" s="43" t="n"/>
      <c r="G1663" s="44">
        <f>IF(OR(B1663="",F1663=""),"",IFERROR(F1663*INDEX(Mitarbeiter!$F$6:$F$205,MATCH(B1663,Mitarbeiter!$A$6:$A$205,0)),0))</f>
        <v/>
      </c>
      <c r="H1663" s="8">
        <f>IF(B1663="","",IF(ISNA(MATCH(B1663,Mitarbeiter!$A$6:$A$205,0)),"Pers.-Nr. unbekannt",IF(A1663="","Datum fehlt",IF(AND(D1663&lt;&gt;Einstellungen!$C$4,D1663&lt;&gt;Einstellungen!$C$5),"Objekt fehlt",IF(YEAR(A1663)&lt;&gt;Einstellungen!$C$3,"anderes Jahr",IF(A1663&lt;INDEX(Mitarbeiter!$C$6:$C$205,MATCH(B1663,Mitarbeiter!$A$6:$A$205,0)),"vor Eintritt",IF(AND(INDEX(Mitarbeiter!$D$6:$D$205,MATCH(B1663,Mitarbeiter!$A$6:$A$205,0))&lt;&gt;"",A1663&gt;INDEX(Mitarbeiter!$D$6:$D$205,MATCH(B1663,Mitarbeiter!$A$6:$A$205,0))),"nach Austritt","ok")))))))</f>
        <v/>
      </c>
    </row>
    <row r="1664">
      <c r="A1664" s="26" t="n"/>
      <c r="B1664" s="24" t="n"/>
      <c r="C1664" s="40">
        <f>IF(B1664="","",IFERROR(INDEX(Mitarbeiter!$B$6:$B$205,MATCH(B1664,Mitarbeiter!$A$6:$A$205,0)),"?"))</f>
        <v/>
      </c>
      <c r="D1664" s="41" t="n"/>
      <c r="E1664" s="42" t="n"/>
      <c r="F1664" s="43" t="n"/>
      <c r="G1664" s="44">
        <f>IF(OR(B1664="",F1664=""),"",IFERROR(F1664*INDEX(Mitarbeiter!$F$6:$F$205,MATCH(B1664,Mitarbeiter!$A$6:$A$205,0)),0))</f>
        <v/>
      </c>
      <c r="H1664" s="8">
        <f>IF(B1664="","",IF(ISNA(MATCH(B1664,Mitarbeiter!$A$6:$A$205,0)),"Pers.-Nr. unbekannt",IF(A1664="","Datum fehlt",IF(AND(D1664&lt;&gt;Einstellungen!$C$4,D1664&lt;&gt;Einstellungen!$C$5),"Objekt fehlt",IF(YEAR(A1664)&lt;&gt;Einstellungen!$C$3,"anderes Jahr",IF(A1664&lt;INDEX(Mitarbeiter!$C$6:$C$205,MATCH(B1664,Mitarbeiter!$A$6:$A$205,0)),"vor Eintritt",IF(AND(INDEX(Mitarbeiter!$D$6:$D$205,MATCH(B1664,Mitarbeiter!$A$6:$A$205,0))&lt;&gt;"",A1664&gt;INDEX(Mitarbeiter!$D$6:$D$205,MATCH(B1664,Mitarbeiter!$A$6:$A$205,0))),"nach Austritt","ok")))))))</f>
        <v/>
      </c>
    </row>
    <row r="1665">
      <c r="A1665" s="26" t="n"/>
      <c r="B1665" s="24" t="n"/>
      <c r="C1665" s="40">
        <f>IF(B1665="","",IFERROR(INDEX(Mitarbeiter!$B$6:$B$205,MATCH(B1665,Mitarbeiter!$A$6:$A$205,0)),"?"))</f>
        <v/>
      </c>
      <c r="D1665" s="41" t="n"/>
      <c r="E1665" s="42" t="n"/>
      <c r="F1665" s="43" t="n"/>
      <c r="G1665" s="44">
        <f>IF(OR(B1665="",F1665=""),"",IFERROR(F1665*INDEX(Mitarbeiter!$F$6:$F$205,MATCH(B1665,Mitarbeiter!$A$6:$A$205,0)),0))</f>
        <v/>
      </c>
      <c r="H1665" s="8">
        <f>IF(B1665="","",IF(ISNA(MATCH(B1665,Mitarbeiter!$A$6:$A$205,0)),"Pers.-Nr. unbekannt",IF(A1665="","Datum fehlt",IF(AND(D1665&lt;&gt;Einstellungen!$C$4,D1665&lt;&gt;Einstellungen!$C$5),"Objekt fehlt",IF(YEAR(A1665)&lt;&gt;Einstellungen!$C$3,"anderes Jahr",IF(A1665&lt;INDEX(Mitarbeiter!$C$6:$C$205,MATCH(B1665,Mitarbeiter!$A$6:$A$205,0)),"vor Eintritt",IF(AND(INDEX(Mitarbeiter!$D$6:$D$205,MATCH(B1665,Mitarbeiter!$A$6:$A$205,0))&lt;&gt;"",A1665&gt;INDEX(Mitarbeiter!$D$6:$D$205,MATCH(B1665,Mitarbeiter!$A$6:$A$205,0))),"nach Austritt","ok")))))))</f>
        <v/>
      </c>
    </row>
    <row r="1666">
      <c r="A1666" s="26" t="n"/>
      <c r="B1666" s="24" t="n"/>
      <c r="C1666" s="40">
        <f>IF(B1666="","",IFERROR(INDEX(Mitarbeiter!$B$6:$B$205,MATCH(B1666,Mitarbeiter!$A$6:$A$205,0)),"?"))</f>
        <v/>
      </c>
      <c r="D1666" s="41" t="n"/>
      <c r="E1666" s="42" t="n"/>
      <c r="F1666" s="43" t="n"/>
      <c r="G1666" s="44">
        <f>IF(OR(B1666="",F1666=""),"",IFERROR(F1666*INDEX(Mitarbeiter!$F$6:$F$205,MATCH(B1666,Mitarbeiter!$A$6:$A$205,0)),0))</f>
        <v/>
      </c>
      <c r="H1666" s="8">
        <f>IF(B1666="","",IF(ISNA(MATCH(B1666,Mitarbeiter!$A$6:$A$205,0)),"Pers.-Nr. unbekannt",IF(A1666="","Datum fehlt",IF(AND(D1666&lt;&gt;Einstellungen!$C$4,D1666&lt;&gt;Einstellungen!$C$5),"Objekt fehlt",IF(YEAR(A1666)&lt;&gt;Einstellungen!$C$3,"anderes Jahr",IF(A1666&lt;INDEX(Mitarbeiter!$C$6:$C$205,MATCH(B1666,Mitarbeiter!$A$6:$A$205,0)),"vor Eintritt",IF(AND(INDEX(Mitarbeiter!$D$6:$D$205,MATCH(B1666,Mitarbeiter!$A$6:$A$205,0))&lt;&gt;"",A1666&gt;INDEX(Mitarbeiter!$D$6:$D$205,MATCH(B1666,Mitarbeiter!$A$6:$A$205,0))),"nach Austritt","ok")))))))</f>
        <v/>
      </c>
    </row>
    <row r="1667">
      <c r="A1667" s="26" t="n"/>
      <c r="B1667" s="24" t="n"/>
      <c r="C1667" s="40">
        <f>IF(B1667="","",IFERROR(INDEX(Mitarbeiter!$B$6:$B$205,MATCH(B1667,Mitarbeiter!$A$6:$A$205,0)),"?"))</f>
        <v/>
      </c>
      <c r="D1667" s="41" t="n"/>
      <c r="E1667" s="42" t="n"/>
      <c r="F1667" s="43" t="n"/>
      <c r="G1667" s="44">
        <f>IF(OR(B1667="",F1667=""),"",IFERROR(F1667*INDEX(Mitarbeiter!$F$6:$F$205,MATCH(B1667,Mitarbeiter!$A$6:$A$205,0)),0))</f>
        <v/>
      </c>
      <c r="H1667" s="8">
        <f>IF(B1667="","",IF(ISNA(MATCH(B1667,Mitarbeiter!$A$6:$A$205,0)),"Pers.-Nr. unbekannt",IF(A1667="","Datum fehlt",IF(AND(D1667&lt;&gt;Einstellungen!$C$4,D1667&lt;&gt;Einstellungen!$C$5),"Objekt fehlt",IF(YEAR(A1667)&lt;&gt;Einstellungen!$C$3,"anderes Jahr",IF(A1667&lt;INDEX(Mitarbeiter!$C$6:$C$205,MATCH(B1667,Mitarbeiter!$A$6:$A$205,0)),"vor Eintritt",IF(AND(INDEX(Mitarbeiter!$D$6:$D$205,MATCH(B1667,Mitarbeiter!$A$6:$A$205,0))&lt;&gt;"",A1667&gt;INDEX(Mitarbeiter!$D$6:$D$205,MATCH(B1667,Mitarbeiter!$A$6:$A$205,0))),"nach Austritt","ok")))))))</f>
        <v/>
      </c>
    </row>
    <row r="1668">
      <c r="A1668" s="26" t="n"/>
      <c r="B1668" s="24" t="n"/>
      <c r="C1668" s="40">
        <f>IF(B1668="","",IFERROR(INDEX(Mitarbeiter!$B$6:$B$205,MATCH(B1668,Mitarbeiter!$A$6:$A$205,0)),"?"))</f>
        <v/>
      </c>
      <c r="D1668" s="41" t="n"/>
      <c r="E1668" s="42" t="n"/>
      <c r="F1668" s="43" t="n"/>
      <c r="G1668" s="44">
        <f>IF(OR(B1668="",F1668=""),"",IFERROR(F1668*INDEX(Mitarbeiter!$F$6:$F$205,MATCH(B1668,Mitarbeiter!$A$6:$A$205,0)),0))</f>
        <v/>
      </c>
      <c r="H1668" s="8">
        <f>IF(B1668="","",IF(ISNA(MATCH(B1668,Mitarbeiter!$A$6:$A$205,0)),"Pers.-Nr. unbekannt",IF(A1668="","Datum fehlt",IF(AND(D1668&lt;&gt;Einstellungen!$C$4,D1668&lt;&gt;Einstellungen!$C$5),"Objekt fehlt",IF(YEAR(A1668)&lt;&gt;Einstellungen!$C$3,"anderes Jahr",IF(A1668&lt;INDEX(Mitarbeiter!$C$6:$C$205,MATCH(B1668,Mitarbeiter!$A$6:$A$205,0)),"vor Eintritt",IF(AND(INDEX(Mitarbeiter!$D$6:$D$205,MATCH(B1668,Mitarbeiter!$A$6:$A$205,0))&lt;&gt;"",A1668&gt;INDEX(Mitarbeiter!$D$6:$D$205,MATCH(B1668,Mitarbeiter!$A$6:$A$205,0))),"nach Austritt","ok")))))))</f>
        <v/>
      </c>
    </row>
    <row r="1669">
      <c r="A1669" s="26" t="n"/>
      <c r="B1669" s="24" t="n"/>
      <c r="C1669" s="40">
        <f>IF(B1669="","",IFERROR(INDEX(Mitarbeiter!$B$6:$B$205,MATCH(B1669,Mitarbeiter!$A$6:$A$205,0)),"?"))</f>
        <v/>
      </c>
      <c r="D1669" s="41" t="n"/>
      <c r="E1669" s="42" t="n"/>
      <c r="F1669" s="43" t="n"/>
      <c r="G1669" s="44">
        <f>IF(OR(B1669="",F1669=""),"",IFERROR(F1669*INDEX(Mitarbeiter!$F$6:$F$205,MATCH(B1669,Mitarbeiter!$A$6:$A$205,0)),0))</f>
        <v/>
      </c>
      <c r="H1669" s="8">
        <f>IF(B1669="","",IF(ISNA(MATCH(B1669,Mitarbeiter!$A$6:$A$205,0)),"Pers.-Nr. unbekannt",IF(A1669="","Datum fehlt",IF(AND(D1669&lt;&gt;Einstellungen!$C$4,D1669&lt;&gt;Einstellungen!$C$5),"Objekt fehlt",IF(YEAR(A1669)&lt;&gt;Einstellungen!$C$3,"anderes Jahr",IF(A1669&lt;INDEX(Mitarbeiter!$C$6:$C$205,MATCH(B1669,Mitarbeiter!$A$6:$A$205,0)),"vor Eintritt",IF(AND(INDEX(Mitarbeiter!$D$6:$D$205,MATCH(B1669,Mitarbeiter!$A$6:$A$205,0))&lt;&gt;"",A1669&gt;INDEX(Mitarbeiter!$D$6:$D$205,MATCH(B1669,Mitarbeiter!$A$6:$A$205,0))),"nach Austritt","ok")))))))</f>
        <v/>
      </c>
    </row>
    <row r="1670">
      <c r="A1670" s="26" t="n"/>
      <c r="B1670" s="24" t="n"/>
      <c r="C1670" s="40">
        <f>IF(B1670="","",IFERROR(INDEX(Mitarbeiter!$B$6:$B$205,MATCH(B1670,Mitarbeiter!$A$6:$A$205,0)),"?"))</f>
        <v/>
      </c>
      <c r="D1670" s="41" t="n"/>
      <c r="E1670" s="42" t="n"/>
      <c r="F1670" s="43" t="n"/>
      <c r="G1670" s="44">
        <f>IF(OR(B1670="",F1670=""),"",IFERROR(F1670*INDEX(Mitarbeiter!$F$6:$F$205,MATCH(B1670,Mitarbeiter!$A$6:$A$205,0)),0))</f>
        <v/>
      </c>
      <c r="H1670" s="8">
        <f>IF(B1670="","",IF(ISNA(MATCH(B1670,Mitarbeiter!$A$6:$A$205,0)),"Pers.-Nr. unbekannt",IF(A1670="","Datum fehlt",IF(AND(D1670&lt;&gt;Einstellungen!$C$4,D1670&lt;&gt;Einstellungen!$C$5),"Objekt fehlt",IF(YEAR(A1670)&lt;&gt;Einstellungen!$C$3,"anderes Jahr",IF(A1670&lt;INDEX(Mitarbeiter!$C$6:$C$205,MATCH(B1670,Mitarbeiter!$A$6:$A$205,0)),"vor Eintritt",IF(AND(INDEX(Mitarbeiter!$D$6:$D$205,MATCH(B1670,Mitarbeiter!$A$6:$A$205,0))&lt;&gt;"",A1670&gt;INDEX(Mitarbeiter!$D$6:$D$205,MATCH(B1670,Mitarbeiter!$A$6:$A$205,0))),"nach Austritt","ok")))))))</f>
        <v/>
      </c>
    </row>
    <row r="1671">
      <c r="A1671" s="26" t="n"/>
      <c r="B1671" s="24" t="n"/>
      <c r="C1671" s="40">
        <f>IF(B1671="","",IFERROR(INDEX(Mitarbeiter!$B$6:$B$205,MATCH(B1671,Mitarbeiter!$A$6:$A$205,0)),"?"))</f>
        <v/>
      </c>
      <c r="D1671" s="41" t="n"/>
      <c r="E1671" s="42" t="n"/>
      <c r="F1671" s="43" t="n"/>
      <c r="G1671" s="44">
        <f>IF(OR(B1671="",F1671=""),"",IFERROR(F1671*INDEX(Mitarbeiter!$F$6:$F$205,MATCH(B1671,Mitarbeiter!$A$6:$A$205,0)),0))</f>
        <v/>
      </c>
      <c r="H1671" s="8">
        <f>IF(B1671="","",IF(ISNA(MATCH(B1671,Mitarbeiter!$A$6:$A$205,0)),"Pers.-Nr. unbekannt",IF(A1671="","Datum fehlt",IF(AND(D1671&lt;&gt;Einstellungen!$C$4,D1671&lt;&gt;Einstellungen!$C$5),"Objekt fehlt",IF(YEAR(A1671)&lt;&gt;Einstellungen!$C$3,"anderes Jahr",IF(A1671&lt;INDEX(Mitarbeiter!$C$6:$C$205,MATCH(B1671,Mitarbeiter!$A$6:$A$205,0)),"vor Eintritt",IF(AND(INDEX(Mitarbeiter!$D$6:$D$205,MATCH(B1671,Mitarbeiter!$A$6:$A$205,0))&lt;&gt;"",A1671&gt;INDEX(Mitarbeiter!$D$6:$D$205,MATCH(B1671,Mitarbeiter!$A$6:$A$205,0))),"nach Austritt","ok")))))))</f>
        <v/>
      </c>
    </row>
    <row r="1672">
      <c r="A1672" s="26" t="n"/>
      <c r="B1672" s="24" t="n"/>
      <c r="C1672" s="40">
        <f>IF(B1672="","",IFERROR(INDEX(Mitarbeiter!$B$6:$B$205,MATCH(B1672,Mitarbeiter!$A$6:$A$205,0)),"?"))</f>
        <v/>
      </c>
      <c r="D1672" s="41" t="n"/>
      <c r="E1672" s="42" t="n"/>
      <c r="F1672" s="43" t="n"/>
      <c r="G1672" s="44">
        <f>IF(OR(B1672="",F1672=""),"",IFERROR(F1672*INDEX(Mitarbeiter!$F$6:$F$205,MATCH(B1672,Mitarbeiter!$A$6:$A$205,0)),0))</f>
        <v/>
      </c>
      <c r="H1672" s="8">
        <f>IF(B1672="","",IF(ISNA(MATCH(B1672,Mitarbeiter!$A$6:$A$205,0)),"Pers.-Nr. unbekannt",IF(A1672="","Datum fehlt",IF(AND(D1672&lt;&gt;Einstellungen!$C$4,D1672&lt;&gt;Einstellungen!$C$5),"Objekt fehlt",IF(YEAR(A1672)&lt;&gt;Einstellungen!$C$3,"anderes Jahr",IF(A1672&lt;INDEX(Mitarbeiter!$C$6:$C$205,MATCH(B1672,Mitarbeiter!$A$6:$A$205,0)),"vor Eintritt",IF(AND(INDEX(Mitarbeiter!$D$6:$D$205,MATCH(B1672,Mitarbeiter!$A$6:$A$205,0))&lt;&gt;"",A1672&gt;INDEX(Mitarbeiter!$D$6:$D$205,MATCH(B1672,Mitarbeiter!$A$6:$A$205,0))),"nach Austritt","ok")))))))</f>
        <v/>
      </c>
    </row>
    <row r="1673">
      <c r="A1673" s="26" t="n"/>
      <c r="B1673" s="24" t="n"/>
      <c r="C1673" s="40">
        <f>IF(B1673="","",IFERROR(INDEX(Mitarbeiter!$B$6:$B$205,MATCH(B1673,Mitarbeiter!$A$6:$A$205,0)),"?"))</f>
        <v/>
      </c>
      <c r="D1673" s="41" t="n"/>
      <c r="E1673" s="42" t="n"/>
      <c r="F1673" s="43" t="n"/>
      <c r="G1673" s="44">
        <f>IF(OR(B1673="",F1673=""),"",IFERROR(F1673*INDEX(Mitarbeiter!$F$6:$F$205,MATCH(B1673,Mitarbeiter!$A$6:$A$205,0)),0))</f>
        <v/>
      </c>
      <c r="H1673" s="8">
        <f>IF(B1673="","",IF(ISNA(MATCH(B1673,Mitarbeiter!$A$6:$A$205,0)),"Pers.-Nr. unbekannt",IF(A1673="","Datum fehlt",IF(AND(D1673&lt;&gt;Einstellungen!$C$4,D1673&lt;&gt;Einstellungen!$C$5),"Objekt fehlt",IF(YEAR(A1673)&lt;&gt;Einstellungen!$C$3,"anderes Jahr",IF(A1673&lt;INDEX(Mitarbeiter!$C$6:$C$205,MATCH(B1673,Mitarbeiter!$A$6:$A$205,0)),"vor Eintritt",IF(AND(INDEX(Mitarbeiter!$D$6:$D$205,MATCH(B1673,Mitarbeiter!$A$6:$A$205,0))&lt;&gt;"",A1673&gt;INDEX(Mitarbeiter!$D$6:$D$205,MATCH(B1673,Mitarbeiter!$A$6:$A$205,0))),"nach Austritt","ok")))))))</f>
        <v/>
      </c>
    </row>
    <row r="1674">
      <c r="A1674" s="26" t="n"/>
      <c r="B1674" s="24" t="n"/>
      <c r="C1674" s="40">
        <f>IF(B1674="","",IFERROR(INDEX(Mitarbeiter!$B$6:$B$205,MATCH(B1674,Mitarbeiter!$A$6:$A$205,0)),"?"))</f>
        <v/>
      </c>
      <c r="D1674" s="41" t="n"/>
      <c r="E1674" s="42" t="n"/>
      <c r="F1674" s="43" t="n"/>
      <c r="G1674" s="44">
        <f>IF(OR(B1674="",F1674=""),"",IFERROR(F1674*INDEX(Mitarbeiter!$F$6:$F$205,MATCH(B1674,Mitarbeiter!$A$6:$A$205,0)),0))</f>
        <v/>
      </c>
      <c r="H1674" s="8">
        <f>IF(B1674="","",IF(ISNA(MATCH(B1674,Mitarbeiter!$A$6:$A$205,0)),"Pers.-Nr. unbekannt",IF(A1674="","Datum fehlt",IF(AND(D1674&lt;&gt;Einstellungen!$C$4,D1674&lt;&gt;Einstellungen!$C$5),"Objekt fehlt",IF(YEAR(A1674)&lt;&gt;Einstellungen!$C$3,"anderes Jahr",IF(A1674&lt;INDEX(Mitarbeiter!$C$6:$C$205,MATCH(B1674,Mitarbeiter!$A$6:$A$205,0)),"vor Eintritt",IF(AND(INDEX(Mitarbeiter!$D$6:$D$205,MATCH(B1674,Mitarbeiter!$A$6:$A$205,0))&lt;&gt;"",A1674&gt;INDEX(Mitarbeiter!$D$6:$D$205,MATCH(B1674,Mitarbeiter!$A$6:$A$205,0))),"nach Austritt","ok")))))))</f>
        <v/>
      </c>
    </row>
    <row r="1675">
      <c r="A1675" s="26" t="n"/>
      <c r="B1675" s="24" t="n"/>
      <c r="C1675" s="40">
        <f>IF(B1675="","",IFERROR(INDEX(Mitarbeiter!$B$6:$B$205,MATCH(B1675,Mitarbeiter!$A$6:$A$205,0)),"?"))</f>
        <v/>
      </c>
      <c r="D1675" s="41" t="n"/>
      <c r="E1675" s="42" t="n"/>
      <c r="F1675" s="43" t="n"/>
      <c r="G1675" s="44">
        <f>IF(OR(B1675="",F1675=""),"",IFERROR(F1675*INDEX(Mitarbeiter!$F$6:$F$205,MATCH(B1675,Mitarbeiter!$A$6:$A$205,0)),0))</f>
        <v/>
      </c>
      <c r="H1675" s="8">
        <f>IF(B1675="","",IF(ISNA(MATCH(B1675,Mitarbeiter!$A$6:$A$205,0)),"Pers.-Nr. unbekannt",IF(A1675="","Datum fehlt",IF(AND(D1675&lt;&gt;Einstellungen!$C$4,D1675&lt;&gt;Einstellungen!$C$5),"Objekt fehlt",IF(YEAR(A1675)&lt;&gt;Einstellungen!$C$3,"anderes Jahr",IF(A1675&lt;INDEX(Mitarbeiter!$C$6:$C$205,MATCH(B1675,Mitarbeiter!$A$6:$A$205,0)),"vor Eintritt",IF(AND(INDEX(Mitarbeiter!$D$6:$D$205,MATCH(B1675,Mitarbeiter!$A$6:$A$205,0))&lt;&gt;"",A1675&gt;INDEX(Mitarbeiter!$D$6:$D$205,MATCH(B1675,Mitarbeiter!$A$6:$A$205,0))),"nach Austritt","ok")))))))</f>
        <v/>
      </c>
    </row>
    <row r="1676">
      <c r="A1676" s="26" t="n"/>
      <c r="B1676" s="24" t="n"/>
      <c r="C1676" s="40">
        <f>IF(B1676="","",IFERROR(INDEX(Mitarbeiter!$B$6:$B$205,MATCH(B1676,Mitarbeiter!$A$6:$A$205,0)),"?"))</f>
        <v/>
      </c>
      <c r="D1676" s="41" t="n"/>
      <c r="E1676" s="42" t="n"/>
      <c r="F1676" s="43" t="n"/>
      <c r="G1676" s="44">
        <f>IF(OR(B1676="",F1676=""),"",IFERROR(F1676*INDEX(Mitarbeiter!$F$6:$F$205,MATCH(B1676,Mitarbeiter!$A$6:$A$205,0)),0))</f>
        <v/>
      </c>
      <c r="H1676" s="8">
        <f>IF(B1676="","",IF(ISNA(MATCH(B1676,Mitarbeiter!$A$6:$A$205,0)),"Pers.-Nr. unbekannt",IF(A1676="","Datum fehlt",IF(AND(D1676&lt;&gt;Einstellungen!$C$4,D1676&lt;&gt;Einstellungen!$C$5),"Objekt fehlt",IF(YEAR(A1676)&lt;&gt;Einstellungen!$C$3,"anderes Jahr",IF(A1676&lt;INDEX(Mitarbeiter!$C$6:$C$205,MATCH(B1676,Mitarbeiter!$A$6:$A$205,0)),"vor Eintritt",IF(AND(INDEX(Mitarbeiter!$D$6:$D$205,MATCH(B1676,Mitarbeiter!$A$6:$A$205,0))&lt;&gt;"",A1676&gt;INDEX(Mitarbeiter!$D$6:$D$205,MATCH(B1676,Mitarbeiter!$A$6:$A$205,0))),"nach Austritt","ok")))))))</f>
        <v/>
      </c>
    </row>
    <row r="1677">
      <c r="A1677" s="26" t="n"/>
      <c r="B1677" s="24" t="n"/>
      <c r="C1677" s="40">
        <f>IF(B1677="","",IFERROR(INDEX(Mitarbeiter!$B$6:$B$205,MATCH(B1677,Mitarbeiter!$A$6:$A$205,0)),"?"))</f>
        <v/>
      </c>
      <c r="D1677" s="41" t="n"/>
      <c r="E1677" s="42" t="n"/>
      <c r="F1677" s="43" t="n"/>
      <c r="G1677" s="44">
        <f>IF(OR(B1677="",F1677=""),"",IFERROR(F1677*INDEX(Mitarbeiter!$F$6:$F$205,MATCH(B1677,Mitarbeiter!$A$6:$A$205,0)),0))</f>
        <v/>
      </c>
      <c r="H1677" s="8">
        <f>IF(B1677="","",IF(ISNA(MATCH(B1677,Mitarbeiter!$A$6:$A$205,0)),"Pers.-Nr. unbekannt",IF(A1677="","Datum fehlt",IF(AND(D1677&lt;&gt;Einstellungen!$C$4,D1677&lt;&gt;Einstellungen!$C$5),"Objekt fehlt",IF(YEAR(A1677)&lt;&gt;Einstellungen!$C$3,"anderes Jahr",IF(A1677&lt;INDEX(Mitarbeiter!$C$6:$C$205,MATCH(B1677,Mitarbeiter!$A$6:$A$205,0)),"vor Eintritt",IF(AND(INDEX(Mitarbeiter!$D$6:$D$205,MATCH(B1677,Mitarbeiter!$A$6:$A$205,0))&lt;&gt;"",A1677&gt;INDEX(Mitarbeiter!$D$6:$D$205,MATCH(B1677,Mitarbeiter!$A$6:$A$205,0))),"nach Austritt","ok")))))))</f>
        <v/>
      </c>
    </row>
    <row r="1678">
      <c r="A1678" s="26" t="n"/>
      <c r="B1678" s="24" t="n"/>
      <c r="C1678" s="40">
        <f>IF(B1678="","",IFERROR(INDEX(Mitarbeiter!$B$6:$B$205,MATCH(B1678,Mitarbeiter!$A$6:$A$205,0)),"?"))</f>
        <v/>
      </c>
      <c r="D1678" s="41" t="n"/>
      <c r="E1678" s="42" t="n"/>
      <c r="F1678" s="43" t="n"/>
      <c r="G1678" s="44">
        <f>IF(OR(B1678="",F1678=""),"",IFERROR(F1678*INDEX(Mitarbeiter!$F$6:$F$205,MATCH(B1678,Mitarbeiter!$A$6:$A$205,0)),0))</f>
        <v/>
      </c>
      <c r="H1678" s="8">
        <f>IF(B1678="","",IF(ISNA(MATCH(B1678,Mitarbeiter!$A$6:$A$205,0)),"Pers.-Nr. unbekannt",IF(A1678="","Datum fehlt",IF(AND(D1678&lt;&gt;Einstellungen!$C$4,D1678&lt;&gt;Einstellungen!$C$5),"Objekt fehlt",IF(YEAR(A1678)&lt;&gt;Einstellungen!$C$3,"anderes Jahr",IF(A1678&lt;INDEX(Mitarbeiter!$C$6:$C$205,MATCH(B1678,Mitarbeiter!$A$6:$A$205,0)),"vor Eintritt",IF(AND(INDEX(Mitarbeiter!$D$6:$D$205,MATCH(B1678,Mitarbeiter!$A$6:$A$205,0))&lt;&gt;"",A1678&gt;INDEX(Mitarbeiter!$D$6:$D$205,MATCH(B1678,Mitarbeiter!$A$6:$A$205,0))),"nach Austritt","ok")))))))</f>
        <v/>
      </c>
    </row>
    <row r="1679">
      <c r="A1679" s="26" t="n"/>
      <c r="B1679" s="24" t="n"/>
      <c r="C1679" s="40">
        <f>IF(B1679="","",IFERROR(INDEX(Mitarbeiter!$B$6:$B$205,MATCH(B1679,Mitarbeiter!$A$6:$A$205,0)),"?"))</f>
        <v/>
      </c>
      <c r="D1679" s="41" t="n"/>
      <c r="E1679" s="42" t="n"/>
      <c r="F1679" s="43" t="n"/>
      <c r="G1679" s="44">
        <f>IF(OR(B1679="",F1679=""),"",IFERROR(F1679*INDEX(Mitarbeiter!$F$6:$F$205,MATCH(B1679,Mitarbeiter!$A$6:$A$205,0)),0))</f>
        <v/>
      </c>
      <c r="H1679" s="8">
        <f>IF(B1679="","",IF(ISNA(MATCH(B1679,Mitarbeiter!$A$6:$A$205,0)),"Pers.-Nr. unbekannt",IF(A1679="","Datum fehlt",IF(AND(D1679&lt;&gt;Einstellungen!$C$4,D1679&lt;&gt;Einstellungen!$C$5),"Objekt fehlt",IF(YEAR(A1679)&lt;&gt;Einstellungen!$C$3,"anderes Jahr",IF(A1679&lt;INDEX(Mitarbeiter!$C$6:$C$205,MATCH(B1679,Mitarbeiter!$A$6:$A$205,0)),"vor Eintritt",IF(AND(INDEX(Mitarbeiter!$D$6:$D$205,MATCH(B1679,Mitarbeiter!$A$6:$A$205,0))&lt;&gt;"",A1679&gt;INDEX(Mitarbeiter!$D$6:$D$205,MATCH(B1679,Mitarbeiter!$A$6:$A$205,0))),"nach Austritt","ok")))))))</f>
        <v/>
      </c>
    </row>
    <row r="1680">
      <c r="A1680" s="26" t="n"/>
      <c r="B1680" s="24" t="n"/>
      <c r="C1680" s="40">
        <f>IF(B1680="","",IFERROR(INDEX(Mitarbeiter!$B$6:$B$205,MATCH(B1680,Mitarbeiter!$A$6:$A$205,0)),"?"))</f>
        <v/>
      </c>
      <c r="D1680" s="41" t="n"/>
      <c r="E1680" s="42" t="n"/>
      <c r="F1680" s="43" t="n"/>
      <c r="G1680" s="44">
        <f>IF(OR(B1680="",F1680=""),"",IFERROR(F1680*INDEX(Mitarbeiter!$F$6:$F$205,MATCH(B1680,Mitarbeiter!$A$6:$A$205,0)),0))</f>
        <v/>
      </c>
      <c r="H1680" s="8">
        <f>IF(B1680="","",IF(ISNA(MATCH(B1680,Mitarbeiter!$A$6:$A$205,0)),"Pers.-Nr. unbekannt",IF(A1680="","Datum fehlt",IF(AND(D1680&lt;&gt;Einstellungen!$C$4,D1680&lt;&gt;Einstellungen!$C$5),"Objekt fehlt",IF(YEAR(A1680)&lt;&gt;Einstellungen!$C$3,"anderes Jahr",IF(A1680&lt;INDEX(Mitarbeiter!$C$6:$C$205,MATCH(B1680,Mitarbeiter!$A$6:$A$205,0)),"vor Eintritt",IF(AND(INDEX(Mitarbeiter!$D$6:$D$205,MATCH(B1680,Mitarbeiter!$A$6:$A$205,0))&lt;&gt;"",A1680&gt;INDEX(Mitarbeiter!$D$6:$D$205,MATCH(B1680,Mitarbeiter!$A$6:$A$205,0))),"nach Austritt","ok")))))))</f>
        <v/>
      </c>
    </row>
    <row r="1681">
      <c r="A1681" s="26" t="n"/>
      <c r="B1681" s="24" t="n"/>
      <c r="C1681" s="40">
        <f>IF(B1681="","",IFERROR(INDEX(Mitarbeiter!$B$6:$B$205,MATCH(B1681,Mitarbeiter!$A$6:$A$205,0)),"?"))</f>
        <v/>
      </c>
      <c r="D1681" s="41" t="n"/>
      <c r="E1681" s="42" t="n"/>
      <c r="F1681" s="43" t="n"/>
      <c r="G1681" s="44">
        <f>IF(OR(B1681="",F1681=""),"",IFERROR(F1681*INDEX(Mitarbeiter!$F$6:$F$205,MATCH(B1681,Mitarbeiter!$A$6:$A$205,0)),0))</f>
        <v/>
      </c>
      <c r="H1681" s="8">
        <f>IF(B1681="","",IF(ISNA(MATCH(B1681,Mitarbeiter!$A$6:$A$205,0)),"Pers.-Nr. unbekannt",IF(A1681="","Datum fehlt",IF(AND(D1681&lt;&gt;Einstellungen!$C$4,D1681&lt;&gt;Einstellungen!$C$5),"Objekt fehlt",IF(YEAR(A1681)&lt;&gt;Einstellungen!$C$3,"anderes Jahr",IF(A1681&lt;INDEX(Mitarbeiter!$C$6:$C$205,MATCH(B1681,Mitarbeiter!$A$6:$A$205,0)),"vor Eintritt",IF(AND(INDEX(Mitarbeiter!$D$6:$D$205,MATCH(B1681,Mitarbeiter!$A$6:$A$205,0))&lt;&gt;"",A1681&gt;INDEX(Mitarbeiter!$D$6:$D$205,MATCH(B1681,Mitarbeiter!$A$6:$A$205,0))),"nach Austritt","ok")))))))</f>
        <v/>
      </c>
    </row>
    <row r="1682">
      <c r="A1682" s="26" t="n"/>
      <c r="B1682" s="24" t="n"/>
      <c r="C1682" s="40">
        <f>IF(B1682="","",IFERROR(INDEX(Mitarbeiter!$B$6:$B$205,MATCH(B1682,Mitarbeiter!$A$6:$A$205,0)),"?"))</f>
        <v/>
      </c>
      <c r="D1682" s="41" t="n"/>
      <c r="E1682" s="42" t="n"/>
      <c r="F1682" s="43" t="n"/>
      <c r="G1682" s="44">
        <f>IF(OR(B1682="",F1682=""),"",IFERROR(F1682*INDEX(Mitarbeiter!$F$6:$F$205,MATCH(B1682,Mitarbeiter!$A$6:$A$205,0)),0))</f>
        <v/>
      </c>
      <c r="H1682" s="8">
        <f>IF(B1682="","",IF(ISNA(MATCH(B1682,Mitarbeiter!$A$6:$A$205,0)),"Pers.-Nr. unbekannt",IF(A1682="","Datum fehlt",IF(AND(D1682&lt;&gt;Einstellungen!$C$4,D1682&lt;&gt;Einstellungen!$C$5),"Objekt fehlt",IF(YEAR(A1682)&lt;&gt;Einstellungen!$C$3,"anderes Jahr",IF(A1682&lt;INDEX(Mitarbeiter!$C$6:$C$205,MATCH(B1682,Mitarbeiter!$A$6:$A$205,0)),"vor Eintritt",IF(AND(INDEX(Mitarbeiter!$D$6:$D$205,MATCH(B1682,Mitarbeiter!$A$6:$A$205,0))&lt;&gt;"",A1682&gt;INDEX(Mitarbeiter!$D$6:$D$205,MATCH(B1682,Mitarbeiter!$A$6:$A$205,0))),"nach Austritt","ok")))))))</f>
        <v/>
      </c>
    </row>
    <row r="1683">
      <c r="A1683" s="26" t="n"/>
      <c r="B1683" s="24" t="n"/>
      <c r="C1683" s="40">
        <f>IF(B1683="","",IFERROR(INDEX(Mitarbeiter!$B$6:$B$205,MATCH(B1683,Mitarbeiter!$A$6:$A$205,0)),"?"))</f>
        <v/>
      </c>
      <c r="D1683" s="41" t="n"/>
      <c r="E1683" s="42" t="n"/>
      <c r="F1683" s="43" t="n"/>
      <c r="G1683" s="44">
        <f>IF(OR(B1683="",F1683=""),"",IFERROR(F1683*INDEX(Mitarbeiter!$F$6:$F$205,MATCH(B1683,Mitarbeiter!$A$6:$A$205,0)),0))</f>
        <v/>
      </c>
      <c r="H1683" s="8">
        <f>IF(B1683="","",IF(ISNA(MATCH(B1683,Mitarbeiter!$A$6:$A$205,0)),"Pers.-Nr. unbekannt",IF(A1683="","Datum fehlt",IF(AND(D1683&lt;&gt;Einstellungen!$C$4,D1683&lt;&gt;Einstellungen!$C$5),"Objekt fehlt",IF(YEAR(A1683)&lt;&gt;Einstellungen!$C$3,"anderes Jahr",IF(A1683&lt;INDEX(Mitarbeiter!$C$6:$C$205,MATCH(B1683,Mitarbeiter!$A$6:$A$205,0)),"vor Eintritt",IF(AND(INDEX(Mitarbeiter!$D$6:$D$205,MATCH(B1683,Mitarbeiter!$A$6:$A$205,0))&lt;&gt;"",A1683&gt;INDEX(Mitarbeiter!$D$6:$D$205,MATCH(B1683,Mitarbeiter!$A$6:$A$205,0))),"nach Austritt","ok")))))))</f>
        <v/>
      </c>
    </row>
    <row r="1684">
      <c r="A1684" s="26" t="n"/>
      <c r="B1684" s="24" t="n"/>
      <c r="C1684" s="40">
        <f>IF(B1684="","",IFERROR(INDEX(Mitarbeiter!$B$6:$B$205,MATCH(B1684,Mitarbeiter!$A$6:$A$205,0)),"?"))</f>
        <v/>
      </c>
      <c r="D1684" s="41" t="n"/>
      <c r="E1684" s="42" t="n"/>
      <c r="F1684" s="43" t="n"/>
      <c r="G1684" s="44">
        <f>IF(OR(B1684="",F1684=""),"",IFERROR(F1684*INDEX(Mitarbeiter!$F$6:$F$205,MATCH(B1684,Mitarbeiter!$A$6:$A$205,0)),0))</f>
        <v/>
      </c>
      <c r="H1684" s="8">
        <f>IF(B1684="","",IF(ISNA(MATCH(B1684,Mitarbeiter!$A$6:$A$205,0)),"Pers.-Nr. unbekannt",IF(A1684="","Datum fehlt",IF(AND(D1684&lt;&gt;Einstellungen!$C$4,D1684&lt;&gt;Einstellungen!$C$5),"Objekt fehlt",IF(YEAR(A1684)&lt;&gt;Einstellungen!$C$3,"anderes Jahr",IF(A1684&lt;INDEX(Mitarbeiter!$C$6:$C$205,MATCH(B1684,Mitarbeiter!$A$6:$A$205,0)),"vor Eintritt",IF(AND(INDEX(Mitarbeiter!$D$6:$D$205,MATCH(B1684,Mitarbeiter!$A$6:$A$205,0))&lt;&gt;"",A1684&gt;INDEX(Mitarbeiter!$D$6:$D$205,MATCH(B1684,Mitarbeiter!$A$6:$A$205,0))),"nach Austritt","ok")))))))</f>
        <v/>
      </c>
    </row>
    <row r="1685">
      <c r="A1685" s="26" t="n"/>
      <c r="B1685" s="24" t="n"/>
      <c r="C1685" s="40">
        <f>IF(B1685="","",IFERROR(INDEX(Mitarbeiter!$B$6:$B$205,MATCH(B1685,Mitarbeiter!$A$6:$A$205,0)),"?"))</f>
        <v/>
      </c>
      <c r="D1685" s="41" t="n"/>
      <c r="E1685" s="42" t="n"/>
      <c r="F1685" s="43" t="n"/>
      <c r="G1685" s="44">
        <f>IF(OR(B1685="",F1685=""),"",IFERROR(F1685*INDEX(Mitarbeiter!$F$6:$F$205,MATCH(B1685,Mitarbeiter!$A$6:$A$205,0)),0))</f>
        <v/>
      </c>
      <c r="H1685" s="8">
        <f>IF(B1685="","",IF(ISNA(MATCH(B1685,Mitarbeiter!$A$6:$A$205,0)),"Pers.-Nr. unbekannt",IF(A1685="","Datum fehlt",IF(AND(D1685&lt;&gt;Einstellungen!$C$4,D1685&lt;&gt;Einstellungen!$C$5),"Objekt fehlt",IF(YEAR(A1685)&lt;&gt;Einstellungen!$C$3,"anderes Jahr",IF(A1685&lt;INDEX(Mitarbeiter!$C$6:$C$205,MATCH(B1685,Mitarbeiter!$A$6:$A$205,0)),"vor Eintritt",IF(AND(INDEX(Mitarbeiter!$D$6:$D$205,MATCH(B1685,Mitarbeiter!$A$6:$A$205,0))&lt;&gt;"",A1685&gt;INDEX(Mitarbeiter!$D$6:$D$205,MATCH(B1685,Mitarbeiter!$A$6:$A$205,0))),"nach Austritt","ok")))))))</f>
        <v/>
      </c>
    </row>
    <row r="1686">
      <c r="A1686" s="26" t="n"/>
      <c r="B1686" s="24" t="n"/>
      <c r="C1686" s="40">
        <f>IF(B1686="","",IFERROR(INDEX(Mitarbeiter!$B$6:$B$205,MATCH(B1686,Mitarbeiter!$A$6:$A$205,0)),"?"))</f>
        <v/>
      </c>
      <c r="D1686" s="41" t="n"/>
      <c r="E1686" s="42" t="n"/>
      <c r="F1686" s="43" t="n"/>
      <c r="G1686" s="44">
        <f>IF(OR(B1686="",F1686=""),"",IFERROR(F1686*INDEX(Mitarbeiter!$F$6:$F$205,MATCH(B1686,Mitarbeiter!$A$6:$A$205,0)),0))</f>
        <v/>
      </c>
      <c r="H1686" s="8">
        <f>IF(B1686="","",IF(ISNA(MATCH(B1686,Mitarbeiter!$A$6:$A$205,0)),"Pers.-Nr. unbekannt",IF(A1686="","Datum fehlt",IF(AND(D1686&lt;&gt;Einstellungen!$C$4,D1686&lt;&gt;Einstellungen!$C$5),"Objekt fehlt",IF(YEAR(A1686)&lt;&gt;Einstellungen!$C$3,"anderes Jahr",IF(A1686&lt;INDEX(Mitarbeiter!$C$6:$C$205,MATCH(B1686,Mitarbeiter!$A$6:$A$205,0)),"vor Eintritt",IF(AND(INDEX(Mitarbeiter!$D$6:$D$205,MATCH(B1686,Mitarbeiter!$A$6:$A$205,0))&lt;&gt;"",A1686&gt;INDEX(Mitarbeiter!$D$6:$D$205,MATCH(B1686,Mitarbeiter!$A$6:$A$205,0))),"nach Austritt","ok")))))))</f>
        <v/>
      </c>
    </row>
    <row r="1687">
      <c r="A1687" s="26" t="n"/>
      <c r="B1687" s="24" t="n"/>
      <c r="C1687" s="40">
        <f>IF(B1687="","",IFERROR(INDEX(Mitarbeiter!$B$6:$B$205,MATCH(B1687,Mitarbeiter!$A$6:$A$205,0)),"?"))</f>
        <v/>
      </c>
      <c r="D1687" s="41" t="n"/>
      <c r="E1687" s="42" t="n"/>
      <c r="F1687" s="43" t="n"/>
      <c r="G1687" s="44">
        <f>IF(OR(B1687="",F1687=""),"",IFERROR(F1687*INDEX(Mitarbeiter!$F$6:$F$205,MATCH(B1687,Mitarbeiter!$A$6:$A$205,0)),0))</f>
        <v/>
      </c>
      <c r="H1687" s="8">
        <f>IF(B1687="","",IF(ISNA(MATCH(B1687,Mitarbeiter!$A$6:$A$205,0)),"Pers.-Nr. unbekannt",IF(A1687="","Datum fehlt",IF(AND(D1687&lt;&gt;Einstellungen!$C$4,D1687&lt;&gt;Einstellungen!$C$5),"Objekt fehlt",IF(YEAR(A1687)&lt;&gt;Einstellungen!$C$3,"anderes Jahr",IF(A1687&lt;INDEX(Mitarbeiter!$C$6:$C$205,MATCH(B1687,Mitarbeiter!$A$6:$A$205,0)),"vor Eintritt",IF(AND(INDEX(Mitarbeiter!$D$6:$D$205,MATCH(B1687,Mitarbeiter!$A$6:$A$205,0))&lt;&gt;"",A1687&gt;INDEX(Mitarbeiter!$D$6:$D$205,MATCH(B1687,Mitarbeiter!$A$6:$A$205,0))),"nach Austritt","ok")))))))</f>
        <v/>
      </c>
    </row>
    <row r="1688">
      <c r="A1688" s="26" t="n"/>
      <c r="B1688" s="24" t="n"/>
      <c r="C1688" s="40">
        <f>IF(B1688="","",IFERROR(INDEX(Mitarbeiter!$B$6:$B$205,MATCH(B1688,Mitarbeiter!$A$6:$A$205,0)),"?"))</f>
        <v/>
      </c>
      <c r="D1688" s="41" t="n"/>
      <c r="E1688" s="42" t="n"/>
      <c r="F1688" s="43" t="n"/>
      <c r="G1688" s="44">
        <f>IF(OR(B1688="",F1688=""),"",IFERROR(F1688*INDEX(Mitarbeiter!$F$6:$F$205,MATCH(B1688,Mitarbeiter!$A$6:$A$205,0)),0))</f>
        <v/>
      </c>
      <c r="H1688" s="8">
        <f>IF(B1688="","",IF(ISNA(MATCH(B1688,Mitarbeiter!$A$6:$A$205,0)),"Pers.-Nr. unbekannt",IF(A1688="","Datum fehlt",IF(AND(D1688&lt;&gt;Einstellungen!$C$4,D1688&lt;&gt;Einstellungen!$C$5),"Objekt fehlt",IF(YEAR(A1688)&lt;&gt;Einstellungen!$C$3,"anderes Jahr",IF(A1688&lt;INDEX(Mitarbeiter!$C$6:$C$205,MATCH(B1688,Mitarbeiter!$A$6:$A$205,0)),"vor Eintritt",IF(AND(INDEX(Mitarbeiter!$D$6:$D$205,MATCH(B1688,Mitarbeiter!$A$6:$A$205,0))&lt;&gt;"",A1688&gt;INDEX(Mitarbeiter!$D$6:$D$205,MATCH(B1688,Mitarbeiter!$A$6:$A$205,0))),"nach Austritt","ok")))))))</f>
        <v/>
      </c>
    </row>
    <row r="1689">
      <c r="A1689" s="26" t="n"/>
      <c r="B1689" s="24" t="n"/>
      <c r="C1689" s="40">
        <f>IF(B1689="","",IFERROR(INDEX(Mitarbeiter!$B$6:$B$205,MATCH(B1689,Mitarbeiter!$A$6:$A$205,0)),"?"))</f>
        <v/>
      </c>
      <c r="D1689" s="41" t="n"/>
      <c r="E1689" s="42" t="n"/>
      <c r="F1689" s="43" t="n"/>
      <c r="G1689" s="44">
        <f>IF(OR(B1689="",F1689=""),"",IFERROR(F1689*INDEX(Mitarbeiter!$F$6:$F$205,MATCH(B1689,Mitarbeiter!$A$6:$A$205,0)),0))</f>
        <v/>
      </c>
      <c r="H1689" s="8">
        <f>IF(B1689="","",IF(ISNA(MATCH(B1689,Mitarbeiter!$A$6:$A$205,0)),"Pers.-Nr. unbekannt",IF(A1689="","Datum fehlt",IF(AND(D1689&lt;&gt;Einstellungen!$C$4,D1689&lt;&gt;Einstellungen!$C$5),"Objekt fehlt",IF(YEAR(A1689)&lt;&gt;Einstellungen!$C$3,"anderes Jahr",IF(A1689&lt;INDEX(Mitarbeiter!$C$6:$C$205,MATCH(B1689,Mitarbeiter!$A$6:$A$205,0)),"vor Eintritt",IF(AND(INDEX(Mitarbeiter!$D$6:$D$205,MATCH(B1689,Mitarbeiter!$A$6:$A$205,0))&lt;&gt;"",A1689&gt;INDEX(Mitarbeiter!$D$6:$D$205,MATCH(B1689,Mitarbeiter!$A$6:$A$205,0))),"nach Austritt","ok")))))))</f>
        <v/>
      </c>
    </row>
    <row r="1690">
      <c r="A1690" s="26" t="n"/>
      <c r="B1690" s="24" t="n"/>
      <c r="C1690" s="40">
        <f>IF(B1690="","",IFERROR(INDEX(Mitarbeiter!$B$6:$B$205,MATCH(B1690,Mitarbeiter!$A$6:$A$205,0)),"?"))</f>
        <v/>
      </c>
      <c r="D1690" s="41" t="n"/>
      <c r="E1690" s="42" t="n"/>
      <c r="F1690" s="43" t="n"/>
      <c r="G1690" s="44">
        <f>IF(OR(B1690="",F1690=""),"",IFERROR(F1690*INDEX(Mitarbeiter!$F$6:$F$205,MATCH(B1690,Mitarbeiter!$A$6:$A$205,0)),0))</f>
        <v/>
      </c>
      <c r="H1690" s="8">
        <f>IF(B1690="","",IF(ISNA(MATCH(B1690,Mitarbeiter!$A$6:$A$205,0)),"Pers.-Nr. unbekannt",IF(A1690="","Datum fehlt",IF(AND(D1690&lt;&gt;Einstellungen!$C$4,D1690&lt;&gt;Einstellungen!$C$5),"Objekt fehlt",IF(YEAR(A1690)&lt;&gt;Einstellungen!$C$3,"anderes Jahr",IF(A1690&lt;INDEX(Mitarbeiter!$C$6:$C$205,MATCH(B1690,Mitarbeiter!$A$6:$A$205,0)),"vor Eintritt",IF(AND(INDEX(Mitarbeiter!$D$6:$D$205,MATCH(B1690,Mitarbeiter!$A$6:$A$205,0))&lt;&gt;"",A1690&gt;INDEX(Mitarbeiter!$D$6:$D$205,MATCH(B1690,Mitarbeiter!$A$6:$A$205,0))),"nach Austritt","ok")))))))</f>
        <v/>
      </c>
    </row>
    <row r="1691">
      <c r="A1691" s="26" t="n"/>
      <c r="B1691" s="24" t="n"/>
      <c r="C1691" s="40">
        <f>IF(B1691="","",IFERROR(INDEX(Mitarbeiter!$B$6:$B$205,MATCH(B1691,Mitarbeiter!$A$6:$A$205,0)),"?"))</f>
        <v/>
      </c>
      <c r="D1691" s="41" t="n"/>
      <c r="E1691" s="42" t="n"/>
      <c r="F1691" s="43" t="n"/>
      <c r="G1691" s="44">
        <f>IF(OR(B1691="",F1691=""),"",IFERROR(F1691*INDEX(Mitarbeiter!$F$6:$F$205,MATCH(B1691,Mitarbeiter!$A$6:$A$205,0)),0))</f>
        <v/>
      </c>
      <c r="H1691" s="8">
        <f>IF(B1691="","",IF(ISNA(MATCH(B1691,Mitarbeiter!$A$6:$A$205,0)),"Pers.-Nr. unbekannt",IF(A1691="","Datum fehlt",IF(AND(D1691&lt;&gt;Einstellungen!$C$4,D1691&lt;&gt;Einstellungen!$C$5),"Objekt fehlt",IF(YEAR(A1691)&lt;&gt;Einstellungen!$C$3,"anderes Jahr",IF(A1691&lt;INDEX(Mitarbeiter!$C$6:$C$205,MATCH(B1691,Mitarbeiter!$A$6:$A$205,0)),"vor Eintritt",IF(AND(INDEX(Mitarbeiter!$D$6:$D$205,MATCH(B1691,Mitarbeiter!$A$6:$A$205,0))&lt;&gt;"",A1691&gt;INDEX(Mitarbeiter!$D$6:$D$205,MATCH(B1691,Mitarbeiter!$A$6:$A$205,0))),"nach Austritt","ok")))))))</f>
        <v/>
      </c>
    </row>
    <row r="1692">
      <c r="A1692" s="26" t="n"/>
      <c r="B1692" s="24" t="n"/>
      <c r="C1692" s="40">
        <f>IF(B1692="","",IFERROR(INDEX(Mitarbeiter!$B$6:$B$205,MATCH(B1692,Mitarbeiter!$A$6:$A$205,0)),"?"))</f>
        <v/>
      </c>
      <c r="D1692" s="41" t="n"/>
      <c r="E1692" s="42" t="n"/>
      <c r="F1692" s="43" t="n"/>
      <c r="G1692" s="44">
        <f>IF(OR(B1692="",F1692=""),"",IFERROR(F1692*INDEX(Mitarbeiter!$F$6:$F$205,MATCH(B1692,Mitarbeiter!$A$6:$A$205,0)),0))</f>
        <v/>
      </c>
      <c r="H1692" s="8">
        <f>IF(B1692="","",IF(ISNA(MATCH(B1692,Mitarbeiter!$A$6:$A$205,0)),"Pers.-Nr. unbekannt",IF(A1692="","Datum fehlt",IF(AND(D1692&lt;&gt;Einstellungen!$C$4,D1692&lt;&gt;Einstellungen!$C$5),"Objekt fehlt",IF(YEAR(A1692)&lt;&gt;Einstellungen!$C$3,"anderes Jahr",IF(A1692&lt;INDEX(Mitarbeiter!$C$6:$C$205,MATCH(B1692,Mitarbeiter!$A$6:$A$205,0)),"vor Eintritt",IF(AND(INDEX(Mitarbeiter!$D$6:$D$205,MATCH(B1692,Mitarbeiter!$A$6:$A$205,0))&lt;&gt;"",A1692&gt;INDEX(Mitarbeiter!$D$6:$D$205,MATCH(B1692,Mitarbeiter!$A$6:$A$205,0))),"nach Austritt","ok")))))))</f>
        <v/>
      </c>
    </row>
    <row r="1693">
      <c r="A1693" s="26" t="n"/>
      <c r="B1693" s="24" t="n"/>
      <c r="C1693" s="40">
        <f>IF(B1693="","",IFERROR(INDEX(Mitarbeiter!$B$6:$B$205,MATCH(B1693,Mitarbeiter!$A$6:$A$205,0)),"?"))</f>
        <v/>
      </c>
      <c r="D1693" s="41" t="n"/>
      <c r="E1693" s="42" t="n"/>
      <c r="F1693" s="43" t="n"/>
      <c r="G1693" s="44">
        <f>IF(OR(B1693="",F1693=""),"",IFERROR(F1693*INDEX(Mitarbeiter!$F$6:$F$205,MATCH(B1693,Mitarbeiter!$A$6:$A$205,0)),0))</f>
        <v/>
      </c>
      <c r="H1693" s="8">
        <f>IF(B1693="","",IF(ISNA(MATCH(B1693,Mitarbeiter!$A$6:$A$205,0)),"Pers.-Nr. unbekannt",IF(A1693="","Datum fehlt",IF(AND(D1693&lt;&gt;Einstellungen!$C$4,D1693&lt;&gt;Einstellungen!$C$5),"Objekt fehlt",IF(YEAR(A1693)&lt;&gt;Einstellungen!$C$3,"anderes Jahr",IF(A1693&lt;INDEX(Mitarbeiter!$C$6:$C$205,MATCH(B1693,Mitarbeiter!$A$6:$A$205,0)),"vor Eintritt",IF(AND(INDEX(Mitarbeiter!$D$6:$D$205,MATCH(B1693,Mitarbeiter!$A$6:$A$205,0))&lt;&gt;"",A1693&gt;INDEX(Mitarbeiter!$D$6:$D$205,MATCH(B1693,Mitarbeiter!$A$6:$A$205,0))),"nach Austritt","ok")))))))</f>
        <v/>
      </c>
    </row>
    <row r="1694">
      <c r="A1694" s="26" t="n"/>
      <c r="B1694" s="24" t="n"/>
      <c r="C1694" s="40">
        <f>IF(B1694="","",IFERROR(INDEX(Mitarbeiter!$B$6:$B$205,MATCH(B1694,Mitarbeiter!$A$6:$A$205,0)),"?"))</f>
        <v/>
      </c>
      <c r="D1694" s="41" t="n"/>
      <c r="E1694" s="42" t="n"/>
      <c r="F1694" s="43" t="n"/>
      <c r="G1694" s="44">
        <f>IF(OR(B1694="",F1694=""),"",IFERROR(F1694*INDEX(Mitarbeiter!$F$6:$F$205,MATCH(B1694,Mitarbeiter!$A$6:$A$205,0)),0))</f>
        <v/>
      </c>
      <c r="H1694" s="8">
        <f>IF(B1694="","",IF(ISNA(MATCH(B1694,Mitarbeiter!$A$6:$A$205,0)),"Pers.-Nr. unbekannt",IF(A1694="","Datum fehlt",IF(AND(D1694&lt;&gt;Einstellungen!$C$4,D1694&lt;&gt;Einstellungen!$C$5),"Objekt fehlt",IF(YEAR(A1694)&lt;&gt;Einstellungen!$C$3,"anderes Jahr",IF(A1694&lt;INDEX(Mitarbeiter!$C$6:$C$205,MATCH(B1694,Mitarbeiter!$A$6:$A$205,0)),"vor Eintritt",IF(AND(INDEX(Mitarbeiter!$D$6:$D$205,MATCH(B1694,Mitarbeiter!$A$6:$A$205,0))&lt;&gt;"",A1694&gt;INDEX(Mitarbeiter!$D$6:$D$205,MATCH(B1694,Mitarbeiter!$A$6:$A$205,0))),"nach Austritt","ok")))))))</f>
        <v/>
      </c>
    </row>
    <row r="1695">
      <c r="A1695" s="26" t="n"/>
      <c r="B1695" s="24" t="n"/>
      <c r="C1695" s="40">
        <f>IF(B1695="","",IFERROR(INDEX(Mitarbeiter!$B$6:$B$205,MATCH(B1695,Mitarbeiter!$A$6:$A$205,0)),"?"))</f>
        <v/>
      </c>
      <c r="D1695" s="41" t="n"/>
      <c r="E1695" s="42" t="n"/>
      <c r="F1695" s="43" t="n"/>
      <c r="G1695" s="44">
        <f>IF(OR(B1695="",F1695=""),"",IFERROR(F1695*INDEX(Mitarbeiter!$F$6:$F$205,MATCH(B1695,Mitarbeiter!$A$6:$A$205,0)),0))</f>
        <v/>
      </c>
      <c r="H1695" s="8">
        <f>IF(B1695="","",IF(ISNA(MATCH(B1695,Mitarbeiter!$A$6:$A$205,0)),"Pers.-Nr. unbekannt",IF(A1695="","Datum fehlt",IF(AND(D1695&lt;&gt;Einstellungen!$C$4,D1695&lt;&gt;Einstellungen!$C$5),"Objekt fehlt",IF(YEAR(A1695)&lt;&gt;Einstellungen!$C$3,"anderes Jahr",IF(A1695&lt;INDEX(Mitarbeiter!$C$6:$C$205,MATCH(B1695,Mitarbeiter!$A$6:$A$205,0)),"vor Eintritt",IF(AND(INDEX(Mitarbeiter!$D$6:$D$205,MATCH(B1695,Mitarbeiter!$A$6:$A$205,0))&lt;&gt;"",A1695&gt;INDEX(Mitarbeiter!$D$6:$D$205,MATCH(B1695,Mitarbeiter!$A$6:$A$205,0))),"nach Austritt","ok")))))))</f>
        <v/>
      </c>
    </row>
    <row r="1696">
      <c r="A1696" s="26" t="n"/>
      <c r="B1696" s="24" t="n"/>
      <c r="C1696" s="40">
        <f>IF(B1696="","",IFERROR(INDEX(Mitarbeiter!$B$6:$B$205,MATCH(B1696,Mitarbeiter!$A$6:$A$205,0)),"?"))</f>
        <v/>
      </c>
      <c r="D1696" s="41" t="n"/>
      <c r="E1696" s="42" t="n"/>
      <c r="F1696" s="43" t="n"/>
      <c r="G1696" s="44">
        <f>IF(OR(B1696="",F1696=""),"",IFERROR(F1696*INDEX(Mitarbeiter!$F$6:$F$205,MATCH(B1696,Mitarbeiter!$A$6:$A$205,0)),0))</f>
        <v/>
      </c>
      <c r="H1696" s="8">
        <f>IF(B1696="","",IF(ISNA(MATCH(B1696,Mitarbeiter!$A$6:$A$205,0)),"Pers.-Nr. unbekannt",IF(A1696="","Datum fehlt",IF(AND(D1696&lt;&gt;Einstellungen!$C$4,D1696&lt;&gt;Einstellungen!$C$5),"Objekt fehlt",IF(YEAR(A1696)&lt;&gt;Einstellungen!$C$3,"anderes Jahr",IF(A1696&lt;INDEX(Mitarbeiter!$C$6:$C$205,MATCH(B1696,Mitarbeiter!$A$6:$A$205,0)),"vor Eintritt",IF(AND(INDEX(Mitarbeiter!$D$6:$D$205,MATCH(B1696,Mitarbeiter!$A$6:$A$205,0))&lt;&gt;"",A1696&gt;INDEX(Mitarbeiter!$D$6:$D$205,MATCH(B1696,Mitarbeiter!$A$6:$A$205,0))),"nach Austritt","ok")))))))</f>
        <v/>
      </c>
    </row>
    <row r="1697">
      <c r="A1697" s="26" t="n"/>
      <c r="B1697" s="24" t="n"/>
      <c r="C1697" s="40">
        <f>IF(B1697="","",IFERROR(INDEX(Mitarbeiter!$B$6:$B$205,MATCH(B1697,Mitarbeiter!$A$6:$A$205,0)),"?"))</f>
        <v/>
      </c>
      <c r="D1697" s="41" t="n"/>
      <c r="E1697" s="42" t="n"/>
      <c r="F1697" s="43" t="n"/>
      <c r="G1697" s="44">
        <f>IF(OR(B1697="",F1697=""),"",IFERROR(F1697*INDEX(Mitarbeiter!$F$6:$F$205,MATCH(B1697,Mitarbeiter!$A$6:$A$205,0)),0))</f>
        <v/>
      </c>
      <c r="H1697" s="8">
        <f>IF(B1697="","",IF(ISNA(MATCH(B1697,Mitarbeiter!$A$6:$A$205,0)),"Pers.-Nr. unbekannt",IF(A1697="","Datum fehlt",IF(AND(D1697&lt;&gt;Einstellungen!$C$4,D1697&lt;&gt;Einstellungen!$C$5),"Objekt fehlt",IF(YEAR(A1697)&lt;&gt;Einstellungen!$C$3,"anderes Jahr",IF(A1697&lt;INDEX(Mitarbeiter!$C$6:$C$205,MATCH(B1697,Mitarbeiter!$A$6:$A$205,0)),"vor Eintritt",IF(AND(INDEX(Mitarbeiter!$D$6:$D$205,MATCH(B1697,Mitarbeiter!$A$6:$A$205,0))&lt;&gt;"",A1697&gt;INDEX(Mitarbeiter!$D$6:$D$205,MATCH(B1697,Mitarbeiter!$A$6:$A$205,0))),"nach Austritt","ok")))))))</f>
        <v/>
      </c>
    </row>
    <row r="1698">
      <c r="A1698" s="26" t="n"/>
      <c r="B1698" s="24" t="n"/>
      <c r="C1698" s="40">
        <f>IF(B1698="","",IFERROR(INDEX(Mitarbeiter!$B$6:$B$205,MATCH(B1698,Mitarbeiter!$A$6:$A$205,0)),"?"))</f>
        <v/>
      </c>
      <c r="D1698" s="41" t="n"/>
      <c r="E1698" s="42" t="n"/>
      <c r="F1698" s="43" t="n"/>
      <c r="G1698" s="44">
        <f>IF(OR(B1698="",F1698=""),"",IFERROR(F1698*INDEX(Mitarbeiter!$F$6:$F$205,MATCH(B1698,Mitarbeiter!$A$6:$A$205,0)),0))</f>
        <v/>
      </c>
      <c r="H1698" s="8">
        <f>IF(B1698="","",IF(ISNA(MATCH(B1698,Mitarbeiter!$A$6:$A$205,0)),"Pers.-Nr. unbekannt",IF(A1698="","Datum fehlt",IF(AND(D1698&lt;&gt;Einstellungen!$C$4,D1698&lt;&gt;Einstellungen!$C$5),"Objekt fehlt",IF(YEAR(A1698)&lt;&gt;Einstellungen!$C$3,"anderes Jahr",IF(A1698&lt;INDEX(Mitarbeiter!$C$6:$C$205,MATCH(B1698,Mitarbeiter!$A$6:$A$205,0)),"vor Eintritt",IF(AND(INDEX(Mitarbeiter!$D$6:$D$205,MATCH(B1698,Mitarbeiter!$A$6:$A$205,0))&lt;&gt;"",A1698&gt;INDEX(Mitarbeiter!$D$6:$D$205,MATCH(B1698,Mitarbeiter!$A$6:$A$205,0))),"nach Austritt","ok")))))))</f>
        <v/>
      </c>
    </row>
    <row r="1699">
      <c r="A1699" s="26" t="n"/>
      <c r="B1699" s="24" t="n"/>
      <c r="C1699" s="40">
        <f>IF(B1699="","",IFERROR(INDEX(Mitarbeiter!$B$6:$B$205,MATCH(B1699,Mitarbeiter!$A$6:$A$205,0)),"?"))</f>
        <v/>
      </c>
      <c r="D1699" s="41" t="n"/>
      <c r="E1699" s="42" t="n"/>
      <c r="F1699" s="43" t="n"/>
      <c r="G1699" s="44">
        <f>IF(OR(B1699="",F1699=""),"",IFERROR(F1699*INDEX(Mitarbeiter!$F$6:$F$205,MATCH(B1699,Mitarbeiter!$A$6:$A$205,0)),0))</f>
        <v/>
      </c>
      <c r="H1699" s="8">
        <f>IF(B1699="","",IF(ISNA(MATCH(B1699,Mitarbeiter!$A$6:$A$205,0)),"Pers.-Nr. unbekannt",IF(A1699="","Datum fehlt",IF(AND(D1699&lt;&gt;Einstellungen!$C$4,D1699&lt;&gt;Einstellungen!$C$5),"Objekt fehlt",IF(YEAR(A1699)&lt;&gt;Einstellungen!$C$3,"anderes Jahr",IF(A1699&lt;INDEX(Mitarbeiter!$C$6:$C$205,MATCH(B1699,Mitarbeiter!$A$6:$A$205,0)),"vor Eintritt",IF(AND(INDEX(Mitarbeiter!$D$6:$D$205,MATCH(B1699,Mitarbeiter!$A$6:$A$205,0))&lt;&gt;"",A1699&gt;INDEX(Mitarbeiter!$D$6:$D$205,MATCH(B1699,Mitarbeiter!$A$6:$A$205,0))),"nach Austritt","ok")))))))</f>
        <v/>
      </c>
    </row>
    <row r="1700">
      <c r="A1700" s="26" t="n"/>
      <c r="B1700" s="24" t="n"/>
      <c r="C1700" s="40">
        <f>IF(B1700="","",IFERROR(INDEX(Mitarbeiter!$B$6:$B$205,MATCH(B1700,Mitarbeiter!$A$6:$A$205,0)),"?"))</f>
        <v/>
      </c>
      <c r="D1700" s="41" t="n"/>
      <c r="E1700" s="42" t="n"/>
      <c r="F1700" s="43" t="n"/>
      <c r="G1700" s="44">
        <f>IF(OR(B1700="",F1700=""),"",IFERROR(F1700*INDEX(Mitarbeiter!$F$6:$F$205,MATCH(B1700,Mitarbeiter!$A$6:$A$205,0)),0))</f>
        <v/>
      </c>
      <c r="H1700" s="8">
        <f>IF(B1700="","",IF(ISNA(MATCH(B1700,Mitarbeiter!$A$6:$A$205,0)),"Pers.-Nr. unbekannt",IF(A1700="","Datum fehlt",IF(AND(D1700&lt;&gt;Einstellungen!$C$4,D1700&lt;&gt;Einstellungen!$C$5),"Objekt fehlt",IF(YEAR(A1700)&lt;&gt;Einstellungen!$C$3,"anderes Jahr",IF(A1700&lt;INDEX(Mitarbeiter!$C$6:$C$205,MATCH(B1700,Mitarbeiter!$A$6:$A$205,0)),"vor Eintritt",IF(AND(INDEX(Mitarbeiter!$D$6:$D$205,MATCH(B1700,Mitarbeiter!$A$6:$A$205,0))&lt;&gt;"",A1700&gt;INDEX(Mitarbeiter!$D$6:$D$205,MATCH(B1700,Mitarbeiter!$A$6:$A$205,0))),"nach Austritt","ok")))))))</f>
        <v/>
      </c>
    </row>
    <row r="1701">
      <c r="A1701" s="26" t="n"/>
      <c r="B1701" s="24" t="n"/>
      <c r="C1701" s="40">
        <f>IF(B1701="","",IFERROR(INDEX(Mitarbeiter!$B$6:$B$205,MATCH(B1701,Mitarbeiter!$A$6:$A$205,0)),"?"))</f>
        <v/>
      </c>
      <c r="D1701" s="41" t="n"/>
      <c r="E1701" s="42" t="n"/>
      <c r="F1701" s="43" t="n"/>
      <c r="G1701" s="44">
        <f>IF(OR(B1701="",F1701=""),"",IFERROR(F1701*INDEX(Mitarbeiter!$F$6:$F$205,MATCH(B1701,Mitarbeiter!$A$6:$A$205,0)),0))</f>
        <v/>
      </c>
      <c r="H1701" s="8">
        <f>IF(B1701="","",IF(ISNA(MATCH(B1701,Mitarbeiter!$A$6:$A$205,0)),"Pers.-Nr. unbekannt",IF(A1701="","Datum fehlt",IF(AND(D1701&lt;&gt;Einstellungen!$C$4,D1701&lt;&gt;Einstellungen!$C$5),"Objekt fehlt",IF(YEAR(A1701)&lt;&gt;Einstellungen!$C$3,"anderes Jahr",IF(A1701&lt;INDEX(Mitarbeiter!$C$6:$C$205,MATCH(B1701,Mitarbeiter!$A$6:$A$205,0)),"vor Eintritt",IF(AND(INDEX(Mitarbeiter!$D$6:$D$205,MATCH(B1701,Mitarbeiter!$A$6:$A$205,0))&lt;&gt;"",A1701&gt;INDEX(Mitarbeiter!$D$6:$D$205,MATCH(B1701,Mitarbeiter!$A$6:$A$205,0))),"nach Austritt","ok")))))))</f>
        <v/>
      </c>
    </row>
    <row r="1702">
      <c r="A1702" s="26" t="n"/>
      <c r="B1702" s="24" t="n"/>
      <c r="C1702" s="40">
        <f>IF(B1702="","",IFERROR(INDEX(Mitarbeiter!$B$6:$B$205,MATCH(B1702,Mitarbeiter!$A$6:$A$205,0)),"?"))</f>
        <v/>
      </c>
      <c r="D1702" s="41" t="n"/>
      <c r="E1702" s="42" t="n"/>
      <c r="F1702" s="43" t="n"/>
      <c r="G1702" s="44">
        <f>IF(OR(B1702="",F1702=""),"",IFERROR(F1702*INDEX(Mitarbeiter!$F$6:$F$205,MATCH(B1702,Mitarbeiter!$A$6:$A$205,0)),0))</f>
        <v/>
      </c>
      <c r="H1702" s="8">
        <f>IF(B1702="","",IF(ISNA(MATCH(B1702,Mitarbeiter!$A$6:$A$205,0)),"Pers.-Nr. unbekannt",IF(A1702="","Datum fehlt",IF(AND(D1702&lt;&gt;Einstellungen!$C$4,D1702&lt;&gt;Einstellungen!$C$5),"Objekt fehlt",IF(YEAR(A1702)&lt;&gt;Einstellungen!$C$3,"anderes Jahr",IF(A1702&lt;INDEX(Mitarbeiter!$C$6:$C$205,MATCH(B1702,Mitarbeiter!$A$6:$A$205,0)),"vor Eintritt",IF(AND(INDEX(Mitarbeiter!$D$6:$D$205,MATCH(B1702,Mitarbeiter!$A$6:$A$205,0))&lt;&gt;"",A1702&gt;INDEX(Mitarbeiter!$D$6:$D$205,MATCH(B1702,Mitarbeiter!$A$6:$A$205,0))),"nach Austritt","ok")))))))</f>
        <v/>
      </c>
    </row>
    <row r="1703">
      <c r="A1703" s="26" t="n"/>
      <c r="B1703" s="24" t="n"/>
      <c r="C1703" s="40">
        <f>IF(B1703="","",IFERROR(INDEX(Mitarbeiter!$B$6:$B$205,MATCH(B1703,Mitarbeiter!$A$6:$A$205,0)),"?"))</f>
        <v/>
      </c>
      <c r="D1703" s="41" t="n"/>
      <c r="E1703" s="42" t="n"/>
      <c r="F1703" s="43" t="n"/>
      <c r="G1703" s="44">
        <f>IF(OR(B1703="",F1703=""),"",IFERROR(F1703*INDEX(Mitarbeiter!$F$6:$F$205,MATCH(B1703,Mitarbeiter!$A$6:$A$205,0)),0))</f>
        <v/>
      </c>
      <c r="H1703" s="8">
        <f>IF(B1703="","",IF(ISNA(MATCH(B1703,Mitarbeiter!$A$6:$A$205,0)),"Pers.-Nr. unbekannt",IF(A1703="","Datum fehlt",IF(AND(D1703&lt;&gt;Einstellungen!$C$4,D1703&lt;&gt;Einstellungen!$C$5),"Objekt fehlt",IF(YEAR(A1703)&lt;&gt;Einstellungen!$C$3,"anderes Jahr",IF(A1703&lt;INDEX(Mitarbeiter!$C$6:$C$205,MATCH(B1703,Mitarbeiter!$A$6:$A$205,0)),"vor Eintritt",IF(AND(INDEX(Mitarbeiter!$D$6:$D$205,MATCH(B1703,Mitarbeiter!$A$6:$A$205,0))&lt;&gt;"",A1703&gt;INDEX(Mitarbeiter!$D$6:$D$205,MATCH(B1703,Mitarbeiter!$A$6:$A$205,0))),"nach Austritt","ok")))))))</f>
        <v/>
      </c>
    </row>
    <row r="1704">
      <c r="A1704" s="26" t="n"/>
      <c r="B1704" s="24" t="n"/>
      <c r="C1704" s="40">
        <f>IF(B1704="","",IFERROR(INDEX(Mitarbeiter!$B$6:$B$205,MATCH(B1704,Mitarbeiter!$A$6:$A$205,0)),"?"))</f>
        <v/>
      </c>
      <c r="D1704" s="41" t="n"/>
      <c r="E1704" s="42" t="n"/>
      <c r="F1704" s="43" t="n"/>
      <c r="G1704" s="44">
        <f>IF(OR(B1704="",F1704=""),"",IFERROR(F1704*INDEX(Mitarbeiter!$F$6:$F$205,MATCH(B1704,Mitarbeiter!$A$6:$A$205,0)),0))</f>
        <v/>
      </c>
      <c r="H1704" s="8">
        <f>IF(B1704="","",IF(ISNA(MATCH(B1704,Mitarbeiter!$A$6:$A$205,0)),"Pers.-Nr. unbekannt",IF(A1704="","Datum fehlt",IF(AND(D1704&lt;&gt;Einstellungen!$C$4,D1704&lt;&gt;Einstellungen!$C$5),"Objekt fehlt",IF(YEAR(A1704)&lt;&gt;Einstellungen!$C$3,"anderes Jahr",IF(A1704&lt;INDEX(Mitarbeiter!$C$6:$C$205,MATCH(B1704,Mitarbeiter!$A$6:$A$205,0)),"vor Eintritt",IF(AND(INDEX(Mitarbeiter!$D$6:$D$205,MATCH(B1704,Mitarbeiter!$A$6:$A$205,0))&lt;&gt;"",A1704&gt;INDEX(Mitarbeiter!$D$6:$D$205,MATCH(B1704,Mitarbeiter!$A$6:$A$205,0))),"nach Austritt","ok")))))))</f>
        <v/>
      </c>
    </row>
    <row r="1705">
      <c r="A1705" s="26" t="n"/>
      <c r="B1705" s="24" t="n"/>
      <c r="C1705" s="40">
        <f>IF(B1705="","",IFERROR(INDEX(Mitarbeiter!$B$6:$B$205,MATCH(B1705,Mitarbeiter!$A$6:$A$205,0)),"?"))</f>
        <v/>
      </c>
      <c r="D1705" s="41" t="n"/>
      <c r="E1705" s="42" t="n"/>
      <c r="F1705" s="43" t="n"/>
      <c r="G1705" s="44">
        <f>IF(OR(B1705="",F1705=""),"",IFERROR(F1705*INDEX(Mitarbeiter!$F$6:$F$205,MATCH(B1705,Mitarbeiter!$A$6:$A$205,0)),0))</f>
        <v/>
      </c>
      <c r="H1705" s="8">
        <f>IF(B1705="","",IF(ISNA(MATCH(B1705,Mitarbeiter!$A$6:$A$205,0)),"Pers.-Nr. unbekannt",IF(A1705="","Datum fehlt",IF(AND(D1705&lt;&gt;Einstellungen!$C$4,D1705&lt;&gt;Einstellungen!$C$5),"Objekt fehlt",IF(YEAR(A1705)&lt;&gt;Einstellungen!$C$3,"anderes Jahr",IF(A1705&lt;INDEX(Mitarbeiter!$C$6:$C$205,MATCH(B1705,Mitarbeiter!$A$6:$A$205,0)),"vor Eintritt",IF(AND(INDEX(Mitarbeiter!$D$6:$D$205,MATCH(B1705,Mitarbeiter!$A$6:$A$205,0))&lt;&gt;"",A1705&gt;INDEX(Mitarbeiter!$D$6:$D$205,MATCH(B1705,Mitarbeiter!$A$6:$A$205,0))),"nach Austritt","ok")))))))</f>
        <v/>
      </c>
    </row>
    <row r="1706">
      <c r="A1706" s="26" t="n"/>
      <c r="B1706" s="24" t="n"/>
      <c r="C1706" s="40">
        <f>IF(B1706="","",IFERROR(INDEX(Mitarbeiter!$B$6:$B$205,MATCH(B1706,Mitarbeiter!$A$6:$A$205,0)),"?"))</f>
        <v/>
      </c>
      <c r="D1706" s="41" t="n"/>
      <c r="E1706" s="42" t="n"/>
      <c r="F1706" s="43" t="n"/>
      <c r="G1706" s="44">
        <f>IF(OR(B1706="",F1706=""),"",IFERROR(F1706*INDEX(Mitarbeiter!$F$6:$F$205,MATCH(B1706,Mitarbeiter!$A$6:$A$205,0)),0))</f>
        <v/>
      </c>
      <c r="H1706" s="8">
        <f>IF(B1706="","",IF(ISNA(MATCH(B1706,Mitarbeiter!$A$6:$A$205,0)),"Pers.-Nr. unbekannt",IF(A1706="","Datum fehlt",IF(AND(D1706&lt;&gt;Einstellungen!$C$4,D1706&lt;&gt;Einstellungen!$C$5),"Objekt fehlt",IF(YEAR(A1706)&lt;&gt;Einstellungen!$C$3,"anderes Jahr",IF(A1706&lt;INDEX(Mitarbeiter!$C$6:$C$205,MATCH(B1706,Mitarbeiter!$A$6:$A$205,0)),"vor Eintritt",IF(AND(INDEX(Mitarbeiter!$D$6:$D$205,MATCH(B1706,Mitarbeiter!$A$6:$A$205,0))&lt;&gt;"",A1706&gt;INDEX(Mitarbeiter!$D$6:$D$205,MATCH(B1706,Mitarbeiter!$A$6:$A$205,0))),"nach Austritt","ok")))))))</f>
        <v/>
      </c>
    </row>
    <row r="1707">
      <c r="A1707" s="26" t="n"/>
      <c r="B1707" s="24" t="n"/>
      <c r="C1707" s="40">
        <f>IF(B1707="","",IFERROR(INDEX(Mitarbeiter!$B$6:$B$205,MATCH(B1707,Mitarbeiter!$A$6:$A$205,0)),"?"))</f>
        <v/>
      </c>
      <c r="D1707" s="41" t="n"/>
      <c r="E1707" s="42" t="n"/>
      <c r="F1707" s="43" t="n"/>
      <c r="G1707" s="44">
        <f>IF(OR(B1707="",F1707=""),"",IFERROR(F1707*INDEX(Mitarbeiter!$F$6:$F$205,MATCH(B1707,Mitarbeiter!$A$6:$A$205,0)),0))</f>
        <v/>
      </c>
      <c r="H1707" s="8">
        <f>IF(B1707="","",IF(ISNA(MATCH(B1707,Mitarbeiter!$A$6:$A$205,0)),"Pers.-Nr. unbekannt",IF(A1707="","Datum fehlt",IF(AND(D1707&lt;&gt;Einstellungen!$C$4,D1707&lt;&gt;Einstellungen!$C$5),"Objekt fehlt",IF(YEAR(A1707)&lt;&gt;Einstellungen!$C$3,"anderes Jahr",IF(A1707&lt;INDEX(Mitarbeiter!$C$6:$C$205,MATCH(B1707,Mitarbeiter!$A$6:$A$205,0)),"vor Eintritt",IF(AND(INDEX(Mitarbeiter!$D$6:$D$205,MATCH(B1707,Mitarbeiter!$A$6:$A$205,0))&lt;&gt;"",A1707&gt;INDEX(Mitarbeiter!$D$6:$D$205,MATCH(B1707,Mitarbeiter!$A$6:$A$205,0))),"nach Austritt","ok")))))))</f>
        <v/>
      </c>
    </row>
    <row r="1708">
      <c r="A1708" s="26" t="n"/>
      <c r="B1708" s="24" t="n"/>
      <c r="C1708" s="40">
        <f>IF(B1708="","",IFERROR(INDEX(Mitarbeiter!$B$6:$B$205,MATCH(B1708,Mitarbeiter!$A$6:$A$205,0)),"?"))</f>
        <v/>
      </c>
      <c r="D1708" s="41" t="n"/>
      <c r="E1708" s="42" t="n"/>
      <c r="F1708" s="43" t="n"/>
      <c r="G1708" s="44">
        <f>IF(OR(B1708="",F1708=""),"",IFERROR(F1708*INDEX(Mitarbeiter!$F$6:$F$205,MATCH(B1708,Mitarbeiter!$A$6:$A$205,0)),0))</f>
        <v/>
      </c>
      <c r="H1708" s="8">
        <f>IF(B1708="","",IF(ISNA(MATCH(B1708,Mitarbeiter!$A$6:$A$205,0)),"Pers.-Nr. unbekannt",IF(A1708="","Datum fehlt",IF(AND(D1708&lt;&gt;Einstellungen!$C$4,D1708&lt;&gt;Einstellungen!$C$5),"Objekt fehlt",IF(YEAR(A1708)&lt;&gt;Einstellungen!$C$3,"anderes Jahr",IF(A1708&lt;INDEX(Mitarbeiter!$C$6:$C$205,MATCH(B1708,Mitarbeiter!$A$6:$A$205,0)),"vor Eintritt",IF(AND(INDEX(Mitarbeiter!$D$6:$D$205,MATCH(B1708,Mitarbeiter!$A$6:$A$205,0))&lt;&gt;"",A1708&gt;INDEX(Mitarbeiter!$D$6:$D$205,MATCH(B1708,Mitarbeiter!$A$6:$A$205,0))),"nach Austritt","ok")))))))</f>
        <v/>
      </c>
    </row>
    <row r="1709">
      <c r="A1709" s="26" t="n"/>
      <c r="B1709" s="24" t="n"/>
      <c r="C1709" s="40">
        <f>IF(B1709="","",IFERROR(INDEX(Mitarbeiter!$B$6:$B$205,MATCH(B1709,Mitarbeiter!$A$6:$A$205,0)),"?"))</f>
        <v/>
      </c>
      <c r="D1709" s="41" t="n"/>
      <c r="E1709" s="42" t="n"/>
      <c r="F1709" s="43" t="n"/>
      <c r="G1709" s="44">
        <f>IF(OR(B1709="",F1709=""),"",IFERROR(F1709*INDEX(Mitarbeiter!$F$6:$F$205,MATCH(B1709,Mitarbeiter!$A$6:$A$205,0)),0))</f>
        <v/>
      </c>
      <c r="H1709" s="8">
        <f>IF(B1709="","",IF(ISNA(MATCH(B1709,Mitarbeiter!$A$6:$A$205,0)),"Pers.-Nr. unbekannt",IF(A1709="","Datum fehlt",IF(AND(D1709&lt;&gt;Einstellungen!$C$4,D1709&lt;&gt;Einstellungen!$C$5),"Objekt fehlt",IF(YEAR(A1709)&lt;&gt;Einstellungen!$C$3,"anderes Jahr",IF(A1709&lt;INDEX(Mitarbeiter!$C$6:$C$205,MATCH(B1709,Mitarbeiter!$A$6:$A$205,0)),"vor Eintritt",IF(AND(INDEX(Mitarbeiter!$D$6:$D$205,MATCH(B1709,Mitarbeiter!$A$6:$A$205,0))&lt;&gt;"",A1709&gt;INDEX(Mitarbeiter!$D$6:$D$205,MATCH(B1709,Mitarbeiter!$A$6:$A$205,0))),"nach Austritt","ok")))))))</f>
        <v/>
      </c>
    </row>
    <row r="1710">
      <c r="A1710" s="26" t="n"/>
      <c r="B1710" s="24" t="n"/>
      <c r="C1710" s="40">
        <f>IF(B1710="","",IFERROR(INDEX(Mitarbeiter!$B$6:$B$205,MATCH(B1710,Mitarbeiter!$A$6:$A$205,0)),"?"))</f>
        <v/>
      </c>
      <c r="D1710" s="41" t="n"/>
      <c r="E1710" s="42" t="n"/>
      <c r="F1710" s="43" t="n"/>
      <c r="G1710" s="44">
        <f>IF(OR(B1710="",F1710=""),"",IFERROR(F1710*INDEX(Mitarbeiter!$F$6:$F$205,MATCH(B1710,Mitarbeiter!$A$6:$A$205,0)),0))</f>
        <v/>
      </c>
      <c r="H1710" s="8">
        <f>IF(B1710="","",IF(ISNA(MATCH(B1710,Mitarbeiter!$A$6:$A$205,0)),"Pers.-Nr. unbekannt",IF(A1710="","Datum fehlt",IF(AND(D1710&lt;&gt;Einstellungen!$C$4,D1710&lt;&gt;Einstellungen!$C$5),"Objekt fehlt",IF(YEAR(A1710)&lt;&gt;Einstellungen!$C$3,"anderes Jahr",IF(A1710&lt;INDEX(Mitarbeiter!$C$6:$C$205,MATCH(B1710,Mitarbeiter!$A$6:$A$205,0)),"vor Eintritt",IF(AND(INDEX(Mitarbeiter!$D$6:$D$205,MATCH(B1710,Mitarbeiter!$A$6:$A$205,0))&lt;&gt;"",A1710&gt;INDEX(Mitarbeiter!$D$6:$D$205,MATCH(B1710,Mitarbeiter!$A$6:$A$205,0))),"nach Austritt","ok")))))))</f>
        <v/>
      </c>
    </row>
    <row r="1711">
      <c r="A1711" s="26" t="n"/>
      <c r="B1711" s="24" t="n"/>
      <c r="C1711" s="40">
        <f>IF(B1711="","",IFERROR(INDEX(Mitarbeiter!$B$6:$B$205,MATCH(B1711,Mitarbeiter!$A$6:$A$205,0)),"?"))</f>
        <v/>
      </c>
      <c r="D1711" s="41" t="n"/>
      <c r="E1711" s="42" t="n"/>
      <c r="F1711" s="43" t="n"/>
      <c r="G1711" s="44">
        <f>IF(OR(B1711="",F1711=""),"",IFERROR(F1711*INDEX(Mitarbeiter!$F$6:$F$205,MATCH(B1711,Mitarbeiter!$A$6:$A$205,0)),0))</f>
        <v/>
      </c>
      <c r="H1711" s="8">
        <f>IF(B1711="","",IF(ISNA(MATCH(B1711,Mitarbeiter!$A$6:$A$205,0)),"Pers.-Nr. unbekannt",IF(A1711="","Datum fehlt",IF(AND(D1711&lt;&gt;Einstellungen!$C$4,D1711&lt;&gt;Einstellungen!$C$5),"Objekt fehlt",IF(YEAR(A1711)&lt;&gt;Einstellungen!$C$3,"anderes Jahr",IF(A1711&lt;INDEX(Mitarbeiter!$C$6:$C$205,MATCH(B1711,Mitarbeiter!$A$6:$A$205,0)),"vor Eintritt",IF(AND(INDEX(Mitarbeiter!$D$6:$D$205,MATCH(B1711,Mitarbeiter!$A$6:$A$205,0))&lt;&gt;"",A1711&gt;INDEX(Mitarbeiter!$D$6:$D$205,MATCH(B1711,Mitarbeiter!$A$6:$A$205,0))),"nach Austritt","ok")))))))</f>
        <v/>
      </c>
    </row>
    <row r="1712">
      <c r="A1712" s="26" t="n"/>
      <c r="B1712" s="24" t="n"/>
      <c r="C1712" s="40">
        <f>IF(B1712="","",IFERROR(INDEX(Mitarbeiter!$B$6:$B$205,MATCH(B1712,Mitarbeiter!$A$6:$A$205,0)),"?"))</f>
        <v/>
      </c>
      <c r="D1712" s="41" t="n"/>
      <c r="E1712" s="42" t="n"/>
      <c r="F1712" s="43" t="n"/>
      <c r="G1712" s="44">
        <f>IF(OR(B1712="",F1712=""),"",IFERROR(F1712*INDEX(Mitarbeiter!$F$6:$F$205,MATCH(B1712,Mitarbeiter!$A$6:$A$205,0)),0))</f>
        <v/>
      </c>
      <c r="H1712" s="8">
        <f>IF(B1712="","",IF(ISNA(MATCH(B1712,Mitarbeiter!$A$6:$A$205,0)),"Pers.-Nr. unbekannt",IF(A1712="","Datum fehlt",IF(AND(D1712&lt;&gt;Einstellungen!$C$4,D1712&lt;&gt;Einstellungen!$C$5),"Objekt fehlt",IF(YEAR(A1712)&lt;&gt;Einstellungen!$C$3,"anderes Jahr",IF(A1712&lt;INDEX(Mitarbeiter!$C$6:$C$205,MATCH(B1712,Mitarbeiter!$A$6:$A$205,0)),"vor Eintritt",IF(AND(INDEX(Mitarbeiter!$D$6:$D$205,MATCH(B1712,Mitarbeiter!$A$6:$A$205,0))&lt;&gt;"",A1712&gt;INDEX(Mitarbeiter!$D$6:$D$205,MATCH(B1712,Mitarbeiter!$A$6:$A$205,0))),"nach Austritt","ok")))))))</f>
        <v/>
      </c>
    </row>
    <row r="1713">
      <c r="A1713" s="26" t="n"/>
      <c r="B1713" s="24" t="n"/>
      <c r="C1713" s="40">
        <f>IF(B1713="","",IFERROR(INDEX(Mitarbeiter!$B$6:$B$205,MATCH(B1713,Mitarbeiter!$A$6:$A$205,0)),"?"))</f>
        <v/>
      </c>
      <c r="D1713" s="41" t="n"/>
      <c r="E1713" s="42" t="n"/>
      <c r="F1713" s="43" t="n"/>
      <c r="G1713" s="44">
        <f>IF(OR(B1713="",F1713=""),"",IFERROR(F1713*INDEX(Mitarbeiter!$F$6:$F$205,MATCH(B1713,Mitarbeiter!$A$6:$A$205,0)),0))</f>
        <v/>
      </c>
      <c r="H1713" s="8">
        <f>IF(B1713="","",IF(ISNA(MATCH(B1713,Mitarbeiter!$A$6:$A$205,0)),"Pers.-Nr. unbekannt",IF(A1713="","Datum fehlt",IF(AND(D1713&lt;&gt;Einstellungen!$C$4,D1713&lt;&gt;Einstellungen!$C$5),"Objekt fehlt",IF(YEAR(A1713)&lt;&gt;Einstellungen!$C$3,"anderes Jahr",IF(A1713&lt;INDEX(Mitarbeiter!$C$6:$C$205,MATCH(B1713,Mitarbeiter!$A$6:$A$205,0)),"vor Eintritt",IF(AND(INDEX(Mitarbeiter!$D$6:$D$205,MATCH(B1713,Mitarbeiter!$A$6:$A$205,0))&lt;&gt;"",A1713&gt;INDEX(Mitarbeiter!$D$6:$D$205,MATCH(B1713,Mitarbeiter!$A$6:$A$205,0))),"nach Austritt","ok")))))))</f>
        <v/>
      </c>
    </row>
    <row r="1714">
      <c r="A1714" s="26" t="n"/>
      <c r="B1714" s="24" t="n"/>
      <c r="C1714" s="40">
        <f>IF(B1714="","",IFERROR(INDEX(Mitarbeiter!$B$6:$B$205,MATCH(B1714,Mitarbeiter!$A$6:$A$205,0)),"?"))</f>
        <v/>
      </c>
      <c r="D1714" s="41" t="n"/>
      <c r="E1714" s="42" t="n"/>
      <c r="F1714" s="43" t="n"/>
      <c r="G1714" s="44">
        <f>IF(OR(B1714="",F1714=""),"",IFERROR(F1714*INDEX(Mitarbeiter!$F$6:$F$205,MATCH(B1714,Mitarbeiter!$A$6:$A$205,0)),0))</f>
        <v/>
      </c>
      <c r="H1714" s="8">
        <f>IF(B1714="","",IF(ISNA(MATCH(B1714,Mitarbeiter!$A$6:$A$205,0)),"Pers.-Nr. unbekannt",IF(A1714="","Datum fehlt",IF(AND(D1714&lt;&gt;Einstellungen!$C$4,D1714&lt;&gt;Einstellungen!$C$5),"Objekt fehlt",IF(YEAR(A1714)&lt;&gt;Einstellungen!$C$3,"anderes Jahr",IF(A1714&lt;INDEX(Mitarbeiter!$C$6:$C$205,MATCH(B1714,Mitarbeiter!$A$6:$A$205,0)),"vor Eintritt",IF(AND(INDEX(Mitarbeiter!$D$6:$D$205,MATCH(B1714,Mitarbeiter!$A$6:$A$205,0))&lt;&gt;"",A1714&gt;INDEX(Mitarbeiter!$D$6:$D$205,MATCH(B1714,Mitarbeiter!$A$6:$A$205,0))),"nach Austritt","ok")))))))</f>
        <v/>
      </c>
    </row>
    <row r="1715">
      <c r="A1715" s="26" t="n"/>
      <c r="B1715" s="24" t="n"/>
      <c r="C1715" s="40">
        <f>IF(B1715="","",IFERROR(INDEX(Mitarbeiter!$B$6:$B$205,MATCH(B1715,Mitarbeiter!$A$6:$A$205,0)),"?"))</f>
        <v/>
      </c>
      <c r="D1715" s="41" t="n"/>
      <c r="E1715" s="42" t="n"/>
      <c r="F1715" s="43" t="n"/>
      <c r="G1715" s="44">
        <f>IF(OR(B1715="",F1715=""),"",IFERROR(F1715*INDEX(Mitarbeiter!$F$6:$F$205,MATCH(B1715,Mitarbeiter!$A$6:$A$205,0)),0))</f>
        <v/>
      </c>
      <c r="H1715" s="8">
        <f>IF(B1715="","",IF(ISNA(MATCH(B1715,Mitarbeiter!$A$6:$A$205,0)),"Pers.-Nr. unbekannt",IF(A1715="","Datum fehlt",IF(AND(D1715&lt;&gt;Einstellungen!$C$4,D1715&lt;&gt;Einstellungen!$C$5),"Objekt fehlt",IF(YEAR(A1715)&lt;&gt;Einstellungen!$C$3,"anderes Jahr",IF(A1715&lt;INDEX(Mitarbeiter!$C$6:$C$205,MATCH(B1715,Mitarbeiter!$A$6:$A$205,0)),"vor Eintritt",IF(AND(INDEX(Mitarbeiter!$D$6:$D$205,MATCH(B1715,Mitarbeiter!$A$6:$A$205,0))&lt;&gt;"",A1715&gt;INDEX(Mitarbeiter!$D$6:$D$205,MATCH(B1715,Mitarbeiter!$A$6:$A$205,0))),"nach Austritt","ok")))))))</f>
        <v/>
      </c>
    </row>
    <row r="1716">
      <c r="A1716" s="26" t="n"/>
      <c r="B1716" s="24" t="n"/>
      <c r="C1716" s="40">
        <f>IF(B1716="","",IFERROR(INDEX(Mitarbeiter!$B$6:$B$205,MATCH(B1716,Mitarbeiter!$A$6:$A$205,0)),"?"))</f>
        <v/>
      </c>
      <c r="D1716" s="41" t="n"/>
      <c r="E1716" s="42" t="n"/>
      <c r="F1716" s="43" t="n"/>
      <c r="G1716" s="44">
        <f>IF(OR(B1716="",F1716=""),"",IFERROR(F1716*INDEX(Mitarbeiter!$F$6:$F$205,MATCH(B1716,Mitarbeiter!$A$6:$A$205,0)),0))</f>
        <v/>
      </c>
      <c r="H1716" s="8">
        <f>IF(B1716="","",IF(ISNA(MATCH(B1716,Mitarbeiter!$A$6:$A$205,0)),"Pers.-Nr. unbekannt",IF(A1716="","Datum fehlt",IF(AND(D1716&lt;&gt;Einstellungen!$C$4,D1716&lt;&gt;Einstellungen!$C$5),"Objekt fehlt",IF(YEAR(A1716)&lt;&gt;Einstellungen!$C$3,"anderes Jahr",IF(A1716&lt;INDEX(Mitarbeiter!$C$6:$C$205,MATCH(B1716,Mitarbeiter!$A$6:$A$205,0)),"vor Eintritt",IF(AND(INDEX(Mitarbeiter!$D$6:$D$205,MATCH(B1716,Mitarbeiter!$A$6:$A$205,0))&lt;&gt;"",A1716&gt;INDEX(Mitarbeiter!$D$6:$D$205,MATCH(B1716,Mitarbeiter!$A$6:$A$205,0))),"nach Austritt","ok")))))))</f>
        <v/>
      </c>
    </row>
    <row r="1717">
      <c r="A1717" s="26" t="n"/>
      <c r="B1717" s="24" t="n"/>
      <c r="C1717" s="40">
        <f>IF(B1717="","",IFERROR(INDEX(Mitarbeiter!$B$6:$B$205,MATCH(B1717,Mitarbeiter!$A$6:$A$205,0)),"?"))</f>
        <v/>
      </c>
      <c r="D1717" s="41" t="n"/>
      <c r="E1717" s="42" t="n"/>
      <c r="F1717" s="43" t="n"/>
      <c r="G1717" s="44">
        <f>IF(OR(B1717="",F1717=""),"",IFERROR(F1717*INDEX(Mitarbeiter!$F$6:$F$205,MATCH(B1717,Mitarbeiter!$A$6:$A$205,0)),0))</f>
        <v/>
      </c>
      <c r="H1717" s="8">
        <f>IF(B1717="","",IF(ISNA(MATCH(B1717,Mitarbeiter!$A$6:$A$205,0)),"Pers.-Nr. unbekannt",IF(A1717="","Datum fehlt",IF(AND(D1717&lt;&gt;Einstellungen!$C$4,D1717&lt;&gt;Einstellungen!$C$5),"Objekt fehlt",IF(YEAR(A1717)&lt;&gt;Einstellungen!$C$3,"anderes Jahr",IF(A1717&lt;INDEX(Mitarbeiter!$C$6:$C$205,MATCH(B1717,Mitarbeiter!$A$6:$A$205,0)),"vor Eintritt",IF(AND(INDEX(Mitarbeiter!$D$6:$D$205,MATCH(B1717,Mitarbeiter!$A$6:$A$205,0))&lt;&gt;"",A1717&gt;INDEX(Mitarbeiter!$D$6:$D$205,MATCH(B1717,Mitarbeiter!$A$6:$A$205,0))),"nach Austritt","ok")))))))</f>
        <v/>
      </c>
    </row>
    <row r="1718">
      <c r="A1718" s="26" t="n"/>
      <c r="B1718" s="24" t="n"/>
      <c r="C1718" s="40">
        <f>IF(B1718="","",IFERROR(INDEX(Mitarbeiter!$B$6:$B$205,MATCH(B1718,Mitarbeiter!$A$6:$A$205,0)),"?"))</f>
        <v/>
      </c>
      <c r="D1718" s="41" t="n"/>
      <c r="E1718" s="42" t="n"/>
      <c r="F1718" s="43" t="n"/>
      <c r="G1718" s="44">
        <f>IF(OR(B1718="",F1718=""),"",IFERROR(F1718*INDEX(Mitarbeiter!$F$6:$F$205,MATCH(B1718,Mitarbeiter!$A$6:$A$205,0)),0))</f>
        <v/>
      </c>
      <c r="H1718" s="8">
        <f>IF(B1718="","",IF(ISNA(MATCH(B1718,Mitarbeiter!$A$6:$A$205,0)),"Pers.-Nr. unbekannt",IF(A1718="","Datum fehlt",IF(AND(D1718&lt;&gt;Einstellungen!$C$4,D1718&lt;&gt;Einstellungen!$C$5),"Objekt fehlt",IF(YEAR(A1718)&lt;&gt;Einstellungen!$C$3,"anderes Jahr",IF(A1718&lt;INDEX(Mitarbeiter!$C$6:$C$205,MATCH(B1718,Mitarbeiter!$A$6:$A$205,0)),"vor Eintritt",IF(AND(INDEX(Mitarbeiter!$D$6:$D$205,MATCH(B1718,Mitarbeiter!$A$6:$A$205,0))&lt;&gt;"",A1718&gt;INDEX(Mitarbeiter!$D$6:$D$205,MATCH(B1718,Mitarbeiter!$A$6:$A$205,0))),"nach Austritt","ok")))))))</f>
        <v/>
      </c>
    </row>
    <row r="1719">
      <c r="A1719" s="26" t="n"/>
      <c r="B1719" s="24" t="n"/>
      <c r="C1719" s="40">
        <f>IF(B1719="","",IFERROR(INDEX(Mitarbeiter!$B$6:$B$205,MATCH(B1719,Mitarbeiter!$A$6:$A$205,0)),"?"))</f>
        <v/>
      </c>
      <c r="D1719" s="41" t="n"/>
      <c r="E1719" s="42" t="n"/>
      <c r="F1719" s="43" t="n"/>
      <c r="G1719" s="44">
        <f>IF(OR(B1719="",F1719=""),"",IFERROR(F1719*INDEX(Mitarbeiter!$F$6:$F$205,MATCH(B1719,Mitarbeiter!$A$6:$A$205,0)),0))</f>
        <v/>
      </c>
      <c r="H1719" s="8">
        <f>IF(B1719="","",IF(ISNA(MATCH(B1719,Mitarbeiter!$A$6:$A$205,0)),"Pers.-Nr. unbekannt",IF(A1719="","Datum fehlt",IF(AND(D1719&lt;&gt;Einstellungen!$C$4,D1719&lt;&gt;Einstellungen!$C$5),"Objekt fehlt",IF(YEAR(A1719)&lt;&gt;Einstellungen!$C$3,"anderes Jahr",IF(A1719&lt;INDEX(Mitarbeiter!$C$6:$C$205,MATCH(B1719,Mitarbeiter!$A$6:$A$205,0)),"vor Eintritt",IF(AND(INDEX(Mitarbeiter!$D$6:$D$205,MATCH(B1719,Mitarbeiter!$A$6:$A$205,0))&lt;&gt;"",A1719&gt;INDEX(Mitarbeiter!$D$6:$D$205,MATCH(B1719,Mitarbeiter!$A$6:$A$205,0))),"nach Austritt","ok")))))))</f>
        <v/>
      </c>
    </row>
    <row r="1720">
      <c r="A1720" s="26" t="n"/>
      <c r="B1720" s="24" t="n"/>
      <c r="C1720" s="40">
        <f>IF(B1720="","",IFERROR(INDEX(Mitarbeiter!$B$6:$B$205,MATCH(B1720,Mitarbeiter!$A$6:$A$205,0)),"?"))</f>
        <v/>
      </c>
      <c r="D1720" s="41" t="n"/>
      <c r="E1720" s="42" t="n"/>
      <c r="F1720" s="43" t="n"/>
      <c r="G1720" s="44">
        <f>IF(OR(B1720="",F1720=""),"",IFERROR(F1720*INDEX(Mitarbeiter!$F$6:$F$205,MATCH(B1720,Mitarbeiter!$A$6:$A$205,0)),0))</f>
        <v/>
      </c>
      <c r="H1720" s="8">
        <f>IF(B1720="","",IF(ISNA(MATCH(B1720,Mitarbeiter!$A$6:$A$205,0)),"Pers.-Nr. unbekannt",IF(A1720="","Datum fehlt",IF(AND(D1720&lt;&gt;Einstellungen!$C$4,D1720&lt;&gt;Einstellungen!$C$5),"Objekt fehlt",IF(YEAR(A1720)&lt;&gt;Einstellungen!$C$3,"anderes Jahr",IF(A1720&lt;INDEX(Mitarbeiter!$C$6:$C$205,MATCH(B1720,Mitarbeiter!$A$6:$A$205,0)),"vor Eintritt",IF(AND(INDEX(Mitarbeiter!$D$6:$D$205,MATCH(B1720,Mitarbeiter!$A$6:$A$205,0))&lt;&gt;"",A1720&gt;INDEX(Mitarbeiter!$D$6:$D$205,MATCH(B1720,Mitarbeiter!$A$6:$A$205,0))),"nach Austritt","ok")))))))</f>
        <v/>
      </c>
    </row>
    <row r="1721">
      <c r="A1721" s="26" t="n"/>
      <c r="B1721" s="24" t="n"/>
      <c r="C1721" s="40">
        <f>IF(B1721="","",IFERROR(INDEX(Mitarbeiter!$B$6:$B$205,MATCH(B1721,Mitarbeiter!$A$6:$A$205,0)),"?"))</f>
        <v/>
      </c>
      <c r="D1721" s="41" t="n"/>
      <c r="E1721" s="42" t="n"/>
      <c r="F1721" s="43" t="n"/>
      <c r="G1721" s="44">
        <f>IF(OR(B1721="",F1721=""),"",IFERROR(F1721*INDEX(Mitarbeiter!$F$6:$F$205,MATCH(B1721,Mitarbeiter!$A$6:$A$205,0)),0))</f>
        <v/>
      </c>
      <c r="H1721" s="8">
        <f>IF(B1721="","",IF(ISNA(MATCH(B1721,Mitarbeiter!$A$6:$A$205,0)),"Pers.-Nr. unbekannt",IF(A1721="","Datum fehlt",IF(AND(D1721&lt;&gt;Einstellungen!$C$4,D1721&lt;&gt;Einstellungen!$C$5),"Objekt fehlt",IF(YEAR(A1721)&lt;&gt;Einstellungen!$C$3,"anderes Jahr",IF(A1721&lt;INDEX(Mitarbeiter!$C$6:$C$205,MATCH(B1721,Mitarbeiter!$A$6:$A$205,0)),"vor Eintritt",IF(AND(INDEX(Mitarbeiter!$D$6:$D$205,MATCH(B1721,Mitarbeiter!$A$6:$A$205,0))&lt;&gt;"",A1721&gt;INDEX(Mitarbeiter!$D$6:$D$205,MATCH(B1721,Mitarbeiter!$A$6:$A$205,0))),"nach Austritt","ok")))))))</f>
        <v/>
      </c>
    </row>
    <row r="1722">
      <c r="A1722" s="26" t="n"/>
      <c r="B1722" s="24" t="n"/>
      <c r="C1722" s="40">
        <f>IF(B1722="","",IFERROR(INDEX(Mitarbeiter!$B$6:$B$205,MATCH(B1722,Mitarbeiter!$A$6:$A$205,0)),"?"))</f>
        <v/>
      </c>
      <c r="D1722" s="41" t="n"/>
      <c r="E1722" s="42" t="n"/>
      <c r="F1722" s="43" t="n"/>
      <c r="G1722" s="44">
        <f>IF(OR(B1722="",F1722=""),"",IFERROR(F1722*INDEX(Mitarbeiter!$F$6:$F$205,MATCH(B1722,Mitarbeiter!$A$6:$A$205,0)),0))</f>
        <v/>
      </c>
      <c r="H1722" s="8">
        <f>IF(B1722="","",IF(ISNA(MATCH(B1722,Mitarbeiter!$A$6:$A$205,0)),"Pers.-Nr. unbekannt",IF(A1722="","Datum fehlt",IF(AND(D1722&lt;&gt;Einstellungen!$C$4,D1722&lt;&gt;Einstellungen!$C$5),"Objekt fehlt",IF(YEAR(A1722)&lt;&gt;Einstellungen!$C$3,"anderes Jahr",IF(A1722&lt;INDEX(Mitarbeiter!$C$6:$C$205,MATCH(B1722,Mitarbeiter!$A$6:$A$205,0)),"vor Eintritt",IF(AND(INDEX(Mitarbeiter!$D$6:$D$205,MATCH(B1722,Mitarbeiter!$A$6:$A$205,0))&lt;&gt;"",A1722&gt;INDEX(Mitarbeiter!$D$6:$D$205,MATCH(B1722,Mitarbeiter!$A$6:$A$205,0))),"nach Austritt","ok")))))))</f>
        <v/>
      </c>
    </row>
    <row r="1723">
      <c r="A1723" s="26" t="n"/>
      <c r="B1723" s="24" t="n"/>
      <c r="C1723" s="40">
        <f>IF(B1723="","",IFERROR(INDEX(Mitarbeiter!$B$6:$B$205,MATCH(B1723,Mitarbeiter!$A$6:$A$205,0)),"?"))</f>
        <v/>
      </c>
      <c r="D1723" s="41" t="n"/>
      <c r="E1723" s="42" t="n"/>
      <c r="F1723" s="43" t="n"/>
      <c r="G1723" s="44">
        <f>IF(OR(B1723="",F1723=""),"",IFERROR(F1723*INDEX(Mitarbeiter!$F$6:$F$205,MATCH(B1723,Mitarbeiter!$A$6:$A$205,0)),0))</f>
        <v/>
      </c>
      <c r="H1723" s="8">
        <f>IF(B1723="","",IF(ISNA(MATCH(B1723,Mitarbeiter!$A$6:$A$205,0)),"Pers.-Nr. unbekannt",IF(A1723="","Datum fehlt",IF(AND(D1723&lt;&gt;Einstellungen!$C$4,D1723&lt;&gt;Einstellungen!$C$5),"Objekt fehlt",IF(YEAR(A1723)&lt;&gt;Einstellungen!$C$3,"anderes Jahr",IF(A1723&lt;INDEX(Mitarbeiter!$C$6:$C$205,MATCH(B1723,Mitarbeiter!$A$6:$A$205,0)),"vor Eintritt",IF(AND(INDEX(Mitarbeiter!$D$6:$D$205,MATCH(B1723,Mitarbeiter!$A$6:$A$205,0))&lt;&gt;"",A1723&gt;INDEX(Mitarbeiter!$D$6:$D$205,MATCH(B1723,Mitarbeiter!$A$6:$A$205,0))),"nach Austritt","ok")))))))</f>
        <v/>
      </c>
    </row>
    <row r="1724">
      <c r="A1724" s="26" t="n"/>
      <c r="B1724" s="24" t="n"/>
      <c r="C1724" s="40">
        <f>IF(B1724="","",IFERROR(INDEX(Mitarbeiter!$B$6:$B$205,MATCH(B1724,Mitarbeiter!$A$6:$A$205,0)),"?"))</f>
        <v/>
      </c>
      <c r="D1724" s="41" t="n"/>
      <c r="E1724" s="42" t="n"/>
      <c r="F1724" s="43" t="n"/>
      <c r="G1724" s="44">
        <f>IF(OR(B1724="",F1724=""),"",IFERROR(F1724*INDEX(Mitarbeiter!$F$6:$F$205,MATCH(B1724,Mitarbeiter!$A$6:$A$205,0)),0))</f>
        <v/>
      </c>
      <c r="H1724" s="8">
        <f>IF(B1724="","",IF(ISNA(MATCH(B1724,Mitarbeiter!$A$6:$A$205,0)),"Pers.-Nr. unbekannt",IF(A1724="","Datum fehlt",IF(AND(D1724&lt;&gt;Einstellungen!$C$4,D1724&lt;&gt;Einstellungen!$C$5),"Objekt fehlt",IF(YEAR(A1724)&lt;&gt;Einstellungen!$C$3,"anderes Jahr",IF(A1724&lt;INDEX(Mitarbeiter!$C$6:$C$205,MATCH(B1724,Mitarbeiter!$A$6:$A$205,0)),"vor Eintritt",IF(AND(INDEX(Mitarbeiter!$D$6:$D$205,MATCH(B1724,Mitarbeiter!$A$6:$A$205,0))&lt;&gt;"",A1724&gt;INDEX(Mitarbeiter!$D$6:$D$205,MATCH(B1724,Mitarbeiter!$A$6:$A$205,0))),"nach Austritt","ok")))))))</f>
        <v/>
      </c>
    </row>
    <row r="1725">
      <c r="A1725" s="26" t="n"/>
      <c r="B1725" s="24" t="n"/>
      <c r="C1725" s="40">
        <f>IF(B1725="","",IFERROR(INDEX(Mitarbeiter!$B$6:$B$205,MATCH(B1725,Mitarbeiter!$A$6:$A$205,0)),"?"))</f>
        <v/>
      </c>
      <c r="D1725" s="41" t="n"/>
      <c r="E1725" s="42" t="n"/>
      <c r="F1725" s="43" t="n"/>
      <c r="G1725" s="44">
        <f>IF(OR(B1725="",F1725=""),"",IFERROR(F1725*INDEX(Mitarbeiter!$F$6:$F$205,MATCH(B1725,Mitarbeiter!$A$6:$A$205,0)),0))</f>
        <v/>
      </c>
      <c r="H1725" s="8">
        <f>IF(B1725="","",IF(ISNA(MATCH(B1725,Mitarbeiter!$A$6:$A$205,0)),"Pers.-Nr. unbekannt",IF(A1725="","Datum fehlt",IF(AND(D1725&lt;&gt;Einstellungen!$C$4,D1725&lt;&gt;Einstellungen!$C$5),"Objekt fehlt",IF(YEAR(A1725)&lt;&gt;Einstellungen!$C$3,"anderes Jahr",IF(A1725&lt;INDEX(Mitarbeiter!$C$6:$C$205,MATCH(B1725,Mitarbeiter!$A$6:$A$205,0)),"vor Eintritt",IF(AND(INDEX(Mitarbeiter!$D$6:$D$205,MATCH(B1725,Mitarbeiter!$A$6:$A$205,0))&lt;&gt;"",A1725&gt;INDEX(Mitarbeiter!$D$6:$D$205,MATCH(B1725,Mitarbeiter!$A$6:$A$205,0))),"nach Austritt","ok")))))))</f>
        <v/>
      </c>
    </row>
    <row r="1726">
      <c r="A1726" s="26" t="n"/>
      <c r="B1726" s="24" t="n"/>
      <c r="C1726" s="40">
        <f>IF(B1726="","",IFERROR(INDEX(Mitarbeiter!$B$6:$B$205,MATCH(B1726,Mitarbeiter!$A$6:$A$205,0)),"?"))</f>
        <v/>
      </c>
      <c r="D1726" s="41" t="n"/>
      <c r="E1726" s="42" t="n"/>
      <c r="F1726" s="43" t="n"/>
      <c r="G1726" s="44">
        <f>IF(OR(B1726="",F1726=""),"",IFERROR(F1726*INDEX(Mitarbeiter!$F$6:$F$205,MATCH(B1726,Mitarbeiter!$A$6:$A$205,0)),0))</f>
        <v/>
      </c>
      <c r="H1726" s="8">
        <f>IF(B1726="","",IF(ISNA(MATCH(B1726,Mitarbeiter!$A$6:$A$205,0)),"Pers.-Nr. unbekannt",IF(A1726="","Datum fehlt",IF(AND(D1726&lt;&gt;Einstellungen!$C$4,D1726&lt;&gt;Einstellungen!$C$5),"Objekt fehlt",IF(YEAR(A1726)&lt;&gt;Einstellungen!$C$3,"anderes Jahr",IF(A1726&lt;INDEX(Mitarbeiter!$C$6:$C$205,MATCH(B1726,Mitarbeiter!$A$6:$A$205,0)),"vor Eintritt",IF(AND(INDEX(Mitarbeiter!$D$6:$D$205,MATCH(B1726,Mitarbeiter!$A$6:$A$205,0))&lt;&gt;"",A1726&gt;INDEX(Mitarbeiter!$D$6:$D$205,MATCH(B1726,Mitarbeiter!$A$6:$A$205,0))),"nach Austritt","ok")))))))</f>
        <v/>
      </c>
    </row>
    <row r="1727">
      <c r="A1727" s="26" t="n"/>
      <c r="B1727" s="24" t="n"/>
      <c r="C1727" s="40">
        <f>IF(B1727="","",IFERROR(INDEX(Mitarbeiter!$B$6:$B$205,MATCH(B1727,Mitarbeiter!$A$6:$A$205,0)),"?"))</f>
        <v/>
      </c>
      <c r="D1727" s="41" t="n"/>
      <c r="E1727" s="42" t="n"/>
      <c r="F1727" s="43" t="n"/>
      <c r="G1727" s="44">
        <f>IF(OR(B1727="",F1727=""),"",IFERROR(F1727*INDEX(Mitarbeiter!$F$6:$F$205,MATCH(B1727,Mitarbeiter!$A$6:$A$205,0)),0))</f>
        <v/>
      </c>
      <c r="H1727" s="8">
        <f>IF(B1727="","",IF(ISNA(MATCH(B1727,Mitarbeiter!$A$6:$A$205,0)),"Pers.-Nr. unbekannt",IF(A1727="","Datum fehlt",IF(AND(D1727&lt;&gt;Einstellungen!$C$4,D1727&lt;&gt;Einstellungen!$C$5),"Objekt fehlt",IF(YEAR(A1727)&lt;&gt;Einstellungen!$C$3,"anderes Jahr",IF(A1727&lt;INDEX(Mitarbeiter!$C$6:$C$205,MATCH(B1727,Mitarbeiter!$A$6:$A$205,0)),"vor Eintritt",IF(AND(INDEX(Mitarbeiter!$D$6:$D$205,MATCH(B1727,Mitarbeiter!$A$6:$A$205,0))&lt;&gt;"",A1727&gt;INDEX(Mitarbeiter!$D$6:$D$205,MATCH(B1727,Mitarbeiter!$A$6:$A$205,0))),"nach Austritt","ok")))))))</f>
        <v/>
      </c>
    </row>
    <row r="1728">
      <c r="A1728" s="26" t="n"/>
      <c r="B1728" s="24" t="n"/>
      <c r="C1728" s="40">
        <f>IF(B1728="","",IFERROR(INDEX(Mitarbeiter!$B$6:$B$205,MATCH(B1728,Mitarbeiter!$A$6:$A$205,0)),"?"))</f>
        <v/>
      </c>
      <c r="D1728" s="41" t="n"/>
      <c r="E1728" s="42" t="n"/>
      <c r="F1728" s="43" t="n"/>
      <c r="G1728" s="44">
        <f>IF(OR(B1728="",F1728=""),"",IFERROR(F1728*INDEX(Mitarbeiter!$F$6:$F$205,MATCH(B1728,Mitarbeiter!$A$6:$A$205,0)),0))</f>
        <v/>
      </c>
      <c r="H1728" s="8">
        <f>IF(B1728="","",IF(ISNA(MATCH(B1728,Mitarbeiter!$A$6:$A$205,0)),"Pers.-Nr. unbekannt",IF(A1728="","Datum fehlt",IF(AND(D1728&lt;&gt;Einstellungen!$C$4,D1728&lt;&gt;Einstellungen!$C$5),"Objekt fehlt",IF(YEAR(A1728)&lt;&gt;Einstellungen!$C$3,"anderes Jahr",IF(A1728&lt;INDEX(Mitarbeiter!$C$6:$C$205,MATCH(B1728,Mitarbeiter!$A$6:$A$205,0)),"vor Eintritt",IF(AND(INDEX(Mitarbeiter!$D$6:$D$205,MATCH(B1728,Mitarbeiter!$A$6:$A$205,0))&lt;&gt;"",A1728&gt;INDEX(Mitarbeiter!$D$6:$D$205,MATCH(B1728,Mitarbeiter!$A$6:$A$205,0))),"nach Austritt","ok")))))))</f>
        <v/>
      </c>
    </row>
    <row r="1729">
      <c r="A1729" s="26" t="n"/>
      <c r="B1729" s="24" t="n"/>
      <c r="C1729" s="40">
        <f>IF(B1729="","",IFERROR(INDEX(Mitarbeiter!$B$6:$B$205,MATCH(B1729,Mitarbeiter!$A$6:$A$205,0)),"?"))</f>
        <v/>
      </c>
      <c r="D1729" s="41" t="n"/>
      <c r="E1729" s="42" t="n"/>
      <c r="F1729" s="43" t="n"/>
      <c r="G1729" s="44">
        <f>IF(OR(B1729="",F1729=""),"",IFERROR(F1729*INDEX(Mitarbeiter!$F$6:$F$205,MATCH(B1729,Mitarbeiter!$A$6:$A$205,0)),0))</f>
        <v/>
      </c>
      <c r="H1729" s="8">
        <f>IF(B1729="","",IF(ISNA(MATCH(B1729,Mitarbeiter!$A$6:$A$205,0)),"Pers.-Nr. unbekannt",IF(A1729="","Datum fehlt",IF(AND(D1729&lt;&gt;Einstellungen!$C$4,D1729&lt;&gt;Einstellungen!$C$5),"Objekt fehlt",IF(YEAR(A1729)&lt;&gt;Einstellungen!$C$3,"anderes Jahr",IF(A1729&lt;INDEX(Mitarbeiter!$C$6:$C$205,MATCH(B1729,Mitarbeiter!$A$6:$A$205,0)),"vor Eintritt",IF(AND(INDEX(Mitarbeiter!$D$6:$D$205,MATCH(B1729,Mitarbeiter!$A$6:$A$205,0))&lt;&gt;"",A1729&gt;INDEX(Mitarbeiter!$D$6:$D$205,MATCH(B1729,Mitarbeiter!$A$6:$A$205,0))),"nach Austritt","ok")))))))</f>
        <v/>
      </c>
    </row>
    <row r="1730">
      <c r="A1730" s="26" t="n"/>
      <c r="B1730" s="24" t="n"/>
      <c r="C1730" s="40">
        <f>IF(B1730="","",IFERROR(INDEX(Mitarbeiter!$B$6:$B$205,MATCH(B1730,Mitarbeiter!$A$6:$A$205,0)),"?"))</f>
        <v/>
      </c>
      <c r="D1730" s="41" t="n"/>
      <c r="E1730" s="42" t="n"/>
      <c r="F1730" s="43" t="n"/>
      <c r="G1730" s="44">
        <f>IF(OR(B1730="",F1730=""),"",IFERROR(F1730*INDEX(Mitarbeiter!$F$6:$F$205,MATCH(B1730,Mitarbeiter!$A$6:$A$205,0)),0))</f>
        <v/>
      </c>
      <c r="H1730" s="8">
        <f>IF(B1730="","",IF(ISNA(MATCH(B1730,Mitarbeiter!$A$6:$A$205,0)),"Pers.-Nr. unbekannt",IF(A1730="","Datum fehlt",IF(AND(D1730&lt;&gt;Einstellungen!$C$4,D1730&lt;&gt;Einstellungen!$C$5),"Objekt fehlt",IF(YEAR(A1730)&lt;&gt;Einstellungen!$C$3,"anderes Jahr",IF(A1730&lt;INDEX(Mitarbeiter!$C$6:$C$205,MATCH(B1730,Mitarbeiter!$A$6:$A$205,0)),"vor Eintritt",IF(AND(INDEX(Mitarbeiter!$D$6:$D$205,MATCH(B1730,Mitarbeiter!$A$6:$A$205,0))&lt;&gt;"",A1730&gt;INDEX(Mitarbeiter!$D$6:$D$205,MATCH(B1730,Mitarbeiter!$A$6:$A$205,0))),"nach Austritt","ok")))))))</f>
        <v/>
      </c>
    </row>
    <row r="1731">
      <c r="A1731" s="26" t="n"/>
      <c r="B1731" s="24" t="n"/>
      <c r="C1731" s="40">
        <f>IF(B1731="","",IFERROR(INDEX(Mitarbeiter!$B$6:$B$205,MATCH(B1731,Mitarbeiter!$A$6:$A$205,0)),"?"))</f>
        <v/>
      </c>
      <c r="D1731" s="41" t="n"/>
      <c r="E1731" s="42" t="n"/>
      <c r="F1731" s="43" t="n"/>
      <c r="G1731" s="44">
        <f>IF(OR(B1731="",F1731=""),"",IFERROR(F1731*INDEX(Mitarbeiter!$F$6:$F$205,MATCH(B1731,Mitarbeiter!$A$6:$A$205,0)),0))</f>
        <v/>
      </c>
      <c r="H1731" s="8">
        <f>IF(B1731="","",IF(ISNA(MATCH(B1731,Mitarbeiter!$A$6:$A$205,0)),"Pers.-Nr. unbekannt",IF(A1731="","Datum fehlt",IF(AND(D1731&lt;&gt;Einstellungen!$C$4,D1731&lt;&gt;Einstellungen!$C$5),"Objekt fehlt",IF(YEAR(A1731)&lt;&gt;Einstellungen!$C$3,"anderes Jahr",IF(A1731&lt;INDEX(Mitarbeiter!$C$6:$C$205,MATCH(B1731,Mitarbeiter!$A$6:$A$205,0)),"vor Eintritt",IF(AND(INDEX(Mitarbeiter!$D$6:$D$205,MATCH(B1731,Mitarbeiter!$A$6:$A$205,0))&lt;&gt;"",A1731&gt;INDEX(Mitarbeiter!$D$6:$D$205,MATCH(B1731,Mitarbeiter!$A$6:$A$205,0))),"nach Austritt","ok")))))))</f>
        <v/>
      </c>
    </row>
    <row r="1732">
      <c r="A1732" s="26" t="n"/>
      <c r="B1732" s="24" t="n"/>
      <c r="C1732" s="40">
        <f>IF(B1732="","",IFERROR(INDEX(Mitarbeiter!$B$6:$B$205,MATCH(B1732,Mitarbeiter!$A$6:$A$205,0)),"?"))</f>
        <v/>
      </c>
      <c r="D1732" s="41" t="n"/>
      <c r="E1732" s="42" t="n"/>
      <c r="F1732" s="43" t="n"/>
      <c r="G1732" s="44">
        <f>IF(OR(B1732="",F1732=""),"",IFERROR(F1732*INDEX(Mitarbeiter!$F$6:$F$205,MATCH(B1732,Mitarbeiter!$A$6:$A$205,0)),0))</f>
        <v/>
      </c>
      <c r="H1732" s="8">
        <f>IF(B1732="","",IF(ISNA(MATCH(B1732,Mitarbeiter!$A$6:$A$205,0)),"Pers.-Nr. unbekannt",IF(A1732="","Datum fehlt",IF(AND(D1732&lt;&gt;Einstellungen!$C$4,D1732&lt;&gt;Einstellungen!$C$5),"Objekt fehlt",IF(YEAR(A1732)&lt;&gt;Einstellungen!$C$3,"anderes Jahr",IF(A1732&lt;INDEX(Mitarbeiter!$C$6:$C$205,MATCH(B1732,Mitarbeiter!$A$6:$A$205,0)),"vor Eintritt",IF(AND(INDEX(Mitarbeiter!$D$6:$D$205,MATCH(B1732,Mitarbeiter!$A$6:$A$205,0))&lt;&gt;"",A1732&gt;INDEX(Mitarbeiter!$D$6:$D$205,MATCH(B1732,Mitarbeiter!$A$6:$A$205,0))),"nach Austritt","ok")))))))</f>
        <v/>
      </c>
    </row>
    <row r="1733">
      <c r="A1733" s="26" t="n"/>
      <c r="B1733" s="24" t="n"/>
      <c r="C1733" s="40">
        <f>IF(B1733="","",IFERROR(INDEX(Mitarbeiter!$B$6:$B$205,MATCH(B1733,Mitarbeiter!$A$6:$A$205,0)),"?"))</f>
        <v/>
      </c>
      <c r="D1733" s="41" t="n"/>
      <c r="E1733" s="42" t="n"/>
      <c r="F1733" s="43" t="n"/>
      <c r="G1733" s="44">
        <f>IF(OR(B1733="",F1733=""),"",IFERROR(F1733*INDEX(Mitarbeiter!$F$6:$F$205,MATCH(B1733,Mitarbeiter!$A$6:$A$205,0)),0))</f>
        <v/>
      </c>
      <c r="H1733" s="8">
        <f>IF(B1733="","",IF(ISNA(MATCH(B1733,Mitarbeiter!$A$6:$A$205,0)),"Pers.-Nr. unbekannt",IF(A1733="","Datum fehlt",IF(AND(D1733&lt;&gt;Einstellungen!$C$4,D1733&lt;&gt;Einstellungen!$C$5),"Objekt fehlt",IF(YEAR(A1733)&lt;&gt;Einstellungen!$C$3,"anderes Jahr",IF(A1733&lt;INDEX(Mitarbeiter!$C$6:$C$205,MATCH(B1733,Mitarbeiter!$A$6:$A$205,0)),"vor Eintritt",IF(AND(INDEX(Mitarbeiter!$D$6:$D$205,MATCH(B1733,Mitarbeiter!$A$6:$A$205,0))&lt;&gt;"",A1733&gt;INDEX(Mitarbeiter!$D$6:$D$205,MATCH(B1733,Mitarbeiter!$A$6:$A$205,0))),"nach Austritt","ok")))))))</f>
        <v/>
      </c>
    </row>
    <row r="1734">
      <c r="A1734" s="26" t="n"/>
      <c r="B1734" s="24" t="n"/>
      <c r="C1734" s="40">
        <f>IF(B1734="","",IFERROR(INDEX(Mitarbeiter!$B$6:$B$205,MATCH(B1734,Mitarbeiter!$A$6:$A$205,0)),"?"))</f>
        <v/>
      </c>
      <c r="D1734" s="41" t="n"/>
      <c r="E1734" s="42" t="n"/>
      <c r="F1734" s="43" t="n"/>
      <c r="G1734" s="44">
        <f>IF(OR(B1734="",F1734=""),"",IFERROR(F1734*INDEX(Mitarbeiter!$F$6:$F$205,MATCH(B1734,Mitarbeiter!$A$6:$A$205,0)),0))</f>
        <v/>
      </c>
      <c r="H1734" s="8">
        <f>IF(B1734="","",IF(ISNA(MATCH(B1734,Mitarbeiter!$A$6:$A$205,0)),"Pers.-Nr. unbekannt",IF(A1734="","Datum fehlt",IF(AND(D1734&lt;&gt;Einstellungen!$C$4,D1734&lt;&gt;Einstellungen!$C$5),"Objekt fehlt",IF(YEAR(A1734)&lt;&gt;Einstellungen!$C$3,"anderes Jahr",IF(A1734&lt;INDEX(Mitarbeiter!$C$6:$C$205,MATCH(B1734,Mitarbeiter!$A$6:$A$205,0)),"vor Eintritt",IF(AND(INDEX(Mitarbeiter!$D$6:$D$205,MATCH(B1734,Mitarbeiter!$A$6:$A$205,0))&lt;&gt;"",A1734&gt;INDEX(Mitarbeiter!$D$6:$D$205,MATCH(B1734,Mitarbeiter!$A$6:$A$205,0))),"nach Austritt","ok")))))))</f>
        <v/>
      </c>
    </row>
    <row r="1735">
      <c r="A1735" s="26" t="n"/>
      <c r="B1735" s="24" t="n"/>
      <c r="C1735" s="40">
        <f>IF(B1735="","",IFERROR(INDEX(Mitarbeiter!$B$6:$B$205,MATCH(B1735,Mitarbeiter!$A$6:$A$205,0)),"?"))</f>
        <v/>
      </c>
      <c r="D1735" s="41" t="n"/>
      <c r="E1735" s="42" t="n"/>
      <c r="F1735" s="43" t="n"/>
      <c r="G1735" s="44">
        <f>IF(OR(B1735="",F1735=""),"",IFERROR(F1735*INDEX(Mitarbeiter!$F$6:$F$205,MATCH(B1735,Mitarbeiter!$A$6:$A$205,0)),0))</f>
        <v/>
      </c>
      <c r="H1735" s="8">
        <f>IF(B1735="","",IF(ISNA(MATCH(B1735,Mitarbeiter!$A$6:$A$205,0)),"Pers.-Nr. unbekannt",IF(A1735="","Datum fehlt",IF(AND(D1735&lt;&gt;Einstellungen!$C$4,D1735&lt;&gt;Einstellungen!$C$5),"Objekt fehlt",IF(YEAR(A1735)&lt;&gt;Einstellungen!$C$3,"anderes Jahr",IF(A1735&lt;INDEX(Mitarbeiter!$C$6:$C$205,MATCH(B1735,Mitarbeiter!$A$6:$A$205,0)),"vor Eintritt",IF(AND(INDEX(Mitarbeiter!$D$6:$D$205,MATCH(B1735,Mitarbeiter!$A$6:$A$205,0))&lt;&gt;"",A1735&gt;INDEX(Mitarbeiter!$D$6:$D$205,MATCH(B1735,Mitarbeiter!$A$6:$A$205,0))),"nach Austritt","ok")))))))</f>
        <v/>
      </c>
    </row>
    <row r="1736">
      <c r="A1736" s="26" t="n"/>
      <c r="B1736" s="24" t="n"/>
      <c r="C1736" s="40">
        <f>IF(B1736="","",IFERROR(INDEX(Mitarbeiter!$B$6:$B$205,MATCH(B1736,Mitarbeiter!$A$6:$A$205,0)),"?"))</f>
        <v/>
      </c>
      <c r="D1736" s="41" t="n"/>
      <c r="E1736" s="42" t="n"/>
      <c r="F1736" s="43" t="n"/>
      <c r="G1736" s="44">
        <f>IF(OR(B1736="",F1736=""),"",IFERROR(F1736*INDEX(Mitarbeiter!$F$6:$F$205,MATCH(B1736,Mitarbeiter!$A$6:$A$205,0)),0))</f>
        <v/>
      </c>
      <c r="H1736" s="8">
        <f>IF(B1736="","",IF(ISNA(MATCH(B1736,Mitarbeiter!$A$6:$A$205,0)),"Pers.-Nr. unbekannt",IF(A1736="","Datum fehlt",IF(AND(D1736&lt;&gt;Einstellungen!$C$4,D1736&lt;&gt;Einstellungen!$C$5),"Objekt fehlt",IF(YEAR(A1736)&lt;&gt;Einstellungen!$C$3,"anderes Jahr",IF(A1736&lt;INDEX(Mitarbeiter!$C$6:$C$205,MATCH(B1736,Mitarbeiter!$A$6:$A$205,0)),"vor Eintritt",IF(AND(INDEX(Mitarbeiter!$D$6:$D$205,MATCH(B1736,Mitarbeiter!$A$6:$A$205,0))&lt;&gt;"",A1736&gt;INDEX(Mitarbeiter!$D$6:$D$205,MATCH(B1736,Mitarbeiter!$A$6:$A$205,0))),"nach Austritt","ok")))))))</f>
        <v/>
      </c>
    </row>
    <row r="1737">
      <c r="A1737" s="26" t="n"/>
      <c r="B1737" s="24" t="n"/>
      <c r="C1737" s="40">
        <f>IF(B1737="","",IFERROR(INDEX(Mitarbeiter!$B$6:$B$205,MATCH(B1737,Mitarbeiter!$A$6:$A$205,0)),"?"))</f>
        <v/>
      </c>
      <c r="D1737" s="41" t="n"/>
      <c r="E1737" s="42" t="n"/>
      <c r="F1737" s="43" t="n"/>
      <c r="G1737" s="44">
        <f>IF(OR(B1737="",F1737=""),"",IFERROR(F1737*INDEX(Mitarbeiter!$F$6:$F$205,MATCH(B1737,Mitarbeiter!$A$6:$A$205,0)),0))</f>
        <v/>
      </c>
      <c r="H1737" s="8">
        <f>IF(B1737="","",IF(ISNA(MATCH(B1737,Mitarbeiter!$A$6:$A$205,0)),"Pers.-Nr. unbekannt",IF(A1737="","Datum fehlt",IF(AND(D1737&lt;&gt;Einstellungen!$C$4,D1737&lt;&gt;Einstellungen!$C$5),"Objekt fehlt",IF(YEAR(A1737)&lt;&gt;Einstellungen!$C$3,"anderes Jahr",IF(A1737&lt;INDEX(Mitarbeiter!$C$6:$C$205,MATCH(B1737,Mitarbeiter!$A$6:$A$205,0)),"vor Eintritt",IF(AND(INDEX(Mitarbeiter!$D$6:$D$205,MATCH(B1737,Mitarbeiter!$A$6:$A$205,0))&lt;&gt;"",A1737&gt;INDEX(Mitarbeiter!$D$6:$D$205,MATCH(B1737,Mitarbeiter!$A$6:$A$205,0))),"nach Austritt","ok")))))))</f>
        <v/>
      </c>
    </row>
    <row r="1738">
      <c r="A1738" s="26" t="n"/>
      <c r="B1738" s="24" t="n"/>
      <c r="C1738" s="40">
        <f>IF(B1738="","",IFERROR(INDEX(Mitarbeiter!$B$6:$B$205,MATCH(B1738,Mitarbeiter!$A$6:$A$205,0)),"?"))</f>
        <v/>
      </c>
      <c r="D1738" s="41" t="n"/>
      <c r="E1738" s="42" t="n"/>
      <c r="F1738" s="43" t="n"/>
      <c r="G1738" s="44">
        <f>IF(OR(B1738="",F1738=""),"",IFERROR(F1738*INDEX(Mitarbeiter!$F$6:$F$205,MATCH(B1738,Mitarbeiter!$A$6:$A$205,0)),0))</f>
        <v/>
      </c>
      <c r="H1738" s="8">
        <f>IF(B1738="","",IF(ISNA(MATCH(B1738,Mitarbeiter!$A$6:$A$205,0)),"Pers.-Nr. unbekannt",IF(A1738="","Datum fehlt",IF(AND(D1738&lt;&gt;Einstellungen!$C$4,D1738&lt;&gt;Einstellungen!$C$5),"Objekt fehlt",IF(YEAR(A1738)&lt;&gt;Einstellungen!$C$3,"anderes Jahr",IF(A1738&lt;INDEX(Mitarbeiter!$C$6:$C$205,MATCH(B1738,Mitarbeiter!$A$6:$A$205,0)),"vor Eintritt",IF(AND(INDEX(Mitarbeiter!$D$6:$D$205,MATCH(B1738,Mitarbeiter!$A$6:$A$205,0))&lt;&gt;"",A1738&gt;INDEX(Mitarbeiter!$D$6:$D$205,MATCH(B1738,Mitarbeiter!$A$6:$A$205,0))),"nach Austritt","ok")))))))</f>
        <v/>
      </c>
    </row>
    <row r="1739">
      <c r="A1739" s="26" t="n"/>
      <c r="B1739" s="24" t="n"/>
      <c r="C1739" s="40">
        <f>IF(B1739="","",IFERROR(INDEX(Mitarbeiter!$B$6:$B$205,MATCH(B1739,Mitarbeiter!$A$6:$A$205,0)),"?"))</f>
        <v/>
      </c>
      <c r="D1739" s="41" t="n"/>
      <c r="E1739" s="42" t="n"/>
      <c r="F1739" s="43" t="n"/>
      <c r="G1739" s="44">
        <f>IF(OR(B1739="",F1739=""),"",IFERROR(F1739*INDEX(Mitarbeiter!$F$6:$F$205,MATCH(B1739,Mitarbeiter!$A$6:$A$205,0)),0))</f>
        <v/>
      </c>
      <c r="H1739" s="8">
        <f>IF(B1739="","",IF(ISNA(MATCH(B1739,Mitarbeiter!$A$6:$A$205,0)),"Pers.-Nr. unbekannt",IF(A1739="","Datum fehlt",IF(AND(D1739&lt;&gt;Einstellungen!$C$4,D1739&lt;&gt;Einstellungen!$C$5),"Objekt fehlt",IF(YEAR(A1739)&lt;&gt;Einstellungen!$C$3,"anderes Jahr",IF(A1739&lt;INDEX(Mitarbeiter!$C$6:$C$205,MATCH(B1739,Mitarbeiter!$A$6:$A$205,0)),"vor Eintritt",IF(AND(INDEX(Mitarbeiter!$D$6:$D$205,MATCH(B1739,Mitarbeiter!$A$6:$A$205,0))&lt;&gt;"",A1739&gt;INDEX(Mitarbeiter!$D$6:$D$205,MATCH(B1739,Mitarbeiter!$A$6:$A$205,0))),"nach Austritt","ok")))))))</f>
        <v/>
      </c>
    </row>
    <row r="1740">
      <c r="A1740" s="26" t="n"/>
      <c r="B1740" s="24" t="n"/>
      <c r="C1740" s="40">
        <f>IF(B1740="","",IFERROR(INDEX(Mitarbeiter!$B$6:$B$205,MATCH(B1740,Mitarbeiter!$A$6:$A$205,0)),"?"))</f>
        <v/>
      </c>
      <c r="D1740" s="41" t="n"/>
      <c r="E1740" s="42" t="n"/>
      <c r="F1740" s="43" t="n"/>
      <c r="G1740" s="44">
        <f>IF(OR(B1740="",F1740=""),"",IFERROR(F1740*INDEX(Mitarbeiter!$F$6:$F$205,MATCH(B1740,Mitarbeiter!$A$6:$A$205,0)),0))</f>
        <v/>
      </c>
      <c r="H1740" s="8">
        <f>IF(B1740="","",IF(ISNA(MATCH(B1740,Mitarbeiter!$A$6:$A$205,0)),"Pers.-Nr. unbekannt",IF(A1740="","Datum fehlt",IF(AND(D1740&lt;&gt;Einstellungen!$C$4,D1740&lt;&gt;Einstellungen!$C$5),"Objekt fehlt",IF(YEAR(A1740)&lt;&gt;Einstellungen!$C$3,"anderes Jahr",IF(A1740&lt;INDEX(Mitarbeiter!$C$6:$C$205,MATCH(B1740,Mitarbeiter!$A$6:$A$205,0)),"vor Eintritt",IF(AND(INDEX(Mitarbeiter!$D$6:$D$205,MATCH(B1740,Mitarbeiter!$A$6:$A$205,0))&lt;&gt;"",A1740&gt;INDEX(Mitarbeiter!$D$6:$D$205,MATCH(B1740,Mitarbeiter!$A$6:$A$205,0))),"nach Austritt","ok")))))))</f>
        <v/>
      </c>
    </row>
    <row r="1741">
      <c r="A1741" s="26" t="n"/>
      <c r="B1741" s="24" t="n"/>
      <c r="C1741" s="40">
        <f>IF(B1741="","",IFERROR(INDEX(Mitarbeiter!$B$6:$B$205,MATCH(B1741,Mitarbeiter!$A$6:$A$205,0)),"?"))</f>
        <v/>
      </c>
      <c r="D1741" s="41" t="n"/>
      <c r="E1741" s="42" t="n"/>
      <c r="F1741" s="43" t="n"/>
      <c r="G1741" s="44">
        <f>IF(OR(B1741="",F1741=""),"",IFERROR(F1741*INDEX(Mitarbeiter!$F$6:$F$205,MATCH(B1741,Mitarbeiter!$A$6:$A$205,0)),0))</f>
        <v/>
      </c>
      <c r="H1741" s="8">
        <f>IF(B1741="","",IF(ISNA(MATCH(B1741,Mitarbeiter!$A$6:$A$205,0)),"Pers.-Nr. unbekannt",IF(A1741="","Datum fehlt",IF(AND(D1741&lt;&gt;Einstellungen!$C$4,D1741&lt;&gt;Einstellungen!$C$5),"Objekt fehlt",IF(YEAR(A1741)&lt;&gt;Einstellungen!$C$3,"anderes Jahr",IF(A1741&lt;INDEX(Mitarbeiter!$C$6:$C$205,MATCH(B1741,Mitarbeiter!$A$6:$A$205,0)),"vor Eintritt",IF(AND(INDEX(Mitarbeiter!$D$6:$D$205,MATCH(B1741,Mitarbeiter!$A$6:$A$205,0))&lt;&gt;"",A1741&gt;INDEX(Mitarbeiter!$D$6:$D$205,MATCH(B1741,Mitarbeiter!$A$6:$A$205,0))),"nach Austritt","ok")))))))</f>
        <v/>
      </c>
    </row>
    <row r="1742">
      <c r="A1742" s="26" t="n"/>
      <c r="B1742" s="24" t="n"/>
      <c r="C1742" s="40">
        <f>IF(B1742="","",IFERROR(INDEX(Mitarbeiter!$B$6:$B$205,MATCH(B1742,Mitarbeiter!$A$6:$A$205,0)),"?"))</f>
        <v/>
      </c>
      <c r="D1742" s="41" t="n"/>
      <c r="E1742" s="42" t="n"/>
      <c r="F1742" s="43" t="n"/>
      <c r="G1742" s="44">
        <f>IF(OR(B1742="",F1742=""),"",IFERROR(F1742*INDEX(Mitarbeiter!$F$6:$F$205,MATCH(B1742,Mitarbeiter!$A$6:$A$205,0)),0))</f>
        <v/>
      </c>
      <c r="H1742" s="8">
        <f>IF(B1742="","",IF(ISNA(MATCH(B1742,Mitarbeiter!$A$6:$A$205,0)),"Pers.-Nr. unbekannt",IF(A1742="","Datum fehlt",IF(AND(D1742&lt;&gt;Einstellungen!$C$4,D1742&lt;&gt;Einstellungen!$C$5),"Objekt fehlt",IF(YEAR(A1742)&lt;&gt;Einstellungen!$C$3,"anderes Jahr",IF(A1742&lt;INDEX(Mitarbeiter!$C$6:$C$205,MATCH(B1742,Mitarbeiter!$A$6:$A$205,0)),"vor Eintritt",IF(AND(INDEX(Mitarbeiter!$D$6:$D$205,MATCH(B1742,Mitarbeiter!$A$6:$A$205,0))&lt;&gt;"",A1742&gt;INDEX(Mitarbeiter!$D$6:$D$205,MATCH(B1742,Mitarbeiter!$A$6:$A$205,0))),"nach Austritt","ok")))))))</f>
        <v/>
      </c>
    </row>
    <row r="1743">
      <c r="A1743" s="26" t="n"/>
      <c r="B1743" s="24" t="n"/>
      <c r="C1743" s="40">
        <f>IF(B1743="","",IFERROR(INDEX(Mitarbeiter!$B$6:$B$205,MATCH(B1743,Mitarbeiter!$A$6:$A$205,0)),"?"))</f>
        <v/>
      </c>
      <c r="D1743" s="41" t="n"/>
      <c r="E1743" s="42" t="n"/>
      <c r="F1743" s="43" t="n"/>
      <c r="G1743" s="44">
        <f>IF(OR(B1743="",F1743=""),"",IFERROR(F1743*INDEX(Mitarbeiter!$F$6:$F$205,MATCH(B1743,Mitarbeiter!$A$6:$A$205,0)),0))</f>
        <v/>
      </c>
      <c r="H1743" s="8">
        <f>IF(B1743="","",IF(ISNA(MATCH(B1743,Mitarbeiter!$A$6:$A$205,0)),"Pers.-Nr. unbekannt",IF(A1743="","Datum fehlt",IF(AND(D1743&lt;&gt;Einstellungen!$C$4,D1743&lt;&gt;Einstellungen!$C$5),"Objekt fehlt",IF(YEAR(A1743)&lt;&gt;Einstellungen!$C$3,"anderes Jahr",IF(A1743&lt;INDEX(Mitarbeiter!$C$6:$C$205,MATCH(B1743,Mitarbeiter!$A$6:$A$205,0)),"vor Eintritt",IF(AND(INDEX(Mitarbeiter!$D$6:$D$205,MATCH(B1743,Mitarbeiter!$A$6:$A$205,0))&lt;&gt;"",A1743&gt;INDEX(Mitarbeiter!$D$6:$D$205,MATCH(B1743,Mitarbeiter!$A$6:$A$205,0))),"nach Austritt","ok")))))))</f>
        <v/>
      </c>
    </row>
    <row r="1744">
      <c r="A1744" s="26" t="n"/>
      <c r="B1744" s="24" t="n"/>
      <c r="C1744" s="40">
        <f>IF(B1744="","",IFERROR(INDEX(Mitarbeiter!$B$6:$B$205,MATCH(B1744,Mitarbeiter!$A$6:$A$205,0)),"?"))</f>
        <v/>
      </c>
      <c r="D1744" s="41" t="n"/>
      <c r="E1744" s="42" t="n"/>
      <c r="F1744" s="43" t="n"/>
      <c r="G1744" s="44">
        <f>IF(OR(B1744="",F1744=""),"",IFERROR(F1744*INDEX(Mitarbeiter!$F$6:$F$205,MATCH(B1744,Mitarbeiter!$A$6:$A$205,0)),0))</f>
        <v/>
      </c>
      <c r="H1744" s="8">
        <f>IF(B1744="","",IF(ISNA(MATCH(B1744,Mitarbeiter!$A$6:$A$205,0)),"Pers.-Nr. unbekannt",IF(A1744="","Datum fehlt",IF(AND(D1744&lt;&gt;Einstellungen!$C$4,D1744&lt;&gt;Einstellungen!$C$5),"Objekt fehlt",IF(YEAR(A1744)&lt;&gt;Einstellungen!$C$3,"anderes Jahr",IF(A1744&lt;INDEX(Mitarbeiter!$C$6:$C$205,MATCH(B1744,Mitarbeiter!$A$6:$A$205,0)),"vor Eintritt",IF(AND(INDEX(Mitarbeiter!$D$6:$D$205,MATCH(B1744,Mitarbeiter!$A$6:$A$205,0))&lt;&gt;"",A1744&gt;INDEX(Mitarbeiter!$D$6:$D$205,MATCH(B1744,Mitarbeiter!$A$6:$A$205,0))),"nach Austritt","ok")))))))</f>
        <v/>
      </c>
    </row>
    <row r="1745">
      <c r="A1745" s="26" t="n"/>
      <c r="B1745" s="24" t="n"/>
      <c r="C1745" s="40">
        <f>IF(B1745="","",IFERROR(INDEX(Mitarbeiter!$B$6:$B$205,MATCH(B1745,Mitarbeiter!$A$6:$A$205,0)),"?"))</f>
        <v/>
      </c>
      <c r="D1745" s="41" t="n"/>
      <c r="E1745" s="42" t="n"/>
      <c r="F1745" s="43" t="n"/>
      <c r="G1745" s="44">
        <f>IF(OR(B1745="",F1745=""),"",IFERROR(F1745*INDEX(Mitarbeiter!$F$6:$F$205,MATCH(B1745,Mitarbeiter!$A$6:$A$205,0)),0))</f>
        <v/>
      </c>
      <c r="H1745" s="8">
        <f>IF(B1745="","",IF(ISNA(MATCH(B1745,Mitarbeiter!$A$6:$A$205,0)),"Pers.-Nr. unbekannt",IF(A1745="","Datum fehlt",IF(AND(D1745&lt;&gt;Einstellungen!$C$4,D1745&lt;&gt;Einstellungen!$C$5),"Objekt fehlt",IF(YEAR(A1745)&lt;&gt;Einstellungen!$C$3,"anderes Jahr",IF(A1745&lt;INDEX(Mitarbeiter!$C$6:$C$205,MATCH(B1745,Mitarbeiter!$A$6:$A$205,0)),"vor Eintritt",IF(AND(INDEX(Mitarbeiter!$D$6:$D$205,MATCH(B1745,Mitarbeiter!$A$6:$A$205,0))&lt;&gt;"",A1745&gt;INDEX(Mitarbeiter!$D$6:$D$205,MATCH(B1745,Mitarbeiter!$A$6:$A$205,0))),"nach Austritt","ok")))))))</f>
        <v/>
      </c>
    </row>
    <row r="1746">
      <c r="A1746" s="26" t="n"/>
      <c r="B1746" s="24" t="n"/>
      <c r="C1746" s="40">
        <f>IF(B1746="","",IFERROR(INDEX(Mitarbeiter!$B$6:$B$205,MATCH(B1746,Mitarbeiter!$A$6:$A$205,0)),"?"))</f>
        <v/>
      </c>
      <c r="D1746" s="41" t="n"/>
      <c r="E1746" s="42" t="n"/>
      <c r="F1746" s="43" t="n"/>
      <c r="G1746" s="44">
        <f>IF(OR(B1746="",F1746=""),"",IFERROR(F1746*INDEX(Mitarbeiter!$F$6:$F$205,MATCH(B1746,Mitarbeiter!$A$6:$A$205,0)),0))</f>
        <v/>
      </c>
      <c r="H1746" s="8">
        <f>IF(B1746="","",IF(ISNA(MATCH(B1746,Mitarbeiter!$A$6:$A$205,0)),"Pers.-Nr. unbekannt",IF(A1746="","Datum fehlt",IF(AND(D1746&lt;&gt;Einstellungen!$C$4,D1746&lt;&gt;Einstellungen!$C$5),"Objekt fehlt",IF(YEAR(A1746)&lt;&gt;Einstellungen!$C$3,"anderes Jahr",IF(A1746&lt;INDEX(Mitarbeiter!$C$6:$C$205,MATCH(B1746,Mitarbeiter!$A$6:$A$205,0)),"vor Eintritt",IF(AND(INDEX(Mitarbeiter!$D$6:$D$205,MATCH(B1746,Mitarbeiter!$A$6:$A$205,0))&lt;&gt;"",A1746&gt;INDEX(Mitarbeiter!$D$6:$D$205,MATCH(B1746,Mitarbeiter!$A$6:$A$205,0))),"nach Austritt","ok")))))))</f>
        <v/>
      </c>
    </row>
    <row r="1747">
      <c r="A1747" s="26" t="n"/>
      <c r="B1747" s="24" t="n"/>
      <c r="C1747" s="40">
        <f>IF(B1747="","",IFERROR(INDEX(Mitarbeiter!$B$6:$B$205,MATCH(B1747,Mitarbeiter!$A$6:$A$205,0)),"?"))</f>
        <v/>
      </c>
      <c r="D1747" s="41" t="n"/>
      <c r="E1747" s="42" t="n"/>
      <c r="F1747" s="43" t="n"/>
      <c r="G1747" s="44">
        <f>IF(OR(B1747="",F1747=""),"",IFERROR(F1747*INDEX(Mitarbeiter!$F$6:$F$205,MATCH(B1747,Mitarbeiter!$A$6:$A$205,0)),0))</f>
        <v/>
      </c>
      <c r="H1747" s="8">
        <f>IF(B1747="","",IF(ISNA(MATCH(B1747,Mitarbeiter!$A$6:$A$205,0)),"Pers.-Nr. unbekannt",IF(A1747="","Datum fehlt",IF(AND(D1747&lt;&gt;Einstellungen!$C$4,D1747&lt;&gt;Einstellungen!$C$5),"Objekt fehlt",IF(YEAR(A1747)&lt;&gt;Einstellungen!$C$3,"anderes Jahr",IF(A1747&lt;INDEX(Mitarbeiter!$C$6:$C$205,MATCH(B1747,Mitarbeiter!$A$6:$A$205,0)),"vor Eintritt",IF(AND(INDEX(Mitarbeiter!$D$6:$D$205,MATCH(B1747,Mitarbeiter!$A$6:$A$205,0))&lt;&gt;"",A1747&gt;INDEX(Mitarbeiter!$D$6:$D$205,MATCH(B1747,Mitarbeiter!$A$6:$A$205,0))),"nach Austritt","ok")))))))</f>
        <v/>
      </c>
    </row>
    <row r="1748">
      <c r="A1748" s="26" t="n"/>
      <c r="B1748" s="24" t="n"/>
      <c r="C1748" s="40">
        <f>IF(B1748="","",IFERROR(INDEX(Mitarbeiter!$B$6:$B$205,MATCH(B1748,Mitarbeiter!$A$6:$A$205,0)),"?"))</f>
        <v/>
      </c>
      <c r="D1748" s="41" t="n"/>
      <c r="E1748" s="42" t="n"/>
      <c r="F1748" s="43" t="n"/>
      <c r="G1748" s="44">
        <f>IF(OR(B1748="",F1748=""),"",IFERROR(F1748*INDEX(Mitarbeiter!$F$6:$F$205,MATCH(B1748,Mitarbeiter!$A$6:$A$205,0)),0))</f>
        <v/>
      </c>
      <c r="H1748" s="8">
        <f>IF(B1748="","",IF(ISNA(MATCH(B1748,Mitarbeiter!$A$6:$A$205,0)),"Pers.-Nr. unbekannt",IF(A1748="","Datum fehlt",IF(AND(D1748&lt;&gt;Einstellungen!$C$4,D1748&lt;&gt;Einstellungen!$C$5),"Objekt fehlt",IF(YEAR(A1748)&lt;&gt;Einstellungen!$C$3,"anderes Jahr",IF(A1748&lt;INDEX(Mitarbeiter!$C$6:$C$205,MATCH(B1748,Mitarbeiter!$A$6:$A$205,0)),"vor Eintritt",IF(AND(INDEX(Mitarbeiter!$D$6:$D$205,MATCH(B1748,Mitarbeiter!$A$6:$A$205,0))&lt;&gt;"",A1748&gt;INDEX(Mitarbeiter!$D$6:$D$205,MATCH(B1748,Mitarbeiter!$A$6:$A$205,0))),"nach Austritt","ok")))))))</f>
        <v/>
      </c>
    </row>
    <row r="1749">
      <c r="A1749" s="26" t="n"/>
      <c r="B1749" s="24" t="n"/>
      <c r="C1749" s="40">
        <f>IF(B1749="","",IFERROR(INDEX(Mitarbeiter!$B$6:$B$205,MATCH(B1749,Mitarbeiter!$A$6:$A$205,0)),"?"))</f>
        <v/>
      </c>
      <c r="D1749" s="41" t="n"/>
      <c r="E1749" s="42" t="n"/>
      <c r="F1749" s="43" t="n"/>
      <c r="G1749" s="44">
        <f>IF(OR(B1749="",F1749=""),"",IFERROR(F1749*INDEX(Mitarbeiter!$F$6:$F$205,MATCH(B1749,Mitarbeiter!$A$6:$A$205,0)),0))</f>
        <v/>
      </c>
      <c r="H1749" s="8">
        <f>IF(B1749="","",IF(ISNA(MATCH(B1749,Mitarbeiter!$A$6:$A$205,0)),"Pers.-Nr. unbekannt",IF(A1749="","Datum fehlt",IF(AND(D1749&lt;&gt;Einstellungen!$C$4,D1749&lt;&gt;Einstellungen!$C$5),"Objekt fehlt",IF(YEAR(A1749)&lt;&gt;Einstellungen!$C$3,"anderes Jahr",IF(A1749&lt;INDEX(Mitarbeiter!$C$6:$C$205,MATCH(B1749,Mitarbeiter!$A$6:$A$205,0)),"vor Eintritt",IF(AND(INDEX(Mitarbeiter!$D$6:$D$205,MATCH(B1749,Mitarbeiter!$A$6:$A$205,0))&lt;&gt;"",A1749&gt;INDEX(Mitarbeiter!$D$6:$D$205,MATCH(B1749,Mitarbeiter!$A$6:$A$205,0))),"nach Austritt","ok")))))))</f>
        <v/>
      </c>
    </row>
    <row r="1750">
      <c r="A1750" s="26" t="n"/>
      <c r="B1750" s="24" t="n"/>
      <c r="C1750" s="40">
        <f>IF(B1750="","",IFERROR(INDEX(Mitarbeiter!$B$6:$B$205,MATCH(B1750,Mitarbeiter!$A$6:$A$205,0)),"?"))</f>
        <v/>
      </c>
      <c r="D1750" s="41" t="n"/>
      <c r="E1750" s="42" t="n"/>
      <c r="F1750" s="43" t="n"/>
      <c r="G1750" s="44">
        <f>IF(OR(B1750="",F1750=""),"",IFERROR(F1750*INDEX(Mitarbeiter!$F$6:$F$205,MATCH(B1750,Mitarbeiter!$A$6:$A$205,0)),0))</f>
        <v/>
      </c>
      <c r="H1750" s="8">
        <f>IF(B1750="","",IF(ISNA(MATCH(B1750,Mitarbeiter!$A$6:$A$205,0)),"Pers.-Nr. unbekannt",IF(A1750="","Datum fehlt",IF(AND(D1750&lt;&gt;Einstellungen!$C$4,D1750&lt;&gt;Einstellungen!$C$5),"Objekt fehlt",IF(YEAR(A1750)&lt;&gt;Einstellungen!$C$3,"anderes Jahr",IF(A1750&lt;INDEX(Mitarbeiter!$C$6:$C$205,MATCH(B1750,Mitarbeiter!$A$6:$A$205,0)),"vor Eintritt",IF(AND(INDEX(Mitarbeiter!$D$6:$D$205,MATCH(B1750,Mitarbeiter!$A$6:$A$205,0))&lt;&gt;"",A1750&gt;INDEX(Mitarbeiter!$D$6:$D$205,MATCH(B1750,Mitarbeiter!$A$6:$A$205,0))),"nach Austritt","ok")))))))</f>
        <v/>
      </c>
    </row>
    <row r="1751">
      <c r="A1751" s="26" t="n"/>
      <c r="B1751" s="24" t="n"/>
      <c r="C1751" s="40">
        <f>IF(B1751="","",IFERROR(INDEX(Mitarbeiter!$B$6:$B$205,MATCH(B1751,Mitarbeiter!$A$6:$A$205,0)),"?"))</f>
        <v/>
      </c>
      <c r="D1751" s="41" t="n"/>
      <c r="E1751" s="42" t="n"/>
      <c r="F1751" s="43" t="n"/>
      <c r="G1751" s="44">
        <f>IF(OR(B1751="",F1751=""),"",IFERROR(F1751*INDEX(Mitarbeiter!$F$6:$F$205,MATCH(B1751,Mitarbeiter!$A$6:$A$205,0)),0))</f>
        <v/>
      </c>
      <c r="H1751" s="8">
        <f>IF(B1751="","",IF(ISNA(MATCH(B1751,Mitarbeiter!$A$6:$A$205,0)),"Pers.-Nr. unbekannt",IF(A1751="","Datum fehlt",IF(AND(D1751&lt;&gt;Einstellungen!$C$4,D1751&lt;&gt;Einstellungen!$C$5),"Objekt fehlt",IF(YEAR(A1751)&lt;&gt;Einstellungen!$C$3,"anderes Jahr",IF(A1751&lt;INDEX(Mitarbeiter!$C$6:$C$205,MATCH(B1751,Mitarbeiter!$A$6:$A$205,0)),"vor Eintritt",IF(AND(INDEX(Mitarbeiter!$D$6:$D$205,MATCH(B1751,Mitarbeiter!$A$6:$A$205,0))&lt;&gt;"",A1751&gt;INDEX(Mitarbeiter!$D$6:$D$205,MATCH(B1751,Mitarbeiter!$A$6:$A$205,0))),"nach Austritt","ok")))))))</f>
        <v/>
      </c>
    </row>
    <row r="1752">
      <c r="A1752" s="26" t="n"/>
      <c r="B1752" s="24" t="n"/>
      <c r="C1752" s="40">
        <f>IF(B1752="","",IFERROR(INDEX(Mitarbeiter!$B$6:$B$205,MATCH(B1752,Mitarbeiter!$A$6:$A$205,0)),"?"))</f>
        <v/>
      </c>
      <c r="D1752" s="41" t="n"/>
      <c r="E1752" s="42" t="n"/>
      <c r="F1752" s="43" t="n"/>
      <c r="G1752" s="44">
        <f>IF(OR(B1752="",F1752=""),"",IFERROR(F1752*INDEX(Mitarbeiter!$F$6:$F$205,MATCH(B1752,Mitarbeiter!$A$6:$A$205,0)),0))</f>
        <v/>
      </c>
      <c r="H1752" s="8">
        <f>IF(B1752="","",IF(ISNA(MATCH(B1752,Mitarbeiter!$A$6:$A$205,0)),"Pers.-Nr. unbekannt",IF(A1752="","Datum fehlt",IF(AND(D1752&lt;&gt;Einstellungen!$C$4,D1752&lt;&gt;Einstellungen!$C$5),"Objekt fehlt",IF(YEAR(A1752)&lt;&gt;Einstellungen!$C$3,"anderes Jahr",IF(A1752&lt;INDEX(Mitarbeiter!$C$6:$C$205,MATCH(B1752,Mitarbeiter!$A$6:$A$205,0)),"vor Eintritt",IF(AND(INDEX(Mitarbeiter!$D$6:$D$205,MATCH(B1752,Mitarbeiter!$A$6:$A$205,0))&lt;&gt;"",A1752&gt;INDEX(Mitarbeiter!$D$6:$D$205,MATCH(B1752,Mitarbeiter!$A$6:$A$205,0))),"nach Austritt","ok")))))))</f>
        <v/>
      </c>
    </row>
    <row r="1753">
      <c r="A1753" s="26" t="n"/>
      <c r="B1753" s="24" t="n"/>
      <c r="C1753" s="40">
        <f>IF(B1753="","",IFERROR(INDEX(Mitarbeiter!$B$6:$B$205,MATCH(B1753,Mitarbeiter!$A$6:$A$205,0)),"?"))</f>
        <v/>
      </c>
      <c r="D1753" s="41" t="n"/>
      <c r="E1753" s="42" t="n"/>
      <c r="F1753" s="43" t="n"/>
      <c r="G1753" s="44">
        <f>IF(OR(B1753="",F1753=""),"",IFERROR(F1753*INDEX(Mitarbeiter!$F$6:$F$205,MATCH(B1753,Mitarbeiter!$A$6:$A$205,0)),0))</f>
        <v/>
      </c>
      <c r="H1753" s="8">
        <f>IF(B1753="","",IF(ISNA(MATCH(B1753,Mitarbeiter!$A$6:$A$205,0)),"Pers.-Nr. unbekannt",IF(A1753="","Datum fehlt",IF(AND(D1753&lt;&gt;Einstellungen!$C$4,D1753&lt;&gt;Einstellungen!$C$5),"Objekt fehlt",IF(YEAR(A1753)&lt;&gt;Einstellungen!$C$3,"anderes Jahr",IF(A1753&lt;INDEX(Mitarbeiter!$C$6:$C$205,MATCH(B1753,Mitarbeiter!$A$6:$A$205,0)),"vor Eintritt",IF(AND(INDEX(Mitarbeiter!$D$6:$D$205,MATCH(B1753,Mitarbeiter!$A$6:$A$205,0))&lt;&gt;"",A1753&gt;INDEX(Mitarbeiter!$D$6:$D$205,MATCH(B1753,Mitarbeiter!$A$6:$A$205,0))),"nach Austritt","ok")))))))</f>
        <v/>
      </c>
    </row>
    <row r="1754">
      <c r="A1754" s="26" t="n"/>
      <c r="B1754" s="24" t="n"/>
      <c r="C1754" s="40">
        <f>IF(B1754="","",IFERROR(INDEX(Mitarbeiter!$B$6:$B$205,MATCH(B1754,Mitarbeiter!$A$6:$A$205,0)),"?"))</f>
        <v/>
      </c>
      <c r="D1754" s="41" t="n"/>
      <c r="E1754" s="42" t="n"/>
      <c r="F1754" s="43" t="n"/>
      <c r="G1754" s="44">
        <f>IF(OR(B1754="",F1754=""),"",IFERROR(F1754*INDEX(Mitarbeiter!$F$6:$F$205,MATCH(B1754,Mitarbeiter!$A$6:$A$205,0)),0))</f>
        <v/>
      </c>
      <c r="H1754" s="8">
        <f>IF(B1754="","",IF(ISNA(MATCH(B1754,Mitarbeiter!$A$6:$A$205,0)),"Pers.-Nr. unbekannt",IF(A1754="","Datum fehlt",IF(AND(D1754&lt;&gt;Einstellungen!$C$4,D1754&lt;&gt;Einstellungen!$C$5),"Objekt fehlt",IF(YEAR(A1754)&lt;&gt;Einstellungen!$C$3,"anderes Jahr",IF(A1754&lt;INDEX(Mitarbeiter!$C$6:$C$205,MATCH(B1754,Mitarbeiter!$A$6:$A$205,0)),"vor Eintritt",IF(AND(INDEX(Mitarbeiter!$D$6:$D$205,MATCH(B1754,Mitarbeiter!$A$6:$A$205,0))&lt;&gt;"",A1754&gt;INDEX(Mitarbeiter!$D$6:$D$205,MATCH(B1754,Mitarbeiter!$A$6:$A$205,0))),"nach Austritt","ok")))))))</f>
        <v/>
      </c>
    </row>
    <row r="1755">
      <c r="A1755" s="26" t="n"/>
      <c r="B1755" s="24" t="n"/>
      <c r="C1755" s="40">
        <f>IF(B1755="","",IFERROR(INDEX(Mitarbeiter!$B$6:$B$205,MATCH(B1755,Mitarbeiter!$A$6:$A$205,0)),"?"))</f>
        <v/>
      </c>
      <c r="D1755" s="41" t="n"/>
      <c r="E1755" s="42" t="n"/>
      <c r="F1755" s="43" t="n"/>
      <c r="G1755" s="44">
        <f>IF(OR(B1755="",F1755=""),"",IFERROR(F1755*INDEX(Mitarbeiter!$F$6:$F$205,MATCH(B1755,Mitarbeiter!$A$6:$A$205,0)),0))</f>
        <v/>
      </c>
      <c r="H1755" s="8">
        <f>IF(B1755="","",IF(ISNA(MATCH(B1755,Mitarbeiter!$A$6:$A$205,0)),"Pers.-Nr. unbekannt",IF(A1755="","Datum fehlt",IF(AND(D1755&lt;&gt;Einstellungen!$C$4,D1755&lt;&gt;Einstellungen!$C$5),"Objekt fehlt",IF(YEAR(A1755)&lt;&gt;Einstellungen!$C$3,"anderes Jahr",IF(A1755&lt;INDEX(Mitarbeiter!$C$6:$C$205,MATCH(B1755,Mitarbeiter!$A$6:$A$205,0)),"vor Eintritt",IF(AND(INDEX(Mitarbeiter!$D$6:$D$205,MATCH(B1755,Mitarbeiter!$A$6:$A$205,0))&lt;&gt;"",A1755&gt;INDEX(Mitarbeiter!$D$6:$D$205,MATCH(B1755,Mitarbeiter!$A$6:$A$205,0))),"nach Austritt","ok")))))))</f>
        <v/>
      </c>
    </row>
    <row r="1756">
      <c r="A1756" s="26" t="n"/>
      <c r="B1756" s="24" t="n"/>
      <c r="C1756" s="40">
        <f>IF(B1756="","",IFERROR(INDEX(Mitarbeiter!$B$6:$B$205,MATCH(B1756,Mitarbeiter!$A$6:$A$205,0)),"?"))</f>
        <v/>
      </c>
      <c r="D1756" s="41" t="n"/>
      <c r="E1756" s="42" t="n"/>
      <c r="F1756" s="43" t="n"/>
      <c r="G1756" s="44">
        <f>IF(OR(B1756="",F1756=""),"",IFERROR(F1756*INDEX(Mitarbeiter!$F$6:$F$205,MATCH(B1756,Mitarbeiter!$A$6:$A$205,0)),0))</f>
        <v/>
      </c>
      <c r="H1756" s="8">
        <f>IF(B1756="","",IF(ISNA(MATCH(B1756,Mitarbeiter!$A$6:$A$205,0)),"Pers.-Nr. unbekannt",IF(A1756="","Datum fehlt",IF(AND(D1756&lt;&gt;Einstellungen!$C$4,D1756&lt;&gt;Einstellungen!$C$5),"Objekt fehlt",IF(YEAR(A1756)&lt;&gt;Einstellungen!$C$3,"anderes Jahr",IF(A1756&lt;INDEX(Mitarbeiter!$C$6:$C$205,MATCH(B1756,Mitarbeiter!$A$6:$A$205,0)),"vor Eintritt",IF(AND(INDEX(Mitarbeiter!$D$6:$D$205,MATCH(B1756,Mitarbeiter!$A$6:$A$205,0))&lt;&gt;"",A1756&gt;INDEX(Mitarbeiter!$D$6:$D$205,MATCH(B1756,Mitarbeiter!$A$6:$A$205,0))),"nach Austritt","ok")))))))</f>
        <v/>
      </c>
    </row>
    <row r="1757">
      <c r="A1757" s="26" t="n"/>
      <c r="B1757" s="24" t="n"/>
      <c r="C1757" s="40">
        <f>IF(B1757="","",IFERROR(INDEX(Mitarbeiter!$B$6:$B$205,MATCH(B1757,Mitarbeiter!$A$6:$A$205,0)),"?"))</f>
        <v/>
      </c>
      <c r="D1757" s="41" t="n"/>
      <c r="E1757" s="42" t="n"/>
      <c r="F1757" s="43" t="n"/>
      <c r="G1757" s="44">
        <f>IF(OR(B1757="",F1757=""),"",IFERROR(F1757*INDEX(Mitarbeiter!$F$6:$F$205,MATCH(B1757,Mitarbeiter!$A$6:$A$205,0)),0))</f>
        <v/>
      </c>
      <c r="H1757" s="8">
        <f>IF(B1757="","",IF(ISNA(MATCH(B1757,Mitarbeiter!$A$6:$A$205,0)),"Pers.-Nr. unbekannt",IF(A1757="","Datum fehlt",IF(AND(D1757&lt;&gt;Einstellungen!$C$4,D1757&lt;&gt;Einstellungen!$C$5),"Objekt fehlt",IF(YEAR(A1757)&lt;&gt;Einstellungen!$C$3,"anderes Jahr",IF(A1757&lt;INDEX(Mitarbeiter!$C$6:$C$205,MATCH(B1757,Mitarbeiter!$A$6:$A$205,0)),"vor Eintritt",IF(AND(INDEX(Mitarbeiter!$D$6:$D$205,MATCH(B1757,Mitarbeiter!$A$6:$A$205,0))&lt;&gt;"",A1757&gt;INDEX(Mitarbeiter!$D$6:$D$205,MATCH(B1757,Mitarbeiter!$A$6:$A$205,0))),"nach Austritt","ok")))))))</f>
        <v/>
      </c>
    </row>
    <row r="1758">
      <c r="A1758" s="26" t="n"/>
      <c r="B1758" s="24" t="n"/>
      <c r="C1758" s="40">
        <f>IF(B1758="","",IFERROR(INDEX(Mitarbeiter!$B$6:$B$205,MATCH(B1758,Mitarbeiter!$A$6:$A$205,0)),"?"))</f>
        <v/>
      </c>
      <c r="D1758" s="41" t="n"/>
      <c r="E1758" s="42" t="n"/>
      <c r="F1758" s="43" t="n"/>
      <c r="G1758" s="44">
        <f>IF(OR(B1758="",F1758=""),"",IFERROR(F1758*INDEX(Mitarbeiter!$F$6:$F$205,MATCH(B1758,Mitarbeiter!$A$6:$A$205,0)),0))</f>
        <v/>
      </c>
      <c r="H1758" s="8">
        <f>IF(B1758="","",IF(ISNA(MATCH(B1758,Mitarbeiter!$A$6:$A$205,0)),"Pers.-Nr. unbekannt",IF(A1758="","Datum fehlt",IF(AND(D1758&lt;&gt;Einstellungen!$C$4,D1758&lt;&gt;Einstellungen!$C$5),"Objekt fehlt",IF(YEAR(A1758)&lt;&gt;Einstellungen!$C$3,"anderes Jahr",IF(A1758&lt;INDEX(Mitarbeiter!$C$6:$C$205,MATCH(B1758,Mitarbeiter!$A$6:$A$205,0)),"vor Eintritt",IF(AND(INDEX(Mitarbeiter!$D$6:$D$205,MATCH(B1758,Mitarbeiter!$A$6:$A$205,0))&lt;&gt;"",A1758&gt;INDEX(Mitarbeiter!$D$6:$D$205,MATCH(B1758,Mitarbeiter!$A$6:$A$205,0))),"nach Austritt","ok")))))))</f>
        <v/>
      </c>
    </row>
    <row r="1759">
      <c r="A1759" s="26" t="n"/>
      <c r="B1759" s="24" t="n"/>
      <c r="C1759" s="40">
        <f>IF(B1759="","",IFERROR(INDEX(Mitarbeiter!$B$6:$B$205,MATCH(B1759,Mitarbeiter!$A$6:$A$205,0)),"?"))</f>
        <v/>
      </c>
      <c r="D1759" s="41" t="n"/>
      <c r="E1759" s="42" t="n"/>
      <c r="F1759" s="43" t="n"/>
      <c r="G1759" s="44">
        <f>IF(OR(B1759="",F1759=""),"",IFERROR(F1759*INDEX(Mitarbeiter!$F$6:$F$205,MATCH(B1759,Mitarbeiter!$A$6:$A$205,0)),0))</f>
        <v/>
      </c>
      <c r="H1759" s="8">
        <f>IF(B1759="","",IF(ISNA(MATCH(B1759,Mitarbeiter!$A$6:$A$205,0)),"Pers.-Nr. unbekannt",IF(A1759="","Datum fehlt",IF(AND(D1759&lt;&gt;Einstellungen!$C$4,D1759&lt;&gt;Einstellungen!$C$5),"Objekt fehlt",IF(YEAR(A1759)&lt;&gt;Einstellungen!$C$3,"anderes Jahr",IF(A1759&lt;INDEX(Mitarbeiter!$C$6:$C$205,MATCH(B1759,Mitarbeiter!$A$6:$A$205,0)),"vor Eintritt",IF(AND(INDEX(Mitarbeiter!$D$6:$D$205,MATCH(B1759,Mitarbeiter!$A$6:$A$205,0))&lt;&gt;"",A1759&gt;INDEX(Mitarbeiter!$D$6:$D$205,MATCH(B1759,Mitarbeiter!$A$6:$A$205,0))),"nach Austritt","ok")))))))</f>
        <v/>
      </c>
    </row>
    <row r="1760">
      <c r="A1760" s="26" t="n"/>
      <c r="B1760" s="24" t="n"/>
      <c r="C1760" s="40">
        <f>IF(B1760="","",IFERROR(INDEX(Mitarbeiter!$B$6:$B$205,MATCH(B1760,Mitarbeiter!$A$6:$A$205,0)),"?"))</f>
        <v/>
      </c>
      <c r="D1760" s="41" t="n"/>
      <c r="E1760" s="42" t="n"/>
      <c r="F1760" s="43" t="n"/>
      <c r="G1760" s="44">
        <f>IF(OR(B1760="",F1760=""),"",IFERROR(F1760*INDEX(Mitarbeiter!$F$6:$F$205,MATCH(B1760,Mitarbeiter!$A$6:$A$205,0)),0))</f>
        <v/>
      </c>
      <c r="H1760" s="8">
        <f>IF(B1760="","",IF(ISNA(MATCH(B1760,Mitarbeiter!$A$6:$A$205,0)),"Pers.-Nr. unbekannt",IF(A1760="","Datum fehlt",IF(AND(D1760&lt;&gt;Einstellungen!$C$4,D1760&lt;&gt;Einstellungen!$C$5),"Objekt fehlt",IF(YEAR(A1760)&lt;&gt;Einstellungen!$C$3,"anderes Jahr",IF(A1760&lt;INDEX(Mitarbeiter!$C$6:$C$205,MATCH(B1760,Mitarbeiter!$A$6:$A$205,0)),"vor Eintritt",IF(AND(INDEX(Mitarbeiter!$D$6:$D$205,MATCH(B1760,Mitarbeiter!$A$6:$A$205,0))&lt;&gt;"",A1760&gt;INDEX(Mitarbeiter!$D$6:$D$205,MATCH(B1760,Mitarbeiter!$A$6:$A$205,0))),"nach Austritt","ok")))))))</f>
        <v/>
      </c>
    </row>
    <row r="1761">
      <c r="A1761" s="26" t="n"/>
      <c r="B1761" s="24" t="n"/>
      <c r="C1761" s="40">
        <f>IF(B1761="","",IFERROR(INDEX(Mitarbeiter!$B$6:$B$205,MATCH(B1761,Mitarbeiter!$A$6:$A$205,0)),"?"))</f>
        <v/>
      </c>
      <c r="D1761" s="41" t="n"/>
      <c r="E1761" s="42" t="n"/>
      <c r="F1761" s="43" t="n"/>
      <c r="G1761" s="44">
        <f>IF(OR(B1761="",F1761=""),"",IFERROR(F1761*INDEX(Mitarbeiter!$F$6:$F$205,MATCH(B1761,Mitarbeiter!$A$6:$A$205,0)),0))</f>
        <v/>
      </c>
      <c r="H1761" s="8">
        <f>IF(B1761="","",IF(ISNA(MATCH(B1761,Mitarbeiter!$A$6:$A$205,0)),"Pers.-Nr. unbekannt",IF(A1761="","Datum fehlt",IF(AND(D1761&lt;&gt;Einstellungen!$C$4,D1761&lt;&gt;Einstellungen!$C$5),"Objekt fehlt",IF(YEAR(A1761)&lt;&gt;Einstellungen!$C$3,"anderes Jahr",IF(A1761&lt;INDEX(Mitarbeiter!$C$6:$C$205,MATCH(B1761,Mitarbeiter!$A$6:$A$205,0)),"vor Eintritt",IF(AND(INDEX(Mitarbeiter!$D$6:$D$205,MATCH(B1761,Mitarbeiter!$A$6:$A$205,0))&lt;&gt;"",A1761&gt;INDEX(Mitarbeiter!$D$6:$D$205,MATCH(B1761,Mitarbeiter!$A$6:$A$205,0))),"nach Austritt","ok")))))))</f>
        <v/>
      </c>
    </row>
    <row r="1762">
      <c r="A1762" s="26" t="n"/>
      <c r="B1762" s="24" t="n"/>
      <c r="C1762" s="40">
        <f>IF(B1762="","",IFERROR(INDEX(Mitarbeiter!$B$6:$B$205,MATCH(B1762,Mitarbeiter!$A$6:$A$205,0)),"?"))</f>
        <v/>
      </c>
      <c r="D1762" s="41" t="n"/>
      <c r="E1762" s="42" t="n"/>
      <c r="F1762" s="43" t="n"/>
      <c r="G1762" s="44">
        <f>IF(OR(B1762="",F1762=""),"",IFERROR(F1762*INDEX(Mitarbeiter!$F$6:$F$205,MATCH(B1762,Mitarbeiter!$A$6:$A$205,0)),0))</f>
        <v/>
      </c>
      <c r="H1762" s="8">
        <f>IF(B1762="","",IF(ISNA(MATCH(B1762,Mitarbeiter!$A$6:$A$205,0)),"Pers.-Nr. unbekannt",IF(A1762="","Datum fehlt",IF(AND(D1762&lt;&gt;Einstellungen!$C$4,D1762&lt;&gt;Einstellungen!$C$5),"Objekt fehlt",IF(YEAR(A1762)&lt;&gt;Einstellungen!$C$3,"anderes Jahr",IF(A1762&lt;INDEX(Mitarbeiter!$C$6:$C$205,MATCH(B1762,Mitarbeiter!$A$6:$A$205,0)),"vor Eintritt",IF(AND(INDEX(Mitarbeiter!$D$6:$D$205,MATCH(B1762,Mitarbeiter!$A$6:$A$205,0))&lt;&gt;"",A1762&gt;INDEX(Mitarbeiter!$D$6:$D$205,MATCH(B1762,Mitarbeiter!$A$6:$A$205,0))),"nach Austritt","ok")))))))</f>
        <v/>
      </c>
    </row>
    <row r="1763">
      <c r="A1763" s="26" t="n"/>
      <c r="B1763" s="24" t="n"/>
      <c r="C1763" s="40">
        <f>IF(B1763="","",IFERROR(INDEX(Mitarbeiter!$B$6:$B$205,MATCH(B1763,Mitarbeiter!$A$6:$A$205,0)),"?"))</f>
        <v/>
      </c>
      <c r="D1763" s="41" t="n"/>
      <c r="E1763" s="42" t="n"/>
      <c r="F1763" s="43" t="n"/>
      <c r="G1763" s="44">
        <f>IF(OR(B1763="",F1763=""),"",IFERROR(F1763*INDEX(Mitarbeiter!$F$6:$F$205,MATCH(B1763,Mitarbeiter!$A$6:$A$205,0)),0))</f>
        <v/>
      </c>
      <c r="H1763" s="8">
        <f>IF(B1763="","",IF(ISNA(MATCH(B1763,Mitarbeiter!$A$6:$A$205,0)),"Pers.-Nr. unbekannt",IF(A1763="","Datum fehlt",IF(AND(D1763&lt;&gt;Einstellungen!$C$4,D1763&lt;&gt;Einstellungen!$C$5),"Objekt fehlt",IF(YEAR(A1763)&lt;&gt;Einstellungen!$C$3,"anderes Jahr",IF(A1763&lt;INDEX(Mitarbeiter!$C$6:$C$205,MATCH(B1763,Mitarbeiter!$A$6:$A$205,0)),"vor Eintritt",IF(AND(INDEX(Mitarbeiter!$D$6:$D$205,MATCH(B1763,Mitarbeiter!$A$6:$A$205,0))&lt;&gt;"",A1763&gt;INDEX(Mitarbeiter!$D$6:$D$205,MATCH(B1763,Mitarbeiter!$A$6:$A$205,0))),"nach Austritt","ok")))))))</f>
        <v/>
      </c>
    </row>
    <row r="1764">
      <c r="A1764" s="26" t="n"/>
      <c r="B1764" s="24" t="n"/>
      <c r="C1764" s="40">
        <f>IF(B1764="","",IFERROR(INDEX(Mitarbeiter!$B$6:$B$205,MATCH(B1764,Mitarbeiter!$A$6:$A$205,0)),"?"))</f>
        <v/>
      </c>
      <c r="D1764" s="41" t="n"/>
      <c r="E1764" s="42" t="n"/>
      <c r="F1764" s="43" t="n"/>
      <c r="G1764" s="44">
        <f>IF(OR(B1764="",F1764=""),"",IFERROR(F1764*INDEX(Mitarbeiter!$F$6:$F$205,MATCH(B1764,Mitarbeiter!$A$6:$A$205,0)),0))</f>
        <v/>
      </c>
      <c r="H1764" s="8">
        <f>IF(B1764="","",IF(ISNA(MATCH(B1764,Mitarbeiter!$A$6:$A$205,0)),"Pers.-Nr. unbekannt",IF(A1764="","Datum fehlt",IF(AND(D1764&lt;&gt;Einstellungen!$C$4,D1764&lt;&gt;Einstellungen!$C$5),"Objekt fehlt",IF(YEAR(A1764)&lt;&gt;Einstellungen!$C$3,"anderes Jahr",IF(A1764&lt;INDEX(Mitarbeiter!$C$6:$C$205,MATCH(B1764,Mitarbeiter!$A$6:$A$205,0)),"vor Eintritt",IF(AND(INDEX(Mitarbeiter!$D$6:$D$205,MATCH(B1764,Mitarbeiter!$A$6:$A$205,0))&lt;&gt;"",A1764&gt;INDEX(Mitarbeiter!$D$6:$D$205,MATCH(B1764,Mitarbeiter!$A$6:$A$205,0))),"nach Austritt","ok")))))))</f>
        <v/>
      </c>
    </row>
    <row r="1765">
      <c r="A1765" s="26" t="n"/>
      <c r="B1765" s="24" t="n"/>
      <c r="C1765" s="40">
        <f>IF(B1765="","",IFERROR(INDEX(Mitarbeiter!$B$6:$B$205,MATCH(B1765,Mitarbeiter!$A$6:$A$205,0)),"?"))</f>
        <v/>
      </c>
      <c r="D1765" s="41" t="n"/>
      <c r="E1765" s="42" t="n"/>
      <c r="F1765" s="43" t="n"/>
      <c r="G1765" s="44">
        <f>IF(OR(B1765="",F1765=""),"",IFERROR(F1765*INDEX(Mitarbeiter!$F$6:$F$205,MATCH(B1765,Mitarbeiter!$A$6:$A$205,0)),0))</f>
        <v/>
      </c>
      <c r="H1765" s="8">
        <f>IF(B1765="","",IF(ISNA(MATCH(B1765,Mitarbeiter!$A$6:$A$205,0)),"Pers.-Nr. unbekannt",IF(A1765="","Datum fehlt",IF(AND(D1765&lt;&gt;Einstellungen!$C$4,D1765&lt;&gt;Einstellungen!$C$5),"Objekt fehlt",IF(YEAR(A1765)&lt;&gt;Einstellungen!$C$3,"anderes Jahr",IF(A1765&lt;INDEX(Mitarbeiter!$C$6:$C$205,MATCH(B1765,Mitarbeiter!$A$6:$A$205,0)),"vor Eintritt",IF(AND(INDEX(Mitarbeiter!$D$6:$D$205,MATCH(B1765,Mitarbeiter!$A$6:$A$205,0))&lt;&gt;"",A1765&gt;INDEX(Mitarbeiter!$D$6:$D$205,MATCH(B1765,Mitarbeiter!$A$6:$A$205,0))),"nach Austritt","ok")))))))</f>
        <v/>
      </c>
    </row>
    <row r="1766">
      <c r="A1766" s="26" t="n"/>
      <c r="B1766" s="24" t="n"/>
      <c r="C1766" s="40">
        <f>IF(B1766="","",IFERROR(INDEX(Mitarbeiter!$B$6:$B$205,MATCH(B1766,Mitarbeiter!$A$6:$A$205,0)),"?"))</f>
        <v/>
      </c>
      <c r="D1766" s="41" t="n"/>
      <c r="E1766" s="42" t="n"/>
      <c r="F1766" s="43" t="n"/>
      <c r="G1766" s="44">
        <f>IF(OR(B1766="",F1766=""),"",IFERROR(F1766*INDEX(Mitarbeiter!$F$6:$F$205,MATCH(B1766,Mitarbeiter!$A$6:$A$205,0)),0))</f>
        <v/>
      </c>
      <c r="H1766" s="8">
        <f>IF(B1766="","",IF(ISNA(MATCH(B1766,Mitarbeiter!$A$6:$A$205,0)),"Pers.-Nr. unbekannt",IF(A1766="","Datum fehlt",IF(AND(D1766&lt;&gt;Einstellungen!$C$4,D1766&lt;&gt;Einstellungen!$C$5),"Objekt fehlt",IF(YEAR(A1766)&lt;&gt;Einstellungen!$C$3,"anderes Jahr",IF(A1766&lt;INDEX(Mitarbeiter!$C$6:$C$205,MATCH(B1766,Mitarbeiter!$A$6:$A$205,0)),"vor Eintritt",IF(AND(INDEX(Mitarbeiter!$D$6:$D$205,MATCH(B1766,Mitarbeiter!$A$6:$A$205,0))&lt;&gt;"",A1766&gt;INDEX(Mitarbeiter!$D$6:$D$205,MATCH(B1766,Mitarbeiter!$A$6:$A$205,0))),"nach Austritt","ok")))))))</f>
        <v/>
      </c>
    </row>
    <row r="1767">
      <c r="A1767" s="26" t="n"/>
      <c r="B1767" s="24" t="n"/>
      <c r="C1767" s="40">
        <f>IF(B1767="","",IFERROR(INDEX(Mitarbeiter!$B$6:$B$205,MATCH(B1767,Mitarbeiter!$A$6:$A$205,0)),"?"))</f>
        <v/>
      </c>
      <c r="D1767" s="41" t="n"/>
      <c r="E1767" s="42" t="n"/>
      <c r="F1767" s="43" t="n"/>
      <c r="G1767" s="44">
        <f>IF(OR(B1767="",F1767=""),"",IFERROR(F1767*INDEX(Mitarbeiter!$F$6:$F$205,MATCH(B1767,Mitarbeiter!$A$6:$A$205,0)),0))</f>
        <v/>
      </c>
      <c r="H1767" s="8">
        <f>IF(B1767="","",IF(ISNA(MATCH(B1767,Mitarbeiter!$A$6:$A$205,0)),"Pers.-Nr. unbekannt",IF(A1767="","Datum fehlt",IF(AND(D1767&lt;&gt;Einstellungen!$C$4,D1767&lt;&gt;Einstellungen!$C$5),"Objekt fehlt",IF(YEAR(A1767)&lt;&gt;Einstellungen!$C$3,"anderes Jahr",IF(A1767&lt;INDEX(Mitarbeiter!$C$6:$C$205,MATCH(B1767,Mitarbeiter!$A$6:$A$205,0)),"vor Eintritt",IF(AND(INDEX(Mitarbeiter!$D$6:$D$205,MATCH(B1767,Mitarbeiter!$A$6:$A$205,0))&lt;&gt;"",A1767&gt;INDEX(Mitarbeiter!$D$6:$D$205,MATCH(B1767,Mitarbeiter!$A$6:$A$205,0))),"nach Austritt","ok")))))))</f>
        <v/>
      </c>
    </row>
    <row r="1768">
      <c r="A1768" s="26" t="n"/>
      <c r="B1768" s="24" t="n"/>
      <c r="C1768" s="40">
        <f>IF(B1768="","",IFERROR(INDEX(Mitarbeiter!$B$6:$B$205,MATCH(B1768,Mitarbeiter!$A$6:$A$205,0)),"?"))</f>
        <v/>
      </c>
      <c r="D1768" s="41" t="n"/>
      <c r="E1768" s="42" t="n"/>
      <c r="F1768" s="43" t="n"/>
      <c r="G1768" s="44">
        <f>IF(OR(B1768="",F1768=""),"",IFERROR(F1768*INDEX(Mitarbeiter!$F$6:$F$205,MATCH(B1768,Mitarbeiter!$A$6:$A$205,0)),0))</f>
        <v/>
      </c>
      <c r="H1768" s="8">
        <f>IF(B1768="","",IF(ISNA(MATCH(B1768,Mitarbeiter!$A$6:$A$205,0)),"Pers.-Nr. unbekannt",IF(A1768="","Datum fehlt",IF(AND(D1768&lt;&gt;Einstellungen!$C$4,D1768&lt;&gt;Einstellungen!$C$5),"Objekt fehlt",IF(YEAR(A1768)&lt;&gt;Einstellungen!$C$3,"anderes Jahr",IF(A1768&lt;INDEX(Mitarbeiter!$C$6:$C$205,MATCH(B1768,Mitarbeiter!$A$6:$A$205,0)),"vor Eintritt",IF(AND(INDEX(Mitarbeiter!$D$6:$D$205,MATCH(B1768,Mitarbeiter!$A$6:$A$205,0))&lt;&gt;"",A1768&gt;INDEX(Mitarbeiter!$D$6:$D$205,MATCH(B1768,Mitarbeiter!$A$6:$A$205,0))),"nach Austritt","ok")))))))</f>
        <v/>
      </c>
    </row>
    <row r="1769">
      <c r="A1769" s="26" t="n"/>
      <c r="B1769" s="24" t="n"/>
      <c r="C1769" s="40">
        <f>IF(B1769="","",IFERROR(INDEX(Mitarbeiter!$B$6:$B$205,MATCH(B1769,Mitarbeiter!$A$6:$A$205,0)),"?"))</f>
        <v/>
      </c>
      <c r="D1769" s="41" t="n"/>
      <c r="E1769" s="42" t="n"/>
      <c r="F1769" s="43" t="n"/>
      <c r="G1769" s="44">
        <f>IF(OR(B1769="",F1769=""),"",IFERROR(F1769*INDEX(Mitarbeiter!$F$6:$F$205,MATCH(B1769,Mitarbeiter!$A$6:$A$205,0)),0))</f>
        <v/>
      </c>
      <c r="H1769" s="8">
        <f>IF(B1769="","",IF(ISNA(MATCH(B1769,Mitarbeiter!$A$6:$A$205,0)),"Pers.-Nr. unbekannt",IF(A1769="","Datum fehlt",IF(AND(D1769&lt;&gt;Einstellungen!$C$4,D1769&lt;&gt;Einstellungen!$C$5),"Objekt fehlt",IF(YEAR(A1769)&lt;&gt;Einstellungen!$C$3,"anderes Jahr",IF(A1769&lt;INDEX(Mitarbeiter!$C$6:$C$205,MATCH(B1769,Mitarbeiter!$A$6:$A$205,0)),"vor Eintritt",IF(AND(INDEX(Mitarbeiter!$D$6:$D$205,MATCH(B1769,Mitarbeiter!$A$6:$A$205,0))&lt;&gt;"",A1769&gt;INDEX(Mitarbeiter!$D$6:$D$205,MATCH(B1769,Mitarbeiter!$A$6:$A$205,0))),"nach Austritt","ok")))))))</f>
        <v/>
      </c>
    </row>
    <row r="1770">
      <c r="A1770" s="26" t="n"/>
      <c r="B1770" s="24" t="n"/>
      <c r="C1770" s="40">
        <f>IF(B1770="","",IFERROR(INDEX(Mitarbeiter!$B$6:$B$205,MATCH(B1770,Mitarbeiter!$A$6:$A$205,0)),"?"))</f>
        <v/>
      </c>
      <c r="D1770" s="41" t="n"/>
      <c r="E1770" s="42" t="n"/>
      <c r="F1770" s="43" t="n"/>
      <c r="G1770" s="44">
        <f>IF(OR(B1770="",F1770=""),"",IFERROR(F1770*INDEX(Mitarbeiter!$F$6:$F$205,MATCH(B1770,Mitarbeiter!$A$6:$A$205,0)),0))</f>
        <v/>
      </c>
      <c r="H1770" s="8">
        <f>IF(B1770="","",IF(ISNA(MATCH(B1770,Mitarbeiter!$A$6:$A$205,0)),"Pers.-Nr. unbekannt",IF(A1770="","Datum fehlt",IF(AND(D1770&lt;&gt;Einstellungen!$C$4,D1770&lt;&gt;Einstellungen!$C$5),"Objekt fehlt",IF(YEAR(A1770)&lt;&gt;Einstellungen!$C$3,"anderes Jahr",IF(A1770&lt;INDEX(Mitarbeiter!$C$6:$C$205,MATCH(B1770,Mitarbeiter!$A$6:$A$205,0)),"vor Eintritt",IF(AND(INDEX(Mitarbeiter!$D$6:$D$205,MATCH(B1770,Mitarbeiter!$A$6:$A$205,0))&lt;&gt;"",A1770&gt;INDEX(Mitarbeiter!$D$6:$D$205,MATCH(B1770,Mitarbeiter!$A$6:$A$205,0))),"nach Austritt","ok")))))))</f>
        <v/>
      </c>
    </row>
    <row r="1771">
      <c r="A1771" s="26" t="n"/>
      <c r="B1771" s="24" t="n"/>
      <c r="C1771" s="40">
        <f>IF(B1771="","",IFERROR(INDEX(Mitarbeiter!$B$6:$B$205,MATCH(B1771,Mitarbeiter!$A$6:$A$205,0)),"?"))</f>
        <v/>
      </c>
      <c r="D1771" s="41" t="n"/>
      <c r="E1771" s="42" t="n"/>
      <c r="F1771" s="43" t="n"/>
      <c r="G1771" s="44">
        <f>IF(OR(B1771="",F1771=""),"",IFERROR(F1771*INDEX(Mitarbeiter!$F$6:$F$205,MATCH(B1771,Mitarbeiter!$A$6:$A$205,0)),0))</f>
        <v/>
      </c>
      <c r="H1771" s="8">
        <f>IF(B1771="","",IF(ISNA(MATCH(B1771,Mitarbeiter!$A$6:$A$205,0)),"Pers.-Nr. unbekannt",IF(A1771="","Datum fehlt",IF(AND(D1771&lt;&gt;Einstellungen!$C$4,D1771&lt;&gt;Einstellungen!$C$5),"Objekt fehlt",IF(YEAR(A1771)&lt;&gt;Einstellungen!$C$3,"anderes Jahr",IF(A1771&lt;INDEX(Mitarbeiter!$C$6:$C$205,MATCH(B1771,Mitarbeiter!$A$6:$A$205,0)),"vor Eintritt",IF(AND(INDEX(Mitarbeiter!$D$6:$D$205,MATCH(B1771,Mitarbeiter!$A$6:$A$205,0))&lt;&gt;"",A1771&gt;INDEX(Mitarbeiter!$D$6:$D$205,MATCH(B1771,Mitarbeiter!$A$6:$A$205,0))),"nach Austritt","ok")))))))</f>
        <v/>
      </c>
    </row>
    <row r="1772">
      <c r="A1772" s="26" t="n"/>
      <c r="B1772" s="24" t="n"/>
      <c r="C1772" s="40">
        <f>IF(B1772="","",IFERROR(INDEX(Mitarbeiter!$B$6:$B$205,MATCH(B1772,Mitarbeiter!$A$6:$A$205,0)),"?"))</f>
        <v/>
      </c>
      <c r="D1772" s="41" t="n"/>
      <c r="E1772" s="42" t="n"/>
      <c r="F1772" s="43" t="n"/>
      <c r="G1772" s="44">
        <f>IF(OR(B1772="",F1772=""),"",IFERROR(F1772*INDEX(Mitarbeiter!$F$6:$F$205,MATCH(B1772,Mitarbeiter!$A$6:$A$205,0)),0))</f>
        <v/>
      </c>
      <c r="H1772" s="8">
        <f>IF(B1772="","",IF(ISNA(MATCH(B1772,Mitarbeiter!$A$6:$A$205,0)),"Pers.-Nr. unbekannt",IF(A1772="","Datum fehlt",IF(AND(D1772&lt;&gt;Einstellungen!$C$4,D1772&lt;&gt;Einstellungen!$C$5),"Objekt fehlt",IF(YEAR(A1772)&lt;&gt;Einstellungen!$C$3,"anderes Jahr",IF(A1772&lt;INDEX(Mitarbeiter!$C$6:$C$205,MATCH(B1772,Mitarbeiter!$A$6:$A$205,0)),"vor Eintritt",IF(AND(INDEX(Mitarbeiter!$D$6:$D$205,MATCH(B1772,Mitarbeiter!$A$6:$A$205,0))&lt;&gt;"",A1772&gt;INDEX(Mitarbeiter!$D$6:$D$205,MATCH(B1772,Mitarbeiter!$A$6:$A$205,0))),"nach Austritt","ok")))))))</f>
        <v/>
      </c>
    </row>
    <row r="1773">
      <c r="A1773" s="26" t="n"/>
      <c r="B1773" s="24" t="n"/>
      <c r="C1773" s="40">
        <f>IF(B1773="","",IFERROR(INDEX(Mitarbeiter!$B$6:$B$205,MATCH(B1773,Mitarbeiter!$A$6:$A$205,0)),"?"))</f>
        <v/>
      </c>
      <c r="D1773" s="41" t="n"/>
      <c r="E1773" s="42" t="n"/>
      <c r="F1773" s="43" t="n"/>
      <c r="G1773" s="44">
        <f>IF(OR(B1773="",F1773=""),"",IFERROR(F1773*INDEX(Mitarbeiter!$F$6:$F$205,MATCH(B1773,Mitarbeiter!$A$6:$A$205,0)),0))</f>
        <v/>
      </c>
      <c r="H1773" s="8">
        <f>IF(B1773="","",IF(ISNA(MATCH(B1773,Mitarbeiter!$A$6:$A$205,0)),"Pers.-Nr. unbekannt",IF(A1773="","Datum fehlt",IF(AND(D1773&lt;&gt;Einstellungen!$C$4,D1773&lt;&gt;Einstellungen!$C$5),"Objekt fehlt",IF(YEAR(A1773)&lt;&gt;Einstellungen!$C$3,"anderes Jahr",IF(A1773&lt;INDEX(Mitarbeiter!$C$6:$C$205,MATCH(B1773,Mitarbeiter!$A$6:$A$205,0)),"vor Eintritt",IF(AND(INDEX(Mitarbeiter!$D$6:$D$205,MATCH(B1773,Mitarbeiter!$A$6:$A$205,0))&lt;&gt;"",A1773&gt;INDEX(Mitarbeiter!$D$6:$D$205,MATCH(B1773,Mitarbeiter!$A$6:$A$205,0))),"nach Austritt","ok")))))))</f>
        <v/>
      </c>
    </row>
    <row r="1774">
      <c r="A1774" s="26" t="n"/>
      <c r="B1774" s="24" t="n"/>
      <c r="C1774" s="40">
        <f>IF(B1774="","",IFERROR(INDEX(Mitarbeiter!$B$6:$B$205,MATCH(B1774,Mitarbeiter!$A$6:$A$205,0)),"?"))</f>
        <v/>
      </c>
      <c r="D1774" s="41" t="n"/>
      <c r="E1774" s="42" t="n"/>
      <c r="F1774" s="43" t="n"/>
      <c r="G1774" s="44">
        <f>IF(OR(B1774="",F1774=""),"",IFERROR(F1774*INDEX(Mitarbeiter!$F$6:$F$205,MATCH(B1774,Mitarbeiter!$A$6:$A$205,0)),0))</f>
        <v/>
      </c>
      <c r="H1774" s="8">
        <f>IF(B1774="","",IF(ISNA(MATCH(B1774,Mitarbeiter!$A$6:$A$205,0)),"Pers.-Nr. unbekannt",IF(A1774="","Datum fehlt",IF(AND(D1774&lt;&gt;Einstellungen!$C$4,D1774&lt;&gt;Einstellungen!$C$5),"Objekt fehlt",IF(YEAR(A1774)&lt;&gt;Einstellungen!$C$3,"anderes Jahr",IF(A1774&lt;INDEX(Mitarbeiter!$C$6:$C$205,MATCH(B1774,Mitarbeiter!$A$6:$A$205,0)),"vor Eintritt",IF(AND(INDEX(Mitarbeiter!$D$6:$D$205,MATCH(B1774,Mitarbeiter!$A$6:$A$205,0))&lt;&gt;"",A1774&gt;INDEX(Mitarbeiter!$D$6:$D$205,MATCH(B1774,Mitarbeiter!$A$6:$A$205,0))),"nach Austritt","ok")))))))</f>
        <v/>
      </c>
    </row>
    <row r="1775">
      <c r="A1775" s="26" t="n"/>
      <c r="B1775" s="24" t="n"/>
      <c r="C1775" s="40">
        <f>IF(B1775="","",IFERROR(INDEX(Mitarbeiter!$B$6:$B$205,MATCH(B1775,Mitarbeiter!$A$6:$A$205,0)),"?"))</f>
        <v/>
      </c>
      <c r="D1775" s="41" t="n"/>
      <c r="E1775" s="42" t="n"/>
      <c r="F1775" s="43" t="n"/>
      <c r="G1775" s="44">
        <f>IF(OR(B1775="",F1775=""),"",IFERROR(F1775*INDEX(Mitarbeiter!$F$6:$F$205,MATCH(B1775,Mitarbeiter!$A$6:$A$205,0)),0))</f>
        <v/>
      </c>
      <c r="H1775" s="8">
        <f>IF(B1775="","",IF(ISNA(MATCH(B1775,Mitarbeiter!$A$6:$A$205,0)),"Pers.-Nr. unbekannt",IF(A1775="","Datum fehlt",IF(AND(D1775&lt;&gt;Einstellungen!$C$4,D1775&lt;&gt;Einstellungen!$C$5),"Objekt fehlt",IF(YEAR(A1775)&lt;&gt;Einstellungen!$C$3,"anderes Jahr",IF(A1775&lt;INDEX(Mitarbeiter!$C$6:$C$205,MATCH(B1775,Mitarbeiter!$A$6:$A$205,0)),"vor Eintritt",IF(AND(INDEX(Mitarbeiter!$D$6:$D$205,MATCH(B1775,Mitarbeiter!$A$6:$A$205,0))&lt;&gt;"",A1775&gt;INDEX(Mitarbeiter!$D$6:$D$205,MATCH(B1775,Mitarbeiter!$A$6:$A$205,0))),"nach Austritt","ok")))))))</f>
        <v/>
      </c>
    </row>
    <row r="1776">
      <c r="A1776" s="26" t="n"/>
      <c r="B1776" s="24" t="n"/>
      <c r="C1776" s="40">
        <f>IF(B1776="","",IFERROR(INDEX(Mitarbeiter!$B$6:$B$205,MATCH(B1776,Mitarbeiter!$A$6:$A$205,0)),"?"))</f>
        <v/>
      </c>
      <c r="D1776" s="41" t="n"/>
      <c r="E1776" s="42" t="n"/>
      <c r="F1776" s="43" t="n"/>
      <c r="G1776" s="44">
        <f>IF(OR(B1776="",F1776=""),"",IFERROR(F1776*INDEX(Mitarbeiter!$F$6:$F$205,MATCH(B1776,Mitarbeiter!$A$6:$A$205,0)),0))</f>
        <v/>
      </c>
      <c r="H1776" s="8">
        <f>IF(B1776="","",IF(ISNA(MATCH(B1776,Mitarbeiter!$A$6:$A$205,0)),"Pers.-Nr. unbekannt",IF(A1776="","Datum fehlt",IF(AND(D1776&lt;&gt;Einstellungen!$C$4,D1776&lt;&gt;Einstellungen!$C$5),"Objekt fehlt",IF(YEAR(A1776)&lt;&gt;Einstellungen!$C$3,"anderes Jahr",IF(A1776&lt;INDEX(Mitarbeiter!$C$6:$C$205,MATCH(B1776,Mitarbeiter!$A$6:$A$205,0)),"vor Eintritt",IF(AND(INDEX(Mitarbeiter!$D$6:$D$205,MATCH(B1776,Mitarbeiter!$A$6:$A$205,0))&lt;&gt;"",A1776&gt;INDEX(Mitarbeiter!$D$6:$D$205,MATCH(B1776,Mitarbeiter!$A$6:$A$205,0))),"nach Austritt","ok")))))))</f>
        <v/>
      </c>
    </row>
    <row r="1777">
      <c r="A1777" s="26" t="n"/>
      <c r="B1777" s="24" t="n"/>
      <c r="C1777" s="40">
        <f>IF(B1777="","",IFERROR(INDEX(Mitarbeiter!$B$6:$B$205,MATCH(B1777,Mitarbeiter!$A$6:$A$205,0)),"?"))</f>
        <v/>
      </c>
      <c r="D1777" s="41" t="n"/>
      <c r="E1777" s="42" t="n"/>
      <c r="F1777" s="43" t="n"/>
      <c r="G1777" s="44">
        <f>IF(OR(B1777="",F1777=""),"",IFERROR(F1777*INDEX(Mitarbeiter!$F$6:$F$205,MATCH(B1777,Mitarbeiter!$A$6:$A$205,0)),0))</f>
        <v/>
      </c>
      <c r="H1777" s="8">
        <f>IF(B1777="","",IF(ISNA(MATCH(B1777,Mitarbeiter!$A$6:$A$205,0)),"Pers.-Nr. unbekannt",IF(A1777="","Datum fehlt",IF(AND(D1777&lt;&gt;Einstellungen!$C$4,D1777&lt;&gt;Einstellungen!$C$5),"Objekt fehlt",IF(YEAR(A1777)&lt;&gt;Einstellungen!$C$3,"anderes Jahr",IF(A1777&lt;INDEX(Mitarbeiter!$C$6:$C$205,MATCH(B1777,Mitarbeiter!$A$6:$A$205,0)),"vor Eintritt",IF(AND(INDEX(Mitarbeiter!$D$6:$D$205,MATCH(B1777,Mitarbeiter!$A$6:$A$205,0))&lt;&gt;"",A1777&gt;INDEX(Mitarbeiter!$D$6:$D$205,MATCH(B1777,Mitarbeiter!$A$6:$A$205,0))),"nach Austritt","ok")))))))</f>
        <v/>
      </c>
    </row>
    <row r="1778">
      <c r="A1778" s="26" t="n"/>
      <c r="B1778" s="24" t="n"/>
      <c r="C1778" s="40">
        <f>IF(B1778="","",IFERROR(INDEX(Mitarbeiter!$B$6:$B$205,MATCH(B1778,Mitarbeiter!$A$6:$A$205,0)),"?"))</f>
        <v/>
      </c>
      <c r="D1778" s="41" t="n"/>
      <c r="E1778" s="42" t="n"/>
      <c r="F1778" s="43" t="n"/>
      <c r="G1778" s="44">
        <f>IF(OR(B1778="",F1778=""),"",IFERROR(F1778*INDEX(Mitarbeiter!$F$6:$F$205,MATCH(B1778,Mitarbeiter!$A$6:$A$205,0)),0))</f>
        <v/>
      </c>
      <c r="H1778" s="8">
        <f>IF(B1778="","",IF(ISNA(MATCH(B1778,Mitarbeiter!$A$6:$A$205,0)),"Pers.-Nr. unbekannt",IF(A1778="","Datum fehlt",IF(AND(D1778&lt;&gt;Einstellungen!$C$4,D1778&lt;&gt;Einstellungen!$C$5),"Objekt fehlt",IF(YEAR(A1778)&lt;&gt;Einstellungen!$C$3,"anderes Jahr",IF(A1778&lt;INDEX(Mitarbeiter!$C$6:$C$205,MATCH(B1778,Mitarbeiter!$A$6:$A$205,0)),"vor Eintritt",IF(AND(INDEX(Mitarbeiter!$D$6:$D$205,MATCH(B1778,Mitarbeiter!$A$6:$A$205,0))&lt;&gt;"",A1778&gt;INDEX(Mitarbeiter!$D$6:$D$205,MATCH(B1778,Mitarbeiter!$A$6:$A$205,0))),"nach Austritt","ok")))))))</f>
        <v/>
      </c>
    </row>
    <row r="1779">
      <c r="A1779" s="26" t="n"/>
      <c r="B1779" s="24" t="n"/>
      <c r="C1779" s="40">
        <f>IF(B1779="","",IFERROR(INDEX(Mitarbeiter!$B$6:$B$205,MATCH(B1779,Mitarbeiter!$A$6:$A$205,0)),"?"))</f>
        <v/>
      </c>
      <c r="D1779" s="41" t="n"/>
      <c r="E1779" s="42" t="n"/>
      <c r="F1779" s="43" t="n"/>
      <c r="G1779" s="44">
        <f>IF(OR(B1779="",F1779=""),"",IFERROR(F1779*INDEX(Mitarbeiter!$F$6:$F$205,MATCH(B1779,Mitarbeiter!$A$6:$A$205,0)),0))</f>
        <v/>
      </c>
      <c r="H1779" s="8">
        <f>IF(B1779="","",IF(ISNA(MATCH(B1779,Mitarbeiter!$A$6:$A$205,0)),"Pers.-Nr. unbekannt",IF(A1779="","Datum fehlt",IF(AND(D1779&lt;&gt;Einstellungen!$C$4,D1779&lt;&gt;Einstellungen!$C$5),"Objekt fehlt",IF(YEAR(A1779)&lt;&gt;Einstellungen!$C$3,"anderes Jahr",IF(A1779&lt;INDEX(Mitarbeiter!$C$6:$C$205,MATCH(B1779,Mitarbeiter!$A$6:$A$205,0)),"vor Eintritt",IF(AND(INDEX(Mitarbeiter!$D$6:$D$205,MATCH(B1779,Mitarbeiter!$A$6:$A$205,0))&lt;&gt;"",A1779&gt;INDEX(Mitarbeiter!$D$6:$D$205,MATCH(B1779,Mitarbeiter!$A$6:$A$205,0))),"nach Austritt","ok")))))))</f>
        <v/>
      </c>
    </row>
    <row r="1780">
      <c r="A1780" s="26" t="n"/>
      <c r="B1780" s="24" t="n"/>
      <c r="C1780" s="40">
        <f>IF(B1780="","",IFERROR(INDEX(Mitarbeiter!$B$6:$B$205,MATCH(B1780,Mitarbeiter!$A$6:$A$205,0)),"?"))</f>
        <v/>
      </c>
      <c r="D1780" s="41" t="n"/>
      <c r="E1780" s="42" t="n"/>
      <c r="F1780" s="43" t="n"/>
      <c r="G1780" s="44">
        <f>IF(OR(B1780="",F1780=""),"",IFERROR(F1780*INDEX(Mitarbeiter!$F$6:$F$205,MATCH(B1780,Mitarbeiter!$A$6:$A$205,0)),0))</f>
        <v/>
      </c>
      <c r="H1780" s="8">
        <f>IF(B1780="","",IF(ISNA(MATCH(B1780,Mitarbeiter!$A$6:$A$205,0)),"Pers.-Nr. unbekannt",IF(A1780="","Datum fehlt",IF(AND(D1780&lt;&gt;Einstellungen!$C$4,D1780&lt;&gt;Einstellungen!$C$5),"Objekt fehlt",IF(YEAR(A1780)&lt;&gt;Einstellungen!$C$3,"anderes Jahr",IF(A1780&lt;INDEX(Mitarbeiter!$C$6:$C$205,MATCH(B1780,Mitarbeiter!$A$6:$A$205,0)),"vor Eintritt",IF(AND(INDEX(Mitarbeiter!$D$6:$D$205,MATCH(B1780,Mitarbeiter!$A$6:$A$205,0))&lt;&gt;"",A1780&gt;INDEX(Mitarbeiter!$D$6:$D$205,MATCH(B1780,Mitarbeiter!$A$6:$A$205,0))),"nach Austritt","ok")))))))</f>
        <v/>
      </c>
    </row>
    <row r="1781">
      <c r="A1781" s="26" t="n"/>
      <c r="B1781" s="24" t="n"/>
      <c r="C1781" s="40">
        <f>IF(B1781="","",IFERROR(INDEX(Mitarbeiter!$B$6:$B$205,MATCH(B1781,Mitarbeiter!$A$6:$A$205,0)),"?"))</f>
        <v/>
      </c>
      <c r="D1781" s="41" t="n"/>
      <c r="E1781" s="42" t="n"/>
      <c r="F1781" s="43" t="n"/>
      <c r="G1781" s="44">
        <f>IF(OR(B1781="",F1781=""),"",IFERROR(F1781*INDEX(Mitarbeiter!$F$6:$F$205,MATCH(B1781,Mitarbeiter!$A$6:$A$205,0)),0))</f>
        <v/>
      </c>
      <c r="H1781" s="8">
        <f>IF(B1781="","",IF(ISNA(MATCH(B1781,Mitarbeiter!$A$6:$A$205,0)),"Pers.-Nr. unbekannt",IF(A1781="","Datum fehlt",IF(AND(D1781&lt;&gt;Einstellungen!$C$4,D1781&lt;&gt;Einstellungen!$C$5),"Objekt fehlt",IF(YEAR(A1781)&lt;&gt;Einstellungen!$C$3,"anderes Jahr",IF(A1781&lt;INDEX(Mitarbeiter!$C$6:$C$205,MATCH(B1781,Mitarbeiter!$A$6:$A$205,0)),"vor Eintritt",IF(AND(INDEX(Mitarbeiter!$D$6:$D$205,MATCH(B1781,Mitarbeiter!$A$6:$A$205,0))&lt;&gt;"",A1781&gt;INDEX(Mitarbeiter!$D$6:$D$205,MATCH(B1781,Mitarbeiter!$A$6:$A$205,0))),"nach Austritt","ok")))))))</f>
        <v/>
      </c>
    </row>
    <row r="1782">
      <c r="A1782" s="26" t="n"/>
      <c r="B1782" s="24" t="n"/>
      <c r="C1782" s="40">
        <f>IF(B1782="","",IFERROR(INDEX(Mitarbeiter!$B$6:$B$205,MATCH(B1782,Mitarbeiter!$A$6:$A$205,0)),"?"))</f>
        <v/>
      </c>
      <c r="D1782" s="41" t="n"/>
      <c r="E1782" s="42" t="n"/>
      <c r="F1782" s="43" t="n"/>
      <c r="G1782" s="44">
        <f>IF(OR(B1782="",F1782=""),"",IFERROR(F1782*INDEX(Mitarbeiter!$F$6:$F$205,MATCH(B1782,Mitarbeiter!$A$6:$A$205,0)),0))</f>
        <v/>
      </c>
      <c r="H1782" s="8">
        <f>IF(B1782="","",IF(ISNA(MATCH(B1782,Mitarbeiter!$A$6:$A$205,0)),"Pers.-Nr. unbekannt",IF(A1782="","Datum fehlt",IF(AND(D1782&lt;&gt;Einstellungen!$C$4,D1782&lt;&gt;Einstellungen!$C$5),"Objekt fehlt",IF(YEAR(A1782)&lt;&gt;Einstellungen!$C$3,"anderes Jahr",IF(A1782&lt;INDEX(Mitarbeiter!$C$6:$C$205,MATCH(B1782,Mitarbeiter!$A$6:$A$205,0)),"vor Eintritt",IF(AND(INDEX(Mitarbeiter!$D$6:$D$205,MATCH(B1782,Mitarbeiter!$A$6:$A$205,0))&lt;&gt;"",A1782&gt;INDEX(Mitarbeiter!$D$6:$D$205,MATCH(B1782,Mitarbeiter!$A$6:$A$205,0))),"nach Austritt","ok")))))))</f>
        <v/>
      </c>
    </row>
    <row r="1783">
      <c r="A1783" s="26" t="n"/>
      <c r="B1783" s="24" t="n"/>
      <c r="C1783" s="40">
        <f>IF(B1783="","",IFERROR(INDEX(Mitarbeiter!$B$6:$B$205,MATCH(B1783,Mitarbeiter!$A$6:$A$205,0)),"?"))</f>
        <v/>
      </c>
      <c r="D1783" s="41" t="n"/>
      <c r="E1783" s="42" t="n"/>
      <c r="F1783" s="43" t="n"/>
      <c r="G1783" s="44">
        <f>IF(OR(B1783="",F1783=""),"",IFERROR(F1783*INDEX(Mitarbeiter!$F$6:$F$205,MATCH(B1783,Mitarbeiter!$A$6:$A$205,0)),0))</f>
        <v/>
      </c>
      <c r="H1783" s="8">
        <f>IF(B1783="","",IF(ISNA(MATCH(B1783,Mitarbeiter!$A$6:$A$205,0)),"Pers.-Nr. unbekannt",IF(A1783="","Datum fehlt",IF(AND(D1783&lt;&gt;Einstellungen!$C$4,D1783&lt;&gt;Einstellungen!$C$5),"Objekt fehlt",IF(YEAR(A1783)&lt;&gt;Einstellungen!$C$3,"anderes Jahr",IF(A1783&lt;INDEX(Mitarbeiter!$C$6:$C$205,MATCH(B1783,Mitarbeiter!$A$6:$A$205,0)),"vor Eintritt",IF(AND(INDEX(Mitarbeiter!$D$6:$D$205,MATCH(B1783,Mitarbeiter!$A$6:$A$205,0))&lt;&gt;"",A1783&gt;INDEX(Mitarbeiter!$D$6:$D$205,MATCH(B1783,Mitarbeiter!$A$6:$A$205,0))),"nach Austritt","ok")))))))</f>
        <v/>
      </c>
    </row>
    <row r="1784">
      <c r="A1784" s="26" t="n"/>
      <c r="B1784" s="24" t="n"/>
      <c r="C1784" s="40">
        <f>IF(B1784="","",IFERROR(INDEX(Mitarbeiter!$B$6:$B$205,MATCH(B1784,Mitarbeiter!$A$6:$A$205,0)),"?"))</f>
        <v/>
      </c>
      <c r="D1784" s="41" t="n"/>
      <c r="E1784" s="42" t="n"/>
      <c r="F1784" s="43" t="n"/>
      <c r="G1784" s="44">
        <f>IF(OR(B1784="",F1784=""),"",IFERROR(F1784*INDEX(Mitarbeiter!$F$6:$F$205,MATCH(B1784,Mitarbeiter!$A$6:$A$205,0)),0))</f>
        <v/>
      </c>
      <c r="H1784" s="8">
        <f>IF(B1784="","",IF(ISNA(MATCH(B1784,Mitarbeiter!$A$6:$A$205,0)),"Pers.-Nr. unbekannt",IF(A1784="","Datum fehlt",IF(AND(D1784&lt;&gt;Einstellungen!$C$4,D1784&lt;&gt;Einstellungen!$C$5),"Objekt fehlt",IF(YEAR(A1784)&lt;&gt;Einstellungen!$C$3,"anderes Jahr",IF(A1784&lt;INDEX(Mitarbeiter!$C$6:$C$205,MATCH(B1784,Mitarbeiter!$A$6:$A$205,0)),"vor Eintritt",IF(AND(INDEX(Mitarbeiter!$D$6:$D$205,MATCH(B1784,Mitarbeiter!$A$6:$A$205,0))&lt;&gt;"",A1784&gt;INDEX(Mitarbeiter!$D$6:$D$205,MATCH(B1784,Mitarbeiter!$A$6:$A$205,0))),"nach Austritt","ok")))))))</f>
        <v/>
      </c>
    </row>
    <row r="1785">
      <c r="A1785" s="26" t="n"/>
      <c r="B1785" s="24" t="n"/>
      <c r="C1785" s="40">
        <f>IF(B1785="","",IFERROR(INDEX(Mitarbeiter!$B$6:$B$205,MATCH(B1785,Mitarbeiter!$A$6:$A$205,0)),"?"))</f>
        <v/>
      </c>
      <c r="D1785" s="41" t="n"/>
      <c r="E1785" s="42" t="n"/>
      <c r="F1785" s="43" t="n"/>
      <c r="G1785" s="44">
        <f>IF(OR(B1785="",F1785=""),"",IFERROR(F1785*INDEX(Mitarbeiter!$F$6:$F$205,MATCH(B1785,Mitarbeiter!$A$6:$A$205,0)),0))</f>
        <v/>
      </c>
      <c r="H1785" s="8">
        <f>IF(B1785="","",IF(ISNA(MATCH(B1785,Mitarbeiter!$A$6:$A$205,0)),"Pers.-Nr. unbekannt",IF(A1785="","Datum fehlt",IF(AND(D1785&lt;&gt;Einstellungen!$C$4,D1785&lt;&gt;Einstellungen!$C$5),"Objekt fehlt",IF(YEAR(A1785)&lt;&gt;Einstellungen!$C$3,"anderes Jahr",IF(A1785&lt;INDEX(Mitarbeiter!$C$6:$C$205,MATCH(B1785,Mitarbeiter!$A$6:$A$205,0)),"vor Eintritt",IF(AND(INDEX(Mitarbeiter!$D$6:$D$205,MATCH(B1785,Mitarbeiter!$A$6:$A$205,0))&lt;&gt;"",A1785&gt;INDEX(Mitarbeiter!$D$6:$D$205,MATCH(B1785,Mitarbeiter!$A$6:$A$205,0))),"nach Austritt","ok")))))))</f>
        <v/>
      </c>
    </row>
    <row r="1786">
      <c r="A1786" s="26" t="n"/>
      <c r="B1786" s="24" t="n"/>
      <c r="C1786" s="40">
        <f>IF(B1786="","",IFERROR(INDEX(Mitarbeiter!$B$6:$B$205,MATCH(B1786,Mitarbeiter!$A$6:$A$205,0)),"?"))</f>
        <v/>
      </c>
      <c r="D1786" s="41" t="n"/>
      <c r="E1786" s="42" t="n"/>
      <c r="F1786" s="43" t="n"/>
      <c r="G1786" s="44">
        <f>IF(OR(B1786="",F1786=""),"",IFERROR(F1786*INDEX(Mitarbeiter!$F$6:$F$205,MATCH(B1786,Mitarbeiter!$A$6:$A$205,0)),0))</f>
        <v/>
      </c>
      <c r="H1786" s="8">
        <f>IF(B1786="","",IF(ISNA(MATCH(B1786,Mitarbeiter!$A$6:$A$205,0)),"Pers.-Nr. unbekannt",IF(A1786="","Datum fehlt",IF(AND(D1786&lt;&gt;Einstellungen!$C$4,D1786&lt;&gt;Einstellungen!$C$5),"Objekt fehlt",IF(YEAR(A1786)&lt;&gt;Einstellungen!$C$3,"anderes Jahr",IF(A1786&lt;INDEX(Mitarbeiter!$C$6:$C$205,MATCH(B1786,Mitarbeiter!$A$6:$A$205,0)),"vor Eintritt",IF(AND(INDEX(Mitarbeiter!$D$6:$D$205,MATCH(B1786,Mitarbeiter!$A$6:$A$205,0))&lt;&gt;"",A1786&gt;INDEX(Mitarbeiter!$D$6:$D$205,MATCH(B1786,Mitarbeiter!$A$6:$A$205,0))),"nach Austritt","ok")))))))</f>
        <v/>
      </c>
    </row>
    <row r="1787">
      <c r="A1787" s="26" t="n"/>
      <c r="B1787" s="24" t="n"/>
      <c r="C1787" s="40">
        <f>IF(B1787="","",IFERROR(INDEX(Mitarbeiter!$B$6:$B$205,MATCH(B1787,Mitarbeiter!$A$6:$A$205,0)),"?"))</f>
        <v/>
      </c>
      <c r="D1787" s="41" t="n"/>
      <c r="E1787" s="42" t="n"/>
      <c r="F1787" s="43" t="n"/>
      <c r="G1787" s="44">
        <f>IF(OR(B1787="",F1787=""),"",IFERROR(F1787*INDEX(Mitarbeiter!$F$6:$F$205,MATCH(B1787,Mitarbeiter!$A$6:$A$205,0)),0))</f>
        <v/>
      </c>
      <c r="H1787" s="8">
        <f>IF(B1787="","",IF(ISNA(MATCH(B1787,Mitarbeiter!$A$6:$A$205,0)),"Pers.-Nr. unbekannt",IF(A1787="","Datum fehlt",IF(AND(D1787&lt;&gt;Einstellungen!$C$4,D1787&lt;&gt;Einstellungen!$C$5),"Objekt fehlt",IF(YEAR(A1787)&lt;&gt;Einstellungen!$C$3,"anderes Jahr",IF(A1787&lt;INDEX(Mitarbeiter!$C$6:$C$205,MATCH(B1787,Mitarbeiter!$A$6:$A$205,0)),"vor Eintritt",IF(AND(INDEX(Mitarbeiter!$D$6:$D$205,MATCH(B1787,Mitarbeiter!$A$6:$A$205,0))&lt;&gt;"",A1787&gt;INDEX(Mitarbeiter!$D$6:$D$205,MATCH(B1787,Mitarbeiter!$A$6:$A$205,0))),"nach Austritt","ok")))))))</f>
        <v/>
      </c>
    </row>
    <row r="1788">
      <c r="A1788" s="26" t="n"/>
      <c r="B1788" s="24" t="n"/>
      <c r="C1788" s="40">
        <f>IF(B1788="","",IFERROR(INDEX(Mitarbeiter!$B$6:$B$205,MATCH(B1788,Mitarbeiter!$A$6:$A$205,0)),"?"))</f>
        <v/>
      </c>
      <c r="D1788" s="41" t="n"/>
      <c r="E1788" s="42" t="n"/>
      <c r="F1788" s="43" t="n"/>
      <c r="G1788" s="44">
        <f>IF(OR(B1788="",F1788=""),"",IFERROR(F1788*INDEX(Mitarbeiter!$F$6:$F$205,MATCH(B1788,Mitarbeiter!$A$6:$A$205,0)),0))</f>
        <v/>
      </c>
      <c r="H1788" s="8">
        <f>IF(B1788="","",IF(ISNA(MATCH(B1788,Mitarbeiter!$A$6:$A$205,0)),"Pers.-Nr. unbekannt",IF(A1788="","Datum fehlt",IF(AND(D1788&lt;&gt;Einstellungen!$C$4,D1788&lt;&gt;Einstellungen!$C$5),"Objekt fehlt",IF(YEAR(A1788)&lt;&gt;Einstellungen!$C$3,"anderes Jahr",IF(A1788&lt;INDEX(Mitarbeiter!$C$6:$C$205,MATCH(B1788,Mitarbeiter!$A$6:$A$205,0)),"vor Eintritt",IF(AND(INDEX(Mitarbeiter!$D$6:$D$205,MATCH(B1788,Mitarbeiter!$A$6:$A$205,0))&lt;&gt;"",A1788&gt;INDEX(Mitarbeiter!$D$6:$D$205,MATCH(B1788,Mitarbeiter!$A$6:$A$205,0))),"nach Austritt","ok")))))))</f>
        <v/>
      </c>
    </row>
    <row r="1789">
      <c r="A1789" s="26" t="n"/>
      <c r="B1789" s="24" t="n"/>
      <c r="C1789" s="40">
        <f>IF(B1789="","",IFERROR(INDEX(Mitarbeiter!$B$6:$B$205,MATCH(B1789,Mitarbeiter!$A$6:$A$205,0)),"?"))</f>
        <v/>
      </c>
      <c r="D1789" s="41" t="n"/>
      <c r="E1789" s="42" t="n"/>
      <c r="F1789" s="43" t="n"/>
      <c r="G1789" s="44">
        <f>IF(OR(B1789="",F1789=""),"",IFERROR(F1789*INDEX(Mitarbeiter!$F$6:$F$205,MATCH(B1789,Mitarbeiter!$A$6:$A$205,0)),0))</f>
        <v/>
      </c>
      <c r="H1789" s="8">
        <f>IF(B1789="","",IF(ISNA(MATCH(B1789,Mitarbeiter!$A$6:$A$205,0)),"Pers.-Nr. unbekannt",IF(A1789="","Datum fehlt",IF(AND(D1789&lt;&gt;Einstellungen!$C$4,D1789&lt;&gt;Einstellungen!$C$5),"Objekt fehlt",IF(YEAR(A1789)&lt;&gt;Einstellungen!$C$3,"anderes Jahr",IF(A1789&lt;INDEX(Mitarbeiter!$C$6:$C$205,MATCH(B1789,Mitarbeiter!$A$6:$A$205,0)),"vor Eintritt",IF(AND(INDEX(Mitarbeiter!$D$6:$D$205,MATCH(B1789,Mitarbeiter!$A$6:$A$205,0))&lt;&gt;"",A1789&gt;INDEX(Mitarbeiter!$D$6:$D$205,MATCH(B1789,Mitarbeiter!$A$6:$A$205,0))),"nach Austritt","ok")))))))</f>
        <v/>
      </c>
    </row>
    <row r="1790">
      <c r="A1790" s="26" t="n"/>
      <c r="B1790" s="24" t="n"/>
      <c r="C1790" s="40">
        <f>IF(B1790="","",IFERROR(INDEX(Mitarbeiter!$B$6:$B$205,MATCH(B1790,Mitarbeiter!$A$6:$A$205,0)),"?"))</f>
        <v/>
      </c>
      <c r="D1790" s="41" t="n"/>
      <c r="E1790" s="42" t="n"/>
      <c r="F1790" s="43" t="n"/>
      <c r="G1790" s="44">
        <f>IF(OR(B1790="",F1790=""),"",IFERROR(F1790*INDEX(Mitarbeiter!$F$6:$F$205,MATCH(B1790,Mitarbeiter!$A$6:$A$205,0)),0))</f>
        <v/>
      </c>
      <c r="H1790" s="8">
        <f>IF(B1790="","",IF(ISNA(MATCH(B1790,Mitarbeiter!$A$6:$A$205,0)),"Pers.-Nr. unbekannt",IF(A1790="","Datum fehlt",IF(AND(D1790&lt;&gt;Einstellungen!$C$4,D1790&lt;&gt;Einstellungen!$C$5),"Objekt fehlt",IF(YEAR(A1790)&lt;&gt;Einstellungen!$C$3,"anderes Jahr",IF(A1790&lt;INDEX(Mitarbeiter!$C$6:$C$205,MATCH(B1790,Mitarbeiter!$A$6:$A$205,0)),"vor Eintritt",IF(AND(INDEX(Mitarbeiter!$D$6:$D$205,MATCH(B1790,Mitarbeiter!$A$6:$A$205,0))&lt;&gt;"",A1790&gt;INDEX(Mitarbeiter!$D$6:$D$205,MATCH(B1790,Mitarbeiter!$A$6:$A$205,0))),"nach Austritt","ok")))))))</f>
        <v/>
      </c>
    </row>
    <row r="1791">
      <c r="A1791" s="26" t="n"/>
      <c r="B1791" s="24" t="n"/>
      <c r="C1791" s="40">
        <f>IF(B1791="","",IFERROR(INDEX(Mitarbeiter!$B$6:$B$205,MATCH(B1791,Mitarbeiter!$A$6:$A$205,0)),"?"))</f>
        <v/>
      </c>
      <c r="D1791" s="41" t="n"/>
      <c r="E1791" s="42" t="n"/>
      <c r="F1791" s="43" t="n"/>
      <c r="G1791" s="44">
        <f>IF(OR(B1791="",F1791=""),"",IFERROR(F1791*INDEX(Mitarbeiter!$F$6:$F$205,MATCH(B1791,Mitarbeiter!$A$6:$A$205,0)),0))</f>
        <v/>
      </c>
      <c r="H1791" s="8">
        <f>IF(B1791="","",IF(ISNA(MATCH(B1791,Mitarbeiter!$A$6:$A$205,0)),"Pers.-Nr. unbekannt",IF(A1791="","Datum fehlt",IF(AND(D1791&lt;&gt;Einstellungen!$C$4,D1791&lt;&gt;Einstellungen!$C$5),"Objekt fehlt",IF(YEAR(A1791)&lt;&gt;Einstellungen!$C$3,"anderes Jahr",IF(A1791&lt;INDEX(Mitarbeiter!$C$6:$C$205,MATCH(B1791,Mitarbeiter!$A$6:$A$205,0)),"vor Eintritt",IF(AND(INDEX(Mitarbeiter!$D$6:$D$205,MATCH(B1791,Mitarbeiter!$A$6:$A$205,0))&lt;&gt;"",A1791&gt;INDEX(Mitarbeiter!$D$6:$D$205,MATCH(B1791,Mitarbeiter!$A$6:$A$205,0))),"nach Austritt","ok")))))))</f>
        <v/>
      </c>
    </row>
    <row r="1792">
      <c r="A1792" s="26" t="n"/>
      <c r="B1792" s="24" t="n"/>
      <c r="C1792" s="40">
        <f>IF(B1792="","",IFERROR(INDEX(Mitarbeiter!$B$6:$B$205,MATCH(B1792,Mitarbeiter!$A$6:$A$205,0)),"?"))</f>
        <v/>
      </c>
      <c r="D1792" s="41" t="n"/>
      <c r="E1792" s="42" t="n"/>
      <c r="F1792" s="43" t="n"/>
      <c r="G1792" s="44">
        <f>IF(OR(B1792="",F1792=""),"",IFERROR(F1792*INDEX(Mitarbeiter!$F$6:$F$205,MATCH(B1792,Mitarbeiter!$A$6:$A$205,0)),0))</f>
        <v/>
      </c>
      <c r="H1792" s="8">
        <f>IF(B1792="","",IF(ISNA(MATCH(B1792,Mitarbeiter!$A$6:$A$205,0)),"Pers.-Nr. unbekannt",IF(A1792="","Datum fehlt",IF(AND(D1792&lt;&gt;Einstellungen!$C$4,D1792&lt;&gt;Einstellungen!$C$5),"Objekt fehlt",IF(YEAR(A1792)&lt;&gt;Einstellungen!$C$3,"anderes Jahr",IF(A1792&lt;INDEX(Mitarbeiter!$C$6:$C$205,MATCH(B1792,Mitarbeiter!$A$6:$A$205,0)),"vor Eintritt",IF(AND(INDEX(Mitarbeiter!$D$6:$D$205,MATCH(B1792,Mitarbeiter!$A$6:$A$205,0))&lt;&gt;"",A1792&gt;INDEX(Mitarbeiter!$D$6:$D$205,MATCH(B1792,Mitarbeiter!$A$6:$A$205,0))),"nach Austritt","ok")))))))</f>
        <v/>
      </c>
    </row>
    <row r="1793">
      <c r="A1793" s="26" t="n"/>
      <c r="B1793" s="24" t="n"/>
      <c r="C1793" s="40">
        <f>IF(B1793="","",IFERROR(INDEX(Mitarbeiter!$B$6:$B$205,MATCH(B1793,Mitarbeiter!$A$6:$A$205,0)),"?"))</f>
        <v/>
      </c>
      <c r="D1793" s="41" t="n"/>
      <c r="E1793" s="42" t="n"/>
      <c r="F1793" s="43" t="n"/>
      <c r="G1793" s="44">
        <f>IF(OR(B1793="",F1793=""),"",IFERROR(F1793*INDEX(Mitarbeiter!$F$6:$F$205,MATCH(B1793,Mitarbeiter!$A$6:$A$205,0)),0))</f>
        <v/>
      </c>
      <c r="H1793" s="8">
        <f>IF(B1793="","",IF(ISNA(MATCH(B1793,Mitarbeiter!$A$6:$A$205,0)),"Pers.-Nr. unbekannt",IF(A1793="","Datum fehlt",IF(AND(D1793&lt;&gt;Einstellungen!$C$4,D1793&lt;&gt;Einstellungen!$C$5),"Objekt fehlt",IF(YEAR(A1793)&lt;&gt;Einstellungen!$C$3,"anderes Jahr",IF(A1793&lt;INDEX(Mitarbeiter!$C$6:$C$205,MATCH(B1793,Mitarbeiter!$A$6:$A$205,0)),"vor Eintritt",IF(AND(INDEX(Mitarbeiter!$D$6:$D$205,MATCH(B1793,Mitarbeiter!$A$6:$A$205,0))&lt;&gt;"",A1793&gt;INDEX(Mitarbeiter!$D$6:$D$205,MATCH(B1793,Mitarbeiter!$A$6:$A$205,0))),"nach Austritt","ok")))))))</f>
        <v/>
      </c>
    </row>
    <row r="1794">
      <c r="A1794" s="26" t="n"/>
      <c r="B1794" s="24" t="n"/>
      <c r="C1794" s="40">
        <f>IF(B1794="","",IFERROR(INDEX(Mitarbeiter!$B$6:$B$205,MATCH(B1794,Mitarbeiter!$A$6:$A$205,0)),"?"))</f>
        <v/>
      </c>
      <c r="D1794" s="41" t="n"/>
      <c r="E1794" s="42" t="n"/>
      <c r="F1794" s="43" t="n"/>
      <c r="G1794" s="44">
        <f>IF(OR(B1794="",F1794=""),"",IFERROR(F1794*INDEX(Mitarbeiter!$F$6:$F$205,MATCH(B1794,Mitarbeiter!$A$6:$A$205,0)),0))</f>
        <v/>
      </c>
      <c r="H1794" s="8">
        <f>IF(B1794="","",IF(ISNA(MATCH(B1794,Mitarbeiter!$A$6:$A$205,0)),"Pers.-Nr. unbekannt",IF(A1794="","Datum fehlt",IF(AND(D1794&lt;&gt;Einstellungen!$C$4,D1794&lt;&gt;Einstellungen!$C$5),"Objekt fehlt",IF(YEAR(A1794)&lt;&gt;Einstellungen!$C$3,"anderes Jahr",IF(A1794&lt;INDEX(Mitarbeiter!$C$6:$C$205,MATCH(B1794,Mitarbeiter!$A$6:$A$205,0)),"vor Eintritt",IF(AND(INDEX(Mitarbeiter!$D$6:$D$205,MATCH(B1794,Mitarbeiter!$A$6:$A$205,0))&lt;&gt;"",A1794&gt;INDEX(Mitarbeiter!$D$6:$D$205,MATCH(B1794,Mitarbeiter!$A$6:$A$205,0))),"nach Austritt","ok")))))))</f>
        <v/>
      </c>
    </row>
    <row r="1795">
      <c r="A1795" s="26" t="n"/>
      <c r="B1795" s="24" t="n"/>
      <c r="C1795" s="40">
        <f>IF(B1795="","",IFERROR(INDEX(Mitarbeiter!$B$6:$B$205,MATCH(B1795,Mitarbeiter!$A$6:$A$205,0)),"?"))</f>
        <v/>
      </c>
      <c r="D1795" s="41" t="n"/>
      <c r="E1795" s="42" t="n"/>
      <c r="F1795" s="43" t="n"/>
      <c r="G1795" s="44">
        <f>IF(OR(B1795="",F1795=""),"",IFERROR(F1795*INDEX(Mitarbeiter!$F$6:$F$205,MATCH(B1795,Mitarbeiter!$A$6:$A$205,0)),0))</f>
        <v/>
      </c>
      <c r="H1795" s="8">
        <f>IF(B1795="","",IF(ISNA(MATCH(B1795,Mitarbeiter!$A$6:$A$205,0)),"Pers.-Nr. unbekannt",IF(A1795="","Datum fehlt",IF(AND(D1795&lt;&gt;Einstellungen!$C$4,D1795&lt;&gt;Einstellungen!$C$5),"Objekt fehlt",IF(YEAR(A1795)&lt;&gt;Einstellungen!$C$3,"anderes Jahr",IF(A1795&lt;INDEX(Mitarbeiter!$C$6:$C$205,MATCH(B1795,Mitarbeiter!$A$6:$A$205,0)),"vor Eintritt",IF(AND(INDEX(Mitarbeiter!$D$6:$D$205,MATCH(B1795,Mitarbeiter!$A$6:$A$205,0))&lt;&gt;"",A1795&gt;INDEX(Mitarbeiter!$D$6:$D$205,MATCH(B1795,Mitarbeiter!$A$6:$A$205,0))),"nach Austritt","ok")))))))</f>
        <v/>
      </c>
    </row>
    <row r="1796">
      <c r="A1796" s="26" t="n"/>
      <c r="B1796" s="24" t="n"/>
      <c r="C1796" s="40">
        <f>IF(B1796="","",IFERROR(INDEX(Mitarbeiter!$B$6:$B$205,MATCH(B1796,Mitarbeiter!$A$6:$A$205,0)),"?"))</f>
        <v/>
      </c>
      <c r="D1796" s="41" t="n"/>
      <c r="E1796" s="42" t="n"/>
      <c r="F1796" s="43" t="n"/>
      <c r="G1796" s="44">
        <f>IF(OR(B1796="",F1796=""),"",IFERROR(F1796*INDEX(Mitarbeiter!$F$6:$F$205,MATCH(B1796,Mitarbeiter!$A$6:$A$205,0)),0))</f>
        <v/>
      </c>
      <c r="H1796" s="8">
        <f>IF(B1796="","",IF(ISNA(MATCH(B1796,Mitarbeiter!$A$6:$A$205,0)),"Pers.-Nr. unbekannt",IF(A1796="","Datum fehlt",IF(AND(D1796&lt;&gt;Einstellungen!$C$4,D1796&lt;&gt;Einstellungen!$C$5),"Objekt fehlt",IF(YEAR(A1796)&lt;&gt;Einstellungen!$C$3,"anderes Jahr",IF(A1796&lt;INDEX(Mitarbeiter!$C$6:$C$205,MATCH(B1796,Mitarbeiter!$A$6:$A$205,0)),"vor Eintritt",IF(AND(INDEX(Mitarbeiter!$D$6:$D$205,MATCH(B1796,Mitarbeiter!$A$6:$A$205,0))&lt;&gt;"",A1796&gt;INDEX(Mitarbeiter!$D$6:$D$205,MATCH(B1796,Mitarbeiter!$A$6:$A$205,0))),"nach Austritt","ok")))))))</f>
        <v/>
      </c>
    </row>
    <row r="1797">
      <c r="A1797" s="26" t="n"/>
      <c r="B1797" s="24" t="n"/>
      <c r="C1797" s="40">
        <f>IF(B1797="","",IFERROR(INDEX(Mitarbeiter!$B$6:$B$205,MATCH(B1797,Mitarbeiter!$A$6:$A$205,0)),"?"))</f>
        <v/>
      </c>
      <c r="D1797" s="41" t="n"/>
      <c r="E1797" s="42" t="n"/>
      <c r="F1797" s="43" t="n"/>
      <c r="G1797" s="44">
        <f>IF(OR(B1797="",F1797=""),"",IFERROR(F1797*INDEX(Mitarbeiter!$F$6:$F$205,MATCH(B1797,Mitarbeiter!$A$6:$A$205,0)),0))</f>
        <v/>
      </c>
      <c r="H1797" s="8">
        <f>IF(B1797="","",IF(ISNA(MATCH(B1797,Mitarbeiter!$A$6:$A$205,0)),"Pers.-Nr. unbekannt",IF(A1797="","Datum fehlt",IF(AND(D1797&lt;&gt;Einstellungen!$C$4,D1797&lt;&gt;Einstellungen!$C$5),"Objekt fehlt",IF(YEAR(A1797)&lt;&gt;Einstellungen!$C$3,"anderes Jahr",IF(A1797&lt;INDEX(Mitarbeiter!$C$6:$C$205,MATCH(B1797,Mitarbeiter!$A$6:$A$205,0)),"vor Eintritt",IF(AND(INDEX(Mitarbeiter!$D$6:$D$205,MATCH(B1797,Mitarbeiter!$A$6:$A$205,0))&lt;&gt;"",A1797&gt;INDEX(Mitarbeiter!$D$6:$D$205,MATCH(B1797,Mitarbeiter!$A$6:$A$205,0))),"nach Austritt","ok")))))))</f>
        <v/>
      </c>
    </row>
    <row r="1798">
      <c r="A1798" s="26" t="n"/>
      <c r="B1798" s="24" t="n"/>
      <c r="C1798" s="40">
        <f>IF(B1798="","",IFERROR(INDEX(Mitarbeiter!$B$6:$B$205,MATCH(B1798,Mitarbeiter!$A$6:$A$205,0)),"?"))</f>
        <v/>
      </c>
      <c r="D1798" s="41" t="n"/>
      <c r="E1798" s="42" t="n"/>
      <c r="F1798" s="43" t="n"/>
      <c r="G1798" s="44">
        <f>IF(OR(B1798="",F1798=""),"",IFERROR(F1798*INDEX(Mitarbeiter!$F$6:$F$205,MATCH(B1798,Mitarbeiter!$A$6:$A$205,0)),0))</f>
        <v/>
      </c>
      <c r="H1798" s="8">
        <f>IF(B1798="","",IF(ISNA(MATCH(B1798,Mitarbeiter!$A$6:$A$205,0)),"Pers.-Nr. unbekannt",IF(A1798="","Datum fehlt",IF(AND(D1798&lt;&gt;Einstellungen!$C$4,D1798&lt;&gt;Einstellungen!$C$5),"Objekt fehlt",IF(YEAR(A1798)&lt;&gt;Einstellungen!$C$3,"anderes Jahr",IF(A1798&lt;INDEX(Mitarbeiter!$C$6:$C$205,MATCH(B1798,Mitarbeiter!$A$6:$A$205,0)),"vor Eintritt",IF(AND(INDEX(Mitarbeiter!$D$6:$D$205,MATCH(B1798,Mitarbeiter!$A$6:$A$205,0))&lt;&gt;"",A1798&gt;INDEX(Mitarbeiter!$D$6:$D$205,MATCH(B1798,Mitarbeiter!$A$6:$A$205,0))),"nach Austritt","ok")))))))</f>
        <v/>
      </c>
    </row>
    <row r="1799">
      <c r="A1799" s="26" t="n"/>
      <c r="B1799" s="24" t="n"/>
      <c r="C1799" s="40">
        <f>IF(B1799="","",IFERROR(INDEX(Mitarbeiter!$B$6:$B$205,MATCH(B1799,Mitarbeiter!$A$6:$A$205,0)),"?"))</f>
        <v/>
      </c>
      <c r="D1799" s="41" t="n"/>
      <c r="E1799" s="42" t="n"/>
      <c r="F1799" s="43" t="n"/>
      <c r="G1799" s="44">
        <f>IF(OR(B1799="",F1799=""),"",IFERROR(F1799*INDEX(Mitarbeiter!$F$6:$F$205,MATCH(B1799,Mitarbeiter!$A$6:$A$205,0)),0))</f>
        <v/>
      </c>
      <c r="H1799" s="8">
        <f>IF(B1799="","",IF(ISNA(MATCH(B1799,Mitarbeiter!$A$6:$A$205,0)),"Pers.-Nr. unbekannt",IF(A1799="","Datum fehlt",IF(AND(D1799&lt;&gt;Einstellungen!$C$4,D1799&lt;&gt;Einstellungen!$C$5),"Objekt fehlt",IF(YEAR(A1799)&lt;&gt;Einstellungen!$C$3,"anderes Jahr",IF(A1799&lt;INDEX(Mitarbeiter!$C$6:$C$205,MATCH(B1799,Mitarbeiter!$A$6:$A$205,0)),"vor Eintritt",IF(AND(INDEX(Mitarbeiter!$D$6:$D$205,MATCH(B1799,Mitarbeiter!$A$6:$A$205,0))&lt;&gt;"",A1799&gt;INDEX(Mitarbeiter!$D$6:$D$205,MATCH(B1799,Mitarbeiter!$A$6:$A$205,0))),"nach Austritt","ok")))))))</f>
        <v/>
      </c>
    </row>
    <row r="1800">
      <c r="A1800" s="26" t="n"/>
      <c r="B1800" s="24" t="n"/>
      <c r="C1800" s="40">
        <f>IF(B1800="","",IFERROR(INDEX(Mitarbeiter!$B$6:$B$205,MATCH(B1800,Mitarbeiter!$A$6:$A$205,0)),"?"))</f>
        <v/>
      </c>
      <c r="D1800" s="41" t="n"/>
      <c r="E1800" s="42" t="n"/>
      <c r="F1800" s="43" t="n"/>
      <c r="G1800" s="44">
        <f>IF(OR(B1800="",F1800=""),"",IFERROR(F1800*INDEX(Mitarbeiter!$F$6:$F$205,MATCH(B1800,Mitarbeiter!$A$6:$A$205,0)),0))</f>
        <v/>
      </c>
      <c r="H1800" s="8">
        <f>IF(B1800="","",IF(ISNA(MATCH(B1800,Mitarbeiter!$A$6:$A$205,0)),"Pers.-Nr. unbekannt",IF(A1800="","Datum fehlt",IF(AND(D1800&lt;&gt;Einstellungen!$C$4,D1800&lt;&gt;Einstellungen!$C$5),"Objekt fehlt",IF(YEAR(A1800)&lt;&gt;Einstellungen!$C$3,"anderes Jahr",IF(A1800&lt;INDEX(Mitarbeiter!$C$6:$C$205,MATCH(B1800,Mitarbeiter!$A$6:$A$205,0)),"vor Eintritt",IF(AND(INDEX(Mitarbeiter!$D$6:$D$205,MATCH(B1800,Mitarbeiter!$A$6:$A$205,0))&lt;&gt;"",A1800&gt;INDEX(Mitarbeiter!$D$6:$D$205,MATCH(B1800,Mitarbeiter!$A$6:$A$205,0))),"nach Austritt","ok")))))))</f>
        <v/>
      </c>
    </row>
    <row r="1801">
      <c r="A1801" s="26" t="n"/>
      <c r="B1801" s="24" t="n"/>
      <c r="C1801" s="40">
        <f>IF(B1801="","",IFERROR(INDEX(Mitarbeiter!$B$6:$B$205,MATCH(B1801,Mitarbeiter!$A$6:$A$205,0)),"?"))</f>
        <v/>
      </c>
      <c r="D1801" s="41" t="n"/>
      <c r="E1801" s="42" t="n"/>
      <c r="F1801" s="43" t="n"/>
      <c r="G1801" s="44">
        <f>IF(OR(B1801="",F1801=""),"",IFERROR(F1801*INDEX(Mitarbeiter!$F$6:$F$205,MATCH(B1801,Mitarbeiter!$A$6:$A$205,0)),0))</f>
        <v/>
      </c>
      <c r="H1801" s="8">
        <f>IF(B1801="","",IF(ISNA(MATCH(B1801,Mitarbeiter!$A$6:$A$205,0)),"Pers.-Nr. unbekannt",IF(A1801="","Datum fehlt",IF(AND(D1801&lt;&gt;Einstellungen!$C$4,D1801&lt;&gt;Einstellungen!$C$5),"Objekt fehlt",IF(YEAR(A1801)&lt;&gt;Einstellungen!$C$3,"anderes Jahr",IF(A1801&lt;INDEX(Mitarbeiter!$C$6:$C$205,MATCH(B1801,Mitarbeiter!$A$6:$A$205,0)),"vor Eintritt",IF(AND(INDEX(Mitarbeiter!$D$6:$D$205,MATCH(B1801,Mitarbeiter!$A$6:$A$205,0))&lt;&gt;"",A1801&gt;INDEX(Mitarbeiter!$D$6:$D$205,MATCH(B1801,Mitarbeiter!$A$6:$A$205,0))),"nach Austritt","ok")))))))</f>
        <v/>
      </c>
    </row>
    <row r="1802">
      <c r="A1802" s="26" t="n"/>
      <c r="B1802" s="24" t="n"/>
      <c r="C1802" s="40">
        <f>IF(B1802="","",IFERROR(INDEX(Mitarbeiter!$B$6:$B$205,MATCH(B1802,Mitarbeiter!$A$6:$A$205,0)),"?"))</f>
        <v/>
      </c>
      <c r="D1802" s="41" t="n"/>
      <c r="E1802" s="42" t="n"/>
      <c r="F1802" s="43" t="n"/>
      <c r="G1802" s="44">
        <f>IF(OR(B1802="",F1802=""),"",IFERROR(F1802*INDEX(Mitarbeiter!$F$6:$F$205,MATCH(B1802,Mitarbeiter!$A$6:$A$205,0)),0))</f>
        <v/>
      </c>
      <c r="H1802" s="8">
        <f>IF(B1802="","",IF(ISNA(MATCH(B1802,Mitarbeiter!$A$6:$A$205,0)),"Pers.-Nr. unbekannt",IF(A1802="","Datum fehlt",IF(AND(D1802&lt;&gt;Einstellungen!$C$4,D1802&lt;&gt;Einstellungen!$C$5),"Objekt fehlt",IF(YEAR(A1802)&lt;&gt;Einstellungen!$C$3,"anderes Jahr",IF(A1802&lt;INDEX(Mitarbeiter!$C$6:$C$205,MATCH(B1802,Mitarbeiter!$A$6:$A$205,0)),"vor Eintritt",IF(AND(INDEX(Mitarbeiter!$D$6:$D$205,MATCH(B1802,Mitarbeiter!$A$6:$A$205,0))&lt;&gt;"",A1802&gt;INDEX(Mitarbeiter!$D$6:$D$205,MATCH(B1802,Mitarbeiter!$A$6:$A$205,0))),"nach Austritt","ok")))))))</f>
        <v/>
      </c>
    </row>
    <row r="1803">
      <c r="A1803" s="26" t="n"/>
      <c r="B1803" s="24" t="n"/>
      <c r="C1803" s="40">
        <f>IF(B1803="","",IFERROR(INDEX(Mitarbeiter!$B$6:$B$205,MATCH(B1803,Mitarbeiter!$A$6:$A$205,0)),"?"))</f>
        <v/>
      </c>
      <c r="D1803" s="41" t="n"/>
      <c r="E1803" s="42" t="n"/>
      <c r="F1803" s="43" t="n"/>
      <c r="G1803" s="44">
        <f>IF(OR(B1803="",F1803=""),"",IFERROR(F1803*INDEX(Mitarbeiter!$F$6:$F$205,MATCH(B1803,Mitarbeiter!$A$6:$A$205,0)),0))</f>
        <v/>
      </c>
      <c r="H1803" s="8">
        <f>IF(B1803="","",IF(ISNA(MATCH(B1803,Mitarbeiter!$A$6:$A$205,0)),"Pers.-Nr. unbekannt",IF(A1803="","Datum fehlt",IF(AND(D1803&lt;&gt;Einstellungen!$C$4,D1803&lt;&gt;Einstellungen!$C$5),"Objekt fehlt",IF(YEAR(A1803)&lt;&gt;Einstellungen!$C$3,"anderes Jahr",IF(A1803&lt;INDEX(Mitarbeiter!$C$6:$C$205,MATCH(B1803,Mitarbeiter!$A$6:$A$205,0)),"vor Eintritt",IF(AND(INDEX(Mitarbeiter!$D$6:$D$205,MATCH(B1803,Mitarbeiter!$A$6:$A$205,0))&lt;&gt;"",A1803&gt;INDEX(Mitarbeiter!$D$6:$D$205,MATCH(B1803,Mitarbeiter!$A$6:$A$205,0))),"nach Austritt","ok")))))))</f>
        <v/>
      </c>
    </row>
    <row r="1804">
      <c r="A1804" s="26" t="n"/>
      <c r="B1804" s="24" t="n"/>
      <c r="C1804" s="40">
        <f>IF(B1804="","",IFERROR(INDEX(Mitarbeiter!$B$6:$B$205,MATCH(B1804,Mitarbeiter!$A$6:$A$205,0)),"?"))</f>
        <v/>
      </c>
      <c r="D1804" s="41" t="n"/>
      <c r="E1804" s="42" t="n"/>
      <c r="F1804" s="43" t="n"/>
      <c r="G1804" s="44">
        <f>IF(OR(B1804="",F1804=""),"",IFERROR(F1804*INDEX(Mitarbeiter!$F$6:$F$205,MATCH(B1804,Mitarbeiter!$A$6:$A$205,0)),0))</f>
        <v/>
      </c>
      <c r="H1804" s="8">
        <f>IF(B1804="","",IF(ISNA(MATCH(B1804,Mitarbeiter!$A$6:$A$205,0)),"Pers.-Nr. unbekannt",IF(A1804="","Datum fehlt",IF(AND(D1804&lt;&gt;Einstellungen!$C$4,D1804&lt;&gt;Einstellungen!$C$5),"Objekt fehlt",IF(YEAR(A1804)&lt;&gt;Einstellungen!$C$3,"anderes Jahr",IF(A1804&lt;INDEX(Mitarbeiter!$C$6:$C$205,MATCH(B1804,Mitarbeiter!$A$6:$A$205,0)),"vor Eintritt",IF(AND(INDEX(Mitarbeiter!$D$6:$D$205,MATCH(B1804,Mitarbeiter!$A$6:$A$205,0))&lt;&gt;"",A1804&gt;INDEX(Mitarbeiter!$D$6:$D$205,MATCH(B1804,Mitarbeiter!$A$6:$A$205,0))),"nach Austritt","ok")))))))</f>
        <v/>
      </c>
    </row>
    <row r="1805">
      <c r="A1805" s="26" t="n"/>
      <c r="B1805" s="24" t="n"/>
      <c r="C1805" s="40">
        <f>IF(B1805="","",IFERROR(INDEX(Mitarbeiter!$B$6:$B$205,MATCH(B1805,Mitarbeiter!$A$6:$A$205,0)),"?"))</f>
        <v/>
      </c>
      <c r="D1805" s="41" t="n"/>
      <c r="E1805" s="42" t="n"/>
      <c r="F1805" s="43" t="n"/>
      <c r="G1805" s="44">
        <f>IF(OR(B1805="",F1805=""),"",IFERROR(F1805*INDEX(Mitarbeiter!$F$6:$F$205,MATCH(B1805,Mitarbeiter!$A$6:$A$205,0)),0))</f>
        <v/>
      </c>
      <c r="H1805" s="8">
        <f>IF(B1805="","",IF(ISNA(MATCH(B1805,Mitarbeiter!$A$6:$A$205,0)),"Pers.-Nr. unbekannt",IF(A1805="","Datum fehlt",IF(AND(D1805&lt;&gt;Einstellungen!$C$4,D1805&lt;&gt;Einstellungen!$C$5),"Objekt fehlt",IF(YEAR(A1805)&lt;&gt;Einstellungen!$C$3,"anderes Jahr",IF(A1805&lt;INDEX(Mitarbeiter!$C$6:$C$205,MATCH(B1805,Mitarbeiter!$A$6:$A$205,0)),"vor Eintritt",IF(AND(INDEX(Mitarbeiter!$D$6:$D$205,MATCH(B1805,Mitarbeiter!$A$6:$A$205,0))&lt;&gt;"",A1805&gt;INDEX(Mitarbeiter!$D$6:$D$205,MATCH(B1805,Mitarbeiter!$A$6:$A$205,0))),"nach Austritt","ok")))))))</f>
        <v/>
      </c>
    </row>
    <row r="1806">
      <c r="A1806" s="26" t="n"/>
      <c r="B1806" s="24" t="n"/>
      <c r="C1806" s="40">
        <f>IF(B1806="","",IFERROR(INDEX(Mitarbeiter!$B$6:$B$205,MATCH(B1806,Mitarbeiter!$A$6:$A$205,0)),"?"))</f>
        <v/>
      </c>
      <c r="D1806" s="41" t="n"/>
      <c r="E1806" s="42" t="n"/>
      <c r="F1806" s="43" t="n"/>
      <c r="G1806" s="44">
        <f>IF(OR(B1806="",F1806=""),"",IFERROR(F1806*INDEX(Mitarbeiter!$F$6:$F$205,MATCH(B1806,Mitarbeiter!$A$6:$A$205,0)),0))</f>
        <v/>
      </c>
      <c r="H1806" s="8">
        <f>IF(B1806="","",IF(ISNA(MATCH(B1806,Mitarbeiter!$A$6:$A$205,0)),"Pers.-Nr. unbekannt",IF(A1806="","Datum fehlt",IF(AND(D1806&lt;&gt;Einstellungen!$C$4,D1806&lt;&gt;Einstellungen!$C$5),"Objekt fehlt",IF(YEAR(A1806)&lt;&gt;Einstellungen!$C$3,"anderes Jahr",IF(A1806&lt;INDEX(Mitarbeiter!$C$6:$C$205,MATCH(B1806,Mitarbeiter!$A$6:$A$205,0)),"vor Eintritt",IF(AND(INDEX(Mitarbeiter!$D$6:$D$205,MATCH(B1806,Mitarbeiter!$A$6:$A$205,0))&lt;&gt;"",A1806&gt;INDEX(Mitarbeiter!$D$6:$D$205,MATCH(B1806,Mitarbeiter!$A$6:$A$205,0))),"nach Austritt","ok")))))))</f>
        <v/>
      </c>
    </row>
    <row r="1807">
      <c r="A1807" s="26" t="n"/>
      <c r="B1807" s="24" t="n"/>
      <c r="C1807" s="40">
        <f>IF(B1807="","",IFERROR(INDEX(Mitarbeiter!$B$6:$B$205,MATCH(B1807,Mitarbeiter!$A$6:$A$205,0)),"?"))</f>
        <v/>
      </c>
      <c r="D1807" s="41" t="n"/>
      <c r="E1807" s="42" t="n"/>
      <c r="F1807" s="43" t="n"/>
      <c r="G1807" s="44">
        <f>IF(OR(B1807="",F1807=""),"",IFERROR(F1807*INDEX(Mitarbeiter!$F$6:$F$205,MATCH(B1807,Mitarbeiter!$A$6:$A$205,0)),0))</f>
        <v/>
      </c>
      <c r="H1807" s="8">
        <f>IF(B1807="","",IF(ISNA(MATCH(B1807,Mitarbeiter!$A$6:$A$205,0)),"Pers.-Nr. unbekannt",IF(A1807="","Datum fehlt",IF(AND(D1807&lt;&gt;Einstellungen!$C$4,D1807&lt;&gt;Einstellungen!$C$5),"Objekt fehlt",IF(YEAR(A1807)&lt;&gt;Einstellungen!$C$3,"anderes Jahr",IF(A1807&lt;INDEX(Mitarbeiter!$C$6:$C$205,MATCH(B1807,Mitarbeiter!$A$6:$A$205,0)),"vor Eintritt",IF(AND(INDEX(Mitarbeiter!$D$6:$D$205,MATCH(B1807,Mitarbeiter!$A$6:$A$205,0))&lt;&gt;"",A1807&gt;INDEX(Mitarbeiter!$D$6:$D$205,MATCH(B1807,Mitarbeiter!$A$6:$A$205,0))),"nach Austritt","ok")))))))</f>
        <v/>
      </c>
    </row>
    <row r="1808">
      <c r="A1808" s="26" t="n"/>
      <c r="B1808" s="24" t="n"/>
      <c r="C1808" s="40">
        <f>IF(B1808="","",IFERROR(INDEX(Mitarbeiter!$B$6:$B$205,MATCH(B1808,Mitarbeiter!$A$6:$A$205,0)),"?"))</f>
        <v/>
      </c>
      <c r="D1808" s="41" t="n"/>
      <c r="E1808" s="42" t="n"/>
      <c r="F1808" s="43" t="n"/>
      <c r="G1808" s="44">
        <f>IF(OR(B1808="",F1808=""),"",IFERROR(F1808*INDEX(Mitarbeiter!$F$6:$F$205,MATCH(B1808,Mitarbeiter!$A$6:$A$205,0)),0))</f>
        <v/>
      </c>
      <c r="H1808" s="8">
        <f>IF(B1808="","",IF(ISNA(MATCH(B1808,Mitarbeiter!$A$6:$A$205,0)),"Pers.-Nr. unbekannt",IF(A1808="","Datum fehlt",IF(AND(D1808&lt;&gt;Einstellungen!$C$4,D1808&lt;&gt;Einstellungen!$C$5),"Objekt fehlt",IF(YEAR(A1808)&lt;&gt;Einstellungen!$C$3,"anderes Jahr",IF(A1808&lt;INDEX(Mitarbeiter!$C$6:$C$205,MATCH(B1808,Mitarbeiter!$A$6:$A$205,0)),"vor Eintritt",IF(AND(INDEX(Mitarbeiter!$D$6:$D$205,MATCH(B1808,Mitarbeiter!$A$6:$A$205,0))&lt;&gt;"",A1808&gt;INDEX(Mitarbeiter!$D$6:$D$205,MATCH(B1808,Mitarbeiter!$A$6:$A$205,0))),"nach Austritt","ok")))))))</f>
        <v/>
      </c>
    </row>
    <row r="1809">
      <c r="A1809" s="26" t="n"/>
      <c r="B1809" s="24" t="n"/>
      <c r="C1809" s="40">
        <f>IF(B1809="","",IFERROR(INDEX(Mitarbeiter!$B$6:$B$205,MATCH(B1809,Mitarbeiter!$A$6:$A$205,0)),"?"))</f>
        <v/>
      </c>
      <c r="D1809" s="41" t="n"/>
      <c r="E1809" s="42" t="n"/>
      <c r="F1809" s="43" t="n"/>
      <c r="G1809" s="44">
        <f>IF(OR(B1809="",F1809=""),"",IFERROR(F1809*INDEX(Mitarbeiter!$F$6:$F$205,MATCH(B1809,Mitarbeiter!$A$6:$A$205,0)),0))</f>
        <v/>
      </c>
      <c r="H1809" s="8">
        <f>IF(B1809="","",IF(ISNA(MATCH(B1809,Mitarbeiter!$A$6:$A$205,0)),"Pers.-Nr. unbekannt",IF(A1809="","Datum fehlt",IF(AND(D1809&lt;&gt;Einstellungen!$C$4,D1809&lt;&gt;Einstellungen!$C$5),"Objekt fehlt",IF(YEAR(A1809)&lt;&gt;Einstellungen!$C$3,"anderes Jahr",IF(A1809&lt;INDEX(Mitarbeiter!$C$6:$C$205,MATCH(B1809,Mitarbeiter!$A$6:$A$205,0)),"vor Eintritt",IF(AND(INDEX(Mitarbeiter!$D$6:$D$205,MATCH(B1809,Mitarbeiter!$A$6:$A$205,0))&lt;&gt;"",A1809&gt;INDEX(Mitarbeiter!$D$6:$D$205,MATCH(B1809,Mitarbeiter!$A$6:$A$205,0))),"nach Austritt","ok")))))))</f>
        <v/>
      </c>
    </row>
    <row r="1810">
      <c r="A1810" s="26" t="n"/>
      <c r="B1810" s="24" t="n"/>
      <c r="C1810" s="40">
        <f>IF(B1810="","",IFERROR(INDEX(Mitarbeiter!$B$6:$B$205,MATCH(B1810,Mitarbeiter!$A$6:$A$205,0)),"?"))</f>
        <v/>
      </c>
      <c r="D1810" s="41" t="n"/>
      <c r="E1810" s="42" t="n"/>
      <c r="F1810" s="43" t="n"/>
      <c r="G1810" s="44">
        <f>IF(OR(B1810="",F1810=""),"",IFERROR(F1810*INDEX(Mitarbeiter!$F$6:$F$205,MATCH(B1810,Mitarbeiter!$A$6:$A$205,0)),0))</f>
        <v/>
      </c>
      <c r="H1810" s="8">
        <f>IF(B1810="","",IF(ISNA(MATCH(B1810,Mitarbeiter!$A$6:$A$205,0)),"Pers.-Nr. unbekannt",IF(A1810="","Datum fehlt",IF(AND(D1810&lt;&gt;Einstellungen!$C$4,D1810&lt;&gt;Einstellungen!$C$5),"Objekt fehlt",IF(YEAR(A1810)&lt;&gt;Einstellungen!$C$3,"anderes Jahr",IF(A1810&lt;INDEX(Mitarbeiter!$C$6:$C$205,MATCH(B1810,Mitarbeiter!$A$6:$A$205,0)),"vor Eintritt",IF(AND(INDEX(Mitarbeiter!$D$6:$D$205,MATCH(B1810,Mitarbeiter!$A$6:$A$205,0))&lt;&gt;"",A1810&gt;INDEX(Mitarbeiter!$D$6:$D$205,MATCH(B1810,Mitarbeiter!$A$6:$A$205,0))),"nach Austritt","ok")))))))</f>
        <v/>
      </c>
    </row>
    <row r="1811">
      <c r="A1811" s="26" t="n"/>
      <c r="B1811" s="24" t="n"/>
      <c r="C1811" s="40">
        <f>IF(B1811="","",IFERROR(INDEX(Mitarbeiter!$B$6:$B$205,MATCH(B1811,Mitarbeiter!$A$6:$A$205,0)),"?"))</f>
        <v/>
      </c>
      <c r="D1811" s="41" t="n"/>
      <c r="E1811" s="42" t="n"/>
      <c r="F1811" s="43" t="n"/>
      <c r="G1811" s="44">
        <f>IF(OR(B1811="",F1811=""),"",IFERROR(F1811*INDEX(Mitarbeiter!$F$6:$F$205,MATCH(B1811,Mitarbeiter!$A$6:$A$205,0)),0))</f>
        <v/>
      </c>
      <c r="H1811" s="8">
        <f>IF(B1811="","",IF(ISNA(MATCH(B1811,Mitarbeiter!$A$6:$A$205,0)),"Pers.-Nr. unbekannt",IF(A1811="","Datum fehlt",IF(AND(D1811&lt;&gt;Einstellungen!$C$4,D1811&lt;&gt;Einstellungen!$C$5),"Objekt fehlt",IF(YEAR(A1811)&lt;&gt;Einstellungen!$C$3,"anderes Jahr",IF(A1811&lt;INDEX(Mitarbeiter!$C$6:$C$205,MATCH(B1811,Mitarbeiter!$A$6:$A$205,0)),"vor Eintritt",IF(AND(INDEX(Mitarbeiter!$D$6:$D$205,MATCH(B1811,Mitarbeiter!$A$6:$A$205,0))&lt;&gt;"",A1811&gt;INDEX(Mitarbeiter!$D$6:$D$205,MATCH(B1811,Mitarbeiter!$A$6:$A$205,0))),"nach Austritt","ok")))))))</f>
        <v/>
      </c>
    </row>
    <row r="1812">
      <c r="A1812" s="26" t="n"/>
      <c r="B1812" s="24" t="n"/>
      <c r="C1812" s="40">
        <f>IF(B1812="","",IFERROR(INDEX(Mitarbeiter!$B$6:$B$205,MATCH(B1812,Mitarbeiter!$A$6:$A$205,0)),"?"))</f>
        <v/>
      </c>
      <c r="D1812" s="41" t="n"/>
      <c r="E1812" s="42" t="n"/>
      <c r="F1812" s="43" t="n"/>
      <c r="G1812" s="44">
        <f>IF(OR(B1812="",F1812=""),"",IFERROR(F1812*INDEX(Mitarbeiter!$F$6:$F$205,MATCH(B1812,Mitarbeiter!$A$6:$A$205,0)),0))</f>
        <v/>
      </c>
      <c r="H1812" s="8">
        <f>IF(B1812="","",IF(ISNA(MATCH(B1812,Mitarbeiter!$A$6:$A$205,0)),"Pers.-Nr. unbekannt",IF(A1812="","Datum fehlt",IF(AND(D1812&lt;&gt;Einstellungen!$C$4,D1812&lt;&gt;Einstellungen!$C$5),"Objekt fehlt",IF(YEAR(A1812)&lt;&gt;Einstellungen!$C$3,"anderes Jahr",IF(A1812&lt;INDEX(Mitarbeiter!$C$6:$C$205,MATCH(B1812,Mitarbeiter!$A$6:$A$205,0)),"vor Eintritt",IF(AND(INDEX(Mitarbeiter!$D$6:$D$205,MATCH(B1812,Mitarbeiter!$A$6:$A$205,0))&lt;&gt;"",A1812&gt;INDEX(Mitarbeiter!$D$6:$D$205,MATCH(B1812,Mitarbeiter!$A$6:$A$205,0))),"nach Austritt","ok")))))))</f>
        <v/>
      </c>
    </row>
    <row r="1813">
      <c r="A1813" s="26" t="n"/>
      <c r="B1813" s="24" t="n"/>
      <c r="C1813" s="40">
        <f>IF(B1813="","",IFERROR(INDEX(Mitarbeiter!$B$6:$B$205,MATCH(B1813,Mitarbeiter!$A$6:$A$205,0)),"?"))</f>
        <v/>
      </c>
      <c r="D1813" s="41" t="n"/>
      <c r="E1813" s="42" t="n"/>
      <c r="F1813" s="43" t="n"/>
      <c r="G1813" s="44">
        <f>IF(OR(B1813="",F1813=""),"",IFERROR(F1813*INDEX(Mitarbeiter!$F$6:$F$205,MATCH(B1813,Mitarbeiter!$A$6:$A$205,0)),0))</f>
        <v/>
      </c>
      <c r="H1813" s="8">
        <f>IF(B1813="","",IF(ISNA(MATCH(B1813,Mitarbeiter!$A$6:$A$205,0)),"Pers.-Nr. unbekannt",IF(A1813="","Datum fehlt",IF(AND(D1813&lt;&gt;Einstellungen!$C$4,D1813&lt;&gt;Einstellungen!$C$5),"Objekt fehlt",IF(YEAR(A1813)&lt;&gt;Einstellungen!$C$3,"anderes Jahr",IF(A1813&lt;INDEX(Mitarbeiter!$C$6:$C$205,MATCH(B1813,Mitarbeiter!$A$6:$A$205,0)),"vor Eintritt",IF(AND(INDEX(Mitarbeiter!$D$6:$D$205,MATCH(B1813,Mitarbeiter!$A$6:$A$205,0))&lt;&gt;"",A1813&gt;INDEX(Mitarbeiter!$D$6:$D$205,MATCH(B1813,Mitarbeiter!$A$6:$A$205,0))),"nach Austritt","ok")))))))</f>
        <v/>
      </c>
    </row>
    <row r="1814">
      <c r="A1814" s="26" t="n"/>
      <c r="B1814" s="24" t="n"/>
      <c r="C1814" s="40">
        <f>IF(B1814="","",IFERROR(INDEX(Mitarbeiter!$B$6:$B$205,MATCH(B1814,Mitarbeiter!$A$6:$A$205,0)),"?"))</f>
        <v/>
      </c>
      <c r="D1814" s="41" t="n"/>
      <c r="E1814" s="42" t="n"/>
      <c r="F1814" s="43" t="n"/>
      <c r="G1814" s="44">
        <f>IF(OR(B1814="",F1814=""),"",IFERROR(F1814*INDEX(Mitarbeiter!$F$6:$F$205,MATCH(B1814,Mitarbeiter!$A$6:$A$205,0)),0))</f>
        <v/>
      </c>
      <c r="H1814" s="8">
        <f>IF(B1814="","",IF(ISNA(MATCH(B1814,Mitarbeiter!$A$6:$A$205,0)),"Pers.-Nr. unbekannt",IF(A1814="","Datum fehlt",IF(AND(D1814&lt;&gt;Einstellungen!$C$4,D1814&lt;&gt;Einstellungen!$C$5),"Objekt fehlt",IF(YEAR(A1814)&lt;&gt;Einstellungen!$C$3,"anderes Jahr",IF(A1814&lt;INDEX(Mitarbeiter!$C$6:$C$205,MATCH(B1814,Mitarbeiter!$A$6:$A$205,0)),"vor Eintritt",IF(AND(INDEX(Mitarbeiter!$D$6:$D$205,MATCH(B1814,Mitarbeiter!$A$6:$A$205,0))&lt;&gt;"",A1814&gt;INDEX(Mitarbeiter!$D$6:$D$205,MATCH(B1814,Mitarbeiter!$A$6:$A$205,0))),"nach Austritt","ok")))))))</f>
        <v/>
      </c>
    </row>
    <row r="1815">
      <c r="A1815" s="26" t="n"/>
      <c r="B1815" s="24" t="n"/>
      <c r="C1815" s="40">
        <f>IF(B1815="","",IFERROR(INDEX(Mitarbeiter!$B$6:$B$205,MATCH(B1815,Mitarbeiter!$A$6:$A$205,0)),"?"))</f>
        <v/>
      </c>
      <c r="D1815" s="41" t="n"/>
      <c r="E1815" s="42" t="n"/>
      <c r="F1815" s="43" t="n"/>
      <c r="G1815" s="44">
        <f>IF(OR(B1815="",F1815=""),"",IFERROR(F1815*INDEX(Mitarbeiter!$F$6:$F$205,MATCH(B1815,Mitarbeiter!$A$6:$A$205,0)),0))</f>
        <v/>
      </c>
      <c r="H1815" s="8">
        <f>IF(B1815="","",IF(ISNA(MATCH(B1815,Mitarbeiter!$A$6:$A$205,0)),"Pers.-Nr. unbekannt",IF(A1815="","Datum fehlt",IF(AND(D1815&lt;&gt;Einstellungen!$C$4,D1815&lt;&gt;Einstellungen!$C$5),"Objekt fehlt",IF(YEAR(A1815)&lt;&gt;Einstellungen!$C$3,"anderes Jahr",IF(A1815&lt;INDEX(Mitarbeiter!$C$6:$C$205,MATCH(B1815,Mitarbeiter!$A$6:$A$205,0)),"vor Eintritt",IF(AND(INDEX(Mitarbeiter!$D$6:$D$205,MATCH(B1815,Mitarbeiter!$A$6:$A$205,0))&lt;&gt;"",A1815&gt;INDEX(Mitarbeiter!$D$6:$D$205,MATCH(B1815,Mitarbeiter!$A$6:$A$205,0))),"nach Austritt","ok")))))))</f>
        <v/>
      </c>
    </row>
    <row r="1816">
      <c r="A1816" s="26" t="n"/>
      <c r="B1816" s="24" t="n"/>
      <c r="C1816" s="40">
        <f>IF(B1816="","",IFERROR(INDEX(Mitarbeiter!$B$6:$B$205,MATCH(B1816,Mitarbeiter!$A$6:$A$205,0)),"?"))</f>
        <v/>
      </c>
      <c r="D1816" s="41" t="n"/>
      <c r="E1816" s="42" t="n"/>
      <c r="F1816" s="43" t="n"/>
      <c r="G1816" s="44">
        <f>IF(OR(B1816="",F1816=""),"",IFERROR(F1816*INDEX(Mitarbeiter!$F$6:$F$205,MATCH(B1816,Mitarbeiter!$A$6:$A$205,0)),0))</f>
        <v/>
      </c>
      <c r="H1816" s="8">
        <f>IF(B1816="","",IF(ISNA(MATCH(B1816,Mitarbeiter!$A$6:$A$205,0)),"Pers.-Nr. unbekannt",IF(A1816="","Datum fehlt",IF(AND(D1816&lt;&gt;Einstellungen!$C$4,D1816&lt;&gt;Einstellungen!$C$5),"Objekt fehlt",IF(YEAR(A1816)&lt;&gt;Einstellungen!$C$3,"anderes Jahr",IF(A1816&lt;INDEX(Mitarbeiter!$C$6:$C$205,MATCH(B1816,Mitarbeiter!$A$6:$A$205,0)),"vor Eintritt",IF(AND(INDEX(Mitarbeiter!$D$6:$D$205,MATCH(B1816,Mitarbeiter!$A$6:$A$205,0))&lt;&gt;"",A1816&gt;INDEX(Mitarbeiter!$D$6:$D$205,MATCH(B1816,Mitarbeiter!$A$6:$A$205,0))),"nach Austritt","ok")))))))</f>
        <v/>
      </c>
    </row>
    <row r="1817">
      <c r="A1817" s="26" t="n"/>
      <c r="B1817" s="24" t="n"/>
      <c r="C1817" s="40">
        <f>IF(B1817="","",IFERROR(INDEX(Mitarbeiter!$B$6:$B$205,MATCH(B1817,Mitarbeiter!$A$6:$A$205,0)),"?"))</f>
        <v/>
      </c>
      <c r="D1817" s="41" t="n"/>
      <c r="E1817" s="42" t="n"/>
      <c r="F1817" s="43" t="n"/>
      <c r="G1817" s="44">
        <f>IF(OR(B1817="",F1817=""),"",IFERROR(F1817*INDEX(Mitarbeiter!$F$6:$F$205,MATCH(B1817,Mitarbeiter!$A$6:$A$205,0)),0))</f>
        <v/>
      </c>
      <c r="H1817" s="8">
        <f>IF(B1817="","",IF(ISNA(MATCH(B1817,Mitarbeiter!$A$6:$A$205,0)),"Pers.-Nr. unbekannt",IF(A1817="","Datum fehlt",IF(AND(D1817&lt;&gt;Einstellungen!$C$4,D1817&lt;&gt;Einstellungen!$C$5),"Objekt fehlt",IF(YEAR(A1817)&lt;&gt;Einstellungen!$C$3,"anderes Jahr",IF(A1817&lt;INDEX(Mitarbeiter!$C$6:$C$205,MATCH(B1817,Mitarbeiter!$A$6:$A$205,0)),"vor Eintritt",IF(AND(INDEX(Mitarbeiter!$D$6:$D$205,MATCH(B1817,Mitarbeiter!$A$6:$A$205,0))&lt;&gt;"",A1817&gt;INDEX(Mitarbeiter!$D$6:$D$205,MATCH(B1817,Mitarbeiter!$A$6:$A$205,0))),"nach Austritt","ok")))))))</f>
        <v/>
      </c>
    </row>
    <row r="1818">
      <c r="A1818" s="26" t="n"/>
      <c r="B1818" s="24" t="n"/>
      <c r="C1818" s="40">
        <f>IF(B1818="","",IFERROR(INDEX(Mitarbeiter!$B$6:$B$205,MATCH(B1818,Mitarbeiter!$A$6:$A$205,0)),"?"))</f>
        <v/>
      </c>
      <c r="D1818" s="41" t="n"/>
      <c r="E1818" s="42" t="n"/>
      <c r="F1818" s="43" t="n"/>
      <c r="G1818" s="44">
        <f>IF(OR(B1818="",F1818=""),"",IFERROR(F1818*INDEX(Mitarbeiter!$F$6:$F$205,MATCH(B1818,Mitarbeiter!$A$6:$A$205,0)),0))</f>
        <v/>
      </c>
      <c r="H1818" s="8">
        <f>IF(B1818="","",IF(ISNA(MATCH(B1818,Mitarbeiter!$A$6:$A$205,0)),"Pers.-Nr. unbekannt",IF(A1818="","Datum fehlt",IF(AND(D1818&lt;&gt;Einstellungen!$C$4,D1818&lt;&gt;Einstellungen!$C$5),"Objekt fehlt",IF(YEAR(A1818)&lt;&gt;Einstellungen!$C$3,"anderes Jahr",IF(A1818&lt;INDEX(Mitarbeiter!$C$6:$C$205,MATCH(B1818,Mitarbeiter!$A$6:$A$205,0)),"vor Eintritt",IF(AND(INDEX(Mitarbeiter!$D$6:$D$205,MATCH(B1818,Mitarbeiter!$A$6:$A$205,0))&lt;&gt;"",A1818&gt;INDEX(Mitarbeiter!$D$6:$D$205,MATCH(B1818,Mitarbeiter!$A$6:$A$205,0))),"nach Austritt","ok")))))))</f>
        <v/>
      </c>
    </row>
    <row r="1819">
      <c r="A1819" s="26" t="n"/>
      <c r="B1819" s="24" t="n"/>
      <c r="C1819" s="40">
        <f>IF(B1819="","",IFERROR(INDEX(Mitarbeiter!$B$6:$B$205,MATCH(B1819,Mitarbeiter!$A$6:$A$205,0)),"?"))</f>
        <v/>
      </c>
      <c r="D1819" s="41" t="n"/>
      <c r="E1819" s="42" t="n"/>
      <c r="F1819" s="43" t="n"/>
      <c r="G1819" s="44">
        <f>IF(OR(B1819="",F1819=""),"",IFERROR(F1819*INDEX(Mitarbeiter!$F$6:$F$205,MATCH(B1819,Mitarbeiter!$A$6:$A$205,0)),0))</f>
        <v/>
      </c>
      <c r="H1819" s="8">
        <f>IF(B1819="","",IF(ISNA(MATCH(B1819,Mitarbeiter!$A$6:$A$205,0)),"Pers.-Nr. unbekannt",IF(A1819="","Datum fehlt",IF(AND(D1819&lt;&gt;Einstellungen!$C$4,D1819&lt;&gt;Einstellungen!$C$5),"Objekt fehlt",IF(YEAR(A1819)&lt;&gt;Einstellungen!$C$3,"anderes Jahr",IF(A1819&lt;INDEX(Mitarbeiter!$C$6:$C$205,MATCH(B1819,Mitarbeiter!$A$6:$A$205,0)),"vor Eintritt",IF(AND(INDEX(Mitarbeiter!$D$6:$D$205,MATCH(B1819,Mitarbeiter!$A$6:$A$205,0))&lt;&gt;"",A1819&gt;INDEX(Mitarbeiter!$D$6:$D$205,MATCH(B1819,Mitarbeiter!$A$6:$A$205,0))),"nach Austritt","ok")))))))</f>
        <v/>
      </c>
    </row>
    <row r="1820">
      <c r="A1820" s="26" t="n"/>
      <c r="B1820" s="24" t="n"/>
      <c r="C1820" s="40">
        <f>IF(B1820="","",IFERROR(INDEX(Mitarbeiter!$B$6:$B$205,MATCH(B1820,Mitarbeiter!$A$6:$A$205,0)),"?"))</f>
        <v/>
      </c>
      <c r="D1820" s="41" t="n"/>
      <c r="E1820" s="42" t="n"/>
      <c r="F1820" s="43" t="n"/>
      <c r="G1820" s="44">
        <f>IF(OR(B1820="",F1820=""),"",IFERROR(F1820*INDEX(Mitarbeiter!$F$6:$F$205,MATCH(B1820,Mitarbeiter!$A$6:$A$205,0)),0))</f>
        <v/>
      </c>
      <c r="H1820" s="8">
        <f>IF(B1820="","",IF(ISNA(MATCH(B1820,Mitarbeiter!$A$6:$A$205,0)),"Pers.-Nr. unbekannt",IF(A1820="","Datum fehlt",IF(AND(D1820&lt;&gt;Einstellungen!$C$4,D1820&lt;&gt;Einstellungen!$C$5),"Objekt fehlt",IF(YEAR(A1820)&lt;&gt;Einstellungen!$C$3,"anderes Jahr",IF(A1820&lt;INDEX(Mitarbeiter!$C$6:$C$205,MATCH(B1820,Mitarbeiter!$A$6:$A$205,0)),"vor Eintritt",IF(AND(INDEX(Mitarbeiter!$D$6:$D$205,MATCH(B1820,Mitarbeiter!$A$6:$A$205,0))&lt;&gt;"",A1820&gt;INDEX(Mitarbeiter!$D$6:$D$205,MATCH(B1820,Mitarbeiter!$A$6:$A$205,0))),"nach Austritt","ok")))))))</f>
        <v/>
      </c>
    </row>
    <row r="1821">
      <c r="A1821" s="26" t="n"/>
      <c r="B1821" s="24" t="n"/>
      <c r="C1821" s="40">
        <f>IF(B1821="","",IFERROR(INDEX(Mitarbeiter!$B$6:$B$205,MATCH(B1821,Mitarbeiter!$A$6:$A$205,0)),"?"))</f>
        <v/>
      </c>
      <c r="D1821" s="41" t="n"/>
      <c r="E1821" s="42" t="n"/>
      <c r="F1821" s="43" t="n"/>
      <c r="G1821" s="44">
        <f>IF(OR(B1821="",F1821=""),"",IFERROR(F1821*INDEX(Mitarbeiter!$F$6:$F$205,MATCH(B1821,Mitarbeiter!$A$6:$A$205,0)),0))</f>
        <v/>
      </c>
      <c r="H1821" s="8">
        <f>IF(B1821="","",IF(ISNA(MATCH(B1821,Mitarbeiter!$A$6:$A$205,0)),"Pers.-Nr. unbekannt",IF(A1821="","Datum fehlt",IF(AND(D1821&lt;&gt;Einstellungen!$C$4,D1821&lt;&gt;Einstellungen!$C$5),"Objekt fehlt",IF(YEAR(A1821)&lt;&gt;Einstellungen!$C$3,"anderes Jahr",IF(A1821&lt;INDEX(Mitarbeiter!$C$6:$C$205,MATCH(B1821,Mitarbeiter!$A$6:$A$205,0)),"vor Eintritt",IF(AND(INDEX(Mitarbeiter!$D$6:$D$205,MATCH(B1821,Mitarbeiter!$A$6:$A$205,0))&lt;&gt;"",A1821&gt;INDEX(Mitarbeiter!$D$6:$D$205,MATCH(B1821,Mitarbeiter!$A$6:$A$205,0))),"nach Austritt","ok")))))))</f>
        <v/>
      </c>
    </row>
    <row r="1822">
      <c r="A1822" s="26" t="n"/>
      <c r="B1822" s="24" t="n"/>
      <c r="C1822" s="40">
        <f>IF(B1822="","",IFERROR(INDEX(Mitarbeiter!$B$6:$B$205,MATCH(B1822,Mitarbeiter!$A$6:$A$205,0)),"?"))</f>
        <v/>
      </c>
      <c r="D1822" s="41" t="n"/>
      <c r="E1822" s="42" t="n"/>
      <c r="F1822" s="43" t="n"/>
      <c r="G1822" s="44">
        <f>IF(OR(B1822="",F1822=""),"",IFERROR(F1822*INDEX(Mitarbeiter!$F$6:$F$205,MATCH(B1822,Mitarbeiter!$A$6:$A$205,0)),0))</f>
        <v/>
      </c>
      <c r="H1822" s="8">
        <f>IF(B1822="","",IF(ISNA(MATCH(B1822,Mitarbeiter!$A$6:$A$205,0)),"Pers.-Nr. unbekannt",IF(A1822="","Datum fehlt",IF(AND(D1822&lt;&gt;Einstellungen!$C$4,D1822&lt;&gt;Einstellungen!$C$5),"Objekt fehlt",IF(YEAR(A1822)&lt;&gt;Einstellungen!$C$3,"anderes Jahr",IF(A1822&lt;INDEX(Mitarbeiter!$C$6:$C$205,MATCH(B1822,Mitarbeiter!$A$6:$A$205,0)),"vor Eintritt",IF(AND(INDEX(Mitarbeiter!$D$6:$D$205,MATCH(B1822,Mitarbeiter!$A$6:$A$205,0))&lt;&gt;"",A1822&gt;INDEX(Mitarbeiter!$D$6:$D$205,MATCH(B1822,Mitarbeiter!$A$6:$A$205,0))),"nach Austritt","ok")))))))</f>
        <v/>
      </c>
    </row>
    <row r="1823">
      <c r="A1823" s="26" t="n"/>
      <c r="B1823" s="24" t="n"/>
      <c r="C1823" s="40">
        <f>IF(B1823="","",IFERROR(INDEX(Mitarbeiter!$B$6:$B$205,MATCH(B1823,Mitarbeiter!$A$6:$A$205,0)),"?"))</f>
        <v/>
      </c>
      <c r="D1823" s="41" t="n"/>
      <c r="E1823" s="42" t="n"/>
      <c r="F1823" s="43" t="n"/>
      <c r="G1823" s="44">
        <f>IF(OR(B1823="",F1823=""),"",IFERROR(F1823*INDEX(Mitarbeiter!$F$6:$F$205,MATCH(B1823,Mitarbeiter!$A$6:$A$205,0)),0))</f>
        <v/>
      </c>
      <c r="H1823" s="8">
        <f>IF(B1823="","",IF(ISNA(MATCH(B1823,Mitarbeiter!$A$6:$A$205,0)),"Pers.-Nr. unbekannt",IF(A1823="","Datum fehlt",IF(AND(D1823&lt;&gt;Einstellungen!$C$4,D1823&lt;&gt;Einstellungen!$C$5),"Objekt fehlt",IF(YEAR(A1823)&lt;&gt;Einstellungen!$C$3,"anderes Jahr",IF(A1823&lt;INDEX(Mitarbeiter!$C$6:$C$205,MATCH(B1823,Mitarbeiter!$A$6:$A$205,0)),"vor Eintritt",IF(AND(INDEX(Mitarbeiter!$D$6:$D$205,MATCH(B1823,Mitarbeiter!$A$6:$A$205,0))&lt;&gt;"",A1823&gt;INDEX(Mitarbeiter!$D$6:$D$205,MATCH(B1823,Mitarbeiter!$A$6:$A$205,0))),"nach Austritt","ok")))))))</f>
        <v/>
      </c>
    </row>
    <row r="1824">
      <c r="A1824" s="26" t="n"/>
      <c r="B1824" s="24" t="n"/>
      <c r="C1824" s="40">
        <f>IF(B1824="","",IFERROR(INDEX(Mitarbeiter!$B$6:$B$205,MATCH(B1824,Mitarbeiter!$A$6:$A$205,0)),"?"))</f>
        <v/>
      </c>
      <c r="D1824" s="41" t="n"/>
      <c r="E1824" s="42" t="n"/>
      <c r="F1824" s="43" t="n"/>
      <c r="G1824" s="44">
        <f>IF(OR(B1824="",F1824=""),"",IFERROR(F1824*INDEX(Mitarbeiter!$F$6:$F$205,MATCH(B1824,Mitarbeiter!$A$6:$A$205,0)),0))</f>
        <v/>
      </c>
      <c r="H1824" s="8">
        <f>IF(B1824="","",IF(ISNA(MATCH(B1824,Mitarbeiter!$A$6:$A$205,0)),"Pers.-Nr. unbekannt",IF(A1824="","Datum fehlt",IF(AND(D1824&lt;&gt;Einstellungen!$C$4,D1824&lt;&gt;Einstellungen!$C$5),"Objekt fehlt",IF(YEAR(A1824)&lt;&gt;Einstellungen!$C$3,"anderes Jahr",IF(A1824&lt;INDEX(Mitarbeiter!$C$6:$C$205,MATCH(B1824,Mitarbeiter!$A$6:$A$205,0)),"vor Eintritt",IF(AND(INDEX(Mitarbeiter!$D$6:$D$205,MATCH(B1824,Mitarbeiter!$A$6:$A$205,0))&lt;&gt;"",A1824&gt;INDEX(Mitarbeiter!$D$6:$D$205,MATCH(B1824,Mitarbeiter!$A$6:$A$205,0))),"nach Austritt","ok")))))))</f>
        <v/>
      </c>
    </row>
    <row r="1825">
      <c r="A1825" s="26" t="n"/>
      <c r="B1825" s="24" t="n"/>
      <c r="C1825" s="40">
        <f>IF(B1825="","",IFERROR(INDEX(Mitarbeiter!$B$6:$B$205,MATCH(B1825,Mitarbeiter!$A$6:$A$205,0)),"?"))</f>
        <v/>
      </c>
      <c r="D1825" s="41" t="n"/>
      <c r="E1825" s="42" t="n"/>
      <c r="F1825" s="43" t="n"/>
      <c r="G1825" s="44">
        <f>IF(OR(B1825="",F1825=""),"",IFERROR(F1825*INDEX(Mitarbeiter!$F$6:$F$205,MATCH(B1825,Mitarbeiter!$A$6:$A$205,0)),0))</f>
        <v/>
      </c>
      <c r="H1825" s="8">
        <f>IF(B1825="","",IF(ISNA(MATCH(B1825,Mitarbeiter!$A$6:$A$205,0)),"Pers.-Nr. unbekannt",IF(A1825="","Datum fehlt",IF(AND(D1825&lt;&gt;Einstellungen!$C$4,D1825&lt;&gt;Einstellungen!$C$5),"Objekt fehlt",IF(YEAR(A1825)&lt;&gt;Einstellungen!$C$3,"anderes Jahr",IF(A1825&lt;INDEX(Mitarbeiter!$C$6:$C$205,MATCH(B1825,Mitarbeiter!$A$6:$A$205,0)),"vor Eintritt",IF(AND(INDEX(Mitarbeiter!$D$6:$D$205,MATCH(B1825,Mitarbeiter!$A$6:$A$205,0))&lt;&gt;"",A1825&gt;INDEX(Mitarbeiter!$D$6:$D$205,MATCH(B1825,Mitarbeiter!$A$6:$A$205,0))),"nach Austritt","ok")))))))</f>
        <v/>
      </c>
    </row>
    <row r="1826">
      <c r="A1826" s="26" t="n"/>
      <c r="B1826" s="24" t="n"/>
      <c r="C1826" s="40">
        <f>IF(B1826="","",IFERROR(INDEX(Mitarbeiter!$B$6:$B$205,MATCH(B1826,Mitarbeiter!$A$6:$A$205,0)),"?"))</f>
        <v/>
      </c>
      <c r="D1826" s="41" t="n"/>
      <c r="E1826" s="42" t="n"/>
      <c r="F1826" s="43" t="n"/>
      <c r="G1826" s="44">
        <f>IF(OR(B1826="",F1826=""),"",IFERROR(F1826*INDEX(Mitarbeiter!$F$6:$F$205,MATCH(B1826,Mitarbeiter!$A$6:$A$205,0)),0))</f>
        <v/>
      </c>
      <c r="H1826" s="8">
        <f>IF(B1826="","",IF(ISNA(MATCH(B1826,Mitarbeiter!$A$6:$A$205,0)),"Pers.-Nr. unbekannt",IF(A1826="","Datum fehlt",IF(AND(D1826&lt;&gt;Einstellungen!$C$4,D1826&lt;&gt;Einstellungen!$C$5),"Objekt fehlt",IF(YEAR(A1826)&lt;&gt;Einstellungen!$C$3,"anderes Jahr",IF(A1826&lt;INDEX(Mitarbeiter!$C$6:$C$205,MATCH(B1826,Mitarbeiter!$A$6:$A$205,0)),"vor Eintritt",IF(AND(INDEX(Mitarbeiter!$D$6:$D$205,MATCH(B1826,Mitarbeiter!$A$6:$A$205,0))&lt;&gt;"",A1826&gt;INDEX(Mitarbeiter!$D$6:$D$205,MATCH(B1826,Mitarbeiter!$A$6:$A$205,0))),"nach Austritt","ok")))))))</f>
        <v/>
      </c>
    </row>
    <row r="1827">
      <c r="A1827" s="26" t="n"/>
      <c r="B1827" s="24" t="n"/>
      <c r="C1827" s="40">
        <f>IF(B1827="","",IFERROR(INDEX(Mitarbeiter!$B$6:$B$205,MATCH(B1827,Mitarbeiter!$A$6:$A$205,0)),"?"))</f>
        <v/>
      </c>
      <c r="D1827" s="41" t="n"/>
      <c r="E1827" s="42" t="n"/>
      <c r="F1827" s="43" t="n"/>
      <c r="G1827" s="44">
        <f>IF(OR(B1827="",F1827=""),"",IFERROR(F1827*INDEX(Mitarbeiter!$F$6:$F$205,MATCH(B1827,Mitarbeiter!$A$6:$A$205,0)),0))</f>
        <v/>
      </c>
      <c r="H1827" s="8">
        <f>IF(B1827="","",IF(ISNA(MATCH(B1827,Mitarbeiter!$A$6:$A$205,0)),"Pers.-Nr. unbekannt",IF(A1827="","Datum fehlt",IF(AND(D1827&lt;&gt;Einstellungen!$C$4,D1827&lt;&gt;Einstellungen!$C$5),"Objekt fehlt",IF(YEAR(A1827)&lt;&gt;Einstellungen!$C$3,"anderes Jahr",IF(A1827&lt;INDEX(Mitarbeiter!$C$6:$C$205,MATCH(B1827,Mitarbeiter!$A$6:$A$205,0)),"vor Eintritt",IF(AND(INDEX(Mitarbeiter!$D$6:$D$205,MATCH(B1827,Mitarbeiter!$A$6:$A$205,0))&lt;&gt;"",A1827&gt;INDEX(Mitarbeiter!$D$6:$D$205,MATCH(B1827,Mitarbeiter!$A$6:$A$205,0))),"nach Austritt","ok")))))))</f>
        <v/>
      </c>
    </row>
    <row r="1828">
      <c r="A1828" s="26" t="n"/>
      <c r="B1828" s="24" t="n"/>
      <c r="C1828" s="40">
        <f>IF(B1828="","",IFERROR(INDEX(Mitarbeiter!$B$6:$B$205,MATCH(B1828,Mitarbeiter!$A$6:$A$205,0)),"?"))</f>
        <v/>
      </c>
      <c r="D1828" s="41" t="n"/>
      <c r="E1828" s="42" t="n"/>
      <c r="F1828" s="43" t="n"/>
      <c r="G1828" s="44">
        <f>IF(OR(B1828="",F1828=""),"",IFERROR(F1828*INDEX(Mitarbeiter!$F$6:$F$205,MATCH(B1828,Mitarbeiter!$A$6:$A$205,0)),0))</f>
        <v/>
      </c>
      <c r="H1828" s="8">
        <f>IF(B1828="","",IF(ISNA(MATCH(B1828,Mitarbeiter!$A$6:$A$205,0)),"Pers.-Nr. unbekannt",IF(A1828="","Datum fehlt",IF(AND(D1828&lt;&gt;Einstellungen!$C$4,D1828&lt;&gt;Einstellungen!$C$5),"Objekt fehlt",IF(YEAR(A1828)&lt;&gt;Einstellungen!$C$3,"anderes Jahr",IF(A1828&lt;INDEX(Mitarbeiter!$C$6:$C$205,MATCH(B1828,Mitarbeiter!$A$6:$A$205,0)),"vor Eintritt",IF(AND(INDEX(Mitarbeiter!$D$6:$D$205,MATCH(B1828,Mitarbeiter!$A$6:$A$205,0))&lt;&gt;"",A1828&gt;INDEX(Mitarbeiter!$D$6:$D$205,MATCH(B1828,Mitarbeiter!$A$6:$A$205,0))),"nach Austritt","ok")))))))</f>
        <v/>
      </c>
    </row>
    <row r="1829">
      <c r="A1829" s="26" t="n"/>
      <c r="B1829" s="24" t="n"/>
      <c r="C1829" s="40">
        <f>IF(B1829="","",IFERROR(INDEX(Mitarbeiter!$B$6:$B$205,MATCH(B1829,Mitarbeiter!$A$6:$A$205,0)),"?"))</f>
        <v/>
      </c>
      <c r="D1829" s="41" t="n"/>
      <c r="E1829" s="42" t="n"/>
      <c r="F1829" s="43" t="n"/>
      <c r="G1829" s="44">
        <f>IF(OR(B1829="",F1829=""),"",IFERROR(F1829*INDEX(Mitarbeiter!$F$6:$F$205,MATCH(B1829,Mitarbeiter!$A$6:$A$205,0)),0))</f>
        <v/>
      </c>
      <c r="H1829" s="8">
        <f>IF(B1829="","",IF(ISNA(MATCH(B1829,Mitarbeiter!$A$6:$A$205,0)),"Pers.-Nr. unbekannt",IF(A1829="","Datum fehlt",IF(AND(D1829&lt;&gt;Einstellungen!$C$4,D1829&lt;&gt;Einstellungen!$C$5),"Objekt fehlt",IF(YEAR(A1829)&lt;&gt;Einstellungen!$C$3,"anderes Jahr",IF(A1829&lt;INDEX(Mitarbeiter!$C$6:$C$205,MATCH(B1829,Mitarbeiter!$A$6:$A$205,0)),"vor Eintritt",IF(AND(INDEX(Mitarbeiter!$D$6:$D$205,MATCH(B1829,Mitarbeiter!$A$6:$A$205,0))&lt;&gt;"",A1829&gt;INDEX(Mitarbeiter!$D$6:$D$205,MATCH(B1829,Mitarbeiter!$A$6:$A$205,0))),"nach Austritt","ok")))))))</f>
        <v/>
      </c>
    </row>
    <row r="1830">
      <c r="A1830" s="26" t="n"/>
      <c r="B1830" s="24" t="n"/>
      <c r="C1830" s="40">
        <f>IF(B1830="","",IFERROR(INDEX(Mitarbeiter!$B$6:$B$205,MATCH(B1830,Mitarbeiter!$A$6:$A$205,0)),"?"))</f>
        <v/>
      </c>
      <c r="D1830" s="41" t="n"/>
      <c r="E1830" s="42" t="n"/>
      <c r="F1830" s="43" t="n"/>
      <c r="G1830" s="44">
        <f>IF(OR(B1830="",F1830=""),"",IFERROR(F1830*INDEX(Mitarbeiter!$F$6:$F$205,MATCH(B1830,Mitarbeiter!$A$6:$A$205,0)),0))</f>
        <v/>
      </c>
      <c r="H1830" s="8">
        <f>IF(B1830="","",IF(ISNA(MATCH(B1830,Mitarbeiter!$A$6:$A$205,0)),"Pers.-Nr. unbekannt",IF(A1830="","Datum fehlt",IF(AND(D1830&lt;&gt;Einstellungen!$C$4,D1830&lt;&gt;Einstellungen!$C$5),"Objekt fehlt",IF(YEAR(A1830)&lt;&gt;Einstellungen!$C$3,"anderes Jahr",IF(A1830&lt;INDEX(Mitarbeiter!$C$6:$C$205,MATCH(B1830,Mitarbeiter!$A$6:$A$205,0)),"vor Eintritt",IF(AND(INDEX(Mitarbeiter!$D$6:$D$205,MATCH(B1830,Mitarbeiter!$A$6:$A$205,0))&lt;&gt;"",A1830&gt;INDEX(Mitarbeiter!$D$6:$D$205,MATCH(B1830,Mitarbeiter!$A$6:$A$205,0))),"nach Austritt","ok")))))))</f>
        <v/>
      </c>
    </row>
    <row r="1831">
      <c r="A1831" s="26" t="n"/>
      <c r="B1831" s="24" t="n"/>
      <c r="C1831" s="40">
        <f>IF(B1831="","",IFERROR(INDEX(Mitarbeiter!$B$6:$B$205,MATCH(B1831,Mitarbeiter!$A$6:$A$205,0)),"?"))</f>
        <v/>
      </c>
      <c r="D1831" s="41" t="n"/>
      <c r="E1831" s="42" t="n"/>
      <c r="F1831" s="43" t="n"/>
      <c r="G1831" s="44">
        <f>IF(OR(B1831="",F1831=""),"",IFERROR(F1831*INDEX(Mitarbeiter!$F$6:$F$205,MATCH(B1831,Mitarbeiter!$A$6:$A$205,0)),0))</f>
        <v/>
      </c>
      <c r="H1831" s="8">
        <f>IF(B1831="","",IF(ISNA(MATCH(B1831,Mitarbeiter!$A$6:$A$205,0)),"Pers.-Nr. unbekannt",IF(A1831="","Datum fehlt",IF(AND(D1831&lt;&gt;Einstellungen!$C$4,D1831&lt;&gt;Einstellungen!$C$5),"Objekt fehlt",IF(YEAR(A1831)&lt;&gt;Einstellungen!$C$3,"anderes Jahr",IF(A1831&lt;INDEX(Mitarbeiter!$C$6:$C$205,MATCH(B1831,Mitarbeiter!$A$6:$A$205,0)),"vor Eintritt",IF(AND(INDEX(Mitarbeiter!$D$6:$D$205,MATCH(B1831,Mitarbeiter!$A$6:$A$205,0))&lt;&gt;"",A1831&gt;INDEX(Mitarbeiter!$D$6:$D$205,MATCH(B1831,Mitarbeiter!$A$6:$A$205,0))),"nach Austritt","ok")))))))</f>
        <v/>
      </c>
    </row>
    <row r="1832">
      <c r="A1832" s="26" t="n"/>
      <c r="B1832" s="24" t="n"/>
      <c r="C1832" s="40">
        <f>IF(B1832="","",IFERROR(INDEX(Mitarbeiter!$B$6:$B$205,MATCH(B1832,Mitarbeiter!$A$6:$A$205,0)),"?"))</f>
        <v/>
      </c>
      <c r="D1832" s="41" t="n"/>
      <c r="E1832" s="42" t="n"/>
      <c r="F1832" s="43" t="n"/>
      <c r="G1832" s="44">
        <f>IF(OR(B1832="",F1832=""),"",IFERROR(F1832*INDEX(Mitarbeiter!$F$6:$F$205,MATCH(B1832,Mitarbeiter!$A$6:$A$205,0)),0))</f>
        <v/>
      </c>
      <c r="H1832" s="8">
        <f>IF(B1832="","",IF(ISNA(MATCH(B1832,Mitarbeiter!$A$6:$A$205,0)),"Pers.-Nr. unbekannt",IF(A1832="","Datum fehlt",IF(AND(D1832&lt;&gt;Einstellungen!$C$4,D1832&lt;&gt;Einstellungen!$C$5),"Objekt fehlt",IF(YEAR(A1832)&lt;&gt;Einstellungen!$C$3,"anderes Jahr",IF(A1832&lt;INDEX(Mitarbeiter!$C$6:$C$205,MATCH(B1832,Mitarbeiter!$A$6:$A$205,0)),"vor Eintritt",IF(AND(INDEX(Mitarbeiter!$D$6:$D$205,MATCH(B1832,Mitarbeiter!$A$6:$A$205,0))&lt;&gt;"",A1832&gt;INDEX(Mitarbeiter!$D$6:$D$205,MATCH(B1832,Mitarbeiter!$A$6:$A$205,0))),"nach Austritt","ok")))))))</f>
        <v/>
      </c>
    </row>
    <row r="1833">
      <c r="A1833" s="26" t="n"/>
      <c r="B1833" s="24" t="n"/>
      <c r="C1833" s="40">
        <f>IF(B1833="","",IFERROR(INDEX(Mitarbeiter!$B$6:$B$205,MATCH(B1833,Mitarbeiter!$A$6:$A$205,0)),"?"))</f>
        <v/>
      </c>
      <c r="D1833" s="41" t="n"/>
      <c r="E1833" s="42" t="n"/>
      <c r="F1833" s="43" t="n"/>
      <c r="G1833" s="44">
        <f>IF(OR(B1833="",F1833=""),"",IFERROR(F1833*INDEX(Mitarbeiter!$F$6:$F$205,MATCH(B1833,Mitarbeiter!$A$6:$A$205,0)),0))</f>
        <v/>
      </c>
      <c r="H1833" s="8">
        <f>IF(B1833="","",IF(ISNA(MATCH(B1833,Mitarbeiter!$A$6:$A$205,0)),"Pers.-Nr. unbekannt",IF(A1833="","Datum fehlt",IF(AND(D1833&lt;&gt;Einstellungen!$C$4,D1833&lt;&gt;Einstellungen!$C$5),"Objekt fehlt",IF(YEAR(A1833)&lt;&gt;Einstellungen!$C$3,"anderes Jahr",IF(A1833&lt;INDEX(Mitarbeiter!$C$6:$C$205,MATCH(B1833,Mitarbeiter!$A$6:$A$205,0)),"vor Eintritt",IF(AND(INDEX(Mitarbeiter!$D$6:$D$205,MATCH(B1833,Mitarbeiter!$A$6:$A$205,0))&lt;&gt;"",A1833&gt;INDEX(Mitarbeiter!$D$6:$D$205,MATCH(B1833,Mitarbeiter!$A$6:$A$205,0))),"nach Austritt","ok")))))))</f>
        <v/>
      </c>
    </row>
    <row r="1834">
      <c r="A1834" s="26" t="n"/>
      <c r="B1834" s="24" t="n"/>
      <c r="C1834" s="40">
        <f>IF(B1834="","",IFERROR(INDEX(Mitarbeiter!$B$6:$B$205,MATCH(B1834,Mitarbeiter!$A$6:$A$205,0)),"?"))</f>
        <v/>
      </c>
      <c r="D1834" s="41" t="n"/>
      <c r="E1834" s="42" t="n"/>
      <c r="F1834" s="43" t="n"/>
      <c r="G1834" s="44">
        <f>IF(OR(B1834="",F1834=""),"",IFERROR(F1834*INDEX(Mitarbeiter!$F$6:$F$205,MATCH(B1834,Mitarbeiter!$A$6:$A$205,0)),0))</f>
        <v/>
      </c>
      <c r="H1834" s="8">
        <f>IF(B1834="","",IF(ISNA(MATCH(B1834,Mitarbeiter!$A$6:$A$205,0)),"Pers.-Nr. unbekannt",IF(A1834="","Datum fehlt",IF(AND(D1834&lt;&gt;Einstellungen!$C$4,D1834&lt;&gt;Einstellungen!$C$5),"Objekt fehlt",IF(YEAR(A1834)&lt;&gt;Einstellungen!$C$3,"anderes Jahr",IF(A1834&lt;INDEX(Mitarbeiter!$C$6:$C$205,MATCH(B1834,Mitarbeiter!$A$6:$A$205,0)),"vor Eintritt",IF(AND(INDEX(Mitarbeiter!$D$6:$D$205,MATCH(B1834,Mitarbeiter!$A$6:$A$205,0))&lt;&gt;"",A1834&gt;INDEX(Mitarbeiter!$D$6:$D$205,MATCH(B1834,Mitarbeiter!$A$6:$A$205,0))),"nach Austritt","ok")))))))</f>
        <v/>
      </c>
    </row>
    <row r="1835">
      <c r="A1835" s="26" t="n"/>
      <c r="B1835" s="24" t="n"/>
      <c r="C1835" s="40">
        <f>IF(B1835="","",IFERROR(INDEX(Mitarbeiter!$B$6:$B$205,MATCH(B1835,Mitarbeiter!$A$6:$A$205,0)),"?"))</f>
        <v/>
      </c>
      <c r="D1835" s="41" t="n"/>
      <c r="E1835" s="42" t="n"/>
      <c r="F1835" s="43" t="n"/>
      <c r="G1835" s="44">
        <f>IF(OR(B1835="",F1835=""),"",IFERROR(F1835*INDEX(Mitarbeiter!$F$6:$F$205,MATCH(B1835,Mitarbeiter!$A$6:$A$205,0)),0))</f>
        <v/>
      </c>
      <c r="H1835" s="8">
        <f>IF(B1835="","",IF(ISNA(MATCH(B1835,Mitarbeiter!$A$6:$A$205,0)),"Pers.-Nr. unbekannt",IF(A1835="","Datum fehlt",IF(AND(D1835&lt;&gt;Einstellungen!$C$4,D1835&lt;&gt;Einstellungen!$C$5),"Objekt fehlt",IF(YEAR(A1835)&lt;&gt;Einstellungen!$C$3,"anderes Jahr",IF(A1835&lt;INDEX(Mitarbeiter!$C$6:$C$205,MATCH(B1835,Mitarbeiter!$A$6:$A$205,0)),"vor Eintritt",IF(AND(INDEX(Mitarbeiter!$D$6:$D$205,MATCH(B1835,Mitarbeiter!$A$6:$A$205,0))&lt;&gt;"",A1835&gt;INDEX(Mitarbeiter!$D$6:$D$205,MATCH(B1835,Mitarbeiter!$A$6:$A$205,0))),"nach Austritt","ok")))))))</f>
        <v/>
      </c>
    </row>
    <row r="1836">
      <c r="A1836" s="26" t="n"/>
      <c r="B1836" s="24" t="n"/>
      <c r="C1836" s="40">
        <f>IF(B1836="","",IFERROR(INDEX(Mitarbeiter!$B$6:$B$205,MATCH(B1836,Mitarbeiter!$A$6:$A$205,0)),"?"))</f>
        <v/>
      </c>
      <c r="D1836" s="41" t="n"/>
      <c r="E1836" s="42" t="n"/>
      <c r="F1836" s="43" t="n"/>
      <c r="G1836" s="44">
        <f>IF(OR(B1836="",F1836=""),"",IFERROR(F1836*INDEX(Mitarbeiter!$F$6:$F$205,MATCH(B1836,Mitarbeiter!$A$6:$A$205,0)),0))</f>
        <v/>
      </c>
      <c r="H1836" s="8">
        <f>IF(B1836="","",IF(ISNA(MATCH(B1836,Mitarbeiter!$A$6:$A$205,0)),"Pers.-Nr. unbekannt",IF(A1836="","Datum fehlt",IF(AND(D1836&lt;&gt;Einstellungen!$C$4,D1836&lt;&gt;Einstellungen!$C$5),"Objekt fehlt",IF(YEAR(A1836)&lt;&gt;Einstellungen!$C$3,"anderes Jahr",IF(A1836&lt;INDEX(Mitarbeiter!$C$6:$C$205,MATCH(B1836,Mitarbeiter!$A$6:$A$205,0)),"vor Eintritt",IF(AND(INDEX(Mitarbeiter!$D$6:$D$205,MATCH(B1836,Mitarbeiter!$A$6:$A$205,0))&lt;&gt;"",A1836&gt;INDEX(Mitarbeiter!$D$6:$D$205,MATCH(B1836,Mitarbeiter!$A$6:$A$205,0))),"nach Austritt","ok")))))))</f>
        <v/>
      </c>
    </row>
    <row r="1837">
      <c r="A1837" s="26" t="n"/>
      <c r="B1837" s="24" t="n"/>
      <c r="C1837" s="40">
        <f>IF(B1837="","",IFERROR(INDEX(Mitarbeiter!$B$6:$B$205,MATCH(B1837,Mitarbeiter!$A$6:$A$205,0)),"?"))</f>
        <v/>
      </c>
      <c r="D1837" s="41" t="n"/>
      <c r="E1837" s="42" t="n"/>
      <c r="F1837" s="43" t="n"/>
      <c r="G1837" s="44">
        <f>IF(OR(B1837="",F1837=""),"",IFERROR(F1837*INDEX(Mitarbeiter!$F$6:$F$205,MATCH(B1837,Mitarbeiter!$A$6:$A$205,0)),0))</f>
        <v/>
      </c>
      <c r="H1837" s="8">
        <f>IF(B1837="","",IF(ISNA(MATCH(B1837,Mitarbeiter!$A$6:$A$205,0)),"Pers.-Nr. unbekannt",IF(A1837="","Datum fehlt",IF(AND(D1837&lt;&gt;Einstellungen!$C$4,D1837&lt;&gt;Einstellungen!$C$5),"Objekt fehlt",IF(YEAR(A1837)&lt;&gt;Einstellungen!$C$3,"anderes Jahr",IF(A1837&lt;INDEX(Mitarbeiter!$C$6:$C$205,MATCH(B1837,Mitarbeiter!$A$6:$A$205,0)),"vor Eintritt",IF(AND(INDEX(Mitarbeiter!$D$6:$D$205,MATCH(B1837,Mitarbeiter!$A$6:$A$205,0))&lt;&gt;"",A1837&gt;INDEX(Mitarbeiter!$D$6:$D$205,MATCH(B1837,Mitarbeiter!$A$6:$A$205,0))),"nach Austritt","ok")))))))</f>
        <v/>
      </c>
    </row>
    <row r="1838">
      <c r="A1838" s="26" t="n"/>
      <c r="B1838" s="24" t="n"/>
      <c r="C1838" s="40">
        <f>IF(B1838="","",IFERROR(INDEX(Mitarbeiter!$B$6:$B$205,MATCH(B1838,Mitarbeiter!$A$6:$A$205,0)),"?"))</f>
        <v/>
      </c>
      <c r="D1838" s="41" t="n"/>
      <c r="E1838" s="42" t="n"/>
      <c r="F1838" s="43" t="n"/>
      <c r="G1838" s="44">
        <f>IF(OR(B1838="",F1838=""),"",IFERROR(F1838*INDEX(Mitarbeiter!$F$6:$F$205,MATCH(B1838,Mitarbeiter!$A$6:$A$205,0)),0))</f>
        <v/>
      </c>
      <c r="H1838" s="8">
        <f>IF(B1838="","",IF(ISNA(MATCH(B1838,Mitarbeiter!$A$6:$A$205,0)),"Pers.-Nr. unbekannt",IF(A1838="","Datum fehlt",IF(AND(D1838&lt;&gt;Einstellungen!$C$4,D1838&lt;&gt;Einstellungen!$C$5),"Objekt fehlt",IF(YEAR(A1838)&lt;&gt;Einstellungen!$C$3,"anderes Jahr",IF(A1838&lt;INDEX(Mitarbeiter!$C$6:$C$205,MATCH(B1838,Mitarbeiter!$A$6:$A$205,0)),"vor Eintritt",IF(AND(INDEX(Mitarbeiter!$D$6:$D$205,MATCH(B1838,Mitarbeiter!$A$6:$A$205,0))&lt;&gt;"",A1838&gt;INDEX(Mitarbeiter!$D$6:$D$205,MATCH(B1838,Mitarbeiter!$A$6:$A$205,0))),"nach Austritt","ok")))))))</f>
        <v/>
      </c>
    </row>
    <row r="1839">
      <c r="A1839" s="26" t="n"/>
      <c r="B1839" s="24" t="n"/>
      <c r="C1839" s="40">
        <f>IF(B1839="","",IFERROR(INDEX(Mitarbeiter!$B$6:$B$205,MATCH(B1839,Mitarbeiter!$A$6:$A$205,0)),"?"))</f>
        <v/>
      </c>
      <c r="D1839" s="41" t="n"/>
      <c r="E1839" s="42" t="n"/>
      <c r="F1839" s="43" t="n"/>
      <c r="G1839" s="44">
        <f>IF(OR(B1839="",F1839=""),"",IFERROR(F1839*INDEX(Mitarbeiter!$F$6:$F$205,MATCH(B1839,Mitarbeiter!$A$6:$A$205,0)),0))</f>
        <v/>
      </c>
      <c r="H1839" s="8">
        <f>IF(B1839="","",IF(ISNA(MATCH(B1839,Mitarbeiter!$A$6:$A$205,0)),"Pers.-Nr. unbekannt",IF(A1839="","Datum fehlt",IF(AND(D1839&lt;&gt;Einstellungen!$C$4,D1839&lt;&gt;Einstellungen!$C$5),"Objekt fehlt",IF(YEAR(A1839)&lt;&gt;Einstellungen!$C$3,"anderes Jahr",IF(A1839&lt;INDEX(Mitarbeiter!$C$6:$C$205,MATCH(B1839,Mitarbeiter!$A$6:$A$205,0)),"vor Eintritt",IF(AND(INDEX(Mitarbeiter!$D$6:$D$205,MATCH(B1839,Mitarbeiter!$A$6:$A$205,0))&lt;&gt;"",A1839&gt;INDEX(Mitarbeiter!$D$6:$D$205,MATCH(B1839,Mitarbeiter!$A$6:$A$205,0))),"nach Austritt","ok")))))))</f>
        <v/>
      </c>
    </row>
    <row r="1840">
      <c r="A1840" s="26" t="n"/>
      <c r="B1840" s="24" t="n"/>
      <c r="C1840" s="40">
        <f>IF(B1840="","",IFERROR(INDEX(Mitarbeiter!$B$6:$B$205,MATCH(B1840,Mitarbeiter!$A$6:$A$205,0)),"?"))</f>
        <v/>
      </c>
      <c r="D1840" s="41" t="n"/>
      <c r="E1840" s="42" t="n"/>
      <c r="F1840" s="43" t="n"/>
      <c r="G1840" s="44">
        <f>IF(OR(B1840="",F1840=""),"",IFERROR(F1840*INDEX(Mitarbeiter!$F$6:$F$205,MATCH(B1840,Mitarbeiter!$A$6:$A$205,0)),0))</f>
        <v/>
      </c>
      <c r="H1840" s="8">
        <f>IF(B1840="","",IF(ISNA(MATCH(B1840,Mitarbeiter!$A$6:$A$205,0)),"Pers.-Nr. unbekannt",IF(A1840="","Datum fehlt",IF(AND(D1840&lt;&gt;Einstellungen!$C$4,D1840&lt;&gt;Einstellungen!$C$5),"Objekt fehlt",IF(YEAR(A1840)&lt;&gt;Einstellungen!$C$3,"anderes Jahr",IF(A1840&lt;INDEX(Mitarbeiter!$C$6:$C$205,MATCH(B1840,Mitarbeiter!$A$6:$A$205,0)),"vor Eintritt",IF(AND(INDEX(Mitarbeiter!$D$6:$D$205,MATCH(B1840,Mitarbeiter!$A$6:$A$205,0))&lt;&gt;"",A1840&gt;INDEX(Mitarbeiter!$D$6:$D$205,MATCH(B1840,Mitarbeiter!$A$6:$A$205,0))),"nach Austritt","ok")))))))</f>
        <v/>
      </c>
    </row>
    <row r="1841">
      <c r="A1841" s="26" t="n"/>
      <c r="B1841" s="24" t="n"/>
      <c r="C1841" s="40">
        <f>IF(B1841="","",IFERROR(INDEX(Mitarbeiter!$B$6:$B$205,MATCH(B1841,Mitarbeiter!$A$6:$A$205,0)),"?"))</f>
        <v/>
      </c>
      <c r="D1841" s="41" t="n"/>
      <c r="E1841" s="42" t="n"/>
      <c r="F1841" s="43" t="n"/>
      <c r="G1841" s="44">
        <f>IF(OR(B1841="",F1841=""),"",IFERROR(F1841*INDEX(Mitarbeiter!$F$6:$F$205,MATCH(B1841,Mitarbeiter!$A$6:$A$205,0)),0))</f>
        <v/>
      </c>
      <c r="H1841" s="8">
        <f>IF(B1841="","",IF(ISNA(MATCH(B1841,Mitarbeiter!$A$6:$A$205,0)),"Pers.-Nr. unbekannt",IF(A1841="","Datum fehlt",IF(AND(D1841&lt;&gt;Einstellungen!$C$4,D1841&lt;&gt;Einstellungen!$C$5),"Objekt fehlt",IF(YEAR(A1841)&lt;&gt;Einstellungen!$C$3,"anderes Jahr",IF(A1841&lt;INDEX(Mitarbeiter!$C$6:$C$205,MATCH(B1841,Mitarbeiter!$A$6:$A$205,0)),"vor Eintritt",IF(AND(INDEX(Mitarbeiter!$D$6:$D$205,MATCH(B1841,Mitarbeiter!$A$6:$A$205,0))&lt;&gt;"",A1841&gt;INDEX(Mitarbeiter!$D$6:$D$205,MATCH(B1841,Mitarbeiter!$A$6:$A$205,0))),"nach Austritt","ok")))))))</f>
        <v/>
      </c>
    </row>
    <row r="1842">
      <c r="A1842" s="26" t="n"/>
      <c r="B1842" s="24" t="n"/>
      <c r="C1842" s="40">
        <f>IF(B1842="","",IFERROR(INDEX(Mitarbeiter!$B$6:$B$205,MATCH(B1842,Mitarbeiter!$A$6:$A$205,0)),"?"))</f>
        <v/>
      </c>
      <c r="D1842" s="41" t="n"/>
      <c r="E1842" s="42" t="n"/>
      <c r="F1842" s="43" t="n"/>
      <c r="G1842" s="44">
        <f>IF(OR(B1842="",F1842=""),"",IFERROR(F1842*INDEX(Mitarbeiter!$F$6:$F$205,MATCH(B1842,Mitarbeiter!$A$6:$A$205,0)),0))</f>
        <v/>
      </c>
      <c r="H1842" s="8">
        <f>IF(B1842="","",IF(ISNA(MATCH(B1842,Mitarbeiter!$A$6:$A$205,0)),"Pers.-Nr. unbekannt",IF(A1842="","Datum fehlt",IF(AND(D1842&lt;&gt;Einstellungen!$C$4,D1842&lt;&gt;Einstellungen!$C$5),"Objekt fehlt",IF(YEAR(A1842)&lt;&gt;Einstellungen!$C$3,"anderes Jahr",IF(A1842&lt;INDEX(Mitarbeiter!$C$6:$C$205,MATCH(B1842,Mitarbeiter!$A$6:$A$205,0)),"vor Eintritt",IF(AND(INDEX(Mitarbeiter!$D$6:$D$205,MATCH(B1842,Mitarbeiter!$A$6:$A$205,0))&lt;&gt;"",A1842&gt;INDEX(Mitarbeiter!$D$6:$D$205,MATCH(B1842,Mitarbeiter!$A$6:$A$205,0))),"nach Austritt","ok")))))))</f>
        <v/>
      </c>
    </row>
    <row r="1843">
      <c r="A1843" s="26" t="n"/>
      <c r="B1843" s="24" t="n"/>
      <c r="C1843" s="40">
        <f>IF(B1843="","",IFERROR(INDEX(Mitarbeiter!$B$6:$B$205,MATCH(B1843,Mitarbeiter!$A$6:$A$205,0)),"?"))</f>
        <v/>
      </c>
      <c r="D1843" s="41" t="n"/>
      <c r="E1843" s="42" t="n"/>
      <c r="F1843" s="43" t="n"/>
      <c r="G1843" s="44">
        <f>IF(OR(B1843="",F1843=""),"",IFERROR(F1843*INDEX(Mitarbeiter!$F$6:$F$205,MATCH(B1843,Mitarbeiter!$A$6:$A$205,0)),0))</f>
        <v/>
      </c>
      <c r="H1843" s="8">
        <f>IF(B1843="","",IF(ISNA(MATCH(B1843,Mitarbeiter!$A$6:$A$205,0)),"Pers.-Nr. unbekannt",IF(A1843="","Datum fehlt",IF(AND(D1843&lt;&gt;Einstellungen!$C$4,D1843&lt;&gt;Einstellungen!$C$5),"Objekt fehlt",IF(YEAR(A1843)&lt;&gt;Einstellungen!$C$3,"anderes Jahr",IF(A1843&lt;INDEX(Mitarbeiter!$C$6:$C$205,MATCH(B1843,Mitarbeiter!$A$6:$A$205,0)),"vor Eintritt",IF(AND(INDEX(Mitarbeiter!$D$6:$D$205,MATCH(B1843,Mitarbeiter!$A$6:$A$205,0))&lt;&gt;"",A1843&gt;INDEX(Mitarbeiter!$D$6:$D$205,MATCH(B1843,Mitarbeiter!$A$6:$A$205,0))),"nach Austritt","ok")))))))</f>
        <v/>
      </c>
    </row>
    <row r="1844">
      <c r="A1844" s="26" t="n"/>
      <c r="B1844" s="24" t="n"/>
      <c r="C1844" s="40">
        <f>IF(B1844="","",IFERROR(INDEX(Mitarbeiter!$B$6:$B$205,MATCH(B1844,Mitarbeiter!$A$6:$A$205,0)),"?"))</f>
        <v/>
      </c>
      <c r="D1844" s="41" t="n"/>
      <c r="E1844" s="42" t="n"/>
      <c r="F1844" s="43" t="n"/>
      <c r="G1844" s="44">
        <f>IF(OR(B1844="",F1844=""),"",IFERROR(F1844*INDEX(Mitarbeiter!$F$6:$F$205,MATCH(B1844,Mitarbeiter!$A$6:$A$205,0)),0))</f>
        <v/>
      </c>
      <c r="H1844" s="8">
        <f>IF(B1844="","",IF(ISNA(MATCH(B1844,Mitarbeiter!$A$6:$A$205,0)),"Pers.-Nr. unbekannt",IF(A1844="","Datum fehlt",IF(AND(D1844&lt;&gt;Einstellungen!$C$4,D1844&lt;&gt;Einstellungen!$C$5),"Objekt fehlt",IF(YEAR(A1844)&lt;&gt;Einstellungen!$C$3,"anderes Jahr",IF(A1844&lt;INDEX(Mitarbeiter!$C$6:$C$205,MATCH(B1844,Mitarbeiter!$A$6:$A$205,0)),"vor Eintritt",IF(AND(INDEX(Mitarbeiter!$D$6:$D$205,MATCH(B1844,Mitarbeiter!$A$6:$A$205,0))&lt;&gt;"",A1844&gt;INDEX(Mitarbeiter!$D$6:$D$205,MATCH(B1844,Mitarbeiter!$A$6:$A$205,0))),"nach Austritt","ok")))))))</f>
        <v/>
      </c>
    </row>
    <row r="1845">
      <c r="A1845" s="26" t="n"/>
      <c r="B1845" s="24" t="n"/>
      <c r="C1845" s="40">
        <f>IF(B1845="","",IFERROR(INDEX(Mitarbeiter!$B$6:$B$205,MATCH(B1845,Mitarbeiter!$A$6:$A$205,0)),"?"))</f>
        <v/>
      </c>
      <c r="D1845" s="41" t="n"/>
      <c r="E1845" s="42" t="n"/>
      <c r="F1845" s="43" t="n"/>
      <c r="G1845" s="44">
        <f>IF(OR(B1845="",F1845=""),"",IFERROR(F1845*INDEX(Mitarbeiter!$F$6:$F$205,MATCH(B1845,Mitarbeiter!$A$6:$A$205,0)),0))</f>
        <v/>
      </c>
      <c r="H1845" s="8">
        <f>IF(B1845="","",IF(ISNA(MATCH(B1845,Mitarbeiter!$A$6:$A$205,0)),"Pers.-Nr. unbekannt",IF(A1845="","Datum fehlt",IF(AND(D1845&lt;&gt;Einstellungen!$C$4,D1845&lt;&gt;Einstellungen!$C$5),"Objekt fehlt",IF(YEAR(A1845)&lt;&gt;Einstellungen!$C$3,"anderes Jahr",IF(A1845&lt;INDEX(Mitarbeiter!$C$6:$C$205,MATCH(B1845,Mitarbeiter!$A$6:$A$205,0)),"vor Eintritt",IF(AND(INDEX(Mitarbeiter!$D$6:$D$205,MATCH(B1845,Mitarbeiter!$A$6:$A$205,0))&lt;&gt;"",A1845&gt;INDEX(Mitarbeiter!$D$6:$D$205,MATCH(B1845,Mitarbeiter!$A$6:$A$205,0))),"nach Austritt","ok")))))))</f>
        <v/>
      </c>
    </row>
    <row r="1846">
      <c r="A1846" s="26" t="n"/>
      <c r="B1846" s="24" t="n"/>
      <c r="C1846" s="40">
        <f>IF(B1846="","",IFERROR(INDEX(Mitarbeiter!$B$6:$B$205,MATCH(B1846,Mitarbeiter!$A$6:$A$205,0)),"?"))</f>
        <v/>
      </c>
      <c r="D1846" s="41" t="n"/>
      <c r="E1846" s="42" t="n"/>
      <c r="F1846" s="43" t="n"/>
      <c r="G1846" s="44">
        <f>IF(OR(B1846="",F1846=""),"",IFERROR(F1846*INDEX(Mitarbeiter!$F$6:$F$205,MATCH(B1846,Mitarbeiter!$A$6:$A$205,0)),0))</f>
        <v/>
      </c>
      <c r="H1846" s="8">
        <f>IF(B1846="","",IF(ISNA(MATCH(B1846,Mitarbeiter!$A$6:$A$205,0)),"Pers.-Nr. unbekannt",IF(A1846="","Datum fehlt",IF(AND(D1846&lt;&gt;Einstellungen!$C$4,D1846&lt;&gt;Einstellungen!$C$5),"Objekt fehlt",IF(YEAR(A1846)&lt;&gt;Einstellungen!$C$3,"anderes Jahr",IF(A1846&lt;INDEX(Mitarbeiter!$C$6:$C$205,MATCH(B1846,Mitarbeiter!$A$6:$A$205,0)),"vor Eintritt",IF(AND(INDEX(Mitarbeiter!$D$6:$D$205,MATCH(B1846,Mitarbeiter!$A$6:$A$205,0))&lt;&gt;"",A1846&gt;INDEX(Mitarbeiter!$D$6:$D$205,MATCH(B1846,Mitarbeiter!$A$6:$A$205,0))),"nach Austritt","ok")))))))</f>
        <v/>
      </c>
    </row>
    <row r="1847">
      <c r="A1847" s="26" t="n"/>
      <c r="B1847" s="24" t="n"/>
      <c r="C1847" s="40">
        <f>IF(B1847="","",IFERROR(INDEX(Mitarbeiter!$B$6:$B$205,MATCH(B1847,Mitarbeiter!$A$6:$A$205,0)),"?"))</f>
        <v/>
      </c>
      <c r="D1847" s="41" t="n"/>
      <c r="E1847" s="42" t="n"/>
      <c r="F1847" s="43" t="n"/>
      <c r="G1847" s="44">
        <f>IF(OR(B1847="",F1847=""),"",IFERROR(F1847*INDEX(Mitarbeiter!$F$6:$F$205,MATCH(B1847,Mitarbeiter!$A$6:$A$205,0)),0))</f>
        <v/>
      </c>
      <c r="H1847" s="8">
        <f>IF(B1847="","",IF(ISNA(MATCH(B1847,Mitarbeiter!$A$6:$A$205,0)),"Pers.-Nr. unbekannt",IF(A1847="","Datum fehlt",IF(AND(D1847&lt;&gt;Einstellungen!$C$4,D1847&lt;&gt;Einstellungen!$C$5),"Objekt fehlt",IF(YEAR(A1847)&lt;&gt;Einstellungen!$C$3,"anderes Jahr",IF(A1847&lt;INDEX(Mitarbeiter!$C$6:$C$205,MATCH(B1847,Mitarbeiter!$A$6:$A$205,0)),"vor Eintritt",IF(AND(INDEX(Mitarbeiter!$D$6:$D$205,MATCH(B1847,Mitarbeiter!$A$6:$A$205,0))&lt;&gt;"",A1847&gt;INDEX(Mitarbeiter!$D$6:$D$205,MATCH(B1847,Mitarbeiter!$A$6:$A$205,0))),"nach Austritt","ok")))))))</f>
        <v/>
      </c>
    </row>
    <row r="1848">
      <c r="A1848" s="26" t="n"/>
      <c r="B1848" s="24" t="n"/>
      <c r="C1848" s="40">
        <f>IF(B1848="","",IFERROR(INDEX(Mitarbeiter!$B$6:$B$205,MATCH(B1848,Mitarbeiter!$A$6:$A$205,0)),"?"))</f>
        <v/>
      </c>
      <c r="D1848" s="41" t="n"/>
      <c r="E1848" s="42" t="n"/>
      <c r="F1848" s="43" t="n"/>
      <c r="G1848" s="44">
        <f>IF(OR(B1848="",F1848=""),"",IFERROR(F1848*INDEX(Mitarbeiter!$F$6:$F$205,MATCH(B1848,Mitarbeiter!$A$6:$A$205,0)),0))</f>
        <v/>
      </c>
      <c r="H1848" s="8">
        <f>IF(B1848="","",IF(ISNA(MATCH(B1848,Mitarbeiter!$A$6:$A$205,0)),"Pers.-Nr. unbekannt",IF(A1848="","Datum fehlt",IF(AND(D1848&lt;&gt;Einstellungen!$C$4,D1848&lt;&gt;Einstellungen!$C$5),"Objekt fehlt",IF(YEAR(A1848)&lt;&gt;Einstellungen!$C$3,"anderes Jahr",IF(A1848&lt;INDEX(Mitarbeiter!$C$6:$C$205,MATCH(B1848,Mitarbeiter!$A$6:$A$205,0)),"vor Eintritt",IF(AND(INDEX(Mitarbeiter!$D$6:$D$205,MATCH(B1848,Mitarbeiter!$A$6:$A$205,0))&lt;&gt;"",A1848&gt;INDEX(Mitarbeiter!$D$6:$D$205,MATCH(B1848,Mitarbeiter!$A$6:$A$205,0))),"nach Austritt","ok")))))))</f>
        <v/>
      </c>
    </row>
    <row r="1849">
      <c r="A1849" s="26" t="n"/>
      <c r="B1849" s="24" t="n"/>
      <c r="C1849" s="40">
        <f>IF(B1849="","",IFERROR(INDEX(Mitarbeiter!$B$6:$B$205,MATCH(B1849,Mitarbeiter!$A$6:$A$205,0)),"?"))</f>
        <v/>
      </c>
      <c r="D1849" s="41" t="n"/>
      <c r="E1849" s="42" t="n"/>
      <c r="F1849" s="43" t="n"/>
      <c r="G1849" s="44">
        <f>IF(OR(B1849="",F1849=""),"",IFERROR(F1849*INDEX(Mitarbeiter!$F$6:$F$205,MATCH(B1849,Mitarbeiter!$A$6:$A$205,0)),0))</f>
        <v/>
      </c>
      <c r="H1849" s="8">
        <f>IF(B1849="","",IF(ISNA(MATCH(B1849,Mitarbeiter!$A$6:$A$205,0)),"Pers.-Nr. unbekannt",IF(A1849="","Datum fehlt",IF(AND(D1849&lt;&gt;Einstellungen!$C$4,D1849&lt;&gt;Einstellungen!$C$5),"Objekt fehlt",IF(YEAR(A1849)&lt;&gt;Einstellungen!$C$3,"anderes Jahr",IF(A1849&lt;INDEX(Mitarbeiter!$C$6:$C$205,MATCH(B1849,Mitarbeiter!$A$6:$A$205,0)),"vor Eintritt",IF(AND(INDEX(Mitarbeiter!$D$6:$D$205,MATCH(B1849,Mitarbeiter!$A$6:$A$205,0))&lt;&gt;"",A1849&gt;INDEX(Mitarbeiter!$D$6:$D$205,MATCH(B1849,Mitarbeiter!$A$6:$A$205,0))),"nach Austritt","ok")))))))</f>
        <v/>
      </c>
    </row>
    <row r="1850">
      <c r="A1850" s="26" t="n"/>
      <c r="B1850" s="24" t="n"/>
      <c r="C1850" s="40">
        <f>IF(B1850="","",IFERROR(INDEX(Mitarbeiter!$B$6:$B$205,MATCH(B1850,Mitarbeiter!$A$6:$A$205,0)),"?"))</f>
        <v/>
      </c>
      <c r="D1850" s="41" t="n"/>
      <c r="E1850" s="42" t="n"/>
      <c r="F1850" s="43" t="n"/>
      <c r="G1850" s="44">
        <f>IF(OR(B1850="",F1850=""),"",IFERROR(F1850*INDEX(Mitarbeiter!$F$6:$F$205,MATCH(B1850,Mitarbeiter!$A$6:$A$205,0)),0))</f>
        <v/>
      </c>
      <c r="H1850" s="8">
        <f>IF(B1850="","",IF(ISNA(MATCH(B1850,Mitarbeiter!$A$6:$A$205,0)),"Pers.-Nr. unbekannt",IF(A1850="","Datum fehlt",IF(AND(D1850&lt;&gt;Einstellungen!$C$4,D1850&lt;&gt;Einstellungen!$C$5),"Objekt fehlt",IF(YEAR(A1850)&lt;&gt;Einstellungen!$C$3,"anderes Jahr",IF(A1850&lt;INDEX(Mitarbeiter!$C$6:$C$205,MATCH(B1850,Mitarbeiter!$A$6:$A$205,0)),"vor Eintritt",IF(AND(INDEX(Mitarbeiter!$D$6:$D$205,MATCH(B1850,Mitarbeiter!$A$6:$A$205,0))&lt;&gt;"",A1850&gt;INDEX(Mitarbeiter!$D$6:$D$205,MATCH(B1850,Mitarbeiter!$A$6:$A$205,0))),"nach Austritt","ok")))))))</f>
        <v/>
      </c>
    </row>
    <row r="1851">
      <c r="A1851" s="26" t="n"/>
      <c r="B1851" s="24" t="n"/>
      <c r="C1851" s="40">
        <f>IF(B1851="","",IFERROR(INDEX(Mitarbeiter!$B$6:$B$205,MATCH(B1851,Mitarbeiter!$A$6:$A$205,0)),"?"))</f>
        <v/>
      </c>
      <c r="D1851" s="41" t="n"/>
      <c r="E1851" s="42" t="n"/>
      <c r="F1851" s="43" t="n"/>
      <c r="G1851" s="44">
        <f>IF(OR(B1851="",F1851=""),"",IFERROR(F1851*INDEX(Mitarbeiter!$F$6:$F$205,MATCH(B1851,Mitarbeiter!$A$6:$A$205,0)),0))</f>
        <v/>
      </c>
      <c r="H1851" s="8">
        <f>IF(B1851="","",IF(ISNA(MATCH(B1851,Mitarbeiter!$A$6:$A$205,0)),"Pers.-Nr. unbekannt",IF(A1851="","Datum fehlt",IF(AND(D1851&lt;&gt;Einstellungen!$C$4,D1851&lt;&gt;Einstellungen!$C$5),"Objekt fehlt",IF(YEAR(A1851)&lt;&gt;Einstellungen!$C$3,"anderes Jahr",IF(A1851&lt;INDEX(Mitarbeiter!$C$6:$C$205,MATCH(B1851,Mitarbeiter!$A$6:$A$205,0)),"vor Eintritt",IF(AND(INDEX(Mitarbeiter!$D$6:$D$205,MATCH(B1851,Mitarbeiter!$A$6:$A$205,0))&lt;&gt;"",A1851&gt;INDEX(Mitarbeiter!$D$6:$D$205,MATCH(B1851,Mitarbeiter!$A$6:$A$205,0))),"nach Austritt","ok")))))))</f>
        <v/>
      </c>
    </row>
    <row r="1852">
      <c r="A1852" s="26" t="n"/>
      <c r="B1852" s="24" t="n"/>
      <c r="C1852" s="40">
        <f>IF(B1852="","",IFERROR(INDEX(Mitarbeiter!$B$6:$B$205,MATCH(B1852,Mitarbeiter!$A$6:$A$205,0)),"?"))</f>
        <v/>
      </c>
      <c r="D1852" s="41" t="n"/>
      <c r="E1852" s="42" t="n"/>
      <c r="F1852" s="43" t="n"/>
      <c r="G1852" s="44">
        <f>IF(OR(B1852="",F1852=""),"",IFERROR(F1852*INDEX(Mitarbeiter!$F$6:$F$205,MATCH(B1852,Mitarbeiter!$A$6:$A$205,0)),0))</f>
        <v/>
      </c>
      <c r="H1852" s="8">
        <f>IF(B1852="","",IF(ISNA(MATCH(B1852,Mitarbeiter!$A$6:$A$205,0)),"Pers.-Nr. unbekannt",IF(A1852="","Datum fehlt",IF(AND(D1852&lt;&gt;Einstellungen!$C$4,D1852&lt;&gt;Einstellungen!$C$5),"Objekt fehlt",IF(YEAR(A1852)&lt;&gt;Einstellungen!$C$3,"anderes Jahr",IF(A1852&lt;INDEX(Mitarbeiter!$C$6:$C$205,MATCH(B1852,Mitarbeiter!$A$6:$A$205,0)),"vor Eintritt",IF(AND(INDEX(Mitarbeiter!$D$6:$D$205,MATCH(B1852,Mitarbeiter!$A$6:$A$205,0))&lt;&gt;"",A1852&gt;INDEX(Mitarbeiter!$D$6:$D$205,MATCH(B1852,Mitarbeiter!$A$6:$A$205,0))),"nach Austritt","ok")))))))</f>
        <v/>
      </c>
    </row>
    <row r="1853">
      <c r="A1853" s="26" t="n"/>
      <c r="B1853" s="24" t="n"/>
      <c r="C1853" s="40">
        <f>IF(B1853="","",IFERROR(INDEX(Mitarbeiter!$B$6:$B$205,MATCH(B1853,Mitarbeiter!$A$6:$A$205,0)),"?"))</f>
        <v/>
      </c>
      <c r="D1853" s="41" t="n"/>
      <c r="E1853" s="42" t="n"/>
      <c r="F1853" s="43" t="n"/>
      <c r="G1853" s="44">
        <f>IF(OR(B1853="",F1853=""),"",IFERROR(F1853*INDEX(Mitarbeiter!$F$6:$F$205,MATCH(B1853,Mitarbeiter!$A$6:$A$205,0)),0))</f>
        <v/>
      </c>
      <c r="H1853" s="8">
        <f>IF(B1853="","",IF(ISNA(MATCH(B1853,Mitarbeiter!$A$6:$A$205,0)),"Pers.-Nr. unbekannt",IF(A1853="","Datum fehlt",IF(AND(D1853&lt;&gt;Einstellungen!$C$4,D1853&lt;&gt;Einstellungen!$C$5),"Objekt fehlt",IF(YEAR(A1853)&lt;&gt;Einstellungen!$C$3,"anderes Jahr",IF(A1853&lt;INDEX(Mitarbeiter!$C$6:$C$205,MATCH(B1853,Mitarbeiter!$A$6:$A$205,0)),"vor Eintritt",IF(AND(INDEX(Mitarbeiter!$D$6:$D$205,MATCH(B1853,Mitarbeiter!$A$6:$A$205,0))&lt;&gt;"",A1853&gt;INDEX(Mitarbeiter!$D$6:$D$205,MATCH(B1853,Mitarbeiter!$A$6:$A$205,0))),"nach Austritt","ok")))))))</f>
        <v/>
      </c>
    </row>
    <row r="1854">
      <c r="A1854" s="26" t="n"/>
      <c r="B1854" s="24" t="n"/>
      <c r="C1854" s="40">
        <f>IF(B1854="","",IFERROR(INDEX(Mitarbeiter!$B$6:$B$205,MATCH(B1854,Mitarbeiter!$A$6:$A$205,0)),"?"))</f>
        <v/>
      </c>
      <c r="D1854" s="41" t="n"/>
      <c r="E1854" s="42" t="n"/>
      <c r="F1854" s="43" t="n"/>
      <c r="G1854" s="44">
        <f>IF(OR(B1854="",F1854=""),"",IFERROR(F1854*INDEX(Mitarbeiter!$F$6:$F$205,MATCH(B1854,Mitarbeiter!$A$6:$A$205,0)),0))</f>
        <v/>
      </c>
      <c r="H1854" s="8">
        <f>IF(B1854="","",IF(ISNA(MATCH(B1854,Mitarbeiter!$A$6:$A$205,0)),"Pers.-Nr. unbekannt",IF(A1854="","Datum fehlt",IF(AND(D1854&lt;&gt;Einstellungen!$C$4,D1854&lt;&gt;Einstellungen!$C$5),"Objekt fehlt",IF(YEAR(A1854)&lt;&gt;Einstellungen!$C$3,"anderes Jahr",IF(A1854&lt;INDEX(Mitarbeiter!$C$6:$C$205,MATCH(B1854,Mitarbeiter!$A$6:$A$205,0)),"vor Eintritt",IF(AND(INDEX(Mitarbeiter!$D$6:$D$205,MATCH(B1854,Mitarbeiter!$A$6:$A$205,0))&lt;&gt;"",A1854&gt;INDEX(Mitarbeiter!$D$6:$D$205,MATCH(B1854,Mitarbeiter!$A$6:$A$205,0))),"nach Austritt","ok")))))))</f>
        <v/>
      </c>
    </row>
    <row r="1855">
      <c r="A1855" s="26" t="n"/>
      <c r="B1855" s="24" t="n"/>
      <c r="C1855" s="40">
        <f>IF(B1855="","",IFERROR(INDEX(Mitarbeiter!$B$6:$B$205,MATCH(B1855,Mitarbeiter!$A$6:$A$205,0)),"?"))</f>
        <v/>
      </c>
      <c r="D1855" s="41" t="n"/>
      <c r="E1855" s="42" t="n"/>
      <c r="F1855" s="43" t="n"/>
      <c r="G1855" s="44">
        <f>IF(OR(B1855="",F1855=""),"",IFERROR(F1855*INDEX(Mitarbeiter!$F$6:$F$205,MATCH(B1855,Mitarbeiter!$A$6:$A$205,0)),0))</f>
        <v/>
      </c>
      <c r="H1855" s="8">
        <f>IF(B1855="","",IF(ISNA(MATCH(B1855,Mitarbeiter!$A$6:$A$205,0)),"Pers.-Nr. unbekannt",IF(A1855="","Datum fehlt",IF(AND(D1855&lt;&gt;Einstellungen!$C$4,D1855&lt;&gt;Einstellungen!$C$5),"Objekt fehlt",IF(YEAR(A1855)&lt;&gt;Einstellungen!$C$3,"anderes Jahr",IF(A1855&lt;INDEX(Mitarbeiter!$C$6:$C$205,MATCH(B1855,Mitarbeiter!$A$6:$A$205,0)),"vor Eintritt",IF(AND(INDEX(Mitarbeiter!$D$6:$D$205,MATCH(B1855,Mitarbeiter!$A$6:$A$205,0))&lt;&gt;"",A1855&gt;INDEX(Mitarbeiter!$D$6:$D$205,MATCH(B1855,Mitarbeiter!$A$6:$A$205,0))),"nach Austritt","ok")))))))</f>
        <v/>
      </c>
    </row>
    <row r="1856">
      <c r="A1856" s="26" t="n"/>
      <c r="B1856" s="24" t="n"/>
      <c r="C1856" s="40">
        <f>IF(B1856="","",IFERROR(INDEX(Mitarbeiter!$B$6:$B$205,MATCH(B1856,Mitarbeiter!$A$6:$A$205,0)),"?"))</f>
        <v/>
      </c>
      <c r="D1856" s="41" t="n"/>
      <c r="E1856" s="42" t="n"/>
      <c r="F1856" s="43" t="n"/>
      <c r="G1856" s="44">
        <f>IF(OR(B1856="",F1856=""),"",IFERROR(F1856*INDEX(Mitarbeiter!$F$6:$F$205,MATCH(B1856,Mitarbeiter!$A$6:$A$205,0)),0))</f>
        <v/>
      </c>
      <c r="H1856" s="8">
        <f>IF(B1856="","",IF(ISNA(MATCH(B1856,Mitarbeiter!$A$6:$A$205,0)),"Pers.-Nr. unbekannt",IF(A1856="","Datum fehlt",IF(AND(D1856&lt;&gt;Einstellungen!$C$4,D1856&lt;&gt;Einstellungen!$C$5),"Objekt fehlt",IF(YEAR(A1856)&lt;&gt;Einstellungen!$C$3,"anderes Jahr",IF(A1856&lt;INDEX(Mitarbeiter!$C$6:$C$205,MATCH(B1856,Mitarbeiter!$A$6:$A$205,0)),"vor Eintritt",IF(AND(INDEX(Mitarbeiter!$D$6:$D$205,MATCH(B1856,Mitarbeiter!$A$6:$A$205,0))&lt;&gt;"",A1856&gt;INDEX(Mitarbeiter!$D$6:$D$205,MATCH(B1856,Mitarbeiter!$A$6:$A$205,0))),"nach Austritt","ok")))))))</f>
        <v/>
      </c>
    </row>
    <row r="1857">
      <c r="A1857" s="26" t="n"/>
      <c r="B1857" s="24" t="n"/>
      <c r="C1857" s="40">
        <f>IF(B1857="","",IFERROR(INDEX(Mitarbeiter!$B$6:$B$205,MATCH(B1857,Mitarbeiter!$A$6:$A$205,0)),"?"))</f>
        <v/>
      </c>
      <c r="D1857" s="41" t="n"/>
      <c r="E1857" s="42" t="n"/>
      <c r="F1857" s="43" t="n"/>
      <c r="G1857" s="44">
        <f>IF(OR(B1857="",F1857=""),"",IFERROR(F1857*INDEX(Mitarbeiter!$F$6:$F$205,MATCH(B1857,Mitarbeiter!$A$6:$A$205,0)),0))</f>
        <v/>
      </c>
      <c r="H1857" s="8">
        <f>IF(B1857="","",IF(ISNA(MATCH(B1857,Mitarbeiter!$A$6:$A$205,0)),"Pers.-Nr. unbekannt",IF(A1857="","Datum fehlt",IF(AND(D1857&lt;&gt;Einstellungen!$C$4,D1857&lt;&gt;Einstellungen!$C$5),"Objekt fehlt",IF(YEAR(A1857)&lt;&gt;Einstellungen!$C$3,"anderes Jahr",IF(A1857&lt;INDEX(Mitarbeiter!$C$6:$C$205,MATCH(B1857,Mitarbeiter!$A$6:$A$205,0)),"vor Eintritt",IF(AND(INDEX(Mitarbeiter!$D$6:$D$205,MATCH(B1857,Mitarbeiter!$A$6:$A$205,0))&lt;&gt;"",A1857&gt;INDEX(Mitarbeiter!$D$6:$D$205,MATCH(B1857,Mitarbeiter!$A$6:$A$205,0))),"nach Austritt","ok")))))))</f>
        <v/>
      </c>
    </row>
    <row r="1858">
      <c r="A1858" s="26" t="n"/>
      <c r="B1858" s="24" t="n"/>
      <c r="C1858" s="40">
        <f>IF(B1858="","",IFERROR(INDEX(Mitarbeiter!$B$6:$B$205,MATCH(B1858,Mitarbeiter!$A$6:$A$205,0)),"?"))</f>
        <v/>
      </c>
      <c r="D1858" s="41" t="n"/>
      <c r="E1858" s="42" t="n"/>
      <c r="F1858" s="43" t="n"/>
      <c r="G1858" s="44">
        <f>IF(OR(B1858="",F1858=""),"",IFERROR(F1858*INDEX(Mitarbeiter!$F$6:$F$205,MATCH(B1858,Mitarbeiter!$A$6:$A$205,0)),0))</f>
        <v/>
      </c>
      <c r="H1858" s="8">
        <f>IF(B1858="","",IF(ISNA(MATCH(B1858,Mitarbeiter!$A$6:$A$205,0)),"Pers.-Nr. unbekannt",IF(A1858="","Datum fehlt",IF(AND(D1858&lt;&gt;Einstellungen!$C$4,D1858&lt;&gt;Einstellungen!$C$5),"Objekt fehlt",IF(YEAR(A1858)&lt;&gt;Einstellungen!$C$3,"anderes Jahr",IF(A1858&lt;INDEX(Mitarbeiter!$C$6:$C$205,MATCH(B1858,Mitarbeiter!$A$6:$A$205,0)),"vor Eintritt",IF(AND(INDEX(Mitarbeiter!$D$6:$D$205,MATCH(B1858,Mitarbeiter!$A$6:$A$205,0))&lt;&gt;"",A1858&gt;INDEX(Mitarbeiter!$D$6:$D$205,MATCH(B1858,Mitarbeiter!$A$6:$A$205,0))),"nach Austritt","ok")))))))</f>
        <v/>
      </c>
    </row>
    <row r="1859">
      <c r="A1859" s="26" t="n"/>
      <c r="B1859" s="24" t="n"/>
      <c r="C1859" s="40">
        <f>IF(B1859="","",IFERROR(INDEX(Mitarbeiter!$B$6:$B$205,MATCH(B1859,Mitarbeiter!$A$6:$A$205,0)),"?"))</f>
        <v/>
      </c>
      <c r="D1859" s="41" t="n"/>
      <c r="E1859" s="42" t="n"/>
      <c r="F1859" s="43" t="n"/>
      <c r="G1859" s="44">
        <f>IF(OR(B1859="",F1859=""),"",IFERROR(F1859*INDEX(Mitarbeiter!$F$6:$F$205,MATCH(B1859,Mitarbeiter!$A$6:$A$205,0)),0))</f>
        <v/>
      </c>
      <c r="H1859" s="8">
        <f>IF(B1859="","",IF(ISNA(MATCH(B1859,Mitarbeiter!$A$6:$A$205,0)),"Pers.-Nr. unbekannt",IF(A1859="","Datum fehlt",IF(AND(D1859&lt;&gt;Einstellungen!$C$4,D1859&lt;&gt;Einstellungen!$C$5),"Objekt fehlt",IF(YEAR(A1859)&lt;&gt;Einstellungen!$C$3,"anderes Jahr",IF(A1859&lt;INDEX(Mitarbeiter!$C$6:$C$205,MATCH(B1859,Mitarbeiter!$A$6:$A$205,0)),"vor Eintritt",IF(AND(INDEX(Mitarbeiter!$D$6:$D$205,MATCH(B1859,Mitarbeiter!$A$6:$A$205,0))&lt;&gt;"",A1859&gt;INDEX(Mitarbeiter!$D$6:$D$205,MATCH(B1859,Mitarbeiter!$A$6:$A$205,0))),"nach Austritt","ok")))))))</f>
        <v/>
      </c>
    </row>
    <row r="1860">
      <c r="A1860" s="26" t="n"/>
      <c r="B1860" s="24" t="n"/>
      <c r="C1860" s="40">
        <f>IF(B1860="","",IFERROR(INDEX(Mitarbeiter!$B$6:$B$205,MATCH(B1860,Mitarbeiter!$A$6:$A$205,0)),"?"))</f>
        <v/>
      </c>
      <c r="D1860" s="41" t="n"/>
      <c r="E1860" s="42" t="n"/>
      <c r="F1860" s="43" t="n"/>
      <c r="G1860" s="44">
        <f>IF(OR(B1860="",F1860=""),"",IFERROR(F1860*INDEX(Mitarbeiter!$F$6:$F$205,MATCH(B1860,Mitarbeiter!$A$6:$A$205,0)),0))</f>
        <v/>
      </c>
      <c r="H1860" s="8">
        <f>IF(B1860="","",IF(ISNA(MATCH(B1860,Mitarbeiter!$A$6:$A$205,0)),"Pers.-Nr. unbekannt",IF(A1860="","Datum fehlt",IF(AND(D1860&lt;&gt;Einstellungen!$C$4,D1860&lt;&gt;Einstellungen!$C$5),"Objekt fehlt",IF(YEAR(A1860)&lt;&gt;Einstellungen!$C$3,"anderes Jahr",IF(A1860&lt;INDEX(Mitarbeiter!$C$6:$C$205,MATCH(B1860,Mitarbeiter!$A$6:$A$205,0)),"vor Eintritt",IF(AND(INDEX(Mitarbeiter!$D$6:$D$205,MATCH(B1860,Mitarbeiter!$A$6:$A$205,0))&lt;&gt;"",A1860&gt;INDEX(Mitarbeiter!$D$6:$D$205,MATCH(B1860,Mitarbeiter!$A$6:$A$205,0))),"nach Austritt","ok")))))))</f>
        <v/>
      </c>
    </row>
    <row r="1861">
      <c r="A1861" s="26" t="n"/>
      <c r="B1861" s="24" t="n"/>
      <c r="C1861" s="40">
        <f>IF(B1861="","",IFERROR(INDEX(Mitarbeiter!$B$6:$B$205,MATCH(B1861,Mitarbeiter!$A$6:$A$205,0)),"?"))</f>
        <v/>
      </c>
      <c r="D1861" s="41" t="n"/>
      <c r="E1861" s="42" t="n"/>
      <c r="F1861" s="43" t="n"/>
      <c r="G1861" s="44">
        <f>IF(OR(B1861="",F1861=""),"",IFERROR(F1861*INDEX(Mitarbeiter!$F$6:$F$205,MATCH(B1861,Mitarbeiter!$A$6:$A$205,0)),0))</f>
        <v/>
      </c>
      <c r="H1861" s="8">
        <f>IF(B1861="","",IF(ISNA(MATCH(B1861,Mitarbeiter!$A$6:$A$205,0)),"Pers.-Nr. unbekannt",IF(A1861="","Datum fehlt",IF(AND(D1861&lt;&gt;Einstellungen!$C$4,D1861&lt;&gt;Einstellungen!$C$5),"Objekt fehlt",IF(YEAR(A1861)&lt;&gt;Einstellungen!$C$3,"anderes Jahr",IF(A1861&lt;INDEX(Mitarbeiter!$C$6:$C$205,MATCH(B1861,Mitarbeiter!$A$6:$A$205,0)),"vor Eintritt",IF(AND(INDEX(Mitarbeiter!$D$6:$D$205,MATCH(B1861,Mitarbeiter!$A$6:$A$205,0))&lt;&gt;"",A1861&gt;INDEX(Mitarbeiter!$D$6:$D$205,MATCH(B1861,Mitarbeiter!$A$6:$A$205,0))),"nach Austritt","ok")))))))</f>
        <v/>
      </c>
    </row>
    <row r="1862">
      <c r="A1862" s="26" t="n"/>
      <c r="B1862" s="24" t="n"/>
      <c r="C1862" s="40">
        <f>IF(B1862="","",IFERROR(INDEX(Mitarbeiter!$B$6:$B$205,MATCH(B1862,Mitarbeiter!$A$6:$A$205,0)),"?"))</f>
        <v/>
      </c>
      <c r="D1862" s="41" t="n"/>
      <c r="E1862" s="42" t="n"/>
      <c r="F1862" s="43" t="n"/>
      <c r="G1862" s="44">
        <f>IF(OR(B1862="",F1862=""),"",IFERROR(F1862*INDEX(Mitarbeiter!$F$6:$F$205,MATCH(B1862,Mitarbeiter!$A$6:$A$205,0)),0))</f>
        <v/>
      </c>
      <c r="H1862" s="8">
        <f>IF(B1862="","",IF(ISNA(MATCH(B1862,Mitarbeiter!$A$6:$A$205,0)),"Pers.-Nr. unbekannt",IF(A1862="","Datum fehlt",IF(AND(D1862&lt;&gt;Einstellungen!$C$4,D1862&lt;&gt;Einstellungen!$C$5),"Objekt fehlt",IF(YEAR(A1862)&lt;&gt;Einstellungen!$C$3,"anderes Jahr",IF(A1862&lt;INDEX(Mitarbeiter!$C$6:$C$205,MATCH(B1862,Mitarbeiter!$A$6:$A$205,0)),"vor Eintritt",IF(AND(INDEX(Mitarbeiter!$D$6:$D$205,MATCH(B1862,Mitarbeiter!$A$6:$A$205,0))&lt;&gt;"",A1862&gt;INDEX(Mitarbeiter!$D$6:$D$205,MATCH(B1862,Mitarbeiter!$A$6:$A$205,0))),"nach Austritt","ok")))))))</f>
        <v/>
      </c>
    </row>
    <row r="1863">
      <c r="A1863" s="26" t="n"/>
      <c r="B1863" s="24" t="n"/>
      <c r="C1863" s="40">
        <f>IF(B1863="","",IFERROR(INDEX(Mitarbeiter!$B$6:$B$205,MATCH(B1863,Mitarbeiter!$A$6:$A$205,0)),"?"))</f>
        <v/>
      </c>
      <c r="D1863" s="41" t="n"/>
      <c r="E1863" s="42" t="n"/>
      <c r="F1863" s="43" t="n"/>
      <c r="G1863" s="44">
        <f>IF(OR(B1863="",F1863=""),"",IFERROR(F1863*INDEX(Mitarbeiter!$F$6:$F$205,MATCH(B1863,Mitarbeiter!$A$6:$A$205,0)),0))</f>
        <v/>
      </c>
      <c r="H1863" s="8">
        <f>IF(B1863="","",IF(ISNA(MATCH(B1863,Mitarbeiter!$A$6:$A$205,0)),"Pers.-Nr. unbekannt",IF(A1863="","Datum fehlt",IF(AND(D1863&lt;&gt;Einstellungen!$C$4,D1863&lt;&gt;Einstellungen!$C$5),"Objekt fehlt",IF(YEAR(A1863)&lt;&gt;Einstellungen!$C$3,"anderes Jahr",IF(A1863&lt;INDEX(Mitarbeiter!$C$6:$C$205,MATCH(B1863,Mitarbeiter!$A$6:$A$205,0)),"vor Eintritt",IF(AND(INDEX(Mitarbeiter!$D$6:$D$205,MATCH(B1863,Mitarbeiter!$A$6:$A$205,0))&lt;&gt;"",A1863&gt;INDEX(Mitarbeiter!$D$6:$D$205,MATCH(B1863,Mitarbeiter!$A$6:$A$205,0))),"nach Austritt","ok")))))))</f>
        <v/>
      </c>
    </row>
    <row r="1864">
      <c r="A1864" s="26" t="n"/>
      <c r="B1864" s="24" t="n"/>
      <c r="C1864" s="40">
        <f>IF(B1864="","",IFERROR(INDEX(Mitarbeiter!$B$6:$B$205,MATCH(B1864,Mitarbeiter!$A$6:$A$205,0)),"?"))</f>
        <v/>
      </c>
      <c r="D1864" s="41" t="n"/>
      <c r="E1864" s="42" t="n"/>
      <c r="F1864" s="43" t="n"/>
      <c r="G1864" s="44">
        <f>IF(OR(B1864="",F1864=""),"",IFERROR(F1864*INDEX(Mitarbeiter!$F$6:$F$205,MATCH(B1864,Mitarbeiter!$A$6:$A$205,0)),0))</f>
        <v/>
      </c>
      <c r="H1864" s="8">
        <f>IF(B1864="","",IF(ISNA(MATCH(B1864,Mitarbeiter!$A$6:$A$205,0)),"Pers.-Nr. unbekannt",IF(A1864="","Datum fehlt",IF(AND(D1864&lt;&gt;Einstellungen!$C$4,D1864&lt;&gt;Einstellungen!$C$5),"Objekt fehlt",IF(YEAR(A1864)&lt;&gt;Einstellungen!$C$3,"anderes Jahr",IF(A1864&lt;INDEX(Mitarbeiter!$C$6:$C$205,MATCH(B1864,Mitarbeiter!$A$6:$A$205,0)),"vor Eintritt",IF(AND(INDEX(Mitarbeiter!$D$6:$D$205,MATCH(B1864,Mitarbeiter!$A$6:$A$205,0))&lt;&gt;"",A1864&gt;INDEX(Mitarbeiter!$D$6:$D$205,MATCH(B1864,Mitarbeiter!$A$6:$A$205,0))),"nach Austritt","ok")))))))</f>
        <v/>
      </c>
    </row>
    <row r="1865">
      <c r="A1865" s="26" t="n"/>
      <c r="B1865" s="24" t="n"/>
      <c r="C1865" s="40">
        <f>IF(B1865="","",IFERROR(INDEX(Mitarbeiter!$B$6:$B$205,MATCH(B1865,Mitarbeiter!$A$6:$A$205,0)),"?"))</f>
        <v/>
      </c>
      <c r="D1865" s="41" t="n"/>
      <c r="E1865" s="42" t="n"/>
      <c r="F1865" s="43" t="n"/>
      <c r="G1865" s="44">
        <f>IF(OR(B1865="",F1865=""),"",IFERROR(F1865*INDEX(Mitarbeiter!$F$6:$F$205,MATCH(B1865,Mitarbeiter!$A$6:$A$205,0)),0))</f>
        <v/>
      </c>
      <c r="H1865" s="8">
        <f>IF(B1865="","",IF(ISNA(MATCH(B1865,Mitarbeiter!$A$6:$A$205,0)),"Pers.-Nr. unbekannt",IF(A1865="","Datum fehlt",IF(AND(D1865&lt;&gt;Einstellungen!$C$4,D1865&lt;&gt;Einstellungen!$C$5),"Objekt fehlt",IF(YEAR(A1865)&lt;&gt;Einstellungen!$C$3,"anderes Jahr",IF(A1865&lt;INDEX(Mitarbeiter!$C$6:$C$205,MATCH(B1865,Mitarbeiter!$A$6:$A$205,0)),"vor Eintritt",IF(AND(INDEX(Mitarbeiter!$D$6:$D$205,MATCH(B1865,Mitarbeiter!$A$6:$A$205,0))&lt;&gt;"",A1865&gt;INDEX(Mitarbeiter!$D$6:$D$205,MATCH(B1865,Mitarbeiter!$A$6:$A$205,0))),"nach Austritt","ok")))))))</f>
        <v/>
      </c>
    </row>
    <row r="1866">
      <c r="A1866" s="26" t="n"/>
      <c r="B1866" s="24" t="n"/>
      <c r="C1866" s="40">
        <f>IF(B1866="","",IFERROR(INDEX(Mitarbeiter!$B$6:$B$205,MATCH(B1866,Mitarbeiter!$A$6:$A$205,0)),"?"))</f>
        <v/>
      </c>
      <c r="D1866" s="41" t="n"/>
      <c r="E1866" s="42" t="n"/>
      <c r="F1866" s="43" t="n"/>
      <c r="G1866" s="44">
        <f>IF(OR(B1866="",F1866=""),"",IFERROR(F1866*INDEX(Mitarbeiter!$F$6:$F$205,MATCH(B1866,Mitarbeiter!$A$6:$A$205,0)),0))</f>
        <v/>
      </c>
      <c r="H1866" s="8">
        <f>IF(B1866="","",IF(ISNA(MATCH(B1866,Mitarbeiter!$A$6:$A$205,0)),"Pers.-Nr. unbekannt",IF(A1866="","Datum fehlt",IF(AND(D1866&lt;&gt;Einstellungen!$C$4,D1866&lt;&gt;Einstellungen!$C$5),"Objekt fehlt",IF(YEAR(A1866)&lt;&gt;Einstellungen!$C$3,"anderes Jahr",IF(A1866&lt;INDEX(Mitarbeiter!$C$6:$C$205,MATCH(B1866,Mitarbeiter!$A$6:$A$205,0)),"vor Eintritt",IF(AND(INDEX(Mitarbeiter!$D$6:$D$205,MATCH(B1866,Mitarbeiter!$A$6:$A$205,0))&lt;&gt;"",A1866&gt;INDEX(Mitarbeiter!$D$6:$D$205,MATCH(B1866,Mitarbeiter!$A$6:$A$205,0))),"nach Austritt","ok")))))))</f>
        <v/>
      </c>
    </row>
    <row r="1867">
      <c r="A1867" s="26" t="n"/>
      <c r="B1867" s="24" t="n"/>
      <c r="C1867" s="40">
        <f>IF(B1867="","",IFERROR(INDEX(Mitarbeiter!$B$6:$B$205,MATCH(B1867,Mitarbeiter!$A$6:$A$205,0)),"?"))</f>
        <v/>
      </c>
      <c r="D1867" s="41" t="n"/>
      <c r="E1867" s="42" t="n"/>
      <c r="F1867" s="43" t="n"/>
      <c r="G1867" s="44">
        <f>IF(OR(B1867="",F1867=""),"",IFERROR(F1867*INDEX(Mitarbeiter!$F$6:$F$205,MATCH(B1867,Mitarbeiter!$A$6:$A$205,0)),0))</f>
        <v/>
      </c>
      <c r="H1867" s="8">
        <f>IF(B1867="","",IF(ISNA(MATCH(B1867,Mitarbeiter!$A$6:$A$205,0)),"Pers.-Nr. unbekannt",IF(A1867="","Datum fehlt",IF(AND(D1867&lt;&gt;Einstellungen!$C$4,D1867&lt;&gt;Einstellungen!$C$5),"Objekt fehlt",IF(YEAR(A1867)&lt;&gt;Einstellungen!$C$3,"anderes Jahr",IF(A1867&lt;INDEX(Mitarbeiter!$C$6:$C$205,MATCH(B1867,Mitarbeiter!$A$6:$A$205,0)),"vor Eintritt",IF(AND(INDEX(Mitarbeiter!$D$6:$D$205,MATCH(B1867,Mitarbeiter!$A$6:$A$205,0))&lt;&gt;"",A1867&gt;INDEX(Mitarbeiter!$D$6:$D$205,MATCH(B1867,Mitarbeiter!$A$6:$A$205,0))),"nach Austritt","ok")))))))</f>
        <v/>
      </c>
    </row>
    <row r="1868">
      <c r="A1868" s="26" t="n"/>
      <c r="B1868" s="24" t="n"/>
      <c r="C1868" s="40">
        <f>IF(B1868="","",IFERROR(INDEX(Mitarbeiter!$B$6:$B$205,MATCH(B1868,Mitarbeiter!$A$6:$A$205,0)),"?"))</f>
        <v/>
      </c>
      <c r="D1868" s="41" t="n"/>
      <c r="E1868" s="42" t="n"/>
      <c r="F1868" s="43" t="n"/>
      <c r="G1868" s="44">
        <f>IF(OR(B1868="",F1868=""),"",IFERROR(F1868*INDEX(Mitarbeiter!$F$6:$F$205,MATCH(B1868,Mitarbeiter!$A$6:$A$205,0)),0))</f>
        <v/>
      </c>
      <c r="H1868" s="8">
        <f>IF(B1868="","",IF(ISNA(MATCH(B1868,Mitarbeiter!$A$6:$A$205,0)),"Pers.-Nr. unbekannt",IF(A1868="","Datum fehlt",IF(AND(D1868&lt;&gt;Einstellungen!$C$4,D1868&lt;&gt;Einstellungen!$C$5),"Objekt fehlt",IF(YEAR(A1868)&lt;&gt;Einstellungen!$C$3,"anderes Jahr",IF(A1868&lt;INDEX(Mitarbeiter!$C$6:$C$205,MATCH(B1868,Mitarbeiter!$A$6:$A$205,0)),"vor Eintritt",IF(AND(INDEX(Mitarbeiter!$D$6:$D$205,MATCH(B1868,Mitarbeiter!$A$6:$A$205,0))&lt;&gt;"",A1868&gt;INDEX(Mitarbeiter!$D$6:$D$205,MATCH(B1868,Mitarbeiter!$A$6:$A$205,0))),"nach Austritt","ok")))))))</f>
        <v/>
      </c>
    </row>
    <row r="1869">
      <c r="A1869" s="26" t="n"/>
      <c r="B1869" s="24" t="n"/>
      <c r="C1869" s="40">
        <f>IF(B1869="","",IFERROR(INDEX(Mitarbeiter!$B$6:$B$205,MATCH(B1869,Mitarbeiter!$A$6:$A$205,0)),"?"))</f>
        <v/>
      </c>
      <c r="D1869" s="41" t="n"/>
      <c r="E1869" s="42" t="n"/>
      <c r="F1869" s="43" t="n"/>
      <c r="G1869" s="44">
        <f>IF(OR(B1869="",F1869=""),"",IFERROR(F1869*INDEX(Mitarbeiter!$F$6:$F$205,MATCH(B1869,Mitarbeiter!$A$6:$A$205,0)),0))</f>
        <v/>
      </c>
      <c r="H1869" s="8">
        <f>IF(B1869="","",IF(ISNA(MATCH(B1869,Mitarbeiter!$A$6:$A$205,0)),"Pers.-Nr. unbekannt",IF(A1869="","Datum fehlt",IF(AND(D1869&lt;&gt;Einstellungen!$C$4,D1869&lt;&gt;Einstellungen!$C$5),"Objekt fehlt",IF(YEAR(A1869)&lt;&gt;Einstellungen!$C$3,"anderes Jahr",IF(A1869&lt;INDEX(Mitarbeiter!$C$6:$C$205,MATCH(B1869,Mitarbeiter!$A$6:$A$205,0)),"vor Eintritt",IF(AND(INDEX(Mitarbeiter!$D$6:$D$205,MATCH(B1869,Mitarbeiter!$A$6:$A$205,0))&lt;&gt;"",A1869&gt;INDEX(Mitarbeiter!$D$6:$D$205,MATCH(B1869,Mitarbeiter!$A$6:$A$205,0))),"nach Austritt","ok")))))))</f>
        <v/>
      </c>
    </row>
    <row r="1870">
      <c r="A1870" s="26" t="n"/>
      <c r="B1870" s="24" t="n"/>
      <c r="C1870" s="40">
        <f>IF(B1870="","",IFERROR(INDEX(Mitarbeiter!$B$6:$B$205,MATCH(B1870,Mitarbeiter!$A$6:$A$205,0)),"?"))</f>
        <v/>
      </c>
      <c r="D1870" s="41" t="n"/>
      <c r="E1870" s="42" t="n"/>
      <c r="F1870" s="43" t="n"/>
      <c r="G1870" s="44">
        <f>IF(OR(B1870="",F1870=""),"",IFERROR(F1870*INDEX(Mitarbeiter!$F$6:$F$205,MATCH(B1870,Mitarbeiter!$A$6:$A$205,0)),0))</f>
        <v/>
      </c>
      <c r="H1870" s="8">
        <f>IF(B1870="","",IF(ISNA(MATCH(B1870,Mitarbeiter!$A$6:$A$205,0)),"Pers.-Nr. unbekannt",IF(A1870="","Datum fehlt",IF(AND(D1870&lt;&gt;Einstellungen!$C$4,D1870&lt;&gt;Einstellungen!$C$5),"Objekt fehlt",IF(YEAR(A1870)&lt;&gt;Einstellungen!$C$3,"anderes Jahr",IF(A1870&lt;INDEX(Mitarbeiter!$C$6:$C$205,MATCH(B1870,Mitarbeiter!$A$6:$A$205,0)),"vor Eintritt",IF(AND(INDEX(Mitarbeiter!$D$6:$D$205,MATCH(B1870,Mitarbeiter!$A$6:$A$205,0))&lt;&gt;"",A1870&gt;INDEX(Mitarbeiter!$D$6:$D$205,MATCH(B1870,Mitarbeiter!$A$6:$A$205,0))),"nach Austritt","ok")))))))</f>
        <v/>
      </c>
    </row>
    <row r="1871">
      <c r="A1871" s="26" t="n"/>
      <c r="B1871" s="24" t="n"/>
      <c r="C1871" s="40">
        <f>IF(B1871="","",IFERROR(INDEX(Mitarbeiter!$B$6:$B$205,MATCH(B1871,Mitarbeiter!$A$6:$A$205,0)),"?"))</f>
        <v/>
      </c>
      <c r="D1871" s="41" t="n"/>
      <c r="E1871" s="42" t="n"/>
      <c r="F1871" s="43" t="n"/>
      <c r="G1871" s="44">
        <f>IF(OR(B1871="",F1871=""),"",IFERROR(F1871*INDEX(Mitarbeiter!$F$6:$F$205,MATCH(B1871,Mitarbeiter!$A$6:$A$205,0)),0))</f>
        <v/>
      </c>
      <c r="H1871" s="8">
        <f>IF(B1871="","",IF(ISNA(MATCH(B1871,Mitarbeiter!$A$6:$A$205,0)),"Pers.-Nr. unbekannt",IF(A1871="","Datum fehlt",IF(AND(D1871&lt;&gt;Einstellungen!$C$4,D1871&lt;&gt;Einstellungen!$C$5),"Objekt fehlt",IF(YEAR(A1871)&lt;&gt;Einstellungen!$C$3,"anderes Jahr",IF(A1871&lt;INDEX(Mitarbeiter!$C$6:$C$205,MATCH(B1871,Mitarbeiter!$A$6:$A$205,0)),"vor Eintritt",IF(AND(INDEX(Mitarbeiter!$D$6:$D$205,MATCH(B1871,Mitarbeiter!$A$6:$A$205,0))&lt;&gt;"",A1871&gt;INDEX(Mitarbeiter!$D$6:$D$205,MATCH(B1871,Mitarbeiter!$A$6:$A$205,0))),"nach Austritt","ok")))))))</f>
        <v/>
      </c>
    </row>
    <row r="1872">
      <c r="A1872" s="26" t="n"/>
      <c r="B1872" s="24" t="n"/>
      <c r="C1872" s="40">
        <f>IF(B1872="","",IFERROR(INDEX(Mitarbeiter!$B$6:$B$205,MATCH(B1872,Mitarbeiter!$A$6:$A$205,0)),"?"))</f>
        <v/>
      </c>
      <c r="D1872" s="41" t="n"/>
      <c r="E1872" s="42" t="n"/>
      <c r="F1872" s="43" t="n"/>
      <c r="G1872" s="44">
        <f>IF(OR(B1872="",F1872=""),"",IFERROR(F1872*INDEX(Mitarbeiter!$F$6:$F$205,MATCH(B1872,Mitarbeiter!$A$6:$A$205,0)),0))</f>
        <v/>
      </c>
      <c r="H1872" s="8">
        <f>IF(B1872="","",IF(ISNA(MATCH(B1872,Mitarbeiter!$A$6:$A$205,0)),"Pers.-Nr. unbekannt",IF(A1872="","Datum fehlt",IF(AND(D1872&lt;&gt;Einstellungen!$C$4,D1872&lt;&gt;Einstellungen!$C$5),"Objekt fehlt",IF(YEAR(A1872)&lt;&gt;Einstellungen!$C$3,"anderes Jahr",IF(A1872&lt;INDEX(Mitarbeiter!$C$6:$C$205,MATCH(B1872,Mitarbeiter!$A$6:$A$205,0)),"vor Eintritt",IF(AND(INDEX(Mitarbeiter!$D$6:$D$205,MATCH(B1872,Mitarbeiter!$A$6:$A$205,0))&lt;&gt;"",A1872&gt;INDEX(Mitarbeiter!$D$6:$D$205,MATCH(B1872,Mitarbeiter!$A$6:$A$205,0))),"nach Austritt","ok")))))))</f>
        <v/>
      </c>
    </row>
    <row r="1873">
      <c r="A1873" s="26" t="n"/>
      <c r="B1873" s="24" t="n"/>
      <c r="C1873" s="40">
        <f>IF(B1873="","",IFERROR(INDEX(Mitarbeiter!$B$6:$B$205,MATCH(B1873,Mitarbeiter!$A$6:$A$205,0)),"?"))</f>
        <v/>
      </c>
      <c r="D1873" s="41" t="n"/>
      <c r="E1873" s="42" t="n"/>
      <c r="F1873" s="43" t="n"/>
      <c r="G1873" s="44">
        <f>IF(OR(B1873="",F1873=""),"",IFERROR(F1873*INDEX(Mitarbeiter!$F$6:$F$205,MATCH(B1873,Mitarbeiter!$A$6:$A$205,0)),0))</f>
        <v/>
      </c>
      <c r="H1873" s="8">
        <f>IF(B1873="","",IF(ISNA(MATCH(B1873,Mitarbeiter!$A$6:$A$205,0)),"Pers.-Nr. unbekannt",IF(A1873="","Datum fehlt",IF(AND(D1873&lt;&gt;Einstellungen!$C$4,D1873&lt;&gt;Einstellungen!$C$5),"Objekt fehlt",IF(YEAR(A1873)&lt;&gt;Einstellungen!$C$3,"anderes Jahr",IF(A1873&lt;INDEX(Mitarbeiter!$C$6:$C$205,MATCH(B1873,Mitarbeiter!$A$6:$A$205,0)),"vor Eintritt",IF(AND(INDEX(Mitarbeiter!$D$6:$D$205,MATCH(B1873,Mitarbeiter!$A$6:$A$205,0))&lt;&gt;"",A1873&gt;INDEX(Mitarbeiter!$D$6:$D$205,MATCH(B1873,Mitarbeiter!$A$6:$A$205,0))),"nach Austritt","ok")))))))</f>
        <v/>
      </c>
    </row>
    <row r="1874">
      <c r="A1874" s="26" t="n"/>
      <c r="B1874" s="24" t="n"/>
      <c r="C1874" s="40">
        <f>IF(B1874="","",IFERROR(INDEX(Mitarbeiter!$B$6:$B$205,MATCH(B1874,Mitarbeiter!$A$6:$A$205,0)),"?"))</f>
        <v/>
      </c>
      <c r="D1874" s="41" t="n"/>
      <c r="E1874" s="42" t="n"/>
      <c r="F1874" s="43" t="n"/>
      <c r="G1874" s="44">
        <f>IF(OR(B1874="",F1874=""),"",IFERROR(F1874*INDEX(Mitarbeiter!$F$6:$F$205,MATCH(B1874,Mitarbeiter!$A$6:$A$205,0)),0))</f>
        <v/>
      </c>
      <c r="H1874" s="8">
        <f>IF(B1874="","",IF(ISNA(MATCH(B1874,Mitarbeiter!$A$6:$A$205,0)),"Pers.-Nr. unbekannt",IF(A1874="","Datum fehlt",IF(AND(D1874&lt;&gt;Einstellungen!$C$4,D1874&lt;&gt;Einstellungen!$C$5),"Objekt fehlt",IF(YEAR(A1874)&lt;&gt;Einstellungen!$C$3,"anderes Jahr",IF(A1874&lt;INDEX(Mitarbeiter!$C$6:$C$205,MATCH(B1874,Mitarbeiter!$A$6:$A$205,0)),"vor Eintritt",IF(AND(INDEX(Mitarbeiter!$D$6:$D$205,MATCH(B1874,Mitarbeiter!$A$6:$A$205,0))&lt;&gt;"",A1874&gt;INDEX(Mitarbeiter!$D$6:$D$205,MATCH(B1874,Mitarbeiter!$A$6:$A$205,0))),"nach Austritt","ok")))))))</f>
        <v/>
      </c>
    </row>
    <row r="1875">
      <c r="A1875" s="26" t="n"/>
      <c r="B1875" s="24" t="n"/>
      <c r="C1875" s="40">
        <f>IF(B1875="","",IFERROR(INDEX(Mitarbeiter!$B$6:$B$205,MATCH(B1875,Mitarbeiter!$A$6:$A$205,0)),"?"))</f>
        <v/>
      </c>
      <c r="D1875" s="41" t="n"/>
      <c r="E1875" s="42" t="n"/>
      <c r="F1875" s="43" t="n"/>
      <c r="G1875" s="44">
        <f>IF(OR(B1875="",F1875=""),"",IFERROR(F1875*INDEX(Mitarbeiter!$F$6:$F$205,MATCH(B1875,Mitarbeiter!$A$6:$A$205,0)),0))</f>
        <v/>
      </c>
      <c r="H1875" s="8">
        <f>IF(B1875="","",IF(ISNA(MATCH(B1875,Mitarbeiter!$A$6:$A$205,0)),"Pers.-Nr. unbekannt",IF(A1875="","Datum fehlt",IF(AND(D1875&lt;&gt;Einstellungen!$C$4,D1875&lt;&gt;Einstellungen!$C$5),"Objekt fehlt",IF(YEAR(A1875)&lt;&gt;Einstellungen!$C$3,"anderes Jahr",IF(A1875&lt;INDEX(Mitarbeiter!$C$6:$C$205,MATCH(B1875,Mitarbeiter!$A$6:$A$205,0)),"vor Eintritt",IF(AND(INDEX(Mitarbeiter!$D$6:$D$205,MATCH(B1875,Mitarbeiter!$A$6:$A$205,0))&lt;&gt;"",A1875&gt;INDEX(Mitarbeiter!$D$6:$D$205,MATCH(B1875,Mitarbeiter!$A$6:$A$205,0))),"nach Austritt","ok")))))))</f>
        <v/>
      </c>
    </row>
    <row r="1876">
      <c r="A1876" s="26" t="n"/>
      <c r="B1876" s="24" t="n"/>
      <c r="C1876" s="40">
        <f>IF(B1876="","",IFERROR(INDEX(Mitarbeiter!$B$6:$B$205,MATCH(B1876,Mitarbeiter!$A$6:$A$205,0)),"?"))</f>
        <v/>
      </c>
      <c r="D1876" s="41" t="n"/>
      <c r="E1876" s="42" t="n"/>
      <c r="F1876" s="43" t="n"/>
      <c r="G1876" s="44">
        <f>IF(OR(B1876="",F1876=""),"",IFERROR(F1876*INDEX(Mitarbeiter!$F$6:$F$205,MATCH(B1876,Mitarbeiter!$A$6:$A$205,0)),0))</f>
        <v/>
      </c>
      <c r="H1876" s="8">
        <f>IF(B1876="","",IF(ISNA(MATCH(B1876,Mitarbeiter!$A$6:$A$205,0)),"Pers.-Nr. unbekannt",IF(A1876="","Datum fehlt",IF(AND(D1876&lt;&gt;Einstellungen!$C$4,D1876&lt;&gt;Einstellungen!$C$5),"Objekt fehlt",IF(YEAR(A1876)&lt;&gt;Einstellungen!$C$3,"anderes Jahr",IF(A1876&lt;INDEX(Mitarbeiter!$C$6:$C$205,MATCH(B1876,Mitarbeiter!$A$6:$A$205,0)),"vor Eintritt",IF(AND(INDEX(Mitarbeiter!$D$6:$D$205,MATCH(B1876,Mitarbeiter!$A$6:$A$205,0))&lt;&gt;"",A1876&gt;INDEX(Mitarbeiter!$D$6:$D$205,MATCH(B1876,Mitarbeiter!$A$6:$A$205,0))),"nach Austritt","ok")))))))</f>
        <v/>
      </c>
    </row>
    <row r="1877">
      <c r="A1877" s="26" t="n"/>
      <c r="B1877" s="24" t="n"/>
      <c r="C1877" s="40">
        <f>IF(B1877="","",IFERROR(INDEX(Mitarbeiter!$B$6:$B$205,MATCH(B1877,Mitarbeiter!$A$6:$A$205,0)),"?"))</f>
        <v/>
      </c>
      <c r="D1877" s="41" t="n"/>
      <c r="E1877" s="42" t="n"/>
      <c r="F1877" s="43" t="n"/>
      <c r="G1877" s="44">
        <f>IF(OR(B1877="",F1877=""),"",IFERROR(F1877*INDEX(Mitarbeiter!$F$6:$F$205,MATCH(B1877,Mitarbeiter!$A$6:$A$205,0)),0))</f>
        <v/>
      </c>
      <c r="H1877" s="8">
        <f>IF(B1877="","",IF(ISNA(MATCH(B1877,Mitarbeiter!$A$6:$A$205,0)),"Pers.-Nr. unbekannt",IF(A1877="","Datum fehlt",IF(AND(D1877&lt;&gt;Einstellungen!$C$4,D1877&lt;&gt;Einstellungen!$C$5),"Objekt fehlt",IF(YEAR(A1877)&lt;&gt;Einstellungen!$C$3,"anderes Jahr",IF(A1877&lt;INDEX(Mitarbeiter!$C$6:$C$205,MATCH(B1877,Mitarbeiter!$A$6:$A$205,0)),"vor Eintritt",IF(AND(INDEX(Mitarbeiter!$D$6:$D$205,MATCH(B1877,Mitarbeiter!$A$6:$A$205,0))&lt;&gt;"",A1877&gt;INDEX(Mitarbeiter!$D$6:$D$205,MATCH(B1877,Mitarbeiter!$A$6:$A$205,0))),"nach Austritt","ok")))))))</f>
        <v/>
      </c>
    </row>
    <row r="1878">
      <c r="A1878" s="26" t="n"/>
      <c r="B1878" s="24" t="n"/>
      <c r="C1878" s="40">
        <f>IF(B1878="","",IFERROR(INDEX(Mitarbeiter!$B$6:$B$205,MATCH(B1878,Mitarbeiter!$A$6:$A$205,0)),"?"))</f>
        <v/>
      </c>
      <c r="D1878" s="41" t="n"/>
      <c r="E1878" s="42" t="n"/>
      <c r="F1878" s="43" t="n"/>
      <c r="G1878" s="44">
        <f>IF(OR(B1878="",F1878=""),"",IFERROR(F1878*INDEX(Mitarbeiter!$F$6:$F$205,MATCH(B1878,Mitarbeiter!$A$6:$A$205,0)),0))</f>
        <v/>
      </c>
      <c r="H1878" s="8">
        <f>IF(B1878="","",IF(ISNA(MATCH(B1878,Mitarbeiter!$A$6:$A$205,0)),"Pers.-Nr. unbekannt",IF(A1878="","Datum fehlt",IF(AND(D1878&lt;&gt;Einstellungen!$C$4,D1878&lt;&gt;Einstellungen!$C$5),"Objekt fehlt",IF(YEAR(A1878)&lt;&gt;Einstellungen!$C$3,"anderes Jahr",IF(A1878&lt;INDEX(Mitarbeiter!$C$6:$C$205,MATCH(B1878,Mitarbeiter!$A$6:$A$205,0)),"vor Eintritt",IF(AND(INDEX(Mitarbeiter!$D$6:$D$205,MATCH(B1878,Mitarbeiter!$A$6:$A$205,0))&lt;&gt;"",A1878&gt;INDEX(Mitarbeiter!$D$6:$D$205,MATCH(B1878,Mitarbeiter!$A$6:$A$205,0))),"nach Austritt","ok")))))))</f>
        <v/>
      </c>
    </row>
    <row r="1879">
      <c r="A1879" s="26" t="n"/>
      <c r="B1879" s="24" t="n"/>
      <c r="C1879" s="40">
        <f>IF(B1879="","",IFERROR(INDEX(Mitarbeiter!$B$6:$B$205,MATCH(B1879,Mitarbeiter!$A$6:$A$205,0)),"?"))</f>
        <v/>
      </c>
      <c r="D1879" s="41" t="n"/>
      <c r="E1879" s="42" t="n"/>
      <c r="F1879" s="43" t="n"/>
      <c r="G1879" s="44">
        <f>IF(OR(B1879="",F1879=""),"",IFERROR(F1879*INDEX(Mitarbeiter!$F$6:$F$205,MATCH(B1879,Mitarbeiter!$A$6:$A$205,0)),0))</f>
        <v/>
      </c>
      <c r="H1879" s="8">
        <f>IF(B1879="","",IF(ISNA(MATCH(B1879,Mitarbeiter!$A$6:$A$205,0)),"Pers.-Nr. unbekannt",IF(A1879="","Datum fehlt",IF(AND(D1879&lt;&gt;Einstellungen!$C$4,D1879&lt;&gt;Einstellungen!$C$5),"Objekt fehlt",IF(YEAR(A1879)&lt;&gt;Einstellungen!$C$3,"anderes Jahr",IF(A1879&lt;INDEX(Mitarbeiter!$C$6:$C$205,MATCH(B1879,Mitarbeiter!$A$6:$A$205,0)),"vor Eintritt",IF(AND(INDEX(Mitarbeiter!$D$6:$D$205,MATCH(B1879,Mitarbeiter!$A$6:$A$205,0))&lt;&gt;"",A1879&gt;INDEX(Mitarbeiter!$D$6:$D$205,MATCH(B1879,Mitarbeiter!$A$6:$A$205,0))),"nach Austritt","ok")))))))</f>
        <v/>
      </c>
    </row>
    <row r="1880">
      <c r="A1880" s="26" t="n"/>
      <c r="B1880" s="24" t="n"/>
      <c r="C1880" s="40">
        <f>IF(B1880="","",IFERROR(INDEX(Mitarbeiter!$B$6:$B$205,MATCH(B1880,Mitarbeiter!$A$6:$A$205,0)),"?"))</f>
        <v/>
      </c>
      <c r="D1880" s="41" t="n"/>
      <c r="E1880" s="42" t="n"/>
      <c r="F1880" s="43" t="n"/>
      <c r="G1880" s="44">
        <f>IF(OR(B1880="",F1880=""),"",IFERROR(F1880*INDEX(Mitarbeiter!$F$6:$F$205,MATCH(B1880,Mitarbeiter!$A$6:$A$205,0)),0))</f>
        <v/>
      </c>
      <c r="H1880" s="8">
        <f>IF(B1880="","",IF(ISNA(MATCH(B1880,Mitarbeiter!$A$6:$A$205,0)),"Pers.-Nr. unbekannt",IF(A1880="","Datum fehlt",IF(AND(D1880&lt;&gt;Einstellungen!$C$4,D1880&lt;&gt;Einstellungen!$C$5),"Objekt fehlt",IF(YEAR(A1880)&lt;&gt;Einstellungen!$C$3,"anderes Jahr",IF(A1880&lt;INDEX(Mitarbeiter!$C$6:$C$205,MATCH(B1880,Mitarbeiter!$A$6:$A$205,0)),"vor Eintritt",IF(AND(INDEX(Mitarbeiter!$D$6:$D$205,MATCH(B1880,Mitarbeiter!$A$6:$A$205,0))&lt;&gt;"",A1880&gt;INDEX(Mitarbeiter!$D$6:$D$205,MATCH(B1880,Mitarbeiter!$A$6:$A$205,0))),"nach Austritt","ok")))))))</f>
        <v/>
      </c>
    </row>
    <row r="1881">
      <c r="A1881" s="26" t="n"/>
      <c r="B1881" s="24" t="n"/>
      <c r="C1881" s="40">
        <f>IF(B1881="","",IFERROR(INDEX(Mitarbeiter!$B$6:$B$205,MATCH(B1881,Mitarbeiter!$A$6:$A$205,0)),"?"))</f>
        <v/>
      </c>
      <c r="D1881" s="41" t="n"/>
      <c r="E1881" s="42" t="n"/>
      <c r="F1881" s="43" t="n"/>
      <c r="G1881" s="44">
        <f>IF(OR(B1881="",F1881=""),"",IFERROR(F1881*INDEX(Mitarbeiter!$F$6:$F$205,MATCH(B1881,Mitarbeiter!$A$6:$A$205,0)),0))</f>
        <v/>
      </c>
      <c r="H1881" s="8">
        <f>IF(B1881="","",IF(ISNA(MATCH(B1881,Mitarbeiter!$A$6:$A$205,0)),"Pers.-Nr. unbekannt",IF(A1881="","Datum fehlt",IF(AND(D1881&lt;&gt;Einstellungen!$C$4,D1881&lt;&gt;Einstellungen!$C$5),"Objekt fehlt",IF(YEAR(A1881)&lt;&gt;Einstellungen!$C$3,"anderes Jahr",IF(A1881&lt;INDEX(Mitarbeiter!$C$6:$C$205,MATCH(B1881,Mitarbeiter!$A$6:$A$205,0)),"vor Eintritt",IF(AND(INDEX(Mitarbeiter!$D$6:$D$205,MATCH(B1881,Mitarbeiter!$A$6:$A$205,0))&lt;&gt;"",A1881&gt;INDEX(Mitarbeiter!$D$6:$D$205,MATCH(B1881,Mitarbeiter!$A$6:$A$205,0))),"nach Austritt","ok")))))))</f>
        <v/>
      </c>
    </row>
    <row r="1882">
      <c r="A1882" s="26" t="n"/>
      <c r="B1882" s="24" t="n"/>
      <c r="C1882" s="40">
        <f>IF(B1882="","",IFERROR(INDEX(Mitarbeiter!$B$6:$B$205,MATCH(B1882,Mitarbeiter!$A$6:$A$205,0)),"?"))</f>
        <v/>
      </c>
      <c r="D1882" s="41" t="n"/>
      <c r="E1882" s="42" t="n"/>
      <c r="F1882" s="43" t="n"/>
      <c r="G1882" s="44">
        <f>IF(OR(B1882="",F1882=""),"",IFERROR(F1882*INDEX(Mitarbeiter!$F$6:$F$205,MATCH(B1882,Mitarbeiter!$A$6:$A$205,0)),0))</f>
        <v/>
      </c>
      <c r="H1882" s="8">
        <f>IF(B1882="","",IF(ISNA(MATCH(B1882,Mitarbeiter!$A$6:$A$205,0)),"Pers.-Nr. unbekannt",IF(A1882="","Datum fehlt",IF(AND(D1882&lt;&gt;Einstellungen!$C$4,D1882&lt;&gt;Einstellungen!$C$5),"Objekt fehlt",IF(YEAR(A1882)&lt;&gt;Einstellungen!$C$3,"anderes Jahr",IF(A1882&lt;INDEX(Mitarbeiter!$C$6:$C$205,MATCH(B1882,Mitarbeiter!$A$6:$A$205,0)),"vor Eintritt",IF(AND(INDEX(Mitarbeiter!$D$6:$D$205,MATCH(B1882,Mitarbeiter!$A$6:$A$205,0))&lt;&gt;"",A1882&gt;INDEX(Mitarbeiter!$D$6:$D$205,MATCH(B1882,Mitarbeiter!$A$6:$A$205,0))),"nach Austritt","ok")))))))</f>
        <v/>
      </c>
    </row>
    <row r="1883">
      <c r="A1883" s="26" t="n"/>
      <c r="B1883" s="24" t="n"/>
      <c r="C1883" s="40">
        <f>IF(B1883="","",IFERROR(INDEX(Mitarbeiter!$B$6:$B$205,MATCH(B1883,Mitarbeiter!$A$6:$A$205,0)),"?"))</f>
        <v/>
      </c>
      <c r="D1883" s="41" t="n"/>
      <c r="E1883" s="42" t="n"/>
      <c r="F1883" s="43" t="n"/>
      <c r="G1883" s="44">
        <f>IF(OR(B1883="",F1883=""),"",IFERROR(F1883*INDEX(Mitarbeiter!$F$6:$F$205,MATCH(B1883,Mitarbeiter!$A$6:$A$205,0)),0))</f>
        <v/>
      </c>
      <c r="H1883" s="8">
        <f>IF(B1883="","",IF(ISNA(MATCH(B1883,Mitarbeiter!$A$6:$A$205,0)),"Pers.-Nr. unbekannt",IF(A1883="","Datum fehlt",IF(AND(D1883&lt;&gt;Einstellungen!$C$4,D1883&lt;&gt;Einstellungen!$C$5),"Objekt fehlt",IF(YEAR(A1883)&lt;&gt;Einstellungen!$C$3,"anderes Jahr",IF(A1883&lt;INDEX(Mitarbeiter!$C$6:$C$205,MATCH(B1883,Mitarbeiter!$A$6:$A$205,0)),"vor Eintritt",IF(AND(INDEX(Mitarbeiter!$D$6:$D$205,MATCH(B1883,Mitarbeiter!$A$6:$A$205,0))&lt;&gt;"",A1883&gt;INDEX(Mitarbeiter!$D$6:$D$205,MATCH(B1883,Mitarbeiter!$A$6:$A$205,0))),"nach Austritt","ok")))))))</f>
        <v/>
      </c>
    </row>
    <row r="1884">
      <c r="A1884" s="26" t="n"/>
      <c r="B1884" s="24" t="n"/>
      <c r="C1884" s="40">
        <f>IF(B1884="","",IFERROR(INDEX(Mitarbeiter!$B$6:$B$205,MATCH(B1884,Mitarbeiter!$A$6:$A$205,0)),"?"))</f>
        <v/>
      </c>
      <c r="D1884" s="41" t="n"/>
      <c r="E1884" s="42" t="n"/>
      <c r="F1884" s="43" t="n"/>
      <c r="G1884" s="44">
        <f>IF(OR(B1884="",F1884=""),"",IFERROR(F1884*INDEX(Mitarbeiter!$F$6:$F$205,MATCH(B1884,Mitarbeiter!$A$6:$A$205,0)),0))</f>
        <v/>
      </c>
      <c r="H1884" s="8">
        <f>IF(B1884="","",IF(ISNA(MATCH(B1884,Mitarbeiter!$A$6:$A$205,0)),"Pers.-Nr. unbekannt",IF(A1884="","Datum fehlt",IF(AND(D1884&lt;&gt;Einstellungen!$C$4,D1884&lt;&gt;Einstellungen!$C$5),"Objekt fehlt",IF(YEAR(A1884)&lt;&gt;Einstellungen!$C$3,"anderes Jahr",IF(A1884&lt;INDEX(Mitarbeiter!$C$6:$C$205,MATCH(B1884,Mitarbeiter!$A$6:$A$205,0)),"vor Eintritt",IF(AND(INDEX(Mitarbeiter!$D$6:$D$205,MATCH(B1884,Mitarbeiter!$A$6:$A$205,0))&lt;&gt;"",A1884&gt;INDEX(Mitarbeiter!$D$6:$D$205,MATCH(B1884,Mitarbeiter!$A$6:$A$205,0))),"nach Austritt","ok")))))))</f>
        <v/>
      </c>
    </row>
    <row r="1885">
      <c r="A1885" s="26" t="n"/>
      <c r="B1885" s="24" t="n"/>
      <c r="C1885" s="40">
        <f>IF(B1885="","",IFERROR(INDEX(Mitarbeiter!$B$6:$B$205,MATCH(B1885,Mitarbeiter!$A$6:$A$205,0)),"?"))</f>
        <v/>
      </c>
      <c r="D1885" s="41" t="n"/>
      <c r="E1885" s="42" t="n"/>
      <c r="F1885" s="43" t="n"/>
      <c r="G1885" s="44">
        <f>IF(OR(B1885="",F1885=""),"",IFERROR(F1885*INDEX(Mitarbeiter!$F$6:$F$205,MATCH(B1885,Mitarbeiter!$A$6:$A$205,0)),0))</f>
        <v/>
      </c>
      <c r="H1885" s="8">
        <f>IF(B1885="","",IF(ISNA(MATCH(B1885,Mitarbeiter!$A$6:$A$205,0)),"Pers.-Nr. unbekannt",IF(A1885="","Datum fehlt",IF(AND(D1885&lt;&gt;Einstellungen!$C$4,D1885&lt;&gt;Einstellungen!$C$5),"Objekt fehlt",IF(YEAR(A1885)&lt;&gt;Einstellungen!$C$3,"anderes Jahr",IF(A1885&lt;INDEX(Mitarbeiter!$C$6:$C$205,MATCH(B1885,Mitarbeiter!$A$6:$A$205,0)),"vor Eintritt",IF(AND(INDEX(Mitarbeiter!$D$6:$D$205,MATCH(B1885,Mitarbeiter!$A$6:$A$205,0))&lt;&gt;"",A1885&gt;INDEX(Mitarbeiter!$D$6:$D$205,MATCH(B1885,Mitarbeiter!$A$6:$A$205,0))),"nach Austritt","ok")))))))</f>
        <v/>
      </c>
    </row>
    <row r="1886">
      <c r="A1886" s="26" t="n"/>
      <c r="B1886" s="24" t="n"/>
      <c r="C1886" s="40">
        <f>IF(B1886="","",IFERROR(INDEX(Mitarbeiter!$B$6:$B$205,MATCH(B1886,Mitarbeiter!$A$6:$A$205,0)),"?"))</f>
        <v/>
      </c>
      <c r="D1886" s="41" t="n"/>
      <c r="E1886" s="42" t="n"/>
      <c r="F1886" s="43" t="n"/>
      <c r="G1886" s="44">
        <f>IF(OR(B1886="",F1886=""),"",IFERROR(F1886*INDEX(Mitarbeiter!$F$6:$F$205,MATCH(B1886,Mitarbeiter!$A$6:$A$205,0)),0))</f>
        <v/>
      </c>
      <c r="H1886" s="8">
        <f>IF(B1886="","",IF(ISNA(MATCH(B1886,Mitarbeiter!$A$6:$A$205,0)),"Pers.-Nr. unbekannt",IF(A1886="","Datum fehlt",IF(AND(D1886&lt;&gt;Einstellungen!$C$4,D1886&lt;&gt;Einstellungen!$C$5),"Objekt fehlt",IF(YEAR(A1886)&lt;&gt;Einstellungen!$C$3,"anderes Jahr",IF(A1886&lt;INDEX(Mitarbeiter!$C$6:$C$205,MATCH(B1886,Mitarbeiter!$A$6:$A$205,0)),"vor Eintritt",IF(AND(INDEX(Mitarbeiter!$D$6:$D$205,MATCH(B1886,Mitarbeiter!$A$6:$A$205,0))&lt;&gt;"",A1886&gt;INDEX(Mitarbeiter!$D$6:$D$205,MATCH(B1886,Mitarbeiter!$A$6:$A$205,0))),"nach Austritt","ok")))))))</f>
        <v/>
      </c>
    </row>
    <row r="1887">
      <c r="A1887" s="26" t="n"/>
      <c r="B1887" s="24" t="n"/>
      <c r="C1887" s="40">
        <f>IF(B1887="","",IFERROR(INDEX(Mitarbeiter!$B$6:$B$205,MATCH(B1887,Mitarbeiter!$A$6:$A$205,0)),"?"))</f>
        <v/>
      </c>
      <c r="D1887" s="41" t="n"/>
      <c r="E1887" s="42" t="n"/>
      <c r="F1887" s="43" t="n"/>
      <c r="G1887" s="44">
        <f>IF(OR(B1887="",F1887=""),"",IFERROR(F1887*INDEX(Mitarbeiter!$F$6:$F$205,MATCH(B1887,Mitarbeiter!$A$6:$A$205,0)),0))</f>
        <v/>
      </c>
      <c r="H1887" s="8">
        <f>IF(B1887="","",IF(ISNA(MATCH(B1887,Mitarbeiter!$A$6:$A$205,0)),"Pers.-Nr. unbekannt",IF(A1887="","Datum fehlt",IF(AND(D1887&lt;&gt;Einstellungen!$C$4,D1887&lt;&gt;Einstellungen!$C$5),"Objekt fehlt",IF(YEAR(A1887)&lt;&gt;Einstellungen!$C$3,"anderes Jahr",IF(A1887&lt;INDEX(Mitarbeiter!$C$6:$C$205,MATCH(B1887,Mitarbeiter!$A$6:$A$205,0)),"vor Eintritt",IF(AND(INDEX(Mitarbeiter!$D$6:$D$205,MATCH(B1887,Mitarbeiter!$A$6:$A$205,0))&lt;&gt;"",A1887&gt;INDEX(Mitarbeiter!$D$6:$D$205,MATCH(B1887,Mitarbeiter!$A$6:$A$205,0))),"nach Austritt","ok")))))))</f>
        <v/>
      </c>
    </row>
    <row r="1888">
      <c r="A1888" s="26" t="n"/>
      <c r="B1888" s="24" t="n"/>
      <c r="C1888" s="40">
        <f>IF(B1888="","",IFERROR(INDEX(Mitarbeiter!$B$6:$B$205,MATCH(B1888,Mitarbeiter!$A$6:$A$205,0)),"?"))</f>
        <v/>
      </c>
      <c r="D1888" s="41" t="n"/>
      <c r="E1888" s="42" t="n"/>
      <c r="F1888" s="43" t="n"/>
      <c r="G1888" s="44">
        <f>IF(OR(B1888="",F1888=""),"",IFERROR(F1888*INDEX(Mitarbeiter!$F$6:$F$205,MATCH(B1888,Mitarbeiter!$A$6:$A$205,0)),0))</f>
        <v/>
      </c>
      <c r="H1888" s="8">
        <f>IF(B1888="","",IF(ISNA(MATCH(B1888,Mitarbeiter!$A$6:$A$205,0)),"Pers.-Nr. unbekannt",IF(A1888="","Datum fehlt",IF(AND(D1888&lt;&gt;Einstellungen!$C$4,D1888&lt;&gt;Einstellungen!$C$5),"Objekt fehlt",IF(YEAR(A1888)&lt;&gt;Einstellungen!$C$3,"anderes Jahr",IF(A1888&lt;INDEX(Mitarbeiter!$C$6:$C$205,MATCH(B1888,Mitarbeiter!$A$6:$A$205,0)),"vor Eintritt",IF(AND(INDEX(Mitarbeiter!$D$6:$D$205,MATCH(B1888,Mitarbeiter!$A$6:$A$205,0))&lt;&gt;"",A1888&gt;INDEX(Mitarbeiter!$D$6:$D$205,MATCH(B1888,Mitarbeiter!$A$6:$A$205,0))),"nach Austritt","ok")))))))</f>
        <v/>
      </c>
    </row>
    <row r="1889">
      <c r="A1889" s="26" t="n"/>
      <c r="B1889" s="24" t="n"/>
      <c r="C1889" s="40">
        <f>IF(B1889="","",IFERROR(INDEX(Mitarbeiter!$B$6:$B$205,MATCH(B1889,Mitarbeiter!$A$6:$A$205,0)),"?"))</f>
        <v/>
      </c>
      <c r="D1889" s="41" t="n"/>
      <c r="E1889" s="42" t="n"/>
      <c r="F1889" s="43" t="n"/>
      <c r="G1889" s="44">
        <f>IF(OR(B1889="",F1889=""),"",IFERROR(F1889*INDEX(Mitarbeiter!$F$6:$F$205,MATCH(B1889,Mitarbeiter!$A$6:$A$205,0)),0))</f>
        <v/>
      </c>
      <c r="H1889" s="8">
        <f>IF(B1889="","",IF(ISNA(MATCH(B1889,Mitarbeiter!$A$6:$A$205,0)),"Pers.-Nr. unbekannt",IF(A1889="","Datum fehlt",IF(AND(D1889&lt;&gt;Einstellungen!$C$4,D1889&lt;&gt;Einstellungen!$C$5),"Objekt fehlt",IF(YEAR(A1889)&lt;&gt;Einstellungen!$C$3,"anderes Jahr",IF(A1889&lt;INDEX(Mitarbeiter!$C$6:$C$205,MATCH(B1889,Mitarbeiter!$A$6:$A$205,0)),"vor Eintritt",IF(AND(INDEX(Mitarbeiter!$D$6:$D$205,MATCH(B1889,Mitarbeiter!$A$6:$A$205,0))&lt;&gt;"",A1889&gt;INDEX(Mitarbeiter!$D$6:$D$205,MATCH(B1889,Mitarbeiter!$A$6:$A$205,0))),"nach Austritt","ok")))))))</f>
        <v/>
      </c>
    </row>
    <row r="1890">
      <c r="A1890" s="26" t="n"/>
      <c r="B1890" s="24" t="n"/>
      <c r="C1890" s="40">
        <f>IF(B1890="","",IFERROR(INDEX(Mitarbeiter!$B$6:$B$205,MATCH(B1890,Mitarbeiter!$A$6:$A$205,0)),"?"))</f>
        <v/>
      </c>
      <c r="D1890" s="41" t="n"/>
      <c r="E1890" s="42" t="n"/>
      <c r="F1890" s="43" t="n"/>
      <c r="G1890" s="44">
        <f>IF(OR(B1890="",F1890=""),"",IFERROR(F1890*INDEX(Mitarbeiter!$F$6:$F$205,MATCH(B1890,Mitarbeiter!$A$6:$A$205,0)),0))</f>
        <v/>
      </c>
      <c r="H1890" s="8">
        <f>IF(B1890="","",IF(ISNA(MATCH(B1890,Mitarbeiter!$A$6:$A$205,0)),"Pers.-Nr. unbekannt",IF(A1890="","Datum fehlt",IF(AND(D1890&lt;&gt;Einstellungen!$C$4,D1890&lt;&gt;Einstellungen!$C$5),"Objekt fehlt",IF(YEAR(A1890)&lt;&gt;Einstellungen!$C$3,"anderes Jahr",IF(A1890&lt;INDEX(Mitarbeiter!$C$6:$C$205,MATCH(B1890,Mitarbeiter!$A$6:$A$205,0)),"vor Eintritt",IF(AND(INDEX(Mitarbeiter!$D$6:$D$205,MATCH(B1890,Mitarbeiter!$A$6:$A$205,0))&lt;&gt;"",A1890&gt;INDEX(Mitarbeiter!$D$6:$D$205,MATCH(B1890,Mitarbeiter!$A$6:$A$205,0))),"nach Austritt","ok")))))))</f>
        <v/>
      </c>
    </row>
    <row r="1891">
      <c r="A1891" s="26" t="n"/>
      <c r="B1891" s="24" t="n"/>
      <c r="C1891" s="40">
        <f>IF(B1891="","",IFERROR(INDEX(Mitarbeiter!$B$6:$B$205,MATCH(B1891,Mitarbeiter!$A$6:$A$205,0)),"?"))</f>
        <v/>
      </c>
      <c r="D1891" s="41" t="n"/>
      <c r="E1891" s="42" t="n"/>
      <c r="F1891" s="43" t="n"/>
      <c r="G1891" s="44">
        <f>IF(OR(B1891="",F1891=""),"",IFERROR(F1891*INDEX(Mitarbeiter!$F$6:$F$205,MATCH(B1891,Mitarbeiter!$A$6:$A$205,0)),0))</f>
        <v/>
      </c>
      <c r="H1891" s="8">
        <f>IF(B1891="","",IF(ISNA(MATCH(B1891,Mitarbeiter!$A$6:$A$205,0)),"Pers.-Nr. unbekannt",IF(A1891="","Datum fehlt",IF(AND(D1891&lt;&gt;Einstellungen!$C$4,D1891&lt;&gt;Einstellungen!$C$5),"Objekt fehlt",IF(YEAR(A1891)&lt;&gt;Einstellungen!$C$3,"anderes Jahr",IF(A1891&lt;INDEX(Mitarbeiter!$C$6:$C$205,MATCH(B1891,Mitarbeiter!$A$6:$A$205,0)),"vor Eintritt",IF(AND(INDEX(Mitarbeiter!$D$6:$D$205,MATCH(B1891,Mitarbeiter!$A$6:$A$205,0))&lt;&gt;"",A1891&gt;INDEX(Mitarbeiter!$D$6:$D$205,MATCH(B1891,Mitarbeiter!$A$6:$A$205,0))),"nach Austritt","ok")))))))</f>
        <v/>
      </c>
    </row>
    <row r="1892">
      <c r="A1892" s="26" t="n"/>
      <c r="B1892" s="24" t="n"/>
      <c r="C1892" s="40">
        <f>IF(B1892="","",IFERROR(INDEX(Mitarbeiter!$B$6:$B$205,MATCH(B1892,Mitarbeiter!$A$6:$A$205,0)),"?"))</f>
        <v/>
      </c>
      <c r="D1892" s="41" t="n"/>
      <c r="E1892" s="42" t="n"/>
      <c r="F1892" s="43" t="n"/>
      <c r="G1892" s="44">
        <f>IF(OR(B1892="",F1892=""),"",IFERROR(F1892*INDEX(Mitarbeiter!$F$6:$F$205,MATCH(B1892,Mitarbeiter!$A$6:$A$205,0)),0))</f>
        <v/>
      </c>
      <c r="H1892" s="8">
        <f>IF(B1892="","",IF(ISNA(MATCH(B1892,Mitarbeiter!$A$6:$A$205,0)),"Pers.-Nr. unbekannt",IF(A1892="","Datum fehlt",IF(AND(D1892&lt;&gt;Einstellungen!$C$4,D1892&lt;&gt;Einstellungen!$C$5),"Objekt fehlt",IF(YEAR(A1892)&lt;&gt;Einstellungen!$C$3,"anderes Jahr",IF(A1892&lt;INDEX(Mitarbeiter!$C$6:$C$205,MATCH(B1892,Mitarbeiter!$A$6:$A$205,0)),"vor Eintritt",IF(AND(INDEX(Mitarbeiter!$D$6:$D$205,MATCH(B1892,Mitarbeiter!$A$6:$A$205,0))&lt;&gt;"",A1892&gt;INDEX(Mitarbeiter!$D$6:$D$205,MATCH(B1892,Mitarbeiter!$A$6:$A$205,0))),"nach Austritt","ok")))))))</f>
        <v/>
      </c>
    </row>
    <row r="1893">
      <c r="A1893" s="26" t="n"/>
      <c r="B1893" s="24" t="n"/>
      <c r="C1893" s="40">
        <f>IF(B1893="","",IFERROR(INDEX(Mitarbeiter!$B$6:$B$205,MATCH(B1893,Mitarbeiter!$A$6:$A$205,0)),"?"))</f>
        <v/>
      </c>
      <c r="D1893" s="41" t="n"/>
      <c r="E1893" s="42" t="n"/>
      <c r="F1893" s="43" t="n"/>
      <c r="G1893" s="44">
        <f>IF(OR(B1893="",F1893=""),"",IFERROR(F1893*INDEX(Mitarbeiter!$F$6:$F$205,MATCH(B1893,Mitarbeiter!$A$6:$A$205,0)),0))</f>
        <v/>
      </c>
      <c r="H1893" s="8">
        <f>IF(B1893="","",IF(ISNA(MATCH(B1893,Mitarbeiter!$A$6:$A$205,0)),"Pers.-Nr. unbekannt",IF(A1893="","Datum fehlt",IF(AND(D1893&lt;&gt;Einstellungen!$C$4,D1893&lt;&gt;Einstellungen!$C$5),"Objekt fehlt",IF(YEAR(A1893)&lt;&gt;Einstellungen!$C$3,"anderes Jahr",IF(A1893&lt;INDEX(Mitarbeiter!$C$6:$C$205,MATCH(B1893,Mitarbeiter!$A$6:$A$205,0)),"vor Eintritt",IF(AND(INDEX(Mitarbeiter!$D$6:$D$205,MATCH(B1893,Mitarbeiter!$A$6:$A$205,0))&lt;&gt;"",A1893&gt;INDEX(Mitarbeiter!$D$6:$D$205,MATCH(B1893,Mitarbeiter!$A$6:$A$205,0))),"nach Austritt","ok")))))))</f>
        <v/>
      </c>
    </row>
    <row r="1894">
      <c r="A1894" s="26" t="n"/>
      <c r="B1894" s="24" t="n"/>
      <c r="C1894" s="40">
        <f>IF(B1894="","",IFERROR(INDEX(Mitarbeiter!$B$6:$B$205,MATCH(B1894,Mitarbeiter!$A$6:$A$205,0)),"?"))</f>
        <v/>
      </c>
      <c r="D1894" s="41" t="n"/>
      <c r="E1894" s="42" t="n"/>
      <c r="F1894" s="43" t="n"/>
      <c r="G1894" s="44">
        <f>IF(OR(B1894="",F1894=""),"",IFERROR(F1894*INDEX(Mitarbeiter!$F$6:$F$205,MATCH(B1894,Mitarbeiter!$A$6:$A$205,0)),0))</f>
        <v/>
      </c>
      <c r="H1894" s="8">
        <f>IF(B1894="","",IF(ISNA(MATCH(B1894,Mitarbeiter!$A$6:$A$205,0)),"Pers.-Nr. unbekannt",IF(A1894="","Datum fehlt",IF(AND(D1894&lt;&gt;Einstellungen!$C$4,D1894&lt;&gt;Einstellungen!$C$5),"Objekt fehlt",IF(YEAR(A1894)&lt;&gt;Einstellungen!$C$3,"anderes Jahr",IF(A1894&lt;INDEX(Mitarbeiter!$C$6:$C$205,MATCH(B1894,Mitarbeiter!$A$6:$A$205,0)),"vor Eintritt",IF(AND(INDEX(Mitarbeiter!$D$6:$D$205,MATCH(B1894,Mitarbeiter!$A$6:$A$205,0))&lt;&gt;"",A1894&gt;INDEX(Mitarbeiter!$D$6:$D$205,MATCH(B1894,Mitarbeiter!$A$6:$A$205,0))),"nach Austritt","ok")))))))</f>
        <v/>
      </c>
    </row>
    <row r="1895">
      <c r="A1895" s="26" t="n"/>
      <c r="B1895" s="24" t="n"/>
      <c r="C1895" s="40">
        <f>IF(B1895="","",IFERROR(INDEX(Mitarbeiter!$B$6:$B$205,MATCH(B1895,Mitarbeiter!$A$6:$A$205,0)),"?"))</f>
        <v/>
      </c>
      <c r="D1895" s="41" t="n"/>
      <c r="E1895" s="42" t="n"/>
      <c r="F1895" s="43" t="n"/>
      <c r="G1895" s="44">
        <f>IF(OR(B1895="",F1895=""),"",IFERROR(F1895*INDEX(Mitarbeiter!$F$6:$F$205,MATCH(B1895,Mitarbeiter!$A$6:$A$205,0)),0))</f>
        <v/>
      </c>
      <c r="H1895" s="8">
        <f>IF(B1895="","",IF(ISNA(MATCH(B1895,Mitarbeiter!$A$6:$A$205,0)),"Pers.-Nr. unbekannt",IF(A1895="","Datum fehlt",IF(AND(D1895&lt;&gt;Einstellungen!$C$4,D1895&lt;&gt;Einstellungen!$C$5),"Objekt fehlt",IF(YEAR(A1895)&lt;&gt;Einstellungen!$C$3,"anderes Jahr",IF(A1895&lt;INDEX(Mitarbeiter!$C$6:$C$205,MATCH(B1895,Mitarbeiter!$A$6:$A$205,0)),"vor Eintritt",IF(AND(INDEX(Mitarbeiter!$D$6:$D$205,MATCH(B1895,Mitarbeiter!$A$6:$A$205,0))&lt;&gt;"",A1895&gt;INDEX(Mitarbeiter!$D$6:$D$205,MATCH(B1895,Mitarbeiter!$A$6:$A$205,0))),"nach Austritt","ok")))))))</f>
        <v/>
      </c>
    </row>
    <row r="1896">
      <c r="A1896" s="26" t="n"/>
      <c r="B1896" s="24" t="n"/>
      <c r="C1896" s="40">
        <f>IF(B1896="","",IFERROR(INDEX(Mitarbeiter!$B$6:$B$205,MATCH(B1896,Mitarbeiter!$A$6:$A$205,0)),"?"))</f>
        <v/>
      </c>
      <c r="D1896" s="41" t="n"/>
      <c r="E1896" s="42" t="n"/>
      <c r="F1896" s="43" t="n"/>
      <c r="G1896" s="44">
        <f>IF(OR(B1896="",F1896=""),"",IFERROR(F1896*INDEX(Mitarbeiter!$F$6:$F$205,MATCH(B1896,Mitarbeiter!$A$6:$A$205,0)),0))</f>
        <v/>
      </c>
      <c r="H1896" s="8">
        <f>IF(B1896="","",IF(ISNA(MATCH(B1896,Mitarbeiter!$A$6:$A$205,0)),"Pers.-Nr. unbekannt",IF(A1896="","Datum fehlt",IF(AND(D1896&lt;&gt;Einstellungen!$C$4,D1896&lt;&gt;Einstellungen!$C$5),"Objekt fehlt",IF(YEAR(A1896)&lt;&gt;Einstellungen!$C$3,"anderes Jahr",IF(A1896&lt;INDEX(Mitarbeiter!$C$6:$C$205,MATCH(B1896,Mitarbeiter!$A$6:$A$205,0)),"vor Eintritt",IF(AND(INDEX(Mitarbeiter!$D$6:$D$205,MATCH(B1896,Mitarbeiter!$A$6:$A$205,0))&lt;&gt;"",A1896&gt;INDEX(Mitarbeiter!$D$6:$D$205,MATCH(B1896,Mitarbeiter!$A$6:$A$205,0))),"nach Austritt","ok")))))))</f>
        <v/>
      </c>
    </row>
    <row r="1897">
      <c r="A1897" s="26" t="n"/>
      <c r="B1897" s="24" t="n"/>
      <c r="C1897" s="40">
        <f>IF(B1897="","",IFERROR(INDEX(Mitarbeiter!$B$6:$B$205,MATCH(B1897,Mitarbeiter!$A$6:$A$205,0)),"?"))</f>
        <v/>
      </c>
      <c r="D1897" s="41" t="n"/>
      <c r="E1897" s="42" t="n"/>
      <c r="F1897" s="43" t="n"/>
      <c r="G1897" s="44">
        <f>IF(OR(B1897="",F1897=""),"",IFERROR(F1897*INDEX(Mitarbeiter!$F$6:$F$205,MATCH(B1897,Mitarbeiter!$A$6:$A$205,0)),0))</f>
        <v/>
      </c>
      <c r="H1897" s="8">
        <f>IF(B1897="","",IF(ISNA(MATCH(B1897,Mitarbeiter!$A$6:$A$205,0)),"Pers.-Nr. unbekannt",IF(A1897="","Datum fehlt",IF(AND(D1897&lt;&gt;Einstellungen!$C$4,D1897&lt;&gt;Einstellungen!$C$5),"Objekt fehlt",IF(YEAR(A1897)&lt;&gt;Einstellungen!$C$3,"anderes Jahr",IF(A1897&lt;INDEX(Mitarbeiter!$C$6:$C$205,MATCH(B1897,Mitarbeiter!$A$6:$A$205,0)),"vor Eintritt",IF(AND(INDEX(Mitarbeiter!$D$6:$D$205,MATCH(B1897,Mitarbeiter!$A$6:$A$205,0))&lt;&gt;"",A1897&gt;INDEX(Mitarbeiter!$D$6:$D$205,MATCH(B1897,Mitarbeiter!$A$6:$A$205,0))),"nach Austritt","ok")))))))</f>
        <v/>
      </c>
    </row>
    <row r="1898">
      <c r="A1898" s="26" t="n"/>
      <c r="B1898" s="24" t="n"/>
      <c r="C1898" s="40">
        <f>IF(B1898="","",IFERROR(INDEX(Mitarbeiter!$B$6:$B$205,MATCH(B1898,Mitarbeiter!$A$6:$A$205,0)),"?"))</f>
        <v/>
      </c>
      <c r="D1898" s="41" t="n"/>
      <c r="E1898" s="42" t="n"/>
      <c r="F1898" s="43" t="n"/>
      <c r="G1898" s="44">
        <f>IF(OR(B1898="",F1898=""),"",IFERROR(F1898*INDEX(Mitarbeiter!$F$6:$F$205,MATCH(B1898,Mitarbeiter!$A$6:$A$205,0)),0))</f>
        <v/>
      </c>
      <c r="H1898" s="8">
        <f>IF(B1898="","",IF(ISNA(MATCH(B1898,Mitarbeiter!$A$6:$A$205,0)),"Pers.-Nr. unbekannt",IF(A1898="","Datum fehlt",IF(AND(D1898&lt;&gt;Einstellungen!$C$4,D1898&lt;&gt;Einstellungen!$C$5),"Objekt fehlt",IF(YEAR(A1898)&lt;&gt;Einstellungen!$C$3,"anderes Jahr",IF(A1898&lt;INDEX(Mitarbeiter!$C$6:$C$205,MATCH(B1898,Mitarbeiter!$A$6:$A$205,0)),"vor Eintritt",IF(AND(INDEX(Mitarbeiter!$D$6:$D$205,MATCH(B1898,Mitarbeiter!$A$6:$A$205,0))&lt;&gt;"",A1898&gt;INDEX(Mitarbeiter!$D$6:$D$205,MATCH(B1898,Mitarbeiter!$A$6:$A$205,0))),"nach Austritt","ok")))))))</f>
        <v/>
      </c>
    </row>
    <row r="1899">
      <c r="A1899" s="26" t="n"/>
      <c r="B1899" s="24" t="n"/>
      <c r="C1899" s="40">
        <f>IF(B1899="","",IFERROR(INDEX(Mitarbeiter!$B$6:$B$205,MATCH(B1899,Mitarbeiter!$A$6:$A$205,0)),"?"))</f>
        <v/>
      </c>
      <c r="D1899" s="41" t="n"/>
      <c r="E1899" s="42" t="n"/>
      <c r="F1899" s="43" t="n"/>
      <c r="G1899" s="44">
        <f>IF(OR(B1899="",F1899=""),"",IFERROR(F1899*INDEX(Mitarbeiter!$F$6:$F$205,MATCH(B1899,Mitarbeiter!$A$6:$A$205,0)),0))</f>
        <v/>
      </c>
      <c r="H1899" s="8">
        <f>IF(B1899="","",IF(ISNA(MATCH(B1899,Mitarbeiter!$A$6:$A$205,0)),"Pers.-Nr. unbekannt",IF(A1899="","Datum fehlt",IF(AND(D1899&lt;&gt;Einstellungen!$C$4,D1899&lt;&gt;Einstellungen!$C$5),"Objekt fehlt",IF(YEAR(A1899)&lt;&gt;Einstellungen!$C$3,"anderes Jahr",IF(A1899&lt;INDEX(Mitarbeiter!$C$6:$C$205,MATCH(B1899,Mitarbeiter!$A$6:$A$205,0)),"vor Eintritt",IF(AND(INDEX(Mitarbeiter!$D$6:$D$205,MATCH(B1899,Mitarbeiter!$A$6:$A$205,0))&lt;&gt;"",A1899&gt;INDEX(Mitarbeiter!$D$6:$D$205,MATCH(B1899,Mitarbeiter!$A$6:$A$205,0))),"nach Austritt","ok")))))))</f>
        <v/>
      </c>
    </row>
    <row r="1900">
      <c r="A1900" s="26" t="n"/>
      <c r="B1900" s="24" t="n"/>
      <c r="C1900" s="40">
        <f>IF(B1900="","",IFERROR(INDEX(Mitarbeiter!$B$6:$B$205,MATCH(B1900,Mitarbeiter!$A$6:$A$205,0)),"?"))</f>
        <v/>
      </c>
      <c r="D1900" s="41" t="n"/>
      <c r="E1900" s="42" t="n"/>
      <c r="F1900" s="43" t="n"/>
      <c r="G1900" s="44">
        <f>IF(OR(B1900="",F1900=""),"",IFERROR(F1900*INDEX(Mitarbeiter!$F$6:$F$205,MATCH(B1900,Mitarbeiter!$A$6:$A$205,0)),0))</f>
        <v/>
      </c>
      <c r="H1900" s="8">
        <f>IF(B1900="","",IF(ISNA(MATCH(B1900,Mitarbeiter!$A$6:$A$205,0)),"Pers.-Nr. unbekannt",IF(A1900="","Datum fehlt",IF(AND(D1900&lt;&gt;Einstellungen!$C$4,D1900&lt;&gt;Einstellungen!$C$5),"Objekt fehlt",IF(YEAR(A1900)&lt;&gt;Einstellungen!$C$3,"anderes Jahr",IF(A1900&lt;INDEX(Mitarbeiter!$C$6:$C$205,MATCH(B1900,Mitarbeiter!$A$6:$A$205,0)),"vor Eintritt",IF(AND(INDEX(Mitarbeiter!$D$6:$D$205,MATCH(B1900,Mitarbeiter!$A$6:$A$205,0))&lt;&gt;"",A1900&gt;INDEX(Mitarbeiter!$D$6:$D$205,MATCH(B1900,Mitarbeiter!$A$6:$A$205,0))),"nach Austritt","ok")))))))</f>
        <v/>
      </c>
    </row>
    <row r="1901">
      <c r="A1901" s="26" t="n"/>
      <c r="B1901" s="24" t="n"/>
      <c r="C1901" s="40">
        <f>IF(B1901="","",IFERROR(INDEX(Mitarbeiter!$B$6:$B$205,MATCH(B1901,Mitarbeiter!$A$6:$A$205,0)),"?"))</f>
        <v/>
      </c>
      <c r="D1901" s="41" t="n"/>
      <c r="E1901" s="42" t="n"/>
      <c r="F1901" s="43" t="n"/>
      <c r="G1901" s="44">
        <f>IF(OR(B1901="",F1901=""),"",IFERROR(F1901*INDEX(Mitarbeiter!$F$6:$F$205,MATCH(B1901,Mitarbeiter!$A$6:$A$205,0)),0))</f>
        <v/>
      </c>
      <c r="H1901" s="8">
        <f>IF(B1901="","",IF(ISNA(MATCH(B1901,Mitarbeiter!$A$6:$A$205,0)),"Pers.-Nr. unbekannt",IF(A1901="","Datum fehlt",IF(AND(D1901&lt;&gt;Einstellungen!$C$4,D1901&lt;&gt;Einstellungen!$C$5),"Objekt fehlt",IF(YEAR(A1901)&lt;&gt;Einstellungen!$C$3,"anderes Jahr",IF(A1901&lt;INDEX(Mitarbeiter!$C$6:$C$205,MATCH(B1901,Mitarbeiter!$A$6:$A$205,0)),"vor Eintritt",IF(AND(INDEX(Mitarbeiter!$D$6:$D$205,MATCH(B1901,Mitarbeiter!$A$6:$A$205,0))&lt;&gt;"",A1901&gt;INDEX(Mitarbeiter!$D$6:$D$205,MATCH(B1901,Mitarbeiter!$A$6:$A$205,0))),"nach Austritt","ok")))))))</f>
        <v/>
      </c>
    </row>
    <row r="1902">
      <c r="A1902" s="26" t="n"/>
      <c r="B1902" s="24" t="n"/>
      <c r="C1902" s="40">
        <f>IF(B1902="","",IFERROR(INDEX(Mitarbeiter!$B$6:$B$205,MATCH(B1902,Mitarbeiter!$A$6:$A$205,0)),"?"))</f>
        <v/>
      </c>
      <c r="D1902" s="41" t="n"/>
      <c r="E1902" s="42" t="n"/>
      <c r="F1902" s="43" t="n"/>
      <c r="G1902" s="44">
        <f>IF(OR(B1902="",F1902=""),"",IFERROR(F1902*INDEX(Mitarbeiter!$F$6:$F$205,MATCH(B1902,Mitarbeiter!$A$6:$A$205,0)),0))</f>
        <v/>
      </c>
      <c r="H1902" s="8">
        <f>IF(B1902="","",IF(ISNA(MATCH(B1902,Mitarbeiter!$A$6:$A$205,0)),"Pers.-Nr. unbekannt",IF(A1902="","Datum fehlt",IF(AND(D1902&lt;&gt;Einstellungen!$C$4,D1902&lt;&gt;Einstellungen!$C$5),"Objekt fehlt",IF(YEAR(A1902)&lt;&gt;Einstellungen!$C$3,"anderes Jahr",IF(A1902&lt;INDEX(Mitarbeiter!$C$6:$C$205,MATCH(B1902,Mitarbeiter!$A$6:$A$205,0)),"vor Eintritt",IF(AND(INDEX(Mitarbeiter!$D$6:$D$205,MATCH(B1902,Mitarbeiter!$A$6:$A$205,0))&lt;&gt;"",A1902&gt;INDEX(Mitarbeiter!$D$6:$D$205,MATCH(B1902,Mitarbeiter!$A$6:$A$205,0))),"nach Austritt","ok")))))))</f>
        <v/>
      </c>
    </row>
    <row r="1903">
      <c r="A1903" s="26" t="n"/>
      <c r="B1903" s="24" t="n"/>
      <c r="C1903" s="40">
        <f>IF(B1903="","",IFERROR(INDEX(Mitarbeiter!$B$6:$B$205,MATCH(B1903,Mitarbeiter!$A$6:$A$205,0)),"?"))</f>
        <v/>
      </c>
      <c r="D1903" s="41" t="n"/>
      <c r="E1903" s="42" t="n"/>
      <c r="F1903" s="43" t="n"/>
      <c r="G1903" s="44">
        <f>IF(OR(B1903="",F1903=""),"",IFERROR(F1903*INDEX(Mitarbeiter!$F$6:$F$205,MATCH(B1903,Mitarbeiter!$A$6:$A$205,0)),0))</f>
        <v/>
      </c>
      <c r="H1903" s="8">
        <f>IF(B1903="","",IF(ISNA(MATCH(B1903,Mitarbeiter!$A$6:$A$205,0)),"Pers.-Nr. unbekannt",IF(A1903="","Datum fehlt",IF(AND(D1903&lt;&gt;Einstellungen!$C$4,D1903&lt;&gt;Einstellungen!$C$5),"Objekt fehlt",IF(YEAR(A1903)&lt;&gt;Einstellungen!$C$3,"anderes Jahr",IF(A1903&lt;INDEX(Mitarbeiter!$C$6:$C$205,MATCH(B1903,Mitarbeiter!$A$6:$A$205,0)),"vor Eintritt",IF(AND(INDEX(Mitarbeiter!$D$6:$D$205,MATCH(B1903,Mitarbeiter!$A$6:$A$205,0))&lt;&gt;"",A1903&gt;INDEX(Mitarbeiter!$D$6:$D$205,MATCH(B1903,Mitarbeiter!$A$6:$A$205,0))),"nach Austritt","ok")))))))</f>
        <v/>
      </c>
    </row>
    <row r="1904">
      <c r="A1904" s="26" t="n"/>
      <c r="B1904" s="24" t="n"/>
      <c r="C1904" s="40">
        <f>IF(B1904="","",IFERROR(INDEX(Mitarbeiter!$B$6:$B$205,MATCH(B1904,Mitarbeiter!$A$6:$A$205,0)),"?"))</f>
        <v/>
      </c>
      <c r="D1904" s="41" t="n"/>
      <c r="E1904" s="42" t="n"/>
      <c r="F1904" s="43" t="n"/>
      <c r="G1904" s="44">
        <f>IF(OR(B1904="",F1904=""),"",IFERROR(F1904*INDEX(Mitarbeiter!$F$6:$F$205,MATCH(B1904,Mitarbeiter!$A$6:$A$205,0)),0))</f>
        <v/>
      </c>
      <c r="H1904" s="8">
        <f>IF(B1904="","",IF(ISNA(MATCH(B1904,Mitarbeiter!$A$6:$A$205,0)),"Pers.-Nr. unbekannt",IF(A1904="","Datum fehlt",IF(AND(D1904&lt;&gt;Einstellungen!$C$4,D1904&lt;&gt;Einstellungen!$C$5),"Objekt fehlt",IF(YEAR(A1904)&lt;&gt;Einstellungen!$C$3,"anderes Jahr",IF(A1904&lt;INDEX(Mitarbeiter!$C$6:$C$205,MATCH(B1904,Mitarbeiter!$A$6:$A$205,0)),"vor Eintritt",IF(AND(INDEX(Mitarbeiter!$D$6:$D$205,MATCH(B1904,Mitarbeiter!$A$6:$A$205,0))&lt;&gt;"",A1904&gt;INDEX(Mitarbeiter!$D$6:$D$205,MATCH(B1904,Mitarbeiter!$A$6:$A$205,0))),"nach Austritt","ok")))))))</f>
        <v/>
      </c>
    </row>
    <row r="1905">
      <c r="A1905" s="26" t="n"/>
      <c r="B1905" s="24" t="n"/>
      <c r="C1905" s="40">
        <f>IF(B1905="","",IFERROR(INDEX(Mitarbeiter!$B$6:$B$205,MATCH(B1905,Mitarbeiter!$A$6:$A$205,0)),"?"))</f>
        <v/>
      </c>
      <c r="D1905" s="41" t="n"/>
      <c r="E1905" s="42" t="n"/>
      <c r="F1905" s="43" t="n"/>
      <c r="G1905" s="44">
        <f>IF(OR(B1905="",F1905=""),"",IFERROR(F1905*INDEX(Mitarbeiter!$F$6:$F$205,MATCH(B1905,Mitarbeiter!$A$6:$A$205,0)),0))</f>
        <v/>
      </c>
      <c r="H1905" s="8">
        <f>IF(B1905="","",IF(ISNA(MATCH(B1905,Mitarbeiter!$A$6:$A$205,0)),"Pers.-Nr. unbekannt",IF(A1905="","Datum fehlt",IF(AND(D1905&lt;&gt;Einstellungen!$C$4,D1905&lt;&gt;Einstellungen!$C$5),"Objekt fehlt",IF(YEAR(A1905)&lt;&gt;Einstellungen!$C$3,"anderes Jahr",IF(A1905&lt;INDEX(Mitarbeiter!$C$6:$C$205,MATCH(B1905,Mitarbeiter!$A$6:$A$205,0)),"vor Eintritt",IF(AND(INDEX(Mitarbeiter!$D$6:$D$205,MATCH(B1905,Mitarbeiter!$A$6:$A$205,0))&lt;&gt;"",A1905&gt;INDEX(Mitarbeiter!$D$6:$D$205,MATCH(B1905,Mitarbeiter!$A$6:$A$205,0))),"nach Austritt","ok")))))))</f>
        <v/>
      </c>
    </row>
    <row r="1906">
      <c r="A1906" s="26" t="n"/>
      <c r="B1906" s="24" t="n"/>
      <c r="C1906" s="40">
        <f>IF(B1906="","",IFERROR(INDEX(Mitarbeiter!$B$6:$B$205,MATCH(B1906,Mitarbeiter!$A$6:$A$205,0)),"?"))</f>
        <v/>
      </c>
      <c r="D1906" s="41" t="n"/>
      <c r="E1906" s="42" t="n"/>
      <c r="F1906" s="43" t="n"/>
      <c r="G1906" s="44">
        <f>IF(OR(B1906="",F1906=""),"",IFERROR(F1906*INDEX(Mitarbeiter!$F$6:$F$205,MATCH(B1906,Mitarbeiter!$A$6:$A$205,0)),0))</f>
        <v/>
      </c>
      <c r="H1906" s="8">
        <f>IF(B1906="","",IF(ISNA(MATCH(B1906,Mitarbeiter!$A$6:$A$205,0)),"Pers.-Nr. unbekannt",IF(A1906="","Datum fehlt",IF(AND(D1906&lt;&gt;Einstellungen!$C$4,D1906&lt;&gt;Einstellungen!$C$5),"Objekt fehlt",IF(YEAR(A1906)&lt;&gt;Einstellungen!$C$3,"anderes Jahr",IF(A1906&lt;INDEX(Mitarbeiter!$C$6:$C$205,MATCH(B1906,Mitarbeiter!$A$6:$A$205,0)),"vor Eintritt",IF(AND(INDEX(Mitarbeiter!$D$6:$D$205,MATCH(B1906,Mitarbeiter!$A$6:$A$205,0))&lt;&gt;"",A1906&gt;INDEX(Mitarbeiter!$D$6:$D$205,MATCH(B1906,Mitarbeiter!$A$6:$A$205,0))),"nach Austritt","ok")))))))</f>
        <v/>
      </c>
    </row>
    <row r="1907">
      <c r="A1907" s="26" t="n"/>
      <c r="B1907" s="24" t="n"/>
      <c r="C1907" s="40">
        <f>IF(B1907="","",IFERROR(INDEX(Mitarbeiter!$B$6:$B$205,MATCH(B1907,Mitarbeiter!$A$6:$A$205,0)),"?"))</f>
        <v/>
      </c>
      <c r="D1907" s="41" t="n"/>
      <c r="E1907" s="42" t="n"/>
      <c r="F1907" s="43" t="n"/>
      <c r="G1907" s="44">
        <f>IF(OR(B1907="",F1907=""),"",IFERROR(F1907*INDEX(Mitarbeiter!$F$6:$F$205,MATCH(B1907,Mitarbeiter!$A$6:$A$205,0)),0))</f>
        <v/>
      </c>
      <c r="H1907" s="8">
        <f>IF(B1907="","",IF(ISNA(MATCH(B1907,Mitarbeiter!$A$6:$A$205,0)),"Pers.-Nr. unbekannt",IF(A1907="","Datum fehlt",IF(AND(D1907&lt;&gt;Einstellungen!$C$4,D1907&lt;&gt;Einstellungen!$C$5),"Objekt fehlt",IF(YEAR(A1907)&lt;&gt;Einstellungen!$C$3,"anderes Jahr",IF(A1907&lt;INDEX(Mitarbeiter!$C$6:$C$205,MATCH(B1907,Mitarbeiter!$A$6:$A$205,0)),"vor Eintritt",IF(AND(INDEX(Mitarbeiter!$D$6:$D$205,MATCH(B1907,Mitarbeiter!$A$6:$A$205,0))&lt;&gt;"",A1907&gt;INDEX(Mitarbeiter!$D$6:$D$205,MATCH(B1907,Mitarbeiter!$A$6:$A$205,0))),"nach Austritt","ok")))))))</f>
        <v/>
      </c>
    </row>
    <row r="1908">
      <c r="A1908" s="26" t="n"/>
      <c r="B1908" s="24" t="n"/>
      <c r="C1908" s="40">
        <f>IF(B1908="","",IFERROR(INDEX(Mitarbeiter!$B$6:$B$205,MATCH(B1908,Mitarbeiter!$A$6:$A$205,0)),"?"))</f>
        <v/>
      </c>
      <c r="D1908" s="41" t="n"/>
      <c r="E1908" s="42" t="n"/>
      <c r="F1908" s="43" t="n"/>
      <c r="G1908" s="44">
        <f>IF(OR(B1908="",F1908=""),"",IFERROR(F1908*INDEX(Mitarbeiter!$F$6:$F$205,MATCH(B1908,Mitarbeiter!$A$6:$A$205,0)),0))</f>
        <v/>
      </c>
      <c r="H1908" s="8">
        <f>IF(B1908="","",IF(ISNA(MATCH(B1908,Mitarbeiter!$A$6:$A$205,0)),"Pers.-Nr. unbekannt",IF(A1908="","Datum fehlt",IF(AND(D1908&lt;&gt;Einstellungen!$C$4,D1908&lt;&gt;Einstellungen!$C$5),"Objekt fehlt",IF(YEAR(A1908)&lt;&gt;Einstellungen!$C$3,"anderes Jahr",IF(A1908&lt;INDEX(Mitarbeiter!$C$6:$C$205,MATCH(B1908,Mitarbeiter!$A$6:$A$205,0)),"vor Eintritt",IF(AND(INDEX(Mitarbeiter!$D$6:$D$205,MATCH(B1908,Mitarbeiter!$A$6:$A$205,0))&lt;&gt;"",A1908&gt;INDEX(Mitarbeiter!$D$6:$D$205,MATCH(B1908,Mitarbeiter!$A$6:$A$205,0))),"nach Austritt","ok")))))))</f>
        <v/>
      </c>
    </row>
    <row r="1909">
      <c r="A1909" s="26" t="n"/>
      <c r="B1909" s="24" t="n"/>
      <c r="C1909" s="40">
        <f>IF(B1909="","",IFERROR(INDEX(Mitarbeiter!$B$6:$B$205,MATCH(B1909,Mitarbeiter!$A$6:$A$205,0)),"?"))</f>
        <v/>
      </c>
      <c r="D1909" s="41" t="n"/>
      <c r="E1909" s="42" t="n"/>
      <c r="F1909" s="43" t="n"/>
      <c r="G1909" s="44">
        <f>IF(OR(B1909="",F1909=""),"",IFERROR(F1909*INDEX(Mitarbeiter!$F$6:$F$205,MATCH(B1909,Mitarbeiter!$A$6:$A$205,0)),0))</f>
        <v/>
      </c>
      <c r="H1909" s="8">
        <f>IF(B1909="","",IF(ISNA(MATCH(B1909,Mitarbeiter!$A$6:$A$205,0)),"Pers.-Nr. unbekannt",IF(A1909="","Datum fehlt",IF(AND(D1909&lt;&gt;Einstellungen!$C$4,D1909&lt;&gt;Einstellungen!$C$5),"Objekt fehlt",IF(YEAR(A1909)&lt;&gt;Einstellungen!$C$3,"anderes Jahr",IF(A1909&lt;INDEX(Mitarbeiter!$C$6:$C$205,MATCH(B1909,Mitarbeiter!$A$6:$A$205,0)),"vor Eintritt",IF(AND(INDEX(Mitarbeiter!$D$6:$D$205,MATCH(B1909,Mitarbeiter!$A$6:$A$205,0))&lt;&gt;"",A1909&gt;INDEX(Mitarbeiter!$D$6:$D$205,MATCH(B1909,Mitarbeiter!$A$6:$A$205,0))),"nach Austritt","ok")))))))</f>
        <v/>
      </c>
    </row>
    <row r="1910">
      <c r="A1910" s="26" t="n"/>
      <c r="B1910" s="24" t="n"/>
      <c r="C1910" s="40">
        <f>IF(B1910="","",IFERROR(INDEX(Mitarbeiter!$B$6:$B$205,MATCH(B1910,Mitarbeiter!$A$6:$A$205,0)),"?"))</f>
        <v/>
      </c>
      <c r="D1910" s="41" t="n"/>
      <c r="E1910" s="42" t="n"/>
      <c r="F1910" s="43" t="n"/>
      <c r="G1910" s="44">
        <f>IF(OR(B1910="",F1910=""),"",IFERROR(F1910*INDEX(Mitarbeiter!$F$6:$F$205,MATCH(B1910,Mitarbeiter!$A$6:$A$205,0)),0))</f>
        <v/>
      </c>
      <c r="H1910" s="8">
        <f>IF(B1910="","",IF(ISNA(MATCH(B1910,Mitarbeiter!$A$6:$A$205,0)),"Pers.-Nr. unbekannt",IF(A1910="","Datum fehlt",IF(AND(D1910&lt;&gt;Einstellungen!$C$4,D1910&lt;&gt;Einstellungen!$C$5),"Objekt fehlt",IF(YEAR(A1910)&lt;&gt;Einstellungen!$C$3,"anderes Jahr",IF(A1910&lt;INDEX(Mitarbeiter!$C$6:$C$205,MATCH(B1910,Mitarbeiter!$A$6:$A$205,0)),"vor Eintritt",IF(AND(INDEX(Mitarbeiter!$D$6:$D$205,MATCH(B1910,Mitarbeiter!$A$6:$A$205,0))&lt;&gt;"",A1910&gt;INDEX(Mitarbeiter!$D$6:$D$205,MATCH(B1910,Mitarbeiter!$A$6:$A$205,0))),"nach Austritt","ok")))))))</f>
        <v/>
      </c>
    </row>
    <row r="1911">
      <c r="A1911" s="26" t="n"/>
      <c r="B1911" s="24" t="n"/>
      <c r="C1911" s="40">
        <f>IF(B1911="","",IFERROR(INDEX(Mitarbeiter!$B$6:$B$205,MATCH(B1911,Mitarbeiter!$A$6:$A$205,0)),"?"))</f>
        <v/>
      </c>
      <c r="D1911" s="41" t="n"/>
      <c r="E1911" s="42" t="n"/>
      <c r="F1911" s="43" t="n"/>
      <c r="G1911" s="44">
        <f>IF(OR(B1911="",F1911=""),"",IFERROR(F1911*INDEX(Mitarbeiter!$F$6:$F$205,MATCH(B1911,Mitarbeiter!$A$6:$A$205,0)),0))</f>
        <v/>
      </c>
      <c r="H1911" s="8">
        <f>IF(B1911="","",IF(ISNA(MATCH(B1911,Mitarbeiter!$A$6:$A$205,0)),"Pers.-Nr. unbekannt",IF(A1911="","Datum fehlt",IF(AND(D1911&lt;&gt;Einstellungen!$C$4,D1911&lt;&gt;Einstellungen!$C$5),"Objekt fehlt",IF(YEAR(A1911)&lt;&gt;Einstellungen!$C$3,"anderes Jahr",IF(A1911&lt;INDEX(Mitarbeiter!$C$6:$C$205,MATCH(B1911,Mitarbeiter!$A$6:$A$205,0)),"vor Eintritt",IF(AND(INDEX(Mitarbeiter!$D$6:$D$205,MATCH(B1911,Mitarbeiter!$A$6:$A$205,0))&lt;&gt;"",A1911&gt;INDEX(Mitarbeiter!$D$6:$D$205,MATCH(B1911,Mitarbeiter!$A$6:$A$205,0))),"nach Austritt","ok")))))))</f>
        <v/>
      </c>
    </row>
    <row r="1912">
      <c r="A1912" s="26" t="n"/>
      <c r="B1912" s="24" t="n"/>
      <c r="C1912" s="40">
        <f>IF(B1912="","",IFERROR(INDEX(Mitarbeiter!$B$6:$B$205,MATCH(B1912,Mitarbeiter!$A$6:$A$205,0)),"?"))</f>
        <v/>
      </c>
      <c r="D1912" s="41" t="n"/>
      <c r="E1912" s="42" t="n"/>
      <c r="F1912" s="43" t="n"/>
      <c r="G1912" s="44">
        <f>IF(OR(B1912="",F1912=""),"",IFERROR(F1912*INDEX(Mitarbeiter!$F$6:$F$205,MATCH(B1912,Mitarbeiter!$A$6:$A$205,0)),0))</f>
        <v/>
      </c>
      <c r="H1912" s="8">
        <f>IF(B1912="","",IF(ISNA(MATCH(B1912,Mitarbeiter!$A$6:$A$205,0)),"Pers.-Nr. unbekannt",IF(A1912="","Datum fehlt",IF(AND(D1912&lt;&gt;Einstellungen!$C$4,D1912&lt;&gt;Einstellungen!$C$5),"Objekt fehlt",IF(YEAR(A1912)&lt;&gt;Einstellungen!$C$3,"anderes Jahr",IF(A1912&lt;INDEX(Mitarbeiter!$C$6:$C$205,MATCH(B1912,Mitarbeiter!$A$6:$A$205,0)),"vor Eintritt",IF(AND(INDEX(Mitarbeiter!$D$6:$D$205,MATCH(B1912,Mitarbeiter!$A$6:$A$205,0))&lt;&gt;"",A1912&gt;INDEX(Mitarbeiter!$D$6:$D$205,MATCH(B1912,Mitarbeiter!$A$6:$A$205,0))),"nach Austritt","ok")))))))</f>
        <v/>
      </c>
    </row>
    <row r="1913">
      <c r="A1913" s="26" t="n"/>
      <c r="B1913" s="24" t="n"/>
      <c r="C1913" s="40">
        <f>IF(B1913="","",IFERROR(INDEX(Mitarbeiter!$B$6:$B$205,MATCH(B1913,Mitarbeiter!$A$6:$A$205,0)),"?"))</f>
        <v/>
      </c>
      <c r="D1913" s="41" t="n"/>
      <c r="E1913" s="42" t="n"/>
      <c r="F1913" s="43" t="n"/>
      <c r="G1913" s="44">
        <f>IF(OR(B1913="",F1913=""),"",IFERROR(F1913*INDEX(Mitarbeiter!$F$6:$F$205,MATCH(B1913,Mitarbeiter!$A$6:$A$205,0)),0))</f>
        <v/>
      </c>
      <c r="H1913" s="8">
        <f>IF(B1913="","",IF(ISNA(MATCH(B1913,Mitarbeiter!$A$6:$A$205,0)),"Pers.-Nr. unbekannt",IF(A1913="","Datum fehlt",IF(AND(D1913&lt;&gt;Einstellungen!$C$4,D1913&lt;&gt;Einstellungen!$C$5),"Objekt fehlt",IF(YEAR(A1913)&lt;&gt;Einstellungen!$C$3,"anderes Jahr",IF(A1913&lt;INDEX(Mitarbeiter!$C$6:$C$205,MATCH(B1913,Mitarbeiter!$A$6:$A$205,0)),"vor Eintritt",IF(AND(INDEX(Mitarbeiter!$D$6:$D$205,MATCH(B1913,Mitarbeiter!$A$6:$A$205,0))&lt;&gt;"",A1913&gt;INDEX(Mitarbeiter!$D$6:$D$205,MATCH(B1913,Mitarbeiter!$A$6:$A$205,0))),"nach Austritt","ok")))))))</f>
        <v/>
      </c>
    </row>
    <row r="1914">
      <c r="A1914" s="26" t="n"/>
      <c r="B1914" s="24" t="n"/>
      <c r="C1914" s="40">
        <f>IF(B1914="","",IFERROR(INDEX(Mitarbeiter!$B$6:$B$205,MATCH(B1914,Mitarbeiter!$A$6:$A$205,0)),"?"))</f>
        <v/>
      </c>
      <c r="D1914" s="41" t="n"/>
      <c r="E1914" s="42" t="n"/>
      <c r="F1914" s="43" t="n"/>
      <c r="G1914" s="44">
        <f>IF(OR(B1914="",F1914=""),"",IFERROR(F1914*INDEX(Mitarbeiter!$F$6:$F$205,MATCH(B1914,Mitarbeiter!$A$6:$A$205,0)),0))</f>
        <v/>
      </c>
      <c r="H1914" s="8">
        <f>IF(B1914="","",IF(ISNA(MATCH(B1914,Mitarbeiter!$A$6:$A$205,0)),"Pers.-Nr. unbekannt",IF(A1914="","Datum fehlt",IF(AND(D1914&lt;&gt;Einstellungen!$C$4,D1914&lt;&gt;Einstellungen!$C$5),"Objekt fehlt",IF(YEAR(A1914)&lt;&gt;Einstellungen!$C$3,"anderes Jahr",IF(A1914&lt;INDEX(Mitarbeiter!$C$6:$C$205,MATCH(B1914,Mitarbeiter!$A$6:$A$205,0)),"vor Eintritt",IF(AND(INDEX(Mitarbeiter!$D$6:$D$205,MATCH(B1914,Mitarbeiter!$A$6:$A$205,0))&lt;&gt;"",A1914&gt;INDEX(Mitarbeiter!$D$6:$D$205,MATCH(B1914,Mitarbeiter!$A$6:$A$205,0))),"nach Austritt","ok")))))))</f>
        <v/>
      </c>
    </row>
    <row r="1915">
      <c r="A1915" s="26" t="n"/>
      <c r="B1915" s="24" t="n"/>
      <c r="C1915" s="40">
        <f>IF(B1915="","",IFERROR(INDEX(Mitarbeiter!$B$6:$B$205,MATCH(B1915,Mitarbeiter!$A$6:$A$205,0)),"?"))</f>
        <v/>
      </c>
      <c r="D1915" s="41" t="n"/>
      <c r="E1915" s="42" t="n"/>
      <c r="F1915" s="43" t="n"/>
      <c r="G1915" s="44">
        <f>IF(OR(B1915="",F1915=""),"",IFERROR(F1915*INDEX(Mitarbeiter!$F$6:$F$205,MATCH(B1915,Mitarbeiter!$A$6:$A$205,0)),0))</f>
        <v/>
      </c>
      <c r="H1915" s="8">
        <f>IF(B1915="","",IF(ISNA(MATCH(B1915,Mitarbeiter!$A$6:$A$205,0)),"Pers.-Nr. unbekannt",IF(A1915="","Datum fehlt",IF(AND(D1915&lt;&gt;Einstellungen!$C$4,D1915&lt;&gt;Einstellungen!$C$5),"Objekt fehlt",IF(YEAR(A1915)&lt;&gt;Einstellungen!$C$3,"anderes Jahr",IF(A1915&lt;INDEX(Mitarbeiter!$C$6:$C$205,MATCH(B1915,Mitarbeiter!$A$6:$A$205,0)),"vor Eintritt",IF(AND(INDEX(Mitarbeiter!$D$6:$D$205,MATCH(B1915,Mitarbeiter!$A$6:$A$205,0))&lt;&gt;"",A1915&gt;INDEX(Mitarbeiter!$D$6:$D$205,MATCH(B1915,Mitarbeiter!$A$6:$A$205,0))),"nach Austritt","ok")))))))</f>
        <v/>
      </c>
    </row>
    <row r="1916">
      <c r="A1916" s="26" t="n"/>
      <c r="B1916" s="24" t="n"/>
      <c r="C1916" s="40">
        <f>IF(B1916="","",IFERROR(INDEX(Mitarbeiter!$B$6:$B$205,MATCH(B1916,Mitarbeiter!$A$6:$A$205,0)),"?"))</f>
        <v/>
      </c>
      <c r="D1916" s="41" t="n"/>
      <c r="E1916" s="42" t="n"/>
      <c r="F1916" s="43" t="n"/>
      <c r="G1916" s="44">
        <f>IF(OR(B1916="",F1916=""),"",IFERROR(F1916*INDEX(Mitarbeiter!$F$6:$F$205,MATCH(B1916,Mitarbeiter!$A$6:$A$205,0)),0))</f>
        <v/>
      </c>
      <c r="H1916" s="8">
        <f>IF(B1916="","",IF(ISNA(MATCH(B1916,Mitarbeiter!$A$6:$A$205,0)),"Pers.-Nr. unbekannt",IF(A1916="","Datum fehlt",IF(AND(D1916&lt;&gt;Einstellungen!$C$4,D1916&lt;&gt;Einstellungen!$C$5),"Objekt fehlt",IF(YEAR(A1916)&lt;&gt;Einstellungen!$C$3,"anderes Jahr",IF(A1916&lt;INDEX(Mitarbeiter!$C$6:$C$205,MATCH(B1916,Mitarbeiter!$A$6:$A$205,0)),"vor Eintritt",IF(AND(INDEX(Mitarbeiter!$D$6:$D$205,MATCH(B1916,Mitarbeiter!$A$6:$A$205,0))&lt;&gt;"",A1916&gt;INDEX(Mitarbeiter!$D$6:$D$205,MATCH(B1916,Mitarbeiter!$A$6:$A$205,0))),"nach Austritt","ok")))))))</f>
        <v/>
      </c>
    </row>
    <row r="1917">
      <c r="A1917" s="26" t="n"/>
      <c r="B1917" s="24" t="n"/>
      <c r="C1917" s="40">
        <f>IF(B1917="","",IFERROR(INDEX(Mitarbeiter!$B$6:$B$205,MATCH(B1917,Mitarbeiter!$A$6:$A$205,0)),"?"))</f>
        <v/>
      </c>
      <c r="D1917" s="41" t="n"/>
      <c r="E1917" s="42" t="n"/>
      <c r="F1917" s="43" t="n"/>
      <c r="G1917" s="44">
        <f>IF(OR(B1917="",F1917=""),"",IFERROR(F1917*INDEX(Mitarbeiter!$F$6:$F$205,MATCH(B1917,Mitarbeiter!$A$6:$A$205,0)),0))</f>
        <v/>
      </c>
      <c r="H1917" s="8">
        <f>IF(B1917="","",IF(ISNA(MATCH(B1917,Mitarbeiter!$A$6:$A$205,0)),"Pers.-Nr. unbekannt",IF(A1917="","Datum fehlt",IF(AND(D1917&lt;&gt;Einstellungen!$C$4,D1917&lt;&gt;Einstellungen!$C$5),"Objekt fehlt",IF(YEAR(A1917)&lt;&gt;Einstellungen!$C$3,"anderes Jahr",IF(A1917&lt;INDEX(Mitarbeiter!$C$6:$C$205,MATCH(B1917,Mitarbeiter!$A$6:$A$205,0)),"vor Eintritt",IF(AND(INDEX(Mitarbeiter!$D$6:$D$205,MATCH(B1917,Mitarbeiter!$A$6:$A$205,0))&lt;&gt;"",A1917&gt;INDEX(Mitarbeiter!$D$6:$D$205,MATCH(B1917,Mitarbeiter!$A$6:$A$205,0))),"nach Austritt","ok")))))))</f>
        <v/>
      </c>
    </row>
    <row r="1918">
      <c r="A1918" s="26" t="n"/>
      <c r="B1918" s="24" t="n"/>
      <c r="C1918" s="40">
        <f>IF(B1918="","",IFERROR(INDEX(Mitarbeiter!$B$6:$B$205,MATCH(B1918,Mitarbeiter!$A$6:$A$205,0)),"?"))</f>
        <v/>
      </c>
      <c r="D1918" s="41" t="n"/>
      <c r="E1918" s="42" t="n"/>
      <c r="F1918" s="43" t="n"/>
      <c r="G1918" s="44">
        <f>IF(OR(B1918="",F1918=""),"",IFERROR(F1918*INDEX(Mitarbeiter!$F$6:$F$205,MATCH(B1918,Mitarbeiter!$A$6:$A$205,0)),0))</f>
        <v/>
      </c>
      <c r="H1918" s="8">
        <f>IF(B1918="","",IF(ISNA(MATCH(B1918,Mitarbeiter!$A$6:$A$205,0)),"Pers.-Nr. unbekannt",IF(A1918="","Datum fehlt",IF(AND(D1918&lt;&gt;Einstellungen!$C$4,D1918&lt;&gt;Einstellungen!$C$5),"Objekt fehlt",IF(YEAR(A1918)&lt;&gt;Einstellungen!$C$3,"anderes Jahr",IF(A1918&lt;INDEX(Mitarbeiter!$C$6:$C$205,MATCH(B1918,Mitarbeiter!$A$6:$A$205,0)),"vor Eintritt",IF(AND(INDEX(Mitarbeiter!$D$6:$D$205,MATCH(B1918,Mitarbeiter!$A$6:$A$205,0))&lt;&gt;"",A1918&gt;INDEX(Mitarbeiter!$D$6:$D$205,MATCH(B1918,Mitarbeiter!$A$6:$A$205,0))),"nach Austritt","ok")))))))</f>
        <v/>
      </c>
    </row>
    <row r="1919">
      <c r="A1919" s="26" t="n"/>
      <c r="B1919" s="24" t="n"/>
      <c r="C1919" s="40">
        <f>IF(B1919="","",IFERROR(INDEX(Mitarbeiter!$B$6:$B$205,MATCH(B1919,Mitarbeiter!$A$6:$A$205,0)),"?"))</f>
        <v/>
      </c>
      <c r="D1919" s="41" t="n"/>
      <c r="E1919" s="42" t="n"/>
      <c r="F1919" s="43" t="n"/>
      <c r="G1919" s="44">
        <f>IF(OR(B1919="",F1919=""),"",IFERROR(F1919*INDEX(Mitarbeiter!$F$6:$F$205,MATCH(B1919,Mitarbeiter!$A$6:$A$205,0)),0))</f>
        <v/>
      </c>
      <c r="H1919" s="8">
        <f>IF(B1919="","",IF(ISNA(MATCH(B1919,Mitarbeiter!$A$6:$A$205,0)),"Pers.-Nr. unbekannt",IF(A1919="","Datum fehlt",IF(AND(D1919&lt;&gt;Einstellungen!$C$4,D1919&lt;&gt;Einstellungen!$C$5),"Objekt fehlt",IF(YEAR(A1919)&lt;&gt;Einstellungen!$C$3,"anderes Jahr",IF(A1919&lt;INDEX(Mitarbeiter!$C$6:$C$205,MATCH(B1919,Mitarbeiter!$A$6:$A$205,0)),"vor Eintritt",IF(AND(INDEX(Mitarbeiter!$D$6:$D$205,MATCH(B1919,Mitarbeiter!$A$6:$A$205,0))&lt;&gt;"",A1919&gt;INDEX(Mitarbeiter!$D$6:$D$205,MATCH(B1919,Mitarbeiter!$A$6:$A$205,0))),"nach Austritt","ok")))))))</f>
        <v/>
      </c>
    </row>
    <row r="1920">
      <c r="A1920" s="26" t="n"/>
      <c r="B1920" s="24" t="n"/>
      <c r="C1920" s="40">
        <f>IF(B1920="","",IFERROR(INDEX(Mitarbeiter!$B$6:$B$205,MATCH(B1920,Mitarbeiter!$A$6:$A$205,0)),"?"))</f>
        <v/>
      </c>
      <c r="D1920" s="41" t="n"/>
      <c r="E1920" s="42" t="n"/>
      <c r="F1920" s="43" t="n"/>
      <c r="G1920" s="44">
        <f>IF(OR(B1920="",F1920=""),"",IFERROR(F1920*INDEX(Mitarbeiter!$F$6:$F$205,MATCH(B1920,Mitarbeiter!$A$6:$A$205,0)),0))</f>
        <v/>
      </c>
      <c r="H1920" s="8">
        <f>IF(B1920="","",IF(ISNA(MATCH(B1920,Mitarbeiter!$A$6:$A$205,0)),"Pers.-Nr. unbekannt",IF(A1920="","Datum fehlt",IF(AND(D1920&lt;&gt;Einstellungen!$C$4,D1920&lt;&gt;Einstellungen!$C$5),"Objekt fehlt",IF(YEAR(A1920)&lt;&gt;Einstellungen!$C$3,"anderes Jahr",IF(A1920&lt;INDEX(Mitarbeiter!$C$6:$C$205,MATCH(B1920,Mitarbeiter!$A$6:$A$205,0)),"vor Eintritt",IF(AND(INDEX(Mitarbeiter!$D$6:$D$205,MATCH(B1920,Mitarbeiter!$A$6:$A$205,0))&lt;&gt;"",A1920&gt;INDEX(Mitarbeiter!$D$6:$D$205,MATCH(B1920,Mitarbeiter!$A$6:$A$205,0))),"nach Austritt","ok")))))))</f>
        <v/>
      </c>
    </row>
    <row r="1921">
      <c r="A1921" s="26" t="n"/>
      <c r="B1921" s="24" t="n"/>
      <c r="C1921" s="40">
        <f>IF(B1921="","",IFERROR(INDEX(Mitarbeiter!$B$6:$B$205,MATCH(B1921,Mitarbeiter!$A$6:$A$205,0)),"?"))</f>
        <v/>
      </c>
      <c r="D1921" s="41" t="n"/>
      <c r="E1921" s="42" t="n"/>
      <c r="F1921" s="43" t="n"/>
      <c r="G1921" s="44">
        <f>IF(OR(B1921="",F1921=""),"",IFERROR(F1921*INDEX(Mitarbeiter!$F$6:$F$205,MATCH(B1921,Mitarbeiter!$A$6:$A$205,0)),0))</f>
        <v/>
      </c>
      <c r="H1921" s="8">
        <f>IF(B1921="","",IF(ISNA(MATCH(B1921,Mitarbeiter!$A$6:$A$205,0)),"Pers.-Nr. unbekannt",IF(A1921="","Datum fehlt",IF(AND(D1921&lt;&gt;Einstellungen!$C$4,D1921&lt;&gt;Einstellungen!$C$5),"Objekt fehlt",IF(YEAR(A1921)&lt;&gt;Einstellungen!$C$3,"anderes Jahr",IF(A1921&lt;INDEX(Mitarbeiter!$C$6:$C$205,MATCH(B1921,Mitarbeiter!$A$6:$A$205,0)),"vor Eintritt",IF(AND(INDEX(Mitarbeiter!$D$6:$D$205,MATCH(B1921,Mitarbeiter!$A$6:$A$205,0))&lt;&gt;"",A1921&gt;INDEX(Mitarbeiter!$D$6:$D$205,MATCH(B1921,Mitarbeiter!$A$6:$A$205,0))),"nach Austritt","ok")))))))</f>
        <v/>
      </c>
    </row>
    <row r="1922">
      <c r="A1922" s="26" t="n"/>
      <c r="B1922" s="24" t="n"/>
      <c r="C1922" s="40">
        <f>IF(B1922="","",IFERROR(INDEX(Mitarbeiter!$B$6:$B$205,MATCH(B1922,Mitarbeiter!$A$6:$A$205,0)),"?"))</f>
        <v/>
      </c>
      <c r="D1922" s="41" t="n"/>
      <c r="E1922" s="42" t="n"/>
      <c r="F1922" s="43" t="n"/>
      <c r="G1922" s="44">
        <f>IF(OR(B1922="",F1922=""),"",IFERROR(F1922*INDEX(Mitarbeiter!$F$6:$F$205,MATCH(B1922,Mitarbeiter!$A$6:$A$205,0)),0))</f>
        <v/>
      </c>
      <c r="H1922" s="8">
        <f>IF(B1922="","",IF(ISNA(MATCH(B1922,Mitarbeiter!$A$6:$A$205,0)),"Pers.-Nr. unbekannt",IF(A1922="","Datum fehlt",IF(AND(D1922&lt;&gt;Einstellungen!$C$4,D1922&lt;&gt;Einstellungen!$C$5),"Objekt fehlt",IF(YEAR(A1922)&lt;&gt;Einstellungen!$C$3,"anderes Jahr",IF(A1922&lt;INDEX(Mitarbeiter!$C$6:$C$205,MATCH(B1922,Mitarbeiter!$A$6:$A$205,0)),"vor Eintritt",IF(AND(INDEX(Mitarbeiter!$D$6:$D$205,MATCH(B1922,Mitarbeiter!$A$6:$A$205,0))&lt;&gt;"",A1922&gt;INDEX(Mitarbeiter!$D$6:$D$205,MATCH(B1922,Mitarbeiter!$A$6:$A$205,0))),"nach Austritt","ok")))))))</f>
        <v/>
      </c>
    </row>
    <row r="1923">
      <c r="A1923" s="26" t="n"/>
      <c r="B1923" s="24" t="n"/>
      <c r="C1923" s="40">
        <f>IF(B1923="","",IFERROR(INDEX(Mitarbeiter!$B$6:$B$205,MATCH(B1923,Mitarbeiter!$A$6:$A$205,0)),"?"))</f>
        <v/>
      </c>
      <c r="D1923" s="41" t="n"/>
      <c r="E1923" s="42" t="n"/>
      <c r="F1923" s="43" t="n"/>
      <c r="G1923" s="44">
        <f>IF(OR(B1923="",F1923=""),"",IFERROR(F1923*INDEX(Mitarbeiter!$F$6:$F$205,MATCH(B1923,Mitarbeiter!$A$6:$A$205,0)),0))</f>
        <v/>
      </c>
      <c r="H1923" s="8">
        <f>IF(B1923="","",IF(ISNA(MATCH(B1923,Mitarbeiter!$A$6:$A$205,0)),"Pers.-Nr. unbekannt",IF(A1923="","Datum fehlt",IF(AND(D1923&lt;&gt;Einstellungen!$C$4,D1923&lt;&gt;Einstellungen!$C$5),"Objekt fehlt",IF(YEAR(A1923)&lt;&gt;Einstellungen!$C$3,"anderes Jahr",IF(A1923&lt;INDEX(Mitarbeiter!$C$6:$C$205,MATCH(B1923,Mitarbeiter!$A$6:$A$205,0)),"vor Eintritt",IF(AND(INDEX(Mitarbeiter!$D$6:$D$205,MATCH(B1923,Mitarbeiter!$A$6:$A$205,0))&lt;&gt;"",A1923&gt;INDEX(Mitarbeiter!$D$6:$D$205,MATCH(B1923,Mitarbeiter!$A$6:$A$205,0))),"nach Austritt","ok")))))))</f>
        <v/>
      </c>
    </row>
    <row r="1924">
      <c r="A1924" s="26" t="n"/>
      <c r="B1924" s="24" t="n"/>
      <c r="C1924" s="40">
        <f>IF(B1924="","",IFERROR(INDEX(Mitarbeiter!$B$6:$B$205,MATCH(B1924,Mitarbeiter!$A$6:$A$205,0)),"?"))</f>
        <v/>
      </c>
      <c r="D1924" s="41" t="n"/>
      <c r="E1924" s="42" t="n"/>
      <c r="F1924" s="43" t="n"/>
      <c r="G1924" s="44">
        <f>IF(OR(B1924="",F1924=""),"",IFERROR(F1924*INDEX(Mitarbeiter!$F$6:$F$205,MATCH(B1924,Mitarbeiter!$A$6:$A$205,0)),0))</f>
        <v/>
      </c>
      <c r="H1924" s="8">
        <f>IF(B1924="","",IF(ISNA(MATCH(B1924,Mitarbeiter!$A$6:$A$205,0)),"Pers.-Nr. unbekannt",IF(A1924="","Datum fehlt",IF(AND(D1924&lt;&gt;Einstellungen!$C$4,D1924&lt;&gt;Einstellungen!$C$5),"Objekt fehlt",IF(YEAR(A1924)&lt;&gt;Einstellungen!$C$3,"anderes Jahr",IF(A1924&lt;INDEX(Mitarbeiter!$C$6:$C$205,MATCH(B1924,Mitarbeiter!$A$6:$A$205,0)),"vor Eintritt",IF(AND(INDEX(Mitarbeiter!$D$6:$D$205,MATCH(B1924,Mitarbeiter!$A$6:$A$205,0))&lt;&gt;"",A1924&gt;INDEX(Mitarbeiter!$D$6:$D$205,MATCH(B1924,Mitarbeiter!$A$6:$A$205,0))),"nach Austritt","ok")))))))</f>
        <v/>
      </c>
    </row>
    <row r="1925">
      <c r="A1925" s="26" t="n"/>
      <c r="B1925" s="24" t="n"/>
      <c r="C1925" s="40">
        <f>IF(B1925="","",IFERROR(INDEX(Mitarbeiter!$B$6:$B$205,MATCH(B1925,Mitarbeiter!$A$6:$A$205,0)),"?"))</f>
        <v/>
      </c>
      <c r="D1925" s="41" t="n"/>
      <c r="E1925" s="42" t="n"/>
      <c r="F1925" s="43" t="n"/>
      <c r="G1925" s="44">
        <f>IF(OR(B1925="",F1925=""),"",IFERROR(F1925*INDEX(Mitarbeiter!$F$6:$F$205,MATCH(B1925,Mitarbeiter!$A$6:$A$205,0)),0))</f>
        <v/>
      </c>
      <c r="H1925" s="8">
        <f>IF(B1925="","",IF(ISNA(MATCH(B1925,Mitarbeiter!$A$6:$A$205,0)),"Pers.-Nr. unbekannt",IF(A1925="","Datum fehlt",IF(AND(D1925&lt;&gt;Einstellungen!$C$4,D1925&lt;&gt;Einstellungen!$C$5),"Objekt fehlt",IF(YEAR(A1925)&lt;&gt;Einstellungen!$C$3,"anderes Jahr",IF(A1925&lt;INDEX(Mitarbeiter!$C$6:$C$205,MATCH(B1925,Mitarbeiter!$A$6:$A$205,0)),"vor Eintritt",IF(AND(INDEX(Mitarbeiter!$D$6:$D$205,MATCH(B1925,Mitarbeiter!$A$6:$A$205,0))&lt;&gt;"",A1925&gt;INDEX(Mitarbeiter!$D$6:$D$205,MATCH(B1925,Mitarbeiter!$A$6:$A$205,0))),"nach Austritt","ok")))))))</f>
        <v/>
      </c>
    </row>
    <row r="1926">
      <c r="A1926" s="26" t="n"/>
      <c r="B1926" s="24" t="n"/>
      <c r="C1926" s="40">
        <f>IF(B1926="","",IFERROR(INDEX(Mitarbeiter!$B$6:$B$205,MATCH(B1926,Mitarbeiter!$A$6:$A$205,0)),"?"))</f>
        <v/>
      </c>
      <c r="D1926" s="41" t="n"/>
      <c r="E1926" s="42" t="n"/>
      <c r="F1926" s="43" t="n"/>
      <c r="G1926" s="44">
        <f>IF(OR(B1926="",F1926=""),"",IFERROR(F1926*INDEX(Mitarbeiter!$F$6:$F$205,MATCH(B1926,Mitarbeiter!$A$6:$A$205,0)),0))</f>
        <v/>
      </c>
      <c r="H1926" s="8">
        <f>IF(B1926="","",IF(ISNA(MATCH(B1926,Mitarbeiter!$A$6:$A$205,0)),"Pers.-Nr. unbekannt",IF(A1926="","Datum fehlt",IF(AND(D1926&lt;&gt;Einstellungen!$C$4,D1926&lt;&gt;Einstellungen!$C$5),"Objekt fehlt",IF(YEAR(A1926)&lt;&gt;Einstellungen!$C$3,"anderes Jahr",IF(A1926&lt;INDEX(Mitarbeiter!$C$6:$C$205,MATCH(B1926,Mitarbeiter!$A$6:$A$205,0)),"vor Eintritt",IF(AND(INDEX(Mitarbeiter!$D$6:$D$205,MATCH(B1926,Mitarbeiter!$A$6:$A$205,0))&lt;&gt;"",A1926&gt;INDEX(Mitarbeiter!$D$6:$D$205,MATCH(B1926,Mitarbeiter!$A$6:$A$205,0))),"nach Austritt","ok")))))))</f>
        <v/>
      </c>
    </row>
    <row r="1927">
      <c r="A1927" s="26" t="n"/>
      <c r="B1927" s="24" t="n"/>
      <c r="C1927" s="40">
        <f>IF(B1927="","",IFERROR(INDEX(Mitarbeiter!$B$6:$B$205,MATCH(B1927,Mitarbeiter!$A$6:$A$205,0)),"?"))</f>
        <v/>
      </c>
      <c r="D1927" s="41" t="n"/>
      <c r="E1927" s="42" t="n"/>
      <c r="F1927" s="43" t="n"/>
      <c r="G1927" s="44">
        <f>IF(OR(B1927="",F1927=""),"",IFERROR(F1927*INDEX(Mitarbeiter!$F$6:$F$205,MATCH(B1927,Mitarbeiter!$A$6:$A$205,0)),0))</f>
        <v/>
      </c>
      <c r="H1927" s="8">
        <f>IF(B1927="","",IF(ISNA(MATCH(B1927,Mitarbeiter!$A$6:$A$205,0)),"Pers.-Nr. unbekannt",IF(A1927="","Datum fehlt",IF(AND(D1927&lt;&gt;Einstellungen!$C$4,D1927&lt;&gt;Einstellungen!$C$5),"Objekt fehlt",IF(YEAR(A1927)&lt;&gt;Einstellungen!$C$3,"anderes Jahr",IF(A1927&lt;INDEX(Mitarbeiter!$C$6:$C$205,MATCH(B1927,Mitarbeiter!$A$6:$A$205,0)),"vor Eintritt",IF(AND(INDEX(Mitarbeiter!$D$6:$D$205,MATCH(B1927,Mitarbeiter!$A$6:$A$205,0))&lt;&gt;"",A1927&gt;INDEX(Mitarbeiter!$D$6:$D$205,MATCH(B1927,Mitarbeiter!$A$6:$A$205,0))),"nach Austritt","ok")))))))</f>
        <v/>
      </c>
    </row>
    <row r="1928">
      <c r="A1928" s="26" t="n"/>
      <c r="B1928" s="24" t="n"/>
      <c r="C1928" s="40">
        <f>IF(B1928="","",IFERROR(INDEX(Mitarbeiter!$B$6:$B$205,MATCH(B1928,Mitarbeiter!$A$6:$A$205,0)),"?"))</f>
        <v/>
      </c>
      <c r="D1928" s="41" t="n"/>
      <c r="E1928" s="42" t="n"/>
      <c r="F1928" s="43" t="n"/>
      <c r="G1928" s="44">
        <f>IF(OR(B1928="",F1928=""),"",IFERROR(F1928*INDEX(Mitarbeiter!$F$6:$F$205,MATCH(B1928,Mitarbeiter!$A$6:$A$205,0)),0))</f>
        <v/>
      </c>
      <c r="H1928" s="8">
        <f>IF(B1928="","",IF(ISNA(MATCH(B1928,Mitarbeiter!$A$6:$A$205,0)),"Pers.-Nr. unbekannt",IF(A1928="","Datum fehlt",IF(AND(D1928&lt;&gt;Einstellungen!$C$4,D1928&lt;&gt;Einstellungen!$C$5),"Objekt fehlt",IF(YEAR(A1928)&lt;&gt;Einstellungen!$C$3,"anderes Jahr",IF(A1928&lt;INDEX(Mitarbeiter!$C$6:$C$205,MATCH(B1928,Mitarbeiter!$A$6:$A$205,0)),"vor Eintritt",IF(AND(INDEX(Mitarbeiter!$D$6:$D$205,MATCH(B1928,Mitarbeiter!$A$6:$A$205,0))&lt;&gt;"",A1928&gt;INDEX(Mitarbeiter!$D$6:$D$205,MATCH(B1928,Mitarbeiter!$A$6:$A$205,0))),"nach Austritt","ok")))))))</f>
        <v/>
      </c>
    </row>
    <row r="1929">
      <c r="A1929" s="26" t="n"/>
      <c r="B1929" s="24" t="n"/>
      <c r="C1929" s="40">
        <f>IF(B1929="","",IFERROR(INDEX(Mitarbeiter!$B$6:$B$205,MATCH(B1929,Mitarbeiter!$A$6:$A$205,0)),"?"))</f>
        <v/>
      </c>
      <c r="D1929" s="41" t="n"/>
      <c r="E1929" s="42" t="n"/>
      <c r="F1929" s="43" t="n"/>
      <c r="G1929" s="44">
        <f>IF(OR(B1929="",F1929=""),"",IFERROR(F1929*INDEX(Mitarbeiter!$F$6:$F$205,MATCH(B1929,Mitarbeiter!$A$6:$A$205,0)),0))</f>
        <v/>
      </c>
      <c r="H1929" s="8">
        <f>IF(B1929="","",IF(ISNA(MATCH(B1929,Mitarbeiter!$A$6:$A$205,0)),"Pers.-Nr. unbekannt",IF(A1929="","Datum fehlt",IF(AND(D1929&lt;&gt;Einstellungen!$C$4,D1929&lt;&gt;Einstellungen!$C$5),"Objekt fehlt",IF(YEAR(A1929)&lt;&gt;Einstellungen!$C$3,"anderes Jahr",IF(A1929&lt;INDEX(Mitarbeiter!$C$6:$C$205,MATCH(B1929,Mitarbeiter!$A$6:$A$205,0)),"vor Eintritt",IF(AND(INDEX(Mitarbeiter!$D$6:$D$205,MATCH(B1929,Mitarbeiter!$A$6:$A$205,0))&lt;&gt;"",A1929&gt;INDEX(Mitarbeiter!$D$6:$D$205,MATCH(B1929,Mitarbeiter!$A$6:$A$205,0))),"nach Austritt","ok")))))))</f>
        <v/>
      </c>
    </row>
    <row r="1930">
      <c r="A1930" s="26" t="n"/>
      <c r="B1930" s="24" t="n"/>
      <c r="C1930" s="40">
        <f>IF(B1930="","",IFERROR(INDEX(Mitarbeiter!$B$6:$B$205,MATCH(B1930,Mitarbeiter!$A$6:$A$205,0)),"?"))</f>
        <v/>
      </c>
      <c r="D1930" s="41" t="n"/>
      <c r="E1930" s="42" t="n"/>
      <c r="F1930" s="43" t="n"/>
      <c r="G1930" s="44">
        <f>IF(OR(B1930="",F1930=""),"",IFERROR(F1930*INDEX(Mitarbeiter!$F$6:$F$205,MATCH(B1930,Mitarbeiter!$A$6:$A$205,0)),0))</f>
        <v/>
      </c>
      <c r="H1930" s="8">
        <f>IF(B1930="","",IF(ISNA(MATCH(B1930,Mitarbeiter!$A$6:$A$205,0)),"Pers.-Nr. unbekannt",IF(A1930="","Datum fehlt",IF(AND(D1930&lt;&gt;Einstellungen!$C$4,D1930&lt;&gt;Einstellungen!$C$5),"Objekt fehlt",IF(YEAR(A1930)&lt;&gt;Einstellungen!$C$3,"anderes Jahr",IF(A1930&lt;INDEX(Mitarbeiter!$C$6:$C$205,MATCH(B1930,Mitarbeiter!$A$6:$A$205,0)),"vor Eintritt",IF(AND(INDEX(Mitarbeiter!$D$6:$D$205,MATCH(B1930,Mitarbeiter!$A$6:$A$205,0))&lt;&gt;"",A1930&gt;INDEX(Mitarbeiter!$D$6:$D$205,MATCH(B1930,Mitarbeiter!$A$6:$A$205,0))),"nach Austritt","ok")))))))</f>
        <v/>
      </c>
    </row>
    <row r="1931">
      <c r="A1931" s="26" t="n"/>
      <c r="B1931" s="24" t="n"/>
      <c r="C1931" s="40">
        <f>IF(B1931="","",IFERROR(INDEX(Mitarbeiter!$B$6:$B$205,MATCH(B1931,Mitarbeiter!$A$6:$A$205,0)),"?"))</f>
        <v/>
      </c>
      <c r="D1931" s="41" t="n"/>
      <c r="E1931" s="42" t="n"/>
      <c r="F1931" s="43" t="n"/>
      <c r="G1931" s="44">
        <f>IF(OR(B1931="",F1931=""),"",IFERROR(F1931*INDEX(Mitarbeiter!$F$6:$F$205,MATCH(B1931,Mitarbeiter!$A$6:$A$205,0)),0))</f>
        <v/>
      </c>
      <c r="H1931" s="8">
        <f>IF(B1931="","",IF(ISNA(MATCH(B1931,Mitarbeiter!$A$6:$A$205,0)),"Pers.-Nr. unbekannt",IF(A1931="","Datum fehlt",IF(AND(D1931&lt;&gt;Einstellungen!$C$4,D1931&lt;&gt;Einstellungen!$C$5),"Objekt fehlt",IF(YEAR(A1931)&lt;&gt;Einstellungen!$C$3,"anderes Jahr",IF(A1931&lt;INDEX(Mitarbeiter!$C$6:$C$205,MATCH(B1931,Mitarbeiter!$A$6:$A$205,0)),"vor Eintritt",IF(AND(INDEX(Mitarbeiter!$D$6:$D$205,MATCH(B1931,Mitarbeiter!$A$6:$A$205,0))&lt;&gt;"",A1931&gt;INDEX(Mitarbeiter!$D$6:$D$205,MATCH(B1931,Mitarbeiter!$A$6:$A$205,0))),"nach Austritt","ok")))))))</f>
        <v/>
      </c>
    </row>
    <row r="1932">
      <c r="A1932" s="26" t="n"/>
      <c r="B1932" s="24" t="n"/>
      <c r="C1932" s="40">
        <f>IF(B1932="","",IFERROR(INDEX(Mitarbeiter!$B$6:$B$205,MATCH(B1932,Mitarbeiter!$A$6:$A$205,0)),"?"))</f>
        <v/>
      </c>
      <c r="D1932" s="41" t="n"/>
      <c r="E1932" s="42" t="n"/>
      <c r="F1932" s="43" t="n"/>
      <c r="G1932" s="44">
        <f>IF(OR(B1932="",F1932=""),"",IFERROR(F1932*INDEX(Mitarbeiter!$F$6:$F$205,MATCH(B1932,Mitarbeiter!$A$6:$A$205,0)),0))</f>
        <v/>
      </c>
      <c r="H1932" s="8">
        <f>IF(B1932="","",IF(ISNA(MATCH(B1932,Mitarbeiter!$A$6:$A$205,0)),"Pers.-Nr. unbekannt",IF(A1932="","Datum fehlt",IF(AND(D1932&lt;&gt;Einstellungen!$C$4,D1932&lt;&gt;Einstellungen!$C$5),"Objekt fehlt",IF(YEAR(A1932)&lt;&gt;Einstellungen!$C$3,"anderes Jahr",IF(A1932&lt;INDEX(Mitarbeiter!$C$6:$C$205,MATCH(B1932,Mitarbeiter!$A$6:$A$205,0)),"vor Eintritt",IF(AND(INDEX(Mitarbeiter!$D$6:$D$205,MATCH(B1932,Mitarbeiter!$A$6:$A$205,0))&lt;&gt;"",A1932&gt;INDEX(Mitarbeiter!$D$6:$D$205,MATCH(B1932,Mitarbeiter!$A$6:$A$205,0))),"nach Austritt","ok")))))))</f>
        <v/>
      </c>
    </row>
    <row r="1933">
      <c r="A1933" s="26" t="n"/>
      <c r="B1933" s="24" t="n"/>
      <c r="C1933" s="40">
        <f>IF(B1933="","",IFERROR(INDEX(Mitarbeiter!$B$6:$B$205,MATCH(B1933,Mitarbeiter!$A$6:$A$205,0)),"?"))</f>
        <v/>
      </c>
      <c r="D1933" s="41" t="n"/>
      <c r="E1933" s="42" t="n"/>
      <c r="F1933" s="43" t="n"/>
      <c r="G1933" s="44">
        <f>IF(OR(B1933="",F1933=""),"",IFERROR(F1933*INDEX(Mitarbeiter!$F$6:$F$205,MATCH(B1933,Mitarbeiter!$A$6:$A$205,0)),0))</f>
        <v/>
      </c>
      <c r="H1933" s="8">
        <f>IF(B1933="","",IF(ISNA(MATCH(B1933,Mitarbeiter!$A$6:$A$205,0)),"Pers.-Nr. unbekannt",IF(A1933="","Datum fehlt",IF(AND(D1933&lt;&gt;Einstellungen!$C$4,D1933&lt;&gt;Einstellungen!$C$5),"Objekt fehlt",IF(YEAR(A1933)&lt;&gt;Einstellungen!$C$3,"anderes Jahr",IF(A1933&lt;INDEX(Mitarbeiter!$C$6:$C$205,MATCH(B1933,Mitarbeiter!$A$6:$A$205,0)),"vor Eintritt",IF(AND(INDEX(Mitarbeiter!$D$6:$D$205,MATCH(B1933,Mitarbeiter!$A$6:$A$205,0))&lt;&gt;"",A1933&gt;INDEX(Mitarbeiter!$D$6:$D$205,MATCH(B1933,Mitarbeiter!$A$6:$A$205,0))),"nach Austritt","ok")))))))</f>
        <v/>
      </c>
    </row>
    <row r="1934">
      <c r="A1934" s="26" t="n"/>
      <c r="B1934" s="24" t="n"/>
      <c r="C1934" s="40">
        <f>IF(B1934="","",IFERROR(INDEX(Mitarbeiter!$B$6:$B$205,MATCH(B1934,Mitarbeiter!$A$6:$A$205,0)),"?"))</f>
        <v/>
      </c>
      <c r="D1934" s="41" t="n"/>
      <c r="E1934" s="42" t="n"/>
      <c r="F1934" s="43" t="n"/>
      <c r="G1934" s="44">
        <f>IF(OR(B1934="",F1934=""),"",IFERROR(F1934*INDEX(Mitarbeiter!$F$6:$F$205,MATCH(B1934,Mitarbeiter!$A$6:$A$205,0)),0))</f>
        <v/>
      </c>
      <c r="H1934" s="8">
        <f>IF(B1934="","",IF(ISNA(MATCH(B1934,Mitarbeiter!$A$6:$A$205,0)),"Pers.-Nr. unbekannt",IF(A1934="","Datum fehlt",IF(AND(D1934&lt;&gt;Einstellungen!$C$4,D1934&lt;&gt;Einstellungen!$C$5),"Objekt fehlt",IF(YEAR(A1934)&lt;&gt;Einstellungen!$C$3,"anderes Jahr",IF(A1934&lt;INDEX(Mitarbeiter!$C$6:$C$205,MATCH(B1934,Mitarbeiter!$A$6:$A$205,0)),"vor Eintritt",IF(AND(INDEX(Mitarbeiter!$D$6:$D$205,MATCH(B1934,Mitarbeiter!$A$6:$A$205,0))&lt;&gt;"",A1934&gt;INDEX(Mitarbeiter!$D$6:$D$205,MATCH(B1934,Mitarbeiter!$A$6:$A$205,0))),"nach Austritt","ok")))))))</f>
        <v/>
      </c>
    </row>
    <row r="1935">
      <c r="A1935" s="26" t="n"/>
      <c r="B1935" s="24" t="n"/>
      <c r="C1935" s="40">
        <f>IF(B1935="","",IFERROR(INDEX(Mitarbeiter!$B$6:$B$205,MATCH(B1935,Mitarbeiter!$A$6:$A$205,0)),"?"))</f>
        <v/>
      </c>
      <c r="D1935" s="41" t="n"/>
      <c r="E1935" s="42" t="n"/>
      <c r="F1935" s="43" t="n"/>
      <c r="G1935" s="44">
        <f>IF(OR(B1935="",F1935=""),"",IFERROR(F1935*INDEX(Mitarbeiter!$F$6:$F$205,MATCH(B1935,Mitarbeiter!$A$6:$A$205,0)),0))</f>
        <v/>
      </c>
      <c r="H1935" s="8">
        <f>IF(B1935="","",IF(ISNA(MATCH(B1935,Mitarbeiter!$A$6:$A$205,0)),"Pers.-Nr. unbekannt",IF(A1935="","Datum fehlt",IF(AND(D1935&lt;&gt;Einstellungen!$C$4,D1935&lt;&gt;Einstellungen!$C$5),"Objekt fehlt",IF(YEAR(A1935)&lt;&gt;Einstellungen!$C$3,"anderes Jahr",IF(A1935&lt;INDEX(Mitarbeiter!$C$6:$C$205,MATCH(B1935,Mitarbeiter!$A$6:$A$205,0)),"vor Eintritt",IF(AND(INDEX(Mitarbeiter!$D$6:$D$205,MATCH(B1935,Mitarbeiter!$A$6:$A$205,0))&lt;&gt;"",A1935&gt;INDEX(Mitarbeiter!$D$6:$D$205,MATCH(B1935,Mitarbeiter!$A$6:$A$205,0))),"nach Austritt","ok")))))))</f>
        <v/>
      </c>
    </row>
    <row r="1936">
      <c r="A1936" s="26" t="n"/>
      <c r="B1936" s="24" t="n"/>
      <c r="C1936" s="40">
        <f>IF(B1936="","",IFERROR(INDEX(Mitarbeiter!$B$6:$B$205,MATCH(B1936,Mitarbeiter!$A$6:$A$205,0)),"?"))</f>
        <v/>
      </c>
      <c r="D1936" s="41" t="n"/>
      <c r="E1936" s="42" t="n"/>
      <c r="F1936" s="43" t="n"/>
      <c r="G1936" s="44">
        <f>IF(OR(B1936="",F1936=""),"",IFERROR(F1936*INDEX(Mitarbeiter!$F$6:$F$205,MATCH(B1936,Mitarbeiter!$A$6:$A$205,0)),0))</f>
        <v/>
      </c>
      <c r="H1936" s="8">
        <f>IF(B1936="","",IF(ISNA(MATCH(B1936,Mitarbeiter!$A$6:$A$205,0)),"Pers.-Nr. unbekannt",IF(A1936="","Datum fehlt",IF(AND(D1936&lt;&gt;Einstellungen!$C$4,D1936&lt;&gt;Einstellungen!$C$5),"Objekt fehlt",IF(YEAR(A1936)&lt;&gt;Einstellungen!$C$3,"anderes Jahr",IF(A1936&lt;INDEX(Mitarbeiter!$C$6:$C$205,MATCH(B1936,Mitarbeiter!$A$6:$A$205,0)),"vor Eintritt",IF(AND(INDEX(Mitarbeiter!$D$6:$D$205,MATCH(B1936,Mitarbeiter!$A$6:$A$205,0))&lt;&gt;"",A1936&gt;INDEX(Mitarbeiter!$D$6:$D$205,MATCH(B1936,Mitarbeiter!$A$6:$A$205,0))),"nach Austritt","ok")))))))</f>
        <v/>
      </c>
    </row>
    <row r="1937">
      <c r="A1937" s="26" t="n"/>
      <c r="B1937" s="24" t="n"/>
      <c r="C1937" s="40">
        <f>IF(B1937="","",IFERROR(INDEX(Mitarbeiter!$B$6:$B$205,MATCH(B1937,Mitarbeiter!$A$6:$A$205,0)),"?"))</f>
        <v/>
      </c>
      <c r="D1937" s="41" t="n"/>
      <c r="E1937" s="42" t="n"/>
      <c r="F1937" s="43" t="n"/>
      <c r="G1937" s="44">
        <f>IF(OR(B1937="",F1937=""),"",IFERROR(F1937*INDEX(Mitarbeiter!$F$6:$F$205,MATCH(B1937,Mitarbeiter!$A$6:$A$205,0)),0))</f>
        <v/>
      </c>
      <c r="H1937" s="8">
        <f>IF(B1937="","",IF(ISNA(MATCH(B1937,Mitarbeiter!$A$6:$A$205,0)),"Pers.-Nr. unbekannt",IF(A1937="","Datum fehlt",IF(AND(D1937&lt;&gt;Einstellungen!$C$4,D1937&lt;&gt;Einstellungen!$C$5),"Objekt fehlt",IF(YEAR(A1937)&lt;&gt;Einstellungen!$C$3,"anderes Jahr",IF(A1937&lt;INDEX(Mitarbeiter!$C$6:$C$205,MATCH(B1937,Mitarbeiter!$A$6:$A$205,0)),"vor Eintritt",IF(AND(INDEX(Mitarbeiter!$D$6:$D$205,MATCH(B1937,Mitarbeiter!$A$6:$A$205,0))&lt;&gt;"",A1937&gt;INDEX(Mitarbeiter!$D$6:$D$205,MATCH(B1937,Mitarbeiter!$A$6:$A$205,0))),"nach Austritt","ok")))))))</f>
        <v/>
      </c>
    </row>
    <row r="1938">
      <c r="A1938" s="26" t="n"/>
      <c r="B1938" s="24" t="n"/>
      <c r="C1938" s="40">
        <f>IF(B1938="","",IFERROR(INDEX(Mitarbeiter!$B$6:$B$205,MATCH(B1938,Mitarbeiter!$A$6:$A$205,0)),"?"))</f>
        <v/>
      </c>
      <c r="D1938" s="41" t="n"/>
      <c r="E1938" s="42" t="n"/>
      <c r="F1938" s="43" t="n"/>
      <c r="G1938" s="44">
        <f>IF(OR(B1938="",F1938=""),"",IFERROR(F1938*INDEX(Mitarbeiter!$F$6:$F$205,MATCH(B1938,Mitarbeiter!$A$6:$A$205,0)),0))</f>
        <v/>
      </c>
      <c r="H1938" s="8">
        <f>IF(B1938="","",IF(ISNA(MATCH(B1938,Mitarbeiter!$A$6:$A$205,0)),"Pers.-Nr. unbekannt",IF(A1938="","Datum fehlt",IF(AND(D1938&lt;&gt;Einstellungen!$C$4,D1938&lt;&gt;Einstellungen!$C$5),"Objekt fehlt",IF(YEAR(A1938)&lt;&gt;Einstellungen!$C$3,"anderes Jahr",IF(A1938&lt;INDEX(Mitarbeiter!$C$6:$C$205,MATCH(B1938,Mitarbeiter!$A$6:$A$205,0)),"vor Eintritt",IF(AND(INDEX(Mitarbeiter!$D$6:$D$205,MATCH(B1938,Mitarbeiter!$A$6:$A$205,0))&lt;&gt;"",A1938&gt;INDEX(Mitarbeiter!$D$6:$D$205,MATCH(B1938,Mitarbeiter!$A$6:$A$205,0))),"nach Austritt","ok")))))))</f>
        <v/>
      </c>
    </row>
    <row r="1939">
      <c r="A1939" s="26" t="n"/>
      <c r="B1939" s="24" t="n"/>
      <c r="C1939" s="40">
        <f>IF(B1939="","",IFERROR(INDEX(Mitarbeiter!$B$6:$B$205,MATCH(B1939,Mitarbeiter!$A$6:$A$205,0)),"?"))</f>
        <v/>
      </c>
      <c r="D1939" s="41" t="n"/>
      <c r="E1939" s="42" t="n"/>
      <c r="F1939" s="43" t="n"/>
      <c r="G1939" s="44">
        <f>IF(OR(B1939="",F1939=""),"",IFERROR(F1939*INDEX(Mitarbeiter!$F$6:$F$205,MATCH(B1939,Mitarbeiter!$A$6:$A$205,0)),0))</f>
        <v/>
      </c>
      <c r="H1939" s="8">
        <f>IF(B1939="","",IF(ISNA(MATCH(B1939,Mitarbeiter!$A$6:$A$205,0)),"Pers.-Nr. unbekannt",IF(A1939="","Datum fehlt",IF(AND(D1939&lt;&gt;Einstellungen!$C$4,D1939&lt;&gt;Einstellungen!$C$5),"Objekt fehlt",IF(YEAR(A1939)&lt;&gt;Einstellungen!$C$3,"anderes Jahr",IF(A1939&lt;INDEX(Mitarbeiter!$C$6:$C$205,MATCH(B1939,Mitarbeiter!$A$6:$A$205,0)),"vor Eintritt",IF(AND(INDEX(Mitarbeiter!$D$6:$D$205,MATCH(B1939,Mitarbeiter!$A$6:$A$205,0))&lt;&gt;"",A1939&gt;INDEX(Mitarbeiter!$D$6:$D$205,MATCH(B1939,Mitarbeiter!$A$6:$A$205,0))),"nach Austritt","ok")))))))</f>
        <v/>
      </c>
    </row>
    <row r="1940">
      <c r="A1940" s="26" t="n"/>
      <c r="B1940" s="24" t="n"/>
      <c r="C1940" s="40">
        <f>IF(B1940="","",IFERROR(INDEX(Mitarbeiter!$B$6:$B$205,MATCH(B1940,Mitarbeiter!$A$6:$A$205,0)),"?"))</f>
        <v/>
      </c>
      <c r="D1940" s="41" t="n"/>
      <c r="E1940" s="42" t="n"/>
      <c r="F1940" s="43" t="n"/>
      <c r="G1940" s="44">
        <f>IF(OR(B1940="",F1940=""),"",IFERROR(F1940*INDEX(Mitarbeiter!$F$6:$F$205,MATCH(B1940,Mitarbeiter!$A$6:$A$205,0)),0))</f>
        <v/>
      </c>
      <c r="H1940" s="8">
        <f>IF(B1940="","",IF(ISNA(MATCH(B1940,Mitarbeiter!$A$6:$A$205,0)),"Pers.-Nr. unbekannt",IF(A1940="","Datum fehlt",IF(AND(D1940&lt;&gt;Einstellungen!$C$4,D1940&lt;&gt;Einstellungen!$C$5),"Objekt fehlt",IF(YEAR(A1940)&lt;&gt;Einstellungen!$C$3,"anderes Jahr",IF(A1940&lt;INDEX(Mitarbeiter!$C$6:$C$205,MATCH(B1940,Mitarbeiter!$A$6:$A$205,0)),"vor Eintritt",IF(AND(INDEX(Mitarbeiter!$D$6:$D$205,MATCH(B1940,Mitarbeiter!$A$6:$A$205,0))&lt;&gt;"",A1940&gt;INDEX(Mitarbeiter!$D$6:$D$205,MATCH(B1940,Mitarbeiter!$A$6:$A$205,0))),"nach Austritt","ok")))))))</f>
        <v/>
      </c>
    </row>
    <row r="1941">
      <c r="A1941" s="26" t="n"/>
      <c r="B1941" s="24" t="n"/>
      <c r="C1941" s="40">
        <f>IF(B1941="","",IFERROR(INDEX(Mitarbeiter!$B$6:$B$205,MATCH(B1941,Mitarbeiter!$A$6:$A$205,0)),"?"))</f>
        <v/>
      </c>
      <c r="D1941" s="41" t="n"/>
      <c r="E1941" s="42" t="n"/>
      <c r="F1941" s="43" t="n"/>
      <c r="G1941" s="44">
        <f>IF(OR(B1941="",F1941=""),"",IFERROR(F1941*INDEX(Mitarbeiter!$F$6:$F$205,MATCH(B1941,Mitarbeiter!$A$6:$A$205,0)),0))</f>
        <v/>
      </c>
      <c r="H1941" s="8">
        <f>IF(B1941="","",IF(ISNA(MATCH(B1941,Mitarbeiter!$A$6:$A$205,0)),"Pers.-Nr. unbekannt",IF(A1941="","Datum fehlt",IF(AND(D1941&lt;&gt;Einstellungen!$C$4,D1941&lt;&gt;Einstellungen!$C$5),"Objekt fehlt",IF(YEAR(A1941)&lt;&gt;Einstellungen!$C$3,"anderes Jahr",IF(A1941&lt;INDEX(Mitarbeiter!$C$6:$C$205,MATCH(B1941,Mitarbeiter!$A$6:$A$205,0)),"vor Eintritt",IF(AND(INDEX(Mitarbeiter!$D$6:$D$205,MATCH(B1941,Mitarbeiter!$A$6:$A$205,0))&lt;&gt;"",A1941&gt;INDEX(Mitarbeiter!$D$6:$D$205,MATCH(B1941,Mitarbeiter!$A$6:$A$205,0))),"nach Austritt","ok")))))))</f>
        <v/>
      </c>
    </row>
    <row r="1942">
      <c r="A1942" s="26" t="n"/>
      <c r="B1942" s="24" t="n"/>
      <c r="C1942" s="40">
        <f>IF(B1942="","",IFERROR(INDEX(Mitarbeiter!$B$6:$B$205,MATCH(B1942,Mitarbeiter!$A$6:$A$205,0)),"?"))</f>
        <v/>
      </c>
      <c r="D1942" s="41" t="n"/>
      <c r="E1942" s="42" t="n"/>
      <c r="F1942" s="43" t="n"/>
      <c r="G1942" s="44">
        <f>IF(OR(B1942="",F1942=""),"",IFERROR(F1942*INDEX(Mitarbeiter!$F$6:$F$205,MATCH(B1942,Mitarbeiter!$A$6:$A$205,0)),0))</f>
        <v/>
      </c>
      <c r="H1942" s="8">
        <f>IF(B1942="","",IF(ISNA(MATCH(B1942,Mitarbeiter!$A$6:$A$205,0)),"Pers.-Nr. unbekannt",IF(A1942="","Datum fehlt",IF(AND(D1942&lt;&gt;Einstellungen!$C$4,D1942&lt;&gt;Einstellungen!$C$5),"Objekt fehlt",IF(YEAR(A1942)&lt;&gt;Einstellungen!$C$3,"anderes Jahr",IF(A1942&lt;INDEX(Mitarbeiter!$C$6:$C$205,MATCH(B1942,Mitarbeiter!$A$6:$A$205,0)),"vor Eintritt",IF(AND(INDEX(Mitarbeiter!$D$6:$D$205,MATCH(B1942,Mitarbeiter!$A$6:$A$205,0))&lt;&gt;"",A1942&gt;INDEX(Mitarbeiter!$D$6:$D$205,MATCH(B1942,Mitarbeiter!$A$6:$A$205,0))),"nach Austritt","ok")))))))</f>
        <v/>
      </c>
    </row>
    <row r="1943">
      <c r="A1943" s="26" t="n"/>
      <c r="B1943" s="24" t="n"/>
      <c r="C1943" s="40">
        <f>IF(B1943="","",IFERROR(INDEX(Mitarbeiter!$B$6:$B$205,MATCH(B1943,Mitarbeiter!$A$6:$A$205,0)),"?"))</f>
        <v/>
      </c>
      <c r="D1943" s="41" t="n"/>
      <c r="E1943" s="42" t="n"/>
      <c r="F1943" s="43" t="n"/>
      <c r="G1943" s="44">
        <f>IF(OR(B1943="",F1943=""),"",IFERROR(F1943*INDEX(Mitarbeiter!$F$6:$F$205,MATCH(B1943,Mitarbeiter!$A$6:$A$205,0)),0))</f>
        <v/>
      </c>
      <c r="H1943" s="8">
        <f>IF(B1943="","",IF(ISNA(MATCH(B1943,Mitarbeiter!$A$6:$A$205,0)),"Pers.-Nr. unbekannt",IF(A1943="","Datum fehlt",IF(AND(D1943&lt;&gt;Einstellungen!$C$4,D1943&lt;&gt;Einstellungen!$C$5),"Objekt fehlt",IF(YEAR(A1943)&lt;&gt;Einstellungen!$C$3,"anderes Jahr",IF(A1943&lt;INDEX(Mitarbeiter!$C$6:$C$205,MATCH(B1943,Mitarbeiter!$A$6:$A$205,0)),"vor Eintritt",IF(AND(INDEX(Mitarbeiter!$D$6:$D$205,MATCH(B1943,Mitarbeiter!$A$6:$A$205,0))&lt;&gt;"",A1943&gt;INDEX(Mitarbeiter!$D$6:$D$205,MATCH(B1943,Mitarbeiter!$A$6:$A$205,0))),"nach Austritt","ok")))))))</f>
        <v/>
      </c>
    </row>
    <row r="1944">
      <c r="A1944" s="26" t="n"/>
      <c r="B1944" s="24" t="n"/>
      <c r="C1944" s="40">
        <f>IF(B1944="","",IFERROR(INDEX(Mitarbeiter!$B$6:$B$205,MATCH(B1944,Mitarbeiter!$A$6:$A$205,0)),"?"))</f>
        <v/>
      </c>
      <c r="D1944" s="41" t="n"/>
      <c r="E1944" s="42" t="n"/>
      <c r="F1944" s="43" t="n"/>
      <c r="G1944" s="44">
        <f>IF(OR(B1944="",F1944=""),"",IFERROR(F1944*INDEX(Mitarbeiter!$F$6:$F$205,MATCH(B1944,Mitarbeiter!$A$6:$A$205,0)),0))</f>
        <v/>
      </c>
      <c r="H1944" s="8">
        <f>IF(B1944="","",IF(ISNA(MATCH(B1944,Mitarbeiter!$A$6:$A$205,0)),"Pers.-Nr. unbekannt",IF(A1944="","Datum fehlt",IF(AND(D1944&lt;&gt;Einstellungen!$C$4,D1944&lt;&gt;Einstellungen!$C$5),"Objekt fehlt",IF(YEAR(A1944)&lt;&gt;Einstellungen!$C$3,"anderes Jahr",IF(A1944&lt;INDEX(Mitarbeiter!$C$6:$C$205,MATCH(B1944,Mitarbeiter!$A$6:$A$205,0)),"vor Eintritt",IF(AND(INDEX(Mitarbeiter!$D$6:$D$205,MATCH(B1944,Mitarbeiter!$A$6:$A$205,0))&lt;&gt;"",A1944&gt;INDEX(Mitarbeiter!$D$6:$D$205,MATCH(B1944,Mitarbeiter!$A$6:$A$205,0))),"nach Austritt","ok")))))))</f>
        <v/>
      </c>
    </row>
    <row r="1945">
      <c r="A1945" s="26" t="n"/>
      <c r="B1945" s="24" t="n"/>
      <c r="C1945" s="40">
        <f>IF(B1945="","",IFERROR(INDEX(Mitarbeiter!$B$6:$B$205,MATCH(B1945,Mitarbeiter!$A$6:$A$205,0)),"?"))</f>
        <v/>
      </c>
      <c r="D1945" s="41" t="n"/>
      <c r="E1945" s="42" t="n"/>
      <c r="F1945" s="43" t="n"/>
      <c r="G1945" s="44">
        <f>IF(OR(B1945="",F1945=""),"",IFERROR(F1945*INDEX(Mitarbeiter!$F$6:$F$205,MATCH(B1945,Mitarbeiter!$A$6:$A$205,0)),0))</f>
        <v/>
      </c>
      <c r="H1945" s="8">
        <f>IF(B1945="","",IF(ISNA(MATCH(B1945,Mitarbeiter!$A$6:$A$205,0)),"Pers.-Nr. unbekannt",IF(A1945="","Datum fehlt",IF(AND(D1945&lt;&gt;Einstellungen!$C$4,D1945&lt;&gt;Einstellungen!$C$5),"Objekt fehlt",IF(YEAR(A1945)&lt;&gt;Einstellungen!$C$3,"anderes Jahr",IF(A1945&lt;INDEX(Mitarbeiter!$C$6:$C$205,MATCH(B1945,Mitarbeiter!$A$6:$A$205,0)),"vor Eintritt",IF(AND(INDEX(Mitarbeiter!$D$6:$D$205,MATCH(B1945,Mitarbeiter!$A$6:$A$205,0))&lt;&gt;"",A1945&gt;INDEX(Mitarbeiter!$D$6:$D$205,MATCH(B1945,Mitarbeiter!$A$6:$A$205,0))),"nach Austritt","ok")))))))</f>
        <v/>
      </c>
    </row>
    <row r="1946">
      <c r="A1946" s="26" t="n"/>
      <c r="B1946" s="24" t="n"/>
      <c r="C1946" s="40">
        <f>IF(B1946="","",IFERROR(INDEX(Mitarbeiter!$B$6:$B$205,MATCH(B1946,Mitarbeiter!$A$6:$A$205,0)),"?"))</f>
        <v/>
      </c>
      <c r="D1946" s="41" t="n"/>
      <c r="E1946" s="42" t="n"/>
      <c r="F1946" s="43" t="n"/>
      <c r="G1946" s="44">
        <f>IF(OR(B1946="",F1946=""),"",IFERROR(F1946*INDEX(Mitarbeiter!$F$6:$F$205,MATCH(B1946,Mitarbeiter!$A$6:$A$205,0)),0))</f>
        <v/>
      </c>
      <c r="H1946" s="8">
        <f>IF(B1946="","",IF(ISNA(MATCH(B1946,Mitarbeiter!$A$6:$A$205,0)),"Pers.-Nr. unbekannt",IF(A1946="","Datum fehlt",IF(AND(D1946&lt;&gt;Einstellungen!$C$4,D1946&lt;&gt;Einstellungen!$C$5),"Objekt fehlt",IF(YEAR(A1946)&lt;&gt;Einstellungen!$C$3,"anderes Jahr",IF(A1946&lt;INDEX(Mitarbeiter!$C$6:$C$205,MATCH(B1946,Mitarbeiter!$A$6:$A$205,0)),"vor Eintritt",IF(AND(INDEX(Mitarbeiter!$D$6:$D$205,MATCH(B1946,Mitarbeiter!$A$6:$A$205,0))&lt;&gt;"",A1946&gt;INDEX(Mitarbeiter!$D$6:$D$205,MATCH(B1946,Mitarbeiter!$A$6:$A$205,0))),"nach Austritt","ok")))))))</f>
        <v/>
      </c>
    </row>
    <row r="1947">
      <c r="A1947" s="26" t="n"/>
      <c r="B1947" s="24" t="n"/>
      <c r="C1947" s="40">
        <f>IF(B1947="","",IFERROR(INDEX(Mitarbeiter!$B$6:$B$205,MATCH(B1947,Mitarbeiter!$A$6:$A$205,0)),"?"))</f>
        <v/>
      </c>
      <c r="D1947" s="41" t="n"/>
      <c r="E1947" s="42" t="n"/>
      <c r="F1947" s="43" t="n"/>
      <c r="G1947" s="44">
        <f>IF(OR(B1947="",F1947=""),"",IFERROR(F1947*INDEX(Mitarbeiter!$F$6:$F$205,MATCH(B1947,Mitarbeiter!$A$6:$A$205,0)),0))</f>
        <v/>
      </c>
      <c r="H1947" s="8">
        <f>IF(B1947="","",IF(ISNA(MATCH(B1947,Mitarbeiter!$A$6:$A$205,0)),"Pers.-Nr. unbekannt",IF(A1947="","Datum fehlt",IF(AND(D1947&lt;&gt;Einstellungen!$C$4,D1947&lt;&gt;Einstellungen!$C$5),"Objekt fehlt",IF(YEAR(A1947)&lt;&gt;Einstellungen!$C$3,"anderes Jahr",IF(A1947&lt;INDEX(Mitarbeiter!$C$6:$C$205,MATCH(B1947,Mitarbeiter!$A$6:$A$205,0)),"vor Eintritt",IF(AND(INDEX(Mitarbeiter!$D$6:$D$205,MATCH(B1947,Mitarbeiter!$A$6:$A$205,0))&lt;&gt;"",A1947&gt;INDEX(Mitarbeiter!$D$6:$D$205,MATCH(B1947,Mitarbeiter!$A$6:$A$205,0))),"nach Austritt","ok")))))))</f>
        <v/>
      </c>
    </row>
    <row r="1948">
      <c r="A1948" s="26" t="n"/>
      <c r="B1948" s="24" t="n"/>
      <c r="C1948" s="40">
        <f>IF(B1948="","",IFERROR(INDEX(Mitarbeiter!$B$6:$B$205,MATCH(B1948,Mitarbeiter!$A$6:$A$205,0)),"?"))</f>
        <v/>
      </c>
      <c r="D1948" s="41" t="n"/>
      <c r="E1948" s="42" t="n"/>
      <c r="F1948" s="43" t="n"/>
      <c r="G1948" s="44">
        <f>IF(OR(B1948="",F1948=""),"",IFERROR(F1948*INDEX(Mitarbeiter!$F$6:$F$205,MATCH(B1948,Mitarbeiter!$A$6:$A$205,0)),0))</f>
        <v/>
      </c>
      <c r="H1948" s="8">
        <f>IF(B1948="","",IF(ISNA(MATCH(B1948,Mitarbeiter!$A$6:$A$205,0)),"Pers.-Nr. unbekannt",IF(A1948="","Datum fehlt",IF(AND(D1948&lt;&gt;Einstellungen!$C$4,D1948&lt;&gt;Einstellungen!$C$5),"Objekt fehlt",IF(YEAR(A1948)&lt;&gt;Einstellungen!$C$3,"anderes Jahr",IF(A1948&lt;INDEX(Mitarbeiter!$C$6:$C$205,MATCH(B1948,Mitarbeiter!$A$6:$A$205,0)),"vor Eintritt",IF(AND(INDEX(Mitarbeiter!$D$6:$D$205,MATCH(B1948,Mitarbeiter!$A$6:$A$205,0))&lt;&gt;"",A1948&gt;INDEX(Mitarbeiter!$D$6:$D$205,MATCH(B1948,Mitarbeiter!$A$6:$A$205,0))),"nach Austritt","ok")))))))</f>
        <v/>
      </c>
    </row>
    <row r="1949">
      <c r="A1949" s="26" t="n"/>
      <c r="B1949" s="24" t="n"/>
      <c r="C1949" s="40">
        <f>IF(B1949="","",IFERROR(INDEX(Mitarbeiter!$B$6:$B$205,MATCH(B1949,Mitarbeiter!$A$6:$A$205,0)),"?"))</f>
        <v/>
      </c>
      <c r="D1949" s="41" t="n"/>
      <c r="E1949" s="42" t="n"/>
      <c r="F1949" s="43" t="n"/>
      <c r="G1949" s="44">
        <f>IF(OR(B1949="",F1949=""),"",IFERROR(F1949*INDEX(Mitarbeiter!$F$6:$F$205,MATCH(B1949,Mitarbeiter!$A$6:$A$205,0)),0))</f>
        <v/>
      </c>
      <c r="H1949" s="8">
        <f>IF(B1949="","",IF(ISNA(MATCH(B1949,Mitarbeiter!$A$6:$A$205,0)),"Pers.-Nr. unbekannt",IF(A1949="","Datum fehlt",IF(AND(D1949&lt;&gt;Einstellungen!$C$4,D1949&lt;&gt;Einstellungen!$C$5),"Objekt fehlt",IF(YEAR(A1949)&lt;&gt;Einstellungen!$C$3,"anderes Jahr",IF(A1949&lt;INDEX(Mitarbeiter!$C$6:$C$205,MATCH(B1949,Mitarbeiter!$A$6:$A$205,0)),"vor Eintritt",IF(AND(INDEX(Mitarbeiter!$D$6:$D$205,MATCH(B1949,Mitarbeiter!$A$6:$A$205,0))&lt;&gt;"",A1949&gt;INDEX(Mitarbeiter!$D$6:$D$205,MATCH(B1949,Mitarbeiter!$A$6:$A$205,0))),"nach Austritt","ok")))))))</f>
        <v/>
      </c>
    </row>
    <row r="1950">
      <c r="A1950" s="26" t="n"/>
      <c r="B1950" s="24" t="n"/>
      <c r="C1950" s="40">
        <f>IF(B1950="","",IFERROR(INDEX(Mitarbeiter!$B$6:$B$205,MATCH(B1950,Mitarbeiter!$A$6:$A$205,0)),"?"))</f>
        <v/>
      </c>
      <c r="D1950" s="41" t="n"/>
      <c r="E1950" s="42" t="n"/>
      <c r="F1950" s="43" t="n"/>
      <c r="G1950" s="44">
        <f>IF(OR(B1950="",F1950=""),"",IFERROR(F1950*INDEX(Mitarbeiter!$F$6:$F$205,MATCH(B1950,Mitarbeiter!$A$6:$A$205,0)),0))</f>
        <v/>
      </c>
      <c r="H1950" s="8">
        <f>IF(B1950="","",IF(ISNA(MATCH(B1950,Mitarbeiter!$A$6:$A$205,0)),"Pers.-Nr. unbekannt",IF(A1950="","Datum fehlt",IF(AND(D1950&lt;&gt;Einstellungen!$C$4,D1950&lt;&gt;Einstellungen!$C$5),"Objekt fehlt",IF(YEAR(A1950)&lt;&gt;Einstellungen!$C$3,"anderes Jahr",IF(A1950&lt;INDEX(Mitarbeiter!$C$6:$C$205,MATCH(B1950,Mitarbeiter!$A$6:$A$205,0)),"vor Eintritt",IF(AND(INDEX(Mitarbeiter!$D$6:$D$205,MATCH(B1950,Mitarbeiter!$A$6:$A$205,0))&lt;&gt;"",A1950&gt;INDEX(Mitarbeiter!$D$6:$D$205,MATCH(B1950,Mitarbeiter!$A$6:$A$205,0))),"nach Austritt","ok")))))))</f>
        <v/>
      </c>
    </row>
    <row r="1951">
      <c r="A1951" s="26" t="n"/>
      <c r="B1951" s="24" t="n"/>
      <c r="C1951" s="40">
        <f>IF(B1951="","",IFERROR(INDEX(Mitarbeiter!$B$6:$B$205,MATCH(B1951,Mitarbeiter!$A$6:$A$205,0)),"?"))</f>
        <v/>
      </c>
      <c r="D1951" s="41" t="n"/>
      <c r="E1951" s="42" t="n"/>
      <c r="F1951" s="43" t="n"/>
      <c r="G1951" s="44">
        <f>IF(OR(B1951="",F1951=""),"",IFERROR(F1951*INDEX(Mitarbeiter!$F$6:$F$205,MATCH(B1951,Mitarbeiter!$A$6:$A$205,0)),0))</f>
        <v/>
      </c>
      <c r="H1951" s="8">
        <f>IF(B1951="","",IF(ISNA(MATCH(B1951,Mitarbeiter!$A$6:$A$205,0)),"Pers.-Nr. unbekannt",IF(A1951="","Datum fehlt",IF(AND(D1951&lt;&gt;Einstellungen!$C$4,D1951&lt;&gt;Einstellungen!$C$5),"Objekt fehlt",IF(YEAR(A1951)&lt;&gt;Einstellungen!$C$3,"anderes Jahr",IF(A1951&lt;INDEX(Mitarbeiter!$C$6:$C$205,MATCH(B1951,Mitarbeiter!$A$6:$A$205,0)),"vor Eintritt",IF(AND(INDEX(Mitarbeiter!$D$6:$D$205,MATCH(B1951,Mitarbeiter!$A$6:$A$205,0))&lt;&gt;"",A1951&gt;INDEX(Mitarbeiter!$D$6:$D$205,MATCH(B1951,Mitarbeiter!$A$6:$A$205,0))),"nach Austritt","ok")))))))</f>
        <v/>
      </c>
    </row>
    <row r="1952">
      <c r="A1952" s="26" t="n"/>
      <c r="B1952" s="24" t="n"/>
      <c r="C1952" s="40">
        <f>IF(B1952="","",IFERROR(INDEX(Mitarbeiter!$B$6:$B$205,MATCH(B1952,Mitarbeiter!$A$6:$A$205,0)),"?"))</f>
        <v/>
      </c>
      <c r="D1952" s="41" t="n"/>
      <c r="E1952" s="42" t="n"/>
      <c r="F1952" s="43" t="n"/>
      <c r="G1952" s="44">
        <f>IF(OR(B1952="",F1952=""),"",IFERROR(F1952*INDEX(Mitarbeiter!$F$6:$F$205,MATCH(B1952,Mitarbeiter!$A$6:$A$205,0)),0))</f>
        <v/>
      </c>
      <c r="H1952" s="8">
        <f>IF(B1952="","",IF(ISNA(MATCH(B1952,Mitarbeiter!$A$6:$A$205,0)),"Pers.-Nr. unbekannt",IF(A1952="","Datum fehlt",IF(AND(D1952&lt;&gt;Einstellungen!$C$4,D1952&lt;&gt;Einstellungen!$C$5),"Objekt fehlt",IF(YEAR(A1952)&lt;&gt;Einstellungen!$C$3,"anderes Jahr",IF(A1952&lt;INDEX(Mitarbeiter!$C$6:$C$205,MATCH(B1952,Mitarbeiter!$A$6:$A$205,0)),"vor Eintritt",IF(AND(INDEX(Mitarbeiter!$D$6:$D$205,MATCH(B1952,Mitarbeiter!$A$6:$A$205,0))&lt;&gt;"",A1952&gt;INDEX(Mitarbeiter!$D$6:$D$205,MATCH(B1952,Mitarbeiter!$A$6:$A$205,0))),"nach Austritt","ok")))))))</f>
        <v/>
      </c>
    </row>
    <row r="1953">
      <c r="A1953" s="26" t="n"/>
      <c r="B1953" s="24" t="n"/>
      <c r="C1953" s="40">
        <f>IF(B1953="","",IFERROR(INDEX(Mitarbeiter!$B$6:$B$205,MATCH(B1953,Mitarbeiter!$A$6:$A$205,0)),"?"))</f>
        <v/>
      </c>
      <c r="D1953" s="41" t="n"/>
      <c r="E1953" s="42" t="n"/>
      <c r="F1953" s="43" t="n"/>
      <c r="G1953" s="44">
        <f>IF(OR(B1953="",F1953=""),"",IFERROR(F1953*INDEX(Mitarbeiter!$F$6:$F$205,MATCH(B1953,Mitarbeiter!$A$6:$A$205,0)),0))</f>
        <v/>
      </c>
      <c r="H1953" s="8">
        <f>IF(B1953="","",IF(ISNA(MATCH(B1953,Mitarbeiter!$A$6:$A$205,0)),"Pers.-Nr. unbekannt",IF(A1953="","Datum fehlt",IF(AND(D1953&lt;&gt;Einstellungen!$C$4,D1953&lt;&gt;Einstellungen!$C$5),"Objekt fehlt",IF(YEAR(A1953)&lt;&gt;Einstellungen!$C$3,"anderes Jahr",IF(A1953&lt;INDEX(Mitarbeiter!$C$6:$C$205,MATCH(B1953,Mitarbeiter!$A$6:$A$205,0)),"vor Eintritt",IF(AND(INDEX(Mitarbeiter!$D$6:$D$205,MATCH(B1953,Mitarbeiter!$A$6:$A$205,0))&lt;&gt;"",A1953&gt;INDEX(Mitarbeiter!$D$6:$D$205,MATCH(B1953,Mitarbeiter!$A$6:$A$205,0))),"nach Austritt","ok")))))))</f>
        <v/>
      </c>
    </row>
    <row r="1954">
      <c r="A1954" s="26" t="n"/>
      <c r="B1954" s="24" t="n"/>
      <c r="C1954" s="40">
        <f>IF(B1954="","",IFERROR(INDEX(Mitarbeiter!$B$6:$B$205,MATCH(B1954,Mitarbeiter!$A$6:$A$205,0)),"?"))</f>
        <v/>
      </c>
      <c r="D1954" s="41" t="n"/>
      <c r="E1954" s="42" t="n"/>
      <c r="F1954" s="43" t="n"/>
      <c r="G1954" s="44">
        <f>IF(OR(B1954="",F1954=""),"",IFERROR(F1954*INDEX(Mitarbeiter!$F$6:$F$205,MATCH(B1954,Mitarbeiter!$A$6:$A$205,0)),0))</f>
        <v/>
      </c>
      <c r="H1954" s="8">
        <f>IF(B1954="","",IF(ISNA(MATCH(B1954,Mitarbeiter!$A$6:$A$205,0)),"Pers.-Nr. unbekannt",IF(A1954="","Datum fehlt",IF(AND(D1954&lt;&gt;Einstellungen!$C$4,D1954&lt;&gt;Einstellungen!$C$5),"Objekt fehlt",IF(YEAR(A1954)&lt;&gt;Einstellungen!$C$3,"anderes Jahr",IF(A1954&lt;INDEX(Mitarbeiter!$C$6:$C$205,MATCH(B1954,Mitarbeiter!$A$6:$A$205,0)),"vor Eintritt",IF(AND(INDEX(Mitarbeiter!$D$6:$D$205,MATCH(B1954,Mitarbeiter!$A$6:$A$205,0))&lt;&gt;"",A1954&gt;INDEX(Mitarbeiter!$D$6:$D$205,MATCH(B1954,Mitarbeiter!$A$6:$A$205,0))),"nach Austritt","ok")))))))</f>
        <v/>
      </c>
    </row>
    <row r="1955">
      <c r="A1955" s="26" t="n"/>
      <c r="B1955" s="24" t="n"/>
      <c r="C1955" s="40">
        <f>IF(B1955="","",IFERROR(INDEX(Mitarbeiter!$B$6:$B$205,MATCH(B1955,Mitarbeiter!$A$6:$A$205,0)),"?"))</f>
        <v/>
      </c>
      <c r="D1955" s="41" t="n"/>
      <c r="E1955" s="42" t="n"/>
      <c r="F1955" s="43" t="n"/>
      <c r="G1955" s="44">
        <f>IF(OR(B1955="",F1955=""),"",IFERROR(F1955*INDEX(Mitarbeiter!$F$6:$F$205,MATCH(B1955,Mitarbeiter!$A$6:$A$205,0)),0))</f>
        <v/>
      </c>
      <c r="H1955" s="8">
        <f>IF(B1955="","",IF(ISNA(MATCH(B1955,Mitarbeiter!$A$6:$A$205,0)),"Pers.-Nr. unbekannt",IF(A1955="","Datum fehlt",IF(AND(D1955&lt;&gt;Einstellungen!$C$4,D1955&lt;&gt;Einstellungen!$C$5),"Objekt fehlt",IF(YEAR(A1955)&lt;&gt;Einstellungen!$C$3,"anderes Jahr",IF(A1955&lt;INDEX(Mitarbeiter!$C$6:$C$205,MATCH(B1955,Mitarbeiter!$A$6:$A$205,0)),"vor Eintritt",IF(AND(INDEX(Mitarbeiter!$D$6:$D$205,MATCH(B1955,Mitarbeiter!$A$6:$A$205,0))&lt;&gt;"",A1955&gt;INDEX(Mitarbeiter!$D$6:$D$205,MATCH(B1955,Mitarbeiter!$A$6:$A$205,0))),"nach Austritt","ok")))))))</f>
        <v/>
      </c>
    </row>
    <row r="1956">
      <c r="A1956" s="26" t="n"/>
      <c r="B1956" s="24" t="n"/>
      <c r="C1956" s="40">
        <f>IF(B1956="","",IFERROR(INDEX(Mitarbeiter!$B$6:$B$205,MATCH(B1956,Mitarbeiter!$A$6:$A$205,0)),"?"))</f>
        <v/>
      </c>
      <c r="D1956" s="41" t="n"/>
      <c r="E1956" s="42" t="n"/>
      <c r="F1956" s="43" t="n"/>
      <c r="G1956" s="44">
        <f>IF(OR(B1956="",F1956=""),"",IFERROR(F1956*INDEX(Mitarbeiter!$F$6:$F$205,MATCH(B1956,Mitarbeiter!$A$6:$A$205,0)),0))</f>
        <v/>
      </c>
      <c r="H1956" s="8">
        <f>IF(B1956="","",IF(ISNA(MATCH(B1956,Mitarbeiter!$A$6:$A$205,0)),"Pers.-Nr. unbekannt",IF(A1956="","Datum fehlt",IF(AND(D1956&lt;&gt;Einstellungen!$C$4,D1956&lt;&gt;Einstellungen!$C$5),"Objekt fehlt",IF(YEAR(A1956)&lt;&gt;Einstellungen!$C$3,"anderes Jahr",IF(A1956&lt;INDEX(Mitarbeiter!$C$6:$C$205,MATCH(B1956,Mitarbeiter!$A$6:$A$205,0)),"vor Eintritt",IF(AND(INDEX(Mitarbeiter!$D$6:$D$205,MATCH(B1956,Mitarbeiter!$A$6:$A$205,0))&lt;&gt;"",A1956&gt;INDEX(Mitarbeiter!$D$6:$D$205,MATCH(B1956,Mitarbeiter!$A$6:$A$205,0))),"nach Austritt","ok")))))))</f>
        <v/>
      </c>
    </row>
    <row r="1957">
      <c r="A1957" s="26" t="n"/>
      <c r="B1957" s="24" t="n"/>
      <c r="C1957" s="40">
        <f>IF(B1957="","",IFERROR(INDEX(Mitarbeiter!$B$6:$B$205,MATCH(B1957,Mitarbeiter!$A$6:$A$205,0)),"?"))</f>
        <v/>
      </c>
      <c r="D1957" s="41" t="n"/>
      <c r="E1957" s="42" t="n"/>
      <c r="F1957" s="43" t="n"/>
      <c r="G1957" s="44">
        <f>IF(OR(B1957="",F1957=""),"",IFERROR(F1957*INDEX(Mitarbeiter!$F$6:$F$205,MATCH(B1957,Mitarbeiter!$A$6:$A$205,0)),0))</f>
        <v/>
      </c>
      <c r="H1957" s="8">
        <f>IF(B1957="","",IF(ISNA(MATCH(B1957,Mitarbeiter!$A$6:$A$205,0)),"Pers.-Nr. unbekannt",IF(A1957="","Datum fehlt",IF(AND(D1957&lt;&gt;Einstellungen!$C$4,D1957&lt;&gt;Einstellungen!$C$5),"Objekt fehlt",IF(YEAR(A1957)&lt;&gt;Einstellungen!$C$3,"anderes Jahr",IF(A1957&lt;INDEX(Mitarbeiter!$C$6:$C$205,MATCH(B1957,Mitarbeiter!$A$6:$A$205,0)),"vor Eintritt",IF(AND(INDEX(Mitarbeiter!$D$6:$D$205,MATCH(B1957,Mitarbeiter!$A$6:$A$205,0))&lt;&gt;"",A1957&gt;INDEX(Mitarbeiter!$D$6:$D$205,MATCH(B1957,Mitarbeiter!$A$6:$A$205,0))),"nach Austritt","ok")))))))</f>
        <v/>
      </c>
    </row>
    <row r="1958">
      <c r="A1958" s="26" t="n"/>
      <c r="B1958" s="24" t="n"/>
      <c r="C1958" s="40">
        <f>IF(B1958="","",IFERROR(INDEX(Mitarbeiter!$B$6:$B$205,MATCH(B1958,Mitarbeiter!$A$6:$A$205,0)),"?"))</f>
        <v/>
      </c>
      <c r="D1958" s="41" t="n"/>
      <c r="E1958" s="42" t="n"/>
      <c r="F1958" s="43" t="n"/>
      <c r="G1958" s="44">
        <f>IF(OR(B1958="",F1958=""),"",IFERROR(F1958*INDEX(Mitarbeiter!$F$6:$F$205,MATCH(B1958,Mitarbeiter!$A$6:$A$205,0)),0))</f>
        <v/>
      </c>
      <c r="H1958" s="8">
        <f>IF(B1958="","",IF(ISNA(MATCH(B1958,Mitarbeiter!$A$6:$A$205,0)),"Pers.-Nr. unbekannt",IF(A1958="","Datum fehlt",IF(AND(D1958&lt;&gt;Einstellungen!$C$4,D1958&lt;&gt;Einstellungen!$C$5),"Objekt fehlt",IF(YEAR(A1958)&lt;&gt;Einstellungen!$C$3,"anderes Jahr",IF(A1958&lt;INDEX(Mitarbeiter!$C$6:$C$205,MATCH(B1958,Mitarbeiter!$A$6:$A$205,0)),"vor Eintritt",IF(AND(INDEX(Mitarbeiter!$D$6:$D$205,MATCH(B1958,Mitarbeiter!$A$6:$A$205,0))&lt;&gt;"",A1958&gt;INDEX(Mitarbeiter!$D$6:$D$205,MATCH(B1958,Mitarbeiter!$A$6:$A$205,0))),"nach Austritt","ok")))))))</f>
        <v/>
      </c>
    </row>
    <row r="1959">
      <c r="A1959" s="26" t="n"/>
      <c r="B1959" s="24" t="n"/>
      <c r="C1959" s="40">
        <f>IF(B1959="","",IFERROR(INDEX(Mitarbeiter!$B$6:$B$205,MATCH(B1959,Mitarbeiter!$A$6:$A$205,0)),"?"))</f>
        <v/>
      </c>
      <c r="D1959" s="41" t="n"/>
      <c r="E1959" s="42" t="n"/>
      <c r="F1959" s="43" t="n"/>
      <c r="G1959" s="44">
        <f>IF(OR(B1959="",F1959=""),"",IFERROR(F1959*INDEX(Mitarbeiter!$F$6:$F$205,MATCH(B1959,Mitarbeiter!$A$6:$A$205,0)),0))</f>
        <v/>
      </c>
      <c r="H1959" s="8">
        <f>IF(B1959="","",IF(ISNA(MATCH(B1959,Mitarbeiter!$A$6:$A$205,0)),"Pers.-Nr. unbekannt",IF(A1959="","Datum fehlt",IF(AND(D1959&lt;&gt;Einstellungen!$C$4,D1959&lt;&gt;Einstellungen!$C$5),"Objekt fehlt",IF(YEAR(A1959)&lt;&gt;Einstellungen!$C$3,"anderes Jahr",IF(A1959&lt;INDEX(Mitarbeiter!$C$6:$C$205,MATCH(B1959,Mitarbeiter!$A$6:$A$205,0)),"vor Eintritt",IF(AND(INDEX(Mitarbeiter!$D$6:$D$205,MATCH(B1959,Mitarbeiter!$A$6:$A$205,0))&lt;&gt;"",A1959&gt;INDEX(Mitarbeiter!$D$6:$D$205,MATCH(B1959,Mitarbeiter!$A$6:$A$205,0))),"nach Austritt","ok")))))))</f>
        <v/>
      </c>
    </row>
    <row r="1960">
      <c r="A1960" s="26" t="n"/>
      <c r="B1960" s="24" t="n"/>
      <c r="C1960" s="40">
        <f>IF(B1960="","",IFERROR(INDEX(Mitarbeiter!$B$6:$B$205,MATCH(B1960,Mitarbeiter!$A$6:$A$205,0)),"?"))</f>
        <v/>
      </c>
      <c r="D1960" s="41" t="n"/>
      <c r="E1960" s="42" t="n"/>
      <c r="F1960" s="43" t="n"/>
      <c r="G1960" s="44">
        <f>IF(OR(B1960="",F1960=""),"",IFERROR(F1960*INDEX(Mitarbeiter!$F$6:$F$205,MATCH(B1960,Mitarbeiter!$A$6:$A$205,0)),0))</f>
        <v/>
      </c>
      <c r="H1960" s="8">
        <f>IF(B1960="","",IF(ISNA(MATCH(B1960,Mitarbeiter!$A$6:$A$205,0)),"Pers.-Nr. unbekannt",IF(A1960="","Datum fehlt",IF(AND(D1960&lt;&gt;Einstellungen!$C$4,D1960&lt;&gt;Einstellungen!$C$5),"Objekt fehlt",IF(YEAR(A1960)&lt;&gt;Einstellungen!$C$3,"anderes Jahr",IF(A1960&lt;INDEX(Mitarbeiter!$C$6:$C$205,MATCH(B1960,Mitarbeiter!$A$6:$A$205,0)),"vor Eintritt",IF(AND(INDEX(Mitarbeiter!$D$6:$D$205,MATCH(B1960,Mitarbeiter!$A$6:$A$205,0))&lt;&gt;"",A1960&gt;INDEX(Mitarbeiter!$D$6:$D$205,MATCH(B1960,Mitarbeiter!$A$6:$A$205,0))),"nach Austritt","ok")))))))</f>
        <v/>
      </c>
    </row>
    <row r="1961">
      <c r="A1961" s="26" t="n"/>
      <c r="B1961" s="24" t="n"/>
      <c r="C1961" s="40">
        <f>IF(B1961="","",IFERROR(INDEX(Mitarbeiter!$B$6:$B$205,MATCH(B1961,Mitarbeiter!$A$6:$A$205,0)),"?"))</f>
        <v/>
      </c>
      <c r="D1961" s="41" t="n"/>
      <c r="E1961" s="42" t="n"/>
      <c r="F1961" s="43" t="n"/>
      <c r="G1961" s="44">
        <f>IF(OR(B1961="",F1961=""),"",IFERROR(F1961*INDEX(Mitarbeiter!$F$6:$F$205,MATCH(B1961,Mitarbeiter!$A$6:$A$205,0)),0))</f>
        <v/>
      </c>
      <c r="H1961" s="8">
        <f>IF(B1961="","",IF(ISNA(MATCH(B1961,Mitarbeiter!$A$6:$A$205,0)),"Pers.-Nr. unbekannt",IF(A1961="","Datum fehlt",IF(AND(D1961&lt;&gt;Einstellungen!$C$4,D1961&lt;&gt;Einstellungen!$C$5),"Objekt fehlt",IF(YEAR(A1961)&lt;&gt;Einstellungen!$C$3,"anderes Jahr",IF(A1961&lt;INDEX(Mitarbeiter!$C$6:$C$205,MATCH(B1961,Mitarbeiter!$A$6:$A$205,0)),"vor Eintritt",IF(AND(INDEX(Mitarbeiter!$D$6:$D$205,MATCH(B1961,Mitarbeiter!$A$6:$A$205,0))&lt;&gt;"",A1961&gt;INDEX(Mitarbeiter!$D$6:$D$205,MATCH(B1961,Mitarbeiter!$A$6:$A$205,0))),"nach Austritt","ok")))))))</f>
        <v/>
      </c>
    </row>
    <row r="1962">
      <c r="A1962" s="26" t="n"/>
      <c r="B1962" s="24" t="n"/>
      <c r="C1962" s="40">
        <f>IF(B1962="","",IFERROR(INDEX(Mitarbeiter!$B$6:$B$205,MATCH(B1962,Mitarbeiter!$A$6:$A$205,0)),"?"))</f>
        <v/>
      </c>
      <c r="D1962" s="41" t="n"/>
      <c r="E1962" s="42" t="n"/>
      <c r="F1962" s="43" t="n"/>
      <c r="G1962" s="44">
        <f>IF(OR(B1962="",F1962=""),"",IFERROR(F1962*INDEX(Mitarbeiter!$F$6:$F$205,MATCH(B1962,Mitarbeiter!$A$6:$A$205,0)),0))</f>
        <v/>
      </c>
      <c r="H1962" s="8">
        <f>IF(B1962="","",IF(ISNA(MATCH(B1962,Mitarbeiter!$A$6:$A$205,0)),"Pers.-Nr. unbekannt",IF(A1962="","Datum fehlt",IF(AND(D1962&lt;&gt;Einstellungen!$C$4,D1962&lt;&gt;Einstellungen!$C$5),"Objekt fehlt",IF(YEAR(A1962)&lt;&gt;Einstellungen!$C$3,"anderes Jahr",IF(A1962&lt;INDEX(Mitarbeiter!$C$6:$C$205,MATCH(B1962,Mitarbeiter!$A$6:$A$205,0)),"vor Eintritt",IF(AND(INDEX(Mitarbeiter!$D$6:$D$205,MATCH(B1962,Mitarbeiter!$A$6:$A$205,0))&lt;&gt;"",A1962&gt;INDEX(Mitarbeiter!$D$6:$D$205,MATCH(B1962,Mitarbeiter!$A$6:$A$205,0))),"nach Austritt","ok")))))))</f>
        <v/>
      </c>
    </row>
    <row r="1963">
      <c r="A1963" s="26" t="n"/>
      <c r="B1963" s="24" t="n"/>
      <c r="C1963" s="40">
        <f>IF(B1963="","",IFERROR(INDEX(Mitarbeiter!$B$6:$B$205,MATCH(B1963,Mitarbeiter!$A$6:$A$205,0)),"?"))</f>
        <v/>
      </c>
      <c r="D1963" s="41" t="n"/>
      <c r="E1963" s="42" t="n"/>
      <c r="F1963" s="43" t="n"/>
      <c r="G1963" s="44">
        <f>IF(OR(B1963="",F1963=""),"",IFERROR(F1963*INDEX(Mitarbeiter!$F$6:$F$205,MATCH(B1963,Mitarbeiter!$A$6:$A$205,0)),0))</f>
        <v/>
      </c>
      <c r="H1963" s="8">
        <f>IF(B1963="","",IF(ISNA(MATCH(B1963,Mitarbeiter!$A$6:$A$205,0)),"Pers.-Nr. unbekannt",IF(A1963="","Datum fehlt",IF(AND(D1963&lt;&gt;Einstellungen!$C$4,D1963&lt;&gt;Einstellungen!$C$5),"Objekt fehlt",IF(YEAR(A1963)&lt;&gt;Einstellungen!$C$3,"anderes Jahr",IF(A1963&lt;INDEX(Mitarbeiter!$C$6:$C$205,MATCH(B1963,Mitarbeiter!$A$6:$A$205,0)),"vor Eintritt",IF(AND(INDEX(Mitarbeiter!$D$6:$D$205,MATCH(B1963,Mitarbeiter!$A$6:$A$205,0))&lt;&gt;"",A1963&gt;INDEX(Mitarbeiter!$D$6:$D$205,MATCH(B1963,Mitarbeiter!$A$6:$A$205,0))),"nach Austritt","ok")))))))</f>
        <v/>
      </c>
    </row>
    <row r="1964">
      <c r="A1964" s="26" t="n"/>
      <c r="B1964" s="24" t="n"/>
      <c r="C1964" s="40">
        <f>IF(B1964="","",IFERROR(INDEX(Mitarbeiter!$B$6:$B$205,MATCH(B1964,Mitarbeiter!$A$6:$A$205,0)),"?"))</f>
        <v/>
      </c>
      <c r="D1964" s="41" t="n"/>
      <c r="E1964" s="42" t="n"/>
      <c r="F1964" s="43" t="n"/>
      <c r="G1964" s="44">
        <f>IF(OR(B1964="",F1964=""),"",IFERROR(F1964*INDEX(Mitarbeiter!$F$6:$F$205,MATCH(B1964,Mitarbeiter!$A$6:$A$205,0)),0))</f>
        <v/>
      </c>
      <c r="H1964" s="8">
        <f>IF(B1964="","",IF(ISNA(MATCH(B1964,Mitarbeiter!$A$6:$A$205,0)),"Pers.-Nr. unbekannt",IF(A1964="","Datum fehlt",IF(AND(D1964&lt;&gt;Einstellungen!$C$4,D1964&lt;&gt;Einstellungen!$C$5),"Objekt fehlt",IF(YEAR(A1964)&lt;&gt;Einstellungen!$C$3,"anderes Jahr",IF(A1964&lt;INDEX(Mitarbeiter!$C$6:$C$205,MATCH(B1964,Mitarbeiter!$A$6:$A$205,0)),"vor Eintritt",IF(AND(INDEX(Mitarbeiter!$D$6:$D$205,MATCH(B1964,Mitarbeiter!$A$6:$A$205,0))&lt;&gt;"",A1964&gt;INDEX(Mitarbeiter!$D$6:$D$205,MATCH(B1964,Mitarbeiter!$A$6:$A$205,0))),"nach Austritt","ok")))))))</f>
        <v/>
      </c>
    </row>
    <row r="1965">
      <c r="A1965" s="26" t="n"/>
      <c r="B1965" s="24" t="n"/>
      <c r="C1965" s="40">
        <f>IF(B1965="","",IFERROR(INDEX(Mitarbeiter!$B$6:$B$205,MATCH(B1965,Mitarbeiter!$A$6:$A$205,0)),"?"))</f>
        <v/>
      </c>
      <c r="D1965" s="41" t="n"/>
      <c r="E1965" s="42" t="n"/>
      <c r="F1965" s="43" t="n"/>
      <c r="G1965" s="44">
        <f>IF(OR(B1965="",F1965=""),"",IFERROR(F1965*INDEX(Mitarbeiter!$F$6:$F$205,MATCH(B1965,Mitarbeiter!$A$6:$A$205,0)),0))</f>
        <v/>
      </c>
      <c r="H1965" s="8">
        <f>IF(B1965="","",IF(ISNA(MATCH(B1965,Mitarbeiter!$A$6:$A$205,0)),"Pers.-Nr. unbekannt",IF(A1965="","Datum fehlt",IF(AND(D1965&lt;&gt;Einstellungen!$C$4,D1965&lt;&gt;Einstellungen!$C$5),"Objekt fehlt",IF(YEAR(A1965)&lt;&gt;Einstellungen!$C$3,"anderes Jahr",IF(A1965&lt;INDEX(Mitarbeiter!$C$6:$C$205,MATCH(B1965,Mitarbeiter!$A$6:$A$205,0)),"vor Eintritt",IF(AND(INDEX(Mitarbeiter!$D$6:$D$205,MATCH(B1965,Mitarbeiter!$A$6:$A$205,0))&lt;&gt;"",A1965&gt;INDEX(Mitarbeiter!$D$6:$D$205,MATCH(B1965,Mitarbeiter!$A$6:$A$205,0))),"nach Austritt","ok")))))))</f>
        <v/>
      </c>
    </row>
    <row r="1966">
      <c r="A1966" s="26" t="n"/>
      <c r="B1966" s="24" t="n"/>
      <c r="C1966" s="40">
        <f>IF(B1966="","",IFERROR(INDEX(Mitarbeiter!$B$6:$B$205,MATCH(B1966,Mitarbeiter!$A$6:$A$205,0)),"?"))</f>
        <v/>
      </c>
      <c r="D1966" s="41" t="n"/>
      <c r="E1966" s="42" t="n"/>
      <c r="F1966" s="43" t="n"/>
      <c r="G1966" s="44">
        <f>IF(OR(B1966="",F1966=""),"",IFERROR(F1966*INDEX(Mitarbeiter!$F$6:$F$205,MATCH(B1966,Mitarbeiter!$A$6:$A$205,0)),0))</f>
        <v/>
      </c>
      <c r="H1966" s="8">
        <f>IF(B1966="","",IF(ISNA(MATCH(B1966,Mitarbeiter!$A$6:$A$205,0)),"Pers.-Nr. unbekannt",IF(A1966="","Datum fehlt",IF(AND(D1966&lt;&gt;Einstellungen!$C$4,D1966&lt;&gt;Einstellungen!$C$5),"Objekt fehlt",IF(YEAR(A1966)&lt;&gt;Einstellungen!$C$3,"anderes Jahr",IF(A1966&lt;INDEX(Mitarbeiter!$C$6:$C$205,MATCH(B1966,Mitarbeiter!$A$6:$A$205,0)),"vor Eintritt",IF(AND(INDEX(Mitarbeiter!$D$6:$D$205,MATCH(B1966,Mitarbeiter!$A$6:$A$205,0))&lt;&gt;"",A1966&gt;INDEX(Mitarbeiter!$D$6:$D$205,MATCH(B1966,Mitarbeiter!$A$6:$A$205,0))),"nach Austritt","ok")))))))</f>
        <v/>
      </c>
    </row>
    <row r="1967">
      <c r="A1967" s="26" t="n"/>
      <c r="B1967" s="24" t="n"/>
      <c r="C1967" s="40">
        <f>IF(B1967="","",IFERROR(INDEX(Mitarbeiter!$B$6:$B$205,MATCH(B1967,Mitarbeiter!$A$6:$A$205,0)),"?"))</f>
        <v/>
      </c>
      <c r="D1967" s="41" t="n"/>
      <c r="E1967" s="42" t="n"/>
      <c r="F1967" s="43" t="n"/>
      <c r="G1967" s="44">
        <f>IF(OR(B1967="",F1967=""),"",IFERROR(F1967*INDEX(Mitarbeiter!$F$6:$F$205,MATCH(B1967,Mitarbeiter!$A$6:$A$205,0)),0))</f>
        <v/>
      </c>
      <c r="H1967" s="8">
        <f>IF(B1967="","",IF(ISNA(MATCH(B1967,Mitarbeiter!$A$6:$A$205,0)),"Pers.-Nr. unbekannt",IF(A1967="","Datum fehlt",IF(AND(D1967&lt;&gt;Einstellungen!$C$4,D1967&lt;&gt;Einstellungen!$C$5),"Objekt fehlt",IF(YEAR(A1967)&lt;&gt;Einstellungen!$C$3,"anderes Jahr",IF(A1967&lt;INDEX(Mitarbeiter!$C$6:$C$205,MATCH(B1967,Mitarbeiter!$A$6:$A$205,0)),"vor Eintritt",IF(AND(INDEX(Mitarbeiter!$D$6:$D$205,MATCH(B1967,Mitarbeiter!$A$6:$A$205,0))&lt;&gt;"",A1967&gt;INDEX(Mitarbeiter!$D$6:$D$205,MATCH(B1967,Mitarbeiter!$A$6:$A$205,0))),"nach Austritt","ok")))))))</f>
        <v/>
      </c>
    </row>
    <row r="1968">
      <c r="A1968" s="26" t="n"/>
      <c r="B1968" s="24" t="n"/>
      <c r="C1968" s="40">
        <f>IF(B1968="","",IFERROR(INDEX(Mitarbeiter!$B$6:$B$205,MATCH(B1968,Mitarbeiter!$A$6:$A$205,0)),"?"))</f>
        <v/>
      </c>
      <c r="D1968" s="41" t="n"/>
      <c r="E1968" s="42" t="n"/>
      <c r="F1968" s="43" t="n"/>
      <c r="G1968" s="44">
        <f>IF(OR(B1968="",F1968=""),"",IFERROR(F1968*INDEX(Mitarbeiter!$F$6:$F$205,MATCH(B1968,Mitarbeiter!$A$6:$A$205,0)),0))</f>
        <v/>
      </c>
      <c r="H1968" s="8">
        <f>IF(B1968="","",IF(ISNA(MATCH(B1968,Mitarbeiter!$A$6:$A$205,0)),"Pers.-Nr. unbekannt",IF(A1968="","Datum fehlt",IF(AND(D1968&lt;&gt;Einstellungen!$C$4,D1968&lt;&gt;Einstellungen!$C$5),"Objekt fehlt",IF(YEAR(A1968)&lt;&gt;Einstellungen!$C$3,"anderes Jahr",IF(A1968&lt;INDEX(Mitarbeiter!$C$6:$C$205,MATCH(B1968,Mitarbeiter!$A$6:$A$205,0)),"vor Eintritt",IF(AND(INDEX(Mitarbeiter!$D$6:$D$205,MATCH(B1968,Mitarbeiter!$A$6:$A$205,0))&lt;&gt;"",A1968&gt;INDEX(Mitarbeiter!$D$6:$D$205,MATCH(B1968,Mitarbeiter!$A$6:$A$205,0))),"nach Austritt","ok")))))))</f>
        <v/>
      </c>
    </row>
    <row r="1969">
      <c r="A1969" s="26" t="n"/>
      <c r="B1969" s="24" t="n"/>
      <c r="C1969" s="40">
        <f>IF(B1969="","",IFERROR(INDEX(Mitarbeiter!$B$6:$B$205,MATCH(B1969,Mitarbeiter!$A$6:$A$205,0)),"?"))</f>
        <v/>
      </c>
      <c r="D1969" s="41" t="n"/>
      <c r="E1969" s="42" t="n"/>
      <c r="F1969" s="43" t="n"/>
      <c r="G1969" s="44">
        <f>IF(OR(B1969="",F1969=""),"",IFERROR(F1969*INDEX(Mitarbeiter!$F$6:$F$205,MATCH(B1969,Mitarbeiter!$A$6:$A$205,0)),0))</f>
        <v/>
      </c>
      <c r="H1969" s="8">
        <f>IF(B1969="","",IF(ISNA(MATCH(B1969,Mitarbeiter!$A$6:$A$205,0)),"Pers.-Nr. unbekannt",IF(A1969="","Datum fehlt",IF(AND(D1969&lt;&gt;Einstellungen!$C$4,D1969&lt;&gt;Einstellungen!$C$5),"Objekt fehlt",IF(YEAR(A1969)&lt;&gt;Einstellungen!$C$3,"anderes Jahr",IF(A1969&lt;INDEX(Mitarbeiter!$C$6:$C$205,MATCH(B1969,Mitarbeiter!$A$6:$A$205,0)),"vor Eintritt",IF(AND(INDEX(Mitarbeiter!$D$6:$D$205,MATCH(B1969,Mitarbeiter!$A$6:$A$205,0))&lt;&gt;"",A1969&gt;INDEX(Mitarbeiter!$D$6:$D$205,MATCH(B1969,Mitarbeiter!$A$6:$A$205,0))),"nach Austritt","ok")))))))</f>
        <v/>
      </c>
    </row>
    <row r="1970">
      <c r="A1970" s="26" t="n"/>
      <c r="B1970" s="24" t="n"/>
      <c r="C1970" s="40">
        <f>IF(B1970="","",IFERROR(INDEX(Mitarbeiter!$B$6:$B$205,MATCH(B1970,Mitarbeiter!$A$6:$A$205,0)),"?"))</f>
        <v/>
      </c>
      <c r="D1970" s="41" t="n"/>
      <c r="E1970" s="42" t="n"/>
      <c r="F1970" s="43" t="n"/>
      <c r="G1970" s="44">
        <f>IF(OR(B1970="",F1970=""),"",IFERROR(F1970*INDEX(Mitarbeiter!$F$6:$F$205,MATCH(B1970,Mitarbeiter!$A$6:$A$205,0)),0))</f>
        <v/>
      </c>
      <c r="H1970" s="8">
        <f>IF(B1970="","",IF(ISNA(MATCH(B1970,Mitarbeiter!$A$6:$A$205,0)),"Pers.-Nr. unbekannt",IF(A1970="","Datum fehlt",IF(AND(D1970&lt;&gt;Einstellungen!$C$4,D1970&lt;&gt;Einstellungen!$C$5),"Objekt fehlt",IF(YEAR(A1970)&lt;&gt;Einstellungen!$C$3,"anderes Jahr",IF(A1970&lt;INDEX(Mitarbeiter!$C$6:$C$205,MATCH(B1970,Mitarbeiter!$A$6:$A$205,0)),"vor Eintritt",IF(AND(INDEX(Mitarbeiter!$D$6:$D$205,MATCH(B1970,Mitarbeiter!$A$6:$A$205,0))&lt;&gt;"",A1970&gt;INDEX(Mitarbeiter!$D$6:$D$205,MATCH(B1970,Mitarbeiter!$A$6:$A$205,0))),"nach Austritt","ok")))))))</f>
        <v/>
      </c>
    </row>
    <row r="1971">
      <c r="A1971" s="26" t="n"/>
      <c r="B1971" s="24" t="n"/>
      <c r="C1971" s="40">
        <f>IF(B1971="","",IFERROR(INDEX(Mitarbeiter!$B$6:$B$205,MATCH(B1971,Mitarbeiter!$A$6:$A$205,0)),"?"))</f>
        <v/>
      </c>
      <c r="D1971" s="41" t="n"/>
      <c r="E1971" s="42" t="n"/>
      <c r="F1971" s="43" t="n"/>
      <c r="G1971" s="44">
        <f>IF(OR(B1971="",F1971=""),"",IFERROR(F1971*INDEX(Mitarbeiter!$F$6:$F$205,MATCH(B1971,Mitarbeiter!$A$6:$A$205,0)),0))</f>
        <v/>
      </c>
      <c r="H1971" s="8">
        <f>IF(B1971="","",IF(ISNA(MATCH(B1971,Mitarbeiter!$A$6:$A$205,0)),"Pers.-Nr. unbekannt",IF(A1971="","Datum fehlt",IF(AND(D1971&lt;&gt;Einstellungen!$C$4,D1971&lt;&gt;Einstellungen!$C$5),"Objekt fehlt",IF(YEAR(A1971)&lt;&gt;Einstellungen!$C$3,"anderes Jahr",IF(A1971&lt;INDEX(Mitarbeiter!$C$6:$C$205,MATCH(B1971,Mitarbeiter!$A$6:$A$205,0)),"vor Eintritt",IF(AND(INDEX(Mitarbeiter!$D$6:$D$205,MATCH(B1971,Mitarbeiter!$A$6:$A$205,0))&lt;&gt;"",A1971&gt;INDEX(Mitarbeiter!$D$6:$D$205,MATCH(B1971,Mitarbeiter!$A$6:$A$205,0))),"nach Austritt","ok")))))))</f>
        <v/>
      </c>
    </row>
    <row r="1972">
      <c r="A1972" s="26" t="n"/>
      <c r="B1972" s="24" t="n"/>
      <c r="C1972" s="40">
        <f>IF(B1972="","",IFERROR(INDEX(Mitarbeiter!$B$6:$B$205,MATCH(B1972,Mitarbeiter!$A$6:$A$205,0)),"?"))</f>
        <v/>
      </c>
      <c r="D1972" s="41" t="n"/>
      <c r="E1972" s="42" t="n"/>
      <c r="F1972" s="43" t="n"/>
      <c r="G1972" s="44">
        <f>IF(OR(B1972="",F1972=""),"",IFERROR(F1972*INDEX(Mitarbeiter!$F$6:$F$205,MATCH(B1972,Mitarbeiter!$A$6:$A$205,0)),0))</f>
        <v/>
      </c>
      <c r="H1972" s="8">
        <f>IF(B1972="","",IF(ISNA(MATCH(B1972,Mitarbeiter!$A$6:$A$205,0)),"Pers.-Nr. unbekannt",IF(A1972="","Datum fehlt",IF(AND(D1972&lt;&gt;Einstellungen!$C$4,D1972&lt;&gt;Einstellungen!$C$5),"Objekt fehlt",IF(YEAR(A1972)&lt;&gt;Einstellungen!$C$3,"anderes Jahr",IF(A1972&lt;INDEX(Mitarbeiter!$C$6:$C$205,MATCH(B1972,Mitarbeiter!$A$6:$A$205,0)),"vor Eintritt",IF(AND(INDEX(Mitarbeiter!$D$6:$D$205,MATCH(B1972,Mitarbeiter!$A$6:$A$205,0))&lt;&gt;"",A1972&gt;INDEX(Mitarbeiter!$D$6:$D$205,MATCH(B1972,Mitarbeiter!$A$6:$A$205,0))),"nach Austritt","ok")))))))</f>
        <v/>
      </c>
    </row>
    <row r="1973">
      <c r="A1973" s="26" t="n"/>
      <c r="B1973" s="24" t="n"/>
      <c r="C1973" s="40">
        <f>IF(B1973="","",IFERROR(INDEX(Mitarbeiter!$B$6:$B$205,MATCH(B1973,Mitarbeiter!$A$6:$A$205,0)),"?"))</f>
        <v/>
      </c>
      <c r="D1973" s="41" t="n"/>
      <c r="E1973" s="42" t="n"/>
      <c r="F1973" s="43" t="n"/>
      <c r="G1973" s="44">
        <f>IF(OR(B1973="",F1973=""),"",IFERROR(F1973*INDEX(Mitarbeiter!$F$6:$F$205,MATCH(B1973,Mitarbeiter!$A$6:$A$205,0)),0))</f>
        <v/>
      </c>
      <c r="H1973" s="8">
        <f>IF(B1973="","",IF(ISNA(MATCH(B1973,Mitarbeiter!$A$6:$A$205,0)),"Pers.-Nr. unbekannt",IF(A1973="","Datum fehlt",IF(AND(D1973&lt;&gt;Einstellungen!$C$4,D1973&lt;&gt;Einstellungen!$C$5),"Objekt fehlt",IF(YEAR(A1973)&lt;&gt;Einstellungen!$C$3,"anderes Jahr",IF(A1973&lt;INDEX(Mitarbeiter!$C$6:$C$205,MATCH(B1973,Mitarbeiter!$A$6:$A$205,0)),"vor Eintritt",IF(AND(INDEX(Mitarbeiter!$D$6:$D$205,MATCH(B1973,Mitarbeiter!$A$6:$A$205,0))&lt;&gt;"",A1973&gt;INDEX(Mitarbeiter!$D$6:$D$205,MATCH(B1973,Mitarbeiter!$A$6:$A$205,0))),"nach Austritt","ok")))))))</f>
        <v/>
      </c>
    </row>
    <row r="1974">
      <c r="A1974" s="26" t="n"/>
      <c r="B1974" s="24" t="n"/>
      <c r="C1974" s="40">
        <f>IF(B1974="","",IFERROR(INDEX(Mitarbeiter!$B$6:$B$205,MATCH(B1974,Mitarbeiter!$A$6:$A$205,0)),"?"))</f>
        <v/>
      </c>
      <c r="D1974" s="41" t="n"/>
      <c r="E1974" s="42" t="n"/>
      <c r="F1974" s="43" t="n"/>
      <c r="G1974" s="44">
        <f>IF(OR(B1974="",F1974=""),"",IFERROR(F1974*INDEX(Mitarbeiter!$F$6:$F$205,MATCH(B1974,Mitarbeiter!$A$6:$A$205,0)),0))</f>
        <v/>
      </c>
      <c r="H1974" s="8">
        <f>IF(B1974="","",IF(ISNA(MATCH(B1974,Mitarbeiter!$A$6:$A$205,0)),"Pers.-Nr. unbekannt",IF(A1974="","Datum fehlt",IF(AND(D1974&lt;&gt;Einstellungen!$C$4,D1974&lt;&gt;Einstellungen!$C$5),"Objekt fehlt",IF(YEAR(A1974)&lt;&gt;Einstellungen!$C$3,"anderes Jahr",IF(A1974&lt;INDEX(Mitarbeiter!$C$6:$C$205,MATCH(B1974,Mitarbeiter!$A$6:$A$205,0)),"vor Eintritt",IF(AND(INDEX(Mitarbeiter!$D$6:$D$205,MATCH(B1974,Mitarbeiter!$A$6:$A$205,0))&lt;&gt;"",A1974&gt;INDEX(Mitarbeiter!$D$6:$D$205,MATCH(B1974,Mitarbeiter!$A$6:$A$205,0))),"nach Austritt","ok")))))))</f>
        <v/>
      </c>
    </row>
    <row r="1975">
      <c r="A1975" s="26" t="n"/>
      <c r="B1975" s="24" t="n"/>
      <c r="C1975" s="40">
        <f>IF(B1975="","",IFERROR(INDEX(Mitarbeiter!$B$6:$B$205,MATCH(B1975,Mitarbeiter!$A$6:$A$205,0)),"?"))</f>
        <v/>
      </c>
      <c r="D1975" s="41" t="n"/>
      <c r="E1975" s="42" t="n"/>
      <c r="F1975" s="43" t="n"/>
      <c r="G1975" s="44">
        <f>IF(OR(B1975="",F1975=""),"",IFERROR(F1975*INDEX(Mitarbeiter!$F$6:$F$205,MATCH(B1975,Mitarbeiter!$A$6:$A$205,0)),0))</f>
        <v/>
      </c>
      <c r="H1975" s="8">
        <f>IF(B1975="","",IF(ISNA(MATCH(B1975,Mitarbeiter!$A$6:$A$205,0)),"Pers.-Nr. unbekannt",IF(A1975="","Datum fehlt",IF(AND(D1975&lt;&gt;Einstellungen!$C$4,D1975&lt;&gt;Einstellungen!$C$5),"Objekt fehlt",IF(YEAR(A1975)&lt;&gt;Einstellungen!$C$3,"anderes Jahr",IF(A1975&lt;INDEX(Mitarbeiter!$C$6:$C$205,MATCH(B1975,Mitarbeiter!$A$6:$A$205,0)),"vor Eintritt",IF(AND(INDEX(Mitarbeiter!$D$6:$D$205,MATCH(B1975,Mitarbeiter!$A$6:$A$205,0))&lt;&gt;"",A1975&gt;INDEX(Mitarbeiter!$D$6:$D$205,MATCH(B1975,Mitarbeiter!$A$6:$A$205,0))),"nach Austritt","ok")))))))</f>
        <v/>
      </c>
    </row>
    <row r="1976">
      <c r="A1976" s="26" t="n"/>
      <c r="B1976" s="24" t="n"/>
      <c r="C1976" s="40">
        <f>IF(B1976="","",IFERROR(INDEX(Mitarbeiter!$B$6:$B$205,MATCH(B1976,Mitarbeiter!$A$6:$A$205,0)),"?"))</f>
        <v/>
      </c>
      <c r="D1976" s="41" t="n"/>
      <c r="E1976" s="42" t="n"/>
      <c r="F1976" s="43" t="n"/>
      <c r="G1976" s="44">
        <f>IF(OR(B1976="",F1976=""),"",IFERROR(F1976*INDEX(Mitarbeiter!$F$6:$F$205,MATCH(B1976,Mitarbeiter!$A$6:$A$205,0)),0))</f>
        <v/>
      </c>
      <c r="H1976" s="8">
        <f>IF(B1976="","",IF(ISNA(MATCH(B1976,Mitarbeiter!$A$6:$A$205,0)),"Pers.-Nr. unbekannt",IF(A1976="","Datum fehlt",IF(AND(D1976&lt;&gt;Einstellungen!$C$4,D1976&lt;&gt;Einstellungen!$C$5),"Objekt fehlt",IF(YEAR(A1976)&lt;&gt;Einstellungen!$C$3,"anderes Jahr",IF(A1976&lt;INDEX(Mitarbeiter!$C$6:$C$205,MATCH(B1976,Mitarbeiter!$A$6:$A$205,0)),"vor Eintritt",IF(AND(INDEX(Mitarbeiter!$D$6:$D$205,MATCH(B1976,Mitarbeiter!$A$6:$A$205,0))&lt;&gt;"",A1976&gt;INDEX(Mitarbeiter!$D$6:$D$205,MATCH(B1976,Mitarbeiter!$A$6:$A$205,0))),"nach Austritt","ok")))))))</f>
        <v/>
      </c>
    </row>
    <row r="1977">
      <c r="A1977" s="26" t="n"/>
      <c r="B1977" s="24" t="n"/>
      <c r="C1977" s="40">
        <f>IF(B1977="","",IFERROR(INDEX(Mitarbeiter!$B$6:$B$205,MATCH(B1977,Mitarbeiter!$A$6:$A$205,0)),"?"))</f>
        <v/>
      </c>
      <c r="D1977" s="41" t="n"/>
      <c r="E1977" s="42" t="n"/>
      <c r="F1977" s="43" t="n"/>
      <c r="G1977" s="44">
        <f>IF(OR(B1977="",F1977=""),"",IFERROR(F1977*INDEX(Mitarbeiter!$F$6:$F$205,MATCH(B1977,Mitarbeiter!$A$6:$A$205,0)),0))</f>
        <v/>
      </c>
      <c r="H1977" s="8">
        <f>IF(B1977="","",IF(ISNA(MATCH(B1977,Mitarbeiter!$A$6:$A$205,0)),"Pers.-Nr. unbekannt",IF(A1977="","Datum fehlt",IF(AND(D1977&lt;&gt;Einstellungen!$C$4,D1977&lt;&gt;Einstellungen!$C$5),"Objekt fehlt",IF(YEAR(A1977)&lt;&gt;Einstellungen!$C$3,"anderes Jahr",IF(A1977&lt;INDEX(Mitarbeiter!$C$6:$C$205,MATCH(B1977,Mitarbeiter!$A$6:$A$205,0)),"vor Eintritt",IF(AND(INDEX(Mitarbeiter!$D$6:$D$205,MATCH(B1977,Mitarbeiter!$A$6:$A$205,0))&lt;&gt;"",A1977&gt;INDEX(Mitarbeiter!$D$6:$D$205,MATCH(B1977,Mitarbeiter!$A$6:$A$205,0))),"nach Austritt","ok")))))))</f>
        <v/>
      </c>
    </row>
    <row r="1978">
      <c r="A1978" s="26" t="n"/>
      <c r="B1978" s="24" t="n"/>
      <c r="C1978" s="40">
        <f>IF(B1978="","",IFERROR(INDEX(Mitarbeiter!$B$6:$B$205,MATCH(B1978,Mitarbeiter!$A$6:$A$205,0)),"?"))</f>
        <v/>
      </c>
      <c r="D1978" s="41" t="n"/>
      <c r="E1978" s="42" t="n"/>
      <c r="F1978" s="43" t="n"/>
      <c r="G1978" s="44">
        <f>IF(OR(B1978="",F1978=""),"",IFERROR(F1978*INDEX(Mitarbeiter!$F$6:$F$205,MATCH(B1978,Mitarbeiter!$A$6:$A$205,0)),0))</f>
        <v/>
      </c>
      <c r="H1978" s="8">
        <f>IF(B1978="","",IF(ISNA(MATCH(B1978,Mitarbeiter!$A$6:$A$205,0)),"Pers.-Nr. unbekannt",IF(A1978="","Datum fehlt",IF(AND(D1978&lt;&gt;Einstellungen!$C$4,D1978&lt;&gt;Einstellungen!$C$5),"Objekt fehlt",IF(YEAR(A1978)&lt;&gt;Einstellungen!$C$3,"anderes Jahr",IF(A1978&lt;INDEX(Mitarbeiter!$C$6:$C$205,MATCH(B1978,Mitarbeiter!$A$6:$A$205,0)),"vor Eintritt",IF(AND(INDEX(Mitarbeiter!$D$6:$D$205,MATCH(B1978,Mitarbeiter!$A$6:$A$205,0))&lt;&gt;"",A1978&gt;INDEX(Mitarbeiter!$D$6:$D$205,MATCH(B1978,Mitarbeiter!$A$6:$A$205,0))),"nach Austritt","ok")))))))</f>
        <v/>
      </c>
    </row>
    <row r="1979">
      <c r="A1979" s="26" t="n"/>
      <c r="B1979" s="24" t="n"/>
      <c r="C1979" s="40">
        <f>IF(B1979="","",IFERROR(INDEX(Mitarbeiter!$B$6:$B$205,MATCH(B1979,Mitarbeiter!$A$6:$A$205,0)),"?"))</f>
        <v/>
      </c>
      <c r="D1979" s="41" t="n"/>
      <c r="E1979" s="42" t="n"/>
      <c r="F1979" s="43" t="n"/>
      <c r="G1979" s="44">
        <f>IF(OR(B1979="",F1979=""),"",IFERROR(F1979*INDEX(Mitarbeiter!$F$6:$F$205,MATCH(B1979,Mitarbeiter!$A$6:$A$205,0)),0))</f>
        <v/>
      </c>
      <c r="H1979" s="8">
        <f>IF(B1979="","",IF(ISNA(MATCH(B1979,Mitarbeiter!$A$6:$A$205,0)),"Pers.-Nr. unbekannt",IF(A1979="","Datum fehlt",IF(AND(D1979&lt;&gt;Einstellungen!$C$4,D1979&lt;&gt;Einstellungen!$C$5),"Objekt fehlt",IF(YEAR(A1979)&lt;&gt;Einstellungen!$C$3,"anderes Jahr",IF(A1979&lt;INDEX(Mitarbeiter!$C$6:$C$205,MATCH(B1979,Mitarbeiter!$A$6:$A$205,0)),"vor Eintritt",IF(AND(INDEX(Mitarbeiter!$D$6:$D$205,MATCH(B1979,Mitarbeiter!$A$6:$A$205,0))&lt;&gt;"",A1979&gt;INDEX(Mitarbeiter!$D$6:$D$205,MATCH(B1979,Mitarbeiter!$A$6:$A$205,0))),"nach Austritt","ok")))))))</f>
        <v/>
      </c>
    </row>
    <row r="1980">
      <c r="A1980" s="26" t="n"/>
      <c r="B1980" s="24" t="n"/>
      <c r="C1980" s="40">
        <f>IF(B1980="","",IFERROR(INDEX(Mitarbeiter!$B$6:$B$205,MATCH(B1980,Mitarbeiter!$A$6:$A$205,0)),"?"))</f>
        <v/>
      </c>
      <c r="D1980" s="41" t="n"/>
      <c r="E1980" s="42" t="n"/>
      <c r="F1980" s="43" t="n"/>
      <c r="G1980" s="44">
        <f>IF(OR(B1980="",F1980=""),"",IFERROR(F1980*INDEX(Mitarbeiter!$F$6:$F$205,MATCH(B1980,Mitarbeiter!$A$6:$A$205,0)),0))</f>
        <v/>
      </c>
      <c r="H1980" s="8">
        <f>IF(B1980="","",IF(ISNA(MATCH(B1980,Mitarbeiter!$A$6:$A$205,0)),"Pers.-Nr. unbekannt",IF(A1980="","Datum fehlt",IF(AND(D1980&lt;&gt;Einstellungen!$C$4,D1980&lt;&gt;Einstellungen!$C$5),"Objekt fehlt",IF(YEAR(A1980)&lt;&gt;Einstellungen!$C$3,"anderes Jahr",IF(A1980&lt;INDEX(Mitarbeiter!$C$6:$C$205,MATCH(B1980,Mitarbeiter!$A$6:$A$205,0)),"vor Eintritt",IF(AND(INDEX(Mitarbeiter!$D$6:$D$205,MATCH(B1980,Mitarbeiter!$A$6:$A$205,0))&lt;&gt;"",A1980&gt;INDEX(Mitarbeiter!$D$6:$D$205,MATCH(B1980,Mitarbeiter!$A$6:$A$205,0))),"nach Austritt","ok")))))))</f>
        <v/>
      </c>
    </row>
    <row r="1981">
      <c r="A1981" s="26" t="n"/>
      <c r="B1981" s="24" t="n"/>
      <c r="C1981" s="40">
        <f>IF(B1981="","",IFERROR(INDEX(Mitarbeiter!$B$6:$B$205,MATCH(B1981,Mitarbeiter!$A$6:$A$205,0)),"?"))</f>
        <v/>
      </c>
      <c r="D1981" s="41" t="n"/>
      <c r="E1981" s="42" t="n"/>
      <c r="F1981" s="43" t="n"/>
      <c r="G1981" s="44">
        <f>IF(OR(B1981="",F1981=""),"",IFERROR(F1981*INDEX(Mitarbeiter!$F$6:$F$205,MATCH(B1981,Mitarbeiter!$A$6:$A$205,0)),0))</f>
        <v/>
      </c>
      <c r="H1981" s="8">
        <f>IF(B1981="","",IF(ISNA(MATCH(B1981,Mitarbeiter!$A$6:$A$205,0)),"Pers.-Nr. unbekannt",IF(A1981="","Datum fehlt",IF(AND(D1981&lt;&gt;Einstellungen!$C$4,D1981&lt;&gt;Einstellungen!$C$5),"Objekt fehlt",IF(YEAR(A1981)&lt;&gt;Einstellungen!$C$3,"anderes Jahr",IF(A1981&lt;INDEX(Mitarbeiter!$C$6:$C$205,MATCH(B1981,Mitarbeiter!$A$6:$A$205,0)),"vor Eintritt",IF(AND(INDEX(Mitarbeiter!$D$6:$D$205,MATCH(B1981,Mitarbeiter!$A$6:$A$205,0))&lt;&gt;"",A1981&gt;INDEX(Mitarbeiter!$D$6:$D$205,MATCH(B1981,Mitarbeiter!$A$6:$A$205,0))),"nach Austritt","ok")))))))</f>
        <v/>
      </c>
    </row>
    <row r="1982">
      <c r="A1982" s="26" t="n"/>
      <c r="B1982" s="24" t="n"/>
      <c r="C1982" s="40">
        <f>IF(B1982="","",IFERROR(INDEX(Mitarbeiter!$B$6:$B$205,MATCH(B1982,Mitarbeiter!$A$6:$A$205,0)),"?"))</f>
        <v/>
      </c>
      <c r="D1982" s="41" t="n"/>
      <c r="E1982" s="42" t="n"/>
      <c r="F1982" s="43" t="n"/>
      <c r="G1982" s="44">
        <f>IF(OR(B1982="",F1982=""),"",IFERROR(F1982*INDEX(Mitarbeiter!$F$6:$F$205,MATCH(B1982,Mitarbeiter!$A$6:$A$205,0)),0))</f>
        <v/>
      </c>
      <c r="H1982" s="8">
        <f>IF(B1982="","",IF(ISNA(MATCH(B1982,Mitarbeiter!$A$6:$A$205,0)),"Pers.-Nr. unbekannt",IF(A1982="","Datum fehlt",IF(AND(D1982&lt;&gt;Einstellungen!$C$4,D1982&lt;&gt;Einstellungen!$C$5),"Objekt fehlt",IF(YEAR(A1982)&lt;&gt;Einstellungen!$C$3,"anderes Jahr",IF(A1982&lt;INDEX(Mitarbeiter!$C$6:$C$205,MATCH(B1982,Mitarbeiter!$A$6:$A$205,0)),"vor Eintritt",IF(AND(INDEX(Mitarbeiter!$D$6:$D$205,MATCH(B1982,Mitarbeiter!$A$6:$A$205,0))&lt;&gt;"",A1982&gt;INDEX(Mitarbeiter!$D$6:$D$205,MATCH(B1982,Mitarbeiter!$A$6:$A$205,0))),"nach Austritt","ok")))))))</f>
        <v/>
      </c>
    </row>
    <row r="1983">
      <c r="A1983" s="26" t="n"/>
      <c r="B1983" s="24" t="n"/>
      <c r="C1983" s="40">
        <f>IF(B1983="","",IFERROR(INDEX(Mitarbeiter!$B$6:$B$205,MATCH(B1983,Mitarbeiter!$A$6:$A$205,0)),"?"))</f>
        <v/>
      </c>
      <c r="D1983" s="41" t="n"/>
      <c r="E1983" s="42" t="n"/>
      <c r="F1983" s="43" t="n"/>
      <c r="G1983" s="44">
        <f>IF(OR(B1983="",F1983=""),"",IFERROR(F1983*INDEX(Mitarbeiter!$F$6:$F$205,MATCH(B1983,Mitarbeiter!$A$6:$A$205,0)),0))</f>
        <v/>
      </c>
      <c r="H1983" s="8">
        <f>IF(B1983="","",IF(ISNA(MATCH(B1983,Mitarbeiter!$A$6:$A$205,0)),"Pers.-Nr. unbekannt",IF(A1983="","Datum fehlt",IF(AND(D1983&lt;&gt;Einstellungen!$C$4,D1983&lt;&gt;Einstellungen!$C$5),"Objekt fehlt",IF(YEAR(A1983)&lt;&gt;Einstellungen!$C$3,"anderes Jahr",IF(A1983&lt;INDEX(Mitarbeiter!$C$6:$C$205,MATCH(B1983,Mitarbeiter!$A$6:$A$205,0)),"vor Eintritt",IF(AND(INDEX(Mitarbeiter!$D$6:$D$205,MATCH(B1983,Mitarbeiter!$A$6:$A$205,0))&lt;&gt;"",A1983&gt;INDEX(Mitarbeiter!$D$6:$D$205,MATCH(B1983,Mitarbeiter!$A$6:$A$205,0))),"nach Austritt","ok")))))))</f>
        <v/>
      </c>
    </row>
    <row r="1984">
      <c r="A1984" s="26" t="n"/>
      <c r="B1984" s="24" t="n"/>
      <c r="C1984" s="40">
        <f>IF(B1984="","",IFERROR(INDEX(Mitarbeiter!$B$6:$B$205,MATCH(B1984,Mitarbeiter!$A$6:$A$205,0)),"?"))</f>
        <v/>
      </c>
      <c r="D1984" s="41" t="n"/>
      <c r="E1984" s="42" t="n"/>
      <c r="F1984" s="43" t="n"/>
      <c r="G1984" s="44">
        <f>IF(OR(B1984="",F1984=""),"",IFERROR(F1984*INDEX(Mitarbeiter!$F$6:$F$205,MATCH(B1984,Mitarbeiter!$A$6:$A$205,0)),0))</f>
        <v/>
      </c>
      <c r="H1984" s="8">
        <f>IF(B1984="","",IF(ISNA(MATCH(B1984,Mitarbeiter!$A$6:$A$205,0)),"Pers.-Nr. unbekannt",IF(A1984="","Datum fehlt",IF(AND(D1984&lt;&gt;Einstellungen!$C$4,D1984&lt;&gt;Einstellungen!$C$5),"Objekt fehlt",IF(YEAR(A1984)&lt;&gt;Einstellungen!$C$3,"anderes Jahr",IF(A1984&lt;INDEX(Mitarbeiter!$C$6:$C$205,MATCH(B1984,Mitarbeiter!$A$6:$A$205,0)),"vor Eintritt",IF(AND(INDEX(Mitarbeiter!$D$6:$D$205,MATCH(B1984,Mitarbeiter!$A$6:$A$205,0))&lt;&gt;"",A1984&gt;INDEX(Mitarbeiter!$D$6:$D$205,MATCH(B1984,Mitarbeiter!$A$6:$A$205,0))),"nach Austritt","ok")))))))</f>
        <v/>
      </c>
    </row>
    <row r="1985">
      <c r="A1985" s="26" t="n"/>
      <c r="B1985" s="24" t="n"/>
      <c r="C1985" s="40">
        <f>IF(B1985="","",IFERROR(INDEX(Mitarbeiter!$B$6:$B$205,MATCH(B1985,Mitarbeiter!$A$6:$A$205,0)),"?"))</f>
        <v/>
      </c>
      <c r="D1985" s="41" t="n"/>
      <c r="E1985" s="42" t="n"/>
      <c r="F1985" s="43" t="n"/>
      <c r="G1985" s="44">
        <f>IF(OR(B1985="",F1985=""),"",IFERROR(F1985*INDEX(Mitarbeiter!$F$6:$F$205,MATCH(B1985,Mitarbeiter!$A$6:$A$205,0)),0))</f>
        <v/>
      </c>
      <c r="H1985" s="8">
        <f>IF(B1985="","",IF(ISNA(MATCH(B1985,Mitarbeiter!$A$6:$A$205,0)),"Pers.-Nr. unbekannt",IF(A1985="","Datum fehlt",IF(AND(D1985&lt;&gt;Einstellungen!$C$4,D1985&lt;&gt;Einstellungen!$C$5),"Objekt fehlt",IF(YEAR(A1985)&lt;&gt;Einstellungen!$C$3,"anderes Jahr",IF(A1985&lt;INDEX(Mitarbeiter!$C$6:$C$205,MATCH(B1985,Mitarbeiter!$A$6:$A$205,0)),"vor Eintritt",IF(AND(INDEX(Mitarbeiter!$D$6:$D$205,MATCH(B1985,Mitarbeiter!$A$6:$A$205,0))&lt;&gt;"",A1985&gt;INDEX(Mitarbeiter!$D$6:$D$205,MATCH(B1985,Mitarbeiter!$A$6:$A$205,0))),"nach Austritt","ok")))))))</f>
        <v/>
      </c>
    </row>
    <row r="1986">
      <c r="A1986" s="26" t="n"/>
      <c r="B1986" s="24" t="n"/>
      <c r="C1986" s="40">
        <f>IF(B1986="","",IFERROR(INDEX(Mitarbeiter!$B$6:$B$205,MATCH(B1986,Mitarbeiter!$A$6:$A$205,0)),"?"))</f>
        <v/>
      </c>
      <c r="D1986" s="41" t="n"/>
      <c r="E1986" s="42" t="n"/>
      <c r="F1986" s="43" t="n"/>
      <c r="G1986" s="44">
        <f>IF(OR(B1986="",F1986=""),"",IFERROR(F1986*INDEX(Mitarbeiter!$F$6:$F$205,MATCH(B1986,Mitarbeiter!$A$6:$A$205,0)),0))</f>
        <v/>
      </c>
      <c r="H1986" s="8">
        <f>IF(B1986="","",IF(ISNA(MATCH(B1986,Mitarbeiter!$A$6:$A$205,0)),"Pers.-Nr. unbekannt",IF(A1986="","Datum fehlt",IF(AND(D1986&lt;&gt;Einstellungen!$C$4,D1986&lt;&gt;Einstellungen!$C$5),"Objekt fehlt",IF(YEAR(A1986)&lt;&gt;Einstellungen!$C$3,"anderes Jahr",IF(A1986&lt;INDEX(Mitarbeiter!$C$6:$C$205,MATCH(B1986,Mitarbeiter!$A$6:$A$205,0)),"vor Eintritt",IF(AND(INDEX(Mitarbeiter!$D$6:$D$205,MATCH(B1986,Mitarbeiter!$A$6:$A$205,0))&lt;&gt;"",A1986&gt;INDEX(Mitarbeiter!$D$6:$D$205,MATCH(B1986,Mitarbeiter!$A$6:$A$205,0))),"nach Austritt","ok")))))))</f>
        <v/>
      </c>
    </row>
    <row r="1987">
      <c r="A1987" s="26" t="n"/>
      <c r="B1987" s="24" t="n"/>
      <c r="C1987" s="40">
        <f>IF(B1987="","",IFERROR(INDEX(Mitarbeiter!$B$6:$B$205,MATCH(B1987,Mitarbeiter!$A$6:$A$205,0)),"?"))</f>
        <v/>
      </c>
      <c r="D1987" s="41" t="n"/>
      <c r="E1987" s="42" t="n"/>
      <c r="F1987" s="43" t="n"/>
      <c r="G1987" s="44">
        <f>IF(OR(B1987="",F1987=""),"",IFERROR(F1987*INDEX(Mitarbeiter!$F$6:$F$205,MATCH(B1987,Mitarbeiter!$A$6:$A$205,0)),0))</f>
        <v/>
      </c>
      <c r="H1987" s="8">
        <f>IF(B1987="","",IF(ISNA(MATCH(B1987,Mitarbeiter!$A$6:$A$205,0)),"Pers.-Nr. unbekannt",IF(A1987="","Datum fehlt",IF(AND(D1987&lt;&gt;Einstellungen!$C$4,D1987&lt;&gt;Einstellungen!$C$5),"Objekt fehlt",IF(YEAR(A1987)&lt;&gt;Einstellungen!$C$3,"anderes Jahr",IF(A1987&lt;INDEX(Mitarbeiter!$C$6:$C$205,MATCH(B1987,Mitarbeiter!$A$6:$A$205,0)),"vor Eintritt",IF(AND(INDEX(Mitarbeiter!$D$6:$D$205,MATCH(B1987,Mitarbeiter!$A$6:$A$205,0))&lt;&gt;"",A1987&gt;INDEX(Mitarbeiter!$D$6:$D$205,MATCH(B1987,Mitarbeiter!$A$6:$A$205,0))),"nach Austritt","ok")))))))</f>
        <v/>
      </c>
    </row>
    <row r="1988">
      <c r="A1988" s="26" t="n"/>
      <c r="B1988" s="24" t="n"/>
      <c r="C1988" s="40">
        <f>IF(B1988="","",IFERROR(INDEX(Mitarbeiter!$B$6:$B$205,MATCH(B1988,Mitarbeiter!$A$6:$A$205,0)),"?"))</f>
        <v/>
      </c>
      <c r="D1988" s="41" t="n"/>
      <c r="E1988" s="42" t="n"/>
      <c r="F1988" s="43" t="n"/>
      <c r="G1988" s="44">
        <f>IF(OR(B1988="",F1988=""),"",IFERROR(F1988*INDEX(Mitarbeiter!$F$6:$F$205,MATCH(B1988,Mitarbeiter!$A$6:$A$205,0)),0))</f>
        <v/>
      </c>
      <c r="H1988" s="8">
        <f>IF(B1988="","",IF(ISNA(MATCH(B1988,Mitarbeiter!$A$6:$A$205,0)),"Pers.-Nr. unbekannt",IF(A1988="","Datum fehlt",IF(AND(D1988&lt;&gt;Einstellungen!$C$4,D1988&lt;&gt;Einstellungen!$C$5),"Objekt fehlt",IF(YEAR(A1988)&lt;&gt;Einstellungen!$C$3,"anderes Jahr",IF(A1988&lt;INDEX(Mitarbeiter!$C$6:$C$205,MATCH(B1988,Mitarbeiter!$A$6:$A$205,0)),"vor Eintritt",IF(AND(INDEX(Mitarbeiter!$D$6:$D$205,MATCH(B1988,Mitarbeiter!$A$6:$A$205,0))&lt;&gt;"",A1988&gt;INDEX(Mitarbeiter!$D$6:$D$205,MATCH(B1988,Mitarbeiter!$A$6:$A$205,0))),"nach Austritt","ok")))))))</f>
        <v/>
      </c>
    </row>
    <row r="1989">
      <c r="A1989" s="26" t="n"/>
      <c r="B1989" s="24" t="n"/>
      <c r="C1989" s="40">
        <f>IF(B1989="","",IFERROR(INDEX(Mitarbeiter!$B$6:$B$205,MATCH(B1989,Mitarbeiter!$A$6:$A$205,0)),"?"))</f>
        <v/>
      </c>
      <c r="D1989" s="41" t="n"/>
      <c r="E1989" s="42" t="n"/>
      <c r="F1989" s="43" t="n"/>
      <c r="G1989" s="44">
        <f>IF(OR(B1989="",F1989=""),"",IFERROR(F1989*INDEX(Mitarbeiter!$F$6:$F$205,MATCH(B1989,Mitarbeiter!$A$6:$A$205,0)),0))</f>
        <v/>
      </c>
      <c r="H1989" s="8">
        <f>IF(B1989="","",IF(ISNA(MATCH(B1989,Mitarbeiter!$A$6:$A$205,0)),"Pers.-Nr. unbekannt",IF(A1989="","Datum fehlt",IF(AND(D1989&lt;&gt;Einstellungen!$C$4,D1989&lt;&gt;Einstellungen!$C$5),"Objekt fehlt",IF(YEAR(A1989)&lt;&gt;Einstellungen!$C$3,"anderes Jahr",IF(A1989&lt;INDEX(Mitarbeiter!$C$6:$C$205,MATCH(B1989,Mitarbeiter!$A$6:$A$205,0)),"vor Eintritt",IF(AND(INDEX(Mitarbeiter!$D$6:$D$205,MATCH(B1989,Mitarbeiter!$A$6:$A$205,0))&lt;&gt;"",A1989&gt;INDEX(Mitarbeiter!$D$6:$D$205,MATCH(B1989,Mitarbeiter!$A$6:$A$205,0))),"nach Austritt","ok")))))))</f>
        <v/>
      </c>
    </row>
    <row r="1990">
      <c r="A1990" s="26" t="n"/>
      <c r="B1990" s="24" t="n"/>
      <c r="C1990" s="40">
        <f>IF(B1990="","",IFERROR(INDEX(Mitarbeiter!$B$6:$B$205,MATCH(B1990,Mitarbeiter!$A$6:$A$205,0)),"?"))</f>
        <v/>
      </c>
      <c r="D1990" s="41" t="n"/>
      <c r="E1990" s="42" t="n"/>
      <c r="F1990" s="43" t="n"/>
      <c r="G1990" s="44">
        <f>IF(OR(B1990="",F1990=""),"",IFERROR(F1990*INDEX(Mitarbeiter!$F$6:$F$205,MATCH(B1990,Mitarbeiter!$A$6:$A$205,0)),0))</f>
        <v/>
      </c>
      <c r="H1990" s="8">
        <f>IF(B1990="","",IF(ISNA(MATCH(B1990,Mitarbeiter!$A$6:$A$205,0)),"Pers.-Nr. unbekannt",IF(A1990="","Datum fehlt",IF(AND(D1990&lt;&gt;Einstellungen!$C$4,D1990&lt;&gt;Einstellungen!$C$5),"Objekt fehlt",IF(YEAR(A1990)&lt;&gt;Einstellungen!$C$3,"anderes Jahr",IF(A1990&lt;INDEX(Mitarbeiter!$C$6:$C$205,MATCH(B1990,Mitarbeiter!$A$6:$A$205,0)),"vor Eintritt",IF(AND(INDEX(Mitarbeiter!$D$6:$D$205,MATCH(B1990,Mitarbeiter!$A$6:$A$205,0))&lt;&gt;"",A1990&gt;INDEX(Mitarbeiter!$D$6:$D$205,MATCH(B1990,Mitarbeiter!$A$6:$A$205,0))),"nach Austritt","ok")))))))</f>
        <v/>
      </c>
    </row>
    <row r="1991">
      <c r="A1991" s="26" t="n"/>
      <c r="B1991" s="24" t="n"/>
      <c r="C1991" s="40">
        <f>IF(B1991="","",IFERROR(INDEX(Mitarbeiter!$B$6:$B$205,MATCH(B1991,Mitarbeiter!$A$6:$A$205,0)),"?"))</f>
        <v/>
      </c>
      <c r="D1991" s="41" t="n"/>
      <c r="E1991" s="42" t="n"/>
      <c r="F1991" s="43" t="n"/>
      <c r="G1991" s="44">
        <f>IF(OR(B1991="",F1991=""),"",IFERROR(F1991*INDEX(Mitarbeiter!$F$6:$F$205,MATCH(B1991,Mitarbeiter!$A$6:$A$205,0)),0))</f>
        <v/>
      </c>
      <c r="H1991" s="8">
        <f>IF(B1991="","",IF(ISNA(MATCH(B1991,Mitarbeiter!$A$6:$A$205,0)),"Pers.-Nr. unbekannt",IF(A1991="","Datum fehlt",IF(AND(D1991&lt;&gt;Einstellungen!$C$4,D1991&lt;&gt;Einstellungen!$C$5),"Objekt fehlt",IF(YEAR(A1991)&lt;&gt;Einstellungen!$C$3,"anderes Jahr",IF(A1991&lt;INDEX(Mitarbeiter!$C$6:$C$205,MATCH(B1991,Mitarbeiter!$A$6:$A$205,0)),"vor Eintritt",IF(AND(INDEX(Mitarbeiter!$D$6:$D$205,MATCH(B1991,Mitarbeiter!$A$6:$A$205,0))&lt;&gt;"",A1991&gt;INDEX(Mitarbeiter!$D$6:$D$205,MATCH(B1991,Mitarbeiter!$A$6:$A$205,0))),"nach Austritt","ok")))))))</f>
        <v/>
      </c>
    </row>
    <row r="1992">
      <c r="A1992" s="26" t="n"/>
      <c r="B1992" s="24" t="n"/>
      <c r="C1992" s="40">
        <f>IF(B1992="","",IFERROR(INDEX(Mitarbeiter!$B$6:$B$205,MATCH(B1992,Mitarbeiter!$A$6:$A$205,0)),"?"))</f>
        <v/>
      </c>
      <c r="D1992" s="41" t="n"/>
      <c r="E1992" s="42" t="n"/>
      <c r="F1992" s="43" t="n"/>
      <c r="G1992" s="44">
        <f>IF(OR(B1992="",F1992=""),"",IFERROR(F1992*INDEX(Mitarbeiter!$F$6:$F$205,MATCH(B1992,Mitarbeiter!$A$6:$A$205,0)),0))</f>
        <v/>
      </c>
      <c r="H1992" s="8">
        <f>IF(B1992="","",IF(ISNA(MATCH(B1992,Mitarbeiter!$A$6:$A$205,0)),"Pers.-Nr. unbekannt",IF(A1992="","Datum fehlt",IF(AND(D1992&lt;&gt;Einstellungen!$C$4,D1992&lt;&gt;Einstellungen!$C$5),"Objekt fehlt",IF(YEAR(A1992)&lt;&gt;Einstellungen!$C$3,"anderes Jahr",IF(A1992&lt;INDEX(Mitarbeiter!$C$6:$C$205,MATCH(B1992,Mitarbeiter!$A$6:$A$205,0)),"vor Eintritt",IF(AND(INDEX(Mitarbeiter!$D$6:$D$205,MATCH(B1992,Mitarbeiter!$A$6:$A$205,0))&lt;&gt;"",A1992&gt;INDEX(Mitarbeiter!$D$6:$D$205,MATCH(B1992,Mitarbeiter!$A$6:$A$205,0))),"nach Austritt","ok")))))))</f>
        <v/>
      </c>
    </row>
    <row r="1993">
      <c r="A1993" s="26" t="n"/>
      <c r="B1993" s="24" t="n"/>
      <c r="C1993" s="40">
        <f>IF(B1993="","",IFERROR(INDEX(Mitarbeiter!$B$6:$B$205,MATCH(B1993,Mitarbeiter!$A$6:$A$205,0)),"?"))</f>
        <v/>
      </c>
      <c r="D1993" s="41" t="n"/>
      <c r="E1993" s="42" t="n"/>
      <c r="F1993" s="43" t="n"/>
      <c r="G1993" s="44">
        <f>IF(OR(B1993="",F1993=""),"",IFERROR(F1993*INDEX(Mitarbeiter!$F$6:$F$205,MATCH(B1993,Mitarbeiter!$A$6:$A$205,0)),0))</f>
        <v/>
      </c>
      <c r="H1993" s="8">
        <f>IF(B1993="","",IF(ISNA(MATCH(B1993,Mitarbeiter!$A$6:$A$205,0)),"Pers.-Nr. unbekannt",IF(A1993="","Datum fehlt",IF(AND(D1993&lt;&gt;Einstellungen!$C$4,D1993&lt;&gt;Einstellungen!$C$5),"Objekt fehlt",IF(YEAR(A1993)&lt;&gt;Einstellungen!$C$3,"anderes Jahr",IF(A1993&lt;INDEX(Mitarbeiter!$C$6:$C$205,MATCH(B1993,Mitarbeiter!$A$6:$A$205,0)),"vor Eintritt",IF(AND(INDEX(Mitarbeiter!$D$6:$D$205,MATCH(B1993,Mitarbeiter!$A$6:$A$205,0))&lt;&gt;"",A1993&gt;INDEX(Mitarbeiter!$D$6:$D$205,MATCH(B1993,Mitarbeiter!$A$6:$A$205,0))),"nach Austritt","ok")))))))</f>
        <v/>
      </c>
    </row>
    <row r="1994">
      <c r="A1994" s="26" t="n"/>
      <c r="B1994" s="24" t="n"/>
      <c r="C1994" s="40">
        <f>IF(B1994="","",IFERROR(INDEX(Mitarbeiter!$B$6:$B$205,MATCH(B1994,Mitarbeiter!$A$6:$A$205,0)),"?"))</f>
        <v/>
      </c>
      <c r="D1994" s="41" t="n"/>
      <c r="E1994" s="42" t="n"/>
      <c r="F1994" s="43" t="n"/>
      <c r="G1994" s="44">
        <f>IF(OR(B1994="",F1994=""),"",IFERROR(F1994*INDEX(Mitarbeiter!$F$6:$F$205,MATCH(B1994,Mitarbeiter!$A$6:$A$205,0)),0))</f>
        <v/>
      </c>
      <c r="H1994" s="8">
        <f>IF(B1994="","",IF(ISNA(MATCH(B1994,Mitarbeiter!$A$6:$A$205,0)),"Pers.-Nr. unbekannt",IF(A1994="","Datum fehlt",IF(AND(D1994&lt;&gt;Einstellungen!$C$4,D1994&lt;&gt;Einstellungen!$C$5),"Objekt fehlt",IF(YEAR(A1994)&lt;&gt;Einstellungen!$C$3,"anderes Jahr",IF(A1994&lt;INDEX(Mitarbeiter!$C$6:$C$205,MATCH(B1994,Mitarbeiter!$A$6:$A$205,0)),"vor Eintritt",IF(AND(INDEX(Mitarbeiter!$D$6:$D$205,MATCH(B1994,Mitarbeiter!$A$6:$A$205,0))&lt;&gt;"",A1994&gt;INDEX(Mitarbeiter!$D$6:$D$205,MATCH(B1994,Mitarbeiter!$A$6:$A$205,0))),"nach Austritt","ok")))))))</f>
        <v/>
      </c>
    </row>
    <row r="1995">
      <c r="A1995" s="26" t="n"/>
      <c r="B1995" s="24" t="n"/>
      <c r="C1995" s="40">
        <f>IF(B1995="","",IFERROR(INDEX(Mitarbeiter!$B$6:$B$205,MATCH(B1995,Mitarbeiter!$A$6:$A$205,0)),"?"))</f>
        <v/>
      </c>
      <c r="D1995" s="41" t="n"/>
      <c r="E1995" s="42" t="n"/>
      <c r="F1995" s="43" t="n"/>
      <c r="G1995" s="44">
        <f>IF(OR(B1995="",F1995=""),"",IFERROR(F1995*INDEX(Mitarbeiter!$F$6:$F$205,MATCH(B1995,Mitarbeiter!$A$6:$A$205,0)),0))</f>
        <v/>
      </c>
      <c r="H1995" s="8">
        <f>IF(B1995="","",IF(ISNA(MATCH(B1995,Mitarbeiter!$A$6:$A$205,0)),"Pers.-Nr. unbekannt",IF(A1995="","Datum fehlt",IF(AND(D1995&lt;&gt;Einstellungen!$C$4,D1995&lt;&gt;Einstellungen!$C$5),"Objekt fehlt",IF(YEAR(A1995)&lt;&gt;Einstellungen!$C$3,"anderes Jahr",IF(A1995&lt;INDEX(Mitarbeiter!$C$6:$C$205,MATCH(B1995,Mitarbeiter!$A$6:$A$205,0)),"vor Eintritt",IF(AND(INDEX(Mitarbeiter!$D$6:$D$205,MATCH(B1995,Mitarbeiter!$A$6:$A$205,0))&lt;&gt;"",A1995&gt;INDEX(Mitarbeiter!$D$6:$D$205,MATCH(B1995,Mitarbeiter!$A$6:$A$205,0))),"nach Austritt","ok")))))))</f>
        <v/>
      </c>
    </row>
    <row r="1996">
      <c r="A1996" s="26" t="n"/>
      <c r="B1996" s="24" t="n"/>
      <c r="C1996" s="40">
        <f>IF(B1996="","",IFERROR(INDEX(Mitarbeiter!$B$6:$B$205,MATCH(B1996,Mitarbeiter!$A$6:$A$205,0)),"?"))</f>
        <v/>
      </c>
      <c r="D1996" s="41" t="n"/>
      <c r="E1996" s="42" t="n"/>
      <c r="F1996" s="43" t="n"/>
      <c r="G1996" s="44">
        <f>IF(OR(B1996="",F1996=""),"",IFERROR(F1996*INDEX(Mitarbeiter!$F$6:$F$205,MATCH(B1996,Mitarbeiter!$A$6:$A$205,0)),0))</f>
        <v/>
      </c>
      <c r="H1996" s="8">
        <f>IF(B1996="","",IF(ISNA(MATCH(B1996,Mitarbeiter!$A$6:$A$205,0)),"Pers.-Nr. unbekannt",IF(A1996="","Datum fehlt",IF(AND(D1996&lt;&gt;Einstellungen!$C$4,D1996&lt;&gt;Einstellungen!$C$5),"Objekt fehlt",IF(YEAR(A1996)&lt;&gt;Einstellungen!$C$3,"anderes Jahr",IF(A1996&lt;INDEX(Mitarbeiter!$C$6:$C$205,MATCH(B1996,Mitarbeiter!$A$6:$A$205,0)),"vor Eintritt",IF(AND(INDEX(Mitarbeiter!$D$6:$D$205,MATCH(B1996,Mitarbeiter!$A$6:$A$205,0))&lt;&gt;"",A1996&gt;INDEX(Mitarbeiter!$D$6:$D$205,MATCH(B1996,Mitarbeiter!$A$6:$A$205,0))),"nach Austritt","ok")))))))</f>
        <v/>
      </c>
    </row>
    <row r="1997">
      <c r="A1997" s="26" t="n"/>
      <c r="B1997" s="24" t="n"/>
      <c r="C1997" s="40">
        <f>IF(B1997="","",IFERROR(INDEX(Mitarbeiter!$B$6:$B$205,MATCH(B1997,Mitarbeiter!$A$6:$A$205,0)),"?"))</f>
        <v/>
      </c>
      <c r="D1997" s="41" t="n"/>
      <c r="E1997" s="42" t="n"/>
      <c r="F1997" s="43" t="n"/>
      <c r="G1997" s="44">
        <f>IF(OR(B1997="",F1997=""),"",IFERROR(F1997*INDEX(Mitarbeiter!$F$6:$F$205,MATCH(B1997,Mitarbeiter!$A$6:$A$205,0)),0))</f>
        <v/>
      </c>
      <c r="H1997" s="8">
        <f>IF(B1997="","",IF(ISNA(MATCH(B1997,Mitarbeiter!$A$6:$A$205,0)),"Pers.-Nr. unbekannt",IF(A1997="","Datum fehlt",IF(AND(D1997&lt;&gt;Einstellungen!$C$4,D1997&lt;&gt;Einstellungen!$C$5),"Objekt fehlt",IF(YEAR(A1997)&lt;&gt;Einstellungen!$C$3,"anderes Jahr",IF(A1997&lt;INDEX(Mitarbeiter!$C$6:$C$205,MATCH(B1997,Mitarbeiter!$A$6:$A$205,0)),"vor Eintritt",IF(AND(INDEX(Mitarbeiter!$D$6:$D$205,MATCH(B1997,Mitarbeiter!$A$6:$A$205,0))&lt;&gt;"",A1997&gt;INDEX(Mitarbeiter!$D$6:$D$205,MATCH(B1997,Mitarbeiter!$A$6:$A$205,0))),"nach Austritt","ok")))))))</f>
        <v/>
      </c>
    </row>
    <row r="1998">
      <c r="A1998" s="26" t="n"/>
      <c r="B1998" s="24" t="n"/>
      <c r="C1998" s="40">
        <f>IF(B1998="","",IFERROR(INDEX(Mitarbeiter!$B$6:$B$205,MATCH(B1998,Mitarbeiter!$A$6:$A$205,0)),"?"))</f>
        <v/>
      </c>
      <c r="D1998" s="41" t="n"/>
      <c r="E1998" s="42" t="n"/>
      <c r="F1998" s="43" t="n"/>
      <c r="G1998" s="44">
        <f>IF(OR(B1998="",F1998=""),"",IFERROR(F1998*INDEX(Mitarbeiter!$F$6:$F$205,MATCH(B1998,Mitarbeiter!$A$6:$A$205,0)),0))</f>
        <v/>
      </c>
      <c r="H1998" s="8">
        <f>IF(B1998="","",IF(ISNA(MATCH(B1998,Mitarbeiter!$A$6:$A$205,0)),"Pers.-Nr. unbekannt",IF(A1998="","Datum fehlt",IF(AND(D1998&lt;&gt;Einstellungen!$C$4,D1998&lt;&gt;Einstellungen!$C$5),"Objekt fehlt",IF(YEAR(A1998)&lt;&gt;Einstellungen!$C$3,"anderes Jahr",IF(A1998&lt;INDEX(Mitarbeiter!$C$6:$C$205,MATCH(B1998,Mitarbeiter!$A$6:$A$205,0)),"vor Eintritt",IF(AND(INDEX(Mitarbeiter!$D$6:$D$205,MATCH(B1998,Mitarbeiter!$A$6:$A$205,0))&lt;&gt;"",A1998&gt;INDEX(Mitarbeiter!$D$6:$D$205,MATCH(B1998,Mitarbeiter!$A$6:$A$205,0))),"nach Austritt","ok")))))))</f>
        <v/>
      </c>
    </row>
    <row r="1999">
      <c r="A1999" s="26" t="n"/>
      <c r="B1999" s="24" t="n"/>
      <c r="C1999" s="40">
        <f>IF(B1999="","",IFERROR(INDEX(Mitarbeiter!$B$6:$B$205,MATCH(B1999,Mitarbeiter!$A$6:$A$205,0)),"?"))</f>
        <v/>
      </c>
      <c r="D1999" s="41" t="n"/>
      <c r="E1999" s="42" t="n"/>
      <c r="F1999" s="43" t="n"/>
      <c r="G1999" s="44">
        <f>IF(OR(B1999="",F1999=""),"",IFERROR(F1999*INDEX(Mitarbeiter!$F$6:$F$205,MATCH(B1999,Mitarbeiter!$A$6:$A$205,0)),0))</f>
        <v/>
      </c>
      <c r="H1999" s="8">
        <f>IF(B1999="","",IF(ISNA(MATCH(B1999,Mitarbeiter!$A$6:$A$205,0)),"Pers.-Nr. unbekannt",IF(A1999="","Datum fehlt",IF(AND(D1999&lt;&gt;Einstellungen!$C$4,D1999&lt;&gt;Einstellungen!$C$5),"Objekt fehlt",IF(YEAR(A1999)&lt;&gt;Einstellungen!$C$3,"anderes Jahr",IF(A1999&lt;INDEX(Mitarbeiter!$C$6:$C$205,MATCH(B1999,Mitarbeiter!$A$6:$A$205,0)),"vor Eintritt",IF(AND(INDEX(Mitarbeiter!$D$6:$D$205,MATCH(B1999,Mitarbeiter!$A$6:$A$205,0))&lt;&gt;"",A1999&gt;INDEX(Mitarbeiter!$D$6:$D$205,MATCH(B1999,Mitarbeiter!$A$6:$A$205,0))),"nach Austritt","ok")))))))</f>
        <v/>
      </c>
    </row>
    <row r="2000">
      <c r="A2000" s="26" t="n"/>
      <c r="B2000" s="24" t="n"/>
      <c r="C2000" s="40">
        <f>IF(B2000="","",IFERROR(INDEX(Mitarbeiter!$B$6:$B$205,MATCH(B2000,Mitarbeiter!$A$6:$A$205,0)),"?"))</f>
        <v/>
      </c>
      <c r="D2000" s="41" t="n"/>
      <c r="E2000" s="42" t="n"/>
      <c r="F2000" s="43" t="n"/>
      <c r="G2000" s="44">
        <f>IF(OR(B2000="",F2000=""),"",IFERROR(F2000*INDEX(Mitarbeiter!$F$6:$F$205,MATCH(B2000,Mitarbeiter!$A$6:$A$205,0)),0))</f>
        <v/>
      </c>
      <c r="H2000" s="8">
        <f>IF(B2000="","",IF(ISNA(MATCH(B2000,Mitarbeiter!$A$6:$A$205,0)),"Pers.-Nr. unbekannt",IF(A2000="","Datum fehlt",IF(AND(D2000&lt;&gt;Einstellungen!$C$4,D2000&lt;&gt;Einstellungen!$C$5),"Objekt fehlt",IF(YEAR(A2000)&lt;&gt;Einstellungen!$C$3,"anderes Jahr",IF(A2000&lt;INDEX(Mitarbeiter!$C$6:$C$205,MATCH(B2000,Mitarbeiter!$A$6:$A$205,0)),"vor Eintritt",IF(AND(INDEX(Mitarbeiter!$D$6:$D$205,MATCH(B2000,Mitarbeiter!$A$6:$A$205,0))&lt;&gt;"",A2000&gt;INDEX(Mitarbeiter!$D$6:$D$205,MATCH(B2000,Mitarbeiter!$A$6:$A$205,0))),"nach Austritt","ok")))))))</f>
        <v/>
      </c>
    </row>
    <row r="2001">
      <c r="A2001" s="26" t="n"/>
      <c r="B2001" s="24" t="n"/>
      <c r="C2001" s="40">
        <f>IF(B2001="","",IFERROR(INDEX(Mitarbeiter!$B$6:$B$205,MATCH(B2001,Mitarbeiter!$A$6:$A$205,0)),"?"))</f>
        <v/>
      </c>
      <c r="D2001" s="41" t="n"/>
      <c r="E2001" s="42" t="n"/>
      <c r="F2001" s="43" t="n"/>
      <c r="G2001" s="44">
        <f>IF(OR(B2001="",F2001=""),"",IFERROR(F2001*INDEX(Mitarbeiter!$F$6:$F$205,MATCH(B2001,Mitarbeiter!$A$6:$A$205,0)),0))</f>
        <v/>
      </c>
      <c r="H2001" s="8">
        <f>IF(B2001="","",IF(ISNA(MATCH(B2001,Mitarbeiter!$A$6:$A$205,0)),"Pers.-Nr. unbekannt",IF(A2001="","Datum fehlt",IF(AND(D2001&lt;&gt;Einstellungen!$C$4,D2001&lt;&gt;Einstellungen!$C$5),"Objekt fehlt",IF(YEAR(A2001)&lt;&gt;Einstellungen!$C$3,"anderes Jahr",IF(A2001&lt;INDEX(Mitarbeiter!$C$6:$C$205,MATCH(B2001,Mitarbeiter!$A$6:$A$205,0)),"vor Eintritt",IF(AND(INDEX(Mitarbeiter!$D$6:$D$205,MATCH(B2001,Mitarbeiter!$A$6:$A$205,0))&lt;&gt;"",A2001&gt;INDEX(Mitarbeiter!$D$6:$D$205,MATCH(B2001,Mitarbeiter!$A$6:$A$205,0))),"nach Austritt","ok")))))))</f>
        <v/>
      </c>
    </row>
    <row r="2002">
      <c r="A2002" s="26" t="n"/>
      <c r="B2002" s="24" t="n"/>
      <c r="C2002" s="40">
        <f>IF(B2002="","",IFERROR(INDEX(Mitarbeiter!$B$6:$B$205,MATCH(B2002,Mitarbeiter!$A$6:$A$205,0)),"?"))</f>
        <v/>
      </c>
      <c r="D2002" s="41" t="n"/>
      <c r="E2002" s="42" t="n"/>
      <c r="F2002" s="43" t="n"/>
      <c r="G2002" s="44">
        <f>IF(OR(B2002="",F2002=""),"",IFERROR(F2002*INDEX(Mitarbeiter!$F$6:$F$205,MATCH(B2002,Mitarbeiter!$A$6:$A$205,0)),0))</f>
        <v/>
      </c>
      <c r="H2002" s="8">
        <f>IF(B2002="","",IF(ISNA(MATCH(B2002,Mitarbeiter!$A$6:$A$205,0)),"Pers.-Nr. unbekannt",IF(A2002="","Datum fehlt",IF(AND(D2002&lt;&gt;Einstellungen!$C$4,D2002&lt;&gt;Einstellungen!$C$5),"Objekt fehlt",IF(YEAR(A2002)&lt;&gt;Einstellungen!$C$3,"anderes Jahr",IF(A2002&lt;INDEX(Mitarbeiter!$C$6:$C$205,MATCH(B2002,Mitarbeiter!$A$6:$A$205,0)),"vor Eintritt",IF(AND(INDEX(Mitarbeiter!$D$6:$D$205,MATCH(B2002,Mitarbeiter!$A$6:$A$205,0))&lt;&gt;"",A2002&gt;INDEX(Mitarbeiter!$D$6:$D$205,MATCH(B2002,Mitarbeiter!$A$6:$A$205,0))),"nach Austritt","ok")))))))</f>
        <v/>
      </c>
    </row>
    <row r="2003">
      <c r="A2003" s="26" t="n"/>
      <c r="B2003" s="24" t="n"/>
      <c r="C2003" s="40">
        <f>IF(B2003="","",IFERROR(INDEX(Mitarbeiter!$B$6:$B$205,MATCH(B2003,Mitarbeiter!$A$6:$A$205,0)),"?"))</f>
        <v/>
      </c>
      <c r="D2003" s="41" t="n"/>
      <c r="E2003" s="42" t="n"/>
      <c r="F2003" s="43" t="n"/>
      <c r="G2003" s="44">
        <f>IF(OR(B2003="",F2003=""),"",IFERROR(F2003*INDEX(Mitarbeiter!$F$6:$F$205,MATCH(B2003,Mitarbeiter!$A$6:$A$205,0)),0))</f>
        <v/>
      </c>
      <c r="H2003" s="8">
        <f>IF(B2003="","",IF(ISNA(MATCH(B2003,Mitarbeiter!$A$6:$A$205,0)),"Pers.-Nr. unbekannt",IF(A2003="","Datum fehlt",IF(AND(D2003&lt;&gt;Einstellungen!$C$4,D2003&lt;&gt;Einstellungen!$C$5),"Objekt fehlt",IF(YEAR(A2003)&lt;&gt;Einstellungen!$C$3,"anderes Jahr",IF(A2003&lt;INDEX(Mitarbeiter!$C$6:$C$205,MATCH(B2003,Mitarbeiter!$A$6:$A$205,0)),"vor Eintritt",IF(AND(INDEX(Mitarbeiter!$D$6:$D$205,MATCH(B2003,Mitarbeiter!$A$6:$A$205,0))&lt;&gt;"",A2003&gt;INDEX(Mitarbeiter!$D$6:$D$205,MATCH(B2003,Mitarbeiter!$A$6:$A$205,0))),"nach Austritt","ok")))))))</f>
        <v/>
      </c>
    </row>
    <row r="2004">
      <c r="A2004" s="26" t="n"/>
      <c r="B2004" s="24" t="n"/>
      <c r="C2004" s="40">
        <f>IF(B2004="","",IFERROR(INDEX(Mitarbeiter!$B$6:$B$205,MATCH(B2004,Mitarbeiter!$A$6:$A$205,0)),"?"))</f>
        <v/>
      </c>
      <c r="D2004" s="41" t="n"/>
      <c r="E2004" s="42" t="n"/>
      <c r="F2004" s="43" t="n"/>
      <c r="G2004" s="44">
        <f>IF(OR(B2004="",F2004=""),"",IFERROR(F2004*INDEX(Mitarbeiter!$F$6:$F$205,MATCH(B2004,Mitarbeiter!$A$6:$A$205,0)),0))</f>
        <v/>
      </c>
      <c r="H2004" s="8">
        <f>IF(B2004="","",IF(ISNA(MATCH(B2004,Mitarbeiter!$A$6:$A$205,0)),"Pers.-Nr. unbekannt",IF(A2004="","Datum fehlt",IF(AND(D2004&lt;&gt;Einstellungen!$C$4,D2004&lt;&gt;Einstellungen!$C$5),"Objekt fehlt",IF(YEAR(A2004)&lt;&gt;Einstellungen!$C$3,"anderes Jahr",IF(A2004&lt;INDEX(Mitarbeiter!$C$6:$C$205,MATCH(B2004,Mitarbeiter!$A$6:$A$205,0)),"vor Eintritt",IF(AND(INDEX(Mitarbeiter!$D$6:$D$205,MATCH(B2004,Mitarbeiter!$A$6:$A$205,0))&lt;&gt;"",A2004&gt;INDEX(Mitarbeiter!$D$6:$D$205,MATCH(B2004,Mitarbeiter!$A$6:$A$205,0))),"nach Austritt","ok")))))))</f>
        <v/>
      </c>
    </row>
    <row r="2005">
      <c r="A2005" s="26" t="n"/>
      <c r="B2005" s="24" t="n"/>
      <c r="C2005" s="40">
        <f>IF(B2005="","",IFERROR(INDEX(Mitarbeiter!$B$6:$B$205,MATCH(B2005,Mitarbeiter!$A$6:$A$205,0)),"?"))</f>
        <v/>
      </c>
      <c r="D2005" s="41" t="n"/>
      <c r="E2005" s="42" t="n"/>
      <c r="F2005" s="43" t="n"/>
      <c r="G2005" s="44">
        <f>IF(OR(B2005="",F2005=""),"",IFERROR(F2005*INDEX(Mitarbeiter!$F$6:$F$205,MATCH(B2005,Mitarbeiter!$A$6:$A$205,0)),0))</f>
        <v/>
      </c>
      <c r="H2005" s="8">
        <f>IF(B2005="","",IF(ISNA(MATCH(B2005,Mitarbeiter!$A$6:$A$205,0)),"Pers.-Nr. unbekannt",IF(A2005="","Datum fehlt",IF(AND(D2005&lt;&gt;Einstellungen!$C$4,D2005&lt;&gt;Einstellungen!$C$5),"Objekt fehlt",IF(YEAR(A2005)&lt;&gt;Einstellungen!$C$3,"anderes Jahr",IF(A2005&lt;INDEX(Mitarbeiter!$C$6:$C$205,MATCH(B2005,Mitarbeiter!$A$6:$A$205,0)),"vor Eintritt",IF(AND(INDEX(Mitarbeiter!$D$6:$D$205,MATCH(B2005,Mitarbeiter!$A$6:$A$205,0))&lt;&gt;"",A2005&gt;INDEX(Mitarbeiter!$D$6:$D$205,MATCH(B2005,Mitarbeiter!$A$6:$A$205,0))),"nach Austritt","ok")))))))</f>
        <v/>
      </c>
    </row>
    <row r="2006">
      <c r="A2006" s="26" t="n"/>
      <c r="B2006" s="24" t="n"/>
      <c r="C2006" s="40">
        <f>IF(B2006="","",IFERROR(INDEX(Mitarbeiter!$B$6:$B$205,MATCH(B2006,Mitarbeiter!$A$6:$A$205,0)),"?"))</f>
        <v/>
      </c>
      <c r="D2006" s="41" t="n"/>
      <c r="E2006" s="42" t="n"/>
      <c r="F2006" s="43" t="n"/>
      <c r="G2006" s="44">
        <f>IF(OR(B2006="",F2006=""),"",IFERROR(F2006*INDEX(Mitarbeiter!$F$6:$F$205,MATCH(B2006,Mitarbeiter!$A$6:$A$205,0)),0))</f>
        <v/>
      </c>
      <c r="H2006" s="8">
        <f>IF(B2006="","",IF(ISNA(MATCH(B2006,Mitarbeiter!$A$6:$A$205,0)),"Pers.-Nr. unbekannt",IF(A2006="","Datum fehlt",IF(AND(D2006&lt;&gt;Einstellungen!$C$4,D2006&lt;&gt;Einstellungen!$C$5),"Objekt fehlt",IF(YEAR(A2006)&lt;&gt;Einstellungen!$C$3,"anderes Jahr",IF(A2006&lt;INDEX(Mitarbeiter!$C$6:$C$205,MATCH(B2006,Mitarbeiter!$A$6:$A$205,0)),"vor Eintritt",IF(AND(INDEX(Mitarbeiter!$D$6:$D$205,MATCH(B2006,Mitarbeiter!$A$6:$A$205,0))&lt;&gt;"",A2006&gt;INDEX(Mitarbeiter!$D$6:$D$205,MATCH(B2006,Mitarbeiter!$A$6:$A$205,0))),"nach Austritt","ok")))))))</f>
        <v/>
      </c>
    </row>
    <row r="2007">
      <c r="A2007" s="26" t="n"/>
      <c r="B2007" s="24" t="n"/>
      <c r="C2007" s="40">
        <f>IF(B2007="","",IFERROR(INDEX(Mitarbeiter!$B$6:$B$205,MATCH(B2007,Mitarbeiter!$A$6:$A$205,0)),"?"))</f>
        <v/>
      </c>
      <c r="D2007" s="41" t="n"/>
      <c r="E2007" s="42" t="n"/>
      <c r="F2007" s="43" t="n"/>
      <c r="G2007" s="44">
        <f>IF(OR(B2007="",F2007=""),"",IFERROR(F2007*INDEX(Mitarbeiter!$F$6:$F$205,MATCH(B2007,Mitarbeiter!$A$6:$A$205,0)),0))</f>
        <v/>
      </c>
      <c r="H2007" s="8">
        <f>IF(B2007="","",IF(ISNA(MATCH(B2007,Mitarbeiter!$A$6:$A$205,0)),"Pers.-Nr. unbekannt",IF(A2007="","Datum fehlt",IF(AND(D2007&lt;&gt;Einstellungen!$C$4,D2007&lt;&gt;Einstellungen!$C$5),"Objekt fehlt",IF(YEAR(A2007)&lt;&gt;Einstellungen!$C$3,"anderes Jahr",IF(A2007&lt;INDEX(Mitarbeiter!$C$6:$C$205,MATCH(B2007,Mitarbeiter!$A$6:$A$205,0)),"vor Eintritt",IF(AND(INDEX(Mitarbeiter!$D$6:$D$205,MATCH(B2007,Mitarbeiter!$A$6:$A$205,0))&lt;&gt;"",A2007&gt;INDEX(Mitarbeiter!$D$6:$D$205,MATCH(B2007,Mitarbeiter!$A$6:$A$205,0))),"nach Austritt","ok")))))))</f>
        <v/>
      </c>
    </row>
    <row r="2008">
      <c r="A2008" s="26" t="n"/>
      <c r="B2008" s="24" t="n"/>
      <c r="C2008" s="40">
        <f>IF(B2008="","",IFERROR(INDEX(Mitarbeiter!$B$6:$B$205,MATCH(B2008,Mitarbeiter!$A$6:$A$205,0)),"?"))</f>
        <v/>
      </c>
      <c r="D2008" s="41" t="n"/>
      <c r="E2008" s="42" t="n"/>
      <c r="F2008" s="43" t="n"/>
      <c r="G2008" s="44">
        <f>IF(OR(B2008="",F2008=""),"",IFERROR(F2008*INDEX(Mitarbeiter!$F$6:$F$205,MATCH(B2008,Mitarbeiter!$A$6:$A$205,0)),0))</f>
        <v/>
      </c>
      <c r="H2008" s="8">
        <f>IF(B2008="","",IF(ISNA(MATCH(B2008,Mitarbeiter!$A$6:$A$205,0)),"Pers.-Nr. unbekannt",IF(A2008="","Datum fehlt",IF(AND(D2008&lt;&gt;Einstellungen!$C$4,D2008&lt;&gt;Einstellungen!$C$5),"Objekt fehlt",IF(YEAR(A2008)&lt;&gt;Einstellungen!$C$3,"anderes Jahr",IF(A2008&lt;INDEX(Mitarbeiter!$C$6:$C$205,MATCH(B2008,Mitarbeiter!$A$6:$A$205,0)),"vor Eintritt",IF(AND(INDEX(Mitarbeiter!$D$6:$D$205,MATCH(B2008,Mitarbeiter!$A$6:$A$205,0))&lt;&gt;"",A2008&gt;INDEX(Mitarbeiter!$D$6:$D$205,MATCH(B2008,Mitarbeiter!$A$6:$A$205,0))),"nach Austritt","ok")))))))</f>
        <v/>
      </c>
    </row>
    <row r="2009">
      <c r="A2009" s="26" t="n"/>
      <c r="B2009" s="24" t="n"/>
      <c r="C2009" s="40">
        <f>IF(B2009="","",IFERROR(INDEX(Mitarbeiter!$B$6:$B$205,MATCH(B2009,Mitarbeiter!$A$6:$A$205,0)),"?"))</f>
        <v/>
      </c>
      <c r="D2009" s="41" t="n"/>
      <c r="E2009" s="42" t="n"/>
      <c r="F2009" s="43" t="n"/>
      <c r="G2009" s="44">
        <f>IF(OR(B2009="",F2009=""),"",IFERROR(F2009*INDEX(Mitarbeiter!$F$6:$F$205,MATCH(B2009,Mitarbeiter!$A$6:$A$205,0)),0))</f>
        <v/>
      </c>
      <c r="H2009" s="8">
        <f>IF(B2009="","",IF(ISNA(MATCH(B2009,Mitarbeiter!$A$6:$A$205,0)),"Pers.-Nr. unbekannt",IF(A2009="","Datum fehlt",IF(AND(D2009&lt;&gt;Einstellungen!$C$4,D2009&lt;&gt;Einstellungen!$C$5),"Objekt fehlt",IF(YEAR(A2009)&lt;&gt;Einstellungen!$C$3,"anderes Jahr",IF(A2009&lt;INDEX(Mitarbeiter!$C$6:$C$205,MATCH(B2009,Mitarbeiter!$A$6:$A$205,0)),"vor Eintritt",IF(AND(INDEX(Mitarbeiter!$D$6:$D$205,MATCH(B2009,Mitarbeiter!$A$6:$A$205,0))&lt;&gt;"",A2009&gt;INDEX(Mitarbeiter!$D$6:$D$205,MATCH(B2009,Mitarbeiter!$A$6:$A$205,0))),"nach Austritt","ok")))))))</f>
        <v/>
      </c>
    </row>
    <row r="2010">
      <c r="A2010" s="26" t="n"/>
      <c r="B2010" s="24" t="n"/>
      <c r="C2010" s="40">
        <f>IF(B2010="","",IFERROR(INDEX(Mitarbeiter!$B$6:$B$205,MATCH(B2010,Mitarbeiter!$A$6:$A$205,0)),"?"))</f>
        <v/>
      </c>
      <c r="D2010" s="41" t="n"/>
      <c r="E2010" s="42" t="n"/>
      <c r="F2010" s="43" t="n"/>
      <c r="G2010" s="44">
        <f>IF(OR(B2010="",F2010=""),"",IFERROR(F2010*INDEX(Mitarbeiter!$F$6:$F$205,MATCH(B2010,Mitarbeiter!$A$6:$A$205,0)),0))</f>
        <v/>
      </c>
      <c r="H2010" s="8">
        <f>IF(B2010="","",IF(ISNA(MATCH(B2010,Mitarbeiter!$A$6:$A$205,0)),"Pers.-Nr. unbekannt",IF(A2010="","Datum fehlt",IF(AND(D2010&lt;&gt;Einstellungen!$C$4,D2010&lt;&gt;Einstellungen!$C$5),"Objekt fehlt",IF(YEAR(A2010)&lt;&gt;Einstellungen!$C$3,"anderes Jahr",IF(A2010&lt;INDEX(Mitarbeiter!$C$6:$C$205,MATCH(B2010,Mitarbeiter!$A$6:$A$205,0)),"vor Eintritt",IF(AND(INDEX(Mitarbeiter!$D$6:$D$205,MATCH(B2010,Mitarbeiter!$A$6:$A$205,0))&lt;&gt;"",A2010&gt;INDEX(Mitarbeiter!$D$6:$D$205,MATCH(B2010,Mitarbeiter!$A$6:$A$205,0))),"nach Austritt","ok")))))))</f>
        <v/>
      </c>
    </row>
    <row r="2011">
      <c r="A2011" s="26" t="n"/>
      <c r="B2011" s="24" t="n"/>
      <c r="C2011" s="40">
        <f>IF(B2011="","",IFERROR(INDEX(Mitarbeiter!$B$6:$B$205,MATCH(B2011,Mitarbeiter!$A$6:$A$205,0)),"?"))</f>
        <v/>
      </c>
      <c r="D2011" s="41" t="n"/>
      <c r="E2011" s="42" t="n"/>
      <c r="F2011" s="43" t="n"/>
      <c r="G2011" s="44">
        <f>IF(OR(B2011="",F2011=""),"",IFERROR(F2011*INDEX(Mitarbeiter!$F$6:$F$205,MATCH(B2011,Mitarbeiter!$A$6:$A$205,0)),0))</f>
        <v/>
      </c>
      <c r="H2011" s="8">
        <f>IF(B2011="","",IF(ISNA(MATCH(B2011,Mitarbeiter!$A$6:$A$205,0)),"Pers.-Nr. unbekannt",IF(A2011="","Datum fehlt",IF(AND(D2011&lt;&gt;Einstellungen!$C$4,D2011&lt;&gt;Einstellungen!$C$5),"Objekt fehlt",IF(YEAR(A2011)&lt;&gt;Einstellungen!$C$3,"anderes Jahr",IF(A2011&lt;INDEX(Mitarbeiter!$C$6:$C$205,MATCH(B2011,Mitarbeiter!$A$6:$A$205,0)),"vor Eintritt",IF(AND(INDEX(Mitarbeiter!$D$6:$D$205,MATCH(B2011,Mitarbeiter!$A$6:$A$205,0))&lt;&gt;"",A2011&gt;INDEX(Mitarbeiter!$D$6:$D$205,MATCH(B2011,Mitarbeiter!$A$6:$A$205,0))),"nach Austritt","ok")))))))</f>
        <v/>
      </c>
    </row>
    <row r="2012">
      <c r="A2012" s="26" t="n"/>
      <c r="B2012" s="24" t="n"/>
      <c r="C2012" s="40">
        <f>IF(B2012="","",IFERROR(INDEX(Mitarbeiter!$B$6:$B$205,MATCH(B2012,Mitarbeiter!$A$6:$A$205,0)),"?"))</f>
        <v/>
      </c>
      <c r="D2012" s="41" t="n"/>
      <c r="E2012" s="42" t="n"/>
      <c r="F2012" s="43" t="n"/>
      <c r="G2012" s="44">
        <f>IF(OR(B2012="",F2012=""),"",IFERROR(F2012*INDEX(Mitarbeiter!$F$6:$F$205,MATCH(B2012,Mitarbeiter!$A$6:$A$205,0)),0))</f>
        <v/>
      </c>
      <c r="H2012" s="8">
        <f>IF(B2012="","",IF(ISNA(MATCH(B2012,Mitarbeiter!$A$6:$A$205,0)),"Pers.-Nr. unbekannt",IF(A2012="","Datum fehlt",IF(AND(D2012&lt;&gt;Einstellungen!$C$4,D2012&lt;&gt;Einstellungen!$C$5),"Objekt fehlt",IF(YEAR(A2012)&lt;&gt;Einstellungen!$C$3,"anderes Jahr",IF(A2012&lt;INDEX(Mitarbeiter!$C$6:$C$205,MATCH(B2012,Mitarbeiter!$A$6:$A$205,0)),"vor Eintritt",IF(AND(INDEX(Mitarbeiter!$D$6:$D$205,MATCH(B2012,Mitarbeiter!$A$6:$A$205,0))&lt;&gt;"",A2012&gt;INDEX(Mitarbeiter!$D$6:$D$205,MATCH(B2012,Mitarbeiter!$A$6:$A$205,0))),"nach Austritt","ok")))))))</f>
        <v/>
      </c>
    </row>
    <row r="2013">
      <c r="A2013" s="26" t="n"/>
      <c r="B2013" s="24" t="n"/>
      <c r="C2013" s="40">
        <f>IF(B2013="","",IFERROR(INDEX(Mitarbeiter!$B$6:$B$205,MATCH(B2013,Mitarbeiter!$A$6:$A$205,0)),"?"))</f>
        <v/>
      </c>
      <c r="D2013" s="41" t="n"/>
      <c r="E2013" s="42" t="n"/>
      <c r="F2013" s="43" t="n"/>
      <c r="G2013" s="44">
        <f>IF(OR(B2013="",F2013=""),"",IFERROR(F2013*INDEX(Mitarbeiter!$F$6:$F$205,MATCH(B2013,Mitarbeiter!$A$6:$A$205,0)),0))</f>
        <v/>
      </c>
      <c r="H2013" s="8">
        <f>IF(B2013="","",IF(ISNA(MATCH(B2013,Mitarbeiter!$A$6:$A$205,0)),"Pers.-Nr. unbekannt",IF(A2013="","Datum fehlt",IF(AND(D2013&lt;&gt;Einstellungen!$C$4,D2013&lt;&gt;Einstellungen!$C$5),"Objekt fehlt",IF(YEAR(A2013)&lt;&gt;Einstellungen!$C$3,"anderes Jahr",IF(A2013&lt;INDEX(Mitarbeiter!$C$6:$C$205,MATCH(B2013,Mitarbeiter!$A$6:$A$205,0)),"vor Eintritt",IF(AND(INDEX(Mitarbeiter!$D$6:$D$205,MATCH(B2013,Mitarbeiter!$A$6:$A$205,0))&lt;&gt;"",A2013&gt;INDEX(Mitarbeiter!$D$6:$D$205,MATCH(B2013,Mitarbeiter!$A$6:$A$205,0))),"nach Austritt","ok")))))))</f>
        <v/>
      </c>
    </row>
    <row r="2014">
      <c r="A2014" s="26" t="n"/>
      <c r="B2014" s="24" t="n"/>
      <c r="C2014" s="40">
        <f>IF(B2014="","",IFERROR(INDEX(Mitarbeiter!$B$6:$B$205,MATCH(B2014,Mitarbeiter!$A$6:$A$205,0)),"?"))</f>
        <v/>
      </c>
      <c r="D2014" s="41" t="n"/>
      <c r="E2014" s="42" t="n"/>
      <c r="F2014" s="43" t="n"/>
      <c r="G2014" s="44">
        <f>IF(OR(B2014="",F2014=""),"",IFERROR(F2014*INDEX(Mitarbeiter!$F$6:$F$205,MATCH(B2014,Mitarbeiter!$A$6:$A$205,0)),0))</f>
        <v/>
      </c>
      <c r="H2014" s="8">
        <f>IF(B2014="","",IF(ISNA(MATCH(B2014,Mitarbeiter!$A$6:$A$205,0)),"Pers.-Nr. unbekannt",IF(A2014="","Datum fehlt",IF(AND(D2014&lt;&gt;Einstellungen!$C$4,D2014&lt;&gt;Einstellungen!$C$5),"Objekt fehlt",IF(YEAR(A2014)&lt;&gt;Einstellungen!$C$3,"anderes Jahr",IF(A2014&lt;INDEX(Mitarbeiter!$C$6:$C$205,MATCH(B2014,Mitarbeiter!$A$6:$A$205,0)),"vor Eintritt",IF(AND(INDEX(Mitarbeiter!$D$6:$D$205,MATCH(B2014,Mitarbeiter!$A$6:$A$205,0))&lt;&gt;"",A2014&gt;INDEX(Mitarbeiter!$D$6:$D$205,MATCH(B2014,Mitarbeiter!$A$6:$A$205,0))),"nach Austritt","ok")))))))</f>
        <v/>
      </c>
    </row>
    <row r="2015">
      <c r="A2015" s="26" t="n"/>
      <c r="B2015" s="24" t="n"/>
      <c r="C2015" s="40">
        <f>IF(B2015="","",IFERROR(INDEX(Mitarbeiter!$B$6:$B$205,MATCH(B2015,Mitarbeiter!$A$6:$A$205,0)),"?"))</f>
        <v/>
      </c>
      <c r="D2015" s="41" t="n"/>
      <c r="E2015" s="42" t="n"/>
      <c r="F2015" s="43" t="n"/>
      <c r="G2015" s="44">
        <f>IF(OR(B2015="",F2015=""),"",IFERROR(F2015*INDEX(Mitarbeiter!$F$6:$F$205,MATCH(B2015,Mitarbeiter!$A$6:$A$205,0)),0))</f>
        <v/>
      </c>
      <c r="H2015" s="8">
        <f>IF(B2015="","",IF(ISNA(MATCH(B2015,Mitarbeiter!$A$6:$A$205,0)),"Pers.-Nr. unbekannt",IF(A2015="","Datum fehlt",IF(AND(D2015&lt;&gt;Einstellungen!$C$4,D2015&lt;&gt;Einstellungen!$C$5),"Objekt fehlt",IF(YEAR(A2015)&lt;&gt;Einstellungen!$C$3,"anderes Jahr",IF(A2015&lt;INDEX(Mitarbeiter!$C$6:$C$205,MATCH(B2015,Mitarbeiter!$A$6:$A$205,0)),"vor Eintritt",IF(AND(INDEX(Mitarbeiter!$D$6:$D$205,MATCH(B2015,Mitarbeiter!$A$6:$A$205,0))&lt;&gt;"",A2015&gt;INDEX(Mitarbeiter!$D$6:$D$205,MATCH(B2015,Mitarbeiter!$A$6:$A$205,0))),"nach Austritt","ok")))))))</f>
        <v/>
      </c>
    </row>
    <row r="2016">
      <c r="A2016" s="26" t="n"/>
      <c r="B2016" s="24" t="n"/>
      <c r="C2016" s="40">
        <f>IF(B2016="","",IFERROR(INDEX(Mitarbeiter!$B$6:$B$205,MATCH(B2016,Mitarbeiter!$A$6:$A$205,0)),"?"))</f>
        <v/>
      </c>
      <c r="D2016" s="41" t="n"/>
      <c r="E2016" s="42" t="n"/>
      <c r="F2016" s="43" t="n"/>
      <c r="G2016" s="44">
        <f>IF(OR(B2016="",F2016=""),"",IFERROR(F2016*INDEX(Mitarbeiter!$F$6:$F$205,MATCH(B2016,Mitarbeiter!$A$6:$A$205,0)),0))</f>
        <v/>
      </c>
      <c r="H2016" s="8">
        <f>IF(B2016="","",IF(ISNA(MATCH(B2016,Mitarbeiter!$A$6:$A$205,0)),"Pers.-Nr. unbekannt",IF(A2016="","Datum fehlt",IF(AND(D2016&lt;&gt;Einstellungen!$C$4,D2016&lt;&gt;Einstellungen!$C$5),"Objekt fehlt",IF(YEAR(A2016)&lt;&gt;Einstellungen!$C$3,"anderes Jahr",IF(A2016&lt;INDEX(Mitarbeiter!$C$6:$C$205,MATCH(B2016,Mitarbeiter!$A$6:$A$205,0)),"vor Eintritt",IF(AND(INDEX(Mitarbeiter!$D$6:$D$205,MATCH(B2016,Mitarbeiter!$A$6:$A$205,0))&lt;&gt;"",A2016&gt;INDEX(Mitarbeiter!$D$6:$D$205,MATCH(B2016,Mitarbeiter!$A$6:$A$205,0))),"nach Austritt","ok")))))))</f>
        <v/>
      </c>
    </row>
    <row r="2017">
      <c r="A2017" s="26" t="n"/>
      <c r="B2017" s="24" t="n"/>
      <c r="C2017" s="40">
        <f>IF(B2017="","",IFERROR(INDEX(Mitarbeiter!$B$6:$B$205,MATCH(B2017,Mitarbeiter!$A$6:$A$205,0)),"?"))</f>
        <v/>
      </c>
      <c r="D2017" s="41" t="n"/>
      <c r="E2017" s="42" t="n"/>
      <c r="F2017" s="43" t="n"/>
      <c r="G2017" s="44">
        <f>IF(OR(B2017="",F2017=""),"",IFERROR(F2017*INDEX(Mitarbeiter!$F$6:$F$205,MATCH(B2017,Mitarbeiter!$A$6:$A$205,0)),0))</f>
        <v/>
      </c>
      <c r="H2017" s="8">
        <f>IF(B2017="","",IF(ISNA(MATCH(B2017,Mitarbeiter!$A$6:$A$205,0)),"Pers.-Nr. unbekannt",IF(A2017="","Datum fehlt",IF(AND(D2017&lt;&gt;Einstellungen!$C$4,D2017&lt;&gt;Einstellungen!$C$5),"Objekt fehlt",IF(YEAR(A2017)&lt;&gt;Einstellungen!$C$3,"anderes Jahr",IF(A2017&lt;INDEX(Mitarbeiter!$C$6:$C$205,MATCH(B2017,Mitarbeiter!$A$6:$A$205,0)),"vor Eintritt",IF(AND(INDEX(Mitarbeiter!$D$6:$D$205,MATCH(B2017,Mitarbeiter!$A$6:$A$205,0))&lt;&gt;"",A2017&gt;INDEX(Mitarbeiter!$D$6:$D$205,MATCH(B2017,Mitarbeiter!$A$6:$A$205,0))),"nach Austritt","ok")))))))</f>
        <v/>
      </c>
    </row>
    <row r="2018">
      <c r="A2018" s="26" t="n"/>
      <c r="B2018" s="24" t="n"/>
      <c r="C2018" s="40">
        <f>IF(B2018="","",IFERROR(INDEX(Mitarbeiter!$B$6:$B$205,MATCH(B2018,Mitarbeiter!$A$6:$A$205,0)),"?"))</f>
        <v/>
      </c>
      <c r="D2018" s="41" t="n"/>
      <c r="E2018" s="42" t="n"/>
      <c r="F2018" s="43" t="n"/>
      <c r="G2018" s="44">
        <f>IF(OR(B2018="",F2018=""),"",IFERROR(F2018*INDEX(Mitarbeiter!$F$6:$F$205,MATCH(B2018,Mitarbeiter!$A$6:$A$205,0)),0))</f>
        <v/>
      </c>
      <c r="H2018" s="8">
        <f>IF(B2018="","",IF(ISNA(MATCH(B2018,Mitarbeiter!$A$6:$A$205,0)),"Pers.-Nr. unbekannt",IF(A2018="","Datum fehlt",IF(AND(D2018&lt;&gt;Einstellungen!$C$4,D2018&lt;&gt;Einstellungen!$C$5),"Objekt fehlt",IF(YEAR(A2018)&lt;&gt;Einstellungen!$C$3,"anderes Jahr",IF(A2018&lt;INDEX(Mitarbeiter!$C$6:$C$205,MATCH(B2018,Mitarbeiter!$A$6:$A$205,0)),"vor Eintritt",IF(AND(INDEX(Mitarbeiter!$D$6:$D$205,MATCH(B2018,Mitarbeiter!$A$6:$A$205,0))&lt;&gt;"",A2018&gt;INDEX(Mitarbeiter!$D$6:$D$205,MATCH(B2018,Mitarbeiter!$A$6:$A$205,0))),"nach Austritt","ok")))))))</f>
        <v/>
      </c>
    </row>
    <row r="2019">
      <c r="A2019" s="26" t="n"/>
      <c r="B2019" s="24" t="n"/>
      <c r="C2019" s="40">
        <f>IF(B2019="","",IFERROR(INDEX(Mitarbeiter!$B$6:$B$205,MATCH(B2019,Mitarbeiter!$A$6:$A$205,0)),"?"))</f>
        <v/>
      </c>
      <c r="D2019" s="41" t="n"/>
      <c r="E2019" s="42" t="n"/>
      <c r="F2019" s="43" t="n"/>
      <c r="G2019" s="44">
        <f>IF(OR(B2019="",F2019=""),"",IFERROR(F2019*INDEX(Mitarbeiter!$F$6:$F$205,MATCH(B2019,Mitarbeiter!$A$6:$A$205,0)),0))</f>
        <v/>
      </c>
      <c r="H2019" s="8">
        <f>IF(B2019="","",IF(ISNA(MATCH(B2019,Mitarbeiter!$A$6:$A$205,0)),"Pers.-Nr. unbekannt",IF(A2019="","Datum fehlt",IF(AND(D2019&lt;&gt;Einstellungen!$C$4,D2019&lt;&gt;Einstellungen!$C$5),"Objekt fehlt",IF(YEAR(A2019)&lt;&gt;Einstellungen!$C$3,"anderes Jahr",IF(A2019&lt;INDEX(Mitarbeiter!$C$6:$C$205,MATCH(B2019,Mitarbeiter!$A$6:$A$205,0)),"vor Eintritt",IF(AND(INDEX(Mitarbeiter!$D$6:$D$205,MATCH(B2019,Mitarbeiter!$A$6:$A$205,0))&lt;&gt;"",A2019&gt;INDEX(Mitarbeiter!$D$6:$D$205,MATCH(B2019,Mitarbeiter!$A$6:$A$205,0))),"nach Austritt","ok")))))))</f>
        <v/>
      </c>
    </row>
    <row r="2020">
      <c r="A2020" s="26" t="n"/>
      <c r="B2020" s="24" t="n"/>
      <c r="C2020" s="40">
        <f>IF(B2020="","",IFERROR(INDEX(Mitarbeiter!$B$6:$B$205,MATCH(B2020,Mitarbeiter!$A$6:$A$205,0)),"?"))</f>
        <v/>
      </c>
      <c r="D2020" s="41" t="n"/>
      <c r="E2020" s="42" t="n"/>
      <c r="F2020" s="43" t="n"/>
      <c r="G2020" s="44">
        <f>IF(OR(B2020="",F2020=""),"",IFERROR(F2020*INDEX(Mitarbeiter!$F$6:$F$205,MATCH(B2020,Mitarbeiter!$A$6:$A$205,0)),0))</f>
        <v/>
      </c>
      <c r="H2020" s="8">
        <f>IF(B2020="","",IF(ISNA(MATCH(B2020,Mitarbeiter!$A$6:$A$205,0)),"Pers.-Nr. unbekannt",IF(A2020="","Datum fehlt",IF(AND(D2020&lt;&gt;Einstellungen!$C$4,D2020&lt;&gt;Einstellungen!$C$5),"Objekt fehlt",IF(YEAR(A2020)&lt;&gt;Einstellungen!$C$3,"anderes Jahr",IF(A2020&lt;INDEX(Mitarbeiter!$C$6:$C$205,MATCH(B2020,Mitarbeiter!$A$6:$A$205,0)),"vor Eintritt",IF(AND(INDEX(Mitarbeiter!$D$6:$D$205,MATCH(B2020,Mitarbeiter!$A$6:$A$205,0))&lt;&gt;"",A2020&gt;INDEX(Mitarbeiter!$D$6:$D$205,MATCH(B2020,Mitarbeiter!$A$6:$A$205,0))),"nach Austritt","ok")))))))</f>
        <v/>
      </c>
    </row>
    <row r="2021">
      <c r="A2021" s="26" t="n"/>
      <c r="B2021" s="24" t="n"/>
      <c r="C2021" s="40">
        <f>IF(B2021="","",IFERROR(INDEX(Mitarbeiter!$B$6:$B$205,MATCH(B2021,Mitarbeiter!$A$6:$A$205,0)),"?"))</f>
        <v/>
      </c>
      <c r="D2021" s="41" t="n"/>
      <c r="E2021" s="42" t="n"/>
      <c r="F2021" s="43" t="n"/>
      <c r="G2021" s="44">
        <f>IF(OR(B2021="",F2021=""),"",IFERROR(F2021*INDEX(Mitarbeiter!$F$6:$F$205,MATCH(B2021,Mitarbeiter!$A$6:$A$205,0)),0))</f>
        <v/>
      </c>
      <c r="H2021" s="8">
        <f>IF(B2021="","",IF(ISNA(MATCH(B2021,Mitarbeiter!$A$6:$A$205,0)),"Pers.-Nr. unbekannt",IF(A2021="","Datum fehlt",IF(AND(D2021&lt;&gt;Einstellungen!$C$4,D2021&lt;&gt;Einstellungen!$C$5),"Objekt fehlt",IF(YEAR(A2021)&lt;&gt;Einstellungen!$C$3,"anderes Jahr",IF(A2021&lt;INDEX(Mitarbeiter!$C$6:$C$205,MATCH(B2021,Mitarbeiter!$A$6:$A$205,0)),"vor Eintritt",IF(AND(INDEX(Mitarbeiter!$D$6:$D$205,MATCH(B2021,Mitarbeiter!$A$6:$A$205,0))&lt;&gt;"",A2021&gt;INDEX(Mitarbeiter!$D$6:$D$205,MATCH(B2021,Mitarbeiter!$A$6:$A$205,0))),"nach Austritt","ok")))))))</f>
        <v/>
      </c>
    </row>
    <row r="2022">
      <c r="A2022" s="26" t="n"/>
      <c r="B2022" s="24" t="n"/>
      <c r="C2022" s="40">
        <f>IF(B2022="","",IFERROR(INDEX(Mitarbeiter!$B$6:$B$205,MATCH(B2022,Mitarbeiter!$A$6:$A$205,0)),"?"))</f>
        <v/>
      </c>
      <c r="D2022" s="41" t="n"/>
      <c r="E2022" s="42" t="n"/>
      <c r="F2022" s="43" t="n"/>
      <c r="G2022" s="44">
        <f>IF(OR(B2022="",F2022=""),"",IFERROR(F2022*INDEX(Mitarbeiter!$F$6:$F$205,MATCH(B2022,Mitarbeiter!$A$6:$A$205,0)),0))</f>
        <v/>
      </c>
      <c r="H2022" s="8">
        <f>IF(B2022="","",IF(ISNA(MATCH(B2022,Mitarbeiter!$A$6:$A$205,0)),"Pers.-Nr. unbekannt",IF(A2022="","Datum fehlt",IF(AND(D2022&lt;&gt;Einstellungen!$C$4,D2022&lt;&gt;Einstellungen!$C$5),"Objekt fehlt",IF(YEAR(A2022)&lt;&gt;Einstellungen!$C$3,"anderes Jahr",IF(A2022&lt;INDEX(Mitarbeiter!$C$6:$C$205,MATCH(B2022,Mitarbeiter!$A$6:$A$205,0)),"vor Eintritt",IF(AND(INDEX(Mitarbeiter!$D$6:$D$205,MATCH(B2022,Mitarbeiter!$A$6:$A$205,0))&lt;&gt;"",A2022&gt;INDEX(Mitarbeiter!$D$6:$D$205,MATCH(B2022,Mitarbeiter!$A$6:$A$205,0))),"nach Austritt","ok")))))))</f>
        <v/>
      </c>
    </row>
    <row r="2023">
      <c r="A2023" s="26" t="n"/>
      <c r="B2023" s="24" t="n"/>
      <c r="C2023" s="40">
        <f>IF(B2023="","",IFERROR(INDEX(Mitarbeiter!$B$6:$B$205,MATCH(B2023,Mitarbeiter!$A$6:$A$205,0)),"?"))</f>
        <v/>
      </c>
      <c r="D2023" s="41" t="n"/>
      <c r="E2023" s="42" t="n"/>
      <c r="F2023" s="43" t="n"/>
      <c r="G2023" s="44">
        <f>IF(OR(B2023="",F2023=""),"",IFERROR(F2023*INDEX(Mitarbeiter!$F$6:$F$205,MATCH(B2023,Mitarbeiter!$A$6:$A$205,0)),0))</f>
        <v/>
      </c>
      <c r="H2023" s="8">
        <f>IF(B2023="","",IF(ISNA(MATCH(B2023,Mitarbeiter!$A$6:$A$205,0)),"Pers.-Nr. unbekannt",IF(A2023="","Datum fehlt",IF(AND(D2023&lt;&gt;Einstellungen!$C$4,D2023&lt;&gt;Einstellungen!$C$5),"Objekt fehlt",IF(YEAR(A2023)&lt;&gt;Einstellungen!$C$3,"anderes Jahr",IF(A2023&lt;INDEX(Mitarbeiter!$C$6:$C$205,MATCH(B2023,Mitarbeiter!$A$6:$A$205,0)),"vor Eintritt",IF(AND(INDEX(Mitarbeiter!$D$6:$D$205,MATCH(B2023,Mitarbeiter!$A$6:$A$205,0))&lt;&gt;"",A2023&gt;INDEX(Mitarbeiter!$D$6:$D$205,MATCH(B2023,Mitarbeiter!$A$6:$A$205,0))),"nach Austritt","ok")))))))</f>
        <v/>
      </c>
    </row>
    <row r="2024">
      <c r="A2024" s="26" t="n"/>
      <c r="B2024" s="24" t="n"/>
      <c r="C2024" s="40">
        <f>IF(B2024="","",IFERROR(INDEX(Mitarbeiter!$B$6:$B$205,MATCH(B2024,Mitarbeiter!$A$6:$A$205,0)),"?"))</f>
        <v/>
      </c>
      <c r="D2024" s="41" t="n"/>
      <c r="E2024" s="42" t="n"/>
      <c r="F2024" s="43" t="n"/>
      <c r="G2024" s="44">
        <f>IF(OR(B2024="",F2024=""),"",IFERROR(F2024*INDEX(Mitarbeiter!$F$6:$F$205,MATCH(B2024,Mitarbeiter!$A$6:$A$205,0)),0))</f>
        <v/>
      </c>
      <c r="H2024" s="8">
        <f>IF(B2024="","",IF(ISNA(MATCH(B2024,Mitarbeiter!$A$6:$A$205,0)),"Pers.-Nr. unbekannt",IF(A2024="","Datum fehlt",IF(AND(D2024&lt;&gt;Einstellungen!$C$4,D2024&lt;&gt;Einstellungen!$C$5),"Objekt fehlt",IF(YEAR(A2024)&lt;&gt;Einstellungen!$C$3,"anderes Jahr",IF(A2024&lt;INDEX(Mitarbeiter!$C$6:$C$205,MATCH(B2024,Mitarbeiter!$A$6:$A$205,0)),"vor Eintritt",IF(AND(INDEX(Mitarbeiter!$D$6:$D$205,MATCH(B2024,Mitarbeiter!$A$6:$A$205,0))&lt;&gt;"",A2024&gt;INDEX(Mitarbeiter!$D$6:$D$205,MATCH(B2024,Mitarbeiter!$A$6:$A$205,0))),"nach Austritt","ok")))))))</f>
        <v/>
      </c>
    </row>
    <row r="2025">
      <c r="A2025" s="26" t="n"/>
      <c r="B2025" s="24" t="n"/>
      <c r="C2025" s="40">
        <f>IF(B2025="","",IFERROR(INDEX(Mitarbeiter!$B$6:$B$205,MATCH(B2025,Mitarbeiter!$A$6:$A$205,0)),"?"))</f>
        <v/>
      </c>
      <c r="D2025" s="41" t="n"/>
      <c r="E2025" s="42" t="n"/>
      <c r="F2025" s="43" t="n"/>
      <c r="G2025" s="44">
        <f>IF(OR(B2025="",F2025=""),"",IFERROR(F2025*INDEX(Mitarbeiter!$F$6:$F$205,MATCH(B2025,Mitarbeiter!$A$6:$A$205,0)),0))</f>
        <v/>
      </c>
      <c r="H2025" s="8">
        <f>IF(B2025="","",IF(ISNA(MATCH(B2025,Mitarbeiter!$A$6:$A$205,0)),"Pers.-Nr. unbekannt",IF(A2025="","Datum fehlt",IF(AND(D2025&lt;&gt;Einstellungen!$C$4,D2025&lt;&gt;Einstellungen!$C$5),"Objekt fehlt",IF(YEAR(A2025)&lt;&gt;Einstellungen!$C$3,"anderes Jahr",IF(A2025&lt;INDEX(Mitarbeiter!$C$6:$C$205,MATCH(B2025,Mitarbeiter!$A$6:$A$205,0)),"vor Eintritt",IF(AND(INDEX(Mitarbeiter!$D$6:$D$205,MATCH(B2025,Mitarbeiter!$A$6:$A$205,0))&lt;&gt;"",A2025&gt;INDEX(Mitarbeiter!$D$6:$D$205,MATCH(B2025,Mitarbeiter!$A$6:$A$205,0))),"nach Austritt","ok")))))))</f>
        <v/>
      </c>
    </row>
    <row r="2026">
      <c r="A2026" s="26" t="n"/>
      <c r="B2026" s="24" t="n"/>
      <c r="C2026" s="40">
        <f>IF(B2026="","",IFERROR(INDEX(Mitarbeiter!$B$6:$B$205,MATCH(B2026,Mitarbeiter!$A$6:$A$205,0)),"?"))</f>
        <v/>
      </c>
      <c r="D2026" s="41" t="n"/>
      <c r="E2026" s="42" t="n"/>
      <c r="F2026" s="43" t="n"/>
      <c r="G2026" s="44">
        <f>IF(OR(B2026="",F2026=""),"",IFERROR(F2026*INDEX(Mitarbeiter!$F$6:$F$205,MATCH(B2026,Mitarbeiter!$A$6:$A$205,0)),0))</f>
        <v/>
      </c>
      <c r="H2026" s="8">
        <f>IF(B2026="","",IF(ISNA(MATCH(B2026,Mitarbeiter!$A$6:$A$205,0)),"Pers.-Nr. unbekannt",IF(A2026="","Datum fehlt",IF(AND(D2026&lt;&gt;Einstellungen!$C$4,D2026&lt;&gt;Einstellungen!$C$5),"Objekt fehlt",IF(YEAR(A2026)&lt;&gt;Einstellungen!$C$3,"anderes Jahr",IF(A2026&lt;INDEX(Mitarbeiter!$C$6:$C$205,MATCH(B2026,Mitarbeiter!$A$6:$A$205,0)),"vor Eintritt",IF(AND(INDEX(Mitarbeiter!$D$6:$D$205,MATCH(B2026,Mitarbeiter!$A$6:$A$205,0))&lt;&gt;"",A2026&gt;INDEX(Mitarbeiter!$D$6:$D$205,MATCH(B2026,Mitarbeiter!$A$6:$A$205,0))),"nach Austritt","ok")))))))</f>
        <v/>
      </c>
    </row>
    <row r="2027">
      <c r="A2027" s="26" t="n"/>
      <c r="B2027" s="24" t="n"/>
      <c r="C2027" s="40">
        <f>IF(B2027="","",IFERROR(INDEX(Mitarbeiter!$B$6:$B$205,MATCH(B2027,Mitarbeiter!$A$6:$A$205,0)),"?"))</f>
        <v/>
      </c>
      <c r="D2027" s="41" t="n"/>
      <c r="E2027" s="42" t="n"/>
      <c r="F2027" s="43" t="n"/>
      <c r="G2027" s="44">
        <f>IF(OR(B2027="",F2027=""),"",IFERROR(F2027*INDEX(Mitarbeiter!$F$6:$F$205,MATCH(B2027,Mitarbeiter!$A$6:$A$205,0)),0))</f>
        <v/>
      </c>
      <c r="H2027" s="8">
        <f>IF(B2027="","",IF(ISNA(MATCH(B2027,Mitarbeiter!$A$6:$A$205,0)),"Pers.-Nr. unbekannt",IF(A2027="","Datum fehlt",IF(AND(D2027&lt;&gt;Einstellungen!$C$4,D2027&lt;&gt;Einstellungen!$C$5),"Objekt fehlt",IF(YEAR(A2027)&lt;&gt;Einstellungen!$C$3,"anderes Jahr",IF(A2027&lt;INDEX(Mitarbeiter!$C$6:$C$205,MATCH(B2027,Mitarbeiter!$A$6:$A$205,0)),"vor Eintritt",IF(AND(INDEX(Mitarbeiter!$D$6:$D$205,MATCH(B2027,Mitarbeiter!$A$6:$A$205,0))&lt;&gt;"",A2027&gt;INDEX(Mitarbeiter!$D$6:$D$205,MATCH(B2027,Mitarbeiter!$A$6:$A$205,0))),"nach Austritt","ok")))))))</f>
        <v/>
      </c>
    </row>
    <row r="2028">
      <c r="A2028" s="26" t="n"/>
      <c r="B2028" s="24" t="n"/>
      <c r="C2028" s="40">
        <f>IF(B2028="","",IFERROR(INDEX(Mitarbeiter!$B$6:$B$205,MATCH(B2028,Mitarbeiter!$A$6:$A$205,0)),"?"))</f>
        <v/>
      </c>
      <c r="D2028" s="41" t="n"/>
      <c r="E2028" s="42" t="n"/>
      <c r="F2028" s="43" t="n"/>
      <c r="G2028" s="44">
        <f>IF(OR(B2028="",F2028=""),"",IFERROR(F2028*INDEX(Mitarbeiter!$F$6:$F$205,MATCH(B2028,Mitarbeiter!$A$6:$A$205,0)),0))</f>
        <v/>
      </c>
      <c r="H2028" s="8">
        <f>IF(B2028="","",IF(ISNA(MATCH(B2028,Mitarbeiter!$A$6:$A$205,0)),"Pers.-Nr. unbekannt",IF(A2028="","Datum fehlt",IF(AND(D2028&lt;&gt;Einstellungen!$C$4,D2028&lt;&gt;Einstellungen!$C$5),"Objekt fehlt",IF(YEAR(A2028)&lt;&gt;Einstellungen!$C$3,"anderes Jahr",IF(A2028&lt;INDEX(Mitarbeiter!$C$6:$C$205,MATCH(B2028,Mitarbeiter!$A$6:$A$205,0)),"vor Eintritt",IF(AND(INDEX(Mitarbeiter!$D$6:$D$205,MATCH(B2028,Mitarbeiter!$A$6:$A$205,0))&lt;&gt;"",A2028&gt;INDEX(Mitarbeiter!$D$6:$D$205,MATCH(B2028,Mitarbeiter!$A$6:$A$205,0))),"nach Austritt","ok")))))))</f>
        <v/>
      </c>
    </row>
    <row r="2029">
      <c r="A2029" s="26" t="n"/>
      <c r="B2029" s="24" t="n"/>
      <c r="C2029" s="40">
        <f>IF(B2029="","",IFERROR(INDEX(Mitarbeiter!$B$6:$B$205,MATCH(B2029,Mitarbeiter!$A$6:$A$205,0)),"?"))</f>
        <v/>
      </c>
      <c r="D2029" s="41" t="n"/>
      <c r="E2029" s="42" t="n"/>
      <c r="F2029" s="43" t="n"/>
      <c r="G2029" s="44">
        <f>IF(OR(B2029="",F2029=""),"",IFERROR(F2029*INDEX(Mitarbeiter!$F$6:$F$205,MATCH(B2029,Mitarbeiter!$A$6:$A$205,0)),0))</f>
        <v/>
      </c>
      <c r="H2029" s="8">
        <f>IF(B2029="","",IF(ISNA(MATCH(B2029,Mitarbeiter!$A$6:$A$205,0)),"Pers.-Nr. unbekannt",IF(A2029="","Datum fehlt",IF(AND(D2029&lt;&gt;Einstellungen!$C$4,D2029&lt;&gt;Einstellungen!$C$5),"Objekt fehlt",IF(YEAR(A2029)&lt;&gt;Einstellungen!$C$3,"anderes Jahr",IF(A2029&lt;INDEX(Mitarbeiter!$C$6:$C$205,MATCH(B2029,Mitarbeiter!$A$6:$A$205,0)),"vor Eintritt",IF(AND(INDEX(Mitarbeiter!$D$6:$D$205,MATCH(B2029,Mitarbeiter!$A$6:$A$205,0))&lt;&gt;"",A2029&gt;INDEX(Mitarbeiter!$D$6:$D$205,MATCH(B2029,Mitarbeiter!$A$6:$A$205,0))),"nach Austritt","ok")))))))</f>
        <v/>
      </c>
    </row>
    <row r="2030">
      <c r="A2030" s="26" t="n"/>
      <c r="B2030" s="24" t="n"/>
      <c r="C2030" s="40">
        <f>IF(B2030="","",IFERROR(INDEX(Mitarbeiter!$B$6:$B$205,MATCH(B2030,Mitarbeiter!$A$6:$A$205,0)),"?"))</f>
        <v/>
      </c>
      <c r="D2030" s="41" t="n"/>
      <c r="E2030" s="42" t="n"/>
      <c r="F2030" s="43" t="n"/>
      <c r="G2030" s="44">
        <f>IF(OR(B2030="",F2030=""),"",IFERROR(F2030*INDEX(Mitarbeiter!$F$6:$F$205,MATCH(B2030,Mitarbeiter!$A$6:$A$205,0)),0))</f>
        <v/>
      </c>
      <c r="H2030" s="8">
        <f>IF(B2030="","",IF(ISNA(MATCH(B2030,Mitarbeiter!$A$6:$A$205,0)),"Pers.-Nr. unbekannt",IF(A2030="","Datum fehlt",IF(AND(D2030&lt;&gt;Einstellungen!$C$4,D2030&lt;&gt;Einstellungen!$C$5),"Objekt fehlt",IF(YEAR(A2030)&lt;&gt;Einstellungen!$C$3,"anderes Jahr",IF(A2030&lt;INDEX(Mitarbeiter!$C$6:$C$205,MATCH(B2030,Mitarbeiter!$A$6:$A$205,0)),"vor Eintritt",IF(AND(INDEX(Mitarbeiter!$D$6:$D$205,MATCH(B2030,Mitarbeiter!$A$6:$A$205,0))&lt;&gt;"",A2030&gt;INDEX(Mitarbeiter!$D$6:$D$205,MATCH(B2030,Mitarbeiter!$A$6:$A$205,0))),"nach Austritt","ok")))))))</f>
        <v/>
      </c>
    </row>
    <row r="2031">
      <c r="A2031" s="26" t="n"/>
      <c r="B2031" s="24" t="n"/>
      <c r="C2031" s="40">
        <f>IF(B2031="","",IFERROR(INDEX(Mitarbeiter!$B$6:$B$205,MATCH(B2031,Mitarbeiter!$A$6:$A$205,0)),"?"))</f>
        <v/>
      </c>
      <c r="D2031" s="41" t="n"/>
      <c r="E2031" s="42" t="n"/>
      <c r="F2031" s="43" t="n"/>
      <c r="G2031" s="44">
        <f>IF(OR(B2031="",F2031=""),"",IFERROR(F2031*INDEX(Mitarbeiter!$F$6:$F$205,MATCH(B2031,Mitarbeiter!$A$6:$A$205,0)),0))</f>
        <v/>
      </c>
      <c r="H2031" s="8">
        <f>IF(B2031="","",IF(ISNA(MATCH(B2031,Mitarbeiter!$A$6:$A$205,0)),"Pers.-Nr. unbekannt",IF(A2031="","Datum fehlt",IF(AND(D2031&lt;&gt;Einstellungen!$C$4,D2031&lt;&gt;Einstellungen!$C$5),"Objekt fehlt",IF(YEAR(A2031)&lt;&gt;Einstellungen!$C$3,"anderes Jahr",IF(A2031&lt;INDEX(Mitarbeiter!$C$6:$C$205,MATCH(B2031,Mitarbeiter!$A$6:$A$205,0)),"vor Eintritt",IF(AND(INDEX(Mitarbeiter!$D$6:$D$205,MATCH(B2031,Mitarbeiter!$A$6:$A$205,0))&lt;&gt;"",A2031&gt;INDEX(Mitarbeiter!$D$6:$D$205,MATCH(B2031,Mitarbeiter!$A$6:$A$205,0))),"nach Austritt","ok")))))))</f>
        <v/>
      </c>
    </row>
    <row r="2032">
      <c r="A2032" s="26" t="n"/>
      <c r="B2032" s="24" t="n"/>
      <c r="C2032" s="40">
        <f>IF(B2032="","",IFERROR(INDEX(Mitarbeiter!$B$6:$B$205,MATCH(B2032,Mitarbeiter!$A$6:$A$205,0)),"?"))</f>
        <v/>
      </c>
      <c r="D2032" s="41" t="n"/>
      <c r="E2032" s="42" t="n"/>
      <c r="F2032" s="43" t="n"/>
      <c r="G2032" s="44">
        <f>IF(OR(B2032="",F2032=""),"",IFERROR(F2032*INDEX(Mitarbeiter!$F$6:$F$205,MATCH(B2032,Mitarbeiter!$A$6:$A$205,0)),0))</f>
        <v/>
      </c>
      <c r="H2032" s="8">
        <f>IF(B2032="","",IF(ISNA(MATCH(B2032,Mitarbeiter!$A$6:$A$205,0)),"Pers.-Nr. unbekannt",IF(A2032="","Datum fehlt",IF(AND(D2032&lt;&gt;Einstellungen!$C$4,D2032&lt;&gt;Einstellungen!$C$5),"Objekt fehlt",IF(YEAR(A2032)&lt;&gt;Einstellungen!$C$3,"anderes Jahr",IF(A2032&lt;INDEX(Mitarbeiter!$C$6:$C$205,MATCH(B2032,Mitarbeiter!$A$6:$A$205,0)),"vor Eintritt",IF(AND(INDEX(Mitarbeiter!$D$6:$D$205,MATCH(B2032,Mitarbeiter!$A$6:$A$205,0))&lt;&gt;"",A2032&gt;INDEX(Mitarbeiter!$D$6:$D$205,MATCH(B2032,Mitarbeiter!$A$6:$A$205,0))),"nach Austritt","ok")))))))</f>
        <v/>
      </c>
    </row>
    <row r="2033">
      <c r="A2033" s="26" t="n"/>
      <c r="B2033" s="24" t="n"/>
      <c r="C2033" s="40">
        <f>IF(B2033="","",IFERROR(INDEX(Mitarbeiter!$B$6:$B$205,MATCH(B2033,Mitarbeiter!$A$6:$A$205,0)),"?"))</f>
        <v/>
      </c>
      <c r="D2033" s="41" t="n"/>
      <c r="E2033" s="42" t="n"/>
      <c r="F2033" s="43" t="n"/>
      <c r="G2033" s="44">
        <f>IF(OR(B2033="",F2033=""),"",IFERROR(F2033*INDEX(Mitarbeiter!$F$6:$F$205,MATCH(B2033,Mitarbeiter!$A$6:$A$205,0)),0))</f>
        <v/>
      </c>
      <c r="H2033" s="8">
        <f>IF(B2033="","",IF(ISNA(MATCH(B2033,Mitarbeiter!$A$6:$A$205,0)),"Pers.-Nr. unbekannt",IF(A2033="","Datum fehlt",IF(AND(D2033&lt;&gt;Einstellungen!$C$4,D2033&lt;&gt;Einstellungen!$C$5),"Objekt fehlt",IF(YEAR(A2033)&lt;&gt;Einstellungen!$C$3,"anderes Jahr",IF(A2033&lt;INDEX(Mitarbeiter!$C$6:$C$205,MATCH(B2033,Mitarbeiter!$A$6:$A$205,0)),"vor Eintritt",IF(AND(INDEX(Mitarbeiter!$D$6:$D$205,MATCH(B2033,Mitarbeiter!$A$6:$A$205,0))&lt;&gt;"",A2033&gt;INDEX(Mitarbeiter!$D$6:$D$205,MATCH(B2033,Mitarbeiter!$A$6:$A$205,0))),"nach Austritt","ok")))))))</f>
        <v/>
      </c>
    </row>
    <row r="2034">
      <c r="A2034" s="26" t="n"/>
      <c r="B2034" s="24" t="n"/>
      <c r="C2034" s="40">
        <f>IF(B2034="","",IFERROR(INDEX(Mitarbeiter!$B$6:$B$205,MATCH(B2034,Mitarbeiter!$A$6:$A$205,0)),"?"))</f>
        <v/>
      </c>
      <c r="D2034" s="41" t="n"/>
      <c r="E2034" s="42" t="n"/>
      <c r="F2034" s="43" t="n"/>
      <c r="G2034" s="44">
        <f>IF(OR(B2034="",F2034=""),"",IFERROR(F2034*INDEX(Mitarbeiter!$F$6:$F$205,MATCH(B2034,Mitarbeiter!$A$6:$A$205,0)),0))</f>
        <v/>
      </c>
      <c r="H2034" s="8">
        <f>IF(B2034="","",IF(ISNA(MATCH(B2034,Mitarbeiter!$A$6:$A$205,0)),"Pers.-Nr. unbekannt",IF(A2034="","Datum fehlt",IF(AND(D2034&lt;&gt;Einstellungen!$C$4,D2034&lt;&gt;Einstellungen!$C$5),"Objekt fehlt",IF(YEAR(A2034)&lt;&gt;Einstellungen!$C$3,"anderes Jahr",IF(A2034&lt;INDEX(Mitarbeiter!$C$6:$C$205,MATCH(B2034,Mitarbeiter!$A$6:$A$205,0)),"vor Eintritt",IF(AND(INDEX(Mitarbeiter!$D$6:$D$205,MATCH(B2034,Mitarbeiter!$A$6:$A$205,0))&lt;&gt;"",A2034&gt;INDEX(Mitarbeiter!$D$6:$D$205,MATCH(B2034,Mitarbeiter!$A$6:$A$205,0))),"nach Austritt","ok")))))))</f>
        <v/>
      </c>
    </row>
    <row r="2035">
      <c r="A2035" s="26" t="n"/>
      <c r="B2035" s="24" t="n"/>
      <c r="C2035" s="40">
        <f>IF(B2035="","",IFERROR(INDEX(Mitarbeiter!$B$6:$B$205,MATCH(B2035,Mitarbeiter!$A$6:$A$205,0)),"?"))</f>
        <v/>
      </c>
      <c r="D2035" s="41" t="n"/>
      <c r="E2035" s="42" t="n"/>
      <c r="F2035" s="43" t="n"/>
      <c r="G2035" s="44">
        <f>IF(OR(B2035="",F2035=""),"",IFERROR(F2035*INDEX(Mitarbeiter!$F$6:$F$205,MATCH(B2035,Mitarbeiter!$A$6:$A$205,0)),0))</f>
        <v/>
      </c>
      <c r="H2035" s="8">
        <f>IF(B2035="","",IF(ISNA(MATCH(B2035,Mitarbeiter!$A$6:$A$205,0)),"Pers.-Nr. unbekannt",IF(A2035="","Datum fehlt",IF(AND(D2035&lt;&gt;Einstellungen!$C$4,D2035&lt;&gt;Einstellungen!$C$5),"Objekt fehlt",IF(YEAR(A2035)&lt;&gt;Einstellungen!$C$3,"anderes Jahr",IF(A2035&lt;INDEX(Mitarbeiter!$C$6:$C$205,MATCH(B2035,Mitarbeiter!$A$6:$A$205,0)),"vor Eintritt",IF(AND(INDEX(Mitarbeiter!$D$6:$D$205,MATCH(B2035,Mitarbeiter!$A$6:$A$205,0))&lt;&gt;"",A2035&gt;INDEX(Mitarbeiter!$D$6:$D$205,MATCH(B2035,Mitarbeiter!$A$6:$A$205,0))),"nach Austritt","ok")))))))</f>
        <v/>
      </c>
    </row>
    <row r="2036">
      <c r="A2036" s="26" t="n"/>
      <c r="B2036" s="24" t="n"/>
      <c r="C2036" s="40">
        <f>IF(B2036="","",IFERROR(INDEX(Mitarbeiter!$B$6:$B$205,MATCH(B2036,Mitarbeiter!$A$6:$A$205,0)),"?"))</f>
        <v/>
      </c>
      <c r="D2036" s="41" t="n"/>
      <c r="E2036" s="42" t="n"/>
      <c r="F2036" s="43" t="n"/>
      <c r="G2036" s="44">
        <f>IF(OR(B2036="",F2036=""),"",IFERROR(F2036*INDEX(Mitarbeiter!$F$6:$F$205,MATCH(B2036,Mitarbeiter!$A$6:$A$205,0)),0))</f>
        <v/>
      </c>
      <c r="H2036" s="8">
        <f>IF(B2036="","",IF(ISNA(MATCH(B2036,Mitarbeiter!$A$6:$A$205,0)),"Pers.-Nr. unbekannt",IF(A2036="","Datum fehlt",IF(AND(D2036&lt;&gt;Einstellungen!$C$4,D2036&lt;&gt;Einstellungen!$C$5),"Objekt fehlt",IF(YEAR(A2036)&lt;&gt;Einstellungen!$C$3,"anderes Jahr",IF(A2036&lt;INDEX(Mitarbeiter!$C$6:$C$205,MATCH(B2036,Mitarbeiter!$A$6:$A$205,0)),"vor Eintritt",IF(AND(INDEX(Mitarbeiter!$D$6:$D$205,MATCH(B2036,Mitarbeiter!$A$6:$A$205,0))&lt;&gt;"",A2036&gt;INDEX(Mitarbeiter!$D$6:$D$205,MATCH(B2036,Mitarbeiter!$A$6:$A$205,0))),"nach Austritt","ok")))))))</f>
        <v/>
      </c>
    </row>
    <row r="2037">
      <c r="A2037" s="26" t="n"/>
      <c r="B2037" s="24" t="n"/>
      <c r="C2037" s="40">
        <f>IF(B2037="","",IFERROR(INDEX(Mitarbeiter!$B$6:$B$205,MATCH(B2037,Mitarbeiter!$A$6:$A$205,0)),"?"))</f>
        <v/>
      </c>
      <c r="D2037" s="41" t="n"/>
      <c r="E2037" s="42" t="n"/>
      <c r="F2037" s="43" t="n"/>
      <c r="G2037" s="44">
        <f>IF(OR(B2037="",F2037=""),"",IFERROR(F2037*INDEX(Mitarbeiter!$F$6:$F$205,MATCH(B2037,Mitarbeiter!$A$6:$A$205,0)),0))</f>
        <v/>
      </c>
      <c r="H2037" s="8">
        <f>IF(B2037="","",IF(ISNA(MATCH(B2037,Mitarbeiter!$A$6:$A$205,0)),"Pers.-Nr. unbekannt",IF(A2037="","Datum fehlt",IF(AND(D2037&lt;&gt;Einstellungen!$C$4,D2037&lt;&gt;Einstellungen!$C$5),"Objekt fehlt",IF(YEAR(A2037)&lt;&gt;Einstellungen!$C$3,"anderes Jahr",IF(A2037&lt;INDEX(Mitarbeiter!$C$6:$C$205,MATCH(B2037,Mitarbeiter!$A$6:$A$205,0)),"vor Eintritt",IF(AND(INDEX(Mitarbeiter!$D$6:$D$205,MATCH(B2037,Mitarbeiter!$A$6:$A$205,0))&lt;&gt;"",A2037&gt;INDEX(Mitarbeiter!$D$6:$D$205,MATCH(B2037,Mitarbeiter!$A$6:$A$205,0))),"nach Austritt","ok")))))))</f>
        <v/>
      </c>
    </row>
    <row r="2038">
      <c r="A2038" s="26" t="n"/>
      <c r="B2038" s="24" t="n"/>
      <c r="C2038" s="40">
        <f>IF(B2038="","",IFERROR(INDEX(Mitarbeiter!$B$6:$B$205,MATCH(B2038,Mitarbeiter!$A$6:$A$205,0)),"?"))</f>
        <v/>
      </c>
      <c r="D2038" s="41" t="n"/>
      <c r="E2038" s="42" t="n"/>
      <c r="F2038" s="43" t="n"/>
      <c r="G2038" s="44">
        <f>IF(OR(B2038="",F2038=""),"",IFERROR(F2038*INDEX(Mitarbeiter!$F$6:$F$205,MATCH(B2038,Mitarbeiter!$A$6:$A$205,0)),0))</f>
        <v/>
      </c>
      <c r="H2038" s="8">
        <f>IF(B2038="","",IF(ISNA(MATCH(B2038,Mitarbeiter!$A$6:$A$205,0)),"Pers.-Nr. unbekannt",IF(A2038="","Datum fehlt",IF(AND(D2038&lt;&gt;Einstellungen!$C$4,D2038&lt;&gt;Einstellungen!$C$5),"Objekt fehlt",IF(YEAR(A2038)&lt;&gt;Einstellungen!$C$3,"anderes Jahr",IF(A2038&lt;INDEX(Mitarbeiter!$C$6:$C$205,MATCH(B2038,Mitarbeiter!$A$6:$A$205,0)),"vor Eintritt",IF(AND(INDEX(Mitarbeiter!$D$6:$D$205,MATCH(B2038,Mitarbeiter!$A$6:$A$205,0))&lt;&gt;"",A2038&gt;INDEX(Mitarbeiter!$D$6:$D$205,MATCH(B2038,Mitarbeiter!$A$6:$A$205,0))),"nach Austritt","ok")))))))</f>
        <v/>
      </c>
    </row>
    <row r="2039">
      <c r="A2039" s="26" t="n"/>
      <c r="B2039" s="24" t="n"/>
      <c r="C2039" s="40">
        <f>IF(B2039="","",IFERROR(INDEX(Mitarbeiter!$B$6:$B$205,MATCH(B2039,Mitarbeiter!$A$6:$A$205,0)),"?"))</f>
        <v/>
      </c>
      <c r="D2039" s="41" t="n"/>
      <c r="E2039" s="42" t="n"/>
      <c r="F2039" s="43" t="n"/>
      <c r="G2039" s="44">
        <f>IF(OR(B2039="",F2039=""),"",IFERROR(F2039*INDEX(Mitarbeiter!$F$6:$F$205,MATCH(B2039,Mitarbeiter!$A$6:$A$205,0)),0))</f>
        <v/>
      </c>
      <c r="H2039" s="8">
        <f>IF(B2039="","",IF(ISNA(MATCH(B2039,Mitarbeiter!$A$6:$A$205,0)),"Pers.-Nr. unbekannt",IF(A2039="","Datum fehlt",IF(AND(D2039&lt;&gt;Einstellungen!$C$4,D2039&lt;&gt;Einstellungen!$C$5),"Objekt fehlt",IF(YEAR(A2039)&lt;&gt;Einstellungen!$C$3,"anderes Jahr",IF(A2039&lt;INDEX(Mitarbeiter!$C$6:$C$205,MATCH(B2039,Mitarbeiter!$A$6:$A$205,0)),"vor Eintritt",IF(AND(INDEX(Mitarbeiter!$D$6:$D$205,MATCH(B2039,Mitarbeiter!$A$6:$A$205,0))&lt;&gt;"",A2039&gt;INDEX(Mitarbeiter!$D$6:$D$205,MATCH(B2039,Mitarbeiter!$A$6:$A$205,0))),"nach Austritt","ok")))))))</f>
        <v/>
      </c>
    </row>
    <row r="2040">
      <c r="A2040" s="26" t="n"/>
      <c r="B2040" s="24" t="n"/>
      <c r="C2040" s="40">
        <f>IF(B2040="","",IFERROR(INDEX(Mitarbeiter!$B$6:$B$205,MATCH(B2040,Mitarbeiter!$A$6:$A$205,0)),"?"))</f>
        <v/>
      </c>
      <c r="D2040" s="41" t="n"/>
      <c r="E2040" s="42" t="n"/>
      <c r="F2040" s="43" t="n"/>
      <c r="G2040" s="44">
        <f>IF(OR(B2040="",F2040=""),"",IFERROR(F2040*INDEX(Mitarbeiter!$F$6:$F$205,MATCH(B2040,Mitarbeiter!$A$6:$A$205,0)),0))</f>
        <v/>
      </c>
      <c r="H2040" s="8">
        <f>IF(B2040="","",IF(ISNA(MATCH(B2040,Mitarbeiter!$A$6:$A$205,0)),"Pers.-Nr. unbekannt",IF(A2040="","Datum fehlt",IF(AND(D2040&lt;&gt;Einstellungen!$C$4,D2040&lt;&gt;Einstellungen!$C$5),"Objekt fehlt",IF(YEAR(A2040)&lt;&gt;Einstellungen!$C$3,"anderes Jahr",IF(A2040&lt;INDEX(Mitarbeiter!$C$6:$C$205,MATCH(B2040,Mitarbeiter!$A$6:$A$205,0)),"vor Eintritt",IF(AND(INDEX(Mitarbeiter!$D$6:$D$205,MATCH(B2040,Mitarbeiter!$A$6:$A$205,0))&lt;&gt;"",A2040&gt;INDEX(Mitarbeiter!$D$6:$D$205,MATCH(B2040,Mitarbeiter!$A$6:$A$205,0))),"nach Austritt","ok")))))))</f>
        <v/>
      </c>
    </row>
    <row r="2041">
      <c r="A2041" s="26" t="n"/>
      <c r="B2041" s="24" t="n"/>
      <c r="C2041" s="40">
        <f>IF(B2041="","",IFERROR(INDEX(Mitarbeiter!$B$6:$B$205,MATCH(B2041,Mitarbeiter!$A$6:$A$205,0)),"?"))</f>
        <v/>
      </c>
      <c r="D2041" s="41" t="n"/>
      <c r="E2041" s="42" t="n"/>
      <c r="F2041" s="43" t="n"/>
      <c r="G2041" s="44">
        <f>IF(OR(B2041="",F2041=""),"",IFERROR(F2041*INDEX(Mitarbeiter!$F$6:$F$205,MATCH(B2041,Mitarbeiter!$A$6:$A$205,0)),0))</f>
        <v/>
      </c>
      <c r="H2041" s="8">
        <f>IF(B2041="","",IF(ISNA(MATCH(B2041,Mitarbeiter!$A$6:$A$205,0)),"Pers.-Nr. unbekannt",IF(A2041="","Datum fehlt",IF(AND(D2041&lt;&gt;Einstellungen!$C$4,D2041&lt;&gt;Einstellungen!$C$5),"Objekt fehlt",IF(YEAR(A2041)&lt;&gt;Einstellungen!$C$3,"anderes Jahr",IF(A2041&lt;INDEX(Mitarbeiter!$C$6:$C$205,MATCH(B2041,Mitarbeiter!$A$6:$A$205,0)),"vor Eintritt",IF(AND(INDEX(Mitarbeiter!$D$6:$D$205,MATCH(B2041,Mitarbeiter!$A$6:$A$205,0))&lt;&gt;"",A2041&gt;INDEX(Mitarbeiter!$D$6:$D$205,MATCH(B2041,Mitarbeiter!$A$6:$A$205,0))),"nach Austritt","ok")))))))</f>
        <v/>
      </c>
    </row>
    <row r="2042">
      <c r="A2042" s="26" t="n"/>
      <c r="B2042" s="24" t="n"/>
      <c r="C2042" s="40">
        <f>IF(B2042="","",IFERROR(INDEX(Mitarbeiter!$B$6:$B$205,MATCH(B2042,Mitarbeiter!$A$6:$A$205,0)),"?"))</f>
        <v/>
      </c>
      <c r="D2042" s="41" t="n"/>
      <c r="E2042" s="42" t="n"/>
      <c r="F2042" s="43" t="n"/>
      <c r="G2042" s="44">
        <f>IF(OR(B2042="",F2042=""),"",IFERROR(F2042*INDEX(Mitarbeiter!$F$6:$F$205,MATCH(B2042,Mitarbeiter!$A$6:$A$205,0)),0))</f>
        <v/>
      </c>
      <c r="H2042" s="8">
        <f>IF(B2042="","",IF(ISNA(MATCH(B2042,Mitarbeiter!$A$6:$A$205,0)),"Pers.-Nr. unbekannt",IF(A2042="","Datum fehlt",IF(AND(D2042&lt;&gt;Einstellungen!$C$4,D2042&lt;&gt;Einstellungen!$C$5),"Objekt fehlt",IF(YEAR(A2042)&lt;&gt;Einstellungen!$C$3,"anderes Jahr",IF(A2042&lt;INDEX(Mitarbeiter!$C$6:$C$205,MATCH(B2042,Mitarbeiter!$A$6:$A$205,0)),"vor Eintritt",IF(AND(INDEX(Mitarbeiter!$D$6:$D$205,MATCH(B2042,Mitarbeiter!$A$6:$A$205,0))&lt;&gt;"",A2042&gt;INDEX(Mitarbeiter!$D$6:$D$205,MATCH(B2042,Mitarbeiter!$A$6:$A$205,0))),"nach Austritt","ok")))))))</f>
        <v/>
      </c>
    </row>
    <row r="2043">
      <c r="A2043" s="26" t="n"/>
      <c r="B2043" s="24" t="n"/>
      <c r="C2043" s="40">
        <f>IF(B2043="","",IFERROR(INDEX(Mitarbeiter!$B$6:$B$205,MATCH(B2043,Mitarbeiter!$A$6:$A$205,0)),"?"))</f>
        <v/>
      </c>
      <c r="D2043" s="41" t="n"/>
      <c r="E2043" s="42" t="n"/>
      <c r="F2043" s="43" t="n"/>
      <c r="G2043" s="44">
        <f>IF(OR(B2043="",F2043=""),"",IFERROR(F2043*INDEX(Mitarbeiter!$F$6:$F$205,MATCH(B2043,Mitarbeiter!$A$6:$A$205,0)),0))</f>
        <v/>
      </c>
      <c r="H2043" s="8">
        <f>IF(B2043="","",IF(ISNA(MATCH(B2043,Mitarbeiter!$A$6:$A$205,0)),"Pers.-Nr. unbekannt",IF(A2043="","Datum fehlt",IF(AND(D2043&lt;&gt;Einstellungen!$C$4,D2043&lt;&gt;Einstellungen!$C$5),"Objekt fehlt",IF(YEAR(A2043)&lt;&gt;Einstellungen!$C$3,"anderes Jahr",IF(A2043&lt;INDEX(Mitarbeiter!$C$6:$C$205,MATCH(B2043,Mitarbeiter!$A$6:$A$205,0)),"vor Eintritt",IF(AND(INDEX(Mitarbeiter!$D$6:$D$205,MATCH(B2043,Mitarbeiter!$A$6:$A$205,0))&lt;&gt;"",A2043&gt;INDEX(Mitarbeiter!$D$6:$D$205,MATCH(B2043,Mitarbeiter!$A$6:$A$205,0))),"nach Austritt","ok")))))))</f>
        <v/>
      </c>
    </row>
    <row r="2044">
      <c r="A2044" s="26" t="n"/>
      <c r="B2044" s="24" t="n"/>
      <c r="C2044" s="40">
        <f>IF(B2044="","",IFERROR(INDEX(Mitarbeiter!$B$6:$B$205,MATCH(B2044,Mitarbeiter!$A$6:$A$205,0)),"?"))</f>
        <v/>
      </c>
      <c r="D2044" s="41" t="n"/>
      <c r="E2044" s="42" t="n"/>
      <c r="F2044" s="43" t="n"/>
      <c r="G2044" s="44">
        <f>IF(OR(B2044="",F2044=""),"",IFERROR(F2044*INDEX(Mitarbeiter!$F$6:$F$205,MATCH(B2044,Mitarbeiter!$A$6:$A$205,0)),0))</f>
        <v/>
      </c>
      <c r="H2044" s="8">
        <f>IF(B2044="","",IF(ISNA(MATCH(B2044,Mitarbeiter!$A$6:$A$205,0)),"Pers.-Nr. unbekannt",IF(A2044="","Datum fehlt",IF(AND(D2044&lt;&gt;Einstellungen!$C$4,D2044&lt;&gt;Einstellungen!$C$5),"Objekt fehlt",IF(YEAR(A2044)&lt;&gt;Einstellungen!$C$3,"anderes Jahr",IF(A2044&lt;INDEX(Mitarbeiter!$C$6:$C$205,MATCH(B2044,Mitarbeiter!$A$6:$A$205,0)),"vor Eintritt",IF(AND(INDEX(Mitarbeiter!$D$6:$D$205,MATCH(B2044,Mitarbeiter!$A$6:$A$205,0))&lt;&gt;"",A2044&gt;INDEX(Mitarbeiter!$D$6:$D$205,MATCH(B2044,Mitarbeiter!$A$6:$A$205,0))),"nach Austritt","ok")))))))</f>
        <v/>
      </c>
    </row>
    <row r="2045">
      <c r="A2045" s="26" t="n"/>
      <c r="B2045" s="24" t="n"/>
      <c r="C2045" s="40">
        <f>IF(B2045="","",IFERROR(INDEX(Mitarbeiter!$B$6:$B$205,MATCH(B2045,Mitarbeiter!$A$6:$A$205,0)),"?"))</f>
        <v/>
      </c>
      <c r="D2045" s="41" t="n"/>
      <c r="E2045" s="42" t="n"/>
      <c r="F2045" s="43" t="n"/>
      <c r="G2045" s="44">
        <f>IF(OR(B2045="",F2045=""),"",IFERROR(F2045*INDEX(Mitarbeiter!$F$6:$F$205,MATCH(B2045,Mitarbeiter!$A$6:$A$205,0)),0))</f>
        <v/>
      </c>
      <c r="H2045" s="8">
        <f>IF(B2045="","",IF(ISNA(MATCH(B2045,Mitarbeiter!$A$6:$A$205,0)),"Pers.-Nr. unbekannt",IF(A2045="","Datum fehlt",IF(AND(D2045&lt;&gt;Einstellungen!$C$4,D2045&lt;&gt;Einstellungen!$C$5),"Objekt fehlt",IF(YEAR(A2045)&lt;&gt;Einstellungen!$C$3,"anderes Jahr",IF(A2045&lt;INDEX(Mitarbeiter!$C$6:$C$205,MATCH(B2045,Mitarbeiter!$A$6:$A$205,0)),"vor Eintritt",IF(AND(INDEX(Mitarbeiter!$D$6:$D$205,MATCH(B2045,Mitarbeiter!$A$6:$A$205,0))&lt;&gt;"",A2045&gt;INDEX(Mitarbeiter!$D$6:$D$205,MATCH(B2045,Mitarbeiter!$A$6:$A$205,0))),"nach Austritt","ok")))))))</f>
        <v/>
      </c>
    </row>
    <row r="2046">
      <c r="A2046" s="26" t="n"/>
      <c r="B2046" s="24" t="n"/>
      <c r="C2046" s="40">
        <f>IF(B2046="","",IFERROR(INDEX(Mitarbeiter!$B$6:$B$205,MATCH(B2046,Mitarbeiter!$A$6:$A$205,0)),"?"))</f>
        <v/>
      </c>
      <c r="D2046" s="41" t="n"/>
      <c r="E2046" s="42" t="n"/>
      <c r="F2046" s="43" t="n"/>
      <c r="G2046" s="44">
        <f>IF(OR(B2046="",F2046=""),"",IFERROR(F2046*INDEX(Mitarbeiter!$F$6:$F$205,MATCH(B2046,Mitarbeiter!$A$6:$A$205,0)),0))</f>
        <v/>
      </c>
      <c r="H2046" s="8">
        <f>IF(B2046="","",IF(ISNA(MATCH(B2046,Mitarbeiter!$A$6:$A$205,0)),"Pers.-Nr. unbekannt",IF(A2046="","Datum fehlt",IF(AND(D2046&lt;&gt;Einstellungen!$C$4,D2046&lt;&gt;Einstellungen!$C$5),"Objekt fehlt",IF(YEAR(A2046)&lt;&gt;Einstellungen!$C$3,"anderes Jahr",IF(A2046&lt;INDEX(Mitarbeiter!$C$6:$C$205,MATCH(B2046,Mitarbeiter!$A$6:$A$205,0)),"vor Eintritt",IF(AND(INDEX(Mitarbeiter!$D$6:$D$205,MATCH(B2046,Mitarbeiter!$A$6:$A$205,0))&lt;&gt;"",A2046&gt;INDEX(Mitarbeiter!$D$6:$D$205,MATCH(B2046,Mitarbeiter!$A$6:$A$205,0))),"nach Austritt","ok")))))))</f>
        <v/>
      </c>
    </row>
    <row r="2047">
      <c r="A2047" s="26" t="n"/>
      <c r="B2047" s="24" t="n"/>
      <c r="C2047" s="40">
        <f>IF(B2047="","",IFERROR(INDEX(Mitarbeiter!$B$6:$B$205,MATCH(B2047,Mitarbeiter!$A$6:$A$205,0)),"?"))</f>
        <v/>
      </c>
      <c r="D2047" s="41" t="n"/>
      <c r="E2047" s="42" t="n"/>
      <c r="F2047" s="43" t="n"/>
      <c r="G2047" s="44">
        <f>IF(OR(B2047="",F2047=""),"",IFERROR(F2047*INDEX(Mitarbeiter!$F$6:$F$205,MATCH(B2047,Mitarbeiter!$A$6:$A$205,0)),0))</f>
        <v/>
      </c>
      <c r="H2047" s="8">
        <f>IF(B2047="","",IF(ISNA(MATCH(B2047,Mitarbeiter!$A$6:$A$205,0)),"Pers.-Nr. unbekannt",IF(A2047="","Datum fehlt",IF(AND(D2047&lt;&gt;Einstellungen!$C$4,D2047&lt;&gt;Einstellungen!$C$5),"Objekt fehlt",IF(YEAR(A2047)&lt;&gt;Einstellungen!$C$3,"anderes Jahr",IF(A2047&lt;INDEX(Mitarbeiter!$C$6:$C$205,MATCH(B2047,Mitarbeiter!$A$6:$A$205,0)),"vor Eintritt",IF(AND(INDEX(Mitarbeiter!$D$6:$D$205,MATCH(B2047,Mitarbeiter!$A$6:$A$205,0))&lt;&gt;"",A2047&gt;INDEX(Mitarbeiter!$D$6:$D$205,MATCH(B2047,Mitarbeiter!$A$6:$A$205,0))),"nach Austritt","ok")))))))</f>
        <v/>
      </c>
    </row>
    <row r="2048">
      <c r="A2048" s="26" t="n"/>
      <c r="B2048" s="24" t="n"/>
      <c r="C2048" s="40">
        <f>IF(B2048="","",IFERROR(INDEX(Mitarbeiter!$B$6:$B$205,MATCH(B2048,Mitarbeiter!$A$6:$A$205,0)),"?"))</f>
        <v/>
      </c>
      <c r="D2048" s="41" t="n"/>
      <c r="E2048" s="42" t="n"/>
      <c r="F2048" s="43" t="n"/>
      <c r="G2048" s="44">
        <f>IF(OR(B2048="",F2048=""),"",IFERROR(F2048*INDEX(Mitarbeiter!$F$6:$F$205,MATCH(B2048,Mitarbeiter!$A$6:$A$205,0)),0))</f>
        <v/>
      </c>
      <c r="H2048" s="8">
        <f>IF(B2048="","",IF(ISNA(MATCH(B2048,Mitarbeiter!$A$6:$A$205,0)),"Pers.-Nr. unbekannt",IF(A2048="","Datum fehlt",IF(AND(D2048&lt;&gt;Einstellungen!$C$4,D2048&lt;&gt;Einstellungen!$C$5),"Objekt fehlt",IF(YEAR(A2048)&lt;&gt;Einstellungen!$C$3,"anderes Jahr",IF(A2048&lt;INDEX(Mitarbeiter!$C$6:$C$205,MATCH(B2048,Mitarbeiter!$A$6:$A$205,0)),"vor Eintritt",IF(AND(INDEX(Mitarbeiter!$D$6:$D$205,MATCH(B2048,Mitarbeiter!$A$6:$A$205,0))&lt;&gt;"",A2048&gt;INDEX(Mitarbeiter!$D$6:$D$205,MATCH(B2048,Mitarbeiter!$A$6:$A$205,0))),"nach Austritt","ok")))))))</f>
        <v/>
      </c>
    </row>
    <row r="2049">
      <c r="A2049" s="26" t="n"/>
      <c r="B2049" s="24" t="n"/>
      <c r="C2049" s="40">
        <f>IF(B2049="","",IFERROR(INDEX(Mitarbeiter!$B$6:$B$205,MATCH(B2049,Mitarbeiter!$A$6:$A$205,0)),"?"))</f>
        <v/>
      </c>
      <c r="D2049" s="41" t="n"/>
      <c r="E2049" s="42" t="n"/>
      <c r="F2049" s="43" t="n"/>
      <c r="G2049" s="44">
        <f>IF(OR(B2049="",F2049=""),"",IFERROR(F2049*INDEX(Mitarbeiter!$F$6:$F$205,MATCH(B2049,Mitarbeiter!$A$6:$A$205,0)),0))</f>
        <v/>
      </c>
      <c r="H2049" s="8">
        <f>IF(B2049="","",IF(ISNA(MATCH(B2049,Mitarbeiter!$A$6:$A$205,0)),"Pers.-Nr. unbekannt",IF(A2049="","Datum fehlt",IF(AND(D2049&lt;&gt;Einstellungen!$C$4,D2049&lt;&gt;Einstellungen!$C$5),"Objekt fehlt",IF(YEAR(A2049)&lt;&gt;Einstellungen!$C$3,"anderes Jahr",IF(A2049&lt;INDEX(Mitarbeiter!$C$6:$C$205,MATCH(B2049,Mitarbeiter!$A$6:$A$205,0)),"vor Eintritt",IF(AND(INDEX(Mitarbeiter!$D$6:$D$205,MATCH(B2049,Mitarbeiter!$A$6:$A$205,0))&lt;&gt;"",A2049&gt;INDEX(Mitarbeiter!$D$6:$D$205,MATCH(B2049,Mitarbeiter!$A$6:$A$205,0))),"nach Austritt","ok")))))))</f>
        <v/>
      </c>
    </row>
    <row r="2050">
      <c r="A2050" s="26" t="n"/>
      <c r="B2050" s="24" t="n"/>
      <c r="C2050" s="40">
        <f>IF(B2050="","",IFERROR(INDEX(Mitarbeiter!$B$6:$B$205,MATCH(B2050,Mitarbeiter!$A$6:$A$205,0)),"?"))</f>
        <v/>
      </c>
      <c r="D2050" s="41" t="n"/>
      <c r="E2050" s="42" t="n"/>
      <c r="F2050" s="43" t="n"/>
      <c r="G2050" s="44">
        <f>IF(OR(B2050="",F2050=""),"",IFERROR(F2050*INDEX(Mitarbeiter!$F$6:$F$205,MATCH(B2050,Mitarbeiter!$A$6:$A$205,0)),0))</f>
        <v/>
      </c>
      <c r="H2050" s="8">
        <f>IF(B2050="","",IF(ISNA(MATCH(B2050,Mitarbeiter!$A$6:$A$205,0)),"Pers.-Nr. unbekannt",IF(A2050="","Datum fehlt",IF(AND(D2050&lt;&gt;Einstellungen!$C$4,D2050&lt;&gt;Einstellungen!$C$5),"Objekt fehlt",IF(YEAR(A2050)&lt;&gt;Einstellungen!$C$3,"anderes Jahr",IF(A2050&lt;INDEX(Mitarbeiter!$C$6:$C$205,MATCH(B2050,Mitarbeiter!$A$6:$A$205,0)),"vor Eintritt",IF(AND(INDEX(Mitarbeiter!$D$6:$D$205,MATCH(B2050,Mitarbeiter!$A$6:$A$205,0))&lt;&gt;"",A2050&gt;INDEX(Mitarbeiter!$D$6:$D$205,MATCH(B2050,Mitarbeiter!$A$6:$A$205,0))),"nach Austritt","ok")))))))</f>
        <v/>
      </c>
    </row>
    <row r="2051">
      <c r="A2051" s="26" t="n"/>
      <c r="B2051" s="24" t="n"/>
      <c r="C2051" s="40">
        <f>IF(B2051="","",IFERROR(INDEX(Mitarbeiter!$B$6:$B$205,MATCH(B2051,Mitarbeiter!$A$6:$A$205,0)),"?"))</f>
        <v/>
      </c>
      <c r="D2051" s="41" t="n"/>
      <c r="E2051" s="42" t="n"/>
      <c r="F2051" s="43" t="n"/>
      <c r="G2051" s="44">
        <f>IF(OR(B2051="",F2051=""),"",IFERROR(F2051*INDEX(Mitarbeiter!$F$6:$F$205,MATCH(B2051,Mitarbeiter!$A$6:$A$205,0)),0))</f>
        <v/>
      </c>
      <c r="H2051" s="8">
        <f>IF(B2051="","",IF(ISNA(MATCH(B2051,Mitarbeiter!$A$6:$A$205,0)),"Pers.-Nr. unbekannt",IF(A2051="","Datum fehlt",IF(AND(D2051&lt;&gt;Einstellungen!$C$4,D2051&lt;&gt;Einstellungen!$C$5),"Objekt fehlt",IF(YEAR(A2051)&lt;&gt;Einstellungen!$C$3,"anderes Jahr",IF(A2051&lt;INDEX(Mitarbeiter!$C$6:$C$205,MATCH(B2051,Mitarbeiter!$A$6:$A$205,0)),"vor Eintritt",IF(AND(INDEX(Mitarbeiter!$D$6:$D$205,MATCH(B2051,Mitarbeiter!$A$6:$A$205,0))&lt;&gt;"",A2051&gt;INDEX(Mitarbeiter!$D$6:$D$205,MATCH(B2051,Mitarbeiter!$A$6:$A$205,0))),"nach Austritt","ok")))))))</f>
        <v/>
      </c>
    </row>
    <row r="2052">
      <c r="A2052" s="26" t="n"/>
      <c r="B2052" s="24" t="n"/>
      <c r="C2052" s="40">
        <f>IF(B2052="","",IFERROR(INDEX(Mitarbeiter!$B$6:$B$205,MATCH(B2052,Mitarbeiter!$A$6:$A$205,0)),"?"))</f>
        <v/>
      </c>
      <c r="D2052" s="41" t="n"/>
      <c r="E2052" s="42" t="n"/>
      <c r="F2052" s="43" t="n"/>
      <c r="G2052" s="44">
        <f>IF(OR(B2052="",F2052=""),"",IFERROR(F2052*INDEX(Mitarbeiter!$F$6:$F$205,MATCH(B2052,Mitarbeiter!$A$6:$A$205,0)),0))</f>
        <v/>
      </c>
      <c r="H2052" s="8">
        <f>IF(B2052="","",IF(ISNA(MATCH(B2052,Mitarbeiter!$A$6:$A$205,0)),"Pers.-Nr. unbekannt",IF(A2052="","Datum fehlt",IF(AND(D2052&lt;&gt;Einstellungen!$C$4,D2052&lt;&gt;Einstellungen!$C$5),"Objekt fehlt",IF(YEAR(A2052)&lt;&gt;Einstellungen!$C$3,"anderes Jahr",IF(A2052&lt;INDEX(Mitarbeiter!$C$6:$C$205,MATCH(B2052,Mitarbeiter!$A$6:$A$205,0)),"vor Eintritt",IF(AND(INDEX(Mitarbeiter!$D$6:$D$205,MATCH(B2052,Mitarbeiter!$A$6:$A$205,0))&lt;&gt;"",A2052&gt;INDEX(Mitarbeiter!$D$6:$D$205,MATCH(B2052,Mitarbeiter!$A$6:$A$205,0))),"nach Austritt","ok")))))))</f>
        <v/>
      </c>
    </row>
    <row r="2053">
      <c r="A2053" s="26" t="n"/>
      <c r="B2053" s="24" t="n"/>
      <c r="C2053" s="40">
        <f>IF(B2053="","",IFERROR(INDEX(Mitarbeiter!$B$6:$B$205,MATCH(B2053,Mitarbeiter!$A$6:$A$205,0)),"?"))</f>
        <v/>
      </c>
      <c r="D2053" s="41" t="n"/>
      <c r="E2053" s="42" t="n"/>
      <c r="F2053" s="43" t="n"/>
      <c r="G2053" s="44">
        <f>IF(OR(B2053="",F2053=""),"",IFERROR(F2053*INDEX(Mitarbeiter!$F$6:$F$205,MATCH(B2053,Mitarbeiter!$A$6:$A$205,0)),0))</f>
        <v/>
      </c>
      <c r="H2053" s="8">
        <f>IF(B2053="","",IF(ISNA(MATCH(B2053,Mitarbeiter!$A$6:$A$205,0)),"Pers.-Nr. unbekannt",IF(A2053="","Datum fehlt",IF(AND(D2053&lt;&gt;Einstellungen!$C$4,D2053&lt;&gt;Einstellungen!$C$5),"Objekt fehlt",IF(YEAR(A2053)&lt;&gt;Einstellungen!$C$3,"anderes Jahr",IF(A2053&lt;INDEX(Mitarbeiter!$C$6:$C$205,MATCH(B2053,Mitarbeiter!$A$6:$A$205,0)),"vor Eintritt",IF(AND(INDEX(Mitarbeiter!$D$6:$D$205,MATCH(B2053,Mitarbeiter!$A$6:$A$205,0))&lt;&gt;"",A2053&gt;INDEX(Mitarbeiter!$D$6:$D$205,MATCH(B2053,Mitarbeiter!$A$6:$A$205,0))),"nach Austritt","ok")))))))</f>
        <v/>
      </c>
    </row>
    <row r="2054">
      <c r="A2054" s="26" t="n"/>
      <c r="B2054" s="24" t="n"/>
      <c r="C2054" s="40">
        <f>IF(B2054="","",IFERROR(INDEX(Mitarbeiter!$B$6:$B$205,MATCH(B2054,Mitarbeiter!$A$6:$A$205,0)),"?"))</f>
        <v/>
      </c>
      <c r="D2054" s="41" t="n"/>
      <c r="E2054" s="42" t="n"/>
      <c r="F2054" s="43" t="n"/>
      <c r="G2054" s="44">
        <f>IF(OR(B2054="",F2054=""),"",IFERROR(F2054*INDEX(Mitarbeiter!$F$6:$F$205,MATCH(B2054,Mitarbeiter!$A$6:$A$205,0)),0))</f>
        <v/>
      </c>
      <c r="H2054" s="8">
        <f>IF(B2054="","",IF(ISNA(MATCH(B2054,Mitarbeiter!$A$6:$A$205,0)),"Pers.-Nr. unbekannt",IF(A2054="","Datum fehlt",IF(AND(D2054&lt;&gt;Einstellungen!$C$4,D2054&lt;&gt;Einstellungen!$C$5),"Objekt fehlt",IF(YEAR(A2054)&lt;&gt;Einstellungen!$C$3,"anderes Jahr",IF(A2054&lt;INDEX(Mitarbeiter!$C$6:$C$205,MATCH(B2054,Mitarbeiter!$A$6:$A$205,0)),"vor Eintritt",IF(AND(INDEX(Mitarbeiter!$D$6:$D$205,MATCH(B2054,Mitarbeiter!$A$6:$A$205,0))&lt;&gt;"",A2054&gt;INDEX(Mitarbeiter!$D$6:$D$205,MATCH(B2054,Mitarbeiter!$A$6:$A$205,0))),"nach Austritt","ok")))))))</f>
        <v/>
      </c>
    </row>
    <row r="2055">
      <c r="A2055" s="26" t="n"/>
      <c r="B2055" s="24" t="n"/>
      <c r="C2055" s="40">
        <f>IF(B2055="","",IFERROR(INDEX(Mitarbeiter!$B$6:$B$205,MATCH(B2055,Mitarbeiter!$A$6:$A$205,0)),"?"))</f>
        <v/>
      </c>
      <c r="D2055" s="41" t="n"/>
      <c r="E2055" s="42" t="n"/>
      <c r="F2055" s="43" t="n"/>
      <c r="G2055" s="44">
        <f>IF(OR(B2055="",F2055=""),"",IFERROR(F2055*INDEX(Mitarbeiter!$F$6:$F$205,MATCH(B2055,Mitarbeiter!$A$6:$A$205,0)),0))</f>
        <v/>
      </c>
      <c r="H2055" s="8">
        <f>IF(B2055="","",IF(ISNA(MATCH(B2055,Mitarbeiter!$A$6:$A$205,0)),"Pers.-Nr. unbekannt",IF(A2055="","Datum fehlt",IF(AND(D2055&lt;&gt;Einstellungen!$C$4,D2055&lt;&gt;Einstellungen!$C$5),"Objekt fehlt",IF(YEAR(A2055)&lt;&gt;Einstellungen!$C$3,"anderes Jahr",IF(A2055&lt;INDEX(Mitarbeiter!$C$6:$C$205,MATCH(B2055,Mitarbeiter!$A$6:$A$205,0)),"vor Eintritt",IF(AND(INDEX(Mitarbeiter!$D$6:$D$205,MATCH(B2055,Mitarbeiter!$A$6:$A$205,0))&lt;&gt;"",A2055&gt;INDEX(Mitarbeiter!$D$6:$D$205,MATCH(B2055,Mitarbeiter!$A$6:$A$205,0))),"nach Austritt","ok")))))))</f>
        <v/>
      </c>
    </row>
    <row r="2056">
      <c r="A2056" s="26" t="n"/>
      <c r="B2056" s="24" t="n"/>
      <c r="C2056" s="40">
        <f>IF(B2056="","",IFERROR(INDEX(Mitarbeiter!$B$6:$B$205,MATCH(B2056,Mitarbeiter!$A$6:$A$205,0)),"?"))</f>
        <v/>
      </c>
      <c r="D2056" s="41" t="n"/>
      <c r="E2056" s="42" t="n"/>
      <c r="F2056" s="43" t="n"/>
      <c r="G2056" s="44">
        <f>IF(OR(B2056="",F2056=""),"",IFERROR(F2056*INDEX(Mitarbeiter!$F$6:$F$205,MATCH(B2056,Mitarbeiter!$A$6:$A$205,0)),0))</f>
        <v/>
      </c>
      <c r="H2056" s="8">
        <f>IF(B2056="","",IF(ISNA(MATCH(B2056,Mitarbeiter!$A$6:$A$205,0)),"Pers.-Nr. unbekannt",IF(A2056="","Datum fehlt",IF(AND(D2056&lt;&gt;Einstellungen!$C$4,D2056&lt;&gt;Einstellungen!$C$5),"Objekt fehlt",IF(YEAR(A2056)&lt;&gt;Einstellungen!$C$3,"anderes Jahr",IF(A2056&lt;INDEX(Mitarbeiter!$C$6:$C$205,MATCH(B2056,Mitarbeiter!$A$6:$A$205,0)),"vor Eintritt",IF(AND(INDEX(Mitarbeiter!$D$6:$D$205,MATCH(B2056,Mitarbeiter!$A$6:$A$205,0))&lt;&gt;"",A2056&gt;INDEX(Mitarbeiter!$D$6:$D$205,MATCH(B2056,Mitarbeiter!$A$6:$A$205,0))),"nach Austritt","ok")))))))</f>
        <v/>
      </c>
    </row>
    <row r="2057">
      <c r="A2057" s="26" t="n"/>
      <c r="B2057" s="24" t="n"/>
      <c r="C2057" s="40">
        <f>IF(B2057="","",IFERROR(INDEX(Mitarbeiter!$B$6:$B$205,MATCH(B2057,Mitarbeiter!$A$6:$A$205,0)),"?"))</f>
        <v/>
      </c>
      <c r="D2057" s="41" t="n"/>
      <c r="E2057" s="42" t="n"/>
      <c r="F2057" s="43" t="n"/>
      <c r="G2057" s="44">
        <f>IF(OR(B2057="",F2057=""),"",IFERROR(F2057*INDEX(Mitarbeiter!$F$6:$F$205,MATCH(B2057,Mitarbeiter!$A$6:$A$205,0)),0))</f>
        <v/>
      </c>
      <c r="H2057" s="8">
        <f>IF(B2057="","",IF(ISNA(MATCH(B2057,Mitarbeiter!$A$6:$A$205,0)),"Pers.-Nr. unbekannt",IF(A2057="","Datum fehlt",IF(AND(D2057&lt;&gt;Einstellungen!$C$4,D2057&lt;&gt;Einstellungen!$C$5),"Objekt fehlt",IF(YEAR(A2057)&lt;&gt;Einstellungen!$C$3,"anderes Jahr",IF(A2057&lt;INDEX(Mitarbeiter!$C$6:$C$205,MATCH(B2057,Mitarbeiter!$A$6:$A$205,0)),"vor Eintritt",IF(AND(INDEX(Mitarbeiter!$D$6:$D$205,MATCH(B2057,Mitarbeiter!$A$6:$A$205,0))&lt;&gt;"",A2057&gt;INDEX(Mitarbeiter!$D$6:$D$205,MATCH(B2057,Mitarbeiter!$A$6:$A$205,0))),"nach Austritt","ok")))))))</f>
        <v/>
      </c>
    </row>
    <row r="2058">
      <c r="A2058" s="26" t="n"/>
      <c r="B2058" s="24" t="n"/>
      <c r="C2058" s="40">
        <f>IF(B2058="","",IFERROR(INDEX(Mitarbeiter!$B$6:$B$205,MATCH(B2058,Mitarbeiter!$A$6:$A$205,0)),"?"))</f>
        <v/>
      </c>
      <c r="D2058" s="41" t="n"/>
      <c r="E2058" s="42" t="n"/>
      <c r="F2058" s="43" t="n"/>
      <c r="G2058" s="44">
        <f>IF(OR(B2058="",F2058=""),"",IFERROR(F2058*INDEX(Mitarbeiter!$F$6:$F$205,MATCH(B2058,Mitarbeiter!$A$6:$A$205,0)),0))</f>
        <v/>
      </c>
      <c r="H2058" s="8">
        <f>IF(B2058="","",IF(ISNA(MATCH(B2058,Mitarbeiter!$A$6:$A$205,0)),"Pers.-Nr. unbekannt",IF(A2058="","Datum fehlt",IF(AND(D2058&lt;&gt;Einstellungen!$C$4,D2058&lt;&gt;Einstellungen!$C$5),"Objekt fehlt",IF(YEAR(A2058)&lt;&gt;Einstellungen!$C$3,"anderes Jahr",IF(A2058&lt;INDEX(Mitarbeiter!$C$6:$C$205,MATCH(B2058,Mitarbeiter!$A$6:$A$205,0)),"vor Eintritt",IF(AND(INDEX(Mitarbeiter!$D$6:$D$205,MATCH(B2058,Mitarbeiter!$A$6:$A$205,0))&lt;&gt;"",A2058&gt;INDEX(Mitarbeiter!$D$6:$D$205,MATCH(B2058,Mitarbeiter!$A$6:$A$205,0))),"nach Austritt","ok")))))))</f>
        <v/>
      </c>
    </row>
    <row r="2059">
      <c r="A2059" s="26" t="n"/>
      <c r="B2059" s="24" t="n"/>
      <c r="C2059" s="40">
        <f>IF(B2059="","",IFERROR(INDEX(Mitarbeiter!$B$6:$B$205,MATCH(B2059,Mitarbeiter!$A$6:$A$205,0)),"?"))</f>
        <v/>
      </c>
      <c r="D2059" s="41" t="n"/>
      <c r="E2059" s="42" t="n"/>
      <c r="F2059" s="43" t="n"/>
      <c r="G2059" s="44">
        <f>IF(OR(B2059="",F2059=""),"",IFERROR(F2059*INDEX(Mitarbeiter!$F$6:$F$205,MATCH(B2059,Mitarbeiter!$A$6:$A$205,0)),0))</f>
        <v/>
      </c>
      <c r="H2059" s="8">
        <f>IF(B2059="","",IF(ISNA(MATCH(B2059,Mitarbeiter!$A$6:$A$205,0)),"Pers.-Nr. unbekannt",IF(A2059="","Datum fehlt",IF(AND(D2059&lt;&gt;Einstellungen!$C$4,D2059&lt;&gt;Einstellungen!$C$5),"Objekt fehlt",IF(YEAR(A2059)&lt;&gt;Einstellungen!$C$3,"anderes Jahr",IF(A2059&lt;INDEX(Mitarbeiter!$C$6:$C$205,MATCH(B2059,Mitarbeiter!$A$6:$A$205,0)),"vor Eintritt",IF(AND(INDEX(Mitarbeiter!$D$6:$D$205,MATCH(B2059,Mitarbeiter!$A$6:$A$205,0))&lt;&gt;"",A2059&gt;INDEX(Mitarbeiter!$D$6:$D$205,MATCH(B2059,Mitarbeiter!$A$6:$A$205,0))),"nach Austritt","ok")))))))</f>
        <v/>
      </c>
    </row>
    <row r="2060">
      <c r="A2060" s="26" t="n"/>
      <c r="B2060" s="24" t="n"/>
      <c r="C2060" s="40">
        <f>IF(B2060="","",IFERROR(INDEX(Mitarbeiter!$B$6:$B$205,MATCH(B2060,Mitarbeiter!$A$6:$A$205,0)),"?"))</f>
        <v/>
      </c>
      <c r="D2060" s="41" t="n"/>
      <c r="E2060" s="42" t="n"/>
      <c r="F2060" s="43" t="n"/>
      <c r="G2060" s="44">
        <f>IF(OR(B2060="",F2060=""),"",IFERROR(F2060*INDEX(Mitarbeiter!$F$6:$F$205,MATCH(B2060,Mitarbeiter!$A$6:$A$205,0)),0))</f>
        <v/>
      </c>
      <c r="H2060" s="8">
        <f>IF(B2060="","",IF(ISNA(MATCH(B2060,Mitarbeiter!$A$6:$A$205,0)),"Pers.-Nr. unbekannt",IF(A2060="","Datum fehlt",IF(AND(D2060&lt;&gt;Einstellungen!$C$4,D2060&lt;&gt;Einstellungen!$C$5),"Objekt fehlt",IF(YEAR(A2060)&lt;&gt;Einstellungen!$C$3,"anderes Jahr",IF(A2060&lt;INDEX(Mitarbeiter!$C$6:$C$205,MATCH(B2060,Mitarbeiter!$A$6:$A$205,0)),"vor Eintritt",IF(AND(INDEX(Mitarbeiter!$D$6:$D$205,MATCH(B2060,Mitarbeiter!$A$6:$A$205,0))&lt;&gt;"",A2060&gt;INDEX(Mitarbeiter!$D$6:$D$205,MATCH(B2060,Mitarbeiter!$A$6:$A$205,0))),"nach Austritt","ok")))))))</f>
        <v/>
      </c>
    </row>
    <row r="2061">
      <c r="A2061" s="26" t="n"/>
      <c r="B2061" s="24" t="n"/>
      <c r="C2061" s="40">
        <f>IF(B2061="","",IFERROR(INDEX(Mitarbeiter!$B$6:$B$205,MATCH(B2061,Mitarbeiter!$A$6:$A$205,0)),"?"))</f>
        <v/>
      </c>
      <c r="D2061" s="41" t="n"/>
      <c r="E2061" s="42" t="n"/>
      <c r="F2061" s="43" t="n"/>
      <c r="G2061" s="44">
        <f>IF(OR(B2061="",F2061=""),"",IFERROR(F2061*INDEX(Mitarbeiter!$F$6:$F$205,MATCH(B2061,Mitarbeiter!$A$6:$A$205,0)),0))</f>
        <v/>
      </c>
      <c r="H2061" s="8">
        <f>IF(B2061="","",IF(ISNA(MATCH(B2061,Mitarbeiter!$A$6:$A$205,0)),"Pers.-Nr. unbekannt",IF(A2061="","Datum fehlt",IF(AND(D2061&lt;&gt;Einstellungen!$C$4,D2061&lt;&gt;Einstellungen!$C$5),"Objekt fehlt",IF(YEAR(A2061)&lt;&gt;Einstellungen!$C$3,"anderes Jahr",IF(A2061&lt;INDEX(Mitarbeiter!$C$6:$C$205,MATCH(B2061,Mitarbeiter!$A$6:$A$205,0)),"vor Eintritt",IF(AND(INDEX(Mitarbeiter!$D$6:$D$205,MATCH(B2061,Mitarbeiter!$A$6:$A$205,0))&lt;&gt;"",A2061&gt;INDEX(Mitarbeiter!$D$6:$D$205,MATCH(B2061,Mitarbeiter!$A$6:$A$205,0))),"nach Austritt","ok")))))))</f>
        <v/>
      </c>
    </row>
    <row r="2062">
      <c r="A2062" s="26" t="n"/>
      <c r="B2062" s="24" t="n"/>
      <c r="C2062" s="40">
        <f>IF(B2062="","",IFERROR(INDEX(Mitarbeiter!$B$6:$B$205,MATCH(B2062,Mitarbeiter!$A$6:$A$205,0)),"?"))</f>
        <v/>
      </c>
      <c r="D2062" s="41" t="n"/>
      <c r="E2062" s="42" t="n"/>
      <c r="F2062" s="43" t="n"/>
      <c r="G2062" s="44">
        <f>IF(OR(B2062="",F2062=""),"",IFERROR(F2062*INDEX(Mitarbeiter!$F$6:$F$205,MATCH(B2062,Mitarbeiter!$A$6:$A$205,0)),0))</f>
        <v/>
      </c>
      <c r="H2062" s="8">
        <f>IF(B2062="","",IF(ISNA(MATCH(B2062,Mitarbeiter!$A$6:$A$205,0)),"Pers.-Nr. unbekannt",IF(A2062="","Datum fehlt",IF(AND(D2062&lt;&gt;Einstellungen!$C$4,D2062&lt;&gt;Einstellungen!$C$5),"Objekt fehlt",IF(YEAR(A2062)&lt;&gt;Einstellungen!$C$3,"anderes Jahr",IF(A2062&lt;INDEX(Mitarbeiter!$C$6:$C$205,MATCH(B2062,Mitarbeiter!$A$6:$A$205,0)),"vor Eintritt",IF(AND(INDEX(Mitarbeiter!$D$6:$D$205,MATCH(B2062,Mitarbeiter!$A$6:$A$205,0))&lt;&gt;"",A2062&gt;INDEX(Mitarbeiter!$D$6:$D$205,MATCH(B2062,Mitarbeiter!$A$6:$A$205,0))),"nach Austritt","ok")))))))</f>
        <v/>
      </c>
    </row>
    <row r="2063">
      <c r="A2063" s="26" t="n"/>
      <c r="B2063" s="24" t="n"/>
      <c r="C2063" s="40">
        <f>IF(B2063="","",IFERROR(INDEX(Mitarbeiter!$B$6:$B$205,MATCH(B2063,Mitarbeiter!$A$6:$A$205,0)),"?"))</f>
        <v/>
      </c>
      <c r="D2063" s="41" t="n"/>
      <c r="E2063" s="42" t="n"/>
      <c r="F2063" s="43" t="n"/>
      <c r="G2063" s="44">
        <f>IF(OR(B2063="",F2063=""),"",IFERROR(F2063*INDEX(Mitarbeiter!$F$6:$F$205,MATCH(B2063,Mitarbeiter!$A$6:$A$205,0)),0))</f>
        <v/>
      </c>
      <c r="H2063" s="8">
        <f>IF(B2063="","",IF(ISNA(MATCH(B2063,Mitarbeiter!$A$6:$A$205,0)),"Pers.-Nr. unbekannt",IF(A2063="","Datum fehlt",IF(AND(D2063&lt;&gt;Einstellungen!$C$4,D2063&lt;&gt;Einstellungen!$C$5),"Objekt fehlt",IF(YEAR(A2063)&lt;&gt;Einstellungen!$C$3,"anderes Jahr",IF(A2063&lt;INDEX(Mitarbeiter!$C$6:$C$205,MATCH(B2063,Mitarbeiter!$A$6:$A$205,0)),"vor Eintritt",IF(AND(INDEX(Mitarbeiter!$D$6:$D$205,MATCH(B2063,Mitarbeiter!$A$6:$A$205,0))&lt;&gt;"",A2063&gt;INDEX(Mitarbeiter!$D$6:$D$205,MATCH(B2063,Mitarbeiter!$A$6:$A$205,0))),"nach Austritt","ok")))))))</f>
        <v/>
      </c>
    </row>
    <row r="2064">
      <c r="A2064" s="26" t="n"/>
      <c r="B2064" s="24" t="n"/>
      <c r="C2064" s="40">
        <f>IF(B2064="","",IFERROR(INDEX(Mitarbeiter!$B$6:$B$205,MATCH(B2064,Mitarbeiter!$A$6:$A$205,0)),"?"))</f>
        <v/>
      </c>
      <c r="D2064" s="41" t="n"/>
      <c r="E2064" s="42" t="n"/>
      <c r="F2064" s="43" t="n"/>
      <c r="G2064" s="44">
        <f>IF(OR(B2064="",F2064=""),"",IFERROR(F2064*INDEX(Mitarbeiter!$F$6:$F$205,MATCH(B2064,Mitarbeiter!$A$6:$A$205,0)),0))</f>
        <v/>
      </c>
      <c r="H2064" s="8">
        <f>IF(B2064="","",IF(ISNA(MATCH(B2064,Mitarbeiter!$A$6:$A$205,0)),"Pers.-Nr. unbekannt",IF(A2064="","Datum fehlt",IF(AND(D2064&lt;&gt;Einstellungen!$C$4,D2064&lt;&gt;Einstellungen!$C$5),"Objekt fehlt",IF(YEAR(A2064)&lt;&gt;Einstellungen!$C$3,"anderes Jahr",IF(A2064&lt;INDEX(Mitarbeiter!$C$6:$C$205,MATCH(B2064,Mitarbeiter!$A$6:$A$205,0)),"vor Eintritt",IF(AND(INDEX(Mitarbeiter!$D$6:$D$205,MATCH(B2064,Mitarbeiter!$A$6:$A$205,0))&lt;&gt;"",A2064&gt;INDEX(Mitarbeiter!$D$6:$D$205,MATCH(B2064,Mitarbeiter!$A$6:$A$205,0))),"nach Austritt","ok")))))))</f>
        <v/>
      </c>
    </row>
    <row r="2065">
      <c r="A2065" s="26" t="n"/>
      <c r="B2065" s="24" t="n"/>
      <c r="C2065" s="40">
        <f>IF(B2065="","",IFERROR(INDEX(Mitarbeiter!$B$6:$B$205,MATCH(B2065,Mitarbeiter!$A$6:$A$205,0)),"?"))</f>
        <v/>
      </c>
      <c r="D2065" s="41" t="n"/>
      <c r="E2065" s="42" t="n"/>
      <c r="F2065" s="43" t="n"/>
      <c r="G2065" s="44">
        <f>IF(OR(B2065="",F2065=""),"",IFERROR(F2065*INDEX(Mitarbeiter!$F$6:$F$205,MATCH(B2065,Mitarbeiter!$A$6:$A$205,0)),0))</f>
        <v/>
      </c>
      <c r="H2065" s="8">
        <f>IF(B2065="","",IF(ISNA(MATCH(B2065,Mitarbeiter!$A$6:$A$205,0)),"Pers.-Nr. unbekannt",IF(A2065="","Datum fehlt",IF(AND(D2065&lt;&gt;Einstellungen!$C$4,D2065&lt;&gt;Einstellungen!$C$5),"Objekt fehlt",IF(YEAR(A2065)&lt;&gt;Einstellungen!$C$3,"anderes Jahr",IF(A2065&lt;INDEX(Mitarbeiter!$C$6:$C$205,MATCH(B2065,Mitarbeiter!$A$6:$A$205,0)),"vor Eintritt",IF(AND(INDEX(Mitarbeiter!$D$6:$D$205,MATCH(B2065,Mitarbeiter!$A$6:$A$205,0))&lt;&gt;"",A2065&gt;INDEX(Mitarbeiter!$D$6:$D$205,MATCH(B2065,Mitarbeiter!$A$6:$A$205,0))),"nach Austritt","ok")))))))</f>
        <v/>
      </c>
    </row>
    <row r="2066">
      <c r="A2066" s="26" t="n"/>
      <c r="B2066" s="24" t="n"/>
      <c r="C2066" s="40">
        <f>IF(B2066="","",IFERROR(INDEX(Mitarbeiter!$B$6:$B$205,MATCH(B2066,Mitarbeiter!$A$6:$A$205,0)),"?"))</f>
        <v/>
      </c>
      <c r="D2066" s="41" t="n"/>
      <c r="E2066" s="42" t="n"/>
      <c r="F2066" s="43" t="n"/>
      <c r="G2066" s="44">
        <f>IF(OR(B2066="",F2066=""),"",IFERROR(F2066*INDEX(Mitarbeiter!$F$6:$F$205,MATCH(B2066,Mitarbeiter!$A$6:$A$205,0)),0))</f>
        <v/>
      </c>
      <c r="H2066" s="8">
        <f>IF(B2066="","",IF(ISNA(MATCH(B2066,Mitarbeiter!$A$6:$A$205,0)),"Pers.-Nr. unbekannt",IF(A2066="","Datum fehlt",IF(AND(D2066&lt;&gt;Einstellungen!$C$4,D2066&lt;&gt;Einstellungen!$C$5),"Objekt fehlt",IF(YEAR(A2066)&lt;&gt;Einstellungen!$C$3,"anderes Jahr",IF(A2066&lt;INDEX(Mitarbeiter!$C$6:$C$205,MATCH(B2066,Mitarbeiter!$A$6:$A$205,0)),"vor Eintritt",IF(AND(INDEX(Mitarbeiter!$D$6:$D$205,MATCH(B2066,Mitarbeiter!$A$6:$A$205,0))&lt;&gt;"",A2066&gt;INDEX(Mitarbeiter!$D$6:$D$205,MATCH(B2066,Mitarbeiter!$A$6:$A$205,0))),"nach Austritt","ok")))))))</f>
        <v/>
      </c>
    </row>
    <row r="2067">
      <c r="A2067" s="26" t="n"/>
      <c r="B2067" s="24" t="n"/>
      <c r="C2067" s="40">
        <f>IF(B2067="","",IFERROR(INDEX(Mitarbeiter!$B$6:$B$205,MATCH(B2067,Mitarbeiter!$A$6:$A$205,0)),"?"))</f>
        <v/>
      </c>
      <c r="D2067" s="41" t="n"/>
      <c r="E2067" s="42" t="n"/>
      <c r="F2067" s="43" t="n"/>
      <c r="G2067" s="44">
        <f>IF(OR(B2067="",F2067=""),"",IFERROR(F2067*INDEX(Mitarbeiter!$F$6:$F$205,MATCH(B2067,Mitarbeiter!$A$6:$A$205,0)),0))</f>
        <v/>
      </c>
      <c r="H2067" s="8">
        <f>IF(B2067="","",IF(ISNA(MATCH(B2067,Mitarbeiter!$A$6:$A$205,0)),"Pers.-Nr. unbekannt",IF(A2067="","Datum fehlt",IF(AND(D2067&lt;&gt;Einstellungen!$C$4,D2067&lt;&gt;Einstellungen!$C$5),"Objekt fehlt",IF(YEAR(A2067)&lt;&gt;Einstellungen!$C$3,"anderes Jahr",IF(A2067&lt;INDEX(Mitarbeiter!$C$6:$C$205,MATCH(B2067,Mitarbeiter!$A$6:$A$205,0)),"vor Eintritt",IF(AND(INDEX(Mitarbeiter!$D$6:$D$205,MATCH(B2067,Mitarbeiter!$A$6:$A$205,0))&lt;&gt;"",A2067&gt;INDEX(Mitarbeiter!$D$6:$D$205,MATCH(B2067,Mitarbeiter!$A$6:$A$205,0))),"nach Austritt","ok")))))))</f>
        <v/>
      </c>
    </row>
    <row r="2068">
      <c r="A2068" s="26" t="n"/>
      <c r="B2068" s="24" t="n"/>
      <c r="C2068" s="40">
        <f>IF(B2068="","",IFERROR(INDEX(Mitarbeiter!$B$6:$B$205,MATCH(B2068,Mitarbeiter!$A$6:$A$205,0)),"?"))</f>
        <v/>
      </c>
      <c r="D2068" s="41" t="n"/>
      <c r="E2068" s="42" t="n"/>
      <c r="F2068" s="43" t="n"/>
      <c r="G2068" s="44">
        <f>IF(OR(B2068="",F2068=""),"",IFERROR(F2068*INDEX(Mitarbeiter!$F$6:$F$205,MATCH(B2068,Mitarbeiter!$A$6:$A$205,0)),0))</f>
        <v/>
      </c>
      <c r="H2068" s="8">
        <f>IF(B2068="","",IF(ISNA(MATCH(B2068,Mitarbeiter!$A$6:$A$205,0)),"Pers.-Nr. unbekannt",IF(A2068="","Datum fehlt",IF(AND(D2068&lt;&gt;Einstellungen!$C$4,D2068&lt;&gt;Einstellungen!$C$5),"Objekt fehlt",IF(YEAR(A2068)&lt;&gt;Einstellungen!$C$3,"anderes Jahr",IF(A2068&lt;INDEX(Mitarbeiter!$C$6:$C$205,MATCH(B2068,Mitarbeiter!$A$6:$A$205,0)),"vor Eintritt",IF(AND(INDEX(Mitarbeiter!$D$6:$D$205,MATCH(B2068,Mitarbeiter!$A$6:$A$205,0))&lt;&gt;"",A2068&gt;INDEX(Mitarbeiter!$D$6:$D$205,MATCH(B2068,Mitarbeiter!$A$6:$A$205,0))),"nach Austritt","ok")))))))</f>
        <v/>
      </c>
    </row>
    <row r="2069">
      <c r="A2069" s="26" t="n"/>
      <c r="B2069" s="24" t="n"/>
      <c r="C2069" s="40">
        <f>IF(B2069="","",IFERROR(INDEX(Mitarbeiter!$B$6:$B$205,MATCH(B2069,Mitarbeiter!$A$6:$A$205,0)),"?"))</f>
        <v/>
      </c>
      <c r="D2069" s="41" t="n"/>
      <c r="E2069" s="42" t="n"/>
      <c r="F2069" s="43" t="n"/>
      <c r="G2069" s="44">
        <f>IF(OR(B2069="",F2069=""),"",IFERROR(F2069*INDEX(Mitarbeiter!$F$6:$F$205,MATCH(B2069,Mitarbeiter!$A$6:$A$205,0)),0))</f>
        <v/>
      </c>
      <c r="H2069" s="8">
        <f>IF(B2069="","",IF(ISNA(MATCH(B2069,Mitarbeiter!$A$6:$A$205,0)),"Pers.-Nr. unbekannt",IF(A2069="","Datum fehlt",IF(AND(D2069&lt;&gt;Einstellungen!$C$4,D2069&lt;&gt;Einstellungen!$C$5),"Objekt fehlt",IF(YEAR(A2069)&lt;&gt;Einstellungen!$C$3,"anderes Jahr",IF(A2069&lt;INDEX(Mitarbeiter!$C$6:$C$205,MATCH(B2069,Mitarbeiter!$A$6:$A$205,0)),"vor Eintritt",IF(AND(INDEX(Mitarbeiter!$D$6:$D$205,MATCH(B2069,Mitarbeiter!$A$6:$A$205,0))&lt;&gt;"",A2069&gt;INDEX(Mitarbeiter!$D$6:$D$205,MATCH(B2069,Mitarbeiter!$A$6:$A$205,0))),"nach Austritt","ok")))))))</f>
        <v/>
      </c>
    </row>
    <row r="2070">
      <c r="A2070" s="26" t="n"/>
      <c r="B2070" s="24" t="n"/>
      <c r="C2070" s="40">
        <f>IF(B2070="","",IFERROR(INDEX(Mitarbeiter!$B$6:$B$205,MATCH(B2070,Mitarbeiter!$A$6:$A$205,0)),"?"))</f>
        <v/>
      </c>
      <c r="D2070" s="41" t="n"/>
      <c r="E2070" s="42" t="n"/>
      <c r="F2070" s="43" t="n"/>
      <c r="G2070" s="44">
        <f>IF(OR(B2070="",F2070=""),"",IFERROR(F2070*INDEX(Mitarbeiter!$F$6:$F$205,MATCH(B2070,Mitarbeiter!$A$6:$A$205,0)),0))</f>
        <v/>
      </c>
      <c r="H2070" s="8">
        <f>IF(B2070="","",IF(ISNA(MATCH(B2070,Mitarbeiter!$A$6:$A$205,0)),"Pers.-Nr. unbekannt",IF(A2070="","Datum fehlt",IF(AND(D2070&lt;&gt;Einstellungen!$C$4,D2070&lt;&gt;Einstellungen!$C$5),"Objekt fehlt",IF(YEAR(A2070)&lt;&gt;Einstellungen!$C$3,"anderes Jahr",IF(A2070&lt;INDEX(Mitarbeiter!$C$6:$C$205,MATCH(B2070,Mitarbeiter!$A$6:$A$205,0)),"vor Eintritt",IF(AND(INDEX(Mitarbeiter!$D$6:$D$205,MATCH(B2070,Mitarbeiter!$A$6:$A$205,0))&lt;&gt;"",A2070&gt;INDEX(Mitarbeiter!$D$6:$D$205,MATCH(B2070,Mitarbeiter!$A$6:$A$205,0))),"nach Austritt","ok")))))))</f>
        <v/>
      </c>
    </row>
    <row r="2071">
      <c r="A2071" s="26" t="n"/>
      <c r="B2071" s="24" t="n"/>
      <c r="C2071" s="40">
        <f>IF(B2071="","",IFERROR(INDEX(Mitarbeiter!$B$6:$B$205,MATCH(B2071,Mitarbeiter!$A$6:$A$205,0)),"?"))</f>
        <v/>
      </c>
      <c r="D2071" s="41" t="n"/>
      <c r="E2071" s="42" t="n"/>
      <c r="F2071" s="43" t="n"/>
      <c r="G2071" s="44">
        <f>IF(OR(B2071="",F2071=""),"",IFERROR(F2071*INDEX(Mitarbeiter!$F$6:$F$205,MATCH(B2071,Mitarbeiter!$A$6:$A$205,0)),0))</f>
        <v/>
      </c>
      <c r="H2071" s="8">
        <f>IF(B2071="","",IF(ISNA(MATCH(B2071,Mitarbeiter!$A$6:$A$205,0)),"Pers.-Nr. unbekannt",IF(A2071="","Datum fehlt",IF(AND(D2071&lt;&gt;Einstellungen!$C$4,D2071&lt;&gt;Einstellungen!$C$5),"Objekt fehlt",IF(YEAR(A2071)&lt;&gt;Einstellungen!$C$3,"anderes Jahr",IF(A2071&lt;INDEX(Mitarbeiter!$C$6:$C$205,MATCH(B2071,Mitarbeiter!$A$6:$A$205,0)),"vor Eintritt",IF(AND(INDEX(Mitarbeiter!$D$6:$D$205,MATCH(B2071,Mitarbeiter!$A$6:$A$205,0))&lt;&gt;"",A2071&gt;INDEX(Mitarbeiter!$D$6:$D$205,MATCH(B2071,Mitarbeiter!$A$6:$A$205,0))),"nach Austritt","ok")))))))</f>
        <v/>
      </c>
    </row>
    <row r="2072">
      <c r="A2072" s="26" t="n"/>
      <c r="B2072" s="24" t="n"/>
      <c r="C2072" s="40">
        <f>IF(B2072="","",IFERROR(INDEX(Mitarbeiter!$B$6:$B$205,MATCH(B2072,Mitarbeiter!$A$6:$A$205,0)),"?"))</f>
        <v/>
      </c>
      <c r="D2072" s="41" t="n"/>
      <c r="E2072" s="42" t="n"/>
      <c r="F2072" s="43" t="n"/>
      <c r="G2072" s="44">
        <f>IF(OR(B2072="",F2072=""),"",IFERROR(F2072*INDEX(Mitarbeiter!$F$6:$F$205,MATCH(B2072,Mitarbeiter!$A$6:$A$205,0)),0))</f>
        <v/>
      </c>
      <c r="H2072" s="8">
        <f>IF(B2072="","",IF(ISNA(MATCH(B2072,Mitarbeiter!$A$6:$A$205,0)),"Pers.-Nr. unbekannt",IF(A2072="","Datum fehlt",IF(AND(D2072&lt;&gt;Einstellungen!$C$4,D2072&lt;&gt;Einstellungen!$C$5),"Objekt fehlt",IF(YEAR(A2072)&lt;&gt;Einstellungen!$C$3,"anderes Jahr",IF(A2072&lt;INDEX(Mitarbeiter!$C$6:$C$205,MATCH(B2072,Mitarbeiter!$A$6:$A$205,0)),"vor Eintritt",IF(AND(INDEX(Mitarbeiter!$D$6:$D$205,MATCH(B2072,Mitarbeiter!$A$6:$A$205,0))&lt;&gt;"",A2072&gt;INDEX(Mitarbeiter!$D$6:$D$205,MATCH(B2072,Mitarbeiter!$A$6:$A$205,0))),"nach Austritt","ok")))))))</f>
        <v/>
      </c>
    </row>
    <row r="2073">
      <c r="A2073" s="26" t="n"/>
      <c r="B2073" s="24" t="n"/>
      <c r="C2073" s="40">
        <f>IF(B2073="","",IFERROR(INDEX(Mitarbeiter!$B$6:$B$205,MATCH(B2073,Mitarbeiter!$A$6:$A$205,0)),"?"))</f>
        <v/>
      </c>
      <c r="D2073" s="41" t="n"/>
      <c r="E2073" s="42" t="n"/>
      <c r="F2073" s="43" t="n"/>
      <c r="G2073" s="44">
        <f>IF(OR(B2073="",F2073=""),"",IFERROR(F2073*INDEX(Mitarbeiter!$F$6:$F$205,MATCH(B2073,Mitarbeiter!$A$6:$A$205,0)),0))</f>
        <v/>
      </c>
      <c r="H2073" s="8">
        <f>IF(B2073="","",IF(ISNA(MATCH(B2073,Mitarbeiter!$A$6:$A$205,0)),"Pers.-Nr. unbekannt",IF(A2073="","Datum fehlt",IF(AND(D2073&lt;&gt;Einstellungen!$C$4,D2073&lt;&gt;Einstellungen!$C$5),"Objekt fehlt",IF(YEAR(A2073)&lt;&gt;Einstellungen!$C$3,"anderes Jahr",IF(A2073&lt;INDEX(Mitarbeiter!$C$6:$C$205,MATCH(B2073,Mitarbeiter!$A$6:$A$205,0)),"vor Eintritt",IF(AND(INDEX(Mitarbeiter!$D$6:$D$205,MATCH(B2073,Mitarbeiter!$A$6:$A$205,0))&lt;&gt;"",A2073&gt;INDEX(Mitarbeiter!$D$6:$D$205,MATCH(B2073,Mitarbeiter!$A$6:$A$205,0))),"nach Austritt","ok")))))))</f>
        <v/>
      </c>
    </row>
    <row r="2074">
      <c r="A2074" s="26" t="n"/>
      <c r="B2074" s="24" t="n"/>
      <c r="C2074" s="40">
        <f>IF(B2074="","",IFERROR(INDEX(Mitarbeiter!$B$6:$B$205,MATCH(B2074,Mitarbeiter!$A$6:$A$205,0)),"?"))</f>
        <v/>
      </c>
      <c r="D2074" s="41" t="n"/>
      <c r="E2074" s="42" t="n"/>
      <c r="F2074" s="43" t="n"/>
      <c r="G2074" s="44">
        <f>IF(OR(B2074="",F2074=""),"",IFERROR(F2074*INDEX(Mitarbeiter!$F$6:$F$205,MATCH(B2074,Mitarbeiter!$A$6:$A$205,0)),0))</f>
        <v/>
      </c>
      <c r="H2074" s="8">
        <f>IF(B2074="","",IF(ISNA(MATCH(B2074,Mitarbeiter!$A$6:$A$205,0)),"Pers.-Nr. unbekannt",IF(A2074="","Datum fehlt",IF(AND(D2074&lt;&gt;Einstellungen!$C$4,D2074&lt;&gt;Einstellungen!$C$5),"Objekt fehlt",IF(YEAR(A2074)&lt;&gt;Einstellungen!$C$3,"anderes Jahr",IF(A2074&lt;INDEX(Mitarbeiter!$C$6:$C$205,MATCH(B2074,Mitarbeiter!$A$6:$A$205,0)),"vor Eintritt",IF(AND(INDEX(Mitarbeiter!$D$6:$D$205,MATCH(B2074,Mitarbeiter!$A$6:$A$205,0))&lt;&gt;"",A2074&gt;INDEX(Mitarbeiter!$D$6:$D$205,MATCH(B2074,Mitarbeiter!$A$6:$A$205,0))),"nach Austritt","ok")))))))</f>
        <v/>
      </c>
    </row>
    <row r="2075">
      <c r="A2075" s="26" t="n"/>
      <c r="B2075" s="24" t="n"/>
      <c r="C2075" s="40">
        <f>IF(B2075="","",IFERROR(INDEX(Mitarbeiter!$B$6:$B$205,MATCH(B2075,Mitarbeiter!$A$6:$A$205,0)),"?"))</f>
        <v/>
      </c>
      <c r="D2075" s="41" t="n"/>
      <c r="E2075" s="42" t="n"/>
      <c r="F2075" s="43" t="n"/>
      <c r="G2075" s="44">
        <f>IF(OR(B2075="",F2075=""),"",IFERROR(F2075*INDEX(Mitarbeiter!$F$6:$F$205,MATCH(B2075,Mitarbeiter!$A$6:$A$205,0)),0))</f>
        <v/>
      </c>
      <c r="H2075" s="8">
        <f>IF(B2075="","",IF(ISNA(MATCH(B2075,Mitarbeiter!$A$6:$A$205,0)),"Pers.-Nr. unbekannt",IF(A2075="","Datum fehlt",IF(AND(D2075&lt;&gt;Einstellungen!$C$4,D2075&lt;&gt;Einstellungen!$C$5),"Objekt fehlt",IF(YEAR(A2075)&lt;&gt;Einstellungen!$C$3,"anderes Jahr",IF(A2075&lt;INDEX(Mitarbeiter!$C$6:$C$205,MATCH(B2075,Mitarbeiter!$A$6:$A$205,0)),"vor Eintritt",IF(AND(INDEX(Mitarbeiter!$D$6:$D$205,MATCH(B2075,Mitarbeiter!$A$6:$A$205,0))&lt;&gt;"",A2075&gt;INDEX(Mitarbeiter!$D$6:$D$205,MATCH(B2075,Mitarbeiter!$A$6:$A$205,0))),"nach Austritt","ok")))))))</f>
        <v/>
      </c>
    </row>
    <row r="2076">
      <c r="A2076" s="26" t="n"/>
      <c r="B2076" s="24" t="n"/>
      <c r="C2076" s="40">
        <f>IF(B2076="","",IFERROR(INDEX(Mitarbeiter!$B$6:$B$205,MATCH(B2076,Mitarbeiter!$A$6:$A$205,0)),"?"))</f>
        <v/>
      </c>
      <c r="D2076" s="41" t="n"/>
      <c r="E2076" s="42" t="n"/>
      <c r="F2076" s="43" t="n"/>
      <c r="G2076" s="44">
        <f>IF(OR(B2076="",F2076=""),"",IFERROR(F2076*INDEX(Mitarbeiter!$F$6:$F$205,MATCH(B2076,Mitarbeiter!$A$6:$A$205,0)),0))</f>
        <v/>
      </c>
      <c r="H2076" s="8">
        <f>IF(B2076="","",IF(ISNA(MATCH(B2076,Mitarbeiter!$A$6:$A$205,0)),"Pers.-Nr. unbekannt",IF(A2076="","Datum fehlt",IF(AND(D2076&lt;&gt;Einstellungen!$C$4,D2076&lt;&gt;Einstellungen!$C$5),"Objekt fehlt",IF(YEAR(A2076)&lt;&gt;Einstellungen!$C$3,"anderes Jahr",IF(A2076&lt;INDEX(Mitarbeiter!$C$6:$C$205,MATCH(B2076,Mitarbeiter!$A$6:$A$205,0)),"vor Eintritt",IF(AND(INDEX(Mitarbeiter!$D$6:$D$205,MATCH(B2076,Mitarbeiter!$A$6:$A$205,0))&lt;&gt;"",A2076&gt;INDEX(Mitarbeiter!$D$6:$D$205,MATCH(B2076,Mitarbeiter!$A$6:$A$205,0))),"nach Austritt","ok")))))))</f>
        <v/>
      </c>
    </row>
    <row r="2077">
      <c r="A2077" s="26" t="n"/>
      <c r="B2077" s="24" t="n"/>
      <c r="C2077" s="40">
        <f>IF(B2077="","",IFERROR(INDEX(Mitarbeiter!$B$6:$B$205,MATCH(B2077,Mitarbeiter!$A$6:$A$205,0)),"?"))</f>
        <v/>
      </c>
      <c r="D2077" s="41" t="n"/>
      <c r="E2077" s="42" t="n"/>
      <c r="F2077" s="43" t="n"/>
      <c r="G2077" s="44">
        <f>IF(OR(B2077="",F2077=""),"",IFERROR(F2077*INDEX(Mitarbeiter!$F$6:$F$205,MATCH(B2077,Mitarbeiter!$A$6:$A$205,0)),0))</f>
        <v/>
      </c>
      <c r="H2077" s="8">
        <f>IF(B2077="","",IF(ISNA(MATCH(B2077,Mitarbeiter!$A$6:$A$205,0)),"Pers.-Nr. unbekannt",IF(A2077="","Datum fehlt",IF(AND(D2077&lt;&gt;Einstellungen!$C$4,D2077&lt;&gt;Einstellungen!$C$5),"Objekt fehlt",IF(YEAR(A2077)&lt;&gt;Einstellungen!$C$3,"anderes Jahr",IF(A2077&lt;INDEX(Mitarbeiter!$C$6:$C$205,MATCH(B2077,Mitarbeiter!$A$6:$A$205,0)),"vor Eintritt",IF(AND(INDEX(Mitarbeiter!$D$6:$D$205,MATCH(B2077,Mitarbeiter!$A$6:$A$205,0))&lt;&gt;"",A2077&gt;INDEX(Mitarbeiter!$D$6:$D$205,MATCH(B2077,Mitarbeiter!$A$6:$A$205,0))),"nach Austritt","ok")))))))</f>
        <v/>
      </c>
    </row>
    <row r="2078">
      <c r="A2078" s="26" t="n"/>
      <c r="B2078" s="24" t="n"/>
      <c r="C2078" s="40">
        <f>IF(B2078="","",IFERROR(INDEX(Mitarbeiter!$B$6:$B$205,MATCH(B2078,Mitarbeiter!$A$6:$A$205,0)),"?"))</f>
        <v/>
      </c>
      <c r="D2078" s="41" t="n"/>
      <c r="E2078" s="42" t="n"/>
      <c r="F2078" s="43" t="n"/>
      <c r="G2078" s="44">
        <f>IF(OR(B2078="",F2078=""),"",IFERROR(F2078*INDEX(Mitarbeiter!$F$6:$F$205,MATCH(B2078,Mitarbeiter!$A$6:$A$205,0)),0))</f>
        <v/>
      </c>
      <c r="H2078" s="8">
        <f>IF(B2078="","",IF(ISNA(MATCH(B2078,Mitarbeiter!$A$6:$A$205,0)),"Pers.-Nr. unbekannt",IF(A2078="","Datum fehlt",IF(AND(D2078&lt;&gt;Einstellungen!$C$4,D2078&lt;&gt;Einstellungen!$C$5),"Objekt fehlt",IF(YEAR(A2078)&lt;&gt;Einstellungen!$C$3,"anderes Jahr",IF(A2078&lt;INDEX(Mitarbeiter!$C$6:$C$205,MATCH(B2078,Mitarbeiter!$A$6:$A$205,0)),"vor Eintritt",IF(AND(INDEX(Mitarbeiter!$D$6:$D$205,MATCH(B2078,Mitarbeiter!$A$6:$A$205,0))&lt;&gt;"",A2078&gt;INDEX(Mitarbeiter!$D$6:$D$205,MATCH(B2078,Mitarbeiter!$A$6:$A$205,0))),"nach Austritt","ok")))))))</f>
        <v/>
      </c>
    </row>
    <row r="2079">
      <c r="A2079" s="26" t="n"/>
      <c r="B2079" s="24" t="n"/>
      <c r="C2079" s="40">
        <f>IF(B2079="","",IFERROR(INDEX(Mitarbeiter!$B$6:$B$205,MATCH(B2079,Mitarbeiter!$A$6:$A$205,0)),"?"))</f>
        <v/>
      </c>
      <c r="D2079" s="41" t="n"/>
      <c r="E2079" s="42" t="n"/>
      <c r="F2079" s="43" t="n"/>
      <c r="G2079" s="44">
        <f>IF(OR(B2079="",F2079=""),"",IFERROR(F2079*INDEX(Mitarbeiter!$F$6:$F$205,MATCH(B2079,Mitarbeiter!$A$6:$A$205,0)),0))</f>
        <v/>
      </c>
      <c r="H2079" s="8">
        <f>IF(B2079="","",IF(ISNA(MATCH(B2079,Mitarbeiter!$A$6:$A$205,0)),"Pers.-Nr. unbekannt",IF(A2079="","Datum fehlt",IF(AND(D2079&lt;&gt;Einstellungen!$C$4,D2079&lt;&gt;Einstellungen!$C$5),"Objekt fehlt",IF(YEAR(A2079)&lt;&gt;Einstellungen!$C$3,"anderes Jahr",IF(A2079&lt;INDEX(Mitarbeiter!$C$6:$C$205,MATCH(B2079,Mitarbeiter!$A$6:$A$205,0)),"vor Eintritt",IF(AND(INDEX(Mitarbeiter!$D$6:$D$205,MATCH(B2079,Mitarbeiter!$A$6:$A$205,0))&lt;&gt;"",A2079&gt;INDEX(Mitarbeiter!$D$6:$D$205,MATCH(B2079,Mitarbeiter!$A$6:$A$205,0))),"nach Austritt","ok")))))))</f>
        <v/>
      </c>
    </row>
    <row r="2080">
      <c r="A2080" s="26" t="n"/>
      <c r="B2080" s="24" t="n"/>
      <c r="C2080" s="40">
        <f>IF(B2080="","",IFERROR(INDEX(Mitarbeiter!$B$6:$B$205,MATCH(B2080,Mitarbeiter!$A$6:$A$205,0)),"?"))</f>
        <v/>
      </c>
      <c r="D2080" s="41" t="n"/>
      <c r="E2080" s="42" t="n"/>
      <c r="F2080" s="43" t="n"/>
      <c r="G2080" s="44">
        <f>IF(OR(B2080="",F2080=""),"",IFERROR(F2080*INDEX(Mitarbeiter!$F$6:$F$205,MATCH(B2080,Mitarbeiter!$A$6:$A$205,0)),0))</f>
        <v/>
      </c>
      <c r="H2080" s="8">
        <f>IF(B2080="","",IF(ISNA(MATCH(B2080,Mitarbeiter!$A$6:$A$205,0)),"Pers.-Nr. unbekannt",IF(A2080="","Datum fehlt",IF(AND(D2080&lt;&gt;Einstellungen!$C$4,D2080&lt;&gt;Einstellungen!$C$5),"Objekt fehlt",IF(YEAR(A2080)&lt;&gt;Einstellungen!$C$3,"anderes Jahr",IF(A2080&lt;INDEX(Mitarbeiter!$C$6:$C$205,MATCH(B2080,Mitarbeiter!$A$6:$A$205,0)),"vor Eintritt",IF(AND(INDEX(Mitarbeiter!$D$6:$D$205,MATCH(B2080,Mitarbeiter!$A$6:$A$205,0))&lt;&gt;"",A2080&gt;INDEX(Mitarbeiter!$D$6:$D$205,MATCH(B2080,Mitarbeiter!$A$6:$A$205,0))),"nach Austritt","ok")))))))</f>
        <v/>
      </c>
    </row>
    <row r="2081">
      <c r="A2081" s="26" t="n"/>
      <c r="B2081" s="24" t="n"/>
      <c r="C2081" s="40">
        <f>IF(B2081="","",IFERROR(INDEX(Mitarbeiter!$B$6:$B$205,MATCH(B2081,Mitarbeiter!$A$6:$A$205,0)),"?"))</f>
        <v/>
      </c>
      <c r="D2081" s="41" t="n"/>
      <c r="E2081" s="42" t="n"/>
      <c r="F2081" s="43" t="n"/>
      <c r="G2081" s="44">
        <f>IF(OR(B2081="",F2081=""),"",IFERROR(F2081*INDEX(Mitarbeiter!$F$6:$F$205,MATCH(B2081,Mitarbeiter!$A$6:$A$205,0)),0))</f>
        <v/>
      </c>
      <c r="H2081" s="8">
        <f>IF(B2081="","",IF(ISNA(MATCH(B2081,Mitarbeiter!$A$6:$A$205,0)),"Pers.-Nr. unbekannt",IF(A2081="","Datum fehlt",IF(AND(D2081&lt;&gt;Einstellungen!$C$4,D2081&lt;&gt;Einstellungen!$C$5),"Objekt fehlt",IF(YEAR(A2081)&lt;&gt;Einstellungen!$C$3,"anderes Jahr",IF(A2081&lt;INDEX(Mitarbeiter!$C$6:$C$205,MATCH(B2081,Mitarbeiter!$A$6:$A$205,0)),"vor Eintritt",IF(AND(INDEX(Mitarbeiter!$D$6:$D$205,MATCH(B2081,Mitarbeiter!$A$6:$A$205,0))&lt;&gt;"",A2081&gt;INDEX(Mitarbeiter!$D$6:$D$205,MATCH(B2081,Mitarbeiter!$A$6:$A$205,0))),"nach Austritt","ok")))))))</f>
        <v/>
      </c>
    </row>
    <row r="2082">
      <c r="A2082" s="26" t="n"/>
      <c r="B2082" s="24" t="n"/>
      <c r="C2082" s="40">
        <f>IF(B2082="","",IFERROR(INDEX(Mitarbeiter!$B$6:$B$205,MATCH(B2082,Mitarbeiter!$A$6:$A$205,0)),"?"))</f>
        <v/>
      </c>
      <c r="D2082" s="41" t="n"/>
      <c r="E2082" s="42" t="n"/>
      <c r="F2082" s="43" t="n"/>
      <c r="G2082" s="44">
        <f>IF(OR(B2082="",F2082=""),"",IFERROR(F2082*INDEX(Mitarbeiter!$F$6:$F$205,MATCH(B2082,Mitarbeiter!$A$6:$A$205,0)),0))</f>
        <v/>
      </c>
      <c r="H2082" s="8">
        <f>IF(B2082="","",IF(ISNA(MATCH(B2082,Mitarbeiter!$A$6:$A$205,0)),"Pers.-Nr. unbekannt",IF(A2082="","Datum fehlt",IF(AND(D2082&lt;&gt;Einstellungen!$C$4,D2082&lt;&gt;Einstellungen!$C$5),"Objekt fehlt",IF(YEAR(A2082)&lt;&gt;Einstellungen!$C$3,"anderes Jahr",IF(A2082&lt;INDEX(Mitarbeiter!$C$6:$C$205,MATCH(B2082,Mitarbeiter!$A$6:$A$205,0)),"vor Eintritt",IF(AND(INDEX(Mitarbeiter!$D$6:$D$205,MATCH(B2082,Mitarbeiter!$A$6:$A$205,0))&lt;&gt;"",A2082&gt;INDEX(Mitarbeiter!$D$6:$D$205,MATCH(B2082,Mitarbeiter!$A$6:$A$205,0))),"nach Austritt","ok")))))))</f>
        <v/>
      </c>
    </row>
    <row r="2083">
      <c r="A2083" s="26" t="n"/>
      <c r="B2083" s="24" t="n"/>
      <c r="C2083" s="40">
        <f>IF(B2083="","",IFERROR(INDEX(Mitarbeiter!$B$6:$B$205,MATCH(B2083,Mitarbeiter!$A$6:$A$205,0)),"?"))</f>
        <v/>
      </c>
      <c r="D2083" s="41" t="n"/>
      <c r="E2083" s="42" t="n"/>
      <c r="F2083" s="43" t="n"/>
      <c r="G2083" s="44">
        <f>IF(OR(B2083="",F2083=""),"",IFERROR(F2083*INDEX(Mitarbeiter!$F$6:$F$205,MATCH(B2083,Mitarbeiter!$A$6:$A$205,0)),0))</f>
        <v/>
      </c>
      <c r="H2083" s="8">
        <f>IF(B2083="","",IF(ISNA(MATCH(B2083,Mitarbeiter!$A$6:$A$205,0)),"Pers.-Nr. unbekannt",IF(A2083="","Datum fehlt",IF(AND(D2083&lt;&gt;Einstellungen!$C$4,D2083&lt;&gt;Einstellungen!$C$5),"Objekt fehlt",IF(YEAR(A2083)&lt;&gt;Einstellungen!$C$3,"anderes Jahr",IF(A2083&lt;INDEX(Mitarbeiter!$C$6:$C$205,MATCH(B2083,Mitarbeiter!$A$6:$A$205,0)),"vor Eintritt",IF(AND(INDEX(Mitarbeiter!$D$6:$D$205,MATCH(B2083,Mitarbeiter!$A$6:$A$205,0))&lt;&gt;"",A2083&gt;INDEX(Mitarbeiter!$D$6:$D$205,MATCH(B2083,Mitarbeiter!$A$6:$A$205,0))),"nach Austritt","ok")))))))</f>
        <v/>
      </c>
    </row>
    <row r="2084">
      <c r="A2084" s="26" t="n"/>
      <c r="B2084" s="24" t="n"/>
      <c r="C2084" s="40">
        <f>IF(B2084="","",IFERROR(INDEX(Mitarbeiter!$B$6:$B$205,MATCH(B2084,Mitarbeiter!$A$6:$A$205,0)),"?"))</f>
        <v/>
      </c>
      <c r="D2084" s="41" t="n"/>
      <c r="E2084" s="42" t="n"/>
      <c r="F2084" s="43" t="n"/>
      <c r="G2084" s="44">
        <f>IF(OR(B2084="",F2084=""),"",IFERROR(F2084*INDEX(Mitarbeiter!$F$6:$F$205,MATCH(B2084,Mitarbeiter!$A$6:$A$205,0)),0))</f>
        <v/>
      </c>
      <c r="H2084" s="8">
        <f>IF(B2084="","",IF(ISNA(MATCH(B2084,Mitarbeiter!$A$6:$A$205,0)),"Pers.-Nr. unbekannt",IF(A2084="","Datum fehlt",IF(AND(D2084&lt;&gt;Einstellungen!$C$4,D2084&lt;&gt;Einstellungen!$C$5),"Objekt fehlt",IF(YEAR(A2084)&lt;&gt;Einstellungen!$C$3,"anderes Jahr",IF(A2084&lt;INDEX(Mitarbeiter!$C$6:$C$205,MATCH(B2084,Mitarbeiter!$A$6:$A$205,0)),"vor Eintritt",IF(AND(INDEX(Mitarbeiter!$D$6:$D$205,MATCH(B2084,Mitarbeiter!$A$6:$A$205,0))&lt;&gt;"",A2084&gt;INDEX(Mitarbeiter!$D$6:$D$205,MATCH(B2084,Mitarbeiter!$A$6:$A$205,0))),"nach Austritt","ok")))))))</f>
        <v/>
      </c>
    </row>
    <row r="2085">
      <c r="A2085" s="26" t="n"/>
      <c r="B2085" s="24" t="n"/>
      <c r="C2085" s="40">
        <f>IF(B2085="","",IFERROR(INDEX(Mitarbeiter!$B$6:$B$205,MATCH(B2085,Mitarbeiter!$A$6:$A$205,0)),"?"))</f>
        <v/>
      </c>
      <c r="D2085" s="41" t="n"/>
      <c r="E2085" s="42" t="n"/>
      <c r="F2085" s="43" t="n"/>
      <c r="G2085" s="44">
        <f>IF(OR(B2085="",F2085=""),"",IFERROR(F2085*INDEX(Mitarbeiter!$F$6:$F$205,MATCH(B2085,Mitarbeiter!$A$6:$A$205,0)),0))</f>
        <v/>
      </c>
      <c r="H2085" s="8">
        <f>IF(B2085="","",IF(ISNA(MATCH(B2085,Mitarbeiter!$A$6:$A$205,0)),"Pers.-Nr. unbekannt",IF(A2085="","Datum fehlt",IF(AND(D2085&lt;&gt;Einstellungen!$C$4,D2085&lt;&gt;Einstellungen!$C$5),"Objekt fehlt",IF(YEAR(A2085)&lt;&gt;Einstellungen!$C$3,"anderes Jahr",IF(A2085&lt;INDEX(Mitarbeiter!$C$6:$C$205,MATCH(B2085,Mitarbeiter!$A$6:$A$205,0)),"vor Eintritt",IF(AND(INDEX(Mitarbeiter!$D$6:$D$205,MATCH(B2085,Mitarbeiter!$A$6:$A$205,0))&lt;&gt;"",A2085&gt;INDEX(Mitarbeiter!$D$6:$D$205,MATCH(B2085,Mitarbeiter!$A$6:$A$205,0))),"nach Austritt","ok")))))))</f>
        <v/>
      </c>
    </row>
    <row r="2086">
      <c r="A2086" s="26" t="n"/>
      <c r="B2086" s="24" t="n"/>
      <c r="C2086" s="40">
        <f>IF(B2086="","",IFERROR(INDEX(Mitarbeiter!$B$6:$B$205,MATCH(B2086,Mitarbeiter!$A$6:$A$205,0)),"?"))</f>
        <v/>
      </c>
      <c r="D2086" s="41" t="n"/>
      <c r="E2086" s="42" t="n"/>
      <c r="F2086" s="43" t="n"/>
      <c r="G2086" s="44">
        <f>IF(OR(B2086="",F2086=""),"",IFERROR(F2086*INDEX(Mitarbeiter!$F$6:$F$205,MATCH(B2086,Mitarbeiter!$A$6:$A$205,0)),0))</f>
        <v/>
      </c>
      <c r="H2086" s="8">
        <f>IF(B2086="","",IF(ISNA(MATCH(B2086,Mitarbeiter!$A$6:$A$205,0)),"Pers.-Nr. unbekannt",IF(A2086="","Datum fehlt",IF(AND(D2086&lt;&gt;Einstellungen!$C$4,D2086&lt;&gt;Einstellungen!$C$5),"Objekt fehlt",IF(YEAR(A2086)&lt;&gt;Einstellungen!$C$3,"anderes Jahr",IF(A2086&lt;INDEX(Mitarbeiter!$C$6:$C$205,MATCH(B2086,Mitarbeiter!$A$6:$A$205,0)),"vor Eintritt",IF(AND(INDEX(Mitarbeiter!$D$6:$D$205,MATCH(B2086,Mitarbeiter!$A$6:$A$205,0))&lt;&gt;"",A2086&gt;INDEX(Mitarbeiter!$D$6:$D$205,MATCH(B2086,Mitarbeiter!$A$6:$A$205,0))),"nach Austritt","ok")))))))</f>
        <v/>
      </c>
    </row>
    <row r="2087">
      <c r="A2087" s="26" t="n"/>
      <c r="B2087" s="24" t="n"/>
      <c r="C2087" s="40">
        <f>IF(B2087="","",IFERROR(INDEX(Mitarbeiter!$B$6:$B$205,MATCH(B2087,Mitarbeiter!$A$6:$A$205,0)),"?"))</f>
        <v/>
      </c>
      <c r="D2087" s="41" t="n"/>
      <c r="E2087" s="42" t="n"/>
      <c r="F2087" s="43" t="n"/>
      <c r="G2087" s="44">
        <f>IF(OR(B2087="",F2087=""),"",IFERROR(F2087*INDEX(Mitarbeiter!$F$6:$F$205,MATCH(B2087,Mitarbeiter!$A$6:$A$205,0)),0))</f>
        <v/>
      </c>
      <c r="H2087" s="8">
        <f>IF(B2087="","",IF(ISNA(MATCH(B2087,Mitarbeiter!$A$6:$A$205,0)),"Pers.-Nr. unbekannt",IF(A2087="","Datum fehlt",IF(AND(D2087&lt;&gt;Einstellungen!$C$4,D2087&lt;&gt;Einstellungen!$C$5),"Objekt fehlt",IF(YEAR(A2087)&lt;&gt;Einstellungen!$C$3,"anderes Jahr",IF(A2087&lt;INDEX(Mitarbeiter!$C$6:$C$205,MATCH(B2087,Mitarbeiter!$A$6:$A$205,0)),"vor Eintritt",IF(AND(INDEX(Mitarbeiter!$D$6:$D$205,MATCH(B2087,Mitarbeiter!$A$6:$A$205,0))&lt;&gt;"",A2087&gt;INDEX(Mitarbeiter!$D$6:$D$205,MATCH(B2087,Mitarbeiter!$A$6:$A$205,0))),"nach Austritt","ok")))))))</f>
        <v/>
      </c>
    </row>
    <row r="2088">
      <c r="A2088" s="26" t="n"/>
      <c r="B2088" s="24" t="n"/>
      <c r="C2088" s="40">
        <f>IF(B2088="","",IFERROR(INDEX(Mitarbeiter!$B$6:$B$205,MATCH(B2088,Mitarbeiter!$A$6:$A$205,0)),"?"))</f>
        <v/>
      </c>
      <c r="D2088" s="41" t="n"/>
      <c r="E2088" s="42" t="n"/>
      <c r="F2088" s="43" t="n"/>
      <c r="G2088" s="44">
        <f>IF(OR(B2088="",F2088=""),"",IFERROR(F2088*INDEX(Mitarbeiter!$F$6:$F$205,MATCH(B2088,Mitarbeiter!$A$6:$A$205,0)),0))</f>
        <v/>
      </c>
      <c r="H2088" s="8">
        <f>IF(B2088="","",IF(ISNA(MATCH(B2088,Mitarbeiter!$A$6:$A$205,0)),"Pers.-Nr. unbekannt",IF(A2088="","Datum fehlt",IF(AND(D2088&lt;&gt;Einstellungen!$C$4,D2088&lt;&gt;Einstellungen!$C$5),"Objekt fehlt",IF(YEAR(A2088)&lt;&gt;Einstellungen!$C$3,"anderes Jahr",IF(A2088&lt;INDEX(Mitarbeiter!$C$6:$C$205,MATCH(B2088,Mitarbeiter!$A$6:$A$205,0)),"vor Eintritt",IF(AND(INDEX(Mitarbeiter!$D$6:$D$205,MATCH(B2088,Mitarbeiter!$A$6:$A$205,0))&lt;&gt;"",A2088&gt;INDEX(Mitarbeiter!$D$6:$D$205,MATCH(B2088,Mitarbeiter!$A$6:$A$205,0))),"nach Austritt","ok")))))))</f>
        <v/>
      </c>
    </row>
    <row r="2089">
      <c r="A2089" s="26" t="n"/>
      <c r="B2089" s="24" t="n"/>
      <c r="C2089" s="40">
        <f>IF(B2089="","",IFERROR(INDEX(Mitarbeiter!$B$6:$B$205,MATCH(B2089,Mitarbeiter!$A$6:$A$205,0)),"?"))</f>
        <v/>
      </c>
      <c r="D2089" s="41" t="n"/>
      <c r="E2089" s="42" t="n"/>
      <c r="F2089" s="43" t="n"/>
      <c r="G2089" s="44">
        <f>IF(OR(B2089="",F2089=""),"",IFERROR(F2089*INDEX(Mitarbeiter!$F$6:$F$205,MATCH(B2089,Mitarbeiter!$A$6:$A$205,0)),0))</f>
        <v/>
      </c>
      <c r="H2089" s="8">
        <f>IF(B2089="","",IF(ISNA(MATCH(B2089,Mitarbeiter!$A$6:$A$205,0)),"Pers.-Nr. unbekannt",IF(A2089="","Datum fehlt",IF(AND(D2089&lt;&gt;Einstellungen!$C$4,D2089&lt;&gt;Einstellungen!$C$5),"Objekt fehlt",IF(YEAR(A2089)&lt;&gt;Einstellungen!$C$3,"anderes Jahr",IF(A2089&lt;INDEX(Mitarbeiter!$C$6:$C$205,MATCH(B2089,Mitarbeiter!$A$6:$A$205,0)),"vor Eintritt",IF(AND(INDEX(Mitarbeiter!$D$6:$D$205,MATCH(B2089,Mitarbeiter!$A$6:$A$205,0))&lt;&gt;"",A2089&gt;INDEX(Mitarbeiter!$D$6:$D$205,MATCH(B2089,Mitarbeiter!$A$6:$A$205,0))),"nach Austritt","ok")))))))</f>
        <v/>
      </c>
    </row>
    <row r="2090">
      <c r="A2090" s="26" t="n"/>
      <c r="B2090" s="24" t="n"/>
      <c r="C2090" s="40">
        <f>IF(B2090="","",IFERROR(INDEX(Mitarbeiter!$B$6:$B$205,MATCH(B2090,Mitarbeiter!$A$6:$A$205,0)),"?"))</f>
        <v/>
      </c>
      <c r="D2090" s="41" t="n"/>
      <c r="E2090" s="42" t="n"/>
      <c r="F2090" s="43" t="n"/>
      <c r="G2090" s="44">
        <f>IF(OR(B2090="",F2090=""),"",IFERROR(F2090*INDEX(Mitarbeiter!$F$6:$F$205,MATCH(B2090,Mitarbeiter!$A$6:$A$205,0)),0))</f>
        <v/>
      </c>
      <c r="H2090" s="8">
        <f>IF(B2090="","",IF(ISNA(MATCH(B2090,Mitarbeiter!$A$6:$A$205,0)),"Pers.-Nr. unbekannt",IF(A2090="","Datum fehlt",IF(AND(D2090&lt;&gt;Einstellungen!$C$4,D2090&lt;&gt;Einstellungen!$C$5),"Objekt fehlt",IF(YEAR(A2090)&lt;&gt;Einstellungen!$C$3,"anderes Jahr",IF(A2090&lt;INDEX(Mitarbeiter!$C$6:$C$205,MATCH(B2090,Mitarbeiter!$A$6:$A$205,0)),"vor Eintritt",IF(AND(INDEX(Mitarbeiter!$D$6:$D$205,MATCH(B2090,Mitarbeiter!$A$6:$A$205,0))&lt;&gt;"",A2090&gt;INDEX(Mitarbeiter!$D$6:$D$205,MATCH(B2090,Mitarbeiter!$A$6:$A$205,0))),"nach Austritt","ok")))))))</f>
        <v/>
      </c>
    </row>
    <row r="2091">
      <c r="A2091" s="26" t="n"/>
      <c r="B2091" s="24" t="n"/>
      <c r="C2091" s="40">
        <f>IF(B2091="","",IFERROR(INDEX(Mitarbeiter!$B$6:$B$205,MATCH(B2091,Mitarbeiter!$A$6:$A$205,0)),"?"))</f>
        <v/>
      </c>
      <c r="D2091" s="41" t="n"/>
      <c r="E2091" s="42" t="n"/>
      <c r="F2091" s="43" t="n"/>
      <c r="G2091" s="44">
        <f>IF(OR(B2091="",F2091=""),"",IFERROR(F2091*INDEX(Mitarbeiter!$F$6:$F$205,MATCH(B2091,Mitarbeiter!$A$6:$A$205,0)),0))</f>
        <v/>
      </c>
      <c r="H2091" s="8">
        <f>IF(B2091="","",IF(ISNA(MATCH(B2091,Mitarbeiter!$A$6:$A$205,0)),"Pers.-Nr. unbekannt",IF(A2091="","Datum fehlt",IF(AND(D2091&lt;&gt;Einstellungen!$C$4,D2091&lt;&gt;Einstellungen!$C$5),"Objekt fehlt",IF(YEAR(A2091)&lt;&gt;Einstellungen!$C$3,"anderes Jahr",IF(A2091&lt;INDEX(Mitarbeiter!$C$6:$C$205,MATCH(B2091,Mitarbeiter!$A$6:$A$205,0)),"vor Eintritt",IF(AND(INDEX(Mitarbeiter!$D$6:$D$205,MATCH(B2091,Mitarbeiter!$A$6:$A$205,0))&lt;&gt;"",A2091&gt;INDEX(Mitarbeiter!$D$6:$D$205,MATCH(B2091,Mitarbeiter!$A$6:$A$205,0))),"nach Austritt","ok")))))))</f>
        <v/>
      </c>
    </row>
    <row r="2092">
      <c r="A2092" s="26" t="n"/>
      <c r="B2092" s="24" t="n"/>
      <c r="C2092" s="40">
        <f>IF(B2092="","",IFERROR(INDEX(Mitarbeiter!$B$6:$B$205,MATCH(B2092,Mitarbeiter!$A$6:$A$205,0)),"?"))</f>
        <v/>
      </c>
      <c r="D2092" s="41" t="n"/>
      <c r="E2092" s="42" t="n"/>
      <c r="F2092" s="43" t="n"/>
      <c r="G2092" s="44">
        <f>IF(OR(B2092="",F2092=""),"",IFERROR(F2092*INDEX(Mitarbeiter!$F$6:$F$205,MATCH(B2092,Mitarbeiter!$A$6:$A$205,0)),0))</f>
        <v/>
      </c>
      <c r="H2092" s="8">
        <f>IF(B2092="","",IF(ISNA(MATCH(B2092,Mitarbeiter!$A$6:$A$205,0)),"Pers.-Nr. unbekannt",IF(A2092="","Datum fehlt",IF(AND(D2092&lt;&gt;Einstellungen!$C$4,D2092&lt;&gt;Einstellungen!$C$5),"Objekt fehlt",IF(YEAR(A2092)&lt;&gt;Einstellungen!$C$3,"anderes Jahr",IF(A2092&lt;INDEX(Mitarbeiter!$C$6:$C$205,MATCH(B2092,Mitarbeiter!$A$6:$A$205,0)),"vor Eintritt",IF(AND(INDEX(Mitarbeiter!$D$6:$D$205,MATCH(B2092,Mitarbeiter!$A$6:$A$205,0))&lt;&gt;"",A2092&gt;INDEX(Mitarbeiter!$D$6:$D$205,MATCH(B2092,Mitarbeiter!$A$6:$A$205,0))),"nach Austritt","ok")))))))</f>
        <v/>
      </c>
    </row>
    <row r="2093">
      <c r="A2093" s="26" t="n"/>
      <c r="B2093" s="24" t="n"/>
      <c r="C2093" s="40">
        <f>IF(B2093="","",IFERROR(INDEX(Mitarbeiter!$B$6:$B$205,MATCH(B2093,Mitarbeiter!$A$6:$A$205,0)),"?"))</f>
        <v/>
      </c>
      <c r="D2093" s="41" t="n"/>
      <c r="E2093" s="42" t="n"/>
      <c r="F2093" s="43" t="n"/>
      <c r="G2093" s="44">
        <f>IF(OR(B2093="",F2093=""),"",IFERROR(F2093*INDEX(Mitarbeiter!$F$6:$F$205,MATCH(B2093,Mitarbeiter!$A$6:$A$205,0)),0))</f>
        <v/>
      </c>
      <c r="H2093" s="8">
        <f>IF(B2093="","",IF(ISNA(MATCH(B2093,Mitarbeiter!$A$6:$A$205,0)),"Pers.-Nr. unbekannt",IF(A2093="","Datum fehlt",IF(AND(D2093&lt;&gt;Einstellungen!$C$4,D2093&lt;&gt;Einstellungen!$C$5),"Objekt fehlt",IF(YEAR(A2093)&lt;&gt;Einstellungen!$C$3,"anderes Jahr",IF(A2093&lt;INDEX(Mitarbeiter!$C$6:$C$205,MATCH(B2093,Mitarbeiter!$A$6:$A$205,0)),"vor Eintritt",IF(AND(INDEX(Mitarbeiter!$D$6:$D$205,MATCH(B2093,Mitarbeiter!$A$6:$A$205,0))&lt;&gt;"",A2093&gt;INDEX(Mitarbeiter!$D$6:$D$205,MATCH(B2093,Mitarbeiter!$A$6:$A$205,0))),"nach Austritt","ok")))))))</f>
        <v/>
      </c>
    </row>
    <row r="2094">
      <c r="A2094" s="26" t="n"/>
      <c r="B2094" s="24" t="n"/>
      <c r="C2094" s="40">
        <f>IF(B2094="","",IFERROR(INDEX(Mitarbeiter!$B$6:$B$205,MATCH(B2094,Mitarbeiter!$A$6:$A$205,0)),"?"))</f>
        <v/>
      </c>
      <c r="D2094" s="41" t="n"/>
      <c r="E2094" s="42" t="n"/>
      <c r="F2094" s="43" t="n"/>
      <c r="G2094" s="44">
        <f>IF(OR(B2094="",F2094=""),"",IFERROR(F2094*INDEX(Mitarbeiter!$F$6:$F$205,MATCH(B2094,Mitarbeiter!$A$6:$A$205,0)),0))</f>
        <v/>
      </c>
      <c r="H2094" s="8">
        <f>IF(B2094="","",IF(ISNA(MATCH(B2094,Mitarbeiter!$A$6:$A$205,0)),"Pers.-Nr. unbekannt",IF(A2094="","Datum fehlt",IF(AND(D2094&lt;&gt;Einstellungen!$C$4,D2094&lt;&gt;Einstellungen!$C$5),"Objekt fehlt",IF(YEAR(A2094)&lt;&gt;Einstellungen!$C$3,"anderes Jahr",IF(A2094&lt;INDEX(Mitarbeiter!$C$6:$C$205,MATCH(B2094,Mitarbeiter!$A$6:$A$205,0)),"vor Eintritt",IF(AND(INDEX(Mitarbeiter!$D$6:$D$205,MATCH(B2094,Mitarbeiter!$A$6:$A$205,0))&lt;&gt;"",A2094&gt;INDEX(Mitarbeiter!$D$6:$D$205,MATCH(B2094,Mitarbeiter!$A$6:$A$205,0))),"nach Austritt","ok")))))))</f>
        <v/>
      </c>
    </row>
    <row r="2095">
      <c r="A2095" s="26" t="n"/>
      <c r="B2095" s="24" t="n"/>
      <c r="C2095" s="40">
        <f>IF(B2095="","",IFERROR(INDEX(Mitarbeiter!$B$6:$B$205,MATCH(B2095,Mitarbeiter!$A$6:$A$205,0)),"?"))</f>
        <v/>
      </c>
      <c r="D2095" s="41" t="n"/>
      <c r="E2095" s="42" t="n"/>
      <c r="F2095" s="43" t="n"/>
      <c r="G2095" s="44">
        <f>IF(OR(B2095="",F2095=""),"",IFERROR(F2095*INDEX(Mitarbeiter!$F$6:$F$205,MATCH(B2095,Mitarbeiter!$A$6:$A$205,0)),0))</f>
        <v/>
      </c>
      <c r="H2095" s="8">
        <f>IF(B2095="","",IF(ISNA(MATCH(B2095,Mitarbeiter!$A$6:$A$205,0)),"Pers.-Nr. unbekannt",IF(A2095="","Datum fehlt",IF(AND(D2095&lt;&gt;Einstellungen!$C$4,D2095&lt;&gt;Einstellungen!$C$5),"Objekt fehlt",IF(YEAR(A2095)&lt;&gt;Einstellungen!$C$3,"anderes Jahr",IF(A2095&lt;INDEX(Mitarbeiter!$C$6:$C$205,MATCH(B2095,Mitarbeiter!$A$6:$A$205,0)),"vor Eintritt",IF(AND(INDEX(Mitarbeiter!$D$6:$D$205,MATCH(B2095,Mitarbeiter!$A$6:$A$205,0))&lt;&gt;"",A2095&gt;INDEX(Mitarbeiter!$D$6:$D$205,MATCH(B2095,Mitarbeiter!$A$6:$A$205,0))),"nach Austritt","ok")))))))</f>
        <v/>
      </c>
    </row>
    <row r="2096">
      <c r="A2096" s="26" t="n"/>
      <c r="B2096" s="24" t="n"/>
      <c r="C2096" s="40">
        <f>IF(B2096="","",IFERROR(INDEX(Mitarbeiter!$B$6:$B$205,MATCH(B2096,Mitarbeiter!$A$6:$A$205,0)),"?"))</f>
        <v/>
      </c>
      <c r="D2096" s="41" t="n"/>
      <c r="E2096" s="42" t="n"/>
      <c r="F2096" s="43" t="n"/>
      <c r="G2096" s="44">
        <f>IF(OR(B2096="",F2096=""),"",IFERROR(F2096*INDEX(Mitarbeiter!$F$6:$F$205,MATCH(B2096,Mitarbeiter!$A$6:$A$205,0)),0))</f>
        <v/>
      </c>
      <c r="H2096" s="8">
        <f>IF(B2096="","",IF(ISNA(MATCH(B2096,Mitarbeiter!$A$6:$A$205,0)),"Pers.-Nr. unbekannt",IF(A2096="","Datum fehlt",IF(AND(D2096&lt;&gt;Einstellungen!$C$4,D2096&lt;&gt;Einstellungen!$C$5),"Objekt fehlt",IF(YEAR(A2096)&lt;&gt;Einstellungen!$C$3,"anderes Jahr",IF(A2096&lt;INDEX(Mitarbeiter!$C$6:$C$205,MATCH(B2096,Mitarbeiter!$A$6:$A$205,0)),"vor Eintritt",IF(AND(INDEX(Mitarbeiter!$D$6:$D$205,MATCH(B2096,Mitarbeiter!$A$6:$A$205,0))&lt;&gt;"",A2096&gt;INDEX(Mitarbeiter!$D$6:$D$205,MATCH(B2096,Mitarbeiter!$A$6:$A$205,0))),"nach Austritt","ok")))))))</f>
        <v/>
      </c>
    </row>
    <row r="2097">
      <c r="A2097" s="26" t="n"/>
      <c r="B2097" s="24" t="n"/>
      <c r="C2097" s="40">
        <f>IF(B2097="","",IFERROR(INDEX(Mitarbeiter!$B$6:$B$205,MATCH(B2097,Mitarbeiter!$A$6:$A$205,0)),"?"))</f>
        <v/>
      </c>
      <c r="D2097" s="41" t="n"/>
      <c r="E2097" s="42" t="n"/>
      <c r="F2097" s="43" t="n"/>
      <c r="G2097" s="44">
        <f>IF(OR(B2097="",F2097=""),"",IFERROR(F2097*INDEX(Mitarbeiter!$F$6:$F$205,MATCH(B2097,Mitarbeiter!$A$6:$A$205,0)),0))</f>
        <v/>
      </c>
      <c r="H2097" s="8">
        <f>IF(B2097="","",IF(ISNA(MATCH(B2097,Mitarbeiter!$A$6:$A$205,0)),"Pers.-Nr. unbekannt",IF(A2097="","Datum fehlt",IF(AND(D2097&lt;&gt;Einstellungen!$C$4,D2097&lt;&gt;Einstellungen!$C$5),"Objekt fehlt",IF(YEAR(A2097)&lt;&gt;Einstellungen!$C$3,"anderes Jahr",IF(A2097&lt;INDEX(Mitarbeiter!$C$6:$C$205,MATCH(B2097,Mitarbeiter!$A$6:$A$205,0)),"vor Eintritt",IF(AND(INDEX(Mitarbeiter!$D$6:$D$205,MATCH(B2097,Mitarbeiter!$A$6:$A$205,0))&lt;&gt;"",A2097&gt;INDEX(Mitarbeiter!$D$6:$D$205,MATCH(B2097,Mitarbeiter!$A$6:$A$205,0))),"nach Austritt","ok")))))))</f>
        <v/>
      </c>
    </row>
    <row r="2098">
      <c r="A2098" s="26" t="n"/>
      <c r="B2098" s="24" t="n"/>
      <c r="C2098" s="40">
        <f>IF(B2098="","",IFERROR(INDEX(Mitarbeiter!$B$6:$B$205,MATCH(B2098,Mitarbeiter!$A$6:$A$205,0)),"?"))</f>
        <v/>
      </c>
      <c r="D2098" s="41" t="n"/>
      <c r="E2098" s="42" t="n"/>
      <c r="F2098" s="43" t="n"/>
      <c r="G2098" s="44">
        <f>IF(OR(B2098="",F2098=""),"",IFERROR(F2098*INDEX(Mitarbeiter!$F$6:$F$205,MATCH(B2098,Mitarbeiter!$A$6:$A$205,0)),0))</f>
        <v/>
      </c>
      <c r="H2098" s="8">
        <f>IF(B2098="","",IF(ISNA(MATCH(B2098,Mitarbeiter!$A$6:$A$205,0)),"Pers.-Nr. unbekannt",IF(A2098="","Datum fehlt",IF(AND(D2098&lt;&gt;Einstellungen!$C$4,D2098&lt;&gt;Einstellungen!$C$5),"Objekt fehlt",IF(YEAR(A2098)&lt;&gt;Einstellungen!$C$3,"anderes Jahr",IF(A2098&lt;INDEX(Mitarbeiter!$C$6:$C$205,MATCH(B2098,Mitarbeiter!$A$6:$A$205,0)),"vor Eintritt",IF(AND(INDEX(Mitarbeiter!$D$6:$D$205,MATCH(B2098,Mitarbeiter!$A$6:$A$205,0))&lt;&gt;"",A2098&gt;INDEX(Mitarbeiter!$D$6:$D$205,MATCH(B2098,Mitarbeiter!$A$6:$A$205,0))),"nach Austritt","ok")))))))</f>
        <v/>
      </c>
    </row>
    <row r="2099">
      <c r="A2099" s="26" t="n"/>
      <c r="B2099" s="24" t="n"/>
      <c r="C2099" s="40">
        <f>IF(B2099="","",IFERROR(INDEX(Mitarbeiter!$B$6:$B$205,MATCH(B2099,Mitarbeiter!$A$6:$A$205,0)),"?"))</f>
        <v/>
      </c>
      <c r="D2099" s="41" t="n"/>
      <c r="E2099" s="42" t="n"/>
      <c r="F2099" s="43" t="n"/>
      <c r="G2099" s="44">
        <f>IF(OR(B2099="",F2099=""),"",IFERROR(F2099*INDEX(Mitarbeiter!$F$6:$F$205,MATCH(B2099,Mitarbeiter!$A$6:$A$205,0)),0))</f>
        <v/>
      </c>
      <c r="H2099" s="8">
        <f>IF(B2099="","",IF(ISNA(MATCH(B2099,Mitarbeiter!$A$6:$A$205,0)),"Pers.-Nr. unbekannt",IF(A2099="","Datum fehlt",IF(AND(D2099&lt;&gt;Einstellungen!$C$4,D2099&lt;&gt;Einstellungen!$C$5),"Objekt fehlt",IF(YEAR(A2099)&lt;&gt;Einstellungen!$C$3,"anderes Jahr",IF(A2099&lt;INDEX(Mitarbeiter!$C$6:$C$205,MATCH(B2099,Mitarbeiter!$A$6:$A$205,0)),"vor Eintritt",IF(AND(INDEX(Mitarbeiter!$D$6:$D$205,MATCH(B2099,Mitarbeiter!$A$6:$A$205,0))&lt;&gt;"",A2099&gt;INDEX(Mitarbeiter!$D$6:$D$205,MATCH(B2099,Mitarbeiter!$A$6:$A$205,0))),"nach Austritt","ok")))))))</f>
        <v/>
      </c>
    </row>
    <row r="2100">
      <c r="A2100" s="26" t="n"/>
      <c r="B2100" s="24" t="n"/>
      <c r="C2100" s="40">
        <f>IF(B2100="","",IFERROR(INDEX(Mitarbeiter!$B$6:$B$205,MATCH(B2100,Mitarbeiter!$A$6:$A$205,0)),"?"))</f>
        <v/>
      </c>
      <c r="D2100" s="41" t="n"/>
      <c r="E2100" s="42" t="n"/>
      <c r="F2100" s="43" t="n"/>
      <c r="G2100" s="44">
        <f>IF(OR(B2100="",F2100=""),"",IFERROR(F2100*INDEX(Mitarbeiter!$F$6:$F$205,MATCH(B2100,Mitarbeiter!$A$6:$A$205,0)),0))</f>
        <v/>
      </c>
      <c r="H2100" s="8">
        <f>IF(B2100="","",IF(ISNA(MATCH(B2100,Mitarbeiter!$A$6:$A$205,0)),"Pers.-Nr. unbekannt",IF(A2100="","Datum fehlt",IF(AND(D2100&lt;&gt;Einstellungen!$C$4,D2100&lt;&gt;Einstellungen!$C$5),"Objekt fehlt",IF(YEAR(A2100)&lt;&gt;Einstellungen!$C$3,"anderes Jahr",IF(A2100&lt;INDEX(Mitarbeiter!$C$6:$C$205,MATCH(B2100,Mitarbeiter!$A$6:$A$205,0)),"vor Eintritt",IF(AND(INDEX(Mitarbeiter!$D$6:$D$205,MATCH(B2100,Mitarbeiter!$A$6:$A$205,0))&lt;&gt;"",A2100&gt;INDEX(Mitarbeiter!$D$6:$D$205,MATCH(B2100,Mitarbeiter!$A$6:$A$205,0))),"nach Austritt","ok")))))))</f>
        <v/>
      </c>
    </row>
    <row r="2101">
      <c r="A2101" s="26" t="n"/>
      <c r="B2101" s="24" t="n"/>
      <c r="C2101" s="40">
        <f>IF(B2101="","",IFERROR(INDEX(Mitarbeiter!$B$6:$B$205,MATCH(B2101,Mitarbeiter!$A$6:$A$205,0)),"?"))</f>
        <v/>
      </c>
      <c r="D2101" s="41" t="n"/>
      <c r="E2101" s="42" t="n"/>
      <c r="F2101" s="43" t="n"/>
      <c r="G2101" s="44">
        <f>IF(OR(B2101="",F2101=""),"",IFERROR(F2101*INDEX(Mitarbeiter!$F$6:$F$205,MATCH(B2101,Mitarbeiter!$A$6:$A$205,0)),0))</f>
        <v/>
      </c>
      <c r="H2101" s="8">
        <f>IF(B2101="","",IF(ISNA(MATCH(B2101,Mitarbeiter!$A$6:$A$205,0)),"Pers.-Nr. unbekannt",IF(A2101="","Datum fehlt",IF(AND(D2101&lt;&gt;Einstellungen!$C$4,D2101&lt;&gt;Einstellungen!$C$5),"Objekt fehlt",IF(YEAR(A2101)&lt;&gt;Einstellungen!$C$3,"anderes Jahr",IF(A2101&lt;INDEX(Mitarbeiter!$C$6:$C$205,MATCH(B2101,Mitarbeiter!$A$6:$A$205,0)),"vor Eintritt",IF(AND(INDEX(Mitarbeiter!$D$6:$D$205,MATCH(B2101,Mitarbeiter!$A$6:$A$205,0))&lt;&gt;"",A2101&gt;INDEX(Mitarbeiter!$D$6:$D$205,MATCH(B2101,Mitarbeiter!$A$6:$A$205,0))),"nach Austritt","ok")))))))</f>
        <v/>
      </c>
    </row>
    <row r="2102">
      <c r="A2102" s="26" t="n"/>
      <c r="B2102" s="24" t="n"/>
      <c r="C2102" s="40">
        <f>IF(B2102="","",IFERROR(INDEX(Mitarbeiter!$B$6:$B$205,MATCH(B2102,Mitarbeiter!$A$6:$A$205,0)),"?"))</f>
        <v/>
      </c>
      <c r="D2102" s="41" t="n"/>
      <c r="E2102" s="42" t="n"/>
      <c r="F2102" s="43" t="n"/>
      <c r="G2102" s="44">
        <f>IF(OR(B2102="",F2102=""),"",IFERROR(F2102*INDEX(Mitarbeiter!$F$6:$F$205,MATCH(B2102,Mitarbeiter!$A$6:$A$205,0)),0))</f>
        <v/>
      </c>
      <c r="H2102" s="8">
        <f>IF(B2102="","",IF(ISNA(MATCH(B2102,Mitarbeiter!$A$6:$A$205,0)),"Pers.-Nr. unbekannt",IF(A2102="","Datum fehlt",IF(AND(D2102&lt;&gt;Einstellungen!$C$4,D2102&lt;&gt;Einstellungen!$C$5),"Objekt fehlt",IF(YEAR(A2102)&lt;&gt;Einstellungen!$C$3,"anderes Jahr",IF(A2102&lt;INDEX(Mitarbeiter!$C$6:$C$205,MATCH(B2102,Mitarbeiter!$A$6:$A$205,0)),"vor Eintritt",IF(AND(INDEX(Mitarbeiter!$D$6:$D$205,MATCH(B2102,Mitarbeiter!$A$6:$A$205,0))&lt;&gt;"",A2102&gt;INDEX(Mitarbeiter!$D$6:$D$205,MATCH(B2102,Mitarbeiter!$A$6:$A$205,0))),"nach Austritt","ok")))))))</f>
        <v/>
      </c>
    </row>
    <row r="2103">
      <c r="A2103" s="26" t="n"/>
      <c r="B2103" s="24" t="n"/>
      <c r="C2103" s="40">
        <f>IF(B2103="","",IFERROR(INDEX(Mitarbeiter!$B$6:$B$205,MATCH(B2103,Mitarbeiter!$A$6:$A$205,0)),"?"))</f>
        <v/>
      </c>
      <c r="D2103" s="41" t="n"/>
      <c r="E2103" s="42" t="n"/>
      <c r="F2103" s="43" t="n"/>
      <c r="G2103" s="44">
        <f>IF(OR(B2103="",F2103=""),"",IFERROR(F2103*INDEX(Mitarbeiter!$F$6:$F$205,MATCH(B2103,Mitarbeiter!$A$6:$A$205,0)),0))</f>
        <v/>
      </c>
      <c r="H2103" s="8">
        <f>IF(B2103="","",IF(ISNA(MATCH(B2103,Mitarbeiter!$A$6:$A$205,0)),"Pers.-Nr. unbekannt",IF(A2103="","Datum fehlt",IF(AND(D2103&lt;&gt;Einstellungen!$C$4,D2103&lt;&gt;Einstellungen!$C$5),"Objekt fehlt",IF(YEAR(A2103)&lt;&gt;Einstellungen!$C$3,"anderes Jahr",IF(A2103&lt;INDEX(Mitarbeiter!$C$6:$C$205,MATCH(B2103,Mitarbeiter!$A$6:$A$205,0)),"vor Eintritt",IF(AND(INDEX(Mitarbeiter!$D$6:$D$205,MATCH(B2103,Mitarbeiter!$A$6:$A$205,0))&lt;&gt;"",A2103&gt;INDEX(Mitarbeiter!$D$6:$D$205,MATCH(B2103,Mitarbeiter!$A$6:$A$205,0))),"nach Austritt","ok")))))))</f>
        <v/>
      </c>
    </row>
    <row r="2104">
      <c r="A2104" s="26" t="n"/>
      <c r="B2104" s="24" t="n"/>
      <c r="C2104" s="40">
        <f>IF(B2104="","",IFERROR(INDEX(Mitarbeiter!$B$6:$B$205,MATCH(B2104,Mitarbeiter!$A$6:$A$205,0)),"?"))</f>
        <v/>
      </c>
      <c r="D2104" s="41" t="n"/>
      <c r="E2104" s="42" t="n"/>
      <c r="F2104" s="43" t="n"/>
      <c r="G2104" s="44">
        <f>IF(OR(B2104="",F2104=""),"",IFERROR(F2104*INDEX(Mitarbeiter!$F$6:$F$205,MATCH(B2104,Mitarbeiter!$A$6:$A$205,0)),0))</f>
        <v/>
      </c>
      <c r="H2104" s="8">
        <f>IF(B2104="","",IF(ISNA(MATCH(B2104,Mitarbeiter!$A$6:$A$205,0)),"Pers.-Nr. unbekannt",IF(A2104="","Datum fehlt",IF(AND(D2104&lt;&gt;Einstellungen!$C$4,D2104&lt;&gt;Einstellungen!$C$5),"Objekt fehlt",IF(YEAR(A2104)&lt;&gt;Einstellungen!$C$3,"anderes Jahr",IF(A2104&lt;INDEX(Mitarbeiter!$C$6:$C$205,MATCH(B2104,Mitarbeiter!$A$6:$A$205,0)),"vor Eintritt",IF(AND(INDEX(Mitarbeiter!$D$6:$D$205,MATCH(B2104,Mitarbeiter!$A$6:$A$205,0))&lt;&gt;"",A2104&gt;INDEX(Mitarbeiter!$D$6:$D$205,MATCH(B2104,Mitarbeiter!$A$6:$A$205,0))),"nach Austritt","ok")))))))</f>
        <v/>
      </c>
    </row>
    <row r="2105">
      <c r="A2105" s="26" t="n"/>
      <c r="B2105" s="24" t="n"/>
      <c r="C2105" s="40">
        <f>IF(B2105="","",IFERROR(INDEX(Mitarbeiter!$B$6:$B$205,MATCH(B2105,Mitarbeiter!$A$6:$A$205,0)),"?"))</f>
        <v/>
      </c>
      <c r="D2105" s="41" t="n"/>
      <c r="E2105" s="42" t="n"/>
      <c r="F2105" s="43" t="n"/>
      <c r="G2105" s="44">
        <f>IF(OR(B2105="",F2105=""),"",IFERROR(F2105*INDEX(Mitarbeiter!$F$6:$F$205,MATCH(B2105,Mitarbeiter!$A$6:$A$205,0)),0))</f>
        <v/>
      </c>
      <c r="H2105" s="8">
        <f>IF(B2105="","",IF(ISNA(MATCH(B2105,Mitarbeiter!$A$6:$A$205,0)),"Pers.-Nr. unbekannt",IF(A2105="","Datum fehlt",IF(AND(D2105&lt;&gt;Einstellungen!$C$4,D2105&lt;&gt;Einstellungen!$C$5),"Objekt fehlt",IF(YEAR(A2105)&lt;&gt;Einstellungen!$C$3,"anderes Jahr",IF(A2105&lt;INDEX(Mitarbeiter!$C$6:$C$205,MATCH(B2105,Mitarbeiter!$A$6:$A$205,0)),"vor Eintritt",IF(AND(INDEX(Mitarbeiter!$D$6:$D$205,MATCH(B2105,Mitarbeiter!$A$6:$A$205,0))&lt;&gt;"",A2105&gt;INDEX(Mitarbeiter!$D$6:$D$205,MATCH(B2105,Mitarbeiter!$A$6:$A$205,0))),"nach Austritt","ok")))))))</f>
        <v/>
      </c>
    </row>
    <row r="2106">
      <c r="A2106" s="26" t="n"/>
      <c r="B2106" s="24" t="n"/>
      <c r="C2106" s="40">
        <f>IF(B2106="","",IFERROR(INDEX(Mitarbeiter!$B$6:$B$205,MATCH(B2106,Mitarbeiter!$A$6:$A$205,0)),"?"))</f>
        <v/>
      </c>
      <c r="D2106" s="41" t="n"/>
      <c r="E2106" s="42" t="n"/>
      <c r="F2106" s="43" t="n"/>
      <c r="G2106" s="44">
        <f>IF(OR(B2106="",F2106=""),"",IFERROR(F2106*INDEX(Mitarbeiter!$F$6:$F$205,MATCH(B2106,Mitarbeiter!$A$6:$A$205,0)),0))</f>
        <v/>
      </c>
      <c r="H2106" s="8">
        <f>IF(B2106="","",IF(ISNA(MATCH(B2106,Mitarbeiter!$A$6:$A$205,0)),"Pers.-Nr. unbekannt",IF(A2106="","Datum fehlt",IF(AND(D2106&lt;&gt;Einstellungen!$C$4,D2106&lt;&gt;Einstellungen!$C$5),"Objekt fehlt",IF(YEAR(A2106)&lt;&gt;Einstellungen!$C$3,"anderes Jahr",IF(A2106&lt;INDEX(Mitarbeiter!$C$6:$C$205,MATCH(B2106,Mitarbeiter!$A$6:$A$205,0)),"vor Eintritt",IF(AND(INDEX(Mitarbeiter!$D$6:$D$205,MATCH(B2106,Mitarbeiter!$A$6:$A$205,0))&lt;&gt;"",A2106&gt;INDEX(Mitarbeiter!$D$6:$D$205,MATCH(B2106,Mitarbeiter!$A$6:$A$205,0))),"nach Austritt","ok")))))))</f>
        <v/>
      </c>
    </row>
    <row r="2107">
      <c r="A2107" s="26" t="n"/>
      <c r="B2107" s="24" t="n"/>
      <c r="C2107" s="40">
        <f>IF(B2107="","",IFERROR(INDEX(Mitarbeiter!$B$6:$B$205,MATCH(B2107,Mitarbeiter!$A$6:$A$205,0)),"?"))</f>
        <v/>
      </c>
      <c r="D2107" s="41" t="n"/>
      <c r="E2107" s="42" t="n"/>
      <c r="F2107" s="43" t="n"/>
      <c r="G2107" s="44">
        <f>IF(OR(B2107="",F2107=""),"",IFERROR(F2107*INDEX(Mitarbeiter!$F$6:$F$205,MATCH(B2107,Mitarbeiter!$A$6:$A$205,0)),0))</f>
        <v/>
      </c>
      <c r="H2107" s="8">
        <f>IF(B2107="","",IF(ISNA(MATCH(B2107,Mitarbeiter!$A$6:$A$205,0)),"Pers.-Nr. unbekannt",IF(A2107="","Datum fehlt",IF(AND(D2107&lt;&gt;Einstellungen!$C$4,D2107&lt;&gt;Einstellungen!$C$5),"Objekt fehlt",IF(YEAR(A2107)&lt;&gt;Einstellungen!$C$3,"anderes Jahr",IF(A2107&lt;INDEX(Mitarbeiter!$C$6:$C$205,MATCH(B2107,Mitarbeiter!$A$6:$A$205,0)),"vor Eintritt",IF(AND(INDEX(Mitarbeiter!$D$6:$D$205,MATCH(B2107,Mitarbeiter!$A$6:$A$205,0))&lt;&gt;"",A2107&gt;INDEX(Mitarbeiter!$D$6:$D$205,MATCH(B2107,Mitarbeiter!$A$6:$A$205,0))),"nach Austritt","ok")))))))</f>
        <v/>
      </c>
    </row>
    <row r="2108">
      <c r="A2108" s="26" t="n"/>
      <c r="B2108" s="24" t="n"/>
      <c r="C2108" s="40">
        <f>IF(B2108="","",IFERROR(INDEX(Mitarbeiter!$B$6:$B$205,MATCH(B2108,Mitarbeiter!$A$6:$A$205,0)),"?"))</f>
        <v/>
      </c>
      <c r="D2108" s="41" t="n"/>
      <c r="E2108" s="42" t="n"/>
      <c r="F2108" s="43" t="n"/>
      <c r="G2108" s="44">
        <f>IF(OR(B2108="",F2108=""),"",IFERROR(F2108*INDEX(Mitarbeiter!$F$6:$F$205,MATCH(B2108,Mitarbeiter!$A$6:$A$205,0)),0))</f>
        <v/>
      </c>
      <c r="H2108" s="8">
        <f>IF(B2108="","",IF(ISNA(MATCH(B2108,Mitarbeiter!$A$6:$A$205,0)),"Pers.-Nr. unbekannt",IF(A2108="","Datum fehlt",IF(AND(D2108&lt;&gt;Einstellungen!$C$4,D2108&lt;&gt;Einstellungen!$C$5),"Objekt fehlt",IF(YEAR(A2108)&lt;&gt;Einstellungen!$C$3,"anderes Jahr",IF(A2108&lt;INDEX(Mitarbeiter!$C$6:$C$205,MATCH(B2108,Mitarbeiter!$A$6:$A$205,0)),"vor Eintritt",IF(AND(INDEX(Mitarbeiter!$D$6:$D$205,MATCH(B2108,Mitarbeiter!$A$6:$A$205,0))&lt;&gt;"",A2108&gt;INDEX(Mitarbeiter!$D$6:$D$205,MATCH(B2108,Mitarbeiter!$A$6:$A$205,0))),"nach Austritt","ok")))))))</f>
        <v/>
      </c>
    </row>
    <row r="2109">
      <c r="A2109" s="26" t="n"/>
      <c r="B2109" s="24" t="n"/>
      <c r="C2109" s="40">
        <f>IF(B2109="","",IFERROR(INDEX(Mitarbeiter!$B$6:$B$205,MATCH(B2109,Mitarbeiter!$A$6:$A$205,0)),"?"))</f>
        <v/>
      </c>
      <c r="D2109" s="41" t="n"/>
      <c r="E2109" s="42" t="n"/>
      <c r="F2109" s="43" t="n"/>
      <c r="G2109" s="44">
        <f>IF(OR(B2109="",F2109=""),"",IFERROR(F2109*INDEX(Mitarbeiter!$F$6:$F$205,MATCH(B2109,Mitarbeiter!$A$6:$A$205,0)),0))</f>
        <v/>
      </c>
      <c r="H2109" s="8">
        <f>IF(B2109="","",IF(ISNA(MATCH(B2109,Mitarbeiter!$A$6:$A$205,0)),"Pers.-Nr. unbekannt",IF(A2109="","Datum fehlt",IF(AND(D2109&lt;&gt;Einstellungen!$C$4,D2109&lt;&gt;Einstellungen!$C$5),"Objekt fehlt",IF(YEAR(A2109)&lt;&gt;Einstellungen!$C$3,"anderes Jahr",IF(A2109&lt;INDEX(Mitarbeiter!$C$6:$C$205,MATCH(B2109,Mitarbeiter!$A$6:$A$205,0)),"vor Eintritt",IF(AND(INDEX(Mitarbeiter!$D$6:$D$205,MATCH(B2109,Mitarbeiter!$A$6:$A$205,0))&lt;&gt;"",A2109&gt;INDEX(Mitarbeiter!$D$6:$D$205,MATCH(B2109,Mitarbeiter!$A$6:$A$205,0))),"nach Austritt","ok")))))))</f>
        <v/>
      </c>
    </row>
    <row r="2110">
      <c r="A2110" s="26" t="n"/>
      <c r="B2110" s="24" t="n"/>
      <c r="C2110" s="40">
        <f>IF(B2110="","",IFERROR(INDEX(Mitarbeiter!$B$6:$B$205,MATCH(B2110,Mitarbeiter!$A$6:$A$205,0)),"?"))</f>
        <v/>
      </c>
      <c r="D2110" s="41" t="n"/>
      <c r="E2110" s="42" t="n"/>
      <c r="F2110" s="43" t="n"/>
      <c r="G2110" s="44">
        <f>IF(OR(B2110="",F2110=""),"",IFERROR(F2110*INDEX(Mitarbeiter!$F$6:$F$205,MATCH(B2110,Mitarbeiter!$A$6:$A$205,0)),0))</f>
        <v/>
      </c>
      <c r="H2110" s="8">
        <f>IF(B2110="","",IF(ISNA(MATCH(B2110,Mitarbeiter!$A$6:$A$205,0)),"Pers.-Nr. unbekannt",IF(A2110="","Datum fehlt",IF(AND(D2110&lt;&gt;Einstellungen!$C$4,D2110&lt;&gt;Einstellungen!$C$5),"Objekt fehlt",IF(YEAR(A2110)&lt;&gt;Einstellungen!$C$3,"anderes Jahr",IF(A2110&lt;INDEX(Mitarbeiter!$C$6:$C$205,MATCH(B2110,Mitarbeiter!$A$6:$A$205,0)),"vor Eintritt",IF(AND(INDEX(Mitarbeiter!$D$6:$D$205,MATCH(B2110,Mitarbeiter!$A$6:$A$205,0))&lt;&gt;"",A2110&gt;INDEX(Mitarbeiter!$D$6:$D$205,MATCH(B2110,Mitarbeiter!$A$6:$A$205,0))),"nach Austritt","ok")))))))</f>
        <v/>
      </c>
    </row>
    <row r="2111">
      <c r="A2111" s="26" t="n"/>
      <c r="B2111" s="24" t="n"/>
      <c r="C2111" s="40">
        <f>IF(B2111="","",IFERROR(INDEX(Mitarbeiter!$B$6:$B$205,MATCH(B2111,Mitarbeiter!$A$6:$A$205,0)),"?"))</f>
        <v/>
      </c>
      <c r="D2111" s="41" t="n"/>
      <c r="E2111" s="42" t="n"/>
      <c r="F2111" s="43" t="n"/>
      <c r="G2111" s="44">
        <f>IF(OR(B2111="",F2111=""),"",IFERROR(F2111*INDEX(Mitarbeiter!$F$6:$F$205,MATCH(B2111,Mitarbeiter!$A$6:$A$205,0)),0))</f>
        <v/>
      </c>
      <c r="H2111" s="8">
        <f>IF(B2111="","",IF(ISNA(MATCH(B2111,Mitarbeiter!$A$6:$A$205,0)),"Pers.-Nr. unbekannt",IF(A2111="","Datum fehlt",IF(AND(D2111&lt;&gt;Einstellungen!$C$4,D2111&lt;&gt;Einstellungen!$C$5),"Objekt fehlt",IF(YEAR(A2111)&lt;&gt;Einstellungen!$C$3,"anderes Jahr",IF(A2111&lt;INDEX(Mitarbeiter!$C$6:$C$205,MATCH(B2111,Mitarbeiter!$A$6:$A$205,0)),"vor Eintritt",IF(AND(INDEX(Mitarbeiter!$D$6:$D$205,MATCH(B2111,Mitarbeiter!$A$6:$A$205,0))&lt;&gt;"",A2111&gt;INDEX(Mitarbeiter!$D$6:$D$205,MATCH(B2111,Mitarbeiter!$A$6:$A$205,0))),"nach Austritt","ok")))))))</f>
        <v/>
      </c>
    </row>
    <row r="2112">
      <c r="A2112" s="26" t="n"/>
      <c r="B2112" s="24" t="n"/>
      <c r="C2112" s="40">
        <f>IF(B2112="","",IFERROR(INDEX(Mitarbeiter!$B$6:$B$205,MATCH(B2112,Mitarbeiter!$A$6:$A$205,0)),"?"))</f>
        <v/>
      </c>
      <c r="D2112" s="41" t="n"/>
      <c r="E2112" s="42" t="n"/>
      <c r="F2112" s="43" t="n"/>
      <c r="G2112" s="44">
        <f>IF(OR(B2112="",F2112=""),"",IFERROR(F2112*INDEX(Mitarbeiter!$F$6:$F$205,MATCH(B2112,Mitarbeiter!$A$6:$A$205,0)),0))</f>
        <v/>
      </c>
      <c r="H2112" s="8">
        <f>IF(B2112="","",IF(ISNA(MATCH(B2112,Mitarbeiter!$A$6:$A$205,0)),"Pers.-Nr. unbekannt",IF(A2112="","Datum fehlt",IF(AND(D2112&lt;&gt;Einstellungen!$C$4,D2112&lt;&gt;Einstellungen!$C$5),"Objekt fehlt",IF(YEAR(A2112)&lt;&gt;Einstellungen!$C$3,"anderes Jahr",IF(A2112&lt;INDEX(Mitarbeiter!$C$6:$C$205,MATCH(B2112,Mitarbeiter!$A$6:$A$205,0)),"vor Eintritt",IF(AND(INDEX(Mitarbeiter!$D$6:$D$205,MATCH(B2112,Mitarbeiter!$A$6:$A$205,0))&lt;&gt;"",A2112&gt;INDEX(Mitarbeiter!$D$6:$D$205,MATCH(B2112,Mitarbeiter!$A$6:$A$205,0))),"nach Austritt","ok")))))))</f>
        <v/>
      </c>
    </row>
    <row r="2113">
      <c r="A2113" s="26" t="n"/>
      <c r="B2113" s="24" t="n"/>
      <c r="C2113" s="40">
        <f>IF(B2113="","",IFERROR(INDEX(Mitarbeiter!$B$6:$B$205,MATCH(B2113,Mitarbeiter!$A$6:$A$205,0)),"?"))</f>
        <v/>
      </c>
      <c r="D2113" s="41" t="n"/>
      <c r="E2113" s="42" t="n"/>
      <c r="F2113" s="43" t="n"/>
      <c r="G2113" s="44">
        <f>IF(OR(B2113="",F2113=""),"",IFERROR(F2113*INDEX(Mitarbeiter!$F$6:$F$205,MATCH(B2113,Mitarbeiter!$A$6:$A$205,0)),0))</f>
        <v/>
      </c>
      <c r="H2113" s="8">
        <f>IF(B2113="","",IF(ISNA(MATCH(B2113,Mitarbeiter!$A$6:$A$205,0)),"Pers.-Nr. unbekannt",IF(A2113="","Datum fehlt",IF(AND(D2113&lt;&gt;Einstellungen!$C$4,D2113&lt;&gt;Einstellungen!$C$5),"Objekt fehlt",IF(YEAR(A2113)&lt;&gt;Einstellungen!$C$3,"anderes Jahr",IF(A2113&lt;INDEX(Mitarbeiter!$C$6:$C$205,MATCH(B2113,Mitarbeiter!$A$6:$A$205,0)),"vor Eintritt",IF(AND(INDEX(Mitarbeiter!$D$6:$D$205,MATCH(B2113,Mitarbeiter!$A$6:$A$205,0))&lt;&gt;"",A2113&gt;INDEX(Mitarbeiter!$D$6:$D$205,MATCH(B2113,Mitarbeiter!$A$6:$A$205,0))),"nach Austritt","ok")))))))</f>
        <v/>
      </c>
    </row>
    <row r="2114">
      <c r="A2114" s="26" t="n"/>
      <c r="B2114" s="24" t="n"/>
      <c r="C2114" s="40">
        <f>IF(B2114="","",IFERROR(INDEX(Mitarbeiter!$B$6:$B$205,MATCH(B2114,Mitarbeiter!$A$6:$A$205,0)),"?"))</f>
        <v/>
      </c>
      <c r="D2114" s="41" t="n"/>
      <c r="E2114" s="42" t="n"/>
      <c r="F2114" s="43" t="n"/>
      <c r="G2114" s="44">
        <f>IF(OR(B2114="",F2114=""),"",IFERROR(F2114*INDEX(Mitarbeiter!$F$6:$F$205,MATCH(B2114,Mitarbeiter!$A$6:$A$205,0)),0))</f>
        <v/>
      </c>
      <c r="H2114" s="8">
        <f>IF(B2114="","",IF(ISNA(MATCH(B2114,Mitarbeiter!$A$6:$A$205,0)),"Pers.-Nr. unbekannt",IF(A2114="","Datum fehlt",IF(AND(D2114&lt;&gt;Einstellungen!$C$4,D2114&lt;&gt;Einstellungen!$C$5),"Objekt fehlt",IF(YEAR(A2114)&lt;&gt;Einstellungen!$C$3,"anderes Jahr",IF(A2114&lt;INDEX(Mitarbeiter!$C$6:$C$205,MATCH(B2114,Mitarbeiter!$A$6:$A$205,0)),"vor Eintritt",IF(AND(INDEX(Mitarbeiter!$D$6:$D$205,MATCH(B2114,Mitarbeiter!$A$6:$A$205,0))&lt;&gt;"",A2114&gt;INDEX(Mitarbeiter!$D$6:$D$205,MATCH(B2114,Mitarbeiter!$A$6:$A$205,0))),"nach Austritt","ok")))))))</f>
        <v/>
      </c>
    </row>
    <row r="2115">
      <c r="A2115" s="26" t="n"/>
      <c r="B2115" s="24" t="n"/>
      <c r="C2115" s="40">
        <f>IF(B2115="","",IFERROR(INDEX(Mitarbeiter!$B$6:$B$205,MATCH(B2115,Mitarbeiter!$A$6:$A$205,0)),"?"))</f>
        <v/>
      </c>
      <c r="D2115" s="41" t="n"/>
      <c r="E2115" s="42" t="n"/>
      <c r="F2115" s="43" t="n"/>
      <c r="G2115" s="44">
        <f>IF(OR(B2115="",F2115=""),"",IFERROR(F2115*INDEX(Mitarbeiter!$F$6:$F$205,MATCH(B2115,Mitarbeiter!$A$6:$A$205,0)),0))</f>
        <v/>
      </c>
      <c r="H2115" s="8">
        <f>IF(B2115="","",IF(ISNA(MATCH(B2115,Mitarbeiter!$A$6:$A$205,0)),"Pers.-Nr. unbekannt",IF(A2115="","Datum fehlt",IF(AND(D2115&lt;&gt;Einstellungen!$C$4,D2115&lt;&gt;Einstellungen!$C$5),"Objekt fehlt",IF(YEAR(A2115)&lt;&gt;Einstellungen!$C$3,"anderes Jahr",IF(A2115&lt;INDEX(Mitarbeiter!$C$6:$C$205,MATCH(B2115,Mitarbeiter!$A$6:$A$205,0)),"vor Eintritt",IF(AND(INDEX(Mitarbeiter!$D$6:$D$205,MATCH(B2115,Mitarbeiter!$A$6:$A$205,0))&lt;&gt;"",A2115&gt;INDEX(Mitarbeiter!$D$6:$D$205,MATCH(B2115,Mitarbeiter!$A$6:$A$205,0))),"nach Austritt","ok")))))))</f>
        <v/>
      </c>
    </row>
    <row r="2116">
      <c r="A2116" s="26" t="n"/>
      <c r="B2116" s="24" t="n"/>
      <c r="C2116" s="40">
        <f>IF(B2116="","",IFERROR(INDEX(Mitarbeiter!$B$6:$B$205,MATCH(B2116,Mitarbeiter!$A$6:$A$205,0)),"?"))</f>
        <v/>
      </c>
      <c r="D2116" s="41" t="n"/>
      <c r="E2116" s="42" t="n"/>
      <c r="F2116" s="43" t="n"/>
      <c r="G2116" s="44">
        <f>IF(OR(B2116="",F2116=""),"",IFERROR(F2116*INDEX(Mitarbeiter!$F$6:$F$205,MATCH(B2116,Mitarbeiter!$A$6:$A$205,0)),0))</f>
        <v/>
      </c>
      <c r="H2116" s="8">
        <f>IF(B2116="","",IF(ISNA(MATCH(B2116,Mitarbeiter!$A$6:$A$205,0)),"Pers.-Nr. unbekannt",IF(A2116="","Datum fehlt",IF(AND(D2116&lt;&gt;Einstellungen!$C$4,D2116&lt;&gt;Einstellungen!$C$5),"Objekt fehlt",IF(YEAR(A2116)&lt;&gt;Einstellungen!$C$3,"anderes Jahr",IF(A2116&lt;INDEX(Mitarbeiter!$C$6:$C$205,MATCH(B2116,Mitarbeiter!$A$6:$A$205,0)),"vor Eintritt",IF(AND(INDEX(Mitarbeiter!$D$6:$D$205,MATCH(B2116,Mitarbeiter!$A$6:$A$205,0))&lt;&gt;"",A2116&gt;INDEX(Mitarbeiter!$D$6:$D$205,MATCH(B2116,Mitarbeiter!$A$6:$A$205,0))),"nach Austritt","ok")))))))</f>
        <v/>
      </c>
    </row>
    <row r="2117">
      <c r="A2117" s="26" t="n"/>
      <c r="B2117" s="24" t="n"/>
      <c r="C2117" s="40">
        <f>IF(B2117="","",IFERROR(INDEX(Mitarbeiter!$B$6:$B$205,MATCH(B2117,Mitarbeiter!$A$6:$A$205,0)),"?"))</f>
        <v/>
      </c>
      <c r="D2117" s="41" t="n"/>
      <c r="E2117" s="42" t="n"/>
      <c r="F2117" s="43" t="n"/>
      <c r="G2117" s="44">
        <f>IF(OR(B2117="",F2117=""),"",IFERROR(F2117*INDEX(Mitarbeiter!$F$6:$F$205,MATCH(B2117,Mitarbeiter!$A$6:$A$205,0)),0))</f>
        <v/>
      </c>
      <c r="H2117" s="8">
        <f>IF(B2117="","",IF(ISNA(MATCH(B2117,Mitarbeiter!$A$6:$A$205,0)),"Pers.-Nr. unbekannt",IF(A2117="","Datum fehlt",IF(AND(D2117&lt;&gt;Einstellungen!$C$4,D2117&lt;&gt;Einstellungen!$C$5),"Objekt fehlt",IF(YEAR(A2117)&lt;&gt;Einstellungen!$C$3,"anderes Jahr",IF(A2117&lt;INDEX(Mitarbeiter!$C$6:$C$205,MATCH(B2117,Mitarbeiter!$A$6:$A$205,0)),"vor Eintritt",IF(AND(INDEX(Mitarbeiter!$D$6:$D$205,MATCH(B2117,Mitarbeiter!$A$6:$A$205,0))&lt;&gt;"",A2117&gt;INDEX(Mitarbeiter!$D$6:$D$205,MATCH(B2117,Mitarbeiter!$A$6:$A$205,0))),"nach Austritt","ok")))))))</f>
        <v/>
      </c>
    </row>
    <row r="2118">
      <c r="A2118" s="26" t="n"/>
      <c r="B2118" s="24" t="n"/>
      <c r="C2118" s="40">
        <f>IF(B2118="","",IFERROR(INDEX(Mitarbeiter!$B$6:$B$205,MATCH(B2118,Mitarbeiter!$A$6:$A$205,0)),"?"))</f>
        <v/>
      </c>
      <c r="D2118" s="41" t="n"/>
      <c r="E2118" s="42" t="n"/>
      <c r="F2118" s="43" t="n"/>
      <c r="G2118" s="44">
        <f>IF(OR(B2118="",F2118=""),"",IFERROR(F2118*INDEX(Mitarbeiter!$F$6:$F$205,MATCH(B2118,Mitarbeiter!$A$6:$A$205,0)),0))</f>
        <v/>
      </c>
      <c r="H2118" s="8">
        <f>IF(B2118="","",IF(ISNA(MATCH(B2118,Mitarbeiter!$A$6:$A$205,0)),"Pers.-Nr. unbekannt",IF(A2118="","Datum fehlt",IF(AND(D2118&lt;&gt;Einstellungen!$C$4,D2118&lt;&gt;Einstellungen!$C$5),"Objekt fehlt",IF(YEAR(A2118)&lt;&gt;Einstellungen!$C$3,"anderes Jahr",IF(A2118&lt;INDEX(Mitarbeiter!$C$6:$C$205,MATCH(B2118,Mitarbeiter!$A$6:$A$205,0)),"vor Eintritt",IF(AND(INDEX(Mitarbeiter!$D$6:$D$205,MATCH(B2118,Mitarbeiter!$A$6:$A$205,0))&lt;&gt;"",A2118&gt;INDEX(Mitarbeiter!$D$6:$D$205,MATCH(B2118,Mitarbeiter!$A$6:$A$205,0))),"nach Austritt","ok")))))))</f>
        <v/>
      </c>
    </row>
    <row r="2119">
      <c r="A2119" s="26" t="n"/>
      <c r="B2119" s="24" t="n"/>
      <c r="C2119" s="40">
        <f>IF(B2119="","",IFERROR(INDEX(Mitarbeiter!$B$6:$B$205,MATCH(B2119,Mitarbeiter!$A$6:$A$205,0)),"?"))</f>
        <v/>
      </c>
      <c r="D2119" s="41" t="n"/>
      <c r="E2119" s="42" t="n"/>
      <c r="F2119" s="43" t="n"/>
      <c r="G2119" s="44">
        <f>IF(OR(B2119="",F2119=""),"",IFERROR(F2119*INDEX(Mitarbeiter!$F$6:$F$205,MATCH(B2119,Mitarbeiter!$A$6:$A$205,0)),0))</f>
        <v/>
      </c>
      <c r="H2119" s="8">
        <f>IF(B2119="","",IF(ISNA(MATCH(B2119,Mitarbeiter!$A$6:$A$205,0)),"Pers.-Nr. unbekannt",IF(A2119="","Datum fehlt",IF(AND(D2119&lt;&gt;Einstellungen!$C$4,D2119&lt;&gt;Einstellungen!$C$5),"Objekt fehlt",IF(YEAR(A2119)&lt;&gt;Einstellungen!$C$3,"anderes Jahr",IF(A2119&lt;INDEX(Mitarbeiter!$C$6:$C$205,MATCH(B2119,Mitarbeiter!$A$6:$A$205,0)),"vor Eintritt",IF(AND(INDEX(Mitarbeiter!$D$6:$D$205,MATCH(B2119,Mitarbeiter!$A$6:$A$205,0))&lt;&gt;"",A2119&gt;INDEX(Mitarbeiter!$D$6:$D$205,MATCH(B2119,Mitarbeiter!$A$6:$A$205,0))),"nach Austritt","ok")))))))</f>
        <v/>
      </c>
    </row>
    <row r="2120">
      <c r="A2120" s="26" t="n"/>
      <c r="B2120" s="24" t="n"/>
      <c r="C2120" s="40">
        <f>IF(B2120="","",IFERROR(INDEX(Mitarbeiter!$B$6:$B$205,MATCH(B2120,Mitarbeiter!$A$6:$A$205,0)),"?"))</f>
        <v/>
      </c>
      <c r="D2120" s="41" t="n"/>
      <c r="E2120" s="42" t="n"/>
      <c r="F2120" s="43" t="n"/>
      <c r="G2120" s="44">
        <f>IF(OR(B2120="",F2120=""),"",IFERROR(F2120*INDEX(Mitarbeiter!$F$6:$F$205,MATCH(B2120,Mitarbeiter!$A$6:$A$205,0)),0))</f>
        <v/>
      </c>
      <c r="H2120" s="8">
        <f>IF(B2120="","",IF(ISNA(MATCH(B2120,Mitarbeiter!$A$6:$A$205,0)),"Pers.-Nr. unbekannt",IF(A2120="","Datum fehlt",IF(AND(D2120&lt;&gt;Einstellungen!$C$4,D2120&lt;&gt;Einstellungen!$C$5),"Objekt fehlt",IF(YEAR(A2120)&lt;&gt;Einstellungen!$C$3,"anderes Jahr",IF(A2120&lt;INDEX(Mitarbeiter!$C$6:$C$205,MATCH(B2120,Mitarbeiter!$A$6:$A$205,0)),"vor Eintritt",IF(AND(INDEX(Mitarbeiter!$D$6:$D$205,MATCH(B2120,Mitarbeiter!$A$6:$A$205,0))&lt;&gt;"",A2120&gt;INDEX(Mitarbeiter!$D$6:$D$205,MATCH(B2120,Mitarbeiter!$A$6:$A$205,0))),"nach Austritt","ok")))))))</f>
        <v/>
      </c>
    </row>
    <row r="2121">
      <c r="A2121" s="26" t="n"/>
      <c r="B2121" s="24" t="n"/>
      <c r="C2121" s="40">
        <f>IF(B2121="","",IFERROR(INDEX(Mitarbeiter!$B$6:$B$205,MATCH(B2121,Mitarbeiter!$A$6:$A$205,0)),"?"))</f>
        <v/>
      </c>
      <c r="D2121" s="41" t="n"/>
      <c r="E2121" s="42" t="n"/>
      <c r="F2121" s="43" t="n"/>
      <c r="G2121" s="44">
        <f>IF(OR(B2121="",F2121=""),"",IFERROR(F2121*INDEX(Mitarbeiter!$F$6:$F$205,MATCH(B2121,Mitarbeiter!$A$6:$A$205,0)),0))</f>
        <v/>
      </c>
      <c r="H2121" s="8">
        <f>IF(B2121="","",IF(ISNA(MATCH(B2121,Mitarbeiter!$A$6:$A$205,0)),"Pers.-Nr. unbekannt",IF(A2121="","Datum fehlt",IF(AND(D2121&lt;&gt;Einstellungen!$C$4,D2121&lt;&gt;Einstellungen!$C$5),"Objekt fehlt",IF(YEAR(A2121)&lt;&gt;Einstellungen!$C$3,"anderes Jahr",IF(A2121&lt;INDEX(Mitarbeiter!$C$6:$C$205,MATCH(B2121,Mitarbeiter!$A$6:$A$205,0)),"vor Eintritt",IF(AND(INDEX(Mitarbeiter!$D$6:$D$205,MATCH(B2121,Mitarbeiter!$A$6:$A$205,0))&lt;&gt;"",A2121&gt;INDEX(Mitarbeiter!$D$6:$D$205,MATCH(B2121,Mitarbeiter!$A$6:$A$205,0))),"nach Austritt","ok")))))))</f>
        <v/>
      </c>
    </row>
    <row r="2122">
      <c r="A2122" s="26" t="n"/>
      <c r="B2122" s="24" t="n"/>
      <c r="C2122" s="40">
        <f>IF(B2122="","",IFERROR(INDEX(Mitarbeiter!$B$6:$B$205,MATCH(B2122,Mitarbeiter!$A$6:$A$205,0)),"?"))</f>
        <v/>
      </c>
      <c r="D2122" s="41" t="n"/>
      <c r="E2122" s="42" t="n"/>
      <c r="F2122" s="43" t="n"/>
      <c r="G2122" s="44">
        <f>IF(OR(B2122="",F2122=""),"",IFERROR(F2122*INDEX(Mitarbeiter!$F$6:$F$205,MATCH(B2122,Mitarbeiter!$A$6:$A$205,0)),0))</f>
        <v/>
      </c>
      <c r="H2122" s="8">
        <f>IF(B2122="","",IF(ISNA(MATCH(B2122,Mitarbeiter!$A$6:$A$205,0)),"Pers.-Nr. unbekannt",IF(A2122="","Datum fehlt",IF(AND(D2122&lt;&gt;Einstellungen!$C$4,D2122&lt;&gt;Einstellungen!$C$5),"Objekt fehlt",IF(YEAR(A2122)&lt;&gt;Einstellungen!$C$3,"anderes Jahr",IF(A2122&lt;INDEX(Mitarbeiter!$C$6:$C$205,MATCH(B2122,Mitarbeiter!$A$6:$A$205,0)),"vor Eintritt",IF(AND(INDEX(Mitarbeiter!$D$6:$D$205,MATCH(B2122,Mitarbeiter!$A$6:$A$205,0))&lt;&gt;"",A2122&gt;INDEX(Mitarbeiter!$D$6:$D$205,MATCH(B2122,Mitarbeiter!$A$6:$A$205,0))),"nach Austritt","ok")))))))</f>
        <v/>
      </c>
    </row>
    <row r="2123">
      <c r="A2123" s="26" t="n"/>
      <c r="B2123" s="24" t="n"/>
      <c r="C2123" s="40">
        <f>IF(B2123="","",IFERROR(INDEX(Mitarbeiter!$B$6:$B$205,MATCH(B2123,Mitarbeiter!$A$6:$A$205,0)),"?"))</f>
        <v/>
      </c>
      <c r="D2123" s="41" t="n"/>
      <c r="E2123" s="42" t="n"/>
      <c r="F2123" s="43" t="n"/>
      <c r="G2123" s="44">
        <f>IF(OR(B2123="",F2123=""),"",IFERROR(F2123*INDEX(Mitarbeiter!$F$6:$F$205,MATCH(B2123,Mitarbeiter!$A$6:$A$205,0)),0))</f>
        <v/>
      </c>
      <c r="H2123" s="8">
        <f>IF(B2123="","",IF(ISNA(MATCH(B2123,Mitarbeiter!$A$6:$A$205,0)),"Pers.-Nr. unbekannt",IF(A2123="","Datum fehlt",IF(AND(D2123&lt;&gt;Einstellungen!$C$4,D2123&lt;&gt;Einstellungen!$C$5),"Objekt fehlt",IF(YEAR(A2123)&lt;&gt;Einstellungen!$C$3,"anderes Jahr",IF(A2123&lt;INDEX(Mitarbeiter!$C$6:$C$205,MATCH(B2123,Mitarbeiter!$A$6:$A$205,0)),"vor Eintritt",IF(AND(INDEX(Mitarbeiter!$D$6:$D$205,MATCH(B2123,Mitarbeiter!$A$6:$A$205,0))&lt;&gt;"",A2123&gt;INDEX(Mitarbeiter!$D$6:$D$205,MATCH(B2123,Mitarbeiter!$A$6:$A$205,0))),"nach Austritt","ok")))))))</f>
        <v/>
      </c>
    </row>
    <row r="2124">
      <c r="A2124" s="26" t="n"/>
      <c r="B2124" s="24" t="n"/>
      <c r="C2124" s="40">
        <f>IF(B2124="","",IFERROR(INDEX(Mitarbeiter!$B$6:$B$205,MATCH(B2124,Mitarbeiter!$A$6:$A$205,0)),"?"))</f>
        <v/>
      </c>
      <c r="D2124" s="41" t="n"/>
      <c r="E2124" s="42" t="n"/>
      <c r="F2124" s="43" t="n"/>
      <c r="G2124" s="44">
        <f>IF(OR(B2124="",F2124=""),"",IFERROR(F2124*INDEX(Mitarbeiter!$F$6:$F$205,MATCH(B2124,Mitarbeiter!$A$6:$A$205,0)),0))</f>
        <v/>
      </c>
      <c r="H2124" s="8">
        <f>IF(B2124="","",IF(ISNA(MATCH(B2124,Mitarbeiter!$A$6:$A$205,0)),"Pers.-Nr. unbekannt",IF(A2124="","Datum fehlt",IF(AND(D2124&lt;&gt;Einstellungen!$C$4,D2124&lt;&gt;Einstellungen!$C$5),"Objekt fehlt",IF(YEAR(A2124)&lt;&gt;Einstellungen!$C$3,"anderes Jahr",IF(A2124&lt;INDEX(Mitarbeiter!$C$6:$C$205,MATCH(B2124,Mitarbeiter!$A$6:$A$205,0)),"vor Eintritt",IF(AND(INDEX(Mitarbeiter!$D$6:$D$205,MATCH(B2124,Mitarbeiter!$A$6:$A$205,0))&lt;&gt;"",A2124&gt;INDEX(Mitarbeiter!$D$6:$D$205,MATCH(B2124,Mitarbeiter!$A$6:$A$205,0))),"nach Austritt","ok")))))))</f>
        <v/>
      </c>
    </row>
    <row r="2125">
      <c r="A2125" s="26" t="n"/>
      <c r="B2125" s="24" t="n"/>
      <c r="C2125" s="40">
        <f>IF(B2125="","",IFERROR(INDEX(Mitarbeiter!$B$6:$B$205,MATCH(B2125,Mitarbeiter!$A$6:$A$205,0)),"?"))</f>
        <v/>
      </c>
      <c r="D2125" s="41" t="n"/>
      <c r="E2125" s="42" t="n"/>
      <c r="F2125" s="43" t="n"/>
      <c r="G2125" s="44">
        <f>IF(OR(B2125="",F2125=""),"",IFERROR(F2125*INDEX(Mitarbeiter!$F$6:$F$205,MATCH(B2125,Mitarbeiter!$A$6:$A$205,0)),0))</f>
        <v/>
      </c>
      <c r="H2125" s="8">
        <f>IF(B2125="","",IF(ISNA(MATCH(B2125,Mitarbeiter!$A$6:$A$205,0)),"Pers.-Nr. unbekannt",IF(A2125="","Datum fehlt",IF(AND(D2125&lt;&gt;Einstellungen!$C$4,D2125&lt;&gt;Einstellungen!$C$5),"Objekt fehlt",IF(YEAR(A2125)&lt;&gt;Einstellungen!$C$3,"anderes Jahr",IF(A2125&lt;INDEX(Mitarbeiter!$C$6:$C$205,MATCH(B2125,Mitarbeiter!$A$6:$A$205,0)),"vor Eintritt",IF(AND(INDEX(Mitarbeiter!$D$6:$D$205,MATCH(B2125,Mitarbeiter!$A$6:$A$205,0))&lt;&gt;"",A2125&gt;INDEX(Mitarbeiter!$D$6:$D$205,MATCH(B2125,Mitarbeiter!$A$6:$A$205,0))),"nach Austritt","ok")))))))</f>
        <v/>
      </c>
    </row>
    <row r="2126">
      <c r="A2126" s="26" t="n"/>
      <c r="B2126" s="24" t="n"/>
      <c r="C2126" s="40">
        <f>IF(B2126="","",IFERROR(INDEX(Mitarbeiter!$B$6:$B$205,MATCH(B2126,Mitarbeiter!$A$6:$A$205,0)),"?"))</f>
        <v/>
      </c>
      <c r="D2126" s="41" t="n"/>
      <c r="E2126" s="42" t="n"/>
      <c r="F2126" s="43" t="n"/>
      <c r="G2126" s="44">
        <f>IF(OR(B2126="",F2126=""),"",IFERROR(F2126*INDEX(Mitarbeiter!$F$6:$F$205,MATCH(B2126,Mitarbeiter!$A$6:$A$205,0)),0))</f>
        <v/>
      </c>
      <c r="H2126" s="8">
        <f>IF(B2126="","",IF(ISNA(MATCH(B2126,Mitarbeiter!$A$6:$A$205,0)),"Pers.-Nr. unbekannt",IF(A2126="","Datum fehlt",IF(AND(D2126&lt;&gt;Einstellungen!$C$4,D2126&lt;&gt;Einstellungen!$C$5),"Objekt fehlt",IF(YEAR(A2126)&lt;&gt;Einstellungen!$C$3,"anderes Jahr",IF(A2126&lt;INDEX(Mitarbeiter!$C$6:$C$205,MATCH(B2126,Mitarbeiter!$A$6:$A$205,0)),"vor Eintritt",IF(AND(INDEX(Mitarbeiter!$D$6:$D$205,MATCH(B2126,Mitarbeiter!$A$6:$A$205,0))&lt;&gt;"",A2126&gt;INDEX(Mitarbeiter!$D$6:$D$205,MATCH(B2126,Mitarbeiter!$A$6:$A$205,0))),"nach Austritt","ok")))))))</f>
        <v/>
      </c>
    </row>
    <row r="2127">
      <c r="A2127" s="26" t="n"/>
      <c r="B2127" s="24" t="n"/>
      <c r="C2127" s="40">
        <f>IF(B2127="","",IFERROR(INDEX(Mitarbeiter!$B$6:$B$205,MATCH(B2127,Mitarbeiter!$A$6:$A$205,0)),"?"))</f>
        <v/>
      </c>
      <c r="D2127" s="41" t="n"/>
      <c r="E2127" s="42" t="n"/>
      <c r="F2127" s="43" t="n"/>
      <c r="G2127" s="44">
        <f>IF(OR(B2127="",F2127=""),"",IFERROR(F2127*INDEX(Mitarbeiter!$F$6:$F$205,MATCH(B2127,Mitarbeiter!$A$6:$A$205,0)),0))</f>
        <v/>
      </c>
      <c r="H2127" s="8">
        <f>IF(B2127="","",IF(ISNA(MATCH(B2127,Mitarbeiter!$A$6:$A$205,0)),"Pers.-Nr. unbekannt",IF(A2127="","Datum fehlt",IF(AND(D2127&lt;&gt;Einstellungen!$C$4,D2127&lt;&gt;Einstellungen!$C$5),"Objekt fehlt",IF(YEAR(A2127)&lt;&gt;Einstellungen!$C$3,"anderes Jahr",IF(A2127&lt;INDEX(Mitarbeiter!$C$6:$C$205,MATCH(B2127,Mitarbeiter!$A$6:$A$205,0)),"vor Eintritt",IF(AND(INDEX(Mitarbeiter!$D$6:$D$205,MATCH(B2127,Mitarbeiter!$A$6:$A$205,0))&lt;&gt;"",A2127&gt;INDEX(Mitarbeiter!$D$6:$D$205,MATCH(B2127,Mitarbeiter!$A$6:$A$205,0))),"nach Austritt","ok")))))))</f>
        <v/>
      </c>
    </row>
    <row r="2128">
      <c r="A2128" s="26" t="n"/>
      <c r="B2128" s="24" t="n"/>
      <c r="C2128" s="40">
        <f>IF(B2128="","",IFERROR(INDEX(Mitarbeiter!$B$6:$B$205,MATCH(B2128,Mitarbeiter!$A$6:$A$205,0)),"?"))</f>
        <v/>
      </c>
      <c r="D2128" s="41" t="n"/>
      <c r="E2128" s="42" t="n"/>
      <c r="F2128" s="43" t="n"/>
      <c r="G2128" s="44">
        <f>IF(OR(B2128="",F2128=""),"",IFERROR(F2128*INDEX(Mitarbeiter!$F$6:$F$205,MATCH(B2128,Mitarbeiter!$A$6:$A$205,0)),0))</f>
        <v/>
      </c>
      <c r="H2128" s="8">
        <f>IF(B2128="","",IF(ISNA(MATCH(B2128,Mitarbeiter!$A$6:$A$205,0)),"Pers.-Nr. unbekannt",IF(A2128="","Datum fehlt",IF(AND(D2128&lt;&gt;Einstellungen!$C$4,D2128&lt;&gt;Einstellungen!$C$5),"Objekt fehlt",IF(YEAR(A2128)&lt;&gt;Einstellungen!$C$3,"anderes Jahr",IF(A2128&lt;INDEX(Mitarbeiter!$C$6:$C$205,MATCH(B2128,Mitarbeiter!$A$6:$A$205,0)),"vor Eintritt",IF(AND(INDEX(Mitarbeiter!$D$6:$D$205,MATCH(B2128,Mitarbeiter!$A$6:$A$205,0))&lt;&gt;"",A2128&gt;INDEX(Mitarbeiter!$D$6:$D$205,MATCH(B2128,Mitarbeiter!$A$6:$A$205,0))),"nach Austritt","ok")))))))</f>
        <v/>
      </c>
    </row>
    <row r="2129">
      <c r="A2129" s="26" t="n"/>
      <c r="B2129" s="24" t="n"/>
      <c r="C2129" s="40">
        <f>IF(B2129="","",IFERROR(INDEX(Mitarbeiter!$B$6:$B$205,MATCH(B2129,Mitarbeiter!$A$6:$A$205,0)),"?"))</f>
        <v/>
      </c>
      <c r="D2129" s="41" t="n"/>
      <c r="E2129" s="42" t="n"/>
      <c r="F2129" s="43" t="n"/>
      <c r="G2129" s="44">
        <f>IF(OR(B2129="",F2129=""),"",IFERROR(F2129*INDEX(Mitarbeiter!$F$6:$F$205,MATCH(B2129,Mitarbeiter!$A$6:$A$205,0)),0))</f>
        <v/>
      </c>
      <c r="H2129" s="8">
        <f>IF(B2129="","",IF(ISNA(MATCH(B2129,Mitarbeiter!$A$6:$A$205,0)),"Pers.-Nr. unbekannt",IF(A2129="","Datum fehlt",IF(AND(D2129&lt;&gt;Einstellungen!$C$4,D2129&lt;&gt;Einstellungen!$C$5),"Objekt fehlt",IF(YEAR(A2129)&lt;&gt;Einstellungen!$C$3,"anderes Jahr",IF(A2129&lt;INDEX(Mitarbeiter!$C$6:$C$205,MATCH(B2129,Mitarbeiter!$A$6:$A$205,0)),"vor Eintritt",IF(AND(INDEX(Mitarbeiter!$D$6:$D$205,MATCH(B2129,Mitarbeiter!$A$6:$A$205,0))&lt;&gt;"",A2129&gt;INDEX(Mitarbeiter!$D$6:$D$205,MATCH(B2129,Mitarbeiter!$A$6:$A$205,0))),"nach Austritt","ok")))))))</f>
        <v/>
      </c>
    </row>
    <row r="2130">
      <c r="A2130" s="26" t="n"/>
      <c r="B2130" s="24" t="n"/>
      <c r="C2130" s="40">
        <f>IF(B2130="","",IFERROR(INDEX(Mitarbeiter!$B$6:$B$205,MATCH(B2130,Mitarbeiter!$A$6:$A$205,0)),"?"))</f>
        <v/>
      </c>
      <c r="D2130" s="41" t="n"/>
      <c r="E2130" s="42" t="n"/>
      <c r="F2130" s="43" t="n"/>
      <c r="G2130" s="44">
        <f>IF(OR(B2130="",F2130=""),"",IFERROR(F2130*INDEX(Mitarbeiter!$F$6:$F$205,MATCH(B2130,Mitarbeiter!$A$6:$A$205,0)),0))</f>
        <v/>
      </c>
      <c r="H2130" s="8">
        <f>IF(B2130="","",IF(ISNA(MATCH(B2130,Mitarbeiter!$A$6:$A$205,0)),"Pers.-Nr. unbekannt",IF(A2130="","Datum fehlt",IF(AND(D2130&lt;&gt;Einstellungen!$C$4,D2130&lt;&gt;Einstellungen!$C$5),"Objekt fehlt",IF(YEAR(A2130)&lt;&gt;Einstellungen!$C$3,"anderes Jahr",IF(A2130&lt;INDEX(Mitarbeiter!$C$6:$C$205,MATCH(B2130,Mitarbeiter!$A$6:$A$205,0)),"vor Eintritt",IF(AND(INDEX(Mitarbeiter!$D$6:$D$205,MATCH(B2130,Mitarbeiter!$A$6:$A$205,0))&lt;&gt;"",A2130&gt;INDEX(Mitarbeiter!$D$6:$D$205,MATCH(B2130,Mitarbeiter!$A$6:$A$205,0))),"nach Austritt","ok")))))))</f>
        <v/>
      </c>
    </row>
    <row r="2131">
      <c r="A2131" s="26" t="n"/>
      <c r="B2131" s="24" t="n"/>
      <c r="C2131" s="40">
        <f>IF(B2131="","",IFERROR(INDEX(Mitarbeiter!$B$6:$B$205,MATCH(B2131,Mitarbeiter!$A$6:$A$205,0)),"?"))</f>
        <v/>
      </c>
      <c r="D2131" s="41" t="n"/>
      <c r="E2131" s="42" t="n"/>
      <c r="F2131" s="43" t="n"/>
      <c r="G2131" s="44">
        <f>IF(OR(B2131="",F2131=""),"",IFERROR(F2131*INDEX(Mitarbeiter!$F$6:$F$205,MATCH(B2131,Mitarbeiter!$A$6:$A$205,0)),0))</f>
        <v/>
      </c>
      <c r="H2131" s="8">
        <f>IF(B2131="","",IF(ISNA(MATCH(B2131,Mitarbeiter!$A$6:$A$205,0)),"Pers.-Nr. unbekannt",IF(A2131="","Datum fehlt",IF(AND(D2131&lt;&gt;Einstellungen!$C$4,D2131&lt;&gt;Einstellungen!$C$5),"Objekt fehlt",IF(YEAR(A2131)&lt;&gt;Einstellungen!$C$3,"anderes Jahr",IF(A2131&lt;INDEX(Mitarbeiter!$C$6:$C$205,MATCH(B2131,Mitarbeiter!$A$6:$A$205,0)),"vor Eintritt",IF(AND(INDEX(Mitarbeiter!$D$6:$D$205,MATCH(B2131,Mitarbeiter!$A$6:$A$205,0))&lt;&gt;"",A2131&gt;INDEX(Mitarbeiter!$D$6:$D$205,MATCH(B2131,Mitarbeiter!$A$6:$A$205,0))),"nach Austritt","ok")))))))</f>
        <v/>
      </c>
    </row>
    <row r="2132">
      <c r="A2132" s="26" t="n"/>
      <c r="B2132" s="24" t="n"/>
      <c r="C2132" s="40">
        <f>IF(B2132="","",IFERROR(INDEX(Mitarbeiter!$B$6:$B$205,MATCH(B2132,Mitarbeiter!$A$6:$A$205,0)),"?"))</f>
        <v/>
      </c>
      <c r="D2132" s="41" t="n"/>
      <c r="E2132" s="42" t="n"/>
      <c r="F2132" s="43" t="n"/>
      <c r="G2132" s="44">
        <f>IF(OR(B2132="",F2132=""),"",IFERROR(F2132*INDEX(Mitarbeiter!$F$6:$F$205,MATCH(B2132,Mitarbeiter!$A$6:$A$205,0)),0))</f>
        <v/>
      </c>
      <c r="H2132" s="8">
        <f>IF(B2132="","",IF(ISNA(MATCH(B2132,Mitarbeiter!$A$6:$A$205,0)),"Pers.-Nr. unbekannt",IF(A2132="","Datum fehlt",IF(AND(D2132&lt;&gt;Einstellungen!$C$4,D2132&lt;&gt;Einstellungen!$C$5),"Objekt fehlt",IF(YEAR(A2132)&lt;&gt;Einstellungen!$C$3,"anderes Jahr",IF(A2132&lt;INDEX(Mitarbeiter!$C$6:$C$205,MATCH(B2132,Mitarbeiter!$A$6:$A$205,0)),"vor Eintritt",IF(AND(INDEX(Mitarbeiter!$D$6:$D$205,MATCH(B2132,Mitarbeiter!$A$6:$A$205,0))&lt;&gt;"",A2132&gt;INDEX(Mitarbeiter!$D$6:$D$205,MATCH(B2132,Mitarbeiter!$A$6:$A$205,0))),"nach Austritt","ok")))))))</f>
        <v/>
      </c>
    </row>
    <row r="2133">
      <c r="A2133" s="26" t="n"/>
      <c r="B2133" s="24" t="n"/>
      <c r="C2133" s="40">
        <f>IF(B2133="","",IFERROR(INDEX(Mitarbeiter!$B$6:$B$205,MATCH(B2133,Mitarbeiter!$A$6:$A$205,0)),"?"))</f>
        <v/>
      </c>
      <c r="D2133" s="41" t="n"/>
      <c r="E2133" s="42" t="n"/>
      <c r="F2133" s="43" t="n"/>
      <c r="G2133" s="44">
        <f>IF(OR(B2133="",F2133=""),"",IFERROR(F2133*INDEX(Mitarbeiter!$F$6:$F$205,MATCH(B2133,Mitarbeiter!$A$6:$A$205,0)),0))</f>
        <v/>
      </c>
      <c r="H2133" s="8">
        <f>IF(B2133="","",IF(ISNA(MATCH(B2133,Mitarbeiter!$A$6:$A$205,0)),"Pers.-Nr. unbekannt",IF(A2133="","Datum fehlt",IF(AND(D2133&lt;&gt;Einstellungen!$C$4,D2133&lt;&gt;Einstellungen!$C$5),"Objekt fehlt",IF(YEAR(A2133)&lt;&gt;Einstellungen!$C$3,"anderes Jahr",IF(A2133&lt;INDEX(Mitarbeiter!$C$6:$C$205,MATCH(B2133,Mitarbeiter!$A$6:$A$205,0)),"vor Eintritt",IF(AND(INDEX(Mitarbeiter!$D$6:$D$205,MATCH(B2133,Mitarbeiter!$A$6:$A$205,0))&lt;&gt;"",A2133&gt;INDEX(Mitarbeiter!$D$6:$D$205,MATCH(B2133,Mitarbeiter!$A$6:$A$205,0))),"nach Austritt","ok")))))))</f>
        <v/>
      </c>
    </row>
    <row r="2134">
      <c r="A2134" s="26" t="n"/>
      <c r="B2134" s="24" t="n"/>
      <c r="C2134" s="40">
        <f>IF(B2134="","",IFERROR(INDEX(Mitarbeiter!$B$6:$B$205,MATCH(B2134,Mitarbeiter!$A$6:$A$205,0)),"?"))</f>
        <v/>
      </c>
      <c r="D2134" s="41" t="n"/>
      <c r="E2134" s="42" t="n"/>
      <c r="F2134" s="43" t="n"/>
      <c r="G2134" s="44">
        <f>IF(OR(B2134="",F2134=""),"",IFERROR(F2134*INDEX(Mitarbeiter!$F$6:$F$205,MATCH(B2134,Mitarbeiter!$A$6:$A$205,0)),0))</f>
        <v/>
      </c>
      <c r="H2134" s="8">
        <f>IF(B2134="","",IF(ISNA(MATCH(B2134,Mitarbeiter!$A$6:$A$205,0)),"Pers.-Nr. unbekannt",IF(A2134="","Datum fehlt",IF(AND(D2134&lt;&gt;Einstellungen!$C$4,D2134&lt;&gt;Einstellungen!$C$5),"Objekt fehlt",IF(YEAR(A2134)&lt;&gt;Einstellungen!$C$3,"anderes Jahr",IF(A2134&lt;INDEX(Mitarbeiter!$C$6:$C$205,MATCH(B2134,Mitarbeiter!$A$6:$A$205,0)),"vor Eintritt",IF(AND(INDEX(Mitarbeiter!$D$6:$D$205,MATCH(B2134,Mitarbeiter!$A$6:$A$205,0))&lt;&gt;"",A2134&gt;INDEX(Mitarbeiter!$D$6:$D$205,MATCH(B2134,Mitarbeiter!$A$6:$A$205,0))),"nach Austritt","ok")))))))</f>
        <v/>
      </c>
    </row>
    <row r="2135">
      <c r="A2135" s="26" t="n"/>
      <c r="B2135" s="24" t="n"/>
      <c r="C2135" s="40">
        <f>IF(B2135="","",IFERROR(INDEX(Mitarbeiter!$B$6:$B$205,MATCH(B2135,Mitarbeiter!$A$6:$A$205,0)),"?"))</f>
        <v/>
      </c>
      <c r="D2135" s="41" t="n"/>
      <c r="E2135" s="42" t="n"/>
      <c r="F2135" s="43" t="n"/>
      <c r="G2135" s="44">
        <f>IF(OR(B2135="",F2135=""),"",IFERROR(F2135*INDEX(Mitarbeiter!$F$6:$F$205,MATCH(B2135,Mitarbeiter!$A$6:$A$205,0)),0))</f>
        <v/>
      </c>
      <c r="H2135" s="8">
        <f>IF(B2135="","",IF(ISNA(MATCH(B2135,Mitarbeiter!$A$6:$A$205,0)),"Pers.-Nr. unbekannt",IF(A2135="","Datum fehlt",IF(AND(D2135&lt;&gt;Einstellungen!$C$4,D2135&lt;&gt;Einstellungen!$C$5),"Objekt fehlt",IF(YEAR(A2135)&lt;&gt;Einstellungen!$C$3,"anderes Jahr",IF(A2135&lt;INDEX(Mitarbeiter!$C$6:$C$205,MATCH(B2135,Mitarbeiter!$A$6:$A$205,0)),"vor Eintritt",IF(AND(INDEX(Mitarbeiter!$D$6:$D$205,MATCH(B2135,Mitarbeiter!$A$6:$A$205,0))&lt;&gt;"",A2135&gt;INDEX(Mitarbeiter!$D$6:$D$205,MATCH(B2135,Mitarbeiter!$A$6:$A$205,0))),"nach Austritt","ok")))))))</f>
        <v/>
      </c>
    </row>
    <row r="2136">
      <c r="A2136" s="26" t="n"/>
      <c r="B2136" s="24" t="n"/>
      <c r="C2136" s="40">
        <f>IF(B2136="","",IFERROR(INDEX(Mitarbeiter!$B$6:$B$205,MATCH(B2136,Mitarbeiter!$A$6:$A$205,0)),"?"))</f>
        <v/>
      </c>
      <c r="D2136" s="41" t="n"/>
      <c r="E2136" s="42" t="n"/>
      <c r="F2136" s="43" t="n"/>
      <c r="G2136" s="44">
        <f>IF(OR(B2136="",F2136=""),"",IFERROR(F2136*INDEX(Mitarbeiter!$F$6:$F$205,MATCH(B2136,Mitarbeiter!$A$6:$A$205,0)),0))</f>
        <v/>
      </c>
      <c r="H2136" s="8">
        <f>IF(B2136="","",IF(ISNA(MATCH(B2136,Mitarbeiter!$A$6:$A$205,0)),"Pers.-Nr. unbekannt",IF(A2136="","Datum fehlt",IF(AND(D2136&lt;&gt;Einstellungen!$C$4,D2136&lt;&gt;Einstellungen!$C$5),"Objekt fehlt",IF(YEAR(A2136)&lt;&gt;Einstellungen!$C$3,"anderes Jahr",IF(A2136&lt;INDEX(Mitarbeiter!$C$6:$C$205,MATCH(B2136,Mitarbeiter!$A$6:$A$205,0)),"vor Eintritt",IF(AND(INDEX(Mitarbeiter!$D$6:$D$205,MATCH(B2136,Mitarbeiter!$A$6:$A$205,0))&lt;&gt;"",A2136&gt;INDEX(Mitarbeiter!$D$6:$D$205,MATCH(B2136,Mitarbeiter!$A$6:$A$205,0))),"nach Austritt","ok")))))))</f>
        <v/>
      </c>
    </row>
    <row r="2137">
      <c r="A2137" s="26" t="n"/>
      <c r="B2137" s="24" t="n"/>
      <c r="C2137" s="40">
        <f>IF(B2137="","",IFERROR(INDEX(Mitarbeiter!$B$6:$B$205,MATCH(B2137,Mitarbeiter!$A$6:$A$205,0)),"?"))</f>
        <v/>
      </c>
      <c r="D2137" s="41" t="n"/>
      <c r="E2137" s="42" t="n"/>
      <c r="F2137" s="43" t="n"/>
      <c r="G2137" s="44">
        <f>IF(OR(B2137="",F2137=""),"",IFERROR(F2137*INDEX(Mitarbeiter!$F$6:$F$205,MATCH(B2137,Mitarbeiter!$A$6:$A$205,0)),0))</f>
        <v/>
      </c>
      <c r="H2137" s="8">
        <f>IF(B2137="","",IF(ISNA(MATCH(B2137,Mitarbeiter!$A$6:$A$205,0)),"Pers.-Nr. unbekannt",IF(A2137="","Datum fehlt",IF(AND(D2137&lt;&gt;Einstellungen!$C$4,D2137&lt;&gt;Einstellungen!$C$5),"Objekt fehlt",IF(YEAR(A2137)&lt;&gt;Einstellungen!$C$3,"anderes Jahr",IF(A2137&lt;INDEX(Mitarbeiter!$C$6:$C$205,MATCH(B2137,Mitarbeiter!$A$6:$A$205,0)),"vor Eintritt",IF(AND(INDEX(Mitarbeiter!$D$6:$D$205,MATCH(B2137,Mitarbeiter!$A$6:$A$205,0))&lt;&gt;"",A2137&gt;INDEX(Mitarbeiter!$D$6:$D$205,MATCH(B2137,Mitarbeiter!$A$6:$A$205,0))),"nach Austritt","ok")))))))</f>
        <v/>
      </c>
    </row>
    <row r="2138">
      <c r="A2138" s="26" t="n"/>
      <c r="B2138" s="24" t="n"/>
      <c r="C2138" s="40">
        <f>IF(B2138="","",IFERROR(INDEX(Mitarbeiter!$B$6:$B$205,MATCH(B2138,Mitarbeiter!$A$6:$A$205,0)),"?"))</f>
        <v/>
      </c>
      <c r="D2138" s="41" t="n"/>
      <c r="E2138" s="42" t="n"/>
      <c r="F2138" s="43" t="n"/>
      <c r="G2138" s="44">
        <f>IF(OR(B2138="",F2138=""),"",IFERROR(F2138*INDEX(Mitarbeiter!$F$6:$F$205,MATCH(B2138,Mitarbeiter!$A$6:$A$205,0)),0))</f>
        <v/>
      </c>
      <c r="H2138" s="8">
        <f>IF(B2138="","",IF(ISNA(MATCH(B2138,Mitarbeiter!$A$6:$A$205,0)),"Pers.-Nr. unbekannt",IF(A2138="","Datum fehlt",IF(AND(D2138&lt;&gt;Einstellungen!$C$4,D2138&lt;&gt;Einstellungen!$C$5),"Objekt fehlt",IF(YEAR(A2138)&lt;&gt;Einstellungen!$C$3,"anderes Jahr",IF(A2138&lt;INDEX(Mitarbeiter!$C$6:$C$205,MATCH(B2138,Mitarbeiter!$A$6:$A$205,0)),"vor Eintritt",IF(AND(INDEX(Mitarbeiter!$D$6:$D$205,MATCH(B2138,Mitarbeiter!$A$6:$A$205,0))&lt;&gt;"",A2138&gt;INDEX(Mitarbeiter!$D$6:$D$205,MATCH(B2138,Mitarbeiter!$A$6:$A$205,0))),"nach Austritt","ok")))))))</f>
        <v/>
      </c>
    </row>
    <row r="2139">
      <c r="A2139" s="26" t="n"/>
      <c r="B2139" s="24" t="n"/>
      <c r="C2139" s="40">
        <f>IF(B2139="","",IFERROR(INDEX(Mitarbeiter!$B$6:$B$205,MATCH(B2139,Mitarbeiter!$A$6:$A$205,0)),"?"))</f>
        <v/>
      </c>
      <c r="D2139" s="41" t="n"/>
      <c r="E2139" s="42" t="n"/>
      <c r="F2139" s="43" t="n"/>
      <c r="G2139" s="44">
        <f>IF(OR(B2139="",F2139=""),"",IFERROR(F2139*INDEX(Mitarbeiter!$F$6:$F$205,MATCH(B2139,Mitarbeiter!$A$6:$A$205,0)),0))</f>
        <v/>
      </c>
      <c r="H2139" s="8">
        <f>IF(B2139="","",IF(ISNA(MATCH(B2139,Mitarbeiter!$A$6:$A$205,0)),"Pers.-Nr. unbekannt",IF(A2139="","Datum fehlt",IF(AND(D2139&lt;&gt;Einstellungen!$C$4,D2139&lt;&gt;Einstellungen!$C$5),"Objekt fehlt",IF(YEAR(A2139)&lt;&gt;Einstellungen!$C$3,"anderes Jahr",IF(A2139&lt;INDEX(Mitarbeiter!$C$6:$C$205,MATCH(B2139,Mitarbeiter!$A$6:$A$205,0)),"vor Eintritt",IF(AND(INDEX(Mitarbeiter!$D$6:$D$205,MATCH(B2139,Mitarbeiter!$A$6:$A$205,0))&lt;&gt;"",A2139&gt;INDEX(Mitarbeiter!$D$6:$D$205,MATCH(B2139,Mitarbeiter!$A$6:$A$205,0))),"nach Austritt","ok")))))))</f>
        <v/>
      </c>
    </row>
    <row r="2140">
      <c r="A2140" s="26" t="n"/>
      <c r="B2140" s="24" t="n"/>
      <c r="C2140" s="40">
        <f>IF(B2140="","",IFERROR(INDEX(Mitarbeiter!$B$6:$B$205,MATCH(B2140,Mitarbeiter!$A$6:$A$205,0)),"?"))</f>
        <v/>
      </c>
      <c r="D2140" s="41" t="n"/>
      <c r="E2140" s="42" t="n"/>
      <c r="F2140" s="43" t="n"/>
      <c r="G2140" s="44">
        <f>IF(OR(B2140="",F2140=""),"",IFERROR(F2140*INDEX(Mitarbeiter!$F$6:$F$205,MATCH(B2140,Mitarbeiter!$A$6:$A$205,0)),0))</f>
        <v/>
      </c>
      <c r="H2140" s="8">
        <f>IF(B2140="","",IF(ISNA(MATCH(B2140,Mitarbeiter!$A$6:$A$205,0)),"Pers.-Nr. unbekannt",IF(A2140="","Datum fehlt",IF(AND(D2140&lt;&gt;Einstellungen!$C$4,D2140&lt;&gt;Einstellungen!$C$5),"Objekt fehlt",IF(YEAR(A2140)&lt;&gt;Einstellungen!$C$3,"anderes Jahr",IF(A2140&lt;INDEX(Mitarbeiter!$C$6:$C$205,MATCH(B2140,Mitarbeiter!$A$6:$A$205,0)),"vor Eintritt",IF(AND(INDEX(Mitarbeiter!$D$6:$D$205,MATCH(B2140,Mitarbeiter!$A$6:$A$205,0))&lt;&gt;"",A2140&gt;INDEX(Mitarbeiter!$D$6:$D$205,MATCH(B2140,Mitarbeiter!$A$6:$A$205,0))),"nach Austritt","ok")))))))</f>
        <v/>
      </c>
    </row>
    <row r="2141">
      <c r="A2141" s="26" t="n"/>
      <c r="B2141" s="24" t="n"/>
      <c r="C2141" s="40">
        <f>IF(B2141="","",IFERROR(INDEX(Mitarbeiter!$B$6:$B$205,MATCH(B2141,Mitarbeiter!$A$6:$A$205,0)),"?"))</f>
        <v/>
      </c>
      <c r="D2141" s="41" t="n"/>
      <c r="E2141" s="42" t="n"/>
      <c r="F2141" s="43" t="n"/>
      <c r="G2141" s="44">
        <f>IF(OR(B2141="",F2141=""),"",IFERROR(F2141*INDEX(Mitarbeiter!$F$6:$F$205,MATCH(B2141,Mitarbeiter!$A$6:$A$205,0)),0))</f>
        <v/>
      </c>
      <c r="H2141" s="8">
        <f>IF(B2141="","",IF(ISNA(MATCH(B2141,Mitarbeiter!$A$6:$A$205,0)),"Pers.-Nr. unbekannt",IF(A2141="","Datum fehlt",IF(AND(D2141&lt;&gt;Einstellungen!$C$4,D2141&lt;&gt;Einstellungen!$C$5),"Objekt fehlt",IF(YEAR(A2141)&lt;&gt;Einstellungen!$C$3,"anderes Jahr",IF(A2141&lt;INDEX(Mitarbeiter!$C$6:$C$205,MATCH(B2141,Mitarbeiter!$A$6:$A$205,0)),"vor Eintritt",IF(AND(INDEX(Mitarbeiter!$D$6:$D$205,MATCH(B2141,Mitarbeiter!$A$6:$A$205,0))&lt;&gt;"",A2141&gt;INDEX(Mitarbeiter!$D$6:$D$205,MATCH(B2141,Mitarbeiter!$A$6:$A$205,0))),"nach Austritt","ok")))))))</f>
        <v/>
      </c>
    </row>
    <row r="2142">
      <c r="A2142" s="26" t="n"/>
      <c r="B2142" s="24" t="n"/>
      <c r="C2142" s="40">
        <f>IF(B2142="","",IFERROR(INDEX(Mitarbeiter!$B$6:$B$205,MATCH(B2142,Mitarbeiter!$A$6:$A$205,0)),"?"))</f>
        <v/>
      </c>
      <c r="D2142" s="41" t="n"/>
      <c r="E2142" s="42" t="n"/>
      <c r="F2142" s="43" t="n"/>
      <c r="G2142" s="44">
        <f>IF(OR(B2142="",F2142=""),"",IFERROR(F2142*INDEX(Mitarbeiter!$F$6:$F$205,MATCH(B2142,Mitarbeiter!$A$6:$A$205,0)),0))</f>
        <v/>
      </c>
      <c r="H2142" s="8">
        <f>IF(B2142="","",IF(ISNA(MATCH(B2142,Mitarbeiter!$A$6:$A$205,0)),"Pers.-Nr. unbekannt",IF(A2142="","Datum fehlt",IF(AND(D2142&lt;&gt;Einstellungen!$C$4,D2142&lt;&gt;Einstellungen!$C$5),"Objekt fehlt",IF(YEAR(A2142)&lt;&gt;Einstellungen!$C$3,"anderes Jahr",IF(A2142&lt;INDEX(Mitarbeiter!$C$6:$C$205,MATCH(B2142,Mitarbeiter!$A$6:$A$205,0)),"vor Eintritt",IF(AND(INDEX(Mitarbeiter!$D$6:$D$205,MATCH(B2142,Mitarbeiter!$A$6:$A$205,0))&lt;&gt;"",A2142&gt;INDEX(Mitarbeiter!$D$6:$D$205,MATCH(B2142,Mitarbeiter!$A$6:$A$205,0))),"nach Austritt","ok")))))))</f>
        <v/>
      </c>
    </row>
    <row r="2143">
      <c r="A2143" s="26" t="n"/>
      <c r="B2143" s="24" t="n"/>
      <c r="C2143" s="40">
        <f>IF(B2143="","",IFERROR(INDEX(Mitarbeiter!$B$6:$B$205,MATCH(B2143,Mitarbeiter!$A$6:$A$205,0)),"?"))</f>
        <v/>
      </c>
      <c r="D2143" s="41" t="n"/>
      <c r="E2143" s="42" t="n"/>
      <c r="F2143" s="43" t="n"/>
      <c r="G2143" s="44">
        <f>IF(OR(B2143="",F2143=""),"",IFERROR(F2143*INDEX(Mitarbeiter!$F$6:$F$205,MATCH(B2143,Mitarbeiter!$A$6:$A$205,0)),0))</f>
        <v/>
      </c>
      <c r="H2143" s="8">
        <f>IF(B2143="","",IF(ISNA(MATCH(B2143,Mitarbeiter!$A$6:$A$205,0)),"Pers.-Nr. unbekannt",IF(A2143="","Datum fehlt",IF(AND(D2143&lt;&gt;Einstellungen!$C$4,D2143&lt;&gt;Einstellungen!$C$5),"Objekt fehlt",IF(YEAR(A2143)&lt;&gt;Einstellungen!$C$3,"anderes Jahr",IF(A2143&lt;INDEX(Mitarbeiter!$C$6:$C$205,MATCH(B2143,Mitarbeiter!$A$6:$A$205,0)),"vor Eintritt",IF(AND(INDEX(Mitarbeiter!$D$6:$D$205,MATCH(B2143,Mitarbeiter!$A$6:$A$205,0))&lt;&gt;"",A2143&gt;INDEX(Mitarbeiter!$D$6:$D$205,MATCH(B2143,Mitarbeiter!$A$6:$A$205,0))),"nach Austritt","ok")))))))</f>
        <v/>
      </c>
    </row>
    <row r="2144">
      <c r="A2144" s="26" t="n"/>
      <c r="B2144" s="24" t="n"/>
      <c r="C2144" s="40">
        <f>IF(B2144="","",IFERROR(INDEX(Mitarbeiter!$B$6:$B$205,MATCH(B2144,Mitarbeiter!$A$6:$A$205,0)),"?"))</f>
        <v/>
      </c>
      <c r="D2144" s="41" t="n"/>
      <c r="E2144" s="42" t="n"/>
      <c r="F2144" s="43" t="n"/>
      <c r="G2144" s="44">
        <f>IF(OR(B2144="",F2144=""),"",IFERROR(F2144*INDEX(Mitarbeiter!$F$6:$F$205,MATCH(B2144,Mitarbeiter!$A$6:$A$205,0)),0))</f>
        <v/>
      </c>
      <c r="H2144" s="8">
        <f>IF(B2144="","",IF(ISNA(MATCH(B2144,Mitarbeiter!$A$6:$A$205,0)),"Pers.-Nr. unbekannt",IF(A2144="","Datum fehlt",IF(AND(D2144&lt;&gt;Einstellungen!$C$4,D2144&lt;&gt;Einstellungen!$C$5),"Objekt fehlt",IF(YEAR(A2144)&lt;&gt;Einstellungen!$C$3,"anderes Jahr",IF(A2144&lt;INDEX(Mitarbeiter!$C$6:$C$205,MATCH(B2144,Mitarbeiter!$A$6:$A$205,0)),"vor Eintritt",IF(AND(INDEX(Mitarbeiter!$D$6:$D$205,MATCH(B2144,Mitarbeiter!$A$6:$A$205,0))&lt;&gt;"",A2144&gt;INDEX(Mitarbeiter!$D$6:$D$205,MATCH(B2144,Mitarbeiter!$A$6:$A$205,0))),"nach Austritt","ok")))))))</f>
        <v/>
      </c>
    </row>
    <row r="2145">
      <c r="A2145" s="26" t="n"/>
      <c r="B2145" s="24" t="n"/>
      <c r="C2145" s="40">
        <f>IF(B2145="","",IFERROR(INDEX(Mitarbeiter!$B$6:$B$205,MATCH(B2145,Mitarbeiter!$A$6:$A$205,0)),"?"))</f>
        <v/>
      </c>
      <c r="D2145" s="41" t="n"/>
      <c r="E2145" s="42" t="n"/>
      <c r="F2145" s="43" t="n"/>
      <c r="G2145" s="44">
        <f>IF(OR(B2145="",F2145=""),"",IFERROR(F2145*INDEX(Mitarbeiter!$F$6:$F$205,MATCH(B2145,Mitarbeiter!$A$6:$A$205,0)),0))</f>
        <v/>
      </c>
      <c r="H2145" s="8">
        <f>IF(B2145="","",IF(ISNA(MATCH(B2145,Mitarbeiter!$A$6:$A$205,0)),"Pers.-Nr. unbekannt",IF(A2145="","Datum fehlt",IF(AND(D2145&lt;&gt;Einstellungen!$C$4,D2145&lt;&gt;Einstellungen!$C$5),"Objekt fehlt",IF(YEAR(A2145)&lt;&gt;Einstellungen!$C$3,"anderes Jahr",IF(A2145&lt;INDEX(Mitarbeiter!$C$6:$C$205,MATCH(B2145,Mitarbeiter!$A$6:$A$205,0)),"vor Eintritt",IF(AND(INDEX(Mitarbeiter!$D$6:$D$205,MATCH(B2145,Mitarbeiter!$A$6:$A$205,0))&lt;&gt;"",A2145&gt;INDEX(Mitarbeiter!$D$6:$D$205,MATCH(B2145,Mitarbeiter!$A$6:$A$205,0))),"nach Austritt","ok")))))))</f>
        <v/>
      </c>
    </row>
    <row r="2146">
      <c r="A2146" s="26" t="n"/>
      <c r="B2146" s="24" t="n"/>
      <c r="C2146" s="40">
        <f>IF(B2146="","",IFERROR(INDEX(Mitarbeiter!$B$6:$B$205,MATCH(B2146,Mitarbeiter!$A$6:$A$205,0)),"?"))</f>
        <v/>
      </c>
      <c r="D2146" s="41" t="n"/>
      <c r="E2146" s="42" t="n"/>
      <c r="F2146" s="43" t="n"/>
      <c r="G2146" s="44">
        <f>IF(OR(B2146="",F2146=""),"",IFERROR(F2146*INDEX(Mitarbeiter!$F$6:$F$205,MATCH(B2146,Mitarbeiter!$A$6:$A$205,0)),0))</f>
        <v/>
      </c>
      <c r="H2146" s="8">
        <f>IF(B2146="","",IF(ISNA(MATCH(B2146,Mitarbeiter!$A$6:$A$205,0)),"Pers.-Nr. unbekannt",IF(A2146="","Datum fehlt",IF(AND(D2146&lt;&gt;Einstellungen!$C$4,D2146&lt;&gt;Einstellungen!$C$5),"Objekt fehlt",IF(YEAR(A2146)&lt;&gt;Einstellungen!$C$3,"anderes Jahr",IF(A2146&lt;INDEX(Mitarbeiter!$C$6:$C$205,MATCH(B2146,Mitarbeiter!$A$6:$A$205,0)),"vor Eintritt",IF(AND(INDEX(Mitarbeiter!$D$6:$D$205,MATCH(B2146,Mitarbeiter!$A$6:$A$205,0))&lt;&gt;"",A2146&gt;INDEX(Mitarbeiter!$D$6:$D$205,MATCH(B2146,Mitarbeiter!$A$6:$A$205,0))),"nach Austritt","ok")))))))</f>
        <v/>
      </c>
    </row>
    <row r="2147">
      <c r="A2147" s="26" t="n"/>
      <c r="B2147" s="24" t="n"/>
      <c r="C2147" s="40">
        <f>IF(B2147="","",IFERROR(INDEX(Mitarbeiter!$B$6:$B$205,MATCH(B2147,Mitarbeiter!$A$6:$A$205,0)),"?"))</f>
        <v/>
      </c>
      <c r="D2147" s="41" t="n"/>
      <c r="E2147" s="42" t="n"/>
      <c r="F2147" s="43" t="n"/>
      <c r="G2147" s="44">
        <f>IF(OR(B2147="",F2147=""),"",IFERROR(F2147*INDEX(Mitarbeiter!$F$6:$F$205,MATCH(B2147,Mitarbeiter!$A$6:$A$205,0)),0))</f>
        <v/>
      </c>
      <c r="H2147" s="8">
        <f>IF(B2147="","",IF(ISNA(MATCH(B2147,Mitarbeiter!$A$6:$A$205,0)),"Pers.-Nr. unbekannt",IF(A2147="","Datum fehlt",IF(AND(D2147&lt;&gt;Einstellungen!$C$4,D2147&lt;&gt;Einstellungen!$C$5),"Objekt fehlt",IF(YEAR(A2147)&lt;&gt;Einstellungen!$C$3,"anderes Jahr",IF(A2147&lt;INDEX(Mitarbeiter!$C$6:$C$205,MATCH(B2147,Mitarbeiter!$A$6:$A$205,0)),"vor Eintritt",IF(AND(INDEX(Mitarbeiter!$D$6:$D$205,MATCH(B2147,Mitarbeiter!$A$6:$A$205,0))&lt;&gt;"",A2147&gt;INDEX(Mitarbeiter!$D$6:$D$205,MATCH(B2147,Mitarbeiter!$A$6:$A$205,0))),"nach Austritt","ok")))))))</f>
        <v/>
      </c>
    </row>
    <row r="2148">
      <c r="A2148" s="26" t="n"/>
      <c r="B2148" s="24" t="n"/>
      <c r="C2148" s="40">
        <f>IF(B2148="","",IFERROR(INDEX(Mitarbeiter!$B$6:$B$205,MATCH(B2148,Mitarbeiter!$A$6:$A$205,0)),"?"))</f>
        <v/>
      </c>
      <c r="D2148" s="41" t="n"/>
      <c r="E2148" s="42" t="n"/>
      <c r="F2148" s="43" t="n"/>
      <c r="G2148" s="44">
        <f>IF(OR(B2148="",F2148=""),"",IFERROR(F2148*INDEX(Mitarbeiter!$F$6:$F$205,MATCH(B2148,Mitarbeiter!$A$6:$A$205,0)),0))</f>
        <v/>
      </c>
      <c r="H2148" s="8">
        <f>IF(B2148="","",IF(ISNA(MATCH(B2148,Mitarbeiter!$A$6:$A$205,0)),"Pers.-Nr. unbekannt",IF(A2148="","Datum fehlt",IF(AND(D2148&lt;&gt;Einstellungen!$C$4,D2148&lt;&gt;Einstellungen!$C$5),"Objekt fehlt",IF(YEAR(A2148)&lt;&gt;Einstellungen!$C$3,"anderes Jahr",IF(A2148&lt;INDEX(Mitarbeiter!$C$6:$C$205,MATCH(B2148,Mitarbeiter!$A$6:$A$205,0)),"vor Eintritt",IF(AND(INDEX(Mitarbeiter!$D$6:$D$205,MATCH(B2148,Mitarbeiter!$A$6:$A$205,0))&lt;&gt;"",A2148&gt;INDEX(Mitarbeiter!$D$6:$D$205,MATCH(B2148,Mitarbeiter!$A$6:$A$205,0))),"nach Austritt","ok")))))))</f>
        <v/>
      </c>
    </row>
    <row r="2149">
      <c r="A2149" s="26" t="n"/>
      <c r="B2149" s="24" t="n"/>
      <c r="C2149" s="40">
        <f>IF(B2149="","",IFERROR(INDEX(Mitarbeiter!$B$6:$B$205,MATCH(B2149,Mitarbeiter!$A$6:$A$205,0)),"?"))</f>
        <v/>
      </c>
      <c r="D2149" s="41" t="n"/>
      <c r="E2149" s="42" t="n"/>
      <c r="F2149" s="43" t="n"/>
      <c r="G2149" s="44">
        <f>IF(OR(B2149="",F2149=""),"",IFERROR(F2149*INDEX(Mitarbeiter!$F$6:$F$205,MATCH(B2149,Mitarbeiter!$A$6:$A$205,0)),0))</f>
        <v/>
      </c>
      <c r="H2149" s="8">
        <f>IF(B2149="","",IF(ISNA(MATCH(B2149,Mitarbeiter!$A$6:$A$205,0)),"Pers.-Nr. unbekannt",IF(A2149="","Datum fehlt",IF(AND(D2149&lt;&gt;Einstellungen!$C$4,D2149&lt;&gt;Einstellungen!$C$5),"Objekt fehlt",IF(YEAR(A2149)&lt;&gt;Einstellungen!$C$3,"anderes Jahr",IF(A2149&lt;INDEX(Mitarbeiter!$C$6:$C$205,MATCH(B2149,Mitarbeiter!$A$6:$A$205,0)),"vor Eintritt",IF(AND(INDEX(Mitarbeiter!$D$6:$D$205,MATCH(B2149,Mitarbeiter!$A$6:$A$205,0))&lt;&gt;"",A2149&gt;INDEX(Mitarbeiter!$D$6:$D$205,MATCH(B2149,Mitarbeiter!$A$6:$A$205,0))),"nach Austritt","ok")))))))</f>
        <v/>
      </c>
    </row>
    <row r="2150">
      <c r="A2150" s="26" t="n"/>
      <c r="B2150" s="24" t="n"/>
      <c r="C2150" s="40">
        <f>IF(B2150="","",IFERROR(INDEX(Mitarbeiter!$B$6:$B$205,MATCH(B2150,Mitarbeiter!$A$6:$A$205,0)),"?"))</f>
        <v/>
      </c>
      <c r="D2150" s="41" t="n"/>
      <c r="E2150" s="42" t="n"/>
      <c r="F2150" s="43" t="n"/>
      <c r="G2150" s="44">
        <f>IF(OR(B2150="",F2150=""),"",IFERROR(F2150*INDEX(Mitarbeiter!$F$6:$F$205,MATCH(B2150,Mitarbeiter!$A$6:$A$205,0)),0))</f>
        <v/>
      </c>
      <c r="H2150" s="8">
        <f>IF(B2150="","",IF(ISNA(MATCH(B2150,Mitarbeiter!$A$6:$A$205,0)),"Pers.-Nr. unbekannt",IF(A2150="","Datum fehlt",IF(AND(D2150&lt;&gt;Einstellungen!$C$4,D2150&lt;&gt;Einstellungen!$C$5),"Objekt fehlt",IF(YEAR(A2150)&lt;&gt;Einstellungen!$C$3,"anderes Jahr",IF(A2150&lt;INDEX(Mitarbeiter!$C$6:$C$205,MATCH(B2150,Mitarbeiter!$A$6:$A$205,0)),"vor Eintritt",IF(AND(INDEX(Mitarbeiter!$D$6:$D$205,MATCH(B2150,Mitarbeiter!$A$6:$A$205,0))&lt;&gt;"",A2150&gt;INDEX(Mitarbeiter!$D$6:$D$205,MATCH(B2150,Mitarbeiter!$A$6:$A$205,0))),"nach Austritt","ok")))))))</f>
        <v/>
      </c>
    </row>
    <row r="2151">
      <c r="A2151" s="26" t="n"/>
      <c r="B2151" s="24" t="n"/>
      <c r="C2151" s="40">
        <f>IF(B2151="","",IFERROR(INDEX(Mitarbeiter!$B$6:$B$205,MATCH(B2151,Mitarbeiter!$A$6:$A$205,0)),"?"))</f>
        <v/>
      </c>
      <c r="D2151" s="41" t="n"/>
      <c r="E2151" s="42" t="n"/>
      <c r="F2151" s="43" t="n"/>
      <c r="G2151" s="44">
        <f>IF(OR(B2151="",F2151=""),"",IFERROR(F2151*INDEX(Mitarbeiter!$F$6:$F$205,MATCH(B2151,Mitarbeiter!$A$6:$A$205,0)),0))</f>
        <v/>
      </c>
      <c r="H2151" s="8">
        <f>IF(B2151="","",IF(ISNA(MATCH(B2151,Mitarbeiter!$A$6:$A$205,0)),"Pers.-Nr. unbekannt",IF(A2151="","Datum fehlt",IF(AND(D2151&lt;&gt;Einstellungen!$C$4,D2151&lt;&gt;Einstellungen!$C$5),"Objekt fehlt",IF(YEAR(A2151)&lt;&gt;Einstellungen!$C$3,"anderes Jahr",IF(A2151&lt;INDEX(Mitarbeiter!$C$6:$C$205,MATCH(B2151,Mitarbeiter!$A$6:$A$205,0)),"vor Eintritt",IF(AND(INDEX(Mitarbeiter!$D$6:$D$205,MATCH(B2151,Mitarbeiter!$A$6:$A$205,0))&lt;&gt;"",A2151&gt;INDEX(Mitarbeiter!$D$6:$D$205,MATCH(B2151,Mitarbeiter!$A$6:$A$205,0))),"nach Austritt","ok")))))))</f>
        <v/>
      </c>
    </row>
    <row r="2152">
      <c r="A2152" s="26" t="n"/>
      <c r="B2152" s="24" t="n"/>
      <c r="C2152" s="40">
        <f>IF(B2152="","",IFERROR(INDEX(Mitarbeiter!$B$6:$B$205,MATCH(B2152,Mitarbeiter!$A$6:$A$205,0)),"?"))</f>
        <v/>
      </c>
      <c r="D2152" s="41" t="n"/>
      <c r="E2152" s="42" t="n"/>
      <c r="F2152" s="43" t="n"/>
      <c r="G2152" s="44">
        <f>IF(OR(B2152="",F2152=""),"",IFERROR(F2152*INDEX(Mitarbeiter!$F$6:$F$205,MATCH(B2152,Mitarbeiter!$A$6:$A$205,0)),0))</f>
        <v/>
      </c>
      <c r="H2152" s="8">
        <f>IF(B2152="","",IF(ISNA(MATCH(B2152,Mitarbeiter!$A$6:$A$205,0)),"Pers.-Nr. unbekannt",IF(A2152="","Datum fehlt",IF(AND(D2152&lt;&gt;Einstellungen!$C$4,D2152&lt;&gt;Einstellungen!$C$5),"Objekt fehlt",IF(YEAR(A2152)&lt;&gt;Einstellungen!$C$3,"anderes Jahr",IF(A2152&lt;INDEX(Mitarbeiter!$C$6:$C$205,MATCH(B2152,Mitarbeiter!$A$6:$A$205,0)),"vor Eintritt",IF(AND(INDEX(Mitarbeiter!$D$6:$D$205,MATCH(B2152,Mitarbeiter!$A$6:$A$205,0))&lt;&gt;"",A2152&gt;INDEX(Mitarbeiter!$D$6:$D$205,MATCH(B2152,Mitarbeiter!$A$6:$A$205,0))),"nach Austritt","ok")))))))</f>
        <v/>
      </c>
    </row>
    <row r="2153">
      <c r="A2153" s="26" t="n"/>
      <c r="B2153" s="24" t="n"/>
      <c r="C2153" s="40">
        <f>IF(B2153="","",IFERROR(INDEX(Mitarbeiter!$B$6:$B$205,MATCH(B2153,Mitarbeiter!$A$6:$A$205,0)),"?"))</f>
        <v/>
      </c>
      <c r="D2153" s="41" t="n"/>
      <c r="E2153" s="42" t="n"/>
      <c r="F2153" s="43" t="n"/>
      <c r="G2153" s="44">
        <f>IF(OR(B2153="",F2153=""),"",IFERROR(F2153*INDEX(Mitarbeiter!$F$6:$F$205,MATCH(B2153,Mitarbeiter!$A$6:$A$205,0)),0))</f>
        <v/>
      </c>
      <c r="H2153" s="8">
        <f>IF(B2153="","",IF(ISNA(MATCH(B2153,Mitarbeiter!$A$6:$A$205,0)),"Pers.-Nr. unbekannt",IF(A2153="","Datum fehlt",IF(AND(D2153&lt;&gt;Einstellungen!$C$4,D2153&lt;&gt;Einstellungen!$C$5),"Objekt fehlt",IF(YEAR(A2153)&lt;&gt;Einstellungen!$C$3,"anderes Jahr",IF(A2153&lt;INDEX(Mitarbeiter!$C$6:$C$205,MATCH(B2153,Mitarbeiter!$A$6:$A$205,0)),"vor Eintritt",IF(AND(INDEX(Mitarbeiter!$D$6:$D$205,MATCH(B2153,Mitarbeiter!$A$6:$A$205,0))&lt;&gt;"",A2153&gt;INDEX(Mitarbeiter!$D$6:$D$205,MATCH(B2153,Mitarbeiter!$A$6:$A$205,0))),"nach Austritt","ok")))))))</f>
        <v/>
      </c>
    </row>
    <row r="2154">
      <c r="A2154" s="26" t="n"/>
      <c r="B2154" s="24" t="n"/>
      <c r="C2154" s="40">
        <f>IF(B2154="","",IFERROR(INDEX(Mitarbeiter!$B$6:$B$205,MATCH(B2154,Mitarbeiter!$A$6:$A$205,0)),"?"))</f>
        <v/>
      </c>
      <c r="D2154" s="41" t="n"/>
      <c r="E2154" s="42" t="n"/>
      <c r="F2154" s="43" t="n"/>
      <c r="G2154" s="44">
        <f>IF(OR(B2154="",F2154=""),"",IFERROR(F2154*INDEX(Mitarbeiter!$F$6:$F$205,MATCH(B2154,Mitarbeiter!$A$6:$A$205,0)),0))</f>
        <v/>
      </c>
      <c r="H2154" s="8">
        <f>IF(B2154="","",IF(ISNA(MATCH(B2154,Mitarbeiter!$A$6:$A$205,0)),"Pers.-Nr. unbekannt",IF(A2154="","Datum fehlt",IF(AND(D2154&lt;&gt;Einstellungen!$C$4,D2154&lt;&gt;Einstellungen!$C$5),"Objekt fehlt",IF(YEAR(A2154)&lt;&gt;Einstellungen!$C$3,"anderes Jahr",IF(A2154&lt;INDEX(Mitarbeiter!$C$6:$C$205,MATCH(B2154,Mitarbeiter!$A$6:$A$205,0)),"vor Eintritt",IF(AND(INDEX(Mitarbeiter!$D$6:$D$205,MATCH(B2154,Mitarbeiter!$A$6:$A$205,0))&lt;&gt;"",A2154&gt;INDEX(Mitarbeiter!$D$6:$D$205,MATCH(B2154,Mitarbeiter!$A$6:$A$205,0))),"nach Austritt","ok")))))))</f>
        <v/>
      </c>
    </row>
    <row r="2155">
      <c r="A2155" s="26" t="n"/>
      <c r="B2155" s="24" t="n"/>
      <c r="C2155" s="40">
        <f>IF(B2155="","",IFERROR(INDEX(Mitarbeiter!$B$6:$B$205,MATCH(B2155,Mitarbeiter!$A$6:$A$205,0)),"?"))</f>
        <v/>
      </c>
      <c r="D2155" s="41" t="n"/>
      <c r="E2155" s="42" t="n"/>
      <c r="F2155" s="43" t="n"/>
      <c r="G2155" s="44">
        <f>IF(OR(B2155="",F2155=""),"",IFERROR(F2155*INDEX(Mitarbeiter!$F$6:$F$205,MATCH(B2155,Mitarbeiter!$A$6:$A$205,0)),0))</f>
        <v/>
      </c>
      <c r="H2155" s="8">
        <f>IF(B2155="","",IF(ISNA(MATCH(B2155,Mitarbeiter!$A$6:$A$205,0)),"Pers.-Nr. unbekannt",IF(A2155="","Datum fehlt",IF(AND(D2155&lt;&gt;Einstellungen!$C$4,D2155&lt;&gt;Einstellungen!$C$5),"Objekt fehlt",IF(YEAR(A2155)&lt;&gt;Einstellungen!$C$3,"anderes Jahr",IF(A2155&lt;INDEX(Mitarbeiter!$C$6:$C$205,MATCH(B2155,Mitarbeiter!$A$6:$A$205,0)),"vor Eintritt",IF(AND(INDEX(Mitarbeiter!$D$6:$D$205,MATCH(B2155,Mitarbeiter!$A$6:$A$205,0))&lt;&gt;"",A2155&gt;INDEX(Mitarbeiter!$D$6:$D$205,MATCH(B2155,Mitarbeiter!$A$6:$A$205,0))),"nach Austritt","ok")))))))</f>
        <v/>
      </c>
    </row>
    <row r="2156">
      <c r="A2156" s="26" t="n"/>
      <c r="B2156" s="24" t="n"/>
      <c r="C2156" s="40">
        <f>IF(B2156="","",IFERROR(INDEX(Mitarbeiter!$B$6:$B$205,MATCH(B2156,Mitarbeiter!$A$6:$A$205,0)),"?"))</f>
        <v/>
      </c>
      <c r="D2156" s="41" t="n"/>
      <c r="E2156" s="42" t="n"/>
      <c r="F2156" s="43" t="n"/>
      <c r="G2156" s="44">
        <f>IF(OR(B2156="",F2156=""),"",IFERROR(F2156*INDEX(Mitarbeiter!$F$6:$F$205,MATCH(B2156,Mitarbeiter!$A$6:$A$205,0)),0))</f>
        <v/>
      </c>
      <c r="H2156" s="8">
        <f>IF(B2156="","",IF(ISNA(MATCH(B2156,Mitarbeiter!$A$6:$A$205,0)),"Pers.-Nr. unbekannt",IF(A2156="","Datum fehlt",IF(AND(D2156&lt;&gt;Einstellungen!$C$4,D2156&lt;&gt;Einstellungen!$C$5),"Objekt fehlt",IF(YEAR(A2156)&lt;&gt;Einstellungen!$C$3,"anderes Jahr",IF(A2156&lt;INDEX(Mitarbeiter!$C$6:$C$205,MATCH(B2156,Mitarbeiter!$A$6:$A$205,0)),"vor Eintritt",IF(AND(INDEX(Mitarbeiter!$D$6:$D$205,MATCH(B2156,Mitarbeiter!$A$6:$A$205,0))&lt;&gt;"",A2156&gt;INDEX(Mitarbeiter!$D$6:$D$205,MATCH(B2156,Mitarbeiter!$A$6:$A$205,0))),"nach Austritt","ok")))))))</f>
        <v/>
      </c>
    </row>
    <row r="2157">
      <c r="A2157" s="26" t="n"/>
      <c r="B2157" s="24" t="n"/>
      <c r="C2157" s="40">
        <f>IF(B2157="","",IFERROR(INDEX(Mitarbeiter!$B$6:$B$205,MATCH(B2157,Mitarbeiter!$A$6:$A$205,0)),"?"))</f>
        <v/>
      </c>
      <c r="D2157" s="41" t="n"/>
      <c r="E2157" s="42" t="n"/>
      <c r="F2157" s="43" t="n"/>
      <c r="G2157" s="44">
        <f>IF(OR(B2157="",F2157=""),"",IFERROR(F2157*INDEX(Mitarbeiter!$F$6:$F$205,MATCH(B2157,Mitarbeiter!$A$6:$A$205,0)),0))</f>
        <v/>
      </c>
      <c r="H2157" s="8">
        <f>IF(B2157="","",IF(ISNA(MATCH(B2157,Mitarbeiter!$A$6:$A$205,0)),"Pers.-Nr. unbekannt",IF(A2157="","Datum fehlt",IF(AND(D2157&lt;&gt;Einstellungen!$C$4,D2157&lt;&gt;Einstellungen!$C$5),"Objekt fehlt",IF(YEAR(A2157)&lt;&gt;Einstellungen!$C$3,"anderes Jahr",IF(A2157&lt;INDEX(Mitarbeiter!$C$6:$C$205,MATCH(B2157,Mitarbeiter!$A$6:$A$205,0)),"vor Eintritt",IF(AND(INDEX(Mitarbeiter!$D$6:$D$205,MATCH(B2157,Mitarbeiter!$A$6:$A$205,0))&lt;&gt;"",A2157&gt;INDEX(Mitarbeiter!$D$6:$D$205,MATCH(B2157,Mitarbeiter!$A$6:$A$205,0))),"nach Austritt","ok")))))))</f>
        <v/>
      </c>
    </row>
    <row r="2158">
      <c r="A2158" s="26" t="n"/>
      <c r="B2158" s="24" t="n"/>
      <c r="C2158" s="40">
        <f>IF(B2158="","",IFERROR(INDEX(Mitarbeiter!$B$6:$B$205,MATCH(B2158,Mitarbeiter!$A$6:$A$205,0)),"?"))</f>
        <v/>
      </c>
      <c r="D2158" s="41" t="n"/>
      <c r="E2158" s="42" t="n"/>
      <c r="F2158" s="43" t="n"/>
      <c r="G2158" s="44">
        <f>IF(OR(B2158="",F2158=""),"",IFERROR(F2158*INDEX(Mitarbeiter!$F$6:$F$205,MATCH(B2158,Mitarbeiter!$A$6:$A$205,0)),0))</f>
        <v/>
      </c>
      <c r="H2158" s="8">
        <f>IF(B2158="","",IF(ISNA(MATCH(B2158,Mitarbeiter!$A$6:$A$205,0)),"Pers.-Nr. unbekannt",IF(A2158="","Datum fehlt",IF(AND(D2158&lt;&gt;Einstellungen!$C$4,D2158&lt;&gt;Einstellungen!$C$5),"Objekt fehlt",IF(YEAR(A2158)&lt;&gt;Einstellungen!$C$3,"anderes Jahr",IF(A2158&lt;INDEX(Mitarbeiter!$C$6:$C$205,MATCH(B2158,Mitarbeiter!$A$6:$A$205,0)),"vor Eintritt",IF(AND(INDEX(Mitarbeiter!$D$6:$D$205,MATCH(B2158,Mitarbeiter!$A$6:$A$205,0))&lt;&gt;"",A2158&gt;INDEX(Mitarbeiter!$D$6:$D$205,MATCH(B2158,Mitarbeiter!$A$6:$A$205,0))),"nach Austritt","ok")))))))</f>
        <v/>
      </c>
    </row>
    <row r="2159">
      <c r="A2159" s="26" t="n"/>
      <c r="B2159" s="24" t="n"/>
      <c r="C2159" s="40">
        <f>IF(B2159="","",IFERROR(INDEX(Mitarbeiter!$B$6:$B$205,MATCH(B2159,Mitarbeiter!$A$6:$A$205,0)),"?"))</f>
        <v/>
      </c>
      <c r="D2159" s="41" t="n"/>
      <c r="E2159" s="42" t="n"/>
      <c r="F2159" s="43" t="n"/>
      <c r="G2159" s="44">
        <f>IF(OR(B2159="",F2159=""),"",IFERROR(F2159*INDEX(Mitarbeiter!$F$6:$F$205,MATCH(B2159,Mitarbeiter!$A$6:$A$205,0)),0))</f>
        <v/>
      </c>
      <c r="H2159" s="8">
        <f>IF(B2159="","",IF(ISNA(MATCH(B2159,Mitarbeiter!$A$6:$A$205,0)),"Pers.-Nr. unbekannt",IF(A2159="","Datum fehlt",IF(AND(D2159&lt;&gt;Einstellungen!$C$4,D2159&lt;&gt;Einstellungen!$C$5),"Objekt fehlt",IF(YEAR(A2159)&lt;&gt;Einstellungen!$C$3,"anderes Jahr",IF(A2159&lt;INDEX(Mitarbeiter!$C$6:$C$205,MATCH(B2159,Mitarbeiter!$A$6:$A$205,0)),"vor Eintritt",IF(AND(INDEX(Mitarbeiter!$D$6:$D$205,MATCH(B2159,Mitarbeiter!$A$6:$A$205,0))&lt;&gt;"",A2159&gt;INDEX(Mitarbeiter!$D$6:$D$205,MATCH(B2159,Mitarbeiter!$A$6:$A$205,0))),"nach Austritt","ok")))))))</f>
        <v/>
      </c>
    </row>
    <row r="2160">
      <c r="A2160" s="26" t="n"/>
      <c r="B2160" s="24" t="n"/>
      <c r="C2160" s="40">
        <f>IF(B2160="","",IFERROR(INDEX(Mitarbeiter!$B$6:$B$205,MATCH(B2160,Mitarbeiter!$A$6:$A$205,0)),"?"))</f>
        <v/>
      </c>
      <c r="D2160" s="41" t="n"/>
      <c r="E2160" s="42" t="n"/>
      <c r="F2160" s="43" t="n"/>
      <c r="G2160" s="44">
        <f>IF(OR(B2160="",F2160=""),"",IFERROR(F2160*INDEX(Mitarbeiter!$F$6:$F$205,MATCH(B2160,Mitarbeiter!$A$6:$A$205,0)),0))</f>
        <v/>
      </c>
      <c r="H2160" s="8">
        <f>IF(B2160="","",IF(ISNA(MATCH(B2160,Mitarbeiter!$A$6:$A$205,0)),"Pers.-Nr. unbekannt",IF(A2160="","Datum fehlt",IF(AND(D2160&lt;&gt;Einstellungen!$C$4,D2160&lt;&gt;Einstellungen!$C$5),"Objekt fehlt",IF(YEAR(A2160)&lt;&gt;Einstellungen!$C$3,"anderes Jahr",IF(A2160&lt;INDEX(Mitarbeiter!$C$6:$C$205,MATCH(B2160,Mitarbeiter!$A$6:$A$205,0)),"vor Eintritt",IF(AND(INDEX(Mitarbeiter!$D$6:$D$205,MATCH(B2160,Mitarbeiter!$A$6:$A$205,0))&lt;&gt;"",A2160&gt;INDEX(Mitarbeiter!$D$6:$D$205,MATCH(B2160,Mitarbeiter!$A$6:$A$205,0))),"nach Austritt","ok")))))))</f>
        <v/>
      </c>
    </row>
    <row r="2161">
      <c r="A2161" s="26" t="n"/>
      <c r="B2161" s="24" t="n"/>
      <c r="C2161" s="40">
        <f>IF(B2161="","",IFERROR(INDEX(Mitarbeiter!$B$6:$B$205,MATCH(B2161,Mitarbeiter!$A$6:$A$205,0)),"?"))</f>
        <v/>
      </c>
      <c r="D2161" s="41" t="n"/>
      <c r="E2161" s="42" t="n"/>
      <c r="F2161" s="43" t="n"/>
      <c r="G2161" s="44">
        <f>IF(OR(B2161="",F2161=""),"",IFERROR(F2161*INDEX(Mitarbeiter!$F$6:$F$205,MATCH(B2161,Mitarbeiter!$A$6:$A$205,0)),0))</f>
        <v/>
      </c>
      <c r="H2161" s="8">
        <f>IF(B2161="","",IF(ISNA(MATCH(B2161,Mitarbeiter!$A$6:$A$205,0)),"Pers.-Nr. unbekannt",IF(A2161="","Datum fehlt",IF(AND(D2161&lt;&gt;Einstellungen!$C$4,D2161&lt;&gt;Einstellungen!$C$5),"Objekt fehlt",IF(YEAR(A2161)&lt;&gt;Einstellungen!$C$3,"anderes Jahr",IF(A2161&lt;INDEX(Mitarbeiter!$C$6:$C$205,MATCH(B2161,Mitarbeiter!$A$6:$A$205,0)),"vor Eintritt",IF(AND(INDEX(Mitarbeiter!$D$6:$D$205,MATCH(B2161,Mitarbeiter!$A$6:$A$205,0))&lt;&gt;"",A2161&gt;INDEX(Mitarbeiter!$D$6:$D$205,MATCH(B2161,Mitarbeiter!$A$6:$A$205,0))),"nach Austritt","ok")))))))</f>
        <v/>
      </c>
    </row>
    <row r="2162">
      <c r="A2162" s="26" t="n"/>
      <c r="B2162" s="24" t="n"/>
      <c r="C2162" s="40">
        <f>IF(B2162="","",IFERROR(INDEX(Mitarbeiter!$B$6:$B$205,MATCH(B2162,Mitarbeiter!$A$6:$A$205,0)),"?"))</f>
        <v/>
      </c>
      <c r="D2162" s="41" t="n"/>
      <c r="E2162" s="42" t="n"/>
      <c r="F2162" s="43" t="n"/>
      <c r="G2162" s="44">
        <f>IF(OR(B2162="",F2162=""),"",IFERROR(F2162*INDEX(Mitarbeiter!$F$6:$F$205,MATCH(B2162,Mitarbeiter!$A$6:$A$205,0)),0))</f>
        <v/>
      </c>
      <c r="H2162" s="8">
        <f>IF(B2162="","",IF(ISNA(MATCH(B2162,Mitarbeiter!$A$6:$A$205,0)),"Pers.-Nr. unbekannt",IF(A2162="","Datum fehlt",IF(AND(D2162&lt;&gt;Einstellungen!$C$4,D2162&lt;&gt;Einstellungen!$C$5),"Objekt fehlt",IF(YEAR(A2162)&lt;&gt;Einstellungen!$C$3,"anderes Jahr",IF(A2162&lt;INDEX(Mitarbeiter!$C$6:$C$205,MATCH(B2162,Mitarbeiter!$A$6:$A$205,0)),"vor Eintritt",IF(AND(INDEX(Mitarbeiter!$D$6:$D$205,MATCH(B2162,Mitarbeiter!$A$6:$A$205,0))&lt;&gt;"",A2162&gt;INDEX(Mitarbeiter!$D$6:$D$205,MATCH(B2162,Mitarbeiter!$A$6:$A$205,0))),"nach Austritt","ok")))))))</f>
        <v/>
      </c>
    </row>
    <row r="2163">
      <c r="A2163" s="26" t="n"/>
      <c r="B2163" s="24" t="n"/>
      <c r="C2163" s="40">
        <f>IF(B2163="","",IFERROR(INDEX(Mitarbeiter!$B$6:$B$205,MATCH(B2163,Mitarbeiter!$A$6:$A$205,0)),"?"))</f>
        <v/>
      </c>
      <c r="D2163" s="41" t="n"/>
      <c r="E2163" s="42" t="n"/>
      <c r="F2163" s="43" t="n"/>
      <c r="G2163" s="44">
        <f>IF(OR(B2163="",F2163=""),"",IFERROR(F2163*INDEX(Mitarbeiter!$F$6:$F$205,MATCH(B2163,Mitarbeiter!$A$6:$A$205,0)),0))</f>
        <v/>
      </c>
      <c r="H2163" s="8">
        <f>IF(B2163="","",IF(ISNA(MATCH(B2163,Mitarbeiter!$A$6:$A$205,0)),"Pers.-Nr. unbekannt",IF(A2163="","Datum fehlt",IF(AND(D2163&lt;&gt;Einstellungen!$C$4,D2163&lt;&gt;Einstellungen!$C$5),"Objekt fehlt",IF(YEAR(A2163)&lt;&gt;Einstellungen!$C$3,"anderes Jahr",IF(A2163&lt;INDEX(Mitarbeiter!$C$6:$C$205,MATCH(B2163,Mitarbeiter!$A$6:$A$205,0)),"vor Eintritt",IF(AND(INDEX(Mitarbeiter!$D$6:$D$205,MATCH(B2163,Mitarbeiter!$A$6:$A$205,0))&lt;&gt;"",A2163&gt;INDEX(Mitarbeiter!$D$6:$D$205,MATCH(B2163,Mitarbeiter!$A$6:$A$205,0))),"nach Austritt","ok")))))))</f>
        <v/>
      </c>
    </row>
    <row r="2164">
      <c r="A2164" s="26" t="n"/>
      <c r="B2164" s="24" t="n"/>
      <c r="C2164" s="40">
        <f>IF(B2164="","",IFERROR(INDEX(Mitarbeiter!$B$6:$B$205,MATCH(B2164,Mitarbeiter!$A$6:$A$205,0)),"?"))</f>
        <v/>
      </c>
      <c r="D2164" s="41" t="n"/>
      <c r="E2164" s="42" t="n"/>
      <c r="F2164" s="43" t="n"/>
      <c r="G2164" s="44">
        <f>IF(OR(B2164="",F2164=""),"",IFERROR(F2164*INDEX(Mitarbeiter!$F$6:$F$205,MATCH(B2164,Mitarbeiter!$A$6:$A$205,0)),0))</f>
        <v/>
      </c>
      <c r="H2164" s="8">
        <f>IF(B2164="","",IF(ISNA(MATCH(B2164,Mitarbeiter!$A$6:$A$205,0)),"Pers.-Nr. unbekannt",IF(A2164="","Datum fehlt",IF(AND(D2164&lt;&gt;Einstellungen!$C$4,D2164&lt;&gt;Einstellungen!$C$5),"Objekt fehlt",IF(YEAR(A2164)&lt;&gt;Einstellungen!$C$3,"anderes Jahr",IF(A2164&lt;INDEX(Mitarbeiter!$C$6:$C$205,MATCH(B2164,Mitarbeiter!$A$6:$A$205,0)),"vor Eintritt",IF(AND(INDEX(Mitarbeiter!$D$6:$D$205,MATCH(B2164,Mitarbeiter!$A$6:$A$205,0))&lt;&gt;"",A2164&gt;INDEX(Mitarbeiter!$D$6:$D$205,MATCH(B2164,Mitarbeiter!$A$6:$A$205,0))),"nach Austritt","ok")))))))</f>
        <v/>
      </c>
    </row>
    <row r="2165">
      <c r="A2165" s="26" t="n"/>
      <c r="B2165" s="24" t="n"/>
      <c r="C2165" s="40">
        <f>IF(B2165="","",IFERROR(INDEX(Mitarbeiter!$B$6:$B$205,MATCH(B2165,Mitarbeiter!$A$6:$A$205,0)),"?"))</f>
        <v/>
      </c>
      <c r="D2165" s="41" t="n"/>
      <c r="E2165" s="42" t="n"/>
      <c r="F2165" s="43" t="n"/>
      <c r="G2165" s="44">
        <f>IF(OR(B2165="",F2165=""),"",IFERROR(F2165*INDEX(Mitarbeiter!$F$6:$F$205,MATCH(B2165,Mitarbeiter!$A$6:$A$205,0)),0))</f>
        <v/>
      </c>
      <c r="H2165" s="8">
        <f>IF(B2165="","",IF(ISNA(MATCH(B2165,Mitarbeiter!$A$6:$A$205,0)),"Pers.-Nr. unbekannt",IF(A2165="","Datum fehlt",IF(AND(D2165&lt;&gt;Einstellungen!$C$4,D2165&lt;&gt;Einstellungen!$C$5),"Objekt fehlt",IF(YEAR(A2165)&lt;&gt;Einstellungen!$C$3,"anderes Jahr",IF(A2165&lt;INDEX(Mitarbeiter!$C$6:$C$205,MATCH(B2165,Mitarbeiter!$A$6:$A$205,0)),"vor Eintritt",IF(AND(INDEX(Mitarbeiter!$D$6:$D$205,MATCH(B2165,Mitarbeiter!$A$6:$A$205,0))&lt;&gt;"",A2165&gt;INDEX(Mitarbeiter!$D$6:$D$205,MATCH(B2165,Mitarbeiter!$A$6:$A$205,0))),"nach Austritt","ok")))))))</f>
        <v/>
      </c>
    </row>
    <row r="2166">
      <c r="A2166" s="26" t="n"/>
      <c r="B2166" s="24" t="n"/>
      <c r="C2166" s="40">
        <f>IF(B2166="","",IFERROR(INDEX(Mitarbeiter!$B$6:$B$205,MATCH(B2166,Mitarbeiter!$A$6:$A$205,0)),"?"))</f>
        <v/>
      </c>
      <c r="D2166" s="41" t="n"/>
      <c r="E2166" s="42" t="n"/>
      <c r="F2166" s="43" t="n"/>
      <c r="G2166" s="44">
        <f>IF(OR(B2166="",F2166=""),"",IFERROR(F2166*INDEX(Mitarbeiter!$F$6:$F$205,MATCH(B2166,Mitarbeiter!$A$6:$A$205,0)),0))</f>
        <v/>
      </c>
      <c r="H2166" s="8">
        <f>IF(B2166="","",IF(ISNA(MATCH(B2166,Mitarbeiter!$A$6:$A$205,0)),"Pers.-Nr. unbekannt",IF(A2166="","Datum fehlt",IF(AND(D2166&lt;&gt;Einstellungen!$C$4,D2166&lt;&gt;Einstellungen!$C$5),"Objekt fehlt",IF(YEAR(A2166)&lt;&gt;Einstellungen!$C$3,"anderes Jahr",IF(A2166&lt;INDEX(Mitarbeiter!$C$6:$C$205,MATCH(B2166,Mitarbeiter!$A$6:$A$205,0)),"vor Eintritt",IF(AND(INDEX(Mitarbeiter!$D$6:$D$205,MATCH(B2166,Mitarbeiter!$A$6:$A$205,0))&lt;&gt;"",A2166&gt;INDEX(Mitarbeiter!$D$6:$D$205,MATCH(B2166,Mitarbeiter!$A$6:$A$205,0))),"nach Austritt","ok")))))))</f>
        <v/>
      </c>
    </row>
    <row r="2167">
      <c r="A2167" s="26" t="n"/>
      <c r="B2167" s="24" t="n"/>
      <c r="C2167" s="40">
        <f>IF(B2167="","",IFERROR(INDEX(Mitarbeiter!$B$6:$B$205,MATCH(B2167,Mitarbeiter!$A$6:$A$205,0)),"?"))</f>
        <v/>
      </c>
      <c r="D2167" s="41" t="n"/>
      <c r="E2167" s="42" t="n"/>
      <c r="F2167" s="43" t="n"/>
      <c r="G2167" s="44">
        <f>IF(OR(B2167="",F2167=""),"",IFERROR(F2167*INDEX(Mitarbeiter!$F$6:$F$205,MATCH(B2167,Mitarbeiter!$A$6:$A$205,0)),0))</f>
        <v/>
      </c>
      <c r="H2167" s="8">
        <f>IF(B2167="","",IF(ISNA(MATCH(B2167,Mitarbeiter!$A$6:$A$205,0)),"Pers.-Nr. unbekannt",IF(A2167="","Datum fehlt",IF(AND(D2167&lt;&gt;Einstellungen!$C$4,D2167&lt;&gt;Einstellungen!$C$5),"Objekt fehlt",IF(YEAR(A2167)&lt;&gt;Einstellungen!$C$3,"anderes Jahr",IF(A2167&lt;INDEX(Mitarbeiter!$C$6:$C$205,MATCH(B2167,Mitarbeiter!$A$6:$A$205,0)),"vor Eintritt",IF(AND(INDEX(Mitarbeiter!$D$6:$D$205,MATCH(B2167,Mitarbeiter!$A$6:$A$205,0))&lt;&gt;"",A2167&gt;INDEX(Mitarbeiter!$D$6:$D$205,MATCH(B2167,Mitarbeiter!$A$6:$A$205,0))),"nach Austritt","ok")))))))</f>
        <v/>
      </c>
    </row>
    <row r="2168">
      <c r="A2168" s="26" t="n"/>
      <c r="B2168" s="24" t="n"/>
      <c r="C2168" s="40">
        <f>IF(B2168="","",IFERROR(INDEX(Mitarbeiter!$B$6:$B$205,MATCH(B2168,Mitarbeiter!$A$6:$A$205,0)),"?"))</f>
        <v/>
      </c>
      <c r="D2168" s="41" t="n"/>
      <c r="E2168" s="42" t="n"/>
      <c r="F2168" s="43" t="n"/>
      <c r="G2168" s="44">
        <f>IF(OR(B2168="",F2168=""),"",IFERROR(F2168*INDEX(Mitarbeiter!$F$6:$F$205,MATCH(B2168,Mitarbeiter!$A$6:$A$205,0)),0))</f>
        <v/>
      </c>
      <c r="H2168" s="8">
        <f>IF(B2168="","",IF(ISNA(MATCH(B2168,Mitarbeiter!$A$6:$A$205,0)),"Pers.-Nr. unbekannt",IF(A2168="","Datum fehlt",IF(AND(D2168&lt;&gt;Einstellungen!$C$4,D2168&lt;&gt;Einstellungen!$C$5),"Objekt fehlt",IF(YEAR(A2168)&lt;&gt;Einstellungen!$C$3,"anderes Jahr",IF(A2168&lt;INDEX(Mitarbeiter!$C$6:$C$205,MATCH(B2168,Mitarbeiter!$A$6:$A$205,0)),"vor Eintritt",IF(AND(INDEX(Mitarbeiter!$D$6:$D$205,MATCH(B2168,Mitarbeiter!$A$6:$A$205,0))&lt;&gt;"",A2168&gt;INDEX(Mitarbeiter!$D$6:$D$205,MATCH(B2168,Mitarbeiter!$A$6:$A$205,0))),"nach Austritt","ok")))))))</f>
        <v/>
      </c>
    </row>
    <row r="2169">
      <c r="A2169" s="26" t="n"/>
      <c r="B2169" s="24" t="n"/>
      <c r="C2169" s="40">
        <f>IF(B2169="","",IFERROR(INDEX(Mitarbeiter!$B$6:$B$205,MATCH(B2169,Mitarbeiter!$A$6:$A$205,0)),"?"))</f>
        <v/>
      </c>
      <c r="D2169" s="41" t="n"/>
      <c r="E2169" s="42" t="n"/>
      <c r="F2169" s="43" t="n"/>
      <c r="G2169" s="44">
        <f>IF(OR(B2169="",F2169=""),"",IFERROR(F2169*INDEX(Mitarbeiter!$F$6:$F$205,MATCH(B2169,Mitarbeiter!$A$6:$A$205,0)),0))</f>
        <v/>
      </c>
      <c r="H2169" s="8">
        <f>IF(B2169="","",IF(ISNA(MATCH(B2169,Mitarbeiter!$A$6:$A$205,0)),"Pers.-Nr. unbekannt",IF(A2169="","Datum fehlt",IF(AND(D2169&lt;&gt;Einstellungen!$C$4,D2169&lt;&gt;Einstellungen!$C$5),"Objekt fehlt",IF(YEAR(A2169)&lt;&gt;Einstellungen!$C$3,"anderes Jahr",IF(A2169&lt;INDEX(Mitarbeiter!$C$6:$C$205,MATCH(B2169,Mitarbeiter!$A$6:$A$205,0)),"vor Eintritt",IF(AND(INDEX(Mitarbeiter!$D$6:$D$205,MATCH(B2169,Mitarbeiter!$A$6:$A$205,0))&lt;&gt;"",A2169&gt;INDEX(Mitarbeiter!$D$6:$D$205,MATCH(B2169,Mitarbeiter!$A$6:$A$205,0))),"nach Austritt","ok")))))))</f>
        <v/>
      </c>
    </row>
    <row r="2170">
      <c r="A2170" s="26" t="n"/>
      <c r="B2170" s="24" t="n"/>
      <c r="C2170" s="40">
        <f>IF(B2170="","",IFERROR(INDEX(Mitarbeiter!$B$6:$B$205,MATCH(B2170,Mitarbeiter!$A$6:$A$205,0)),"?"))</f>
        <v/>
      </c>
      <c r="D2170" s="41" t="n"/>
      <c r="E2170" s="42" t="n"/>
      <c r="F2170" s="43" t="n"/>
      <c r="G2170" s="44">
        <f>IF(OR(B2170="",F2170=""),"",IFERROR(F2170*INDEX(Mitarbeiter!$F$6:$F$205,MATCH(B2170,Mitarbeiter!$A$6:$A$205,0)),0))</f>
        <v/>
      </c>
      <c r="H2170" s="8">
        <f>IF(B2170="","",IF(ISNA(MATCH(B2170,Mitarbeiter!$A$6:$A$205,0)),"Pers.-Nr. unbekannt",IF(A2170="","Datum fehlt",IF(AND(D2170&lt;&gt;Einstellungen!$C$4,D2170&lt;&gt;Einstellungen!$C$5),"Objekt fehlt",IF(YEAR(A2170)&lt;&gt;Einstellungen!$C$3,"anderes Jahr",IF(A2170&lt;INDEX(Mitarbeiter!$C$6:$C$205,MATCH(B2170,Mitarbeiter!$A$6:$A$205,0)),"vor Eintritt",IF(AND(INDEX(Mitarbeiter!$D$6:$D$205,MATCH(B2170,Mitarbeiter!$A$6:$A$205,0))&lt;&gt;"",A2170&gt;INDEX(Mitarbeiter!$D$6:$D$205,MATCH(B2170,Mitarbeiter!$A$6:$A$205,0))),"nach Austritt","ok")))))))</f>
        <v/>
      </c>
    </row>
    <row r="2171">
      <c r="A2171" s="26" t="n"/>
      <c r="B2171" s="24" t="n"/>
      <c r="C2171" s="40">
        <f>IF(B2171="","",IFERROR(INDEX(Mitarbeiter!$B$6:$B$205,MATCH(B2171,Mitarbeiter!$A$6:$A$205,0)),"?"))</f>
        <v/>
      </c>
      <c r="D2171" s="41" t="n"/>
      <c r="E2171" s="42" t="n"/>
      <c r="F2171" s="43" t="n"/>
      <c r="G2171" s="44">
        <f>IF(OR(B2171="",F2171=""),"",IFERROR(F2171*INDEX(Mitarbeiter!$F$6:$F$205,MATCH(B2171,Mitarbeiter!$A$6:$A$205,0)),0))</f>
        <v/>
      </c>
      <c r="H2171" s="8">
        <f>IF(B2171="","",IF(ISNA(MATCH(B2171,Mitarbeiter!$A$6:$A$205,0)),"Pers.-Nr. unbekannt",IF(A2171="","Datum fehlt",IF(AND(D2171&lt;&gt;Einstellungen!$C$4,D2171&lt;&gt;Einstellungen!$C$5),"Objekt fehlt",IF(YEAR(A2171)&lt;&gt;Einstellungen!$C$3,"anderes Jahr",IF(A2171&lt;INDEX(Mitarbeiter!$C$6:$C$205,MATCH(B2171,Mitarbeiter!$A$6:$A$205,0)),"vor Eintritt",IF(AND(INDEX(Mitarbeiter!$D$6:$D$205,MATCH(B2171,Mitarbeiter!$A$6:$A$205,0))&lt;&gt;"",A2171&gt;INDEX(Mitarbeiter!$D$6:$D$205,MATCH(B2171,Mitarbeiter!$A$6:$A$205,0))),"nach Austritt","ok")))))))</f>
        <v/>
      </c>
    </row>
    <row r="2172">
      <c r="A2172" s="26" t="n"/>
      <c r="B2172" s="24" t="n"/>
      <c r="C2172" s="40">
        <f>IF(B2172="","",IFERROR(INDEX(Mitarbeiter!$B$6:$B$205,MATCH(B2172,Mitarbeiter!$A$6:$A$205,0)),"?"))</f>
        <v/>
      </c>
      <c r="D2172" s="41" t="n"/>
      <c r="E2172" s="42" t="n"/>
      <c r="F2172" s="43" t="n"/>
      <c r="G2172" s="44">
        <f>IF(OR(B2172="",F2172=""),"",IFERROR(F2172*INDEX(Mitarbeiter!$F$6:$F$205,MATCH(B2172,Mitarbeiter!$A$6:$A$205,0)),0))</f>
        <v/>
      </c>
      <c r="H2172" s="8">
        <f>IF(B2172="","",IF(ISNA(MATCH(B2172,Mitarbeiter!$A$6:$A$205,0)),"Pers.-Nr. unbekannt",IF(A2172="","Datum fehlt",IF(AND(D2172&lt;&gt;Einstellungen!$C$4,D2172&lt;&gt;Einstellungen!$C$5),"Objekt fehlt",IF(YEAR(A2172)&lt;&gt;Einstellungen!$C$3,"anderes Jahr",IF(A2172&lt;INDEX(Mitarbeiter!$C$6:$C$205,MATCH(B2172,Mitarbeiter!$A$6:$A$205,0)),"vor Eintritt",IF(AND(INDEX(Mitarbeiter!$D$6:$D$205,MATCH(B2172,Mitarbeiter!$A$6:$A$205,0))&lt;&gt;"",A2172&gt;INDEX(Mitarbeiter!$D$6:$D$205,MATCH(B2172,Mitarbeiter!$A$6:$A$205,0))),"nach Austritt","ok")))))))</f>
        <v/>
      </c>
    </row>
    <row r="2173">
      <c r="A2173" s="26" t="n"/>
      <c r="B2173" s="24" t="n"/>
      <c r="C2173" s="40">
        <f>IF(B2173="","",IFERROR(INDEX(Mitarbeiter!$B$6:$B$205,MATCH(B2173,Mitarbeiter!$A$6:$A$205,0)),"?"))</f>
        <v/>
      </c>
      <c r="D2173" s="41" t="n"/>
      <c r="E2173" s="42" t="n"/>
      <c r="F2173" s="43" t="n"/>
      <c r="G2173" s="44">
        <f>IF(OR(B2173="",F2173=""),"",IFERROR(F2173*INDEX(Mitarbeiter!$F$6:$F$205,MATCH(B2173,Mitarbeiter!$A$6:$A$205,0)),0))</f>
        <v/>
      </c>
      <c r="H2173" s="8">
        <f>IF(B2173="","",IF(ISNA(MATCH(B2173,Mitarbeiter!$A$6:$A$205,0)),"Pers.-Nr. unbekannt",IF(A2173="","Datum fehlt",IF(AND(D2173&lt;&gt;Einstellungen!$C$4,D2173&lt;&gt;Einstellungen!$C$5),"Objekt fehlt",IF(YEAR(A2173)&lt;&gt;Einstellungen!$C$3,"anderes Jahr",IF(A2173&lt;INDEX(Mitarbeiter!$C$6:$C$205,MATCH(B2173,Mitarbeiter!$A$6:$A$205,0)),"vor Eintritt",IF(AND(INDEX(Mitarbeiter!$D$6:$D$205,MATCH(B2173,Mitarbeiter!$A$6:$A$205,0))&lt;&gt;"",A2173&gt;INDEX(Mitarbeiter!$D$6:$D$205,MATCH(B2173,Mitarbeiter!$A$6:$A$205,0))),"nach Austritt","ok")))))))</f>
        <v/>
      </c>
    </row>
    <row r="2174">
      <c r="A2174" s="26" t="n"/>
      <c r="B2174" s="24" t="n"/>
      <c r="C2174" s="40">
        <f>IF(B2174="","",IFERROR(INDEX(Mitarbeiter!$B$6:$B$205,MATCH(B2174,Mitarbeiter!$A$6:$A$205,0)),"?"))</f>
        <v/>
      </c>
      <c r="D2174" s="41" t="n"/>
      <c r="E2174" s="42" t="n"/>
      <c r="F2174" s="43" t="n"/>
      <c r="G2174" s="44">
        <f>IF(OR(B2174="",F2174=""),"",IFERROR(F2174*INDEX(Mitarbeiter!$F$6:$F$205,MATCH(B2174,Mitarbeiter!$A$6:$A$205,0)),0))</f>
        <v/>
      </c>
      <c r="H2174" s="8">
        <f>IF(B2174="","",IF(ISNA(MATCH(B2174,Mitarbeiter!$A$6:$A$205,0)),"Pers.-Nr. unbekannt",IF(A2174="","Datum fehlt",IF(AND(D2174&lt;&gt;Einstellungen!$C$4,D2174&lt;&gt;Einstellungen!$C$5),"Objekt fehlt",IF(YEAR(A2174)&lt;&gt;Einstellungen!$C$3,"anderes Jahr",IF(A2174&lt;INDEX(Mitarbeiter!$C$6:$C$205,MATCH(B2174,Mitarbeiter!$A$6:$A$205,0)),"vor Eintritt",IF(AND(INDEX(Mitarbeiter!$D$6:$D$205,MATCH(B2174,Mitarbeiter!$A$6:$A$205,0))&lt;&gt;"",A2174&gt;INDEX(Mitarbeiter!$D$6:$D$205,MATCH(B2174,Mitarbeiter!$A$6:$A$205,0))),"nach Austritt","ok")))))))</f>
        <v/>
      </c>
    </row>
    <row r="2175">
      <c r="A2175" s="26" t="n"/>
      <c r="B2175" s="24" t="n"/>
      <c r="C2175" s="40">
        <f>IF(B2175="","",IFERROR(INDEX(Mitarbeiter!$B$6:$B$205,MATCH(B2175,Mitarbeiter!$A$6:$A$205,0)),"?"))</f>
        <v/>
      </c>
      <c r="D2175" s="41" t="n"/>
      <c r="E2175" s="42" t="n"/>
      <c r="F2175" s="43" t="n"/>
      <c r="G2175" s="44">
        <f>IF(OR(B2175="",F2175=""),"",IFERROR(F2175*INDEX(Mitarbeiter!$F$6:$F$205,MATCH(B2175,Mitarbeiter!$A$6:$A$205,0)),0))</f>
        <v/>
      </c>
      <c r="H2175" s="8">
        <f>IF(B2175="","",IF(ISNA(MATCH(B2175,Mitarbeiter!$A$6:$A$205,0)),"Pers.-Nr. unbekannt",IF(A2175="","Datum fehlt",IF(AND(D2175&lt;&gt;Einstellungen!$C$4,D2175&lt;&gt;Einstellungen!$C$5),"Objekt fehlt",IF(YEAR(A2175)&lt;&gt;Einstellungen!$C$3,"anderes Jahr",IF(A2175&lt;INDEX(Mitarbeiter!$C$6:$C$205,MATCH(B2175,Mitarbeiter!$A$6:$A$205,0)),"vor Eintritt",IF(AND(INDEX(Mitarbeiter!$D$6:$D$205,MATCH(B2175,Mitarbeiter!$A$6:$A$205,0))&lt;&gt;"",A2175&gt;INDEX(Mitarbeiter!$D$6:$D$205,MATCH(B2175,Mitarbeiter!$A$6:$A$205,0))),"nach Austritt","ok")))))))</f>
        <v/>
      </c>
    </row>
    <row r="2176">
      <c r="A2176" s="26" t="n"/>
      <c r="B2176" s="24" t="n"/>
      <c r="C2176" s="40">
        <f>IF(B2176="","",IFERROR(INDEX(Mitarbeiter!$B$6:$B$205,MATCH(B2176,Mitarbeiter!$A$6:$A$205,0)),"?"))</f>
        <v/>
      </c>
      <c r="D2176" s="41" t="n"/>
      <c r="E2176" s="42" t="n"/>
      <c r="F2176" s="43" t="n"/>
      <c r="G2176" s="44">
        <f>IF(OR(B2176="",F2176=""),"",IFERROR(F2176*INDEX(Mitarbeiter!$F$6:$F$205,MATCH(B2176,Mitarbeiter!$A$6:$A$205,0)),0))</f>
        <v/>
      </c>
      <c r="H2176" s="8">
        <f>IF(B2176="","",IF(ISNA(MATCH(B2176,Mitarbeiter!$A$6:$A$205,0)),"Pers.-Nr. unbekannt",IF(A2176="","Datum fehlt",IF(AND(D2176&lt;&gt;Einstellungen!$C$4,D2176&lt;&gt;Einstellungen!$C$5),"Objekt fehlt",IF(YEAR(A2176)&lt;&gt;Einstellungen!$C$3,"anderes Jahr",IF(A2176&lt;INDEX(Mitarbeiter!$C$6:$C$205,MATCH(B2176,Mitarbeiter!$A$6:$A$205,0)),"vor Eintritt",IF(AND(INDEX(Mitarbeiter!$D$6:$D$205,MATCH(B2176,Mitarbeiter!$A$6:$A$205,0))&lt;&gt;"",A2176&gt;INDEX(Mitarbeiter!$D$6:$D$205,MATCH(B2176,Mitarbeiter!$A$6:$A$205,0))),"nach Austritt","ok")))))))</f>
        <v/>
      </c>
    </row>
    <row r="2177">
      <c r="A2177" s="26" t="n"/>
      <c r="B2177" s="24" t="n"/>
      <c r="C2177" s="40">
        <f>IF(B2177="","",IFERROR(INDEX(Mitarbeiter!$B$6:$B$205,MATCH(B2177,Mitarbeiter!$A$6:$A$205,0)),"?"))</f>
        <v/>
      </c>
      <c r="D2177" s="41" t="n"/>
      <c r="E2177" s="42" t="n"/>
      <c r="F2177" s="43" t="n"/>
      <c r="G2177" s="44">
        <f>IF(OR(B2177="",F2177=""),"",IFERROR(F2177*INDEX(Mitarbeiter!$F$6:$F$205,MATCH(B2177,Mitarbeiter!$A$6:$A$205,0)),0))</f>
        <v/>
      </c>
      <c r="H2177" s="8">
        <f>IF(B2177="","",IF(ISNA(MATCH(B2177,Mitarbeiter!$A$6:$A$205,0)),"Pers.-Nr. unbekannt",IF(A2177="","Datum fehlt",IF(AND(D2177&lt;&gt;Einstellungen!$C$4,D2177&lt;&gt;Einstellungen!$C$5),"Objekt fehlt",IF(YEAR(A2177)&lt;&gt;Einstellungen!$C$3,"anderes Jahr",IF(A2177&lt;INDEX(Mitarbeiter!$C$6:$C$205,MATCH(B2177,Mitarbeiter!$A$6:$A$205,0)),"vor Eintritt",IF(AND(INDEX(Mitarbeiter!$D$6:$D$205,MATCH(B2177,Mitarbeiter!$A$6:$A$205,0))&lt;&gt;"",A2177&gt;INDEX(Mitarbeiter!$D$6:$D$205,MATCH(B2177,Mitarbeiter!$A$6:$A$205,0))),"nach Austritt","ok")))))))</f>
        <v/>
      </c>
    </row>
    <row r="2178">
      <c r="A2178" s="26" t="n"/>
      <c r="B2178" s="24" t="n"/>
      <c r="C2178" s="40">
        <f>IF(B2178="","",IFERROR(INDEX(Mitarbeiter!$B$6:$B$205,MATCH(B2178,Mitarbeiter!$A$6:$A$205,0)),"?"))</f>
        <v/>
      </c>
      <c r="D2178" s="41" t="n"/>
      <c r="E2178" s="42" t="n"/>
      <c r="F2178" s="43" t="n"/>
      <c r="G2178" s="44">
        <f>IF(OR(B2178="",F2178=""),"",IFERROR(F2178*INDEX(Mitarbeiter!$F$6:$F$205,MATCH(B2178,Mitarbeiter!$A$6:$A$205,0)),0))</f>
        <v/>
      </c>
      <c r="H2178" s="8">
        <f>IF(B2178="","",IF(ISNA(MATCH(B2178,Mitarbeiter!$A$6:$A$205,0)),"Pers.-Nr. unbekannt",IF(A2178="","Datum fehlt",IF(AND(D2178&lt;&gt;Einstellungen!$C$4,D2178&lt;&gt;Einstellungen!$C$5),"Objekt fehlt",IF(YEAR(A2178)&lt;&gt;Einstellungen!$C$3,"anderes Jahr",IF(A2178&lt;INDEX(Mitarbeiter!$C$6:$C$205,MATCH(B2178,Mitarbeiter!$A$6:$A$205,0)),"vor Eintritt",IF(AND(INDEX(Mitarbeiter!$D$6:$D$205,MATCH(B2178,Mitarbeiter!$A$6:$A$205,0))&lt;&gt;"",A2178&gt;INDEX(Mitarbeiter!$D$6:$D$205,MATCH(B2178,Mitarbeiter!$A$6:$A$205,0))),"nach Austritt","ok")))))))</f>
        <v/>
      </c>
    </row>
    <row r="2179">
      <c r="A2179" s="26" t="n"/>
      <c r="B2179" s="24" t="n"/>
      <c r="C2179" s="40">
        <f>IF(B2179="","",IFERROR(INDEX(Mitarbeiter!$B$6:$B$205,MATCH(B2179,Mitarbeiter!$A$6:$A$205,0)),"?"))</f>
        <v/>
      </c>
      <c r="D2179" s="41" t="n"/>
      <c r="E2179" s="42" t="n"/>
      <c r="F2179" s="43" t="n"/>
      <c r="G2179" s="44">
        <f>IF(OR(B2179="",F2179=""),"",IFERROR(F2179*INDEX(Mitarbeiter!$F$6:$F$205,MATCH(B2179,Mitarbeiter!$A$6:$A$205,0)),0))</f>
        <v/>
      </c>
      <c r="H2179" s="8">
        <f>IF(B2179="","",IF(ISNA(MATCH(B2179,Mitarbeiter!$A$6:$A$205,0)),"Pers.-Nr. unbekannt",IF(A2179="","Datum fehlt",IF(AND(D2179&lt;&gt;Einstellungen!$C$4,D2179&lt;&gt;Einstellungen!$C$5),"Objekt fehlt",IF(YEAR(A2179)&lt;&gt;Einstellungen!$C$3,"anderes Jahr",IF(A2179&lt;INDEX(Mitarbeiter!$C$6:$C$205,MATCH(B2179,Mitarbeiter!$A$6:$A$205,0)),"vor Eintritt",IF(AND(INDEX(Mitarbeiter!$D$6:$D$205,MATCH(B2179,Mitarbeiter!$A$6:$A$205,0))&lt;&gt;"",A2179&gt;INDEX(Mitarbeiter!$D$6:$D$205,MATCH(B2179,Mitarbeiter!$A$6:$A$205,0))),"nach Austritt","ok")))))))</f>
        <v/>
      </c>
    </row>
    <row r="2180">
      <c r="A2180" s="26" t="n"/>
      <c r="B2180" s="24" t="n"/>
      <c r="C2180" s="40">
        <f>IF(B2180="","",IFERROR(INDEX(Mitarbeiter!$B$6:$B$205,MATCH(B2180,Mitarbeiter!$A$6:$A$205,0)),"?"))</f>
        <v/>
      </c>
      <c r="D2180" s="41" t="n"/>
      <c r="E2180" s="42" t="n"/>
      <c r="F2180" s="43" t="n"/>
      <c r="G2180" s="44">
        <f>IF(OR(B2180="",F2180=""),"",IFERROR(F2180*INDEX(Mitarbeiter!$F$6:$F$205,MATCH(B2180,Mitarbeiter!$A$6:$A$205,0)),0))</f>
        <v/>
      </c>
      <c r="H2180" s="8">
        <f>IF(B2180="","",IF(ISNA(MATCH(B2180,Mitarbeiter!$A$6:$A$205,0)),"Pers.-Nr. unbekannt",IF(A2180="","Datum fehlt",IF(AND(D2180&lt;&gt;Einstellungen!$C$4,D2180&lt;&gt;Einstellungen!$C$5),"Objekt fehlt",IF(YEAR(A2180)&lt;&gt;Einstellungen!$C$3,"anderes Jahr",IF(A2180&lt;INDEX(Mitarbeiter!$C$6:$C$205,MATCH(B2180,Mitarbeiter!$A$6:$A$205,0)),"vor Eintritt",IF(AND(INDEX(Mitarbeiter!$D$6:$D$205,MATCH(B2180,Mitarbeiter!$A$6:$A$205,0))&lt;&gt;"",A2180&gt;INDEX(Mitarbeiter!$D$6:$D$205,MATCH(B2180,Mitarbeiter!$A$6:$A$205,0))),"nach Austritt","ok")))))))</f>
        <v/>
      </c>
    </row>
    <row r="2181">
      <c r="A2181" s="26" t="n"/>
      <c r="B2181" s="24" t="n"/>
      <c r="C2181" s="40">
        <f>IF(B2181="","",IFERROR(INDEX(Mitarbeiter!$B$6:$B$205,MATCH(B2181,Mitarbeiter!$A$6:$A$205,0)),"?"))</f>
        <v/>
      </c>
      <c r="D2181" s="41" t="n"/>
      <c r="E2181" s="42" t="n"/>
      <c r="F2181" s="43" t="n"/>
      <c r="G2181" s="44">
        <f>IF(OR(B2181="",F2181=""),"",IFERROR(F2181*INDEX(Mitarbeiter!$F$6:$F$205,MATCH(B2181,Mitarbeiter!$A$6:$A$205,0)),0))</f>
        <v/>
      </c>
      <c r="H2181" s="8">
        <f>IF(B2181="","",IF(ISNA(MATCH(B2181,Mitarbeiter!$A$6:$A$205,0)),"Pers.-Nr. unbekannt",IF(A2181="","Datum fehlt",IF(AND(D2181&lt;&gt;Einstellungen!$C$4,D2181&lt;&gt;Einstellungen!$C$5),"Objekt fehlt",IF(YEAR(A2181)&lt;&gt;Einstellungen!$C$3,"anderes Jahr",IF(A2181&lt;INDEX(Mitarbeiter!$C$6:$C$205,MATCH(B2181,Mitarbeiter!$A$6:$A$205,0)),"vor Eintritt",IF(AND(INDEX(Mitarbeiter!$D$6:$D$205,MATCH(B2181,Mitarbeiter!$A$6:$A$205,0))&lt;&gt;"",A2181&gt;INDEX(Mitarbeiter!$D$6:$D$205,MATCH(B2181,Mitarbeiter!$A$6:$A$205,0))),"nach Austritt","ok")))))))</f>
        <v/>
      </c>
    </row>
    <row r="2182">
      <c r="A2182" s="26" t="n"/>
      <c r="B2182" s="24" t="n"/>
      <c r="C2182" s="40">
        <f>IF(B2182="","",IFERROR(INDEX(Mitarbeiter!$B$6:$B$205,MATCH(B2182,Mitarbeiter!$A$6:$A$205,0)),"?"))</f>
        <v/>
      </c>
      <c r="D2182" s="41" t="n"/>
      <c r="E2182" s="42" t="n"/>
      <c r="F2182" s="43" t="n"/>
      <c r="G2182" s="44">
        <f>IF(OR(B2182="",F2182=""),"",IFERROR(F2182*INDEX(Mitarbeiter!$F$6:$F$205,MATCH(B2182,Mitarbeiter!$A$6:$A$205,0)),0))</f>
        <v/>
      </c>
      <c r="H2182" s="8">
        <f>IF(B2182="","",IF(ISNA(MATCH(B2182,Mitarbeiter!$A$6:$A$205,0)),"Pers.-Nr. unbekannt",IF(A2182="","Datum fehlt",IF(AND(D2182&lt;&gt;Einstellungen!$C$4,D2182&lt;&gt;Einstellungen!$C$5),"Objekt fehlt",IF(YEAR(A2182)&lt;&gt;Einstellungen!$C$3,"anderes Jahr",IF(A2182&lt;INDEX(Mitarbeiter!$C$6:$C$205,MATCH(B2182,Mitarbeiter!$A$6:$A$205,0)),"vor Eintritt",IF(AND(INDEX(Mitarbeiter!$D$6:$D$205,MATCH(B2182,Mitarbeiter!$A$6:$A$205,0))&lt;&gt;"",A2182&gt;INDEX(Mitarbeiter!$D$6:$D$205,MATCH(B2182,Mitarbeiter!$A$6:$A$205,0))),"nach Austritt","ok")))))))</f>
        <v/>
      </c>
    </row>
    <row r="2183">
      <c r="A2183" s="26" t="n"/>
      <c r="B2183" s="24" t="n"/>
      <c r="C2183" s="40">
        <f>IF(B2183="","",IFERROR(INDEX(Mitarbeiter!$B$6:$B$205,MATCH(B2183,Mitarbeiter!$A$6:$A$205,0)),"?"))</f>
        <v/>
      </c>
      <c r="D2183" s="41" t="n"/>
      <c r="E2183" s="42" t="n"/>
      <c r="F2183" s="43" t="n"/>
      <c r="G2183" s="44">
        <f>IF(OR(B2183="",F2183=""),"",IFERROR(F2183*INDEX(Mitarbeiter!$F$6:$F$205,MATCH(B2183,Mitarbeiter!$A$6:$A$205,0)),0))</f>
        <v/>
      </c>
      <c r="H2183" s="8">
        <f>IF(B2183="","",IF(ISNA(MATCH(B2183,Mitarbeiter!$A$6:$A$205,0)),"Pers.-Nr. unbekannt",IF(A2183="","Datum fehlt",IF(AND(D2183&lt;&gt;Einstellungen!$C$4,D2183&lt;&gt;Einstellungen!$C$5),"Objekt fehlt",IF(YEAR(A2183)&lt;&gt;Einstellungen!$C$3,"anderes Jahr",IF(A2183&lt;INDEX(Mitarbeiter!$C$6:$C$205,MATCH(B2183,Mitarbeiter!$A$6:$A$205,0)),"vor Eintritt",IF(AND(INDEX(Mitarbeiter!$D$6:$D$205,MATCH(B2183,Mitarbeiter!$A$6:$A$205,0))&lt;&gt;"",A2183&gt;INDEX(Mitarbeiter!$D$6:$D$205,MATCH(B2183,Mitarbeiter!$A$6:$A$205,0))),"nach Austritt","ok")))))))</f>
        <v/>
      </c>
    </row>
    <row r="2184">
      <c r="A2184" s="26" t="n"/>
      <c r="B2184" s="24" t="n"/>
      <c r="C2184" s="40">
        <f>IF(B2184="","",IFERROR(INDEX(Mitarbeiter!$B$6:$B$205,MATCH(B2184,Mitarbeiter!$A$6:$A$205,0)),"?"))</f>
        <v/>
      </c>
      <c r="D2184" s="41" t="n"/>
      <c r="E2184" s="42" t="n"/>
      <c r="F2184" s="43" t="n"/>
      <c r="G2184" s="44">
        <f>IF(OR(B2184="",F2184=""),"",IFERROR(F2184*INDEX(Mitarbeiter!$F$6:$F$205,MATCH(B2184,Mitarbeiter!$A$6:$A$205,0)),0))</f>
        <v/>
      </c>
      <c r="H2184" s="8">
        <f>IF(B2184="","",IF(ISNA(MATCH(B2184,Mitarbeiter!$A$6:$A$205,0)),"Pers.-Nr. unbekannt",IF(A2184="","Datum fehlt",IF(AND(D2184&lt;&gt;Einstellungen!$C$4,D2184&lt;&gt;Einstellungen!$C$5),"Objekt fehlt",IF(YEAR(A2184)&lt;&gt;Einstellungen!$C$3,"anderes Jahr",IF(A2184&lt;INDEX(Mitarbeiter!$C$6:$C$205,MATCH(B2184,Mitarbeiter!$A$6:$A$205,0)),"vor Eintritt",IF(AND(INDEX(Mitarbeiter!$D$6:$D$205,MATCH(B2184,Mitarbeiter!$A$6:$A$205,0))&lt;&gt;"",A2184&gt;INDEX(Mitarbeiter!$D$6:$D$205,MATCH(B2184,Mitarbeiter!$A$6:$A$205,0))),"nach Austritt","ok")))))))</f>
        <v/>
      </c>
    </row>
    <row r="2185">
      <c r="A2185" s="26" t="n"/>
      <c r="B2185" s="24" t="n"/>
      <c r="C2185" s="40">
        <f>IF(B2185="","",IFERROR(INDEX(Mitarbeiter!$B$6:$B$205,MATCH(B2185,Mitarbeiter!$A$6:$A$205,0)),"?"))</f>
        <v/>
      </c>
      <c r="D2185" s="41" t="n"/>
      <c r="E2185" s="42" t="n"/>
      <c r="F2185" s="43" t="n"/>
      <c r="G2185" s="44">
        <f>IF(OR(B2185="",F2185=""),"",IFERROR(F2185*INDEX(Mitarbeiter!$F$6:$F$205,MATCH(B2185,Mitarbeiter!$A$6:$A$205,0)),0))</f>
        <v/>
      </c>
      <c r="H2185" s="8">
        <f>IF(B2185="","",IF(ISNA(MATCH(B2185,Mitarbeiter!$A$6:$A$205,0)),"Pers.-Nr. unbekannt",IF(A2185="","Datum fehlt",IF(AND(D2185&lt;&gt;Einstellungen!$C$4,D2185&lt;&gt;Einstellungen!$C$5),"Objekt fehlt",IF(YEAR(A2185)&lt;&gt;Einstellungen!$C$3,"anderes Jahr",IF(A2185&lt;INDEX(Mitarbeiter!$C$6:$C$205,MATCH(B2185,Mitarbeiter!$A$6:$A$205,0)),"vor Eintritt",IF(AND(INDEX(Mitarbeiter!$D$6:$D$205,MATCH(B2185,Mitarbeiter!$A$6:$A$205,0))&lt;&gt;"",A2185&gt;INDEX(Mitarbeiter!$D$6:$D$205,MATCH(B2185,Mitarbeiter!$A$6:$A$205,0))),"nach Austritt","ok")))))))</f>
        <v/>
      </c>
    </row>
    <row r="2186">
      <c r="A2186" s="26" t="n"/>
      <c r="B2186" s="24" t="n"/>
      <c r="C2186" s="40">
        <f>IF(B2186="","",IFERROR(INDEX(Mitarbeiter!$B$6:$B$205,MATCH(B2186,Mitarbeiter!$A$6:$A$205,0)),"?"))</f>
        <v/>
      </c>
      <c r="D2186" s="41" t="n"/>
      <c r="E2186" s="42" t="n"/>
      <c r="F2186" s="43" t="n"/>
      <c r="G2186" s="44">
        <f>IF(OR(B2186="",F2186=""),"",IFERROR(F2186*INDEX(Mitarbeiter!$F$6:$F$205,MATCH(B2186,Mitarbeiter!$A$6:$A$205,0)),0))</f>
        <v/>
      </c>
      <c r="H2186" s="8">
        <f>IF(B2186="","",IF(ISNA(MATCH(B2186,Mitarbeiter!$A$6:$A$205,0)),"Pers.-Nr. unbekannt",IF(A2186="","Datum fehlt",IF(AND(D2186&lt;&gt;Einstellungen!$C$4,D2186&lt;&gt;Einstellungen!$C$5),"Objekt fehlt",IF(YEAR(A2186)&lt;&gt;Einstellungen!$C$3,"anderes Jahr",IF(A2186&lt;INDEX(Mitarbeiter!$C$6:$C$205,MATCH(B2186,Mitarbeiter!$A$6:$A$205,0)),"vor Eintritt",IF(AND(INDEX(Mitarbeiter!$D$6:$D$205,MATCH(B2186,Mitarbeiter!$A$6:$A$205,0))&lt;&gt;"",A2186&gt;INDEX(Mitarbeiter!$D$6:$D$205,MATCH(B2186,Mitarbeiter!$A$6:$A$205,0))),"nach Austritt","ok")))))))</f>
        <v/>
      </c>
    </row>
    <row r="2187">
      <c r="A2187" s="26" t="n"/>
      <c r="B2187" s="24" t="n"/>
      <c r="C2187" s="40">
        <f>IF(B2187="","",IFERROR(INDEX(Mitarbeiter!$B$6:$B$205,MATCH(B2187,Mitarbeiter!$A$6:$A$205,0)),"?"))</f>
        <v/>
      </c>
      <c r="D2187" s="41" t="n"/>
      <c r="E2187" s="42" t="n"/>
      <c r="F2187" s="43" t="n"/>
      <c r="G2187" s="44">
        <f>IF(OR(B2187="",F2187=""),"",IFERROR(F2187*INDEX(Mitarbeiter!$F$6:$F$205,MATCH(B2187,Mitarbeiter!$A$6:$A$205,0)),0))</f>
        <v/>
      </c>
      <c r="H2187" s="8">
        <f>IF(B2187="","",IF(ISNA(MATCH(B2187,Mitarbeiter!$A$6:$A$205,0)),"Pers.-Nr. unbekannt",IF(A2187="","Datum fehlt",IF(AND(D2187&lt;&gt;Einstellungen!$C$4,D2187&lt;&gt;Einstellungen!$C$5),"Objekt fehlt",IF(YEAR(A2187)&lt;&gt;Einstellungen!$C$3,"anderes Jahr",IF(A2187&lt;INDEX(Mitarbeiter!$C$6:$C$205,MATCH(B2187,Mitarbeiter!$A$6:$A$205,0)),"vor Eintritt",IF(AND(INDEX(Mitarbeiter!$D$6:$D$205,MATCH(B2187,Mitarbeiter!$A$6:$A$205,0))&lt;&gt;"",A2187&gt;INDEX(Mitarbeiter!$D$6:$D$205,MATCH(B2187,Mitarbeiter!$A$6:$A$205,0))),"nach Austritt","ok")))))))</f>
        <v/>
      </c>
    </row>
    <row r="2188">
      <c r="A2188" s="26" t="n"/>
      <c r="B2188" s="24" t="n"/>
      <c r="C2188" s="40">
        <f>IF(B2188="","",IFERROR(INDEX(Mitarbeiter!$B$6:$B$205,MATCH(B2188,Mitarbeiter!$A$6:$A$205,0)),"?"))</f>
        <v/>
      </c>
      <c r="D2188" s="41" t="n"/>
      <c r="E2188" s="42" t="n"/>
      <c r="F2188" s="43" t="n"/>
      <c r="G2188" s="44">
        <f>IF(OR(B2188="",F2188=""),"",IFERROR(F2188*INDEX(Mitarbeiter!$F$6:$F$205,MATCH(B2188,Mitarbeiter!$A$6:$A$205,0)),0))</f>
        <v/>
      </c>
      <c r="H2188" s="8">
        <f>IF(B2188="","",IF(ISNA(MATCH(B2188,Mitarbeiter!$A$6:$A$205,0)),"Pers.-Nr. unbekannt",IF(A2188="","Datum fehlt",IF(AND(D2188&lt;&gt;Einstellungen!$C$4,D2188&lt;&gt;Einstellungen!$C$5),"Objekt fehlt",IF(YEAR(A2188)&lt;&gt;Einstellungen!$C$3,"anderes Jahr",IF(A2188&lt;INDEX(Mitarbeiter!$C$6:$C$205,MATCH(B2188,Mitarbeiter!$A$6:$A$205,0)),"vor Eintritt",IF(AND(INDEX(Mitarbeiter!$D$6:$D$205,MATCH(B2188,Mitarbeiter!$A$6:$A$205,0))&lt;&gt;"",A2188&gt;INDEX(Mitarbeiter!$D$6:$D$205,MATCH(B2188,Mitarbeiter!$A$6:$A$205,0))),"nach Austritt","ok")))))))</f>
        <v/>
      </c>
    </row>
    <row r="2189">
      <c r="A2189" s="26" t="n"/>
      <c r="B2189" s="24" t="n"/>
      <c r="C2189" s="40">
        <f>IF(B2189="","",IFERROR(INDEX(Mitarbeiter!$B$6:$B$205,MATCH(B2189,Mitarbeiter!$A$6:$A$205,0)),"?"))</f>
        <v/>
      </c>
      <c r="D2189" s="41" t="n"/>
      <c r="E2189" s="42" t="n"/>
      <c r="F2189" s="43" t="n"/>
      <c r="G2189" s="44">
        <f>IF(OR(B2189="",F2189=""),"",IFERROR(F2189*INDEX(Mitarbeiter!$F$6:$F$205,MATCH(B2189,Mitarbeiter!$A$6:$A$205,0)),0))</f>
        <v/>
      </c>
      <c r="H2189" s="8">
        <f>IF(B2189="","",IF(ISNA(MATCH(B2189,Mitarbeiter!$A$6:$A$205,0)),"Pers.-Nr. unbekannt",IF(A2189="","Datum fehlt",IF(AND(D2189&lt;&gt;Einstellungen!$C$4,D2189&lt;&gt;Einstellungen!$C$5),"Objekt fehlt",IF(YEAR(A2189)&lt;&gt;Einstellungen!$C$3,"anderes Jahr",IF(A2189&lt;INDEX(Mitarbeiter!$C$6:$C$205,MATCH(B2189,Mitarbeiter!$A$6:$A$205,0)),"vor Eintritt",IF(AND(INDEX(Mitarbeiter!$D$6:$D$205,MATCH(B2189,Mitarbeiter!$A$6:$A$205,0))&lt;&gt;"",A2189&gt;INDEX(Mitarbeiter!$D$6:$D$205,MATCH(B2189,Mitarbeiter!$A$6:$A$205,0))),"nach Austritt","ok")))))))</f>
        <v/>
      </c>
    </row>
    <row r="2190">
      <c r="A2190" s="26" t="n"/>
      <c r="B2190" s="24" t="n"/>
      <c r="C2190" s="40">
        <f>IF(B2190="","",IFERROR(INDEX(Mitarbeiter!$B$6:$B$205,MATCH(B2190,Mitarbeiter!$A$6:$A$205,0)),"?"))</f>
        <v/>
      </c>
      <c r="D2190" s="41" t="n"/>
      <c r="E2190" s="42" t="n"/>
      <c r="F2190" s="43" t="n"/>
      <c r="G2190" s="44">
        <f>IF(OR(B2190="",F2190=""),"",IFERROR(F2190*INDEX(Mitarbeiter!$F$6:$F$205,MATCH(B2190,Mitarbeiter!$A$6:$A$205,0)),0))</f>
        <v/>
      </c>
      <c r="H2190" s="8">
        <f>IF(B2190="","",IF(ISNA(MATCH(B2190,Mitarbeiter!$A$6:$A$205,0)),"Pers.-Nr. unbekannt",IF(A2190="","Datum fehlt",IF(AND(D2190&lt;&gt;Einstellungen!$C$4,D2190&lt;&gt;Einstellungen!$C$5),"Objekt fehlt",IF(YEAR(A2190)&lt;&gt;Einstellungen!$C$3,"anderes Jahr",IF(A2190&lt;INDEX(Mitarbeiter!$C$6:$C$205,MATCH(B2190,Mitarbeiter!$A$6:$A$205,0)),"vor Eintritt",IF(AND(INDEX(Mitarbeiter!$D$6:$D$205,MATCH(B2190,Mitarbeiter!$A$6:$A$205,0))&lt;&gt;"",A2190&gt;INDEX(Mitarbeiter!$D$6:$D$205,MATCH(B2190,Mitarbeiter!$A$6:$A$205,0))),"nach Austritt","ok")))))))</f>
        <v/>
      </c>
    </row>
    <row r="2191">
      <c r="A2191" s="26" t="n"/>
      <c r="B2191" s="24" t="n"/>
      <c r="C2191" s="40">
        <f>IF(B2191="","",IFERROR(INDEX(Mitarbeiter!$B$6:$B$205,MATCH(B2191,Mitarbeiter!$A$6:$A$205,0)),"?"))</f>
        <v/>
      </c>
      <c r="D2191" s="41" t="n"/>
      <c r="E2191" s="42" t="n"/>
      <c r="F2191" s="43" t="n"/>
      <c r="G2191" s="44">
        <f>IF(OR(B2191="",F2191=""),"",IFERROR(F2191*INDEX(Mitarbeiter!$F$6:$F$205,MATCH(B2191,Mitarbeiter!$A$6:$A$205,0)),0))</f>
        <v/>
      </c>
      <c r="H2191" s="8">
        <f>IF(B2191="","",IF(ISNA(MATCH(B2191,Mitarbeiter!$A$6:$A$205,0)),"Pers.-Nr. unbekannt",IF(A2191="","Datum fehlt",IF(AND(D2191&lt;&gt;Einstellungen!$C$4,D2191&lt;&gt;Einstellungen!$C$5),"Objekt fehlt",IF(YEAR(A2191)&lt;&gt;Einstellungen!$C$3,"anderes Jahr",IF(A2191&lt;INDEX(Mitarbeiter!$C$6:$C$205,MATCH(B2191,Mitarbeiter!$A$6:$A$205,0)),"vor Eintritt",IF(AND(INDEX(Mitarbeiter!$D$6:$D$205,MATCH(B2191,Mitarbeiter!$A$6:$A$205,0))&lt;&gt;"",A2191&gt;INDEX(Mitarbeiter!$D$6:$D$205,MATCH(B2191,Mitarbeiter!$A$6:$A$205,0))),"nach Austritt","ok")))))))</f>
        <v/>
      </c>
    </row>
    <row r="2192">
      <c r="A2192" s="26" t="n"/>
      <c r="B2192" s="24" t="n"/>
      <c r="C2192" s="40">
        <f>IF(B2192="","",IFERROR(INDEX(Mitarbeiter!$B$6:$B$205,MATCH(B2192,Mitarbeiter!$A$6:$A$205,0)),"?"))</f>
        <v/>
      </c>
      <c r="D2192" s="41" t="n"/>
      <c r="E2192" s="42" t="n"/>
      <c r="F2192" s="43" t="n"/>
      <c r="G2192" s="44">
        <f>IF(OR(B2192="",F2192=""),"",IFERROR(F2192*INDEX(Mitarbeiter!$F$6:$F$205,MATCH(B2192,Mitarbeiter!$A$6:$A$205,0)),0))</f>
        <v/>
      </c>
      <c r="H2192" s="8">
        <f>IF(B2192="","",IF(ISNA(MATCH(B2192,Mitarbeiter!$A$6:$A$205,0)),"Pers.-Nr. unbekannt",IF(A2192="","Datum fehlt",IF(AND(D2192&lt;&gt;Einstellungen!$C$4,D2192&lt;&gt;Einstellungen!$C$5),"Objekt fehlt",IF(YEAR(A2192)&lt;&gt;Einstellungen!$C$3,"anderes Jahr",IF(A2192&lt;INDEX(Mitarbeiter!$C$6:$C$205,MATCH(B2192,Mitarbeiter!$A$6:$A$205,0)),"vor Eintritt",IF(AND(INDEX(Mitarbeiter!$D$6:$D$205,MATCH(B2192,Mitarbeiter!$A$6:$A$205,0))&lt;&gt;"",A2192&gt;INDEX(Mitarbeiter!$D$6:$D$205,MATCH(B2192,Mitarbeiter!$A$6:$A$205,0))),"nach Austritt","ok")))))))</f>
        <v/>
      </c>
    </row>
    <row r="2193">
      <c r="A2193" s="26" t="n"/>
      <c r="B2193" s="24" t="n"/>
      <c r="C2193" s="40">
        <f>IF(B2193="","",IFERROR(INDEX(Mitarbeiter!$B$6:$B$205,MATCH(B2193,Mitarbeiter!$A$6:$A$205,0)),"?"))</f>
        <v/>
      </c>
      <c r="D2193" s="41" t="n"/>
      <c r="E2193" s="42" t="n"/>
      <c r="F2193" s="43" t="n"/>
      <c r="G2193" s="44">
        <f>IF(OR(B2193="",F2193=""),"",IFERROR(F2193*INDEX(Mitarbeiter!$F$6:$F$205,MATCH(B2193,Mitarbeiter!$A$6:$A$205,0)),0))</f>
        <v/>
      </c>
      <c r="H2193" s="8">
        <f>IF(B2193="","",IF(ISNA(MATCH(B2193,Mitarbeiter!$A$6:$A$205,0)),"Pers.-Nr. unbekannt",IF(A2193="","Datum fehlt",IF(AND(D2193&lt;&gt;Einstellungen!$C$4,D2193&lt;&gt;Einstellungen!$C$5),"Objekt fehlt",IF(YEAR(A2193)&lt;&gt;Einstellungen!$C$3,"anderes Jahr",IF(A2193&lt;INDEX(Mitarbeiter!$C$6:$C$205,MATCH(B2193,Mitarbeiter!$A$6:$A$205,0)),"vor Eintritt",IF(AND(INDEX(Mitarbeiter!$D$6:$D$205,MATCH(B2193,Mitarbeiter!$A$6:$A$205,0))&lt;&gt;"",A2193&gt;INDEX(Mitarbeiter!$D$6:$D$205,MATCH(B2193,Mitarbeiter!$A$6:$A$205,0))),"nach Austritt","ok")))))))</f>
        <v/>
      </c>
    </row>
    <row r="2194">
      <c r="A2194" s="26" t="n"/>
      <c r="B2194" s="24" t="n"/>
      <c r="C2194" s="40">
        <f>IF(B2194="","",IFERROR(INDEX(Mitarbeiter!$B$6:$B$205,MATCH(B2194,Mitarbeiter!$A$6:$A$205,0)),"?"))</f>
        <v/>
      </c>
      <c r="D2194" s="41" t="n"/>
      <c r="E2194" s="42" t="n"/>
      <c r="F2194" s="43" t="n"/>
      <c r="G2194" s="44">
        <f>IF(OR(B2194="",F2194=""),"",IFERROR(F2194*INDEX(Mitarbeiter!$F$6:$F$205,MATCH(B2194,Mitarbeiter!$A$6:$A$205,0)),0))</f>
        <v/>
      </c>
      <c r="H2194" s="8">
        <f>IF(B2194="","",IF(ISNA(MATCH(B2194,Mitarbeiter!$A$6:$A$205,0)),"Pers.-Nr. unbekannt",IF(A2194="","Datum fehlt",IF(AND(D2194&lt;&gt;Einstellungen!$C$4,D2194&lt;&gt;Einstellungen!$C$5),"Objekt fehlt",IF(YEAR(A2194)&lt;&gt;Einstellungen!$C$3,"anderes Jahr",IF(A2194&lt;INDEX(Mitarbeiter!$C$6:$C$205,MATCH(B2194,Mitarbeiter!$A$6:$A$205,0)),"vor Eintritt",IF(AND(INDEX(Mitarbeiter!$D$6:$D$205,MATCH(B2194,Mitarbeiter!$A$6:$A$205,0))&lt;&gt;"",A2194&gt;INDEX(Mitarbeiter!$D$6:$D$205,MATCH(B2194,Mitarbeiter!$A$6:$A$205,0))),"nach Austritt","ok")))))))</f>
        <v/>
      </c>
    </row>
    <row r="2195">
      <c r="A2195" s="26" t="n"/>
      <c r="B2195" s="24" t="n"/>
      <c r="C2195" s="40">
        <f>IF(B2195="","",IFERROR(INDEX(Mitarbeiter!$B$6:$B$205,MATCH(B2195,Mitarbeiter!$A$6:$A$205,0)),"?"))</f>
        <v/>
      </c>
      <c r="D2195" s="41" t="n"/>
      <c r="E2195" s="42" t="n"/>
      <c r="F2195" s="43" t="n"/>
      <c r="G2195" s="44">
        <f>IF(OR(B2195="",F2195=""),"",IFERROR(F2195*INDEX(Mitarbeiter!$F$6:$F$205,MATCH(B2195,Mitarbeiter!$A$6:$A$205,0)),0))</f>
        <v/>
      </c>
      <c r="H2195" s="8">
        <f>IF(B2195="","",IF(ISNA(MATCH(B2195,Mitarbeiter!$A$6:$A$205,0)),"Pers.-Nr. unbekannt",IF(A2195="","Datum fehlt",IF(AND(D2195&lt;&gt;Einstellungen!$C$4,D2195&lt;&gt;Einstellungen!$C$5),"Objekt fehlt",IF(YEAR(A2195)&lt;&gt;Einstellungen!$C$3,"anderes Jahr",IF(A2195&lt;INDEX(Mitarbeiter!$C$6:$C$205,MATCH(B2195,Mitarbeiter!$A$6:$A$205,0)),"vor Eintritt",IF(AND(INDEX(Mitarbeiter!$D$6:$D$205,MATCH(B2195,Mitarbeiter!$A$6:$A$205,0))&lt;&gt;"",A2195&gt;INDEX(Mitarbeiter!$D$6:$D$205,MATCH(B2195,Mitarbeiter!$A$6:$A$205,0))),"nach Austritt","ok")))))))</f>
        <v/>
      </c>
    </row>
    <row r="2196">
      <c r="A2196" s="26" t="n"/>
      <c r="B2196" s="24" t="n"/>
      <c r="C2196" s="40">
        <f>IF(B2196="","",IFERROR(INDEX(Mitarbeiter!$B$6:$B$205,MATCH(B2196,Mitarbeiter!$A$6:$A$205,0)),"?"))</f>
        <v/>
      </c>
      <c r="D2196" s="41" t="n"/>
      <c r="E2196" s="42" t="n"/>
      <c r="F2196" s="43" t="n"/>
      <c r="G2196" s="44">
        <f>IF(OR(B2196="",F2196=""),"",IFERROR(F2196*INDEX(Mitarbeiter!$F$6:$F$205,MATCH(B2196,Mitarbeiter!$A$6:$A$205,0)),0))</f>
        <v/>
      </c>
      <c r="H2196" s="8">
        <f>IF(B2196="","",IF(ISNA(MATCH(B2196,Mitarbeiter!$A$6:$A$205,0)),"Pers.-Nr. unbekannt",IF(A2196="","Datum fehlt",IF(AND(D2196&lt;&gt;Einstellungen!$C$4,D2196&lt;&gt;Einstellungen!$C$5),"Objekt fehlt",IF(YEAR(A2196)&lt;&gt;Einstellungen!$C$3,"anderes Jahr",IF(A2196&lt;INDEX(Mitarbeiter!$C$6:$C$205,MATCH(B2196,Mitarbeiter!$A$6:$A$205,0)),"vor Eintritt",IF(AND(INDEX(Mitarbeiter!$D$6:$D$205,MATCH(B2196,Mitarbeiter!$A$6:$A$205,0))&lt;&gt;"",A2196&gt;INDEX(Mitarbeiter!$D$6:$D$205,MATCH(B2196,Mitarbeiter!$A$6:$A$205,0))),"nach Austritt","ok")))))))</f>
        <v/>
      </c>
    </row>
    <row r="2197">
      <c r="A2197" s="26" t="n"/>
      <c r="B2197" s="24" t="n"/>
      <c r="C2197" s="40">
        <f>IF(B2197="","",IFERROR(INDEX(Mitarbeiter!$B$6:$B$205,MATCH(B2197,Mitarbeiter!$A$6:$A$205,0)),"?"))</f>
        <v/>
      </c>
      <c r="D2197" s="41" t="n"/>
      <c r="E2197" s="42" t="n"/>
      <c r="F2197" s="43" t="n"/>
      <c r="G2197" s="44">
        <f>IF(OR(B2197="",F2197=""),"",IFERROR(F2197*INDEX(Mitarbeiter!$F$6:$F$205,MATCH(B2197,Mitarbeiter!$A$6:$A$205,0)),0))</f>
        <v/>
      </c>
      <c r="H2197" s="8">
        <f>IF(B2197="","",IF(ISNA(MATCH(B2197,Mitarbeiter!$A$6:$A$205,0)),"Pers.-Nr. unbekannt",IF(A2197="","Datum fehlt",IF(AND(D2197&lt;&gt;Einstellungen!$C$4,D2197&lt;&gt;Einstellungen!$C$5),"Objekt fehlt",IF(YEAR(A2197)&lt;&gt;Einstellungen!$C$3,"anderes Jahr",IF(A2197&lt;INDEX(Mitarbeiter!$C$6:$C$205,MATCH(B2197,Mitarbeiter!$A$6:$A$205,0)),"vor Eintritt",IF(AND(INDEX(Mitarbeiter!$D$6:$D$205,MATCH(B2197,Mitarbeiter!$A$6:$A$205,0))&lt;&gt;"",A2197&gt;INDEX(Mitarbeiter!$D$6:$D$205,MATCH(B2197,Mitarbeiter!$A$6:$A$205,0))),"nach Austritt","ok")))))))</f>
        <v/>
      </c>
    </row>
    <row r="2198">
      <c r="A2198" s="26" t="n"/>
      <c r="B2198" s="24" t="n"/>
      <c r="C2198" s="40">
        <f>IF(B2198="","",IFERROR(INDEX(Mitarbeiter!$B$6:$B$205,MATCH(B2198,Mitarbeiter!$A$6:$A$205,0)),"?"))</f>
        <v/>
      </c>
      <c r="D2198" s="41" t="n"/>
      <c r="E2198" s="42" t="n"/>
      <c r="F2198" s="43" t="n"/>
      <c r="G2198" s="44">
        <f>IF(OR(B2198="",F2198=""),"",IFERROR(F2198*INDEX(Mitarbeiter!$F$6:$F$205,MATCH(B2198,Mitarbeiter!$A$6:$A$205,0)),0))</f>
        <v/>
      </c>
      <c r="H2198" s="8">
        <f>IF(B2198="","",IF(ISNA(MATCH(B2198,Mitarbeiter!$A$6:$A$205,0)),"Pers.-Nr. unbekannt",IF(A2198="","Datum fehlt",IF(AND(D2198&lt;&gt;Einstellungen!$C$4,D2198&lt;&gt;Einstellungen!$C$5),"Objekt fehlt",IF(YEAR(A2198)&lt;&gt;Einstellungen!$C$3,"anderes Jahr",IF(A2198&lt;INDEX(Mitarbeiter!$C$6:$C$205,MATCH(B2198,Mitarbeiter!$A$6:$A$205,0)),"vor Eintritt",IF(AND(INDEX(Mitarbeiter!$D$6:$D$205,MATCH(B2198,Mitarbeiter!$A$6:$A$205,0))&lt;&gt;"",A2198&gt;INDEX(Mitarbeiter!$D$6:$D$205,MATCH(B2198,Mitarbeiter!$A$6:$A$205,0))),"nach Austritt","ok")))))))</f>
        <v/>
      </c>
    </row>
    <row r="2199">
      <c r="A2199" s="26" t="n"/>
      <c r="B2199" s="24" t="n"/>
      <c r="C2199" s="40">
        <f>IF(B2199="","",IFERROR(INDEX(Mitarbeiter!$B$6:$B$205,MATCH(B2199,Mitarbeiter!$A$6:$A$205,0)),"?"))</f>
        <v/>
      </c>
      <c r="D2199" s="41" t="n"/>
      <c r="E2199" s="42" t="n"/>
      <c r="F2199" s="43" t="n"/>
      <c r="G2199" s="44">
        <f>IF(OR(B2199="",F2199=""),"",IFERROR(F2199*INDEX(Mitarbeiter!$F$6:$F$205,MATCH(B2199,Mitarbeiter!$A$6:$A$205,0)),0))</f>
        <v/>
      </c>
      <c r="H2199" s="8">
        <f>IF(B2199="","",IF(ISNA(MATCH(B2199,Mitarbeiter!$A$6:$A$205,0)),"Pers.-Nr. unbekannt",IF(A2199="","Datum fehlt",IF(AND(D2199&lt;&gt;Einstellungen!$C$4,D2199&lt;&gt;Einstellungen!$C$5),"Objekt fehlt",IF(YEAR(A2199)&lt;&gt;Einstellungen!$C$3,"anderes Jahr",IF(A2199&lt;INDEX(Mitarbeiter!$C$6:$C$205,MATCH(B2199,Mitarbeiter!$A$6:$A$205,0)),"vor Eintritt",IF(AND(INDEX(Mitarbeiter!$D$6:$D$205,MATCH(B2199,Mitarbeiter!$A$6:$A$205,0))&lt;&gt;"",A2199&gt;INDEX(Mitarbeiter!$D$6:$D$205,MATCH(B2199,Mitarbeiter!$A$6:$A$205,0))),"nach Austritt","ok")))))))</f>
        <v/>
      </c>
    </row>
    <row r="2200">
      <c r="A2200" s="26" t="n"/>
      <c r="B2200" s="24" t="n"/>
      <c r="C2200" s="40">
        <f>IF(B2200="","",IFERROR(INDEX(Mitarbeiter!$B$6:$B$205,MATCH(B2200,Mitarbeiter!$A$6:$A$205,0)),"?"))</f>
        <v/>
      </c>
      <c r="D2200" s="41" t="n"/>
      <c r="E2200" s="42" t="n"/>
      <c r="F2200" s="43" t="n"/>
      <c r="G2200" s="44">
        <f>IF(OR(B2200="",F2200=""),"",IFERROR(F2200*INDEX(Mitarbeiter!$F$6:$F$205,MATCH(B2200,Mitarbeiter!$A$6:$A$205,0)),0))</f>
        <v/>
      </c>
      <c r="H2200" s="8">
        <f>IF(B2200="","",IF(ISNA(MATCH(B2200,Mitarbeiter!$A$6:$A$205,0)),"Pers.-Nr. unbekannt",IF(A2200="","Datum fehlt",IF(AND(D2200&lt;&gt;Einstellungen!$C$4,D2200&lt;&gt;Einstellungen!$C$5),"Objekt fehlt",IF(YEAR(A2200)&lt;&gt;Einstellungen!$C$3,"anderes Jahr",IF(A2200&lt;INDEX(Mitarbeiter!$C$6:$C$205,MATCH(B2200,Mitarbeiter!$A$6:$A$205,0)),"vor Eintritt",IF(AND(INDEX(Mitarbeiter!$D$6:$D$205,MATCH(B2200,Mitarbeiter!$A$6:$A$205,0))&lt;&gt;"",A2200&gt;INDEX(Mitarbeiter!$D$6:$D$205,MATCH(B2200,Mitarbeiter!$A$6:$A$205,0))),"nach Austritt","ok")))))))</f>
        <v/>
      </c>
    </row>
    <row r="2201">
      <c r="A2201" s="26" t="n"/>
      <c r="B2201" s="24" t="n"/>
      <c r="C2201" s="40">
        <f>IF(B2201="","",IFERROR(INDEX(Mitarbeiter!$B$6:$B$205,MATCH(B2201,Mitarbeiter!$A$6:$A$205,0)),"?"))</f>
        <v/>
      </c>
      <c r="D2201" s="41" t="n"/>
      <c r="E2201" s="42" t="n"/>
      <c r="F2201" s="43" t="n"/>
      <c r="G2201" s="44">
        <f>IF(OR(B2201="",F2201=""),"",IFERROR(F2201*INDEX(Mitarbeiter!$F$6:$F$205,MATCH(B2201,Mitarbeiter!$A$6:$A$205,0)),0))</f>
        <v/>
      </c>
      <c r="H2201" s="8">
        <f>IF(B2201="","",IF(ISNA(MATCH(B2201,Mitarbeiter!$A$6:$A$205,0)),"Pers.-Nr. unbekannt",IF(A2201="","Datum fehlt",IF(AND(D2201&lt;&gt;Einstellungen!$C$4,D2201&lt;&gt;Einstellungen!$C$5),"Objekt fehlt",IF(YEAR(A2201)&lt;&gt;Einstellungen!$C$3,"anderes Jahr",IF(A2201&lt;INDEX(Mitarbeiter!$C$6:$C$205,MATCH(B2201,Mitarbeiter!$A$6:$A$205,0)),"vor Eintritt",IF(AND(INDEX(Mitarbeiter!$D$6:$D$205,MATCH(B2201,Mitarbeiter!$A$6:$A$205,0))&lt;&gt;"",A2201&gt;INDEX(Mitarbeiter!$D$6:$D$205,MATCH(B2201,Mitarbeiter!$A$6:$A$205,0))),"nach Austritt","ok")))))))</f>
        <v/>
      </c>
    </row>
    <row r="2202">
      <c r="A2202" s="26" t="n"/>
      <c r="B2202" s="24" t="n"/>
      <c r="C2202" s="40">
        <f>IF(B2202="","",IFERROR(INDEX(Mitarbeiter!$B$6:$B$205,MATCH(B2202,Mitarbeiter!$A$6:$A$205,0)),"?"))</f>
        <v/>
      </c>
      <c r="D2202" s="41" t="n"/>
      <c r="E2202" s="42" t="n"/>
      <c r="F2202" s="43" t="n"/>
      <c r="G2202" s="44">
        <f>IF(OR(B2202="",F2202=""),"",IFERROR(F2202*INDEX(Mitarbeiter!$F$6:$F$205,MATCH(B2202,Mitarbeiter!$A$6:$A$205,0)),0))</f>
        <v/>
      </c>
      <c r="H2202" s="8">
        <f>IF(B2202="","",IF(ISNA(MATCH(B2202,Mitarbeiter!$A$6:$A$205,0)),"Pers.-Nr. unbekannt",IF(A2202="","Datum fehlt",IF(AND(D2202&lt;&gt;Einstellungen!$C$4,D2202&lt;&gt;Einstellungen!$C$5),"Objekt fehlt",IF(YEAR(A2202)&lt;&gt;Einstellungen!$C$3,"anderes Jahr",IF(A2202&lt;INDEX(Mitarbeiter!$C$6:$C$205,MATCH(B2202,Mitarbeiter!$A$6:$A$205,0)),"vor Eintritt",IF(AND(INDEX(Mitarbeiter!$D$6:$D$205,MATCH(B2202,Mitarbeiter!$A$6:$A$205,0))&lt;&gt;"",A2202&gt;INDEX(Mitarbeiter!$D$6:$D$205,MATCH(B2202,Mitarbeiter!$A$6:$A$205,0))),"nach Austritt","ok")))))))</f>
        <v/>
      </c>
    </row>
    <row r="2203">
      <c r="A2203" s="26" t="n"/>
      <c r="B2203" s="24" t="n"/>
      <c r="C2203" s="40">
        <f>IF(B2203="","",IFERROR(INDEX(Mitarbeiter!$B$6:$B$205,MATCH(B2203,Mitarbeiter!$A$6:$A$205,0)),"?"))</f>
        <v/>
      </c>
      <c r="D2203" s="41" t="n"/>
      <c r="E2203" s="42" t="n"/>
      <c r="F2203" s="43" t="n"/>
      <c r="G2203" s="44">
        <f>IF(OR(B2203="",F2203=""),"",IFERROR(F2203*INDEX(Mitarbeiter!$F$6:$F$205,MATCH(B2203,Mitarbeiter!$A$6:$A$205,0)),0))</f>
        <v/>
      </c>
      <c r="H2203" s="8">
        <f>IF(B2203="","",IF(ISNA(MATCH(B2203,Mitarbeiter!$A$6:$A$205,0)),"Pers.-Nr. unbekannt",IF(A2203="","Datum fehlt",IF(AND(D2203&lt;&gt;Einstellungen!$C$4,D2203&lt;&gt;Einstellungen!$C$5),"Objekt fehlt",IF(YEAR(A2203)&lt;&gt;Einstellungen!$C$3,"anderes Jahr",IF(A2203&lt;INDEX(Mitarbeiter!$C$6:$C$205,MATCH(B2203,Mitarbeiter!$A$6:$A$205,0)),"vor Eintritt",IF(AND(INDEX(Mitarbeiter!$D$6:$D$205,MATCH(B2203,Mitarbeiter!$A$6:$A$205,0))&lt;&gt;"",A2203&gt;INDEX(Mitarbeiter!$D$6:$D$205,MATCH(B2203,Mitarbeiter!$A$6:$A$205,0))),"nach Austritt","ok")))))))</f>
        <v/>
      </c>
    </row>
    <row r="2204">
      <c r="A2204" s="26" t="n"/>
      <c r="B2204" s="24" t="n"/>
      <c r="C2204" s="40">
        <f>IF(B2204="","",IFERROR(INDEX(Mitarbeiter!$B$6:$B$205,MATCH(B2204,Mitarbeiter!$A$6:$A$205,0)),"?"))</f>
        <v/>
      </c>
      <c r="D2204" s="41" t="n"/>
      <c r="E2204" s="42" t="n"/>
      <c r="F2204" s="43" t="n"/>
      <c r="G2204" s="44">
        <f>IF(OR(B2204="",F2204=""),"",IFERROR(F2204*INDEX(Mitarbeiter!$F$6:$F$205,MATCH(B2204,Mitarbeiter!$A$6:$A$205,0)),0))</f>
        <v/>
      </c>
      <c r="H2204" s="8">
        <f>IF(B2204="","",IF(ISNA(MATCH(B2204,Mitarbeiter!$A$6:$A$205,0)),"Pers.-Nr. unbekannt",IF(A2204="","Datum fehlt",IF(AND(D2204&lt;&gt;Einstellungen!$C$4,D2204&lt;&gt;Einstellungen!$C$5),"Objekt fehlt",IF(YEAR(A2204)&lt;&gt;Einstellungen!$C$3,"anderes Jahr",IF(A2204&lt;INDEX(Mitarbeiter!$C$6:$C$205,MATCH(B2204,Mitarbeiter!$A$6:$A$205,0)),"vor Eintritt",IF(AND(INDEX(Mitarbeiter!$D$6:$D$205,MATCH(B2204,Mitarbeiter!$A$6:$A$205,0))&lt;&gt;"",A2204&gt;INDEX(Mitarbeiter!$D$6:$D$205,MATCH(B2204,Mitarbeiter!$A$6:$A$205,0))),"nach Austritt","ok")))))))</f>
        <v/>
      </c>
    </row>
    <row r="2205">
      <c r="A2205" s="26" t="n"/>
      <c r="B2205" s="24" t="n"/>
      <c r="C2205" s="40">
        <f>IF(B2205="","",IFERROR(INDEX(Mitarbeiter!$B$6:$B$205,MATCH(B2205,Mitarbeiter!$A$6:$A$205,0)),"?"))</f>
        <v/>
      </c>
      <c r="D2205" s="41" t="n"/>
      <c r="E2205" s="42" t="n"/>
      <c r="F2205" s="43" t="n"/>
      <c r="G2205" s="44">
        <f>IF(OR(B2205="",F2205=""),"",IFERROR(F2205*INDEX(Mitarbeiter!$F$6:$F$205,MATCH(B2205,Mitarbeiter!$A$6:$A$205,0)),0))</f>
        <v/>
      </c>
      <c r="H2205" s="8">
        <f>IF(B2205="","",IF(ISNA(MATCH(B2205,Mitarbeiter!$A$6:$A$205,0)),"Pers.-Nr. unbekannt",IF(A2205="","Datum fehlt",IF(AND(D2205&lt;&gt;Einstellungen!$C$4,D2205&lt;&gt;Einstellungen!$C$5),"Objekt fehlt",IF(YEAR(A2205)&lt;&gt;Einstellungen!$C$3,"anderes Jahr",IF(A2205&lt;INDEX(Mitarbeiter!$C$6:$C$205,MATCH(B2205,Mitarbeiter!$A$6:$A$205,0)),"vor Eintritt",IF(AND(INDEX(Mitarbeiter!$D$6:$D$205,MATCH(B2205,Mitarbeiter!$A$6:$A$205,0))&lt;&gt;"",A2205&gt;INDEX(Mitarbeiter!$D$6:$D$205,MATCH(B2205,Mitarbeiter!$A$6:$A$205,0))),"nach Austritt","ok")))))))</f>
        <v/>
      </c>
    </row>
    <row r="2206">
      <c r="A2206" s="26" t="n"/>
      <c r="B2206" s="24" t="n"/>
      <c r="C2206" s="40">
        <f>IF(B2206="","",IFERROR(INDEX(Mitarbeiter!$B$6:$B$205,MATCH(B2206,Mitarbeiter!$A$6:$A$205,0)),"?"))</f>
        <v/>
      </c>
      <c r="D2206" s="41" t="n"/>
      <c r="E2206" s="42" t="n"/>
      <c r="F2206" s="43" t="n"/>
      <c r="G2206" s="44">
        <f>IF(OR(B2206="",F2206=""),"",IFERROR(F2206*INDEX(Mitarbeiter!$F$6:$F$205,MATCH(B2206,Mitarbeiter!$A$6:$A$205,0)),0))</f>
        <v/>
      </c>
      <c r="H2206" s="8">
        <f>IF(B2206="","",IF(ISNA(MATCH(B2206,Mitarbeiter!$A$6:$A$205,0)),"Pers.-Nr. unbekannt",IF(A2206="","Datum fehlt",IF(AND(D2206&lt;&gt;Einstellungen!$C$4,D2206&lt;&gt;Einstellungen!$C$5),"Objekt fehlt",IF(YEAR(A2206)&lt;&gt;Einstellungen!$C$3,"anderes Jahr",IF(A2206&lt;INDEX(Mitarbeiter!$C$6:$C$205,MATCH(B2206,Mitarbeiter!$A$6:$A$205,0)),"vor Eintritt",IF(AND(INDEX(Mitarbeiter!$D$6:$D$205,MATCH(B2206,Mitarbeiter!$A$6:$A$205,0))&lt;&gt;"",A2206&gt;INDEX(Mitarbeiter!$D$6:$D$205,MATCH(B2206,Mitarbeiter!$A$6:$A$205,0))),"nach Austritt","ok")))))))</f>
        <v/>
      </c>
    </row>
    <row r="2207">
      <c r="A2207" s="26" t="n"/>
      <c r="B2207" s="24" t="n"/>
      <c r="C2207" s="40">
        <f>IF(B2207="","",IFERROR(INDEX(Mitarbeiter!$B$6:$B$205,MATCH(B2207,Mitarbeiter!$A$6:$A$205,0)),"?"))</f>
        <v/>
      </c>
      <c r="D2207" s="41" t="n"/>
      <c r="E2207" s="42" t="n"/>
      <c r="F2207" s="43" t="n"/>
      <c r="G2207" s="44">
        <f>IF(OR(B2207="",F2207=""),"",IFERROR(F2207*INDEX(Mitarbeiter!$F$6:$F$205,MATCH(B2207,Mitarbeiter!$A$6:$A$205,0)),0))</f>
        <v/>
      </c>
      <c r="H2207" s="8">
        <f>IF(B2207="","",IF(ISNA(MATCH(B2207,Mitarbeiter!$A$6:$A$205,0)),"Pers.-Nr. unbekannt",IF(A2207="","Datum fehlt",IF(AND(D2207&lt;&gt;Einstellungen!$C$4,D2207&lt;&gt;Einstellungen!$C$5),"Objekt fehlt",IF(YEAR(A2207)&lt;&gt;Einstellungen!$C$3,"anderes Jahr",IF(A2207&lt;INDEX(Mitarbeiter!$C$6:$C$205,MATCH(B2207,Mitarbeiter!$A$6:$A$205,0)),"vor Eintritt",IF(AND(INDEX(Mitarbeiter!$D$6:$D$205,MATCH(B2207,Mitarbeiter!$A$6:$A$205,0))&lt;&gt;"",A2207&gt;INDEX(Mitarbeiter!$D$6:$D$205,MATCH(B2207,Mitarbeiter!$A$6:$A$205,0))),"nach Austritt","ok")))))))</f>
        <v/>
      </c>
    </row>
    <row r="2208">
      <c r="A2208" s="26" t="n"/>
      <c r="B2208" s="24" t="n"/>
      <c r="C2208" s="40">
        <f>IF(B2208="","",IFERROR(INDEX(Mitarbeiter!$B$6:$B$205,MATCH(B2208,Mitarbeiter!$A$6:$A$205,0)),"?"))</f>
        <v/>
      </c>
      <c r="D2208" s="41" t="n"/>
      <c r="E2208" s="42" t="n"/>
      <c r="F2208" s="43" t="n"/>
      <c r="G2208" s="44">
        <f>IF(OR(B2208="",F2208=""),"",IFERROR(F2208*INDEX(Mitarbeiter!$F$6:$F$205,MATCH(B2208,Mitarbeiter!$A$6:$A$205,0)),0))</f>
        <v/>
      </c>
      <c r="H2208" s="8">
        <f>IF(B2208="","",IF(ISNA(MATCH(B2208,Mitarbeiter!$A$6:$A$205,0)),"Pers.-Nr. unbekannt",IF(A2208="","Datum fehlt",IF(AND(D2208&lt;&gt;Einstellungen!$C$4,D2208&lt;&gt;Einstellungen!$C$5),"Objekt fehlt",IF(YEAR(A2208)&lt;&gt;Einstellungen!$C$3,"anderes Jahr",IF(A2208&lt;INDEX(Mitarbeiter!$C$6:$C$205,MATCH(B2208,Mitarbeiter!$A$6:$A$205,0)),"vor Eintritt",IF(AND(INDEX(Mitarbeiter!$D$6:$D$205,MATCH(B2208,Mitarbeiter!$A$6:$A$205,0))&lt;&gt;"",A2208&gt;INDEX(Mitarbeiter!$D$6:$D$205,MATCH(B2208,Mitarbeiter!$A$6:$A$205,0))),"nach Austritt","ok")))))))</f>
        <v/>
      </c>
    </row>
    <row r="2209">
      <c r="A2209" s="26" t="n"/>
      <c r="B2209" s="24" t="n"/>
      <c r="C2209" s="40">
        <f>IF(B2209="","",IFERROR(INDEX(Mitarbeiter!$B$6:$B$205,MATCH(B2209,Mitarbeiter!$A$6:$A$205,0)),"?"))</f>
        <v/>
      </c>
      <c r="D2209" s="41" t="n"/>
      <c r="E2209" s="42" t="n"/>
      <c r="F2209" s="43" t="n"/>
      <c r="G2209" s="44">
        <f>IF(OR(B2209="",F2209=""),"",IFERROR(F2209*INDEX(Mitarbeiter!$F$6:$F$205,MATCH(B2209,Mitarbeiter!$A$6:$A$205,0)),0))</f>
        <v/>
      </c>
      <c r="H2209" s="8">
        <f>IF(B2209="","",IF(ISNA(MATCH(B2209,Mitarbeiter!$A$6:$A$205,0)),"Pers.-Nr. unbekannt",IF(A2209="","Datum fehlt",IF(AND(D2209&lt;&gt;Einstellungen!$C$4,D2209&lt;&gt;Einstellungen!$C$5),"Objekt fehlt",IF(YEAR(A2209)&lt;&gt;Einstellungen!$C$3,"anderes Jahr",IF(A2209&lt;INDEX(Mitarbeiter!$C$6:$C$205,MATCH(B2209,Mitarbeiter!$A$6:$A$205,0)),"vor Eintritt",IF(AND(INDEX(Mitarbeiter!$D$6:$D$205,MATCH(B2209,Mitarbeiter!$A$6:$A$205,0))&lt;&gt;"",A2209&gt;INDEX(Mitarbeiter!$D$6:$D$205,MATCH(B2209,Mitarbeiter!$A$6:$A$205,0))),"nach Austritt","ok")))))))</f>
        <v/>
      </c>
    </row>
    <row r="2210">
      <c r="A2210" s="26" t="n"/>
      <c r="B2210" s="24" t="n"/>
      <c r="C2210" s="40">
        <f>IF(B2210="","",IFERROR(INDEX(Mitarbeiter!$B$6:$B$205,MATCH(B2210,Mitarbeiter!$A$6:$A$205,0)),"?"))</f>
        <v/>
      </c>
      <c r="D2210" s="41" t="n"/>
      <c r="E2210" s="42" t="n"/>
      <c r="F2210" s="43" t="n"/>
      <c r="G2210" s="44">
        <f>IF(OR(B2210="",F2210=""),"",IFERROR(F2210*INDEX(Mitarbeiter!$F$6:$F$205,MATCH(B2210,Mitarbeiter!$A$6:$A$205,0)),0))</f>
        <v/>
      </c>
      <c r="H2210" s="8">
        <f>IF(B2210="","",IF(ISNA(MATCH(B2210,Mitarbeiter!$A$6:$A$205,0)),"Pers.-Nr. unbekannt",IF(A2210="","Datum fehlt",IF(AND(D2210&lt;&gt;Einstellungen!$C$4,D2210&lt;&gt;Einstellungen!$C$5),"Objekt fehlt",IF(YEAR(A2210)&lt;&gt;Einstellungen!$C$3,"anderes Jahr",IF(A2210&lt;INDEX(Mitarbeiter!$C$6:$C$205,MATCH(B2210,Mitarbeiter!$A$6:$A$205,0)),"vor Eintritt",IF(AND(INDEX(Mitarbeiter!$D$6:$D$205,MATCH(B2210,Mitarbeiter!$A$6:$A$205,0))&lt;&gt;"",A2210&gt;INDEX(Mitarbeiter!$D$6:$D$205,MATCH(B2210,Mitarbeiter!$A$6:$A$205,0))),"nach Austritt","ok")))))))</f>
        <v/>
      </c>
    </row>
    <row r="2211">
      <c r="A2211" s="26" t="n"/>
      <c r="B2211" s="24" t="n"/>
      <c r="C2211" s="40">
        <f>IF(B2211="","",IFERROR(INDEX(Mitarbeiter!$B$6:$B$205,MATCH(B2211,Mitarbeiter!$A$6:$A$205,0)),"?"))</f>
        <v/>
      </c>
      <c r="D2211" s="41" t="n"/>
      <c r="E2211" s="42" t="n"/>
      <c r="F2211" s="43" t="n"/>
      <c r="G2211" s="44">
        <f>IF(OR(B2211="",F2211=""),"",IFERROR(F2211*INDEX(Mitarbeiter!$F$6:$F$205,MATCH(B2211,Mitarbeiter!$A$6:$A$205,0)),0))</f>
        <v/>
      </c>
      <c r="H2211" s="8">
        <f>IF(B2211="","",IF(ISNA(MATCH(B2211,Mitarbeiter!$A$6:$A$205,0)),"Pers.-Nr. unbekannt",IF(A2211="","Datum fehlt",IF(AND(D2211&lt;&gt;Einstellungen!$C$4,D2211&lt;&gt;Einstellungen!$C$5),"Objekt fehlt",IF(YEAR(A2211)&lt;&gt;Einstellungen!$C$3,"anderes Jahr",IF(A2211&lt;INDEX(Mitarbeiter!$C$6:$C$205,MATCH(B2211,Mitarbeiter!$A$6:$A$205,0)),"vor Eintritt",IF(AND(INDEX(Mitarbeiter!$D$6:$D$205,MATCH(B2211,Mitarbeiter!$A$6:$A$205,0))&lt;&gt;"",A2211&gt;INDEX(Mitarbeiter!$D$6:$D$205,MATCH(B2211,Mitarbeiter!$A$6:$A$205,0))),"nach Austritt","ok")))))))</f>
        <v/>
      </c>
    </row>
    <row r="2212">
      <c r="A2212" s="26" t="n"/>
      <c r="B2212" s="24" t="n"/>
      <c r="C2212" s="40">
        <f>IF(B2212="","",IFERROR(INDEX(Mitarbeiter!$B$6:$B$205,MATCH(B2212,Mitarbeiter!$A$6:$A$205,0)),"?"))</f>
        <v/>
      </c>
      <c r="D2212" s="41" t="n"/>
      <c r="E2212" s="42" t="n"/>
      <c r="F2212" s="43" t="n"/>
      <c r="G2212" s="44">
        <f>IF(OR(B2212="",F2212=""),"",IFERROR(F2212*INDEX(Mitarbeiter!$F$6:$F$205,MATCH(B2212,Mitarbeiter!$A$6:$A$205,0)),0))</f>
        <v/>
      </c>
      <c r="H2212" s="8">
        <f>IF(B2212="","",IF(ISNA(MATCH(B2212,Mitarbeiter!$A$6:$A$205,0)),"Pers.-Nr. unbekannt",IF(A2212="","Datum fehlt",IF(AND(D2212&lt;&gt;Einstellungen!$C$4,D2212&lt;&gt;Einstellungen!$C$5),"Objekt fehlt",IF(YEAR(A2212)&lt;&gt;Einstellungen!$C$3,"anderes Jahr",IF(A2212&lt;INDEX(Mitarbeiter!$C$6:$C$205,MATCH(B2212,Mitarbeiter!$A$6:$A$205,0)),"vor Eintritt",IF(AND(INDEX(Mitarbeiter!$D$6:$D$205,MATCH(B2212,Mitarbeiter!$A$6:$A$205,0))&lt;&gt;"",A2212&gt;INDEX(Mitarbeiter!$D$6:$D$205,MATCH(B2212,Mitarbeiter!$A$6:$A$205,0))),"nach Austritt","ok")))))))</f>
        <v/>
      </c>
    </row>
    <row r="2213">
      <c r="A2213" s="26" t="n"/>
      <c r="B2213" s="24" t="n"/>
      <c r="C2213" s="40">
        <f>IF(B2213="","",IFERROR(INDEX(Mitarbeiter!$B$6:$B$205,MATCH(B2213,Mitarbeiter!$A$6:$A$205,0)),"?"))</f>
        <v/>
      </c>
      <c r="D2213" s="41" t="n"/>
      <c r="E2213" s="42" t="n"/>
      <c r="F2213" s="43" t="n"/>
      <c r="G2213" s="44">
        <f>IF(OR(B2213="",F2213=""),"",IFERROR(F2213*INDEX(Mitarbeiter!$F$6:$F$205,MATCH(B2213,Mitarbeiter!$A$6:$A$205,0)),0))</f>
        <v/>
      </c>
      <c r="H2213" s="8">
        <f>IF(B2213="","",IF(ISNA(MATCH(B2213,Mitarbeiter!$A$6:$A$205,0)),"Pers.-Nr. unbekannt",IF(A2213="","Datum fehlt",IF(AND(D2213&lt;&gt;Einstellungen!$C$4,D2213&lt;&gt;Einstellungen!$C$5),"Objekt fehlt",IF(YEAR(A2213)&lt;&gt;Einstellungen!$C$3,"anderes Jahr",IF(A2213&lt;INDEX(Mitarbeiter!$C$6:$C$205,MATCH(B2213,Mitarbeiter!$A$6:$A$205,0)),"vor Eintritt",IF(AND(INDEX(Mitarbeiter!$D$6:$D$205,MATCH(B2213,Mitarbeiter!$A$6:$A$205,0))&lt;&gt;"",A2213&gt;INDEX(Mitarbeiter!$D$6:$D$205,MATCH(B2213,Mitarbeiter!$A$6:$A$205,0))),"nach Austritt","ok")))))))</f>
        <v/>
      </c>
    </row>
    <row r="2214">
      <c r="A2214" s="26" t="n"/>
      <c r="B2214" s="24" t="n"/>
      <c r="C2214" s="40">
        <f>IF(B2214="","",IFERROR(INDEX(Mitarbeiter!$B$6:$B$205,MATCH(B2214,Mitarbeiter!$A$6:$A$205,0)),"?"))</f>
        <v/>
      </c>
      <c r="D2214" s="41" t="n"/>
      <c r="E2214" s="42" t="n"/>
      <c r="F2214" s="43" t="n"/>
      <c r="G2214" s="44">
        <f>IF(OR(B2214="",F2214=""),"",IFERROR(F2214*INDEX(Mitarbeiter!$F$6:$F$205,MATCH(B2214,Mitarbeiter!$A$6:$A$205,0)),0))</f>
        <v/>
      </c>
      <c r="H2214" s="8">
        <f>IF(B2214="","",IF(ISNA(MATCH(B2214,Mitarbeiter!$A$6:$A$205,0)),"Pers.-Nr. unbekannt",IF(A2214="","Datum fehlt",IF(AND(D2214&lt;&gt;Einstellungen!$C$4,D2214&lt;&gt;Einstellungen!$C$5),"Objekt fehlt",IF(YEAR(A2214)&lt;&gt;Einstellungen!$C$3,"anderes Jahr",IF(A2214&lt;INDEX(Mitarbeiter!$C$6:$C$205,MATCH(B2214,Mitarbeiter!$A$6:$A$205,0)),"vor Eintritt",IF(AND(INDEX(Mitarbeiter!$D$6:$D$205,MATCH(B2214,Mitarbeiter!$A$6:$A$205,0))&lt;&gt;"",A2214&gt;INDEX(Mitarbeiter!$D$6:$D$205,MATCH(B2214,Mitarbeiter!$A$6:$A$205,0))),"nach Austritt","ok")))))))</f>
        <v/>
      </c>
    </row>
    <row r="2215">
      <c r="A2215" s="26" t="n"/>
      <c r="B2215" s="24" t="n"/>
      <c r="C2215" s="40">
        <f>IF(B2215="","",IFERROR(INDEX(Mitarbeiter!$B$6:$B$205,MATCH(B2215,Mitarbeiter!$A$6:$A$205,0)),"?"))</f>
        <v/>
      </c>
      <c r="D2215" s="41" t="n"/>
      <c r="E2215" s="42" t="n"/>
      <c r="F2215" s="43" t="n"/>
      <c r="G2215" s="44">
        <f>IF(OR(B2215="",F2215=""),"",IFERROR(F2215*INDEX(Mitarbeiter!$F$6:$F$205,MATCH(B2215,Mitarbeiter!$A$6:$A$205,0)),0))</f>
        <v/>
      </c>
      <c r="H2215" s="8">
        <f>IF(B2215="","",IF(ISNA(MATCH(B2215,Mitarbeiter!$A$6:$A$205,0)),"Pers.-Nr. unbekannt",IF(A2215="","Datum fehlt",IF(AND(D2215&lt;&gt;Einstellungen!$C$4,D2215&lt;&gt;Einstellungen!$C$5),"Objekt fehlt",IF(YEAR(A2215)&lt;&gt;Einstellungen!$C$3,"anderes Jahr",IF(A2215&lt;INDEX(Mitarbeiter!$C$6:$C$205,MATCH(B2215,Mitarbeiter!$A$6:$A$205,0)),"vor Eintritt",IF(AND(INDEX(Mitarbeiter!$D$6:$D$205,MATCH(B2215,Mitarbeiter!$A$6:$A$205,0))&lt;&gt;"",A2215&gt;INDEX(Mitarbeiter!$D$6:$D$205,MATCH(B2215,Mitarbeiter!$A$6:$A$205,0))),"nach Austritt","ok")))))))</f>
        <v/>
      </c>
    </row>
    <row r="2216">
      <c r="A2216" s="26" t="n"/>
      <c r="B2216" s="24" t="n"/>
      <c r="C2216" s="40">
        <f>IF(B2216="","",IFERROR(INDEX(Mitarbeiter!$B$6:$B$205,MATCH(B2216,Mitarbeiter!$A$6:$A$205,0)),"?"))</f>
        <v/>
      </c>
      <c r="D2216" s="41" t="n"/>
      <c r="E2216" s="42" t="n"/>
      <c r="F2216" s="43" t="n"/>
      <c r="G2216" s="44">
        <f>IF(OR(B2216="",F2216=""),"",IFERROR(F2216*INDEX(Mitarbeiter!$F$6:$F$205,MATCH(B2216,Mitarbeiter!$A$6:$A$205,0)),0))</f>
        <v/>
      </c>
      <c r="H2216" s="8">
        <f>IF(B2216="","",IF(ISNA(MATCH(B2216,Mitarbeiter!$A$6:$A$205,0)),"Pers.-Nr. unbekannt",IF(A2216="","Datum fehlt",IF(AND(D2216&lt;&gt;Einstellungen!$C$4,D2216&lt;&gt;Einstellungen!$C$5),"Objekt fehlt",IF(YEAR(A2216)&lt;&gt;Einstellungen!$C$3,"anderes Jahr",IF(A2216&lt;INDEX(Mitarbeiter!$C$6:$C$205,MATCH(B2216,Mitarbeiter!$A$6:$A$205,0)),"vor Eintritt",IF(AND(INDEX(Mitarbeiter!$D$6:$D$205,MATCH(B2216,Mitarbeiter!$A$6:$A$205,0))&lt;&gt;"",A2216&gt;INDEX(Mitarbeiter!$D$6:$D$205,MATCH(B2216,Mitarbeiter!$A$6:$A$205,0))),"nach Austritt","ok")))))))</f>
        <v/>
      </c>
    </row>
    <row r="2217">
      <c r="A2217" s="26" t="n"/>
      <c r="B2217" s="24" t="n"/>
      <c r="C2217" s="40">
        <f>IF(B2217="","",IFERROR(INDEX(Mitarbeiter!$B$6:$B$205,MATCH(B2217,Mitarbeiter!$A$6:$A$205,0)),"?"))</f>
        <v/>
      </c>
      <c r="D2217" s="41" t="n"/>
      <c r="E2217" s="42" t="n"/>
      <c r="F2217" s="43" t="n"/>
      <c r="G2217" s="44">
        <f>IF(OR(B2217="",F2217=""),"",IFERROR(F2217*INDEX(Mitarbeiter!$F$6:$F$205,MATCH(B2217,Mitarbeiter!$A$6:$A$205,0)),0))</f>
        <v/>
      </c>
      <c r="H2217" s="8">
        <f>IF(B2217="","",IF(ISNA(MATCH(B2217,Mitarbeiter!$A$6:$A$205,0)),"Pers.-Nr. unbekannt",IF(A2217="","Datum fehlt",IF(AND(D2217&lt;&gt;Einstellungen!$C$4,D2217&lt;&gt;Einstellungen!$C$5),"Objekt fehlt",IF(YEAR(A2217)&lt;&gt;Einstellungen!$C$3,"anderes Jahr",IF(A2217&lt;INDEX(Mitarbeiter!$C$6:$C$205,MATCH(B2217,Mitarbeiter!$A$6:$A$205,0)),"vor Eintritt",IF(AND(INDEX(Mitarbeiter!$D$6:$D$205,MATCH(B2217,Mitarbeiter!$A$6:$A$205,0))&lt;&gt;"",A2217&gt;INDEX(Mitarbeiter!$D$6:$D$205,MATCH(B2217,Mitarbeiter!$A$6:$A$205,0))),"nach Austritt","ok")))))))</f>
        <v/>
      </c>
    </row>
    <row r="2218">
      <c r="A2218" s="26" t="n"/>
      <c r="B2218" s="24" t="n"/>
      <c r="C2218" s="40">
        <f>IF(B2218="","",IFERROR(INDEX(Mitarbeiter!$B$6:$B$205,MATCH(B2218,Mitarbeiter!$A$6:$A$205,0)),"?"))</f>
        <v/>
      </c>
      <c r="D2218" s="41" t="n"/>
      <c r="E2218" s="42" t="n"/>
      <c r="F2218" s="43" t="n"/>
      <c r="G2218" s="44">
        <f>IF(OR(B2218="",F2218=""),"",IFERROR(F2218*INDEX(Mitarbeiter!$F$6:$F$205,MATCH(B2218,Mitarbeiter!$A$6:$A$205,0)),0))</f>
        <v/>
      </c>
      <c r="H2218" s="8">
        <f>IF(B2218="","",IF(ISNA(MATCH(B2218,Mitarbeiter!$A$6:$A$205,0)),"Pers.-Nr. unbekannt",IF(A2218="","Datum fehlt",IF(AND(D2218&lt;&gt;Einstellungen!$C$4,D2218&lt;&gt;Einstellungen!$C$5),"Objekt fehlt",IF(YEAR(A2218)&lt;&gt;Einstellungen!$C$3,"anderes Jahr",IF(A2218&lt;INDEX(Mitarbeiter!$C$6:$C$205,MATCH(B2218,Mitarbeiter!$A$6:$A$205,0)),"vor Eintritt",IF(AND(INDEX(Mitarbeiter!$D$6:$D$205,MATCH(B2218,Mitarbeiter!$A$6:$A$205,0))&lt;&gt;"",A2218&gt;INDEX(Mitarbeiter!$D$6:$D$205,MATCH(B2218,Mitarbeiter!$A$6:$A$205,0))),"nach Austritt","ok")))))))</f>
        <v/>
      </c>
    </row>
    <row r="2219">
      <c r="A2219" s="26" t="n"/>
      <c r="B2219" s="24" t="n"/>
      <c r="C2219" s="40">
        <f>IF(B2219="","",IFERROR(INDEX(Mitarbeiter!$B$6:$B$205,MATCH(B2219,Mitarbeiter!$A$6:$A$205,0)),"?"))</f>
        <v/>
      </c>
      <c r="D2219" s="41" t="n"/>
      <c r="E2219" s="42" t="n"/>
      <c r="F2219" s="43" t="n"/>
      <c r="G2219" s="44">
        <f>IF(OR(B2219="",F2219=""),"",IFERROR(F2219*INDEX(Mitarbeiter!$F$6:$F$205,MATCH(B2219,Mitarbeiter!$A$6:$A$205,0)),0))</f>
        <v/>
      </c>
      <c r="H2219" s="8">
        <f>IF(B2219="","",IF(ISNA(MATCH(B2219,Mitarbeiter!$A$6:$A$205,0)),"Pers.-Nr. unbekannt",IF(A2219="","Datum fehlt",IF(AND(D2219&lt;&gt;Einstellungen!$C$4,D2219&lt;&gt;Einstellungen!$C$5),"Objekt fehlt",IF(YEAR(A2219)&lt;&gt;Einstellungen!$C$3,"anderes Jahr",IF(A2219&lt;INDEX(Mitarbeiter!$C$6:$C$205,MATCH(B2219,Mitarbeiter!$A$6:$A$205,0)),"vor Eintritt",IF(AND(INDEX(Mitarbeiter!$D$6:$D$205,MATCH(B2219,Mitarbeiter!$A$6:$A$205,0))&lt;&gt;"",A2219&gt;INDEX(Mitarbeiter!$D$6:$D$205,MATCH(B2219,Mitarbeiter!$A$6:$A$205,0))),"nach Austritt","ok")))))))</f>
        <v/>
      </c>
    </row>
    <row r="2220">
      <c r="A2220" s="26" t="n"/>
      <c r="B2220" s="24" t="n"/>
      <c r="C2220" s="40">
        <f>IF(B2220="","",IFERROR(INDEX(Mitarbeiter!$B$6:$B$205,MATCH(B2220,Mitarbeiter!$A$6:$A$205,0)),"?"))</f>
        <v/>
      </c>
      <c r="D2220" s="41" t="n"/>
      <c r="E2220" s="42" t="n"/>
      <c r="F2220" s="43" t="n"/>
      <c r="G2220" s="44">
        <f>IF(OR(B2220="",F2220=""),"",IFERROR(F2220*INDEX(Mitarbeiter!$F$6:$F$205,MATCH(B2220,Mitarbeiter!$A$6:$A$205,0)),0))</f>
        <v/>
      </c>
      <c r="H2220" s="8">
        <f>IF(B2220="","",IF(ISNA(MATCH(B2220,Mitarbeiter!$A$6:$A$205,0)),"Pers.-Nr. unbekannt",IF(A2220="","Datum fehlt",IF(AND(D2220&lt;&gt;Einstellungen!$C$4,D2220&lt;&gt;Einstellungen!$C$5),"Objekt fehlt",IF(YEAR(A2220)&lt;&gt;Einstellungen!$C$3,"anderes Jahr",IF(A2220&lt;INDEX(Mitarbeiter!$C$6:$C$205,MATCH(B2220,Mitarbeiter!$A$6:$A$205,0)),"vor Eintritt",IF(AND(INDEX(Mitarbeiter!$D$6:$D$205,MATCH(B2220,Mitarbeiter!$A$6:$A$205,0))&lt;&gt;"",A2220&gt;INDEX(Mitarbeiter!$D$6:$D$205,MATCH(B2220,Mitarbeiter!$A$6:$A$205,0))),"nach Austritt","ok")))))))</f>
        <v/>
      </c>
    </row>
    <row r="2221">
      <c r="A2221" s="26" t="n"/>
      <c r="B2221" s="24" t="n"/>
      <c r="C2221" s="40">
        <f>IF(B2221="","",IFERROR(INDEX(Mitarbeiter!$B$6:$B$205,MATCH(B2221,Mitarbeiter!$A$6:$A$205,0)),"?"))</f>
        <v/>
      </c>
      <c r="D2221" s="41" t="n"/>
      <c r="E2221" s="42" t="n"/>
      <c r="F2221" s="43" t="n"/>
      <c r="G2221" s="44">
        <f>IF(OR(B2221="",F2221=""),"",IFERROR(F2221*INDEX(Mitarbeiter!$F$6:$F$205,MATCH(B2221,Mitarbeiter!$A$6:$A$205,0)),0))</f>
        <v/>
      </c>
      <c r="H2221" s="8">
        <f>IF(B2221="","",IF(ISNA(MATCH(B2221,Mitarbeiter!$A$6:$A$205,0)),"Pers.-Nr. unbekannt",IF(A2221="","Datum fehlt",IF(AND(D2221&lt;&gt;Einstellungen!$C$4,D2221&lt;&gt;Einstellungen!$C$5),"Objekt fehlt",IF(YEAR(A2221)&lt;&gt;Einstellungen!$C$3,"anderes Jahr",IF(A2221&lt;INDEX(Mitarbeiter!$C$6:$C$205,MATCH(B2221,Mitarbeiter!$A$6:$A$205,0)),"vor Eintritt",IF(AND(INDEX(Mitarbeiter!$D$6:$D$205,MATCH(B2221,Mitarbeiter!$A$6:$A$205,0))&lt;&gt;"",A2221&gt;INDEX(Mitarbeiter!$D$6:$D$205,MATCH(B2221,Mitarbeiter!$A$6:$A$205,0))),"nach Austritt","ok")))))))</f>
        <v/>
      </c>
    </row>
    <row r="2222">
      <c r="A2222" s="26" t="n"/>
      <c r="B2222" s="24" t="n"/>
      <c r="C2222" s="40">
        <f>IF(B2222="","",IFERROR(INDEX(Mitarbeiter!$B$6:$B$205,MATCH(B2222,Mitarbeiter!$A$6:$A$205,0)),"?"))</f>
        <v/>
      </c>
      <c r="D2222" s="41" t="n"/>
      <c r="E2222" s="42" t="n"/>
      <c r="F2222" s="43" t="n"/>
      <c r="G2222" s="44">
        <f>IF(OR(B2222="",F2222=""),"",IFERROR(F2222*INDEX(Mitarbeiter!$F$6:$F$205,MATCH(B2222,Mitarbeiter!$A$6:$A$205,0)),0))</f>
        <v/>
      </c>
      <c r="H2222" s="8">
        <f>IF(B2222="","",IF(ISNA(MATCH(B2222,Mitarbeiter!$A$6:$A$205,0)),"Pers.-Nr. unbekannt",IF(A2222="","Datum fehlt",IF(AND(D2222&lt;&gt;Einstellungen!$C$4,D2222&lt;&gt;Einstellungen!$C$5),"Objekt fehlt",IF(YEAR(A2222)&lt;&gt;Einstellungen!$C$3,"anderes Jahr",IF(A2222&lt;INDEX(Mitarbeiter!$C$6:$C$205,MATCH(B2222,Mitarbeiter!$A$6:$A$205,0)),"vor Eintritt",IF(AND(INDEX(Mitarbeiter!$D$6:$D$205,MATCH(B2222,Mitarbeiter!$A$6:$A$205,0))&lt;&gt;"",A2222&gt;INDEX(Mitarbeiter!$D$6:$D$205,MATCH(B2222,Mitarbeiter!$A$6:$A$205,0))),"nach Austritt","ok")))))))</f>
        <v/>
      </c>
    </row>
    <row r="2223">
      <c r="A2223" s="26" t="n"/>
      <c r="B2223" s="24" t="n"/>
      <c r="C2223" s="40">
        <f>IF(B2223="","",IFERROR(INDEX(Mitarbeiter!$B$6:$B$205,MATCH(B2223,Mitarbeiter!$A$6:$A$205,0)),"?"))</f>
        <v/>
      </c>
      <c r="D2223" s="41" t="n"/>
      <c r="E2223" s="42" t="n"/>
      <c r="F2223" s="43" t="n"/>
      <c r="G2223" s="44">
        <f>IF(OR(B2223="",F2223=""),"",IFERROR(F2223*INDEX(Mitarbeiter!$F$6:$F$205,MATCH(B2223,Mitarbeiter!$A$6:$A$205,0)),0))</f>
        <v/>
      </c>
      <c r="H2223" s="8">
        <f>IF(B2223="","",IF(ISNA(MATCH(B2223,Mitarbeiter!$A$6:$A$205,0)),"Pers.-Nr. unbekannt",IF(A2223="","Datum fehlt",IF(AND(D2223&lt;&gt;Einstellungen!$C$4,D2223&lt;&gt;Einstellungen!$C$5),"Objekt fehlt",IF(YEAR(A2223)&lt;&gt;Einstellungen!$C$3,"anderes Jahr",IF(A2223&lt;INDEX(Mitarbeiter!$C$6:$C$205,MATCH(B2223,Mitarbeiter!$A$6:$A$205,0)),"vor Eintritt",IF(AND(INDEX(Mitarbeiter!$D$6:$D$205,MATCH(B2223,Mitarbeiter!$A$6:$A$205,0))&lt;&gt;"",A2223&gt;INDEX(Mitarbeiter!$D$6:$D$205,MATCH(B2223,Mitarbeiter!$A$6:$A$205,0))),"nach Austritt","ok")))))))</f>
        <v/>
      </c>
    </row>
    <row r="2224">
      <c r="A2224" s="26" t="n"/>
      <c r="B2224" s="24" t="n"/>
      <c r="C2224" s="40">
        <f>IF(B2224="","",IFERROR(INDEX(Mitarbeiter!$B$6:$B$205,MATCH(B2224,Mitarbeiter!$A$6:$A$205,0)),"?"))</f>
        <v/>
      </c>
      <c r="D2224" s="41" t="n"/>
      <c r="E2224" s="42" t="n"/>
      <c r="F2224" s="43" t="n"/>
      <c r="G2224" s="44">
        <f>IF(OR(B2224="",F2224=""),"",IFERROR(F2224*INDEX(Mitarbeiter!$F$6:$F$205,MATCH(B2224,Mitarbeiter!$A$6:$A$205,0)),0))</f>
        <v/>
      </c>
      <c r="H2224" s="8">
        <f>IF(B2224="","",IF(ISNA(MATCH(B2224,Mitarbeiter!$A$6:$A$205,0)),"Pers.-Nr. unbekannt",IF(A2224="","Datum fehlt",IF(AND(D2224&lt;&gt;Einstellungen!$C$4,D2224&lt;&gt;Einstellungen!$C$5),"Objekt fehlt",IF(YEAR(A2224)&lt;&gt;Einstellungen!$C$3,"anderes Jahr",IF(A2224&lt;INDEX(Mitarbeiter!$C$6:$C$205,MATCH(B2224,Mitarbeiter!$A$6:$A$205,0)),"vor Eintritt",IF(AND(INDEX(Mitarbeiter!$D$6:$D$205,MATCH(B2224,Mitarbeiter!$A$6:$A$205,0))&lt;&gt;"",A2224&gt;INDEX(Mitarbeiter!$D$6:$D$205,MATCH(B2224,Mitarbeiter!$A$6:$A$205,0))),"nach Austritt","ok")))))))</f>
        <v/>
      </c>
    </row>
    <row r="2225">
      <c r="A2225" s="26" t="n"/>
      <c r="B2225" s="24" t="n"/>
      <c r="C2225" s="40">
        <f>IF(B2225="","",IFERROR(INDEX(Mitarbeiter!$B$6:$B$205,MATCH(B2225,Mitarbeiter!$A$6:$A$205,0)),"?"))</f>
        <v/>
      </c>
      <c r="D2225" s="41" t="n"/>
      <c r="E2225" s="42" t="n"/>
      <c r="F2225" s="43" t="n"/>
      <c r="G2225" s="44">
        <f>IF(OR(B2225="",F2225=""),"",IFERROR(F2225*INDEX(Mitarbeiter!$F$6:$F$205,MATCH(B2225,Mitarbeiter!$A$6:$A$205,0)),0))</f>
        <v/>
      </c>
      <c r="H2225" s="8">
        <f>IF(B2225="","",IF(ISNA(MATCH(B2225,Mitarbeiter!$A$6:$A$205,0)),"Pers.-Nr. unbekannt",IF(A2225="","Datum fehlt",IF(AND(D2225&lt;&gt;Einstellungen!$C$4,D2225&lt;&gt;Einstellungen!$C$5),"Objekt fehlt",IF(YEAR(A2225)&lt;&gt;Einstellungen!$C$3,"anderes Jahr",IF(A2225&lt;INDEX(Mitarbeiter!$C$6:$C$205,MATCH(B2225,Mitarbeiter!$A$6:$A$205,0)),"vor Eintritt",IF(AND(INDEX(Mitarbeiter!$D$6:$D$205,MATCH(B2225,Mitarbeiter!$A$6:$A$205,0))&lt;&gt;"",A2225&gt;INDEX(Mitarbeiter!$D$6:$D$205,MATCH(B2225,Mitarbeiter!$A$6:$A$205,0))),"nach Austritt","ok")))))))</f>
        <v/>
      </c>
    </row>
    <row r="2226">
      <c r="A2226" s="26" t="n"/>
      <c r="B2226" s="24" t="n"/>
      <c r="C2226" s="40">
        <f>IF(B2226="","",IFERROR(INDEX(Mitarbeiter!$B$6:$B$205,MATCH(B2226,Mitarbeiter!$A$6:$A$205,0)),"?"))</f>
        <v/>
      </c>
      <c r="D2226" s="41" t="n"/>
      <c r="E2226" s="42" t="n"/>
      <c r="F2226" s="43" t="n"/>
      <c r="G2226" s="44">
        <f>IF(OR(B2226="",F2226=""),"",IFERROR(F2226*INDEX(Mitarbeiter!$F$6:$F$205,MATCH(B2226,Mitarbeiter!$A$6:$A$205,0)),0))</f>
        <v/>
      </c>
      <c r="H2226" s="8">
        <f>IF(B2226="","",IF(ISNA(MATCH(B2226,Mitarbeiter!$A$6:$A$205,0)),"Pers.-Nr. unbekannt",IF(A2226="","Datum fehlt",IF(AND(D2226&lt;&gt;Einstellungen!$C$4,D2226&lt;&gt;Einstellungen!$C$5),"Objekt fehlt",IF(YEAR(A2226)&lt;&gt;Einstellungen!$C$3,"anderes Jahr",IF(A2226&lt;INDEX(Mitarbeiter!$C$6:$C$205,MATCH(B2226,Mitarbeiter!$A$6:$A$205,0)),"vor Eintritt",IF(AND(INDEX(Mitarbeiter!$D$6:$D$205,MATCH(B2226,Mitarbeiter!$A$6:$A$205,0))&lt;&gt;"",A2226&gt;INDEX(Mitarbeiter!$D$6:$D$205,MATCH(B2226,Mitarbeiter!$A$6:$A$205,0))),"nach Austritt","ok")))))))</f>
        <v/>
      </c>
    </row>
    <row r="2227">
      <c r="A2227" s="26" t="n"/>
      <c r="B2227" s="24" t="n"/>
      <c r="C2227" s="40">
        <f>IF(B2227="","",IFERROR(INDEX(Mitarbeiter!$B$6:$B$205,MATCH(B2227,Mitarbeiter!$A$6:$A$205,0)),"?"))</f>
        <v/>
      </c>
      <c r="D2227" s="41" t="n"/>
      <c r="E2227" s="42" t="n"/>
      <c r="F2227" s="43" t="n"/>
      <c r="G2227" s="44">
        <f>IF(OR(B2227="",F2227=""),"",IFERROR(F2227*INDEX(Mitarbeiter!$F$6:$F$205,MATCH(B2227,Mitarbeiter!$A$6:$A$205,0)),0))</f>
        <v/>
      </c>
      <c r="H2227" s="8">
        <f>IF(B2227="","",IF(ISNA(MATCH(B2227,Mitarbeiter!$A$6:$A$205,0)),"Pers.-Nr. unbekannt",IF(A2227="","Datum fehlt",IF(AND(D2227&lt;&gt;Einstellungen!$C$4,D2227&lt;&gt;Einstellungen!$C$5),"Objekt fehlt",IF(YEAR(A2227)&lt;&gt;Einstellungen!$C$3,"anderes Jahr",IF(A2227&lt;INDEX(Mitarbeiter!$C$6:$C$205,MATCH(B2227,Mitarbeiter!$A$6:$A$205,0)),"vor Eintritt",IF(AND(INDEX(Mitarbeiter!$D$6:$D$205,MATCH(B2227,Mitarbeiter!$A$6:$A$205,0))&lt;&gt;"",A2227&gt;INDEX(Mitarbeiter!$D$6:$D$205,MATCH(B2227,Mitarbeiter!$A$6:$A$205,0))),"nach Austritt","ok")))))))</f>
        <v/>
      </c>
    </row>
    <row r="2228">
      <c r="A2228" s="26" t="n"/>
      <c r="B2228" s="24" t="n"/>
      <c r="C2228" s="40">
        <f>IF(B2228="","",IFERROR(INDEX(Mitarbeiter!$B$6:$B$205,MATCH(B2228,Mitarbeiter!$A$6:$A$205,0)),"?"))</f>
        <v/>
      </c>
      <c r="D2228" s="41" t="n"/>
      <c r="E2228" s="42" t="n"/>
      <c r="F2228" s="43" t="n"/>
      <c r="G2228" s="44">
        <f>IF(OR(B2228="",F2228=""),"",IFERROR(F2228*INDEX(Mitarbeiter!$F$6:$F$205,MATCH(B2228,Mitarbeiter!$A$6:$A$205,0)),0))</f>
        <v/>
      </c>
      <c r="H2228" s="8">
        <f>IF(B2228="","",IF(ISNA(MATCH(B2228,Mitarbeiter!$A$6:$A$205,0)),"Pers.-Nr. unbekannt",IF(A2228="","Datum fehlt",IF(AND(D2228&lt;&gt;Einstellungen!$C$4,D2228&lt;&gt;Einstellungen!$C$5),"Objekt fehlt",IF(YEAR(A2228)&lt;&gt;Einstellungen!$C$3,"anderes Jahr",IF(A2228&lt;INDEX(Mitarbeiter!$C$6:$C$205,MATCH(B2228,Mitarbeiter!$A$6:$A$205,0)),"vor Eintritt",IF(AND(INDEX(Mitarbeiter!$D$6:$D$205,MATCH(B2228,Mitarbeiter!$A$6:$A$205,0))&lt;&gt;"",A2228&gt;INDEX(Mitarbeiter!$D$6:$D$205,MATCH(B2228,Mitarbeiter!$A$6:$A$205,0))),"nach Austritt","ok")))))))</f>
        <v/>
      </c>
    </row>
    <row r="2229">
      <c r="A2229" s="26" t="n"/>
      <c r="B2229" s="24" t="n"/>
      <c r="C2229" s="40">
        <f>IF(B2229="","",IFERROR(INDEX(Mitarbeiter!$B$6:$B$205,MATCH(B2229,Mitarbeiter!$A$6:$A$205,0)),"?"))</f>
        <v/>
      </c>
      <c r="D2229" s="41" t="n"/>
      <c r="E2229" s="42" t="n"/>
      <c r="F2229" s="43" t="n"/>
      <c r="G2229" s="44">
        <f>IF(OR(B2229="",F2229=""),"",IFERROR(F2229*INDEX(Mitarbeiter!$F$6:$F$205,MATCH(B2229,Mitarbeiter!$A$6:$A$205,0)),0))</f>
        <v/>
      </c>
      <c r="H2229" s="8">
        <f>IF(B2229="","",IF(ISNA(MATCH(B2229,Mitarbeiter!$A$6:$A$205,0)),"Pers.-Nr. unbekannt",IF(A2229="","Datum fehlt",IF(AND(D2229&lt;&gt;Einstellungen!$C$4,D2229&lt;&gt;Einstellungen!$C$5),"Objekt fehlt",IF(YEAR(A2229)&lt;&gt;Einstellungen!$C$3,"anderes Jahr",IF(A2229&lt;INDEX(Mitarbeiter!$C$6:$C$205,MATCH(B2229,Mitarbeiter!$A$6:$A$205,0)),"vor Eintritt",IF(AND(INDEX(Mitarbeiter!$D$6:$D$205,MATCH(B2229,Mitarbeiter!$A$6:$A$205,0))&lt;&gt;"",A2229&gt;INDEX(Mitarbeiter!$D$6:$D$205,MATCH(B2229,Mitarbeiter!$A$6:$A$205,0))),"nach Austritt","ok")))))))</f>
        <v/>
      </c>
    </row>
    <row r="2230">
      <c r="A2230" s="26" t="n"/>
      <c r="B2230" s="24" t="n"/>
      <c r="C2230" s="40">
        <f>IF(B2230="","",IFERROR(INDEX(Mitarbeiter!$B$6:$B$205,MATCH(B2230,Mitarbeiter!$A$6:$A$205,0)),"?"))</f>
        <v/>
      </c>
      <c r="D2230" s="41" t="n"/>
      <c r="E2230" s="42" t="n"/>
      <c r="F2230" s="43" t="n"/>
      <c r="G2230" s="44">
        <f>IF(OR(B2230="",F2230=""),"",IFERROR(F2230*INDEX(Mitarbeiter!$F$6:$F$205,MATCH(B2230,Mitarbeiter!$A$6:$A$205,0)),0))</f>
        <v/>
      </c>
      <c r="H2230" s="8">
        <f>IF(B2230="","",IF(ISNA(MATCH(B2230,Mitarbeiter!$A$6:$A$205,0)),"Pers.-Nr. unbekannt",IF(A2230="","Datum fehlt",IF(AND(D2230&lt;&gt;Einstellungen!$C$4,D2230&lt;&gt;Einstellungen!$C$5),"Objekt fehlt",IF(YEAR(A2230)&lt;&gt;Einstellungen!$C$3,"anderes Jahr",IF(A2230&lt;INDEX(Mitarbeiter!$C$6:$C$205,MATCH(B2230,Mitarbeiter!$A$6:$A$205,0)),"vor Eintritt",IF(AND(INDEX(Mitarbeiter!$D$6:$D$205,MATCH(B2230,Mitarbeiter!$A$6:$A$205,0))&lt;&gt;"",A2230&gt;INDEX(Mitarbeiter!$D$6:$D$205,MATCH(B2230,Mitarbeiter!$A$6:$A$205,0))),"nach Austritt","ok")))))))</f>
        <v/>
      </c>
    </row>
    <row r="2231">
      <c r="A2231" s="26" t="n"/>
      <c r="B2231" s="24" t="n"/>
      <c r="C2231" s="40">
        <f>IF(B2231="","",IFERROR(INDEX(Mitarbeiter!$B$6:$B$205,MATCH(B2231,Mitarbeiter!$A$6:$A$205,0)),"?"))</f>
        <v/>
      </c>
      <c r="D2231" s="41" t="n"/>
      <c r="E2231" s="42" t="n"/>
      <c r="F2231" s="43" t="n"/>
      <c r="G2231" s="44">
        <f>IF(OR(B2231="",F2231=""),"",IFERROR(F2231*INDEX(Mitarbeiter!$F$6:$F$205,MATCH(B2231,Mitarbeiter!$A$6:$A$205,0)),0))</f>
        <v/>
      </c>
      <c r="H2231" s="8">
        <f>IF(B2231="","",IF(ISNA(MATCH(B2231,Mitarbeiter!$A$6:$A$205,0)),"Pers.-Nr. unbekannt",IF(A2231="","Datum fehlt",IF(AND(D2231&lt;&gt;Einstellungen!$C$4,D2231&lt;&gt;Einstellungen!$C$5),"Objekt fehlt",IF(YEAR(A2231)&lt;&gt;Einstellungen!$C$3,"anderes Jahr",IF(A2231&lt;INDEX(Mitarbeiter!$C$6:$C$205,MATCH(B2231,Mitarbeiter!$A$6:$A$205,0)),"vor Eintritt",IF(AND(INDEX(Mitarbeiter!$D$6:$D$205,MATCH(B2231,Mitarbeiter!$A$6:$A$205,0))&lt;&gt;"",A2231&gt;INDEX(Mitarbeiter!$D$6:$D$205,MATCH(B2231,Mitarbeiter!$A$6:$A$205,0))),"nach Austritt","ok")))))))</f>
        <v/>
      </c>
    </row>
    <row r="2232">
      <c r="A2232" s="26" t="n"/>
      <c r="B2232" s="24" t="n"/>
      <c r="C2232" s="40">
        <f>IF(B2232="","",IFERROR(INDEX(Mitarbeiter!$B$6:$B$205,MATCH(B2232,Mitarbeiter!$A$6:$A$205,0)),"?"))</f>
        <v/>
      </c>
      <c r="D2232" s="41" t="n"/>
      <c r="E2232" s="42" t="n"/>
      <c r="F2232" s="43" t="n"/>
      <c r="G2232" s="44">
        <f>IF(OR(B2232="",F2232=""),"",IFERROR(F2232*INDEX(Mitarbeiter!$F$6:$F$205,MATCH(B2232,Mitarbeiter!$A$6:$A$205,0)),0))</f>
        <v/>
      </c>
      <c r="H2232" s="8">
        <f>IF(B2232="","",IF(ISNA(MATCH(B2232,Mitarbeiter!$A$6:$A$205,0)),"Pers.-Nr. unbekannt",IF(A2232="","Datum fehlt",IF(AND(D2232&lt;&gt;Einstellungen!$C$4,D2232&lt;&gt;Einstellungen!$C$5),"Objekt fehlt",IF(YEAR(A2232)&lt;&gt;Einstellungen!$C$3,"anderes Jahr",IF(A2232&lt;INDEX(Mitarbeiter!$C$6:$C$205,MATCH(B2232,Mitarbeiter!$A$6:$A$205,0)),"vor Eintritt",IF(AND(INDEX(Mitarbeiter!$D$6:$D$205,MATCH(B2232,Mitarbeiter!$A$6:$A$205,0))&lt;&gt;"",A2232&gt;INDEX(Mitarbeiter!$D$6:$D$205,MATCH(B2232,Mitarbeiter!$A$6:$A$205,0))),"nach Austritt","ok")))))))</f>
        <v/>
      </c>
    </row>
    <row r="2233">
      <c r="A2233" s="26" t="n"/>
      <c r="B2233" s="24" t="n"/>
      <c r="C2233" s="40">
        <f>IF(B2233="","",IFERROR(INDEX(Mitarbeiter!$B$6:$B$205,MATCH(B2233,Mitarbeiter!$A$6:$A$205,0)),"?"))</f>
        <v/>
      </c>
      <c r="D2233" s="41" t="n"/>
      <c r="E2233" s="42" t="n"/>
      <c r="F2233" s="43" t="n"/>
      <c r="G2233" s="44">
        <f>IF(OR(B2233="",F2233=""),"",IFERROR(F2233*INDEX(Mitarbeiter!$F$6:$F$205,MATCH(B2233,Mitarbeiter!$A$6:$A$205,0)),0))</f>
        <v/>
      </c>
      <c r="H2233" s="8">
        <f>IF(B2233="","",IF(ISNA(MATCH(B2233,Mitarbeiter!$A$6:$A$205,0)),"Pers.-Nr. unbekannt",IF(A2233="","Datum fehlt",IF(AND(D2233&lt;&gt;Einstellungen!$C$4,D2233&lt;&gt;Einstellungen!$C$5),"Objekt fehlt",IF(YEAR(A2233)&lt;&gt;Einstellungen!$C$3,"anderes Jahr",IF(A2233&lt;INDEX(Mitarbeiter!$C$6:$C$205,MATCH(B2233,Mitarbeiter!$A$6:$A$205,0)),"vor Eintritt",IF(AND(INDEX(Mitarbeiter!$D$6:$D$205,MATCH(B2233,Mitarbeiter!$A$6:$A$205,0))&lt;&gt;"",A2233&gt;INDEX(Mitarbeiter!$D$6:$D$205,MATCH(B2233,Mitarbeiter!$A$6:$A$205,0))),"nach Austritt","ok")))))))</f>
        <v/>
      </c>
    </row>
    <row r="2234">
      <c r="A2234" s="26" t="n"/>
      <c r="B2234" s="24" t="n"/>
      <c r="C2234" s="40">
        <f>IF(B2234="","",IFERROR(INDEX(Mitarbeiter!$B$6:$B$205,MATCH(B2234,Mitarbeiter!$A$6:$A$205,0)),"?"))</f>
        <v/>
      </c>
      <c r="D2234" s="41" t="n"/>
      <c r="E2234" s="42" t="n"/>
      <c r="F2234" s="43" t="n"/>
      <c r="G2234" s="44">
        <f>IF(OR(B2234="",F2234=""),"",IFERROR(F2234*INDEX(Mitarbeiter!$F$6:$F$205,MATCH(B2234,Mitarbeiter!$A$6:$A$205,0)),0))</f>
        <v/>
      </c>
      <c r="H2234" s="8">
        <f>IF(B2234="","",IF(ISNA(MATCH(B2234,Mitarbeiter!$A$6:$A$205,0)),"Pers.-Nr. unbekannt",IF(A2234="","Datum fehlt",IF(AND(D2234&lt;&gt;Einstellungen!$C$4,D2234&lt;&gt;Einstellungen!$C$5),"Objekt fehlt",IF(YEAR(A2234)&lt;&gt;Einstellungen!$C$3,"anderes Jahr",IF(A2234&lt;INDEX(Mitarbeiter!$C$6:$C$205,MATCH(B2234,Mitarbeiter!$A$6:$A$205,0)),"vor Eintritt",IF(AND(INDEX(Mitarbeiter!$D$6:$D$205,MATCH(B2234,Mitarbeiter!$A$6:$A$205,0))&lt;&gt;"",A2234&gt;INDEX(Mitarbeiter!$D$6:$D$205,MATCH(B2234,Mitarbeiter!$A$6:$A$205,0))),"nach Austritt","ok")))))))</f>
        <v/>
      </c>
    </row>
    <row r="2235">
      <c r="A2235" s="26" t="n"/>
      <c r="B2235" s="24" t="n"/>
      <c r="C2235" s="40">
        <f>IF(B2235="","",IFERROR(INDEX(Mitarbeiter!$B$6:$B$205,MATCH(B2235,Mitarbeiter!$A$6:$A$205,0)),"?"))</f>
        <v/>
      </c>
      <c r="D2235" s="41" t="n"/>
      <c r="E2235" s="42" t="n"/>
      <c r="F2235" s="43" t="n"/>
      <c r="G2235" s="44">
        <f>IF(OR(B2235="",F2235=""),"",IFERROR(F2235*INDEX(Mitarbeiter!$F$6:$F$205,MATCH(B2235,Mitarbeiter!$A$6:$A$205,0)),0))</f>
        <v/>
      </c>
      <c r="H2235" s="8">
        <f>IF(B2235="","",IF(ISNA(MATCH(B2235,Mitarbeiter!$A$6:$A$205,0)),"Pers.-Nr. unbekannt",IF(A2235="","Datum fehlt",IF(AND(D2235&lt;&gt;Einstellungen!$C$4,D2235&lt;&gt;Einstellungen!$C$5),"Objekt fehlt",IF(YEAR(A2235)&lt;&gt;Einstellungen!$C$3,"anderes Jahr",IF(A2235&lt;INDEX(Mitarbeiter!$C$6:$C$205,MATCH(B2235,Mitarbeiter!$A$6:$A$205,0)),"vor Eintritt",IF(AND(INDEX(Mitarbeiter!$D$6:$D$205,MATCH(B2235,Mitarbeiter!$A$6:$A$205,0))&lt;&gt;"",A2235&gt;INDEX(Mitarbeiter!$D$6:$D$205,MATCH(B2235,Mitarbeiter!$A$6:$A$205,0))),"nach Austritt","ok")))))))</f>
        <v/>
      </c>
    </row>
    <row r="2236">
      <c r="A2236" s="26" t="n"/>
      <c r="B2236" s="24" t="n"/>
      <c r="C2236" s="40">
        <f>IF(B2236="","",IFERROR(INDEX(Mitarbeiter!$B$6:$B$205,MATCH(B2236,Mitarbeiter!$A$6:$A$205,0)),"?"))</f>
        <v/>
      </c>
      <c r="D2236" s="41" t="n"/>
      <c r="E2236" s="42" t="n"/>
      <c r="F2236" s="43" t="n"/>
      <c r="G2236" s="44">
        <f>IF(OR(B2236="",F2236=""),"",IFERROR(F2236*INDEX(Mitarbeiter!$F$6:$F$205,MATCH(B2236,Mitarbeiter!$A$6:$A$205,0)),0))</f>
        <v/>
      </c>
      <c r="H2236" s="8">
        <f>IF(B2236="","",IF(ISNA(MATCH(B2236,Mitarbeiter!$A$6:$A$205,0)),"Pers.-Nr. unbekannt",IF(A2236="","Datum fehlt",IF(AND(D2236&lt;&gt;Einstellungen!$C$4,D2236&lt;&gt;Einstellungen!$C$5),"Objekt fehlt",IF(YEAR(A2236)&lt;&gt;Einstellungen!$C$3,"anderes Jahr",IF(A2236&lt;INDEX(Mitarbeiter!$C$6:$C$205,MATCH(B2236,Mitarbeiter!$A$6:$A$205,0)),"vor Eintritt",IF(AND(INDEX(Mitarbeiter!$D$6:$D$205,MATCH(B2236,Mitarbeiter!$A$6:$A$205,0))&lt;&gt;"",A2236&gt;INDEX(Mitarbeiter!$D$6:$D$205,MATCH(B2236,Mitarbeiter!$A$6:$A$205,0))),"nach Austritt","ok")))))))</f>
        <v/>
      </c>
    </row>
    <row r="2237">
      <c r="A2237" s="26" t="n"/>
      <c r="B2237" s="24" t="n"/>
      <c r="C2237" s="40">
        <f>IF(B2237="","",IFERROR(INDEX(Mitarbeiter!$B$6:$B$205,MATCH(B2237,Mitarbeiter!$A$6:$A$205,0)),"?"))</f>
        <v/>
      </c>
      <c r="D2237" s="41" t="n"/>
      <c r="E2237" s="42" t="n"/>
      <c r="F2237" s="43" t="n"/>
      <c r="G2237" s="44">
        <f>IF(OR(B2237="",F2237=""),"",IFERROR(F2237*INDEX(Mitarbeiter!$F$6:$F$205,MATCH(B2237,Mitarbeiter!$A$6:$A$205,0)),0))</f>
        <v/>
      </c>
      <c r="H2237" s="8">
        <f>IF(B2237="","",IF(ISNA(MATCH(B2237,Mitarbeiter!$A$6:$A$205,0)),"Pers.-Nr. unbekannt",IF(A2237="","Datum fehlt",IF(AND(D2237&lt;&gt;Einstellungen!$C$4,D2237&lt;&gt;Einstellungen!$C$5),"Objekt fehlt",IF(YEAR(A2237)&lt;&gt;Einstellungen!$C$3,"anderes Jahr",IF(A2237&lt;INDEX(Mitarbeiter!$C$6:$C$205,MATCH(B2237,Mitarbeiter!$A$6:$A$205,0)),"vor Eintritt",IF(AND(INDEX(Mitarbeiter!$D$6:$D$205,MATCH(B2237,Mitarbeiter!$A$6:$A$205,0))&lt;&gt;"",A2237&gt;INDEX(Mitarbeiter!$D$6:$D$205,MATCH(B2237,Mitarbeiter!$A$6:$A$205,0))),"nach Austritt","ok")))))))</f>
        <v/>
      </c>
    </row>
    <row r="2238">
      <c r="A2238" s="26" t="n"/>
      <c r="B2238" s="24" t="n"/>
      <c r="C2238" s="40">
        <f>IF(B2238="","",IFERROR(INDEX(Mitarbeiter!$B$6:$B$205,MATCH(B2238,Mitarbeiter!$A$6:$A$205,0)),"?"))</f>
        <v/>
      </c>
      <c r="D2238" s="41" t="n"/>
      <c r="E2238" s="42" t="n"/>
      <c r="F2238" s="43" t="n"/>
      <c r="G2238" s="44">
        <f>IF(OR(B2238="",F2238=""),"",IFERROR(F2238*INDEX(Mitarbeiter!$F$6:$F$205,MATCH(B2238,Mitarbeiter!$A$6:$A$205,0)),0))</f>
        <v/>
      </c>
      <c r="H2238" s="8">
        <f>IF(B2238="","",IF(ISNA(MATCH(B2238,Mitarbeiter!$A$6:$A$205,0)),"Pers.-Nr. unbekannt",IF(A2238="","Datum fehlt",IF(AND(D2238&lt;&gt;Einstellungen!$C$4,D2238&lt;&gt;Einstellungen!$C$5),"Objekt fehlt",IF(YEAR(A2238)&lt;&gt;Einstellungen!$C$3,"anderes Jahr",IF(A2238&lt;INDEX(Mitarbeiter!$C$6:$C$205,MATCH(B2238,Mitarbeiter!$A$6:$A$205,0)),"vor Eintritt",IF(AND(INDEX(Mitarbeiter!$D$6:$D$205,MATCH(B2238,Mitarbeiter!$A$6:$A$205,0))&lt;&gt;"",A2238&gt;INDEX(Mitarbeiter!$D$6:$D$205,MATCH(B2238,Mitarbeiter!$A$6:$A$205,0))),"nach Austritt","ok")))))))</f>
        <v/>
      </c>
    </row>
    <row r="2239">
      <c r="A2239" s="26" t="n"/>
      <c r="B2239" s="24" t="n"/>
      <c r="C2239" s="40">
        <f>IF(B2239="","",IFERROR(INDEX(Mitarbeiter!$B$6:$B$205,MATCH(B2239,Mitarbeiter!$A$6:$A$205,0)),"?"))</f>
        <v/>
      </c>
      <c r="D2239" s="41" t="n"/>
      <c r="E2239" s="42" t="n"/>
      <c r="F2239" s="43" t="n"/>
      <c r="G2239" s="44">
        <f>IF(OR(B2239="",F2239=""),"",IFERROR(F2239*INDEX(Mitarbeiter!$F$6:$F$205,MATCH(B2239,Mitarbeiter!$A$6:$A$205,0)),0))</f>
        <v/>
      </c>
      <c r="H2239" s="8">
        <f>IF(B2239="","",IF(ISNA(MATCH(B2239,Mitarbeiter!$A$6:$A$205,0)),"Pers.-Nr. unbekannt",IF(A2239="","Datum fehlt",IF(AND(D2239&lt;&gt;Einstellungen!$C$4,D2239&lt;&gt;Einstellungen!$C$5),"Objekt fehlt",IF(YEAR(A2239)&lt;&gt;Einstellungen!$C$3,"anderes Jahr",IF(A2239&lt;INDEX(Mitarbeiter!$C$6:$C$205,MATCH(B2239,Mitarbeiter!$A$6:$A$205,0)),"vor Eintritt",IF(AND(INDEX(Mitarbeiter!$D$6:$D$205,MATCH(B2239,Mitarbeiter!$A$6:$A$205,0))&lt;&gt;"",A2239&gt;INDEX(Mitarbeiter!$D$6:$D$205,MATCH(B2239,Mitarbeiter!$A$6:$A$205,0))),"nach Austritt","ok")))))))</f>
        <v/>
      </c>
    </row>
    <row r="2240">
      <c r="A2240" s="26" t="n"/>
      <c r="B2240" s="24" t="n"/>
      <c r="C2240" s="40">
        <f>IF(B2240="","",IFERROR(INDEX(Mitarbeiter!$B$6:$B$205,MATCH(B2240,Mitarbeiter!$A$6:$A$205,0)),"?"))</f>
        <v/>
      </c>
      <c r="D2240" s="41" t="n"/>
      <c r="E2240" s="42" t="n"/>
      <c r="F2240" s="43" t="n"/>
      <c r="G2240" s="44">
        <f>IF(OR(B2240="",F2240=""),"",IFERROR(F2240*INDEX(Mitarbeiter!$F$6:$F$205,MATCH(B2240,Mitarbeiter!$A$6:$A$205,0)),0))</f>
        <v/>
      </c>
      <c r="H2240" s="8">
        <f>IF(B2240="","",IF(ISNA(MATCH(B2240,Mitarbeiter!$A$6:$A$205,0)),"Pers.-Nr. unbekannt",IF(A2240="","Datum fehlt",IF(AND(D2240&lt;&gt;Einstellungen!$C$4,D2240&lt;&gt;Einstellungen!$C$5),"Objekt fehlt",IF(YEAR(A2240)&lt;&gt;Einstellungen!$C$3,"anderes Jahr",IF(A2240&lt;INDEX(Mitarbeiter!$C$6:$C$205,MATCH(B2240,Mitarbeiter!$A$6:$A$205,0)),"vor Eintritt",IF(AND(INDEX(Mitarbeiter!$D$6:$D$205,MATCH(B2240,Mitarbeiter!$A$6:$A$205,0))&lt;&gt;"",A2240&gt;INDEX(Mitarbeiter!$D$6:$D$205,MATCH(B2240,Mitarbeiter!$A$6:$A$205,0))),"nach Austritt","ok")))))))</f>
        <v/>
      </c>
    </row>
    <row r="2241">
      <c r="A2241" s="26" t="n"/>
      <c r="B2241" s="24" t="n"/>
      <c r="C2241" s="40">
        <f>IF(B2241="","",IFERROR(INDEX(Mitarbeiter!$B$6:$B$205,MATCH(B2241,Mitarbeiter!$A$6:$A$205,0)),"?"))</f>
        <v/>
      </c>
      <c r="D2241" s="41" t="n"/>
      <c r="E2241" s="42" t="n"/>
      <c r="F2241" s="43" t="n"/>
      <c r="G2241" s="44">
        <f>IF(OR(B2241="",F2241=""),"",IFERROR(F2241*INDEX(Mitarbeiter!$F$6:$F$205,MATCH(B2241,Mitarbeiter!$A$6:$A$205,0)),0))</f>
        <v/>
      </c>
      <c r="H2241" s="8">
        <f>IF(B2241="","",IF(ISNA(MATCH(B2241,Mitarbeiter!$A$6:$A$205,0)),"Pers.-Nr. unbekannt",IF(A2241="","Datum fehlt",IF(AND(D2241&lt;&gt;Einstellungen!$C$4,D2241&lt;&gt;Einstellungen!$C$5),"Objekt fehlt",IF(YEAR(A2241)&lt;&gt;Einstellungen!$C$3,"anderes Jahr",IF(A2241&lt;INDEX(Mitarbeiter!$C$6:$C$205,MATCH(B2241,Mitarbeiter!$A$6:$A$205,0)),"vor Eintritt",IF(AND(INDEX(Mitarbeiter!$D$6:$D$205,MATCH(B2241,Mitarbeiter!$A$6:$A$205,0))&lt;&gt;"",A2241&gt;INDEX(Mitarbeiter!$D$6:$D$205,MATCH(B2241,Mitarbeiter!$A$6:$A$205,0))),"nach Austritt","ok")))))))</f>
        <v/>
      </c>
    </row>
    <row r="2242">
      <c r="A2242" s="26" t="n"/>
      <c r="B2242" s="24" t="n"/>
      <c r="C2242" s="40">
        <f>IF(B2242="","",IFERROR(INDEX(Mitarbeiter!$B$6:$B$205,MATCH(B2242,Mitarbeiter!$A$6:$A$205,0)),"?"))</f>
        <v/>
      </c>
      <c r="D2242" s="41" t="n"/>
      <c r="E2242" s="42" t="n"/>
      <c r="F2242" s="43" t="n"/>
      <c r="G2242" s="44">
        <f>IF(OR(B2242="",F2242=""),"",IFERROR(F2242*INDEX(Mitarbeiter!$F$6:$F$205,MATCH(B2242,Mitarbeiter!$A$6:$A$205,0)),0))</f>
        <v/>
      </c>
      <c r="H2242" s="8">
        <f>IF(B2242="","",IF(ISNA(MATCH(B2242,Mitarbeiter!$A$6:$A$205,0)),"Pers.-Nr. unbekannt",IF(A2242="","Datum fehlt",IF(AND(D2242&lt;&gt;Einstellungen!$C$4,D2242&lt;&gt;Einstellungen!$C$5),"Objekt fehlt",IF(YEAR(A2242)&lt;&gt;Einstellungen!$C$3,"anderes Jahr",IF(A2242&lt;INDEX(Mitarbeiter!$C$6:$C$205,MATCH(B2242,Mitarbeiter!$A$6:$A$205,0)),"vor Eintritt",IF(AND(INDEX(Mitarbeiter!$D$6:$D$205,MATCH(B2242,Mitarbeiter!$A$6:$A$205,0))&lt;&gt;"",A2242&gt;INDEX(Mitarbeiter!$D$6:$D$205,MATCH(B2242,Mitarbeiter!$A$6:$A$205,0))),"nach Austritt","ok")))))))</f>
        <v/>
      </c>
    </row>
    <row r="2243">
      <c r="A2243" s="26" t="n"/>
      <c r="B2243" s="24" t="n"/>
      <c r="C2243" s="40">
        <f>IF(B2243="","",IFERROR(INDEX(Mitarbeiter!$B$6:$B$205,MATCH(B2243,Mitarbeiter!$A$6:$A$205,0)),"?"))</f>
        <v/>
      </c>
      <c r="D2243" s="41" t="n"/>
      <c r="E2243" s="42" t="n"/>
      <c r="F2243" s="43" t="n"/>
      <c r="G2243" s="44">
        <f>IF(OR(B2243="",F2243=""),"",IFERROR(F2243*INDEX(Mitarbeiter!$F$6:$F$205,MATCH(B2243,Mitarbeiter!$A$6:$A$205,0)),0))</f>
        <v/>
      </c>
      <c r="H2243" s="8">
        <f>IF(B2243="","",IF(ISNA(MATCH(B2243,Mitarbeiter!$A$6:$A$205,0)),"Pers.-Nr. unbekannt",IF(A2243="","Datum fehlt",IF(AND(D2243&lt;&gt;Einstellungen!$C$4,D2243&lt;&gt;Einstellungen!$C$5),"Objekt fehlt",IF(YEAR(A2243)&lt;&gt;Einstellungen!$C$3,"anderes Jahr",IF(A2243&lt;INDEX(Mitarbeiter!$C$6:$C$205,MATCH(B2243,Mitarbeiter!$A$6:$A$205,0)),"vor Eintritt",IF(AND(INDEX(Mitarbeiter!$D$6:$D$205,MATCH(B2243,Mitarbeiter!$A$6:$A$205,0))&lt;&gt;"",A2243&gt;INDEX(Mitarbeiter!$D$6:$D$205,MATCH(B2243,Mitarbeiter!$A$6:$A$205,0))),"nach Austritt","ok")))))))</f>
        <v/>
      </c>
    </row>
    <row r="2244">
      <c r="A2244" s="26" t="n"/>
      <c r="B2244" s="24" t="n"/>
      <c r="C2244" s="40">
        <f>IF(B2244="","",IFERROR(INDEX(Mitarbeiter!$B$6:$B$205,MATCH(B2244,Mitarbeiter!$A$6:$A$205,0)),"?"))</f>
        <v/>
      </c>
      <c r="D2244" s="41" t="n"/>
      <c r="E2244" s="42" t="n"/>
      <c r="F2244" s="43" t="n"/>
      <c r="G2244" s="44">
        <f>IF(OR(B2244="",F2244=""),"",IFERROR(F2244*INDEX(Mitarbeiter!$F$6:$F$205,MATCH(B2244,Mitarbeiter!$A$6:$A$205,0)),0))</f>
        <v/>
      </c>
      <c r="H2244" s="8">
        <f>IF(B2244="","",IF(ISNA(MATCH(B2244,Mitarbeiter!$A$6:$A$205,0)),"Pers.-Nr. unbekannt",IF(A2244="","Datum fehlt",IF(AND(D2244&lt;&gt;Einstellungen!$C$4,D2244&lt;&gt;Einstellungen!$C$5),"Objekt fehlt",IF(YEAR(A2244)&lt;&gt;Einstellungen!$C$3,"anderes Jahr",IF(A2244&lt;INDEX(Mitarbeiter!$C$6:$C$205,MATCH(B2244,Mitarbeiter!$A$6:$A$205,0)),"vor Eintritt",IF(AND(INDEX(Mitarbeiter!$D$6:$D$205,MATCH(B2244,Mitarbeiter!$A$6:$A$205,0))&lt;&gt;"",A2244&gt;INDEX(Mitarbeiter!$D$6:$D$205,MATCH(B2244,Mitarbeiter!$A$6:$A$205,0))),"nach Austritt","ok")))))))</f>
        <v/>
      </c>
    </row>
    <row r="2245">
      <c r="A2245" s="26" t="n"/>
      <c r="B2245" s="24" t="n"/>
      <c r="C2245" s="40">
        <f>IF(B2245="","",IFERROR(INDEX(Mitarbeiter!$B$6:$B$205,MATCH(B2245,Mitarbeiter!$A$6:$A$205,0)),"?"))</f>
        <v/>
      </c>
      <c r="D2245" s="41" t="n"/>
      <c r="E2245" s="42" t="n"/>
      <c r="F2245" s="43" t="n"/>
      <c r="G2245" s="44">
        <f>IF(OR(B2245="",F2245=""),"",IFERROR(F2245*INDEX(Mitarbeiter!$F$6:$F$205,MATCH(B2245,Mitarbeiter!$A$6:$A$205,0)),0))</f>
        <v/>
      </c>
      <c r="H2245" s="8">
        <f>IF(B2245="","",IF(ISNA(MATCH(B2245,Mitarbeiter!$A$6:$A$205,0)),"Pers.-Nr. unbekannt",IF(A2245="","Datum fehlt",IF(AND(D2245&lt;&gt;Einstellungen!$C$4,D2245&lt;&gt;Einstellungen!$C$5),"Objekt fehlt",IF(YEAR(A2245)&lt;&gt;Einstellungen!$C$3,"anderes Jahr",IF(A2245&lt;INDEX(Mitarbeiter!$C$6:$C$205,MATCH(B2245,Mitarbeiter!$A$6:$A$205,0)),"vor Eintritt",IF(AND(INDEX(Mitarbeiter!$D$6:$D$205,MATCH(B2245,Mitarbeiter!$A$6:$A$205,0))&lt;&gt;"",A2245&gt;INDEX(Mitarbeiter!$D$6:$D$205,MATCH(B2245,Mitarbeiter!$A$6:$A$205,0))),"nach Austritt","ok")))))))</f>
        <v/>
      </c>
    </row>
    <row r="2246">
      <c r="A2246" s="26" t="n"/>
      <c r="B2246" s="24" t="n"/>
      <c r="C2246" s="40">
        <f>IF(B2246="","",IFERROR(INDEX(Mitarbeiter!$B$6:$B$205,MATCH(B2246,Mitarbeiter!$A$6:$A$205,0)),"?"))</f>
        <v/>
      </c>
      <c r="D2246" s="41" t="n"/>
      <c r="E2246" s="42" t="n"/>
      <c r="F2246" s="43" t="n"/>
      <c r="G2246" s="44">
        <f>IF(OR(B2246="",F2246=""),"",IFERROR(F2246*INDEX(Mitarbeiter!$F$6:$F$205,MATCH(B2246,Mitarbeiter!$A$6:$A$205,0)),0))</f>
        <v/>
      </c>
      <c r="H2246" s="8">
        <f>IF(B2246="","",IF(ISNA(MATCH(B2246,Mitarbeiter!$A$6:$A$205,0)),"Pers.-Nr. unbekannt",IF(A2246="","Datum fehlt",IF(AND(D2246&lt;&gt;Einstellungen!$C$4,D2246&lt;&gt;Einstellungen!$C$5),"Objekt fehlt",IF(YEAR(A2246)&lt;&gt;Einstellungen!$C$3,"anderes Jahr",IF(A2246&lt;INDEX(Mitarbeiter!$C$6:$C$205,MATCH(B2246,Mitarbeiter!$A$6:$A$205,0)),"vor Eintritt",IF(AND(INDEX(Mitarbeiter!$D$6:$D$205,MATCH(B2246,Mitarbeiter!$A$6:$A$205,0))&lt;&gt;"",A2246&gt;INDEX(Mitarbeiter!$D$6:$D$205,MATCH(B2246,Mitarbeiter!$A$6:$A$205,0))),"nach Austritt","ok")))))))</f>
        <v/>
      </c>
    </row>
    <row r="2247">
      <c r="A2247" s="26" t="n"/>
      <c r="B2247" s="24" t="n"/>
      <c r="C2247" s="40">
        <f>IF(B2247="","",IFERROR(INDEX(Mitarbeiter!$B$6:$B$205,MATCH(B2247,Mitarbeiter!$A$6:$A$205,0)),"?"))</f>
        <v/>
      </c>
      <c r="D2247" s="41" t="n"/>
      <c r="E2247" s="42" t="n"/>
      <c r="F2247" s="43" t="n"/>
      <c r="G2247" s="44">
        <f>IF(OR(B2247="",F2247=""),"",IFERROR(F2247*INDEX(Mitarbeiter!$F$6:$F$205,MATCH(B2247,Mitarbeiter!$A$6:$A$205,0)),0))</f>
        <v/>
      </c>
      <c r="H2247" s="8">
        <f>IF(B2247="","",IF(ISNA(MATCH(B2247,Mitarbeiter!$A$6:$A$205,0)),"Pers.-Nr. unbekannt",IF(A2247="","Datum fehlt",IF(AND(D2247&lt;&gt;Einstellungen!$C$4,D2247&lt;&gt;Einstellungen!$C$5),"Objekt fehlt",IF(YEAR(A2247)&lt;&gt;Einstellungen!$C$3,"anderes Jahr",IF(A2247&lt;INDEX(Mitarbeiter!$C$6:$C$205,MATCH(B2247,Mitarbeiter!$A$6:$A$205,0)),"vor Eintritt",IF(AND(INDEX(Mitarbeiter!$D$6:$D$205,MATCH(B2247,Mitarbeiter!$A$6:$A$205,0))&lt;&gt;"",A2247&gt;INDEX(Mitarbeiter!$D$6:$D$205,MATCH(B2247,Mitarbeiter!$A$6:$A$205,0))),"nach Austritt","ok")))))))</f>
        <v/>
      </c>
    </row>
    <row r="2248">
      <c r="A2248" s="26" t="n"/>
      <c r="B2248" s="24" t="n"/>
      <c r="C2248" s="40">
        <f>IF(B2248="","",IFERROR(INDEX(Mitarbeiter!$B$6:$B$205,MATCH(B2248,Mitarbeiter!$A$6:$A$205,0)),"?"))</f>
        <v/>
      </c>
      <c r="D2248" s="41" t="n"/>
      <c r="E2248" s="42" t="n"/>
      <c r="F2248" s="43" t="n"/>
      <c r="G2248" s="44">
        <f>IF(OR(B2248="",F2248=""),"",IFERROR(F2248*INDEX(Mitarbeiter!$F$6:$F$205,MATCH(B2248,Mitarbeiter!$A$6:$A$205,0)),0))</f>
        <v/>
      </c>
      <c r="H2248" s="8">
        <f>IF(B2248="","",IF(ISNA(MATCH(B2248,Mitarbeiter!$A$6:$A$205,0)),"Pers.-Nr. unbekannt",IF(A2248="","Datum fehlt",IF(AND(D2248&lt;&gt;Einstellungen!$C$4,D2248&lt;&gt;Einstellungen!$C$5),"Objekt fehlt",IF(YEAR(A2248)&lt;&gt;Einstellungen!$C$3,"anderes Jahr",IF(A2248&lt;INDEX(Mitarbeiter!$C$6:$C$205,MATCH(B2248,Mitarbeiter!$A$6:$A$205,0)),"vor Eintritt",IF(AND(INDEX(Mitarbeiter!$D$6:$D$205,MATCH(B2248,Mitarbeiter!$A$6:$A$205,0))&lt;&gt;"",A2248&gt;INDEX(Mitarbeiter!$D$6:$D$205,MATCH(B2248,Mitarbeiter!$A$6:$A$205,0))),"nach Austritt","ok")))))))</f>
        <v/>
      </c>
    </row>
    <row r="2249">
      <c r="A2249" s="26" t="n"/>
      <c r="B2249" s="24" t="n"/>
      <c r="C2249" s="40">
        <f>IF(B2249="","",IFERROR(INDEX(Mitarbeiter!$B$6:$B$205,MATCH(B2249,Mitarbeiter!$A$6:$A$205,0)),"?"))</f>
        <v/>
      </c>
      <c r="D2249" s="41" t="n"/>
      <c r="E2249" s="42" t="n"/>
      <c r="F2249" s="43" t="n"/>
      <c r="G2249" s="44">
        <f>IF(OR(B2249="",F2249=""),"",IFERROR(F2249*INDEX(Mitarbeiter!$F$6:$F$205,MATCH(B2249,Mitarbeiter!$A$6:$A$205,0)),0))</f>
        <v/>
      </c>
      <c r="H2249" s="8">
        <f>IF(B2249="","",IF(ISNA(MATCH(B2249,Mitarbeiter!$A$6:$A$205,0)),"Pers.-Nr. unbekannt",IF(A2249="","Datum fehlt",IF(AND(D2249&lt;&gt;Einstellungen!$C$4,D2249&lt;&gt;Einstellungen!$C$5),"Objekt fehlt",IF(YEAR(A2249)&lt;&gt;Einstellungen!$C$3,"anderes Jahr",IF(A2249&lt;INDEX(Mitarbeiter!$C$6:$C$205,MATCH(B2249,Mitarbeiter!$A$6:$A$205,0)),"vor Eintritt",IF(AND(INDEX(Mitarbeiter!$D$6:$D$205,MATCH(B2249,Mitarbeiter!$A$6:$A$205,0))&lt;&gt;"",A2249&gt;INDEX(Mitarbeiter!$D$6:$D$205,MATCH(B2249,Mitarbeiter!$A$6:$A$205,0))),"nach Austritt","ok")))))))</f>
        <v/>
      </c>
    </row>
    <row r="2250">
      <c r="A2250" s="26" t="n"/>
      <c r="B2250" s="24" t="n"/>
      <c r="C2250" s="40">
        <f>IF(B2250="","",IFERROR(INDEX(Mitarbeiter!$B$6:$B$205,MATCH(B2250,Mitarbeiter!$A$6:$A$205,0)),"?"))</f>
        <v/>
      </c>
      <c r="D2250" s="41" t="n"/>
      <c r="E2250" s="42" t="n"/>
      <c r="F2250" s="43" t="n"/>
      <c r="G2250" s="44">
        <f>IF(OR(B2250="",F2250=""),"",IFERROR(F2250*INDEX(Mitarbeiter!$F$6:$F$205,MATCH(B2250,Mitarbeiter!$A$6:$A$205,0)),0))</f>
        <v/>
      </c>
      <c r="H2250" s="8">
        <f>IF(B2250="","",IF(ISNA(MATCH(B2250,Mitarbeiter!$A$6:$A$205,0)),"Pers.-Nr. unbekannt",IF(A2250="","Datum fehlt",IF(AND(D2250&lt;&gt;Einstellungen!$C$4,D2250&lt;&gt;Einstellungen!$C$5),"Objekt fehlt",IF(YEAR(A2250)&lt;&gt;Einstellungen!$C$3,"anderes Jahr",IF(A2250&lt;INDEX(Mitarbeiter!$C$6:$C$205,MATCH(B2250,Mitarbeiter!$A$6:$A$205,0)),"vor Eintritt",IF(AND(INDEX(Mitarbeiter!$D$6:$D$205,MATCH(B2250,Mitarbeiter!$A$6:$A$205,0))&lt;&gt;"",A2250&gt;INDEX(Mitarbeiter!$D$6:$D$205,MATCH(B2250,Mitarbeiter!$A$6:$A$205,0))),"nach Austritt","ok")))))))</f>
        <v/>
      </c>
    </row>
    <row r="2251">
      <c r="A2251" s="26" t="n"/>
      <c r="B2251" s="24" t="n"/>
      <c r="C2251" s="40">
        <f>IF(B2251="","",IFERROR(INDEX(Mitarbeiter!$B$6:$B$205,MATCH(B2251,Mitarbeiter!$A$6:$A$205,0)),"?"))</f>
        <v/>
      </c>
      <c r="D2251" s="41" t="n"/>
      <c r="E2251" s="42" t="n"/>
      <c r="F2251" s="43" t="n"/>
      <c r="G2251" s="44">
        <f>IF(OR(B2251="",F2251=""),"",IFERROR(F2251*INDEX(Mitarbeiter!$F$6:$F$205,MATCH(B2251,Mitarbeiter!$A$6:$A$205,0)),0))</f>
        <v/>
      </c>
      <c r="H2251" s="8">
        <f>IF(B2251="","",IF(ISNA(MATCH(B2251,Mitarbeiter!$A$6:$A$205,0)),"Pers.-Nr. unbekannt",IF(A2251="","Datum fehlt",IF(AND(D2251&lt;&gt;Einstellungen!$C$4,D2251&lt;&gt;Einstellungen!$C$5),"Objekt fehlt",IF(YEAR(A2251)&lt;&gt;Einstellungen!$C$3,"anderes Jahr",IF(A2251&lt;INDEX(Mitarbeiter!$C$6:$C$205,MATCH(B2251,Mitarbeiter!$A$6:$A$205,0)),"vor Eintritt",IF(AND(INDEX(Mitarbeiter!$D$6:$D$205,MATCH(B2251,Mitarbeiter!$A$6:$A$205,0))&lt;&gt;"",A2251&gt;INDEX(Mitarbeiter!$D$6:$D$205,MATCH(B2251,Mitarbeiter!$A$6:$A$205,0))),"nach Austritt","ok")))))))</f>
        <v/>
      </c>
    </row>
    <row r="2252">
      <c r="A2252" s="26" t="n"/>
      <c r="B2252" s="24" t="n"/>
      <c r="C2252" s="40">
        <f>IF(B2252="","",IFERROR(INDEX(Mitarbeiter!$B$6:$B$205,MATCH(B2252,Mitarbeiter!$A$6:$A$205,0)),"?"))</f>
        <v/>
      </c>
      <c r="D2252" s="41" t="n"/>
      <c r="E2252" s="42" t="n"/>
      <c r="F2252" s="43" t="n"/>
      <c r="G2252" s="44">
        <f>IF(OR(B2252="",F2252=""),"",IFERROR(F2252*INDEX(Mitarbeiter!$F$6:$F$205,MATCH(B2252,Mitarbeiter!$A$6:$A$205,0)),0))</f>
        <v/>
      </c>
      <c r="H2252" s="8">
        <f>IF(B2252="","",IF(ISNA(MATCH(B2252,Mitarbeiter!$A$6:$A$205,0)),"Pers.-Nr. unbekannt",IF(A2252="","Datum fehlt",IF(AND(D2252&lt;&gt;Einstellungen!$C$4,D2252&lt;&gt;Einstellungen!$C$5),"Objekt fehlt",IF(YEAR(A2252)&lt;&gt;Einstellungen!$C$3,"anderes Jahr",IF(A2252&lt;INDEX(Mitarbeiter!$C$6:$C$205,MATCH(B2252,Mitarbeiter!$A$6:$A$205,0)),"vor Eintritt",IF(AND(INDEX(Mitarbeiter!$D$6:$D$205,MATCH(B2252,Mitarbeiter!$A$6:$A$205,0))&lt;&gt;"",A2252&gt;INDEX(Mitarbeiter!$D$6:$D$205,MATCH(B2252,Mitarbeiter!$A$6:$A$205,0))),"nach Austritt","ok")))))))</f>
        <v/>
      </c>
    </row>
    <row r="2253">
      <c r="A2253" s="26" t="n"/>
      <c r="B2253" s="24" t="n"/>
      <c r="C2253" s="40">
        <f>IF(B2253="","",IFERROR(INDEX(Mitarbeiter!$B$6:$B$205,MATCH(B2253,Mitarbeiter!$A$6:$A$205,0)),"?"))</f>
        <v/>
      </c>
      <c r="D2253" s="41" t="n"/>
      <c r="E2253" s="42" t="n"/>
      <c r="F2253" s="43" t="n"/>
      <c r="G2253" s="44">
        <f>IF(OR(B2253="",F2253=""),"",IFERROR(F2253*INDEX(Mitarbeiter!$F$6:$F$205,MATCH(B2253,Mitarbeiter!$A$6:$A$205,0)),0))</f>
        <v/>
      </c>
      <c r="H2253" s="8">
        <f>IF(B2253="","",IF(ISNA(MATCH(B2253,Mitarbeiter!$A$6:$A$205,0)),"Pers.-Nr. unbekannt",IF(A2253="","Datum fehlt",IF(AND(D2253&lt;&gt;Einstellungen!$C$4,D2253&lt;&gt;Einstellungen!$C$5),"Objekt fehlt",IF(YEAR(A2253)&lt;&gt;Einstellungen!$C$3,"anderes Jahr",IF(A2253&lt;INDEX(Mitarbeiter!$C$6:$C$205,MATCH(B2253,Mitarbeiter!$A$6:$A$205,0)),"vor Eintritt",IF(AND(INDEX(Mitarbeiter!$D$6:$D$205,MATCH(B2253,Mitarbeiter!$A$6:$A$205,0))&lt;&gt;"",A2253&gt;INDEX(Mitarbeiter!$D$6:$D$205,MATCH(B2253,Mitarbeiter!$A$6:$A$205,0))),"nach Austritt","ok")))))))</f>
        <v/>
      </c>
    </row>
    <row r="2254">
      <c r="A2254" s="26" t="n"/>
      <c r="B2254" s="24" t="n"/>
      <c r="C2254" s="40">
        <f>IF(B2254="","",IFERROR(INDEX(Mitarbeiter!$B$6:$B$205,MATCH(B2254,Mitarbeiter!$A$6:$A$205,0)),"?"))</f>
        <v/>
      </c>
      <c r="D2254" s="41" t="n"/>
      <c r="E2254" s="42" t="n"/>
      <c r="F2254" s="43" t="n"/>
      <c r="G2254" s="44">
        <f>IF(OR(B2254="",F2254=""),"",IFERROR(F2254*INDEX(Mitarbeiter!$F$6:$F$205,MATCH(B2254,Mitarbeiter!$A$6:$A$205,0)),0))</f>
        <v/>
      </c>
      <c r="H2254" s="8">
        <f>IF(B2254="","",IF(ISNA(MATCH(B2254,Mitarbeiter!$A$6:$A$205,0)),"Pers.-Nr. unbekannt",IF(A2254="","Datum fehlt",IF(AND(D2254&lt;&gt;Einstellungen!$C$4,D2254&lt;&gt;Einstellungen!$C$5),"Objekt fehlt",IF(YEAR(A2254)&lt;&gt;Einstellungen!$C$3,"anderes Jahr",IF(A2254&lt;INDEX(Mitarbeiter!$C$6:$C$205,MATCH(B2254,Mitarbeiter!$A$6:$A$205,0)),"vor Eintritt",IF(AND(INDEX(Mitarbeiter!$D$6:$D$205,MATCH(B2254,Mitarbeiter!$A$6:$A$205,0))&lt;&gt;"",A2254&gt;INDEX(Mitarbeiter!$D$6:$D$205,MATCH(B2254,Mitarbeiter!$A$6:$A$205,0))),"nach Austritt","ok")))))))</f>
        <v/>
      </c>
    </row>
    <row r="2255">
      <c r="A2255" s="26" t="n"/>
      <c r="B2255" s="24" t="n"/>
      <c r="C2255" s="40">
        <f>IF(B2255="","",IFERROR(INDEX(Mitarbeiter!$B$6:$B$205,MATCH(B2255,Mitarbeiter!$A$6:$A$205,0)),"?"))</f>
        <v/>
      </c>
      <c r="D2255" s="41" t="n"/>
      <c r="E2255" s="42" t="n"/>
      <c r="F2255" s="43" t="n"/>
      <c r="G2255" s="44">
        <f>IF(OR(B2255="",F2255=""),"",IFERROR(F2255*INDEX(Mitarbeiter!$F$6:$F$205,MATCH(B2255,Mitarbeiter!$A$6:$A$205,0)),0))</f>
        <v/>
      </c>
      <c r="H2255" s="8">
        <f>IF(B2255="","",IF(ISNA(MATCH(B2255,Mitarbeiter!$A$6:$A$205,0)),"Pers.-Nr. unbekannt",IF(A2255="","Datum fehlt",IF(AND(D2255&lt;&gt;Einstellungen!$C$4,D2255&lt;&gt;Einstellungen!$C$5),"Objekt fehlt",IF(YEAR(A2255)&lt;&gt;Einstellungen!$C$3,"anderes Jahr",IF(A2255&lt;INDEX(Mitarbeiter!$C$6:$C$205,MATCH(B2255,Mitarbeiter!$A$6:$A$205,0)),"vor Eintritt",IF(AND(INDEX(Mitarbeiter!$D$6:$D$205,MATCH(B2255,Mitarbeiter!$A$6:$A$205,0))&lt;&gt;"",A2255&gt;INDEX(Mitarbeiter!$D$6:$D$205,MATCH(B2255,Mitarbeiter!$A$6:$A$205,0))),"nach Austritt","ok")))))))</f>
        <v/>
      </c>
    </row>
    <row r="2256">
      <c r="A2256" s="26" t="n"/>
      <c r="B2256" s="24" t="n"/>
      <c r="C2256" s="40">
        <f>IF(B2256="","",IFERROR(INDEX(Mitarbeiter!$B$6:$B$205,MATCH(B2256,Mitarbeiter!$A$6:$A$205,0)),"?"))</f>
        <v/>
      </c>
      <c r="D2256" s="41" t="n"/>
      <c r="E2256" s="42" t="n"/>
      <c r="F2256" s="43" t="n"/>
      <c r="G2256" s="44">
        <f>IF(OR(B2256="",F2256=""),"",IFERROR(F2256*INDEX(Mitarbeiter!$F$6:$F$205,MATCH(B2256,Mitarbeiter!$A$6:$A$205,0)),0))</f>
        <v/>
      </c>
      <c r="H2256" s="8">
        <f>IF(B2256="","",IF(ISNA(MATCH(B2256,Mitarbeiter!$A$6:$A$205,0)),"Pers.-Nr. unbekannt",IF(A2256="","Datum fehlt",IF(AND(D2256&lt;&gt;Einstellungen!$C$4,D2256&lt;&gt;Einstellungen!$C$5),"Objekt fehlt",IF(YEAR(A2256)&lt;&gt;Einstellungen!$C$3,"anderes Jahr",IF(A2256&lt;INDEX(Mitarbeiter!$C$6:$C$205,MATCH(B2256,Mitarbeiter!$A$6:$A$205,0)),"vor Eintritt",IF(AND(INDEX(Mitarbeiter!$D$6:$D$205,MATCH(B2256,Mitarbeiter!$A$6:$A$205,0))&lt;&gt;"",A2256&gt;INDEX(Mitarbeiter!$D$6:$D$205,MATCH(B2256,Mitarbeiter!$A$6:$A$205,0))),"nach Austritt","ok")))))))</f>
        <v/>
      </c>
    </row>
    <row r="2257">
      <c r="A2257" s="26" t="n"/>
      <c r="B2257" s="24" t="n"/>
      <c r="C2257" s="40">
        <f>IF(B2257="","",IFERROR(INDEX(Mitarbeiter!$B$6:$B$205,MATCH(B2257,Mitarbeiter!$A$6:$A$205,0)),"?"))</f>
        <v/>
      </c>
      <c r="D2257" s="41" t="n"/>
      <c r="E2257" s="42" t="n"/>
      <c r="F2257" s="43" t="n"/>
      <c r="G2257" s="44">
        <f>IF(OR(B2257="",F2257=""),"",IFERROR(F2257*INDEX(Mitarbeiter!$F$6:$F$205,MATCH(B2257,Mitarbeiter!$A$6:$A$205,0)),0))</f>
        <v/>
      </c>
      <c r="H2257" s="8">
        <f>IF(B2257="","",IF(ISNA(MATCH(B2257,Mitarbeiter!$A$6:$A$205,0)),"Pers.-Nr. unbekannt",IF(A2257="","Datum fehlt",IF(AND(D2257&lt;&gt;Einstellungen!$C$4,D2257&lt;&gt;Einstellungen!$C$5),"Objekt fehlt",IF(YEAR(A2257)&lt;&gt;Einstellungen!$C$3,"anderes Jahr",IF(A2257&lt;INDEX(Mitarbeiter!$C$6:$C$205,MATCH(B2257,Mitarbeiter!$A$6:$A$205,0)),"vor Eintritt",IF(AND(INDEX(Mitarbeiter!$D$6:$D$205,MATCH(B2257,Mitarbeiter!$A$6:$A$205,0))&lt;&gt;"",A2257&gt;INDEX(Mitarbeiter!$D$6:$D$205,MATCH(B2257,Mitarbeiter!$A$6:$A$205,0))),"nach Austritt","ok")))))))</f>
        <v/>
      </c>
    </row>
    <row r="2258">
      <c r="A2258" s="26" t="n"/>
      <c r="B2258" s="24" t="n"/>
      <c r="C2258" s="40">
        <f>IF(B2258="","",IFERROR(INDEX(Mitarbeiter!$B$6:$B$205,MATCH(B2258,Mitarbeiter!$A$6:$A$205,0)),"?"))</f>
        <v/>
      </c>
      <c r="D2258" s="41" t="n"/>
      <c r="E2258" s="42" t="n"/>
      <c r="F2258" s="43" t="n"/>
      <c r="G2258" s="44">
        <f>IF(OR(B2258="",F2258=""),"",IFERROR(F2258*INDEX(Mitarbeiter!$F$6:$F$205,MATCH(B2258,Mitarbeiter!$A$6:$A$205,0)),0))</f>
        <v/>
      </c>
      <c r="H2258" s="8">
        <f>IF(B2258="","",IF(ISNA(MATCH(B2258,Mitarbeiter!$A$6:$A$205,0)),"Pers.-Nr. unbekannt",IF(A2258="","Datum fehlt",IF(AND(D2258&lt;&gt;Einstellungen!$C$4,D2258&lt;&gt;Einstellungen!$C$5),"Objekt fehlt",IF(YEAR(A2258)&lt;&gt;Einstellungen!$C$3,"anderes Jahr",IF(A2258&lt;INDEX(Mitarbeiter!$C$6:$C$205,MATCH(B2258,Mitarbeiter!$A$6:$A$205,0)),"vor Eintritt",IF(AND(INDEX(Mitarbeiter!$D$6:$D$205,MATCH(B2258,Mitarbeiter!$A$6:$A$205,0))&lt;&gt;"",A2258&gt;INDEX(Mitarbeiter!$D$6:$D$205,MATCH(B2258,Mitarbeiter!$A$6:$A$205,0))),"nach Austritt","ok")))))))</f>
        <v/>
      </c>
    </row>
    <row r="2259">
      <c r="A2259" s="26" t="n"/>
      <c r="B2259" s="24" t="n"/>
      <c r="C2259" s="40">
        <f>IF(B2259="","",IFERROR(INDEX(Mitarbeiter!$B$6:$B$205,MATCH(B2259,Mitarbeiter!$A$6:$A$205,0)),"?"))</f>
        <v/>
      </c>
      <c r="D2259" s="41" t="n"/>
      <c r="E2259" s="42" t="n"/>
      <c r="F2259" s="43" t="n"/>
      <c r="G2259" s="44">
        <f>IF(OR(B2259="",F2259=""),"",IFERROR(F2259*INDEX(Mitarbeiter!$F$6:$F$205,MATCH(B2259,Mitarbeiter!$A$6:$A$205,0)),0))</f>
        <v/>
      </c>
      <c r="H2259" s="8">
        <f>IF(B2259="","",IF(ISNA(MATCH(B2259,Mitarbeiter!$A$6:$A$205,0)),"Pers.-Nr. unbekannt",IF(A2259="","Datum fehlt",IF(AND(D2259&lt;&gt;Einstellungen!$C$4,D2259&lt;&gt;Einstellungen!$C$5),"Objekt fehlt",IF(YEAR(A2259)&lt;&gt;Einstellungen!$C$3,"anderes Jahr",IF(A2259&lt;INDEX(Mitarbeiter!$C$6:$C$205,MATCH(B2259,Mitarbeiter!$A$6:$A$205,0)),"vor Eintritt",IF(AND(INDEX(Mitarbeiter!$D$6:$D$205,MATCH(B2259,Mitarbeiter!$A$6:$A$205,0))&lt;&gt;"",A2259&gt;INDEX(Mitarbeiter!$D$6:$D$205,MATCH(B2259,Mitarbeiter!$A$6:$A$205,0))),"nach Austritt","ok")))))))</f>
        <v/>
      </c>
    </row>
    <row r="2260">
      <c r="A2260" s="26" t="n"/>
      <c r="B2260" s="24" t="n"/>
      <c r="C2260" s="40">
        <f>IF(B2260="","",IFERROR(INDEX(Mitarbeiter!$B$6:$B$205,MATCH(B2260,Mitarbeiter!$A$6:$A$205,0)),"?"))</f>
        <v/>
      </c>
      <c r="D2260" s="41" t="n"/>
      <c r="E2260" s="42" t="n"/>
      <c r="F2260" s="43" t="n"/>
      <c r="G2260" s="44">
        <f>IF(OR(B2260="",F2260=""),"",IFERROR(F2260*INDEX(Mitarbeiter!$F$6:$F$205,MATCH(B2260,Mitarbeiter!$A$6:$A$205,0)),0))</f>
        <v/>
      </c>
      <c r="H2260" s="8">
        <f>IF(B2260="","",IF(ISNA(MATCH(B2260,Mitarbeiter!$A$6:$A$205,0)),"Pers.-Nr. unbekannt",IF(A2260="","Datum fehlt",IF(AND(D2260&lt;&gt;Einstellungen!$C$4,D2260&lt;&gt;Einstellungen!$C$5),"Objekt fehlt",IF(YEAR(A2260)&lt;&gt;Einstellungen!$C$3,"anderes Jahr",IF(A2260&lt;INDEX(Mitarbeiter!$C$6:$C$205,MATCH(B2260,Mitarbeiter!$A$6:$A$205,0)),"vor Eintritt",IF(AND(INDEX(Mitarbeiter!$D$6:$D$205,MATCH(B2260,Mitarbeiter!$A$6:$A$205,0))&lt;&gt;"",A2260&gt;INDEX(Mitarbeiter!$D$6:$D$205,MATCH(B2260,Mitarbeiter!$A$6:$A$205,0))),"nach Austritt","ok")))))))</f>
        <v/>
      </c>
    </row>
    <row r="2261">
      <c r="A2261" s="26" t="n"/>
      <c r="B2261" s="24" t="n"/>
      <c r="C2261" s="40">
        <f>IF(B2261="","",IFERROR(INDEX(Mitarbeiter!$B$6:$B$205,MATCH(B2261,Mitarbeiter!$A$6:$A$205,0)),"?"))</f>
        <v/>
      </c>
      <c r="D2261" s="41" t="n"/>
      <c r="E2261" s="42" t="n"/>
      <c r="F2261" s="43" t="n"/>
      <c r="G2261" s="44">
        <f>IF(OR(B2261="",F2261=""),"",IFERROR(F2261*INDEX(Mitarbeiter!$F$6:$F$205,MATCH(B2261,Mitarbeiter!$A$6:$A$205,0)),0))</f>
        <v/>
      </c>
      <c r="H2261" s="8">
        <f>IF(B2261="","",IF(ISNA(MATCH(B2261,Mitarbeiter!$A$6:$A$205,0)),"Pers.-Nr. unbekannt",IF(A2261="","Datum fehlt",IF(AND(D2261&lt;&gt;Einstellungen!$C$4,D2261&lt;&gt;Einstellungen!$C$5),"Objekt fehlt",IF(YEAR(A2261)&lt;&gt;Einstellungen!$C$3,"anderes Jahr",IF(A2261&lt;INDEX(Mitarbeiter!$C$6:$C$205,MATCH(B2261,Mitarbeiter!$A$6:$A$205,0)),"vor Eintritt",IF(AND(INDEX(Mitarbeiter!$D$6:$D$205,MATCH(B2261,Mitarbeiter!$A$6:$A$205,0))&lt;&gt;"",A2261&gt;INDEX(Mitarbeiter!$D$6:$D$205,MATCH(B2261,Mitarbeiter!$A$6:$A$205,0))),"nach Austritt","ok")))))))</f>
        <v/>
      </c>
    </row>
    <row r="2262">
      <c r="A2262" s="26" t="n"/>
      <c r="B2262" s="24" t="n"/>
      <c r="C2262" s="40">
        <f>IF(B2262="","",IFERROR(INDEX(Mitarbeiter!$B$6:$B$205,MATCH(B2262,Mitarbeiter!$A$6:$A$205,0)),"?"))</f>
        <v/>
      </c>
      <c r="D2262" s="41" t="n"/>
      <c r="E2262" s="42" t="n"/>
      <c r="F2262" s="43" t="n"/>
      <c r="G2262" s="44">
        <f>IF(OR(B2262="",F2262=""),"",IFERROR(F2262*INDEX(Mitarbeiter!$F$6:$F$205,MATCH(B2262,Mitarbeiter!$A$6:$A$205,0)),0))</f>
        <v/>
      </c>
      <c r="H2262" s="8">
        <f>IF(B2262="","",IF(ISNA(MATCH(B2262,Mitarbeiter!$A$6:$A$205,0)),"Pers.-Nr. unbekannt",IF(A2262="","Datum fehlt",IF(AND(D2262&lt;&gt;Einstellungen!$C$4,D2262&lt;&gt;Einstellungen!$C$5),"Objekt fehlt",IF(YEAR(A2262)&lt;&gt;Einstellungen!$C$3,"anderes Jahr",IF(A2262&lt;INDEX(Mitarbeiter!$C$6:$C$205,MATCH(B2262,Mitarbeiter!$A$6:$A$205,0)),"vor Eintritt",IF(AND(INDEX(Mitarbeiter!$D$6:$D$205,MATCH(B2262,Mitarbeiter!$A$6:$A$205,0))&lt;&gt;"",A2262&gt;INDEX(Mitarbeiter!$D$6:$D$205,MATCH(B2262,Mitarbeiter!$A$6:$A$205,0))),"nach Austritt","ok")))))))</f>
        <v/>
      </c>
    </row>
    <row r="2263">
      <c r="A2263" s="26" t="n"/>
      <c r="B2263" s="24" t="n"/>
      <c r="C2263" s="40">
        <f>IF(B2263="","",IFERROR(INDEX(Mitarbeiter!$B$6:$B$205,MATCH(B2263,Mitarbeiter!$A$6:$A$205,0)),"?"))</f>
        <v/>
      </c>
      <c r="D2263" s="41" t="n"/>
      <c r="E2263" s="42" t="n"/>
      <c r="F2263" s="43" t="n"/>
      <c r="G2263" s="44">
        <f>IF(OR(B2263="",F2263=""),"",IFERROR(F2263*INDEX(Mitarbeiter!$F$6:$F$205,MATCH(B2263,Mitarbeiter!$A$6:$A$205,0)),0))</f>
        <v/>
      </c>
      <c r="H2263" s="8">
        <f>IF(B2263="","",IF(ISNA(MATCH(B2263,Mitarbeiter!$A$6:$A$205,0)),"Pers.-Nr. unbekannt",IF(A2263="","Datum fehlt",IF(AND(D2263&lt;&gt;Einstellungen!$C$4,D2263&lt;&gt;Einstellungen!$C$5),"Objekt fehlt",IF(YEAR(A2263)&lt;&gt;Einstellungen!$C$3,"anderes Jahr",IF(A2263&lt;INDEX(Mitarbeiter!$C$6:$C$205,MATCH(B2263,Mitarbeiter!$A$6:$A$205,0)),"vor Eintritt",IF(AND(INDEX(Mitarbeiter!$D$6:$D$205,MATCH(B2263,Mitarbeiter!$A$6:$A$205,0))&lt;&gt;"",A2263&gt;INDEX(Mitarbeiter!$D$6:$D$205,MATCH(B2263,Mitarbeiter!$A$6:$A$205,0))),"nach Austritt","ok")))))))</f>
        <v/>
      </c>
    </row>
    <row r="2264">
      <c r="A2264" s="26" t="n"/>
      <c r="B2264" s="24" t="n"/>
      <c r="C2264" s="40">
        <f>IF(B2264="","",IFERROR(INDEX(Mitarbeiter!$B$6:$B$205,MATCH(B2264,Mitarbeiter!$A$6:$A$205,0)),"?"))</f>
        <v/>
      </c>
      <c r="D2264" s="41" t="n"/>
      <c r="E2264" s="42" t="n"/>
      <c r="F2264" s="43" t="n"/>
      <c r="G2264" s="44">
        <f>IF(OR(B2264="",F2264=""),"",IFERROR(F2264*INDEX(Mitarbeiter!$F$6:$F$205,MATCH(B2264,Mitarbeiter!$A$6:$A$205,0)),0))</f>
        <v/>
      </c>
      <c r="H2264" s="8">
        <f>IF(B2264="","",IF(ISNA(MATCH(B2264,Mitarbeiter!$A$6:$A$205,0)),"Pers.-Nr. unbekannt",IF(A2264="","Datum fehlt",IF(AND(D2264&lt;&gt;Einstellungen!$C$4,D2264&lt;&gt;Einstellungen!$C$5),"Objekt fehlt",IF(YEAR(A2264)&lt;&gt;Einstellungen!$C$3,"anderes Jahr",IF(A2264&lt;INDEX(Mitarbeiter!$C$6:$C$205,MATCH(B2264,Mitarbeiter!$A$6:$A$205,0)),"vor Eintritt",IF(AND(INDEX(Mitarbeiter!$D$6:$D$205,MATCH(B2264,Mitarbeiter!$A$6:$A$205,0))&lt;&gt;"",A2264&gt;INDEX(Mitarbeiter!$D$6:$D$205,MATCH(B2264,Mitarbeiter!$A$6:$A$205,0))),"nach Austritt","ok")))))))</f>
        <v/>
      </c>
    </row>
    <row r="2265">
      <c r="A2265" s="26" t="n"/>
      <c r="B2265" s="24" t="n"/>
      <c r="C2265" s="40">
        <f>IF(B2265="","",IFERROR(INDEX(Mitarbeiter!$B$6:$B$205,MATCH(B2265,Mitarbeiter!$A$6:$A$205,0)),"?"))</f>
        <v/>
      </c>
      <c r="D2265" s="41" t="n"/>
      <c r="E2265" s="42" t="n"/>
      <c r="F2265" s="43" t="n"/>
      <c r="G2265" s="44">
        <f>IF(OR(B2265="",F2265=""),"",IFERROR(F2265*INDEX(Mitarbeiter!$F$6:$F$205,MATCH(B2265,Mitarbeiter!$A$6:$A$205,0)),0))</f>
        <v/>
      </c>
      <c r="H2265" s="8">
        <f>IF(B2265="","",IF(ISNA(MATCH(B2265,Mitarbeiter!$A$6:$A$205,0)),"Pers.-Nr. unbekannt",IF(A2265="","Datum fehlt",IF(AND(D2265&lt;&gt;Einstellungen!$C$4,D2265&lt;&gt;Einstellungen!$C$5),"Objekt fehlt",IF(YEAR(A2265)&lt;&gt;Einstellungen!$C$3,"anderes Jahr",IF(A2265&lt;INDEX(Mitarbeiter!$C$6:$C$205,MATCH(B2265,Mitarbeiter!$A$6:$A$205,0)),"vor Eintritt",IF(AND(INDEX(Mitarbeiter!$D$6:$D$205,MATCH(B2265,Mitarbeiter!$A$6:$A$205,0))&lt;&gt;"",A2265&gt;INDEX(Mitarbeiter!$D$6:$D$205,MATCH(B2265,Mitarbeiter!$A$6:$A$205,0))),"nach Austritt","ok")))))))</f>
        <v/>
      </c>
    </row>
    <row r="2266">
      <c r="A2266" s="26" t="n"/>
      <c r="B2266" s="24" t="n"/>
      <c r="C2266" s="40">
        <f>IF(B2266="","",IFERROR(INDEX(Mitarbeiter!$B$6:$B$205,MATCH(B2266,Mitarbeiter!$A$6:$A$205,0)),"?"))</f>
        <v/>
      </c>
      <c r="D2266" s="41" t="n"/>
      <c r="E2266" s="42" t="n"/>
      <c r="F2266" s="43" t="n"/>
      <c r="G2266" s="44">
        <f>IF(OR(B2266="",F2266=""),"",IFERROR(F2266*INDEX(Mitarbeiter!$F$6:$F$205,MATCH(B2266,Mitarbeiter!$A$6:$A$205,0)),0))</f>
        <v/>
      </c>
      <c r="H2266" s="8">
        <f>IF(B2266="","",IF(ISNA(MATCH(B2266,Mitarbeiter!$A$6:$A$205,0)),"Pers.-Nr. unbekannt",IF(A2266="","Datum fehlt",IF(AND(D2266&lt;&gt;Einstellungen!$C$4,D2266&lt;&gt;Einstellungen!$C$5),"Objekt fehlt",IF(YEAR(A2266)&lt;&gt;Einstellungen!$C$3,"anderes Jahr",IF(A2266&lt;INDEX(Mitarbeiter!$C$6:$C$205,MATCH(B2266,Mitarbeiter!$A$6:$A$205,0)),"vor Eintritt",IF(AND(INDEX(Mitarbeiter!$D$6:$D$205,MATCH(B2266,Mitarbeiter!$A$6:$A$205,0))&lt;&gt;"",A2266&gt;INDEX(Mitarbeiter!$D$6:$D$205,MATCH(B2266,Mitarbeiter!$A$6:$A$205,0))),"nach Austritt","ok")))))))</f>
        <v/>
      </c>
    </row>
    <row r="2267">
      <c r="A2267" s="26" t="n"/>
      <c r="B2267" s="24" t="n"/>
      <c r="C2267" s="40">
        <f>IF(B2267="","",IFERROR(INDEX(Mitarbeiter!$B$6:$B$205,MATCH(B2267,Mitarbeiter!$A$6:$A$205,0)),"?"))</f>
        <v/>
      </c>
      <c r="D2267" s="41" t="n"/>
      <c r="E2267" s="42" t="n"/>
      <c r="F2267" s="43" t="n"/>
      <c r="G2267" s="44">
        <f>IF(OR(B2267="",F2267=""),"",IFERROR(F2267*INDEX(Mitarbeiter!$F$6:$F$205,MATCH(B2267,Mitarbeiter!$A$6:$A$205,0)),0))</f>
        <v/>
      </c>
      <c r="H2267" s="8">
        <f>IF(B2267="","",IF(ISNA(MATCH(B2267,Mitarbeiter!$A$6:$A$205,0)),"Pers.-Nr. unbekannt",IF(A2267="","Datum fehlt",IF(AND(D2267&lt;&gt;Einstellungen!$C$4,D2267&lt;&gt;Einstellungen!$C$5),"Objekt fehlt",IF(YEAR(A2267)&lt;&gt;Einstellungen!$C$3,"anderes Jahr",IF(A2267&lt;INDEX(Mitarbeiter!$C$6:$C$205,MATCH(B2267,Mitarbeiter!$A$6:$A$205,0)),"vor Eintritt",IF(AND(INDEX(Mitarbeiter!$D$6:$D$205,MATCH(B2267,Mitarbeiter!$A$6:$A$205,0))&lt;&gt;"",A2267&gt;INDEX(Mitarbeiter!$D$6:$D$205,MATCH(B2267,Mitarbeiter!$A$6:$A$205,0))),"nach Austritt","ok")))))))</f>
        <v/>
      </c>
    </row>
    <row r="2268">
      <c r="A2268" s="26" t="n"/>
      <c r="B2268" s="24" t="n"/>
      <c r="C2268" s="40">
        <f>IF(B2268="","",IFERROR(INDEX(Mitarbeiter!$B$6:$B$205,MATCH(B2268,Mitarbeiter!$A$6:$A$205,0)),"?"))</f>
        <v/>
      </c>
      <c r="D2268" s="41" t="n"/>
      <c r="E2268" s="42" t="n"/>
      <c r="F2268" s="43" t="n"/>
      <c r="G2268" s="44">
        <f>IF(OR(B2268="",F2268=""),"",IFERROR(F2268*INDEX(Mitarbeiter!$F$6:$F$205,MATCH(B2268,Mitarbeiter!$A$6:$A$205,0)),0))</f>
        <v/>
      </c>
      <c r="H2268" s="8">
        <f>IF(B2268="","",IF(ISNA(MATCH(B2268,Mitarbeiter!$A$6:$A$205,0)),"Pers.-Nr. unbekannt",IF(A2268="","Datum fehlt",IF(AND(D2268&lt;&gt;Einstellungen!$C$4,D2268&lt;&gt;Einstellungen!$C$5),"Objekt fehlt",IF(YEAR(A2268)&lt;&gt;Einstellungen!$C$3,"anderes Jahr",IF(A2268&lt;INDEX(Mitarbeiter!$C$6:$C$205,MATCH(B2268,Mitarbeiter!$A$6:$A$205,0)),"vor Eintritt",IF(AND(INDEX(Mitarbeiter!$D$6:$D$205,MATCH(B2268,Mitarbeiter!$A$6:$A$205,0))&lt;&gt;"",A2268&gt;INDEX(Mitarbeiter!$D$6:$D$205,MATCH(B2268,Mitarbeiter!$A$6:$A$205,0))),"nach Austritt","ok")))))))</f>
        <v/>
      </c>
    </row>
    <row r="2269">
      <c r="A2269" s="26" t="n"/>
      <c r="B2269" s="24" t="n"/>
      <c r="C2269" s="40">
        <f>IF(B2269="","",IFERROR(INDEX(Mitarbeiter!$B$6:$B$205,MATCH(B2269,Mitarbeiter!$A$6:$A$205,0)),"?"))</f>
        <v/>
      </c>
      <c r="D2269" s="41" t="n"/>
      <c r="E2269" s="42" t="n"/>
      <c r="F2269" s="43" t="n"/>
      <c r="G2269" s="44">
        <f>IF(OR(B2269="",F2269=""),"",IFERROR(F2269*INDEX(Mitarbeiter!$F$6:$F$205,MATCH(B2269,Mitarbeiter!$A$6:$A$205,0)),0))</f>
        <v/>
      </c>
      <c r="H2269" s="8">
        <f>IF(B2269="","",IF(ISNA(MATCH(B2269,Mitarbeiter!$A$6:$A$205,0)),"Pers.-Nr. unbekannt",IF(A2269="","Datum fehlt",IF(AND(D2269&lt;&gt;Einstellungen!$C$4,D2269&lt;&gt;Einstellungen!$C$5),"Objekt fehlt",IF(YEAR(A2269)&lt;&gt;Einstellungen!$C$3,"anderes Jahr",IF(A2269&lt;INDEX(Mitarbeiter!$C$6:$C$205,MATCH(B2269,Mitarbeiter!$A$6:$A$205,0)),"vor Eintritt",IF(AND(INDEX(Mitarbeiter!$D$6:$D$205,MATCH(B2269,Mitarbeiter!$A$6:$A$205,0))&lt;&gt;"",A2269&gt;INDEX(Mitarbeiter!$D$6:$D$205,MATCH(B2269,Mitarbeiter!$A$6:$A$205,0))),"nach Austritt","ok")))))))</f>
        <v/>
      </c>
    </row>
    <row r="2270">
      <c r="A2270" s="26" t="n"/>
      <c r="B2270" s="24" t="n"/>
      <c r="C2270" s="40">
        <f>IF(B2270="","",IFERROR(INDEX(Mitarbeiter!$B$6:$B$205,MATCH(B2270,Mitarbeiter!$A$6:$A$205,0)),"?"))</f>
        <v/>
      </c>
      <c r="D2270" s="41" t="n"/>
      <c r="E2270" s="42" t="n"/>
      <c r="F2270" s="43" t="n"/>
      <c r="G2270" s="44">
        <f>IF(OR(B2270="",F2270=""),"",IFERROR(F2270*INDEX(Mitarbeiter!$F$6:$F$205,MATCH(B2270,Mitarbeiter!$A$6:$A$205,0)),0))</f>
        <v/>
      </c>
      <c r="H2270" s="8">
        <f>IF(B2270="","",IF(ISNA(MATCH(B2270,Mitarbeiter!$A$6:$A$205,0)),"Pers.-Nr. unbekannt",IF(A2270="","Datum fehlt",IF(AND(D2270&lt;&gt;Einstellungen!$C$4,D2270&lt;&gt;Einstellungen!$C$5),"Objekt fehlt",IF(YEAR(A2270)&lt;&gt;Einstellungen!$C$3,"anderes Jahr",IF(A2270&lt;INDEX(Mitarbeiter!$C$6:$C$205,MATCH(B2270,Mitarbeiter!$A$6:$A$205,0)),"vor Eintritt",IF(AND(INDEX(Mitarbeiter!$D$6:$D$205,MATCH(B2270,Mitarbeiter!$A$6:$A$205,0))&lt;&gt;"",A2270&gt;INDEX(Mitarbeiter!$D$6:$D$205,MATCH(B2270,Mitarbeiter!$A$6:$A$205,0))),"nach Austritt","ok")))))))</f>
        <v/>
      </c>
    </row>
    <row r="2271">
      <c r="A2271" s="26" t="n"/>
      <c r="B2271" s="24" t="n"/>
      <c r="C2271" s="40">
        <f>IF(B2271="","",IFERROR(INDEX(Mitarbeiter!$B$6:$B$205,MATCH(B2271,Mitarbeiter!$A$6:$A$205,0)),"?"))</f>
        <v/>
      </c>
      <c r="D2271" s="41" t="n"/>
      <c r="E2271" s="42" t="n"/>
      <c r="F2271" s="43" t="n"/>
      <c r="G2271" s="44">
        <f>IF(OR(B2271="",F2271=""),"",IFERROR(F2271*INDEX(Mitarbeiter!$F$6:$F$205,MATCH(B2271,Mitarbeiter!$A$6:$A$205,0)),0))</f>
        <v/>
      </c>
      <c r="H2271" s="8">
        <f>IF(B2271="","",IF(ISNA(MATCH(B2271,Mitarbeiter!$A$6:$A$205,0)),"Pers.-Nr. unbekannt",IF(A2271="","Datum fehlt",IF(AND(D2271&lt;&gt;Einstellungen!$C$4,D2271&lt;&gt;Einstellungen!$C$5),"Objekt fehlt",IF(YEAR(A2271)&lt;&gt;Einstellungen!$C$3,"anderes Jahr",IF(A2271&lt;INDEX(Mitarbeiter!$C$6:$C$205,MATCH(B2271,Mitarbeiter!$A$6:$A$205,0)),"vor Eintritt",IF(AND(INDEX(Mitarbeiter!$D$6:$D$205,MATCH(B2271,Mitarbeiter!$A$6:$A$205,0))&lt;&gt;"",A2271&gt;INDEX(Mitarbeiter!$D$6:$D$205,MATCH(B2271,Mitarbeiter!$A$6:$A$205,0))),"nach Austritt","ok")))))))</f>
        <v/>
      </c>
    </row>
    <row r="2272">
      <c r="A2272" s="26" t="n"/>
      <c r="B2272" s="24" t="n"/>
      <c r="C2272" s="40">
        <f>IF(B2272="","",IFERROR(INDEX(Mitarbeiter!$B$6:$B$205,MATCH(B2272,Mitarbeiter!$A$6:$A$205,0)),"?"))</f>
        <v/>
      </c>
      <c r="D2272" s="41" t="n"/>
      <c r="E2272" s="42" t="n"/>
      <c r="F2272" s="43" t="n"/>
      <c r="G2272" s="44">
        <f>IF(OR(B2272="",F2272=""),"",IFERROR(F2272*INDEX(Mitarbeiter!$F$6:$F$205,MATCH(B2272,Mitarbeiter!$A$6:$A$205,0)),0))</f>
        <v/>
      </c>
      <c r="H2272" s="8">
        <f>IF(B2272="","",IF(ISNA(MATCH(B2272,Mitarbeiter!$A$6:$A$205,0)),"Pers.-Nr. unbekannt",IF(A2272="","Datum fehlt",IF(AND(D2272&lt;&gt;Einstellungen!$C$4,D2272&lt;&gt;Einstellungen!$C$5),"Objekt fehlt",IF(YEAR(A2272)&lt;&gt;Einstellungen!$C$3,"anderes Jahr",IF(A2272&lt;INDEX(Mitarbeiter!$C$6:$C$205,MATCH(B2272,Mitarbeiter!$A$6:$A$205,0)),"vor Eintritt",IF(AND(INDEX(Mitarbeiter!$D$6:$D$205,MATCH(B2272,Mitarbeiter!$A$6:$A$205,0))&lt;&gt;"",A2272&gt;INDEX(Mitarbeiter!$D$6:$D$205,MATCH(B2272,Mitarbeiter!$A$6:$A$205,0))),"nach Austritt","ok")))))))</f>
        <v/>
      </c>
    </row>
    <row r="2273">
      <c r="A2273" s="26" t="n"/>
      <c r="B2273" s="24" t="n"/>
      <c r="C2273" s="40">
        <f>IF(B2273="","",IFERROR(INDEX(Mitarbeiter!$B$6:$B$205,MATCH(B2273,Mitarbeiter!$A$6:$A$205,0)),"?"))</f>
        <v/>
      </c>
      <c r="D2273" s="41" t="n"/>
      <c r="E2273" s="42" t="n"/>
      <c r="F2273" s="43" t="n"/>
      <c r="G2273" s="44">
        <f>IF(OR(B2273="",F2273=""),"",IFERROR(F2273*INDEX(Mitarbeiter!$F$6:$F$205,MATCH(B2273,Mitarbeiter!$A$6:$A$205,0)),0))</f>
        <v/>
      </c>
      <c r="H2273" s="8">
        <f>IF(B2273="","",IF(ISNA(MATCH(B2273,Mitarbeiter!$A$6:$A$205,0)),"Pers.-Nr. unbekannt",IF(A2273="","Datum fehlt",IF(AND(D2273&lt;&gt;Einstellungen!$C$4,D2273&lt;&gt;Einstellungen!$C$5),"Objekt fehlt",IF(YEAR(A2273)&lt;&gt;Einstellungen!$C$3,"anderes Jahr",IF(A2273&lt;INDEX(Mitarbeiter!$C$6:$C$205,MATCH(B2273,Mitarbeiter!$A$6:$A$205,0)),"vor Eintritt",IF(AND(INDEX(Mitarbeiter!$D$6:$D$205,MATCH(B2273,Mitarbeiter!$A$6:$A$205,0))&lt;&gt;"",A2273&gt;INDEX(Mitarbeiter!$D$6:$D$205,MATCH(B2273,Mitarbeiter!$A$6:$A$205,0))),"nach Austritt","ok")))))))</f>
        <v/>
      </c>
    </row>
    <row r="2274">
      <c r="A2274" s="26" t="n"/>
      <c r="B2274" s="24" t="n"/>
      <c r="C2274" s="40">
        <f>IF(B2274="","",IFERROR(INDEX(Mitarbeiter!$B$6:$B$205,MATCH(B2274,Mitarbeiter!$A$6:$A$205,0)),"?"))</f>
        <v/>
      </c>
      <c r="D2274" s="41" t="n"/>
      <c r="E2274" s="42" t="n"/>
      <c r="F2274" s="43" t="n"/>
      <c r="G2274" s="44">
        <f>IF(OR(B2274="",F2274=""),"",IFERROR(F2274*INDEX(Mitarbeiter!$F$6:$F$205,MATCH(B2274,Mitarbeiter!$A$6:$A$205,0)),0))</f>
        <v/>
      </c>
      <c r="H2274" s="8">
        <f>IF(B2274="","",IF(ISNA(MATCH(B2274,Mitarbeiter!$A$6:$A$205,0)),"Pers.-Nr. unbekannt",IF(A2274="","Datum fehlt",IF(AND(D2274&lt;&gt;Einstellungen!$C$4,D2274&lt;&gt;Einstellungen!$C$5),"Objekt fehlt",IF(YEAR(A2274)&lt;&gt;Einstellungen!$C$3,"anderes Jahr",IF(A2274&lt;INDEX(Mitarbeiter!$C$6:$C$205,MATCH(B2274,Mitarbeiter!$A$6:$A$205,0)),"vor Eintritt",IF(AND(INDEX(Mitarbeiter!$D$6:$D$205,MATCH(B2274,Mitarbeiter!$A$6:$A$205,0))&lt;&gt;"",A2274&gt;INDEX(Mitarbeiter!$D$6:$D$205,MATCH(B2274,Mitarbeiter!$A$6:$A$205,0))),"nach Austritt","ok")))))))</f>
        <v/>
      </c>
    </row>
    <row r="2275">
      <c r="A2275" s="26" t="n"/>
      <c r="B2275" s="24" t="n"/>
      <c r="C2275" s="40">
        <f>IF(B2275="","",IFERROR(INDEX(Mitarbeiter!$B$6:$B$205,MATCH(B2275,Mitarbeiter!$A$6:$A$205,0)),"?"))</f>
        <v/>
      </c>
      <c r="D2275" s="41" t="n"/>
      <c r="E2275" s="42" t="n"/>
      <c r="F2275" s="43" t="n"/>
      <c r="G2275" s="44">
        <f>IF(OR(B2275="",F2275=""),"",IFERROR(F2275*INDEX(Mitarbeiter!$F$6:$F$205,MATCH(B2275,Mitarbeiter!$A$6:$A$205,0)),0))</f>
        <v/>
      </c>
      <c r="H2275" s="8">
        <f>IF(B2275="","",IF(ISNA(MATCH(B2275,Mitarbeiter!$A$6:$A$205,0)),"Pers.-Nr. unbekannt",IF(A2275="","Datum fehlt",IF(AND(D2275&lt;&gt;Einstellungen!$C$4,D2275&lt;&gt;Einstellungen!$C$5),"Objekt fehlt",IF(YEAR(A2275)&lt;&gt;Einstellungen!$C$3,"anderes Jahr",IF(A2275&lt;INDEX(Mitarbeiter!$C$6:$C$205,MATCH(B2275,Mitarbeiter!$A$6:$A$205,0)),"vor Eintritt",IF(AND(INDEX(Mitarbeiter!$D$6:$D$205,MATCH(B2275,Mitarbeiter!$A$6:$A$205,0))&lt;&gt;"",A2275&gt;INDEX(Mitarbeiter!$D$6:$D$205,MATCH(B2275,Mitarbeiter!$A$6:$A$205,0))),"nach Austritt","ok")))))))</f>
        <v/>
      </c>
    </row>
    <row r="2276">
      <c r="A2276" s="26" t="n"/>
      <c r="B2276" s="24" t="n"/>
      <c r="C2276" s="40">
        <f>IF(B2276="","",IFERROR(INDEX(Mitarbeiter!$B$6:$B$205,MATCH(B2276,Mitarbeiter!$A$6:$A$205,0)),"?"))</f>
        <v/>
      </c>
      <c r="D2276" s="41" t="n"/>
      <c r="E2276" s="42" t="n"/>
      <c r="F2276" s="43" t="n"/>
      <c r="G2276" s="44">
        <f>IF(OR(B2276="",F2276=""),"",IFERROR(F2276*INDEX(Mitarbeiter!$F$6:$F$205,MATCH(B2276,Mitarbeiter!$A$6:$A$205,0)),0))</f>
        <v/>
      </c>
      <c r="H2276" s="8">
        <f>IF(B2276="","",IF(ISNA(MATCH(B2276,Mitarbeiter!$A$6:$A$205,0)),"Pers.-Nr. unbekannt",IF(A2276="","Datum fehlt",IF(AND(D2276&lt;&gt;Einstellungen!$C$4,D2276&lt;&gt;Einstellungen!$C$5),"Objekt fehlt",IF(YEAR(A2276)&lt;&gt;Einstellungen!$C$3,"anderes Jahr",IF(A2276&lt;INDEX(Mitarbeiter!$C$6:$C$205,MATCH(B2276,Mitarbeiter!$A$6:$A$205,0)),"vor Eintritt",IF(AND(INDEX(Mitarbeiter!$D$6:$D$205,MATCH(B2276,Mitarbeiter!$A$6:$A$205,0))&lt;&gt;"",A2276&gt;INDEX(Mitarbeiter!$D$6:$D$205,MATCH(B2276,Mitarbeiter!$A$6:$A$205,0))),"nach Austritt","ok")))))))</f>
        <v/>
      </c>
    </row>
    <row r="2277">
      <c r="A2277" s="26" t="n"/>
      <c r="B2277" s="24" t="n"/>
      <c r="C2277" s="40">
        <f>IF(B2277="","",IFERROR(INDEX(Mitarbeiter!$B$6:$B$205,MATCH(B2277,Mitarbeiter!$A$6:$A$205,0)),"?"))</f>
        <v/>
      </c>
      <c r="D2277" s="41" t="n"/>
      <c r="E2277" s="42" t="n"/>
      <c r="F2277" s="43" t="n"/>
      <c r="G2277" s="44">
        <f>IF(OR(B2277="",F2277=""),"",IFERROR(F2277*INDEX(Mitarbeiter!$F$6:$F$205,MATCH(B2277,Mitarbeiter!$A$6:$A$205,0)),0))</f>
        <v/>
      </c>
      <c r="H2277" s="8">
        <f>IF(B2277="","",IF(ISNA(MATCH(B2277,Mitarbeiter!$A$6:$A$205,0)),"Pers.-Nr. unbekannt",IF(A2277="","Datum fehlt",IF(AND(D2277&lt;&gt;Einstellungen!$C$4,D2277&lt;&gt;Einstellungen!$C$5),"Objekt fehlt",IF(YEAR(A2277)&lt;&gt;Einstellungen!$C$3,"anderes Jahr",IF(A2277&lt;INDEX(Mitarbeiter!$C$6:$C$205,MATCH(B2277,Mitarbeiter!$A$6:$A$205,0)),"vor Eintritt",IF(AND(INDEX(Mitarbeiter!$D$6:$D$205,MATCH(B2277,Mitarbeiter!$A$6:$A$205,0))&lt;&gt;"",A2277&gt;INDEX(Mitarbeiter!$D$6:$D$205,MATCH(B2277,Mitarbeiter!$A$6:$A$205,0))),"nach Austritt","ok")))))))</f>
        <v/>
      </c>
    </row>
    <row r="2278">
      <c r="A2278" s="26" t="n"/>
      <c r="B2278" s="24" t="n"/>
      <c r="C2278" s="40">
        <f>IF(B2278="","",IFERROR(INDEX(Mitarbeiter!$B$6:$B$205,MATCH(B2278,Mitarbeiter!$A$6:$A$205,0)),"?"))</f>
        <v/>
      </c>
      <c r="D2278" s="41" t="n"/>
      <c r="E2278" s="42" t="n"/>
      <c r="F2278" s="43" t="n"/>
      <c r="G2278" s="44">
        <f>IF(OR(B2278="",F2278=""),"",IFERROR(F2278*INDEX(Mitarbeiter!$F$6:$F$205,MATCH(B2278,Mitarbeiter!$A$6:$A$205,0)),0))</f>
        <v/>
      </c>
      <c r="H2278" s="8">
        <f>IF(B2278="","",IF(ISNA(MATCH(B2278,Mitarbeiter!$A$6:$A$205,0)),"Pers.-Nr. unbekannt",IF(A2278="","Datum fehlt",IF(AND(D2278&lt;&gt;Einstellungen!$C$4,D2278&lt;&gt;Einstellungen!$C$5),"Objekt fehlt",IF(YEAR(A2278)&lt;&gt;Einstellungen!$C$3,"anderes Jahr",IF(A2278&lt;INDEX(Mitarbeiter!$C$6:$C$205,MATCH(B2278,Mitarbeiter!$A$6:$A$205,0)),"vor Eintritt",IF(AND(INDEX(Mitarbeiter!$D$6:$D$205,MATCH(B2278,Mitarbeiter!$A$6:$A$205,0))&lt;&gt;"",A2278&gt;INDEX(Mitarbeiter!$D$6:$D$205,MATCH(B2278,Mitarbeiter!$A$6:$A$205,0))),"nach Austritt","ok")))))))</f>
        <v/>
      </c>
    </row>
    <row r="2279">
      <c r="A2279" s="26" t="n"/>
      <c r="B2279" s="24" t="n"/>
      <c r="C2279" s="40">
        <f>IF(B2279="","",IFERROR(INDEX(Mitarbeiter!$B$6:$B$205,MATCH(B2279,Mitarbeiter!$A$6:$A$205,0)),"?"))</f>
        <v/>
      </c>
      <c r="D2279" s="41" t="n"/>
      <c r="E2279" s="42" t="n"/>
      <c r="F2279" s="43" t="n"/>
      <c r="G2279" s="44">
        <f>IF(OR(B2279="",F2279=""),"",IFERROR(F2279*INDEX(Mitarbeiter!$F$6:$F$205,MATCH(B2279,Mitarbeiter!$A$6:$A$205,0)),0))</f>
        <v/>
      </c>
      <c r="H2279" s="8">
        <f>IF(B2279="","",IF(ISNA(MATCH(B2279,Mitarbeiter!$A$6:$A$205,0)),"Pers.-Nr. unbekannt",IF(A2279="","Datum fehlt",IF(AND(D2279&lt;&gt;Einstellungen!$C$4,D2279&lt;&gt;Einstellungen!$C$5),"Objekt fehlt",IF(YEAR(A2279)&lt;&gt;Einstellungen!$C$3,"anderes Jahr",IF(A2279&lt;INDEX(Mitarbeiter!$C$6:$C$205,MATCH(B2279,Mitarbeiter!$A$6:$A$205,0)),"vor Eintritt",IF(AND(INDEX(Mitarbeiter!$D$6:$D$205,MATCH(B2279,Mitarbeiter!$A$6:$A$205,0))&lt;&gt;"",A2279&gt;INDEX(Mitarbeiter!$D$6:$D$205,MATCH(B2279,Mitarbeiter!$A$6:$A$205,0))),"nach Austritt","ok")))))))</f>
        <v/>
      </c>
    </row>
    <row r="2280">
      <c r="A2280" s="26" t="n"/>
      <c r="B2280" s="24" t="n"/>
      <c r="C2280" s="40">
        <f>IF(B2280="","",IFERROR(INDEX(Mitarbeiter!$B$6:$B$205,MATCH(B2280,Mitarbeiter!$A$6:$A$205,0)),"?"))</f>
        <v/>
      </c>
      <c r="D2280" s="41" t="n"/>
      <c r="E2280" s="42" t="n"/>
      <c r="F2280" s="43" t="n"/>
      <c r="G2280" s="44">
        <f>IF(OR(B2280="",F2280=""),"",IFERROR(F2280*INDEX(Mitarbeiter!$F$6:$F$205,MATCH(B2280,Mitarbeiter!$A$6:$A$205,0)),0))</f>
        <v/>
      </c>
      <c r="H2280" s="8">
        <f>IF(B2280="","",IF(ISNA(MATCH(B2280,Mitarbeiter!$A$6:$A$205,0)),"Pers.-Nr. unbekannt",IF(A2280="","Datum fehlt",IF(AND(D2280&lt;&gt;Einstellungen!$C$4,D2280&lt;&gt;Einstellungen!$C$5),"Objekt fehlt",IF(YEAR(A2280)&lt;&gt;Einstellungen!$C$3,"anderes Jahr",IF(A2280&lt;INDEX(Mitarbeiter!$C$6:$C$205,MATCH(B2280,Mitarbeiter!$A$6:$A$205,0)),"vor Eintritt",IF(AND(INDEX(Mitarbeiter!$D$6:$D$205,MATCH(B2280,Mitarbeiter!$A$6:$A$205,0))&lt;&gt;"",A2280&gt;INDEX(Mitarbeiter!$D$6:$D$205,MATCH(B2280,Mitarbeiter!$A$6:$A$205,0))),"nach Austritt","ok")))))))</f>
        <v/>
      </c>
    </row>
    <row r="2281">
      <c r="A2281" s="26" t="n"/>
      <c r="B2281" s="24" t="n"/>
      <c r="C2281" s="40">
        <f>IF(B2281="","",IFERROR(INDEX(Mitarbeiter!$B$6:$B$205,MATCH(B2281,Mitarbeiter!$A$6:$A$205,0)),"?"))</f>
        <v/>
      </c>
      <c r="D2281" s="41" t="n"/>
      <c r="E2281" s="42" t="n"/>
      <c r="F2281" s="43" t="n"/>
      <c r="G2281" s="44">
        <f>IF(OR(B2281="",F2281=""),"",IFERROR(F2281*INDEX(Mitarbeiter!$F$6:$F$205,MATCH(B2281,Mitarbeiter!$A$6:$A$205,0)),0))</f>
        <v/>
      </c>
      <c r="H2281" s="8">
        <f>IF(B2281="","",IF(ISNA(MATCH(B2281,Mitarbeiter!$A$6:$A$205,0)),"Pers.-Nr. unbekannt",IF(A2281="","Datum fehlt",IF(AND(D2281&lt;&gt;Einstellungen!$C$4,D2281&lt;&gt;Einstellungen!$C$5),"Objekt fehlt",IF(YEAR(A2281)&lt;&gt;Einstellungen!$C$3,"anderes Jahr",IF(A2281&lt;INDEX(Mitarbeiter!$C$6:$C$205,MATCH(B2281,Mitarbeiter!$A$6:$A$205,0)),"vor Eintritt",IF(AND(INDEX(Mitarbeiter!$D$6:$D$205,MATCH(B2281,Mitarbeiter!$A$6:$A$205,0))&lt;&gt;"",A2281&gt;INDEX(Mitarbeiter!$D$6:$D$205,MATCH(B2281,Mitarbeiter!$A$6:$A$205,0))),"nach Austritt","ok")))))))</f>
        <v/>
      </c>
    </row>
    <row r="2282">
      <c r="A2282" s="26" t="n"/>
      <c r="B2282" s="24" t="n"/>
      <c r="C2282" s="40">
        <f>IF(B2282="","",IFERROR(INDEX(Mitarbeiter!$B$6:$B$205,MATCH(B2282,Mitarbeiter!$A$6:$A$205,0)),"?"))</f>
        <v/>
      </c>
      <c r="D2282" s="41" t="n"/>
      <c r="E2282" s="42" t="n"/>
      <c r="F2282" s="43" t="n"/>
      <c r="G2282" s="44">
        <f>IF(OR(B2282="",F2282=""),"",IFERROR(F2282*INDEX(Mitarbeiter!$F$6:$F$205,MATCH(B2282,Mitarbeiter!$A$6:$A$205,0)),0))</f>
        <v/>
      </c>
      <c r="H2282" s="8">
        <f>IF(B2282="","",IF(ISNA(MATCH(B2282,Mitarbeiter!$A$6:$A$205,0)),"Pers.-Nr. unbekannt",IF(A2282="","Datum fehlt",IF(AND(D2282&lt;&gt;Einstellungen!$C$4,D2282&lt;&gt;Einstellungen!$C$5),"Objekt fehlt",IF(YEAR(A2282)&lt;&gt;Einstellungen!$C$3,"anderes Jahr",IF(A2282&lt;INDEX(Mitarbeiter!$C$6:$C$205,MATCH(B2282,Mitarbeiter!$A$6:$A$205,0)),"vor Eintritt",IF(AND(INDEX(Mitarbeiter!$D$6:$D$205,MATCH(B2282,Mitarbeiter!$A$6:$A$205,0))&lt;&gt;"",A2282&gt;INDEX(Mitarbeiter!$D$6:$D$205,MATCH(B2282,Mitarbeiter!$A$6:$A$205,0))),"nach Austritt","ok")))))))</f>
        <v/>
      </c>
    </row>
    <row r="2283">
      <c r="A2283" s="26" t="n"/>
      <c r="B2283" s="24" t="n"/>
      <c r="C2283" s="40">
        <f>IF(B2283="","",IFERROR(INDEX(Mitarbeiter!$B$6:$B$205,MATCH(B2283,Mitarbeiter!$A$6:$A$205,0)),"?"))</f>
        <v/>
      </c>
      <c r="D2283" s="41" t="n"/>
      <c r="E2283" s="42" t="n"/>
      <c r="F2283" s="43" t="n"/>
      <c r="G2283" s="44">
        <f>IF(OR(B2283="",F2283=""),"",IFERROR(F2283*INDEX(Mitarbeiter!$F$6:$F$205,MATCH(B2283,Mitarbeiter!$A$6:$A$205,0)),0))</f>
        <v/>
      </c>
      <c r="H2283" s="8">
        <f>IF(B2283="","",IF(ISNA(MATCH(B2283,Mitarbeiter!$A$6:$A$205,0)),"Pers.-Nr. unbekannt",IF(A2283="","Datum fehlt",IF(AND(D2283&lt;&gt;Einstellungen!$C$4,D2283&lt;&gt;Einstellungen!$C$5),"Objekt fehlt",IF(YEAR(A2283)&lt;&gt;Einstellungen!$C$3,"anderes Jahr",IF(A2283&lt;INDEX(Mitarbeiter!$C$6:$C$205,MATCH(B2283,Mitarbeiter!$A$6:$A$205,0)),"vor Eintritt",IF(AND(INDEX(Mitarbeiter!$D$6:$D$205,MATCH(B2283,Mitarbeiter!$A$6:$A$205,0))&lt;&gt;"",A2283&gt;INDEX(Mitarbeiter!$D$6:$D$205,MATCH(B2283,Mitarbeiter!$A$6:$A$205,0))),"nach Austritt","ok")))))))</f>
        <v/>
      </c>
    </row>
    <row r="2284">
      <c r="A2284" s="26" t="n"/>
      <c r="B2284" s="24" t="n"/>
      <c r="C2284" s="40">
        <f>IF(B2284="","",IFERROR(INDEX(Mitarbeiter!$B$6:$B$205,MATCH(B2284,Mitarbeiter!$A$6:$A$205,0)),"?"))</f>
        <v/>
      </c>
      <c r="D2284" s="41" t="n"/>
      <c r="E2284" s="42" t="n"/>
      <c r="F2284" s="43" t="n"/>
      <c r="G2284" s="44">
        <f>IF(OR(B2284="",F2284=""),"",IFERROR(F2284*INDEX(Mitarbeiter!$F$6:$F$205,MATCH(B2284,Mitarbeiter!$A$6:$A$205,0)),0))</f>
        <v/>
      </c>
      <c r="H2284" s="8">
        <f>IF(B2284="","",IF(ISNA(MATCH(B2284,Mitarbeiter!$A$6:$A$205,0)),"Pers.-Nr. unbekannt",IF(A2284="","Datum fehlt",IF(AND(D2284&lt;&gt;Einstellungen!$C$4,D2284&lt;&gt;Einstellungen!$C$5),"Objekt fehlt",IF(YEAR(A2284)&lt;&gt;Einstellungen!$C$3,"anderes Jahr",IF(A2284&lt;INDEX(Mitarbeiter!$C$6:$C$205,MATCH(B2284,Mitarbeiter!$A$6:$A$205,0)),"vor Eintritt",IF(AND(INDEX(Mitarbeiter!$D$6:$D$205,MATCH(B2284,Mitarbeiter!$A$6:$A$205,0))&lt;&gt;"",A2284&gt;INDEX(Mitarbeiter!$D$6:$D$205,MATCH(B2284,Mitarbeiter!$A$6:$A$205,0))),"nach Austritt","ok")))))))</f>
        <v/>
      </c>
    </row>
    <row r="2285">
      <c r="A2285" s="26" t="n"/>
      <c r="B2285" s="24" t="n"/>
      <c r="C2285" s="40">
        <f>IF(B2285="","",IFERROR(INDEX(Mitarbeiter!$B$6:$B$205,MATCH(B2285,Mitarbeiter!$A$6:$A$205,0)),"?"))</f>
        <v/>
      </c>
      <c r="D2285" s="41" t="n"/>
      <c r="E2285" s="42" t="n"/>
      <c r="F2285" s="43" t="n"/>
      <c r="G2285" s="44">
        <f>IF(OR(B2285="",F2285=""),"",IFERROR(F2285*INDEX(Mitarbeiter!$F$6:$F$205,MATCH(B2285,Mitarbeiter!$A$6:$A$205,0)),0))</f>
        <v/>
      </c>
      <c r="H2285" s="8">
        <f>IF(B2285="","",IF(ISNA(MATCH(B2285,Mitarbeiter!$A$6:$A$205,0)),"Pers.-Nr. unbekannt",IF(A2285="","Datum fehlt",IF(AND(D2285&lt;&gt;Einstellungen!$C$4,D2285&lt;&gt;Einstellungen!$C$5),"Objekt fehlt",IF(YEAR(A2285)&lt;&gt;Einstellungen!$C$3,"anderes Jahr",IF(A2285&lt;INDEX(Mitarbeiter!$C$6:$C$205,MATCH(B2285,Mitarbeiter!$A$6:$A$205,0)),"vor Eintritt",IF(AND(INDEX(Mitarbeiter!$D$6:$D$205,MATCH(B2285,Mitarbeiter!$A$6:$A$205,0))&lt;&gt;"",A2285&gt;INDEX(Mitarbeiter!$D$6:$D$205,MATCH(B2285,Mitarbeiter!$A$6:$A$205,0))),"nach Austritt","ok")))))))</f>
        <v/>
      </c>
    </row>
    <row r="2286">
      <c r="A2286" s="26" t="n"/>
      <c r="B2286" s="24" t="n"/>
      <c r="C2286" s="40">
        <f>IF(B2286="","",IFERROR(INDEX(Mitarbeiter!$B$6:$B$205,MATCH(B2286,Mitarbeiter!$A$6:$A$205,0)),"?"))</f>
        <v/>
      </c>
      <c r="D2286" s="41" t="n"/>
      <c r="E2286" s="42" t="n"/>
      <c r="F2286" s="43" t="n"/>
      <c r="G2286" s="44">
        <f>IF(OR(B2286="",F2286=""),"",IFERROR(F2286*INDEX(Mitarbeiter!$F$6:$F$205,MATCH(B2286,Mitarbeiter!$A$6:$A$205,0)),0))</f>
        <v/>
      </c>
      <c r="H2286" s="8">
        <f>IF(B2286="","",IF(ISNA(MATCH(B2286,Mitarbeiter!$A$6:$A$205,0)),"Pers.-Nr. unbekannt",IF(A2286="","Datum fehlt",IF(AND(D2286&lt;&gt;Einstellungen!$C$4,D2286&lt;&gt;Einstellungen!$C$5),"Objekt fehlt",IF(YEAR(A2286)&lt;&gt;Einstellungen!$C$3,"anderes Jahr",IF(A2286&lt;INDEX(Mitarbeiter!$C$6:$C$205,MATCH(B2286,Mitarbeiter!$A$6:$A$205,0)),"vor Eintritt",IF(AND(INDEX(Mitarbeiter!$D$6:$D$205,MATCH(B2286,Mitarbeiter!$A$6:$A$205,0))&lt;&gt;"",A2286&gt;INDEX(Mitarbeiter!$D$6:$D$205,MATCH(B2286,Mitarbeiter!$A$6:$A$205,0))),"nach Austritt","ok")))))))</f>
        <v/>
      </c>
    </row>
    <row r="2287">
      <c r="A2287" s="26" t="n"/>
      <c r="B2287" s="24" t="n"/>
      <c r="C2287" s="40">
        <f>IF(B2287="","",IFERROR(INDEX(Mitarbeiter!$B$6:$B$205,MATCH(B2287,Mitarbeiter!$A$6:$A$205,0)),"?"))</f>
        <v/>
      </c>
      <c r="D2287" s="41" t="n"/>
      <c r="E2287" s="42" t="n"/>
      <c r="F2287" s="43" t="n"/>
      <c r="G2287" s="44">
        <f>IF(OR(B2287="",F2287=""),"",IFERROR(F2287*INDEX(Mitarbeiter!$F$6:$F$205,MATCH(B2287,Mitarbeiter!$A$6:$A$205,0)),0))</f>
        <v/>
      </c>
      <c r="H2287" s="8">
        <f>IF(B2287="","",IF(ISNA(MATCH(B2287,Mitarbeiter!$A$6:$A$205,0)),"Pers.-Nr. unbekannt",IF(A2287="","Datum fehlt",IF(AND(D2287&lt;&gt;Einstellungen!$C$4,D2287&lt;&gt;Einstellungen!$C$5),"Objekt fehlt",IF(YEAR(A2287)&lt;&gt;Einstellungen!$C$3,"anderes Jahr",IF(A2287&lt;INDEX(Mitarbeiter!$C$6:$C$205,MATCH(B2287,Mitarbeiter!$A$6:$A$205,0)),"vor Eintritt",IF(AND(INDEX(Mitarbeiter!$D$6:$D$205,MATCH(B2287,Mitarbeiter!$A$6:$A$205,0))&lt;&gt;"",A2287&gt;INDEX(Mitarbeiter!$D$6:$D$205,MATCH(B2287,Mitarbeiter!$A$6:$A$205,0))),"nach Austritt","ok")))))))</f>
        <v/>
      </c>
    </row>
    <row r="2288">
      <c r="A2288" s="26" t="n"/>
      <c r="B2288" s="24" t="n"/>
      <c r="C2288" s="40">
        <f>IF(B2288="","",IFERROR(INDEX(Mitarbeiter!$B$6:$B$205,MATCH(B2288,Mitarbeiter!$A$6:$A$205,0)),"?"))</f>
        <v/>
      </c>
      <c r="D2288" s="41" t="n"/>
      <c r="E2288" s="42" t="n"/>
      <c r="F2288" s="43" t="n"/>
      <c r="G2288" s="44">
        <f>IF(OR(B2288="",F2288=""),"",IFERROR(F2288*INDEX(Mitarbeiter!$F$6:$F$205,MATCH(B2288,Mitarbeiter!$A$6:$A$205,0)),0))</f>
        <v/>
      </c>
      <c r="H2288" s="8">
        <f>IF(B2288="","",IF(ISNA(MATCH(B2288,Mitarbeiter!$A$6:$A$205,0)),"Pers.-Nr. unbekannt",IF(A2288="","Datum fehlt",IF(AND(D2288&lt;&gt;Einstellungen!$C$4,D2288&lt;&gt;Einstellungen!$C$5),"Objekt fehlt",IF(YEAR(A2288)&lt;&gt;Einstellungen!$C$3,"anderes Jahr",IF(A2288&lt;INDEX(Mitarbeiter!$C$6:$C$205,MATCH(B2288,Mitarbeiter!$A$6:$A$205,0)),"vor Eintritt",IF(AND(INDEX(Mitarbeiter!$D$6:$D$205,MATCH(B2288,Mitarbeiter!$A$6:$A$205,0))&lt;&gt;"",A2288&gt;INDEX(Mitarbeiter!$D$6:$D$205,MATCH(B2288,Mitarbeiter!$A$6:$A$205,0))),"nach Austritt","ok")))))))</f>
        <v/>
      </c>
    </row>
    <row r="2289">
      <c r="A2289" s="26" t="n"/>
      <c r="B2289" s="24" t="n"/>
      <c r="C2289" s="40">
        <f>IF(B2289="","",IFERROR(INDEX(Mitarbeiter!$B$6:$B$205,MATCH(B2289,Mitarbeiter!$A$6:$A$205,0)),"?"))</f>
        <v/>
      </c>
      <c r="D2289" s="41" t="n"/>
      <c r="E2289" s="42" t="n"/>
      <c r="F2289" s="43" t="n"/>
      <c r="G2289" s="44">
        <f>IF(OR(B2289="",F2289=""),"",IFERROR(F2289*INDEX(Mitarbeiter!$F$6:$F$205,MATCH(B2289,Mitarbeiter!$A$6:$A$205,0)),0))</f>
        <v/>
      </c>
      <c r="H2289" s="8">
        <f>IF(B2289="","",IF(ISNA(MATCH(B2289,Mitarbeiter!$A$6:$A$205,0)),"Pers.-Nr. unbekannt",IF(A2289="","Datum fehlt",IF(AND(D2289&lt;&gt;Einstellungen!$C$4,D2289&lt;&gt;Einstellungen!$C$5),"Objekt fehlt",IF(YEAR(A2289)&lt;&gt;Einstellungen!$C$3,"anderes Jahr",IF(A2289&lt;INDEX(Mitarbeiter!$C$6:$C$205,MATCH(B2289,Mitarbeiter!$A$6:$A$205,0)),"vor Eintritt",IF(AND(INDEX(Mitarbeiter!$D$6:$D$205,MATCH(B2289,Mitarbeiter!$A$6:$A$205,0))&lt;&gt;"",A2289&gt;INDEX(Mitarbeiter!$D$6:$D$205,MATCH(B2289,Mitarbeiter!$A$6:$A$205,0))),"nach Austritt","ok")))))))</f>
        <v/>
      </c>
    </row>
    <row r="2290">
      <c r="A2290" s="26" t="n"/>
      <c r="B2290" s="24" t="n"/>
      <c r="C2290" s="40">
        <f>IF(B2290="","",IFERROR(INDEX(Mitarbeiter!$B$6:$B$205,MATCH(B2290,Mitarbeiter!$A$6:$A$205,0)),"?"))</f>
        <v/>
      </c>
      <c r="D2290" s="41" t="n"/>
      <c r="E2290" s="42" t="n"/>
      <c r="F2290" s="43" t="n"/>
      <c r="G2290" s="44">
        <f>IF(OR(B2290="",F2290=""),"",IFERROR(F2290*INDEX(Mitarbeiter!$F$6:$F$205,MATCH(B2290,Mitarbeiter!$A$6:$A$205,0)),0))</f>
        <v/>
      </c>
      <c r="H2290" s="8">
        <f>IF(B2290="","",IF(ISNA(MATCH(B2290,Mitarbeiter!$A$6:$A$205,0)),"Pers.-Nr. unbekannt",IF(A2290="","Datum fehlt",IF(AND(D2290&lt;&gt;Einstellungen!$C$4,D2290&lt;&gt;Einstellungen!$C$5),"Objekt fehlt",IF(YEAR(A2290)&lt;&gt;Einstellungen!$C$3,"anderes Jahr",IF(A2290&lt;INDEX(Mitarbeiter!$C$6:$C$205,MATCH(B2290,Mitarbeiter!$A$6:$A$205,0)),"vor Eintritt",IF(AND(INDEX(Mitarbeiter!$D$6:$D$205,MATCH(B2290,Mitarbeiter!$A$6:$A$205,0))&lt;&gt;"",A2290&gt;INDEX(Mitarbeiter!$D$6:$D$205,MATCH(B2290,Mitarbeiter!$A$6:$A$205,0))),"nach Austritt","ok")))))))</f>
        <v/>
      </c>
    </row>
    <row r="2291">
      <c r="A2291" s="26" t="n"/>
      <c r="B2291" s="24" t="n"/>
      <c r="C2291" s="40">
        <f>IF(B2291="","",IFERROR(INDEX(Mitarbeiter!$B$6:$B$205,MATCH(B2291,Mitarbeiter!$A$6:$A$205,0)),"?"))</f>
        <v/>
      </c>
      <c r="D2291" s="41" t="n"/>
      <c r="E2291" s="42" t="n"/>
      <c r="F2291" s="43" t="n"/>
      <c r="G2291" s="44">
        <f>IF(OR(B2291="",F2291=""),"",IFERROR(F2291*INDEX(Mitarbeiter!$F$6:$F$205,MATCH(B2291,Mitarbeiter!$A$6:$A$205,0)),0))</f>
        <v/>
      </c>
      <c r="H2291" s="8">
        <f>IF(B2291="","",IF(ISNA(MATCH(B2291,Mitarbeiter!$A$6:$A$205,0)),"Pers.-Nr. unbekannt",IF(A2291="","Datum fehlt",IF(AND(D2291&lt;&gt;Einstellungen!$C$4,D2291&lt;&gt;Einstellungen!$C$5),"Objekt fehlt",IF(YEAR(A2291)&lt;&gt;Einstellungen!$C$3,"anderes Jahr",IF(A2291&lt;INDEX(Mitarbeiter!$C$6:$C$205,MATCH(B2291,Mitarbeiter!$A$6:$A$205,0)),"vor Eintritt",IF(AND(INDEX(Mitarbeiter!$D$6:$D$205,MATCH(B2291,Mitarbeiter!$A$6:$A$205,0))&lt;&gt;"",A2291&gt;INDEX(Mitarbeiter!$D$6:$D$205,MATCH(B2291,Mitarbeiter!$A$6:$A$205,0))),"nach Austritt","ok")))))))</f>
        <v/>
      </c>
    </row>
    <row r="2292">
      <c r="A2292" s="26" t="n"/>
      <c r="B2292" s="24" t="n"/>
      <c r="C2292" s="40">
        <f>IF(B2292="","",IFERROR(INDEX(Mitarbeiter!$B$6:$B$205,MATCH(B2292,Mitarbeiter!$A$6:$A$205,0)),"?"))</f>
        <v/>
      </c>
      <c r="D2292" s="41" t="n"/>
      <c r="E2292" s="42" t="n"/>
      <c r="F2292" s="43" t="n"/>
      <c r="G2292" s="44">
        <f>IF(OR(B2292="",F2292=""),"",IFERROR(F2292*INDEX(Mitarbeiter!$F$6:$F$205,MATCH(B2292,Mitarbeiter!$A$6:$A$205,0)),0))</f>
        <v/>
      </c>
      <c r="H2292" s="8">
        <f>IF(B2292="","",IF(ISNA(MATCH(B2292,Mitarbeiter!$A$6:$A$205,0)),"Pers.-Nr. unbekannt",IF(A2292="","Datum fehlt",IF(AND(D2292&lt;&gt;Einstellungen!$C$4,D2292&lt;&gt;Einstellungen!$C$5),"Objekt fehlt",IF(YEAR(A2292)&lt;&gt;Einstellungen!$C$3,"anderes Jahr",IF(A2292&lt;INDEX(Mitarbeiter!$C$6:$C$205,MATCH(B2292,Mitarbeiter!$A$6:$A$205,0)),"vor Eintritt",IF(AND(INDEX(Mitarbeiter!$D$6:$D$205,MATCH(B2292,Mitarbeiter!$A$6:$A$205,0))&lt;&gt;"",A2292&gt;INDEX(Mitarbeiter!$D$6:$D$205,MATCH(B2292,Mitarbeiter!$A$6:$A$205,0))),"nach Austritt","ok")))))))</f>
        <v/>
      </c>
    </row>
    <row r="2293">
      <c r="A2293" s="26" t="n"/>
      <c r="B2293" s="24" t="n"/>
      <c r="C2293" s="40">
        <f>IF(B2293="","",IFERROR(INDEX(Mitarbeiter!$B$6:$B$205,MATCH(B2293,Mitarbeiter!$A$6:$A$205,0)),"?"))</f>
        <v/>
      </c>
      <c r="D2293" s="41" t="n"/>
      <c r="E2293" s="42" t="n"/>
      <c r="F2293" s="43" t="n"/>
      <c r="G2293" s="44">
        <f>IF(OR(B2293="",F2293=""),"",IFERROR(F2293*INDEX(Mitarbeiter!$F$6:$F$205,MATCH(B2293,Mitarbeiter!$A$6:$A$205,0)),0))</f>
        <v/>
      </c>
      <c r="H2293" s="8">
        <f>IF(B2293="","",IF(ISNA(MATCH(B2293,Mitarbeiter!$A$6:$A$205,0)),"Pers.-Nr. unbekannt",IF(A2293="","Datum fehlt",IF(AND(D2293&lt;&gt;Einstellungen!$C$4,D2293&lt;&gt;Einstellungen!$C$5),"Objekt fehlt",IF(YEAR(A2293)&lt;&gt;Einstellungen!$C$3,"anderes Jahr",IF(A2293&lt;INDEX(Mitarbeiter!$C$6:$C$205,MATCH(B2293,Mitarbeiter!$A$6:$A$205,0)),"vor Eintritt",IF(AND(INDEX(Mitarbeiter!$D$6:$D$205,MATCH(B2293,Mitarbeiter!$A$6:$A$205,0))&lt;&gt;"",A2293&gt;INDEX(Mitarbeiter!$D$6:$D$205,MATCH(B2293,Mitarbeiter!$A$6:$A$205,0))),"nach Austritt","ok")))))))</f>
        <v/>
      </c>
    </row>
    <row r="2294">
      <c r="A2294" s="26" t="n"/>
      <c r="B2294" s="24" t="n"/>
      <c r="C2294" s="40">
        <f>IF(B2294="","",IFERROR(INDEX(Mitarbeiter!$B$6:$B$205,MATCH(B2294,Mitarbeiter!$A$6:$A$205,0)),"?"))</f>
        <v/>
      </c>
      <c r="D2294" s="41" t="n"/>
      <c r="E2294" s="42" t="n"/>
      <c r="F2294" s="43" t="n"/>
      <c r="G2294" s="44">
        <f>IF(OR(B2294="",F2294=""),"",IFERROR(F2294*INDEX(Mitarbeiter!$F$6:$F$205,MATCH(B2294,Mitarbeiter!$A$6:$A$205,0)),0))</f>
        <v/>
      </c>
      <c r="H2294" s="8">
        <f>IF(B2294="","",IF(ISNA(MATCH(B2294,Mitarbeiter!$A$6:$A$205,0)),"Pers.-Nr. unbekannt",IF(A2294="","Datum fehlt",IF(AND(D2294&lt;&gt;Einstellungen!$C$4,D2294&lt;&gt;Einstellungen!$C$5),"Objekt fehlt",IF(YEAR(A2294)&lt;&gt;Einstellungen!$C$3,"anderes Jahr",IF(A2294&lt;INDEX(Mitarbeiter!$C$6:$C$205,MATCH(B2294,Mitarbeiter!$A$6:$A$205,0)),"vor Eintritt",IF(AND(INDEX(Mitarbeiter!$D$6:$D$205,MATCH(B2294,Mitarbeiter!$A$6:$A$205,0))&lt;&gt;"",A2294&gt;INDEX(Mitarbeiter!$D$6:$D$205,MATCH(B2294,Mitarbeiter!$A$6:$A$205,0))),"nach Austritt","ok")))))))</f>
        <v/>
      </c>
    </row>
    <row r="2295">
      <c r="A2295" s="26" t="n"/>
      <c r="B2295" s="24" t="n"/>
      <c r="C2295" s="40">
        <f>IF(B2295="","",IFERROR(INDEX(Mitarbeiter!$B$6:$B$205,MATCH(B2295,Mitarbeiter!$A$6:$A$205,0)),"?"))</f>
        <v/>
      </c>
      <c r="D2295" s="41" t="n"/>
      <c r="E2295" s="42" t="n"/>
      <c r="F2295" s="43" t="n"/>
      <c r="G2295" s="44">
        <f>IF(OR(B2295="",F2295=""),"",IFERROR(F2295*INDEX(Mitarbeiter!$F$6:$F$205,MATCH(B2295,Mitarbeiter!$A$6:$A$205,0)),0))</f>
        <v/>
      </c>
      <c r="H2295" s="8">
        <f>IF(B2295="","",IF(ISNA(MATCH(B2295,Mitarbeiter!$A$6:$A$205,0)),"Pers.-Nr. unbekannt",IF(A2295="","Datum fehlt",IF(AND(D2295&lt;&gt;Einstellungen!$C$4,D2295&lt;&gt;Einstellungen!$C$5),"Objekt fehlt",IF(YEAR(A2295)&lt;&gt;Einstellungen!$C$3,"anderes Jahr",IF(A2295&lt;INDEX(Mitarbeiter!$C$6:$C$205,MATCH(B2295,Mitarbeiter!$A$6:$A$205,0)),"vor Eintritt",IF(AND(INDEX(Mitarbeiter!$D$6:$D$205,MATCH(B2295,Mitarbeiter!$A$6:$A$205,0))&lt;&gt;"",A2295&gt;INDEX(Mitarbeiter!$D$6:$D$205,MATCH(B2295,Mitarbeiter!$A$6:$A$205,0))),"nach Austritt","ok")))))))</f>
        <v/>
      </c>
    </row>
    <row r="2296">
      <c r="A2296" s="26" t="n"/>
      <c r="B2296" s="24" t="n"/>
      <c r="C2296" s="40">
        <f>IF(B2296="","",IFERROR(INDEX(Mitarbeiter!$B$6:$B$205,MATCH(B2296,Mitarbeiter!$A$6:$A$205,0)),"?"))</f>
        <v/>
      </c>
      <c r="D2296" s="41" t="n"/>
      <c r="E2296" s="42" t="n"/>
      <c r="F2296" s="43" t="n"/>
      <c r="G2296" s="44">
        <f>IF(OR(B2296="",F2296=""),"",IFERROR(F2296*INDEX(Mitarbeiter!$F$6:$F$205,MATCH(B2296,Mitarbeiter!$A$6:$A$205,0)),0))</f>
        <v/>
      </c>
      <c r="H2296" s="8">
        <f>IF(B2296="","",IF(ISNA(MATCH(B2296,Mitarbeiter!$A$6:$A$205,0)),"Pers.-Nr. unbekannt",IF(A2296="","Datum fehlt",IF(AND(D2296&lt;&gt;Einstellungen!$C$4,D2296&lt;&gt;Einstellungen!$C$5),"Objekt fehlt",IF(YEAR(A2296)&lt;&gt;Einstellungen!$C$3,"anderes Jahr",IF(A2296&lt;INDEX(Mitarbeiter!$C$6:$C$205,MATCH(B2296,Mitarbeiter!$A$6:$A$205,0)),"vor Eintritt",IF(AND(INDEX(Mitarbeiter!$D$6:$D$205,MATCH(B2296,Mitarbeiter!$A$6:$A$205,0))&lt;&gt;"",A2296&gt;INDEX(Mitarbeiter!$D$6:$D$205,MATCH(B2296,Mitarbeiter!$A$6:$A$205,0))),"nach Austritt","ok")))))))</f>
        <v/>
      </c>
    </row>
    <row r="2297">
      <c r="A2297" s="26" t="n"/>
      <c r="B2297" s="24" t="n"/>
      <c r="C2297" s="40">
        <f>IF(B2297="","",IFERROR(INDEX(Mitarbeiter!$B$6:$B$205,MATCH(B2297,Mitarbeiter!$A$6:$A$205,0)),"?"))</f>
        <v/>
      </c>
      <c r="D2297" s="41" t="n"/>
      <c r="E2297" s="42" t="n"/>
      <c r="F2297" s="43" t="n"/>
      <c r="G2297" s="44">
        <f>IF(OR(B2297="",F2297=""),"",IFERROR(F2297*INDEX(Mitarbeiter!$F$6:$F$205,MATCH(B2297,Mitarbeiter!$A$6:$A$205,0)),0))</f>
        <v/>
      </c>
      <c r="H2297" s="8">
        <f>IF(B2297="","",IF(ISNA(MATCH(B2297,Mitarbeiter!$A$6:$A$205,0)),"Pers.-Nr. unbekannt",IF(A2297="","Datum fehlt",IF(AND(D2297&lt;&gt;Einstellungen!$C$4,D2297&lt;&gt;Einstellungen!$C$5),"Objekt fehlt",IF(YEAR(A2297)&lt;&gt;Einstellungen!$C$3,"anderes Jahr",IF(A2297&lt;INDEX(Mitarbeiter!$C$6:$C$205,MATCH(B2297,Mitarbeiter!$A$6:$A$205,0)),"vor Eintritt",IF(AND(INDEX(Mitarbeiter!$D$6:$D$205,MATCH(B2297,Mitarbeiter!$A$6:$A$205,0))&lt;&gt;"",A2297&gt;INDEX(Mitarbeiter!$D$6:$D$205,MATCH(B2297,Mitarbeiter!$A$6:$A$205,0))),"nach Austritt","ok")))))))</f>
        <v/>
      </c>
    </row>
    <row r="2298">
      <c r="A2298" s="26" t="n"/>
      <c r="B2298" s="24" t="n"/>
      <c r="C2298" s="40">
        <f>IF(B2298="","",IFERROR(INDEX(Mitarbeiter!$B$6:$B$205,MATCH(B2298,Mitarbeiter!$A$6:$A$205,0)),"?"))</f>
        <v/>
      </c>
      <c r="D2298" s="41" t="n"/>
      <c r="E2298" s="42" t="n"/>
      <c r="F2298" s="43" t="n"/>
      <c r="G2298" s="44">
        <f>IF(OR(B2298="",F2298=""),"",IFERROR(F2298*INDEX(Mitarbeiter!$F$6:$F$205,MATCH(B2298,Mitarbeiter!$A$6:$A$205,0)),0))</f>
        <v/>
      </c>
      <c r="H2298" s="8">
        <f>IF(B2298="","",IF(ISNA(MATCH(B2298,Mitarbeiter!$A$6:$A$205,0)),"Pers.-Nr. unbekannt",IF(A2298="","Datum fehlt",IF(AND(D2298&lt;&gt;Einstellungen!$C$4,D2298&lt;&gt;Einstellungen!$C$5),"Objekt fehlt",IF(YEAR(A2298)&lt;&gt;Einstellungen!$C$3,"anderes Jahr",IF(A2298&lt;INDEX(Mitarbeiter!$C$6:$C$205,MATCH(B2298,Mitarbeiter!$A$6:$A$205,0)),"vor Eintritt",IF(AND(INDEX(Mitarbeiter!$D$6:$D$205,MATCH(B2298,Mitarbeiter!$A$6:$A$205,0))&lt;&gt;"",A2298&gt;INDEX(Mitarbeiter!$D$6:$D$205,MATCH(B2298,Mitarbeiter!$A$6:$A$205,0))),"nach Austritt","ok")))))))</f>
        <v/>
      </c>
    </row>
    <row r="2299">
      <c r="A2299" s="26" t="n"/>
      <c r="B2299" s="24" t="n"/>
      <c r="C2299" s="40">
        <f>IF(B2299="","",IFERROR(INDEX(Mitarbeiter!$B$6:$B$205,MATCH(B2299,Mitarbeiter!$A$6:$A$205,0)),"?"))</f>
        <v/>
      </c>
      <c r="D2299" s="41" t="n"/>
      <c r="E2299" s="42" t="n"/>
      <c r="F2299" s="43" t="n"/>
      <c r="G2299" s="44">
        <f>IF(OR(B2299="",F2299=""),"",IFERROR(F2299*INDEX(Mitarbeiter!$F$6:$F$205,MATCH(B2299,Mitarbeiter!$A$6:$A$205,0)),0))</f>
        <v/>
      </c>
      <c r="H2299" s="8">
        <f>IF(B2299="","",IF(ISNA(MATCH(B2299,Mitarbeiter!$A$6:$A$205,0)),"Pers.-Nr. unbekannt",IF(A2299="","Datum fehlt",IF(AND(D2299&lt;&gt;Einstellungen!$C$4,D2299&lt;&gt;Einstellungen!$C$5),"Objekt fehlt",IF(YEAR(A2299)&lt;&gt;Einstellungen!$C$3,"anderes Jahr",IF(A2299&lt;INDEX(Mitarbeiter!$C$6:$C$205,MATCH(B2299,Mitarbeiter!$A$6:$A$205,0)),"vor Eintritt",IF(AND(INDEX(Mitarbeiter!$D$6:$D$205,MATCH(B2299,Mitarbeiter!$A$6:$A$205,0))&lt;&gt;"",A2299&gt;INDEX(Mitarbeiter!$D$6:$D$205,MATCH(B2299,Mitarbeiter!$A$6:$A$205,0))),"nach Austritt","ok")))))))</f>
        <v/>
      </c>
    </row>
    <row r="2300">
      <c r="A2300" s="26" t="n"/>
      <c r="B2300" s="24" t="n"/>
      <c r="C2300" s="40">
        <f>IF(B2300="","",IFERROR(INDEX(Mitarbeiter!$B$6:$B$205,MATCH(B2300,Mitarbeiter!$A$6:$A$205,0)),"?"))</f>
        <v/>
      </c>
      <c r="D2300" s="41" t="n"/>
      <c r="E2300" s="42" t="n"/>
      <c r="F2300" s="43" t="n"/>
      <c r="G2300" s="44">
        <f>IF(OR(B2300="",F2300=""),"",IFERROR(F2300*INDEX(Mitarbeiter!$F$6:$F$205,MATCH(B2300,Mitarbeiter!$A$6:$A$205,0)),0))</f>
        <v/>
      </c>
      <c r="H2300" s="8">
        <f>IF(B2300="","",IF(ISNA(MATCH(B2300,Mitarbeiter!$A$6:$A$205,0)),"Pers.-Nr. unbekannt",IF(A2300="","Datum fehlt",IF(AND(D2300&lt;&gt;Einstellungen!$C$4,D2300&lt;&gt;Einstellungen!$C$5),"Objekt fehlt",IF(YEAR(A2300)&lt;&gt;Einstellungen!$C$3,"anderes Jahr",IF(A2300&lt;INDEX(Mitarbeiter!$C$6:$C$205,MATCH(B2300,Mitarbeiter!$A$6:$A$205,0)),"vor Eintritt",IF(AND(INDEX(Mitarbeiter!$D$6:$D$205,MATCH(B2300,Mitarbeiter!$A$6:$A$205,0))&lt;&gt;"",A2300&gt;INDEX(Mitarbeiter!$D$6:$D$205,MATCH(B2300,Mitarbeiter!$A$6:$A$205,0))),"nach Austritt","ok")))))))</f>
        <v/>
      </c>
    </row>
    <row r="2301">
      <c r="A2301" s="26" t="n"/>
      <c r="B2301" s="24" t="n"/>
      <c r="C2301" s="40">
        <f>IF(B2301="","",IFERROR(INDEX(Mitarbeiter!$B$6:$B$205,MATCH(B2301,Mitarbeiter!$A$6:$A$205,0)),"?"))</f>
        <v/>
      </c>
      <c r="D2301" s="41" t="n"/>
      <c r="E2301" s="42" t="n"/>
      <c r="F2301" s="43" t="n"/>
      <c r="G2301" s="44">
        <f>IF(OR(B2301="",F2301=""),"",IFERROR(F2301*INDEX(Mitarbeiter!$F$6:$F$205,MATCH(B2301,Mitarbeiter!$A$6:$A$205,0)),0))</f>
        <v/>
      </c>
      <c r="H2301" s="8">
        <f>IF(B2301="","",IF(ISNA(MATCH(B2301,Mitarbeiter!$A$6:$A$205,0)),"Pers.-Nr. unbekannt",IF(A2301="","Datum fehlt",IF(AND(D2301&lt;&gt;Einstellungen!$C$4,D2301&lt;&gt;Einstellungen!$C$5),"Objekt fehlt",IF(YEAR(A2301)&lt;&gt;Einstellungen!$C$3,"anderes Jahr",IF(A2301&lt;INDEX(Mitarbeiter!$C$6:$C$205,MATCH(B2301,Mitarbeiter!$A$6:$A$205,0)),"vor Eintritt",IF(AND(INDEX(Mitarbeiter!$D$6:$D$205,MATCH(B2301,Mitarbeiter!$A$6:$A$205,0))&lt;&gt;"",A2301&gt;INDEX(Mitarbeiter!$D$6:$D$205,MATCH(B2301,Mitarbeiter!$A$6:$A$205,0))),"nach Austritt","ok")))))))</f>
        <v/>
      </c>
    </row>
    <row r="2302">
      <c r="A2302" s="26" t="n"/>
      <c r="B2302" s="24" t="n"/>
      <c r="C2302" s="40">
        <f>IF(B2302="","",IFERROR(INDEX(Mitarbeiter!$B$6:$B$205,MATCH(B2302,Mitarbeiter!$A$6:$A$205,0)),"?"))</f>
        <v/>
      </c>
      <c r="D2302" s="41" t="n"/>
      <c r="E2302" s="42" t="n"/>
      <c r="F2302" s="43" t="n"/>
      <c r="G2302" s="44">
        <f>IF(OR(B2302="",F2302=""),"",IFERROR(F2302*INDEX(Mitarbeiter!$F$6:$F$205,MATCH(B2302,Mitarbeiter!$A$6:$A$205,0)),0))</f>
        <v/>
      </c>
      <c r="H2302" s="8">
        <f>IF(B2302="","",IF(ISNA(MATCH(B2302,Mitarbeiter!$A$6:$A$205,0)),"Pers.-Nr. unbekannt",IF(A2302="","Datum fehlt",IF(AND(D2302&lt;&gt;Einstellungen!$C$4,D2302&lt;&gt;Einstellungen!$C$5),"Objekt fehlt",IF(YEAR(A2302)&lt;&gt;Einstellungen!$C$3,"anderes Jahr",IF(A2302&lt;INDEX(Mitarbeiter!$C$6:$C$205,MATCH(B2302,Mitarbeiter!$A$6:$A$205,0)),"vor Eintritt",IF(AND(INDEX(Mitarbeiter!$D$6:$D$205,MATCH(B2302,Mitarbeiter!$A$6:$A$205,0))&lt;&gt;"",A2302&gt;INDEX(Mitarbeiter!$D$6:$D$205,MATCH(B2302,Mitarbeiter!$A$6:$A$205,0))),"nach Austritt","ok")))))))</f>
        <v/>
      </c>
    </row>
    <row r="2303">
      <c r="A2303" s="26" t="n"/>
      <c r="B2303" s="24" t="n"/>
      <c r="C2303" s="40">
        <f>IF(B2303="","",IFERROR(INDEX(Mitarbeiter!$B$6:$B$205,MATCH(B2303,Mitarbeiter!$A$6:$A$205,0)),"?"))</f>
        <v/>
      </c>
      <c r="D2303" s="41" t="n"/>
      <c r="E2303" s="42" t="n"/>
      <c r="F2303" s="43" t="n"/>
      <c r="G2303" s="44">
        <f>IF(OR(B2303="",F2303=""),"",IFERROR(F2303*INDEX(Mitarbeiter!$F$6:$F$205,MATCH(B2303,Mitarbeiter!$A$6:$A$205,0)),0))</f>
        <v/>
      </c>
      <c r="H2303" s="8">
        <f>IF(B2303="","",IF(ISNA(MATCH(B2303,Mitarbeiter!$A$6:$A$205,0)),"Pers.-Nr. unbekannt",IF(A2303="","Datum fehlt",IF(AND(D2303&lt;&gt;Einstellungen!$C$4,D2303&lt;&gt;Einstellungen!$C$5),"Objekt fehlt",IF(YEAR(A2303)&lt;&gt;Einstellungen!$C$3,"anderes Jahr",IF(A2303&lt;INDEX(Mitarbeiter!$C$6:$C$205,MATCH(B2303,Mitarbeiter!$A$6:$A$205,0)),"vor Eintritt",IF(AND(INDEX(Mitarbeiter!$D$6:$D$205,MATCH(B2303,Mitarbeiter!$A$6:$A$205,0))&lt;&gt;"",A2303&gt;INDEX(Mitarbeiter!$D$6:$D$205,MATCH(B2303,Mitarbeiter!$A$6:$A$205,0))),"nach Austritt","ok")))))))</f>
        <v/>
      </c>
    </row>
    <row r="2304">
      <c r="A2304" s="26" t="n"/>
      <c r="B2304" s="24" t="n"/>
      <c r="C2304" s="40">
        <f>IF(B2304="","",IFERROR(INDEX(Mitarbeiter!$B$6:$B$205,MATCH(B2304,Mitarbeiter!$A$6:$A$205,0)),"?"))</f>
        <v/>
      </c>
      <c r="D2304" s="41" t="n"/>
      <c r="E2304" s="42" t="n"/>
      <c r="F2304" s="43" t="n"/>
      <c r="G2304" s="44">
        <f>IF(OR(B2304="",F2304=""),"",IFERROR(F2304*INDEX(Mitarbeiter!$F$6:$F$205,MATCH(B2304,Mitarbeiter!$A$6:$A$205,0)),0))</f>
        <v/>
      </c>
      <c r="H2304" s="8">
        <f>IF(B2304="","",IF(ISNA(MATCH(B2304,Mitarbeiter!$A$6:$A$205,0)),"Pers.-Nr. unbekannt",IF(A2304="","Datum fehlt",IF(AND(D2304&lt;&gt;Einstellungen!$C$4,D2304&lt;&gt;Einstellungen!$C$5),"Objekt fehlt",IF(YEAR(A2304)&lt;&gt;Einstellungen!$C$3,"anderes Jahr",IF(A2304&lt;INDEX(Mitarbeiter!$C$6:$C$205,MATCH(B2304,Mitarbeiter!$A$6:$A$205,0)),"vor Eintritt",IF(AND(INDEX(Mitarbeiter!$D$6:$D$205,MATCH(B2304,Mitarbeiter!$A$6:$A$205,0))&lt;&gt;"",A2304&gt;INDEX(Mitarbeiter!$D$6:$D$205,MATCH(B2304,Mitarbeiter!$A$6:$A$205,0))),"nach Austritt","ok")))))))</f>
        <v/>
      </c>
    </row>
    <row r="2305">
      <c r="A2305" s="26" t="n"/>
      <c r="B2305" s="24" t="n"/>
      <c r="C2305" s="40">
        <f>IF(B2305="","",IFERROR(INDEX(Mitarbeiter!$B$6:$B$205,MATCH(B2305,Mitarbeiter!$A$6:$A$205,0)),"?"))</f>
        <v/>
      </c>
      <c r="D2305" s="41" t="n"/>
      <c r="E2305" s="42" t="n"/>
      <c r="F2305" s="43" t="n"/>
      <c r="G2305" s="44">
        <f>IF(OR(B2305="",F2305=""),"",IFERROR(F2305*INDEX(Mitarbeiter!$F$6:$F$205,MATCH(B2305,Mitarbeiter!$A$6:$A$205,0)),0))</f>
        <v/>
      </c>
      <c r="H2305" s="8">
        <f>IF(B2305="","",IF(ISNA(MATCH(B2305,Mitarbeiter!$A$6:$A$205,0)),"Pers.-Nr. unbekannt",IF(A2305="","Datum fehlt",IF(AND(D2305&lt;&gt;Einstellungen!$C$4,D2305&lt;&gt;Einstellungen!$C$5),"Objekt fehlt",IF(YEAR(A2305)&lt;&gt;Einstellungen!$C$3,"anderes Jahr",IF(A2305&lt;INDEX(Mitarbeiter!$C$6:$C$205,MATCH(B2305,Mitarbeiter!$A$6:$A$205,0)),"vor Eintritt",IF(AND(INDEX(Mitarbeiter!$D$6:$D$205,MATCH(B2305,Mitarbeiter!$A$6:$A$205,0))&lt;&gt;"",A2305&gt;INDEX(Mitarbeiter!$D$6:$D$205,MATCH(B2305,Mitarbeiter!$A$6:$A$205,0))),"nach Austritt","ok")))))))</f>
        <v/>
      </c>
    </row>
    <row r="2306">
      <c r="A2306" s="26" t="n"/>
      <c r="B2306" s="24" t="n"/>
      <c r="C2306" s="40">
        <f>IF(B2306="","",IFERROR(INDEX(Mitarbeiter!$B$6:$B$205,MATCH(B2306,Mitarbeiter!$A$6:$A$205,0)),"?"))</f>
        <v/>
      </c>
      <c r="D2306" s="41" t="n"/>
      <c r="E2306" s="42" t="n"/>
      <c r="F2306" s="43" t="n"/>
      <c r="G2306" s="44">
        <f>IF(OR(B2306="",F2306=""),"",IFERROR(F2306*INDEX(Mitarbeiter!$F$6:$F$205,MATCH(B2306,Mitarbeiter!$A$6:$A$205,0)),0))</f>
        <v/>
      </c>
      <c r="H2306" s="8">
        <f>IF(B2306="","",IF(ISNA(MATCH(B2306,Mitarbeiter!$A$6:$A$205,0)),"Pers.-Nr. unbekannt",IF(A2306="","Datum fehlt",IF(AND(D2306&lt;&gt;Einstellungen!$C$4,D2306&lt;&gt;Einstellungen!$C$5),"Objekt fehlt",IF(YEAR(A2306)&lt;&gt;Einstellungen!$C$3,"anderes Jahr",IF(A2306&lt;INDEX(Mitarbeiter!$C$6:$C$205,MATCH(B2306,Mitarbeiter!$A$6:$A$205,0)),"vor Eintritt",IF(AND(INDEX(Mitarbeiter!$D$6:$D$205,MATCH(B2306,Mitarbeiter!$A$6:$A$205,0))&lt;&gt;"",A2306&gt;INDEX(Mitarbeiter!$D$6:$D$205,MATCH(B2306,Mitarbeiter!$A$6:$A$205,0))),"nach Austritt","ok")))))))</f>
        <v/>
      </c>
    </row>
    <row r="2307">
      <c r="A2307" s="26" t="n"/>
      <c r="B2307" s="24" t="n"/>
      <c r="C2307" s="40">
        <f>IF(B2307="","",IFERROR(INDEX(Mitarbeiter!$B$6:$B$205,MATCH(B2307,Mitarbeiter!$A$6:$A$205,0)),"?"))</f>
        <v/>
      </c>
      <c r="D2307" s="41" t="n"/>
      <c r="E2307" s="42" t="n"/>
      <c r="F2307" s="43" t="n"/>
      <c r="G2307" s="44">
        <f>IF(OR(B2307="",F2307=""),"",IFERROR(F2307*INDEX(Mitarbeiter!$F$6:$F$205,MATCH(B2307,Mitarbeiter!$A$6:$A$205,0)),0))</f>
        <v/>
      </c>
      <c r="H2307" s="8">
        <f>IF(B2307="","",IF(ISNA(MATCH(B2307,Mitarbeiter!$A$6:$A$205,0)),"Pers.-Nr. unbekannt",IF(A2307="","Datum fehlt",IF(AND(D2307&lt;&gt;Einstellungen!$C$4,D2307&lt;&gt;Einstellungen!$C$5),"Objekt fehlt",IF(YEAR(A2307)&lt;&gt;Einstellungen!$C$3,"anderes Jahr",IF(A2307&lt;INDEX(Mitarbeiter!$C$6:$C$205,MATCH(B2307,Mitarbeiter!$A$6:$A$205,0)),"vor Eintritt",IF(AND(INDEX(Mitarbeiter!$D$6:$D$205,MATCH(B2307,Mitarbeiter!$A$6:$A$205,0))&lt;&gt;"",A2307&gt;INDEX(Mitarbeiter!$D$6:$D$205,MATCH(B2307,Mitarbeiter!$A$6:$A$205,0))),"nach Austritt","ok")))))))</f>
        <v/>
      </c>
    </row>
    <row r="2308">
      <c r="A2308" s="26" t="n"/>
      <c r="B2308" s="24" t="n"/>
      <c r="C2308" s="40">
        <f>IF(B2308="","",IFERROR(INDEX(Mitarbeiter!$B$6:$B$205,MATCH(B2308,Mitarbeiter!$A$6:$A$205,0)),"?"))</f>
        <v/>
      </c>
      <c r="D2308" s="41" t="n"/>
      <c r="E2308" s="42" t="n"/>
      <c r="F2308" s="43" t="n"/>
      <c r="G2308" s="44">
        <f>IF(OR(B2308="",F2308=""),"",IFERROR(F2308*INDEX(Mitarbeiter!$F$6:$F$205,MATCH(B2308,Mitarbeiter!$A$6:$A$205,0)),0))</f>
        <v/>
      </c>
      <c r="H2308" s="8">
        <f>IF(B2308="","",IF(ISNA(MATCH(B2308,Mitarbeiter!$A$6:$A$205,0)),"Pers.-Nr. unbekannt",IF(A2308="","Datum fehlt",IF(AND(D2308&lt;&gt;Einstellungen!$C$4,D2308&lt;&gt;Einstellungen!$C$5),"Objekt fehlt",IF(YEAR(A2308)&lt;&gt;Einstellungen!$C$3,"anderes Jahr",IF(A2308&lt;INDEX(Mitarbeiter!$C$6:$C$205,MATCH(B2308,Mitarbeiter!$A$6:$A$205,0)),"vor Eintritt",IF(AND(INDEX(Mitarbeiter!$D$6:$D$205,MATCH(B2308,Mitarbeiter!$A$6:$A$205,0))&lt;&gt;"",A2308&gt;INDEX(Mitarbeiter!$D$6:$D$205,MATCH(B2308,Mitarbeiter!$A$6:$A$205,0))),"nach Austritt","ok")))))))</f>
        <v/>
      </c>
    </row>
    <row r="2309">
      <c r="A2309" s="26" t="n"/>
      <c r="B2309" s="24" t="n"/>
      <c r="C2309" s="40">
        <f>IF(B2309="","",IFERROR(INDEX(Mitarbeiter!$B$6:$B$205,MATCH(B2309,Mitarbeiter!$A$6:$A$205,0)),"?"))</f>
        <v/>
      </c>
      <c r="D2309" s="41" t="n"/>
      <c r="E2309" s="42" t="n"/>
      <c r="F2309" s="43" t="n"/>
      <c r="G2309" s="44">
        <f>IF(OR(B2309="",F2309=""),"",IFERROR(F2309*INDEX(Mitarbeiter!$F$6:$F$205,MATCH(B2309,Mitarbeiter!$A$6:$A$205,0)),0))</f>
        <v/>
      </c>
      <c r="H2309" s="8">
        <f>IF(B2309="","",IF(ISNA(MATCH(B2309,Mitarbeiter!$A$6:$A$205,0)),"Pers.-Nr. unbekannt",IF(A2309="","Datum fehlt",IF(AND(D2309&lt;&gt;Einstellungen!$C$4,D2309&lt;&gt;Einstellungen!$C$5),"Objekt fehlt",IF(YEAR(A2309)&lt;&gt;Einstellungen!$C$3,"anderes Jahr",IF(A2309&lt;INDEX(Mitarbeiter!$C$6:$C$205,MATCH(B2309,Mitarbeiter!$A$6:$A$205,0)),"vor Eintritt",IF(AND(INDEX(Mitarbeiter!$D$6:$D$205,MATCH(B2309,Mitarbeiter!$A$6:$A$205,0))&lt;&gt;"",A2309&gt;INDEX(Mitarbeiter!$D$6:$D$205,MATCH(B2309,Mitarbeiter!$A$6:$A$205,0))),"nach Austritt","ok")))))))</f>
        <v/>
      </c>
    </row>
    <row r="2310">
      <c r="A2310" s="26" t="n"/>
      <c r="B2310" s="24" t="n"/>
      <c r="C2310" s="40">
        <f>IF(B2310="","",IFERROR(INDEX(Mitarbeiter!$B$6:$B$205,MATCH(B2310,Mitarbeiter!$A$6:$A$205,0)),"?"))</f>
        <v/>
      </c>
      <c r="D2310" s="41" t="n"/>
      <c r="E2310" s="42" t="n"/>
      <c r="F2310" s="43" t="n"/>
      <c r="G2310" s="44">
        <f>IF(OR(B2310="",F2310=""),"",IFERROR(F2310*INDEX(Mitarbeiter!$F$6:$F$205,MATCH(B2310,Mitarbeiter!$A$6:$A$205,0)),0))</f>
        <v/>
      </c>
      <c r="H2310" s="8">
        <f>IF(B2310="","",IF(ISNA(MATCH(B2310,Mitarbeiter!$A$6:$A$205,0)),"Pers.-Nr. unbekannt",IF(A2310="","Datum fehlt",IF(AND(D2310&lt;&gt;Einstellungen!$C$4,D2310&lt;&gt;Einstellungen!$C$5),"Objekt fehlt",IF(YEAR(A2310)&lt;&gt;Einstellungen!$C$3,"anderes Jahr",IF(A2310&lt;INDEX(Mitarbeiter!$C$6:$C$205,MATCH(B2310,Mitarbeiter!$A$6:$A$205,0)),"vor Eintritt",IF(AND(INDEX(Mitarbeiter!$D$6:$D$205,MATCH(B2310,Mitarbeiter!$A$6:$A$205,0))&lt;&gt;"",A2310&gt;INDEX(Mitarbeiter!$D$6:$D$205,MATCH(B2310,Mitarbeiter!$A$6:$A$205,0))),"nach Austritt","ok")))))))</f>
        <v/>
      </c>
    </row>
    <row r="2311">
      <c r="A2311" s="26" t="n"/>
      <c r="B2311" s="24" t="n"/>
      <c r="C2311" s="40">
        <f>IF(B2311="","",IFERROR(INDEX(Mitarbeiter!$B$6:$B$205,MATCH(B2311,Mitarbeiter!$A$6:$A$205,0)),"?"))</f>
        <v/>
      </c>
      <c r="D2311" s="41" t="n"/>
      <c r="E2311" s="42" t="n"/>
      <c r="F2311" s="43" t="n"/>
      <c r="G2311" s="44">
        <f>IF(OR(B2311="",F2311=""),"",IFERROR(F2311*INDEX(Mitarbeiter!$F$6:$F$205,MATCH(B2311,Mitarbeiter!$A$6:$A$205,0)),0))</f>
        <v/>
      </c>
      <c r="H2311" s="8">
        <f>IF(B2311="","",IF(ISNA(MATCH(B2311,Mitarbeiter!$A$6:$A$205,0)),"Pers.-Nr. unbekannt",IF(A2311="","Datum fehlt",IF(AND(D2311&lt;&gt;Einstellungen!$C$4,D2311&lt;&gt;Einstellungen!$C$5),"Objekt fehlt",IF(YEAR(A2311)&lt;&gt;Einstellungen!$C$3,"anderes Jahr",IF(A2311&lt;INDEX(Mitarbeiter!$C$6:$C$205,MATCH(B2311,Mitarbeiter!$A$6:$A$205,0)),"vor Eintritt",IF(AND(INDEX(Mitarbeiter!$D$6:$D$205,MATCH(B2311,Mitarbeiter!$A$6:$A$205,0))&lt;&gt;"",A2311&gt;INDEX(Mitarbeiter!$D$6:$D$205,MATCH(B2311,Mitarbeiter!$A$6:$A$205,0))),"nach Austritt","ok")))))))</f>
        <v/>
      </c>
    </row>
    <row r="2312">
      <c r="A2312" s="26" t="n"/>
      <c r="B2312" s="24" t="n"/>
      <c r="C2312" s="40">
        <f>IF(B2312="","",IFERROR(INDEX(Mitarbeiter!$B$6:$B$205,MATCH(B2312,Mitarbeiter!$A$6:$A$205,0)),"?"))</f>
        <v/>
      </c>
      <c r="D2312" s="41" t="n"/>
      <c r="E2312" s="42" t="n"/>
      <c r="F2312" s="43" t="n"/>
      <c r="G2312" s="44">
        <f>IF(OR(B2312="",F2312=""),"",IFERROR(F2312*INDEX(Mitarbeiter!$F$6:$F$205,MATCH(B2312,Mitarbeiter!$A$6:$A$205,0)),0))</f>
        <v/>
      </c>
      <c r="H2312" s="8">
        <f>IF(B2312="","",IF(ISNA(MATCH(B2312,Mitarbeiter!$A$6:$A$205,0)),"Pers.-Nr. unbekannt",IF(A2312="","Datum fehlt",IF(AND(D2312&lt;&gt;Einstellungen!$C$4,D2312&lt;&gt;Einstellungen!$C$5),"Objekt fehlt",IF(YEAR(A2312)&lt;&gt;Einstellungen!$C$3,"anderes Jahr",IF(A2312&lt;INDEX(Mitarbeiter!$C$6:$C$205,MATCH(B2312,Mitarbeiter!$A$6:$A$205,0)),"vor Eintritt",IF(AND(INDEX(Mitarbeiter!$D$6:$D$205,MATCH(B2312,Mitarbeiter!$A$6:$A$205,0))&lt;&gt;"",A2312&gt;INDEX(Mitarbeiter!$D$6:$D$205,MATCH(B2312,Mitarbeiter!$A$6:$A$205,0))),"nach Austritt","ok")))))))</f>
        <v/>
      </c>
    </row>
    <row r="2313">
      <c r="A2313" s="26" t="n"/>
      <c r="B2313" s="24" t="n"/>
      <c r="C2313" s="40">
        <f>IF(B2313="","",IFERROR(INDEX(Mitarbeiter!$B$6:$B$205,MATCH(B2313,Mitarbeiter!$A$6:$A$205,0)),"?"))</f>
        <v/>
      </c>
      <c r="D2313" s="41" t="n"/>
      <c r="E2313" s="42" t="n"/>
      <c r="F2313" s="43" t="n"/>
      <c r="G2313" s="44">
        <f>IF(OR(B2313="",F2313=""),"",IFERROR(F2313*INDEX(Mitarbeiter!$F$6:$F$205,MATCH(B2313,Mitarbeiter!$A$6:$A$205,0)),0))</f>
        <v/>
      </c>
      <c r="H2313" s="8">
        <f>IF(B2313="","",IF(ISNA(MATCH(B2313,Mitarbeiter!$A$6:$A$205,0)),"Pers.-Nr. unbekannt",IF(A2313="","Datum fehlt",IF(AND(D2313&lt;&gt;Einstellungen!$C$4,D2313&lt;&gt;Einstellungen!$C$5),"Objekt fehlt",IF(YEAR(A2313)&lt;&gt;Einstellungen!$C$3,"anderes Jahr",IF(A2313&lt;INDEX(Mitarbeiter!$C$6:$C$205,MATCH(B2313,Mitarbeiter!$A$6:$A$205,0)),"vor Eintritt",IF(AND(INDEX(Mitarbeiter!$D$6:$D$205,MATCH(B2313,Mitarbeiter!$A$6:$A$205,0))&lt;&gt;"",A2313&gt;INDEX(Mitarbeiter!$D$6:$D$205,MATCH(B2313,Mitarbeiter!$A$6:$A$205,0))),"nach Austritt","ok")))))))</f>
        <v/>
      </c>
    </row>
    <row r="2314">
      <c r="A2314" s="26" t="n"/>
      <c r="B2314" s="24" t="n"/>
      <c r="C2314" s="40">
        <f>IF(B2314="","",IFERROR(INDEX(Mitarbeiter!$B$6:$B$205,MATCH(B2314,Mitarbeiter!$A$6:$A$205,0)),"?"))</f>
        <v/>
      </c>
      <c r="D2314" s="41" t="n"/>
      <c r="E2314" s="42" t="n"/>
      <c r="F2314" s="43" t="n"/>
      <c r="G2314" s="44">
        <f>IF(OR(B2314="",F2314=""),"",IFERROR(F2314*INDEX(Mitarbeiter!$F$6:$F$205,MATCH(B2314,Mitarbeiter!$A$6:$A$205,0)),0))</f>
        <v/>
      </c>
      <c r="H2314" s="8">
        <f>IF(B2314="","",IF(ISNA(MATCH(B2314,Mitarbeiter!$A$6:$A$205,0)),"Pers.-Nr. unbekannt",IF(A2314="","Datum fehlt",IF(AND(D2314&lt;&gt;Einstellungen!$C$4,D2314&lt;&gt;Einstellungen!$C$5),"Objekt fehlt",IF(YEAR(A2314)&lt;&gt;Einstellungen!$C$3,"anderes Jahr",IF(A2314&lt;INDEX(Mitarbeiter!$C$6:$C$205,MATCH(B2314,Mitarbeiter!$A$6:$A$205,0)),"vor Eintritt",IF(AND(INDEX(Mitarbeiter!$D$6:$D$205,MATCH(B2314,Mitarbeiter!$A$6:$A$205,0))&lt;&gt;"",A2314&gt;INDEX(Mitarbeiter!$D$6:$D$205,MATCH(B2314,Mitarbeiter!$A$6:$A$205,0))),"nach Austritt","ok")))))))</f>
        <v/>
      </c>
    </row>
    <row r="2315">
      <c r="A2315" s="26" t="n"/>
      <c r="B2315" s="24" t="n"/>
      <c r="C2315" s="40">
        <f>IF(B2315="","",IFERROR(INDEX(Mitarbeiter!$B$6:$B$205,MATCH(B2315,Mitarbeiter!$A$6:$A$205,0)),"?"))</f>
        <v/>
      </c>
      <c r="D2315" s="41" t="n"/>
      <c r="E2315" s="42" t="n"/>
      <c r="F2315" s="43" t="n"/>
      <c r="G2315" s="44">
        <f>IF(OR(B2315="",F2315=""),"",IFERROR(F2315*INDEX(Mitarbeiter!$F$6:$F$205,MATCH(B2315,Mitarbeiter!$A$6:$A$205,0)),0))</f>
        <v/>
      </c>
      <c r="H2315" s="8">
        <f>IF(B2315="","",IF(ISNA(MATCH(B2315,Mitarbeiter!$A$6:$A$205,0)),"Pers.-Nr. unbekannt",IF(A2315="","Datum fehlt",IF(AND(D2315&lt;&gt;Einstellungen!$C$4,D2315&lt;&gt;Einstellungen!$C$5),"Objekt fehlt",IF(YEAR(A2315)&lt;&gt;Einstellungen!$C$3,"anderes Jahr",IF(A2315&lt;INDEX(Mitarbeiter!$C$6:$C$205,MATCH(B2315,Mitarbeiter!$A$6:$A$205,0)),"vor Eintritt",IF(AND(INDEX(Mitarbeiter!$D$6:$D$205,MATCH(B2315,Mitarbeiter!$A$6:$A$205,0))&lt;&gt;"",A2315&gt;INDEX(Mitarbeiter!$D$6:$D$205,MATCH(B2315,Mitarbeiter!$A$6:$A$205,0))),"nach Austritt","ok")))))))</f>
        <v/>
      </c>
    </row>
    <row r="2316">
      <c r="A2316" s="26" t="n"/>
      <c r="B2316" s="24" t="n"/>
      <c r="C2316" s="40">
        <f>IF(B2316="","",IFERROR(INDEX(Mitarbeiter!$B$6:$B$205,MATCH(B2316,Mitarbeiter!$A$6:$A$205,0)),"?"))</f>
        <v/>
      </c>
      <c r="D2316" s="41" t="n"/>
      <c r="E2316" s="42" t="n"/>
      <c r="F2316" s="43" t="n"/>
      <c r="G2316" s="44">
        <f>IF(OR(B2316="",F2316=""),"",IFERROR(F2316*INDEX(Mitarbeiter!$F$6:$F$205,MATCH(B2316,Mitarbeiter!$A$6:$A$205,0)),0))</f>
        <v/>
      </c>
      <c r="H2316" s="8">
        <f>IF(B2316="","",IF(ISNA(MATCH(B2316,Mitarbeiter!$A$6:$A$205,0)),"Pers.-Nr. unbekannt",IF(A2316="","Datum fehlt",IF(AND(D2316&lt;&gt;Einstellungen!$C$4,D2316&lt;&gt;Einstellungen!$C$5),"Objekt fehlt",IF(YEAR(A2316)&lt;&gt;Einstellungen!$C$3,"anderes Jahr",IF(A2316&lt;INDEX(Mitarbeiter!$C$6:$C$205,MATCH(B2316,Mitarbeiter!$A$6:$A$205,0)),"vor Eintritt",IF(AND(INDEX(Mitarbeiter!$D$6:$D$205,MATCH(B2316,Mitarbeiter!$A$6:$A$205,0))&lt;&gt;"",A2316&gt;INDEX(Mitarbeiter!$D$6:$D$205,MATCH(B2316,Mitarbeiter!$A$6:$A$205,0))),"nach Austritt","ok")))))))</f>
        <v/>
      </c>
    </row>
    <row r="2317">
      <c r="A2317" s="26" t="n"/>
      <c r="B2317" s="24" t="n"/>
      <c r="C2317" s="40">
        <f>IF(B2317="","",IFERROR(INDEX(Mitarbeiter!$B$6:$B$205,MATCH(B2317,Mitarbeiter!$A$6:$A$205,0)),"?"))</f>
        <v/>
      </c>
      <c r="D2317" s="41" t="n"/>
      <c r="E2317" s="42" t="n"/>
      <c r="F2317" s="43" t="n"/>
      <c r="G2317" s="44">
        <f>IF(OR(B2317="",F2317=""),"",IFERROR(F2317*INDEX(Mitarbeiter!$F$6:$F$205,MATCH(B2317,Mitarbeiter!$A$6:$A$205,0)),0))</f>
        <v/>
      </c>
      <c r="H2317" s="8">
        <f>IF(B2317="","",IF(ISNA(MATCH(B2317,Mitarbeiter!$A$6:$A$205,0)),"Pers.-Nr. unbekannt",IF(A2317="","Datum fehlt",IF(AND(D2317&lt;&gt;Einstellungen!$C$4,D2317&lt;&gt;Einstellungen!$C$5),"Objekt fehlt",IF(YEAR(A2317)&lt;&gt;Einstellungen!$C$3,"anderes Jahr",IF(A2317&lt;INDEX(Mitarbeiter!$C$6:$C$205,MATCH(B2317,Mitarbeiter!$A$6:$A$205,0)),"vor Eintritt",IF(AND(INDEX(Mitarbeiter!$D$6:$D$205,MATCH(B2317,Mitarbeiter!$A$6:$A$205,0))&lt;&gt;"",A2317&gt;INDEX(Mitarbeiter!$D$6:$D$205,MATCH(B2317,Mitarbeiter!$A$6:$A$205,0))),"nach Austritt","ok")))))))</f>
        <v/>
      </c>
    </row>
    <row r="2318">
      <c r="A2318" s="26" t="n"/>
      <c r="B2318" s="24" t="n"/>
      <c r="C2318" s="40">
        <f>IF(B2318="","",IFERROR(INDEX(Mitarbeiter!$B$6:$B$205,MATCH(B2318,Mitarbeiter!$A$6:$A$205,0)),"?"))</f>
        <v/>
      </c>
      <c r="D2318" s="41" t="n"/>
      <c r="E2318" s="42" t="n"/>
      <c r="F2318" s="43" t="n"/>
      <c r="G2318" s="44">
        <f>IF(OR(B2318="",F2318=""),"",IFERROR(F2318*INDEX(Mitarbeiter!$F$6:$F$205,MATCH(B2318,Mitarbeiter!$A$6:$A$205,0)),0))</f>
        <v/>
      </c>
      <c r="H2318" s="8">
        <f>IF(B2318="","",IF(ISNA(MATCH(B2318,Mitarbeiter!$A$6:$A$205,0)),"Pers.-Nr. unbekannt",IF(A2318="","Datum fehlt",IF(AND(D2318&lt;&gt;Einstellungen!$C$4,D2318&lt;&gt;Einstellungen!$C$5),"Objekt fehlt",IF(YEAR(A2318)&lt;&gt;Einstellungen!$C$3,"anderes Jahr",IF(A2318&lt;INDEX(Mitarbeiter!$C$6:$C$205,MATCH(B2318,Mitarbeiter!$A$6:$A$205,0)),"vor Eintritt",IF(AND(INDEX(Mitarbeiter!$D$6:$D$205,MATCH(B2318,Mitarbeiter!$A$6:$A$205,0))&lt;&gt;"",A2318&gt;INDEX(Mitarbeiter!$D$6:$D$205,MATCH(B2318,Mitarbeiter!$A$6:$A$205,0))),"nach Austritt","ok")))))))</f>
        <v/>
      </c>
    </row>
    <row r="2319">
      <c r="A2319" s="26" t="n"/>
      <c r="B2319" s="24" t="n"/>
      <c r="C2319" s="40">
        <f>IF(B2319="","",IFERROR(INDEX(Mitarbeiter!$B$6:$B$205,MATCH(B2319,Mitarbeiter!$A$6:$A$205,0)),"?"))</f>
        <v/>
      </c>
      <c r="D2319" s="41" t="n"/>
      <c r="E2319" s="42" t="n"/>
      <c r="F2319" s="43" t="n"/>
      <c r="G2319" s="44">
        <f>IF(OR(B2319="",F2319=""),"",IFERROR(F2319*INDEX(Mitarbeiter!$F$6:$F$205,MATCH(B2319,Mitarbeiter!$A$6:$A$205,0)),0))</f>
        <v/>
      </c>
      <c r="H2319" s="8">
        <f>IF(B2319="","",IF(ISNA(MATCH(B2319,Mitarbeiter!$A$6:$A$205,0)),"Pers.-Nr. unbekannt",IF(A2319="","Datum fehlt",IF(AND(D2319&lt;&gt;Einstellungen!$C$4,D2319&lt;&gt;Einstellungen!$C$5),"Objekt fehlt",IF(YEAR(A2319)&lt;&gt;Einstellungen!$C$3,"anderes Jahr",IF(A2319&lt;INDEX(Mitarbeiter!$C$6:$C$205,MATCH(B2319,Mitarbeiter!$A$6:$A$205,0)),"vor Eintritt",IF(AND(INDEX(Mitarbeiter!$D$6:$D$205,MATCH(B2319,Mitarbeiter!$A$6:$A$205,0))&lt;&gt;"",A2319&gt;INDEX(Mitarbeiter!$D$6:$D$205,MATCH(B2319,Mitarbeiter!$A$6:$A$205,0))),"nach Austritt","ok")))))))</f>
        <v/>
      </c>
    </row>
    <row r="2320">
      <c r="A2320" s="26" t="n"/>
      <c r="B2320" s="24" t="n"/>
      <c r="C2320" s="40">
        <f>IF(B2320="","",IFERROR(INDEX(Mitarbeiter!$B$6:$B$205,MATCH(B2320,Mitarbeiter!$A$6:$A$205,0)),"?"))</f>
        <v/>
      </c>
      <c r="D2320" s="41" t="n"/>
      <c r="E2320" s="42" t="n"/>
      <c r="F2320" s="43" t="n"/>
      <c r="G2320" s="44">
        <f>IF(OR(B2320="",F2320=""),"",IFERROR(F2320*INDEX(Mitarbeiter!$F$6:$F$205,MATCH(B2320,Mitarbeiter!$A$6:$A$205,0)),0))</f>
        <v/>
      </c>
      <c r="H2320" s="8">
        <f>IF(B2320="","",IF(ISNA(MATCH(B2320,Mitarbeiter!$A$6:$A$205,0)),"Pers.-Nr. unbekannt",IF(A2320="","Datum fehlt",IF(AND(D2320&lt;&gt;Einstellungen!$C$4,D2320&lt;&gt;Einstellungen!$C$5),"Objekt fehlt",IF(YEAR(A2320)&lt;&gt;Einstellungen!$C$3,"anderes Jahr",IF(A2320&lt;INDEX(Mitarbeiter!$C$6:$C$205,MATCH(B2320,Mitarbeiter!$A$6:$A$205,0)),"vor Eintritt",IF(AND(INDEX(Mitarbeiter!$D$6:$D$205,MATCH(B2320,Mitarbeiter!$A$6:$A$205,0))&lt;&gt;"",A2320&gt;INDEX(Mitarbeiter!$D$6:$D$205,MATCH(B2320,Mitarbeiter!$A$6:$A$205,0))),"nach Austritt","ok")))))))</f>
        <v/>
      </c>
    </row>
    <row r="2321">
      <c r="A2321" s="26" t="n"/>
      <c r="B2321" s="24" t="n"/>
      <c r="C2321" s="40">
        <f>IF(B2321="","",IFERROR(INDEX(Mitarbeiter!$B$6:$B$205,MATCH(B2321,Mitarbeiter!$A$6:$A$205,0)),"?"))</f>
        <v/>
      </c>
      <c r="D2321" s="41" t="n"/>
      <c r="E2321" s="42" t="n"/>
      <c r="F2321" s="43" t="n"/>
      <c r="G2321" s="44">
        <f>IF(OR(B2321="",F2321=""),"",IFERROR(F2321*INDEX(Mitarbeiter!$F$6:$F$205,MATCH(B2321,Mitarbeiter!$A$6:$A$205,0)),0))</f>
        <v/>
      </c>
      <c r="H2321" s="8">
        <f>IF(B2321="","",IF(ISNA(MATCH(B2321,Mitarbeiter!$A$6:$A$205,0)),"Pers.-Nr. unbekannt",IF(A2321="","Datum fehlt",IF(AND(D2321&lt;&gt;Einstellungen!$C$4,D2321&lt;&gt;Einstellungen!$C$5),"Objekt fehlt",IF(YEAR(A2321)&lt;&gt;Einstellungen!$C$3,"anderes Jahr",IF(A2321&lt;INDEX(Mitarbeiter!$C$6:$C$205,MATCH(B2321,Mitarbeiter!$A$6:$A$205,0)),"vor Eintritt",IF(AND(INDEX(Mitarbeiter!$D$6:$D$205,MATCH(B2321,Mitarbeiter!$A$6:$A$205,0))&lt;&gt;"",A2321&gt;INDEX(Mitarbeiter!$D$6:$D$205,MATCH(B2321,Mitarbeiter!$A$6:$A$205,0))),"nach Austritt","ok")))))))</f>
        <v/>
      </c>
    </row>
    <row r="2322">
      <c r="A2322" s="26" t="n"/>
      <c r="B2322" s="24" t="n"/>
      <c r="C2322" s="40">
        <f>IF(B2322="","",IFERROR(INDEX(Mitarbeiter!$B$6:$B$205,MATCH(B2322,Mitarbeiter!$A$6:$A$205,0)),"?"))</f>
        <v/>
      </c>
      <c r="D2322" s="41" t="n"/>
      <c r="E2322" s="42" t="n"/>
      <c r="F2322" s="43" t="n"/>
      <c r="G2322" s="44">
        <f>IF(OR(B2322="",F2322=""),"",IFERROR(F2322*INDEX(Mitarbeiter!$F$6:$F$205,MATCH(B2322,Mitarbeiter!$A$6:$A$205,0)),0))</f>
        <v/>
      </c>
      <c r="H2322" s="8">
        <f>IF(B2322="","",IF(ISNA(MATCH(B2322,Mitarbeiter!$A$6:$A$205,0)),"Pers.-Nr. unbekannt",IF(A2322="","Datum fehlt",IF(AND(D2322&lt;&gt;Einstellungen!$C$4,D2322&lt;&gt;Einstellungen!$C$5),"Objekt fehlt",IF(YEAR(A2322)&lt;&gt;Einstellungen!$C$3,"anderes Jahr",IF(A2322&lt;INDEX(Mitarbeiter!$C$6:$C$205,MATCH(B2322,Mitarbeiter!$A$6:$A$205,0)),"vor Eintritt",IF(AND(INDEX(Mitarbeiter!$D$6:$D$205,MATCH(B2322,Mitarbeiter!$A$6:$A$205,0))&lt;&gt;"",A2322&gt;INDEX(Mitarbeiter!$D$6:$D$205,MATCH(B2322,Mitarbeiter!$A$6:$A$205,0))),"nach Austritt","ok")))))))</f>
        <v/>
      </c>
    </row>
    <row r="2323">
      <c r="A2323" s="26" t="n"/>
      <c r="B2323" s="24" t="n"/>
      <c r="C2323" s="40">
        <f>IF(B2323="","",IFERROR(INDEX(Mitarbeiter!$B$6:$B$205,MATCH(B2323,Mitarbeiter!$A$6:$A$205,0)),"?"))</f>
        <v/>
      </c>
      <c r="D2323" s="41" t="n"/>
      <c r="E2323" s="42" t="n"/>
      <c r="F2323" s="43" t="n"/>
      <c r="G2323" s="44">
        <f>IF(OR(B2323="",F2323=""),"",IFERROR(F2323*INDEX(Mitarbeiter!$F$6:$F$205,MATCH(B2323,Mitarbeiter!$A$6:$A$205,0)),0))</f>
        <v/>
      </c>
      <c r="H2323" s="8">
        <f>IF(B2323="","",IF(ISNA(MATCH(B2323,Mitarbeiter!$A$6:$A$205,0)),"Pers.-Nr. unbekannt",IF(A2323="","Datum fehlt",IF(AND(D2323&lt;&gt;Einstellungen!$C$4,D2323&lt;&gt;Einstellungen!$C$5),"Objekt fehlt",IF(YEAR(A2323)&lt;&gt;Einstellungen!$C$3,"anderes Jahr",IF(A2323&lt;INDEX(Mitarbeiter!$C$6:$C$205,MATCH(B2323,Mitarbeiter!$A$6:$A$205,0)),"vor Eintritt",IF(AND(INDEX(Mitarbeiter!$D$6:$D$205,MATCH(B2323,Mitarbeiter!$A$6:$A$205,0))&lt;&gt;"",A2323&gt;INDEX(Mitarbeiter!$D$6:$D$205,MATCH(B2323,Mitarbeiter!$A$6:$A$205,0))),"nach Austritt","ok")))))))</f>
        <v/>
      </c>
    </row>
    <row r="2324">
      <c r="A2324" s="26" t="n"/>
      <c r="B2324" s="24" t="n"/>
      <c r="C2324" s="40">
        <f>IF(B2324="","",IFERROR(INDEX(Mitarbeiter!$B$6:$B$205,MATCH(B2324,Mitarbeiter!$A$6:$A$205,0)),"?"))</f>
        <v/>
      </c>
      <c r="D2324" s="41" t="n"/>
      <c r="E2324" s="42" t="n"/>
      <c r="F2324" s="43" t="n"/>
      <c r="G2324" s="44">
        <f>IF(OR(B2324="",F2324=""),"",IFERROR(F2324*INDEX(Mitarbeiter!$F$6:$F$205,MATCH(B2324,Mitarbeiter!$A$6:$A$205,0)),0))</f>
        <v/>
      </c>
      <c r="H2324" s="8">
        <f>IF(B2324="","",IF(ISNA(MATCH(B2324,Mitarbeiter!$A$6:$A$205,0)),"Pers.-Nr. unbekannt",IF(A2324="","Datum fehlt",IF(AND(D2324&lt;&gt;Einstellungen!$C$4,D2324&lt;&gt;Einstellungen!$C$5),"Objekt fehlt",IF(YEAR(A2324)&lt;&gt;Einstellungen!$C$3,"anderes Jahr",IF(A2324&lt;INDEX(Mitarbeiter!$C$6:$C$205,MATCH(B2324,Mitarbeiter!$A$6:$A$205,0)),"vor Eintritt",IF(AND(INDEX(Mitarbeiter!$D$6:$D$205,MATCH(B2324,Mitarbeiter!$A$6:$A$205,0))&lt;&gt;"",A2324&gt;INDEX(Mitarbeiter!$D$6:$D$205,MATCH(B2324,Mitarbeiter!$A$6:$A$205,0))),"nach Austritt","ok")))))))</f>
        <v/>
      </c>
    </row>
    <row r="2325">
      <c r="A2325" s="26" t="n"/>
      <c r="B2325" s="24" t="n"/>
      <c r="C2325" s="40">
        <f>IF(B2325="","",IFERROR(INDEX(Mitarbeiter!$B$6:$B$205,MATCH(B2325,Mitarbeiter!$A$6:$A$205,0)),"?"))</f>
        <v/>
      </c>
      <c r="D2325" s="41" t="n"/>
      <c r="E2325" s="42" t="n"/>
      <c r="F2325" s="43" t="n"/>
      <c r="G2325" s="44">
        <f>IF(OR(B2325="",F2325=""),"",IFERROR(F2325*INDEX(Mitarbeiter!$F$6:$F$205,MATCH(B2325,Mitarbeiter!$A$6:$A$205,0)),0))</f>
        <v/>
      </c>
      <c r="H2325" s="8">
        <f>IF(B2325="","",IF(ISNA(MATCH(B2325,Mitarbeiter!$A$6:$A$205,0)),"Pers.-Nr. unbekannt",IF(A2325="","Datum fehlt",IF(AND(D2325&lt;&gt;Einstellungen!$C$4,D2325&lt;&gt;Einstellungen!$C$5),"Objekt fehlt",IF(YEAR(A2325)&lt;&gt;Einstellungen!$C$3,"anderes Jahr",IF(A2325&lt;INDEX(Mitarbeiter!$C$6:$C$205,MATCH(B2325,Mitarbeiter!$A$6:$A$205,0)),"vor Eintritt",IF(AND(INDEX(Mitarbeiter!$D$6:$D$205,MATCH(B2325,Mitarbeiter!$A$6:$A$205,0))&lt;&gt;"",A2325&gt;INDEX(Mitarbeiter!$D$6:$D$205,MATCH(B2325,Mitarbeiter!$A$6:$A$205,0))),"nach Austritt","ok")))))))</f>
        <v/>
      </c>
    </row>
    <row r="2326">
      <c r="A2326" s="26" t="n"/>
      <c r="B2326" s="24" t="n"/>
      <c r="C2326" s="40">
        <f>IF(B2326="","",IFERROR(INDEX(Mitarbeiter!$B$6:$B$205,MATCH(B2326,Mitarbeiter!$A$6:$A$205,0)),"?"))</f>
        <v/>
      </c>
      <c r="D2326" s="41" t="n"/>
      <c r="E2326" s="42" t="n"/>
      <c r="F2326" s="43" t="n"/>
      <c r="G2326" s="44">
        <f>IF(OR(B2326="",F2326=""),"",IFERROR(F2326*INDEX(Mitarbeiter!$F$6:$F$205,MATCH(B2326,Mitarbeiter!$A$6:$A$205,0)),0))</f>
        <v/>
      </c>
      <c r="H2326" s="8">
        <f>IF(B2326="","",IF(ISNA(MATCH(B2326,Mitarbeiter!$A$6:$A$205,0)),"Pers.-Nr. unbekannt",IF(A2326="","Datum fehlt",IF(AND(D2326&lt;&gt;Einstellungen!$C$4,D2326&lt;&gt;Einstellungen!$C$5),"Objekt fehlt",IF(YEAR(A2326)&lt;&gt;Einstellungen!$C$3,"anderes Jahr",IF(A2326&lt;INDEX(Mitarbeiter!$C$6:$C$205,MATCH(B2326,Mitarbeiter!$A$6:$A$205,0)),"vor Eintritt",IF(AND(INDEX(Mitarbeiter!$D$6:$D$205,MATCH(B2326,Mitarbeiter!$A$6:$A$205,0))&lt;&gt;"",A2326&gt;INDEX(Mitarbeiter!$D$6:$D$205,MATCH(B2326,Mitarbeiter!$A$6:$A$205,0))),"nach Austritt","ok")))))))</f>
        <v/>
      </c>
    </row>
    <row r="2327">
      <c r="A2327" s="26" t="n"/>
      <c r="B2327" s="24" t="n"/>
      <c r="C2327" s="40">
        <f>IF(B2327="","",IFERROR(INDEX(Mitarbeiter!$B$6:$B$205,MATCH(B2327,Mitarbeiter!$A$6:$A$205,0)),"?"))</f>
        <v/>
      </c>
      <c r="D2327" s="41" t="n"/>
      <c r="E2327" s="42" t="n"/>
      <c r="F2327" s="43" t="n"/>
      <c r="G2327" s="44">
        <f>IF(OR(B2327="",F2327=""),"",IFERROR(F2327*INDEX(Mitarbeiter!$F$6:$F$205,MATCH(B2327,Mitarbeiter!$A$6:$A$205,0)),0))</f>
        <v/>
      </c>
      <c r="H2327" s="8">
        <f>IF(B2327="","",IF(ISNA(MATCH(B2327,Mitarbeiter!$A$6:$A$205,0)),"Pers.-Nr. unbekannt",IF(A2327="","Datum fehlt",IF(AND(D2327&lt;&gt;Einstellungen!$C$4,D2327&lt;&gt;Einstellungen!$C$5),"Objekt fehlt",IF(YEAR(A2327)&lt;&gt;Einstellungen!$C$3,"anderes Jahr",IF(A2327&lt;INDEX(Mitarbeiter!$C$6:$C$205,MATCH(B2327,Mitarbeiter!$A$6:$A$205,0)),"vor Eintritt",IF(AND(INDEX(Mitarbeiter!$D$6:$D$205,MATCH(B2327,Mitarbeiter!$A$6:$A$205,0))&lt;&gt;"",A2327&gt;INDEX(Mitarbeiter!$D$6:$D$205,MATCH(B2327,Mitarbeiter!$A$6:$A$205,0))),"nach Austritt","ok")))))))</f>
        <v/>
      </c>
    </row>
    <row r="2328">
      <c r="A2328" s="26" t="n"/>
      <c r="B2328" s="24" t="n"/>
      <c r="C2328" s="40">
        <f>IF(B2328="","",IFERROR(INDEX(Mitarbeiter!$B$6:$B$205,MATCH(B2328,Mitarbeiter!$A$6:$A$205,0)),"?"))</f>
        <v/>
      </c>
      <c r="D2328" s="41" t="n"/>
      <c r="E2328" s="42" t="n"/>
      <c r="F2328" s="43" t="n"/>
      <c r="G2328" s="44">
        <f>IF(OR(B2328="",F2328=""),"",IFERROR(F2328*INDEX(Mitarbeiter!$F$6:$F$205,MATCH(B2328,Mitarbeiter!$A$6:$A$205,0)),0))</f>
        <v/>
      </c>
      <c r="H2328" s="8">
        <f>IF(B2328="","",IF(ISNA(MATCH(B2328,Mitarbeiter!$A$6:$A$205,0)),"Pers.-Nr. unbekannt",IF(A2328="","Datum fehlt",IF(AND(D2328&lt;&gt;Einstellungen!$C$4,D2328&lt;&gt;Einstellungen!$C$5),"Objekt fehlt",IF(YEAR(A2328)&lt;&gt;Einstellungen!$C$3,"anderes Jahr",IF(A2328&lt;INDEX(Mitarbeiter!$C$6:$C$205,MATCH(B2328,Mitarbeiter!$A$6:$A$205,0)),"vor Eintritt",IF(AND(INDEX(Mitarbeiter!$D$6:$D$205,MATCH(B2328,Mitarbeiter!$A$6:$A$205,0))&lt;&gt;"",A2328&gt;INDEX(Mitarbeiter!$D$6:$D$205,MATCH(B2328,Mitarbeiter!$A$6:$A$205,0))),"nach Austritt","ok")))))))</f>
        <v/>
      </c>
    </row>
    <row r="2329">
      <c r="A2329" s="26" t="n"/>
      <c r="B2329" s="24" t="n"/>
      <c r="C2329" s="40">
        <f>IF(B2329="","",IFERROR(INDEX(Mitarbeiter!$B$6:$B$205,MATCH(B2329,Mitarbeiter!$A$6:$A$205,0)),"?"))</f>
        <v/>
      </c>
      <c r="D2329" s="41" t="n"/>
      <c r="E2329" s="42" t="n"/>
      <c r="F2329" s="43" t="n"/>
      <c r="G2329" s="44">
        <f>IF(OR(B2329="",F2329=""),"",IFERROR(F2329*INDEX(Mitarbeiter!$F$6:$F$205,MATCH(B2329,Mitarbeiter!$A$6:$A$205,0)),0))</f>
        <v/>
      </c>
      <c r="H2329" s="8">
        <f>IF(B2329="","",IF(ISNA(MATCH(B2329,Mitarbeiter!$A$6:$A$205,0)),"Pers.-Nr. unbekannt",IF(A2329="","Datum fehlt",IF(AND(D2329&lt;&gt;Einstellungen!$C$4,D2329&lt;&gt;Einstellungen!$C$5),"Objekt fehlt",IF(YEAR(A2329)&lt;&gt;Einstellungen!$C$3,"anderes Jahr",IF(A2329&lt;INDEX(Mitarbeiter!$C$6:$C$205,MATCH(B2329,Mitarbeiter!$A$6:$A$205,0)),"vor Eintritt",IF(AND(INDEX(Mitarbeiter!$D$6:$D$205,MATCH(B2329,Mitarbeiter!$A$6:$A$205,0))&lt;&gt;"",A2329&gt;INDEX(Mitarbeiter!$D$6:$D$205,MATCH(B2329,Mitarbeiter!$A$6:$A$205,0))),"nach Austritt","ok")))))))</f>
        <v/>
      </c>
    </row>
    <row r="2330">
      <c r="A2330" s="26" t="n"/>
      <c r="B2330" s="24" t="n"/>
      <c r="C2330" s="40">
        <f>IF(B2330="","",IFERROR(INDEX(Mitarbeiter!$B$6:$B$205,MATCH(B2330,Mitarbeiter!$A$6:$A$205,0)),"?"))</f>
        <v/>
      </c>
      <c r="D2330" s="41" t="n"/>
      <c r="E2330" s="42" t="n"/>
      <c r="F2330" s="43" t="n"/>
      <c r="G2330" s="44">
        <f>IF(OR(B2330="",F2330=""),"",IFERROR(F2330*INDEX(Mitarbeiter!$F$6:$F$205,MATCH(B2330,Mitarbeiter!$A$6:$A$205,0)),0))</f>
        <v/>
      </c>
      <c r="H2330" s="8">
        <f>IF(B2330="","",IF(ISNA(MATCH(B2330,Mitarbeiter!$A$6:$A$205,0)),"Pers.-Nr. unbekannt",IF(A2330="","Datum fehlt",IF(AND(D2330&lt;&gt;Einstellungen!$C$4,D2330&lt;&gt;Einstellungen!$C$5),"Objekt fehlt",IF(YEAR(A2330)&lt;&gt;Einstellungen!$C$3,"anderes Jahr",IF(A2330&lt;INDEX(Mitarbeiter!$C$6:$C$205,MATCH(B2330,Mitarbeiter!$A$6:$A$205,0)),"vor Eintritt",IF(AND(INDEX(Mitarbeiter!$D$6:$D$205,MATCH(B2330,Mitarbeiter!$A$6:$A$205,0))&lt;&gt;"",A2330&gt;INDEX(Mitarbeiter!$D$6:$D$205,MATCH(B2330,Mitarbeiter!$A$6:$A$205,0))),"nach Austritt","ok")))))))</f>
        <v/>
      </c>
    </row>
    <row r="2331">
      <c r="A2331" s="26" t="n"/>
      <c r="B2331" s="24" t="n"/>
      <c r="C2331" s="40">
        <f>IF(B2331="","",IFERROR(INDEX(Mitarbeiter!$B$6:$B$205,MATCH(B2331,Mitarbeiter!$A$6:$A$205,0)),"?"))</f>
        <v/>
      </c>
      <c r="D2331" s="41" t="n"/>
      <c r="E2331" s="42" t="n"/>
      <c r="F2331" s="43" t="n"/>
      <c r="G2331" s="44">
        <f>IF(OR(B2331="",F2331=""),"",IFERROR(F2331*INDEX(Mitarbeiter!$F$6:$F$205,MATCH(B2331,Mitarbeiter!$A$6:$A$205,0)),0))</f>
        <v/>
      </c>
      <c r="H2331" s="8">
        <f>IF(B2331="","",IF(ISNA(MATCH(B2331,Mitarbeiter!$A$6:$A$205,0)),"Pers.-Nr. unbekannt",IF(A2331="","Datum fehlt",IF(AND(D2331&lt;&gt;Einstellungen!$C$4,D2331&lt;&gt;Einstellungen!$C$5),"Objekt fehlt",IF(YEAR(A2331)&lt;&gt;Einstellungen!$C$3,"anderes Jahr",IF(A2331&lt;INDEX(Mitarbeiter!$C$6:$C$205,MATCH(B2331,Mitarbeiter!$A$6:$A$205,0)),"vor Eintritt",IF(AND(INDEX(Mitarbeiter!$D$6:$D$205,MATCH(B2331,Mitarbeiter!$A$6:$A$205,0))&lt;&gt;"",A2331&gt;INDEX(Mitarbeiter!$D$6:$D$205,MATCH(B2331,Mitarbeiter!$A$6:$A$205,0))),"nach Austritt","ok")))))))</f>
        <v/>
      </c>
    </row>
    <row r="2332">
      <c r="A2332" s="26" t="n"/>
      <c r="B2332" s="24" t="n"/>
      <c r="C2332" s="40">
        <f>IF(B2332="","",IFERROR(INDEX(Mitarbeiter!$B$6:$B$205,MATCH(B2332,Mitarbeiter!$A$6:$A$205,0)),"?"))</f>
        <v/>
      </c>
      <c r="D2332" s="41" t="n"/>
      <c r="E2332" s="42" t="n"/>
      <c r="F2332" s="43" t="n"/>
      <c r="G2332" s="44">
        <f>IF(OR(B2332="",F2332=""),"",IFERROR(F2332*INDEX(Mitarbeiter!$F$6:$F$205,MATCH(B2332,Mitarbeiter!$A$6:$A$205,0)),0))</f>
        <v/>
      </c>
      <c r="H2332" s="8">
        <f>IF(B2332="","",IF(ISNA(MATCH(B2332,Mitarbeiter!$A$6:$A$205,0)),"Pers.-Nr. unbekannt",IF(A2332="","Datum fehlt",IF(AND(D2332&lt;&gt;Einstellungen!$C$4,D2332&lt;&gt;Einstellungen!$C$5),"Objekt fehlt",IF(YEAR(A2332)&lt;&gt;Einstellungen!$C$3,"anderes Jahr",IF(A2332&lt;INDEX(Mitarbeiter!$C$6:$C$205,MATCH(B2332,Mitarbeiter!$A$6:$A$205,0)),"vor Eintritt",IF(AND(INDEX(Mitarbeiter!$D$6:$D$205,MATCH(B2332,Mitarbeiter!$A$6:$A$205,0))&lt;&gt;"",A2332&gt;INDEX(Mitarbeiter!$D$6:$D$205,MATCH(B2332,Mitarbeiter!$A$6:$A$205,0))),"nach Austritt","ok")))))))</f>
        <v/>
      </c>
    </row>
    <row r="2333">
      <c r="A2333" s="26" t="n"/>
      <c r="B2333" s="24" t="n"/>
      <c r="C2333" s="40">
        <f>IF(B2333="","",IFERROR(INDEX(Mitarbeiter!$B$6:$B$205,MATCH(B2333,Mitarbeiter!$A$6:$A$205,0)),"?"))</f>
        <v/>
      </c>
      <c r="D2333" s="41" t="n"/>
      <c r="E2333" s="42" t="n"/>
      <c r="F2333" s="43" t="n"/>
      <c r="G2333" s="44">
        <f>IF(OR(B2333="",F2333=""),"",IFERROR(F2333*INDEX(Mitarbeiter!$F$6:$F$205,MATCH(B2333,Mitarbeiter!$A$6:$A$205,0)),0))</f>
        <v/>
      </c>
      <c r="H2333" s="8">
        <f>IF(B2333="","",IF(ISNA(MATCH(B2333,Mitarbeiter!$A$6:$A$205,0)),"Pers.-Nr. unbekannt",IF(A2333="","Datum fehlt",IF(AND(D2333&lt;&gt;Einstellungen!$C$4,D2333&lt;&gt;Einstellungen!$C$5),"Objekt fehlt",IF(YEAR(A2333)&lt;&gt;Einstellungen!$C$3,"anderes Jahr",IF(A2333&lt;INDEX(Mitarbeiter!$C$6:$C$205,MATCH(B2333,Mitarbeiter!$A$6:$A$205,0)),"vor Eintritt",IF(AND(INDEX(Mitarbeiter!$D$6:$D$205,MATCH(B2333,Mitarbeiter!$A$6:$A$205,0))&lt;&gt;"",A2333&gt;INDEX(Mitarbeiter!$D$6:$D$205,MATCH(B2333,Mitarbeiter!$A$6:$A$205,0))),"nach Austritt","ok")))))))</f>
        <v/>
      </c>
    </row>
    <row r="2334">
      <c r="A2334" s="26" t="n"/>
      <c r="B2334" s="24" t="n"/>
      <c r="C2334" s="40">
        <f>IF(B2334="","",IFERROR(INDEX(Mitarbeiter!$B$6:$B$205,MATCH(B2334,Mitarbeiter!$A$6:$A$205,0)),"?"))</f>
        <v/>
      </c>
      <c r="D2334" s="41" t="n"/>
      <c r="E2334" s="42" t="n"/>
      <c r="F2334" s="43" t="n"/>
      <c r="G2334" s="44">
        <f>IF(OR(B2334="",F2334=""),"",IFERROR(F2334*INDEX(Mitarbeiter!$F$6:$F$205,MATCH(B2334,Mitarbeiter!$A$6:$A$205,0)),0))</f>
        <v/>
      </c>
      <c r="H2334" s="8">
        <f>IF(B2334="","",IF(ISNA(MATCH(B2334,Mitarbeiter!$A$6:$A$205,0)),"Pers.-Nr. unbekannt",IF(A2334="","Datum fehlt",IF(AND(D2334&lt;&gt;Einstellungen!$C$4,D2334&lt;&gt;Einstellungen!$C$5),"Objekt fehlt",IF(YEAR(A2334)&lt;&gt;Einstellungen!$C$3,"anderes Jahr",IF(A2334&lt;INDEX(Mitarbeiter!$C$6:$C$205,MATCH(B2334,Mitarbeiter!$A$6:$A$205,0)),"vor Eintritt",IF(AND(INDEX(Mitarbeiter!$D$6:$D$205,MATCH(B2334,Mitarbeiter!$A$6:$A$205,0))&lt;&gt;"",A2334&gt;INDEX(Mitarbeiter!$D$6:$D$205,MATCH(B2334,Mitarbeiter!$A$6:$A$205,0))),"nach Austritt","ok")))))))</f>
        <v/>
      </c>
    </row>
    <row r="2335">
      <c r="A2335" s="26" t="n"/>
      <c r="B2335" s="24" t="n"/>
      <c r="C2335" s="40">
        <f>IF(B2335="","",IFERROR(INDEX(Mitarbeiter!$B$6:$B$205,MATCH(B2335,Mitarbeiter!$A$6:$A$205,0)),"?"))</f>
        <v/>
      </c>
      <c r="D2335" s="41" t="n"/>
      <c r="E2335" s="42" t="n"/>
      <c r="F2335" s="43" t="n"/>
      <c r="G2335" s="44">
        <f>IF(OR(B2335="",F2335=""),"",IFERROR(F2335*INDEX(Mitarbeiter!$F$6:$F$205,MATCH(B2335,Mitarbeiter!$A$6:$A$205,0)),0))</f>
        <v/>
      </c>
      <c r="H2335" s="8">
        <f>IF(B2335="","",IF(ISNA(MATCH(B2335,Mitarbeiter!$A$6:$A$205,0)),"Pers.-Nr. unbekannt",IF(A2335="","Datum fehlt",IF(AND(D2335&lt;&gt;Einstellungen!$C$4,D2335&lt;&gt;Einstellungen!$C$5),"Objekt fehlt",IF(YEAR(A2335)&lt;&gt;Einstellungen!$C$3,"anderes Jahr",IF(A2335&lt;INDEX(Mitarbeiter!$C$6:$C$205,MATCH(B2335,Mitarbeiter!$A$6:$A$205,0)),"vor Eintritt",IF(AND(INDEX(Mitarbeiter!$D$6:$D$205,MATCH(B2335,Mitarbeiter!$A$6:$A$205,0))&lt;&gt;"",A2335&gt;INDEX(Mitarbeiter!$D$6:$D$205,MATCH(B2335,Mitarbeiter!$A$6:$A$205,0))),"nach Austritt","ok")))))))</f>
        <v/>
      </c>
    </row>
    <row r="2336">
      <c r="A2336" s="26" t="n"/>
      <c r="B2336" s="24" t="n"/>
      <c r="C2336" s="40">
        <f>IF(B2336="","",IFERROR(INDEX(Mitarbeiter!$B$6:$B$205,MATCH(B2336,Mitarbeiter!$A$6:$A$205,0)),"?"))</f>
        <v/>
      </c>
      <c r="D2336" s="41" t="n"/>
      <c r="E2336" s="42" t="n"/>
      <c r="F2336" s="43" t="n"/>
      <c r="G2336" s="44">
        <f>IF(OR(B2336="",F2336=""),"",IFERROR(F2336*INDEX(Mitarbeiter!$F$6:$F$205,MATCH(B2336,Mitarbeiter!$A$6:$A$205,0)),0))</f>
        <v/>
      </c>
      <c r="H2336" s="8">
        <f>IF(B2336="","",IF(ISNA(MATCH(B2336,Mitarbeiter!$A$6:$A$205,0)),"Pers.-Nr. unbekannt",IF(A2336="","Datum fehlt",IF(AND(D2336&lt;&gt;Einstellungen!$C$4,D2336&lt;&gt;Einstellungen!$C$5),"Objekt fehlt",IF(YEAR(A2336)&lt;&gt;Einstellungen!$C$3,"anderes Jahr",IF(A2336&lt;INDEX(Mitarbeiter!$C$6:$C$205,MATCH(B2336,Mitarbeiter!$A$6:$A$205,0)),"vor Eintritt",IF(AND(INDEX(Mitarbeiter!$D$6:$D$205,MATCH(B2336,Mitarbeiter!$A$6:$A$205,0))&lt;&gt;"",A2336&gt;INDEX(Mitarbeiter!$D$6:$D$205,MATCH(B2336,Mitarbeiter!$A$6:$A$205,0))),"nach Austritt","ok")))))))</f>
        <v/>
      </c>
    </row>
    <row r="2337">
      <c r="A2337" s="26" t="n"/>
      <c r="B2337" s="24" t="n"/>
      <c r="C2337" s="40">
        <f>IF(B2337="","",IFERROR(INDEX(Mitarbeiter!$B$6:$B$205,MATCH(B2337,Mitarbeiter!$A$6:$A$205,0)),"?"))</f>
        <v/>
      </c>
      <c r="D2337" s="41" t="n"/>
      <c r="E2337" s="42" t="n"/>
      <c r="F2337" s="43" t="n"/>
      <c r="G2337" s="44">
        <f>IF(OR(B2337="",F2337=""),"",IFERROR(F2337*INDEX(Mitarbeiter!$F$6:$F$205,MATCH(B2337,Mitarbeiter!$A$6:$A$205,0)),0))</f>
        <v/>
      </c>
      <c r="H2337" s="8">
        <f>IF(B2337="","",IF(ISNA(MATCH(B2337,Mitarbeiter!$A$6:$A$205,0)),"Pers.-Nr. unbekannt",IF(A2337="","Datum fehlt",IF(AND(D2337&lt;&gt;Einstellungen!$C$4,D2337&lt;&gt;Einstellungen!$C$5),"Objekt fehlt",IF(YEAR(A2337)&lt;&gt;Einstellungen!$C$3,"anderes Jahr",IF(A2337&lt;INDEX(Mitarbeiter!$C$6:$C$205,MATCH(B2337,Mitarbeiter!$A$6:$A$205,0)),"vor Eintritt",IF(AND(INDEX(Mitarbeiter!$D$6:$D$205,MATCH(B2337,Mitarbeiter!$A$6:$A$205,0))&lt;&gt;"",A2337&gt;INDEX(Mitarbeiter!$D$6:$D$205,MATCH(B2337,Mitarbeiter!$A$6:$A$205,0))),"nach Austritt","ok")))))))</f>
        <v/>
      </c>
    </row>
    <row r="2338">
      <c r="A2338" s="26" t="n"/>
      <c r="B2338" s="24" t="n"/>
      <c r="C2338" s="40">
        <f>IF(B2338="","",IFERROR(INDEX(Mitarbeiter!$B$6:$B$205,MATCH(B2338,Mitarbeiter!$A$6:$A$205,0)),"?"))</f>
        <v/>
      </c>
      <c r="D2338" s="41" t="n"/>
      <c r="E2338" s="42" t="n"/>
      <c r="F2338" s="43" t="n"/>
      <c r="G2338" s="44">
        <f>IF(OR(B2338="",F2338=""),"",IFERROR(F2338*INDEX(Mitarbeiter!$F$6:$F$205,MATCH(B2338,Mitarbeiter!$A$6:$A$205,0)),0))</f>
        <v/>
      </c>
      <c r="H2338" s="8">
        <f>IF(B2338="","",IF(ISNA(MATCH(B2338,Mitarbeiter!$A$6:$A$205,0)),"Pers.-Nr. unbekannt",IF(A2338="","Datum fehlt",IF(AND(D2338&lt;&gt;Einstellungen!$C$4,D2338&lt;&gt;Einstellungen!$C$5),"Objekt fehlt",IF(YEAR(A2338)&lt;&gt;Einstellungen!$C$3,"anderes Jahr",IF(A2338&lt;INDEX(Mitarbeiter!$C$6:$C$205,MATCH(B2338,Mitarbeiter!$A$6:$A$205,0)),"vor Eintritt",IF(AND(INDEX(Mitarbeiter!$D$6:$D$205,MATCH(B2338,Mitarbeiter!$A$6:$A$205,0))&lt;&gt;"",A2338&gt;INDEX(Mitarbeiter!$D$6:$D$205,MATCH(B2338,Mitarbeiter!$A$6:$A$205,0))),"nach Austritt","ok")))))))</f>
        <v/>
      </c>
    </row>
    <row r="2339">
      <c r="A2339" s="26" t="n"/>
      <c r="B2339" s="24" t="n"/>
      <c r="C2339" s="40">
        <f>IF(B2339="","",IFERROR(INDEX(Mitarbeiter!$B$6:$B$205,MATCH(B2339,Mitarbeiter!$A$6:$A$205,0)),"?"))</f>
        <v/>
      </c>
      <c r="D2339" s="41" t="n"/>
      <c r="E2339" s="42" t="n"/>
      <c r="F2339" s="43" t="n"/>
      <c r="G2339" s="44">
        <f>IF(OR(B2339="",F2339=""),"",IFERROR(F2339*INDEX(Mitarbeiter!$F$6:$F$205,MATCH(B2339,Mitarbeiter!$A$6:$A$205,0)),0))</f>
        <v/>
      </c>
      <c r="H2339" s="8">
        <f>IF(B2339="","",IF(ISNA(MATCH(B2339,Mitarbeiter!$A$6:$A$205,0)),"Pers.-Nr. unbekannt",IF(A2339="","Datum fehlt",IF(AND(D2339&lt;&gt;Einstellungen!$C$4,D2339&lt;&gt;Einstellungen!$C$5),"Objekt fehlt",IF(YEAR(A2339)&lt;&gt;Einstellungen!$C$3,"anderes Jahr",IF(A2339&lt;INDEX(Mitarbeiter!$C$6:$C$205,MATCH(B2339,Mitarbeiter!$A$6:$A$205,0)),"vor Eintritt",IF(AND(INDEX(Mitarbeiter!$D$6:$D$205,MATCH(B2339,Mitarbeiter!$A$6:$A$205,0))&lt;&gt;"",A2339&gt;INDEX(Mitarbeiter!$D$6:$D$205,MATCH(B2339,Mitarbeiter!$A$6:$A$205,0))),"nach Austritt","ok")))))))</f>
        <v/>
      </c>
    </row>
    <row r="2340">
      <c r="A2340" s="26" t="n"/>
      <c r="B2340" s="24" t="n"/>
      <c r="C2340" s="40">
        <f>IF(B2340="","",IFERROR(INDEX(Mitarbeiter!$B$6:$B$205,MATCH(B2340,Mitarbeiter!$A$6:$A$205,0)),"?"))</f>
        <v/>
      </c>
      <c r="D2340" s="41" t="n"/>
      <c r="E2340" s="42" t="n"/>
      <c r="F2340" s="43" t="n"/>
      <c r="G2340" s="44">
        <f>IF(OR(B2340="",F2340=""),"",IFERROR(F2340*INDEX(Mitarbeiter!$F$6:$F$205,MATCH(B2340,Mitarbeiter!$A$6:$A$205,0)),0))</f>
        <v/>
      </c>
      <c r="H2340" s="8">
        <f>IF(B2340="","",IF(ISNA(MATCH(B2340,Mitarbeiter!$A$6:$A$205,0)),"Pers.-Nr. unbekannt",IF(A2340="","Datum fehlt",IF(AND(D2340&lt;&gt;Einstellungen!$C$4,D2340&lt;&gt;Einstellungen!$C$5),"Objekt fehlt",IF(YEAR(A2340)&lt;&gt;Einstellungen!$C$3,"anderes Jahr",IF(A2340&lt;INDEX(Mitarbeiter!$C$6:$C$205,MATCH(B2340,Mitarbeiter!$A$6:$A$205,0)),"vor Eintritt",IF(AND(INDEX(Mitarbeiter!$D$6:$D$205,MATCH(B2340,Mitarbeiter!$A$6:$A$205,0))&lt;&gt;"",A2340&gt;INDEX(Mitarbeiter!$D$6:$D$205,MATCH(B2340,Mitarbeiter!$A$6:$A$205,0))),"nach Austritt","ok")))))))</f>
        <v/>
      </c>
    </row>
    <row r="2341">
      <c r="A2341" s="26" t="n"/>
      <c r="B2341" s="24" t="n"/>
      <c r="C2341" s="40">
        <f>IF(B2341="","",IFERROR(INDEX(Mitarbeiter!$B$6:$B$205,MATCH(B2341,Mitarbeiter!$A$6:$A$205,0)),"?"))</f>
        <v/>
      </c>
      <c r="D2341" s="41" t="n"/>
      <c r="E2341" s="42" t="n"/>
      <c r="F2341" s="43" t="n"/>
      <c r="G2341" s="44">
        <f>IF(OR(B2341="",F2341=""),"",IFERROR(F2341*INDEX(Mitarbeiter!$F$6:$F$205,MATCH(B2341,Mitarbeiter!$A$6:$A$205,0)),0))</f>
        <v/>
      </c>
      <c r="H2341" s="8">
        <f>IF(B2341="","",IF(ISNA(MATCH(B2341,Mitarbeiter!$A$6:$A$205,0)),"Pers.-Nr. unbekannt",IF(A2341="","Datum fehlt",IF(AND(D2341&lt;&gt;Einstellungen!$C$4,D2341&lt;&gt;Einstellungen!$C$5),"Objekt fehlt",IF(YEAR(A2341)&lt;&gt;Einstellungen!$C$3,"anderes Jahr",IF(A2341&lt;INDEX(Mitarbeiter!$C$6:$C$205,MATCH(B2341,Mitarbeiter!$A$6:$A$205,0)),"vor Eintritt",IF(AND(INDEX(Mitarbeiter!$D$6:$D$205,MATCH(B2341,Mitarbeiter!$A$6:$A$205,0))&lt;&gt;"",A2341&gt;INDEX(Mitarbeiter!$D$6:$D$205,MATCH(B2341,Mitarbeiter!$A$6:$A$205,0))),"nach Austritt","ok")))))))</f>
        <v/>
      </c>
    </row>
    <row r="2342">
      <c r="A2342" s="26" t="n"/>
      <c r="B2342" s="24" t="n"/>
      <c r="C2342" s="40">
        <f>IF(B2342="","",IFERROR(INDEX(Mitarbeiter!$B$6:$B$205,MATCH(B2342,Mitarbeiter!$A$6:$A$205,0)),"?"))</f>
        <v/>
      </c>
      <c r="D2342" s="41" t="n"/>
      <c r="E2342" s="42" t="n"/>
      <c r="F2342" s="43" t="n"/>
      <c r="G2342" s="44">
        <f>IF(OR(B2342="",F2342=""),"",IFERROR(F2342*INDEX(Mitarbeiter!$F$6:$F$205,MATCH(B2342,Mitarbeiter!$A$6:$A$205,0)),0))</f>
        <v/>
      </c>
      <c r="H2342" s="8">
        <f>IF(B2342="","",IF(ISNA(MATCH(B2342,Mitarbeiter!$A$6:$A$205,0)),"Pers.-Nr. unbekannt",IF(A2342="","Datum fehlt",IF(AND(D2342&lt;&gt;Einstellungen!$C$4,D2342&lt;&gt;Einstellungen!$C$5),"Objekt fehlt",IF(YEAR(A2342)&lt;&gt;Einstellungen!$C$3,"anderes Jahr",IF(A2342&lt;INDEX(Mitarbeiter!$C$6:$C$205,MATCH(B2342,Mitarbeiter!$A$6:$A$205,0)),"vor Eintritt",IF(AND(INDEX(Mitarbeiter!$D$6:$D$205,MATCH(B2342,Mitarbeiter!$A$6:$A$205,0))&lt;&gt;"",A2342&gt;INDEX(Mitarbeiter!$D$6:$D$205,MATCH(B2342,Mitarbeiter!$A$6:$A$205,0))),"nach Austritt","ok")))))))</f>
        <v/>
      </c>
    </row>
    <row r="2343">
      <c r="A2343" s="26" t="n"/>
      <c r="B2343" s="24" t="n"/>
      <c r="C2343" s="40">
        <f>IF(B2343="","",IFERROR(INDEX(Mitarbeiter!$B$6:$B$205,MATCH(B2343,Mitarbeiter!$A$6:$A$205,0)),"?"))</f>
        <v/>
      </c>
      <c r="D2343" s="41" t="n"/>
      <c r="E2343" s="42" t="n"/>
      <c r="F2343" s="43" t="n"/>
      <c r="G2343" s="44">
        <f>IF(OR(B2343="",F2343=""),"",IFERROR(F2343*INDEX(Mitarbeiter!$F$6:$F$205,MATCH(B2343,Mitarbeiter!$A$6:$A$205,0)),0))</f>
        <v/>
      </c>
      <c r="H2343" s="8">
        <f>IF(B2343="","",IF(ISNA(MATCH(B2343,Mitarbeiter!$A$6:$A$205,0)),"Pers.-Nr. unbekannt",IF(A2343="","Datum fehlt",IF(AND(D2343&lt;&gt;Einstellungen!$C$4,D2343&lt;&gt;Einstellungen!$C$5),"Objekt fehlt",IF(YEAR(A2343)&lt;&gt;Einstellungen!$C$3,"anderes Jahr",IF(A2343&lt;INDEX(Mitarbeiter!$C$6:$C$205,MATCH(B2343,Mitarbeiter!$A$6:$A$205,0)),"vor Eintritt",IF(AND(INDEX(Mitarbeiter!$D$6:$D$205,MATCH(B2343,Mitarbeiter!$A$6:$A$205,0))&lt;&gt;"",A2343&gt;INDEX(Mitarbeiter!$D$6:$D$205,MATCH(B2343,Mitarbeiter!$A$6:$A$205,0))),"nach Austritt","ok")))))))</f>
        <v/>
      </c>
    </row>
    <row r="2344">
      <c r="A2344" s="26" t="n"/>
      <c r="B2344" s="24" t="n"/>
      <c r="C2344" s="40">
        <f>IF(B2344="","",IFERROR(INDEX(Mitarbeiter!$B$6:$B$205,MATCH(B2344,Mitarbeiter!$A$6:$A$205,0)),"?"))</f>
        <v/>
      </c>
      <c r="D2344" s="41" t="n"/>
      <c r="E2344" s="42" t="n"/>
      <c r="F2344" s="43" t="n"/>
      <c r="G2344" s="44">
        <f>IF(OR(B2344="",F2344=""),"",IFERROR(F2344*INDEX(Mitarbeiter!$F$6:$F$205,MATCH(B2344,Mitarbeiter!$A$6:$A$205,0)),0))</f>
        <v/>
      </c>
      <c r="H2344" s="8">
        <f>IF(B2344="","",IF(ISNA(MATCH(B2344,Mitarbeiter!$A$6:$A$205,0)),"Pers.-Nr. unbekannt",IF(A2344="","Datum fehlt",IF(AND(D2344&lt;&gt;Einstellungen!$C$4,D2344&lt;&gt;Einstellungen!$C$5),"Objekt fehlt",IF(YEAR(A2344)&lt;&gt;Einstellungen!$C$3,"anderes Jahr",IF(A2344&lt;INDEX(Mitarbeiter!$C$6:$C$205,MATCH(B2344,Mitarbeiter!$A$6:$A$205,0)),"vor Eintritt",IF(AND(INDEX(Mitarbeiter!$D$6:$D$205,MATCH(B2344,Mitarbeiter!$A$6:$A$205,0))&lt;&gt;"",A2344&gt;INDEX(Mitarbeiter!$D$6:$D$205,MATCH(B2344,Mitarbeiter!$A$6:$A$205,0))),"nach Austritt","ok")))))))</f>
        <v/>
      </c>
    </row>
    <row r="2345">
      <c r="A2345" s="26" t="n"/>
      <c r="B2345" s="24" t="n"/>
      <c r="C2345" s="40">
        <f>IF(B2345="","",IFERROR(INDEX(Mitarbeiter!$B$6:$B$205,MATCH(B2345,Mitarbeiter!$A$6:$A$205,0)),"?"))</f>
        <v/>
      </c>
      <c r="D2345" s="41" t="n"/>
      <c r="E2345" s="42" t="n"/>
      <c r="F2345" s="43" t="n"/>
      <c r="G2345" s="44">
        <f>IF(OR(B2345="",F2345=""),"",IFERROR(F2345*INDEX(Mitarbeiter!$F$6:$F$205,MATCH(B2345,Mitarbeiter!$A$6:$A$205,0)),0))</f>
        <v/>
      </c>
      <c r="H2345" s="8">
        <f>IF(B2345="","",IF(ISNA(MATCH(B2345,Mitarbeiter!$A$6:$A$205,0)),"Pers.-Nr. unbekannt",IF(A2345="","Datum fehlt",IF(AND(D2345&lt;&gt;Einstellungen!$C$4,D2345&lt;&gt;Einstellungen!$C$5),"Objekt fehlt",IF(YEAR(A2345)&lt;&gt;Einstellungen!$C$3,"anderes Jahr",IF(A2345&lt;INDEX(Mitarbeiter!$C$6:$C$205,MATCH(B2345,Mitarbeiter!$A$6:$A$205,0)),"vor Eintritt",IF(AND(INDEX(Mitarbeiter!$D$6:$D$205,MATCH(B2345,Mitarbeiter!$A$6:$A$205,0))&lt;&gt;"",A2345&gt;INDEX(Mitarbeiter!$D$6:$D$205,MATCH(B2345,Mitarbeiter!$A$6:$A$205,0))),"nach Austritt","ok")))))))</f>
        <v/>
      </c>
    </row>
    <row r="2346">
      <c r="A2346" s="26" t="n"/>
      <c r="B2346" s="24" t="n"/>
      <c r="C2346" s="40">
        <f>IF(B2346="","",IFERROR(INDEX(Mitarbeiter!$B$6:$B$205,MATCH(B2346,Mitarbeiter!$A$6:$A$205,0)),"?"))</f>
        <v/>
      </c>
      <c r="D2346" s="41" t="n"/>
      <c r="E2346" s="42" t="n"/>
      <c r="F2346" s="43" t="n"/>
      <c r="G2346" s="44">
        <f>IF(OR(B2346="",F2346=""),"",IFERROR(F2346*INDEX(Mitarbeiter!$F$6:$F$205,MATCH(B2346,Mitarbeiter!$A$6:$A$205,0)),0))</f>
        <v/>
      </c>
      <c r="H2346" s="8">
        <f>IF(B2346="","",IF(ISNA(MATCH(B2346,Mitarbeiter!$A$6:$A$205,0)),"Pers.-Nr. unbekannt",IF(A2346="","Datum fehlt",IF(AND(D2346&lt;&gt;Einstellungen!$C$4,D2346&lt;&gt;Einstellungen!$C$5),"Objekt fehlt",IF(YEAR(A2346)&lt;&gt;Einstellungen!$C$3,"anderes Jahr",IF(A2346&lt;INDEX(Mitarbeiter!$C$6:$C$205,MATCH(B2346,Mitarbeiter!$A$6:$A$205,0)),"vor Eintritt",IF(AND(INDEX(Mitarbeiter!$D$6:$D$205,MATCH(B2346,Mitarbeiter!$A$6:$A$205,0))&lt;&gt;"",A2346&gt;INDEX(Mitarbeiter!$D$6:$D$205,MATCH(B2346,Mitarbeiter!$A$6:$A$205,0))),"nach Austritt","ok")))))))</f>
        <v/>
      </c>
    </row>
    <row r="2347">
      <c r="A2347" s="26" t="n"/>
      <c r="B2347" s="24" t="n"/>
      <c r="C2347" s="40">
        <f>IF(B2347="","",IFERROR(INDEX(Mitarbeiter!$B$6:$B$205,MATCH(B2347,Mitarbeiter!$A$6:$A$205,0)),"?"))</f>
        <v/>
      </c>
      <c r="D2347" s="41" t="n"/>
      <c r="E2347" s="42" t="n"/>
      <c r="F2347" s="43" t="n"/>
      <c r="G2347" s="44">
        <f>IF(OR(B2347="",F2347=""),"",IFERROR(F2347*INDEX(Mitarbeiter!$F$6:$F$205,MATCH(B2347,Mitarbeiter!$A$6:$A$205,0)),0))</f>
        <v/>
      </c>
      <c r="H2347" s="8">
        <f>IF(B2347="","",IF(ISNA(MATCH(B2347,Mitarbeiter!$A$6:$A$205,0)),"Pers.-Nr. unbekannt",IF(A2347="","Datum fehlt",IF(AND(D2347&lt;&gt;Einstellungen!$C$4,D2347&lt;&gt;Einstellungen!$C$5),"Objekt fehlt",IF(YEAR(A2347)&lt;&gt;Einstellungen!$C$3,"anderes Jahr",IF(A2347&lt;INDEX(Mitarbeiter!$C$6:$C$205,MATCH(B2347,Mitarbeiter!$A$6:$A$205,0)),"vor Eintritt",IF(AND(INDEX(Mitarbeiter!$D$6:$D$205,MATCH(B2347,Mitarbeiter!$A$6:$A$205,0))&lt;&gt;"",A2347&gt;INDEX(Mitarbeiter!$D$6:$D$205,MATCH(B2347,Mitarbeiter!$A$6:$A$205,0))),"nach Austritt","ok")))))))</f>
        <v/>
      </c>
    </row>
    <row r="2348">
      <c r="A2348" s="26" t="n"/>
      <c r="B2348" s="24" t="n"/>
      <c r="C2348" s="40">
        <f>IF(B2348="","",IFERROR(INDEX(Mitarbeiter!$B$6:$B$205,MATCH(B2348,Mitarbeiter!$A$6:$A$205,0)),"?"))</f>
        <v/>
      </c>
      <c r="D2348" s="41" t="n"/>
      <c r="E2348" s="42" t="n"/>
      <c r="F2348" s="43" t="n"/>
      <c r="G2348" s="44">
        <f>IF(OR(B2348="",F2348=""),"",IFERROR(F2348*INDEX(Mitarbeiter!$F$6:$F$205,MATCH(B2348,Mitarbeiter!$A$6:$A$205,0)),0))</f>
        <v/>
      </c>
      <c r="H2348" s="8">
        <f>IF(B2348="","",IF(ISNA(MATCH(B2348,Mitarbeiter!$A$6:$A$205,0)),"Pers.-Nr. unbekannt",IF(A2348="","Datum fehlt",IF(AND(D2348&lt;&gt;Einstellungen!$C$4,D2348&lt;&gt;Einstellungen!$C$5),"Objekt fehlt",IF(YEAR(A2348)&lt;&gt;Einstellungen!$C$3,"anderes Jahr",IF(A2348&lt;INDEX(Mitarbeiter!$C$6:$C$205,MATCH(B2348,Mitarbeiter!$A$6:$A$205,0)),"vor Eintritt",IF(AND(INDEX(Mitarbeiter!$D$6:$D$205,MATCH(B2348,Mitarbeiter!$A$6:$A$205,0))&lt;&gt;"",A2348&gt;INDEX(Mitarbeiter!$D$6:$D$205,MATCH(B2348,Mitarbeiter!$A$6:$A$205,0))),"nach Austritt","ok")))))))</f>
        <v/>
      </c>
    </row>
    <row r="2349">
      <c r="A2349" s="26" t="n"/>
      <c r="B2349" s="24" t="n"/>
      <c r="C2349" s="40">
        <f>IF(B2349="","",IFERROR(INDEX(Mitarbeiter!$B$6:$B$205,MATCH(B2349,Mitarbeiter!$A$6:$A$205,0)),"?"))</f>
        <v/>
      </c>
      <c r="D2349" s="41" t="n"/>
      <c r="E2349" s="42" t="n"/>
      <c r="F2349" s="43" t="n"/>
      <c r="G2349" s="44">
        <f>IF(OR(B2349="",F2349=""),"",IFERROR(F2349*INDEX(Mitarbeiter!$F$6:$F$205,MATCH(B2349,Mitarbeiter!$A$6:$A$205,0)),0))</f>
        <v/>
      </c>
      <c r="H2349" s="8">
        <f>IF(B2349="","",IF(ISNA(MATCH(B2349,Mitarbeiter!$A$6:$A$205,0)),"Pers.-Nr. unbekannt",IF(A2349="","Datum fehlt",IF(AND(D2349&lt;&gt;Einstellungen!$C$4,D2349&lt;&gt;Einstellungen!$C$5),"Objekt fehlt",IF(YEAR(A2349)&lt;&gt;Einstellungen!$C$3,"anderes Jahr",IF(A2349&lt;INDEX(Mitarbeiter!$C$6:$C$205,MATCH(B2349,Mitarbeiter!$A$6:$A$205,0)),"vor Eintritt",IF(AND(INDEX(Mitarbeiter!$D$6:$D$205,MATCH(B2349,Mitarbeiter!$A$6:$A$205,0))&lt;&gt;"",A2349&gt;INDEX(Mitarbeiter!$D$6:$D$205,MATCH(B2349,Mitarbeiter!$A$6:$A$205,0))),"nach Austritt","ok")))))))</f>
        <v/>
      </c>
    </row>
    <row r="2350">
      <c r="A2350" s="26" t="n"/>
      <c r="B2350" s="24" t="n"/>
      <c r="C2350" s="40">
        <f>IF(B2350="","",IFERROR(INDEX(Mitarbeiter!$B$6:$B$205,MATCH(B2350,Mitarbeiter!$A$6:$A$205,0)),"?"))</f>
        <v/>
      </c>
      <c r="D2350" s="41" t="n"/>
      <c r="E2350" s="42" t="n"/>
      <c r="F2350" s="43" t="n"/>
      <c r="G2350" s="44">
        <f>IF(OR(B2350="",F2350=""),"",IFERROR(F2350*INDEX(Mitarbeiter!$F$6:$F$205,MATCH(B2350,Mitarbeiter!$A$6:$A$205,0)),0))</f>
        <v/>
      </c>
      <c r="H2350" s="8">
        <f>IF(B2350="","",IF(ISNA(MATCH(B2350,Mitarbeiter!$A$6:$A$205,0)),"Pers.-Nr. unbekannt",IF(A2350="","Datum fehlt",IF(AND(D2350&lt;&gt;Einstellungen!$C$4,D2350&lt;&gt;Einstellungen!$C$5),"Objekt fehlt",IF(YEAR(A2350)&lt;&gt;Einstellungen!$C$3,"anderes Jahr",IF(A2350&lt;INDEX(Mitarbeiter!$C$6:$C$205,MATCH(B2350,Mitarbeiter!$A$6:$A$205,0)),"vor Eintritt",IF(AND(INDEX(Mitarbeiter!$D$6:$D$205,MATCH(B2350,Mitarbeiter!$A$6:$A$205,0))&lt;&gt;"",A2350&gt;INDEX(Mitarbeiter!$D$6:$D$205,MATCH(B2350,Mitarbeiter!$A$6:$A$205,0))),"nach Austritt","ok")))))))</f>
        <v/>
      </c>
    </row>
    <row r="2351">
      <c r="A2351" s="26" t="n"/>
      <c r="B2351" s="24" t="n"/>
      <c r="C2351" s="40">
        <f>IF(B2351="","",IFERROR(INDEX(Mitarbeiter!$B$6:$B$205,MATCH(B2351,Mitarbeiter!$A$6:$A$205,0)),"?"))</f>
        <v/>
      </c>
      <c r="D2351" s="41" t="n"/>
      <c r="E2351" s="42" t="n"/>
      <c r="F2351" s="43" t="n"/>
      <c r="G2351" s="44">
        <f>IF(OR(B2351="",F2351=""),"",IFERROR(F2351*INDEX(Mitarbeiter!$F$6:$F$205,MATCH(B2351,Mitarbeiter!$A$6:$A$205,0)),0))</f>
        <v/>
      </c>
      <c r="H2351" s="8">
        <f>IF(B2351="","",IF(ISNA(MATCH(B2351,Mitarbeiter!$A$6:$A$205,0)),"Pers.-Nr. unbekannt",IF(A2351="","Datum fehlt",IF(AND(D2351&lt;&gt;Einstellungen!$C$4,D2351&lt;&gt;Einstellungen!$C$5),"Objekt fehlt",IF(YEAR(A2351)&lt;&gt;Einstellungen!$C$3,"anderes Jahr",IF(A2351&lt;INDEX(Mitarbeiter!$C$6:$C$205,MATCH(B2351,Mitarbeiter!$A$6:$A$205,0)),"vor Eintritt",IF(AND(INDEX(Mitarbeiter!$D$6:$D$205,MATCH(B2351,Mitarbeiter!$A$6:$A$205,0))&lt;&gt;"",A2351&gt;INDEX(Mitarbeiter!$D$6:$D$205,MATCH(B2351,Mitarbeiter!$A$6:$A$205,0))),"nach Austritt","ok")))))))</f>
        <v/>
      </c>
    </row>
    <row r="2352">
      <c r="A2352" s="26" t="n"/>
      <c r="B2352" s="24" t="n"/>
      <c r="C2352" s="40">
        <f>IF(B2352="","",IFERROR(INDEX(Mitarbeiter!$B$6:$B$205,MATCH(B2352,Mitarbeiter!$A$6:$A$205,0)),"?"))</f>
        <v/>
      </c>
      <c r="D2352" s="41" t="n"/>
      <c r="E2352" s="42" t="n"/>
      <c r="F2352" s="43" t="n"/>
      <c r="G2352" s="44">
        <f>IF(OR(B2352="",F2352=""),"",IFERROR(F2352*INDEX(Mitarbeiter!$F$6:$F$205,MATCH(B2352,Mitarbeiter!$A$6:$A$205,0)),0))</f>
        <v/>
      </c>
      <c r="H2352" s="8">
        <f>IF(B2352="","",IF(ISNA(MATCH(B2352,Mitarbeiter!$A$6:$A$205,0)),"Pers.-Nr. unbekannt",IF(A2352="","Datum fehlt",IF(AND(D2352&lt;&gt;Einstellungen!$C$4,D2352&lt;&gt;Einstellungen!$C$5),"Objekt fehlt",IF(YEAR(A2352)&lt;&gt;Einstellungen!$C$3,"anderes Jahr",IF(A2352&lt;INDEX(Mitarbeiter!$C$6:$C$205,MATCH(B2352,Mitarbeiter!$A$6:$A$205,0)),"vor Eintritt",IF(AND(INDEX(Mitarbeiter!$D$6:$D$205,MATCH(B2352,Mitarbeiter!$A$6:$A$205,0))&lt;&gt;"",A2352&gt;INDEX(Mitarbeiter!$D$6:$D$205,MATCH(B2352,Mitarbeiter!$A$6:$A$205,0))),"nach Austritt","ok")))))))</f>
        <v/>
      </c>
    </row>
    <row r="2353">
      <c r="A2353" s="26" t="n"/>
      <c r="B2353" s="24" t="n"/>
      <c r="C2353" s="40">
        <f>IF(B2353="","",IFERROR(INDEX(Mitarbeiter!$B$6:$B$205,MATCH(B2353,Mitarbeiter!$A$6:$A$205,0)),"?"))</f>
        <v/>
      </c>
      <c r="D2353" s="41" t="n"/>
      <c r="E2353" s="42" t="n"/>
      <c r="F2353" s="43" t="n"/>
      <c r="G2353" s="44">
        <f>IF(OR(B2353="",F2353=""),"",IFERROR(F2353*INDEX(Mitarbeiter!$F$6:$F$205,MATCH(B2353,Mitarbeiter!$A$6:$A$205,0)),0))</f>
        <v/>
      </c>
      <c r="H2353" s="8">
        <f>IF(B2353="","",IF(ISNA(MATCH(B2353,Mitarbeiter!$A$6:$A$205,0)),"Pers.-Nr. unbekannt",IF(A2353="","Datum fehlt",IF(AND(D2353&lt;&gt;Einstellungen!$C$4,D2353&lt;&gt;Einstellungen!$C$5),"Objekt fehlt",IF(YEAR(A2353)&lt;&gt;Einstellungen!$C$3,"anderes Jahr",IF(A2353&lt;INDEX(Mitarbeiter!$C$6:$C$205,MATCH(B2353,Mitarbeiter!$A$6:$A$205,0)),"vor Eintritt",IF(AND(INDEX(Mitarbeiter!$D$6:$D$205,MATCH(B2353,Mitarbeiter!$A$6:$A$205,0))&lt;&gt;"",A2353&gt;INDEX(Mitarbeiter!$D$6:$D$205,MATCH(B2353,Mitarbeiter!$A$6:$A$205,0))),"nach Austritt","ok")))))))</f>
        <v/>
      </c>
    </row>
    <row r="2354">
      <c r="A2354" s="26" t="n"/>
      <c r="B2354" s="24" t="n"/>
      <c r="C2354" s="40">
        <f>IF(B2354="","",IFERROR(INDEX(Mitarbeiter!$B$6:$B$205,MATCH(B2354,Mitarbeiter!$A$6:$A$205,0)),"?"))</f>
        <v/>
      </c>
      <c r="D2354" s="41" t="n"/>
      <c r="E2354" s="42" t="n"/>
      <c r="F2354" s="43" t="n"/>
      <c r="G2354" s="44">
        <f>IF(OR(B2354="",F2354=""),"",IFERROR(F2354*INDEX(Mitarbeiter!$F$6:$F$205,MATCH(B2354,Mitarbeiter!$A$6:$A$205,0)),0))</f>
        <v/>
      </c>
      <c r="H2354" s="8">
        <f>IF(B2354="","",IF(ISNA(MATCH(B2354,Mitarbeiter!$A$6:$A$205,0)),"Pers.-Nr. unbekannt",IF(A2354="","Datum fehlt",IF(AND(D2354&lt;&gt;Einstellungen!$C$4,D2354&lt;&gt;Einstellungen!$C$5),"Objekt fehlt",IF(YEAR(A2354)&lt;&gt;Einstellungen!$C$3,"anderes Jahr",IF(A2354&lt;INDEX(Mitarbeiter!$C$6:$C$205,MATCH(B2354,Mitarbeiter!$A$6:$A$205,0)),"vor Eintritt",IF(AND(INDEX(Mitarbeiter!$D$6:$D$205,MATCH(B2354,Mitarbeiter!$A$6:$A$205,0))&lt;&gt;"",A2354&gt;INDEX(Mitarbeiter!$D$6:$D$205,MATCH(B2354,Mitarbeiter!$A$6:$A$205,0))),"nach Austritt","ok")))))))</f>
        <v/>
      </c>
    </row>
    <row r="2355">
      <c r="A2355" s="26" t="n"/>
      <c r="B2355" s="24" t="n"/>
      <c r="C2355" s="40">
        <f>IF(B2355="","",IFERROR(INDEX(Mitarbeiter!$B$6:$B$205,MATCH(B2355,Mitarbeiter!$A$6:$A$205,0)),"?"))</f>
        <v/>
      </c>
      <c r="D2355" s="41" t="n"/>
      <c r="E2355" s="42" t="n"/>
      <c r="F2355" s="43" t="n"/>
      <c r="G2355" s="44">
        <f>IF(OR(B2355="",F2355=""),"",IFERROR(F2355*INDEX(Mitarbeiter!$F$6:$F$205,MATCH(B2355,Mitarbeiter!$A$6:$A$205,0)),0))</f>
        <v/>
      </c>
      <c r="H2355" s="8">
        <f>IF(B2355="","",IF(ISNA(MATCH(B2355,Mitarbeiter!$A$6:$A$205,0)),"Pers.-Nr. unbekannt",IF(A2355="","Datum fehlt",IF(AND(D2355&lt;&gt;Einstellungen!$C$4,D2355&lt;&gt;Einstellungen!$C$5),"Objekt fehlt",IF(YEAR(A2355)&lt;&gt;Einstellungen!$C$3,"anderes Jahr",IF(A2355&lt;INDEX(Mitarbeiter!$C$6:$C$205,MATCH(B2355,Mitarbeiter!$A$6:$A$205,0)),"vor Eintritt",IF(AND(INDEX(Mitarbeiter!$D$6:$D$205,MATCH(B2355,Mitarbeiter!$A$6:$A$205,0))&lt;&gt;"",A2355&gt;INDEX(Mitarbeiter!$D$6:$D$205,MATCH(B2355,Mitarbeiter!$A$6:$A$205,0))),"nach Austritt","ok")))))))</f>
        <v/>
      </c>
    </row>
    <row r="2356">
      <c r="A2356" s="26" t="n"/>
      <c r="B2356" s="24" t="n"/>
      <c r="C2356" s="40">
        <f>IF(B2356="","",IFERROR(INDEX(Mitarbeiter!$B$6:$B$205,MATCH(B2356,Mitarbeiter!$A$6:$A$205,0)),"?"))</f>
        <v/>
      </c>
      <c r="D2356" s="41" t="n"/>
      <c r="E2356" s="42" t="n"/>
      <c r="F2356" s="43" t="n"/>
      <c r="G2356" s="44">
        <f>IF(OR(B2356="",F2356=""),"",IFERROR(F2356*INDEX(Mitarbeiter!$F$6:$F$205,MATCH(B2356,Mitarbeiter!$A$6:$A$205,0)),0))</f>
        <v/>
      </c>
      <c r="H2356" s="8">
        <f>IF(B2356="","",IF(ISNA(MATCH(B2356,Mitarbeiter!$A$6:$A$205,0)),"Pers.-Nr. unbekannt",IF(A2356="","Datum fehlt",IF(AND(D2356&lt;&gt;Einstellungen!$C$4,D2356&lt;&gt;Einstellungen!$C$5),"Objekt fehlt",IF(YEAR(A2356)&lt;&gt;Einstellungen!$C$3,"anderes Jahr",IF(A2356&lt;INDEX(Mitarbeiter!$C$6:$C$205,MATCH(B2356,Mitarbeiter!$A$6:$A$205,0)),"vor Eintritt",IF(AND(INDEX(Mitarbeiter!$D$6:$D$205,MATCH(B2356,Mitarbeiter!$A$6:$A$205,0))&lt;&gt;"",A2356&gt;INDEX(Mitarbeiter!$D$6:$D$205,MATCH(B2356,Mitarbeiter!$A$6:$A$205,0))),"nach Austritt","ok")))))))</f>
        <v/>
      </c>
    </row>
    <row r="2357">
      <c r="A2357" s="26" t="n"/>
      <c r="B2357" s="24" t="n"/>
      <c r="C2357" s="40">
        <f>IF(B2357="","",IFERROR(INDEX(Mitarbeiter!$B$6:$B$205,MATCH(B2357,Mitarbeiter!$A$6:$A$205,0)),"?"))</f>
        <v/>
      </c>
      <c r="D2357" s="41" t="n"/>
      <c r="E2357" s="42" t="n"/>
      <c r="F2357" s="43" t="n"/>
      <c r="G2357" s="44">
        <f>IF(OR(B2357="",F2357=""),"",IFERROR(F2357*INDEX(Mitarbeiter!$F$6:$F$205,MATCH(B2357,Mitarbeiter!$A$6:$A$205,0)),0))</f>
        <v/>
      </c>
      <c r="H2357" s="8">
        <f>IF(B2357="","",IF(ISNA(MATCH(B2357,Mitarbeiter!$A$6:$A$205,0)),"Pers.-Nr. unbekannt",IF(A2357="","Datum fehlt",IF(AND(D2357&lt;&gt;Einstellungen!$C$4,D2357&lt;&gt;Einstellungen!$C$5),"Objekt fehlt",IF(YEAR(A2357)&lt;&gt;Einstellungen!$C$3,"anderes Jahr",IF(A2357&lt;INDEX(Mitarbeiter!$C$6:$C$205,MATCH(B2357,Mitarbeiter!$A$6:$A$205,0)),"vor Eintritt",IF(AND(INDEX(Mitarbeiter!$D$6:$D$205,MATCH(B2357,Mitarbeiter!$A$6:$A$205,0))&lt;&gt;"",A2357&gt;INDEX(Mitarbeiter!$D$6:$D$205,MATCH(B2357,Mitarbeiter!$A$6:$A$205,0))),"nach Austritt","ok")))))))</f>
        <v/>
      </c>
    </row>
    <row r="2358">
      <c r="A2358" s="26" t="n"/>
      <c r="B2358" s="24" t="n"/>
      <c r="C2358" s="40">
        <f>IF(B2358="","",IFERROR(INDEX(Mitarbeiter!$B$6:$B$205,MATCH(B2358,Mitarbeiter!$A$6:$A$205,0)),"?"))</f>
        <v/>
      </c>
      <c r="D2358" s="41" t="n"/>
      <c r="E2358" s="42" t="n"/>
      <c r="F2358" s="43" t="n"/>
      <c r="G2358" s="44">
        <f>IF(OR(B2358="",F2358=""),"",IFERROR(F2358*INDEX(Mitarbeiter!$F$6:$F$205,MATCH(B2358,Mitarbeiter!$A$6:$A$205,0)),0))</f>
        <v/>
      </c>
      <c r="H2358" s="8">
        <f>IF(B2358="","",IF(ISNA(MATCH(B2358,Mitarbeiter!$A$6:$A$205,0)),"Pers.-Nr. unbekannt",IF(A2358="","Datum fehlt",IF(AND(D2358&lt;&gt;Einstellungen!$C$4,D2358&lt;&gt;Einstellungen!$C$5),"Objekt fehlt",IF(YEAR(A2358)&lt;&gt;Einstellungen!$C$3,"anderes Jahr",IF(A2358&lt;INDEX(Mitarbeiter!$C$6:$C$205,MATCH(B2358,Mitarbeiter!$A$6:$A$205,0)),"vor Eintritt",IF(AND(INDEX(Mitarbeiter!$D$6:$D$205,MATCH(B2358,Mitarbeiter!$A$6:$A$205,0))&lt;&gt;"",A2358&gt;INDEX(Mitarbeiter!$D$6:$D$205,MATCH(B2358,Mitarbeiter!$A$6:$A$205,0))),"nach Austritt","ok")))))))</f>
        <v/>
      </c>
    </row>
    <row r="2359">
      <c r="A2359" s="26" t="n"/>
      <c r="B2359" s="24" t="n"/>
      <c r="C2359" s="40">
        <f>IF(B2359="","",IFERROR(INDEX(Mitarbeiter!$B$6:$B$205,MATCH(B2359,Mitarbeiter!$A$6:$A$205,0)),"?"))</f>
        <v/>
      </c>
      <c r="D2359" s="41" t="n"/>
      <c r="E2359" s="42" t="n"/>
      <c r="F2359" s="43" t="n"/>
      <c r="G2359" s="44">
        <f>IF(OR(B2359="",F2359=""),"",IFERROR(F2359*INDEX(Mitarbeiter!$F$6:$F$205,MATCH(B2359,Mitarbeiter!$A$6:$A$205,0)),0))</f>
        <v/>
      </c>
      <c r="H2359" s="8">
        <f>IF(B2359="","",IF(ISNA(MATCH(B2359,Mitarbeiter!$A$6:$A$205,0)),"Pers.-Nr. unbekannt",IF(A2359="","Datum fehlt",IF(AND(D2359&lt;&gt;Einstellungen!$C$4,D2359&lt;&gt;Einstellungen!$C$5),"Objekt fehlt",IF(YEAR(A2359)&lt;&gt;Einstellungen!$C$3,"anderes Jahr",IF(A2359&lt;INDEX(Mitarbeiter!$C$6:$C$205,MATCH(B2359,Mitarbeiter!$A$6:$A$205,0)),"vor Eintritt",IF(AND(INDEX(Mitarbeiter!$D$6:$D$205,MATCH(B2359,Mitarbeiter!$A$6:$A$205,0))&lt;&gt;"",A2359&gt;INDEX(Mitarbeiter!$D$6:$D$205,MATCH(B2359,Mitarbeiter!$A$6:$A$205,0))),"nach Austritt","ok")))))))</f>
        <v/>
      </c>
    </row>
    <row r="2360">
      <c r="A2360" s="26" t="n"/>
      <c r="B2360" s="24" t="n"/>
      <c r="C2360" s="40">
        <f>IF(B2360="","",IFERROR(INDEX(Mitarbeiter!$B$6:$B$205,MATCH(B2360,Mitarbeiter!$A$6:$A$205,0)),"?"))</f>
        <v/>
      </c>
      <c r="D2360" s="41" t="n"/>
      <c r="E2360" s="42" t="n"/>
      <c r="F2360" s="43" t="n"/>
      <c r="G2360" s="44">
        <f>IF(OR(B2360="",F2360=""),"",IFERROR(F2360*INDEX(Mitarbeiter!$F$6:$F$205,MATCH(B2360,Mitarbeiter!$A$6:$A$205,0)),0))</f>
        <v/>
      </c>
      <c r="H2360" s="8">
        <f>IF(B2360="","",IF(ISNA(MATCH(B2360,Mitarbeiter!$A$6:$A$205,0)),"Pers.-Nr. unbekannt",IF(A2360="","Datum fehlt",IF(AND(D2360&lt;&gt;Einstellungen!$C$4,D2360&lt;&gt;Einstellungen!$C$5),"Objekt fehlt",IF(YEAR(A2360)&lt;&gt;Einstellungen!$C$3,"anderes Jahr",IF(A2360&lt;INDEX(Mitarbeiter!$C$6:$C$205,MATCH(B2360,Mitarbeiter!$A$6:$A$205,0)),"vor Eintritt",IF(AND(INDEX(Mitarbeiter!$D$6:$D$205,MATCH(B2360,Mitarbeiter!$A$6:$A$205,0))&lt;&gt;"",A2360&gt;INDEX(Mitarbeiter!$D$6:$D$205,MATCH(B2360,Mitarbeiter!$A$6:$A$205,0))),"nach Austritt","ok")))))))</f>
        <v/>
      </c>
    </row>
    <row r="2361">
      <c r="A2361" s="26" t="n"/>
      <c r="B2361" s="24" t="n"/>
      <c r="C2361" s="40">
        <f>IF(B2361="","",IFERROR(INDEX(Mitarbeiter!$B$6:$B$205,MATCH(B2361,Mitarbeiter!$A$6:$A$205,0)),"?"))</f>
        <v/>
      </c>
      <c r="D2361" s="41" t="n"/>
      <c r="E2361" s="42" t="n"/>
      <c r="F2361" s="43" t="n"/>
      <c r="G2361" s="44">
        <f>IF(OR(B2361="",F2361=""),"",IFERROR(F2361*INDEX(Mitarbeiter!$F$6:$F$205,MATCH(B2361,Mitarbeiter!$A$6:$A$205,0)),0))</f>
        <v/>
      </c>
      <c r="H2361" s="8">
        <f>IF(B2361="","",IF(ISNA(MATCH(B2361,Mitarbeiter!$A$6:$A$205,0)),"Pers.-Nr. unbekannt",IF(A2361="","Datum fehlt",IF(AND(D2361&lt;&gt;Einstellungen!$C$4,D2361&lt;&gt;Einstellungen!$C$5),"Objekt fehlt",IF(YEAR(A2361)&lt;&gt;Einstellungen!$C$3,"anderes Jahr",IF(A2361&lt;INDEX(Mitarbeiter!$C$6:$C$205,MATCH(B2361,Mitarbeiter!$A$6:$A$205,0)),"vor Eintritt",IF(AND(INDEX(Mitarbeiter!$D$6:$D$205,MATCH(B2361,Mitarbeiter!$A$6:$A$205,0))&lt;&gt;"",A2361&gt;INDEX(Mitarbeiter!$D$6:$D$205,MATCH(B2361,Mitarbeiter!$A$6:$A$205,0))),"nach Austritt","ok")))))))</f>
        <v/>
      </c>
    </row>
    <row r="2362">
      <c r="A2362" s="26" t="n"/>
      <c r="B2362" s="24" t="n"/>
      <c r="C2362" s="40">
        <f>IF(B2362="","",IFERROR(INDEX(Mitarbeiter!$B$6:$B$205,MATCH(B2362,Mitarbeiter!$A$6:$A$205,0)),"?"))</f>
        <v/>
      </c>
      <c r="D2362" s="41" t="n"/>
      <c r="E2362" s="42" t="n"/>
      <c r="F2362" s="43" t="n"/>
      <c r="G2362" s="44">
        <f>IF(OR(B2362="",F2362=""),"",IFERROR(F2362*INDEX(Mitarbeiter!$F$6:$F$205,MATCH(B2362,Mitarbeiter!$A$6:$A$205,0)),0))</f>
        <v/>
      </c>
      <c r="H2362" s="8">
        <f>IF(B2362="","",IF(ISNA(MATCH(B2362,Mitarbeiter!$A$6:$A$205,0)),"Pers.-Nr. unbekannt",IF(A2362="","Datum fehlt",IF(AND(D2362&lt;&gt;Einstellungen!$C$4,D2362&lt;&gt;Einstellungen!$C$5),"Objekt fehlt",IF(YEAR(A2362)&lt;&gt;Einstellungen!$C$3,"anderes Jahr",IF(A2362&lt;INDEX(Mitarbeiter!$C$6:$C$205,MATCH(B2362,Mitarbeiter!$A$6:$A$205,0)),"vor Eintritt",IF(AND(INDEX(Mitarbeiter!$D$6:$D$205,MATCH(B2362,Mitarbeiter!$A$6:$A$205,0))&lt;&gt;"",A2362&gt;INDEX(Mitarbeiter!$D$6:$D$205,MATCH(B2362,Mitarbeiter!$A$6:$A$205,0))),"nach Austritt","ok")))))))</f>
        <v/>
      </c>
    </row>
    <row r="2363">
      <c r="A2363" s="26" t="n"/>
      <c r="B2363" s="24" t="n"/>
      <c r="C2363" s="40">
        <f>IF(B2363="","",IFERROR(INDEX(Mitarbeiter!$B$6:$B$205,MATCH(B2363,Mitarbeiter!$A$6:$A$205,0)),"?"))</f>
        <v/>
      </c>
      <c r="D2363" s="41" t="n"/>
      <c r="E2363" s="42" t="n"/>
      <c r="F2363" s="43" t="n"/>
      <c r="G2363" s="44">
        <f>IF(OR(B2363="",F2363=""),"",IFERROR(F2363*INDEX(Mitarbeiter!$F$6:$F$205,MATCH(B2363,Mitarbeiter!$A$6:$A$205,0)),0))</f>
        <v/>
      </c>
      <c r="H2363" s="8">
        <f>IF(B2363="","",IF(ISNA(MATCH(B2363,Mitarbeiter!$A$6:$A$205,0)),"Pers.-Nr. unbekannt",IF(A2363="","Datum fehlt",IF(AND(D2363&lt;&gt;Einstellungen!$C$4,D2363&lt;&gt;Einstellungen!$C$5),"Objekt fehlt",IF(YEAR(A2363)&lt;&gt;Einstellungen!$C$3,"anderes Jahr",IF(A2363&lt;INDEX(Mitarbeiter!$C$6:$C$205,MATCH(B2363,Mitarbeiter!$A$6:$A$205,0)),"vor Eintritt",IF(AND(INDEX(Mitarbeiter!$D$6:$D$205,MATCH(B2363,Mitarbeiter!$A$6:$A$205,0))&lt;&gt;"",A2363&gt;INDEX(Mitarbeiter!$D$6:$D$205,MATCH(B2363,Mitarbeiter!$A$6:$A$205,0))),"nach Austritt","ok")))))))</f>
        <v/>
      </c>
    </row>
    <row r="2364">
      <c r="A2364" s="26" t="n"/>
      <c r="B2364" s="24" t="n"/>
      <c r="C2364" s="40">
        <f>IF(B2364="","",IFERROR(INDEX(Mitarbeiter!$B$6:$B$205,MATCH(B2364,Mitarbeiter!$A$6:$A$205,0)),"?"))</f>
        <v/>
      </c>
      <c r="D2364" s="41" t="n"/>
      <c r="E2364" s="42" t="n"/>
      <c r="F2364" s="43" t="n"/>
      <c r="G2364" s="44">
        <f>IF(OR(B2364="",F2364=""),"",IFERROR(F2364*INDEX(Mitarbeiter!$F$6:$F$205,MATCH(B2364,Mitarbeiter!$A$6:$A$205,0)),0))</f>
        <v/>
      </c>
      <c r="H2364" s="8">
        <f>IF(B2364="","",IF(ISNA(MATCH(B2364,Mitarbeiter!$A$6:$A$205,0)),"Pers.-Nr. unbekannt",IF(A2364="","Datum fehlt",IF(AND(D2364&lt;&gt;Einstellungen!$C$4,D2364&lt;&gt;Einstellungen!$C$5),"Objekt fehlt",IF(YEAR(A2364)&lt;&gt;Einstellungen!$C$3,"anderes Jahr",IF(A2364&lt;INDEX(Mitarbeiter!$C$6:$C$205,MATCH(B2364,Mitarbeiter!$A$6:$A$205,0)),"vor Eintritt",IF(AND(INDEX(Mitarbeiter!$D$6:$D$205,MATCH(B2364,Mitarbeiter!$A$6:$A$205,0))&lt;&gt;"",A2364&gt;INDEX(Mitarbeiter!$D$6:$D$205,MATCH(B2364,Mitarbeiter!$A$6:$A$205,0))),"nach Austritt","ok")))))))</f>
        <v/>
      </c>
    </row>
    <row r="2365">
      <c r="A2365" s="26" t="n"/>
      <c r="B2365" s="24" t="n"/>
      <c r="C2365" s="40">
        <f>IF(B2365="","",IFERROR(INDEX(Mitarbeiter!$B$6:$B$205,MATCH(B2365,Mitarbeiter!$A$6:$A$205,0)),"?"))</f>
        <v/>
      </c>
      <c r="D2365" s="41" t="n"/>
      <c r="E2365" s="42" t="n"/>
      <c r="F2365" s="43" t="n"/>
      <c r="G2365" s="44">
        <f>IF(OR(B2365="",F2365=""),"",IFERROR(F2365*INDEX(Mitarbeiter!$F$6:$F$205,MATCH(B2365,Mitarbeiter!$A$6:$A$205,0)),0))</f>
        <v/>
      </c>
      <c r="H2365" s="8">
        <f>IF(B2365="","",IF(ISNA(MATCH(B2365,Mitarbeiter!$A$6:$A$205,0)),"Pers.-Nr. unbekannt",IF(A2365="","Datum fehlt",IF(AND(D2365&lt;&gt;Einstellungen!$C$4,D2365&lt;&gt;Einstellungen!$C$5),"Objekt fehlt",IF(YEAR(A2365)&lt;&gt;Einstellungen!$C$3,"anderes Jahr",IF(A2365&lt;INDEX(Mitarbeiter!$C$6:$C$205,MATCH(B2365,Mitarbeiter!$A$6:$A$205,0)),"vor Eintritt",IF(AND(INDEX(Mitarbeiter!$D$6:$D$205,MATCH(B2365,Mitarbeiter!$A$6:$A$205,0))&lt;&gt;"",A2365&gt;INDEX(Mitarbeiter!$D$6:$D$205,MATCH(B2365,Mitarbeiter!$A$6:$A$205,0))),"nach Austritt","ok")))))))</f>
        <v/>
      </c>
    </row>
    <row r="2366">
      <c r="A2366" s="26" t="n"/>
      <c r="B2366" s="24" t="n"/>
      <c r="C2366" s="40">
        <f>IF(B2366="","",IFERROR(INDEX(Mitarbeiter!$B$6:$B$205,MATCH(B2366,Mitarbeiter!$A$6:$A$205,0)),"?"))</f>
        <v/>
      </c>
      <c r="D2366" s="41" t="n"/>
      <c r="E2366" s="42" t="n"/>
      <c r="F2366" s="43" t="n"/>
      <c r="G2366" s="44">
        <f>IF(OR(B2366="",F2366=""),"",IFERROR(F2366*INDEX(Mitarbeiter!$F$6:$F$205,MATCH(B2366,Mitarbeiter!$A$6:$A$205,0)),0))</f>
        <v/>
      </c>
      <c r="H2366" s="8">
        <f>IF(B2366="","",IF(ISNA(MATCH(B2366,Mitarbeiter!$A$6:$A$205,0)),"Pers.-Nr. unbekannt",IF(A2366="","Datum fehlt",IF(AND(D2366&lt;&gt;Einstellungen!$C$4,D2366&lt;&gt;Einstellungen!$C$5),"Objekt fehlt",IF(YEAR(A2366)&lt;&gt;Einstellungen!$C$3,"anderes Jahr",IF(A2366&lt;INDEX(Mitarbeiter!$C$6:$C$205,MATCH(B2366,Mitarbeiter!$A$6:$A$205,0)),"vor Eintritt",IF(AND(INDEX(Mitarbeiter!$D$6:$D$205,MATCH(B2366,Mitarbeiter!$A$6:$A$205,0))&lt;&gt;"",A2366&gt;INDEX(Mitarbeiter!$D$6:$D$205,MATCH(B2366,Mitarbeiter!$A$6:$A$205,0))),"nach Austritt","ok")))))))</f>
        <v/>
      </c>
    </row>
    <row r="2367">
      <c r="A2367" s="26" t="n"/>
      <c r="B2367" s="24" t="n"/>
      <c r="C2367" s="40">
        <f>IF(B2367="","",IFERROR(INDEX(Mitarbeiter!$B$6:$B$205,MATCH(B2367,Mitarbeiter!$A$6:$A$205,0)),"?"))</f>
        <v/>
      </c>
      <c r="D2367" s="41" t="n"/>
      <c r="E2367" s="42" t="n"/>
      <c r="F2367" s="43" t="n"/>
      <c r="G2367" s="44">
        <f>IF(OR(B2367="",F2367=""),"",IFERROR(F2367*INDEX(Mitarbeiter!$F$6:$F$205,MATCH(B2367,Mitarbeiter!$A$6:$A$205,0)),0))</f>
        <v/>
      </c>
      <c r="H2367" s="8">
        <f>IF(B2367="","",IF(ISNA(MATCH(B2367,Mitarbeiter!$A$6:$A$205,0)),"Pers.-Nr. unbekannt",IF(A2367="","Datum fehlt",IF(AND(D2367&lt;&gt;Einstellungen!$C$4,D2367&lt;&gt;Einstellungen!$C$5),"Objekt fehlt",IF(YEAR(A2367)&lt;&gt;Einstellungen!$C$3,"anderes Jahr",IF(A2367&lt;INDEX(Mitarbeiter!$C$6:$C$205,MATCH(B2367,Mitarbeiter!$A$6:$A$205,0)),"vor Eintritt",IF(AND(INDEX(Mitarbeiter!$D$6:$D$205,MATCH(B2367,Mitarbeiter!$A$6:$A$205,0))&lt;&gt;"",A2367&gt;INDEX(Mitarbeiter!$D$6:$D$205,MATCH(B2367,Mitarbeiter!$A$6:$A$205,0))),"nach Austritt","ok")))))))</f>
        <v/>
      </c>
    </row>
    <row r="2368">
      <c r="A2368" s="26" t="n"/>
      <c r="B2368" s="24" t="n"/>
      <c r="C2368" s="40">
        <f>IF(B2368="","",IFERROR(INDEX(Mitarbeiter!$B$6:$B$205,MATCH(B2368,Mitarbeiter!$A$6:$A$205,0)),"?"))</f>
        <v/>
      </c>
      <c r="D2368" s="41" t="n"/>
      <c r="E2368" s="42" t="n"/>
      <c r="F2368" s="43" t="n"/>
      <c r="G2368" s="44">
        <f>IF(OR(B2368="",F2368=""),"",IFERROR(F2368*INDEX(Mitarbeiter!$F$6:$F$205,MATCH(B2368,Mitarbeiter!$A$6:$A$205,0)),0))</f>
        <v/>
      </c>
      <c r="H2368" s="8">
        <f>IF(B2368="","",IF(ISNA(MATCH(B2368,Mitarbeiter!$A$6:$A$205,0)),"Pers.-Nr. unbekannt",IF(A2368="","Datum fehlt",IF(AND(D2368&lt;&gt;Einstellungen!$C$4,D2368&lt;&gt;Einstellungen!$C$5),"Objekt fehlt",IF(YEAR(A2368)&lt;&gt;Einstellungen!$C$3,"anderes Jahr",IF(A2368&lt;INDEX(Mitarbeiter!$C$6:$C$205,MATCH(B2368,Mitarbeiter!$A$6:$A$205,0)),"vor Eintritt",IF(AND(INDEX(Mitarbeiter!$D$6:$D$205,MATCH(B2368,Mitarbeiter!$A$6:$A$205,0))&lt;&gt;"",A2368&gt;INDEX(Mitarbeiter!$D$6:$D$205,MATCH(B2368,Mitarbeiter!$A$6:$A$205,0))),"nach Austritt","ok")))))))</f>
        <v/>
      </c>
    </row>
    <row r="2369">
      <c r="A2369" s="26" t="n"/>
      <c r="B2369" s="24" t="n"/>
      <c r="C2369" s="40">
        <f>IF(B2369="","",IFERROR(INDEX(Mitarbeiter!$B$6:$B$205,MATCH(B2369,Mitarbeiter!$A$6:$A$205,0)),"?"))</f>
        <v/>
      </c>
      <c r="D2369" s="41" t="n"/>
      <c r="E2369" s="42" t="n"/>
      <c r="F2369" s="43" t="n"/>
      <c r="G2369" s="44">
        <f>IF(OR(B2369="",F2369=""),"",IFERROR(F2369*INDEX(Mitarbeiter!$F$6:$F$205,MATCH(B2369,Mitarbeiter!$A$6:$A$205,0)),0))</f>
        <v/>
      </c>
      <c r="H2369" s="8">
        <f>IF(B2369="","",IF(ISNA(MATCH(B2369,Mitarbeiter!$A$6:$A$205,0)),"Pers.-Nr. unbekannt",IF(A2369="","Datum fehlt",IF(AND(D2369&lt;&gt;Einstellungen!$C$4,D2369&lt;&gt;Einstellungen!$C$5),"Objekt fehlt",IF(YEAR(A2369)&lt;&gt;Einstellungen!$C$3,"anderes Jahr",IF(A2369&lt;INDEX(Mitarbeiter!$C$6:$C$205,MATCH(B2369,Mitarbeiter!$A$6:$A$205,0)),"vor Eintritt",IF(AND(INDEX(Mitarbeiter!$D$6:$D$205,MATCH(B2369,Mitarbeiter!$A$6:$A$205,0))&lt;&gt;"",A2369&gt;INDEX(Mitarbeiter!$D$6:$D$205,MATCH(B2369,Mitarbeiter!$A$6:$A$205,0))),"nach Austritt","ok")))))))</f>
        <v/>
      </c>
    </row>
    <row r="2370">
      <c r="A2370" s="26" t="n"/>
      <c r="B2370" s="24" t="n"/>
      <c r="C2370" s="40">
        <f>IF(B2370="","",IFERROR(INDEX(Mitarbeiter!$B$6:$B$205,MATCH(B2370,Mitarbeiter!$A$6:$A$205,0)),"?"))</f>
        <v/>
      </c>
      <c r="D2370" s="41" t="n"/>
      <c r="E2370" s="42" t="n"/>
      <c r="F2370" s="43" t="n"/>
      <c r="G2370" s="44">
        <f>IF(OR(B2370="",F2370=""),"",IFERROR(F2370*INDEX(Mitarbeiter!$F$6:$F$205,MATCH(B2370,Mitarbeiter!$A$6:$A$205,0)),0))</f>
        <v/>
      </c>
      <c r="H2370" s="8">
        <f>IF(B2370="","",IF(ISNA(MATCH(B2370,Mitarbeiter!$A$6:$A$205,0)),"Pers.-Nr. unbekannt",IF(A2370="","Datum fehlt",IF(AND(D2370&lt;&gt;Einstellungen!$C$4,D2370&lt;&gt;Einstellungen!$C$5),"Objekt fehlt",IF(YEAR(A2370)&lt;&gt;Einstellungen!$C$3,"anderes Jahr",IF(A2370&lt;INDEX(Mitarbeiter!$C$6:$C$205,MATCH(B2370,Mitarbeiter!$A$6:$A$205,0)),"vor Eintritt",IF(AND(INDEX(Mitarbeiter!$D$6:$D$205,MATCH(B2370,Mitarbeiter!$A$6:$A$205,0))&lt;&gt;"",A2370&gt;INDEX(Mitarbeiter!$D$6:$D$205,MATCH(B2370,Mitarbeiter!$A$6:$A$205,0))),"nach Austritt","ok")))))))</f>
        <v/>
      </c>
    </row>
    <row r="2371">
      <c r="A2371" s="26" t="n"/>
      <c r="B2371" s="24" t="n"/>
      <c r="C2371" s="40">
        <f>IF(B2371="","",IFERROR(INDEX(Mitarbeiter!$B$6:$B$205,MATCH(B2371,Mitarbeiter!$A$6:$A$205,0)),"?"))</f>
        <v/>
      </c>
      <c r="D2371" s="41" t="n"/>
      <c r="E2371" s="42" t="n"/>
      <c r="F2371" s="43" t="n"/>
      <c r="G2371" s="44">
        <f>IF(OR(B2371="",F2371=""),"",IFERROR(F2371*INDEX(Mitarbeiter!$F$6:$F$205,MATCH(B2371,Mitarbeiter!$A$6:$A$205,0)),0))</f>
        <v/>
      </c>
      <c r="H2371" s="8">
        <f>IF(B2371="","",IF(ISNA(MATCH(B2371,Mitarbeiter!$A$6:$A$205,0)),"Pers.-Nr. unbekannt",IF(A2371="","Datum fehlt",IF(AND(D2371&lt;&gt;Einstellungen!$C$4,D2371&lt;&gt;Einstellungen!$C$5),"Objekt fehlt",IF(YEAR(A2371)&lt;&gt;Einstellungen!$C$3,"anderes Jahr",IF(A2371&lt;INDEX(Mitarbeiter!$C$6:$C$205,MATCH(B2371,Mitarbeiter!$A$6:$A$205,0)),"vor Eintritt",IF(AND(INDEX(Mitarbeiter!$D$6:$D$205,MATCH(B2371,Mitarbeiter!$A$6:$A$205,0))&lt;&gt;"",A2371&gt;INDEX(Mitarbeiter!$D$6:$D$205,MATCH(B2371,Mitarbeiter!$A$6:$A$205,0))),"nach Austritt","ok")))))))</f>
        <v/>
      </c>
    </row>
    <row r="2372">
      <c r="A2372" s="26" t="n"/>
      <c r="B2372" s="24" t="n"/>
      <c r="C2372" s="40">
        <f>IF(B2372="","",IFERROR(INDEX(Mitarbeiter!$B$6:$B$205,MATCH(B2372,Mitarbeiter!$A$6:$A$205,0)),"?"))</f>
        <v/>
      </c>
      <c r="D2372" s="41" t="n"/>
      <c r="E2372" s="42" t="n"/>
      <c r="F2372" s="43" t="n"/>
      <c r="G2372" s="44">
        <f>IF(OR(B2372="",F2372=""),"",IFERROR(F2372*INDEX(Mitarbeiter!$F$6:$F$205,MATCH(B2372,Mitarbeiter!$A$6:$A$205,0)),0))</f>
        <v/>
      </c>
      <c r="H2372" s="8">
        <f>IF(B2372="","",IF(ISNA(MATCH(B2372,Mitarbeiter!$A$6:$A$205,0)),"Pers.-Nr. unbekannt",IF(A2372="","Datum fehlt",IF(AND(D2372&lt;&gt;Einstellungen!$C$4,D2372&lt;&gt;Einstellungen!$C$5),"Objekt fehlt",IF(YEAR(A2372)&lt;&gt;Einstellungen!$C$3,"anderes Jahr",IF(A2372&lt;INDEX(Mitarbeiter!$C$6:$C$205,MATCH(B2372,Mitarbeiter!$A$6:$A$205,0)),"vor Eintritt",IF(AND(INDEX(Mitarbeiter!$D$6:$D$205,MATCH(B2372,Mitarbeiter!$A$6:$A$205,0))&lt;&gt;"",A2372&gt;INDEX(Mitarbeiter!$D$6:$D$205,MATCH(B2372,Mitarbeiter!$A$6:$A$205,0))),"nach Austritt","ok")))))))</f>
        <v/>
      </c>
    </row>
    <row r="2373">
      <c r="A2373" s="26" t="n"/>
      <c r="B2373" s="24" t="n"/>
      <c r="C2373" s="40">
        <f>IF(B2373="","",IFERROR(INDEX(Mitarbeiter!$B$6:$B$205,MATCH(B2373,Mitarbeiter!$A$6:$A$205,0)),"?"))</f>
        <v/>
      </c>
      <c r="D2373" s="41" t="n"/>
      <c r="E2373" s="42" t="n"/>
      <c r="F2373" s="43" t="n"/>
      <c r="G2373" s="44">
        <f>IF(OR(B2373="",F2373=""),"",IFERROR(F2373*INDEX(Mitarbeiter!$F$6:$F$205,MATCH(B2373,Mitarbeiter!$A$6:$A$205,0)),0))</f>
        <v/>
      </c>
      <c r="H2373" s="8">
        <f>IF(B2373="","",IF(ISNA(MATCH(B2373,Mitarbeiter!$A$6:$A$205,0)),"Pers.-Nr. unbekannt",IF(A2373="","Datum fehlt",IF(AND(D2373&lt;&gt;Einstellungen!$C$4,D2373&lt;&gt;Einstellungen!$C$5),"Objekt fehlt",IF(YEAR(A2373)&lt;&gt;Einstellungen!$C$3,"anderes Jahr",IF(A2373&lt;INDEX(Mitarbeiter!$C$6:$C$205,MATCH(B2373,Mitarbeiter!$A$6:$A$205,0)),"vor Eintritt",IF(AND(INDEX(Mitarbeiter!$D$6:$D$205,MATCH(B2373,Mitarbeiter!$A$6:$A$205,0))&lt;&gt;"",A2373&gt;INDEX(Mitarbeiter!$D$6:$D$205,MATCH(B2373,Mitarbeiter!$A$6:$A$205,0))),"nach Austritt","ok")))))))</f>
        <v/>
      </c>
    </row>
    <row r="2374">
      <c r="A2374" s="26" t="n"/>
      <c r="B2374" s="24" t="n"/>
      <c r="C2374" s="40">
        <f>IF(B2374="","",IFERROR(INDEX(Mitarbeiter!$B$6:$B$205,MATCH(B2374,Mitarbeiter!$A$6:$A$205,0)),"?"))</f>
        <v/>
      </c>
      <c r="D2374" s="41" t="n"/>
      <c r="E2374" s="42" t="n"/>
      <c r="F2374" s="43" t="n"/>
      <c r="G2374" s="44">
        <f>IF(OR(B2374="",F2374=""),"",IFERROR(F2374*INDEX(Mitarbeiter!$F$6:$F$205,MATCH(B2374,Mitarbeiter!$A$6:$A$205,0)),0))</f>
        <v/>
      </c>
      <c r="H2374" s="8">
        <f>IF(B2374="","",IF(ISNA(MATCH(B2374,Mitarbeiter!$A$6:$A$205,0)),"Pers.-Nr. unbekannt",IF(A2374="","Datum fehlt",IF(AND(D2374&lt;&gt;Einstellungen!$C$4,D2374&lt;&gt;Einstellungen!$C$5),"Objekt fehlt",IF(YEAR(A2374)&lt;&gt;Einstellungen!$C$3,"anderes Jahr",IF(A2374&lt;INDEX(Mitarbeiter!$C$6:$C$205,MATCH(B2374,Mitarbeiter!$A$6:$A$205,0)),"vor Eintritt",IF(AND(INDEX(Mitarbeiter!$D$6:$D$205,MATCH(B2374,Mitarbeiter!$A$6:$A$205,0))&lt;&gt;"",A2374&gt;INDEX(Mitarbeiter!$D$6:$D$205,MATCH(B2374,Mitarbeiter!$A$6:$A$205,0))),"nach Austritt","ok")))))))</f>
        <v/>
      </c>
    </row>
    <row r="2375">
      <c r="A2375" s="26" t="n"/>
      <c r="B2375" s="24" t="n"/>
      <c r="C2375" s="40">
        <f>IF(B2375="","",IFERROR(INDEX(Mitarbeiter!$B$6:$B$205,MATCH(B2375,Mitarbeiter!$A$6:$A$205,0)),"?"))</f>
        <v/>
      </c>
      <c r="D2375" s="41" t="n"/>
      <c r="E2375" s="42" t="n"/>
      <c r="F2375" s="43" t="n"/>
      <c r="G2375" s="44">
        <f>IF(OR(B2375="",F2375=""),"",IFERROR(F2375*INDEX(Mitarbeiter!$F$6:$F$205,MATCH(B2375,Mitarbeiter!$A$6:$A$205,0)),0))</f>
        <v/>
      </c>
      <c r="H2375" s="8">
        <f>IF(B2375="","",IF(ISNA(MATCH(B2375,Mitarbeiter!$A$6:$A$205,0)),"Pers.-Nr. unbekannt",IF(A2375="","Datum fehlt",IF(AND(D2375&lt;&gt;Einstellungen!$C$4,D2375&lt;&gt;Einstellungen!$C$5),"Objekt fehlt",IF(YEAR(A2375)&lt;&gt;Einstellungen!$C$3,"anderes Jahr",IF(A2375&lt;INDEX(Mitarbeiter!$C$6:$C$205,MATCH(B2375,Mitarbeiter!$A$6:$A$205,0)),"vor Eintritt",IF(AND(INDEX(Mitarbeiter!$D$6:$D$205,MATCH(B2375,Mitarbeiter!$A$6:$A$205,0))&lt;&gt;"",A2375&gt;INDEX(Mitarbeiter!$D$6:$D$205,MATCH(B2375,Mitarbeiter!$A$6:$A$205,0))),"nach Austritt","ok")))))))</f>
        <v/>
      </c>
    </row>
    <row r="2376">
      <c r="A2376" s="26" t="n"/>
      <c r="B2376" s="24" t="n"/>
      <c r="C2376" s="40">
        <f>IF(B2376="","",IFERROR(INDEX(Mitarbeiter!$B$6:$B$205,MATCH(B2376,Mitarbeiter!$A$6:$A$205,0)),"?"))</f>
        <v/>
      </c>
      <c r="D2376" s="41" t="n"/>
      <c r="E2376" s="42" t="n"/>
      <c r="F2376" s="43" t="n"/>
      <c r="G2376" s="44">
        <f>IF(OR(B2376="",F2376=""),"",IFERROR(F2376*INDEX(Mitarbeiter!$F$6:$F$205,MATCH(B2376,Mitarbeiter!$A$6:$A$205,0)),0))</f>
        <v/>
      </c>
      <c r="H2376" s="8">
        <f>IF(B2376="","",IF(ISNA(MATCH(B2376,Mitarbeiter!$A$6:$A$205,0)),"Pers.-Nr. unbekannt",IF(A2376="","Datum fehlt",IF(AND(D2376&lt;&gt;Einstellungen!$C$4,D2376&lt;&gt;Einstellungen!$C$5),"Objekt fehlt",IF(YEAR(A2376)&lt;&gt;Einstellungen!$C$3,"anderes Jahr",IF(A2376&lt;INDEX(Mitarbeiter!$C$6:$C$205,MATCH(B2376,Mitarbeiter!$A$6:$A$205,0)),"vor Eintritt",IF(AND(INDEX(Mitarbeiter!$D$6:$D$205,MATCH(B2376,Mitarbeiter!$A$6:$A$205,0))&lt;&gt;"",A2376&gt;INDEX(Mitarbeiter!$D$6:$D$205,MATCH(B2376,Mitarbeiter!$A$6:$A$205,0))),"nach Austritt","ok")))))))</f>
        <v/>
      </c>
    </row>
    <row r="2377">
      <c r="A2377" s="26" t="n"/>
      <c r="B2377" s="24" t="n"/>
      <c r="C2377" s="40">
        <f>IF(B2377="","",IFERROR(INDEX(Mitarbeiter!$B$6:$B$205,MATCH(B2377,Mitarbeiter!$A$6:$A$205,0)),"?"))</f>
        <v/>
      </c>
      <c r="D2377" s="41" t="n"/>
      <c r="E2377" s="42" t="n"/>
      <c r="F2377" s="43" t="n"/>
      <c r="G2377" s="44">
        <f>IF(OR(B2377="",F2377=""),"",IFERROR(F2377*INDEX(Mitarbeiter!$F$6:$F$205,MATCH(B2377,Mitarbeiter!$A$6:$A$205,0)),0))</f>
        <v/>
      </c>
      <c r="H2377" s="8">
        <f>IF(B2377="","",IF(ISNA(MATCH(B2377,Mitarbeiter!$A$6:$A$205,0)),"Pers.-Nr. unbekannt",IF(A2377="","Datum fehlt",IF(AND(D2377&lt;&gt;Einstellungen!$C$4,D2377&lt;&gt;Einstellungen!$C$5),"Objekt fehlt",IF(YEAR(A2377)&lt;&gt;Einstellungen!$C$3,"anderes Jahr",IF(A2377&lt;INDEX(Mitarbeiter!$C$6:$C$205,MATCH(B2377,Mitarbeiter!$A$6:$A$205,0)),"vor Eintritt",IF(AND(INDEX(Mitarbeiter!$D$6:$D$205,MATCH(B2377,Mitarbeiter!$A$6:$A$205,0))&lt;&gt;"",A2377&gt;INDEX(Mitarbeiter!$D$6:$D$205,MATCH(B2377,Mitarbeiter!$A$6:$A$205,0))),"nach Austritt","ok")))))))</f>
        <v/>
      </c>
    </row>
    <row r="2378">
      <c r="A2378" s="26" t="n"/>
      <c r="B2378" s="24" t="n"/>
      <c r="C2378" s="40">
        <f>IF(B2378="","",IFERROR(INDEX(Mitarbeiter!$B$6:$B$205,MATCH(B2378,Mitarbeiter!$A$6:$A$205,0)),"?"))</f>
        <v/>
      </c>
      <c r="D2378" s="41" t="n"/>
      <c r="E2378" s="42" t="n"/>
      <c r="F2378" s="43" t="n"/>
      <c r="G2378" s="44">
        <f>IF(OR(B2378="",F2378=""),"",IFERROR(F2378*INDEX(Mitarbeiter!$F$6:$F$205,MATCH(B2378,Mitarbeiter!$A$6:$A$205,0)),0))</f>
        <v/>
      </c>
      <c r="H2378" s="8">
        <f>IF(B2378="","",IF(ISNA(MATCH(B2378,Mitarbeiter!$A$6:$A$205,0)),"Pers.-Nr. unbekannt",IF(A2378="","Datum fehlt",IF(AND(D2378&lt;&gt;Einstellungen!$C$4,D2378&lt;&gt;Einstellungen!$C$5),"Objekt fehlt",IF(YEAR(A2378)&lt;&gt;Einstellungen!$C$3,"anderes Jahr",IF(A2378&lt;INDEX(Mitarbeiter!$C$6:$C$205,MATCH(B2378,Mitarbeiter!$A$6:$A$205,0)),"vor Eintritt",IF(AND(INDEX(Mitarbeiter!$D$6:$D$205,MATCH(B2378,Mitarbeiter!$A$6:$A$205,0))&lt;&gt;"",A2378&gt;INDEX(Mitarbeiter!$D$6:$D$205,MATCH(B2378,Mitarbeiter!$A$6:$A$205,0))),"nach Austritt","ok")))))))</f>
        <v/>
      </c>
    </row>
    <row r="2379">
      <c r="A2379" s="26" t="n"/>
      <c r="B2379" s="24" t="n"/>
      <c r="C2379" s="40">
        <f>IF(B2379="","",IFERROR(INDEX(Mitarbeiter!$B$6:$B$205,MATCH(B2379,Mitarbeiter!$A$6:$A$205,0)),"?"))</f>
        <v/>
      </c>
      <c r="D2379" s="41" t="n"/>
      <c r="E2379" s="42" t="n"/>
      <c r="F2379" s="43" t="n"/>
      <c r="G2379" s="44">
        <f>IF(OR(B2379="",F2379=""),"",IFERROR(F2379*INDEX(Mitarbeiter!$F$6:$F$205,MATCH(B2379,Mitarbeiter!$A$6:$A$205,0)),0))</f>
        <v/>
      </c>
      <c r="H2379" s="8">
        <f>IF(B2379="","",IF(ISNA(MATCH(B2379,Mitarbeiter!$A$6:$A$205,0)),"Pers.-Nr. unbekannt",IF(A2379="","Datum fehlt",IF(AND(D2379&lt;&gt;Einstellungen!$C$4,D2379&lt;&gt;Einstellungen!$C$5),"Objekt fehlt",IF(YEAR(A2379)&lt;&gt;Einstellungen!$C$3,"anderes Jahr",IF(A2379&lt;INDEX(Mitarbeiter!$C$6:$C$205,MATCH(B2379,Mitarbeiter!$A$6:$A$205,0)),"vor Eintritt",IF(AND(INDEX(Mitarbeiter!$D$6:$D$205,MATCH(B2379,Mitarbeiter!$A$6:$A$205,0))&lt;&gt;"",A2379&gt;INDEX(Mitarbeiter!$D$6:$D$205,MATCH(B2379,Mitarbeiter!$A$6:$A$205,0))),"nach Austritt","ok")))))))</f>
        <v/>
      </c>
    </row>
    <row r="2380">
      <c r="A2380" s="26" t="n"/>
      <c r="B2380" s="24" t="n"/>
      <c r="C2380" s="40">
        <f>IF(B2380="","",IFERROR(INDEX(Mitarbeiter!$B$6:$B$205,MATCH(B2380,Mitarbeiter!$A$6:$A$205,0)),"?"))</f>
        <v/>
      </c>
      <c r="D2380" s="41" t="n"/>
      <c r="E2380" s="42" t="n"/>
      <c r="F2380" s="43" t="n"/>
      <c r="G2380" s="44">
        <f>IF(OR(B2380="",F2380=""),"",IFERROR(F2380*INDEX(Mitarbeiter!$F$6:$F$205,MATCH(B2380,Mitarbeiter!$A$6:$A$205,0)),0))</f>
        <v/>
      </c>
      <c r="H2380" s="8">
        <f>IF(B2380="","",IF(ISNA(MATCH(B2380,Mitarbeiter!$A$6:$A$205,0)),"Pers.-Nr. unbekannt",IF(A2380="","Datum fehlt",IF(AND(D2380&lt;&gt;Einstellungen!$C$4,D2380&lt;&gt;Einstellungen!$C$5),"Objekt fehlt",IF(YEAR(A2380)&lt;&gt;Einstellungen!$C$3,"anderes Jahr",IF(A2380&lt;INDEX(Mitarbeiter!$C$6:$C$205,MATCH(B2380,Mitarbeiter!$A$6:$A$205,0)),"vor Eintritt",IF(AND(INDEX(Mitarbeiter!$D$6:$D$205,MATCH(B2380,Mitarbeiter!$A$6:$A$205,0))&lt;&gt;"",A2380&gt;INDEX(Mitarbeiter!$D$6:$D$205,MATCH(B2380,Mitarbeiter!$A$6:$A$205,0))),"nach Austritt","ok")))))))</f>
        <v/>
      </c>
    </row>
    <row r="2381">
      <c r="A2381" s="26" t="n"/>
      <c r="B2381" s="24" t="n"/>
      <c r="C2381" s="40">
        <f>IF(B2381="","",IFERROR(INDEX(Mitarbeiter!$B$6:$B$205,MATCH(B2381,Mitarbeiter!$A$6:$A$205,0)),"?"))</f>
        <v/>
      </c>
      <c r="D2381" s="41" t="n"/>
      <c r="E2381" s="42" t="n"/>
      <c r="F2381" s="43" t="n"/>
      <c r="G2381" s="44">
        <f>IF(OR(B2381="",F2381=""),"",IFERROR(F2381*INDEX(Mitarbeiter!$F$6:$F$205,MATCH(B2381,Mitarbeiter!$A$6:$A$205,0)),0))</f>
        <v/>
      </c>
      <c r="H2381" s="8">
        <f>IF(B2381="","",IF(ISNA(MATCH(B2381,Mitarbeiter!$A$6:$A$205,0)),"Pers.-Nr. unbekannt",IF(A2381="","Datum fehlt",IF(AND(D2381&lt;&gt;Einstellungen!$C$4,D2381&lt;&gt;Einstellungen!$C$5),"Objekt fehlt",IF(YEAR(A2381)&lt;&gt;Einstellungen!$C$3,"anderes Jahr",IF(A2381&lt;INDEX(Mitarbeiter!$C$6:$C$205,MATCH(B2381,Mitarbeiter!$A$6:$A$205,0)),"vor Eintritt",IF(AND(INDEX(Mitarbeiter!$D$6:$D$205,MATCH(B2381,Mitarbeiter!$A$6:$A$205,0))&lt;&gt;"",A2381&gt;INDEX(Mitarbeiter!$D$6:$D$205,MATCH(B2381,Mitarbeiter!$A$6:$A$205,0))),"nach Austritt","ok")))))))</f>
        <v/>
      </c>
    </row>
    <row r="2382">
      <c r="A2382" s="26" t="n"/>
      <c r="B2382" s="24" t="n"/>
      <c r="C2382" s="40">
        <f>IF(B2382="","",IFERROR(INDEX(Mitarbeiter!$B$6:$B$205,MATCH(B2382,Mitarbeiter!$A$6:$A$205,0)),"?"))</f>
        <v/>
      </c>
      <c r="D2382" s="41" t="n"/>
      <c r="E2382" s="42" t="n"/>
      <c r="F2382" s="43" t="n"/>
      <c r="G2382" s="44">
        <f>IF(OR(B2382="",F2382=""),"",IFERROR(F2382*INDEX(Mitarbeiter!$F$6:$F$205,MATCH(B2382,Mitarbeiter!$A$6:$A$205,0)),0))</f>
        <v/>
      </c>
      <c r="H2382" s="8">
        <f>IF(B2382="","",IF(ISNA(MATCH(B2382,Mitarbeiter!$A$6:$A$205,0)),"Pers.-Nr. unbekannt",IF(A2382="","Datum fehlt",IF(AND(D2382&lt;&gt;Einstellungen!$C$4,D2382&lt;&gt;Einstellungen!$C$5),"Objekt fehlt",IF(YEAR(A2382)&lt;&gt;Einstellungen!$C$3,"anderes Jahr",IF(A2382&lt;INDEX(Mitarbeiter!$C$6:$C$205,MATCH(B2382,Mitarbeiter!$A$6:$A$205,0)),"vor Eintritt",IF(AND(INDEX(Mitarbeiter!$D$6:$D$205,MATCH(B2382,Mitarbeiter!$A$6:$A$205,0))&lt;&gt;"",A2382&gt;INDEX(Mitarbeiter!$D$6:$D$205,MATCH(B2382,Mitarbeiter!$A$6:$A$205,0))),"nach Austritt","ok")))))))</f>
        <v/>
      </c>
    </row>
    <row r="2383">
      <c r="A2383" s="26" t="n"/>
      <c r="B2383" s="24" t="n"/>
      <c r="C2383" s="40">
        <f>IF(B2383="","",IFERROR(INDEX(Mitarbeiter!$B$6:$B$205,MATCH(B2383,Mitarbeiter!$A$6:$A$205,0)),"?"))</f>
        <v/>
      </c>
      <c r="D2383" s="41" t="n"/>
      <c r="E2383" s="42" t="n"/>
      <c r="F2383" s="43" t="n"/>
      <c r="G2383" s="44">
        <f>IF(OR(B2383="",F2383=""),"",IFERROR(F2383*INDEX(Mitarbeiter!$F$6:$F$205,MATCH(B2383,Mitarbeiter!$A$6:$A$205,0)),0))</f>
        <v/>
      </c>
      <c r="H2383" s="8">
        <f>IF(B2383="","",IF(ISNA(MATCH(B2383,Mitarbeiter!$A$6:$A$205,0)),"Pers.-Nr. unbekannt",IF(A2383="","Datum fehlt",IF(AND(D2383&lt;&gt;Einstellungen!$C$4,D2383&lt;&gt;Einstellungen!$C$5),"Objekt fehlt",IF(YEAR(A2383)&lt;&gt;Einstellungen!$C$3,"anderes Jahr",IF(A2383&lt;INDEX(Mitarbeiter!$C$6:$C$205,MATCH(B2383,Mitarbeiter!$A$6:$A$205,0)),"vor Eintritt",IF(AND(INDEX(Mitarbeiter!$D$6:$D$205,MATCH(B2383,Mitarbeiter!$A$6:$A$205,0))&lt;&gt;"",A2383&gt;INDEX(Mitarbeiter!$D$6:$D$205,MATCH(B2383,Mitarbeiter!$A$6:$A$205,0))),"nach Austritt","ok")))))))</f>
        <v/>
      </c>
    </row>
    <row r="2384">
      <c r="A2384" s="26" t="n"/>
      <c r="B2384" s="24" t="n"/>
      <c r="C2384" s="40">
        <f>IF(B2384="","",IFERROR(INDEX(Mitarbeiter!$B$6:$B$205,MATCH(B2384,Mitarbeiter!$A$6:$A$205,0)),"?"))</f>
        <v/>
      </c>
      <c r="D2384" s="41" t="n"/>
      <c r="E2384" s="42" t="n"/>
      <c r="F2384" s="43" t="n"/>
      <c r="G2384" s="44">
        <f>IF(OR(B2384="",F2384=""),"",IFERROR(F2384*INDEX(Mitarbeiter!$F$6:$F$205,MATCH(B2384,Mitarbeiter!$A$6:$A$205,0)),0))</f>
        <v/>
      </c>
      <c r="H2384" s="8">
        <f>IF(B2384="","",IF(ISNA(MATCH(B2384,Mitarbeiter!$A$6:$A$205,0)),"Pers.-Nr. unbekannt",IF(A2384="","Datum fehlt",IF(AND(D2384&lt;&gt;Einstellungen!$C$4,D2384&lt;&gt;Einstellungen!$C$5),"Objekt fehlt",IF(YEAR(A2384)&lt;&gt;Einstellungen!$C$3,"anderes Jahr",IF(A2384&lt;INDEX(Mitarbeiter!$C$6:$C$205,MATCH(B2384,Mitarbeiter!$A$6:$A$205,0)),"vor Eintritt",IF(AND(INDEX(Mitarbeiter!$D$6:$D$205,MATCH(B2384,Mitarbeiter!$A$6:$A$205,0))&lt;&gt;"",A2384&gt;INDEX(Mitarbeiter!$D$6:$D$205,MATCH(B2384,Mitarbeiter!$A$6:$A$205,0))),"nach Austritt","ok")))))))</f>
        <v/>
      </c>
    </row>
    <row r="2385">
      <c r="A2385" s="26" t="n"/>
      <c r="B2385" s="24" t="n"/>
      <c r="C2385" s="40">
        <f>IF(B2385="","",IFERROR(INDEX(Mitarbeiter!$B$6:$B$205,MATCH(B2385,Mitarbeiter!$A$6:$A$205,0)),"?"))</f>
        <v/>
      </c>
      <c r="D2385" s="41" t="n"/>
      <c r="E2385" s="42" t="n"/>
      <c r="F2385" s="43" t="n"/>
      <c r="G2385" s="44">
        <f>IF(OR(B2385="",F2385=""),"",IFERROR(F2385*INDEX(Mitarbeiter!$F$6:$F$205,MATCH(B2385,Mitarbeiter!$A$6:$A$205,0)),0))</f>
        <v/>
      </c>
      <c r="H2385" s="8">
        <f>IF(B2385="","",IF(ISNA(MATCH(B2385,Mitarbeiter!$A$6:$A$205,0)),"Pers.-Nr. unbekannt",IF(A2385="","Datum fehlt",IF(AND(D2385&lt;&gt;Einstellungen!$C$4,D2385&lt;&gt;Einstellungen!$C$5),"Objekt fehlt",IF(YEAR(A2385)&lt;&gt;Einstellungen!$C$3,"anderes Jahr",IF(A2385&lt;INDEX(Mitarbeiter!$C$6:$C$205,MATCH(B2385,Mitarbeiter!$A$6:$A$205,0)),"vor Eintritt",IF(AND(INDEX(Mitarbeiter!$D$6:$D$205,MATCH(B2385,Mitarbeiter!$A$6:$A$205,0))&lt;&gt;"",A2385&gt;INDEX(Mitarbeiter!$D$6:$D$205,MATCH(B2385,Mitarbeiter!$A$6:$A$205,0))),"nach Austritt","ok")))))))</f>
        <v/>
      </c>
    </row>
    <row r="2386">
      <c r="A2386" s="26" t="n"/>
      <c r="B2386" s="24" t="n"/>
      <c r="C2386" s="40">
        <f>IF(B2386="","",IFERROR(INDEX(Mitarbeiter!$B$6:$B$205,MATCH(B2386,Mitarbeiter!$A$6:$A$205,0)),"?"))</f>
        <v/>
      </c>
      <c r="D2386" s="41" t="n"/>
      <c r="E2386" s="42" t="n"/>
      <c r="F2386" s="43" t="n"/>
      <c r="G2386" s="44">
        <f>IF(OR(B2386="",F2386=""),"",IFERROR(F2386*INDEX(Mitarbeiter!$F$6:$F$205,MATCH(B2386,Mitarbeiter!$A$6:$A$205,0)),0))</f>
        <v/>
      </c>
      <c r="H2386" s="8">
        <f>IF(B2386="","",IF(ISNA(MATCH(B2386,Mitarbeiter!$A$6:$A$205,0)),"Pers.-Nr. unbekannt",IF(A2386="","Datum fehlt",IF(AND(D2386&lt;&gt;Einstellungen!$C$4,D2386&lt;&gt;Einstellungen!$C$5),"Objekt fehlt",IF(YEAR(A2386)&lt;&gt;Einstellungen!$C$3,"anderes Jahr",IF(A2386&lt;INDEX(Mitarbeiter!$C$6:$C$205,MATCH(B2386,Mitarbeiter!$A$6:$A$205,0)),"vor Eintritt",IF(AND(INDEX(Mitarbeiter!$D$6:$D$205,MATCH(B2386,Mitarbeiter!$A$6:$A$205,0))&lt;&gt;"",A2386&gt;INDEX(Mitarbeiter!$D$6:$D$205,MATCH(B2386,Mitarbeiter!$A$6:$A$205,0))),"nach Austritt","ok")))))))</f>
        <v/>
      </c>
    </row>
    <row r="2387">
      <c r="A2387" s="26" t="n"/>
      <c r="B2387" s="24" t="n"/>
      <c r="C2387" s="40">
        <f>IF(B2387="","",IFERROR(INDEX(Mitarbeiter!$B$6:$B$205,MATCH(B2387,Mitarbeiter!$A$6:$A$205,0)),"?"))</f>
        <v/>
      </c>
      <c r="D2387" s="41" t="n"/>
      <c r="E2387" s="42" t="n"/>
      <c r="F2387" s="43" t="n"/>
      <c r="G2387" s="44">
        <f>IF(OR(B2387="",F2387=""),"",IFERROR(F2387*INDEX(Mitarbeiter!$F$6:$F$205,MATCH(B2387,Mitarbeiter!$A$6:$A$205,0)),0))</f>
        <v/>
      </c>
      <c r="H2387" s="8">
        <f>IF(B2387="","",IF(ISNA(MATCH(B2387,Mitarbeiter!$A$6:$A$205,0)),"Pers.-Nr. unbekannt",IF(A2387="","Datum fehlt",IF(AND(D2387&lt;&gt;Einstellungen!$C$4,D2387&lt;&gt;Einstellungen!$C$5),"Objekt fehlt",IF(YEAR(A2387)&lt;&gt;Einstellungen!$C$3,"anderes Jahr",IF(A2387&lt;INDEX(Mitarbeiter!$C$6:$C$205,MATCH(B2387,Mitarbeiter!$A$6:$A$205,0)),"vor Eintritt",IF(AND(INDEX(Mitarbeiter!$D$6:$D$205,MATCH(B2387,Mitarbeiter!$A$6:$A$205,0))&lt;&gt;"",A2387&gt;INDEX(Mitarbeiter!$D$6:$D$205,MATCH(B2387,Mitarbeiter!$A$6:$A$205,0))),"nach Austritt","ok")))))))</f>
        <v/>
      </c>
    </row>
    <row r="2388">
      <c r="A2388" s="26" t="n"/>
      <c r="B2388" s="24" t="n"/>
      <c r="C2388" s="40">
        <f>IF(B2388="","",IFERROR(INDEX(Mitarbeiter!$B$6:$B$205,MATCH(B2388,Mitarbeiter!$A$6:$A$205,0)),"?"))</f>
        <v/>
      </c>
      <c r="D2388" s="41" t="n"/>
      <c r="E2388" s="42" t="n"/>
      <c r="F2388" s="43" t="n"/>
      <c r="G2388" s="44">
        <f>IF(OR(B2388="",F2388=""),"",IFERROR(F2388*INDEX(Mitarbeiter!$F$6:$F$205,MATCH(B2388,Mitarbeiter!$A$6:$A$205,0)),0))</f>
        <v/>
      </c>
      <c r="H2388" s="8">
        <f>IF(B2388="","",IF(ISNA(MATCH(B2388,Mitarbeiter!$A$6:$A$205,0)),"Pers.-Nr. unbekannt",IF(A2388="","Datum fehlt",IF(AND(D2388&lt;&gt;Einstellungen!$C$4,D2388&lt;&gt;Einstellungen!$C$5),"Objekt fehlt",IF(YEAR(A2388)&lt;&gt;Einstellungen!$C$3,"anderes Jahr",IF(A2388&lt;INDEX(Mitarbeiter!$C$6:$C$205,MATCH(B2388,Mitarbeiter!$A$6:$A$205,0)),"vor Eintritt",IF(AND(INDEX(Mitarbeiter!$D$6:$D$205,MATCH(B2388,Mitarbeiter!$A$6:$A$205,0))&lt;&gt;"",A2388&gt;INDEX(Mitarbeiter!$D$6:$D$205,MATCH(B2388,Mitarbeiter!$A$6:$A$205,0))),"nach Austritt","ok")))))))</f>
        <v/>
      </c>
    </row>
    <row r="2389">
      <c r="A2389" s="26" t="n"/>
      <c r="B2389" s="24" t="n"/>
      <c r="C2389" s="40">
        <f>IF(B2389="","",IFERROR(INDEX(Mitarbeiter!$B$6:$B$205,MATCH(B2389,Mitarbeiter!$A$6:$A$205,0)),"?"))</f>
        <v/>
      </c>
      <c r="D2389" s="41" t="n"/>
      <c r="E2389" s="42" t="n"/>
      <c r="F2389" s="43" t="n"/>
      <c r="G2389" s="44">
        <f>IF(OR(B2389="",F2389=""),"",IFERROR(F2389*INDEX(Mitarbeiter!$F$6:$F$205,MATCH(B2389,Mitarbeiter!$A$6:$A$205,0)),0))</f>
        <v/>
      </c>
      <c r="H2389" s="8">
        <f>IF(B2389="","",IF(ISNA(MATCH(B2389,Mitarbeiter!$A$6:$A$205,0)),"Pers.-Nr. unbekannt",IF(A2389="","Datum fehlt",IF(AND(D2389&lt;&gt;Einstellungen!$C$4,D2389&lt;&gt;Einstellungen!$C$5),"Objekt fehlt",IF(YEAR(A2389)&lt;&gt;Einstellungen!$C$3,"anderes Jahr",IF(A2389&lt;INDEX(Mitarbeiter!$C$6:$C$205,MATCH(B2389,Mitarbeiter!$A$6:$A$205,0)),"vor Eintritt",IF(AND(INDEX(Mitarbeiter!$D$6:$D$205,MATCH(B2389,Mitarbeiter!$A$6:$A$205,0))&lt;&gt;"",A2389&gt;INDEX(Mitarbeiter!$D$6:$D$205,MATCH(B2389,Mitarbeiter!$A$6:$A$205,0))),"nach Austritt","ok")))))))</f>
        <v/>
      </c>
    </row>
    <row r="2390">
      <c r="A2390" s="26" t="n"/>
      <c r="B2390" s="24" t="n"/>
      <c r="C2390" s="40">
        <f>IF(B2390="","",IFERROR(INDEX(Mitarbeiter!$B$6:$B$205,MATCH(B2390,Mitarbeiter!$A$6:$A$205,0)),"?"))</f>
        <v/>
      </c>
      <c r="D2390" s="41" t="n"/>
      <c r="E2390" s="42" t="n"/>
      <c r="F2390" s="43" t="n"/>
      <c r="G2390" s="44">
        <f>IF(OR(B2390="",F2390=""),"",IFERROR(F2390*INDEX(Mitarbeiter!$F$6:$F$205,MATCH(B2390,Mitarbeiter!$A$6:$A$205,0)),0))</f>
        <v/>
      </c>
      <c r="H2390" s="8">
        <f>IF(B2390="","",IF(ISNA(MATCH(B2390,Mitarbeiter!$A$6:$A$205,0)),"Pers.-Nr. unbekannt",IF(A2390="","Datum fehlt",IF(AND(D2390&lt;&gt;Einstellungen!$C$4,D2390&lt;&gt;Einstellungen!$C$5),"Objekt fehlt",IF(YEAR(A2390)&lt;&gt;Einstellungen!$C$3,"anderes Jahr",IF(A2390&lt;INDEX(Mitarbeiter!$C$6:$C$205,MATCH(B2390,Mitarbeiter!$A$6:$A$205,0)),"vor Eintritt",IF(AND(INDEX(Mitarbeiter!$D$6:$D$205,MATCH(B2390,Mitarbeiter!$A$6:$A$205,0))&lt;&gt;"",A2390&gt;INDEX(Mitarbeiter!$D$6:$D$205,MATCH(B2390,Mitarbeiter!$A$6:$A$205,0))),"nach Austritt","ok")))))))</f>
        <v/>
      </c>
    </row>
    <row r="2391">
      <c r="A2391" s="26" t="n"/>
      <c r="B2391" s="24" t="n"/>
      <c r="C2391" s="40">
        <f>IF(B2391="","",IFERROR(INDEX(Mitarbeiter!$B$6:$B$205,MATCH(B2391,Mitarbeiter!$A$6:$A$205,0)),"?"))</f>
        <v/>
      </c>
      <c r="D2391" s="41" t="n"/>
      <c r="E2391" s="42" t="n"/>
      <c r="F2391" s="43" t="n"/>
      <c r="G2391" s="44">
        <f>IF(OR(B2391="",F2391=""),"",IFERROR(F2391*INDEX(Mitarbeiter!$F$6:$F$205,MATCH(B2391,Mitarbeiter!$A$6:$A$205,0)),0))</f>
        <v/>
      </c>
      <c r="H2391" s="8">
        <f>IF(B2391="","",IF(ISNA(MATCH(B2391,Mitarbeiter!$A$6:$A$205,0)),"Pers.-Nr. unbekannt",IF(A2391="","Datum fehlt",IF(AND(D2391&lt;&gt;Einstellungen!$C$4,D2391&lt;&gt;Einstellungen!$C$5),"Objekt fehlt",IF(YEAR(A2391)&lt;&gt;Einstellungen!$C$3,"anderes Jahr",IF(A2391&lt;INDEX(Mitarbeiter!$C$6:$C$205,MATCH(B2391,Mitarbeiter!$A$6:$A$205,0)),"vor Eintritt",IF(AND(INDEX(Mitarbeiter!$D$6:$D$205,MATCH(B2391,Mitarbeiter!$A$6:$A$205,0))&lt;&gt;"",A2391&gt;INDEX(Mitarbeiter!$D$6:$D$205,MATCH(B2391,Mitarbeiter!$A$6:$A$205,0))),"nach Austritt","ok")))))))</f>
        <v/>
      </c>
    </row>
    <row r="2392">
      <c r="A2392" s="26" t="n"/>
      <c r="B2392" s="24" t="n"/>
      <c r="C2392" s="40">
        <f>IF(B2392="","",IFERROR(INDEX(Mitarbeiter!$B$6:$B$205,MATCH(B2392,Mitarbeiter!$A$6:$A$205,0)),"?"))</f>
        <v/>
      </c>
      <c r="D2392" s="41" t="n"/>
      <c r="E2392" s="42" t="n"/>
      <c r="F2392" s="43" t="n"/>
      <c r="G2392" s="44">
        <f>IF(OR(B2392="",F2392=""),"",IFERROR(F2392*INDEX(Mitarbeiter!$F$6:$F$205,MATCH(B2392,Mitarbeiter!$A$6:$A$205,0)),0))</f>
        <v/>
      </c>
      <c r="H2392" s="8">
        <f>IF(B2392="","",IF(ISNA(MATCH(B2392,Mitarbeiter!$A$6:$A$205,0)),"Pers.-Nr. unbekannt",IF(A2392="","Datum fehlt",IF(AND(D2392&lt;&gt;Einstellungen!$C$4,D2392&lt;&gt;Einstellungen!$C$5),"Objekt fehlt",IF(YEAR(A2392)&lt;&gt;Einstellungen!$C$3,"anderes Jahr",IF(A2392&lt;INDEX(Mitarbeiter!$C$6:$C$205,MATCH(B2392,Mitarbeiter!$A$6:$A$205,0)),"vor Eintritt",IF(AND(INDEX(Mitarbeiter!$D$6:$D$205,MATCH(B2392,Mitarbeiter!$A$6:$A$205,0))&lt;&gt;"",A2392&gt;INDEX(Mitarbeiter!$D$6:$D$205,MATCH(B2392,Mitarbeiter!$A$6:$A$205,0))),"nach Austritt","ok")))))))</f>
        <v/>
      </c>
    </row>
    <row r="2393">
      <c r="A2393" s="26" t="n"/>
      <c r="B2393" s="24" t="n"/>
      <c r="C2393" s="40">
        <f>IF(B2393="","",IFERROR(INDEX(Mitarbeiter!$B$6:$B$205,MATCH(B2393,Mitarbeiter!$A$6:$A$205,0)),"?"))</f>
        <v/>
      </c>
      <c r="D2393" s="41" t="n"/>
      <c r="E2393" s="42" t="n"/>
      <c r="F2393" s="43" t="n"/>
      <c r="G2393" s="44">
        <f>IF(OR(B2393="",F2393=""),"",IFERROR(F2393*INDEX(Mitarbeiter!$F$6:$F$205,MATCH(B2393,Mitarbeiter!$A$6:$A$205,0)),0))</f>
        <v/>
      </c>
      <c r="H2393" s="8">
        <f>IF(B2393="","",IF(ISNA(MATCH(B2393,Mitarbeiter!$A$6:$A$205,0)),"Pers.-Nr. unbekannt",IF(A2393="","Datum fehlt",IF(AND(D2393&lt;&gt;Einstellungen!$C$4,D2393&lt;&gt;Einstellungen!$C$5),"Objekt fehlt",IF(YEAR(A2393)&lt;&gt;Einstellungen!$C$3,"anderes Jahr",IF(A2393&lt;INDEX(Mitarbeiter!$C$6:$C$205,MATCH(B2393,Mitarbeiter!$A$6:$A$205,0)),"vor Eintritt",IF(AND(INDEX(Mitarbeiter!$D$6:$D$205,MATCH(B2393,Mitarbeiter!$A$6:$A$205,0))&lt;&gt;"",A2393&gt;INDEX(Mitarbeiter!$D$6:$D$205,MATCH(B2393,Mitarbeiter!$A$6:$A$205,0))),"nach Austritt","ok")))))))</f>
        <v/>
      </c>
    </row>
    <row r="2394">
      <c r="A2394" s="26" t="n"/>
      <c r="B2394" s="24" t="n"/>
      <c r="C2394" s="40">
        <f>IF(B2394="","",IFERROR(INDEX(Mitarbeiter!$B$6:$B$205,MATCH(B2394,Mitarbeiter!$A$6:$A$205,0)),"?"))</f>
        <v/>
      </c>
      <c r="D2394" s="41" t="n"/>
      <c r="E2394" s="42" t="n"/>
      <c r="F2394" s="43" t="n"/>
      <c r="G2394" s="44">
        <f>IF(OR(B2394="",F2394=""),"",IFERROR(F2394*INDEX(Mitarbeiter!$F$6:$F$205,MATCH(B2394,Mitarbeiter!$A$6:$A$205,0)),0))</f>
        <v/>
      </c>
      <c r="H2394" s="8">
        <f>IF(B2394="","",IF(ISNA(MATCH(B2394,Mitarbeiter!$A$6:$A$205,0)),"Pers.-Nr. unbekannt",IF(A2394="","Datum fehlt",IF(AND(D2394&lt;&gt;Einstellungen!$C$4,D2394&lt;&gt;Einstellungen!$C$5),"Objekt fehlt",IF(YEAR(A2394)&lt;&gt;Einstellungen!$C$3,"anderes Jahr",IF(A2394&lt;INDEX(Mitarbeiter!$C$6:$C$205,MATCH(B2394,Mitarbeiter!$A$6:$A$205,0)),"vor Eintritt",IF(AND(INDEX(Mitarbeiter!$D$6:$D$205,MATCH(B2394,Mitarbeiter!$A$6:$A$205,0))&lt;&gt;"",A2394&gt;INDEX(Mitarbeiter!$D$6:$D$205,MATCH(B2394,Mitarbeiter!$A$6:$A$205,0))),"nach Austritt","ok")))))))</f>
        <v/>
      </c>
    </row>
    <row r="2395">
      <c r="A2395" s="26" t="n"/>
      <c r="B2395" s="24" t="n"/>
      <c r="C2395" s="40">
        <f>IF(B2395="","",IFERROR(INDEX(Mitarbeiter!$B$6:$B$205,MATCH(B2395,Mitarbeiter!$A$6:$A$205,0)),"?"))</f>
        <v/>
      </c>
      <c r="D2395" s="41" t="n"/>
      <c r="E2395" s="42" t="n"/>
      <c r="F2395" s="43" t="n"/>
      <c r="G2395" s="44">
        <f>IF(OR(B2395="",F2395=""),"",IFERROR(F2395*INDEX(Mitarbeiter!$F$6:$F$205,MATCH(B2395,Mitarbeiter!$A$6:$A$205,0)),0))</f>
        <v/>
      </c>
      <c r="H2395" s="8">
        <f>IF(B2395="","",IF(ISNA(MATCH(B2395,Mitarbeiter!$A$6:$A$205,0)),"Pers.-Nr. unbekannt",IF(A2395="","Datum fehlt",IF(AND(D2395&lt;&gt;Einstellungen!$C$4,D2395&lt;&gt;Einstellungen!$C$5),"Objekt fehlt",IF(YEAR(A2395)&lt;&gt;Einstellungen!$C$3,"anderes Jahr",IF(A2395&lt;INDEX(Mitarbeiter!$C$6:$C$205,MATCH(B2395,Mitarbeiter!$A$6:$A$205,0)),"vor Eintritt",IF(AND(INDEX(Mitarbeiter!$D$6:$D$205,MATCH(B2395,Mitarbeiter!$A$6:$A$205,0))&lt;&gt;"",A2395&gt;INDEX(Mitarbeiter!$D$6:$D$205,MATCH(B2395,Mitarbeiter!$A$6:$A$205,0))),"nach Austritt","ok")))))))</f>
        <v/>
      </c>
    </row>
    <row r="2396">
      <c r="A2396" s="26" t="n"/>
      <c r="B2396" s="24" t="n"/>
      <c r="C2396" s="40">
        <f>IF(B2396="","",IFERROR(INDEX(Mitarbeiter!$B$6:$B$205,MATCH(B2396,Mitarbeiter!$A$6:$A$205,0)),"?"))</f>
        <v/>
      </c>
      <c r="D2396" s="41" t="n"/>
      <c r="E2396" s="42" t="n"/>
      <c r="F2396" s="43" t="n"/>
      <c r="G2396" s="44">
        <f>IF(OR(B2396="",F2396=""),"",IFERROR(F2396*INDEX(Mitarbeiter!$F$6:$F$205,MATCH(B2396,Mitarbeiter!$A$6:$A$205,0)),0))</f>
        <v/>
      </c>
      <c r="H2396" s="8">
        <f>IF(B2396="","",IF(ISNA(MATCH(B2396,Mitarbeiter!$A$6:$A$205,0)),"Pers.-Nr. unbekannt",IF(A2396="","Datum fehlt",IF(AND(D2396&lt;&gt;Einstellungen!$C$4,D2396&lt;&gt;Einstellungen!$C$5),"Objekt fehlt",IF(YEAR(A2396)&lt;&gt;Einstellungen!$C$3,"anderes Jahr",IF(A2396&lt;INDEX(Mitarbeiter!$C$6:$C$205,MATCH(B2396,Mitarbeiter!$A$6:$A$205,0)),"vor Eintritt",IF(AND(INDEX(Mitarbeiter!$D$6:$D$205,MATCH(B2396,Mitarbeiter!$A$6:$A$205,0))&lt;&gt;"",A2396&gt;INDEX(Mitarbeiter!$D$6:$D$205,MATCH(B2396,Mitarbeiter!$A$6:$A$205,0))),"nach Austritt","ok")))))))</f>
        <v/>
      </c>
    </row>
    <row r="2397">
      <c r="A2397" s="26" t="n"/>
      <c r="B2397" s="24" t="n"/>
      <c r="C2397" s="40">
        <f>IF(B2397="","",IFERROR(INDEX(Mitarbeiter!$B$6:$B$205,MATCH(B2397,Mitarbeiter!$A$6:$A$205,0)),"?"))</f>
        <v/>
      </c>
      <c r="D2397" s="41" t="n"/>
      <c r="E2397" s="42" t="n"/>
      <c r="F2397" s="43" t="n"/>
      <c r="G2397" s="44">
        <f>IF(OR(B2397="",F2397=""),"",IFERROR(F2397*INDEX(Mitarbeiter!$F$6:$F$205,MATCH(B2397,Mitarbeiter!$A$6:$A$205,0)),0))</f>
        <v/>
      </c>
      <c r="H2397" s="8">
        <f>IF(B2397="","",IF(ISNA(MATCH(B2397,Mitarbeiter!$A$6:$A$205,0)),"Pers.-Nr. unbekannt",IF(A2397="","Datum fehlt",IF(AND(D2397&lt;&gt;Einstellungen!$C$4,D2397&lt;&gt;Einstellungen!$C$5),"Objekt fehlt",IF(YEAR(A2397)&lt;&gt;Einstellungen!$C$3,"anderes Jahr",IF(A2397&lt;INDEX(Mitarbeiter!$C$6:$C$205,MATCH(B2397,Mitarbeiter!$A$6:$A$205,0)),"vor Eintritt",IF(AND(INDEX(Mitarbeiter!$D$6:$D$205,MATCH(B2397,Mitarbeiter!$A$6:$A$205,0))&lt;&gt;"",A2397&gt;INDEX(Mitarbeiter!$D$6:$D$205,MATCH(B2397,Mitarbeiter!$A$6:$A$205,0))),"nach Austritt","ok")))))))</f>
        <v/>
      </c>
    </row>
    <row r="2398">
      <c r="A2398" s="26" t="n"/>
      <c r="B2398" s="24" t="n"/>
      <c r="C2398" s="40">
        <f>IF(B2398="","",IFERROR(INDEX(Mitarbeiter!$B$6:$B$205,MATCH(B2398,Mitarbeiter!$A$6:$A$205,0)),"?"))</f>
        <v/>
      </c>
      <c r="D2398" s="41" t="n"/>
      <c r="E2398" s="42" t="n"/>
      <c r="F2398" s="43" t="n"/>
      <c r="G2398" s="44">
        <f>IF(OR(B2398="",F2398=""),"",IFERROR(F2398*INDEX(Mitarbeiter!$F$6:$F$205,MATCH(B2398,Mitarbeiter!$A$6:$A$205,0)),0))</f>
        <v/>
      </c>
      <c r="H2398" s="8">
        <f>IF(B2398="","",IF(ISNA(MATCH(B2398,Mitarbeiter!$A$6:$A$205,0)),"Pers.-Nr. unbekannt",IF(A2398="","Datum fehlt",IF(AND(D2398&lt;&gt;Einstellungen!$C$4,D2398&lt;&gt;Einstellungen!$C$5),"Objekt fehlt",IF(YEAR(A2398)&lt;&gt;Einstellungen!$C$3,"anderes Jahr",IF(A2398&lt;INDEX(Mitarbeiter!$C$6:$C$205,MATCH(B2398,Mitarbeiter!$A$6:$A$205,0)),"vor Eintritt",IF(AND(INDEX(Mitarbeiter!$D$6:$D$205,MATCH(B2398,Mitarbeiter!$A$6:$A$205,0))&lt;&gt;"",A2398&gt;INDEX(Mitarbeiter!$D$6:$D$205,MATCH(B2398,Mitarbeiter!$A$6:$A$205,0))),"nach Austritt","ok")))))))</f>
        <v/>
      </c>
    </row>
    <row r="2399">
      <c r="A2399" s="26" t="n"/>
      <c r="B2399" s="24" t="n"/>
      <c r="C2399" s="40">
        <f>IF(B2399="","",IFERROR(INDEX(Mitarbeiter!$B$6:$B$205,MATCH(B2399,Mitarbeiter!$A$6:$A$205,0)),"?"))</f>
        <v/>
      </c>
      <c r="D2399" s="41" t="n"/>
      <c r="E2399" s="42" t="n"/>
      <c r="F2399" s="43" t="n"/>
      <c r="G2399" s="44">
        <f>IF(OR(B2399="",F2399=""),"",IFERROR(F2399*INDEX(Mitarbeiter!$F$6:$F$205,MATCH(B2399,Mitarbeiter!$A$6:$A$205,0)),0))</f>
        <v/>
      </c>
      <c r="H2399" s="8">
        <f>IF(B2399="","",IF(ISNA(MATCH(B2399,Mitarbeiter!$A$6:$A$205,0)),"Pers.-Nr. unbekannt",IF(A2399="","Datum fehlt",IF(AND(D2399&lt;&gt;Einstellungen!$C$4,D2399&lt;&gt;Einstellungen!$C$5),"Objekt fehlt",IF(YEAR(A2399)&lt;&gt;Einstellungen!$C$3,"anderes Jahr",IF(A2399&lt;INDEX(Mitarbeiter!$C$6:$C$205,MATCH(B2399,Mitarbeiter!$A$6:$A$205,0)),"vor Eintritt",IF(AND(INDEX(Mitarbeiter!$D$6:$D$205,MATCH(B2399,Mitarbeiter!$A$6:$A$205,0))&lt;&gt;"",A2399&gt;INDEX(Mitarbeiter!$D$6:$D$205,MATCH(B2399,Mitarbeiter!$A$6:$A$205,0))),"nach Austritt","ok")))))))</f>
        <v/>
      </c>
    </row>
    <row r="2400">
      <c r="A2400" s="26" t="n"/>
      <c r="B2400" s="24" t="n"/>
      <c r="C2400" s="40">
        <f>IF(B2400="","",IFERROR(INDEX(Mitarbeiter!$B$6:$B$205,MATCH(B2400,Mitarbeiter!$A$6:$A$205,0)),"?"))</f>
        <v/>
      </c>
      <c r="D2400" s="41" t="n"/>
      <c r="E2400" s="42" t="n"/>
      <c r="F2400" s="43" t="n"/>
      <c r="G2400" s="44">
        <f>IF(OR(B2400="",F2400=""),"",IFERROR(F2400*INDEX(Mitarbeiter!$F$6:$F$205,MATCH(B2400,Mitarbeiter!$A$6:$A$205,0)),0))</f>
        <v/>
      </c>
      <c r="H2400" s="8">
        <f>IF(B2400="","",IF(ISNA(MATCH(B2400,Mitarbeiter!$A$6:$A$205,0)),"Pers.-Nr. unbekannt",IF(A2400="","Datum fehlt",IF(AND(D2400&lt;&gt;Einstellungen!$C$4,D2400&lt;&gt;Einstellungen!$C$5),"Objekt fehlt",IF(YEAR(A2400)&lt;&gt;Einstellungen!$C$3,"anderes Jahr",IF(A2400&lt;INDEX(Mitarbeiter!$C$6:$C$205,MATCH(B2400,Mitarbeiter!$A$6:$A$205,0)),"vor Eintritt",IF(AND(INDEX(Mitarbeiter!$D$6:$D$205,MATCH(B2400,Mitarbeiter!$A$6:$A$205,0))&lt;&gt;"",A2400&gt;INDEX(Mitarbeiter!$D$6:$D$205,MATCH(B2400,Mitarbeiter!$A$6:$A$205,0))),"nach Austritt","ok")))))))</f>
        <v/>
      </c>
    </row>
    <row r="2401">
      <c r="A2401" s="26" t="n"/>
      <c r="B2401" s="24" t="n"/>
      <c r="C2401" s="40">
        <f>IF(B2401="","",IFERROR(INDEX(Mitarbeiter!$B$6:$B$205,MATCH(B2401,Mitarbeiter!$A$6:$A$205,0)),"?"))</f>
        <v/>
      </c>
      <c r="D2401" s="41" t="n"/>
      <c r="E2401" s="42" t="n"/>
      <c r="F2401" s="43" t="n"/>
      <c r="G2401" s="44">
        <f>IF(OR(B2401="",F2401=""),"",IFERROR(F2401*INDEX(Mitarbeiter!$F$6:$F$205,MATCH(B2401,Mitarbeiter!$A$6:$A$205,0)),0))</f>
        <v/>
      </c>
      <c r="H2401" s="8">
        <f>IF(B2401="","",IF(ISNA(MATCH(B2401,Mitarbeiter!$A$6:$A$205,0)),"Pers.-Nr. unbekannt",IF(A2401="","Datum fehlt",IF(AND(D2401&lt;&gt;Einstellungen!$C$4,D2401&lt;&gt;Einstellungen!$C$5),"Objekt fehlt",IF(YEAR(A2401)&lt;&gt;Einstellungen!$C$3,"anderes Jahr",IF(A2401&lt;INDEX(Mitarbeiter!$C$6:$C$205,MATCH(B2401,Mitarbeiter!$A$6:$A$205,0)),"vor Eintritt",IF(AND(INDEX(Mitarbeiter!$D$6:$D$205,MATCH(B2401,Mitarbeiter!$A$6:$A$205,0))&lt;&gt;"",A2401&gt;INDEX(Mitarbeiter!$D$6:$D$205,MATCH(B2401,Mitarbeiter!$A$6:$A$205,0))),"nach Austritt","ok")))))))</f>
        <v/>
      </c>
    </row>
    <row r="2402">
      <c r="A2402" s="26" t="n"/>
      <c r="B2402" s="24" t="n"/>
      <c r="C2402" s="40">
        <f>IF(B2402="","",IFERROR(INDEX(Mitarbeiter!$B$6:$B$205,MATCH(B2402,Mitarbeiter!$A$6:$A$205,0)),"?"))</f>
        <v/>
      </c>
      <c r="D2402" s="41" t="n"/>
      <c r="E2402" s="42" t="n"/>
      <c r="F2402" s="43" t="n"/>
      <c r="G2402" s="44">
        <f>IF(OR(B2402="",F2402=""),"",IFERROR(F2402*INDEX(Mitarbeiter!$F$6:$F$205,MATCH(B2402,Mitarbeiter!$A$6:$A$205,0)),0))</f>
        <v/>
      </c>
      <c r="H2402" s="8">
        <f>IF(B2402="","",IF(ISNA(MATCH(B2402,Mitarbeiter!$A$6:$A$205,0)),"Pers.-Nr. unbekannt",IF(A2402="","Datum fehlt",IF(AND(D2402&lt;&gt;Einstellungen!$C$4,D2402&lt;&gt;Einstellungen!$C$5),"Objekt fehlt",IF(YEAR(A2402)&lt;&gt;Einstellungen!$C$3,"anderes Jahr",IF(A2402&lt;INDEX(Mitarbeiter!$C$6:$C$205,MATCH(B2402,Mitarbeiter!$A$6:$A$205,0)),"vor Eintritt",IF(AND(INDEX(Mitarbeiter!$D$6:$D$205,MATCH(B2402,Mitarbeiter!$A$6:$A$205,0))&lt;&gt;"",A2402&gt;INDEX(Mitarbeiter!$D$6:$D$205,MATCH(B2402,Mitarbeiter!$A$6:$A$205,0))),"nach Austritt","ok")))))))</f>
        <v/>
      </c>
    </row>
    <row r="2403">
      <c r="A2403" s="26" t="n"/>
      <c r="B2403" s="24" t="n"/>
      <c r="C2403" s="40">
        <f>IF(B2403="","",IFERROR(INDEX(Mitarbeiter!$B$6:$B$205,MATCH(B2403,Mitarbeiter!$A$6:$A$205,0)),"?"))</f>
        <v/>
      </c>
      <c r="D2403" s="41" t="n"/>
      <c r="E2403" s="42" t="n"/>
      <c r="F2403" s="43" t="n"/>
      <c r="G2403" s="44">
        <f>IF(OR(B2403="",F2403=""),"",IFERROR(F2403*INDEX(Mitarbeiter!$F$6:$F$205,MATCH(B2403,Mitarbeiter!$A$6:$A$205,0)),0))</f>
        <v/>
      </c>
      <c r="H2403" s="8">
        <f>IF(B2403="","",IF(ISNA(MATCH(B2403,Mitarbeiter!$A$6:$A$205,0)),"Pers.-Nr. unbekannt",IF(A2403="","Datum fehlt",IF(AND(D2403&lt;&gt;Einstellungen!$C$4,D2403&lt;&gt;Einstellungen!$C$5),"Objekt fehlt",IF(YEAR(A2403)&lt;&gt;Einstellungen!$C$3,"anderes Jahr",IF(A2403&lt;INDEX(Mitarbeiter!$C$6:$C$205,MATCH(B2403,Mitarbeiter!$A$6:$A$205,0)),"vor Eintritt",IF(AND(INDEX(Mitarbeiter!$D$6:$D$205,MATCH(B2403,Mitarbeiter!$A$6:$A$205,0))&lt;&gt;"",A2403&gt;INDEX(Mitarbeiter!$D$6:$D$205,MATCH(B2403,Mitarbeiter!$A$6:$A$205,0))),"nach Austritt","ok")))))))</f>
        <v/>
      </c>
    </row>
    <row r="2404">
      <c r="A2404" s="26" t="n"/>
      <c r="B2404" s="24" t="n"/>
      <c r="C2404" s="40">
        <f>IF(B2404="","",IFERROR(INDEX(Mitarbeiter!$B$6:$B$205,MATCH(B2404,Mitarbeiter!$A$6:$A$205,0)),"?"))</f>
        <v/>
      </c>
      <c r="D2404" s="41" t="n"/>
      <c r="E2404" s="42" t="n"/>
      <c r="F2404" s="43" t="n"/>
      <c r="G2404" s="44">
        <f>IF(OR(B2404="",F2404=""),"",IFERROR(F2404*INDEX(Mitarbeiter!$F$6:$F$205,MATCH(B2404,Mitarbeiter!$A$6:$A$205,0)),0))</f>
        <v/>
      </c>
      <c r="H2404" s="8">
        <f>IF(B2404="","",IF(ISNA(MATCH(B2404,Mitarbeiter!$A$6:$A$205,0)),"Pers.-Nr. unbekannt",IF(A2404="","Datum fehlt",IF(AND(D2404&lt;&gt;Einstellungen!$C$4,D2404&lt;&gt;Einstellungen!$C$5),"Objekt fehlt",IF(YEAR(A2404)&lt;&gt;Einstellungen!$C$3,"anderes Jahr",IF(A2404&lt;INDEX(Mitarbeiter!$C$6:$C$205,MATCH(B2404,Mitarbeiter!$A$6:$A$205,0)),"vor Eintritt",IF(AND(INDEX(Mitarbeiter!$D$6:$D$205,MATCH(B2404,Mitarbeiter!$A$6:$A$205,0))&lt;&gt;"",A2404&gt;INDEX(Mitarbeiter!$D$6:$D$205,MATCH(B2404,Mitarbeiter!$A$6:$A$205,0))),"nach Austritt","ok")))))))</f>
        <v/>
      </c>
    </row>
    <row r="2405">
      <c r="A2405" s="26" t="n"/>
      <c r="B2405" s="24" t="n"/>
      <c r="C2405" s="40">
        <f>IF(B2405="","",IFERROR(INDEX(Mitarbeiter!$B$6:$B$205,MATCH(B2405,Mitarbeiter!$A$6:$A$205,0)),"?"))</f>
        <v/>
      </c>
      <c r="D2405" s="41" t="n"/>
      <c r="E2405" s="42" t="n"/>
      <c r="F2405" s="43" t="n"/>
      <c r="G2405" s="44">
        <f>IF(OR(B2405="",F2405=""),"",IFERROR(F2405*INDEX(Mitarbeiter!$F$6:$F$205,MATCH(B2405,Mitarbeiter!$A$6:$A$205,0)),0))</f>
        <v/>
      </c>
      <c r="H2405" s="8">
        <f>IF(B2405="","",IF(ISNA(MATCH(B2405,Mitarbeiter!$A$6:$A$205,0)),"Pers.-Nr. unbekannt",IF(A2405="","Datum fehlt",IF(AND(D2405&lt;&gt;Einstellungen!$C$4,D2405&lt;&gt;Einstellungen!$C$5),"Objekt fehlt",IF(YEAR(A2405)&lt;&gt;Einstellungen!$C$3,"anderes Jahr",IF(A2405&lt;INDEX(Mitarbeiter!$C$6:$C$205,MATCH(B2405,Mitarbeiter!$A$6:$A$205,0)),"vor Eintritt",IF(AND(INDEX(Mitarbeiter!$D$6:$D$205,MATCH(B2405,Mitarbeiter!$A$6:$A$205,0))&lt;&gt;"",A2405&gt;INDEX(Mitarbeiter!$D$6:$D$205,MATCH(B2405,Mitarbeiter!$A$6:$A$205,0))),"nach Austritt","ok")))))))</f>
        <v/>
      </c>
    </row>
    <row r="2406">
      <c r="A2406" s="26" t="n"/>
      <c r="B2406" s="24" t="n"/>
      <c r="C2406" s="40">
        <f>IF(B2406="","",IFERROR(INDEX(Mitarbeiter!$B$6:$B$205,MATCH(B2406,Mitarbeiter!$A$6:$A$205,0)),"?"))</f>
        <v/>
      </c>
      <c r="D2406" s="41" t="n"/>
      <c r="E2406" s="42" t="n"/>
      <c r="F2406" s="43" t="n"/>
      <c r="G2406" s="44">
        <f>IF(OR(B2406="",F2406=""),"",IFERROR(F2406*INDEX(Mitarbeiter!$F$6:$F$205,MATCH(B2406,Mitarbeiter!$A$6:$A$205,0)),0))</f>
        <v/>
      </c>
      <c r="H2406" s="8">
        <f>IF(B2406="","",IF(ISNA(MATCH(B2406,Mitarbeiter!$A$6:$A$205,0)),"Pers.-Nr. unbekannt",IF(A2406="","Datum fehlt",IF(AND(D2406&lt;&gt;Einstellungen!$C$4,D2406&lt;&gt;Einstellungen!$C$5),"Objekt fehlt",IF(YEAR(A2406)&lt;&gt;Einstellungen!$C$3,"anderes Jahr",IF(A2406&lt;INDEX(Mitarbeiter!$C$6:$C$205,MATCH(B2406,Mitarbeiter!$A$6:$A$205,0)),"vor Eintritt",IF(AND(INDEX(Mitarbeiter!$D$6:$D$205,MATCH(B2406,Mitarbeiter!$A$6:$A$205,0))&lt;&gt;"",A2406&gt;INDEX(Mitarbeiter!$D$6:$D$205,MATCH(B2406,Mitarbeiter!$A$6:$A$205,0))),"nach Austritt","ok")))))))</f>
        <v/>
      </c>
    </row>
    <row r="2407">
      <c r="A2407" s="26" t="n"/>
      <c r="B2407" s="24" t="n"/>
      <c r="C2407" s="40">
        <f>IF(B2407="","",IFERROR(INDEX(Mitarbeiter!$B$6:$B$205,MATCH(B2407,Mitarbeiter!$A$6:$A$205,0)),"?"))</f>
        <v/>
      </c>
      <c r="D2407" s="41" t="n"/>
      <c r="E2407" s="42" t="n"/>
      <c r="F2407" s="43" t="n"/>
      <c r="G2407" s="44">
        <f>IF(OR(B2407="",F2407=""),"",IFERROR(F2407*INDEX(Mitarbeiter!$F$6:$F$205,MATCH(B2407,Mitarbeiter!$A$6:$A$205,0)),0))</f>
        <v/>
      </c>
      <c r="H2407" s="8">
        <f>IF(B2407="","",IF(ISNA(MATCH(B2407,Mitarbeiter!$A$6:$A$205,0)),"Pers.-Nr. unbekannt",IF(A2407="","Datum fehlt",IF(AND(D2407&lt;&gt;Einstellungen!$C$4,D2407&lt;&gt;Einstellungen!$C$5),"Objekt fehlt",IF(YEAR(A2407)&lt;&gt;Einstellungen!$C$3,"anderes Jahr",IF(A2407&lt;INDEX(Mitarbeiter!$C$6:$C$205,MATCH(B2407,Mitarbeiter!$A$6:$A$205,0)),"vor Eintritt",IF(AND(INDEX(Mitarbeiter!$D$6:$D$205,MATCH(B2407,Mitarbeiter!$A$6:$A$205,0))&lt;&gt;"",A2407&gt;INDEX(Mitarbeiter!$D$6:$D$205,MATCH(B2407,Mitarbeiter!$A$6:$A$205,0))),"nach Austritt","ok")))))))</f>
        <v/>
      </c>
    </row>
    <row r="2408">
      <c r="A2408" s="26" t="n"/>
      <c r="B2408" s="24" t="n"/>
      <c r="C2408" s="40">
        <f>IF(B2408="","",IFERROR(INDEX(Mitarbeiter!$B$6:$B$205,MATCH(B2408,Mitarbeiter!$A$6:$A$205,0)),"?"))</f>
        <v/>
      </c>
      <c r="D2408" s="41" t="n"/>
      <c r="E2408" s="42" t="n"/>
      <c r="F2408" s="43" t="n"/>
      <c r="G2408" s="44">
        <f>IF(OR(B2408="",F2408=""),"",IFERROR(F2408*INDEX(Mitarbeiter!$F$6:$F$205,MATCH(B2408,Mitarbeiter!$A$6:$A$205,0)),0))</f>
        <v/>
      </c>
      <c r="H2408" s="8">
        <f>IF(B2408="","",IF(ISNA(MATCH(B2408,Mitarbeiter!$A$6:$A$205,0)),"Pers.-Nr. unbekannt",IF(A2408="","Datum fehlt",IF(AND(D2408&lt;&gt;Einstellungen!$C$4,D2408&lt;&gt;Einstellungen!$C$5),"Objekt fehlt",IF(YEAR(A2408)&lt;&gt;Einstellungen!$C$3,"anderes Jahr",IF(A2408&lt;INDEX(Mitarbeiter!$C$6:$C$205,MATCH(B2408,Mitarbeiter!$A$6:$A$205,0)),"vor Eintritt",IF(AND(INDEX(Mitarbeiter!$D$6:$D$205,MATCH(B2408,Mitarbeiter!$A$6:$A$205,0))&lt;&gt;"",A2408&gt;INDEX(Mitarbeiter!$D$6:$D$205,MATCH(B2408,Mitarbeiter!$A$6:$A$205,0))),"nach Austritt","ok")))))))</f>
        <v/>
      </c>
    </row>
    <row r="2409">
      <c r="A2409" s="26" t="n"/>
      <c r="B2409" s="24" t="n"/>
      <c r="C2409" s="40">
        <f>IF(B2409="","",IFERROR(INDEX(Mitarbeiter!$B$6:$B$205,MATCH(B2409,Mitarbeiter!$A$6:$A$205,0)),"?"))</f>
        <v/>
      </c>
      <c r="D2409" s="41" t="n"/>
      <c r="E2409" s="42" t="n"/>
      <c r="F2409" s="43" t="n"/>
      <c r="G2409" s="44">
        <f>IF(OR(B2409="",F2409=""),"",IFERROR(F2409*INDEX(Mitarbeiter!$F$6:$F$205,MATCH(B2409,Mitarbeiter!$A$6:$A$205,0)),0))</f>
        <v/>
      </c>
      <c r="H2409" s="8">
        <f>IF(B2409="","",IF(ISNA(MATCH(B2409,Mitarbeiter!$A$6:$A$205,0)),"Pers.-Nr. unbekannt",IF(A2409="","Datum fehlt",IF(AND(D2409&lt;&gt;Einstellungen!$C$4,D2409&lt;&gt;Einstellungen!$C$5),"Objekt fehlt",IF(YEAR(A2409)&lt;&gt;Einstellungen!$C$3,"anderes Jahr",IF(A2409&lt;INDEX(Mitarbeiter!$C$6:$C$205,MATCH(B2409,Mitarbeiter!$A$6:$A$205,0)),"vor Eintritt",IF(AND(INDEX(Mitarbeiter!$D$6:$D$205,MATCH(B2409,Mitarbeiter!$A$6:$A$205,0))&lt;&gt;"",A2409&gt;INDEX(Mitarbeiter!$D$6:$D$205,MATCH(B2409,Mitarbeiter!$A$6:$A$205,0))),"nach Austritt","ok")))))))</f>
        <v/>
      </c>
    </row>
    <row r="2410">
      <c r="A2410" s="26" t="n"/>
      <c r="B2410" s="24" t="n"/>
      <c r="C2410" s="40">
        <f>IF(B2410="","",IFERROR(INDEX(Mitarbeiter!$B$6:$B$205,MATCH(B2410,Mitarbeiter!$A$6:$A$205,0)),"?"))</f>
        <v/>
      </c>
      <c r="D2410" s="41" t="n"/>
      <c r="E2410" s="42" t="n"/>
      <c r="F2410" s="43" t="n"/>
      <c r="G2410" s="44">
        <f>IF(OR(B2410="",F2410=""),"",IFERROR(F2410*INDEX(Mitarbeiter!$F$6:$F$205,MATCH(B2410,Mitarbeiter!$A$6:$A$205,0)),0))</f>
        <v/>
      </c>
      <c r="H2410" s="8">
        <f>IF(B2410="","",IF(ISNA(MATCH(B2410,Mitarbeiter!$A$6:$A$205,0)),"Pers.-Nr. unbekannt",IF(A2410="","Datum fehlt",IF(AND(D2410&lt;&gt;Einstellungen!$C$4,D2410&lt;&gt;Einstellungen!$C$5),"Objekt fehlt",IF(YEAR(A2410)&lt;&gt;Einstellungen!$C$3,"anderes Jahr",IF(A2410&lt;INDEX(Mitarbeiter!$C$6:$C$205,MATCH(B2410,Mitarbeiter!$A$6:$A$205,0)),"vor Eintritt",IF(AND(INDEX(Mitarbeiter!$D$6:$D$205,MATCH(B2410,Mitarbeiter!$A$6:$A$205,0))&lt;&gt;"",A2410&gt;INDEX(Mitarbeiter!$D$6:$D$205,MATCH(B2410,Mitarbeiter!$A$6:$A$205,0))),"nach Austritt","ok")))))))</f>
        <v/>
      </c>
    </row>
    <row r="2411">
      <c r="A2411" s="26" t="n"/>
      <c r="B2411" s="24" t="n"/>
      <c r="C2411" s="40">
        <f>IF(B2411="","",IFERROR(INDEX(Mitarbeiter!$B$6:$B$205,MATCH(B2411,Mitarbeiter!$A$6:$A$205,0)),"?"))</f>
        <v/>
      </c>
      <c r="D2411" s="41" t="n"/>
      <c r="E2411" s="42" t="n"/>
      <c r="F2411" s="43" t="n"/>
      <c r="G2411" s="44">
        <f>IF(OR(B2411="",F2411=""),"",IFERROR(F2411*INDEX(Mitarbeiter!$F$6:$F$205,MATCH(B2411,Mitarbeiter!$A$6:$A$205,0)),0))</f>
        <v/>
      </c>
      <c r="H2411" s="8">
        <f>IF(B2411="","",IF(ISNA(MATCH(B2411,Mitarbeiter!$A$6:$A$205,0)),"Pers.-Nr. unbekannt",IF(A2411="","Datum fehlt",IF(AND(D2411&lt;&gt;Einstellungen!$C$4,D2411&lt;&gt;Einstellungen!$C$5),"Objekt fehlt",IF(YEAR(A2411)&lt;&gt;Einstellungen!$C$3,"anderes Jahr",IF(A2411&lt;INDEX(Mitarbeiter!$C$6:$C$205,MATCH(B2411,Mitarbeiter!$A$6:$A$205,0)),"vor Eintritt",IF(AND(INDEX(Mitarbeiter!$D$6:$D$205,MATCH(B2411,Mitarbeiter!$A$6:$A$205,0))&lt;&gt;"",A2411&gt;INDEX(Mitarbeiter!$D$6:$D$205,MATCH(B2411,Mitarbeiter!$A$6:$A$205,0))),"nach Austritt","ok")))))))</f>
        <v/>
      </c>
    </row>
    <row r="2412">
      <c r="A2412" s="26" t="n"/>
      <c r="B2412" s="24" t="n"/>
      <c r="C2412" s="40">
        <f>IF(B2412="","",IFERROR(INDEX(Mitarbeiter!$B$6:$B$205,MATCH(B2412,Mitarbeiter!$A$6:$A$205,0)),"?"))</f>
        <v/>
      </c>
      <c r="D2412" s="41" t="n"/>
      <c r="E2412" s="42" t="n"/>
      <c r="F2412" s="43" t="n"/>
      <c r="G2412" s="44">
        <f>IF(OR(B2412="",F2412=""),"",IFERROR(F2412*INDEX(Mitarbeiter!$F$6:$F$205,MATCH(B2412,Mitarbeiter!$A$6:$A$205,0)),0))</f>
        <v/>
      </c>
      <c r="H2412" s="8">
        <f>IF(B2412="","",IF(ISNA(MATCH(B2412,Mitarbeiter!$A$6:$A$205,0)),"Pers.-Nr. unbekannt",IF(A2412="","Datum fehlt",IF(AND(D2412&lt;&gt;Einstellungen!$C$4,D2412&lt;&gt;Einstellungen!$C$5),"Objekt fehlt",IF(YEAR(A2412)&lt;&gt;Einstellungen!$C$3,"anderes Jahr",IF(A2412&lt;INDEX(Mitarbeiter!$C$6:$C$205,MATCH(B2412,Mitarbeiter!$A$6:$A$205,0)),"vor Eintritt",IF(AND(INDEX(Mitarbeiter!$D$6:$D$205,MATCH(B2412,Mitarbeiter!$A$6:$A$205,0))&lt;&gt;"",A2412&gt;INDEX(Mitarbeiter!$D$6:$D$205,MATCH(B2412,Mitarbeiter!$A$6:$A$205,0))),"nach Austritt","ok")))))))</f>
        <v/>
      </c>
    </row>
    <row r="2413">
      <c r="A2413" s="26" t="n"/>
      <c r="B2413" s="24" t="n"/>
      <c r="C2413" s="40">
        <f>IF(B2413="","",IFERROR(INDEX(Mitarbeiter!$B$6:$B$205,MATCH(B2413,Mitarbeiter!$A$6:$A$205,0)),"?"))</f>
        <v/>
      </c>
      <c r="D2413" s="41" t="n"/>
      <c r="E2413" s="42" t="n"/>
      <c r="F2413" s="43" t="n"/>
      <c r="G2413" s="44">
        <f>IF(OR(B2413="",F2413=""),"",IFERROR(F2413*INDEX(Mitarbeiter!$F$6:$F$205,MATCH(B2413,Mitarbeiter!$A$6:$A$205,0)),0))</f>
        <v/>
      </c>
      <c r="H2413" s="8">
        <f>IF(B2413="","",IF(ISNA(MATCH(B2413,Mitarbeiter!$A$6:$A$205,0)),"Pers.-Nr. unbekannt",IF(A2413="","Datum fehlt",IF(AND(D2413&lt;&gt;Einstellungen!$C$4,D2413&lt;&gt;Einstellungen!$C$5),"Objekt fehlt",IF(YEAR(A2413)&lt;&gt;Einstellungen!$C$3,"anderes Jahr",IF(A2413&lt;INDEX(Mitarbeiter!$C$6:$C$205,MATCH(B2413,Mitarbeiter!$A$6:$A$205,0)),"vor Eintritt",IF(AND(INDEX(Mitarbeiter!$D$6:$D$205,MATCH(B2413,Mitarbeiter!$A$6:$A$205,0))&lt;&gt;"",A2413&gt;INDEX(Mitarbeiter!$D$6:$D$205,MATCH(B2413,Mitarbeiter!$A$6:$A$205,0))),"nach Austritt","ok")))))))</f>
        <v/>
      </c>
    </row>
    <row r="2414">
      <c r="A2414" s="26" t="n"/>
      <c r="B2414" s="24" t="n"/>
      <c r="C2414" s="40">
        <f>IF(B2414="","",IFERROR(INDEX(Mitarbeiter!$B$6:$B$205,MATCH(B2414,Mitarbeiter!$A$6:$A$205,0)),"?"))</f>
        <v/>
      </c>
      <c r="D2414" s="41" t="n"/>
      <c r="E2414" s="42" t="n"/>
      <c r="F2414" s="43" t="n"/>
      <c r="G2414" s="44">
        <f>IF(OR(B2414="",F2414=""),"",IFERROR(F2414*INDEX(Mitarbeiter!$F$6:$F$205,MATCH(B2414,Mitarbeiter!$A$6:$A$205,0)),0))</f>
        <v/>
      </c>
      <c r="H2414" s="8">
        <f>IF(B2414="","",IF(ISNA(MATCH(B2414,Mitarbeiter!$A$6:$A$205,0)),"Pers.-Nr. unbekannt",IF(A2414="","Datum fehlt",IF(AND(D2414&lt;&gt;Einstellungen!$C$4,D2414&lt;&gt;Einstellungen!$C$5),"Objekt fehlt",IF(YEAR(A2414)&lt;&gt;Einstellungen!$C$3,"anderes Jahr",IF(A2414&lt;INDEX(Mitarbeiter!$C$6:$C$205,MATCH(B2414,Mitarbeiter!$A$6:$A$205,0)),"vor Eintritt",IF(AND(INDEX(Mitarbeiter!$D$6:$D$205,MATCH(B2414,Mitarbeiter!$A$6:$A$205,0))&lt;&gt;"",A2414&gt;INDEX(Mitarbeiter!$D$6:$D$205,MATCH(B2414,Mitarbeiter!$A$6:$A$205,0))),"nach Austritt","ok")))))))</f>
        <v/>
      </c>
    </row>
    <row r="2415">
      <c r="A2415" s="26" t="n"/>
      <c r="B2415" s="24" t="n"/>
      <c r="C2415" s="40">
        <f>IF(B2415="","",IFERROR(INDEX(Mitarbeiter!$B$6:$B$205,MATCH(B2415,Mitarbeiter!$A$6:$A$205,0)),"?"))</f>
        <v/>
      </c>
      <c r="D2415" s="41" t="n"/>
      <c r="E2415" s="42" t="n"/>
      <c r="F2415" s="43" t="n"/>
      <c r="G2415" s="44">
        <f>IF(OR(B2415="",F2415=""),"",IFERROR(F2415*INDEX(Mitarbeiter!$F$6:$F$205,MATCH(B2415,Mitarbeiter!$A$6:$A$205,0)),0))</f>
        <v/>
      </c>
      <c r="H2415" s="8">
        <f>IF(B2415="","",IF(ISNA(MATCH(B2415,Mitarbeiter!$A$6:$A$205,0)),"Pers.-Nr. unbekannt",IF(A2415="","Datum fehlt",IF(AND(D2415&lt;&gt;Einstellungen!$C$4,D2415&lt;&gt;Einstellungen!$C$5),"Objekt fehlt",IF(YEAR(A2415)&lt;&gt;Einstellungen!$C$3,"anderes Jahr",IF(A2415&lt;INDEX(Mitarbeiter!$C$6:$C$205,MATCH(B2415,Mitarbeiter!$A$6:$A$205,0)),"vor Eintritt",IF(AND(INDEX(Mitarbeiter!$D$6:$D$205,MATCH(B2415,Mitarbeiter!$A$6:$A$205,0))&lt;&gt;"",A2415&gt;INDEX(Mitarbeiter!$D$6:$D$205,MATCH(B2415,Mitarbeiter!$A$6:$A$205,0))),"nach Austritt","ok")))))))</f>
        <v/>
      </c>
    </row>
    <row r="2416">
      <c r="A2416" s="26" t="n"/>
      <c r="B2416" s="24" t="n"/>
      <c r="C2416" s="40">
        <f>IF(B2416="","",IFERROR(INDEX(Mitarbeiter!$B$6:$B$205,MATCH(B2416,Mitarbeiter!$A$6:$A$205,0)),"?"))</f>
        <v/>
      </c>
      <c r="D2416" s="41" t="n"/>
      <c r="E2416" s="42" t="n"/>
      <c r="F2416" s="43" t="n"/>
      <c r="G2416" s="44">
        <f>IF(OR(B2416="",F2416=""),"",IFERROR(F2416*INDEX(Mitarbeiter!$F$6:$F$205,MATCH(B2416,Mitarbeiter!$A$6:$A$205,0)),0))</f>
        <v/>
      </c>
      <c r="H2416" s="8">
        <f>IF(B2416="","",IF(ISNA(MATCH(B2416,Mitarbeiter!$A$6:$A$205,0)),"Pers.-Nr. unbekannt",IF(A2416="","Datum fehlt",IF(AND(D2416&lt;&gt;Einstellungen!$C$4,D2416&lt;&gt;Einstellungen!$C$5),"Objekt fehlt",IF(YEAR(A2416)&lt;&gt;Einstellungen!$C$3,"anderes Jahr",IF(A2416&lt;INDEX(Mitarbeiter!$C$6:$C$205,MATCH(B2416,Mitarbeiter!$A$6:$A$205,0)),"vor Eintritt",IF(AND(INDEX(Mitarbeiter!$D$6:$D$205,MATCH(B2416,Mitarbeiter!$A$6:$A$205,0))&lt;&gt;"",A2416&gt;INDEX(Mitarbeiter!$D$6:$D$205,MATCH(B2416,Mitarbeiter!$A$6:$A$205,0))),"nach Austritt","ok")))))))</f>
        <v/>
      </c>
    </row>
    <row r="2417">
      <c r="A2417" s="26" t="n"/>
      <c r="B2417" s="24" t="n"/>
      <c r="C2417" s="40">
        <f>IF(B2417="","",IFERROR(INDEX(Mitarbeiter!$B$6:$B$205,MATCH(B2417,Mitarbeiter!$A$6:$A$205,0)),"?"))</f>
        <v/>
      </c>
      <c r="D2417" s="41" t="n"/>
      <c r="E2417" s="42" t="n"/>
      <c r="F2417" s="43" t="n"/>
      <c r="G2417" s="44">
        <f>IF(OR(B2417="",F2417=""),"",IFERROR(F2417*INDEX(Mitarbeiter!$F$6:$F$205,MATCH(B2417,Mitarbeiter!$A$6:$A$205,0)),0))</f>
        <v/>
      </c>
      <c r="H2417" s="8">
        <f>IF(B2417="","",IF(ISNA(MATCH(B2417,Mitarbeiter!$A$6:$A$205,0)),"Pers.-Nr. unbekannt",IF(A2417="","Datum fehlt",IF(AND(D2417&lt;&gt;Einstellungen!$C$4,D2417&lt;&gt;Einstellungen!$C$5),"Objekt fehlt",IF(YEAR(A2417)&lt;&gt;Einstellungen!$C$3,"anderes Jahr",IF(A2417&lt;INDEX(Mitarbeiter!$C$6:$C$205,MATCH(B2417,Mitarbeiter!$A$6:$A$205,0)),"vor Eintritt",IF(AND(INDEX(Mitarbeiter!$D$6:$D$205,MATCH(B2417,Mitarbeiter!$A$6:$A$205,0))&lt;&gt;"",A2417&gt;INDEX(Mitarbeiter!$D$6:$D$205,MATCH(B2417,Mitarbeiter!$A$6:$A$205,0))),"nach Austritt","ok")))))))</f>
        <v/>
      </c>
    </row>
    <row r="2418">
      <c r="A2418" s="26" t="n"/>
      <c r="B2418" s="24" t="n"/>
      <c r="C2418" s="40">
        <f>IF(B2418="","",IFERROR(INDEX(Mitarbeiter!$B$6:$B$205,MATCH(B2418,Mitarbeiter!$A$6:$A$205,0)),"?"))</f>
        <v/>
      </c>
      <c r="D2418" s="41" t="n"/>
      <c r="E2418" s="42" t="n"/>
      <c r="F2418" s="43" t="n"/>
      <c r="G2418" s="44">
        <f>IF(OR(B2418="",F2418=""),"",IFERROR(F2418*INDEX(Mitarbeiter!$F$6:$F$205,MATCH(B2418,Mitarbeiter!$A$6:$A$205,0)),0))</f>
        <v/>
      </c>
      <c r="H2418" s="8">
        <f>IF(B2418="","",IF(ISNA(MATCH(B2418,Mitarbeiter!$A$6:$A$205,0)),"Pers.-Nr. unbekannt",IF(A2418="","Datum fehlt",IF(AND(D2418&lt;&gt;Einstellungen!$C$4,D2418&lt;&gt;Einstellungen!$C$5),"Objekt fehlt",IF(YEAR(A2418)&lt;&gt;Einstellungen!$C$3,"anderes Jahr",IF(A2418&lt;INDEX(Mitarbeiter!$C$6:$C$205,MATCH(B2418,Mitarbeiter!$A$6:$A$205,0)),"vor Eintritt",IF(AND(INDEX(Mitarbeiter!$D$6:$D$205,MATCH(B2418,Mitarbeiter!$A$6:$A$205,0))&lt;&gt;"",A2418&gt;INDEX(Mitarbeiter!$D$6:$D$205,MATCH(B2418,Mitarbeiter!$A$6:$A$205,0))),"nach Austritt","ok")))))))</f>
        <v/>
      </c>
    </row>
    <row r="2419">
      <c r="A2419" s="26" t="n"/>
      <c r="B2419" s="24" t="n"/>
      <c r="C2419" s="40">
        <f>IF(B2419="","",IFERROR(INDEX(Mitarbeiter!$B$6:$B$205,MATCH(B2419,Mitarbeiter!$A$6:$A$205,0)),"?"))</f>
        <v/>
      </c>
      <c r="D2419" s="41" t="n"/>
      <c r="E2419" s="42" t="n"/>
      <c r="F2419" s="43" t="n"/>
      <c r="G2419" s="44">
        <f>IF(OR(B2419="",F2419=""),"",IFERROR(F2419*INDEX(Mitarbeiter!$F$6:$F$205,MATCH(B2419,Mitarbeiter!$A$6:$A$205,0)),0))</f>
        <v/>
      </c>
      <c r="H2419" s="8">
        <f>IF(B2419="","",IF(ISNA(MATCH(B2419,Mitarbeiter!$A$6:$A$205,0)),"Pers.-Nr. unbekannt",IF(A2419="","Datum fehlt",IF(AND(D2419&lt;&gt;Einstellungen!$C$4,D2419&lt;&gt;Einstellungen!$C$5),"Objekt fehlt",IF(YEAR(A2419)&lt;&gt;Einstellungen!$C$3,"anderes Jahr",IF(A2419&lt;INDEX(Mitarbeiter!$C$6:$C$205,MATCH(B2419,Mitarbeiter!$A$6:$A$205,0)),"vor Eintritt",IF(AND(INDEX(Mitarbeiter!$D$6:$D$205,MATCH(B2419,Mitarbeiter!$A$6:$A$205,0))&lt;&gt;"",A2419&gt;INDEX(Mitarbeiter!$D$6:$D$205,MATCH(B2419,Mitarbeiter!$A$6:$A$205,0))),"nach Austritt","ok")))))))</f>
        <v/>
      </c>
    </row>
    <row r="2420">
      <c r="A2420" s="26" t="n"/>
      <c r="B2420" s="24" t="n"/>
      <c r="C2420" s="40">
        <f>IF(B2420="","",IFERROR(INDEX(Mitarbeiter!$B$6:$B$205,MATCH(B2420,Mitarbeiter!$A$6:$A$205,0)),"?"))</f>
        <v/>
      </c>
      <c r="D2420" s="41" t="n"/>
      <c r="E2420" s="42" t="n"/>
      <c r="F2420" s="43" t="n"/>
      <c r="G2420" s="44">
        <f>IF(OR(B2420="",F2420=""),"",IFERROR(F2420*INDEX(Mitarbeiter!$F$6:$F$205,MATCH(B2420,Mitarbeiter!$A$6:$A$205,0)),0))</f>
        <v/>
      </c>
      <c r="H2420" s="8">
        <f>IF(B2420="","",IF(ISNA(MATCH(B2420,Mitarbeiter!$A$6:$A$205,0)),"Pers.-Nr. unbekannt",IF(A2420="","Datum fehlt",IF(AND(D2420&lt;&gt;Einstellungen!$C$4,D2420&lt;&gt;Einstellungen!$C$5),"Objekt fehlt",IF(YEAR(A2420)&lt;&gt;Einstellungen!$C$3,"anderes Jahr",IF(A2420&lt;INDEX(Mitarbeiter!$C$6:$C$205,MATCH(B2420,Mitarbeiter!$A$6:$A$205,0)),"vor Eintritt",IF(AND(INDEX(Mitarbeiter!$D$6:$D$205,MATCH(B2420,Mitarbeiter!$A$6:$A$205,0))&lt;&gt;"",A2420&gt;INDEX(Mitarbeiter!$D$6:$D$205,MATCH(B2420,Mitarbeiter!$A$6:$A$205,0))),"nach Austritt","ok")))))))</f>
        <v/>
      </c>
    </row>
    <row r="2421">
      <c r="A2421" s="26" t="n"/>
      <c r="B2421" s="24" t="n"/>
      <c r="C2421" s="40">
        <f>IF(B2421="","",IFERROR(INDEX(Mitarbeiter!$B$6:$B$205,MATCH(B2421,Mitarbeiter!$A$6:$A$205,0)),"?"))</f>
        <v/>
      </c>
      <c r="D2421" s="41" t="n"/>
      <c r="E2421" s="42" t="n"/>
      <c r="F2421" s="43" t="n"/>
      <c r="G2421" s="44">
        <f>IF(OR(B2421="",F2421=""),"",IFERROR(F2421*INDEX(Mitarbeiter!$F$6:$F$205,MATCH(B2421,Mitarbeiter!$A$6:$A$205,0)),0))</f>
        <v/>
      </c>
      <c r="H2421" s="8">
        <f>IF(B2421="","",IF(ISNA(MATCH(B2421,Mitarbeiter!$A$6:$A$205,0)),"Pers.-Nr. unbekannt",IF(A2421="","Datum fehlt",IF(AND(D2421&lt;&gt;Einstellungen!$C$4,D2421&lt;&gt;Einstellungen!$C$5),"Objekt fehlt",IF(YEAR(A2421)&lt;&gt;Einstellungen!$C$3,"anderes Jahr",IF(A2421&lt;INDEX(Mitarbeiter!$C$6:$C$205,MATCH(B2421,Mitarbeiter!$A$6:$A$205,0)),"vor Eintritt",IF(AND(INDEX(Mitarbeiter!$D$6:$D$205,MATCH(B2421,Mitarbeiter!$A$6:$A$205,0))&lt;&gt;"",A2421&gt;INDEX(Mitarbeiter!$D$6:$D$205,MATCH(B2421,Mitarbeiter!$A$6:$A$205,0))),"nach Austritt","ok")))))))</f>
        <v/>
      </c>
    </row>
    <row r="2422">
      <c r="A2422" s="26" t="n"/>
      <c r="B2422" s="24" t="n"/>
      <c r="C2422" s="40">
        <f>IF(B2422="","",IFERROR(INDEX(Mitarbeiter!$B$6:$B$205,MATCH(B2422,Mitarbeiter!$A$6:$A$205,0)),"?"))</f>
        <v/>
      </c>
      <c r="D2422" s="41" t="n"/>
      <c r="E2422" s="42" t="n"/>
      <c r="F2422" s="43" t="n"/>
      <c r="G2422" s="44">
        <f>IF(OR(B2422="",F2422=""),"",IFERROR(F2422*INDEX(Mitarbeiter!$F$6:$F$205,MATCH(B2422,Mitarbeiter!$A$6:$A$205,0)),0))</f>
        <v/>
      </c>
      <c r="H2422" s="8">
        <f>IF(B2422="","",IF(ISNA(MATCH(B2422,Mitarbeiter!$A$6:$A$205,0)),"Pers.-Nr. unbekannt",IF(A2422="","Datum fehlt",IF(AND(D2422&lt;&gt;Einstellungen!$C$4,D2422&lt;&gt;Einstellungen!$C$5),"Objekt fehlt",IF(YEAR(A2422)&lt;&gt;Einstellungen!$C$3,"anderes Jahr",IF(A2422&lt;INDEX(Mitarbeiter!$C$6:$C$205,MATCH(B2422,Mitarbeiter!$A$6:$A$205,0)),"vor Eintritt",IF(AND(INDEX(Mitarbeiter!$D$6:$D$205,MATCH(B2422,Mitarbeiter!$A$6:$A$205,0))&lt;&gt;"",A2422&gt;INDEX(Mitarbeiter!$D$6:$D$205,MATCH(B2422,Mitarbeiter!$A$6:$A$205,0))),"nach Austritt","ok")))))))</f>
        <v/>
      </c>
    </row>
    <row r="2423">
      <c r="A2423" s="26" t="n"/>
      <c r="B2423" s="24" t="n"/>
      <c r="C2423" s="40">
        <f>IF(B2423="","",IFERROR(INDEX(Mitarbeiter!$B$6:$B$205,MATCH(B2423,Mitarbeiter!$A$6:$A$205,0)),"?"))</f>
        <v/>
      </c>
      <c r="D2423" s="41" t="n"/>
      <c r="E2423" s="42" t="n"/>
      <c r="F2423" s="43" t="n"/>
      <c r="G2423" s="44">
        <f>IF(OR(B2423="",F2423=""),"",IFERROR(F2423*INDEX(Mitarbeiter!$F$6:$F$205,MATCH(B2423,Mitarbeiter!$A$6:$A$205,0)),0))</f>
        <v/>
      </c>
      <c r="H2423" s="8">
        <f>IF(B2423="","",IF(ISNA(MATCH(B2423,Mitarbeiter!$A$6:$A$205,0)),"Pers.-Nr. unbekannt",IF(A2423="","Datum fehlt",IF(AND(D2423&lt;&gt;Einstellungen!$C$4,D2423&lt;&gt;Einstellungen!$C$5),"Objekt fehlt",IF(YEAR(A2423)&lt;&gt;Einstellungen!$C$3,"anderes Jahr",IF(A2423&lt;INDEX(Mitarbeiter!$C$6:$C$205,MATCH(B2423,Mitarbeiter!$A$6:$A$205,0)),"vor Eintritt",IF(AND(INDEX(Mitarbeiter!$D$6:$D$205,MATCH(B2423,Mitarbeiter!$A$6:$A$205,0))&lt;&gt;"",A2423&gt;INDEX(Mitarbeiter!$D$6:$D$205,MATCH(B2423,Mitarbeiter!$A$6:$A$205,0))),"nach Austritt","ok")))))))</f>
        <v/>
      </c>
    </row>
    <row r="2424">
      <c r="A2424" s="26" t="n"/>
      <c r="B2424" s="24" t="n"/>
      <c r="C2424" s="40">
        <f>IF(B2424="","",IFERROR(INDEX(Mitarbeiter!$B$6:$B$205,MATCH(B2424,Mitarbeiter!$A$6:$A$205,0)),"?"))</f>
        <v/>
      </c>
      <c r="D2424" s="41" t="n"/>
      <c r="E2424" s="42" t="n"/>
      <c r="F2424" s="43" t="n"/>
      <c r="G2424" s="44">
        <f>IF(OR(B2424="",F2424=""),"",IFERROR(F2424*INDEX(Mitarbeiter!$F$6:$F$205,MATCH(B2424,Mitarbeiter!$A$6:$A$205,0)),0))</f>
        <v/>
      </c>
      <c r="H2424" s="8">
        <f>IF(B2424="","",IF(ISNA(MATCH(B2424,Mitarbeiter!$A$6:$A$205,0)),"Pers.-Nr. unbekannt",IF(A2424="","Datum fehlt",IF(AND(D2424&lt;&gt;Einstellungen!$C$4,D2424&lt;&gt;Einstellungen!$C$5),"Objekt fehlt",IF(YEAR(A2424)&lt;&gt;Einstellungen!$C$3,"anderes Jahr",IF(A2424&lt;INDEX(Mitarbeiter!$C$6:$C$205,MATCH(B2424,Mitarbeiter!$A$6:$A$205,0)),"vor Eintritt",IF(AND(INDEX(Mitarbeiter!$D$6:$D$205,MATCH(B2424,Mitarbeiter!$A$6:$A$205,0))&lt;&gt;"",A2424&gt;INDEX(Mitarbeiter!$D$6:$D$205,MATCH(B2424,Mitarbeiter!$A$6:$A$205,0))),"nach Austritt","ok")))))))</f>
        <v/>
      </c>
    </row>
    <row r="2425">
      <c r="A2425" s="26" t="n"/>
      <c r="B2425" s="24" t="n"/>
      <c r="C2425" s="40">
        <f>IF(B2425="","",IFERROR(INDEX(Mitarbeiter!$B$6:$B$205,MATCH(B2425,Mitarbeiter!$A$6:$A$205,0)),"?"))</f>
        <v/>
      </c>
      <c r="D2425" s="41" t="n"/>
      <c r="E2425" s="42" t="n"/>
      <c r="F2425" s="43" t="n"/>
      <c r="G2425" s="44">
        <f>IF(OR(B2425="",F2425=""),"",IFERROR(F2425*INDEX(Mitarbeiter!$F$6:$F$205,MATCH(B2425,Mitarbeiter!$A$6:$A$205,0)),0))</f>
        <v/>
      </c>
      <c r="H2425" s="8">
        <f>IF(B2425="","",IF(ISNA(MATCH(B2425,Mitarbeiter!$A$6:$A$205,0)),"Pers.-Nr. unbekannt",IF(A2425="","Datum fehlt",IF(AND(D2425&lt;&gt;Einstellungen!$C$4,D2425&lt;&gt;Einstellungen!$C$5),"Objekt fehlt",IF(YEAR(A2425)&lt;&gt;Einstellungen!$C$3,"anderes Jahr",IF(A2425&lt;INDEX(Mitarbeiter!$C$6:$C$205,MATCH(B2425,Mitarbeiter!$A$6:$A$205,0)),"vor Eintritt",IF(AND(INDEX(Mitarbeiter!$D$6:$D$205,MATCH(B2425,Mitarbeiter!$A$6:$A$205,0))&lt;&gt;"",A2425&gt;INDEX(Mitarbeiter!$D$6:$D$205,MATCH(B2425,Mitarbeiter!$A$6:$A$205,0))),"nach Austritt","ok")))))))</f>
        <v/>
      </c>
    </row>
    <row r="2426">
      <c r="A2426" s="26" t="n"/>
      <c r="B2426" s="24" t="n"/>
      <c r="C2426" s="40">
        <f>IF(B2426="","",IFERROR(INDEX(Mitarbeiter!$B$6:$B$205,MATCH(B2426,Mitarbeiter!$A$6:$A$205,0)),"?"))</f>
        <v/>
      </c>
      <c r="D2426" s="41" t="n"/>
      <c r="E2426" s="42" t="n"/>
      <c r="F2426" s="43" t="n"/>
      <c r="G2426" s="44">
        <f>IF(OR(B2426="",F2426=""),"",IFERROR(F2426*INDEX(Mitarbeiter!$F$6:$F$205,MATCH(B2426,Mitarbeiter!$A$6:$A$205,0)),0))</f>
        <v/>
      </c>
      <c r="H2426" s="8">
        <f>IF(B2426="","",IF(ISNA(MATCH(B2426,Mitarbeiter!$A$6:$A$205,0)),"Pers.-Nr. unbekannt",IF(A2426="","Datum fehlt",IF(AND(D2426&lt;&gt;Einstellungen!$C$4,D2426&lt;&gt;Einstellungen!$C$5),"Objekt fehlt",IF(YEAR(A2426)&lt;&gt;Einstellungen!$C$3,"anderes Jahr",IF(A2426&lt;INDEX(Mitarbeiter!$C$6:$C$205,MATCH(B2426,Mitarbeiter!$A$6:$A$205,0)),"vor Eintritt",IF(AND(INDEX(Mitarbeiter!$D$6:$D$205,MATCH(B2426,Mitarbeiter!$A$6:$A$205,0))&lt;&gt;"",A2426&gt;INDEX(Mitarbeiter!$D$6:$D$205,MATCH(B2426,Mitarbeiter!$A$6:$A$205,0))),"nach Austritt","ok")))))))</f>
        <v/>
      </c>
    </row>
    <row r="2427">
      <c r="A2427" s="26" t="n"/>
      <c r="B2427" s="24" t="n"/>
      <c r="C2427" s="40">
        <f>IF(B2427="","",IFERROR(INDEX(Mitarbeiter!$B$6:$B$205,MATCH(B2427,Mitarbeiter!$A$6:$A$205,0)),"?"))</f>
        <v/>
      </c>
      <c r="D2427" s="41" t="n"/>
      <c r="E2427" s="42" t="n"/>
      <c r="F2427" s="43" t="n"/>
      <c r="G2427" s="44">
        <f>IF(OR(B2427="",F2427=""),"",IFERROR(F2427*INDEX(Mitarbeiter!$F$6:$F$205,MATCH(B2427,Mitarbeiter!$A$6:$A$205,0)),0))</f>
        <v/>
      </c>
      <c r="H2427" s="8">
        <f>IF(B2427="","",IF(ISNA(MATCH(B2427,Mitarbeiter!$A$6:$A$205,0)),"Pers.-Nr. unbekannt",IF(A2427="","Datum fehlt",IF(AND(D2427&lt;&gt;Einstellungen!$C$4,D2427&lt;&gt;Einstellungen!$C$5),"Objekt fehlt",IF(YEAR(A2427)&lt;&gt;Einstellungen!$C$3,"anderes Jahr",IF(A2427&lt;INDEX(Mitarbeiter!$C$6:$C$205,MATCH(B2427,Mitarbeiter!$A$6:$A$205,0)),"vor Eintritt",IF(AND(INDEX(Mitarbeiter!$D$6:$D$205,MATCH(B2427,Mitarbeiter!$A$6:$A$205,0))&lt;&gt;"",A2427&gt;INDEX(Mitarbeiter!$D$6:$D$205,MATCH(B2427,Mitarbeiter!$A$6:$A$205,0))),"nach Austritt","ok")))))))</f>
        <v/>
      </c>
    </row>
    <row r="2428">
      <c r="A2428" s="26" t="n"/>
      <c r="B2428" s="24" t="n"/>
      <c r="C2428" s="40">
        <f>IF(B2428="","",IFERROR(INDEX(Mitarbeiter!$B$6:$B$205,MATCH(B2428,Mitarbeiter!$A$6:$A$205,0)),"?"))</f>
        <v/>
      </c>
      <c r="D2428" s="41" t="n"/>
      <c r="E2428" s="42" t="n"/>
      <c r="F2428" s="43" t="n"/>
      <c r="G2428" s="44">
        <f>IF(OR(B2428="",F2428=""),"",IFERROR(F2428*INDEX(Mitarbeiter!$F$6:$F$205,MATCH(B2428,Mitarbeiter!$A$6:$A$205,0)),0))</f>
        <v/>
      </c>
      <c r="H2428" s="8">
        <f>IF(B2428="","",IF(ISNA(MATCH(B2428,Mitarbeiter!$A$6:$A$205,0)),"Pers.-Nr. unbekannt",IF(A2428="","Datum fehlt",IF(AND(D2428&lt;&gt;Einstellungen!$C$4,D2428&lt;&gt;Einstellungen!$C$5),"Objekt fehlt",IF(YEAR(A2428)&lt;&gt;Einstellungen!$C$3,"anderes Jahr",IF(A2428&lt;INDEX(Mitarbeiter!$C$6:$C$205,MATCH(B2428,Mitarbeiter!$A$6:$A$205,0)),"vor Eintritt",IF(AND(INDEX(Mitarbeiter!$D$6:$D$205,MATCH(B2428,Mitarbeiter!$A$6:$A$205,0))&lt;&gt;"",A2428&gt;INDEX(Mitarbeiter!$D$6:$D$205,MATCH(B2428,Mitarbeiter!$A$6:$A$205,0))),"nach Austritt","ok")))))))</f>
        <v/>
      </c>
    </row>
    <row r="2429">
      <c r="A2429" s="26" t="n"/>
      <c r="B2429" s="24" t="n"/>
      <c r="C2429" s="40">
        <f>IF(B2429="","",IFERROR(INDEX(Mitarbeiter!$B$6:$B$205,MATCH(B2429,Mitarbeiter!$A$6:$A$205,0)),"?"))</f>
        <v/>
      </c>
      <c r="D2429" s="41" t="n"/>
      <c r="E2429" s="42" t="n"/>
      <c r="F2429" s="43" t="n"/>
      <c r="G2429" s="44">
        <f>IF(OR(B2429="",F2429=""),"",IFERROR(F2429*INDEX(Mitarbeiter!$F$6:$F$205,MATCH(B2429,Mitarbeiter!$A$6:$A$205,0)),0))</f>
        <v/>
      </c>
      <c r="H2429" s="8">
        <f>IF(B2429="","",IF(ISNA(MATCH(B2429,Mitarbeiter!$A$6:$A$205,0)),"Pers.-Nr. unbekannt",IF(A2429="","Datum fehlt",IF(AND(D2429&lt;&gt;Einstellungen!$C$4,D2429&lt;&gt;Einstellungen!$C$5),"Objekt fehlt",IF(YEAR(A2429)&lt;&gt;Einstellungen!$C$3,"anderes Jahr",IF(A2429&lt;INDEX(Mitarbeiter!$C$6:$C$205,MATCH(B2429,Mitarbeiter!$A$6:$A$205,0)),"vor Eintritt",IF(AND(INDEX(Mitarbeiter!$D$6:$D$205,MATCH(B2429,Mitarbeiter!$A$6:$A$205,0))&lt;&gt;"",A2429&gt;INDEX(Mitarbeiter!$D$6:$D$205,MATCH(B2429,Mitarbeiter!$A$6:$A$205,0))),"nach Austritt","ok")))))))</f>
        <v/>
      </c>
    </row>
    <row r="2430">
      <c r="A2430" s="26" t="n"/>
      <c r="B2430" s="24" t="n"/>
      <c r="C2430" s="40">
        <f>IF(B2430="","",IFERROR(INDEX(Mitarbeiter!$B$6:$B$205,MATCH(B2430,Mitarbeiter!$A$6:$A$205,0)),"?"))</f>
        <v/>
      </c>
      <c r="D2430" s="41" t="n"/>
      <c r="E2430" s="42" t="n"/>
      <c r="F2430" s="43" t="n"/>
      <c r="G2430" s="44">
        <f>IF(OR(B2430="",F2430=""),"",IFERROR(F2430*INDEX(Mitarbeiter!$F$6:$F$205,MATCH(B2430,Mitarbeiter!$A$6:$A$205,0)),0))</f>
        <v/>
      </c>
      <c r="H2430" s="8">
        <f>IF(B2430="","",IF(ISNA(MATCH(B2430,Mitarbeiter!$A$6:$A$205,0)),"Pers.-Nr. unbekannt",IF(A2430="","Datum fehlt",IF(AND(D2430&lt;&gt;Einstellungen!$C$4,D2430&lt;&gt;Einstellungen!$C$5),"Objekt fehlt",IF(YEAR(A2430)&lt;&gt;Einstellungen!$C$3,"anderes Jahr",IF(A2430&lt;INDEX(Mitarbeiter!$C$6:$C$205,MATCH(B2430,Mitarbeiter!$A$6:$A$205,0)),"vor Eintritt",IF(AND(INDEX(Mitarbeiter!$D$6:$D$205,MATCH(B2430,Mitarbeiter!$A$6:$A$205,0))&lt;&gt;"",A2430&gt;INDEX(Mitarbeiter!$D$6:$D$205,MATCH(B2430,Mitarbeiter!$A$6:$A$205,0))),"nach Austritt","ok")))))))</f>
        <v/>
      </c>
    </row>
    <row r="2431">
      <c r="A2431" s="26" t="n"/>
      <c r="B2431" s="24" t="n"/>
      <c r="C2431" s="40">
        <f>IF(B2431="","",IFERROR(INDEX(Mitarbeiter!$B$6:$B$205,MATCH(B2431,Mitarbeiter!$A$6:$A$205,0)),"?"))</f>
        <v/>
      </c>
      <c r="D2431" s="41" t="n"/>
      <c r="E2431" s="42" t="n"/>
      <c r="F2431" s="43" t="n"/>
      <c r="G2431" s="44">
        <f>IF(OR(B2431="",F2431=""),"",IFERROR(F2431*INDEX(Mitarbeiter!$F$6:$F$205,MATCH(B2431,Mitarbeiter!$A$6:$A$205,0)),0))</f>
        <v/>
      </c>
      <c r="H2431" s="8">
        <f>IF(B2431="","",IF(ISNA(MATCH(B2431,Mitarbeiter!$A$6:$A$205,0)),"Pers.-Nr. unbekannt",IF(A2431="","Datum fehlt",IF(AND(D2431&lt;&gt;Einstellungen!$C$4,D2431&lt;&gt;Einstellungen!$C$5),"Objekt fehlt",IF(YEAR(A2431)&lt;&gt;Einstellungen!$C$3,"anderes Jahr",IF(A2431&lt;INDEX(Mitarbeiter!$C$6:$C$205,MATCH(B2431,Mitarbeiter!$A$6:$A$205,0)),"vor Eintritt",IF(AND(INDEX(Mitarbeiter!$D$6:$D$205,MATCH(B2431,Mitarbeiter!$A$6:$A$205,0))&lt;&gt;"",A2431&gt;INDEX(Mitarbeiter!$D$6:$D$205,MATCH(B2431,Mitarbeiter!$A$6:$A$205,0))),"nach Austritt","ok")))))))</f>
        <v/>
      </c>
    </row>
    <row r="2432">
      <c r="A2432" s="26" t="n"/>
      <c r="B2432" s="24" t="n"/>
      <c r="C2432" s="40">
        <f>IF(B2432="","",IFERROR(INDEX(Mitarbeiter!$B$6:$B$205,MATCH(B2432,Mitarbeiter!$A$6:$A$205,0)),"?"))</f>
        <v/>
      </c>
      <c r="D2432" s="41" t="n"/>
      <c r="E2432" s="42" t="n"/>
      <c r="F2432" s="43" t="n"/>
      <c r="G2432" s="44">
        <f>IF(OR(B2432="",F2432=""),"",IFERROR(F2432*INDEX(Mitarbeiter!$F$6:$F$205,MATCH(B2432,Mitarbeiter!$A$6:$A$205,0)),0))</f>
        <v/>
      </c>
      <c r="H2432" s="8">
        <f>IF(B2432="","",IF(ISNA(MATCH(B2432,Mitarbeiter!$A$6:$A$205,0)),"Pers.-Nr. unbekannt",IF(A2432="","Datum fehlt",IF(AND(D2432&lt;&gt;Einstellungen!$C$4,D2432&lt;&gt;Einstellungen!$C$5),"Objekt fehlt",IF(YEAR(A2432)&lt;&gt;Einstellungen!$C$3,"anderes Jahr",IF(A2432&lt;INDEX(Mitarbeiter!$C$6:$C$205,MATCH(B2432,Mitarbeiter!$A$6:$A$205,0)),"vor Eintritt",IF(AND(INDEX(Mitarbeiter!$D$6:$D$205,MATCH(B2432,Mitarbeiter!$A$6:$A$205,0))&lt;&gt;"",A2432&gt;INDEX(Mitarbeiter!$D$6:$D$205,MATCH(B2432,Mitarbeiter!$A$6:$A$205,0))),"nach Austritt","ok")))))))</f>
        <v/>
      </c>
    </row>
    <row r="2433">
      <c r="A2433" s="26" t="n"/>
      <c r="B2433" s="24" t="n"/>
      <c r="C2433" s="40">
        <f>IF(B2433="","",IFERROR(INDEX(Mitarbeiter!$B$6:$B$205,MATCH(B2433,Mitarbeiter!$A$6:$A$205,0)),"?"))</f>
        <v/>
      </c>
      <c r="D2433" s="41" t="n"/>
      <c r="E2433" s="42" t="n"/>
      <c r="F2433" s="43" t="n"/>
      <c r="G2433" s="44">
        <f>IF(OR(B2433="",F2433=""),"",IFERROR(F2433*INDEX(Mitarbeiter!$F$6:$F$205,MATCH(B2433,Mitarbeiter!$A$6:$A$205,0)),0))</f>
        <v/>
      </c>
      <c r="H2433" s="8">
        <f>IF(B2433="","",IF(ISNA(MATCH(B2433,Mitarbeiter!$A$6:$A$205,0)),"Pers.-Nr. unbekannt",IF(A2433="","Datum fehlt",IF(AND(D2433&lt;&gt;Einstellungen!$C$4,D2433&lt;&gt;Einstellungen!$C$5),"Objekt fehlt",IF(YEAR(A2433)&lt;&gt;Einstellungen!$C$3,"anderes Jahr",IF(A2433&lt;INDEX(Mitarbeiter!$C$6:$C$205,MATCH(B2433,Mitarbeiter!$A$6:$A$205,0)),"vor Eintritt",IF(AND(INDEX(Mitarbeiter!$D$6:$D$205,MATCH(B2433,Mitarbeiter!$A$6:$A$205,0))&lt;&gt;"",A2433&gt;INDEX(Mitarbeiter!$D$6:$D$205,MATCH(B2433,Mitarbeiter!$A$6:$A$205,0))),"nach Austritt","ok")))))))</f>
        <v/>
      </c>
    </row>
    <row r="2434">
      <c r="A2434" s="26" t="n"/>
      <c r="B2434" s="24" t="n"/>
      <c r="C2434" s="40">
        <f>IF(B2434="","",IFERROR(INDEX(Mitarbeiter!$B$6:$B$205,MATCH(B2434,Mitarbeiter!$A$6:$A$205,0)),"?"))</f>
        <v/>
      </c>
      <c r="D2434" s="41" t="n"/>
      <c r="E2434" s="42" t="n"/>
      <c r="F2434" s="43" t="n"/>
      <c r="G2434" s="44">
        <f>IF(OR(B2434="",F2434=""),"",IFERROR(F2434*INDEX(Mitarbeiter!$F$6:$F$205,MATCH(B2434,Mitarbeiter!$A$6:$A$205,0)),0))</f>
        <v/>
      </c>
      <c r="H2434" s="8">
        <f>IF(B2434="","",IF(ISNA(MATCH(B2434,Mitarbeiter!$A$6:$A$205,0)),"Pers.-Nr. unbekannt",IF(A2434="","Datum fehlt",IF(AND(D2434&lt;&gt;Einstellungen!$C$4,D2434&lt;&gt;Einstellungen!$C$5),"Objekt fehlt",IF(YEAR(A2434)&lt;&gt;Einstellungen!$C$3,"anderes Jahr",IF(A2434&lt;INDEX(Mitarbeiter!$C$6:$C$205,MATCH(B2434,Mitarbeiter!$A$6:$A$205,0)),"vor Eintritt",IF(AND(INDEX(Mitarbeiter!$D$6:$D$205,MATCH(B2434,Mitarbeiter!$A$6:$A$205,0))&lt;&gt;"",A2434&gt;INDEX(Mitarbeiter!$D$6:$D$205,MATCH(B2434,Mitarbeiter!$A$6:$A$205,0))),"nach Austritt","ok")))))))</f>
        <v/>
      </c>
    </row>
    <row r="2435">
      <c r="A2435" s="26" t="n"/>
      <c r="B2435" s="24" t="n"/>
      <c r="C2435" s="40">
        <f>IF(B2435="","",IFERROR(INDEX(Mitarbeiter!$B$6:$B$205,MATCH(B2435,Mitarbeiter!$A$6:$A$205,0)),"?"))</f>
        <v/>
      </c>
      <c r="D2435" s="41" t="n"/>
      <c r="E2435" s="42" t="n"/>
      <c r="F2435" s="43" t="n"/>
      <c r="G2435" s="44">
        <f>IF(OR(B2435="",F2435=""),"",IFERROR(F2435*INDEX(Mitarbeiter!$F$6:$F$205,MATCH(B2435,Mitarbeiter!$A$6:$A$205,0)),0))</f>
        <v/>
      </c>
      <c r="H2435" s="8">
        <f>IF(B2435="","",IF(ISNA(MATCH(B2435,Mitarbeiter!$A$6:$A$205,0)),"Pers.-Nr. unbekannt",IF(A2435="","Datum fehlt",IF(AND(D2435&lt;&gt;Einstellungen!$C$4,D2435&lt;&gt;Einstellungen!$C$5),"Objekt fehlt",IF(YEAR(A2435)&lt;&gt;Einstellungen!$C$3,"anderes Jahr",IF(A2435&lt;INDEX(Mitarbeiter!$C$6:$C$205,MATCH(B2435,Mitarbeiter!$A$6:$A$205,0)),"vor Eintritt",IF(AND(INDEX(Mitarbeiter!$D$6:$D$205,MATCH(B2435,Mitarbeiter!$A$6:$A$205,0))&lt;&gt;"",A2435&gt;INDEX(Mitarbeiter!$D$6:$D$205,MATCH(B2435,Mitarbeiter!$A$6:$A$205,0))),"nach Austritt","ok")))))))</f>
        <v/>
      </c>
    </row>
    <row r="2436">
      <c r="A2436" s="26" t="n"/>
      <c r="B2436" s="24" t="n"/>
      <c r="C2436" s="40">
        <f>IF(B2436="","",IFERROR(INDEX(Mitarbeiter!$B$6:$B$205,MATCH(B2436,Mitarbeiter!$A$6:$A$205,0)),"?"))</f>
        <v/>
      </c>
      <c r="D2436" s="41" t="n"/>
      <c r="E2436" s="42" t="n"/>
      <c r="F2436" s="43" t="n"/>
      <c r="G2436" s="44">
        <f>IF(OR(B2436="",F2436=""),"",IFERROR(F2436*INDEX(Mitarbeiter!$F$6:$F$205,MATCH(B2436,Mitarbeiter!$A$6:$A$205,0)),0))</f>
        <v/>
      </c>
      <c r="H2436" s="8">
        <f>IF(B2436="","",IF(ISNA(MATCH(B2436,Mitarbeiter!$A$6:$A$205,0)),"Pers.-Nr. unbekannt",IF(A2436="","Datum fehlt",IF(AND(D2436&lt;&gt;Einstellungen!$C$4,D2436&lt;&gt;Einstellungen!$C$5),"Objekt fehlt",IF(YEAR(A2436)&lt;&gt;Einstellungen!$C$3,"anderes Jahr",IF(A2436&lt;INDEX(Mitarbeiter!$C$6:$C$205,MATCH(B2436,Mitarbeiter!$A$6:$A$205,0)),"vor Eintritt",IF(AND(INDEX(Mitarbeiter!$D$6:$D$205,MATCH(B2436,Mitarbeiter!$A$6:$A$205,0))&lt;&gt;"",A2436&gt;INDEX(Mitarbeiter!$D$6:$D$205,MATCH(B2436,Mitarbeiter!$A$6:$A$205,0))),"nach Austritt","ok")))))))</f>
        <v/>
      </c>
    </row>
    <row r="2437">
      <c r="A2437" s="26" t="n"/>
      <c r="B2437" s="24" t="n"/>
      <c r="C2437" s="40">
        <f>IF(B2437="","",IFERROR(INDEX(Mitarbeiter!$B$6:$B$205,MATCH(B2437,Mitarbeiter!$A$6:$A$205,0)),"?"))</f>
        <v/>
      </c>
      <c r="D2437" s="41" t="n"/>
      <c r="E2437" s="42" t="n"/>
      <c r="F2437" s="43" t="n"/>
      <c r="G2437" s="44">
        <f>IF(OR(B2437="",F2437=""),"",IFERROR(F2437*INDEX(Mitarbeiter!$F$6:$F$205,MATCH(B2437,Mitarbeiter!$A$6:$A$205,0)),0))</f>
        <v/>
      </c>
      <c r="H2437" s="8">
        <f>IF(B2437="","",IF(ISNA(MATCH(B2437,Mitarbeiter!$A$6:$A$205,0)),"Pers.-Nr. unbekannt",IF(A2437="","Datum fehlt",IF(AND(D2437&lt;&gt;Einstellungen!$C$4,D2437&lt;&gt;Einstellungen!$C$5),"Objekt fehlt",IF(YEAR(A2437)&lt;&gt;Einstellungen!$C$3,"anderes Jahr",IF(A2437&lt;INDEX(Mitarbeiter!$C$6:$C$205,MATCH(B2437,Mitarbeiter!$A$6:$A$205,0)),"vor Eintritt",IF(AND(INDEX(Mitarbeiter!$D$6:$D$205,MATCH(B2437,Mitarbeiter!$A$6:$A$205,0))&lt;&gt;"",A2437&gt;INDEX(Mitarbeiter!$D$6:$D$205,MATCH(B2437,Mitarbeiter!$A$6:$A$205,0))),"nach Austritt","ok")))))))</f>
        <v/>
      </c>
    </row>
    <row r="2438">
      <c r="A2438" s="26" t="n"/>
      <c r="B2438" s="24" t="n"/>
      <c r="C2438" s="40">
        <f>IF(B2438="","",IFERROR(INDEX(Mitarbeiter!$B$6:$B$205,MATCH(B2438,Mitarbeiter!$A$6:$A$205,0)),"?"))</f>
        <v/>
      </c>
      <c r="D2438" s="41" t="n"/>
      <c r="E2438" s="42" t="n"/>
      <c r="F2438" s="43" t="n"/>
      <c r="G2438" s="44">
        <f>IF(OR(B2438="",F2438=""),"",IFERROR(F2438*INDEX(Mitarbeiter!$F$6:$F$205,MATCH(B2438,Mitarbeiter!$A$6:$A$205,0)),0))</f>
        <v/>
      </c>
      <c r="H2438" s="8">
        <f>IF(B2438="","",IF(ISNA(MATCH(B2438,Mitarbeiter!$A$6:$A$205,0)),"Pers.-Nr. unbekannt",IF(A2438="","Datum fehlt",IF(AND(D2438&lt;&gt;Einstellungen!$C$4,D2438&lt;&gt;Einstellungen!$C$5),"Objekt fehlt",IF(YEAR(A2438)&lt;&gt;Einstellungen!$C$3,"anderes Jahr",IF(A2438&lt;INDEX(Mitarbeiter!$C$6:$C$205,MATCH(B2438,Mitarbeiter!$A$6:$A$205,0)),"vor Eintritt",IF(AND(INDEX(Mitarbeiter!$D$6:$D$205,MATCH(B2438,Mitarbeiter!$A$6:$A$205,0))&lt;&gt;"",A2438&gt;INDEX(Mitarbeiter!$D$6:$D$205,MATCH(B2438,Mitarbeiter!$A$6:$A$205,0))),"nach Austritt","ok")))))))</f>
        <v/>
      </c>
    </row>
    <row r="2439">
      <c r="A2439" s="26" t="n"/>
      <c r="B2439" s="24" t="n"/>
      <c r="C2439" s="40">
        <f>IF(B2439="","",IFERROR(INDEX(Mitarbeiter!$B$6:$B$205,MATCH(B2439,Mitarbeiter!$A$6:$A$205,0)),"?"))</f>
        <v/>
      </c>
      <c r="D2439" s="41" t="n"/>
      <c r="E2439" s="42" t="n"/>
      <c r="F2439" s="43" t="n"/>
      <c r="G2439" s="44">
        <f>IF(OR(B2439="",F2439=""),"",IFERROR(F2439*INDEX(Mitarbeiter!$F$6:$F$205,MATCH(B2439,Mitarbeiter!$A$6:$A$205,0)),0))</f>
        <v/>
      </c>
      <c r="H2439" s="8">
        <f>IF(B2439="","",IF(ISNA(MATCH(B2439,Mitarbeiter!$A$6:$A$205,0)),"Pers.-Nr. unbekannt",IF(A2439="","Datum fehlt",IF(AND(D2439&lt;&gt;Einstellungen!$C$4,D2439&lt;&gt;Einstellungen!$C$5),"Objekt fehlt",IF(YEAR(A2439)&lt;&gt;Einstellungen!$C$3,"anderes Jahr",IF(A2439&lt;INDEX(Mitarbeiter!$C$6:$C$205,MATCH(B2439,Mitarbeiter!$A$6:$A$205,0)),"vor Eintritt",IF(AND(INDEX(Mitarbeiter!$D$6:$D$205,MATCH(B2439,Mitarbeiter!$A$6:$A$205,0))&lt;&gt;"",A2439&gt;INDEX(Mitarbeiter!$D$6:$D$205,MATCH(B2439,Mitarbeiter!$A$6:$A$205,0))),"nach Austritt","ok")))))))</f>
        <v/>
      </c>
    </row>
    <row r="2440">
      <c r="A2440" s="26" t="n"/>
      <c r="B2440" s="24" t="n"/>
      <c r="C2440" s="40">
        <f>IF(B2440="","",IFERROR(INDEX(Mitarbeiter!$B$6:$B$205,MATCH(B2440,Mitarbeiter!$A$6:$A$205,0)),"?"))</f>
        <v/>
      </c>
      <c r="D2440" s="41" t="n"/>
      <c r="E2440" s="42" t="n"/>
      <c r="F2440" s="43" t="n"/>
      <c r="G2440" s="44">
        <f>IF(OR(B2440="",F2440=""),"",IFERROR(F2440*INDEX(Mitarbeiter!$F$6:$F$205,MATCH(B2440,Mitarbeiter!$A$6:$A$205,0)),0))</f>
        <v/>
      </c>
      <c r="H2440" s="8">
        <f>IF(B2440="","",IF(ISNA(MATCH(B2440,Mitarbeiter!$A$6:$A$205,0)),"Pers.-Nr. unbekannt",IF(A2440="","Datum fehlt",IF(AND(D2440&lt;&gt;Einstellungen!$C$4,D2440&lt;&gt;Einstellungen!$C$5),"Objekt fehlt",IF(YEAR(A2440)&lt;&gt;Einstellungen!$C$3,"anderes Jahr",IF(A2440&lt;INDEX(Mitarbeiter!$C$6:$C$205,MATCH(B2440,Mitarbeiter!$A$6:$A$205,0)),"vor Eintritt",IF(AND(INDEX(Mitarbeiter!$D$6:$D$205,MATCH(B2440,Mitarbeiter!$A$6:$A$205,0))&lt;&gt;"",A2440&gt;INDEX(Mitarbeiter!$D$6:$D$205,MATCH(B2440,Mitarbeiter!$A$6:$A$205,0))),"nach Austritt","ok")))))))</f>
        <v/>
      </c>
    </row>
    <row r="2441">
      <c r="A2441" s="26" t="n"/>
      <c r="B2441" s="24" t="n"/>
      <c r="C2441" s="40">
        <f>IF(B2441="","",IFERROR(INDEX(Mitarbeiter!$B$6:$B$205,MATCH(B2441,Mitarbeiter!$A$6:$A$205,0)),"?"))</f>
        <v/>
      </c>
      <c r="D2441" s="41" t="n"/>
      <c r="E2441" s="42" t="n"/>
      <c r="F2441" s="43" t="n"/>
      <c r="G2441" s="44">
        <f>IF(OR(B2441="",F2441=""),"",IFERROR(F2441*INDEX(Mitarbeiter!$F$6:$F$205,MATCH(B2441,Mitarbeiter!$A$6:$A$205,0)),0))</f>
        <v/>
      </c>
      <c r="H2441" s="8">
        <f>IF(B2441="","",IF(ISNA(MATCH(B2441,Mitarbeiter!$A$6:$A$205,0)),"Pers.-Nr. unbekannt",IF(A2441="","Datum fehlt",IF(AND(D2441&lt;&gt;Einstellungen!$C$4,D2441&lt;&gt;Einstellungen!$C$5),"Objekt fehlt",IF(YEAR(A2441)&lt;&gt;Einstellungen!$C$3,"anderes Jahr",IF(A2441&lt;INDEX(Mitarbeiter!$C$6:$C$205,MATCH(B2441,Mitarbeiter!$A$6:$A$205,0)),"vor Eintritt",IF(AND(INDEX(Mitarbeiter!$D$6:$D$205,MATCH(B2441,Mitarbeiter!$A$6:$A$205,0))&lt;&gt;"",A2441&gt;INDEX(Mitarbeiter!$D$6:$D$205,MATCH(B2441,Mitarbeiter!$A$6:$A$205,0))),"nach Austritt","ok")))))))</f>
        <v/>
      </c>
    </row>
    <row r="2442">
      <c r="A2442" s="26" t="n"/>
      <c r="B2442" s="24" t="n"/>
      <c r="C2442" s="40">
        <f>IF(B2442="","",IFERROR(INDEX(Mitarbeiter!$B$6:$B$205,MATCH(B2442,Mitarbeiter!$A$6:$A$205,0)),"?"))</f>
        <v/>
      </c>
      <c r="D2442" s="41" t="n"/>
      <c r="E2442" s="42" t="n"/>
      <c r="F2442" s="43" t="n"/>
      <c r="G2442" s="44">
        <f>IF(OR(B2442="",F2442=""),"",IFERROR(F2442*INDEX(Mitarbeiter!$F$6:$F$205,MATCH(B2442,Mitarbeiter!$A$6:$A$205,0)),0))</f>
        <v/>
      </c>
      <c r="H2442" s="8">
        <f>IF(B2442="","",IF(ISNA(MATCH(B2442,Mitarbeiter!$A$6:$A$205,0)),"Pers.-Nr. unbekannt",IF(A2442="","Datum fehlt",IF(AND(D2442&lt;&gt;Einstellungen!$C$4,D2442&lt;&gt;Einstellungen!$C$5),"Objekt fehlt",IF(YEAR(A2442)&lt;&gt;Einstellungen!$C$3,"anderes Jahr",IF(A2442&lt;INDEX(Mitarbeiter!$C$6:$C$205,MATCH(B2442,Mitarbeiter!$A$6:$A$205,0)),"vor Eintritt",IF(AND(INDEX(Mitarbeiter!$D$6:$D$205,MATCH(B2442,Mitarbeiter!$A$6:$A$205,0))&lt;&gt;"",A2442&gt;INDEX(Mitarbeiter!$D$6:$D$205,MATCH(B2442,Mitarbeiter!$A$6:$A$205,0))),"nach Austritt","ok")))))))</f>
        <v/>
      </c>
    </row>
    <row r="2443">
      <c r="A2443" s="26" t="n"/>
      <c r="B2443" s="24" t="n"/>
      <c r="C2443" s="40">
        <f>IF(B2443="","",IFERROR(INDEX(Mitarbeiter!$B$6:$B$205,MATCH(B2443,Mitarbeiter!$A$6:$A$205,0)),"?"))</f>
        <v/>
      </c>
      <c r="D2443" s="41" t="n"/>
      <c r="E2443" s="42" t="n"/>
      <c r="F2443" s="43" t="n"/>
      <c r="G2443" s="44">
        <f>IF(OR(B2443="",F2443=""),"",IFERROR(F2443*INDEX(Mitarbeiter!$F$6:$F$205,MATCH(B2443,Mitarbeiter!$A$6:$A$205,0)),0))</f>
        <v/>
      </c>
      <c r="H2443" s="8">
        <f>IF(B2443="","",IF(ISNA(MATCH(B2443,Mitarbeiter!$A$6:$A$205,0)),"Pers.-Nr. unbekannt",IF(A2443="","Datum fehlt",IF(AND(D2443&lt;&gt;Einstellungen!$C$4,D2443&lt;&gt;Einstellungen!$C$5),"Objekt fehlt",IF(YEAR(A2443)&lt;&gt;Einstellungen!$C$3,"anderes Jahr",IF(A2443&lt;INDEX(Mitarbeiter!$C$6:$C$205,MATCH(B2443,Mitarbeiter!$A$6:$A$205,0)),"vor Eintritt",IF(AND(INDEX(Mitarbeiter!$D$6:$D$205,MATCH(B2443,Mitarbeiter!$A$6:$A$205,0))&lt;&gt;"",A2443&gt;INDEX(Mitarbeiter!$D$6:$D$205,MATCH(B2443,Mitarbeiter!$A$6:$A$205,0))),"nach Austritt","ok")))))))</f>
        <v/>
      </c>
    </row>
    <row r="2444">
      <c r="A2444" s="26" t="n"/>
      <c r="B2444" s="24" t="n"/>
      <c r="C2444" s="40">
        <f>IF(B2444="","",IFERROR(INDEX(Mitarbeiter!$B$6:$B$205,MATCH(B2444,Mitarbeiter!$A$6:$A$205,0)),"?"))</f>
        <v/>
      </c>
      <c r="D2444" s="41" t="n"/>
      <c r="E2444" s="42" t="n"/>
      <c r="F2444" s="43" t="n"/>
      <c r="G2444" s="44">
        <f>IF(OR(B2444="",F2444=""),"",IFERROR(F2444*INDEX(Mitarbeiter!$F$6:$F$205,MATCH(B2444,Mitarbeiter!$A$6:$A$205,0)),0))</f>
        <v/>
      </c>
      <c r="H2444" s="8">
        <f>IF(B2444="","",IF(ISNA(MATCH(B2444,Mitarbeiter!$A$6:$A$205,0)),"Pers.-Nr. unbekannt",IF(A2444="","Datum fehlt",IF(AND(D2444&lt;&gt;Einstellungen!$C$4,D2444&lt;&gt;Einstellungen!$C$5),"Objekt fehlt",IF(YEAR(A2444)&lt;&gt;Einstellungen!$C$3,"anderes Jahr",IF(A2444&lt;INDEX(Mitarbeiter!$C$6:$C$205,MATCH(B2444,Mitarbeiter!$A$6:$A$205,0)),"vor Eintritt",IF(AND(INDEX(Mitarbeiter!$D$6:$D$205,MATCH(B2444,Mitarbeiter!$A$6:$A$205,0))&lt;&gt;"",A2444&gt;INDEX(Mitarbeiter!$D$6:$D$205,MATCH(B2444,Mitarbeiter!$A$6:$A$205,0))),"nach Austritt","ok")))))))</f>
        <v/>
      </c>
    </row>
    <row r="2445">
      <c r="A2445" s="26" t="n"/>
      <c r="B2445" s="24" t="n"/>
      <c r="C2445" s="40">
        <f>IF(B2445="","",IFERROR(INDEX(Mitarbeiter!$B$6:$B$205,MATCH(B2445,Mitarbeiter!$A$6:$A$205,0)),"?"))</f>
        <v/>
      </c>
      <c r="D2445" s="41" t="n"/>
      <c r="E2445" s="42" t="n"/>
      <c r="F2445" s="43" t="n"/>
      <c r="G2445" s="44">
        <f>IF(OR(B2445="",F2445=""),"",IFERROR(F2445*INDEX(Mitarbeiter!$F$6:$F$205,MATCH(B2445,Mitarbeiter!$A$6:$A$205,0)),0))</f>
        <v/>
      </c>
      <c r="H2445" s="8">
        <f>IF(B2445="","",IF(ISNA(MATCH(B2445,Mitarbeiter!$A$6:$A$205,0)),"Pers.-Nr. unbekannt",IF(A2445="","Datum fehlt",IF(AND(D2445&lt;&gt;Einstellungen!$C$4,D2445&lt;&gt;Einstellungen!$C$5),"Objekt fehlt",IF(YEAR(A2445)&lt;&gt;Einstellungen!$C$3,"anderes Jahr",IF(A2445&lt;INDEX(Mitarbeiter!$C$6:$C$205,MATCH(B2445,Mitarbeiter!$A$6:$A$205,0)),"vor Eintritt",IF(AND(INDEX(Mitarbeiter!$D$6:$D$205,MATCH(B2445,Mitarbeiter!$A$6:$A$205,0))&lt;&gt;"",A2445&gt;INDEX(Mitarbeiter!$D$6:$D$205,MATCH(B2445,Mitarbeiter!$A$6:$A$205,0))),"nach Austritt","ok")))))))</f>
        <v/>
      </c>
    </row>
    <row r="2446">
      <c r="A2446" s="26" t="n"/>
      <c r="B2446" s="24" t="n"/>
      <c r="C2446" s="40">
        <f>IF(B2446="","",IFERROR(INDEX(Mitarbeiter!$B$6:$B$205,MATCH(B2446,Mitarbeiter!$A$6:$A$205,0)),"?"))</f>
        <v/>
      </c>
      <c r="D2446" s="41" t="n"/>
      <c r="E2446" s="42" t="n"/>
      <c r="F2446" s="43" t="n"/>
      <c r="G2446" s="44">
        <f>IF(OR(B2446="",F2446=""),"",IFERROR(F2446*INDEX(Mitarbeiter!$F$6:$F$205,MATCH(B2446,Mitarbeiter!$A$6:$A$205,0)),0))</f>
        <v/>
      </c>
      <c r="H2446" s="8">
        <f>IF(B2446="","",IF(ISNA(MATCH(B2446,Mitarbeiter!$A$6:$A$205,0)),"Pers.-Nr. unbekannt",IF(A2446="","Datum fehlt",IF(AND(D2446&lt;&gt;Einstellungen!$C$4,D2446&lt;&gt;Einstellungen!$C$5),"Objekt fehlt",IF(YEAR(A2446)&lt;&gt;Einstellungen!$C$3,"anderes Jahr",IF(A2446&lt;INDEX(Mitarbeiter!$C$6:$C$205,MATCH(B2446,Mitarbeiter!$A$6:$A$205,0)),"vor Eintritt",IF(AND(INDEX(Mitarbeiter!$D$6:$D$205,MATCH(B2446,Mitarbeiter!$A$6:$A$205,0))&lt;&gt;"",A2446&gt;INDEX(Mitarbeiter!$D$6:$D$205,MATCH(B2446,Mitarbeiter!$A$6:$A$205,0))),"nach Austritt","ok")))))))</f>
        <v/>
      </c>
    </row>
    <row r="2447">
      <c r="A2447" s="26" t="n"/>
      <c r="B2447" s="24" t="n"/>
      <c r="C2447" s="40">
        <f>IF(B2447="","",IFERROR(INDEX(Mitarbeiter!$B$6:$B$205,MATCH(B2447,Mitarbeiter!$A$6:$A$205,0)),"?"))</f>
        <v/>
      </c>
      <c r="D2447" s="41" t="n"/>
      <c r="E2447" s="42" t="n"/>
      <c r="F2447" s="43" t="n"/>
      <c r="G2447" s="44">
        <f>IF(OR(B2447="",F2447=""),"",IFERROR(F2447*INDEX(Mitarbeiter!$F$6:$F$205,MATCH(B2447,Mitarbeiter!$A$6:$A$205,0)),0))</f>
        <v/>
      </c>
      <c r="H2447" s="8">
        <f>IF(B2447="","",IF(ISNA(MATCH(B2447,Mitarbeiter!$A$6:$A$205,0)),"Pers.-Nr. unbekannt",IF(A2447="","Datum fehlt",IF(AND(D2447&lt;&gt;Einstellungen!$C$4,D2447&lt;&gt;Einstellungen!$C$5),"Objekt fehlt",IF(YEAR(A2447)&lt;&gt;Einstellungen!$C$3,"anderes Jahr",IF(A2447&lt;INDEX(Mitarbeiter!$C$6:$C$205,MATCH(B2447,Mitarbeiter!$A$6:$A$205,0)),"vor Eintritt",IF(AND(INDEX(Mitarbeiter!$D$6:$D$205,MATCH(B2447,Mitarbeiter!$A$6:$A$205,0))&lt;&gt;"",A2447&gt;INDEX(Mitarbeiter!$D$6:$D$205,MATCH(B2447,Mitarbeiter!$A$6:$A$205,0))),"nach Austritt","ok")))))))</f>
        <v/>
      </c>
    </row>
    <row r="2448">
      <c r="A2448" s="26" t="n"/>
      <c r="B2448" s="24" t="n"/>
      <c r="C2448" s="40">
        <f>IF(B2448="","",IFERROR(INDEX(Mitarbeiter!$B$6:$B$205,MATCH(B2448,Mitarbeiter!$A$6:$A$205,0)),"?"))</f>
        <v/>
      </c>
      <c r="D2448" s="41" t="n"/>
      <c r="E2448" s="42" t="n"/>
      <c r="F2448" s="43" t="n"/>
      <c r="G2448" s="44">
        <f>IF(OR(B2448="",F2448=""),"",IFERROR(F2448*INDEX(Mitarbeiter!$F$6:$F$205,MATCH(B2448,Mitarbeiter!$A$6:$A$205,0)),0))</f>
        <v/>
      </c>
      <c r="H2448" s="8">
        <f>IF(B2448="","",IF(ISNA(MATCH(B2448,Mitarbeiter!$A$6:$A$205,0)),"Pers.-Nr. unbekannt",IF(A2448="","Datum fehlt",IF(AND(D2448&lt;&gt;Einstellungen!$C$4,D2448&lt;&gt;Einstellungen!$C$5),"Objekt fehlt",IF(YEAR(A2448)&lt;&gt;Einstellungen!$C$3,"anderes Jahr",IF(A2448&lt;INDEX(Mitarbeiter!$C$6:$C$205,MATCH(B2448,Mitarbeiter!$A$6:$A$205,0)),"vor Eintritt",IF(AND(INDEX(Mitarbeiter!$D$6:$D$205,MATCH(B2448,Mitarbeiter!$A$6:$A$205,0))&lt;&gt;"",A2448&gt;INDEX(Mitarbeiter!$D$6:$D$205,MATCH(B2448,Mitarbeiter!$A$6:$A$205,0))),"nach Austritt","ok")))))))</f>
        <v/>
      </c>
    </row>
    <row r="2449">
      <c r="A2449" s="26" t="n"/>
      <c r="B2449" s="24" t="n"/>
      <c r="C2449" s="40">
        <f>IF(B2449="","",IFERROR(INDEX(Mitarbeiter!$B$6:$B$205,MATCH(B2449,Mitarbeiter!$A$6:$A$205,0)),"?"))</f>
        <v/>
      </c>
      <c r="D2449" s="41" t="n"/>
      <c r="E2449" s="42" t="n"/>
      <c r="F2449" s="43" t="n"/>
      <c r="G2449" s="44">
        <f>IF(OR(B2449="",F2449=""),"",IFERROR(F2449*INDEX(Mitarbeiter!$F$6:$F$205,MATCH(B2449,Mitarbeiter!$A$6:$A$205,0)),0))</f>
        <v/>
      </c>
      <c r="H2449" s="8">
        <f>IF(B2449="","",IF(ISNA(MATCH(B2449,Mitarbeiter!$A$6:$A$205,0)),"Pers.-Nr. unbekannt",IF(A2449="","Datum fehlt",IF(AND(D2449&lt;&gt;Einstellungen!$C$4,D2449&lt;&gt;Einstellungen!$C$5),"Objekt fehlt",IF(YEAR(A2449)&lt;&gt;Einstellungen!$C$3,"anderes Jahr",IF(A2449&lt;INDEX(Mitarbeiter!$C$6:$C$205,MATCH(B2449,Mitarbeiter!$A$6:$A$205,0)),"vor Eintritt",IF(AND(INDEX(Mitarbeiter!$D$6:$D$205,MATCH(B2449,Mitarbeiter!$A$6:$A$205,0))&lt;&gt;"",A2449&gt;INDEX(Mitarbeiter!$D$6:$D$205,MATCH(B2449,Mitarbeiter!$A$6:$A$205,0))),"nach Austritt","ok")))))))</f>
        <v/>
      </c>
    </row>
    <row r="2450">
      <c r="A2450" s="26" t="n"/>
      <c r="B2450" s="24" t="n"/>
      <c r="C2450" s="40">
        <f>IF(B2450="","",IFERROR(INDEX(Mitarbeiter!$B$6:$B$205,MATCH(B2450,Mitarbeiter!$A$6:$A$205,0)),"?"))</f>
        <v/>
      </c>
      <c r="D2450" s="41" t="n"/>
      <c r="E2450" s="42" t="n"/>
      <c r="F2450" s="43" t="n"/>
      <c r="G2450" s="44">
        <f>IF(OR(B2450="",F2450=""),"",IFERROR(F2450*INDEX(Mitarbeiter!$F$6:$F$205,MATCH(B2450,Mitarbeiter!$A$6:$A$205,0)),0))</f>
        <v/>
      </c>
      <c r="H2450" s="8">
        <f>IF(B2450="","",IF(ISNA(MATCH(B2450,Mitarbeiter!$A$6:$A$205,0)),"Pers.-Nr. unbekannt",IF(A2450="","Datum fehlt",IF(AND(D2450&lt;&gt;Einstellungen!$C$4,D2450&lt;&gt;Einstellungen!$C$5),"Objekt fehlt",IF(YEAR(A2450)&lt;&gt;Einstellungen!$C$3,"anderes Jahr",IF(A2450&lt;INDEX(Mitarbeiter!$C$6:$C$205,MATCH(B2450,Mitarbeiter!$A$6:$A$205,0)),"vor Eintritt",IF(AND(INDEX(Mitarbeiter!$D$6:$D$205,MATCH(B2450,Mitarbeiter!$A$6:$A$205,0))&lt;&gt;"",A2450&gt;INDEX(Mitarbeiter!$D$6:$D$205,MATCH(B2450,Mitarbeiter!$A$6:$A$205,0))),"nach Austritt","ok")))))))</f>
        <v/>
      </c>
    </row>
    <row r="2451">
      <c r="A2451" s="26" t="n"/>
      <c r="B2451" s="24" t="n"/>
      <c r="C2451" s="40">
        <f>IF(B2451="","",IFERROR(INDEX(Mitarbeiter!$B$6:$B$205,MATCH(B2451,Mitarbeiter!$A$6:$A$205,0)),"?"))</f>
        <v/>
      </c>
      <c r="D2451" s="41" t="n"/>
      <c r="E2451" s="42" t="n"/>
      <c r="F2451" s="43" t="n"/>
      <c r="G2451" s="44">
        <f>IF(OR(B2451="",F2451=""),"",IFERROR(F2451*INDEX(Mitarbeiter!$F$6:$F$205,MATCH(B2451,Mitarbeiter!$A$6:$A$205,0)),0))</f>
        <v/>
      </c>
      <c r="H2451" s="8">
        <f>IF(B2451="","",IF(ISNA(MATCH(B2451,Mitarbeiter!$A$6:$A$205,0)),"Pers.-Nr. unbekannt",IF(A2451="","Datum fehlt",IF(AND(D2451&lt;&gt;Einstellungen!$C$4,D2451&lt;&gt;Einstellungen!$C$5),"Objekt fehlt",IF(YEAR(A2451)&lt;&gt;Einstellungen!$C$3,"anderes Jahr",IF(A2451&lt;INDEX(Mitarbeiter!$C$6:$C$205,MATCH(B2451,Mitarbeiter!$A$6:$A$205,0)),"vor Eintritt",IF(AND(INDEX(Mitarbeiter!$D$6:$D$205,MATCH(B2451,Mitarbeiter!$A$6:$A$205,0))&lt;&gt;"",A2451&gt;INDEX(Mitarbeiter!$D$6:$D$205,MATCH(B2451,Mitarbeiter!$A$6:$A$205,0))),"nach Austritt","ok")))))))</f>
        <v/>
      </c>
    </row>
    <row r="2452">
      <c r="A2452" s="26" t="n"/>
      <c r="B2452" s="24" t="n"/>
      <c r="C2452" s="40">
        <f>IF(B2452="","",IFERROR(INDEX(Mitarbeiter!$B$6:$B$205,MATCH(B2452,Mitarbeiter!$A$6:$A$205,0)),"?"))</f>
        <v/>
      </c>
      <c r="D2452" s="41" t="n"/>
      <c r="E2452" s="42" t="n"/>
      <c r="F2452" s="43" t="n"/>
      <c r="G2452" s="44">
        <f>IF(OR(B2452="",F2452=""),"",IFERROR(F2452*INDEX(Mitarbeiter!$F$6:$F$205,MATCH(B2452,Mitarbeiter!$A$6:$A$205,0)),0))</f>
        <v/>
      </c>
      <c r="H2452" s="8">
        <f>IF(B2452="","",IF(ISNA(MATCH(B2452,Mitarbeiter!$A$6:$A$205,0)),"Pers.-Nr. unbekannt",IF(A2452="","Datum fehlt",IF(AND(D2452&lt;&gt;Einstellungen!$C$4,D2452&lt;&gt;Einstellungen!$C$5),"Objekt fehlt",IF(YEAR(A2452)&lt;&gt;Einstellungen!$C$3,"anderes Jahr",IF(A2452&lt;INDEX(Mitarbeiter!$C$6:$C$205,MATCH(B2452,Mitarbeiter!$A$6:$A$205,0)),"vor Eintritt",IF(AND(INDEX(Mitarbeiter!$D$6:$D$205,MATCH(B2452,Mitarbeiter!$A$6:$A$205,0))&lt;&gt;"",A2452&gt;INDEX(Mitarbeiter!$D$6:$D$205,MATCH(B2452,Mitarbeiter!$A$6:$A$205,0))),"nach Austritt","ok")))))))</f>
        <v/>
      </c>
    </row>
    <row r="2453">
      <c r="A2453" s="26" t="n"/>
      <c r="B2453" s="24" t="n"/>
      <c r="C2453" s="40">
        <f>IF(B2453="","",IFERROR(INDEX(Mitarbeiter!$B$6:$B$205,MATCH(B2453,Mitarbeiter!$A$6:$A$205,0)),"?"))</f>
        <v/>
      </c>
      <c r="D2453" s="41" t="n"/>
      <c r="E2453" s="42" t="n"/>
      <c r="F2453" s="43" t="n"/>
      <c r="G2453" s="44">
        <f>IF(OR(B2453="",F2453=""),"",IFERROR(F2453*INDEX(Mitarbeiter!$F$6:$F$205,MATCH(B2453,Mitarbeiter!$A$6:$A$205,0)),0))</f>
        <v/>
      </c>
      <c r="H2453" s="8">
        <f>IF(B2453="","",IF(ISNA(MATCH(B2453,Mitarbeiter!$A$6:$A$205,0)),"Pers.-Nr. unbekannt",IF(A2453="","Datum fehlt",IF(AND(D2453&lt;&gt;Einstellungen!$C$4,D2453&lt;&gt;Einstellungen!$C$5),"Objekt fehlt",IF(YEAR(A2453)&lt;&gt;Einstellungen!$C$3,"anderes Jahr",IF(A2453&lt;INDEX(Mitarbeiter!$C$6:$C$205,MATCH(B2453,Mitarbeiter!$A$6:$A$205,0)),"vor Eintritt",IF(AND(INDEX(Mitarbeiter!$D$6:$D$205,MATCH(B2453,Mitarbeiter!$A$6:$A$205,0))&lt;&gt;"",A2453&gt;INDEX(Mitarbeiter!$D$6:$D$205,MATCH(B2453,Mitarbeiter!$A$6:$A$205,0))),"nach Austritt","ok")))))))</f>
        <v/>
      </c>
    </row>
    <row r="2454">
      <c r="A2454" s="26" t="n"/>
      <c r="B2454" s="24" t="n"/>
      <c r="C2454" s="40">
        <f>IF(B2454="","",IFERROR(INDEX(Mitarbeiter!$B$6:$B$205,MATCH(B2454,Mitarbeiter!$A$6:$A$205,0)),"?"))</f>
        <v/>
      </c>
      <c r="D2454" s="41" t="n"/>
      <c r="E2454" s="42" t="n"/>
      <c r="F2454" s="43" t="n"/>
      <c r="G2454" s="44">
        <f>IF(OR(B2454="",F2454=""),"",IFERROR(F2454*INDEX(Mitarbeiter!$F$6:$F$205,MATCH(B2454,Mitarbeiter!$A$6:$A$205,0)),0))</f>
        <v/>
      </c>
      <c r="H2454" s="8">
        <f>IF(B2454="","",IF(ISNA(MATCH(B2454,Mitarbeiter!$A$6:$A$205,0)),"Pers.-Nr. unbekannt",IF(A2454="","Datum fehlt",IF(AND(D2454&lt;&gt;Einstellungen!$C$4,D2454&lt;&gt;Einstellungen!$C$5),"Objekt fehlt",IF(YEAR(A2454)&lt;&gt;Einstellungen!$C$3,"anderes Jahr",IF(A2454&lt;INDEX(Mitarbeiter!$C$6:$C$205,MATCH(B2454,Mitarbeiter!$A$6:$A$205,0)),"vor Eintritt",IF(AND(INDEX(Mitarbeiter!$D$6:$D$205,MATCH(B2454,Mitarbeiter!$A$6:$A$205,0))&lt;&gt;"",A2454&gt;INDEX(Mitarbeiter!$D$6:$D$205,MATCH(B2454,Mitarbeiter!$A$6:$A$205,0))),"nach Austritt","ok")))))))</f>
        <v/>
      </c>
    </row>
    <row r="2455">
      <c r="A2455" s="26" t="n"/>
      <c r="B2455" s="24" t="n"/>
      <c r="C2455" s="40">
        <f>IF(B2455="","",IFERROR(INDEX(Mitarbeiter!$B$6:$B$205,MATCH(B2455,Mitarbeiter!$A$6:$A$205,0)),"?"))</f>
        <v/>
      </c>
      <c r="D2455" s="41" t="n"/>
      <c r="E2455" s="42" t="n"/>
      <c r="F2455" s="43" t="n"/>
      <c r="G2455" s="44">
        <f>IF(OR(B2455="",F2455=""),"",IFERROR(F2455*INDEX(Mitarbeiter!$F$6:$F$205,MATCH(B2455,Mitarbeiter!$A$6:$A$205,0)),0))</f>
        <v/>
      </c>
      <c r="H2455" s="8">
        <f>IF(B2455="","",IF(ISNA(MATCH(B2455,Mitarbeiter!$A$6:$A$205,0)),"Pers.-Nr. unbekannt",IF(A2455="","Datum fehlt",IF(AND(D2455&lt;&gt;Einstellungen!$C$4,D2455&lt;&gt;Einstellungen!$C$5),"Objekt fehlt",IF(YEAR(A2455)&lt;&gt;Einstellungen!$C$3,"anderes Jahr",IF(A2455&lt;INDEX(Mitarbeiter!$C$6:$C$205,MATCH(B2455,Mitarbeiter!$A$6:$A$205,0)),"vor Eintritt",IF(AND(INDEX(Mitarbeiter!$D$6:$D$205,MATCH(B2455,Mitarbeiter!$A$6:$A$205,0))&lt;&gt;"",A2455&gt;INDEX(Mitarbeiter!$D$6:$D$205,MATCH(B2455,Mitarbeiter!$A$6:$A$205,0))),"nach Austritt","ok")))))))</f>
        <v/>
      </c>
    </row>
    <row r="2456">
      <c r="A2456" s="26" t="n"/>
      <c r="B2456" s="24" t="n"/>
      <c r="C2456" s="40">
        <f>IF(B2456="","",IFERROR(INDEX(Mitarbeiter!$B$6:$B$205,MATCH(B2456,Mitarbeiter!$A$6:$A$205,0)),"?"))</f>
        <v/>
      </c>
      <c r="D2456" s="41" t="n"/>
      <c r="E2456" s="42" t="n"/>
      <c r="F2456" s="43" t="n"/>
      <c r="G2456" s="44">
        <f>IF(OR(B2456="",F2456=""),"",IFERROR(F2456*INDEX(Mitarbeiter!$F$6:$F$205,MATCH(B2456,Mitarbeiter!$A$6:$A$205,0)),0))</f>
        <v/>
      </c>
      <c r="H2456" s="8">
        <f>IF(B2456="","",IF(ISNA(MATCH(B2456,Mitarbeiter!$A$6:$A$205,0)),"Pers.-Nr. unbekannt",IF(A2456="","Datum fehlt",IF(AND(D2456&lt;&gt;Einstellungen!$C$4,D2456&lt;&gt;Einstellungen!$C$5),"Objekt fehlt",IF(YEAR(A2456)&lt;&gt;Einstellungen!$C$3,"anderes Jahr",IF(A2456&lt;INDEX(Mitarbeiter!$C$6:$C$205,MATCH(B2456,Mitarbeiter!$A$6:$A$205,0)),"vor Eintritt",IF(AND(INDEX(Mitarbeiter!$D$6:$D$205,MATCH(B2456,Mitarbeiter!$A$6:$A$205,0))&lt;&gt;"",A2456&gt;INDEX(Mitarbeiter!$D$6:$D$205,MATCH(B2456,Mitarbeiter!$A$6:$A$205,0))),"nach Austritt","ok")))))))</f>
        <v/>
      </c>
    </row>
    <row r="2457">
      <c r="A2457" s="26" t="n"/>
      <c r="B2457" s="24" t="n"/>
      <c r="C2457" s="40">
        <f>IF(B2457="","",IFERROR(INDEX(Mitarbeiter!$B$6:$B$205,MATCH(B2457,Mitarbeiter!$A$6:$A$205,0)),"?"))</f>
        <v/>
      </c>
      <c r="D2457" s="41" t="n"/>
      <c r="E2457" s="42" t="n"/>
      <c r="F2457" s="43" t="n"/>
      <c r="G2457" s="44">
        <f>IF(OR(B2457="",F2457=""),"",IFERROR(F2457*INDEX(Mitarbeiter!$F$6:$F$205,MATCH(B2457,Mitarbeiter!$A$6:$A$205,0)),0))</f>
        <v/>
      </c>
      <c r="H2457" s="8">
        <f>IF(B2457="","",IF(ISNA(MATCH(B2457,Mitarbeiter!$A$6:$A$205,0)),"Pers.-Nr. unbekannt",IF(A2457="","Datum fehlt",IF(AND(D2457&lt;&gt;Einstellungen!$C$4,D2457&lt;&gt;Einstellungen!$C$5),"Objekt fehlt",IF(YEAR(A2457)&lt;&gt;Einstellungen!$C$3,"anderes Jahr",IF(A2457&lt;INDEX(Mitarbeiter!$C$6:$C$205,MATCH(B2457,Mitarbeiter!$A$6:$A$205,0)),"vor Eintritt",IF(AND(INDEX(Mitarbeiter!$D$6:$D$205,MATCH(B2457,Mitarbeiter!$A$6:$A$205,0))&lt;&gt;"",A2457&gt;INDEX(Mitarbeiter!$D$6:$D$205,MATCH(B2457,Mitarbeiter!$A$6:$A$205,0))),"nach Austritt","ok")))))))</f>
        <v/>
      </c>
    </row>
    <row r="2458">
      <c r="A2458" s="26" t="n"/>
      <c r="B2458" s="24" t="n"/>
      <c r="C2458" s="40">
        <f>IF(B2458="","",IFERROR(INDEX(Mitarbeiter!$B$6:$B$205,MATCH(B2458,Mitarbeiter!$A$6:$A$205,0)),"?"))</f>
        <v/>
      </c>
      <c r="D2458" s="41" t="n"/>
      <c r="E2458" s="42" t="n"/>
      <c r="F2458" s="43" t="n"/>
      <c r="G2458" s="44">
        <f>IF(OR(B2458="",F2458=""),"",IFERROR(F2458*INDEX(Mitarbeiter!$F$6:$F$205,MATCH(B2458,Mitarbeiter!$A$6:$A$205,0)),0))</f>
        <v/>
      </c>
      <c r="H2458" s="8">
        <f>IF(B2458="","",IF(ISNA(MATCH(B2458,Mitarbeiter!$A$6:$A$205,0)),"Pers.-Nr. unbekannt",IF(A2458="","Datum fehlt",IF(AND(D2458&lt;&gt;Einstellungen!$C$4,D2458&lt;&gt;Einstellungen!$C$5),"Objekt fehlt",IF(YEAR(A2458)&lt;&gt;Einstellungen!$C$3,"anderes Jahr",IF(A2458&lt;INDEX(Mitarbeiter!$C$6:$C$205,MATCH(B2458,Mitarbeiter!$A$6:$A$205,0)),"vor Eintritt",IF(AND(INDEX(Mitarbeiter!$D$6:$D$205,MATCH(B2458,Mitarbeiter!$A$6:$A$205,0))&lt;&gt;"",A2458&gt;INDEX(Mitarbeiter!$D$6:$D$205,MATCH(B2458,Mitarbeiter!$A$6:$A$205,0))),"nach Austritt","ok")))))))</f>
        <v/>
      </c>
    </row>
    <row r="2459">
      <c r="A2459" s="26" t="n"/>
      <c r="B2459" s="24" t="n"/>
      <c r="C2459" s="40">
        <f>IF(B2459="","",IFERROR(INDEX(Mitarbeiter!$B$6:$B$205,MATCH(B2459,Mitarbeiter!$A$6:$A$205,0)),"?"))</f>
        <v/>
      </c>
      <c r="D2459" s="41" t="n"/>
      <c r="E2459" s="42" t="n"/>
      <c r="F2459" s="43" t="n"/>
      <c r="G2459" s="44">
        <f>IF(OR(B2459="",F2459=""),"",IFERROR(F2459*INDEX(Mitarbeiter!$F$6:$F$205,MATCH(B2459,Mitarbeiter!$A$6:$A$205,0)),0))</f>
        <v/>
      </c>
      <c r="H2459" s="8">
        <f>IF(B2459="","",IF(ISNA(MATCH(B2459,Mitarbeiter!$A$6:$A$205,0)),"Pers.-Nr. unbekannt",IF(A2459="","Datum fehlt",IF(AND(D2459&lt;&gt;Einstellungen!$C$4,D2459&lt;&gt;Einstellungen!$C$5),"Objekt fehlt",IF(YEAR(A2459)&lt;&gt;Einstellungen!$C$3,"anderes Jahr",IF(A2459&lt;INDEX(Mitarbeiter!$C$6:$C$205,MATCH(B2459,Mitarbeiter!$A$6:$A$205,0)),"vor Eintritt",IF(AND(INDEX(Mitarbeiter!$D$6:$D$205,MATCH(B2459,Mitarbeiter!$A$6:$A$205,0))&lt;&gt;"",A2459&gt;INDEX(Mitarbeiter!$D$6:$D$205,MATCH(B2459,Mitarbeiter!$A$6:$A$205,0))),"nach Austritt","ok")))))))</f>
        <v/>
      </c>
    </row>
    <row r="2460">
      <c r="A2460" s="26" t="n"/>
      <c r="B2460" s="24" t="n"/>
      <c r="C2460" s="40">
        <f>IF(B2460="","",IFERROR(INDEX(Mitarbeiter!$B$6:$B$205,MATCH(B2460,Mitarbeiter!$A$6:$A$205,0)),"?"))</f>
        <v/>
      </c>
      <c r="D2460" s="41" t="n"/>
      <c r="E2460" s="42" t="n"/>
      <c r="F2460" s="43" t="n"/>
      <c r="G2460" s="44">
        <f>IF(OR(B2460="",F2460=""),"",IFERROR(F2460*INDEX(Mitarbeiter!$F$6:$F$205,MATCH(B2460,Mitarbeiter!$A$6:$A$205,0)),0))</f>
        <v/>
      </c>
      <c r="H2460" s="8">
        <f>IF(B2460="","",IF(ISNA(MATCH(B2460,Mitarbeiter!$A$6:$A$205,0)),"Pers.-Nr. unbekannt",IF(A2460="","Datum fehlt",IF(AND(D2460&lt;&gt;Einstellungen!$C$4,D2460&lt;&gt;Einstellungen!$C$5),"Objekt fehlt",IF(YEAR(A2460)&lt;&gt;Einstellungen!$C$3,"anderes Jahr",IF(A2460&lt;INDEX(Mitarbeiter!$C$6:$C$205,MATCH(B2460,Mitarbeiter!$A$6:$A$205,0)),"vor Eintritt",IF(AND(INDEX(Mitarbeiter!$D$6:$D$205,MATCH(B2460,Mitarbeiter!$A$6:$A$205,0))&lt;&gt;"",A2460&gt;INDEX(Mitarbeiter!$D$6:$D$205,MATCH(B2460,Mitarbeiter!$A$6:$A$205,0))),"nach Austritt","ok")))))))</f>
        <v/>
      </c>
    </row>
    <row r="2461">
      <c r="A2461" s="26" t="n"/>
      <c r="B2461" s="24" t="n"/>
      <c r="C2461" s="40">
        <f>IF(B2461="","",IFERROR(INDEX(Mitarbeiter!$B$6:$B$205,MATCH(B2461,Mitarbeiter!$A$6:$A$205,0)),"?"))</f>
        <v/>
      </c>
      <c r="D2461" s="41" t="n"/>
      <c r="E2461" s="42" t="n"/>
      <c r="F2461" s="43" t="n"/>
      <c r="G2461" s="44">
        <f>IF(OR(B2461="",F2461=""),"",IFERROR(F2461*INDEX(Mitarbeiter!$F$6:$F$205,MATCH(B2461,Mitarbeiter!$A$6:$A$205,0)),0))</f>
        <v/>
      </c>
      <c r="H2461" s="8">
        <f>IF(B2461="","",IF(ISNA(MATCH(B2461,Mitarbeiter!$A$6:$A$205,0)),"Pers.-Nr. unbekannt",IF(A2461="","Datum fehlt",IF(AND(D2461&lt;&gt;Einstellungen!$C$4,D2461&lt;&gt;Einstellungen!$C$5),"Objekt fehlt",IF(YEAR(A2461)&lt;&gt;Einstellungen!$C$3,"anderes Jahr",IF(A2461&lt;INDEX(Mitarbeiter!$C$6:$C$205,MATCH(B2461,Mitarbeiter!$A$6:$A$205,0)),"vor Eintritt",IF(AND(INDEX(Mitarbeiter!$D$6:$D$205,MATCH(B2461,Mitarbeiter!$A$6:$A$205,0))&lt;&gt;"",A2461&gt;INDEX(Mitarbeiter!$D$6:$D$205,MATCH(B2461,Mitarbeiter!$A$6:$A$205,0))),"nach Austritt","ok")))))))</f>
        <v/>
      </c>
    </row>
    <row r="2462">
      <c r="A2462" s="26" t="n"/>
      <c r="B2462" s="24" t="n"/>
      <c r="C2462" s="40">
        <f>IF(B2462="","",IFERROR(INDEX(Mitarbeiter!$B$6:$B$205,MATCH(B2462,Mitarbeiter!$A$6:$A$205,0)),"?"))</f>
        <v/>
      </c>
      <c r="D2462" s="41" t="n"/>
      <c r="E2462" s="42" t="n"/>
      <c r="F2462" s="43" t="n"/>
      <c r="G2462" s="44">
        <f>IF(OR(B2462="",F2462=""),"",IFERROR(F2462*INDEX(Mitarbeiter!$F$6:$F$205,MATCH(B2462,Mitarbeiter!$A$6:$A$205,0)),0))</f>
        <v/>
      </c>
      <c r="H2462" s="8">
        <f>IF(B2462="","",IF(ISNA(MATCH(B2462,Mitarbeiter!$A$6:$A$205,0)),"Pers.-Nr. unbekannt",IF(A2462="","Datum fehlt",IF(AND(D2462&lt;&gt;Einstellungen!$C$4,D2462&lt;&gt;Einstellungen!$C$5),"Objekt fehlt",IF(YEAR(A2462)&lt;&gt;Einstellungen!$C$3,"anderes Jahr",IF(A2462&lt;INDEX(Mitarbeiter!$C$6:$C$205,MATCH(B2462,Mitarbeiter!$A$6:$A$205,0)),"vor Eintritt",IF(AND(INDEX(Mitarbeiter!$D$6:$D$205,MATCH(B2462,Mitarbeiter!$A$6:$A$205,0))&lt;&gt;"",A2462&gt;INDEX(Mitarbeiter!$D$6:$D$205,MATCH(B2462,Mitarbeiter!$A$6:$A$205,0))),"nach Austritt","ok")))))))</f>
        <v/>
      </c>
    </row>
    <row r="2463">
      <c r="A2463" s="26" t="n"/>
      <c r="B2463" s="24" t="n"/>
      <c r="C2463" s="40">
        <f>IF(B2463="","",IFERROR(INDEX(Mitarbeiter!$B$6:$B$205,MATCH(B2463,Mitarbeiter!$A$6:$A$205,0)),"?"))</f>
        <v/>
      </c>
      <c r="D2463" s="41" t="n"/>
      <c r="E2463" s="42" t="n"/>
      <c r="F2463" s="43" t="n"/>
      <c r="G2463" s="44">
        <f>IF(OR(B2463="",F2463=""),"",IFERROR(F2463*INDEX(Mitarbeiter!$F$6:$F$205,MATCH(B2463,Mitarbeiter!$A$6:$A$205,0)),0))</f>
        <v/>
      </c>
      <c r="H2463" s="8">
        <f>IF(B2463="","",IF(ISNA(MATCH(B2463,Mitarbeiter!$A$6:$A$205,0)),"Pers.-Nr. unbekannt",IF(A2463="","Datum fehlt",IF(AND(D2463&lt;&gt;Einstellungen!$C$4,D2463&lt;&gt;Einstellungen!$C$5),"Objekt fehlt",IF(YEAR(A2463)&lt;&gt;Einstellungen!$C$3,"anderes Jahr",IF(A2463&lt;INDEX(Mitarbeiter!$C$6:$C$205,MATCH(B2463,Mitarbeiter!$A$6:$A$205,0)),"vor Eintritt",IF(AND(INDEX(Mitarbeiter!$D$6:$D$205,MATCH(B2463,Mitarbeiter!$A$6:$A$205,0))&lt;&gt;"",A2463&gt;INDEX(Mitarbeiter!$D$6:$D$205,MATCH(B2463,Mitarbeiter!$A$6:$A$205,0))),"nach Austritt","ok")))))))</f>
        <v/>
      </c>
    </row>
    <row r="2464">
      <c r="A2464" s="26" t="n"/>
      <c r="B2464" s="24" t="n"/>
      <c r="C2464" s="40">
        <f>IF(B2464="","",IFERROR(INDEX(Mitarbeiter!$B$6:$B$205,MATCH(B2464,Mitarbeiter!$A$6:$A$205,0)),"?"))</f>
        <v/>
      </c>
      <c r="D2464" s="41" t="n"/>
      <c r="E2464" s="42" t="n"/>
      <c r="F2464" s="43" t="n"/>
      <c r="G2464" s="44">
        <f>IF(OR(B2464="",F2464=""),"",IFERROR(F2464*INDEX(Mitarbeiter!$F$6:$F$205,MATCH(B2464,Mitarbeiter!$A$6:$A$205,0)),0))</f>
        <v/>
      </c>
      <c r="H2464" s="8">
        <f>IF(B2464="","",IF(ISNA(MATCH(B2464,Mitarbeiter!$A$6:$A$205,0)),"Pers.-Nr. unbekannt",IF(A2464="","Datum fehlt",IF(AND(D2464&lt;&gt;Einstellungen!$C$4,D2464&lt;&gt;Einstellungen!$C$5),"Objekt fehlt",IF(YEAR(A2464)&lt;&gt;Einstellungen!$C$3,"anderes Jahr",IF(A2464&lt;INDEX(Mitarbeiter!$C$6:$C$205,MATCH(B2464,Mitarbeiter!$A$6:$A$205,0)),"vor Eintritt",IF(AND(INDEX(Mitarbeiter!$D$6:$D$205,MATCH(B2464,Mitarbeiter!$A$6:$A$205,0))&lt;&gt;"",A2464&gt;INDEX(Mitarbeiter!$D$6:$D$205,MATCH(B2464,Mitarbeiter!$A$6:$A$205,0))),"nach Austritt","ok")))))))</f>
        <v/>
      </c>
    </row>
    <row r="2465">
      <c r="A2465" s="26" t="n"/>
      <c r="B2465" s="24" t="n"/>
      <c r="C2465" s="40">
        <f>IF(B2465="","",IFERROR(INDEX(Mitarbeiter!$B$6:$B$205,MATCH(B2465,Mitarbeiter!$A$6:$A$205,0)),"?"))</f>
        <v/>
      </c>
      <c r="D2465" s="41" t="n"/>
      <c r="E2465" s="42" t="n"/>
      <c r="F2465" s="43" t="n"/>
      <c r="G2465" s="44">
        <f>IF(OR(B2465="",F2465=""),"",IFERROR(F2465*INDEX(Mitarbeiter!$F$6:$F$205,MATCH(B2465,Mitarbeiter!$A$6:$A$205,0)),0))</f>
        <v/>
      </c>
      <c r="H2465" s="8">
        <f>IF(B2465="","",IF(ISNA(MATCH(B2465,Mitarbeiter!$A$6:$A$205,0)),"Pers.-Nr. unbekannt",IF(A2465="","Datum fehlt",IF(AND(D2465&lt;&gt;Einstellungen!$C$4,D2465&lt;&gt;Einstellungen!$C$5),"Objekt fehlt",IF(YEAR(A2465)&lt;&gt;Einstellungen!$C$3,"anderes Jahr",IF(A2465&lt;INDEX(Mitarbeiter!$C$6:$C$205,MATCH(B2465,Mitarbeiter!$A$6:$A$205,0)),"vor Eintritt",IF(AND(INDEX(Mitarbeiter!$D$6:$D$205,MATCH(B2465,Mitarbeiter!$A$6:$A$205,0))&lt;&gt;"",A2465&gt;INDEX(Mitarbeiter!$D$6:$D$205,MATCH(B2465,Mitarbeiter!$A$6:$A$205,0))),"nach Austritt","ok")))))))</f>
        <v/>
      </c>
    </row>
    <row r="2466">
      <c r="A2466" s="26" t="n"/>
      <c r="B2466" s="24" t="n"/>
      <c r="C2466" s="40">
        <f>IF(B2466="","",IFERROR(INDEX(Mitarbeiter!$B$6:$B$205,MATCH(B2466,Mitarbeiter!$A$6:$A$205,0)),"?"))</f>
        <v/>
      </c>
      <c r="D2466" s="41" t="n"/>
      <c r="E2466" s="42" t="n"/>
      <c r="F2466" s="43" t="n"/>
      <c r="G2466" s="44">
        <f>IF(OR(B2466="",F2466=""),"",IFERROR(F2466*INDEX(Mitarbeiter!$F$6:$F$205,MATCH(B2466,Mitarbeiter!$A$6:$A$205,0)),0))</f>
        <v/>
      </c>
      <c r="H2466" s="8">
        <f>IF(B2466="","",IF(ISNA(MATCH(B2466,Mitarbeiter!$A$6:$A$205,0)),"Pers.-Nr. unbekannt",IF(A2466="","Datum fehlt",IF(AND(D2466&lt;&gt;Einstellungen!$C$4,D2466&lt;&gt;Einstellungen!$C$5),"Objekt fehlt",IF(YEAR(A2466)&lt;&gt;Einstellungen!$C$3,"anderes Jahr",IF(A2466&lt;INDEX(Mitarbeiter!$C$6:$C$205,MATCH(B2466,Mitarbeiter!$A$6:$A$205,0)),"vor Eintritt",IF(AND(INDEX(Mitarbeiter!$D$6:$D$205,MATCH(B2466,Mitarbeiter!$A$6:$A$205,0))&lt;&gt;"",A2466&gt;INDEX(Mitarbeiter!$D$6:$D$205,MATCH(B2466,Mitarbeiter!$A$6:$A$205,0))),"nach Austritt","ok")))))))</f>
        <v/>
      </c>
    </row>
    <row r="2467">
      <c r="A2467" s="26" t="n"/>
      <c r="B2467" s="24" t="n"/>
      <c r="C2467" s="40">
        <f>IF(B2467="","",IFERROR(INDEX(Mitarbeiter!$B$6:$B$205,MATCH(B2467,Mitarbeiter!$A$6:$A$205,0)),"?"))</f>
        <v/>
      </c>
      <c r="D2467" s="41" t="n"/>
      <c r="E2467" s="42" t="n"/>
      <c r="F2467" s="43" t="n"/>
      <c r="G2467" s="44">
        <f>IF(OR(B2467="",F2467=""),"",IFERROR(F2467*INDEX(Mitarbeiter!$F$6:$F$205,MATCH(B2467,Mitarbeiter!$A$6:$A$205,0)),0))</f>
        <v/>
      </c>
      <c r="H2467" s="8">
        <f>IF(B2467="","",IF(ISNA(MATCH(B2467,Mitarbeiter!$A$6:$A$205,0)),"Pers.-Nr. unbekannt",IF(A2467="","Datum fehlt",IF(AND(D2467&lt;&gt;Einstellungen!$C$4,D2467&lt;&gt;Einstellungen!$C$5),"Objekt fehlt",IF(YEAR(A2467)&lt;&gt;Einstellungen!$C$3,"anderes Jahr",IF(A2467&lt;INDEX(Mitarbeiter!$C$6:$C$205,MATCH(B2467,Mitarbeiter!$A$6:$A$205,0)),"vor Eintritt",IF(AND(INDEX(Mitarbeiter!$D$6:$D$205,MATCH(B2467,Mitarbeiter!$A$6:$A$205,0))&lt;&gt;"",A2467&gt;INDEX(Mitarbeiter!$D$6:$D$205,MATCH(B2467,Mitarbeiter!$A$6:$A$205,0))),"nach Austritt","ok")))))))</f>
        <v/>
      </c>
    </row>
    <row r="2468">
      <c r="A2468" s="26" t="n"/>
      <c r="B2468" s="24" t="n"/>
      <c r="C2468" s="40">
        <f>IF(B2468="","",IFERROR(INDEX(Mitarbeiter!$B$6:$B$205,MATCH(B2468,Mitarbeiter!$A$6:$A$205,0)),"?"))</f>
        <v/>
      </c>
      <c r="D2468" s="41" t="n"/>
      <c r="E2468" s="42" t="n"/>
      <c r="F2468" s="43" t="n"/>
      <c r="G2468" s="44">
        <f>IF(OR(B2468="",F2468=""),"",IFERROR(F2468*INDEX(Mitarbeiter!$F$6:$F$205,MATCH(B2468,Mitarbeiter!$A$6:$A$205,0)),0))</f>
        <v/>
      </c>
      <c r="H2468" s="8">
        <f>IF(B2468="","",IF(ISNA(MATCH(B2468,Mitarbeiter!$A$6:$A$205,0)),"Pers.-Nr. unbekannt",IF(A2468="","Datum fehlt",IF(AND(D2468&lt;&gt;Einstellungen!$C$4,D2468&lt;&gt;Einstellungen!$C$5),"Objekt fehlt",IF(YEAR(A2468)&lt;&gt;Einstellungen!$C$3,"anderes Jahr",IF(A2468&lt;INDEX(Mitarbeiter!$C$6:$C$205,MATCH(B2468,Mitarbeiter!$A$6:$A$205,0)),"vor Eintritt",IF(AND(INDEX(Mitarbeiter!$D$6:$D$205,MATCH(B2468,Mitarbeiter!$A$6:$A$205,0))&lt;&gt;"",A2468&gt;INDEX(Mitarbeiter!$D$6:$D$205,MATCH(B2468,Mitarbeiter!$A$6:$A$205,0))),"nach Austritt","ok")))))))</f>
        <v/>
      </c>
    </row>
    <row r="2469">
      <c r="A2469" s="26" t="n"/>
      <c r="B2469" s="24" t="n"/>
      <c r="C2469" s="40">
        <f>IF(B2469="","",IFERROR(INDEX(Mitarbeiter!$B$6:$B$205,MATCH(B2469,Mitarbeiter!$A$6:$A$205,0)),"?"))</f>
        <v/>
      </c>
      <c r="D2469" s="41" t="n"/>
      <c r="E2469" s="42" t="n"/>
      <c r="F2469" s="43" t="n"/>
      <c r="G2469" s="44">
        <f>IF(OR(B2469="",F2469=""),"",IFERROR(F2469*INDEX(Mitarbeiter!$F$6:$F$205,MATCH(B2469,Mitarbeiter!$A$6:$A$205,0)),0))</f>
        <v/>
      </c>
      <c r="H2469" s="8">
        <f>IF(B2469="","",IF(ISNA(MATCH(B2469,Mitarbeiter!$A$6:$A$205,0)),"Pers.-Nr. unbekannt",IF(A2469="","Datum fehlt",IF(AND(D2469&lt;&gt;Einstellungen!$C$4,D2469&lt;&gt;Einstellungen!$C$5),"Objekt fehlt",IF(YEAR(A2469)&lt;&gt;Einstellungen!$C$3,"anderes Jahr",IF(A2469&lt;INDEX(Mitarbeiter!$C$6:$C$205,MATCH(B2469,Mitarbeiter!$A$6:$A$205,0)),"vor Eintritt",IF(AND(INDEX(Mitarbeiter!$D$6:$D$205,MATCH(B2469,Mitarbeiter!$A$6:$A$205,0))&lt;&gt;"",A2469&gt;INDEX(Mitarbeiter!$D$6:$D$205,MATCH(B2469,Mitarbeiter!$A$6:$A$205,0))),"nach Austritt","ok")))))))</f>
        <v/>
      </c>
    </row>
    <row r="2470">
      <c r="A2470" s="26" t="n"/>
      <c r="B2470" s="24" t="n"/>
      <c r="C2470" s="40">
        <f>IF(B2470="","",IFERROR(INDEX(Mitarbeiter!$B$6:$B$205,MATCH(B2470,Mitarbeiter!$A$6:$A$205,0)),"?"))</f>
        <v/>
      </c>
      <c r="D2470" s="41" t="n"/>
      <c r="E2470" s="42" t="n"/>
      <c r="F2470" s="43" t="n"/>
      <c r="G2470" s="44">
        <f>IF(OR(B2470="",F2470=""),"",IFERROR(F2470*INDEX(Mitarbeiter!$F$6:$F$205,MATCH(B2470,Mitarbeiter!$A$6:$A$205,0)),0))</f>
        <v/>
      </c>
      <c r="H2470" s="8">
        <f>IF(B2470="","",IF(ISNA(MATCH(B2470,Mitarbeiter!$A$6:$A$205,0)),"Pers.-Nr. unbekannt",IF(A2470="","Datum fehlt",IF(AND(D2470&lt;&gt;Einstellungen!$C$4,D2470&lt;&gt;Einstellungen!$C$5),"Objekt fehlt",IF(YEAR(A2470)&lt;&gt;Einstellungen!$C$3,"anderes Jahr",IF(A2470&lt;INDEX(Mitarbeiter!$C$6:$C$205,MATCH(B2470,Mitarbeiter!$A$6:$A$205,0)),"vor Eintritt",IF(AND(INDEX(Mitarbeiter!$D$6:$D$205,MATCH(B2470,Mitarbeiter!$A$6:$A$205,0))&lt;&gt;"",A2470&gt;INDEX(Mitarbeiter!$D$6:$D$205,MATCH(B2470,Mitarbeiter!$A$6:$A$205,0))),"nach Austritt","ok")))))))</f>
        <v/>
      </c>
    </row>
    <row r="2471">
      <c r="A2471" s="26" t="n"/>
      <c r="B2471" s="24" t="n"/>
      <c r="C2471" s="40">
        <f>IF(B2471="","",IFERROR(INDEX(Mitarbeiter!$B$6:$B$205,MATCH(B2471,Mitarbeiter!$A$6:$A$205,0)),"?"))</f>
        <v/>
      </c>
      <c r="D2471" s="41" t="n"/>
      <c r="E2471" s="42" t="n"/>
      <c r="F2471" s="43" t="n"/>
      <c r="G2471" s="44">
        <f>IF(OR(B2471="",F2471=""),"",IFERROR(F2471*INDEX(Mitarbeiter!$F$6:$F$205,MATCH(B2471,Mitarbeiter!$A$6:$A$205,0)),0))</f>
        <v/>
      </c>
      <c r="H2471" s="8">
        <f>IF(B2471="","",IF(ISNA(MATCH(B2471,Mitarbeiter!$A$6:$A$205,0)),"Pers.-Nr. unbekannt",IF(A2471="","Datum fehlt",IF(AND(D2471&lt;&gt;Einstellungen!$C$4,D2471&lt;&gt;Einstellungen!$C$5),"Objekt fehlt",IF(YEAR(A2471)&lt;&gt;Einstellungen!$C$3,"anderes Jahr",IF(A2471&lt;INDEX(Mitarbeiter!$C$6:$C$205,MATCH(B2471,Mitarbeiter!$A$6:$A$205,0)),"vor Eintritt",IF(AND(INDEX(Mitarbeiter!$D$6:$D$205,MATCH(B2471,Mitarbeiter!$A$6:$A$205,0))&lt;&gt;"",A2471&gt;INDEX(Mitarbeiter!$D$6:$D$205,MATCH(B2471,Mitarbeiter!$A$6:$A$205,0))),"nach Austritt","ok")))))))</f>
        <v/>
      </c>
    </row>
    <row r="2472">
      <c r="A2472" s="26" t="n"/>
      <c r="B2472" s="24" t="n"/>
      <c r="C2472" s="40">
        <f>IF(B2472="","",IFERROR(INDEX(Mitarbeiter!$B$6:$B$205,MATCH(B2472,Mitarbeiter!$A$6:$A$205,0)),"?"))</f>
        <v/>
      </c>
      <c r="D2472" s="41" t="n"/>
      <c r="E2472" s="42" t="n"/>
      <c r="F2472" s="43" t="n"/>
      <c r="G2472" s="44">
        <f>IF(OR(B2472="",F2472=""),"",IFERROR(F2472*INDEX(Mitarbeiter!$F$6:$F$205,MATCH(B2472,Mitarbeiter!$A$6:$A$205,0)),0))</f>
        <v/>
      </c>
      <c r="H2472" s="8">
        <f>IF(B2472="","",IF(ISNA(MATCH(B2472,Mitarbeiter!$A$6:$A$205,0)),"Pers.-Nr. unbekannt",IF(A2472="","Datum fehlt",IF(AND(D2472&lt;&gt;Einstellungen!$C$4,D2472&lt;&gt;Einstellungen!$C$5),"Objekt fehlt",IF(YEAR(A2472)&lt;&gt;Einstellungen!$C$3,"anderes Jahr",IF(A2472&lt;INDEX(Mitarbeiter!$C$6:$C$205,MATCH(B2472,Mitarbeiter!$A$6:$A$205,0)),"vor Eintritt",IF(AND(INDEX(Mitarbeiter!$D$6:$D$205,MATCH(B2472,Mitarbeiter!$A$6:$A$205,0))&lt;&gt;"",A2472&gt;INDEX(Mitarbeiter!$D$6:$D$205,MATCH(B2472,Mitarbeiter!$A$6:$A$205,0))),"nach Austritt","ok")))))))</f>
        <v/>
      </c>
    </row>
    <row r="2473">
      <c r="A2473" s="26" t="n"/>
      <c r="B2473" s="24" t="n"/>
      <c r="C2473" s="40">
        <f>IF(B2473="","",IFERROR(INDEX(Mitarbeiter!$B$6:$B$205,MATCH(B2473,Mitarbeiter!$A$6:$A$205,0)),"?"))</f>
        <v/>
      </c>
      <c r="D2473" s="41" t="n"/>
      <c r="E2473" s="42" t="n"/>
      <c r="F2473" s="43" t="n"/>
      <c r="G2473" s="44">
        <f>IF(OR(B2473="",F2473=""),"",IFERROR(F2473*INDEX(Mitarbeiter!$F$6:$F$205,MATCH(B2473,Mitarbeiter!$A$6:$A$205,0)),0))</f>
        <v/>
      </c>
      <c r="H2473" s="8">
        <f>IF(B2473="","",IF(ISNA(MATCH(B2473,Mitarbeiter!$A$6:$A$205,0)),"Pers.-Nr. unbekannt",IF(A2473="","Datum fehlt",IF(AND(D2473&lt;&gt;Einstellungen!$C$4,D2473&lt;&gt;Einstellungen!$C$5),"Objekt fehlt",IF(YEAR(A2473)&lt;&gt;Einstellungen!$C$3,"anderes Jahr",IF(A2473&lt;INDEX(Mitarbeiter!$C$6:$C$205,MATCH(B2473,Mitarbeiter!$A$6:$A$205,0)),"vor Eintritt",IF(AND(INDEX(Mitarbeiter!$D$6:$D$205,MATCH(B2473,Mitarbeiter!$A$6:$A$205,0))&lt;&gt;"",A2473&gt;INDEX(Mitarbeiter!$D$6:$D$205,MATCH(B2473,Mitarbeiter!$A$6:$A$205,0))),"nach Austritt","ok")))))))</f>
        <v/>
      </c>
    </row>
    <row r="2474">
      <c r="A2474" s="26" t="n"/>
      <c r="B2474" s="24" t="n"/>
      <c r="C2474" s="40">
        <f>IF(B2474="","",IFERROR(INDEX(Mitarbeiter!$B$6:$B$205,MATCH(B2474,Mitarbeiter!$A$6:$A$205,0)),"?"))</f>
        <v/>
      </c>
      <c r="D2474" s="41" t="n"/>
      <c r="E2474" s="42" t="n"/>
      <c r="F2474" s="43" t="n"/>
      <c r="G2474" s="44">
        <f>IF(OR(B2474="",F2474=""),"",IFERROR(F2474*INDEX(Mitarbeiter!$F$6:$F$205,MATCH(B2474,Mitarbeiter!$A$6:$A$205,0)),0))</f>
        <v/>
      </c>
      <c r="H2474" s="8">
        <f>IF(B2474="","",IF(ISNA(MATCH(B2474,Mitarbeiter!$A$6:$A$205,0)),"Pers.-Nr. unbekannt",IF(A2474="","Datum fehlt",IF(AND(D2474&lt;&gt;Einstellungen!$C$4,D2474&lt;&gt;Einstellungen!$C$5),"Objekt fehlt",IF(YEAR(A2474)&lt;&gt;Einstellungen!$C$3,"anderes Jahr",IF(A2474&lt;INDEX(Mitarbeiter!$C$6:$C$205,MATCH(B2474,Mitarbeiter!$A$6:$A$205,0)),"vor Eintritt",IF(AND(INDEX(Mitarbeiter!$D$6:$D$205,MATCH(B2474,Mitarbeiter!$A$6:$A$205,0))&lt;&gt;"",A2474&gt;INDEX(Mitarbeiter!$D$6:$D$205,MATCH(B2474,Mitarbeiter!$A$6:$A$205,0))),"nach Austritt","ok")))))))</f>
        <v/>
      </c>
    </row>
    <row r="2475">
      <c r="A2475" s="26" t="n"/>
      <c r="B2475" s="24" t="n"/>
      <c r="C2475" s="40">
        <f>IF(B2475="","",IFERROR(INDEX(Mitarbeiter!$B$6:$B$205,MATCH(B2475,Mitarbeiter!$A$6:$A$205,0)),"?"))</f>
        <v/>
      </c>
      <c r="D2475" s="41" t="n"/>
      <c r="E2475" s="42" t="n"/>
      <c r="F2475" s="43" t="n"/>
      <c r="G2475" s="44">
        <f>IF(OR(B2475="",F2475=""),"",IFERROR(F2475*INDEX(Mitarbeiter!$F$6:$F$205,MATCH(B2475,Mitarbeiter!$A$6:$A$205,0)),0))</f>
        <v/>
      </c>
      <c r="H2475" s="8">
        <f>IF(B2475="","",IF(ISNA(MATCH(B2475,Mitarbeiter!$A$6:$A$205,0)),"Pers.-Nr. unbekannt",IF(A2475="","Datum fehlt",IF(AND(D2475&lt;&gt;Einstellungen!$C$4,D2475&lt;&gt;Einstellungen!$C$5),"Objekt fehlt",IF(YEAR(A2475)&lt;&gt;Einstellungen!$C$3,"anderes Jahr",IF(A2475&lt;INDEX(Mitarbeiter!$C$6:$C$205,MATCH(B2475,Mitarbeiter!$A$6:$A$205,0)),"vor Eintritt",IF(AND(INDEX(Mitarbeiter!$D$6:$D$205,MATCH(B2475,Mitarbeiter!$A$6:$A$205,0))&lt;&gt;"",A2475&gt;INDEX(Mitarbeiter!$D$6:$D$205,MATCH(B2475,Mitarbeiter!$A$6:$A$205,0))),"nach Austritt","ok")))))))</f>
        <v/>
      </c>
    </row>
    <row r="2476">
      <c r="A2476" s="26" t="n"/>
      <c r="B2476" s="24" t="n"/>
      <c r="C2476" s="40">
        <f>IF(B2476="","",IFERROR(INDEX(Mitarbeiter!$B$6:$B$205,MATCH(B2476,Mitarbeiter!$A$6:$A$205,0)),"?"))</f>
        <v/>
      </c>
      <c r="D2476" s="41" t="n"/>
      <c r="E2476" s="42" t="n"/>
      <c r="F2476" s="43" t="n"/>
      <c r="G2476" s="44">
        <f>IF(OR(B2476="",F2476=""),"",IFERROR(F2476*INDEX(Mitarbeiter!$F$6:$F$205,MATCH(B2476,Mitarbeiter!$A$6:$A$205,0)),0))</f>
        <v/>
      </c>
      <c r="H2476" s="8">
        <f>IF(B2476="","",IF(ISNA(MATCH(B2476,Mitarbeiter!$A$6:$A$205,0)),"Pers.-Nr. unbekannt",IF(A2476="","Datum fehlt",IF(AND(D2476&lt;&gt;Einstellungen!$C$4,D2476&lt;&gt;Einstellungen!$C$5),"Objekt fehlt",IF(YEAR(A2476)&lt;&gt;Einstellungen!$C$3,"anderes Jahr",IF(A2476&lt;INDEX(Mitarbeiter!$C$6:$C$205,MATCH(B2476,Mitarbeiter!$A$6:$A$205,0)),"vor Eintritt",IF(AND(INDEX(Mitarbeiter!$D$6:$D$205,MATCH(B2476,Mitarbeiter!$A$6:$A$205,0))&lt;&gt;"",A2476&gt;INDEX(Mitarbeiter!$D$6:$D$205,MATCH(B2476,Mitarbeiter!$A$6:$A$205,0))),"nach Austritt","ok")))))))</f>
        <v/>
      </c>
    </row>
    <row r="2477">
      <c r="A2477" s="26" t="n"/>
      <c r="B2477" s="24" t="n"/>
      <c r="C2477" s="40">
        <f>IF(B2477="","",IFERROR(INDEX(Mitarbeiter!$B$6:$B$205,MATCH(B2477,Mitarbeiter!$A$6:$A$205,0)),"?"))</f>
        <v/>
      </c>
      <c r="D2477" s="41" t="n"/>
      <c r="E2477" s="42" t="n"/>
      <c r="F2477" s="43" t="n"/>
      <c r="G2477" s="44">
        <f>IF(OR(B2477="",F2477=""),"",IFERROR(F2477*INDEX(Mitarbeiter!$F$6:$F$205,MATCH(B2477,Mitarbeiter!$A$6:$A$205,0)),0))</f>
        <v/>
      </c>
      <c r="H2477" s="8">
        <f>IF(B2477="","",IF(ISNA(MATCH(B2477,Mitarbeiter!$A$6:$A$205,0)),"Pers.-Nr. unbekannt",IF(A2477="","Datum fehlt",IF(AND(D2477&lt;&gt;Einstellungen!$C$4,D2477&lt;&gt;Einstellungen!$C$5),"Objekt fehlt",IF(YEAR(A2477)&lt;&gt;Einstellungen!$C$3,"anderes Jahr",IF(A2477&lt;INDEX(Mitarbeiter!$C$6:$C$205,MATCH(B2477,Mitarbeiter!$A$6:$A$205,0)),"vor Eintritt",IF(AND(INDEX(Mitarbeiter!$D$6:$D$205,MATCH(B2477,Mitarbeiter!$A$6:$A$205,0))&lt;&gt;"",A2477&gt;INDEX(Mitarbeiter!$D$6:$D$205,MATCH(B2477,Mitarbeiter!$A$6:$A$205,0))),"nach Austritt","ok")))))))</f>
        <v/>
      </c>
    </row>
    <row r="2478">
      <c r="A2478" s="26" t="n"/>
      <c r="B2478" s="24" t="n"/>
      <c r="C2478" s="40">
        <f>IF(B2478="","",IFERROR(INDEX(Mitarbeiter!$B$6:$B$205,MATCH(B2478,Mitarbeiter!$A$6:$A$205,0)),"?"))</f>
        <v/>
      </c>
      <c r="D2478" s="41" t="n"/>
      <c r="E2478" s="42" t="n"/>
      <c r="F2478" s="43" t="n"/>
      <c r="G2478" s="44">
        <f>IF(OR(B2478="",F2478=""),"",IFERROR(F2478*INDEX(Mitarbeiter!$F$6:$F$205,MATCH(B2478,Mitarbeiter!$A$6:$A$205,0)),0))</f>
        <v/>
      </c>
      <c r="H2478" s="8">
        <f>IF(B2478="","",IF(ISNA(MATCH(B2478,Mitarbeiter!$A$6:$A$205,0)),"Pers.-Nr. unbekannt",IF(A2478="","Datum fehlt",IF(AND(D2478&lt;&gt;Einstellungen!$C$4,D2478&lt;&gt;Einstellungen!$C$5),"Objekt fehlt",IF(YEAR(A2478)&lt;&gt;Einstellungen!$C$3,"anderes Jahr",IF(A2478&lt;INDEX(Mitarbeiter!$C$6:$C$205,MATCH(B2478,Mitarbeiter!$A$6:$A$205,0)),"vor Eintritt",IF(AND(INDEX(Mitarbeiter!$D$6:$D$205,MATCH(B2478,Mitarbeiter!$A$6:$A$205,0))&lt;&gt;"",A2478&gt;INDEX(Mitarbeiter!$D$6:$D$205,MATCH(B2478,Mitarbeiter!$A$6:$A$205,0))),"nach Austritt","ok")))))))</f>
        <v/>
      </c>
    </row>
    <row r="2479">
      <c r="A2479" s="26" t="n"/>
      <c r="B2479" s="24" t="n"/>
      <c r="C2479" s="40">
        <f>IF(B2479="","",IFERROR(INDEX(Mitarbeiter!$B$6:$B$205,MATCH(B2479,Mitarbeiter!$A$6:$A$205,0)),"?"))</f>
        <v/>
      </c>
      <c r="D2479" s="41" t="n"/>
      <c r="E2479" s="42" t="n"/>
      <c r="F2479" s="43" t="n"/>
      <c r="G2479" s="44">
        <f>IF(OR(B2479="",F2479=""),"",IFERROR(F2479*INDEX(Mitarbeiter!$F$6:$F$205,MATCH(B2479,Mitarbeiter!$A$6:$A$205,0)),0))</f>
        <v/>
      </c>
      <c r="H2479" s="8">
        <f>IF(B2479="","",IF(ISNA(MATCH(B2479,Mitarbeiter!$A$6:$A$205,0)),"Pers.-Nr. unbekannt",IF(A2479="","Datum fehlt",IF(AND(D2479&lt;&gt;Einstellungen!$C$4,D2479&lt;&gt;Einstellungen!$C$5),"Objekt fehlt",IF(YEAR(A2479)&lt;&gt;Einstellungen!$C$3,"anderes Jahr",IF(A2479&lt;INDEX(Mitarbeiter!$C$6:$C$205,MATCH(B2479,Mitarbeiter!$A$6:$A$205,0)),"vor Eintritt",IF(AND(INDEX(Mitarbeiter!$D$6:$D$205,MATCH(B2479,Mitarbeiter!$A$6:$A$205,0))&lt;&gt;"",A2479&gt;INDEX(Mitarbeiter!$D$6:$D$205,MATCH(B2479,Mitarbeiter!$A$6:$A$205,0))),"nach Austritt","ok")))))))</f>
        <v/>
      </c>
    </row>
    <row r="2480">
      <c r="A2480" s="26" t="n"/>
      <c r="B2480" s="24" t="n"/>
      <c r="C2480" s="40">
        <f>IF(B2480="","",IFERROR(INDEX(Mitarbeiter!$B$6:$B$205,MATCH(B2480,Mitarbeiter!$A$6:$A$205,0)),"?"))</f>
        <v/>
      </c>
      <c r="D2480" s="41" t="n"/>
      <c r="E2480" s="42" t="n"/>
      <c r="F2480" s="43" t="n"/>
      <c r="G2480" s="44">
        <f>IF(OR(B2480="",F2480=""),"",IFERROR(F2480*INDEX(Mitarbeiter!$F$6:$F$205,MATCH(B2480,Mitarbeiter!$A$6:$A$205,0)),0))</f>
        <v/>
      </c>
      <c r="H2480" s="8">
        <f>IF(B2480="","",IF(ISNA(MATCH(B2480,Mitarbeiter!$A$6:$A$205,0)),"Pers.-Nr. unbekannt",IF(A2480="","Datum fehlt",IF(AND(D2480&lt;&gt;Einstellungen!$C$4,D2480&lt;&gt;Einstellungen!$C$5),"Objekt fehlt",IF(YEAR(A2480)&lt;&gt;Einstellungen!$C$3,"anderes Jahr",IF(A2480&lt;INDEX(Mitarbeiter!$C$6:$C$205,MATCH(B2480,Mitarbeiter!$A$6:$A$205,0)),"vor Eintritt",IF(AND(INDEX(Mitarbeiter!$D$6:$D$205,MATCH(B2480,Mitarbeiter!$A$6:$A$205,0))&lt;&gt;"",A2480&gt;INDEX(Mitarbeiter!$D$6:$D$205,MATCH(B2480,Mitarbeiter!$A$6:$A$205,0))),"nach Austritt","ok")))))))</f>
        <v/>
      </c>
    </row>
    <row r="2481">
      <c r="A2481" s="26" t="n"/>
      <c r="B2481" s="24" t="n"/>
      <c r="C2481" s="40">
        <f>IF(B2481="","",IFERROR(INDEX(Mitarbeiter!$B$6:$B$205,MATCH(B2481,Mitarbeiter!$A$6:$A$205,0)),"?"))</f>
        <v/>
      </c>
      <c r="D2481" s="41" t="n"/>
      <c r="E2481" s="42" t="n"/>
      <c r="F2481" s="43" t="n"/>
      <c r="G2481" s="44">
        <f>IF(OR(B2481="",F2481=""),"",IFERROR(F2481*INDEX(Mitarbeiter!$F$6:$F$205,MATCH(B2481,Mitarbeiter!$A$6:$A$205,0)),0))</f>
        <v/>
      </c>
      <c r="H2481" s="8">
        <f>IF(B2481="","",IF(ISNA(MATCH(B2481,Mitarbeiter!$A$6:$A$205,0)),"Pers.-Nr. unbekannt",IF(A2481="","Datum fehlt",IF(AND(D2481&lt;&gt;Einstellungen!$C$4,D2481&lt;&gt;Einstellungen!$C$5),"Objekt fehlt",IF(YEAR(A2481)&lt;&gt;Einstellungen!$C$3,"anderes Jahr",IF(A2481&lt;INDEX(Mitarbeiter!$C$6:$C$205,MATCH(B2481,Mitarbeiter!$A$6:$A$205,0)),"vor Eintritt",IF(AND(INDEX(Mitarbeiter!$D$6:$D$205,MATCH(B2481,Mitarbeiter!$A$6:$A$205,0))&lt;&gt;"",A2481&gt;INDEX(Mitarbeiter!$D$6:$D$205,MATCH(B2481,Mitarbeiter!$A$6:$A$205,0))),"nach Austritt","ok")))))))</f>
        <v/>
      </c>
    </row>
    <row r="2482">
      <c r="A2482" s="26" t="n"/>
      <c r="B2482" s="24" t="n"/>
      <c r="C2482" s="40">
        <f>IF(B2482="","",IFERROR(INDEX(Mitarbeiter!$B$6:$B$205,MATCH(B2482,Mitarbeiter!$A$6:$A$205,0)),"?"))</f>
        <v/>
      </c>
      <c r="D2482" s="41" t="n"/>
      <c r="E2482" s="42" t="n"/>
      <c r="F2482" s="43" t="n"/>
      <c r="G2482" s="44">
        <f>IF(OR(B2482="",F2482=""),"",IFERROR(F2482*INDEX(Mitarbeiter!$F$6:$F$205,MATCH(B2482,Mitarbeiter!$A$6:$A$205,0)),0))</f>
        <v/>
      </c>
      <c r="H2482" s="8">
        <f>IF(B2482="","",IF(ISNA(MATCH(B2482,Mitarbeiter!$A$6:$A$205,0)),"Pers.-Nr. unbekannt",IF(A2482="","Datum fehlt",IF(AND(D2482&lt;&gt;Einstellungen!$C$4,D2482&lt;&gt;Einstellungen!$C$5),"Objekt fehlt",IF(YEAR(A2482)&lt;&gt;Einstellungen!$C$3,"anderes Jahr",IF(A2482&lt;INDEX(Mitarbeiter!$C$6:$C$205,MATCH(B2482,Mitarbeiter!$A$6:$A$205,0)),"vor Eintritt",IF(AND(INDEX(Mitarbeiter!$D$6:$D$205,MATCH(B2482,Mitarbeiter!$A$6:$A$205,0))&lt;&gt;"",A2482&gt;INDEX(Mitarbeiter!$D$6:$D$205,MATCH(B2482,Mitarbeiter!$A$6:$A$205,0))),"nach Austritt","ok")))))))</f>
        <v/>
      </c>
    </row>
    <row r="2483">
      <c r="A2483" s="26" t="n"/>
      <c r="B2483" s="24" t="n"/>
      <c r="C2483" s="40">
        <f>IF(B2483="","",IFERROR(INDEX(Mitarbeiter!$B$6:$B$205,MATCH(B2483,Mitarbeiter!$A$6:$A$205,0)),"?"))</f>
        <v/>
      </c>
      <c r="D2483" s="41" t="n"/>
      <c r="E2483" s="42" t="n"/>
      <c r="F2483" s="43" t="n"/>
      <c r="G2483" s="44">
        <f>IF(OR(B2483="",F2483=""),"",IFERROR(F2483*INDEX(Mitarbeiter!$F$6:$F$205,MATCH(B2483,Mitarbeiter!$A$6:$A$205,0)),0))</f>
        <v/>
      </c>
      <c r="H2483" s="8">
        <f>IF(B2483="","",IF(ISNA(MATCH(B2483,Mitarbeiter!$A$6:$A$205,0)),"Pers.-Nr. unbekannt",IF(A2483="","Datum fehlt",IF(AND(D2483&lt;&gt;Einstellungen!$C$4,D2483&lt;&gt;Einstellungen!$C$5),"Objekt fehlt",IF(YEAR(A2483)&lt;&gt;Einstellungen!$C$3,"anderes Jahr",IF(A2483&lt;INDEX(Mitarbeiter!$C$6:$C$205,MATCH(B2483,Mitarbeiter!$A$6:$A$205,0)),"vor Eintritt",IF(AND(INDEX(Mitarbeiter!$D$6:$D$205,MATCH(B2483,Mitarbeiter!$A$6:$A$205,0))&lt;&gt;"",A2483&gt;INDEX(Mitarbeiter!$D$6:$D$205,MATCH(B2483,Mitarbeiter!$A$6:$A$205,0))),"nach Austritt","ok")))))))</f>
        <v/>
      </c>
    </row>
    <row r="2484">
      <c r="A2484" s="26" t="n"/>
      <c r="B2484" s="24" t="n"/>
      <c r="C2484" s="40">
        <f>IF(B2484="","",IFERROR(INDEX(Mitarbeiter!$B$6:$B$205,MATCH(B2484,Mitarbeiter!$A$6:$A$205,0)),"?"))</f>
        <v/>
      </c>
      <c r="D2484" s="41" t="n"/>
      <c r="E2484" s="42" t="n"/>
      <c r="F2484" s="43" t="n"/>
      <c r="G2484" s="44">
        <f>IF(OR(B2484="",F2484=""),"",IFERROR(F2484*INDEX(Mitarbeiter!$F$6:$F$205,MATCH(B2484,Mitarbeiter!$A$6:$A$205,0)),0))</f>
        <v/>
      </c>
      <c r="H2484" s="8">
        <f>IF(B2484="","",IF(ISNA(MATCH(B2484,Mitarbeiter!$A$6:$A$205,0)),"Pers.-Nr. unbekannt",IF(A2484="","Datum fehlt",IF(AND(D2484&lt;&gt;Einstellungen!$C$4,D2484&lt;&gt;Einstellungen!$C$5),"Objekt fehlt",IF(YEAR(A2484)&lt;&gt;Einstellungen!$C$3,"anderes Jahr",IF(A2484&lt;INDEX(Mitarbeiter!$C$6:$C$205,MATCH(B2484,Mitarbeiter!$A$6:$A$205,0)),"vor Eintritt",IF(AND(INDEX(Mitarbeiter!$D$6:$D$205,MATCH(B2484,Mitarbeiter!$A$6:$A$205,0))&lt;&gt;"",A2484&gt;INDEX(Mitarbeiter!$D$6:$D$205,MATCH(B2484,Mitarbeiter!$A$6:$A$205,0))),"nach Austritt","ok")))))))</f>
        <v/>
      </c>
    </row>
    <row r="2485">
      <c r="A2485" s="26" t="n"/>
      <c r="B2485" s="24" t="n"/>
      <c r="C2485" s="40">
        <f>IF(B2485="","",IFERROR(INDEX(Mitarbeiter!$B$6:$B$205,MATCH(B2485,Mitarbeiter!$A$6:$A$205,0)),"?"))</f>
        <v/>
      </c>
      <c r="D2485" s="41" t="n"/>
      <c r="E2485" s="42" t="n"/>
      <c r="F2485" s="43" t="n"/>
      <c r="G2485" s="44">
        <f>IF(OR(B2485="",F2485=""),"",IFERROR(F2485*INDEX(Mitarbeiter!$F$6:$F$205,MATCH(B2485,Mitarbeiter!$A$6:$A$205,0)),0))</f>
        <v/>
      </c>
      <c r="H2485" s="8">
        <f>IF(B2485="","",IF(ISNA(MATCH(B2485,Mitarbeiter!$A$6:$A$205,0)),"Pers.-Nr. unbekannt",IF(A2485="","Datum fehlt",IF(AND(D2485&lt;&gt;Einstellungen!$C$4,D2485&lt;&gt;Einstellungen!$C$5),"Objekt fehlt",IF(YEAR(A2485)&lt;&gt;Einstellungen!$C$3,"anderes Jahr",IF(A2485&lt;INDEX(Mitarbeiter!$C$6:$C$205,MATCH(B2485,Mitarbeiter!$A$6:$A$205,0)),"vor Eintritt",IF(AND(INDEX(Mitarbeiter!$D$6:$D$205,MATCH(B2485,Mitarbeiter!$A$6:$A$205,0))&lt;&gt;"",A2485&gt;INDEX(Mitarbeiter!$D$6:$D$205,MATCH(B2485,Mitarbeiter!$A$6:$A$205,0))),"nach Austritt","ok")))))))</f>
        <v/>
      </c>
    </row>
    <row r="2486">
      <c r="A2486" s="26" t="n"/>
      <c r="B2486" s="24" t="n"/>
      <c r="C2486" s="40">
        <f>IF(B2486="","",IFERROR(INDEX(Mitarbeiter!$B$6:$B$205,MATCH(B2486,Mitarbeiter!$A$6:$A$205,0)),"?"))</f>
        <v/>
      </c>
      <c r="D2486" s="41" t="n"/>
      <c r="E2486" s="42" t="n"/>
      <c r="F2486" s="43" t="n"/>
      <c r="G2486" s="44">
        <f>IF(OR(B2486="",F2486=""),"",IFERROR(F2486*INDEX(Mitarbeiter!$F$6:$F$205,MATCH(B2486,Mitarbeiter!$A$6:$A$205,0)),0))</f>
        <v/>
      </c>
      <c r="H2486" s="8">
        <f>IF(B2486="","",IF(ISNA(MATCH(B2486,Mitarbeiter!$A$6:$A$205,0)),"Pers.-Nr. unbekannt",IF(A2486="","Datum fehlt",IF(AND(D2486&lt;&gt;Einstellungen!$C$4,D2486&lt;&gt;Einstellungen!$C$5),"Objekt fehlt",IF(YEAR(A2486)&lt;&gt;Einstellungen!$C$3,"anderes Jahr",IF(A2486&lt;INDEX(Mitarbeiter!$C$6:$C$205,MATCH(B2486,Mitarbeiter!$A$6:$A$205,0)),"vor Eintritt",IF(AND(INDEX(Mitarbeiter!$D$6:$D$205,MATCH(B2486,Mitarbeiter!$A$6:$A$205,0))&lt;&gt;"",A2486&gt;INDEX(Mitarbeiter!$D$6:$D$205,MATCH(B2486,Mitarbeiter!$A$6:$A$205,0))),"nach Austritt","ok")))))))</f>
        <v/>
      </c>
    </row>
    <row r="2487">
      <c r="A2487" s="26" t="n"/>
      <c r="B2487" s="24" t="n"/>
      <c r="C2487" s="40">
        <f>IF(B2487="","",IFERROR(INDEX(Mitarbeiter!$B$6:$B$205,MATCH(B2487,Mitarbeiter!$A$6:$A$205,0)),"?"))</f>
        <v/>
      </c>
      <c r="D2487" s="41" t="n"/>
      <c r="E2487" s="42" t="n"/>
      <c r="F2487" s="43" t="n"/>
      <c r="G2487" s="44">
        <f>IF(OR(B2487="",F2487=""),"",IFERROR(F2487*INDEX(Mitarbeiter!$F$6:$F$205,MATCH(B2487,Mitarbeiter!$A$6:$A$205,0)),0))</f>
        <v/>
      </c>
      <c r="H2487" s="8">
        <f>IF(B2487="","",IF(ISNA(MATCH(B2487,Mitarbeiter!$A$6:$A$205,0)),"Pers.-Nr. unbekannt",IF(A2487="","Datum fehlt",IF(AND(D2487&lt;&gt;Einstellungen!$C$4,D2487&lt;&gt;Einstellungen!$C$5),"Objekt fehlt",IF(YEAR(A2487)&lt;&gt;Einstellungen!$C$3,"anderes Jahr",IF(A2487&lt;INDEX(Mitarbeiter!$C$6:$C$205,MATCH(B2487,Mitarbeiter!$A$6:$A$205,0)),"vor Eintritt",IF(AND(INDEX(Mitarbeiter!$D$6:$D$205,MATCH(B2487,Mitarbeiter!$A$6:$A$205,0))&lt;&gt;"",A2487&gt;INDEX(Mitarbeiter!$D$6:$D$205,MATCH(B2487,Mitarbeiter!$A$6:$A$205,0))),"nach Austritt","ok")))))))</f>
        <v/>
      </c>
    </row>
    <row r="2488">
      <c r="A2488" s="26" t="n"/>
      <c r="B2488" s="24" t="n"/>
      <c r="C2488" s="40">
        <f>IF(B2488="","",IFERROR(INDEX(Mitarbeiter!$B$6:$B$205,MATCH(B2488,Mitarbeiter!$A$6:$A$205,0)),"?"))</f>
        <v/>
      </c>
      <c r="D2488" s="41" t="n"/>
      <c r="E2488" s="42" t="n"/>
      <c r="F2488" s="43" t="n"/>
      <c r="G2488" s="44">
        <f>IF(OR(B2488="",F2488=""),"",IFERROR(F2488*INDEX(Mitarbeiter!$F$6:$F$205,MATCH(B2488,Mitarbeiter!$A$6:$A$205,0)),0))</f>
        <v/>
      </c>
      <c r="H2488" s="8">
        <f>IF(B2488="","",IF(ISNA(MATCH(B2488,Mitarbeiter!$A$6:$A$205,0)),"Pers.-Nr. unbekannt",IF(A2488="","Datum fehlt",IF(AND(D2488&lt;&gt;Einstellungen!$C$4,D2488&lt;&gt;Einstellungen!$C$5),"Objekt fehlt",IF(YEAR(A2488)&lt;&gt;Einstellungen!$C$3,"anderes Jahr",IF(A2488&lt;INDEX(Mitarbeiter!$C$6:$C$205,MATCH(B2488,Mitarbeiter!$A$6:$A$205,0)),"vor Eintritt",IF(AND(INDEX(Mitarbeiter!$D$6:$D$205,MATCH(B2488,Mitarbeiter!$A$6:$A$205,0))&lt;&gt;"",A2488&gt;INDEX(Mitarbeiter!$D$6:$D$205,MATCH(B2488,Mitarbeiter!$A$6:$A$205,0))),"nach Austritt","ok")))))))</f>
        <v/>
      </c>
    </row>
    <row r="2489">
      <c r="A2489" s="26" t="n"/>
      <c r="B2489" s="24" t="n"/>
      <c r="C2489" s="40">
        <f>IF(B2489="","",IFERROR(INDEX(Mitarbeiter!$B$6:$B$205,MATCH(B2489,Mitarbeiter!$A$6:$A$205,0)),"?"))</f>
        <v/>
      </c>
      <c r="D2489" s="41" t="n"/>
      <c r="E2489" s="42" t="n"/>
      <c r="F2489" s="43" t="n"/>
      <c r="G2489" s="44">
        <f>IF(OR(B2489="",F2489=""),"",IFERROR(F2489*INDEX(Mitarbeiter!$F$6:$F$205,MATCH(B2489,Mitarbeiter!$A$6:$A$205,0)),0))</f>
        <v/>
      </c>
      <c r="H2489" s="8">
        <f>IF(B2489="","",IF(ISNA(MATCH(B2489,Mitarbeiter!$A$6:$A$205,0)),"Pers.-Nr. unbekannt",IF(A2489="","Datum fehlt",IF(AND(D2489&lt;&gt;Einstellungen!$C$4,D2489&lt;&gt;Einstellungen!$C$5),"Objekt fehlt",IF(YEAR(A2489)&lt;&gt;Einstellungen!$C$3,"anderes Jahr",IF(A2489&lt;INDEX(Mitarbeiter!$C$6:$C$205,MATCH(B2489,Mitarbeiter!$A$6:$A$205,0)),"vor Eintritt",IF(AND(INDEX(Mitarbeiter!$D$6:$D$205,MATCH(B2489,Mitarbeiter!$A$6:$A$205,0))&lt;&gt;"",A2489&gt;INDEX(Mitarbeiter!$D$6:$D$205,MATCH(B2489,Mitarbeiter!$A$6:$A$205,0))),"nach Austritt","ok")))))))</f>
        <v/>
      </c>
    </row>
    <row r="2490">
      <c r="A2490" s="26" t="n"/>
      <c r="B2490" s="24" t="n"/>
      <c r="C2490" s="40">
        <f>IF(B2490="","",IFERROR(INDEX(Mitarbeiter!$B$6:$B$205,MATCH(B2490,Mitarbeiter!$A$6:$A$205,0)),"?"))</f>
        <v/>
      </c>
      <c r="D2490" s="41" t="n"/>
      <c r="E2490" s="42" t="n"/>
      <c r="F2490" s="43" t="n"/>
      <c r="G2490" s="44">
        <f>IF(OR(B2490="",F2490=""),"",IFERROR(F2490*INDEX(Mitarbeiter!$F$6:$F$205,MATCH(B2490,Mitarbeiter!$A$6:$A$205,0)),0))</f>
        <v/>
      </c>
      <c r="H2490" s="8">
        <f>IF(B2490="","",IF(ISNA(MATCH(B2490,Mitarbeiter!$A$6:$A$205,0)),"Pers.-Nr. unbekannt",IF(A2490="","Datum fehlt",IF(AND(D2490&lt;&gt;Einstellungen!$C$4,D2490&lt;&gt;Einstellungen!$C$5),"Objekt fehlt",IF(YEAR(A2490)&lt;&gt;Einstellungen!$C$3,"anderes Jahr",IF(A2490&lt;INDEX(Mitarbeiter!$C$6:$C$205,MATCH(B2490,Mitarbeiter!$A$6:$A$205,0)),"vor Eintritt",IF(AND(INDEX(Mitarbeiter!$D$6:$D$205,MATCH(B2490,Mitarbeiter!$A$6:$A$205,0))&lt;&gt;"",A2490&gt;INDEX(Mitarbeiter!$D$6:$D$205,MATCH(B2490,Mitarbeiter!$A$6:$A$205,0))),"nach Austritt","ok")))))))</f>
        <v/>
      </c>
    </row>
    <row r="2491">
      <c r="A2491" s="26" t="n"/>
      <c r="B2491" s="24" t="n"/>
      <c r="C2491" s="40">
        <f>IF(B2491="","",IFERROR(INDEX(Mitarbeiter!$B$6:$B$205,MATCH(B2491,Mitarbeiter!$A$6:$A$205,0)),"?"))</f>
        <v/>
      </c>
      <c r="D2491" s="41" t="n"/>
      <c r="E2491" s="42" t="n"/>
      <c r="F2491" s="43" t="n"/>
      <c r="G2491" s="44">
        <f>IF(OR(B2491="",F2491=""),"",IFERROR(F2491*INDEX(Mitarbeiter!$F$6:$F$205,MATCH(B2491,Mitarbeiter!$A$6:$A$205,0)),0))</f>
        <v/>
      </c>
      <c r="H2491" s="8">
        <f>IF(B2491="","",IF(ISNA(MATCH(B2491,Mitarbeiter!$A$6:$A$205,0)),"Pers.-Nr. unbekannt",IF(A2491="","Datum fehlt",IF(AND(D2491&lt;&gt;Einstellungen!$C$4,D2491&lt;&gt;Einstellungen!$C$5),"Objekt fehlt",IF(YEAR(A2491)&lt;&gt;Einstellungen!$C$3,"anderes Jahr",IF(A2491&lt;INDEX(Mitarbeiter!$C$6:$C$205,MATCH(B2491,Mitarbeiter!$A$6:$A$205,0)),"vor Eintritt",IF(AND(INDEX(Mitarbeiter!$D$6:$D$205,MATCH(B2491,Mitarbeiter!$A$6:$A$205,0))&lt;&gt;"",A2491&gt;INDEX(Mitarbeiter!$D$6:$D$205,MATCH(B2491,Mitarbeiter!$A$6:$A$205,0))),"nach Austritt","ok")))))))</f>
        <v/>
      </c>
    </row>
    <row r="2492">
      <c r="A2492" s="26" t="n"/>
      <c r="B2492" s="24" t="n"/>
      <c r="C2492" s="40">
        <f>IF(B2492="","",IFERROR(INDEX(Mitarbeiter!$B$6:$B$205,MATCH(B2492,Mitarbeiter!$A$6:$A$205,0)),"?"))</f>
        <v/>
      </c>
      <c r="D2492" s="41" t="n"/>
      <c r="E2492" s="42" t="n"/>
      <c r="F2492" s="43" t="n"/>
      <c r="G2492" s="44">
        <f>IF(OR(B2492="",F2492=""),"",IFERROR(F2492*INDEX(Mitarbeiter!$F$6:$F$205,MATCH(B2492,Mitarbeiter!$A$6:$A$205,0)),0))</f>
        <v/>
      </c>
      <c r="H2492" s="8">
        <f>IF(B2492="","",IF(ISNA(MATCH(B2492,Mitarbeiter!$A$6:$A$205,0)),"Pers.-Nr. unbekannt",IF(A2492="","Datum fehlt",IF(AND(D2492&lt;&gt;Einstellungen!$C$4,D2492&lt;&gt;Einstellungen!$C$5),"Objekt fehlt",IF(YEAR(A2492)&lt;&gt;Einstellungen!$C$3,"anderes Jahr",IF(A2492&lt;INDEX(Mitarbeiter!$C$6:$C$205,MATCH(B2492,Mitarbeiter!$A$6:$A$205,0)),"vor Eintritt",IF(AND(INDEX(Mitarbeiter!$D$6:$D$205,MATCH(B2492,Mitarbeiter!$A$6:$A$205,0))&lt;&gt;"",A2492&gt;INDEX(Mitarbeiter!$D$6:$D$205,MATCH(B2492,Mitarbeiter!$A$6:$A$205,0))),"nach Austritt","ok")))))))</f>
        <v/>
      </c>
    </row>
    <row r="2493">
      <c r="A2493" s="26" t="n"/>
      <c r="B2493" s="24" t="n"/>
      <c r="C2493" s="40">
        <f>IF(B2493="","",IFERROR(INDEX(Mitarbeiter!$B$6:$B$205,MATCH(B2493,Mitarbeiter!$A$6:$A$205,0)),"?"))</f>
        <v/>
      </c>
      <c r="D2493" s="41" t="n"/>
      <c r="E2493" s="42" t="n"/>
      <c r="F2493" s="43" t="n"/>
      <c r="G2493" s="44">
        <f>IF(OR(B2493="",F2493=""),"",IFERROR(F2493*INDEX(Mitarbeiter!$F$6:$F$205,MATCH(B2493,Mitarbeiter!$A$6:$A$205,0)),0))</f>
        <v/>
      </c>
      <c r="H2493" s="8">
        <f>IF(B2493="","",IF(ISNA(MATCH(B2493,Mitarbeiter!$A$6:$A$205,0)),"Pers.-Nr. unbekannt",IF(A2493="","Datum fehlt",IF(AND(D2493&lt;&gt;Einstellungen!$C$4,D2493&lt;&gt;Einstellungen!$C$5),"Objekt fehlt",IF(YEAR(A2493)&lt;&gt;Einstellungen!$C$3,"anderes Jahr",IF(A2493&lt;INDEX(Mitarbeiter!$C$6:$C$205,MATCH(B2493,Mitarbeiter!$A$6:$A$205,0)),"vor Eintritt",IF(AND(INDEX(Mitarbeiter!$D$6:$D$205,MATCH(B2493,Mitarbeiter!$A$6:$A$205,0))&lt;&gt;"",A2493&gt;INDEX(Mitarbeiter!$D$6:$D$205,MATCH(B2493,Mitarbeiter!$A$6:$A$205,0))),"nach Austritt","ok")))))))</f>
        <v/>
      </c>
    </row>
    <row r="2494">
      <c r="A2494" s="26" t="n"/>
      <c r="B2494" s="24" t="n"/>
      <c r="C2494" s="40">
        <f>IF(B2494="","",IFERROR(INDEX(Mitarbeiter!$B$6:$B$205,MATCH(B2494,Mitarbeiter!$A$6:$A$205,0)),"?"))</f>
        <v/>
      </c>
      <c r="D2494" s="41" t="n"/>
      <c r="E2494" s="42" t="n"/>
      <c r="F2494" s="43" t="n"/>
      <c r="G2494" s="44">
        <f>IF(OR(B2494="",F2494=""),"",IFERROR(F2494*INDEX(Mitarbeiter!$F$6:$F$205,MATCH(B2494,Mitarbeiter!$A$6:$A$205,0)),0))</f>
        <v/>
      </c>
      <c r="H2494" s="8">
        <f>IF(B2494="","",IF(ISNA(MATCH(B2494,Mitarbeiter!$A$6:$A$205,0)),"Pers.-Nr. unbekannt",IF(A2494="","Datum fehlt",IF(AND(D2494&lt;&gt;Einstellungen!$C$4,D2494&lt;&gt;Einstellungen!$C$5),"Objekt fehlt",IF(YEAR(A2494)&lt;&gt;Einstellungen!$C$3,"anderes Jahr",IF(A2494&lt;INDEX(Mitarbeiter!$C$6:$C$205,MATCH(B2494,Mitarbeiter!$A$6:$A$205,0)),"vor Eintritt",IF(AND(INDEX(Mitarbeiter!$D$6:$D$205,MATCH(B2494,Mitarbeiter!$A$6:$A$205,0))&lt;&gt;"",A2494&gt;INDEX(Mitarbeiter!$D$6:$D$205,MATCH(B2494,Mitarbeiter!$A$6:$A$205,0))),"nach Austritt","ok")))))))</f>
        <v/>
      </c>
    </row>
    <row r="2495">
      <c r="A2495" s="26" t="n"/>
      <c r="B2495" s="24" t="n"/>
      <c r="C2495" s="40">
        <f>IF(B2495="","",IFERROR(INDEX(Mitarbeiter!$B$6:$B$205,MATCH(B2495,Mitarbeiter!$A$6:$A$205,0)),"?"))</f>
        <v/>
      </c>
      <c r="D2495" s="41" t="n"/>
      <c r="E2495" s="42" t="n"/>
      <c r="F2495" s="43" t="n"/>
      <c r="G2495" s="44">
        <f>IF(OR(B2495="",F2495=""),"",IFERROR(F2495*INDEX(Mitarbeiter!$F$6:$F$205,MATCH(B2495,Mitarbeiter!$A$6:$A$205,0)),0))</f>
        <v/>
      </c>
      <c r="H2495" s="8">
        <f>IF(B2495="","",IF(ISNA(MATCH(B2495,Mitarbeiter!$A$6:$A$205,0)),"Pers.-Nr. unbekannt",IF(A2495="","Datum fehlt",IF(AND(D2495&lt;&gt;Einstellungen!$C$4,D2495&lt;&gt;Einstellungen!$C$5),"Objekt fehlt",IF(YEAR(A2495)&lt;&gt;Einstellungen!$C$3,"anderes Jahr",IF(A2495&lt;INDEX(Mitarbeiter!$C$6:$C$205,MATCH(B2495,Mitarbeiter!$A$6:$A$205,0)),"vor Eintritt",IF(AND(INDEX(Mitarbeiter!$D$6:$D$205,MATCH(B2495,Mitarbeiter!$A$6:$A$205,0))&lt;&gt;"",A2495&gt;INDEX(Mitarbeiter!$D$6:$D$205,MATCH(B2495,Mitarbeiter!$A$6:$A$205,0))),"nach Austritt","ok")))))))</f>
        <v/>
      </c>
    </row>
    <row r="2496">
      <c r="A2496" s="26" t="n"/>
      <c r="B2496" s="24" t="n"/>
      <c r="C2496" s="40">
        <f>IF(B2496="","",IFERROR(INDEX(Mitarbeiter!$B$6:$B$205,MATCH(B2496,Mitarbeiter!$A$6:$A$205,0)),"?"))</f>
        <v/>
      </c>
      <c r="D2496" s="41" t="n"/>
      <c r="E2496" s="42" t="n"/>
      <c r="F2496" s="43" t="n"/>
      <c r="G2496" s="44">
        <f>IF(OR(B2496="",F2496=""),"",IFERROR(F2496*INDEX(Mitarbeiter!$F$6:$F$205,MATCH(B2496,Mitarbeiter!$A$6:$A$205,0)),0))</f>
        <v/>
      </c>
      <c r="H2496" s="8">
        <f>IF(B2496="","",IF(ISNA(MATCH(B2496,Mitarbeiter!$A$6:$A$205,0)),"Pers.-Nr. unbekannt",IF(A2496="","Datum fehlt",IF(AND(D2496&lt;&gt;Einstellungen!$C$4,D2496&lt;&gt;Einstellungen!$C$5),"Objekt fehlt",IF(YEAR(A2496)&lt;&gt;Einstellungen!$C$3,"anderes Jahr",IF(A2496&lt;INDEX(Mitarbeiter!$C$6:$C$205,MATCH(B2496,Mitarbeiter!$A$6:$A$205,0)),"vor Eintritt",IF(AND(INDEX(Mitarbeiter!$D$6:$D$205,MATCH(B2496,Mitarbeiter!$A$6:$A$205,0))&lt;&gt;"",A2496&gt;INDEX(Mitarbeiter!$D$6:$D$205,MATCH(B2496,Mitarbeiter!$A$6:$A$205,0))),"nach Austritt","ok")))))))</f>
        <v/>
      </c>
    </row>
    <row r="2497">
      <c r="A2497" s="26" t="n"/>
      <c r="B2497" s="24" t="n"/>
      <c r="C2497" s="40">
        <f>IF(B2497="","",IFERROR(INDEX(Mitarbeiter!$B$6:$B$205,MATCH(B2497,Mitarbeiter!$A$6:$A$205,0)),"?"))</f>
        <v/>
      </c>
      <c r="D2497" s="41" t="n"/>
      <c r="E2497" s="42" t="n"/>
      <c r="F2497" s="43" t="n"/>
      <c r="G2497" s="44">
        <f>IF(OR(B2497="",F2497=""),"",IFERROR(F2497*INDEX(Mitarbeiter!$F$6:$F$205,MATCH(B2497,Mitarbeiter!$A$6:$A$205,0)),0))</f>
        <v/>
      </c>
      <c r="H2497" s="8">
        <f>IF(B2497="","",IF(ISNA(MATCH(B2497,Mitarbeiter!$A$6:$A$205,0)),"Pers.-Nr. unbekannt",IF(A2497="","Datum fehlt",IF(AND(D2497&lt;&gt;Einstellungen!$C$4,D2497&lt;&gt;Einstellungen!$C$5),"Objekt fehlt",IF(YEAR(A2497)&lt;&gt;Einstellungen!$C$3,"anderes Jahr",IF(A2497&lt;INDEX(Mitarbeiter!$C$6:$C$205,MATCH(B2497,Mitarbeiter!$A$6:$A$205,0)),"vor Eintritt",IF(AND(INDEX(Mitarbeiter!$D$6:$D$205,MATCH(B2497,Mitarbeiter!$A$6:$A$205,0))&lt;&gt;"",A2497&gt;INDEX(Mitarbeiter!$D$6:$D$205,MATCH(B2497,Mitarbeiter!$A$6:$A$205,0))),"nach Austritt","ok")))))))</f>
        <v/>
      </c>
    </row>
    <row r="2498">
      <c r="A2498" s="26" t="n"/>
      <c r="B2498" s="24" t="n"/>
      <c r="C2498" s="40">
        <f>IF(B2498="","",IFERROR(INDEX(Mitarbeiter!$B$6:$B$205,MATCH(B2498,Mitarbeiter!$A$6:$A$205,0)),"?"))</f>
        <v/>
      </c>
      <c r="D2498" s="41" t="n"/>
      <c r="E2498" s="42" t="n"/>
      <c r="F2498" s="43" t="n"/>
      <c r="G2498" s="44">
        <f>IF(OR(B2498="",F2498=""),"",IFERROR(F2498*INDEX(Mitarbeiter!$F$6:$F$205,MATCH(B2498,Mitarbeiter!$A$6:$A$205,0)),0))</f>
        <v/>
      </c>
      <c r="H2498" s="8">
        <f>IF(B2498="","",IF(ISNA(MATCH(B2498,Mitarbeiter!$A$6:$A$205,0)),"Pers.-Nr. unbekannt",IF(A2498="","Datum fehlt",IF(AND(D2498&lt;&gt;Einstellungen!$C$4,D2498&lt;&gt;Einstellungen!$C$5),"Objekt fehlt",IF(YEAR(A2498)&lt;&gt;Einstellungen!$C$3,"anderes Jahr",IF(A2498&lt;INDEX(Mitarbeiter!$C$6:$C$205,MATCH(B2498,Mitarbeiter!$A$6:$A$205,0)),"vor Eintritt",IF(AND(INDEX(Mitarbeiter!$D$6:$D$205,MATCH(B2498,Mitarbeiter!$A$6:$A$205,0))&lt;&gt;"",A2498&gt;INDEX(Mitarbeiter!$D$6:$D$205,MATCH(B2498,Mitarbeiter!$A$6:$A$205,0))),"nach Austritt","ok")))))))</f>
        <v/>
      </c>
    </row>
    <row r="2499">
      <c r="A2499" s="26" t="n"/>
      <c r="B2499" s="24" t="n"/>
      <c r="C2499" s="40">
        <f>IF(B2499="","",IFERROR(INDEX(Mitarbeiter!$B$6:$B$205,MATCH(B2499,Mitarbeiter!$A$6:$A$205,0)),"?"))</f>
        <v/>
      </c>
      <c r="D2499" s="41" t="n"/>
      <c r="E2499" s="42" t="n"/>
      <c r="F2499" s="43" t="n"/>
      <c r="G2499" s="44">
        <f>IF(OR(B2499="",F2499=""),"",IFERROR(F2499*INDEX(Mitarbeiter!$F$6:$F$205,MATCH(B2499,Mitarbeiter!$A$6:$A$205,0)),0))</f>
        <v/>
      </c>
      <c r="H2499" s="8">
        <f>IF(B2499="","",IF(ISNA(MATCH(B2499,Mitarbeiter!$A$6:$A$205,0)),"Pers.-Nr. unbekannt",IF(A2499="","Datum fehlt",IF(AND(D2499&lt;&gt;Einstellungen!$C$4,D2499&lt;&gt;Einstellungen!$C$5),"Objekt fehlt",IF(YEAR(A2499)&lt;&gt;Einstellungen!$C$3,"anderes Jahr",IF(A2499&lt;INDEX(Mitarbeiter!$C$6:$C$205,MATCH(B2499,Mitarbeiter!$A$6:$A$205,0)),"vor Eintritt",IF(AND(INDEX(Mitarbeiter!$D$6:$D$205,MATCH(B2499,Mitarbeiter!$A$6:$A$205,0))&lt;&gt;"",A2499&gt;INDEX(Mitarbeiter!$D$6:$D$205,MATCH(B2499,Mitarbeiter!$A$6:$A$205,0))),"nach Austritt","ok")))))))</f>
        <v/>
      </c>
    </row>
    <row r="2500">
      <c r="A2500" s="26" t="n"/>
      <c r="B2500" s="24" t="n"/>
      <c r="C2500" s="40">
        <f>IF(B2500="","",IFERROR(INDEX(Mitarbeiter!$B$6:$B$205,MATCH(B2500,Mitarbeiter!$A$6:$A$205,0)),"?"))</f>
        <v/>
      </c>
      <c r="D2500" s="41" t="n"/>
      <c r="E2500" s="42" t="n"/>
      <c r="F2500" s="43" t="n"/>
      <c r="G2500" s="44">
        <f>IF(OR(B2500="",F2500=""),"",IFERROR(F2500*INDEX(Mitarbeiter!$F$6:$F$205,MATCH(B2500,Mitarbeiter!$A$6:$A$205,0)),0))</f>
        <v/>
      </c>
      <c r="H2500" s="8">
        <f>IF(B2500="","",IF(ISNA(MATCH(B2500,Mitarbeiter!$A$6:$A$205,0)),"Pers.-Nr. unbekannt",IF(A2500="","Datum fehlt",IF(AND(D2500&lt;&gt;Einstellungen!$C$4,D2500&lt;&gt;Einstellungen!$C$5),"Objekt fehlt",IF(YEAR(A2500)&lt;&gt;Einstellungen!$C$3,"anderes Jahr",IF(A2500&lt;INDEX(Mitarbeiter!$C$6:$C$205,MATCH(B2500,Mitarbeiter!$A$6:$A$205,0)),"vor Eintritt",IF(AND(INDEX(Mitarbeiter!$D$6:$D$205,MATCH(B2500,Mitarbeiter!$A$6:$A$205,0))&lt;&gt;"",A2500&gt;INDEX(Mitarbeiter!$D$6:$D$205,MATCH(B2500,Mitarbeiter!$A$6:$A$205,0))),"nach Austritt","ok")))))))</f>
        <v/>
      </c>
    </row>
    <row r="2501">
      <c r="A2501" s="26" t="n"/>
      <c r="B2501" s="24" t="n"/>
      <c r="C2501" s="40">
        <f>IF(B2501="","",IFERROR(INDEX(Mitarbeiter!$B$6:$B$205,MATCH(B2501,Mitarbeiter!$A$6:$A$205,0)),"?"))</f>
        <v/>
      </c>
      <c r="D2501" s="41" t="n"/>
      <c r="E2501" s="42" t="n"/>
      <c r="F2501" s="43" t="n"/>
      <c r="G2501" s="44">
        <f>IF(OR(B2501="",F2501=""),"",IFERROR(F2501*INDEX(Mitarbeiter!$F$6:$F$205,MATCH(B2501,Mitarbeiter!$A$6:$A$205,0)),0))</f>
        <v/>
      </c>
      <c r="H2501" s="8">
        <f>IF(B2501="","",IF(ISNA(MATCH(B2501,Mitarbeiter!$A$6:$A$205,0)),"Pers.-Nr. unbekannt",IF(A2501="","Datum fehlt",IF(AND(D2501&lt;&gt;Einstellungen!$C$4,D2501&lt;&gt;Einstellungen!$C$5),"Objekt fehlt",IF(YEAR(A2501)&lt;&gt;Einstellungen!$C$3,"anderes Jahr",IF(A2501&lt;INDEX(Mitarbeiter!$C$6:$C$205,MATCH(B2501,Mitarbeiter!$A$6:$A$205,0)),"vor Eintritt",IF(AND(INDEX(Mitarbeiter!$D$6:$D$205,MATCH(B2501,Mitarbeiter!$A$6:$A$205,0))&lt;&gt;"",A2501&gt;INDEX(Mitarbeiter!$D$6:$D$205,MATCH(B2501,Mitarbeiter!$A$6:$A$205,0))),"nach Austritt","ok")))))))</f>
        <v/>
      </c>
    </row>
    <row r="2502">
      <c r="A2502" s="26" t="n"/>
      <c r="B2502" s="24" t="n"/>
      <c r="C2502" s="40">
        <f>IF(B2502="","",IFERROR(INDEX(Mitarbeiter!$B$6:$B$205,MATCH(B2502,Mitarbeiter!$A$6:$A$205,0)),"?"))</f>
        <v/>
      </c>
      <c r="D2502" s="41" t="n"/>
      <c r="E2502" s="42" t="n"/>
      <c r="F2502" s="43" t="n"/>
      <c r="G2502" s="44">
        <f>IF(OR(B2502="",F2502=""),"",IFERROR(F2502*INDEX(Mitarbeiter!$F$6:$F$205,MATCH(B2502,Mitarbeiter!$A$6:$A$205,0)),0))</f>
        <v/>
      </c>
      <c r="H2502" s="8">
        <f>IF(B2502="","",IF(ISNA(MATCH(B2502,Mitarbeiter!$A$6:$A$205,0)),"Pers.-Nr. unbekannt",IF(A2502="","Datum fehlt",IF(AND(D2502&lt;&gt;Einstellungen!$C$4,D2502&lt;&gt;Einstellungen!$C$5),"Objekt fehlt",IF(YEAR(A2502)&lt;&gt;Einstellungen!$C$3,"anderes Jahr",IF(A2502&lt;INDEX(Mitarbeiter!$C$6:$C$205,MATCH(B2502,Mitarbeiter!$A$6:$A$205,0)),"vor Eintritt",IF(AND(INDEX(Mitarbeiter!$D$6:$D$205,MATCH(B2502,Mitarbeiter!$A$6:$A$205,0))&lt;&gt;"",A2502&gt;INDEX(Mitarbeiter!$D$6:$D$205,MATCH(B2502,Mitarbeiter!$A$6:$A$205,0))),"nach Austritt","ok")))))))</f>
        <v/>
      </c>
    </row>
    <row r="2503">
      <c r="A2503" s="26" t="n"/>
      <c r="B2503" s="24" t="n"/>
      <c r="C2503" s="40">
        <f>IF(B2503="","",IFERROR(INDEX(Mitarbeiter!$B$6:$B$205,MATCH(B2503,Mitarbeiter!$A$6:$A$205,0)),"?"))</f>
        <v/>
      </c>
      <c r="D2503" s="41" t="n"/>
      <c r="E2503" s="42" t="n"/>
      <c r="F2503" s="43" t="n"/>
      <c r="G2503" s="44">
        <f>IF(OR(B2503="",F2503=""),"",IFERROR(F2503*INDEX(Mitarbeiter!$F$6:$F$205,MATCH(B2503,Mitarbeiter!$A$6:$A$205,0)),0))</f>
        <v/>
      </c>
      <c r="H2503" s="8">
        <f>IF(B2503="","",IF(ISNA(MATCH(B2503,Mitarbeiter!$A$6:$A$205,0)),"Pers.-Nr. unbekannt",IF(A2503="","Datum fehlt",IF(AND(D2503&lt;&gt;Einstellungen!$C$4,D2503&lt;&gt;Einstellungen!$C$5),"Objekt fehlt",IF(YEAR(A2503)&lt;&gt;Einstellungen!$C$3,"anderes Jahr",IF(A2503&lt;INDEX(Mitarbeiter!$C$6:$C$205,MATCH(B2503,Mitarbeiter!$A$6:$A$205,0)),"vor Eintritt",IF(AND(INDEX(Mitarbeiter!$D$6:$D$205,MATCH(B2503,Mitarbeiter!$A$6:$A$205,0))&lt;&gt;"",A2503&gt;INDEX(Mitarbeiter!$D$6:$D$205,MATCH(B2503,Mitarbeiter!$A$6:$A$205,0))),"nach Austritt","ok")))))))</f>
        <v/>
      </c>
    </row>
    <row r="2504">
      <c r="A2504" s="26" t="n"/>
      <c r="B2504" s="24" t="n"/>
      <c r="C2504" s="40">
        <f>IF(B2504="","",IFERROR(INDEX(Mitarbeiter!$B$6:$B$205,MATCH(B2504,Mitarbeiter!$A$6:$A$205,0)),"?"))</f>
        <v/>
      </c>
      <c r="D2504" s="41" t="n"/>
      <c r="E2504" s="42" t="n"/>
      <c r="F2504" s="43" t="n"/>
      <c r="G2504" s="44">
        <f>IF(OR(B2504="",F2504=""),"",IFERROR(F2504*INDEX(Mitarbeiter!$F$6:$F$205,MATCH(B2504,Mitarbeiter!$A$6:$A$205,0)),0))</f>
        <v/>
      </c>
      <c r="H2504" s="8">
        <f>IF(B2504="","",IF(ISNA(MATCH(B2504,Mitarbeiter!$A$6:$A$205,0)),"Pers.-Nr. unbekannt",IF(A2504="","Datum fehlt",IF(AND(D2504&lt;&gt;Einstellungen!$C$4,D2504&lt;&gt;Einstellungen!$C$5),"Objekt fehlt",IF(YEAR(A2504)&lt;&gt;Einstellungen!$C$3,"anderes Jahr",IF(A2504&lt;INDEX(Mitarbeiter!$C$6:$C$205,MATCH(B2504,Mitarbeiter!$A$6:$A$205,0)),"vor Eintritt",IF(AND(INDEX(Mitarbeiter!$D$6:$D$205,MATCH(B2504,Mitarbeiter!$A$6:$A$205,0))&lt;&gt;"",A2504&gt;INDEX(Mitarbeiter!$D$6:$D$205,MATCH(B2504,Mitarbeiter!$A$6:$A$205,0))),"nach Austritt","ok")))))))</f>
        <v/>
      </c>
    </row>
    <row r="2505">
      <c r="A2505" s="26" t="n"/>
      <c r="B2505" s="24" t="n"/>
      <c r="C2505" s="40">
        <f>IF(B2505="","",IFERROR(INDEX(Mitarbeiter!$B$6:$B$205,MATCH(B2505,Mitarbeiter!$A$6:$A$205,0)),"?"))</f>
        <v/>
      </c>
      <c r="D2505" s="41" t="n"/>
      <c r="E2505" s="42" t="n"/>
      <c r="F2505" s="43" t="n"/>
      <c r="G2505" s="44">
        <f>IF(OR(B2505="",F2505=""),"",IFERROR(F2505*INDEX(Mitarbeiter!$F$6:$F$205,MATCH(B2505,Mitarbeiter!$A$6:$A$205,0)),0))</f>
        <v/>
      </c>
      <c r="H2505" s="8">
        <f>IF(B2505="","",IF(ISNA(MATCH(B2505,Mitarbeiter!$A$6:$A$205,0)),"Pers.-Nr. unbekannt",IF(A2505="","Datum fehlt",IF(AND(D2505&lt;&gt;Einstellungen!$C$4,D2505&lt;&gt;Einstellungen!$C$5),"Objekt fehlt",IF(YEAR(A2505)&lt;&gt;Einstellungen!$C$3,"anderes Jahr",IF(A2505&lt;INDEX(Mitarbeiter!$C$6:$C$205,MATCH(B2505,Mitarbeiter!$A$6:$A$205,0)),"vor Eintritt",IF(AND(INDEX(Mitarbeiter!$D$6:$D$205,MATCH(B2505,Mitarbeiter!$A$6:$A$205,0))&lt;&gt;"",A2505&gt;INDEX(Mitarbeiter!$D$6:$D$205,MATCH(B2505,Mitarbeiter!$A$6:$A$205,0))),"nach Austritt","ok")))))))</f>
        <v/>
      </c>
    </row>
    <row r="2506">
      <c r="A2506" s="26" t="n"/>
      <c r="B2506" s="24" t="n"/>
      <c r="C2506" s="40">
        <f>IF(B2506="","",IFERROR(INDEX(Mitarbeiter!$B$6:$B$205,MATCH(B2506,Mitarbeiter!$A$6:$A$205,0)),"?"))</f>
        <v/>
      </c>
      <c r="D2506" s="41" t="n"/>
      <c r="E2506" s="42" t="n"/>
      <c r="F2506" s="43" t="n"/>
      <c r="G2506" s="44">
        <f>IF(OR(B2506="",F2506=""),"",IFERROR(F2506*INDEX(Mitarbeiter!$F$6:$F$205,MATCH(B2506,Mitarbeiter!$A$6:$A$205,0)),0))</f>
        <v/>
      </c>
      <c r="H2506" s="8">
        <f>IF(B2506="","",IF(ISNA(MATCH(B2506,Mitarbeiter!$A$6:$A$205,0)),"Pers.-Nr. unbekannt",IF(A2506="","Datum fehlt",IF(AND(D2506&lt;&gt;Einstellungen!$C$4,D2506&lt;&gt;Einstellungen!$C$5),"Objekt fehlt",IF(YEAR(A2506)&lt;&gt;Einstellungen!$C$3,"anderes Jahr",IF(A2506&lt;INDEX(Mitarbeiter!$C$6:$C$205,MATCH(B2506,Mitarbeiter!$A$6:$A$205,0)),"vor Eintritt",IF(AND(INDEX(Mitarbeiter!$D$6:$D$205,MATCH(B2506,Mitarbeiter!$A$6:$A$205,0))&lt;&gt;"",A2506&gt;INDEX(Mitarbeiter!$D$6:$D$205,MATCH(B2506,Mitarbeiter!$A$6:$A$205,0))),"nach Austritt","ok")))))))</f>
        <v/>
      </c>
    </row>
    <row r="2507">
      <c r="A2507" s="26" t="n"/>
      <c r="B2507" s="24" t="n"/>
      <c r="C2507" s="40">
        <f>IF(B2507="","",IFERROR(INDEX(Mitarbeiter!$B$6:$B$205,MATCH(B2507,Mitarbeiter!$A$6:$A$205,0)),"?"))</f>
        <v/>
      </c>
      <c r="D2507" s="41" t="n"/>
      <c r="E2507" s="42" t="n"/>
      <c r="F2507" s="43" t="n"/>
      <c r="G2507" s="44">
        <f>IF(OR(B2507="",F2507=""),"",IFERROR(F2507*INDEX(Mitarbeiter!$F$6:$F$205,MATCH(B2507,Mitarbeiter!$A$6:$A$205,0)),0))</f>
        <v/>
      </c>
      <c r="H2507" s="8">
        <f>IF(B2507="","",IF(ISNA(MATCH(B2507,Mitarbeiter!$A$6:$A$205,0)),"Pers.-Nr. unbekannt",IF(A2507="","Datum fehlt",IF(AND(D2507&lt;&gt;Einstellungen!$C$4,D2507&lt;&gt;Einstellungen!$C$5),"Objekt fehlt",IF(YEAR(A2507)&lt;&gt;Einstellungen!$C$3,"anderes Jahr",IF(A2507&lt;INDEX(Mitarbeiter!$C$6:$C$205,MATCH(B2507,Mitarbeiter!$A$6:$A$205,0)),"vor Eintritt",IF(AND(INDEX(Mitarbeiter!$D$6:$D$205,MATCH(B2507,Mitarbeiter!$A$6:$A$205,0))&lt;&gt;"",A2507&gt;INDEX(Mitarbeiter!$D$6:$D$205,MATCH(B2507,Mitarbeiter!$A$6:$A$205,0))),"nach Austritt","ok")))))))</f>
        <v/>
      </c>
    </row>
    <row r="2508">
      <c r="A2508" s="26" t="n"/>
      <c r="B2508" s="24" t="n"/>
      <c r="C2508" s="40">
        <f>IF(B2508="","",IFERROR(INDEX(Mitarbeiter!$B$6:$B$205,MATCH(B2508,Mitarbeiter!$A$6:$A$205,0)),"?"))</f>
        <v/>
      </c>
      <c r="D2508" s="41" t="n"/>
      <c r="E2508" s="42" t="n"/>
      <c r="F2508" s="43" t="n"/>
      <c r="G2508" s="44">
        <f>IF(OR(B2508="",F2508=""),"",IFERROR(F2508*INDEX(Mitarbeiter!$F$6:$F$205,MATCH(B2508,Mitarbeiter!$A$6:$A$205,0)),0))</f>
        <v/>
      </c>
      <c r="H2508" s="8">
        <f>IF(B2508="","",IF(ISNA(MATCH(B2508,Mitarbeiter!$A$6:$A$205,0)),"Pers.-Nr. unbekannt",IF(A2508="","Datum fehlt",IF(AND(D2508&lt;&gt;Einstellungen!$C$4,D2508&lt;&gt;Einstellungen!$C$5),"Objekt fehlt",IF(YEAR(A2508)&lt;&gt;Einstellungen!$C$3,"anderes Jahr",IF(A2508&lt;INDEX(Mitarbeiter!$C$6:$C$205,MATCH(B2508,Mitarbeiter!$A$6:$A$205,0)),"vor Eintritt",IF(AND(INDEX(Mitarbeiter!$D$6:$D$205,MATCH(B2508,Mitarbeiter!$A$6:$A$205,0))&lt;&gt;"",A2508&gt;INDEX(Mitarbeiter!$D$6:$D$205,MATCH(B2508,Mitarbeiter!$A$6:$A$205,0))),"nach Austritt","ok")))))))</f>
        <v/>
      </c>
    </row>
    <row r="2509">
      <c r="A2509" s="26" t="n"/>
      <c r="B2509" s="24" t="n"/>
      <c r="C2509" s="40">
        <f>IF(B2509="","",IFERROR(INDEX(Mitarbeiter!$B$6:$B$205,MATCH(B2509,Mitarbeiter!$A$6:$A$205,0)),"?"))</f>
        <v/>
      </c>
      <c r="D2509" s="41" t="n"/>
      <c r="E2509" s="42" t="n"/>
      <c r="F2509" s="43" t="n"/>
      <c r="G2509" s="44">
        <f>IF(OR(B2509="",F2509=""),"",IFERROR(F2509*INDEX(Mitarbeiter!$F$6:$F$205,MATCH(B2509,Mitarbeiter!$A$6:$A$205,0)),0))</f>
        <v/>
      </c>
      <c r="H2509" s="8">
        <f>IF(B2509="","",IF(ISNA(MATCH(B2509,Mitarbeiter!$A$6:$A$205,0)),"Pers.-Nr. unbekannt",IF(A2509="","Datum fehlt",IF(AND(D2509&lt;&gt;Einstellungen!$C$4,D2509&lt;&gt;Einstellungen!$C$5),"Objekt fehlt",IF(YEAR(A2509)&lt;&gt;Einstellungen!$C$3,"anderes Jahr",IF(A2509&lt;INDEX(Mitarbeiter!$C$6:$C$205,MATCH(B2509,Mitarbeiter!$A$6:$A$205,0)),"vor Eintritt",IF(AND(INDEX(Mitarbeiter!$D$6:$D$205,MATCH(B2509,Mitarbeiter!$A$6:$A$205,0))&lt;&gt;"",A2509&gt;INDEX(Mitarbeiter!$D$6:$D$205,MATCH(B2509,Mitarbeiter!$A$6:$A$205,0))),"nach Austritt","ok")))))))</f>
        <v/>
      </c>
    </row>
    <row r="2510">
      <c r="A2510" s="26" t="n"/>
      <c r="B2510" s="24" t="n"/>
      <c r="C2510" s="40">
        <f>IF(B2510="","",IFERROR(INDEX(Mitarbeiter!$B$6:$B$205,MATCH(B2510,Mitarbeiter!$A$6:$A$205,0)),"?"))</f>
        <v/>
      </c>
      <c r="D2510" s="41" t="n"/>
      <c r="E2510" s="42" t="n"/>
      <c r="F2510" s="43" t="n"/>
      <c r="G2510" s="44">
        <f>IF(OR(B2510="",F2510=""),"",IFERROR(F2510*INDEX(Mitarbeiter!$F$6:$F$205,MATCH(B2510,Mitarbeiter!$A$6:$A$205,0)),0))</f>
        <v/>
      </c>
      <c r="H2510" s="8">
        <f>IF(B2510="","",IF(ISNA(MATCH(B2510,Mitarbeiter!$A$6:$A$205,0)),"Pers.-Nr. unbekannt",IF(A2510="","Datum fehlt",IF(AND(D2510&lt;&gt;Einstellungen!$C$4,D2510&lt;&gt;Einstellungen!$C$5),"Objekt fehlt",IF(YEAR(A2510)&lt;&gt;Einstellungen!$C$3,"anderes Jahr",IF(A2510&lt;INDEX(Mitarbeiter!$C$6:$C$205,MATCH(B2510,Mitarbeiter!$A$6:$A$205,0)),"vor Eintritt",IF(AND(INDEX(Mitarbeiter!$D$6:$D$205,MATCH(B2510,Mitarbeiter!$A$6:$A$205,0))&lt;&gt;"",A2510&gt;INDEX(Mitarbeiter!$D$6:$D$205,MATCH(B2510,Mitarbeiter!$A$6:$A$205,0))),"nach Austritt","ok")))))))</f>
        <v/>
      </c>
    </row>
    <row r="2511">
      <c r="A2511" s="26" t="n"/>
      <c r="B2511" s="24" t="n"/>
      <c r="C2511" s="40">
        <f>IF(B2511="","",IFERROR(INDEX(Mitarbeiter!$B$6:$B$205,MATCH(B2511,Mitarbeiter!$A$6:$A$205,0)),"?"))</f>
        <v/>
      </c>
      <c r="D2511" s="41" t="n"/>
      <c r="E2511" s="42" t="n"/>
      <c r="F2511" s="43" t="n"/>
      <c r="G2511" s="44">
        <f>IF(OR(B2511="",F2511=""),"",IFERROR(F2511*INDEX(Mitarbeiter!$F$6:$F$205,MATCH(B2511,Mitarbeiter!$A$6:$A$205,0)),0))</f>
        <v/>
      </c>
      <c r="H2511" s="8">
        <f>IF(B2511="","",IF(ISNA(MATCH(B2511,Mitarbeiter!$A$6:$A$205,0)),"Pers.-Nr. unbekannt",IF(A2511="","Datum fehlt",IF(AND(D2511&lt;&gt;Einstellungen!$C$4,D2511&lt;&gt;Einstellungen!$C$5),"Objekt fehlt",IF(YEAR(A2511)&lt;&gt;Einstellungen!$C$3,"anderes Jahr",IF(A2511&lt;INDEX(Mitarbeiter!$C$6:$C$205,MATCH(B2511,Mitarbeiter!$A$6:$A$205,0)),"vor Eintritt",IF(AND(INDEX(Mitarbeiter!$D$6:$D$205,MATCH(B2511,Mitarbeiter!$A$6:$A$205,0))&lt;&gt;"",A2511&gt;INDEX(Mitarbeiter!$D$6:$D$205,MATCH(B2511,Mitarbeiter!$A$6:$A$205,0))),"nach Austritt","ok")))))))</f>
        <v/>
      </c>
    </row>
    <row r="2512">
      <c r="A2512" s="26" t="n"/>
      <c r="B2512" s="24" t="n"/>
      <c r="C2512" s="40">
        <f>IF(B2512="","",IFERROR(INDEX(Mitarbeiter!$B$6:$B$205,MATCH(B2512,Mitarbeiter!$A$6:$A$205,0)),"?"))</f>
        <v/>
      </c>
      <c r="D2512" s="41" t="n"/>
      <c r="E2512" s="42" t="n"/>
      <c r="F2512" s="43" t="n"/>
      <c r="G2512" s="44">
        <f>IF(OR(B2512="",F2512=""),"",IFERROR(F2512*INDEX(Mitarbeiter!$F$6:$F$205,MATCH(B2512,Mitarbeiter!$A$6:$A$205,0)),0))</f>
        <v/>
      </c>
      <c r="H2512" s="8">
        <f>IF(B2512="","",IF(ISNA(MATCH(B2512,Mitarbeiter!$A$6:$A$205,0)),"Pers.-Nr. unbekannt",IF(A2512="","Datum fehlt",IF(AND(D2512&lt;&gt;Einstellungen!$C$4,D2512&lt;&gt;Einstellungen!$C$5),"Objekt fehlt",IF(YEAR(A2512)&lt;&gt;Einstellungen!$C$3,"anderes Jahr",IF(A2512&lt;INDEX(Mitarbeiter!$C$6:$C$205,MATCH(B2512,Mitarbeiter!$A$6:$A$205,0)),"vor Eintritt",IF(AND(INDEX(Mitarbeiter!$D$6:$D$205,MATCH(B2512,Mitarbeiter!$A$6:$A$205,0))&lt;&gt;"",A2512&gt;INDEX(Mitarbeiter!$D$6:$D$205,MATCH(B2512,Mitarbeiter!$A$6:$A$205,0))),"nach Austritt","ok")))))))</f>
        <v/>
      </c>
    </row>
    <row r="2513">
      <c r="A2513" s="26" t="n"/>
      <c r="B2513" s="24" t="n"/>
      <c r="C2513" s="40">
        <f>IF(B2513="","",IFERROR(INDEX(Mitarbeiter!$B$6:$B$205,MATCH(B2513,Mitarbeiter!$A$6:$A$205,0)),"?"))</f>
        <v/>
      </c>
      <c r="D2513" s="41" t="n"/>
      <c r="E2513" s="42" t="n"/>
      <c r="F2513" s="43" t="n"/>
      <c r="G2513" s="44">
        <f>IF(OR(B2513="",F2513=""),"",IFERROR(F2513*INDEX(Mitarbeiter!$F$6:$F$205,MATCH(B2513,Mitarbeiter!$A$6:$A$205,0)),0))</f>
        <v/>
      </c>
      <c r="H2513" s="8">
        <f>IF(B2513="","",IF(ISNA(MATCH(B2513,Mitarbeiter!$A$6:$A$205,0)),"Pers.-Nr. unbekannt",IF(A2513="","Datum fehlt",IF(AND(D2513&lt;&gt;Einstellungen!$C$4,D2513&lt;&gt;Einstellungen!$C$5),"Objekt fehlt",IF(YEAR(A2513)&lt;&gt;Einstellungen!$C$3,"anderes Jahr",IF(A2513&lt;INDEX(Mitarbeiter!$C$6:$C$205,MATCH(B2513,Mitarbeiter!$A$6:$A$205,0)),"vor Eintritt",IF(AND(INDEX(Mitarbeiter!$D$6:$D$205,MATCH(B2513,Mitarbeiter!$A$6:$A$205,0))&lt;&gt;"",A2513&gt;INDEX(Mitarbeiter!$D$6:$D$205,MATCH(B2513,Mitarbeiter!$A$6:$A$205,0))),"nach Austritt","ok")))))))</f>
        <v/>
      </c>
    </row>
    <row r="2514">
      <c r="A2514" s="26" t="n"/>
      <c r="B2514" s="24" t="n"/>
      <c r="C2514" s="40">
        <f>IF(B2514="","",IFERROR(INDEX(Mitarbeiter!$B$6:$B$205,MATCH(B2514,Mitarbeiter!$A$6:$A$205,0)),"?"))</f>
        <v/>
      </c>
      <c r="D2514" s="41" t="n"/>
      <c r="E2514" s="42" t="n"/>
      <c r="F2514" s="43" t="n"/>
      <c r="G2514" s="44">
        <f>IF(OR(B2514="",F2514=""),"",IFERROR(F2514*INDEX(Mitarbeiter!$F$6:$F$205,MATCH(B2514,Mitarbeiter!$A$6:$A$205,0)),0))</f>
        <v/>
      </c>
      <c r="H2514" s="8">
        <f>IF(B2514="","",IF(ISNA(MATCH(B2514,Mitarbeiter!$A$6:$A$205,0)),"Pers.-Nr. unbekannt",IF(A2514="","Datum fehlt",IF(AND(D2514&lt;&gt;Einstellungen!$C$4,D2514&lt;&gt;Einstellungen!$C$5),"Objekt fehlt",IF(YEAR(A2514)&lt;&gt;Einstellungen!$C$3,"anderes Jahr",IF(A2514&lt;INDEX(Mitarbeiter!$C$6:$C$205,MATCH(B2514,Mitarbeiter!$A$6:$A$205,0)),"vor Eintritt",IF(AND(INDEX(Mitarbeiter!$D$6:$D$205,MATCH(B2514,Mitarbeiter!$A$6:$A$205,0))&lt;&gt;"",A2514&gt;INDEX(Mitarbeiter!$D$6:$D$205,MATCH(B2514,Mitarbeiter!$A$6:$A$205,0))),"nach Austritt","ok")))))))</f>
        <v/>
      </c>
    </row>
    <row r="2515">
      <c r="A2515" s="26" t="n"/>
      <c r="B2515" s="24" t="n"/>
      <c r="C2515" s="40">
        <f>IF(B2515="","",IFERROR(INDEX(Mitarbeiter!$B$6:$B$205,MATCH(B2515,Mitarbeiter!$A$6:$A$205,0)),"?"))</f>
        <v/>
      </c>
      <c r="D2515" s="41" t="n"/>
      <c r="E2515" s="42" t="n"/>
      <c r="F2515" s="43" t="n"/>
      <c r="G2515" s="44">
        <f>IF(OR(B2515="",F2515=""),"",IFERROR(F2515*INDEX(Mitarbeiter!$F$6:$F$205,MATCH(B2515,Mitarbeiter!$A$6:$A$205,0)),0))</f>
        <v/>
      </c>
      <c r="H2515" s="8">
        <f>IF(B2515="","",IF(ISNA(MATCH(B2515,Mitarbeiter!$A$6:$A$205,0)),"Pers.-Nr. unbekannt",IF(A2515="","Datum fehlt",IF(AND(D2515&lt;&gt;Einstellungen!$C$4,D2515&lt;&gt;Einstellungen!$C$5),"Objekt fehlt",IF(YEAR(A2515)&lt;&gt;Einstellungen!$C$3,"anderes Jahr",IF(A2515&lt;INDEX(Mitarbeiter!$C$6:$C$205,MATCH(B2515,Mitarbeiter!$A$6:$A$205,0)),"vor Eintritt",IF(AND(INDEX(Mitarbeiter!$D$6:$D$205,MATCH(B2515,Mitarbeiter!$A$6:$A$205,0))&lt;&gt;"",A2515&gt;INDEX(Mitarbeiter!$D$6:$D$205,MATCH(B2515,Mitarbeiter!$A$6:$A$205,0))),"nach Austritt","ok")))))))</f>
        <v/>
      </c>
    </row>
    <row r="2516">
      <c r="A2516" s="26" t="n"/>
      <c r="B2516" s="24" t="n"/>
      <c r="C2516" s="40">
        <f>IF(B2516="","",IFERROR(INDEX(Mitarbeiter!$B$6:$B$205,MATCH(B2516,Mitarbeiter!$A$6:$A$205,0)),"?"))</f>
        <v/>
      </c>
      <c r="D2516" s="41" t="n"/>
      <c r="E2516" s="42" t="n"/>
      <c r="F2516" s="43" t="n"/>
      <c r="G2516" s="44">
        <f>IF(OR(B2516="",F2516=""),"",IFERROR(F2516*INDEX(Mitarbeiter!$F$6:$F$205,MATCH(B2516,Mitarbeiter!$A$6:$A$205,0)),0))</f>
        <v/>
      </c>
      <c r="H2516" s="8">
        <f>IF(B2516="","",IF(ISNA(MATCH(B2516,Mitarbeiter!$A$6:$A$205,0)),"Pers.-Nr. unbekannt",IF(A2516="","Datum fehlt",IF(AND(D2516&lt;&gt;Einstellungen!$C$4,D2516&lt;&gt;Einstellungen!$C$5),"Objekt fehlt",IF(YEAR(A2516)&lt;&gt;Einstellungen!$C$3,"anderes Jahr",IF(A2516&lt;INDEX(Mitarbeiter!$C$6:$C$205,MATCH(B2516,Mitarbeiter!$A$6:$A$205,0)),"vor Eintritt",IF(AND(INDEX(Mitarbeiter!$D$6:$D$205,MATCH(B2516,Mitarbeiter!$A$6:$A$205,0))&lt;&gt;"",A2516&gt;INDEX(Mitarbeiter!$D$6:$D$205,MATCH(B2516,Mitarbeiter!$A$6:$A$205,0))),"nach Austritt","ok")))))))</f>
        <v/>
      </c>
    </row>
    <row r="2517">
      <c r="A2517" s="26" t="n"/>
      <c r="B2517" s="24" t="n"/>
      <c r="C2517" s="40">
        <f>IF(B2517="","",IFERROR(INDEX(Mitarbeiter!$B$6:$B$205,MATCH(B2517,Mitarbeiter!$A$6:$A$205,0)),"?"))</f>
        <v/>
      </c>
      <c r="D2517" s="41" t="n"/>
      <c r="E2517" s="42" t="n"/>
      <c r="F2517" s="43" t="n"/>
      <c r="G2517" s="44">
        <f>IF(OR(B2517="",F2517=""),"",IFERROR(F2517*INDEX(Mitarbeiter!$F$6:$F$205,MATCH(B2517,Mitarbeiter!$A$6:$A$205,0)),0))</f>
        <v/>
      </c>
      <c r="H2517" s="8">
        <f>IF(B2517="","",IF(ISNA(MATCH(B2517,Mitarbeiter!$A$6:$A$205,0)),"Pers.-Nr. unbekannt",IF(A2517="","Datum fehlt",IF(AND(D2517&lt;&gt;Einstellungen!$C$4,D2517&lt;&gt;Einstellungen!$C$5),"Objekt fehlt",IF(YEAR(A2517)&lt;&gt;Einstellungen!$C$3,"anderes Jahr",IF(A2517&lt;INDEX(Mitarbeiter!$C$6:$C$205,MATCH(B2517,Mitarbeiter!$A$6:$A$205,0)),"vor Eintritt",IF(AND(INDEX(Mitarbeiter!$D$6:$D$205,MATCH(B2517,Mitarbeiter!$A$6:$A$205,0))&lt;&gt;"",A2517&gt;INDEX(Mitarbeiter!$D$6:$D$205,MATCH(B2517,Mitarbeiter!$A$6:$A$205,0))),"nach Austritt","ok")))))))</f>
        <v/>
      </c>
    </row>
    <row r="2518">
      <c r="A2518" s="26" t="n"/>
      <c r="B2518" s="24" t="n"/>
      <c r="C2518" s="40">
        <f>IF(B2518="","",IFERROR(INDEX(Mitarbeiter!$B$6:$B$205,MATCH(B2518,Mitarbeiter!$A$6:$A$205,0)),"?"))</f>
        <v/>
      </c>
      <c r="D2518" s="41" t="n"/>
      <c r="E2518" s="42" t="n"/>
      <c r="F2518" s="43" t="n"/>
      <c r="G2518" s="44">
        <f>IF(OR(B2518="",F2518=""),"",IFERROR(F2518*INDEX(Mitarbeiter!$F$6:$F$205,MATCH(B2518,Mitarbeiter!$A$6:$A$205,0)),0))</f>
        <v/>
      </c>
      <c r="H2518" s="8">
        <f>IF(B2518="","",IF(ISNA(MATCH(B2518,Mitarbeiter!$A$6:$A$205,0)),"Pers.-Nr. unbekannt",IF(A2518="","Datum fehlt",IF(AND(D2518&lt;&gt;Einstellungen!$C$4,D2518&lt;&gt;Einstellungen!$C$5),"Objekt fehlt",IF(YEAR(A2518)&lt;&gt;Einstellungen!$C$3,"anderes Jahr",IF(A2518&lt;INDEX(Mitarbeiter!$C$6:$C$205,MATCH(B2518,Mitarbeiter!$A$6:$A$205,0)),"vor Eintritt",IF(AND(INDEX(Mitarbeiter!$D$6:$D$205,MATCH(B2518,Mitarbeiter!$A$6:$A$205,0))&lt;&gt;"",A2518&gt;INDEX(Mitarbeiter!$D$6:$D$205,MATCH(B2518,Mitarbeiter!$A$6:$A$205,0))),"nach Austritt","ok")))))))</f>
        <v/>
      </c>
    </row>
    <row r="2519">
      <c r="A2519" s="26" t="n"/>
      <c r="B2519" s="24" t="n"/>
      <c r="C2519" s="40">
        <f>IF(B2519="","",IFERROR(INDEX(Mitarbeiter!$B$6:$B$205,MATCH(B2519,Mitarbeiter!$A$6:$A$205,0)),"?"))</f>
        <v/>
      </c>
      <c r="D2519" s="41" t="n"/>
      <c r="E2519" s="42" t="n"/>
      <c r="F2519" s="43" t="n"/>
      <c r="G2519" s="44">
        <f>IF(OR(B2519="",F2519=""),"",IFERROR(F2519*INDEX(Mitarbeiter!$F$6:$F$205,MATCH(B2519,Mitarbeiter!$A$6:$A$205,0)),0))</f>
        <v/>
      </c>
      <c r="H2519" s="8">
        <f>IF(B2519="","",IF(ISNA(MATCH(B2519,Mitarbeiter!$A$6:$A$205,0)),"Pers.-Nr. unbekannt",IF(A2519="","Datum fehlt",IF(AND(D2519&lt;&gt;Einstellungen!$C$4,D2519&lt;&gt;Einstellungen!$C$5),"Objekt fehlt",IF(YEAR(A2519)&lt;&gt;Einstellungen!$C$3,"anderes Jahr",IF(A2519&lt;INDEX(Mitarbeiter!$C$6:$C$205,MATCH(B2519,Mitarbeiter!$A$6:$A$205,0)),"vor Eintritt",IF(AND(INDEX(Mitarbeiter!$D$6:$D$205,MATCH(B2519,Mitarbeiter!$A$6:$A$205,0))&lt;&gt;"",A2519&gt;INDEX(Mitarbeiter!$D$6:$D$205,MATCH(B2519,Mitarbeiter!$A$6:$A$205,0))),"nach Austritt","ok")))))))</f>
        <v/>
      </c>
    </row>
    <row r="2520">
      <c r="A2520" s="26" t="n"/>
      <c r="B2520" s="24" t="n"/>
      <c r="C2520" s="40">
        <f>IF(B2520="","",IFERROR(INDEX(Mitarbeiter!$B$6:$B$205,MATCH(B2520,Mitarbeiter!$A$6:$A$205,0)),"?"))</f>
        <v/>
      </c>
      <c r="D2520" s="41" t="n"/>
      <c r="E2520" s="42" t="n"/>
      <c r="F2520" s="43" t="n"/>
      <c r="G2520" s="44">
        <f>IF(OR(B2520="",F2520=""),"",IFERROR(F2520*INDEX(Mitarbeiter!$F$6:$F$205,MATCH(B2520,Mitarbeiter!$A$6:$A$205,0)),0))</f>
        <v/>
      </c>
      <c r="H2520" s="8">
        <f>IF(B2520="","",IF(ISNA(MATCH(B2520,Mitarbeiter!$A$6:$A$205,0)),"Pers.-Nr. unbekannt",IF(A2520="","Datum fehlt",IF(AND(D2520&lt;&gt;Einstellungen!$C$4,D2520&lt;&gt;Einstellungen!$C$5),"Objekt fehlt",IF(YEAR(A2520)&lt;&gt;Einstellungen!$C$3,"anderes Jahr",IF(A2520&lt;INDEX(Mitarbeiter!$C$6:$C$205,MATCH(B2520,Mitarbeiter!$A$6:$A$205,0)),"vor Eintritt",IF(AND(INDEX(Mitarbeiter!$D$6:$D$205,MATCH(B2520,Mitarbeiter!$A$6:$A$205,0))&lt;&gt;"",A2520&gt;INDEX(Mitarbeiter!$D$6:$D$205,MATCH(B2520,Mitarbeiter!$A$6:$A$205,0))),"nach Austritt","ok")))))))</f>
        <v/>
      </c>
    </row>
    <row r="2521">
      <c r="A2521" s="26" t="n"/>
      <c r="B2521" s="24" t="n"/>
      <c r="C2521" s="40">
        <f>IF(B2521="","",IFERROR(INDEX(Mitarbeiter!$B$6:$B$205,MATCH(B2521,Mitarbeiter!$A$6:$A$205,0)),"?"))</f>
        <v/>
      </c>
      <c r="D2521" s="41" t="n"/>
      <c r="E2521" s="42" t="n"/>
      <c r="F2521" s="43" t="n"/>
      <c r="G2521" s="44">
        <f>IF(OR(B2521="",F2521=""),"",IFERROR(F2521*INDEX(Mitarbeiter!$F$6:$F$205,MATCH(B2521,Mitarbeiter!$A$6:$A$205,0)),0))</f>
        <v/>
      </c>
      <c r="H2521" s="8">
        <f>IF(B2521="","",IF(ISNA(MATCH(B2521,Mitarbeiter!$A$6:$A$205,0)),"Pers.-Nr. unbekannt",IF(A2521="","Datum fehlt",IF(AND(D2521&lt;&gt;Einstellungen!$C$4,D2521&lt;&gt;Einstellungen!$C$5),"Objekt fehlt",IF(YEAR(A2521)&lt;&gt;Einstellungen!$C$3,"anderes Jahr",IF(A2521&lt;INDEX(Mitarbeiter!$C$6:$C$205,MATCH(B2521,Mitarbeiter!$A$6:$A$205,0)),"vor Eintritt",IF(AND(INDEX(Mitarbeiter!$D$6:$D$205,MATCH(B2521,Mitarbeiter!$A$6:$A$205,0))&lt;&gt;"",A2521&gt;INDEX(Mitarbeiter!$D$6:$D$205,MATCH(B2521,Mitarbeiter!$A$6:$A$205,0))),"nach Austritt","ok")))))))</f>
        <v/>
      </c>
    </row>
    <row r="2522">
      <c r="A2522" s="26" t="n"/>
      <c r="B2522" s="24" t="n"/>
      <c r="C2522" s="40">
        <f>IF(B2522="","",IFERROR(INDEX(Mitarbeiter!$B$6:$B$205,MATCH(B2522,Mitarbeiter!$A$6:$A$205,0)),"?"))</f>
        <v/>
      </c>
      <c r="D2522" s="41" t="n"/>
      <c r="E2522" s="42" t="n"/>
      <c r="F2522" s="43" t="n"/>
      <c r="G2522" s="44">
        <f>IF(OR(B2522="",F2522=""),"",IFERROR(F2522*INDEX(Mitarbeiter!$F$6:$F$205,MATCH(B2522,Mitarbeiter!$A$6:$A$205,0)),0))</f>
        <v/>
      </c>
      <c r="H2522" s="8">
        <f>IF(B2522="","",IF(ISNA(MATCH(B2522,Mitarbeiter!$A$6:$A$205,0)),"Pers.-Nr. unbekannt",IF(A2522="","Datum fehlt",IF(AND(D2522&lt;&gt;Einstellungen!$C$4,D2522&lt;&gt;Einstellungen!$C$5),"Objekt fehlt",IF(YEAR(A2522)&lt;&gt;Einstellungen!$C$3,"anderes Jahr",IF(A2522&lt;INDEX(Mitarbeiter!$C$6:$C$205,MATCH(B2522,Mitarbeiter!$A$6:$A$205,0)),"vor Eintritt",IF(AND(INDEX(Mitarbeiter!$D$6:$D$205,MATCH(B2522,Mitarbeiter!$A$6:$A$205,0))&lt;&gt;"",A2522&gt;INDEX(Mitarbeiter!$D$6:$D$205,MATCH(B2522,Mitarbeiter!$A$6:$A$205,0))),"nach Austritt","ok")))))))</f>
        <v/>
      </c>
    </row>
    <row r="2523">
      <c r="A2523" s="26" t="n"/>
      <c r="B2523" s="24" t="n"/>
      <c r="C2523" s="40">
        <f>IF(B2523="","",IFERROR(INDEX(Mitarbeiter!$B$6:$B$205,MATCH(B2523,Mitarbeiter!$A$6:$A$205,0)),"?"))</f>
        <v/>
      </c>
      <c r="D2523" s="41" t="n"/>
      <c r="E2523" s="42" t="n"/>
      <c r="F2523" s="43" t="n"/>
      <c r="G2523" s="44">
        <f>IF(OR(B2523="",F2523=""),"",IFERROR(F2523*INDEX(Mitarbeiter!$F$6:$F$205,MATCH(B2523,Mitarbeiter!$A$6:$A$205,0)),0))</f>
        <v/>
      </c>
      <c r="H2523" s="8">
        <f>IF(B2523="","",IF(ISNA(MATCH(B2523,Mitarbeiter!$A$6:$A$205,0)),"Pers.-Nr. unbekannt",IF(A2523="","Datum fehlt",IF(AND(D2523&lt;&gt;Einstellungen!$C$4,D2523&lt;&gt;Einstellungen!$C$5),"Objekt fehlt",IF(YEAR(A2523)&lt;&gt;Einstellungen!$C$3,"anderes Jahr",IF(A2523&lt;INDEX(Mitarbeiter!$C$6:$C$205,MATCH(B2523,Mitarbeiter!$A$6:$A$205,0)),"vor Eintritt",IF(AND(INDEX(Mitarbeiter!$D$6:$D$205,MATCH(B2523,Mitarbeiter!$A$6:$A$205,0))&lt;&gt;"",A2523&gt;INDEX(Mitarbeiter!$D$6:$D$205,MATCH(B2523,Mitarbeiter!$A$6:$A$205,0))),"nach Austritt","ok")))))))</f>
        <v/>
      </c>
    </row>
    <row r="2524">
      <c r="A2524" s="26" t="n"/>
      <c r="B2524" s="24" t="n"/>
      <c r="C2524" s="40">
        <f>IF(B2524="","",IFERROR(INDEX(Mitarbeiter!$B$6:$B$205,MATCH(B2524,Mitarbeiter!$A$6:$A$205,0)),"?"))</f>
        <v/>
      </c>
      <c r="D2524" s="41" t="n"/>
      <c r="E2524" s="42" t="n"/>
      <c r="F2524" s="43" t="n"/>
      <c r="G2524" s="44">
        <f>IF(OR(B2524="",F2524=""),"",IFERROR(F2524*INDEX(Mitarbeiter!$F$6:$F$205,MATCH(B2524,Mitarbeiter!$A$6:$A$205,0)),0))</f>
        <v/>
      </c>
      <c r="H2524" s="8">
        <f>IF(B2524="","",IF(ISNA(MATCH(B2524,Mitarbeiter!$A$6:$A$205,0)),"Pers.-Nr. unbekannt",IF(A2524="","Datum fehlt",IF(AND(D2524&lt;&gt;Einstellungen!$C$4,D2524&lt;&gt;Einstellungen!$C$5),"Objekt fehlt",IF(YEAR(A2524)&lt;&gt;Einstellungen!$C$3,"anderes Jahr",IF(A2524&lt;INDEX(Mitarbeiter!$C$6:$C$205,MATCH(B2524,Mitarbeiter!$A$6:$A$205,0)),"vor Eintritt",IF(AND(INDEX(Mitarbeiter!$D$6:$D$205,MATCH(B2524,Mitarbeiter!$A$6:$A$205,0))&lt;&gt;"",A2524&gt;INDEX(Mitarbeiter!$D$6:$D$205,MATCH(B2524,Mitarbeiter!$A$6:$A$205,0))),"nach Austritt","ok")))))))</f>
        <v/>
      </c>
    </row>
    <row r="2525">
      <c r="A2525" s="26" t="n"/>
      <c r="B2525" s="24" t="n"/>
      <c r="C2525" s="40">
        <f>IF(B2525="","",IFERROR(INDEX(Mitarbeiter!$B$6:$B$205,MATCH(B2525,Mitarbeiter!$A$6:$A$205,0)),"?"))</f>
        <v/>
      </c>
      <c r="D2525" s="41" t="n"/>
      <c r="E2525" s="42" t="n"/>
      <c r="F2525" s="43" t="n"/>
      <c r="G2525" s="44">
        <f>IF(OR(B2525="",F2525=""),"",IFERROR(F2525*INDEX(Mitarbeiter!$F$6:$F$205,MATCH(B2525,Mitarbeiter!$A$6:$A$205,0)),0))</f>
        <v/>
      </c>
      <c r="H2525" s="8">
        <f>IF(B2525="","",IF(ISNA(MATCH(B2525,Mitarbeiter!$A$6:$A$205,0)),"Pers.-Nr. unbekannt",IF(A2525="","Datum fehlt",IF(AND(D2525&lt;&gt;Einstellungen!$C$4,D2525&lt;&gt;Einstellungen!$C$5),"Objekt fehlt",IF(YEAR(A2525)&lt;&gt;Einstellungen!$C$3,"anderes Jahr",IF(A2525&lt;INDEX(Mitarbeiter!$C$6:$C$205,MATCH(B2525,Mitarbeiter!$A$6:$A$205,0)),"vor Eintritt",IF(AND(INDEX(Mitarbeiter!$D$6:$D$205,MATCH(B2525,Mitarbeiter!$A$6:$A$205,0))&lt;&gt;"",A2525&gt;INDEX(Mitarbeiter!$D$6:$D$205,MATCH(B2525,Mitarbeiter!$A$6:$A$205,0))),"nach Austritt","ok")))))))</f>
        <v/>
      </c>
    </row>
    <row r="2526">
      <c r="A2526" s="26" t="n"/>
      <c r="B2526" s="24" t="n"/>
      <c r="C2526" s="40">
        <f>IF(B2526="","",IFERROR(INDEX(Mitarbeiter!$B$6:$B$205,MATCH(B2526,Mitarbeiter!$A$6:$A$205,0)),"?"))</f>
        <v/>
      </c>
      <c r="D2526" s="41" t="n"/>
      <c r="E2526" s="42" t="n"/>
      <c r="F2526" s="43" t="n"/>
      <c r="G2526" s="44">
        <f>IF(OR(B2526="",F2526=""),"",IFERROR(F2526*INDEX(Mitarbeiter!$F$6:$F$205,MATCH(B2526,Mitarbeiter!$A$6:$A$205,0)),0))</f>
        <v/>
      </c>
      <c r="H2526" s="8">
        <f>IF(B2526="","",IF(ISNA(MATCH(B2526,Mitarbeiter!$A$6:$A$205,0)),"Pers.-Nr. unbekannt",IF(A2526="","Datum fehlt",IF(AND(D2526&lt;&gt;Einstellungen!$C$4,D2526&lt;&gt;Einstellungen!$C$5),"Objekt fehlt",IF(YEAR(A2526)&lt;&gt;Einstellungen!$C$3,"anderes Jahr",IF(A2526&lt;INDEX(Mitarbeiter!$C$6:$C$205,MATCH(B2526,Mitarbeiter!$A$6:$A$205,0)),"vor Eintritt",IF(AND(INDEX(Mitarbeiter!$D$6:$D$205,MATCH(B2526,Mitarbeiter!$A$6:$A$205,0))&lt;&gt;"",A2526&gt;INDEX(Mitarbeiter!$D$6:$D$205,MATCH(B2526,Mitarbeiter!$A$6:$A$205,0))),"nach Austritt","ok")))))))</f>
        <v/>
      </c>
    </row>
    <row r="2527">
      <c r="A2527" s="26" t="n"/>
      <c r="B2527" s="24" t="n"/>
      <c r="C2527" s="40">
        <f>IF(B2527="","",IFERROR(INDEX(Mitarbeiter!$B$6:$B$205,MATCH(B2527,Mitarbeiter!$A$6:$A$205,0)),"?"))</f>
        <v/>
      </c>
      <c r="D2527" s="41" t="n"/>
      <c r="E2527" s="42" t="n"/>
      <c r="F2527" s="43" t="n"/>
      <c r="G2527" s="44">
        <f>IF(OR(B2527="",F2527=""),"",IFERROR(F2527*INDEX(Mitarbeiter!$F$6:$F$205,MATCH(B2527,Mitarbeiter!$A$6:$A$205,0)),0))</f>
        <v/>
      </c>
      <c r="H2527" s="8">
        <f>IF(B2527="","",IF(ISNA(MATCH(B2527,Mitarbeiter!$A$6:$A$205,0)),"Pers.-Nr. unbekannt",IF(A2527="","Datum fehlt",IF(AND(D2527&lt;&gt;Einstellungen!$C$4,D2527&lt;&gt;Einstellungen!$C$5),"Objekt fehlt",IF(YEAR(A2527)&lt;&gt;Einstellungen!$C$3,"anderes Jahr",IF(A2527&lt;INDEX(Mitarbeiter!$C$6:$C$205,MATCH(B2527,Mitarbeiter!$A$6:$A$205,0)),"vor Eintritt",IF(AND(INDEX(Mitarbeiter!$D$6:$D$205,MATCH(B2527,Mitarbeiter!$A$6:$A$205,0))&lt;&gt;"",A2527&gt;INDEX(Mitarbeiter!$D$6:$D$205,MATCH(B2527,Mitarbeiter!$A$6:$A$205,0))),"nach Austritt","ok")))))))</f>
        <v/>
      </c>
    </row>
    <row r="2528">
      <c r="A2528" s="26" t="n"/>
      <c r="B2528" s="24" t="n"/>
      <c r="C2528" s="40">
        <f>IF(B2528="","",IFERROR(INDEX(Mitarbeiter!$B$6:$B$205,MATCH(B2528,Mitarbeiter!$A$6:$A$205,0)),"?"))</f>
        <v/>
      </c>
      <c r="D2528" s="41" t="n"/>
      <c r="E2528" s="42" t="n"/>
      <c r="F2528" s="43" t="n"/>
      <c r="G2528" s="44">
        <f>IF(OR(B2528="",F2528=""),"",IFERROR(F2528*INDEX(Mitarbeiter!$F$6:$F$205,MATCH(B2528,Mitarbeiter!$A$6:$A$205,0)),0))</f>
        <v/>
      </c>
      <c r="H2528" s="8">
        <f>IF(B2528="","",IF(ISNA(MATCH(B2528,Mitarbeiter!$A$6:$A$205,0)),"Pers.-Nr. unbekannt",IF(A2528="","Datum fehlt",IF(AND(D2528&lt;&gt;Einstellungen!$C$4,D2528&lt;&gt;Einstellungen!$C$5),"Objekt fehlt",IF(YEAR(A2528)&lt;&gt;Einstellungen!$C$3,"anderes Jahr",IF(A2528&lt;INDEX(Mitarbeiter!$C$6:$C$205,MATCH(B2528,Mitarbeiter!$A$6:$A$205,0)),"vor Eintritt",IF(AND(INDEX(Mitarbeiter!$D$6:$D$205,MATCH(B2528,Mitarbeiter!$A$6:$A$205,0))&lt;&gt;"",A2528&gt;INDEX(Mitarbeiter!$D$6:$D$205,MATCH(B2528,Mitarbeiter!$A$6:$A$205,0))),"nach Austritt","ok")))))))</f>
        <v/>
      </c>
    </row>
    <row r="2529">
      <c r="A2529" s="26" t="n"/>
      <c r="B2529" s="24" t="n"/>
      <c r="C2529" s="40">
        <f>IF(B2529="","",IFERROR(INDEX(Mitarbeiter!$B$6:$B$205,MATCH(B2529,Mitarbeiter!$A$6:$A$205,0)),"?"))</f>
        <v/>
      </c>
      <c r="D2529" s="41" t="n"/>
      <c r="E2529" s="42" t="n"/>
      <c r="F2529" s="43" t="n"/>
      <c r="G2529" s="44">
        <f>IF(OR(B2529="",F2529=""),"",IFERROR(F2529*INDEX(Mitarbeiter!$F$6:$F$205,MATCH(B2529,Mitarbeiter!$A$6:$A$205,0)),0))</f>
        <v/>
      </c>
      <c r="H2529" s="8">
        <f>IF(B2529="","",IF(ISNA(MATCH(B2529,Mitarbeiter!$A$6:$A$205,0)),"Pers.-Nr. unbekannt",IF(A2529="","Datum fehlt",IF(AND(D2529&lt;&gt;Einstellungen!$C$4,D2529&lt;&gt;Einstellungen!$C$5),"Objekt fehlt",IF(YEAR(A2529)&lt;&gt;Einstellungen!$C$3,"anderes Jahr",IF(A2529&lt;INDEX(Mitarbeiter!$C$6:$C$205,MATCH(B2529,Mitarbeiter!$A$6:$A$205,0)),"vor Eintritt",IF(AND(INDEX(Mitarbeiter!$D$6:$D$205,MATCH(B2529,Mitarbeiter!$A$6:$A$205,0))&lt;&gt;"",A2529&gt;INDEX(Mitarbeiter!$D$6:$D$205,MATCH(B2529,Mitarbeiter!$A$6:$A$205,0))),"nach Austritt","ok")))))))</f>
        <v/>
      </c>
    </row>
    <row r="2530">
      <c r="A2530" s="26" t="n"/>
      <c r="B2530" s="24" t="n"/>
      <c r="C2530" s="40">
        <f>IF(B2530="","",IFERROR(INDEX(Mitarbeiter!$B$6:$B$205,MATCH(B2530,Mitarbeiter!$A$6:$A$205,0)),"?"))</f>
        <v/>
      </c>
      <c r="D2530" s="41" t="n"/>
      <c r="E2530" s="42" t="n"/>
      <c r="F2530" s="43" t="n"/>
      <c r="G2530" s="44">
        <f>IF(OR(B2530="",F2530=""),"",IFERROR(F2530*INDEX(Mitarbeiter!$F$6:$F$205,MATCH(B2530,Mitarbeiter!$A$6:$A$205,0)),0))</f>
        <v/>
      </c>
      <c r="H2530" s="8">
        <f>IF(B2530="","",IF(ISNA(MATCH(B2530,Mitarbeiter!$A$6:$A$205,0)),"Pers.-Nr. unbekannt",IF(A2530="","Datum fehlt",IF(AND(D2530&lt;&gt;Einstellungen!$C$4,D2530&lt;&gt;Einstellungen!$C$5),"Objekt fehlt",IF(YEAR(A2530)&lt;&gt;Einstellungen!$C$3,"anderes Jahr",IF(A2530&lt;INDEX(Mitarbeiter!$C$6:$C$205,MATCH(B2530,Mitarbeiter!$A$6:$A$205,0)),"vor Eintritt",IF(AND(INDEX(Mitarbeiter!$D$6:$D$205,MATCH(B2530,Mitarbeiter!$A$6:$A$205,0))&lt;&gt;"",A2530&gt;INDEX(Mitarbeiter!$D$6:$D$205,MATCH(B2530,Mitarbeiter!$A$6:$A$205,0))),"nach Austritt","ok")))))))</f>
        <v/>
      </c>
    </row>
    <row r="2531">
      <c r="A2531" s="26" t="n"/>
      <c r="B2531" s="24" t="n"/>
      <c r="C2531" s="40">
        <f>IF(B2531="","",IFERROR(INDEX(Mitarbeiter!$B$6:$B$205,MATCH(B2531,Mitarbeiter!$A$6:$A$205,0)),"?"))</f>
        <v/>
      </c>
      <c r="D2531" s="41" t="n"/>
      <c r="E2531" s="42" t="n"/>
      <c r="F2531" s="43" t="n"/>
      <c r="G2531" s="44">
        <f>IF(OR(B2531="",F2531=""),"",IFERROR(F2531*INDEX(Mitarbeiter!$F$6:$F$205,MATCH(B2531,Mitarbeiter!$A$6:$A$205,0)),0))</f>
        <v/>
      </c>
      <c r="H2531" s="8">
        <f>IF(B2531="","",IF(ISNA(MATCH(B2531,Mitarbeiter!$A$6:$A$205,0)),"Pers.-Nr. unbekannt",IF(A2531="","Datum fehlt",IF(AND(D2531&lt;&gt;Einstellungen!$C$4,D2531&lt;&gt;Einstellungen!$C$5),"Objekt fehlt",IF(YEAR(A2531)&lt;&gt;Einstellungen!$C$3,"anderes Jahr",IF(A2531&lt;INDEX(Mitarbeiter!$C$6:$C$205,MATCH(B2531,Mitarbeiter!$A$6:$A$205,0)),"vor Eintritt",IF(AND(INDEX(Mitarbeiter!$D$6:$D$205,MATCH(B2531,Mitarbeiter!$A$6:$A$205,0))&lt;&gt;"",A2531&gt;INDEX(Mitarbeiter!$D$6:$D$205,MATCH(B2531,Mitarbeiter!$A$6:$A$205,0))),"nach Austritt","ok")))))))</f>
        <v/>
      </c>
    </row>
    <row r="2532">
      <c r="A2532" s="26" t="n"/>
      <c r="B2532" s="24" t="n"/>
      <c r="C2532" s="40">
        <f>IF(B2532="","",IFERROR(INDEX(Mitarbeiter!$B$6:$B$205,MATCH(B2532,Mitarbeiter!$A$6:$A$205,0)),"?"))</f>
        <v/>
      </c>
      <c r="D2532" s="41" t="n"/>
      <c r="E2532" s="42" t="n"/>
      <c r="F2532" s="43" t="n"/>
      <c r="G2532" s="44">
        <f>IF(OR(B2532="",F2532=""),"",IFERROR(F2532*INDEX(Mitarbeiter!$F$6:$F$205,MATCH(B2532,Mitarbeiter!$A$6:$A$205,0)),0))</f>
        <v/>
      </c>
      <c r="H2532" s="8">
        <f>IF(B2532="","",IF(ISNA(MATCH(B2532,Mitarbeiter!$A$6:$A$205,0)),"Pers.-Nr. unbekannt",IF(A2532="","Datum fehlt",IF(AND(D2532&lt;&gt;Einstellungen!$C$4,D2532&lt;&gt;Einstellungen!$C$5),"Objekt fehlt",IF(YEAR(A2532)&lt;&gt;Einstellungen!$C$3,"anderes Jahr",IF(A2532&lt;INDEX(Mitarbeiter!$C$6:$C$205,MATCH(B2532,Mitarbeiter!$A$6:$A$205,0)),"vor Eintritt",IF(AND(INDEX(Mitarbeiter!$D$6:$D$205,MATCH(B2532,Mitarbeiter!$A$6:$A$205,0))&lt;&gt;"",A2532&gt;INDEX(Mitarbeiter!$D$6:$D$205,MATCH(B2532,Mitarbeiter!$A$6:$A$205,0))),"nach Austritt","ok")))))))</f>
        <v/>
      </c>
    </row>
    <row r="2533">
      <c r="A2533" s="26" t="n"/>
      <c r="B2533" s="24" t="n"/>
      <c r="C2533" s="40">
        <f>IF(B2533="","",IFERROR(INDEX(Mitarbeiter!$B$6:$B$205,MATCH(B2533,Mitarbeiter!$A$6:$A$205,0)),"?"))</f>
        <v/>
      </c>
      <c r="D2533" s="41" t="n"/>
      <c r="E2533" s="42" t="n"/>
      <c r="F2533" s="43" t="n"/>
      <c r="G2533" s="44">
        <f>IF(OR(B2533="",F2533=""),"",IFERROR(F2533*INDEX(Mitarbeiter!$F$6:$F$205,MATCH(B2533,Mitarbeiter!$A$6:$A$205,0)),0))</f>
        <v/>
      </c>
      <c r="H2533" s="8">
        <f>IF(B2533="","",IF(ISNA(MATCH(B2533,Mitarbeiter!$A$6:$A$205,0)),"Pers.-Nr. unbekannt",IF(A2533="","Datum fehlt",IF(AND(D2533&lt;&gt;Einstellungen!$C$4,D2533&lt;&gt;Einstellungen!$C$5),"Objekt fehlt",IF(YEAR(A2533)&lt;&gt;Einstellungen!$C$3,"anderes Jahr",IF(A2533&lt;INDEX(Mitarbeiter!$C$6:$C$205,MATCH(B2533,Mitarbeiter!$A$6:$A$205,0)),"vor Eintritt",IF(AND(INDEX(Mitarbeiter!$D$6:$D$205,MATCH(B2533,Mitarbeiter!$A$6:$A$205,0))&lt;&gt;"",A2533&gt;INDEX(Mitarbeiter!$D$6:$D$205,MATCH(B2533,Mitarbeiter!$A$6:$A$205,0))),"nach Austritt","ok")))))))</f>
        <v/>
      </c>
    </row>
    <row r="2534">
      <c r="A2534" s="26" t="n"/>
      <c r="B2534" s="24" t="n"/>
      <c r="C2534" s="40">
        <f>IF(B2534="","",IFERROR(INDEX(Mitarbeiter!$B$6:$B$205,MATCH(B2534,Mitarbeiter!$A$6:$A$205,0)),"?"))</f>
        <v/>
      </c>
      <c r="D2534" s="41" t="n"/>
      <c r="E2534" s="42" t="n"/>
      <c r="F2534" s="43" t="n"/>
      <c r="G2534" s="44">
        <f>IF(OR(B2534="",F2534=""),"",IFERROR(F2534*INDEX(Mitarbeiter!$F$6:$F$205,MATCH(B2534,Mitarbeiter!$A$6:$A$205,0)),0))</f>
        <v/>
      </c>
      <c r="H2534" s="8">
        <f>IF(B2534="","",IF(ISNA(MATCH(B2534,Mitarbeiter!$A$6:$A$205,0)),"Pers.-Nr. unbekannt",IF(A2534="","Datum fehlt",IF(AND(D2534&lt;&gt;Einstellungen!$C$4,D2534&lt;&gt;Einstellungen!$C$5),"Objekt fehlt",IF(YEAR(A2534)&lt;&gt;Einstellungen!$C$3,"anderes Jahr",IF(A2534&lt;INDEX(Mitarbeiter!$C$6:$C$205,MATCH(B2534,Mitarbeiter!$A$6:$A$205,0)),"vor Eintritt",IF(AND(INDEX(Mitarbeiter!$D$6:$D$205,MATCH(B2534,Mitarbeiter!$A$6:$A$205,0))&lt;&gt;"",A2534&gt;INDEX(Mitarbeiter!$D$6:$D$205,MATCH(B2534,Mitarbeiter!$A$6:$A$205,0))),"nach Austritt","ok")))))))</f>
        <v/>
      </c>
    </row>
    <row r="2535">
      <c r="A2535" s="26" t="n"/>
      <c r="B2535" s="24" t="n"/>
      <c r="C2535" s="40">
        <f>IF(B2535="","",IFERROR(INDEX(Mitarbeiter!$B$6:$B$205,MATCH(B2535,Mitarbeiter!$A$6:$A$205,0)),"?"))</f>
        <v/>
      </c>
      <c r="D2535" s="41" t="n"/>
      <c r="E2535" s="42" t="n"/>
      <c r="F2535" s="43" t="n"/>
      <c r="G2535" s="44">
        <f>IF(OR(B2535="",F2535=""),"",IFERROR(F2535*INDEX(Mitarbeiter!$F$6:$F$205,MATCH(B2535,Mitarbeiter!$A$6:$A$205,0)),0))</f>
        <v/>
      </c>
      <c r="H2535" s="8">
        <f>IF(B2535="","",IF(ISNA(MATCH(B2535,Mitarbeiter!$A$6:$A$205,0)),"Pers.-Nr. unbekannt",IF(A2535="","Datum fehlt",IF(AND(D2535&lt;&gt;Einstellungen!$C$4,D2535&lt;&gt;Einstellungen!$C$5),"Objekt fehlt",IF(YEAR(A2535)&lt;&gt;Einstellungen!$C$3,"anderes Jahr",IF(A2535&lt;INDEX(Mitarbeiter!$C$6:$C$205,MATCH(B2535,Mitarbeiter!$A$6:$A$205,0)),"vor Eintritt",IF(AND(INDEX(Mitarbeiter!$D$6:$D$205,MATCH(B2535,Mitarbeiter!$A$6:$A$205,0))&lt;&gt;"",A2535&gt;INDEX(Mitarbeiter!$D$6:$D$205,MATCH(B2535,Mitarbeiter!$A$6:$A$205,0))),"nach Austritt","ok")))))))</f>
        <v/>
      </c>
    </row>
    <row r="2536">
      <c r="A2536" s="26" t="n"/>
      <c r="B2536" s="24" t="n"/>
      <c r="C2536" s="40">
        <f>IF(B2536="","",IFERROR(INDEX(Mitarbeiter!$B$6:$B$205,MATCH(B2536,Mitarbeiter!$A$6:$A$205,0)),"?"))</f>
        <v/>
      </c>
      <c r="D2536" s="41" t="n"/>
      <c r="E2536" s="42" t="n"/>
      <c r="F2536" s="43" t="n"/>
      <c r="G2536" s="44">
        <f>IF(OR(B2536="",F2536=""),"",IFERROR(F2536*INDEX(Mitarbeiter!$F$6:$F$205,MATCH(B2536,Mitarbeiter!$A$6:$A$205,0)),0))</f>
        <v/>
      </c>
      <c r="H2536" s="8">
        <f>IF(B2536="","",IF(ISNA(MATCH(B2536,Mitarbeiter!$A$6:$A$205,0)),"Pers.-Nr. unbekannt",IF(A2536="","Datum fehlt",IF(AND(D2536&lt;&gt;Einstellungen!$C$4,D2536&lt;&gt;Einstellungen!$C$5),"Objekt fehlt",IF(YEAR(A2536)&lt;&gt;Einstellungen!$C$3,"anderes Jahr",IF(A2536&lt;INDEX(Mitarbeiter!$C$6:$C$205,MATCH(B2536,Mitarbeiter!$A$6:$A$205,0)),"vor Eintritt",IF(AND(INDEX(Mitarbeiter!$D$6:$D$205,MATCH(B2536,Mitarbeiter!$A$6:$A$205,0))&lt;&gt;"",A2536&gt;INDEX(Mitarbeiter!$D$6:$D$205,MATCH(B2536,Mitarbeiter!$A$6:$A$205,0))),"nach Austritt","ok")))))))</f>
        <v/>
      </c>
    </row>
    <row r="2537">
      <c r="A2537" s="26" t="n"/>
      <c r="B2537" s="24" t="n"/>
      <c r="C2537" s="40">
        <f>IF(B2537="","",IFERROR(INDEX(Mitarbeiter!$B$6:$B$205,MATCH(B2537,Mitarbeiter!$A$6:$A$205,0)),"?"))</f>
        <v/>
      </c>
      <c r="D2537" s="41" t="n"/>
      <c r="E2537" s="42" t="n"/>
      <c r="F2537" s="43" t="n"/>
      <c r="G2537" s="44">
        <f>IF(OR(B2537="",F2537=""),"",IFERROR(F2537*INDEX(Mitarbeiter!$F$6:$F$205,MATCH(B2537,Mitarbeiter!$A$6:$A$205,0)),0))</f>
        <v/>
      </c>
      <c r="H2537" s="8">
        <f>IF(B2537="","",IF(ISNA(MATCH(B2537,Mitarbeiter!$A$6:$A$205,0)),"Pers.-Nr. unbekannt",IF(A2537="","Datum fehlt",IF(AND(D2537&lt;&gt;Einstellungen!$C$4,D2537&lt;&gt;Einstellungen!$C$5),"Objekt fehlt",IF(YEAR(A2537)&lt;&gt;Einstellungen!$C$3,"anderes Jahr",IF(A2537&lt;INDEX(Mitarbeiter!$C$6:$C$205,MATCH(B2537,Mitarbeiter!$A$6:$A$205,0)),"vor Eintritt",IF(AND(INDEX(Mitarbeiter!$D$6:$D$205,MATCH(B2537,Mitarbeiter!$A$6:$A$205,0))&lt;&gt;"",A2537&gt;INDEX(Mitarbeiter!$D$6:$D$205,MATCH(B2537,Mitarbeiter!$A$6:$A$205,0))),"nach Austritt","ok")))))))</f>
        <v/>
      </c>
    </row>
    <row r="2538">
      <c r="A2538" s="26" t="n"/>
      <c r="B2538" s="24" t="n"/>
      <c r="C2538" s="40">
        <f>IF(B2538="","",IFERROR(INDEX(Mitarbeiter!$B$6:$B$205,MATCH(B2538,Mitarbeiter!$A$6:$A$205,0)),"?"))</f>
        <v/>
      </c>
      <c r="D2538" s="41" t="n"/>
      <c r="E2538" s="42" t="n"/>
      <c r="F2538" s="43" t="n"/>
      <c r="G2538" s="44">
        <f>IF(OR(B2538="",F2538=""),"",IFERROR(F2538*INDEX(Mitarbeiter!$F$6:$F$205,MATCH(B2538,Mitarbeiter!$A$6:$A$205,0)),0))</f>
        <v/>
      </c>
      <c r="H2538" s="8">
        <f>IF(B2538="","",IF(ISNA(MATCH(B2538,Mitarbeiter!$A$6:$A$205,0)),"Pers.-Nr. unbekannt",IF(A2538="","Datum fehlt",IF(AND(D2538&lt;&gt;Einstellungen!$C$4,D2538&lt;&gt;Einstellungen!$C$5),"Objekt fehlt",IF(YEAR(A2538)&lt;&gt;Einstellungen!$C$3,"anderes Jahr",IF(A2538&lt;INDEX(Mitarbeiter!$C$6:$C$205,MATCH(B2538,Mitarbeiter!$A$6:$A$205,0)),"vor Eintritt",IF(AND(INDEX(Mitarbeiter!$D$6:$D$205,MATCH(B2538,Mitarbeiter!$A$6:$A$205,0))&lt;&gt;"",A2538&gt;INDEX(Mitarbeiter!$D$6:$D$205,MATCH(B2538,Mitarbeiter!$A$6:$A$205,0))),"nach Austritt","ok")))))))</f>
        <v/>
      </c>
    </row>
    <row r="2539">
      <c r="A2539" s="26" t="n"/>
      <c r="B2539" s="24" t="n"/>
      <c r="C2539" s="40">
        <f>IF(B2539="","",IFERROR(INDEX(Mitarbeiter!$B$6:$B$205,MATCH(B2539,Mitarbeiter!$A$6:$A$205,0)),"?"))</f>
        <v/>
      </c>
      <c r="D2539" s="41" t="n"/>
      <c r="E2539" s="42" t="n"/>
      <c r="F2539" s="43" t="n"/>
      <c r="G2539" s="44">
        <f>IF(OR(B2539="",F2539=""),"",IFERROR(F2539*INDEX(Mitarbeiter!$F$6:$F$205,MATCH(B2539,Mitarbeiter!$A$6:$A$205,0)),0))</f>
        <v/>
      </c>
      <c r="H2539" s="8">
        <f>IF(B2539="","",IF(ISNA(MATCH(B2539,Mitarbeiter!$A$6:$A$205,0)),"Pers.-Nr. unbekannt",IF(A2539="","Datum fehlt",IF(AND(D2539&lt;&gt;Einstellungen!$C$4,D2539&lt;&gt;Einstellungen!$C$5),"Objekt fehlt",IF(YEAR(A2539)&lt;&gt;Einstellungen!$C$3,"anderes Jahr",IF(A2539&lt;INDEX(Mitarbeiter!$C$6:$C$205,MATCH(B2539,Mitarbeiter!$A$6:$A$205,0)),"vor Eintritt",IF(AND(INDEX(Mitarbeiter!$D$6:$D$205,MATCH(B2539,Mitarbeiter!$A$6:$A$205,0))&lt;&gt;"",A2539&gt;INDEX(Mitarbeiter!$D$6:$D$205,MATCH(B2539,Mitarbeiter!$A$6:$A$205,0))),"nach Austritt","ok")))))))</f>
        <v/>
      </c>
    </row>
    <row r="2540">
      <c r="A2540" s="26" t="n"/>
      <c r="B2540" s="24" t="n"/>
      <c r="C2540" s="40">
        <f>IF(B2540="","",IFERROR(INDEX(Mitarbeiter!$B$6:$B$205,MATCH(B2540,Mitarbeiter!$A$6:$A$205,0)),"?"))</f>
        <v/>
      </c>
      <c r="D2540" s="41" t="n"/>
      <c r="E2540" s="42" t="n"/>
      <c r="F2540" s="43" t="n"/>
      <c r="G2540" s="44">
        <f>IF(OR(B2540="",F2540=""),"",IFERROR(F2540*INDEX(Mitarbeiter!$F$6:$F$205,MATCH(B2540,Mitarbeiter!$A$6:$A$205,0)),0))</f>
        <v/>
      </c>
      <c r="H2540" s="8">
        <f>IF(B2540="","",IF(ISNA(MATCH(B2540,Mitarbeiter!$A$6:$A$205,0)),"Pers.-Nr. unbekannt",IF(A2540="","Datum fehlt",IF(AND(D2540&lt;&gt;Einstellungen!$C$4,D2540&lt;&gt;Einstellungen!$C$5),"Objekt fehlt",IF(YEAR(A2540)&lt;&gt;Einstellungen!$C$3,"anderes Jahr",IF(A2540&lt;INDEX(Mitarbeiter!$C$6:$C$205,MATCH(B2540,Mitarbeiter!$A$6:$A$205,0)),"vor Eintritt",IF(AND(INDEX(Mitarbeiter!$D$6:$D$205,MATCH(B2540,Mitarbeiter!$A$6:$A$205,0))&lt;&gt;"",A2540&gt;INDEX(Mitarbeiter!$D$6:$D$205,MATCH(B2540,Mitarbeiter!$A$6:$A$205,0))),"nach Austritt","ok")))))))</f>
        <v/>
      </c>
    </row>
    <row r="2541">
      <c r="A2541" s="26" t="n"/>
      <c r="B2541" s="24" t="n"/>
      <c r="C2541" s="40">
        <f>IF(B2541="","",IFERROR(INDEX(Mitarbeiter!$B$6:$B$205,MATCH(B2541,Mitarbeiter!$A$6:$A$205,0)),"?"))</f>
        <v/>
      </c>
      <c r="D2541" s="41" t="n"/>
      <c r="E2541" s="42" t="n"/>
      <c r="F2541" s="43" t="n"/>
      <c r="G2541" s="44">
        <f>IF(OR(B2541="",F2541=""),"",IFERROR(F2541*INDEX(Mitarbeiter!$F$6:$F$205,MATCH(B2541,Mitarbeiter!$A$6:$A$205,0)),0))</f>
        <v/>
      </c>
      <c r="H2541" s="8">
        <f>IF(B2541="","",IF(ISNA(MATCH(B2541,Mitarbeiter!$A$6:$A$205,0)),"Pers.-Nr. unbekannt",IF(A2541="","Datum fehlt",IF(AND(D2541&lt;&gt;Einstellungen!$C$4,D2541&lt;&gt;Einstellungen!$C$5),"Objekt fehlt",IF(YEAR(A2541)&lt;&gt;Einstellungen!$C$3,"anderes Jahr",IF(A2541&lt;INDEX(Mitarbeiter!$C$6:$C$205,MATCH(B2541,Mitarbeiter!$A$6:$A$205,0)),"vor Eintritt",IF(AND(INDEX(Mitarbeiter!$D$6:$D$205,MATCH(B2541,Mitarbeiter!$A$6:$A$205,0))&lt;&gt;"",A2541&gt;INDEX(Mitarbeiter!$D$6:$D$205,MATCH(B2541,Mitarbeiter!$A$6:$A$205,0))),"nach Austritt","ok")))))))</f>
        <v/>
      </c>
    </row>
    <row r="2542">
      <c r="A2542" s="26" t="n"/>
      <c r="B2542" s="24" t="n"/>
      <c r="C2542" s="40">
        <f>IF(B2542="","",IFERROR(INDEX(Mitarbeiter!$B$6:$B$205,MATCH(B2542,Mitarbeiter!$A$6:$A$205,0)),"?"))</f>
        <v/>
      </c>
      <c r="D2542" s="41" t="n"/>
      <c r="E2542" s="42" t="n"/>
      <c r="F2542" s="43" t="n"/>
      <c r="G2542" s="44">
        <f>IF(OR(B2542="",F2542=""),"",IFERROR(F2542*INDEX(Mitarbeiter!$F$6:$F$205,MATCH(B2542,Mitarbeiter!$A$6:$A$205,0)),0))</f>
        <v/>
      </c>
      <c r="H2542" s="8">
        <f>IF(B2542="","",IF(ISNA(MATCH(B2542,Mitarbeiter!$A$6:$A$205,0)),"Pers.-Nr. unbekannt",IF(A2542="","Datum fehlt",IF(AND(D2542&lt;&gt;Einstellungen!$C$4,D2542&lt;&gt;Einstellungen!$C$5),"Objekt fehlt",IF(YEAR(A2542)&lt;&gt;Einstellungen!$C$3,"anderes Jahr",IF(A2542&lt;INDEX(Mitarbeiter!$C$6:$C$205,MATCH(B2542,Mitarbeiter!$A$6:$A$205,0)),"vor Eintritt",IF(AND(INDEX(Mitarbeiter!$D$6:$D$205,MATCH(B2542,Mitarbeiter!$A$6:$A$205,0))&lt;&gt;"",A2542&gt;INDEX(Mitarbeiter!$D$6:$D$205,MATCH(B2542,Mitarbeiter!$A$6:$A$205,0))),"nach Austritt","ok")))))))</f>
        <v/>
      </c>
    </row>
    <row r="2543">
      <c r="A2543" s="26" t="n"/>
      <c r="B2543" s="24" t="n"/>
      <c r="C2543" s="40">
        <f>IF(B2543="","",IFERROR(INDEX(Mitarbeiter!$B$6:$B$205,MATCH(B2543,Mitarbeiter!$A$6:$A$205,0)),"?"))</f>
        <v/>
      </c>
      <c r="D2543" s="41" t="n"/>
      <c r="E2543" s="42" t="n"/>
      <c r="F2543" s="43" t="n"/>
      <c r="G2543" s="44">
        <f>IF(OR(B2543="",F2543=""),"",IFERROR(F2543*INDEX(Mitarbeiter!$F$6:$F$205,MATCH(B2543,Mitarbeiter!$A$6:$A$205,0)),0))</f>
        <v/>
      </c>
      <c r="H2543" s="8">
        <f>IF(B2543="","",IF(ISNA(MATCH(B2543,Mitarbeiter!$A$6:$A$205,0)),"Pers.-Nr. unbekannt",IF(A2543="","Datum fehlt",IF(AND(D2543&lt;&gt;Einstellungen!$C$4,D2543&lt;&gt;Einstellungen!$C$5),"Objekt fehlt",IF(YEAR(A2543)&lt;&gt;Einstellungen!$C$3,"anderes Jahr",IF(A2543&lt;INDEX(Mitarbeiter!$C$6:$C$205,MATCH(B2543,Mitarbeiter!$A$6:$A$205,0)),"vor Eintritt",IF(AND(INDEX(Mitarbeiter!$D$6:$D$205,MATCH(B2543,Mitarbeiter!$A$6:$A$205,0))&lt;&gt;"",A2543&gt;INDEX(Mitarbeiter!$D$6:$D$205,MATCH(B2543,Mitarbeiter!$A$6:$A$205,0))),"nach Austritt","ok")))))))</f>
        <v/>
      </c>
    </row>
    <row r="2544">
      <c r="A2544" s="26" t="n"/>
      <c r="B2544" s="24" t="n"/>
      <c r="C2544" s="40">
        <f>IF(B2544="","",IFERROR(INDEX(Mitarbeiter!$B$6:$B$205,MATCH(B2544,Mitarbeiter!$A$6:$A$205,0)),"?"))</f>
        <v/>
      </c>
      <c r="D2544" s="41" t="n"/>
      <c r="E2544" s="42" t="n"/>
      <c r="F2544" s="43" t="n"/>
      <c r="G2544" s="44">
        <f>IF(OR(B2544="",F2544=""),"",IFERROR(F2544*INDEX(Mitarbeiter!$F$6:$F$205,MATCH(B2544,Mitarbeiter!$A$6:$A$205,0)),0))</f>
        <v/>
      </c>
      <c r="H2544" s="8">
        <f>IF(B2544="","",IF(ISNA(MATCH(B2544,Mitarbeiter!$A$6:$A$205,0)),"Pers.-Nr. unbekannt",IF(A2544="","Datum fehlt",IF(AND(D2544&lt;&gt;Einstellungen!$C$4,D2544&lt;&gt;Einstellungen!$C$5),"Objekt fehlt",IF(YEAR(A2544)&lt;&gt;Einstellungen!$C$3,"anderes Jahr",IF(A2544&lt;INDEX(Mitarbeiter!$C$6:$C$205,MATCH(B2544,Mitarbeiter!$A$6:$A$205,0)),"vor Eintritt",IF(AND(INDEX(Mitarbeiter!$D$6:$D$205,MATCH(B2544,Mitarbeiter!$A$6:$A$205,0))&lt;&gt;"",A2544&gt;INDEX(Mitarbeiter!$D$6:$D$205,MATCH(B2544,Mitarbeiter!$A$6:$A$205,0))),"nach Austritt","ok")))))))</f>
        <v/>
      </c>
    </row>
    <row r="2545">
      <c r="A2545" s="26" t="n"/>
      <c r="B2545" s="24" t="n"/>
      <c r="C2545" s="40">
        <f>IF(B2545="","",IFERROR(INDEX(Mitarbeiter!$B$6:$B$205,MATCH(B2545,Mitarbeiter!$A$6:$A$205,0)),"?"))</f>
        <v/>
      </c>
      <c r="D2545" s="41" t="n"/>
      <c r="E2545" s="42" t="n"/>
      <c r="F2545" s="43" t="n"/>
      <c r="G2545" s="44">
        <f>IF(OR(B2545="",F2545=""),"",IFERROR(F2545*INDEX(Mitarbeiter!$F$6:$F$205,MATCH(B2545,Mitarbeiter!$A$6:$A$205,0)),0))</f>
        <v/>
      </c>
      <c r="H2545" s="8">
        <f>IF(B2545="","",IF(ISNA(MATCH(B2545,Mitarbeiter!$A$6:$A$205,0)),"Pers.-Nr. unbekannt",IF(A2545="","Datum fehlt",IF(AND(D2545&lt;&gt;Einstellungen!$C$4,D2545&lt;&gt;Einstellungen!$C$5),"Objekt fehlt",IF(YEAR(A2545)&lt;&gt;Einstellungen!$C$3,"anderes Jahr",IF(A2545&lt;INDEX(Mitarbeiter!$C$6:$C$205,MATCH(B2545,Mitarbeiter!$A$6:$A$205,0)),"vor Eintritt",IF(AND(INDEX(Mitarbeiter!$D$6:$D$205,MATCH(B2545,Mitarbeiter!$A$6:$A$205,0))&lt;&gt;"",A2545&gt;INDEX(Mitarbeiter!$D$6:$D$205,MATCH(B2545,Mitarbeiter!$A$6:$A$205,0))),"nach Austritt","ok")))))))</f>
        <v/>
      </c>
    </row>
    <row r="2546">
      <c r="A2546" s="26" t="n"/>
      <c r="B2546" s="24" t="n"/>
      <c r="C2546" s="40">
        <f>IF(B2546="","",IFERROR(INDEX(Mitarbeiter!$B$6:$B$205,MATCH(B2546,Mitarbeiter!$A$6:$A$205,0)),"?"))</f>
        <v/>
      </c>
      <c r="D2546" s="41" t="n"/>
      <c r="E2546" s="42" t="n"/>
      <c r="F2546" s="43" t="n"/>
      <c r="G2546" s="44">
        <f>IF(OR(B2546="",F2546=""),"",IFERROR(F2546*INDEX(Mitarbeiter!$F$6:$F$205,MATCH(B2546,Mitarbeiter!$A$6:$A$205,0)),0))</f>
        <v/>
      </c>
      <c r="H2546" s="8">
        <f>IF(B2546="","",IF(ISNA(MATCH(B2546,Mitarbeiter!$A$6:$A$205,0)),"Pers.-Nr. unbekannt",IF(A2546="","Datum fehlt",IF(AND(D2546&lt;&gt;Einstellungen!$C$4,D2546&lt;&gt;Einstellungen!$C$5),"Objekt fehlt",IF(YEAR(A2546)&lt;&gt;Einstellungen!$C$3,"anderes Jahr",IF(A2546&lt;INDEX(Mitarbeiter!$C$6:$C$205,MATCH(B2546,Mitarbeiter!$A$6:$A$205,0)),"vor Eintritt",IF(AND(INDEX(Mitarbeiter!$D$6:$D$205,MATCH(B2546,Mitarbeiter!$A$6:$A$205,0))&lt;&gt;"",A2546&gt;INDEX(Mitarbeiter!$D$6:$D$205,MATCH(B2546,Mitarbeiter!$A$6:$A$205,0))),"nach Austritt","ok")))))))</f>
        <v/>
      </c>
    </row>
    <row r="2547">
      <c r="A2547" s="26" t="n"/>
      <c r="B2547" s="24" t="n"/>
      <c r="C2547" s="40">
        <f>IF(B2547="","",IFERROR(INDEX(Mitarbeiter!$B$6:$B$205,MATCH(B2547,Mitarbeiter!$A$6:$A$205,0)),"?"))</f>
        <v/>
      </c>
      <c r="D2547" s="41" t="n"/>
      <c r="E2547" s="42" t="n"/>
      <c r="F2547" s="43" t="n"/>
      <c r="G2547" s="44">
        <f>IF(OR(B2547="",F2547=""),"",IFERROR(F2547*INDEX(Mitarbeiter!$F$6:$F$205,MATCH(B2547,Mitarbeiter!$A$6:$A$205,0)),0))</f>
        <v/>
      </c>
      <c r="H2547" s="8">
        <f>IF(B2547="","",IF(ISNA(MATCH(B2547,Mitarbeiter!$A$6:$A$205,0)),"Pers.-Nr. unbekannt",IF(A2547="","Datum fehlt",IF(AND(D2547&lt;&gt;Einstellungen!$C$4,D2547&lt;&gt;Einstellungen!$C$5),"Objekt fehlt",IF(YEAR(A2547)&lt;&gt;Einstellungen!$C$3,"anderes Jahr",IF(A2547&lt;INDEX(Mitarbeiter!$C$6:$C$205,MATCH(B2547,Mitarbeiter!$A$6:$A$205,0)),"vor Eintritt",IF(AND(INDEX(Mitarbeiter!$D$6:$D$205,MATCH(B2547,Mitarbeiter!$A$6:$A$205,0))&lt;&gt;"",A2547&gt;INDEX(Mitarbeiter!$D$6:$D$205,MATCH(B2547,Mitarbeiter!$A$6:$A$205,0))),"nach Austritt","ok")))))))</f>
        <v/>
      </c>
    </row>
    <row r="2548">
      <c r="A2548" s="26" t="n"/>
      <c r="B2548" s="24" t="n"/>
      <c r="C2548" s="40">
        <f>IF(B2548="","",IFERROR(INDEX(Mitarbeiter!$B$6:$B$205,MATCH(B2548,Mitarbeiter!$A$6:$A$205,0)),"?"))</f>
        <v/>
      </c>
      <c r="D2548" s="41" t="n"/>
      <c r="E2548" s="42" t="n"/>
      <c r="F2548" s="43" t="n"/>
      <c r="G2548" s="44">
        <f>IF(OR(B2548="",F2548=""),"",IFERROR(F2548*INDEX(Mitarbeiter!$F$6:$F$205,MATCH(B2548,Mitarbeiter!$A$6:$A$205,0)),0))</f>
        <v/>
      </c>
      <c r="H2548" s="8">
        <f>IF(B2548="","",IF(ISNA(MATCH(B2548,Mitarbeiter!$A$6:$A$205,0)),"Pers.-Nr. unbekannt",IF(A2548="","Datum fehlt",IF(AND(D2548&lt;&gt;Einstellungen!$C$4,D2548&lt;&gt;Einstellungen!$C$5),"Objekt fehlt",IF(YEAR(A2548)&lt;&gt;Einstellungen!$C$3,"anderes Jahr",IF(A2548&lt;INDEX(Mitarbeiter!$C$6:$C$205,MATCH(B2548,Mitarbeiter!$A$6:$A$205,0)),"vor Eintritt",IF(AND(INDEX(Mitarbeiter!$D$6:$D$205,MATCH(B2548,Mitarbeiter!$A$6:$A$205,0))&lt;&gt;"",A2548&gt;INDEX(Mitarbeiter!$D$6:$D$205,MATCH(B2548,Mitarbeiter!$A$6:$A$205,0))),"nach Austritt","ok")))))))</f>
        <v/>
      </c>
    </row>
    <row r="2549">
      <c r="A2549" s="26" t="n"/>
      <c r="B2549" s="24" t="n"/>
      <c r="C2549" s="40">
        <f>IF(B2549="","",IFERROR(INDEX(Mitarbeiter!$B$6:$B$205,MATCH(B2549,Mitarbeiter!$A$6:$A$205,0)),"?"))</f>
        <v/>
      </c>
      <c r="D2549" s="41" t="n"/>
      <c r="E2549" s="42" t="n"/>
      <c r="F2549" s="43" t="n"/>
      <c r="G2549" s="44">
        <f>IF(OR(B2549="",F2549=""),"",IFERROR(F2549*INDEX(Mitarbeiter!$F$6:$F$205,MATCH(B2549,Mitarbeiter!$A$6:$A$205,0)),0))</f>
        <v/>
      </c>
      <c r="H2549" s="8">
        <f>IF(B2549="","",IF(ISNA(MATCH(B2549,Mitarbeiter!$A$6:$A$205,0)),"Pers.-Nr. unbekannt",IF(A2549="","Datum fehlt",IF(AND(D2549&lt;&gt;Einstellungen!$C$4,D2549&lt;&gt;Einstellungen!$C$5),"Objekt fehlt",IF(YEAR(A2549)&lt;&gt;Einstellungen!$C$3,"anderes Jahr",IF(A2549&lt;INDEX(Mitarbeiter!$C$6:$C$205,MATCH(B2549,Mitarbeiter!$A$6:$A$205,0)),"vor Eintritt",IF(AND(INDEX(Mitarbeiter!$D$6:$D$205,MATCH(B2549,Mitarbeiter!$A$6:$A$205,0))&lt;&gt;"",A2549&gt;INDEX(Mitarbeiter!$D$6:$D$205,MATCH(B2549,Mitarbeiter!$A$6:$A$205,0))),"nach Austritt","ok")))))))</f>
        <v/>
      </c>
    </row>
    <row r="2550">
      <c r="A2550" s="26" t="n"/>
      <c r="B2550" s="24" t="n"/>
      <c r="C2550" s="40">
        <f>IF(B2550="","",IFERROR(INDEX(Mitarbeiter!$B$6:$B$205,MATCH(B2550,Mitarbeiter!$A$6:$A$205,0)),"?"))</f>
        <v/>
      </c>
      <c r="D2550" s="41" t="n"/>
      <c r="E2550" s="42" t="n"/>
      <c r="F2550" s="43" t="n"/>
      <c r="G2550" s="44">
        <f>IF(OR(B2550="",F2550=""),"",IFERROR(F2550*INDEX(Mitarbeiter!$F$6:$F$205,MATCH(B2550,Mitarbeiter!$A$6:$A$205,0)),0))</f>
        <v/>
      </c>
      <c r="H2550" s="8">
        <f>IF(B2550="","",IF(ISNA(MATCH(B2550,Mitarbeiter!$A$6:$A$205,0)),"Pers.-Nr. unbekannt",IF(A2550="","Datum fehlt",IF(AND(D2550&lt;&gt;Einstellungen!$C$4,D2550&lt;&gt;Einstellungen!$C$5),"Objekt fehlt",IF(YEAR(A2550)&lt;&gt;Einstellungen!$C$3,"anderes Jahr",IF(A2550&lt;INDEX(Mitarbeiter!$C$6:$C$205,MATCH(B2550,Mitarbeiter!$A$6:$A$205,0)),"vor Eintritt",IF(AND(INDEX(Mitarbeiter!$D$6:$D$205,MATCH(B2550,Mitarbeiter!$A$6:$A$205,0))&lt;&gt;"",A2550&gt;INDEX(Mitarbeiter!$D$6:$D$205,MATCH(B2550,Mitarbeiter!$A$6:$A$205,0))),"nach Austritt","ok")))))))</f>
        <v/>
      </c>
    </row>
    <row r="2551">
      <c r="A2551" s="26" t="n"/>
      <c r="B2551" s="24" t="n"/>
      <c r="C2551" s="40">
        <f>IF(B2551="","",IFERROR(INDEX(Mitarbeiter!$B$6:$B$205,MATCH(B2551,Mitarbeiter!$A$6:$A$205,0)),"?"))</f>
        <v/>
      </c>
      <c r="D2551" s="41" t="n"/>
      <c r="E2551" s="42" t="n"/>
      <c r="F2551" s="43" t="n"/>
      <c r="G2551" s="44">
        <f>IF(OR(B2551="",F2551=""),"",IFERROR(F2551*INDEX(Mitarbeiter!$F$6:$F$205,MATCH(B2551,Mitarbeiter!$A$6:$A$205,0)),0))</f>
        <v/>
      </c>
      <c r="H2551" s="8">
        <f>IF(B2551="","",IF(ISNA(MATCH(B2551,Mitarbeiter!$A$6:$A$205,0)),"Pers.-Nr. unbekannt",IF(A2551="","Datum fehlt",IF(AND(D2551&lt;&gt;Einstellungen!$C$4,D2551&lt;&gt;Einstellungen!$C$5),"Objekt fehlt",IF(YEAR(A2551)&lt;&gt;Einstellungen!$C$3,"anderes Jahr",IF(A2551&lt;INDEX(Mitarbeiter!$C$6:$C$205,MATCH(B2551,Mitarbeiter!$A$6:$A$205,0)),"vor Eintritt",IF(AND(INDEX(Mitarbeiter!$D$6:$D$205,MATCH(B2551,Mitarbeiter!$A$6:$A$205,0))&lt;&gt;"",A2551&gt;INDEX(Mitarbeiter!$D$6:$D$205,MATCH(B2551,Mitarbeiter!$A$6:$A$205,0))),"nach Austritt","ok")))))))</f>
        <v/>
      </c>
    </row>
    <row r="2552">
      <c r="A2552" s="26" t="n"/>
      <c r="B2552" s="24" t="n"/>
      <c r="C2552" s="40">
        <f>IF(B2552="","",IFERROR(INDEX(Mitarbeiter!$B$6:$B$205,MATCH(B2552,Mitarbeiter!$A$6:$A$205,0)),"?"))</f>
        <v/>
      </c>
      <c r="D2552" s="41" t="n"/>
      <c r="E2552" s="42" t="n"/>
      <c r="F2552" s="43" t="n"/>
      <c r="G2552" s="44">
        <f>IF(OR(B2552="",F2552=""),"",IFERROR(F2552*INDEX(Mitarbeiter!$F$6:$F$205,MATCH(B2552,Mitarbeiter!$A$6:$A$205,0)),0))</f>
        <v/>
      </c>
      <c r="H2552" s="8">
        <f>IF(B2552="","",IF(ISNA(MATCH(B2552,Mitarbeiter!$A$6:$A$205,0)),"Pers.-Nr. unbekannt",IF(A2552="","Datum fehlt",IF(AND(D2552&lt;&gt;Einstellungen!$C$4,D2552&lt;&gt;Einstellungen!$C$5),"Objekt fehlt",IF(YEAR(A2552)&lt;&gt;Einstellungen!$C$3,"anderes Jahr",IF(A2552&lt;INDEX(Mitarbeiter!$C$6:$C$205,MATCH(B2552,Mitarbeiter!$A$6:$A$205,0)),"vor Eintritt",IF(AND(INDEX(Mitarbeiter!$D$6:$D$205,MATCH(B2552,Mitarbeiter!$A$6:$A$205,0))&lt;&gt;"",A2552&gt;INDEX(Mitarbeiter!$D$6:$D$205,MATCH(B2552,Mitarbeiter!$A$6:$A$205,0))),"nach Austritt","ok")))))))</f>
        <v/>
      </c>
    </row>
    <row r="2553">
      <c r="A2553" s="26" t="n"/>
      <c r="B2553" s="24" t="n"/>
      <c r="C2553" s="40">
        <f>IF(B2553="","",IFERROR(INDEX(Mitarbeiter!$B$6:$B$205,MATCH(B2553,Mitarbeiter!$A$6:$A$205,0)),"?"))</f>
        <v/>
      </c>
      <c r="D2553" s="41" t="n"/>
      <c r="E2553" s="42" t="n"/>
      <c r="F2553" s="43" t="n"/>
      <c r="G2553" s="44">
        <f>IF(OR(B2553="",F2553=""),"",IFERROR(F2553*INDEX(Mitarbeiter!$F$6:$F$205,MATCH(B2553,Mitarbeiter!$A$6:$A$205,0)),0))</f>
        <v/>
      </c>
      <c r="H2553" s="8">
        <f>IF(B2553="","",IF(ISNA(MATCH(B2553,Mitarbeiter!$A$6:$A$205,0)),"Pers.-Nr. unbekannt",IF(A2553="","Datum fehlt",IF(AND(D2553&lt;&gt;Einstellungen!$C$4,D2553&lt;&gt;Einstellungen!$C$5),"Objekt fehlt",IF(YEAR(A2553)&lt;&gt;Einstellungen!$C$3,"anderes Jahr",IF(A2553&lt;INDEX(Mitarbeiter!$C$6:$C$205,MATCH(B2553,Mitarbeiter!$A$6:$A$205,0)),"vor Eintritt",IF(AND(INDEX(Mitarbeiter!$D$6:$D$205,MATCH(B2553,Mitarbeiter!$A$6:$A$205,0))&lt;&gt;"",A2553&gt;INDEX(Mitarbeiter!$D$6:$D$205,MATCH(B2553,Mitarbeiter!$A$6:$A$205,0))),"nach Austritt","ok")))))))</f>
        <v/>
      </c>
    </row>
    <row r="2554">
      <c r="A2554" s="26" t="n"/>
      <c r="B2554" s="24" t="n"/>
      <c r="C2554" s="40">
        <f>IF(B2554="","",IFERROR(INDEX(Mitarbeiter!$B$6:$B$205,MATCH(B2554,Mitarbeiter!$A$6:$A$205,0)),"?"))</f>
        <v/>
      </c>
      <c r="D2554" s="41" t="n"/>
      <c r="E2554" s="42" t="n"/>
      <c r="F2554" s="43" t="n"/>
      <c r="G2554" s="44">
        <f>IF(OR(B2554="",F2554=""),"",IFERROR(F2554*INDEX(Mitarbeiter!$F$6:$F$205,MATCH(B2554,Mitarbeiter!$A$6:$A$205,0)),0))</f>
        <v/>
      </c>
      <c r="H2554" s="8">
        <f>IF(B2554="","",IF(ISNA(MATCH(B2554,Mitarbeiter!$A$6:$A$205,0)),"Pers.-Nr. unbekannt",IF(A2554="","Datum fehlt",IF(AND(D2554&lt;&gt;Einstellungen!$C$4,D2554&lt;&gt;Einstellungen!$C$5),"Objekt fehlt",IF(YEAR(A2554)&lt;&gt;Einstellungen!$C$3,"anderes Jahr",IF(A2554&lt;INDEX(Mitarbeiter!$C$6:$C$205,MATCH(B2554,Mitarbeiter!$A$6:$A$205,0)),"vor Eintritt",IF(AND(INDEX(Mitarbeiter!$D$6:$D$205,MATCH(B2554,Mitarbeiter!$A$6:$A$205,0))&lt;&gt;"",A2554&gt;INDEX(Mitarbeiter!$D$6:$D$205,MATCH(B2554,Mitarbeiter!$A$6:$A$205,0))),"nach Austritt","ok")))))))</f>
        <v/>
      </c>
    </row>
    <row r="2555">
      <c r="A2555" s="26" t="n"/>
      <c r="B2555" s="24" t="n"/>
      <c r="C2555" s="40">
        <f>IF(B2555="","",IFERROR(INDEX(Mitarbeiter!$B$6:$B$205,MATCH(B2555,Mitarbeiter!$A$6:$A$205,0)),"?"))</f>
        <v/>
      </c>
      <c r="D2555" s="41" t="n"/>
      <c r="E2555" s="42" t="n"/>
      <c r="F2555" s="43" t="n"/>
      <c r="G2555" s="44">
        <f>IF(OR(B2555="",F2555=""),"",IFERROR(F2555*INDEX(Mitarbeiter!$F$6:$F$205,MATCH(B2555,Mitarbeiter!$A$6:$A$205,0)),0))</f>
        <v/>
      </c>
      <c r="H2555" s="8">
        <f>IF(B2555="","",IF(ISNA(MATCH(B2555,Mitarbeiter!$A$6:$A$205,0)),"Pers.-Nr. unbekannt",IF(A2555="","Datum fehlt",IF(AND(D2555&lt;&gt;Einstellungen!$C$4,D2555&lt;&gt;Einstellungen!$C$5),"Objekt fehlt",IF(YEAR(A2555)&lt;&gt;Einstellungen!$C$3,"anderes Jahr",IF(A2555&lt;INDEX(Mitarbeiter!$C$6:$C$205,MATCH(B2555,Mitarbeiter!$A$6:$A$205,0)),"vor Eintritt",IF(AND(INDEX(Mitarbeiter!$D$6:$D$205,MATCH(B2555,Mitarbeiter!$A$6:$A$205,0))&lt;&gt;"",A2555&gt;INDEX(Mitarbeiter!$D$6:$D$205,MATCH(B2555,Mitarbeiter!$A$6:$A$205,0))),"nach Austritt","ok")))))))</f>
        <v/>
      </c>
    </row>
    <row r="2556">
      <c r="A2556" s="26" t="n"/>
      <c r="B2556" s="24" t="n"/>
      <c r="C2556" s="40">
        <f>IF(B2556="","",IFERROR(INDEX(Mitarbeiter!$B$6:$B$205,MATCH(B2556,Mitarbeiter!$A$6:$A$205,0)),"?"))</f>
        <v/>
      </c>
      <c r="D2556" s="41" t="n"/>
      <c r="E2556" s="42" t="n"/>
      <c r="F2556" s="43" t="n"/>
      <c r="G2556" s="44">
        <f>IF(OR(B2556="",F2556=""),"",IFERROR(F2556*INDEX(Mitarbeiter!$F$6:$F$205,MATCH(B2556,Mitarbeiter!$A$6:$A$205,0)),0))</f>
        <v/>
      </c>
      <c r="H2556" s="8">
        <f>IF(B2556="","",IF(ISNA(MATCH(B2556,Mitarbeiter!$A$6:$A$205,0)),"Pers.-Nr. unbekannt",IF(A2556="","Datum fehlt",IF(AND(D2556&lt;&gt;Einstellungen!$C$4,D2556&lt;&gt;Einstellungen!$C$5),"Objekt fehlt",IF(YEAR(A2556)&lt;&gt;Einstellungen!$C$3,"anderes Jahr",IF(A2556&lt;INDEX(Mitarbeiter!$C$6:$C$205,MATCH(B2556,Mitarbeiter!$A$6:$A$205,0)),"vor Eintritt",IF(AND(INDEX(Mitarbeiter!$D$6:$D$205,MATCH(B2556,Mitarbeiter!$A$6:$A$205,0))&lt;&gt;"",A2556&gt;INDEX(Mitarbeiter!$D$6:$D$205,MATCH(B2556,Mitarbeiter!$A$6:$A$205,0))),"nach Austritt","ok")))))))</f>
        <v/>
      </c>
    </row>
    <row r="2557">
      <c r="A2557" s="26" t="n"/>
      <c r="B2557" s="24" t="n"/>
      <c r="C2557" s="40">
        <f>IF(B2557="","",IFERROR(INDEX(Mitarbeiter!$B$6:$B$205,MATCH(B2557,Mitarbeiter!$A$6:$A$205,0)),"?"))</f>
        <v/>
      </c>
      <c r="D2557" s="41" t="n"/>
      <c r="E2557" s="42" t="n"/>
      <c r="F2557" s="43" t="n"/>
      <c r="G2557" s="44">
        <f>IF(OR(B2557="",F2557=""),"",IFERROR(F2557*INDEX(Mitarbeiter!$F$6:$F$205,MATCH(B2557,Mitarbeiter!$A$6:$A$205,0)),0))</f>
        <v/>
      </c>
      <c r="H2557" s="8">
        <f>IF(B2557="","",IF(ISNA(MATCH(B2557,Mitarbeiter!$A$6:$A$205,0)),"Pers.-Nr. unbekannt",IF(A2557="","Datum fehlt",IF(AND(D2557&lt;&gt;Einstellungen!$C$4,D2557&lt;&gt;Einstellungen!$C$5),"Objekt fehlt",IF(YEAR(A2557)&lt;&gt;Einstellungen!$C$3,"anderes Jahr",IF(A2557&lt;INDEX(Mitarbeiter!$C$6:$C$205,MATCH(B2557,Mitarbeiter!$A$6:$A$205,0)),"vor Eintritt",IF(AND(INDEX(Mitarbeiter!$D$6:$D$205,MATCH(B2557,Mitarbeiter!$A$6:$A$205,0))&lt;&gt;"",A2557&gt;INDEX(Mitarbeiter!$D$6:$D$205,MATCH(B2557,Mitarbeiter!$A$6:$A$205,0))),"nach Austritt","ok")))))))</f>
        <v/>
      </c>
    </row>
    <row r="2558">
      <c r="A2558" s="26" t="n"/>
      <c r="B2558" s="24" t="n"/>
      <c r="C2558" s="40">
        <f>IF(B2558="","",IFERROR(INDEX(Mitarbeiter!$B$6:$B$205,MATCH(B2558,Mitarbeiter!$A$6:$A$205,0)),"?"))</f>
        <v/>
      </c>
      <c r="D2558" s="41" t="n"/>
      <c r="E2558" s="42" t="n"/>
      <c r="F2558" s="43" t="n"/>
      <c r="G2558" s="44">
        <f>IF(OR(B2558="",F2558=""),"",IFERROR(F2558*INDEX(Mitarbeiter!$F$6:$F$205,MATCH(B2558,Mitarbeiter!$A$6:$A$205,0)),0))</f>
        <v/>
      </c>
      <c r="H2558" s="8">
        <f>IF(B2558="","",IF(ISNA(MATCH(B2558,Mitarbeiter!$A$6:$A$205,0)),"Pers.-Nr. unbekannt",IF(A2558="","Datum fehlt",IF(AND(D2558&lt;&gt;Einstellungen!$C$4,D2558&lt;&gt;Einstellungen!$C$5),"Objekt fehlt",IF(YEAR(A2558)&lt;&gt;Einstellungen!$C$3,"anderes Jahr",IF(A2558&lt;INDEX(Mitarbeiter!$C$6:$C$205,MATCH(B2558,Mitarbeiter!$A$6:$A$205,0)),"vor Eintritt",IF(AND(INDEX(Mitarbeiter!$D$6:$D$205,MATCH(B2558,Mitarbeiter!$A$6:$A$205,0))&lt;&gt;"",A2558&gt;INDEX(Mitarbeiter!$D$6:$D$205,MATCH(B2558,Mitarbeiter!$A$6:$A$205,0))),"nach Austritt","ok")))))))</f>
        <v/>
      </c>
    </row>
    <row r="2559">
      <c r="A2559" s="26" t="n"/>
      <c r="B2559" s="24" t="n"/>
      <c r="C2559" s="40">
        <f>IF(B2559="","",IFERROR(INDEX(Mitarbeiter!$B$6:$B$205,MATCH(B2559,Mitarbeiter!$A$6:$A$205,0)),"?"))</f>
        <v/>
      </c>
      <c r="D2559" s="41" t="n"/>
      <c r="E2559" s="42" t="n"/>
      <c r="F2559" s="43" t="n"/>
      <c r="G2559" s="44">
        <f>IF(OR(B2559="",F2559=""),"",IFERROR(F2559*INDEX(Mitarbeiter!$F$6:$F$205,MATCH(B2559,Mitarbeiter!$A$6:$A$205,0)),0))</f>
        <v/>
      </c>
      <c r="H2559" s="8">
        <f>IF(B2559="","",IF(ISNA(MATCH(B2559,Mitarbeiter!$A$6:$A$205,0)),"Pers.-Nr. unbekannt",IF(A2559="","Datum fehlt",IF(AND(D2559&lt;&gt;Einstellungen!$C$4,D2559&lt;&gt;Einstellungen!$C$5),"Objekt fehlt",IF(YEAR(A2559)&lt;&gt;Einstellungen!$C$3,"anderes Jahr",IF(A2559&lt;INDEX(Mitarbeiter!$C$6:$C$205,MATCH(B2559,Mitarbeiter!$A$6:$A$205,0)),"vor Eintritt",IF(AND(INDEX(Mitarbeiter!$D$6:$D$205,MATCH(B2559,Mitarbeiter!$A$6:$A$205,0))&lt;&gt;"",A2559&gt;INDEX(Mitarbeiter!$D$6:$D$205,MATCH(B2559,Mitarbeiter!$A$6:$A$205,0))),"nach Austritt","ok")))))))</f>
        <v/>
      </c>
    </row>
    <row r="2560">
      <c r="A2560" s="26" t="n"/>
      <c r="B2560" s="24" t="n"/>
      <c r="C2560" s="40">
        <f>IF(B2560="","",IFERROR(INDEX(Mitarbeiter!$B$6:$B$205,MATCH(B2560,Mitarbeiter!$A$6:$A$205,0)),"?"))</f>
        <v/>
      </c>
      <c r="D2560" s="41" t="n"/>
      <c r="E2560" s="42" t="n"/>
      <c r="F2560" s="43" t="n"/>
      <c r="G2560" s="44">
        <f>IF(OR(B2560="",F2560=""),"",IFERROR(F2560*INDEX(Mitarbeiter!$F$6:$F$205,MATCH(B2560,Mitarbeiter!$A$6:$A$205,0)),0))</f>
        <v/>
      </c>
      <c r="H2560" s="8">
        <f>IF(B2560="","",IF(ISNA(MATCH(B2560,Mitarbeiter!$A$6:$A$205,0)),"Pers.-Nr. unbekannt",IF(A2560="","Datum fehlt",IF(AND(D2560&lt;&gt;Einstellungen!$C$4,D2560&lt;&gt;Einstellungen!$C$5),"Objekt fehlt",IF(YEAR(A2560)&lt;&gt;Einstellungen!$C$3,"anderes Jahr",IF(A2560&lt;INDEX(Mitarbeiter!$C$6:$C$205,MATCH(B2560,Mitarbeiter!$A$6:$A$205,0)),"vor Eintritt",IF(AND(INDEX(Mitarbeiter!$D$6:$D$205,MATCH(B2560,Mitarbeiter!$A$6:$A$205,0))&lt;&gt;"",A2560&gt;INDEX(Mitarbeiter!$D$6:$D$205,MATCH(B2560,Mitarbeiter!$A$6:$A$205,0))),"nach Austritt","ok")))))))</f>
        <v/>
      </c>
    </row>
    <row r="2561">
      <c r="A2561" s="26" t="n"/>
      <c r="B2561" s="24" t="n"/>
      <c r="C2561" s="40">
        <f>IF(B2561="","",IFERROR(INDEX(Mitarbeiter!$B$6:$B$205,MATCH(B2561,Mitarbeiter!$A$6:$A$205,0)),"?"))</f>
        <v/>
      </c>
      <c r="D2561" s="41" t="n"/>
      <c r="E2561" s="42" t="n"/>
      <c r="F2561" s="43" t="n"/>
      <c r="G2561" s="44">
        <f>IF(OR(B2561="",F2561=""),"",IFERROR(F2561*INDEX(Mitarbeiter!$F$6:$F$205,MATCH(B2561,Mitarbeiter!$A$6:$A$205,0)),0))</f>
        <v/>
      </c>
      <c r="H2561" s="8">
        <f>IF(B2561="","",IF(ISNA(MATCH(B2561,Mitarbeiter!$A$6:$A$205,0)),"Pers.-Nr. unbekannt",IF(A2561="","Datum fehlt",IF(AND(D2561&lt;&gt;Einstellungen!$C$4,D2561&lt;&gt;Einstellungen!$C$5),"Objekt fehlt",IF(YEAR(A2561)&lt;&gt;Einstellungen!$C$3,"anderes Jahr",IF(A2561&lt;INDEX(Mitarbeiter!$C$6:$C$205,MATCH(B2561,Mitarbeiter!$A$6:$A$205,0)),"vor Eintritt",IF(AND(INDEX(Mitarbeiter!$D$6:$D$205,MATCH(B2561,Mitarbeiter!$A$6:$A$205,0))&lt;&gt;"",A2561&gt;INDEX(Mitarbeiter!$D$6:$D$205,MATCH(B2561,Mitarbeiter!$A$6:$A$205,0))),"nach Austritt","ok")))))))</f>
        <v/>
      </c>
    </row>
    <row r="2562">
      <c r="A2562" s="26" t="n"/>
      <c r="B2562" s="24" t="n"/>
      <c r="C2562" s="40">
        <f>IF(B2562="","",IFERROR(INDEX(Mitarbeiter!$B$6:$B$205,MATCH(B2562,Mitarbeiter!$A$6:$A$205,0)),"?"))</f>
        <v/>
      </c>
      <c r="D2562" s="41" t="n"/>
      <c r="E2562" s="42" t="n"/>
      <c r="F2562" s="43" t="n"/>
      <c r="G2562" s="44">
        <f>IF(OR(B2562="",F2562=""),"",IFERROR(F2562*INDEX(Mitarbeiter!$F$6:$F$205,MATCH(B2562,Mitarbeiter!$A$6:$A$205,0)),0))</f>
        <v/>
      </c>
      <c r="H2562" s="8">
        <f>IF(B2562="","",IF(ISNA(MATCH(B2562,Mitarbeiter!$A$6:$A$205,0)),"Pers.-Nr. unbekannt",IF(A2562="","Datum fehlt",IF(AND(D2562&lt;&gt;Einstellungen!$C$4,D2562&lt;&gt;Einstellungen!$C$5),"Objekt fehlt",IF(YEAR(A2562)&lt;&gt;Einstellungen!$C$3,"anderes Jahr",IF(A2562&lt;INDEX(Mitarbeiter!$C$6:$C$205,MATCH(B2562,Mitarbeiter!$A$6:$A$205,0)),"vor Eintritt",IF(AND(INDEX(Mitarbeiter!$D$6:$D$205,MATCH(B2562,Mitarbeiter!$A$6:$A$205,0))&lt;&gt;"",A2562&gt;INDEX(Mitarbeiter!$D$6:$D$205,MATCH(B2562,Mitarbeiter!$A$6:$A$205,0))),"nach Austritt","ok")))))))</f>
        <v/>
      </c>
    </row>
    <row r="2563">
      <c r="A2563" s="26" t="n"/>
      <c r="B2563" s="24" t="n"/>
      <c r="C2563" s="40">
        <f>IF(B2563="","",IFERROR(INDEX(Mitarbeiter!$B$6:$B$205,MATCH(B2563,Mitarbeiter!$A$6:$A$205,0)),"?"))</f>
        <v/>
      </c>
      <c r="D2563" s="41" t="n"/>
      <c r="E2563" s="42" t="n"/>
      <c r="F2563" s="43" t="n"/>
      <c r="G2563" s="44">
        <f>IF(OR(B2563="",F2563=""),"",IFERROR(F2563*INDEX(Mitarbeiter!$F$6:$F$205,MATCH(B2563,Mitarbeiter!$A$6:$A$205,0)),0))</f>
        <v/>
      </c>
      <c r="H2563" s="8">
        <f>IF(B2563="","",IF(ISNA(MATCH(B2563,Mitarbeiter!$A$6:$A$205,0)),"Pers.-Nr. unbekannt",IF(A2563="","Datum fehlt",IF(AND(D2563&lt;&gt;Einstellungen!$C$4,D2563&lt;&gt;Einstellungen!$C$5),"Objekt fehlt",IF(YEAR(A2563)&lt;&gt;Einstellungen!$C$3,"anderes Jahr",IF(A2563&lt;INDEX(Mitarbeiter!$C$6:$C$205,MATCH(B2563,Mitarbeiter!$A$6:$A$205,0)),"vor Eintritt",IF(AND(INDEX(Mitarbeiter!$D$6:$D$205,MATCH(B2563,Mitarbeiter!$A$6:$A$205,0))&lt;&gt;"",A2563&gt;INDEX(Mitarbeiter!$D$6:$D$205,MATCH(B2563,Mitarbeiter!$A$6:$A$205,0))),"nach Austritt","ok")))))))</f>
        <v/>
      </c>
    </row>
    <row r="2564">
      <c r="A2564" s="26" t="n"/>
      <c r="B2564" s="24" t="n"/>
      <c r="C2564" s="40">
        <f>IF(B2564="","",IFERROR(INDEX(Mitarbeiter!$B$6:$B$205,MATCH(B2564,Mitarbeiter!$A$6:$A$205,0)),"?"))</f>
        <v/>
      </c>
      <c r="D2564" s="41" t="n"/>
      <c r="E2564" s="42" t="n"/>
      <c r="F2564" s="43" t="n"/>
      <c r="G2564" s="44">
        <f>IF(OR(B2564="",F2564=""),"",IFERROR(F2564*INDEX(Mitarbeiter!$F$6:$F$205,MATCH(B2564,Mitarbeiter!$A$6:$A$205,0)),0))</f>
        <v/>
      </c>
      <c r="H2564" s="8">
        <f>IF(B2564="","",IF(ISNA(MATCH(B2564,Mitarbeiter!$A$6:$A$205,0)),"Pers.-Nr. unbekannt",IF(A2564="","Datum fehlt",IF(AND(D2564&lt;&gt;Einstellungen!$C$4,D2564&lt;&gt;Einstellungen!$C$5),"Objekt fehlt",IF(YEAR(A2564)&lt;&gt;Einstellungen!$C$3,"anderes Jahr",IF(A2564&lt;INDEX(Mitarbeiter!$C$6:$C$205,MATCH(B2564,Mitarbeiter!$A$6:$A$205,0)),"vor Eintritt",IF(AND(INDEX(Mitarbeiter!$D$6:$D$205,MATCH(B2564,Mitarbeiter!$A$6:$A$205,0))&lt;&gt;"",A2564&gt;INDEX(Mitarbeiter!$D$6:$D$205,MATCH(B2564,Mitarbeiter!$A$6:$A$205,0))),"nach Austritt","ok")))))))</f>
        <v/>
      </c>
    </row>
    <row r="2565">
      <c r="A2565" s="26" t="n"/>
      <c r="B2565" s="24" t="n"/>
      <c r="C2565" s="40">
        <f>IF(B2565="","",IFERROR(INDEX(Mitarbeiter!$B$6:$B$205,MATCH(B2565,Mitarbeiter!$A$6:$A$205,0)),"?"))</f>
        <v/>
      </c>
      <c r="D2565" s="41" t="n"/>
      <c r="E2565" s="42" t="n"/>
      <c r="F2565" s="43" t="n"/>
      <c r="G2565" s="44">
        <f>IF(OR(B2565="",F2565=""),"",IFERROR(F2565*INDEX(Mitarbeiter!$F$6:$F$205,MATCH(B2565,Mitarbeiter!$A$6:$A$205,0)),0))</f>
        <v/>
      </c>
      <c r="H2565" s="8">
        <f>IF(B2565="","",IF(ISNA(MATCH(B2565,Mitarbeiter!$A$6:$A$205,0)),"Pers.-Nr. unbekannt",IF(A2565="","Datum fehlt",IF(AND(D2565&lt;&gt;Einstellungen!$C$4,D2565&lt;&gt;Einstellungen!$C$5),"Objekt fehlt",IF(YEAR(A2565)&lt;&gt;Einstellungen!$C$3,"anderes Jahr",IF(A2565&lt;INDEX(Mitarbeiter!$C$6:$C$205,MATCH(B2565,Mitarbeiter!$A$6:$A$205,0)),"vor Eintritt",IF(AND(INDEX(Mitarbeiter!$D$6:$D$205,MATCH(B2565,Mitarbeiter!$A$6:$A$205,0))&lt;&gt;"",A2565&gt;INDEX(Mitarbeiter!$D$6:$D$205,MATCH(B2565,Mitarbeiter!$A$6:$A$205,0))),"nach Austritt","ok")))))))</f>
        <v/>
      </c>
    </row>
    <row r="2566">
      <c r="A2566" s="26" t="n"/>
      <c r="B2566" s="24" t="n"/>
      <c r="C2566" s="40">
        <f>IF(B2566="","",IFERROR(INDEX(Mitarbeiter!$B$6:$B$205,MATCH(B2566,Mitarbeiter!$A$6:$A$205,0)),"?"))</f>
        <v/>
      </c>
      <c r="D2566" s="41" t="n"/>
      <c r="E2566" s="42" t="n"/>
      <c r="F2566" s="43" t="n"/>
      <c r="G2566" s="44">
        <f>IF(OR(B2566="",F2566=""),"",IFERROR(F2566*INDEX(Mitarbeiter!$F$6:$F$205,MATCH(B2566,Mitarbeiter!$A$6:$A$205,0)),0))</f>
        <v/>
      </c>
      <c r="H2566" s="8">
        <f>IF(B2566="","",IF(ISNA(MATCH(B2566,Mitarbeiter!$A$6:$A$205,0)),"Pers.-Nr. unbekannt",IF(A2566="","Datum fehlt",IF(AND(D2566&lt;&gt;Einstellungen!$C$4,D2566&lt;&gt;Einstellungen!$C$5),"Objekt fehlt",IF(YEAR(A2566)&lt;&gt;Einstellungen!$C$3,"anderes Jahr",IF(A2566&lt;INDEX(Mitarbeiter!$C$6:$C$205,MATCH(B2566,Mitarbeiter!$A$6:$A$205,0)),"vor Eintritt",IF(AND(INDEX(Mitarbeiter!$D$6:$D$205,MATCH(B2566,Mitarbeiter!$A$6:$A$205,0))&lt;&gt;"",A2566&gt;INDEX(Mitarbeiter!$D$6:$D$205,MATCH(B2566,Mitarbeiter!$A$6:$A$205,0))),"nach Austritt","ok")))))))</f>
        <v/>
      </c>
    </row>
    <row r="2567">
      <c r="A2567" s="26" t="n"/>
      <c r="B2567" s="24" t="n"/>
      <c r="C2567" s="40">
        <f>IF(B2567="","",IFERROR(INDEX(Mitarbeiter!$B$6:$B$205,MATCH(B2567,Mitarbeiter!$A$6:$A$205,0)),"?"))</f>
        <v/>
      </c>
      <c r="D2567" s="41" t="n"/>
      <c r="E2567" s="42" t="n"/>
      <c r="F2567" s="43" t="n"/>
      <c r="G2567" s="44">
        <f>IF(OR(B2567="",F2567=""),"",IFERROR(F2567*INDEX(Mitarbeiter!$F$6:$F$205,MATCH(B2567,Mitarbeiter!$A$6:$A$205,0)),0))</f>
        <v/>
      </c>
      <c r="H2567" s="8">
        <f>IF(B2567="","",IF(ISNA(MATCH(B2567,Mitarbeiter!$A$6:$A$205,0)),"Pers.-Nr. unbekannt",IF(A2567="","Datum fehlt",IF(AND(D2567&lt;&gt;Einstellungen!$C$4,D2567&lt;&gt;Einstellungen!$C$5),"Objekt fehlt",IF(YEAR(A2567)&lt;&gt;Einstellungen!$C$3,"anderes Jahr",IF(A2567&lt;INDEX(Mitarbeiter!$C$6:$C$205,MATCH(B2567,Mitarbeiter!$A$6:$A$205,0)),"vor Eintritt",IF(AND(INDEX(Mitarbeiter!$D$6:$D$205,MATCH(B2567,Mitarbeiter!$A$6:$A$205,0))&lt;&gt;"",A2567&gt;INDEX(Mitarbeiter!$D$6:$D$205,MATCH(B2567,Mitarbeiter!$A$6:$A$205,0))),"nach Austritt","ok")))))))</f>
        <v/>
      </c>
    </row>
    <row r="2568">
      <c r="A2568" s="26" t="n"/>
      <c r="B2568" s="24" t="n"/>
      <c r="C2568" s="40">
        <f>IF(B2568="","",IFERROR(INDEX(Mitarbeiter!$B$6:$B$205,MATCH(B2568,Mitarbeiter!$A$6:$A$205,0)),"?"))</f>
        <v/>
      </c>
      <c r="D2568" s="41" t="n"/>
      <c r="E2568" s="42" t="n"/>
      <c r="F2568" s="43" t="n"/>
      <c r="G2568" s="44">
        <f>IF(OR(B2568="",F2568=""),"",IFERROR(F2568*INDEX(Mitarbeiter!$F$6:$F$205,MATCH(B2568,Mitarbeiter!$A$6:$A$205,0)),0))</f>
        <v/>
      </c>
      <c r="H2568" s="8">
        <f>IF(B2568="","",IF(ISNA(MATCH(B2568,Mitarbeiter!$A$6:$A$205,0)),"Pers.-Nr. unbekannt",IF(A2568="","Datum fehlt",IF(AND(D2568&lt;&gt;Einstellungen!$C$4,D2568&lt;&gt;Einstellungen!$C$5),"Objekt fehlt",IF(YEAR(A2568)&lt;&gt;Einstellungen!$C$3,"anderes Jahr",IF(A2568&lt;INDEX(Mitarbeiter!$C$6:$C$205,MATCH(B2568,Mitarbeiter!$A$6:$A$205,0)),"vor Eintritt",IF(AND(INDEX(Mitarbeiter!$D$6:$D$205,MATCH(B2568,Mitarbeiter!$A$6:$A$205,0))&lt;&gt;"",A2568&gt;INDEX(Mitarbeiter!$D$6:$D$205,MATCH(B2568,Mitarbeiter!$A$6:$A$205,0))),"nach Austritt","ok")))))))</f>
        <v/>
      </c>
    </row>
    <row r="2569">
      <c r="A2569" s="26" t="n"/>
      <c r="B2569" s="24" t="n"/>
      <c r="C2569" s="40">
        <f>IF(B2569="","",IFERROR(INDEX(Mitarbeiter!$B$6:$B$205,MATCH(B2569,Mitarbeiter!$A$6:$A$205,0)),"?"))</f>
        <v/>
      </c>
      <c r="D2569" s="41" t="n"/>
      <c r="E2569" s="42" t="n"/>
      <c r="F2569" s="43" t="n"/>
      <c r="G2569" s="44">
        <f>IF(OR(B2569="",F2569=""),"",IFERROR(F2569*INDEX(Mitarbeiter!$F$6:$F$205,MATCH(B2569,Mitarbeiter!$A$6:$A$205,0)),0))</f>
        <v/>
      </c>
      <c r="H2569" s="8">
        <f>IF(B2569="","",IF(ISNA(MATCH(B2569,Mitarbeiter!$A$6:$A$205,0)),"Pers.-Nr. unbekannt",IF(A2569="","Datum fehlt",IF(AND(D2569&lt;&gt;Einstellungen!$C$4,D2569&lt;&gt;Einstellungen!$C$5),"Objekt fehlt",IF(YEAR(A2569)&lt;&gt;Einstellungen!$C$3,"anderes Jahr",IF(A2569&lt;INDEX(Mitarbeiter!$C$6:$C$205,MATCH(B2569,Mitarbeiter!$A$6:$A$205,0)),"vor Eintritt",IF(AND(INDEX(Mitarbeiter!$D$6:$D$205,MATCH(B2569,Mitarbeiter!$A$6:$A$205,0))&lt;&gt;"",A2569&gt;INDEX(Mitarbeiter!$D$6:$D$205,MATCH(B2569,Mitarbeiter!$A$6:$A$205,0))),"nach Austritt","ok")))))))</f>
        <v/>
      </c>
    </row>
    <row r="2570">
      <c r="A2570" s="26" t="n"/>
      <c r="B2570" s="24" t="n"/>
      <c r="C2570" s="40">
        <f>IF(B2570="","",IFERROR(INDEX(Mitarbeiter!$B$6:$B$205,MATCH(B2570,Mitarbeiter!$A$6:$A$205,0)),"?"))</f>
        <v/>
      </c>
      <c r="D2570" s="41" t="n"/>
      <c r="E2570" s="42" t="n"/>
      <c r="F2570" s="43" t="n"/>
      <c r="G2570" s="44">
        <f>IF(OR(B2570="",F2570=""),"",IFERROR(F2570*INDEX(Mitarbeiter!$F$6:$F$205,MATCH(B2570,Mitarbeiter!$A$6:$A$205,0)),0))</f>
        <v/>
      </c>
      <c r="H2570" s="8">
        <f>IF(B2570="","",IF(ISNA(MATCH(B2570,Mitarbeiter!$A$6:$A$205,0)),"Pers.-Nr. unbekannt",IF(A2570="","Datum fehlt",IF(AND(D2570&lt;&gt;Einstellungen!$C$4,D2570&lt;&gt;Einstellungen!$C$5),"Objekt fehlt",IF(YEAR(A2570)&lt;&gt;Einstellungen!$C$3,"anderes Jahr",IF(A2570&lt;INDEX(Mitarbeiter!$C$6:$C$205,MATCH(B2570,Mitarbeiter!$A$6:$A$205,0)),"vor Eintritt",IF(AND(INDEX(Mitarbeiter!$D$6:$D$205,MATCH(B2570,Mitarbeiter!$A$6:$A$205,0))&lt;&gt;"",A2570&gt;INDEX(Mitarbeiter!$D$6:$D$205,MATCH(B2570,Mitarbeiter!$A$6:$A$205,0))),"nach Austritt","ok")))))))</f>
        <v/>
      </c>
    </row>
    <row r="2571">
      <c r="A2571" s="26" t="n"/>
      <c r="B2571" s="24" t="n"/>
      <c r="C2571" s="40">
        <f>IF(B2571="","",IFERROR(INDEX(Mitarbeiter!$B$6:$B$205,MATCH(B2571,Mitarbeiter!$A$6:$A$205,0)),"?"))</f>
        <v/>
      </c>
      <c r="D2571" s="41" t="n"/>
      <c r="E2571" s="42" t="n"/>
      <c r="F2571" s="43" t="n"/>
      <c r="G2571" s="44">
        <f>IF(OR(B2571="",F2571=""),"",IFERROR(F2571*INDEX(Mitarbeiter!$F$6:$F$205,MATCH(B2571,Mitarbeiter!$A$6:$A$205,0)),0))</f>
        <v/>
      </c>
      <c r="H2571" s="8">
        <f>IF(B2571="","",IF(ISNA(MATCH(B2571,Mitarbeiter!$A$6:$A$205,0)),"Pers.-Nr. unbekannt",IF(A2571="","Datum fehlt",IF(AND(D2571&lt;&gt;Einstellungen!$C$4,D2571&lt;&gt;Einstellungen!$C$5),"Objekt fehlt",IF(YEAR(A2571)&lt;&gt;Einstellungen!$C$3,"anderes Jahr",IF(A2571&lt;INDEX(Mitarbeiter!$C$6:$C$205,MATCH(B2571,Mitarbeiter!$A$6:$A$205,0)),"vor Eintritt",IF(AND(INDEX(Mitarbeiter!$D$6:$D$205,MATCH(B2571,Mitarbeiter!$A$6:$A$205,0))&lt;&gt;"",A2571&gt;INDEX(Mitarbeiter!$D$6:$D$205,MATCH(B2571,Mitarbeiter!$A$6:$A$205,0))),"nach Austritt","ok")))))))</f>
        <v/>
      </c>
    </row>
    <row r="2572">
      <c r="A2572" s="26" t="n"/>
      <c r="B2572" s="24" t="n"/>
      <c r="C2572" s="40">
        <f>IF(B2572="","",IFERROR(INDEX(Mitarbeiter!$B$6:$B$205,MATCH(B2572,Mitarbeiter!$A$6:$A$205,0)),"?"))</f>
        <v/>
      </c>
      <c r="D2572" s="41" t="n"/>
      <c r="E2572" s="42" t="n"/>
      <c r="F2572" s="43" t="n"/>
      <c r="G2572" s="44">
        <f>IF(OR(B2572="",F2572=""),"",IFERROR(F2572*INDEX(Mitarbeiter!$F$6:$F$205,MATCH(B2572,Mitarbeiter!$A$6:$A$205,0)),0))</f>
        <v/>
      </c>
      <c r="H2572" s="8">
        <f>IF(B2572="","",IF(ISNA(MATCH(B2572,Mitarbeiter!$A$6:$A$205,0)),"Pers.-Nr. unbekannt",IF(A2572="","Datum fehlt",IF(AND(D2572&lt;&gt;Einstellungen!$C$4,D2572&lt;&gt;Einstellungen!$C$5),"Objekt fehlt",IF(YEAR(A2572)&lt;&gt;Einstellungen!$C$3,"anderes Jahr",IF(A2572&lt;INDEX(Mitarbeiter!$C$6:$C$205,MATCH(B2572,Mitarbeiter!$A$6:$A$205,0)),"vor Eintritt",IF(AND(INDEX(Mitarbeiter!$D$6:$D$205,MATCH(B2572,Mitarbeiter!$A$6:$A$205,0))&lt;&gt;"",A2572&gt;INDEX(Mitarbeiter!$D$6:$D$205,MATCH(B2572,Mitarbeiter!$A$6:$A$205,0))),"nach Austritt","ok")))))))</f>
        <v/>
      </c>
    </row>
    <row r="2573">
      <c r="A2573" s="26" t="n"/>
      <c r="B2573" s="24" t="n"/>
      <c r="C2573" s="40">
        <f>IF(B2573="","",IFERROR(INDEX(Mitarbeiter!$B$6:$B$205,MATCH(B2573,Mitarbeiter!$A$6:$A$205,0)),"?"))</f>
        <v/>
      </c>
      <c r="D2573" s="41" t="n"/>
      <c r="E2573" s="42" t="n"/>
      <c r="F2573" s="43" t="n"/>
      <c r="G2573" s="44">
        <f>IF(OR(B2573="",F2573=""),"",IFERROR(F2573*INDEX(Mitarbeiter!$F$6:$F$205,MATCH(B2573,Mitarbeiter!$A$6:$A$205,0)),0))</f>
        <v/>
      </c>
      <c r="H2573" s="8">
        <f>IF(B2573="","",IF(ISNA(MATCH(B2573,Mitarbeiter!$A$6:$A$205,0)),"Pers.-Nr. unbekannt",IF(A2573="","Datum fehlt",IF(AND(D2573&lt;&gt;Einstellungen!$C$4,D2573&lt;&gt;Einstellungen!$C$5),"Objekt fehlt",IF(YEAR(A2573)&lt;&gt;Einstellungen!$C$3,"anderes Jahr",IF(A2573&lt;INDEX(Mitarbeiter!$C$6:$C$205,MATCH(B2573,Mitarbeiter!$A$6:$A$205,0)),"vor Eintritt",IF(AND(INDEX(Mitarbeiter!$D$6:$D$205,MATCH(B2573,Mitarbeiter!$A$6:$A$205,0))&lt;&gt;"",A2573&gt;INDEX(Mitarbeiter!$D$6:$D$205,MATCH(B2573,Mitarbeiter!$A$6:$A$205,0))),"nach Austritt","ok")))))))</f>
        <v/>
      </c>
    </row>
    <row r="2574">
      <c r="A2574" s="26" t="n"/>
      <c r="B2574" s="24" t="n"/>
      <c r="C2574" s="40">
        <f>IF(B2574="","",IFERROR(INDEX(Mitarbeiter!$B$6:$B$205,MATCH(B2574,Mitarbeiter!$A$6:$A$205,0)),"?"))</f>
        <v/>
      </c>
      <c r="D2574" s="41" t="n"/>
      <c r="E2574" s="42" t="n"/>
      <c r="F2574" s="43" t="n"/>
      <c r="G2574" s="44">
        <f>IF(OR(B2574="",F2574=""),"",IFERROR(F2574*INDEX(Mitarbeiter!$F$6:$F$205,MATCH(B2574,Mitarbeiter!$A$6:$A$205,0)),0))</f>
        <v/>
      </c>
      <c r="H2574" s="8">
        <f>IF(B2574="","",IF(ISNA(MATCH(B2574,Mitarbeiter!$A$6:$A$205,0)),"Pers.-Nr. unbekannt",IF(A2574="","Datum fehlt",IF(AND(D2574&lt;&gt;Einstellungen!$C$4,D2574&lt;&gt;Einstellungen!$C$5),"Objekt fehlt",IF(YEAR(A2574)&lt;&gt;Einstellungen!$C$3,"anderes Jahr",IF(A2574&lt;INDEX(Mitarbeiter!$C$6:$C$205,MATCH(B2574,Mitarbeiter!$A$6:$A$205,0)),"vor Eintritt",IF(AND(INDEX(Mitarbeiter!$D$6:$D$205,MATCH(B2574,Mitarbeiter!$A$6:$A$205,0))&lt;&gt;"",A2574&gt;INDEX(Mitarbeiter!$D$6:$D$205,MATCH(B2574,Mitarbeiter!$A$6:$A$205,0))),"nach Austritt","ok")))))))</f>
        <v/>
      </c>
    </row>
    <row r="2575">
      <c r="A2575" s="26" t="n"/>
      <c r="B2575" s="24" t="n"/>
      <c r="C2575" s="40">
        <f>IF(B2575="","",IFERROR(INDEX(Mitarbeiter!$B$6:$B$205,MATCH(B2575,Mitarbeiter!$A$6:$A$205,0)),"?"))</f>
        <v/>
      </c>
      <c r="D2575" s="41" t="n"/>
      <c r="E2575" s="42" t="n"/>
      <c r="F2575" s="43" t="n"/>
      <c r="G2575" s="44">
        <f>IF(OR(B2575="",F2575=""),"",IFERROR(F2575*INDEX(Mitarbeiter!$F$6:$F$205,MATCH(B2575,Mitarbeiter!$A$6:$A$205,0)),0))</f>
        <v/>
      </c>
      <c r="H2575" s="8">
        <f>IF(B2575="","",IF(ISNA(MATCH(B2575,Mitarbeiter!$A$6:$A$205,0)),"Pers.-Nr. unbekannt",IF(A2575="","Datum fehlt",IF(AND(D2575&lt;&gt;Einstellungen!$C$4,D2575&lt;&gt;Einstellungen!$C$5),"Objekt fehlt",IF(YEAR(A2575)&lt;&gt;Einstellungen!$C$3,"anderes Jahr",IF(A2575&lt;INDEX(Mitarbeiter!$C$6:$C$205,MATCH(B2575,Mitarbeiter!$A$6:$A$205,0)),"vor Eintritt",IF(AND(INDEX(Mitarbeiter!$D$6:$D$205,MATCH(B2575,Mitarbeiter!$A$6:$A$205,0))&lt;&gt;"",A2575&gt;INDEX(Mitarbeiter!$D$6:$D$205,MATCH(B2575,Mitarbeiter!$A$6:$A$205,0))),"nach Austritt","ok")))))))</f>
        <v/>
      </c>
    </row>
    <row r="2576">
      <c r="A2576" s="26" t="n"/>
      <c r="B2576" s="24" t="n"/>
      <c r="C2576" s="40">
        <f>IF(B2576="","",IFERROR(INDEX(Mitarbeiter!$B$6:$B$205,MATCH(B2576,Mitarbeiter!$A$6:$A$205,0)),"?"))</f>
        <v/>
      </c>
      <c r="D2576" s="41" t="n"/>
      <c r="E2576" s="42" t="n"/>
      <c r="F2576" s="43" t="n"/>
      <c r="G2576" s="44">
        <f>IF(OR(B2576="",F2576=""),"",IFERROR(F2576*INDEX(Mitarbeiter!$F$6:$F$205,MATCH(B2576,Mitarbeiter!$A$6:$A$205,0)),0))</f>
        <v/>
      </c>
      <c r="H2576" s="8">
        <f>IF(B2576="","",IF(ISNA(MATCH(B2576,Mitarbeiter!$A$6:$A$205,0)),"Pers.-Nr. unbekannt",IF(A2576="","Datum fehlt",IF(AND(D2576&lt;&gt;Einstellungen!$C$4,D2576&lt;&gt;Einstellungen!$C$5),"Objekt fehlt",IF(YEAR(A2576)&lt;&gt;Einstellungen!$C$3,"anderes Jahr",IF(A2576&lt;INDEX(Mitarbeiter!$C$6:$C$205,MATCH(B2576,Mitarbeiter!$A$6:$A$205,0)),"vor Eintritt",IF(AND(INDEX(Mitarbeiter!$D$6:$D$205,MATCH(B2576,Mitarbeiter!$A$6:$A$205,0))&lt;&gt;"",A2576&gt;INDEX(Mitarbeiter!$D$6:$D$205,MATCH(B2576,Mitarbeiter!$A$6:$A$205,0))),"nach Austritt","ok")))))))</f>
        <v/>
      </c>
    </row>
    <row r="2577">
      <c r="A2577" s="26" t="n"/>
      <c r="B2577" s="24" t="n"/>
      <c r="C2577" s="40">
        <f>IF(B2577="","",IFERROR(INDEX(Mitarbeiter!$B$6:$B$205,MATCH(B2577,Mitarbeiter!$A$6:$A$205,0)),"?"))</f>
        <v/>
      </c>
      <c r="D2577" s="41" t="n"/>
      <c r="E2577" s="42" t="n"/>
      <c r="F2577" s="43" t="n"/>
      <c r="G2577" s="44">
        <f>IF(OR(B2577="",F2577=""),"",IFERROR(F2577*INDEX(Mitarbeiter!$F$6:$F$205,MATCH(B2577,Mitarbeiter!$A$6:$A$205,0)),0))</f>
        <v/>
      </c>
      <c r="H2577" s="8">
        <f>IF(B2577="","",IF(ISNA(MATCH(B2577,Mitarbeiter!$A$6:$A$205,0)),"Pers.-Nr. unbekannt",IF(A2577="","Datum fehlt",IF(AND(D2577&lt;&gt;Einstellungen!$C$4,D2577&lt;&gt;Einstellungen!$C$5),"Objekt fehlt",IF(YEAR(A2577)&lt;&gt;Einstellungen!$C$3,"anderes Jahr",IF(A2577&lt;INDEX(Mitarbeiter!$C$6:$C$205,MATCH(B2577,Mitarbeiter!$A$6:$A$205,0)),"vor Eintritt",IF(AND(INDEX(Mitarbeiter!$D$6:$D$205,MATCH(B2577,Mitarbeiter!$A$6:$A$205,0))&lt;&gt;"",A2577&gt;INDEX(Mitarbeiter!$D$6:$D$205,MATCH(B2577,Mitarbeiter!$A$6:$A$205,0))),"nach Austritt","ok")))))))</f>
        <v/>
      </c>
    </row>
    <row r="2578">
      <c r="A2578" s="26" t="n"/>
      <c r="B2578" s="24" t="n"/>
      <c r="C2578" s="40">
        <f>IF(B2578="","",IFERROR(INDEX(Mitarbeiter!$B$6:$B$205,MATCH(B2578,Mitarbeiter!$A$6:$A$205,0)),"?"))</f>
        <v/>
      </c>
      <c r="D2578" s="41" t="n"/>
      <c r="E2578" s="42" t="n"/>
      <c r="F2578" s="43" t="n"/>
      <c r="G2578" s="44">
        <f>IF(OR(B2578="",F2578=""),"",IFERROR(F2578*INDEX(Mitarbeiter!$F$6:$F$205,MATCH(B2578,Mitarbeiter!$A$6:$A$205,0)),0))</f>
        <v/>
      </c>
      <c r="H2578" s="8">
        <f>IF(B2578="","",IF(ISNA(MATCH(B2578,Mitarbeiter!$A$6:$A$205,0)),"Pers.-Nr. unbekannt",IF(A2578="","Datum fehlt",IF(AND(D2578&lt;&gt;Einstellungen!$C$4,D2578&lt;&gt;Einstellungen!$C$5),"Objekt fehlt",IF(YEAR(A2578)&lt;&gt;Einstellungen!$C$3,"anderes Jahr",IF(A2578&lt;INDEX(Mitarbeiter!$C$6:$C$205,MATCH(B2578,Mitarbeiter!$A$6:$A$205,0)),"vor Eintritt",IF(AND(INDEX(Mitarbeiter!$D$6:$D$205,MATCH(B2578,Mitarbeiter!$A$6:$A$205,0))&lt;&gt;"",A2578&gt;INDEX(Mitarbeiter!$D$6:$D$205,MATCH(B2578,Mitarbeiter!$A$6:$A$205,0))),"nach Austritt","ok")))))))</f>
        <v/>
      </c>
    </row>
    <row r="2579">
      <c r="A2579" s="26" t="n"/>
      <c r="B2579" s="24" t="n"/>
      <c r="C2579" s="40">
        <f>IF(B2579="","",IFERROR(INDEX(Mitarbeiter!$B$6:$B$205,MATCH(B2579,Mitarbeiter!$A$6:$A$205,0)),"?"))</f>
        <v/>
      </c>
      <c r="D2579" s="41" t="n"/>
      <c r="E2579" s="42" t="n"/>
      <c r="F2579" s="43" t="n"/>
      <c r="G2579" s="44">
        <f>IF(OR(B2579="",F2579=""),"",IFERROR(F2579*INDEX(Mitarbeiter!$F$6:$F$205,MATCH(B2579,Mitarbeiter!$A$6:$A$205,0)),0))</f>
        <v/>
      </c>
      <c r="H2579" s="8">
        <f>IF(B2579="","",IF(ISNA(MATCH(B2579,Mitarbeiter!$A$6:$A$205,0)),"Pers.-Nr. unbekannt",IF(A2579="","Datum fehlt",IF(AND(D2579&lt;&gt;Einstellungen!$C$4,D2579&lt;&gt;Einstellungen!$C$5),"Objekt fehlt",IF(YEAR(A2579)&lt;&gt;Einstellungen!$C$3,"anderes Jahr",IF(A2579&lt;INDEX(Mitarbeiter!$C$6:$C$205,MATCH(B2579,Mitarbeiter!$A$6:$A$205,0)),"vor Eintritt",IF(AND(INDEX(Mitarbeiter!$D$6:$D$205,MATCH(B2579,Mitarbeiter!$A$6:$A$205,0))&lt;&gt;"",A2579&gt;INDEX(Mitarbeiter!$D$6:$D$205,MATCH(B2579,Mitarbeiter!$A$6:$A$205,0))),"nach Austritt","ok")))))))</f>
        <v/>
      </c>
    </row>
    <row r="2580">
      <c r="A2580" s="26" t="n"/>
      <c r="B2580" s="24" t="n"/>
      <c r="C2580" s="40">
        <f>IF(B2580="","",IFERROR(INDEX(Mitarbeiter!$B$6:$B$205,MATCH(B2580,Mitarbeiter!$A$6:$A$205,0)),"?"))</f>
        <v/>
      </c>
      <c r="D2580" s="41" t="n"/>
      <c r="E2580" s="42" t="n"/>
      <c r="F2580" s="43" t="n"/>
      <c r="G2580" s="44">
        <f>IF(OR(B2580="",F2580=""),"",IFERROR(F2580*INDEX(Mitarbeiter!$F$6:$F$205,MATCH(B2580,Mitarbeiter!$A$6:$A$205,0)),0))</f>
        <v/>
      </c>
      <c r="H2580" s="8">
        <f>IF(B2580="","",IF(ISNA(MATCH(B2580,Mitarbeiter!$A$6:$A$205,0)),"Pers.-Nr. unbekannt",IF(A2580="","Datum fehlt",IF(AND(D2580&lt;&gt;Einstellungen!$C$4,D2580&lt;&gt;Einstellungen!$C$5),"Objekt fehlt",IF(YEAR(A2580)&lt;&gt;Einstellungen!$C$3,"anderes Jahr",IF(A2580&lt;INDEX(Mitarbeiter!$C$6:$C$205,MATCH(B2580,Mitarbeiter!$A$6:$A$205,0)),"vor Eintritt",IF(AND(INDEX(Mitarbeiter!$D$6:$D$205,MATCH(B2580,Mitarbeiter!$A$6:$A$205,0))&lt;&gt;"",A2580&gt;INDEX(Mitarbeiter!$D$6:$D$205,MATCH(B2580,Mitarbeiter!$A$6:$A$205,0))),"nach Austritt","ok")))))))</f>
        <v/>
      </c>
    </row>
    <row r="2581">
      <c r="A2581" s="26" t="n"/>
      <c r="B2581" s="24" t="n"/>
      <c r="C2581" s="40">
        <f>IF(B2581="","",IFERROR(INDEX(Mitarbeiter!$B$6:$B$205,MATCH(B2581,Mitarbeiter!$A$6:$A$205,0)),"?"))</f>
        <v/>
      </c>
      <c r="D2581" s="41" t="n"/>
      <c r="E2581" s="42" t="n"/>
      <c r="F2581" s="43" t="n"/>
      <c r="G2581" s="44">
        <f>IF(OR(B2581="",F2581=""),"",IFERROR(F2581*INDEX(Mitarbeiter!$F$6:$F$205,MATCH(B2581,Mitarbeiter!$A$6:$A$205,0)),0))</f>
        <v/>
      </c>
      <c r="H2581" s="8">
        <f>IF(B2581="","",IF(ISNA(MATCH(B2581,Mitarbeiter!$A$6:$A$205,0)),"Pers.-Nr. unbekannt",IF(A2581="","Datum fehlt",IF(AND(D2581&lt;&gt;Einstellungen!$C$4,D2581&lt;&gt;Einstellungen!$C$5),"Objekt fehlt",IF(YEAR(A2581)&lt;&gt;Einstellungen!$C$3,"anderes Jahr",IF(A2581&lt;INDEX(Mitarbeiter!$C$6:$C$205,MATCH(B2581,Mitarbeiter!$A$6:$A$205,0)),"vor Eintritt",IF(AND(INDEX(Mitarbeiter!$D$6:$D$205,MATCH(B2581,Mitarbeiter!$A$6:$A$205,0))&lt;&gt;"",A2581&gt;INDEX(Mitarbeiter!$D$6:$D$205,MATCH(B2581,Mitarbeiter!$A$6:$A$205,0))),"nach Austritt","ok")))))))</f>
        <v/>
      </c>
    </row>
    <row r="2582">
      <c r="A2582" s="26" t="n"/>
      <c r="B2582" s="24" t="n"/>
      <c r="C2582" s="40">
        <f>IF(B2582="","",IFERROR(INDEX(Mitarbeiter!$B$6:$B$205,MATCH(B2582,Mitarbeiter!$A$6:$A$205,0)),"?"))</f>
        <v/>
      </c>
      <c r="D2582" s="41" t="n"/>
      <c r="E2582" s="42" t="n"/>
      <c r="F2582" s="43" t="n"/>
      <c r="G2582" s="44">
        <f>IF(OR(B2582="",F2582=""),"",IFERROR(F2582*INDEX(Mitarbeiter!$F$6:$F$205,MATCH(B2582,Mitarbeiter!$A$6:$A$205,0)),0))</f>
        <v/>
      </c>
      <c r="H2582" s="8">
        <f>IF(B2582="","",IF(ISNA(MATCH(B2582,Mitarbeiter!$A$6:$A$205,0)),"Pers.-Nr. unbekannt",IF(A2582="","Datum fehlt",IF(AND(D2582&lt;&gt;Einstellungen!$C$4,D2582&lt;&gt;Einstellungen!$C$5),"Objekt fehlt",IF(YEAR(A2582)&lt;&gt;Einstellungen!$C$3,"anderes Jahr",IF(A2582&lt;INDEX(Mitarbeiter!$C$6:$C$205,MATCH(B2582,Mitarbeiter!$A$6:$A$205,0)),"vor Eintritt",IF(AND(INDEX(Mitarbeiter!$D$6:$D$205,MATCH(B2582,Mitarbeiter!$A$6:$A$205,0))&lt;&gt;"",A2582&gt;INDEX(Mitarbeiter!$D$6:$D$205,MATCH(B2582,Mitarbeiter!$A$6:$A$205,0))),"nach Austritt","ok")))))))</f>
        <v/>
      </c>
    </row>
    <row r="2583">
      <c r="A2583" s="26" t="n"/>
      <c r="B2583" s="24" t="n"/>
      <c r="C2583" s="40">
        <f>IF(B2583="","",IFERROR(INDEX(Mitarbeiter!$B$6:$B$205,MATCH(B2583,Mitarbeiter!$A$6:$A$205,0)),"?"))</f>
        <v/>
      </c>
      <c r="D2583" s="41" t="n"/>
      <c r="E2583" s="42" t="n"/>
      <c r="F2583" s="43" t="n"/>
      <c r="G2583" s="44">
        <f>IF(OR(B2583="",F2583=""),"",IFERROR(F2583*INDEX(Mitarbeiter!$F$6:$F$205,MATCH(B2583,Mitarbeiter!$A$6:$A$205,0)),0))</f>
        <v/>
      </c>
      <c r="H2583" s="8">
        <f>IF(B2583="","",IF(ISNA(MATCH(B2583,Mitarbeiter!$A$6:$A$205,0)),"Pers.-Nr. unbekannt",IF(A2583="","Datum fehlt",IF(AND(D2583&lt;&gt;Einstellungen!$C$4,D2583&lt;&gt;Einstellungen!$C$5),"Objekt fehlt",IF(YEAR(A2583)&lt;&gt;Einstellungen!$C$3,"anderes Jahr",IF(A2583&lt;INDEX(Mitarbeiter!$C$6:$C$205,MATCH(B2583,Mitarbeiter!$A$6:$A$205,0)),"vor Eintritt",IF(AND(INDEX(Mitarbeiter!$D$6:$D$205,MATCH(B2583,Mitarbeiter!$A$6:$A$205,0))&lt;&gt;"",A2583&gt;INDEX(Mitarbeiter!$D$6:$D$205,MATCH(B2583,Mitarbeiter!$A$6:$A$205,0))),"nach Austritt","ok")))))))</f>
        <v/>
      </c>
    </row>
    <row r="2584">
      <c r="A2584" s="26" t="n"/>
      <c r="B2584" s="24" t="n"/>
      <c r="C2584" s="40">
        <f>IF(B2584="","",IFERROR(INDEX(Mitarbeiter!$B$6:$B$205,MATCH(B2584,Mitarbeiter!$A$6:$A$205,0)),"?"))</f>
        <v/>
      </c>
      <c r="D2584" s="41" t="n"/>
      <c r="E2584" s="42" t="n"/>
      <c r="F2584" s="43" t="n"/>
      <c r="G2584" s="44">
        <f>IF(OR(B2584="",F2584=""),"",IFERROR(F2584*INDEX(Mitarbeiter!$F$6:$F$205,MATCH(B2584,Mitarbeiter!$A$6:$A$205,0)),0))</f>
        <v/>
      </c>
      <c r="H2584" s="8">
        <f>IF(B2584="","",IF(ISNA(MATCH(B2584,Mitarbeiter!$A$6:$A$205,0)),"Pers.-Nr. unbekannt",IF(A2584="","Datum fehlt",IF(AND(D2584&lt;&gt;Einstellungen!$C$4,D2584&lt;&gt;Einstellungen!$C$5),"Objekt fehlt",IF(YEAR(A2584)&lt;&gt;Einstellungen!$C$3,"anderes Jahr",IF(A2584&lt;INDEX(Mitarbeiter!$C$6:$C$205,MATCH(B2584,Mitarbeiter!$A$6:$A$205,0)),"vor Eintritt",IF(AND(INDEX(Mitarbeiter!$D$6:$D$205,MATCH(B2584,Mitarbeiter!$A$6:$A$205,0))&lt;&gt;"",A2584&gt;INDEX(Mitarbeiter!$D$6:$D$205,MATCH(B2584,Mitarbeiter!$A$6:$A$205,0))),"nach Austritt","ok")))))))</f>
        <v/>
      </c>
    </row>
    <row r="2585">
      <c r="A2585" s="26" t="n"/>
      <c r="B2585" s="24" t="n"/>
      <c r="C2585" s="40">
        <f>IF(B2585="","",IFERROR(INDEX(Mitarbeiter!$B$6:$B$205,MATCH(B2585,Mitarbeiter!$A$6:$A$205,0)),"?"))</f>
        <v/>
      </c>
      <c r="D2585" s="41" t="n"/>
      <c r="E2585" s="42" t="n"/>
      <c r="F2585" s="43" t="n"/>
      <c r="G2585" s="44">
        <f>IF(OR(B2585="",F2585=""),"",IFERROR(F2585*INDEX(Mitarbeiter!$F$6:$F$205,MATCH(B2585,Mitarbeiter!$A$6:$A$205,0)),0))</f>
        <v/>
      </c>
      <c r="H2585" s="8">
        <f>IF(B2585="","",IF(ISNA(MATCH(B2585,Mitarbeiter!$A$6:$A$205,0)),"Pers.-Nr. unbekannt",IF(A2585="","Datum fehlt",IF(AND(D2585&lt;&gt;Einstellungen!$C$4,D2585&lt;&gt;Einstellungen!$C$5),"Objekt fehlt",IF(YEAR(A2585)&lt;&gt;Einstellungen!$C$3,"anderes Jahr",IF(A2585&lt;INDEX(Mitarbeiter!$C$6:$C$205,MATCH(B2585,Mitarbeiter!$A$6:$A$205,0)),"vor Eintritt",IF(AND(INDEX(Mitarbeiter!$D$6:$D$205,MATCH(B2585,Mitarbeiter!$A$6:$A$205,0))&lt;&gt;"",A2585&gt;INDEX(Mitarbeiter!$D$6:$D$205,MATCH(B2585,Mitarbeiter!$A$6:$A$205,0))),"nach Austritt","ok")))))))</f>
        <v/>
      </c>
    </row>
    <row r="2586">
      <c r="A2586" s="26" t="n"/>
      <c r="B2586" s="24" t="n"/>
      <c r="C2586" s="40">
        <f>IF(B2586="","",IFERROR(INDEX(Mitarbeiter!$B$6:$B$205,MATCH(B2586,Mitarbeiter!$A$6:$A$205,0)),"?"))</f>
        <v/>
      </c>
      <c r="D2586" s="41" t="n"/>
      <c r="E2586" s="42" t="n"/>
      <c r="F2586" s="43" t="n"/>
      <c r="G2586" s="44">
        <f>IF(OR(B2586="",F2586=""),"",IFERROR(F2586*INDEX(Mitarbeiter!$F$6:$F$205,MATCH(B2586,Mitarbeiter!$A$6:$A$205,0)),0))</f>
        <v/>
      </c>
      <c r="H2586" s="8">
        <f>IF(B2586="","",IF(ISNA(MATCH(B2586,Mitarbeiter!$A$6:$A$205,0)),"Pers.-Nr. unbekannt",IF(A2586="","Datum fehlt",IF(AND(D2586&lt;&gt;Einstellungen!$C$4,D2586&lt;&gt;Einstellungen!$C$5),"Objekt fehlt",IF(YEAR(A2586)&lt;&gt;Einstellungen!$C$3,"anderes Jahr",IF(A2586&lt;INDEX(Mitarbeiter!$C$6:$C$205,MATCH(B2586,Mitarbeiter!$A$6:$A$205,0)),"vor Eintritt",IF(AND(INDEX(Mitarbeiter!$D$6:$D$205,MATCH(B2586,Mitarbeiter!$A$6:$A$205,0))&lt;&gt;"",A2586&gt;INDEX(Mitarbeiter!$D$6:$D$205,MATCH(B2586,Mitarbeiter!$A$6:$A$205,0))),"nach Austritt","ok")))))))</f>
        <v/>
      </c>
    </row>
    <row r="2587">
      <c r="A2587" s="26" t="n"/>
      <c r="B2587" s="24" t="n"/>
      <c r="C2587" s="40">
        <f>IF(B2587="","",IFERROR(INDEX(Mitarbeiter!$B$6:$B$205,MATCH(B2587,Mitarbeiter!$A$6:$A$205,0)),"?"))</f>
        <v/>
      </c>
      <c r="D2587" s="41" t="n"/>
      <c r="E2587" s="42" t="n"/>
      <c r="F2587" s="43" t="n"/>
      <c r="G2587" s="44">
        <f>IF(OR(B2587="",F2587=""),"",IFERROR(F2587*INDEX(Mitarbeiter!$F$6:$F$205,MATCH(B2587,Mitarbeiter!$A$6:$A$205,0)),0))</f>
        <v/>
      </c>
      <c r="H2587" s="8">
        <f>IF(B2587="","",IF(ISNA(MATCH(B2587,Mitarbeiter!$A$6:$A$205,0)),"Pers.-Nr. unbekannt",IF(A2587="","Datum fehlt",IF(AND(D2587&lt;&gt;Einstellungen!$C$4,D2587&lt;&gt;Einstellungen!$C$5),"Objekt fehlt",IF(YEAR(A2587)&lt;&gt;Einstellungen!$C$3,"anderes Jahr",IF(A2587&lt;INDEX(Mitarbeiter!$C$6:$C$205,MATCH(B2587,Mitarbeiter!$A$6:$A$205,0)),"vor Eintritt",IF(AND(INDEX(Mitarbeiter!$D$6:$D$205,MATCH(B2587,Mitarbeiter!$A$6:$A$205,0))&lt;&gt;"",A2587&gt;INDEX(Mitarbeiter!$D$6:$D$205,MATCH(B2587,Mitarbeiter!$A$6:$A$205,0))),"nach Austritt","ok")))))))</f>
        <v/>
      </c>
    </row>
    <row r="2588">
      <c r="A2588" s="26" t="n"/>
      <c r="B2588" s="24" t="n"/>
      <c r="C2588" s="40">
        <f>IF(B2588="","",IFERROR(INDEX(Mitarbeiter!$B$6:$B$205,MATCH(B2588,Mitarbeiter!$A$6:$A$205,0)),"?"))</f>
        <v/>
      </c>
      <c r="D2588" s="41" t="n"/>
      <c r="E2588" s="42" t="n"/>
      <c r="F2588" s="43" t="n"/>
      <c r="G2588" s="44">
        <f>IF(OR(B2588="",F2588=""),"",IFERROR(F2588*INDEX(Mitarbeiter!$F$6:$F$205,MATCH(B2588,Mitarbeiter!$A$6:$A$205,0)),0))</f>
        <v/>
      </c>
      <c r="H2588" s="8">
        <f>IF(B2588="","",IF(ISNA(MATCH(B2588,Mitarbeiter!$A$6:$A$205,0)),"Pers.-Nr. unbekannt",IF(A2588="","Datum fehlt",IF(AND(D2588&lt;&gt;Einstellungen!$C$4,D2588&lt;&gt;Einstellungen!$C$5),"Objekt fehlt",IF(YEAR(A2588)&lt;&gt;Einstellungen!$C$3,"anderes Jahr",IF(A2588&lt;INDEX(Mitarbeiter!$C$6:$C$205,MATCH(B2588,Mitarbeiter!$A$6:$A$205,0)),"vor Eintritt",IF(AND(INDEX(Mitarbeiter!$D$6:$D$205,MATCH(B2588,Mitarbeiter!$A$6:$A$205,0))&lt;&gt;"",A2588&gt;INDEX(Mitarbeiter!$D$6:$D$205,MATCH(B2588,Mitarbeiter!$A$6:$A$205,0))),"nach Austritt","ok")))))))</f>
        <v/>
      </c>
    </row>
    <row r="2589">
      <c r="A2589" s="26" t="n"/>
      <c r="B2589" s="24" t="n"/>
      <c r="C2589" s="40">
        <f>IF(B2589="","",IFERROR(INDEX(Mitarbeiter!$B$6:$B$205,MATCH(B2589,Mitarbeiter!$A$6:$A$205,0)),"?"))</f>
        <v/>
      </c>
      <c r="D2589" s="41" t="n"/>
      <c r="E2589" s="42" t="n"/>
      <c r="F2589" s="43" t="n"/>
      <c r="G2589" s="44">
        <f>IF(OR(B2589="",F2589=""),"",IFERROR(F2589*INDEX(Mitarbeiter!$F$6:$F$205,MATCH(B2589,Mitarbeiter!$A$6:$A$205,0)),0))</f>
        <v/>
      </c>
      <c r="H2589" s="8">
        <f>IF(B2589="","",IF(ISNA(MATCH(B2589,Mitarbeiter!$A$6:$A$205,0)),"Pers.-Nr. unbekannt",IF(A2589="","Datum fehlt",IF(AND(D2589&lt;&gt;Einstellungen!$C$4,D2589&lt;&gt;Einstellungen!$C$5),"Objekt fehlt",IF(YEAR(A2589)&lt;&gt;Einstellungen!$C$3,"anderes Jahr",IF(A2589&lt;INDEX(Mitarbeiter!$C$6:$C$205,MATCH(B2589,Mitarbeiter!$A$6:$A$205,0)),"vor Eintritt",IF(AND(INDEX(Mitarbeiter!$D$6:$D$205,MATCH(B2589,Mitarbeiter!$A$6:$A$205,0))&lt;&gt;"",A2589&gt;INDEX(Mitarbeiter!$D$6:$D$205,MATCH(B2589,Mitarbeiter!$A$6:$A$205,0))),"nach Austritt","ok")))))))</f>
        <v/>
      </c>
    </row>
    <row r="2590">
      <c r="A2590" s="26" t="n"/>
      <c r="B2590" s="24" t="n"/>
      <c r="C2590" s="40">
        <f>IF(B2590="","",IFERROR(INDEX(Mitarbeiter!$B$6:$B$205,MATCH(B2590,Mitarbeiter!$A$6:$A$205,0)),"?"))</f>
        <v/>
      </c>
      <c r="D2590" s="41" t="n"/>
      <c r="E2590" s="42" t="n"/>
      <c r="F2590" s="43" t="n"/>
      <c r="G2590" s="44">
        <f>IF(OR(B2590="",F2590=""),"",IFERROR(F2590*INDEX(Mitarbeiter!$F$6:$F$205,MATCH(B2590,Mitarbeiter!$A$6:$A$205,0)),0))</f>
        <v/>
      </c>
      <c r="H2590" s="8">
        <f>IF(B2590="","",IF(ISNA(MATCH(B2590,Mitarbeiter!$A$6:$A$205,0)),"Pers.-Nr. unbekannt",IF(A2590="","Datum fehlt",IF(AND(D2590&lt;&gt;Einstellungen!$C$4,D2590&lt;&gt;Einstellungen!$C$5),"Objekt fehlt",IF(YEAR(A2590)&lt;&gt;Einstellungen!$C$3,"anderes Jahr",IF(A2590&lt;INDEX(Mitarbeiter!$C$6:$C$205,MATCH(B2590,Mitarbeiter!$A$6:$A$205,0)),"vor Eintritt",IF(AND(INDEX(Mitarbeiter!$D$6:$D$205,MATCH(B2590,Mitarbeiter!$A$6:$A$205,0))&lt;&gt;"",A2590&gt;INDEX(Mitarbeiter!$D$6:$D$205,MATCH(B2590,Mitarbeiter!$A$6:$A$205,0))),"nach Austritt","ok")))))))</f>
        <v/>
      </c>
    </row>
    <row r="2591">
      <c r="A2591" s="26" t="n"/>
      <c r="B2591" s="24" t="n"/>
      <c r="C2591" s="40">
        <f>IF(B2591="","",IFERROR(INDEX(Mitarbeiter!$B$6:$B$205,MATCH(B2591,Mitarbeiter!$A$6:$A$205,0)),"?"))</f>
        <v/>
      </c>
      <c r="D2591" s="41" t="n"/>
      <c r="E2591" s="42" t="n"/>
      <c r="F2591" s="43" t="n"/>
      <c r="G2591" s="44">
        <f>IF(OR(B2591="",F2591=""),"",IFERROR(F2591*INDEX(Mitarbeiter!$F$6:$F$205,MATCH(B2591,Mitarbeiter!$A$6:$A$205,0)),0))</f>
        <v/>
      </c>
      <c r="H2591" s="8">
        <f>IF(B2591="","",IF(ISNA(MATCH(B2591,Mitarbeiter!$A$6:$A$205,0)),"Pers.-Nr. unbekannt",IF(A2591="","Datum fehlt",IF(AND(D2591&lt;&gt;Einstellungen!$C$4,D2591&lt;&gt;Einstellungen!$C$5),"Objekt fehlt",IF(YEAR(A2591)&lt;&gt;Einstellungen!$C$3,"anderes Jahr",IF(A2591&lt;INDEX(Mitarbeiter!$C$6:$C$205,MATCH(B2591,Mitarbeiter!$A$6:$A$205,0)),"vor Eintritt",IF(AND(INDEX(Mitarbeiter!$D$6:$D$205,MATCH(B2591,Mitarbeiter!$A$6:$A$205,0))&lt;&gt;"",A2591&gt;INDEX(Mitarbeiter!$D$6:$D$205,MATCH(B2591,Mitarbeiter!$A$6:$A$205,0))),"nach Austritt","ok")))))))</f>
        <v/>
      </c>
    </row>
    <row r="2592">
      <c r="A2592" s="26" t="n"/>
      <c r="B2592" s="24" t="n"/>
      <c r="C2592" s="40">
        <f>IF(B2592="","",IFERROR(INDEX(Mitarbeiter!$B$6:$B$205,MATCH(B2592,Mitarbeiter!$A$6:$A$205,0)),"?"))</f>
        <v/>
      </c>
      <c r="D2592" s="41" t="n"/>
      <c r="E2592" s="42" t="n"/>
      <c r="F2592" s="43" t="n"/>
      <c r="G2592" s="44">
        <f>IF(OR(B2592="",F2592=""),"",IFERROR(F2592*INDEX(Mitarbeiter!$F$6:$F$205,MATCH(B2592,Mitarbeiter!$A$6:$A$205,0)),0))</f>
        <v/>
      </c>
      <c r="H2592" s="8">
        <f>IF(B2592="","",IF(ISNA(MATCH(B2592,Mitarbeiter!$A$6:$A$205,0)),"Pers.-Nr. unbekannt",IF(A2592="","Datum fehlt",IF(AND(D2592&lt;&gt;Einstellungen!$C$4,D2592&lt;&gt;Einstellungen!$C$5),"Objekt fehlt",IF(YEAR(A2592)&lt;&gt;Einstellungen!$C$3,"anderes Jahr",IF(A2592&lt;INDEX(Mitarbeiter!$C$6:$C$205,MATCH(B2592,Mitarbeiter!$A$6:$A$205,0)),"vor Eintritt",IF(AND(INDEX(Mitarbeiter!$D$6:$D$205,MATCH(B2592,Mitarbeiter!$A$6:$A$205,0))&lt;&gt;"",A2592&gt;INDEX(Mitarbeiter!$D$6:$D$205,MATCH(B2592,Mitarbeiter!$A$6:$A$205,0))),"nach Austritt","ok")))))))</f>
        <v/>
      </c>
    </row>
    <row r="2593">
      <c r="A2593" s="26" t="n"/>
      <c r="B2593" s="24" t="n"/>
      <c r="C2593" s="40">
        <f>IF(B2593="","",IFERROR(INDEX(Mitarbeiter!$B$6:$B$205,MATCH(B2593,Mitarbeiter!$A$6:$A$205,0)),"?"))</f>
        <v/>
      </c>
      <c r="D2593" s="41" t="n"/>
      <c r="E2593" s="42" t="n"/>
      <c r="F2593" s="43" t="n"/>
      <c r="G2593" s="44">
        <f>IF(OR(B2593="",F2593=""),"",IFERROR(F2593*INDEX(Mitarbeiter!$F$6:$F$205,MATCH(B2593,Mitarbeiter!$A$6:$A$205,0)),0))</f>
        <v/>
      </c>
      <c r="H2593" s="8">
        <f>IF(B2593="","",IF(ISNA(MATCH(B2593,Mitarbeiter!$A$6:$A$205,0)),"Pers.-Nr. unbekannt",IF(A2593="","Datum fehlt",IF(AND(D2593&lt;&gt;Einstellungen!$C$4,D2593&lt;&gt;Einstellungen!$C$5),"Objekt fehlt",IF(YEAR(A2593)&lt;&gt;Einstellungen!$C$3,"anderes Jahr",IF(A2593&lt;INDEX(Mitarbeiter!$C$6:$C$205,MATCH(B2593,Mitarbeiter!$A$6:$A$205,0)),"vor Eintritt",IF(AND(INDEX(Mitarbeiter!$D$6:$D$205,MATCH(B2593,Mitarbeiter!$A$6:$A$205,0))&lt;&gt;"",A2593&gt;INDEX(Mitarbeiter!$D$6:$D$205,MATCH(B2593,Mitarbeiter!$A$6:$A$205,0))),"nach Austritt","ok")))))))</f>
        <v/>
      </c>
    </row>
    <row r="2594">
      <c r="A2594" s="26" t="n"/>
      <c r="B2594" s="24" t="n"/>
      <c r="C2594" s="40">
        <f>IF(B2594="","",IFERROR(INDEX(Mitarbeiter!$B$6:$B$205,MATCH(B2594,Mitarbeiter!$A$6:$A$205,0)),"?"))</f>
        <v/>
      </c>
      <c r="D2594" s="41" t="n"/>
      <c r="E2594" s="42" t="n"/>
      <c r="F2594" s="43" t="n"/>
      <c r="G2594" s="44">
        <f>IF(OR(B2594="",F2594=""),"",IFERROR(F2594*INDEX(Mitarbeiter!$F$6:$F$205,MATCH(B2594,Mitarbeiter!$A$6:$A$205,0)),0))</f>
        <v/>
      </c>
      <c r="H2594" s="8">
        <f>IF(B2594="","",IF(ISNA(MATCH(B2594,Mitarbeiter!$A$6:$A$205,0)),"Pers.-Nr. unbekannt",IF(A2594="","Datum fehlt",IF(AND(D2594&lt;&gt;Einstellungen!$C$4,D2594&lt;&gt;Einstellungen!$C$5),"Objekt fehlt",IF(YEAR(A2594)&lt;&gt;Einstellungen!$C$3,"anderes Jahr",IF(A2594&lt;INDEX(Mitarbeiter!$C$6:$C$205,MATCH(B2594,Mitarbeiter!$A$6:$A$205,0)),"vor Eintritt",IF(AND(INDEX(Mitarbeiter!$D$6:$D$205,MATCH(B2594,Mitarbeiter!$A$6:$A$205,0))&lt;&gt;"",A2594&gt;INDEX(Mitarbeiter!$D$6:$D$205,MATCH(B2594,Mitarbeiter!$A$6:$A$205,0))),"nach Austritt","ok")))))))</f>
        <v/>
      </c>
    </row>
    <row r="2595">
      <c r="A2595" s="26" t="n"/>
      <c r="B2595" s="24" t="n"/>
      <c r="C2595" s="40">
        <f>IF(B2595="","",IFERROR(INDEX(Mitarbeiter!$B$6:$B$205,MATCH(B2595,Mitarbeiter!$A$6:$A$205,0)),"?"))</f>
        <v/>
      </c>
      <c r="D2595" s="41" t="n"/>
      <c r="E2595" s="42" t="n"/>
      <c r="F2595" s="43" t="n"/>
      <c r="G2595" s="44">
        <f>IF(OR(B2595="",F2595=""),"",IFERROR(F2595*INDEX(Mitarbeiter!$F$6:$F$205,MATCH(B2595,Mitarbeiter!$A$6:$A$205,0)),0))</f>
        <v/>
      </c>
      <c r="H2595" s="8">
        <f>IF(B2595="","",IF(ISNA(MATCH(B2595,Mitarbeiter!$A$6:$A$205,0)),"Pers.-Nr. unbekannt",IF(A2595="","Datum fehlt",IF(AND(D2595&lt;&gt;Einstellungen!$C$4,D2595&lt;&gt;Einstellungen!$C$5),"Objekt fehlt",IF(YEAR(A2595)&lt;&gt;Einstellungen!$C$3,"anderes Jahr",IF(A2595&lt;INDEX(Mitarbeiter!$C$6:$C$205,MATCH(B2595,Mitarbeiter!$A$6:$A$205,0)),"vor Eintritt",IF(AND(INDEX(Mitarbeiter!$D$6:$D$205,MATCH(B2595,Mitarbeiter!$A$6:$A$205,0))&lt;&gt;"",A2595&gt;INDEX(Mitarbeiter!$D$6:$D$205,MATCH(B2595,Mitarbeiter!$A$6:$A$205,0))),"nach Austritt","ok")))))))</f>
        <v/>
      </c>
    </row>
    <row r="2596">
      <c r="A2596" s="26" t="n"/>
      <c r="B2596" s="24" t="n"/>
      <c r="C2596" s="40">
        <f>IF(B2596="","",IFERROR(INDEX(Mitarbeiter!$B$6:$B$205,MATCH(B2596,Mitarbeiter!$A$6:$A$205,0)),"?"))</f>
        <v/>
      </c>
      <c r="D2596" s="41" t="n"/>
      <c r="E2596" s="42" t="n"/>
      <c r="F2596" s="43" t="n"/>
      <c r="G2596" s="44">
        <f>IF(OR(B2596="",F2596=""),"",IFERROR(F2596*INDEX(Mitarbeiter!$F$6:$F$205,MATCH(B2596,Mitarbeiter!$A$6:$A$205,0)),0))</f>
        <v/>
      </c>
      <c r="H2596" s="8">
        <f>IF(B2596="","",IF(ISNA(MATCH(B2596,Mitarbeiter!$A$6:$A$205,0)),"Pers.-Nr. unbekannt",IF(A2596="","Datum fehlt",IF(AND(D2596&lt;&gt;Einstellungen!$C$4,D2596&lt;&gt;Einstellungen!$C$5),"Objekt fehlt",IF(YEAR(A2596)&lt;&gt;Einstellungen!$C$3,"anderes Jahr",IF(A2596&lt;INDEX(Mitarbeiter!$C$6:$C$205,MATCH(B2596,Mitarbeiter!$A$6:$A$205,0)),"vor Eintritt",IF(AND(INDEX(Mitarbeiter!$D$6:$D$205,MATCH(B2596,Mitarbeiter!$A$6:$A$205,0))&lt;&gt;"",A2596&gt;INDEX(Mitarbeiter!$D$6:$D$205,MATCH(B2596,Mitarbeiter!$A$6:$A$205,0))),"nach Austritt","ok")))))))</f>
        <v/>
      </c>
    </row>
    <row r="2597">
      <c r="A2597" s="26" t="n"/>
      <c r="B2597" s="24" t="n"/>
      <c r="C2597" s="40">
        <f>IF(B2597="","",IFERROR(INDEX(Mitarbeiter!$B$6:$B$205,MATCH(B2597,Mitarbeiter!$A$6:$A$205,0)),"?"))</f>
        <v/>
      </c>
      <c r="D2597" s="41" t="n"/>
      <c r="E2597" s="42" t="n"/>
      <c r="F2597" s="43" t="n"/>
      <c r="G2597" s="44">
        <f>IF(OR(B2597="",F2597=""),"",IFERROR(F2597*INDEX(Mitarbeiter!$F$6:$F$205,MATCH(B2597,Mitarbeiter!$A$6:$A$205,0)),0))</f>
        <v/>
      </c>
      <c r="H2597" s="8">
        <f>IF(B2597="","",IF(ISNA(MATCH(B2597,Mitarbeiter!$A$6:$A$205,0)),"Pers.-Nr. unbekannt",IF(A2597="","Datum fehlt",IF(AND(D2597&lt;&gt;Einstellungen!$C$4,D2597&lt;&gt;Einstellungen!$C$5),"Objekt fehlt",IF(YEAR(A2597)&lt;&gt;Einstellungen!$C$3,"anderes Jahr",IF(A2597&lt;INDEX(Mitarbeiter!$C$6:$C$205,MATCH(B2597,Mitarbeiter!$A$6:$A$205,0)),"vor Eintritt",IF(AND(INDEX(Mitarbeiter!$D$6:$D$205,MATCH(B2597,Mitarbeiter!$A$6:$A$205,0))&lt;&gt;"",A2597&gt;INDEX(Mitarbeiter!$D$6:$D$205,MATCH(B2597,Mitarbeiter!$A$6:$A$205,0))),"nach Austritt","ok")))))))</f>
        <v/>
      </c>
    </row>
    <row r="2598">
      <c r="A2598" s="26" t="n"/>
      <c r="B2598" s="24" t="n"/>
      <c r="C2598" s="40">
        <f>IF(B2598="","",IFERROR(INDEX(Mitarbeiter!$B$6:$B$205,MATCH(B2598,Mitarbeiter!$A$6:$A$205,0)),"?"))</f>
        <v/>
      </c>
      <c r="D2598" s="41" t="n"/>
      <c r="E2598" s="42" t="n"/>
      <c r="F2598" s="43" t="n"/>
      <c r="G2598" s="44">
        <f>IF(OR(B2598="",F2598=""),"",IFERROR(F2598*INDEX(Mitarbeiter!$F$6:$F$205,MATCH(B2598,Mitarbeiter!$A$6:$A$205,0)),0))</f>
        <v/>
      </c>
      <c r="H2598" s="8">
        <f>IF(B2598="","",IF(ISNA(MATCH(B2598,Mitarbeiter!$A$6:$A$205,0)),"Pers.-Nr. unbekannt",IF(A2598="","Datum fehlt",IF(AND(D2598&lt;&gt;Einstellungen!$C$4,D2598&lt;&gt;Einstellungen!$C$5),"Objekt fehlt",IF(YEAR(A2598)&lt;&gt;Einstellungen!$C$3,"anderes Jahr",IF(A2598&lt;INDEX(Mitarbeiter!$C$6:$C$205,MATCH(B2598,Mitarbeiter!$A$6:$A$205,0)),"vor Eintritt",IF(AND(INDEX(Mitarbeiter!$D$6:$D$205,MATCH(B2598,Mitarbeiter!$A$6:$A$205,0))&lt;&gt;"",A2598&gt;INDEX(Mitarbeiter!$D$6:$D$205,MATCH(B2598,Mitarbeiter!$A$6:$A$205,0))),"nach Austritt","ok")))))))</f>
        <v/>
      </c>
    </row>
    <row r="2599">
      <c r="A2599" s="26" t="n"/>
      <c r="B2599" s="24" t="n"/>
      <c r="C2599" s="40">
        <f>IF(B2599="","",IFERROR(INDEX(Mitarbeiter!$B$6:$B$205,MATCH(B2599,Mitarbeiter!$A$6:$A$205,0)),"?"))</f>
        <v/>
      </c>
      <c r="D2599" s="41" t="n"/>
      <c r="E2599" s="42" t="n"/>
      <c r="F2599" s="43" t="n"/>
      <c r="G2599" s="44">
        <f>IF(OR(B2599="",F2599=""),"",IFERROR(F2599*INDEX(Mitarbeiter!$F$6:$F$205,MATCH(B2599,Mitarbeiter!$A$6:$A$205,0)),0))</f>
        <v/>
      </c>
      <c r="H2599" s="8">
        <f>IF(B2599="","",IF(ISNA(MATCH(B2599,Mitarbeiter!$A$6:$A$205,0)),"Pers.-Nr. unbekannt",IF(A2599="","Datum fehlt",IF(AND(D2599&lt;&gt;Einstellungen!$C$4,D2599&lt;&gt;Einstellungen!$C$5),"Objekt fehlt",IF(YEAR(A2599)&lt;&gt;Einstellungen!$C$3,"anderes Jahr",IF(A2599&lt;INDEX(Mitarbeiter!$C$6:$C$205,MATCH(B2599,Mitarbeiter!$A$6:$A$205,0)),"vor Eintritt",IF(AND(INDEX(Mitarbeiter!$D$6:$D$205,MATCH(B2599,Mitarbeiter!$A$6:$A$205,0))&lt;&gt;"",A2599&gt;INDEX(Mitarbeiter!$D$6:$D$205,MATCH(B2599,Mitarbeiter!$A$6:$A$205,0))),"nach Austritt","ok")))))))</f>
        <v/>
      </c>
    </row>
    <row r="2600">
      <c r="A2600" s="26" t="n"/>
      <c r="B2600" s="24" t="n"/>
      <c r="C2600" s="40">
        <f>IF(B2600="","",IFERROR(INDEX(Mitarbeiter!$B$6:$B$205,MATCH(B2600,Mitarbeiter!$A$6:$A$205,0)),"?"))</f>
        <v/>
      </c>
      <c r="D2600" s="41" t="n"/>
      <c r="E2600" s="42" t="n"/>
      <c r="F2600" s="43" t="n"/>
      <c r="G2600" s="44">
        <f>IF(OR(B2600="",F2600=""),"",IFERROR(F2600*INDEX(Mitarbeiter!$F$6:$F$205,MATCH(B2600,Mitarbeiter!$A$6:$A$205,0)),0))</f>
        <v/>
      </c>
      <c r="H2600" s="8">
        <f>IF(B2600="","",IF(ISNA(MATCH(B2600,Mitarbeiter!$A$6:$A$205,0)),"Pers.-Nr. unbekannt",IF(A2600="","Datum fehlt",IF(AND(D2600&lt;&gt;Einstellungen!$C$4,D2600&lt;&gt;Einstellungen!$C$5),"Objekt fehlt",IF(YEAR(A2600)&lt;&gt;Einstellungen!$C$3,"anderes Jahr",IF(A2600&lt;INDEX(Mitarbeiter!$C$6:$C$205,MATCH(B2600,Mitarbeiter!$A$6:$A$205,0)),"vor Eintritt",IF(AND(INDEX(Mitarbeiter!$D$6:$D$205,MATCH(B2600,Mitarbeiter!$A$6:$A$205,0))&lt;&gt;"",A2600&gt;INDEX(Mitarbeiter!$D$6:$D$205,MATCH(B2600,Mitarbeiter!$A$6:$A$205,0))),"nach Austritt","ok")))))))</f>
        <v/>
      </c>
    </row>
    <row r="2601">
      <c r="A2601" s="26" t="n"/>
      <c r="B2601" s="24" t="n"/>
      <c r="C2601" s="40">
        <f>IF(B2601="","",IFERROR(INDEX(Mitarbeiter!$B$6:$B$205,MATCH(B2601,Mitarbeiter!$A$6:$A$205,0)),"?"))</f>
        <v/>
      </c>
      <c r="D2601" s="41" t="n"/>
      <c r="E2601" s="42" t="n"/>
      <c r="F2601" s="43" t="n"/>
      <c r="G2601" s="44">
        <f>IF(OR(B2601="",F2601=""),"",IFERROR(F2601*INDEX(Mitarbeiter!$F$6:$F$205,MATCH(B2601,Mitarbeiter!$A$6:$A$205,0)),0))</f>
        <v/>
      </c>
      <c r="H2601" s="8">
        <f>IF(B2601="","",IF(ISNA(MATCH(B2601,Mitarbeiter!$A$6:$A$205,0)),"Pers.-Nr. unbekannt",IF(A2601="","Datum fehlt",IF(AND(D2601&lt;&gt;Einstellungen!$C$4,D2601&lt;&gt;Einstellungen!$C$5),"Objekt fehlt",IF(YEAR(A2601)&lt;&gt;Einstellungen!$C$3,"anderes Jahr",IF(A2601&lt;INDEX(Mitarbeiter!$C$6:$C$205,MATCH(B2601,Mitarbeiter!$A$6:$A$205,0)),"vor Eintritt",IF(AND(INDEX(Mitarbeiter!$D$6:$D$205,MATCH(B2601,Mitarbeiter!$A$6:$A$205,0))&lt;&gt;"",A2601&gt;INDEX(Mitarbeiter!$D$6:$D$205,MATCH(B2601,Mitarbeiter!$A$6:$A$205,0))),"nach Austritt","ok")))))))</f>
        <v/>
      </c>
    </row>
    <row r="2602">
      <c r="A2602" s="26" t="n"/>
      <c r="B2602" s="24" t="n"/>
      <c r="C2602" s="40">
        <f>IF(B2602="","",IFERROR(INDEX(Mitarbeiter!$B$6:$B$205,MATCH(B2602,Mitarbeiter!$A$6:$A$205,0)),"?"))</f>
        <v/>
      </c>
      <c r="D2602" s="41" t="n"/>
      <c r="E2602" s="42" t="n"/>
      <c r="F2602" s="43" t="n"/>
      <c r="G2602" s="44">
        <f>IF(OR(B2602="",F2602=""),"",IFERROR(F2602*INDEX(Mitarbeiter!$F$6:$F$205,MATCH(B2602,Mitarbeiter!$A$6:$A$205,0)),0))</f>
        <v/>
      </c>
      <c r="H2602" s="8">
        <f>IF(B2602="","",IF(ISNA(MATCH(B2602,Mitarbeiter!$A$6:$A$205,0)),"Pers.-Nr. unbekannt",IF(A2602="","Datum fehlt",IF(AND(D2602&lt;&gt;Einstellungen!$C$4,D2602&lt;&gt;Einstellungen!$C$5),"Objekt fehlt",IF(YEAR(A2602)&lt;&gt;Einstellungen!$C$3,"anderes Jahr",IF(A2602&lt;INDEX(Mitarbeiter!$C$6:$C$205,MATCH(B2602,Mitarbeiter!$A$6:$A$205,0)),"vor Eintritt",IF(AND(INDEX(Mitarbeiter!$D$6:$D$205,MATCH(B2602,Mitarbeiter!$A$6:$A$205,0))&lt;&gt;"",A2602&gt;INDEX(Mitarbeiter!$D$6:$D$205,MATCH(B2602,Mitarbeiter!$A$6:$A$205,0))),"nach Austritt","ok")))))))</f>
        <v/>
      </c>
    </row>
    <row r="2603">
      <c r="A2603" s="26" t="n"/>
      <c r="B2603" s="24" t="n"/>
      <c r="C2603" s="40">
        <f>IF(B2603="","",IFERROR(INDEX(Mitarbeiter!$B$6:$B$205,MATCH(B2603,Mitarbeiter!$A$6:$A$205,0)),"?"))</f>
        <v/>
      </c>
      <c r="D2603" s="41" t="n"/>
      <c r="E2603" s="42" t="n"/>
      <c r="F2603" s="43" t="n"/>
      <c r="G2603" s="44">
        <f>IF(OR(B2603="",F2603=""),"",IFERROR(F2603*INDEX(Mitarbeiter!$F$6:$F$205,MATCH(B2603,Mitarbeiter!$A$6:$A$205,0)),0))</f>
        <v/>
      </c>
      <c r="H2603" s="8">
        <f>IF(B2603="","",IF(ISNA(MATCH(B2603,Mitarbeiter!$A$6:$A$205,0)),"Pers.-Nr. unbekannt",IF(A2603="","Datum fehlt",IF(AND(D2603&lt;&gt;Einstellungen!$C$4,D2603&lt;&gt;Einstellungen!$C$5),"Objekt fehlt",IF(YEAR(A2603)&lt;&gt;Einstellungen!$C$3,"anderes Jahr",IF(A2603&lt;INDEX(Mitarbeiter!$C$6:$C$205,MATCH(B2603,Mitarbeiter!$A$6:$A$205,0)),"vor Eintritt",IF(AND(INDEX(Mitarbeiter!$D$6:$D$205,MATCH(B2603,Mitarbeiter!$A$6:$A$205,0))&lt;&gt;"",A2603&gt;INDEX(Mitarbeiter!$D$6:$D$205,MATCH(B2603,Mitarbeiter!$A$6:$A$205,0))),"nach Austritt","ok")))))))</f>
        <v/>
      </c>
    </row>
    <row r="2604">
      <c r="A2604" s="26" t="n"/>
      <c r="B2604" s="24" t="n"/>
      <c r="C2604" s="40">
        <f>IF(B2604="","",IFERROR(INDEX(Mitarbeiter!$B$6:$B$205,MATCH(B2604,Mitarbeiter!$A$6:$A$205,0)),"?"))</f>
        <v/>
      </c>
      <c r="D2604" s="41" t="n"/>
      <c r="E2604" s="42" t="n"/>
      <c r="F2604" s="43" t="n"/>
      <c r="G2604" s="44">
        <f>IF(OR(B2604="",F2604=""),"",IFERROR(F2604*INDEX(Mitarbeiter!$F$6:$F$205,MATCH(B2604,Mitarbeiter!$A$6:$A$205,0)),0))</f>
        <v/>
      </c>
      <c r="H2604" s="8">
        <f>IF(B2604="","",IF(ISNA(MATCH(B2604,Mitarbeiter!$A$6:$A$205,0)),"Pers.-Nr. unbekannt",IF(A2604="","Datum fehlt",IF(AND(D2604&lt;&gt;Einstellungen!$C$4,D2604&lt;&gt;Einstellungen!$C$5),"Objekt fehlt",IF(YEAR(A2604)&lt;&gt;Einstellungen!$C$3,"anderes Jahr",IF(A2604&lt;INDEX(Mitarbeiter!$C$6:$C$205,MATCH(B2604,Mitarbeiter!$A$6:$A$205,0)),"vor Eintritt",IF(AND(INDEX(Mitarbeiter!$D$6:$D$205,MATCH(B2604,Mitarbeiter!$A$6:$A$205,0))&lt;&gt;"",A2604&gt;INDEX(Mitarbeiter!$D$6:$D$205,MATCH(B2604,Mitarbeiter!$A$6:$A$205,0))),"nach Austritt","ok")))))))</f>
        <v/>
      </c>
    </row>
    <row r="2605">
      <c r="A2605" s="26" t="n"/>
      <c r="B2605" s="24" t="n"/>
      <c r="C2605" s="40">
        <f>IF(B2605="","",IFERROR(INDEX(Mitarbeiter!$B$6:$B$205,MATCH(B2605,Mitarbeiter!$A$6:$A$205,0)),"?"))</f>
        <v/>
      </c>
      <c r="D2605" s="41" t="n"/>
      <c r="E2605" s="42" t="n"/>
      <c r="F2605" s="43" t="n"/>
      <c r="G2605" s="44">
        <f>IF(OR(B2605="",F2605=""),"",IFERROR(F2605*INDEX(Mitarbeiter!$F$6:$F$205,MATCH(B2605,Mitarbeiter!$A$6:$A$205,0)),0))</f>
        <v/>
      </c>
      <c r="H2605" s="8">
        <f>IF(B2605="","",IF(ISNA(MATCH(B2605,Mitarbeiter!$A$6:$A$205,0)),"Pers.-Nr. unbekannt",IF(A2605="","Datum fehlt",IF(AND(D2605&lt;&gt;Einstellungen!$C$4,D2605&lt;&gt;Einstellungen!$C$5),"Objekt fehlt",IF(YEAR(A2605)&lt;&gt;Einstellungen!$C$3,"anderes Jahr",IF(A2605&lt;INDEX(Mitarbeiter!$C$6:$C$205,MATCH(B2605,Mitarbeiter!$A$6:$A$205,0)),"vor Eintritt",IF(AND(INDEX(Mitarbeiter!$D$6:$D$205,MATCH(B2605,Mitarbeiter!$A$6:$A$205,0))&lt;&gt;"",A2605&gt;INDEX(Mitarbeiter!$D$6:$D$205,MATCH(B2605,Mitarbeiter!$A$6:$A$205,0))),"nach Austritt","ok")))))))</f>
        <v/>
      </c>
    </row>
    <row r="2606">
      <c r="A2606" s="26" t="n"/>
      <c r="B2606" s="24" t="n"/>
      <c r="C2606" s="40">
        <f>IF(B2606="","",IFERROR(INDEX(Mitarbeiter!$B$6:$B$205,MATCH(B2606,Mitarbeiter!$A$6:$A$205,0)),"?"))</f>
        <v/>
      </c>
      <c r="D2606" s="41" t="n"/>
      <c r="E2606" s="42" t="n"/>
      <c r="F2606" s="43" t="n"/>
      <c r="G2606" s="44">
        <f>IF(OR(B2606="",F2606=""),"",IFERROR(F2606*INDEX(Mitarbeiter!$F$6:$F$205,MATCH(B2606,Mitarbeiter!$A$6:$A$205,0)),0))</f>
        <v/>
      </c>
      <c r="H2606" s="8">
        <f>IF(B2606="","",IF(ISNA(MATCH(B2606,Mitarbeiter!$A$6:$A$205,0)),"Pers.-Nr. unbekannt",IF(A2606="","Datum fehlt",IF(AND(D2606&lt;&gt;Einstellungen!$C$4,D2606&lt;&gt;Einstellungen!$C$5),"Objekt fehlt",IF(YEAR(A2606)&lt;&gt;Einstellungen!$C$3,"anderes Jahr",IF(A2606&lt;INDEX(Mitarbeiter!$C$6:$C$205,MATCH(B2606,Mitarbeiter!$A$6:$A$205,0)),"vor Eintritt",IF(AND(INDEX(Mitarbeiter!$D$6:$D$205,MATCH(B2606,Mitarbeiter!$A$6:$A$205,0))&lt;&gt;"",A2606&gt;INDEX(Mitarbeiter!$D$6:$D$205,MATCH(B2606,Mitarbeiter!$A$6:$A$205,0))),"nach Austritt","ok")))))))</f>
        <v/>
      </c>
    </row>
    <row r="2607">
      <c r="A2607" s="26" t="n"/>
      <c r="B2607" s="24" t="n"/>
      <c r="C2607" s="40">
        <f>IF(B2607="","",IFERROR(INDEX(Mitarbeiter!$B$6:$B$205,MATCH(B2607,Mitarbeiter!$A$6:$A$205,0)),"?"))</f>
        <v/>
      </c>
      <c r="D2607" s="41" t="n"/>
      <c r="E2607" s="42" t="n"/>
      <c r="F2607" s="43" t="n"/>
      <c r="G2607" s="44">
        <f>IF(OR(B2607="",F2607=""),"",IFERROR(F2607*INDEX(Mitarbeiter!$F$6:$F$205,MATCH(B2607,Mitarbeiter!$A$6:$A$205,0)),0))</f>
        <v/>
      </c>
      <c r="H2607" s="8">
        <f>IF(B2607="","",IF(ISNA(MATCH(B2607,Mitarbeiter!$A$6:$A$205,0)),"Pers.-Nr. unbekannt",IF(A2607="","Datum fehlt",IF(AND(D2607&lt;&gt;Einstellungen!$C$4,D2607&lt;&gt;Einstellungen!$C$5),"Objekt fehlt",IF(YEAR(A2607)&lt;&gt;Einstellungen!$C$3,"anderes Jahr",IF(A2607&lt;INDEX(Mitarbeiter!$C$6:$C$205,MATCH(B2607,Mitarbeiter!$A$6:$A$205,0)),"vor Eintritt",IF(AND(INDEX(Mitarbeiter!$D$6:$D$205,MATCH(B2607,Mitarbeiter!$A$6:$A$205,0))&lt;&gt;"",A2607&gt;INDEX(Mitarbeiter!$D$6:$D$205,MATCH(B2607,Mitarbeiter!$A$6:$A$205,0))),"nach Austritt","ok")))))))</f>
        <v/>
      </c>
    </row>
    <row r="2608">
      <c r="A2608" s="26" t="n"/>
      <c r="B2608" s="24" t="n"/>
      <c r="C2608" s="40">
        <f>IF(B2608="","",IFERROR(INDEX(Mitarbeiter!$B$6:$B$205,MATCH(B2608,Mitarbeiter!$A$6:$A$205,0)),"?"))</f>
        <v/>
      </c>
      <c r="D2608" s="41" t="n"/>
      <c r="E2608" s="42" t="n"/>
      <c r="F2608" s="43" t="n"/>
      <c r="G2608" s="44">
        <f>IF(OR(B2608="",F2608=""),"",IFERROR(F2608*INDEX(Mitarbeiter!$F$6:$F$205,MATCH(B2608,Mitarbeiter!$A$6:$A$205,0)),0))</f>
        <v/>
      </c>
      <c r="H2608" s="8">
        <f>IF(B2608="","",IF(ISNA(MATCH(B2608,Mitarbeiter!$A$6:$A$205,0)),"Pers.-Nr. unbekannt",IF(A2608="","Datum fehlt",IF(AND(D2608&lt;&gt;Einstellungen!$C$4,D2608&lt;&gt;Einstellungen!$C$5),"Objekt fehlt",IF(YEAR(A2608)&lt;&gt;Einstellungen!$C$3,"anderes Jahr",IF(A2608&lt;INDEX(Mitarbeiter!$C$6:$C$205,MATCH(B2608,Mitarbeiter!$A$6:$A$205,0)),"vor Eintritt",IF(AND(INDEX(Mitarbeiter!$D$6:$D$205,MATCH(B2608,Mitarbeiter!$A$6:$A$205,0))&lt;&gt;"",A2608&gt;INDEX(Mitarbeiter!$D$6:$D$205,MATCH(B2608,Mitarbeiter!$A$6:$A$205,0))),"nach Austritt","ok")))))))</f>
        <v/>
      </c>
    </row>
    <row r="2609">
      <c r="A2609" s="26" t="n"/>
      <c r="B2609" s="24" t="n"/>
      <c r="C2609" s="40">
        <f>IF(B2609="","",IFERROR(INDEX(Mitarbeiter!$B$6:$B$205,MATCH(B2609,Mitarbeiter!$A$6:$A$205,0)),"?"))</f>
        <v/>
      </c>
      <c r="D2609" s="41" t="n"/>
      <c r="E2609" s="42" t="n"/>
      <c r="F2609" s="43" t="n"/>
      <c r="G2609" s="44">
        <f>IF(OR(B2609="",F2609=""),"",IFERROR(F2609*INDEX(Mitarbeiter!$F$6:$F$205,MATCH(B2609,Mitarbeiter!$A$6:$A$205,0)),0))</f>
        <v/>
      </c>
      <c r="H2609" s="8">
        <f>IF(B2609="","",IF(ISNA(MATCH(B2609,Mitarbeiter!$A$6:$A$205,0)),"Pers.-Nr. unbekannt",IF(A2609="","Datum fehlt",IF(AND(D2609&lt;&gt;Einstellungen!$C$4,D2609&lt;&gt;Einstellungen!$C$5),"Objekt fehlt",IF(YEAR(A2609)&lt;&gt;Einstellungen!$C$3,"anderes Jahr",IF(A2609&lt;INDEX(Mitarbeiter!$C$6:$C$205,MATCH(B2609,Mitarbeiter!$A$6:$A$205,0)),"vor Eintritt",IF(AND(INDEX(Mitarbeiter!$D$6:$D$205,MATCH(B2609,Mitarbeiter!$A$6:$A$205,0))&lt;&gt;"",A2609&gt;INDEX(Mitarbeiter!$D$6:$D$205,MATCH(B2609,Mitarbeiter!$A$6:$A$205,0))),"nach Austritt","ok")))))))</f>
        <v/>
      </c>
    </row>
    <row r="2610">
      <c r="A2610" s="26" t="n"/>
      <c r="B2610" s="24" t="n"/>
      <c r="C2610" s="40">
        <f>IF(B2610="","",IFERROR(INDEX(Mitarbeiter!$B$6:$B$205,MATCH(B2610,Mitarbeiter!$A$6:$A$205,0)),"?"))</f>
        <v/>
      </c>
      <c r="D2610" s="41" t="n"/>
      <c r="E2610" s="42" t="n"/>
      <c r="F2610" s="43" t="n"/>
      <c r="G2610" s="44">
        <f>IF(OR(B2610="",F2610=""),"",IFERROR(F2610*INDEX(Mitarbeiter!$F$6:$F$205,MATCH(B2610,Mitarbeiter!$A$6:$A$205,0)),0))</f>
        <v/>
      </c>
      <c r="H2610" s="8">
        <f>IF(B2610="","",IF(ISNA(MATCH(B2610,Mitarbeiter!$A$6:$A$205,0)),"Pers.-Nr. unbekannt",IF(A2610="","Datum fehlt",IF(AND(D2610&lt;&gt;Einstellungen!$C$4,D2610&lt;&gt;Einstellungen!$C$5),"Objekt fehlt",IF(YEAR(A2610)&lt;&gt;Einstellungen!$C$3,"anderes Jahr",IF(A2610&lt;INDEX(Mitarbeiter!$C$6:$C$205,MATCH(B2610,Mitarbeiter!$A$6:$A$205,0)),"vor Eintritt",IF(AND(INDEX(Mitarbeiter!$D$6:$D$205,MATCH(B2610,Mitarbeiter!$A$6:$A$205,0))&lt;&gt;"",A2610&gt;INDEX(Mitarbeiter!$D$6:$D$205,MATCH(B2610,Mitarbeiter!$A$6:$A$205,0))),"nach Austritt","ok")))))))</f>
        <v/>
      </c>
    </row>
    <row r="2611">
      <c r="A2611" s="26" t="n"/>
      <c r="B2611" s="24" t="n"/>
      <c r="C2611" s="40">
        <f>IF(B2611="","",IFERROR(INDEX(Mitarbeiter!$B$6:$B$205,MATCH(B2611,Mitarbeiter!$A$6:$A$205,0)),"?"))</f>
        <v/>
      </c>
      <c r="D2611" s="41" t="n"/>
      <c r="E2611" s="42" t="n"/>
      <c r="F2611" s="43" t="n"/>
      <c r="G2611" s="44">
        <f>IF(OR(B2611="",F2611=""),"",IFERROR(F2611*INDEX(Mitarbeiter!$F$6:$F$205,MATCH(B2611,Mitarbeiter!$A$6:$A$205,0)),0))</f>
        <v/>
      </c>
      <c r="H2611" s="8">
        <f>IF(B2611="","",IF(ISNA(MATCH(B2611,Mitarbeiter!$A$6:$A$205,0)),"Pers.-Nr. unbekannt",IF(A2611="","Datum fehlt",IF(AND(D2611&lt;&gt;Einstellungen!$C$4,D2611&lt;&gt;Einstellungen!$C$5),"Objekt fehlt",IF(YEAR(A2611)&lt;&gt;Einstellungen!$C$3,"anderes Jahr",IF(A2611&lt;INDEX(Mitarbeiter!$C$6:$C$205,MATCH(B2611,Mitarbeiter!$A$6:$A$205,0)),"vor Eintritt",IF(AND(INDEX(Mitarbeiter!$D$6:$D$205,MATCH(B2611,Mitarbeiter!$A$6:$A$205,0))&lt;&gt;"",A2611&gt;INDEX(Mitarbeiter!$D$6:$D$205,MATCH(B2611,Mitarbeiter!$A$6:$A$205,0))),"nach Austritt","ok")))))))</f>
        <v/>
      </c>
    </row>
    <row r="2612">
      <c r="A2612" s="26" t="n"/>
      <c r="B2612" s="24" t="n"/>
      <c r="C2612" s="40">
        <f>IF(B2612="","",IFERROR(INDEX(Mitarbeiter!$B$6:$B$205,MATCH(B2612,Mitarbeiter!$A$6:$A$205,0)),"?"))</f>
        <v/>
      </c>
      <c r="D2612" s="41" t="n"/>
      <c r="E2612" s="42" t="n"/>
      <c r="F2612" s="43" t="n"/>
      <c r="G2612" s="44">
        <f>IF(OR(B2612="",F2612=""),"",IFERROR(F2612*INDEX(Mitarbeiter!$F$6:$F$205,MATCH(B2612,Mitarbeiter!$A$6:$A$205,0)),0))</f>
        <v/>
      </c>
      <c r="H2612" s="8">
        <f>IF(B2612="","",IF(ISNA(MATCH(B2612,Mitarbeiter!$A$6:$A$205,0)),"Pers.-Nr. unbekannt",IF(A2612="","Datum fehlt",IF(AND(D2612&lt;&gt;Einstellungen!$C$4,D2612&lt;&gt;Einstellungen!$C$5),"Objekt fehlt",IF(YEAR(A2612)&lt;&gt;Einstellungen!$C$3,"anderes Jahr",IF(A2612&lt;INDEX(Mitarbeiter!$C$6:$C$205,MATCH(B2612,Mitarbeiter!$A$6:$A$205,0)),"vor Eintritt",IF(AND(INDEX(Mitarbeiter!$D$6:$D$205,MATCH(B2612,Mitarbeiter!$A$6:$A$205,0))&lt;&gt;"",A2612&gt;INDEX(Mitarbeiter!$D$6:$D$205,MATCH(B2612,Mitarbeiter!$A$6:$A$205,0))),"nach Austritt","ok")))))))</f>
        <v/>
      </c>
    </row>
    <row r="2613">
      <c r="A2613" s="26" t="n"/>
      <c r="B2613" s="24" t="n"/>
      <c r="C2613" s="40">
        <f>IF(B2613="","",IFERROR(INDEX(Mitarbeiter!$B$6:$B$205,MATCH(B2613,Mitarbeiter!$A$6:$A$205,0)),"?"))</f>
        <v/>
      </c>
      <c r="D2613" s="41" t="n"/>
      <c r="E2613" s="42" t="n"/>
      <c r="F2613" s="43" t="n"/>
      <c r="G2613" s="44">
        <f>IF(OR(B2613="",F2613=""),"",IFERROR(F2613*INDEX(Mitarbeiter!$F$6:$F$205,MATCH(B2613,Mitarbeiter!$A$6:$A$205,0)),0))</f>
        <v/>
      </c>
      <c r="H2613" s="8">
        <f>IF(B2613="","",IF(ISNA(MATCH(B2613,Mitarbeiter!$A$6:$A$205,0)),"Pers.-Nr. unbekannt",IF(A2613="","Datum fehlt",IF(AND(D2613&lt;&gt;Einstellungen!$C$4,D2613&lt;&gt;Einstellungen!$C$5),"Objekt fehlt",IF(YEAR(A2613)&lt;&gt;Einstellungen!$C$3,"anderes Jahr",IF(A2613&lt;INDEX(Mitarbeiter!$C$6:$C$205,MATCH(B2613,Mitarbeiter!$A$6:$A$205,0)),"vor Eintritt",IF(AND(INDEX(Mitarbeiter!$D$6:$D$205,MATCH(B2613,Mitarbeiter!$A$6:$A$205,0))&lt;&gt;"",A2613&gt;INDEX(Mitarbeiter!$D$6:$D$205,MATCH(B2613,Mitarbeiter!$A$6:$A$205,0))),"nach Austritt","ok")))))))</f>
        <v/>
      </c>
    </row>
    <row r="2614">
      <c r="A2614" s="26" t="n"/>
      <c r="B2614" s="24" t="n"/>
      <c r="C2614" s="40">
        <f>IF(B2614="","",IFERROR(INDEX(Mitarbeiter!$B$6:$B$205,MATCH(B2614,Mitarbeiter!$A$6:$A$205,0)),"?"))</f>
        <v/>
      </c>
      <c r="D2614" s="41" t="n"/>
      <c r="E2614" s="42" t="n"/>
      <c r="F2614" s="43" t="n"/>
      <c r="G2614" s="44">
        <f>IF(OR(B2614="",F2614=""),"",IFERROR(F2614*INDEX(Mitarbeiter!$F$6:$F$205,MATCH(B2614,Mitarbeiter!$A$6:$A$205,0)),0))</f>
        <v/>
      </c>
      <c r="H2614" s="8">
        <f>IF(B2614="","",IF(ISNA(MATCH(B2614,Mitarbeiter!$A$6:$A$205,0)),"Pers.-Nr. unbekannt",IF(A2614="","Datum fehlt",IF(AND(D2614&lt;&gt;Einstellungen!$C$4,D2614&lt;&gt;Einstellungen!$C$5),"Objekt fehlt",IF(YEAR(A2614)&lt;&gt;Einstellungen!$C$3,"anderes Jahr",IF(A2614&lt;INDEX(Mitarbeiter!$C$6:$C$205,MATCH(B2614,Mitarbeiter!$A$6:$A$205,0)),"vor Eintritt",IF(AND(INDEX(Mitarbeiter!$D$6:$D$205,MATCH(B2614,Mitarbeiter!$A$6:$A$205,0))&lt;&gt;"",A2614&gt;INDEX(Mitarbeiter!$D$6:$D$205,MATCH(B2614,Mitarbeiter!$A$6:$A$205,0))),"nach Austritt","ok")))))))</f>
        <v/>
      </c>
    </row>
    <row r="2615">
      <c r="A2615" s="26" t="n"/>
      <c r="B2615" s="24" t="n"/>
      <c r="C2615" s="40">
        <f>IF(B2615="","",IFERROR(INDEX(Mitarbeiter!$B$6:$B$205,MATCH(B2615,Mitarbeiter!$A$6:$A$205,0)),"?"))</f>
        <v/>
      </c>
      <c r="D2615" s="41" t="n"/>
      <c r="E2615" s="42" t="n"/>
      <c r="F2615" s="43" t="n"/>
      <c r="G2615" s="44">
        <f>IF(OR(B2615="",F2615=""),"",IFERROR(F2615*INDEX(Mitarbeiter!$F$6:$F$205,MATCH(B2615,Mitarbeiter!$A$6:$A$205,0)),0))</f>
        <v/>
      </c>
      <c r="H2615" s="8">
        <f>IF(B2615="","",IF(ISNA(MATCH(B2615,Mitarbeiter!$A$6:$A$205,0)),"Pers.-Nr. unbekannt",IF(A2615="","Datum fehlt",IF(AND(D2615&lt;&gt;Einstellungen!$C$4,D2615&lt;&gt;Einstellungen!$C$5),"Objekt fehlt",IF(YEAR(A2615)&lt;&gt;Einstellungen!$C$3,"anderes Jahr",IF(A2615&lt;INDEX(Mitarbeiter!$C$6:$C$205,MATCH(B2615,Mitarbeiter!$A$6:$A$205,0)),"vor Eintritt",IF(AND(INDEX(Mitarbeiter!$D$6:$D$205,MATCH(B2615,Mitarbeiter!$A$6:$A$205,0))&lt;&gt;"",A2615&gt;INDEX(Mitarbeiter!$D$6:$D$205,MATCH(B2615,Mitarbeiter!$A$6:$A$205,0))),"nach Austritt","ok")))))))</f>
        <v/>
      </c>
    </row>
    <row r="2616">
      <c r="A2616" s="26" t="n"/>
      <c r="B2616" s="24" t="n"/>
      <c r="C2616" s="40">
        <f>IF(B2616="","",IFERROR(INDEX(Mitarbeiter!$B$6:$B$205,MATCH(B2616,Mitarbeiter!$A$6:$A$205,0)),"?"))</f>
        <v/>
      </c>
      <c r="D2616" s="41" t="n"/>
      <c r="E2616" s="42" t="n"/>
      <c r="F2616" s="43" t="n"/>
      <c r="G2616" s="44">
        <f>IF(OR(B2616="",F2616=""),"",IFERROR(F2616*INDEX(Mitarbeiter!$F$6:$F$205,MATCH(B2616,Mitarbeiter!$A$6:$A$205,0)),0))</f>
        <v/>
      </c>
      <c r="H2616" s="8">
        <f>IF(B2616="","",IF(ISNA(MATCH(B2616,Mitarbeiter!$A$6:$A$205,0)),"Pers.-Nr. unbekannt",IF(A2616="","Datum fehlt",IF(AND(D2616&lt;&gt;Einstellungen!$C$4,D2616&lt;&gt;Einstellungen!$C$5),"Objekt fehlt",IF(YEAR(A2616)&lt;&gt;Einstellungen!$C$3,"anderes Jahr",IF(A2616&lt;INDEX(Mitarbeiter!$C$6:$C$205,MATCH(B2616,Mitarbeiter!$A$6:$A$205,0)),"vor Eintritt",IF(AND(INDEX(Mitarbeiter!$D$6:$D$205,MATCH(B2616,Mitarbeiter!$A$6:$A$205,0))&lt;&gt;"",A2616&gt;INDEX(Mitarbeiter!$D$6:$D$205,MATCH(B2616,Mitarbeiter!$A$6:$A$205,0))),"nach Austritt","ok")))))))</f>
        <v/>
      </c>
    </row>
    <row r="2617">
      <c r="A2617" s="26" t="n"/>
      <c r="B2617" s="24" t="n"/>
      <c r="C2617" s="40">
        <f>IF(B2617="","",IFERROR(INDEX(Mitarbeiter!$B$6:$B$205,MATCH(B2617,Mitarbeiter!$A$6:$A$205,0)),"?"))</f>
        <v/>
      </c>
      <c r="D2617" s="41" t="n"/>
      <c r="E2617" s="42" t="n"/>
      <c r="F2617" s="43" t="n"/>
      <c r="G2617" s="44">
        <f>IF(OR(B2617="",F2617=""),"",IFERROR(F2617*INDEX(Mitarbeiter!$F$6:$F$205,MATCH(B2617,Mitarbeiter!$A$6:$A$205,0)),0))</f>
        <v/>
      </c>
      <c r="H2617" s="8">
        <f>IF(B2617="","",IF(ISNA(MATCH(B2617,Mitarbeiter!$A$6:$A$205,0)),"Pers.-Nr. unbekannt",IF(A2617="","Datum fehlt",IF(AND(D2617&lt;&gt;Einstellungen!$C$4,D2617&lt;&gt;Einstellungen!$C$5),"Objekt fehlt",IF(YEAR(A2617)&lt;&gt;Einstellungen!$C$3,"anderes Jahr",IF(A2617&lt;INDEX(Mitarbeiter!$C$6:$C$205,MATCH(B2617,Mitarbeiter!$A$6:$A$205,0)),"vor Eintritt",IF(AND(INDEX(Mitarbeiter!$D$6:$D$205,MATCH(B2617,Mitarbeiter!$A$6:$A$205,0))&lt;&gt;"",A2617&gt;INDEX(Mitarbeiter!$D$6:$D$205,MATCH(B2617,Mitarbeiter!$A$6:$A$205,0))),"nach Austritt","ok")))))))</f>
        <v/>
      </c>
    </row>
    <row r="2618">
      <c r="A2618" s="26" t="n"/>
      <c r="B2618" s="24" t="n"/>
      <c r="C2618" s="40">
        <f>IF(B2618="","",IFERROR(INDEX(Mitarbeiter!$B$6:$B$205,MATCH(B2618,Mitarbeiter!$A$6:$A$205,0)),"?"))</f>
        <v/>
      </c>
      <c r="D2618" s="41" t="n"/>
      <c r="E2618" s="42" t="n"/>
      <c r="F2618" s="43" t="n"/>
      <c r="G2618" s="44">
        <f>IF(OR(B2618="",F2618=""),"",IFERROR(F2618*INDEX(Mitarbeiter!$F$6:$F$205,MATCH(B2618,Mitarbeiter!$A$6:$A$205,0)),0))</f>
        <v/>
      </c>
      <c r="H2618" s="8">
        <f>IF(B2618="","",IF(ISNA(MATCH(B2618,Mitarbeiter!$A$6:$A$205,0)),"Pers.-Nr. unbekannt",IF(A2618="","Datum fehlt",IF(AND(D2618&lt;&gt;Einstellungen!$C$4,D2618&lt;&gt;Einstellungen!$C$5),"Objekt fehlt",IF(YEAR(A2618)&lt;&gt;Einstellungen!$C$3,"anderes Jahr",IF(A2618&lt;INDEX(Mitarbeiter!$C$6:$C$205,MATCH(B2618,Mitarbeiter!$A$6:$A$205,0)),"vor Eintritt",IF(AND(INDEX(Mitarbeiter!$D$6:$D$205,MATCH(B2618,Mitarbeiter!$A$6:$A$205,0))&lt;&gt;"",A2618&gt;INDEX(Mitarbeiter!$D$6:$D$205,MATCH(B2618,Mitarbeiter!$A$6:$A$205,0))),"nach Austritt","ok")))))))</f>
        <v/>
      </c>
    </row>
    <row r="2619">
      <c r="A2619" s="26" t="n"/>
      <c r="B2619" s="24" t="n"/>
      <c r="C2619" s="40">
        <f>IF(B2619="","",IFERROR(INDEX(Mitarbeiter!$B$6:$B$205,MATCH(B2619,Mitarbeiter!$A$6:$A$205,0)),"?"))</f>
        <v/>
      </c>
      <c r="D2619" s="41" t="n"/>
      <c r="E2619" s="42" t="n"/>
      <c r="F2619" s="43" t="n"/>
      <c r="G2619" s="44">
        <f>IF(OR(B2619="",F2619=""),"",IFERROR(F2619*INDEX(Mitarbeiter!$F$6:$F$205,MATCH(B2619,Mitarbeiter!$A$6:$A$205,0)),0))</f>
        <v/>
      </c>
      <c r="H2619" s="8">
        <f>IF(B2619="","",IF(ISNA(MATCH(B2619,Mitarbeiter!$A$6:$A$205,0)),"Pers.-Nr. unbekannt",IF(A2619="","Datum fehlt",IF(AND(D2619&lt;&gt;Einstellungen!$C$4,D2619&lt;&gt;Einstellungen!$C$5),"Objekt fehlt",IF(YEAR(A2619)&lt;&gt;Einstellungen!$C$3,"anderes Jahr",IF(A2619&lt;INDEX(Mitarbeiter!$C$6:$C$205,MATCH(B2619,Mitarbeiter!$A$6:$A$205,0)),"vor Eintritt",IF(AND(INDEX(Mitarbeiter!$D$6:$D$205,MATCH(B2619,Mitarbeiter!$A$6:$A$205,0))&lt;&gt;"",A2619&gt;INDEX(Mitarbeiter!$D$6:$D$205,MATCH(B2619,Mitarbeiter!$A$6:$A$205,0))),"nach Austritt","ok")))))))</f>
        <v/>
      </c>
    </row>
    <row r="2620">
      <c r="A2620" s="26" t="n"/>
      <c r="B2620" s="24" t="n"/>
      <c r="C2620" s="40">
        <f>IF(B2620="","",IFERROR(INDEX(Mitarbeiter!$B$6:$B$205,MATCH(B2620,Mitarbeiter!$A$6:$A$205,0)),"?"))</f>
        <v/>
      </c>
      <c r="D2620" s="41" t="n"/>
      <c r="E2620" s="42" t="n"/>
      <c r="F2620" s="43" t="n"/>
      <c r="G2620" s="44">
        <f>IF(OR(B2620="",F2620=""),"",IFERROR(F2620*INDEX(Mitarbeiter!$F$6:$F$205,MATCH(B2620,Mitarbeiter!$A$6:$A$205,0)),0))</f>
        <v/>
      </c>
      <c r="H2620" s="8">
        <f>IF(B2620="","",IF(ISNA(MATCH(B2620,Mitarbeiter!$A$6:$A$205,0)),"Pers.-Nr. unbekannt",IF(A2620="","Datum fehlt",IF(AND(D2620&lt;&gt;Einstellungen!$C$4,D2620&lt;&gt;Einstellungen!$C$5),"Objekt fehlt",IF(YEAR(A2620)&lt;&gt;Einstellungen!$C$3,"anderes Jahr",IF(A2620&lt;INDEX(Mitarbeiter!$C$6:$C$205,MATCH(B2620,Mitarbeiter!$A$6:$A$205,0)),"vor Eintritt",IF(AND(INDEX(Mitarbeiter!$D$6:$D$205,MATCH(B2620,Mitarbeiter!$A$6:$A$205,0))&lt;&gt;"",A2620&gt;INDEX(Mitarbeiter!$D$6:$D$205,MATCH(B2620,Mitarbeiter!$A$6:$A$205,0))),"nach Austritt","ok")))))))</f>
        <v/>
      </c>
    </row>
    <row r="2621">
      <c r="A2621" s="26" t="n"/>
      <c r="B2621" s="24" t="n"/>
      <c r="C2621" s="40">
        <f>IF(B2621="","",IFERROR(INDEX(Mitarbeiter!$B$6:$B$205,MATCH(B2621,Mitarbeiter!$A$6:$A$205,0)),"?"))</f>
        <v/>
      </c>
      <c r="D2621" s="41" t="n"/>
      <c r="E2621" s="42" t="n"/>
      <c r="F2621" s="43" t="n"/>
      <c r="G2621" s="44">
        <f>IF(OR(B2621="",F2621=""),"",IFERROR(F2621*INDEX(Mitarbeiter!$F$6:$F$205,MATCH(B2621,Mitarbeiter!$A$6:$A$205,0)),0))</f>
        <v/>
      </c>
      <c r="H2621" s="8">
        <f>IF(B2621="","",IF(ISNA(MATCH(B2621,Mitarbeiter!$A$6:$A$205,0)),"Pers.-Nr. unbekannt",IF(A2621="","Datum fehlt",IF(AND(D2621&lt;&gt;Einstellungen!$C$4,D2621&lt;&gt;Einstellungen!$C$5),"Objekt fehlt",IF(YEAR(A2621)&lt;&gt;Einstellungen!$C$3,"anderes Jahr",IF(A2621&lt;INDEX(Mitarbeiter!$C$6:$C$205,MATCH(B2621,Mitarbeiter!$A$6:$A$205,0)),"vor Eintritt",IF(AND(INDEX(Mitarbeiter!$D$6:$D$205,MATCH(B2621,Mitarbeiter!$A$6:$A$205,0))&lt;&gt;"",A2621&gt;INDEX(Mitarbeiter!$D$6:$D$205,MATCH(B2621,Mitarbeiter!$A$6:$A$205,0))),"nach Austritt","ok")))))))</f>
        <v/>
      </c>
    </row>
    <row r="2622">
      <c r="A2622" s="26" t="n"/>
      <c r="B2622" s="24" t="n"/>
      <c r="C2622" s="40">
        <f>IF(B2622="","",IFERROR(INDEX(Mitarbeiter!$B$6:$B$205,MATCH(B2622,Mitarbeiter!$A$6:$A$205,0)),"?"))</f>
        <v/>
      </c>
      <c r="D2622" s="41" t="n"/>
      <c r="E2622" s="42" t="n"/>
      <c r="F2622" s="43" t="n"/>
      <c r="G2622" s="44">
        <f>IF(OR(B2622="",F2622=""),"",IFERROR(F2622*INDEX(Mitarbeiter!$F$6:$F$205,MATCH(B2622,Mitarbeiter!$A$6:$A$205,0)),0))</f>
        <v/>
      </c>
      <c r="H2622" s="8">
        <f>IF(B2622="","",IF(ISNA(MATCH(B2622,Mitarbeiter!$A$6:$A$205,0)),"Pers.-Nr. unbekannt",IF(A2622="","Datum fehlt",IF(AND(D2622&lt;&gt;Einstellungen!$C$4,D2622&lt;&gt;Einstellungen!$C$5),"Objekt fehlt",IF(YEAR(A2622)&lt;&gt;Einstellungen!$C$3,"anderes Jahr",IF(A2622&lt;INDEX(Mitarbeiter!$C$6:$C$205,MATCH(B2622,Mitarbeiter!$A$6:$A$205,0)),"vor Eintritt",IF(AND(INDEX(Mitarbeiter!$D$6:$D$205,MATCH(B2622,Mitarbeiter!$A$6:$A$205,0))&lt;&gt;"",A2622&gt;INDEX(Mitarbeiter!$D$6:$D$205,MATCH(B2622,Mitarbeiter!$A$6:$A$205,0))),"nach Austritt","ok")))))))</f>
        <v/>
      </c>
    </row>
    <row r="2623">
      <c r="A2623" s="26" t="n"/>
      <c r="B2623" s="24" t="n"/>
      <c r="C2623" s="40">
        <f>IF(B2623="","",IFERROR(INDEX(Mitarbeiter!$B$6:$B$205,MATCH(B2623,Mitarbeiter!$A$6:$A$205,0)),"?"))</f>
        <v/>
      </c>
      <c r="D2623" s="41" t="n"/>
      <c r="E2623" s="42" t="n"/>
      <c r="F2623" s="43" t="n"/>
      <c r="G2623" s="44">
        <f>IF(OR(B2623="",F2623=""),"",IFERROR(F2623*INDEX(Mitarbeiter!$F$6:$F$205,MATCH(B2623,Mitarbeiter!$A$6:$A$205,0)),0))</f>
        <v/>
      </c>
      <c r="H2623" s="8">
        <f>IF(B2623="","",IF(ISNA(MATCH(B2623,Mitarbeiter!$A$6:$A$205,0)),"Pers.-Nr. unbekannt",IF(A2623="","Datum fehlt",IF(AND(D2623&lt;&gt;Einstellungen!$C$4,D2623&lt;&gt;Einstellungen!$C$5),"Objekt fehlt",IF(YEAR(A2623)&lt;&gt;Einstellungen!$C$3,"anderes Jahr",IF(A2623&lt;INDEX(Mitarbeiter!$C$6:$C$205,MATCH(B2623,Mitarbeiter!$A$6:$A$205,0)),"vor Eintritt",IF(AND(INDEX(Mitarbeiter!$D$6:$D$205,MATCH(B2623,Mitarbeiter!$A$6:$A$205,0))&lt;&gt;"",A2623&gt;INDEX(Mitarbeiter!$D$6:$D$205,MATCH(B2623,Mitarbeiter!$A$6:$A$205,0))),"nach Austritt","ok")))))))</f>
        <v/>
      </c>
    </row>
    <row r="2624">
      <c r="A2624" s="26" t="n"/>
      <c r="B2624" s="24" t="n"/>
      <c r="C2624" s="40">
        <f>IF(B2624="","",IFERROR(INDEX(Mitarbeiter!$B$6:$B$205,MATCH(B2624,Mitarbeiter!$A$6:$A$205,0)),"?"))</f>
        <v/>
      </c>
      <c r="D2624" s="41" t="n"/>
      <c r="E2624" s="42" t="n"/>
      <c r="F2624" s="43" t="n"/>
      <c r="G2624" s="44">
        <f>IF(OR(B2624="",F2624=""),"",IFERROR(F2624*INDEX(Mitarbeiter!$F$6:$F$205,MATCH(B2624,Mitarbeiter!$A$6:$A$205,0)),0))</f>
        <v/>
      </c>
      <c r="H2624" s="8">
        <f>IF(B2624="","",IF(ISNA(MATCH(B2624,Mitarbeiter!$A$6:$A$205,0)),"Pers.-Nr. unbekannt",IF(A2624="","Datum fehlt",IF(AND(D2624&lt;&gt;Einstellungen!$C$4,D2624&lt;&gt;Einstellungen!$C$5),"Objekt fehlt",IF(YEAR(A2624)&lt;&gt;Einstellungen!$C$3,"anderes Jahr",IF(A2624&lt;INDEX(Mitarbeiter!$C$6:$C$205,MATCH(B2624,Mitarbeiter!$A$6:$A$205,0)),"vor Eintritt",IF(AND(INDEX(Mitarbeiter!$D$6:$D$205,MATCH(B2624,Mitarbeiter!$A$6:$A$205,0))&lt;&gt;"",A2624&gt;INDEX(Mitarbeiter!$D$6:$D$205,MATCH(B2624,Mitarbeiter!$A$6:$A$205,0))),"nach Austritt","ok")))))))</f>
        <v/>
      </c>
    </row>
    <row r="2625">
      <c r="A2625" s="26" t="n"/>
      <c r="B2625" s="24" t="n"/>
      <c r="C2625" s="40">
        <f>IF(B2625="","",IFERROR(INDEX(Mitarbeiter!$B$6:$B$205,MATCH(B2625,Mitarbeiter!$A$6:$A$205,0)),"?"))</f>
        <v/>
      </c>
      <c r="D2625" s="41" t="n"/>
      <c r="E2625" s="42" t="n"/>
      <c r="F2625" s="43" t="n"/>
      <c r="G2625" s="44">
        <f>IF(OR(B2625="",F2625=""),"",IFERROR(F2625*INDEX(Mitarbeiter!$F$6:$F$205,MATCH(B2625,Mitarbeiter!$A$6:$A$205,0)),0))</f>
        <v/>
      </c>
      <c r="H2625" s="8">
        <f>IF(B2625="","",IF(ISNA(MATCH(B2625,Mitarbeiter!$A$6:$A$205,0)),"Pers.-Nr. unbekannt",IF(A2625="","Datum fehlt",IF(AND(D2625&lt;&gt;Einstellungen!$C$4,D2625&lt;&gt;Einstellungen!$C$5),"Objekt fehlt",IF(YEAR(A2625)&lt;&gt;Einstellungen!$C$3,"anderes Jahr",IF(A2625&lt;INDEX(Mitarbeiter!$C$6:$C$205,MATCH(B2625,Mitarbeiter!$A$6:$A$205,0)),"vor Eintritt",IF(AND(INDEX(Mitarbeiter!$D$6:$D$205,MATCH(B2625,Mitarbeiter!$A$6:$A$205,0))&lt;&gt;"",A2625&gt;INDEX(Mitarbeiter!$D$6:$D$205,MATCH(B2625,Mitarbeiter!$A$6:$A$205,0))),"nach Austritt","ok")))))))</f>
        <v/>
      </c>
    </row>
    <row r="2626">
      <c r="A2626" s="26" t="n"/>
      <c r="B2626" s="24" t="n"/>
      <c r="C2626" s="40">
        <f>IF(B2626="","",IFERROR(INDEX(Mitarbeiter!$B$6:$B$205,MATCH(B2626,Mitarbeiter!$A$6:$A$205,0)),"?"))</f>
        <v/>
      </c>
      <c r="D2626" s="41" t="n"/>
      <c r="E2626" s="42" t="n"/>
      <c r="F2626" s="43" t="n"/>
      <c r="G2626" s="44">
        <f>IF(OR(B2626="",F2626=""),"",IFERROR(F2626*INDEX(Mitarbeiter!$F$6:$F$205,MATCH(B2626,Mitarbeiter!$A$6:$A$205,0)),0))</f>
        <v/>
      </c>
      <c r="H2626" s="8">
        <f>IF(B2626="","",IF(ISNA(MATCH(B2626,Mitarbeiter!$A$6:$A$205,0)),"Pers.-Nr. unbekannt",IF(A2626="","Datum fehlt",IF(AND(D2626&lt;&gt;Einstellungen!$C$4,D2626&lt;&gt;Einstellungen!$C$5),"Objekt fehlt",IF(YEAR(A2626)&lt;&gt;Einstellungen!$C$3,"anderes Jahr",IF(A2626&lt;INDEX(Mitarbeiter!$C$6:$C$205,MATCH(B2626,Mitarbeiter!$A$6:$A$205,0)),"vor Eintritt",IF(AND(INDEX(Mitarbeiter!$D$6:$D$205,MATCH(B2626,Mitarbeiter!$A$6:$A$205,0))&lt;&gt;"",A2626&gt;INDEX(Mitarbeiter!$D$6:$D$205,MATCH(B2626,Mitarbeiter!$A$6:$A$205,0))),"nach Austritt","ok")))))))</f>
        <v/>
      </c>
    </row>
    <row r="2627">
      <c r="A2627" s="26" t="n"/>
      <c r="B2627" s="24" t="n"/>
      <c r="C2627" s="40">
        <f>IF(B2627="","",IFERROR(INDEX(Mitarbeiter!$B$6:$B$205,MATCH(B2627,Mitarbeiter!$A$6:$A$205,0)),"?"))</f>
        <v/>
      </c>
      <c r="D2627" s="41" t="n"/>
      <c r="E2627" s="42" t="n"/>
      <c r="F2627" s="43" t="n"/>
      <c r="G2627" s="44">
        <f>IF(OR(B2627="",F2627=""),"",IFERROR(F2627*INDEX(Mitarbeiter!$F$6:$F$205,MATCH(B2627,Mitarbeiter!$A$6:$A$205,0)),0))</f>
        <v/>
      </c>
      <c r="H2627" s="8">
        <f>IF(B2627="","",IF(ISNA(MATCH(B2627,Mitarbeiter!$A$6:$A$205,0)),"Pers.-Nr. unbekannt",IF(A2627="","Datum fehlt",IF(AND(D2627&lt;&gt;Einstellungen!$C$4,D2627&lt;&gt;Einstellungen!$C$5),"Objekt fehlt",IF(YEAR(A2627)&lt;&gt;Einstellungen!$C$3,"anderes Jahr",IF(A2627&lt;INDEX(Mitarbeiter!$C$6:$C$205,MATCH(B2627,Mitarbeiter!$A$6:$A$205,0)),"vor Eintritt",IF(AND(INDEX(Mitarbeiter!$D$6:$D$205,MATCH(B2627,Mitarbeiter!$A$6:$A$205,0))&lt;&gt;"",A2627&gt;INDEX(Mitarbeiter!$D$6:$D$205,MATCH(B2627,Mitarbeiter!$A$6:$A$205,0))),"nach Austritt","ok")))))))</f>
        <v/>
      </c>
    </row>
    <row r="2628">
      <c r="A2628" s="26" t="n"/>
      <c r="B2628" s="24" t="n"/>
      <c r="C2628" s="40">
        <f>IF(B2628="","",IFERROR(INDEX(Mitarbeiter!$B$6:$B$205,MATCH(B2628,Mitarbeiter!$A$6:$A$205,0)),"?"))</f>
        <v/>
      </c>
      <c r="D2628" s="41" t="n"/>
      <c r="E2628" s="42" t="n"/>
      <c r="F2628" s="43" t="n"/>
      <c r="G2628" s="44">
        <f>IF(OR(B2628="",F2628=""),"",IFERROR(F2628*INDEX(Mitarbeiter!$F$6:$F$205,MATCH(B2628,Mitarbeiter!$A$6:$A$205,0)),0))</f>
        <v/>
      </c>
      <c r="H2628" s="8">
        <f>IF(B2628="","",IF(ISNA(MATCH(B2628,Mitarbeiter!$A$6:$A$205,0)),"Pers.-Nr. unbekannt",IF(A2628="","Datum fehlt",IF(AND(D2628&lt;&gt;Einstellungen!$C$4,D2628&lt;&gt;Einstellungen!$C$5),"Objekt fehlt",IF(YEAR(A2628)&lt;&gt;Einstellungen!$C$3,"anderes Jahr",IF(A2628&lt;INDEX(Mitarbeiter!$C$6:$C$205,MATCH(B2628,Mitarbeiter!$A$6:$A$205,0)),"vor Eintritt",IF(AND(INDEX(Mitarbeiter!$D$6:$D$205,MATCH(B2628,Mitarbeiter!$A$6:$A$205,0))&lt;&gt;"",A2628&gt;INDEX(Mitarbeiter!$D$6:$D$205,MATCH(B2628,Mitarbeiter!$A$6:$A$205,0))),"nach Austritt","ok")))))))</f>
        <v/>
      </c>
    </row>
    <row r="2629">
      <c r="A2629" s="26" t="n"/>
      <c r="B2629" s="24" t="n"/>
      <c r="C2629" s="40">
        <f>IF(B2629="","",IFERROR(INDEX(Mitarbeiter!$B$6:$B$205,MATCH(B2629,Mitarbeiter!$A$6:$A$205,0)),"?"))</f>
        <v/>
      </c>
      <c r="D2629" s="41" t="n"/>
      <c r="E2629" s="42" t="n"/>
      <c r="F2629" s="43" t="n"/>
      <c r="G2629" s="44">
        <f>IF(OR(B2629="",F2629=""),"",IFERROR(F2629*INDEX(Mitarbeiter!$F$6:$F$205,MATCH(B2629,Mitarbeiter!$A$6:$A$205,0)),0))</f>
        <v/>
      </c>
      <c r="H2629" s="8">
        <f>IF(B2629="","",IF(ISNA(MATCH(B2629,Mitarbeiter!$A$6:$A$205,0)),"Pers.-Nr. unbekannt",IF(A2629="","Datum fehlt",IF(AND(D2629&lt;&gt;Einstellungen!$C$4,D2629&lt;&gt;Einstellungen!$C$5),"Objekt fehlt",IF(YEAR(A2629)&lt;&gt;Einstellungen!$C$3,"anderes Jahr",IF(A2629&lt;INDEX(Mitarbeiter!$C$6:$C$205,MATCH(B2629,Mitarbeiter!$A$6:$A$205,0)),"vor Eintritt",IF(AND(INDEX(Mitarbeiter!$D$6:$D$205,MATCH(B2629,Mitarbeiter!$A$6:$A$205,0))&lt;&gt;"",A2629&gt;INDEX(Mitarbeiter!$D$6:$D$205,MATCH(B2629,Mitarbeiter!$A$6:$A$205,0))),"nach Austritt","ok")))))))</f>
        <v/>
      </c>
    </row>
    <row r="2630">
      <c r="A2630" s="26" t="n"/>
      <c r="B2630" s="24" t="n"/>
      <c r="C2630" s="40">
        <f>IF(B2630="","",IFERROR(INDEX(Mitarbeiter!$B$6:$B$205,MATCH(B2630,Mitarbeiter!$A$6:$A$205,0)),"?"))</f>
        <v/>
      </c>
      <c r="D2630" s="41" t="n"/>
      <c r="E2630" s="42" t="n"/>
      <c r="F2630" s="43" t="n"/>
      <c r="G2630" s="44">
        <f>IF(OR(B2630="",F2630=""),"",IFERROR(F2630*INDEX(Mitarbeiter!$F$6:$F$205,MATCH(B2630,Mitarbeiter!$A$6:$A$205,0)),0))</f>
        <v/>
      </c>
      <c r="H2630" s="8">
        <f>IF(B2630="","",IF(ISNA(MATCH(B2630,Mitarbeiter!$A$6:$A$205,0)),"Pers.-Nr. unbekannt",IF(A2630="","Datum fehlt",IF(AND(D2630&lt;&gt;Einstellungen!$C$4,D2630&lt;&gt;Einstellungen!$C$5),"Objekt fehlt",IF(YEAR(A2630)&lt;&gt;Einstellungen!$C$3,"anderes Jahr",IF(A2630&lt;INDEX(Mitarbeiter!$C$6:$C$205,MATCH(B2630,Mitarbeiter!$A$6:$A$205,0)),"vor Eintritt",IF(AND(INDEX(Mitarbeiter!$D$6:$D$205,MATCH(B2630,Mitarbeiter!$A$6:$A$205,0))&lt;&gt;"",A2630&gt;INDEX(Mitarbeiter!$D$6:$D$205,MATCH(B2630,Mitarbeiter!$A$6:$A$205,0))),"nach Austritt","ok")))))))</f>
        <v/>
      </c>
    </row>
    <row r="2631">
      <c r="A2631" s="26" t="n"/>
      <c r="B2631" s="24" t="n"/>
      <c r="C2631" s="40">
        <f>IF(B2631="","",IFERROR(INDEX(Mitarbeiter!$B$6:$B$205,MATCH(B2631,Mitarbeiter!$A$6:$A$205,0)),"?"))</f>
        <v/>
      </c>
      <c r="D2631" s="41" t="n"/>
      <c r="E2631" s="42" t="n"/>
      <c r="F2631" s="43" t="n"/>
      <c r="G2631" s="44">
        <f>IF(OR(B2631="",F2631=""),"",IFERROR(F2631*INDEX(Mitarbeiter!$F$6:$F$205,MATCH(B2631,Mitarbeiter!$A$6:$A$205,0)),0))</f>
        <v/>
      </c>
      <c r="H2631" s="8">
        <f>IF(B2631="","",IF(ISNA(MATCH(B2631,Mitarbeiter!$A$6:$A$205,0)),"Pers.-Nr. unbekannt",IF(A2631="","Datum fehlt",IF(AND(D2631&lt;&gt;Einstellungen!$C$4,D2631&lt;&gt;Einstellungen!$C$5),"Objekt fehlt",IF(YEAR(A2631)&lt;&gt;Einstellungen!$C$3,"anderes Jahr",IF(A2631&lt;INDEX(Mitarbeiter!$C$6:$C$205,MATCH(B2631,Mitarbeiter!$A$6:$A$205,0)),"vor Eintritt",IF(AND(INDEX(Mitarbeiter!$D$6:$D$205,MATCH(B2631,Mitarbeiter!$A$6:$A$205,0))&lt;&gt;"",A2631&gt;INDEX(Mitarbeiter!$D$6:$D$205,MATCH(B2631,Mitarbeiter!$A$6:$A$205,0))),"nach Austritt","ok")))))))</f>
        <v/>
      </c>
    </row>
    <row r="2632">
      <c r="A2632" s="26" t="n"/>
      <c r="B2632" s="24" t="n"/>
      <c r="C2632" s="40">
        <f>IF(B2632="","",IFERROR(INDEX(Mitarbeiter!$B$6:$B$205,MATCH(B2632,Mitarbeiter!$A$6:$A$205,0)),"?"))</f>
        <v/>
      </c>
      <c r="D2632" s="41" t="n"/>
      <c r="E2632" s="42" t="n"/>
      <c r="F2632" s="43" t="n"/>
      <c r="G2632" s="44">
        <f>IF(OR(B2632="",F2632=""),"",IFERROR(F2632*INDEX(Mitarbeiter!$F$6:$F$205,MATCH(B2632,Mitarbeiter!$A$6:$A$205,0)),0))</f>
        <v/>
      </c>
      <c r="H2632" s="8">
        <f>IF(B2632="","",IF(ISNA(MATCH(B2632,Mitarbeiter!$A$6:$A$205,0)),"Pers.-Nr. unbekannt",IF(A2632="","Datum fehlt",IF(AND(D2632&lt;&gt;Einstellungen!$C$4,D2632&lt;&gt;Einstellungen!$C$5),"Objekt fehlt",IF(YEAR(A2632)&lt;&gt;Einstellungen!$C$3,"anderes Jahr",IF(A2632&lt;INDEX(Mitarbeiter!$C$6:$C$205,MATCH(B2632,Mitarbeiter!$A$6:$A$205,0)),"vor Eintritt",IF(AND(INDEX(Mitarbeiter!$D$6:$D$205,MATCH(B2632,Mitarbeiter!$A$6:$A$205,0))&lt;&gt;"",A2632&gt;INDEX(Mitarbeiter!$D$6:$D$205,MATCH(B2632,Mitarbeiter!$A$6:$A$205,0))),"nach Austritt","ok")))))))</f>
        <v/>
      </c>
    </row>
    <row r="2633">
      <c r="A2633" s="26" t="n"/>
      <c r="B2633" s="24" t="n"/>
      <c r="C2633" s="40">
        <f>IF(B2633="","",IFERROR(INDEX(Mitarbeiter!$B$6:$B$205,MATCH(B2633,Mitarbeiter!$A$6:$A$205,0)),"?"))</f>
        <v/>
      </c>
      <c r="D2633" s="41" t="n"/>
      <c r="E2633" s="42" t="n"/>
      <c r="F2633" s="43" t="n"/>
      <c r="G2633" s="44">
        <f>IF(OR(B2633="",F2633=""),"",IFERROR(F2633*INDEX(Mitarbeiter!$F$6:$F$205,MATCH(B2633,Mitarbeiter!$A$6:$A$205,0)),0))</f>
        <v/>
      </c>
      <c r="H2633" s="8">
        <f>IF(B2633="","",IF(ISNA(MATCH(B2633,Mitarbeiter!$A$6:$A$205,0)),"Pers.-Nr. unbekannt",IF(A2633="","Datum fehlt",IF(AND(D2633&lt;&gt;Einstellungen!$C$4,D2633&lt;&gt;Einstellungen!$C$5),"Objekt fehlt",IF(YEAR(A2633)&lt;&gt;Einstellungen!$C$3,"anderes Jahr",IF(A2633&lt;INDEX(Mitarbeiter!$C$6:$C$205,MATCH(B2633,Mitarbeiter!$A$6:$A$205,0)),"vor Eintritt",IF(AND(INDEX(Mitarbeiter!$D$6:$D$205,MATCH(B2633,Mitarbeiter!$A$6:$A$205,0))&lt;&gt;"",A2633&gt;INDEX(Mitarbeiter!$D$6:$D$205,MATCH(B2633,Mitarbeiter!$A$6:$A$205,0))),"nach Austritt","ok")))))))</f>
        <v/>
      </c>
    </row>
    <row r="2634">
      <c r="A2634" s="26" t="n"/>
      <c r="B2634" s="24" t="n"/>
      <c r="C2634" s="40">
        <f>IF(B2634="","",IFERROR(INDEX(Mitarbeiter!$B$6:$B$205,MATCH(B2634,Mitarbeiter!$A$6:$A$205,0)),"?"))</f>
        <v/>
      </c>
      <c r="D2634" s="41" t="n"/>
      <c r="E2634" s="42" t="n"/>
      <c r="F2634" s="43" t="n"/>
      <c r="G2634" s="44">
        <f>IF(OR(B2634="",F2634=""),"",IFERROR(F2634*INDEX(Mitarbeiter!$F$6:$F$205,MATCH(B2634,Mitarbeiter!$A$6:$A$205,0)),0))</f>
        <v/>
      </c>
      <c r="H2634" s="8">
        <f>IF(B2634="","",IF(ISNA(MATCH(B2634,Mitarbeiter!$A$6:$A$205,0)),"Pers.-Nr. unbekannt",IF(A2634="","Datum fehlt",IF(AND(D2634&lt;&gt;Einstellungen!$C$4,D2634&lt;&gt;Einstellungen!$C$5),"Objekt fehlt",IF(YEAR(A2634)&lt;&gt;Einstellungen!$C$3,"anderes Jahr",IF(A2634&lt;INDEX(Mitarbeiter!$C$6:$C$205,MATCH(B2634,Mitarbeiter!$A$6:$A$205,0)),"vor Eintritt",IF(AND(INDEX(Mitarbeiter!$D$6:$D$205,MATCH(B2634,Mitarbeiter!$A$6:$A$205,0))&lt;&gt;"",A2634&gt;INDEX(Mitarbeiter!$D$6:$D$205,MATCH(B2634,Mitarbeiter!$A$6:$A$205,0))),"nach Austritt","ok")))))))</f>
        <v/>
      </c>
    </row>
    <row r="2635">
      <c r="A2635" s="26" t="n"/>
      <c r="B2635" s="24" t="n"/>
      <c r="C2635" s="40">
        <f>IF(B2635="","",IFERROR(INDEX(Mitarbeiter!$B$6:$B$205,MATCH(B2635,Mitarbeiter!$A$6:$A$205,0)),"?"))</f>
        <v/>
      </c>
      <c r="D2635" s="41" t="n"/>
      <c r="E2635" s="42" t="n"/>
      <c r="F2635" s="43" t="n"/>
      <c r="G2635" s="44">
        <f>IF(OR(B2635="",F2635=""),"",IFERROR(F2635*INDEX(Mitarbeiter!$F$6:$F$205,MATCH(B2635,Mitarbeiter!$A$6:$A$205,0)),0))</f>
        <v/>
      </c>
      <c r="H2635" s="8">
        <f>IF(B2635="","",IF(ISNA(MATCH(B2635,Mitarbeiter!$A$6:$A$205,0)),"Pers.-Nr. unbekannt",IF(A2635="","Datum fehlt",IF(AND(D2635&lt;&gt;Einstellungen!$C$4,D2635&lt;&gt;Einstellungen!$C$5),"Objekt fehlt",IF(YEAR(A2635)&lt;&gt;Einstellungen!$C$3,"anderes Jahr",IF(A2635&lt;INDEX(Mitarbeiter!$C$6:$C$205,MATCH(B2635,Mitarbeiter!$A$6:$A$205,0)),"vor Eintritt",IF(AND(INDEX(Mitarbeiter!$D$6:$D$205,MATCH(B2635,Mitarbeiter!$A$6:$A$205,0))&lt;&gt;"",A2635&gt;INDEX(Mitarbeiter!$D$6:$D$205,MATCH(B2635,Mitarbeiter!$A$6:$A$205,0))),"nach Austritt","ok")))))))</f>
        <v/>
      </c>
    </row>
    <row r="2636">
      <c r="A2636" s="26" t="n"/>
      <c r="B2636" s="24" t="n"/>
      <c r="C2636" s="40">
        <f>IF(B2636="","",IFERROR(INDEX(Mitarbeiter!$B$6:$B$205,MATCH(B2636,Mitarbeiter!$A$6:$A$205,0)),"?"))</f>
        <v/>
      </c>
      <c r="D2636" s="41" t="n"/>
      <c r="E2636" s="42" t="n"/>
      <c r="F2636" s="43" t="n"/>
      <c r="G2636" s="44">
        <f>IF(OR(B2636="",F2636=""),"",IFERROR(F2636*INDEX(Mitarbeiter!$F$6:$F$205,MATCH(B2636,Mitarbeiter!$A$6:$A$205,0)),0))</f>
        <v/>
      </c>
      <c r="H2636" s="8">
        <f>IF(B2636="","",IF(ISNA(MATCH(B2636,Mitarbeiter!$A$6:$A$205,0)),"Pers.-Nr. unbekannt",IF(A2636="","Datum fehlt",IF(AND(D2636&lt;&gt;Einstellungen!$C$4,D2636&lt;&gt;Einstellungen!$C$5),"Objekt fehlt",IF(YEAR(A2636)&lt;&gt;Einstellungen!$C$3,"anderes Jahr",IF(A2636&lt;INDEX(Mitarbeiter!$C$6:$C$205,MATCH(B2636,Mitarbeiter!$A$6:$A$205,0)),"vor Eintritt",IF(AND(INDEX(Mitarbeiter!$D$6:$D$205,MATCH(B2636,Mitarbeiter!$A$6:$A$205,0))&lt;&gt;"",A2636&gt;INDEX(Mitarbeiter!$D$6:$D$205,MATCH(B2636,Mitarbeiter!$A$6:$A$205,0))),"nach Austritt","ok")))))))</f>
        <v/>
      </c>
    </row>
    <row r="2637">
      <c r="A2637" s="26" t="n"/>
      <c r="B2637" s="24" t="n"/>
      <c r="C2637" s="40">
        <f>IF(B2637="","",IFERROR(INDEX(Mitarbeiter!$B$6:$B$205,MATCH(B2637,Mitarbeiter!$A$6:$A$205,0)),"?"))</f>
        <v/>
      </c>
      <c r="D2637" s="41" t="n"/>
      <c r="E2637" s="42" t="n"/>
      <c r="F2637" s="43" t="n"/>
      <c r="G2637" s="44">
        <f>IF(OR(B2637="",F2637=""),"",IFERROR(F2637*INDEX(Mitarbeiter!$F$6:$F$205,MATCH(B2637,Mitarbeiter!$A$6:$A$205,0)),0))</f>
        <v/>
      </c>
      <c r="H2637" s="8">
        <f>IF(B2637="","",IF(ISNA(MATCH(B2637,Mitarbeiter!$A$6:$A$205,0)),"Pers.-Nr. unbekannt",IF(A2637="","Datum fehlt",IF(AND(D2637&lt;&gt;Einstellungen!$C$4,D2637&lt;&gt;Einstellungen!$C$5),"Objekt fehlt",IF(YEAR(A2637)&lt;&gt;Einstellungen!$C$3,"anderes Jahr",IF(A2637&lt;INDEX(Mitarbeiter!$C$6:$C$205,MATCH(B2637,Mitarbeiter!$A$6:$A$205,0)),"vor Eintritt",IF(AND(INDEX(Mitarbeiter!$D$6:$D$205,MATCH(B2637,Mitarbeiter!$A$6:$A$205,0))&lt;&gt;"",A2637&gt;INDEX(Mitarbeiter!$D$6:$D$205,MATCH(B2637,Mitarbeiter!$A$6:$A$205,0))),"nach Austritt","ok")))))))</f>
        <v/>
      </c>
    </row>
    <row r="2638">
      <c r="A2638" s="26" t="n"/>
      <c r="B2638" s="24" t="n"/>
      <c r="C2638" s="40">
        <f>IF(B2638="","",IFERROR(INDEX(Mitarbeiter!$B$6:$B$205,MATCH(B2638,Mitarbeiter!$A$6:$A$205,0)),"?"))</f>
        <v/>
      </c>
      <c r="D2638" s="41" t="n"/>
      <c r="E2638" s="42" t="n"/>
      <c r="F2638" s="43" t="n"/>
      <c r="G2638" s="44">
        <f>IF(OR(B2638="",F2638=""),"",IFERROR(F2638*INDEX(Mitarbeiter!$F$6:$F$205,MATCH(B2638,Mitarbeiter!$A$6:$A$205,0)),0))</f>
        <v/>
      </c>
      <c r="H2638" s="8">
        <f>IF(B2638="","",IF(ISNA(MATCH(B2638,Mitarbeiter!$A$6:$A$205,0)),"Pers.-Nr. unbekannt",IF(A2638="","Datum fehlt",IF(AND(D2638&lt;&gt;Einstellungen!$C$4,D2638&lt;&gt;Einstellungen!$C$5),"Objekt fehlt",IF(YEAR(A2638)&lt;&gt;Einstellungen!$C$3,"anderes Jahr",IF(A2638&lt;INDEX(Mitarbeiter!$C$6:$C$205,MATCH(B2638,Mitarbeiter!$A$6:$A$205,0)),"vor Eintritt",IF(AND(INDEX(Mitarbeiter!$D$6:$D$205,MATCH(B2638,Mitarbeiter!$A$6:$A$205,0))&lt;&gt;"",A2638&gt;INDEX(Mitarbeiter!$D$6:$D$205,MATCH(B2638,Mitarbeiter!$A$6:$A$205,0))),"nach Austritt","ok")))))))</f>
        <v/>
      </c>
    </row>
    <row r="2639">
      <c r="A2639" s="26" t="n"/>
      <c r="B2639" s="24" t="n"/>
      <c r="C2639" s="40">
        <f>IF(B2639="","",IFERROR(INDEX(Mitarbeiter!$B$6:$B$205,MATCH(B2639,Mitarbeiter!$A$6:$A$205,0)),"?"))</f>
        <v/>
      </c>
      <c r="D2639" s="41" t="n"/>
      <c r="E2639" s="42" t="n"/>
      <c r="F2639" s="43" t="n"/>
      <c r="G2639" s="44">
        <f>IF(OR(B2639="",F2639=""),"",IFERROR(F2639*INDEX(Mitarbeiter!$F$6:$F$205,MATCH(B2639,Mitarbeiter!$A$6:$A$205,0)),0))</f>
        <v/>
      </c>
      <c r="H2639" s="8">
        <f>IF(B2639="","",IF(ISNA(MATCH(B2639,Mitarbeiter!$A$6:$A$205,0)),"Pers.-Nr. unbekannt",IF(A2639="","Datum fehlt",IF(AND(D2639&lt;&gt;Einstellungen!$C$4,D2639&lt;&gt;Einstellungen!$C$5),"Objekt fehlt",IF(YEAR(A2639)&lt;&gt;Einstellungen!$C$3,"anderes Jahr",IF(A2639&lt;INDEX(Mitarbeiter!$C$6:$C$205,MATCH(B2639,Mitarbeiter!$A$6:$A$205,0)),"vor Eintritt",IF(AND(INDEX(Mitarbeiter!$D$6:$D$205,MATCH(B2639,Mitarbeiter!$A$6:$A$205,0))&lt;&gt;"",A2639&gt;INDEX(Mitarbeiter!$D$6:$D$205,MATCH(B2639,Mitarbeiter!$A$6:$A$205,0))),"nach Austritt","ok")))))))</f>
        <v/>
      </c>
    </row>
    <row r="2640">
      <c r="A2640" s="26" t="n"/>
      <c r="B2640" s="24" t="n"/>
      <c r="C2640" s="40">
        <f>IF(B2640="","",IFERROR(INDEX(Mitarbeiter!$B$6:$B$205,MATCH(B2640,Mitarbeiter!$A$6:$A$205,0)),"?"))</f>
        <v/>
      </c>
      <c r="D2640" s="41" t="n"/>
      <c r="E2640" s="42" t="n"/>
      <c r="F2640" s="43" t="n"/>
      <c r="G2640" s="44">
        <f>IF(OR(B2640="",F2640=""),"",IFERROR(F2640*INDEX(Mitarbeiter!$F$6:$F$205,MATCH(B2640,Mitarbeiter!$A$6:$A$205,0)),0))</f>
        <v/>
      </c>
      <c r="H2640" s="8">
        <f>IF(B2640="","",IF(ISNA(MATCH(B2640,Mitarbeiter!$A$6:$A$205,0)),"Pers.-Nr. unbekannt",IF(A2640="","Datum fehlt",IF(AND(D2640&lt;&gt;Einstellungen!$C$4,D2640&lt;&gt;Einstellungen!$C$5),"Objekt fehlt",IF(YEAR(A2640)&lt;&gt;Einstellungen!$C$3,"anderes Jahr",IF(A2640&lt;INDEX(Mitarbeiter!$C$6:$C$205,MATCH(B2640,Mitarbeiter!$A$6:$A$205,0)),"vor Eintritt",IF(AND(INDEX(Mitarbeiter!$D$6:$D$205,MATCH(B2640,Mitarbeiter!$A$6:$A$205,0))&lt;&gt;"",A2640&gt;INDEX(Mitarbeiter!$D$6:$D$205,MATCH(B2640,Mitarbeiter!$A$6:$A$205,0))),"nach Austritt","ok")))))))</f>
        <v/>
      </c>
    </row>
    <row r="2641">
      <c r="A2641" s="26" t="n"/>
      <c r="B2641" s="24" t="n"/>
      <c r="C2641" s="40">
        <f>IF(B2641="","",IFERROR(INDEX(Mitarbeiter!$B$6:$B$205,MATCH(B2641,Mitarbeiter!$A$6:$A$205,0)),"?"))</f>
        <v/>
      </c>
      <c r="D2641" s="41" t="n"/>
      <c r="E2641" s="42" t="n"/>
      <c r="F2641" s="43" t="n"/>
      <c r="G2641" s="44">
        <f>IF(OR(B2641="",F2641=""),"",IFERROR(F2641*INDEX(Mitarbeiter!$F$6:$F$205,MATCH(B2641,Mitarbeiter!$A$6:$A$205,0)),0))</f>
        <v/>
      </c>
      <c r="H2641" s="8">
        <f>IF(B2641="","",IF(ISNA(MATCH(B2641,Mitarbeiter!$A$6:$A$205,0)),"Pers.-Nr. unbekannt",IF(A2641="","Datum fehlt",IF(AND(D2641&lt;&gt;Einstellungen!$C$4,D2641&lt;&gt;Einstellungen!$C$5),"Objekt fehlt",IF(YEAR(A2641)&lt;&gt;Einstellungen!$C$3,"anderes Jahr",IF(A2641&lt;INDEX(Mitarbeiter!$C$6:$C$205,MATCH(B2641,Mitarbeiter!$A$6:$A$205,0)),"vor Eintritt",IF(AND(INDEX(Mitarbeiter!$D$6:$D$205,MATCH(B2641,Mitarbeiter!$A$6:$A$205,0))&lt;&gt;"",A2641&gt;INDEX(Mitarbeiter!$D$6:$D$205,MATCH(B2641,Mitarbeiter!$A$6:$A$205,0))),"nach Austritt","ok")))))))</f>
        <v/>
      </c>
    </row>
    <row r="2642">
      <c r="A2642" s="26" t="n"/>
      <c r="B2642" s="24" t="n"/>
      <c r="C2642" s="40">
        <f>IF(B2642="","",IFERROR(INDEX(Mitarbeiter!$B$6:$B$205,MATCH(B2642,Mitarbeiter!$A$6:$A$205,0)),"?"))</f>
        <v/>
      </c>
      <c r="D2642" s="41" t="n"/>
      <c r="E2642" s="42" t="n"/>
      <c r="F2642" s="43" t="n"/>
      <c r="G2642" s="44">
        <f>IF(OR(B2642="",F2642=""),"",IFERROR(F2642*INDEX(Mitarbeiter!$F$6:$F$205,MATCH(B2642,Mitarbeiter!$A$6:$A$205,0)),0))</f>
        <v/>
      </c>
      <c r="H2642" s="8">
        <f>IF(B2642="","",IF(ISNA(MATCH(B2642,Mitarbeiter!$A$6:$A$205,0)),"Pers.-Nr. unbekannt",IF(A2642="","Datum fehlt",IF(AND(D2642&lt;&gt;Einstellungen!$C$4,D2642&lt;&gt;Einstellungen!$C$5),"Objekt fehlt",IF(YEAR(A2642)&lt;&gt;Einstellungen!$C$3,"anderes Jahr",IF(A2642&lt;INDEX(Mitarbeiter!$C$6:$C$205,MATCH(B2642,Mitarbeiter!$A$6:$A$205,0)),"vor Eintritt",IF(AND(INDEX(Mitarbeiter!$D$6:$D$205,MATCH(B2642,Mitarbeiter!$A$6:$A$205,0))&lt;&gt;"",A2642&gt;INDEX(Mitarbeiter!$D$6:$D$205,MATCH(B2642,Mitarbeiter!$A$6:$A$205,0))),"nach Austritt","ok")))))))</f>
        <v/>
      </c>
    </row>
    <row r="2643">
      <c r="A2643" s="26" t="n"/>
      <c r="B2643" s="24" t="n"/>
      <c r="C2643" s="40">
        <f>IF(B2643="","",IFERROR(INDEX(Mitarbeiter!$B$6:$B$205,MATCH(B2643,Mitarbeiter!$A$6:$A$205,0)),"?"))</f>
        <v/>
      </c>
      <c r="D2643" s="41" t="n"/>
      <c r="E2643" s="42" t="n"/>
      <c r="F2643" s="43" t="n"/>
      <c r="G2643" s="44">
        <f>IF(OR(B2643="",F2643=""),"",IFERROR(F2643*INDEX(Mitarbeiter!$F$6:$F$205,MATCH(B2643,Mitarbeiter!$A$6:$A$205,0)),0))</f>
        <v/>
      </c>
      <c r="H2643" s="8">
        <f>IF(B2643="","",IF(ISNA(MATCH(B2643,Mitarbeiter!$A$6:$A$205,0)),"Pers.-Nr. unbekannt",IF(A2643="","Datum fehlt",IF(AND(D2643&lt;&gt;Einstellungen!$C$4,D2643&lt;&gt;Einstellungen!$C$5),"Objekt fehlt",IF(YEAR(A2643)&lt;&gt;Einstellungen!$C$3,"anderes Jahr",IF(A2643&lt;INDEX(Mitarbeiter!$C$6:$C$205,MATCH(B2643,Mitarbeiter!$A$6:$A$205,0)),"vor Eintritt",IF(AND(INDEX(Mitarbeiter!$D$6:$D$205,MATCH(B2643,Mitarbeiter!$A$6:$A$205,0))&lt;&gt;"",A2643&gt;INDEX(Mitarbeiter!$D$6:$D$205,MATCH(B2643,Mitarbeiter!$A$6:$A$205,0))),"nach Austritt","ok")))))))</f>
        <v/>
      </c>
    </row>
    <row r="2644">
      <c r="A2644" s="26" t="n"/>
      <c r="B2644" s="24" t="n"/>
      <c r="C2644" s="40">
        <f>IF(B2644="","",IFERROR(INDEX(Mitarbeiter!$B$6:$B$205,MATCH(B2644,Mitarbeiter!$A$6:$A$205,0)),"?"))</f>
        <v/>
      </c>
      <c r="D2644" s="41" t="n"/>
      <c r="E2644" s="42" t="n"/>
      <c r="F2644" s="43" t="n"/>
      <c r="G2644" s="44">
        <f>IF(OR(B2644="",F2644=""),"",IFERROR(F2644*INDEX(Mitarbeiter!$F$6:$F$205,MATCH(B2644,Mitarbeiter!$A$6:$A$205,0)),0))</f>
        <v/>
      </c>
      <c r="H2644" s="8">
        <f>IF(B2644="","",IF(ISNA(MATCH(B2644,Mitarbeiter!$A$6:$A$205,0)),"Pers.-Nr. unbekannt",IF(A2644="","Datum fehlt",IF(AND(D2644&lt;&gt;Einstellungen!$C$4,D2644&lt;&gt;Einstellungen!$C$5),"Objekt fehlt",IF(YEAR(A2644)&lt;&gt;Einstellungen!$C$3,"anderes Jahr",IF(A2644&lt;INDEX(Mitarbeiter!$C$6:$C$205,MATCH(B2644,Mitarbeiter!$A$6:$A$205,0)),"vor Eintritt",IF(AND(INDEX(Mitarbeiter!$D$6:$D$205,MATCH(B2644,Mitarbeiter!$A$6:$A$205,0))&lt;&gt;"",A2644&gt;INDEX(Mitarbeiter!$D$6:$D$205,MATCH(B2644,Mitarbeiter!$A$6:$A$205,0))),"nach Austritt","ok")))))))</f>
        <v/>
      </c>
    </row>
    <row r="2645">
      <c r="A2645" s="26" t="n"/>
      <c r="B2645" s="24" t="n"/>
      <c r="C2645" s="40">
        <f>IF(B2645="","",IFERROR(INDEX(Mitarbeiter!$B$6:$B$205,MATCH(B2645,Mitarbeiter!$A$6:$A$205,0)),"?"))</f>
        <v/>
      </c>
      <c r="D2645" s="41" t="n"/>
      <c r="E2645" s="42" t="n"/>
      <c r="F2645" s="43" t="n"/>
      <c r="G2645" s="44">
        <f>IF(OR(B2645="",F2645=""),"",IFERROR(F2645*INDEX(Mitarbeiter!$F$6:$F$205,MATCH(B2645,Mitarbeiter!$A$6:$A$205,0)),0))</f>
        <v/>
      </c>
      <c r="H2645" s="8">
        <f>IF(B2645="","",IF(ISNA(MATCH(B2645,Mitarbeiter!$A$6:$A$205,0)),"Pers.-Nr. unbekannt",IF(A2645="","Datum fehlt",IF(AND(D2645&lt;&gt;Einstellungen!$C$4,D2645&lt;&gt;Einstellungen!$C$5),"Objekt fehlt",IF(YEAR(A2645)&lt;&gt;Einstellungen!$C$3,"anderes Jahr",IF(A2645&lt;INDEX(Mitarbeiter!$C$6:$C$205,MATCH(B2645,Mitarbeiter!$A$6:$A$205,0)),"vor Eintritt",IF(AND(INDEX(Mitarbeiter!$D$6:$D$205,MATCH(B2645,Mitarbeiter!$A$6:$A$205,0))&lt;&gt;"",A2645&gt;INDEX(Mitarbeiter!$D$6:$D$205,MATCH(B2645,Mitarbeiter!$A$6:$A$205,0))),"nach Austritt","ok")))))))</f>
        <v/>
      </c>
    </row>
    <row r="2646">
      <c r="A2646" s="26" t="n"/>
      <c r="B2646" s="24" t="n"/>
      <c r="C2646" s="40">
        <f>IF(B2646="","",IFERROR(INDEX(Mitarbeiter!$B$6:$B$205,MATCH(B2646,Mitarbeiter!$A$6:$A$205,0)),"?"))</f>
        <v/>
      </c>
      <c r="D2646" s="41" t="n"/>
      <c r="E2646" s="42" t="n"/>
      <c r="F2646" s="43" t="n"/>
      <c r="G2646" s="44">
        <f>IF(OR(B2646="",F2646=""),"",IFERROR(F2646*INDEX(Mitarbeiter!$F$6:$F$205,MATCH(B2646,Mitarbeiter!$A$6:$A$205,0)),0))</f>
        <v/>
      </c>
      <c r="H2646" s="8">
        <f>IF(B2646="","",IF(ISNA(MATCH(B2646,Mitarbeiter!$A$6:$A$205,0)),"Pers.-Nr. unbekannt",IF(A2646="","Datum fehlt",IF(AND(D2646&lt;&gt;Einstellungen!$C$4,D2646&lt;&gt;Einstellungen!$C$5),"Objekt fehlt",IF(YEAR(A2646)&lt;&gt;Einstellungen!$C$3,"anderes Jahr",IF(A2646&lt;INDEX(Mitarbeiter!$C$6:$C$205,MATCH(B2646,Mitarbeiter!$A$6:$A$205,0)),"vor Eintritt",IF(AND(INDEX(Mitarbeiter!$D$6:$D$205,MATCH(B2646,Mitarbeiter!$A$6:$A$205,0))&lt;&gt;"",A2646&gt;INDEX(Mitarbeiter!$D$6:$D$205,MATCH(B2646,Mitarbeiter!$A$6:$A$205,0))),"nach Austritt","ok")))))))</f>
        <v/>
      </c>
    </row>
    <row r="2647">
      <c r="A2647" s="26" t="n"/>
      <c r="B2647" s="24" t="n"/>
      <c r="C2647" s="40">
        <f>IF(B2647="","",IFERROR(INDEX(Mitarbeiter!$B$6:$B$205,MATCH(B2647,Mitarbeiter!$A$6:$A$205,0)),"?"))</f>
        <v/>
      </c>
      <c r="D2647" s="41" t="n"/>
      <c r="E2647" s="42" t="n"/>
      <c r="F2647" s="43" t="n"/>
      <c r="G2647" s="44">
        <f>IF(OR(B2647="",F2647=""),"",IFERROR(F2647*INDEX(Mitarbeiter!$F$6:$F$205,MATCH(B2647,Mitarbeiter!$A$6:$A$205,0)),0))</f>
        <v/>
      </c>
      <c r="H2647" s="8">
        <f>IF(B2647="","",IF(ISNA(MATCH(B2647,Mitarbeiter!$A$6:$A$205,0)),"Pers.-Nr. unbekannt",IF(A2647="","Datum fehlt",IF(AND(D2647&lt;&gt;Einstellungen!$C$4,D2647&lt;&gt;Einstellungen!$C$5),"Objekt fehlt",IF(YEAR(A2647)&lt;&gt;Einstellungen!$C$3,"anderes Jahr",IF(A2647&lt;INDEX(Mitarbeiter!$C$6:$C$205,MATCH(B2647,Mitarbeiter!$A$6:$A$205,0)),"vor Eintritt",IF(AND(INDEX(Mitarbeiter!$D$6:$D$205,MATCH(B2647,Mitarbeiter!$A$6:$A$205,0))&lt;&gt;"",A2647&gt;INDEX(Mitarbeiter!$D$6:$D$205,MATCH(B2647,Mitarbeiter!$A$6:$A$205,0))),"nach Austritt","ok")))))))</f>
        <v/>
      </c>
    </row>
    <row r="2648">
      <c r="A2648" s="26" t="n"/>
      <c r="B2648" s="24" t="n"/>
      <c r="C2648" s="40">
        <f>IF(B2648="","",IFERROR(INDEX(Mitarbeiter!$B$6:$B$205,MATCH(B2648,Mitarbeiter!$A$6:$A$205,0)),"?"))</f>
        <v/>
      </c>
      <c r="D2648" s="41" t="n"/>
      <c r="E2648" s="42" t="n"/>
      <c r="F2648" s="43" t="n"/>
      <c r="G2648" s="44">
        <f>IF(OR(B2648="",F2648=""),"",IFERROR(F2648*INDEX(Mitarbeiter!$F$6:$F$205,MATCH(B2648,Mitarbeiter!$A$6:$A$205,0)),0))</f>
        <v/>
      </c>
      <c r="H2648" s="8">
        <f>IF(B2648="","",IF(ISNA(MATCH(B2648,Mitarbeiter!$A$6:$A$205,0)),"Pers.-Nr. unbekannt",IF(A2648="","Datum fehlt",IF(AND(D2648&lt;&gt;Einstellungen!$C$4,D2648&lt;&gt;Einstellungen!$C$5),"Objekt fehlt",IF(YEAR(A2648)&lt;&gt;Einstellungen!$C$3,"anderes Jahr",IF(A2648&lt;INDEX(Mitarbeiter!$C$6:$C$205,MATCH(B2648,Mitarbeiter!$A$6:$A$205,0)),"vor Eintritt",IF(AND(INDEX(Mitarbeiter!$D$6:$D$205,MATCH(B2648,Mitarbeiter!$A$6:$A$205,0))&lt;&gt;"",A2648&gt;INDEX(Mitarbeiter!$D$6:$D$205,MATCH(B2648,Mitarbeiter!$A$6:$A$205,0))),"nach Austritt","ok")))))))</f>
        <v/>
      </c>
    </row>
    <row r="2649">
      <c r="A2649" s="26" t="n"/>
      <c r="B2649" s="24" t="n"/>
      <c r="C2649" s="40">
        <f>IF(B2649="","",IFERROR(INDEX(Mitarbeiter!$B$6:$B$205,MATCH(B2649,Mitarbeiter!$A$6:$A$205,0)),"?"))</f>
        <v/>
      </c>
      <c r="D2649" s="41" t="n"/>
      <c r="E2649" s="42" t="n"/>
      <c r="F2649" s="43" t="n"/>
      <c r="G2649" s="44">
        <f>IF(OR(B2649="",F2649=""),"",IFERROR(F2649*INDEX(Mitarbeiter!$F$6:$F$205,MATCH(B2649,Mitarbeiter!$A$6:$A$205,0)),0))</f>
        <v/>
      </c>
      <c r="H2649" s="8">
        <f>IF(B2649="","",IF(ISNA(MATCH(B2649,Mitarbeiter!$A$6:$A$205,0)),"Pers.-Nr. unbekannt",IF(A2649="","Datum fehlt",IF(AND(D2649&lt;&gt;Einstellungen!$C$4,D2649&lt;&gt;Einstellungen!$C$5),"Objekt fehlt",IF(YEAR(A2649)&lt;&gt;Einstellungen!$C$3,"anderes Jahr",IF(A2649&lt;INDEX(Mitarbeiter!$C$6:$C$205,MATCH(B2649,Mitarbeiter!$A$6:$A$205,0)),"vor Eintritt",IF(AND(INDEX(Mitarbeiter!$D$6:$D$205,MATCH(B2649,Mitarbeiter!$A$6:$A$205,0))&lt;&gt;"",A2649&gt;INDEX(Mitarbeiter!$D$6:$D$205,MATCH(B2649,Mitarbeiter!$A$6:$A$205,0))),"nach Austritt","ok")))))))</f>
        <v/>
      </c>
    </row>
    <row r="2650">
      <c r="A2650" s="26" t="n"/>
      <c r="B2650" s="24" t="n"/>
      <c r="C2650" s="40">
        <f>IF(B2650="","",IFERROR(INDEX(Mitarbeiter!$B$6:$B$205,MATCH(B2650,Mitarbeiter!$A$6:$A$205,0)),"?"))</f>
        <v/>
      </c>
      <c r="D2650" s="41" t="n"/>
      <c r="E2650" s="42" t="n"/>
      <c r="F2650" s="43" t="n"/>
      <c r="G2650" s="44">
        <f>IF(OR(B2650="",F2650=""),"",IFERROR(F2650*INDEX(Mitarbeiter!$F$6:$F$205,MATCH(B2650,Mitarbeiter!$A$6:$A$205,0)),0))</f>
        <v/>
      </c>
      <c r="H2650" s="8">
        <f>IF(B2650="","",IF(ISNA(MATCH(B2650,Mitarbeiter!$A$6:$A$205,0)),"Pers.-Nr. unbekannt",IF(A2650="","Datum fehlt",IF(AND(D2650&lt;&gt;Einstellungen!$C$4,D2650&lt;&gt;Einstellungen!$C$5),"Objekt fehlt",IF(YEAR(A2650)&lt;&gt;Einstellungen!$C$3,"anderes Jahr",IF(A2650&lt;INDEX(Mitarbeiter!$C$6:$C$205,MATCH(B2650,Mitarbeiter!$A$6:$A$205,0)),"vor Eintritt",IF(AND(INDEX(Mitarbeiter!$D$6:$D$205,MATCH(B2650,Mitarbeiter!$A$6:$A$205,0))&lt;&gt;"",A2650&gt;INDEX(Mitarbeiter!$D$6:$D$205,MATCH(B2650,Mitarbeiter!$A$6:$A$205,0))),"nach Austritt","ok")))))))</f>
        <v/>
      </c>
    </row>
    <row r="2651">
      <c r="A2651" s="26" t="n"/>
      <c r="B2651" s="24" t="n"/>
      <c r="C2651" s="40">
        <f>IF(B2651="","",IFERROR(INDEX(Mitarbeiter!$B$6:$B$205,MATCH(B2651,Mitarbeiter!$A$6:$A$205,0)),"?"))</f>
        <v/>
      </c>
      <c r="D2651" s="41" t="n"/>
      <c r="E2651" s="42" t="n"/>
      <c r="F2651" s="43" t="n"/>
      <c r="G2651" s="44">
        <f>IF(OR(B2651="",F2651=""),"",IFERROR(F2651*INDEX(Mitarbeiter!$F$6:$F$205,MATCH(B2651,Mitarbeiter!$A$6:$A$205,0)),0))</f>
        <v/>
      </c>
      <c r="H2651" s="8">
        <f>IF(B2651="","",IF(ISNA(MATCH(B2651,Mitarbeiter!$A$6:$A$205,0)),"Pers.-Nr. unbekannt",IF(A2651="","Datum fehlt",IF(AND(D2651&lt;&gt;Einstellungen!$C$4,D2651&lt;&gt;Einstellungen!$C$5),"Objekt fehlt",IF(YEAR(A2651)&lt;&gt;Einstellungen!$C$3,"anderes Jahr",IF(A2651&lt;INDEX(Mitarbeiter!$C$6:$C$205,MATCH(B2651,Mitarbeiter!$A$6:$A$205,0)),"vor Eintritt",IF(AND(INDEX(Mitarbeiter!$D$6:$D$205,MATCH(B2651,Mitarbeiter!$A$6:$A$205,0))&lt;&gt;"",A2651&gt;INDEX(Mitarbeiter!$D$6:$D$205,MATCH(B2651,Mitarbeiter!$A$6:$A$205,0))),"nach Austritt","ok")))))))</f>
        <v/>
      </c>
    </row>
    <row r="2652">
      <c r="A2652" s="26" t="n"/>
      <c r="B2652" s="24" t="n"/>
      <c r="C2652" s="40">
        <f>IF(B2652="","",IFERROR(INDEX(Mitarbeiter!$B$6:$B$205,MATCH(B2652,Mitarbeiter!$A$6:$A$205,0)),"?"))</f>
        <v/>
      </c>
      <c r="D2652" s="41" t="n"/>
      <c r="E2652" s="42" t="n"/>
      <c r="F2652" s="43" t="n"/>
      <c r="G2652" s="44">
        <f>IF(OR(B2652="",F2652=""),"",IFERROR(F2652*INDEX(Mitarbeiter!$F$6:$F$205,MATCH(B2652,Mitarbeiter!$A$6:$A$205,0)),0))</f>
        <v/>
      </c>
      <c r="H2652" s="8">
        <f>IF(B2652="","",IF(ISNA(MATCH(B2652,Mitarbeiter!$A$6:$A$205,0)),"Pers.-Nr. unbekannt",IF(A2652="","Datum fehlt",IF(AND(D2652&lt;&gt;Einstellungen!$C$4,D2652&lt;&gt;Einstellungen!$C$5),"Objekt fehlt",IF(YEAR(A2652)&lt;&gt;Einstellungen!$C$3,"anderes Jahr",IF(A2652&lt;INDEX(Mitarbeiter!$C$6:$C$205,MATCH(B2652,Mitarbeiter!$A$6:$A$205,0)),"vor Eintritt",IF(AND(INDEX(Mitarbeiter!$D$6:$D$205,MATCH(B2652,Mitarbeiter!$A$6:$A$205,0))&lt;&gt;"",A2652&gt;INDEX(Mitarbeiter!$D$6:$D$205,MATCH(B2652,Mitarbeiter!$A$6:$A$205,0))),"nach Austritt","ok")))))))</f>
        <v/>
      </c>
    </row>
    <row r="2653">
      <c r="A2653" s="26" t="n"/>
      <c r="B2653" s="24" t="n"/>
      <c r="C2653" s="40">
        <f>IF(B2653="","",IFERROR(INDEX(Mitarbeiter!$B$6:$B$205,MATCH(B2653,Mitarbeiter!$A$6:$A$205,0)),"?"))</f>
        <v/>
      </c>
      <c r="D2653" s="41" t="n"/>
      <c r="E2653" s="42" t="n"/>
      <c r="F2653" s="43" t="n"/>
      <c r="G2653" s="44">
        <f>IF(OR(B2653="",F2653=""),"",IFERROR(F2653*INDEX(Mitarbeiter!$F$6:$F$205,MATCH(B2653,Mitarbeiter!$A$6:$A$205,0)),0))</f>
        <v/>
      </c>
      <c r="H2653" s="8">
        <f>IF(B2653="","",IF(ISNA(MATCH(B2653,Mitarbeiter!$A$6:$A$205,0)),"Pers.-Nr. unbekannt",IF(A2653="","Datum fehlt",IF(AND(D2653&lt;&gt;Einstellungen!$C$4,D2653&lt;&gt;Einstellungen!$C$5),"Objekt fehlt",IF(YEAR(A2653)&lt;&gt;Einstellungen!$C$3,"anderes Jahr",IF(A2653&lt;INDEX(Mitarbeiter!$C$6:$C$205,MATCH(B2653,Mitarbeiter!$A$6:$A$205,0)),"vor Eintritt",IF(AND(INDEX(Mitarbeiter!$D$6:$D$205,MATCH(B2653,Mitarbeiter!$A$6:$A$205,0))&lt;&gt;"",A2653&gt;INDEX(Mitarbeiter!$D$6:$D$205,MATCH(B2653,Mitarbeiter!$A$6:$A$205,0))),"nach Austritt","ok")))))))</f>
        <v/>
      </c>
    </row>
    <row r="2654">
      <c r="A2654" s="26" t="n"/>
      <c r="B2654" s="24" t="n"/>
      <c r="C2654" s="40">
        <f>IF(B2654="","",IFERROR(INDEX(Mitarbeiter!$B$6:$B$205,MATCH(B2654,Mitarbeiter!$A$6:$A$205,0)),"?"))</f>
        <v/>
      </c>
      <c r="D2654" s="41" t="n"/>
      <c r="E2654" s="42" t="n"/>
      <c r="F2654" s="43" t="n"/>
      <c r="G2654" s="44">
        <f>IF(OR(B2654="",F2654=""),"",IFERROR(F2654*INDEX(Mitarbeiter!$F$6:$F$205,MATCH(B2654,Mitarbeiter!$A$6:$A$205,0)),0))</f>
        <v/>
      </c>
      <c r="H2654" s="8">
        <f>IF(B2654="","",IF(ISNA(MATCH(B2654,Mitarbeiter!$A$6:$A$205,0)),"Pers.-Nr. unbekannt",IF(A2654="","Datum fehlt",IF(AND(D2654&lt;&gt;Einstellungen!$C$4,D2654&lt;&gt;Einstellungen!$C$5),"Objekt fehlt",IF(YEAR(A2654)&lt;&gt;Einstellungen!$C$3,"anderes Jahr",IF(A2654&lt;INDEX(Mitarbeiter!$C$6:$C$205,MATCH(B2654,Mitarbeiter!$A$6:$A$205,0)),"vor Eintritt",IF(AND(INDEX(Mitarbeiter!$D$6:$D$205,MATCH(B2654,Mitarbeiter!$A$6:$A$205,0))&lt;&gt;"",A2654&gt;INDEX(Mitarbeiter!$D$6:$D$205,MATCH(B2654,Mitarbeiter!$A$6:$A$205,0))),"nach Austritt","ok")))))))</f>
        <v/>
      </c>
    </row>
    <row r="2655">
      <c r="A2655" s="26" t="n"/>
      <c r="B2655" s="24" t="n"/>
      <c r="C2655" s="40">
        <f>IF(B2655="","",IFERROR(INDEX(Mitarbeiter!$B$6:$B$205,MATCH(B2655,Mitarbeiter!$A$6:$A$205,0)),"?"))</f>
        <v/>
      </c>
      <c r="D2655" s="41" t="n"/>
      <c r="E2655" s="42" t="n"/>
      <c r="F2655" s="43" t="n"/>
      <c r="G2655" s="44">
        <f>IF(OR(B2655="",F2655=""),"",IFERROR(F2655*INDEX(Mitarbeiter!$F$6:$F$205,MATCH(B2655,Mitarbeiter!$A$6:$A$205,0)),0))</f>
        <v/>
      </c>
      <c r="H2655" s="8">
        <f>IF(B2655="","",IF(ISNA(MATCH(B2655,Mitarbeiter!$A$6:$A$205,0)),"Pers.-Nr. unbekannt",IF(A2655="","Datum fehlt",IF(AND(D2655&lt;&gt;Einstellungen!$C$4,D2655&lt;&gt;Einstellungen!$C$5),"Objekt fehlt",IF(YEAR(A2655)&lt;&gt;Einstellungen!$C$3,"anderes Jahr",IF(A2655&lt;INDEX(Mitarbeiter!$C$6:$C$205,MATCH(B2655,Mitarbeiter!$A$6:$A$205,0)),"vor Eintritt",IF(AND(INDEX(Mitarbeiter!$D$6:$D$205,MATCH(B2655,Mitarbeiter!$A$6:$A$205,0))&lt;&gt;"",A2655&gt;INDEX(Mitarbeiter!$D$6:$D$205,MATCH(B2655,Mitarbeiter!$A$6:$A$205,0))),"nach Austritt","ok")))))))</f>
        <v/>
      </c>
    </row>
    <row r="2656">
      <c r="A2656" s="26" t="n"/>
      <c r="B2656" s="24" t="n"/>
      <c r="C2656" s="40">
        <f>IF(B2656="","",IFERROR(INDEX(Mitarbeiter!$B$6:$B$205,MATCH(B2656,Mitarbeiter!$A$6:$A$205,0)),"?"))</f>
        <v/>
      </c>
      <c r="D2656" s="41" t="n"/>
      <c r="E2656" s="42" t="n"/>
      <c r="F2656" s="43" t="n"/>
      <c r="G2656" s="44">
        <f>IF(OR(B2656="",F2656=""),"",IFERROR(F2656*INDEX(Mitarbeiter!$F$6:$F$205,MATCH(B2656,Mitarbeiter!$A$6:$A$205,0)),0))</f>
        <v/>
      </c>
      <c r="H2656" s="8">
        <f>IF(B2656="","",IF(ISNA(MATCH(B2656,Mitarbeiter!$A$6:$A$205,0)),"Pers.-Nr. unbekannt",IF(A2656="","Datum fehlt",IF(AND(D2656&lt;&gt;Einstellungen!$C$4,D2656&lt;&gt;Einstellungen!$C$5),"Objekt fehlt",IF(YEAR(A2656)&lt;&gt;Einstellungen!$C$3,"anderes Jahr",IF(A2656&lt;INDEX(Mitarbeiter!$C$6:$C$205,MATCH(B2656,Mitarbeiter!$A$6:$A$205,0)),"vor Eintritt",IF(AND(INDEX(Mitarbeiter!$D$6:$D$205,MATCH(B2656,Mitarbeiter!$A$6:$A$205,0))&lt;&gt;"",A2656&gt;INDEX(Mitarbeiter!$D$6:$D$205,MATCH(B2656,Mitarbeiter!$A$6:$A$205,0))),"nach Austritt","ok")))))))</f>
        <v/>
      </c>
    </row>
    <row r="2657">
      <c r="A2657" s="26" t="n"/>
      <c r="B2657" s="24" t="n"/>
      <c r="C2657" s="40">
        <f>IF(B2657="","",IFERROR(INDEX(Mitarbeiter!$B$6:$B$205,MATCH(B2657,Mitarbeiter!$A$6:$A$205,0)),"?"))</f>
        <v/>
      </c>
      <c r="D2657" s="41" t="n"/>
      <c r="E2657" s="42" t="n"/>
      <c r="F2657" s="43" t="n"/>
      <c r="G2657" s="44">
        <f>IF(OR(B2657="",F2657=""),"",IFERROR(F2657*INDEX(Mitarbeiter!$F$6:$F$205,MATCH(B2657,Mitarbeiter!$A$6:$A$205,0)),0))</f>
        <v/>
      </c>
      <c r="H2657" s="8">
        <f>IF(B2657="","",IF(ISNA(MATCH(B2657,Mitarbeiter!$A$6:$A$205,0)),"Pers.-Nr. unbekannt",IF(A2657="","Datum fehlt",IF(AND(D2657&lt;&gt;Einstellungen!$C$4,D2657&lt;&gt;Einstellungen!$C$5),"Objekt fehlt",IF(YEAR(A2657)&lt;&gt;Einstellungen!$C$3,"anderes Jahr",IF(A2657&lt;INDEX(Mitarbeiter!$C$6:$C$205,MATCH(B2657,Mitarbeiter!$A$6:$A$205,0)),"vor Eintritt",IF(AND(INDEX(Mitarbeiter!$D$6:$D$205,MATCH(B2657,Mitarbeiter!$A$6:$A$205,0))&lt;&gt;"",A2657&gt;INDEX(Mitarbeiter!$D$6:$D$205,MATCH(B2657,Mitarbeiter!$A$6:$A$205,0))),"nach Austritt","ok")))))))</f>
        <v/>
      </c>
    </row>
    <row r="2658">
      <c r="A2658" s="26" t="n"/>
      <c r="B2658" s="24" t="n"/>
      <c r="C2658" s="40">
        <f>IF(B2658="","",IFERROR(INDEX(Mitarbeiter!$B$6:$B$205,MATCH(B2658,Mitarbeiter!$A$6:$A$205,0)),"?"))</f>
        <v/>
      </c>
      <c r="D2658" s="41" t="n"/>
      <c r="E2658" s="42" t="n"/>
      <c r="F2658" s="43" t="n"/>
      <c r="G2658" s="44">
        <f>IF(OR(B2658="",F2658=""),"",IFERROR(F2658*INDEX(Mitarbeiter!$F$6:$F$205,MATCH(B2658,Mitarbeiter!$A$6:$A$205,0)),0))</f>
        <v/>
      </c>
      <c r="H2658" s="8">
        <f>IF(B2658="","",IF(ISNA(MATCH(B2658,Mitarbeiter!$A$6:$A$205,0)),"Pers.-Nr. unbekannt",IF(A2658="","Datum fehlt",IF(AND(D2658&lt;&gt;Einstellungen!$C$4,D2658&lt;&gt;Einstellungen!$C$5),"Objekt fehlt",IF(YEAR(A2658)&lt;&gt;Einstellungen!$C$3,"anderes Jahr",IF(A2658&lt;INDEX(Mitarbeiter!$C$6:$C$205,MATCH(B2658,Mitarbeiter!$A$6:$A$205,0)),"vor Eintritt",IF(AND(INDEX(Mitarbeiter!$D$6:$D$205,MATCH(B2658,Mitarbeiter!$A$6:$A$205,0))&lt;&gt;"",A2658&gt;INDEX(Mitarbeiter!$D$6:$D$205,MATCH(B2658,Mitarbeiter!$A$6:$A$205,0))),"nach Austritt","ok")))))))</f>
        <v/>
      </c>
    </row>
    <row r="2659">
      <c r="A2659" s="26" t="n"/>
      <c r="B2659" s="24" t="n"/>
      <c r="C2659" s="40">
        <f>IF(B2659="","",IFERROR(INDEX(Mitarbeiter!$B$6:$B$205,MATCH(B2659,Mitarbeiter!$A$6:$A$205,0)),"?"))</f>
        <v/>
      </c>
      <c r="D2659" s="41" t="n"/>
      <c r="E2659" s="42" t="n"/>
      <c r="F2659" s="43" t="n"/>
      <c r="G2659" s="44">
        <f>IF(OR(B2659="",F2659=""),"",IFERROR(F2659*INDEX(Mitarbeiter!$F$6:$F$205,MATCH(B2659,Mitarbeiter!$A$6:$A$205,0)),0))</f>
        <v/>
      </c>
      <c r="H2659" s="8">
        <f>IF(B2659="","",IF(ISNA(MATCH(B2659,Mitarbeiter!$A$6:$A$205,0)),"Pers.-Nr. unbekannt",IF(A2659="","Datum fehlt",IF(AND(D2659&lt;&gt;Einstellungen!$C$4,D2659&lt;&gt;Einstellungen!$C$5),"Objekt fehlt",IF(YEAR(A2659)&lt;&gt;Einstellungen!$C$3,"anderes Jahr",IF(A2659&lt;INDEX(Mitarbeiter!$C$6:$C$205,MATCH(B2659,Mitarbeiter!$A$6:$A$205,0)),"vor Eintritt",IF(AND(INDEX(Mitarbeiter!$D$6:$D$205,MATCH(B2659,Mitarbeiter!$A$6:$A$205,0))&lt;&gt;"",A2659&gt;INDEX(Mitarbeiter!$D$6:$D$205,MATCH(B2659,Mitarbeiter!$A$6:$A$205,0))),"nach Austritt","ok")))))))</f>
        <v/>
      </c>
    </row>
    <row r="2660">
      <c r="A2660" s="26" t="n"/>
      <c r="B2660" s="24" t="n"/>
      <c r="C2660" s="40">
        <f>IF(B2660="","",IFERROR(INDEX(Mitarbeiter!$B$6:$B$205,MATCH(B2660,Mitarbeiter!$A$6:$A$205,0)),"?"))</f>
        <v/>
      </c>
      <c r="D2660" s="41" t="n"/>
      <c r="E2660" s="42" t="n"/>
      <c r="F2660" s="43" t="n"/>
      <c r="G2660" s="44">
        <f>IF(OR(B2660="",F2660=""),"",IFERROR(F2660*INDEX(Mitarbeiter!$F$6:$F$205,MATCH(B2660,Mitarbeiter!$A$6:$A$205,0)),0))</f>
        <v/>
      </c>
      <c r="H2660" s="8">
        <f>IF(B2660="","",IF(ISNA(MATCH(B2660,Mitarbeiter!$A$6:$A$205,0)),"Pers.-Nr. unbekannt",IF(A2660="","Datum fehlt",IF(AND(D2660&lt;&gt;Einstellungen!$C$4,D2660&lt;&gt;Einstellungen!$C$5),"Objekt fehlt",IF(YEAR(A2660)&lt;&gt;Einstellungen!$C$3,"anderes Jahr",IF(A2660&lt;INDEX(Mitarbeiter!$C$6:$C$205,MATCH(B2660,Mitarbeiter!$A$6:$A$205,0)),"vor Eintritt",IF(AND(INDEX(Mitarbeiter!$D$6:$D$205,MATCH(B2660,Mitarbeiter!$A$6:$A$205,0))&lt;&gt;"",A2660&gt;INDEX(Mitarbeiter!$D$6:$D$205,MATCH(B2660,Mitarbeiter!$A$6:$A$205,0))),"nach Austritt","ok")))))))</f>
        <v/>
      </c>
    </row>
    <row r="2661">
      <c r="A2661" s="26" t="n"/>
      <c r="B2661" s="24" t="n"/>
      <c r="C2661" s="40">
        <f>IF(B2661="","",IFERROR(INDEX(Mitarbeiter!$B$6:$B$205,MATCH(B2661,Mitarbeiter!$A$6:$A$205,0)),"?"))</f>
        <v/>
      </c>
      <c r="D2661" s="41" t="n"/>
      <c r="E2661" s="42" t="n"/>
      <c r="F2661" s="43" t="n"/>
      <c r="G2661" s="44">
        <f>IF(OR(B2661="",F2661=""),"",IFERROR(F2661*INDEX(Mitarbeiter!$F$6:$F$205,MATCH(B2661,Mitarbeiter!$A$6:$A$205,0)),0))</f>
        <v/>
      </c>
      <c r="H2661" s="8">
        <f>IF(B2661="","",IF(ISNA(MATCH(B2661,Mitarbeiter!$A$6:$A$205,0)),"Pers.-Nr. unbekannt",IF(A2661="","Datum fehlt",IF(AND(D2661&lt;&gt;Einstellungen!$C$4,D2661&lt;&gt;Einstellungen!$C$5),"Objekt fehlt",IF(YEAR(A2661)&lt;&gt;Einstellungen!$C$3,"anderes Jahr",IF(A2661&lt;INDEX(Mitarbeiter!$C$6:$C$205,MATCH(B2661,Mitarbeiter!$A$6:$A$205,0)),"vor Eintritt",IF(AND(INDEX(Mitarbeiter!$D$6:$D$205,MATCH(B2661,Mitarbeiter!$A$6:$A$205,0))&lt;&gt;"",A2661&gt;INDEX(Mitarbeiter!$D$6:$D$205,MATCH(B2661,Mitarbeiter!$A$6:$A$205,0))),"nach Austritt","ok")))))))</f>
        <v/>
      </c>
    </row>
    <row r="2662">
      <c r="A2662" s="26" t="n"/>
      <c r="B2662" s="24" t="n"/>
      <c r="C2662" s="40">
        <f>IF(B2662="","",IFERROR(INDEX(Mitarbeiter!$B$6:$B$205,MATCH(B2662,Mitarbeiter!$A$6:$A$205,0)),"?"))</f>
        <v/>
      </c>
      <c r="D2662" s="41" t="n"/>
      <c r="E2662" s="42" t="n"/>
      <c r="F2662" s="43" t="n"/>
      <c r="G2662" s="44">
        <f>IF(OR(B2662="",F2662=""),"",IFERROR(F2662*INDEX(Mitarbeiter!$F$6:$F$205,MATCH(B2662,Mitarbeiter!$A$6:$A$205,0)),0))</f>
        <v/>
      </c>
      <c r="H2662" s="8">
        <f>IF(B2662="","",IF(ISNA(MATCH(B2662,Mitarbeiter!$A$6:$A$205,0)),"Pers.-Nr. unbekannt",IF(A2662="","Datum fehlt",IF(AND(D2662&lt;&gt;Einstellungen!$C$4,D2662&lt;&gt;Einstellungen!$C$5),"Objekt fehlt",IF(YEAR(A2662)&lt;&gt;Einstellungen!$C$3,"anderes Jahr",IF(A2662&lt;INDEX(Mitarbeiter!$C$6:$C$205,MATCH(B2662,Mitarbeiter!$A$6:$A$205,0)),"vor Eintritt",IF(AND(INDEX(Mitarbeiter!$D$6:$D$205,MATCH(B2662,Mitarbeiter!$A$6:$A$205,0))&lt;&gt;"",A2662&gt;INDEX(Mitarbeiter!$D$6:$D$205,MATCH(B2662,Mitarbeiter!$A$6:$A$205,0))),"nach Austritt","ok")))))))</f>
        <v/>
      </c>
    </row>
    <row r="2663">
      <c r="A2663" s="26" t="n"/>
      <c r="B2663" s="24" t="n"/>
      <c r="C2663" s="40">
        <f>IF(B2663="","",IFERROR(INDEX(Mitarbeiter!$B$6:$B$205,MATCH(B2663,Mitarbeiter!$A$6:$A$205,0)),"?"))</f>
        <v/>
      </c>
      <c r="D2663" s="41" t="n"/>
      <c r="E2663" s="42" t="n"/>
      <c r="F2663" s="43" t="n"/>
      <c r="G2663" s="44">
        <f>IF(OR(B2663="",F2663=""),"",IFERROR(F2663*INDEX(Mitarbeiter!$F$6:$F$205,MATCH(B2663,Mitarbeiter!$A$6:$A$205,0)),0))</f>
        <v/>
      </c>
      <c r="H2663" s="8">
        <f>IF(B2663="","",IF(ISNA(MATCH(B2663,Mitarbeiter!$A$6:$A$205,0)),"Pers.-Nr. unbekannt",IF(A2663="","Datum fehlt",IF(AND(D2663&lt;&gt;Einstellungen!$C$4,D2663&lt;&gt;Einstellungen!$C$5),"Objekt fehlt",IF(YEAR(A2663)&lt;&gt;Einstellungen!$C$3,"anderes Jahr",IF(A2663&lt;INDEX(Mitarbeiter!$C$6:$C$205,MATCH(B2663,Mitarbeiter!$A$6:$A$205,0)),"vor Eintritt",IF(AND(INDEX(Mitarbeiter!$D$6:$D$205,MATCH(B2663,Mitarbeiter!$A$6:$A$205,0))&lt;&gt;"",A2663&gt;INDEX(Mitarbeiter!$D$6:$D$205,MATCH(B2663,Mitarbeiter!$A$6:$A$205,0))),"nach Austritt","ok")))))))</f>
        <v/>
      </c>
    </row>
    <row r="2664">
      <c r="A2664" s="26" t="n"/>
      <c r="B2664" s="24" t="n"/>
      <c r="C2664" s="40">
        <f>IF(B2664="","",IFERROR(INDEX(Mitarbeiter!$B$6:$B$205,MATCH(B2664,Mitarbeiter!$A$6:$A$205,0)),"?"))</f>
        <v/>
      </c>
      <c r="D2664" s="41" t="n"/>
      <c r="E2664" s="42" t="n"/>
      <c r="F2664" s="43" t="n"/>
      <c r="G2664" s="44">
        <f>IF(OR(B2664="",F2664=""),"",IFERROR(F2664*INDEX(Mitarbeiter!$F$6:$F$205,MATCH(B2664,Mitarbeiter!$A$6:$A$205,0)),0))</f>
        <v/>
      </c>
      <c r="H2664" s="8">
        <f>IF(B2664="","",IF(ISNA(MATCH(B2664,Mitarbeiter!$A$6:$A$205,0)),"Pers.-Nr. unbekannt",IF(A2664="","Datum fehlt",IF(AND(D2664&lt;&gt;Einstellungen!$C$4,D2664&lt;&gt;Einstellungen!$C$5),"Objekt fehlt",IF(YEAR(A2664)&lt;&gt;Einstellungen!$C$3,"anderes Jahr",IF(A2664&lt;INDEX(Mitarbeiter!$C$6:$C$205,MATCH(B2664,Mitarbeiter!$A$6:$A$205,0)),"vor Eintritt",IF(AND(INDEX(Mitarbeiter!$D$6:$D$205,MATCH(B2664,Mitarbeiter!$A$6:$A$205,0))&lt;&gt;"",A2664&gt;INDEX(Mitarbeiter!$D$6:$D$205,MATCH(B2664,Mitarbeiter!$A$6:$A$205,0))),"nach Austritt","ok")))))))</f>
        <v/>
      </c>
    </row>
    <row r="2665">
      <c r="A2665" s="26" t="n"/>
      <c r="B2665" s="24" t="n"/>
      <c r="C2665" s="40">
        <f>IF(B2665="","",IFERROR(INDEX(Mitarbeiter!$B$6:$B$205,MATCH(B2665,Mitarbeiter!$A$6:$A$205,0)),"?"))</f>
        <v/>
      </c>
      <c r="D2665" s="41" t="n"/>
      <c r="E2665" s="42" t="n"/>
      <c r="F2665" s="43" t="n"/>
      <c r="G2665" s="44">
        <f>IF(OR(B2665="",F2665=""),"",IFERROR(F2665*INDEX(Mitarbeiter!$F$6:$F$205,MATCH(B2665,Mitarbeiter!$A$6:$A$205,0)),0))</f>
        <v/>
      </c>
      <c r="H2665" s="8">
        <f>IF(B2665="","",IF(ISNA(MATCH(B2665,Mitarbeiter!$A$6:$A$205,0)),"Pers.-Nr. unbekannt",IF(A2665="","Datum fehlt",IF(AND(D2665&lt;&gt;Einstellungen!$C$4,D2665&lt;&gt;Einstellungen!$C$5),"Objekt fehlt",IF(YEAR(A2665)&lt;&gt;Einstellungen!$C$3,"anderes Jahr",IF(A2665&lt;INDEX(Mitarbeiter!$C$6:$C$205,MATCH(B2665,Mitarbeiter!$A$6:$A$205,0)),"vor Eintritt",IF(AND(INDEX(Mitarbeiter!$D$6:$D$205,MATCH(B2665,Mitarbeiter!$A$6:$A$205,0))&lt;&gt;"",A2665&gt;INDEX(Mitarbeiter!$D$6:$D$205,MATCH(B2665,Mitarbeiter!$A$6:$A$205,0))),"nach Austritt","ok")))))))</f>
        <v/>
      </c>
    </row>
    <row r="2666">
      <c r="A2666" s="26" t="n"/>
      <c r="B2666" s="24" t="n"/>
      <c r="C2666" s="40">
        <f>IF(B2666="","",IFERROR(INDEX(Mitarbeiter!$B$6:$B$205,MATCH(B2666,Mitarbeiter!$A$6:$A$205,0)),"?"))</f>
        <v/>
      </c>
      <c r="D2666" s="41" t="n"/>
      <c r="E2666" s="42" t="n"/>
      <c r="F2666" s="43" t="n"/>
      <c r="G2666" s="44">
        <f>IF(OR(B2666="",F2666=""),"",IFERROR(F2666*INDEX(Mitarbeiter!$F$6:$F$205,MATCH(B2666,Mitarbeiter!$A$6:$A$205,0)),0))</f>
        <v/>
      </c>
      <c r="H2666" s="8">
        <f>IF(B2666="","",IF(ISNA(MATCH(B2666,Mitarbeiter!$A$6:$A$205,0)),"Pers.-Nr. unbekannt",IF(A2666="","Datum fehlt",IF(AND(D2666&lt;&gt;Einstellungen!$C$4,D2666&lt;&gt;Einstellungen!$C$5),"Objekt fehlt",IF(YEAR(A2666)&lt;&gt;Einstellungen!$C$3,"anderes Jahr",IF(A2666&lt;INDEX(Mitarbeiter!$C$6:$C$205,MATCH(B2666,Mitarbeiter!$A$6:$A$205,0)),"vor Eintritt",IF(AND(INDEX(Mitarbeiter!$D$6:$D$205,MATCH(B2666,Mitarbeiter!$A$6:$A$205,0))&lt;&gt;"",A2666&gt;INDEX(Mitarbeiter!$D$6:$D$205,MATCH(B2666,Mitarbeiter!$A$6:$A$205,0))),"nach Austritt","ok")))))))</f>
        <v/>
      </c>
    </row>
    <row r="2667">
      <c r="A2667" s="26" t="n"/>
      <c r="B2667" s="24" t="n"/>
      <c r="C2667" s="40">
        <f>IF(B2667="","",IFERROR(INDEX(Mitarbeiter!$B$6:$B$205,MATCH(B2667,Mitarbeiter!$A$6:$A$205,0)),"?"))</f>
        <v/>
      </c>
      <c r="D2667" s="41" t="n"/>
      <c r="E2667" s="42" t="n"/>
      <c r="F2667" s="43" t="n"/>
      <c r="G2667" s="44">
        <f>IF(OR(B2667="",F2667=""),"",IFERROR(F2667*INDEX(Mitarbeiter!$F$6:$F$205,MATCH(B2667,Mitarbeiter!$A$6:$A$205,0)),0))</f>
        <v/>
      </c>
      <c r="H2667" s="8">
        <f>IF(B2667="","",IF(ISNA(MATCH(B2667,Mitarbeiter!$A$6:$A$205,0)),"Pers.-Nr. unbekannt",IF(A2667="","Datum fehlt",IF(AND(D2667&lt;&gt;Einstellungen!$C$4,D2667&lt;&gt;Einstellungen!$C$5),"Objekt fehlt",IF(YEAR(A2667)&lt;&gt;Einstellungen!$C$3,"anderes Jahr",IF(A2667&lt;INDEX(Mitarbeiter!$C$6:$C$205,MATCH(B2667,Mitarbeiter!$A$6:$A$205,0)),"vor Eintritt",IF(AND(INDEX(Mitarbeiter!$D$6:$D$205,MATCH(B2667,Mitarbeiter!$A$6:$A$205,0))&lt;&gt;"",A2667&gt;INDEX(Mitarbeiter!$D$6:$D$205,MATCH(B2667,Mitarbeiter!$A$6:$A$205,0))),"nach Austritt","ok")))))))</f>
        <v/>
      </c>
    </row>
    <row r="2668">
      <c r="A2668" s="26" t="n"/>
      <c r="B2668" s="24" t="n"/>
      <c r="C2668" s="40">
        <f>IF(B2668="","",IFERROR(INDEX(Mitarbeiter!$B$6:$B$205,MATCH(B2668,Mitarbeiter!$A$6:$A$205,0)),"?"))</f>
        <v/>
      </c>
      <c r="D2668" s="41" t="n"/>
      <c r="E2668" s="42" t="n"/>
      <c r="F2668" s="43" t="n"/>
      <c r="G2668" s="44">
        <f>IF(OR(B2668="",F2668=""),"",IFERROR(F2668*INDEX(Mitarbeiter!$F$6:$F$205,MATCH(B2668,Mitarbeiter!$A$6:$A$205,0)),0))</f>
        <v/>
      </c>
      <c r="H2668" s="8">
        <f>IF(B2668="","",IF(ISNA(MATCH(B2668,Mitarbeiter!$A$6:$A$205,0)),"Pers.-Nr. unbekannt",IF(A2668="","Datum fehlt",IF(AND(D2668&lt;&gt;Einstellungen!$C$4,D2668&lt;&gt;Einstellungen!$C$5),"Objekt fehlt",IF(YEAR(A2668)&lt;&gt;Einstellungen!$C$3,"anderes Jahr",IF(A2668&lt;INDEX(Mitarbeiter!$C$6:$C$205,MATCH(B2668,Mitarbeiter!$A$6:$A$205,0)),"vor Eintritt",IF(AND(INDEX(Mitarbeiter!$D$6:$D$205,MATCH(B2668,Mitarbeiter!$A$6:$A$205,0))&lt;&gt;"",A2668&gt;INDEX(Mitarbeiter!$D$6:$D$205,MATCH(B2668,Mitarbeiter!$A$6:$A$205,0))),"nach Austritt","ok")))))))</f>
        <v/>
      </c>
    </row>
    <row r="2669">
      <c r="A2669" s="26" t="n"/>
      <c r="B2669" s="24" t="n"/>
      <c r="C2669" s="40">
        <f>IF(B2669="","",IFERROR(INDEX(Mitarbeiter!$B$6:$B$205,MATCH(B2669,Mitarbeiter!$A$6:$A$205,0)),"?"))</f>
        <v/>
      </c>
      <c r="D2669" s="41" t="n"/>
      <c r="E2669" s="42" t="n"/>
      <c r="F2669" s="43" t="n"/>
      <c r="G2669" s="44">
        <f>IF(OR(B2669="",F2669=""),"",IFERROR(F2669*INDEX(Mitarbeiter!$F$6:$F$205,MATCH(B2669,Mitarbeiter!$A$6:$A$205,0)),0))</f>
        <v/>
      </c>
      <c r="H2669" s="8">
        <f>IF(B2669="","",IF(ISNA(MATCH(B2669,Mitarbeiter!$A$6:$A$205,0)),"Pers.-Nr. unbekannt",IF(A2669="","Datum fehlt",IF(AND(D2669&lt;&gt;Einstellungen!$C$4,D2669&lt;&gt;Einstellungen!$C$5),"Objekt fehlt",IF(YEAR(A2669)&lt;&gt;Einstellungen!$C$3,"anderes Jahr",IF(A2669&lt;INDEX(Mitarbeiter!$C$6:$C$205,MATCH(B2669,Mitarbeiter!$A$6:$A$205,0)),"vor Eintritt",IF(AND(INDEX(Mitarbeiter!$D$6:$D$205,MATCH(B2669,Mitarbeiter!$A$6:$A$205,0))&lt;&gt;"",A2669&gt;INDEX(Mitarbeiter!$D$6:$D$205,MATCH(B2669,Mitarbeiter!$A$6:$A$205,0))),"nach Austritt","ok")))))))</f>
        <v/>
      </c>
    </row>
    <row r="2670">
      <c r="A2670" s="26" t="n"/>
      <c r="B2670" s="24" t="n"/>
      <c r="C2670" s="40">
        <f>IF(B2670="","",IFERROR(INDEX(Mitarbeiter!$B$6:$B$205,MATCH(B2670,Mitarbeiter!$A$6:$A$205,0)),"?"))</f>
        <v/>
      </c>
      <c r="D2670" s="41" t="n"/>
      <c r="E2670" s="42" t="n"/>
      <c r="F2670" s="43" t="n"/>
      <c r="G2670" s="44">
        <f>IF(OR(B2670="",F2670=""),"",IFERROR(F2670*INDEX(Mitarbeiter!$F$6:$F$205,MATCH(B2670,Mitarbeiter!$A$6:$A$205,0)),0))</f>
        <v/>
      </c>
      <c r="H2670" s="8">
        <f>IF(B2670="","",IF(ISNA(MATCH(B2670,Mitarbeiter!$A$6:$A$205,0)),"Pers.-Nr. unbekannt",IF(A2670="","Datum fehlt",IF(AND(D2670&lt;&gt;Einstellungen!$C$4,D2670&lt;&gt;Einstellungen!$C$5),"Objekt fehlt",IF(YEAR(A2670)&lt;&gt;Einstellungen!$C$3,"anderes Jahr",IF(A2670&lt;INDEX(Mitarbeiter!$C$6:$C$205,MATCH(B2670,Mitarbeiter!$A$6:$A$205,0)),"vor Eintritt",IF(AND(INDEX(Mitarbeiter!$D$6:$D$205,MATCH(B2670,Mitarbeiter!$A$6:$A$205,0))&lt;&gt;"",A2670&gt;INDEX(Mitarbeiter!$D$6:$D$205,MATCH(B2670,Mitarbeiter!$A$6:$A$205,0))),"nach Austritt","ok")))))))</f>
        <v/>
      </c>
    </row>
    <row r="2671">
      <c r="A2671" s="26" t="n"/>
      <c r="B2671" s="24" t="n"/>
      <c r="C2671" s="40">
        <f>IF(B2671="","",IFERROR(INDEX(Mitarbeiter!$B$6:$B$205,MATCH(B2671,Mitarbeiter!$A$6:$A$205,0)),"?"))</f>
        <v/>
      </c>
      <c r="D2671" s="41" t="n"/>
      <c r="E2671" s="42" t="n"/>
      <c r="F2671" s="43" t="n"/>
      <c r="G2671" s="44">
        <f>IF(OR(B2671="",F2671=""),"",IFERROR(F2671*INDEX(Mitarbeiter!$F$6:$F$205,MATCH(B2671,Mitarbeiter!$A$6:$A$205,0)),0))</f>
        <v/>
      </c>
      <c r="H2671" s="8">
        <f>IF(B2671="","",IF(ISNA(MATCH(B2671,Mitarbeiter!$A$6:$A$205,0)),"Pers.-Nr. unbekannt",IF(A2671="","Datum fehlt",IF(AND(D2671&lt;&gt;Einstellungen!$C$4,D2671&lt;&gt;Einstellungen!$C$5),"Objekt fehlt",IF(YEAR(A2671)&lt;&gt;Einstellungen!$C$3,"anderes Jahr",IF(A2671&lt;INDEX(Mitarbeiter!$C$6:$C$205,MATCH(B2671,Mitarbeiter!$A$6:$A$205,0)),"vor Eintritt",IF(AND(INDEX(Mitarbeiter!$D$6:$D$205,MATCH(B2671,Mitarbeiter!$A$6:$A$205,0))&lt;&gt;"",A2671&gt;INDEX(Mitarbeiter!$D$6:$D$205,MATCH(B2671,Mitarbeiter!$A$6:$A$205,0))),"nach Austritt","ok")))))))</f>
        <v/>
      </c>
    </row>
    <row r="2672">
      <c r="A2672" s="26" t="n"/>
      <c r="B2672" s="24" t="n"/>
      <c r="C2672" s="40">
        <f>IF(B2672="","",IFERROR(INDEX(Mitarbeiter!$B$6:$B$205,MATCH(B2672,Mitarbeiter!$A$6:$A$205,0)),"?"))</f>
        <v/>
      </c>
      <c r="D2672" s="41" t="n"/>
      <c r="E2672" s="42" t="n"/>
      <c r="F2672" s="43" t="n"/>
      <c r="G2672" s="44">
        <f>IF(OR(B2672="",F2672=""),"",IFERROR(F2672*INDEX(Mitarbeiter!$F$6:$F$205,MATCH(B2672,Mitarbeiter!$A$6:$A$205,0)),0))</f>
        <v/>
      </c>
      <c r="H2672" s="8">
        <f>IF(B2672="","",IF(ISNA(MATCH(B2672,Mitarbeiter!$A$6:$A$205,0)),"Pers.-Nr. unbekannt",IF(A2672="","Datum fehlt",IF(AND(D2672&lt;&gt;Einstellungen!$C$4,D2672&lt;&gt;Einstellungen!$C$5),"Objekt fehlt",IF(YEAR(A2672)&lt;&gt;Einstellungen!$C$3,"anderes Jahr",IF(A2672&lt;INDEX(Mitarbeiter!$C$6:$C$205,MATCH(B2672,Mitarbeiter!$A$6:$A$205,0)),"vor Eintritt",IF(AND(INDEX(Mitarbeiter!$D$6:$D$205,MATCH(B2672,Mitarbeiter!$A$6:$A$205,0))&lt;&gt;"",A2672&gt;INDEX(Mitarbeiter!$D$6:$D$205,MATCH(B2672,Mitarbeiter!$A$6:$A$205,0))),"nach Austritt","ok")))))))</f>
        <v/>
      </c>
    </row>
    <row r="2673">
      <c r="A2673" s="26" t="n"/>
      <c r="B2673" s="24" t="n"/>
      <c r="C2673" s="40">
        <f>IF(B2673="","",IFERROR(INDEX(Mitarbeiter!$B$6:$B$205,MATCH(B2673,Mitarbeiter!$A$6:$A$205,0)),"?"))</f>
        <v/>
      </c>
      <c r="D2673" s="41" t="n"/>
      <c r="E2673" s="42" t="n"/>
      <c r="F2673" s="43" t="n"/>
      <c r="G2673" s="44">
        <f>IF(OR(B2673="",F2673=""),"",IFERROR(F2673*INDEX(Mitarbeiter!$F$6:$F$205,MATCH(B2673,Mitarbeiter!$A$6:$A$205,0)),0))</f>
        <v/>
      </c>
      <c r="H2673" s="8">
        <f>IF(B2673="","",IF(ISNA(MATCH(B2673,Mitarbeiter!$A$6:$A$205,0)),"Pers.-Nr. unbekannt",IF(A2673="","Datum fehlt",IF(AND(D2673&lt;&gt;Einstellungen!$C$4,D2673&lt;&gt;Einstellungen!$C$5),"Objekt fehlt",IF(YEAR(A2673)&lt;&gt;Einstellungen!$C$3,"anderes Jahr",IF(A2673&lt;INDEX(Mitarbeiter!$C$6:$C$205,MATCH(B2673,Mitarbeiter!$A$6:$A$205,0)),"vor Eintritt",IF(AND(INDEX(Mitarbeiter!$D$6:$D$205,MATCH(B2673,Mitarbeiter!$A$6:$A$205,0))&lt;&gt;"",A2673&gt;INDEX(Mitarbeiter!$D$6:$D$205,MATCH(B2673,Mitarbeiter!$A$6:$A$205,0))),"nach Austritt","ok")))))))</f>
        <v/>
      </c>
    </row>
    <row r="2674">
      <c r="A2674" s="26" t="n"/>
      <c r="B2674" s="24" t="n"/>
      <c r="C2674" s="40">
        <f>IF(B2674="","",IFERROR(INDEX(Mitarbeiter!$B$6:$B$205,MATCH(B2674,Mitarbeiter!$A$6:$A$205,0)),"?"))</f>
        <v/>
      </c>
      <c r="D2674" s="41" t="n"/>
      <c r="E2674" s="42" t="n"/>
      <c r="F2674" s="43" t="n"/>
      <c r="G2674" s="44">
        <f>IF(OR(B2674="",F2674=""),"",IFERROR(F2674*INDEX(Mitarbeiter!$F$6:$F$205,MATCH(B2674,Mitarbeiter!$A$6:$A$205,0)),0))</f>
        <v/>
      </c>
      <c r="H2674" s="8">
        <f>IF(B2674="","",IF(ISNA(MATCH(B2674,Mitarbeiter!$A$6:$A$205,0)),"Pers.-Nr. unbekannt",IF(A2674="","Datum fehlt",IF(AND(D2674&lt;&gt;Einstellungen!$C$4,D2674&lt;&gt;Einstellungen!$C$5),"Objekt fehlt",IF(YEAR(A2674)&lt;&gt;Einstellungen!$C$3,"anderes Jahr",IF(A2674&lt;INDEX(Mitarbeiter!$C$6:$C$205,MATCH(B2674,Mitarbeiter!$A$6:$A$205,0)),"vor Eintritt",IF(AND(INDEX(Mitarbeiter!$D$6:$D$205,MATCH(B2674,Mitarbeiter!$A$6:$A$205,0))&lt;&gt;"",A2674&gt;INDEX(Mitarbeiter!$D$6:$D$205,MATCH(B2674,Mitarbeiter!$A$6:$A$205,0))),"nach Austritt","ok")))))))</f>
        <v/>
      </c>
    </row>
    <row r="2675">
      <c r="A2675" s="26" t="n"/>
      <c r="B2675" s="24" t="n"/>
      <c r="C2675" s="40">
        <f>IF(B2675="","",IFERROR(INDEX(Mitarbeiter!$B$6:$B$205,MATCH(B2675,Mitarbeiter!$A$6:$A$205,0)),"?"))</f>
        <v/>
      </c>
      <c r="D2675" s="41" t="n"/>
      <c r="E2675" s="42" t="n"/>
      <c r="F2675" s="43" t="n"/>
      <c r="G2675" s="44">
        <f>IF(OR(B2675="",F2675=""),"",IFERROR(F2675*INDEX(Mitarbeiter!$F$6:$F$205,MATCH(B2675,Mitarbeiter!$A$6:$A$205,0)),0))</f>
        <v/>
      </c>
      <c r="H2675" s="8">
        <f>IF(B2675="","",IF(ISNA(MATCH(B2675,Mitarbeiter!$A$6:$A$205,0)),"Pers.-Nr. unbekannt",IF(A2675="","Datum fehlt",IF(AND(D2675&lt;&gt;Einstellungen!$C$4,D2675&lt;&gt;Einstellungen!$C$5),"Objekt fehlt",IF(YEAR(A2675)&lt;&gt;Einstellungen!$C$3,"anderes Jahr",IF(A2675&lt;INDEX(Mitarbeiter!$C$6:$C$205,MATCH(B2675,Mitarbeiter!$A$6:$A$205,0)),"vor Eintritt",IF(AND(INDEX(Mitarbeiter!$D$6:$D$205,MATCH(B2675,Mitarbeiter!$A$6:$A$205,0))&lt;&gt;"",A2675&gt;INDEX(Mitarbeiter!$D$6:$D$205,MATCH(B2675,Mitarbeiter!$A$6:$A$205,0))),"nach Austritt","ok")))))))</f>
        <v/>
      </c>
    </row>
    <row r="2676">
      <c r="A2676" s="26" t="n"/>
      <c r="B2676" s="24" t="n"/>
      <c r="C2676" s="40">
        <f>IF(B2676="","",IFERROR(INDEX(Mitarbeiter!$B$6:$B$205,MATCH(B2676,Mitarbeiter!$A$6:$A$205,0)),"?"))</f>
        <v/>
      </c>
      <c r="D2676" s="41" t="n"/>
      <c r="E2676" s="42" t="n"/>
      <c r="F2676" s="43" t="n"/>
      <c r="G2676" s="44">
        <f>IF(OR(B2676="",F2676=""),"",IFERROR(F2676*INDEX(Mitarbeiter!$F$6:$F$205,MATCH(B2676,Mitarbeiter!$A$6:$A$205,0)),0))</f>
        <v/>
      </c>
      <c r="H2676" s="8">
        <f>IF(B2676="","",IF(ISNA(MATCH(B2676,Mitarbeiter!$A$6:$A$205,0)),"Pers.-Nr. unbekannt",IF(A2676="","Datum fehlt",IF(AND(D2676&lt;&gt;Einstellungen!$C$4,D2676&lt;&gt;Einstellungen!$C$5),"Objekt fehlt",IF(YEAR(A2676)&lt;&gt;Einstellungen!$C$3,"anderes Jahr",IF(A2676&lt;INDEX(Mitarbeiter!$C$6:$C$205,MATCH(B2676,Mitarbeiter!$A$6:$A$205,0)),"vor Eintritt",IF(AND(INDEX(Mitarbeiter!$D$6:$D$205,MATCH(B2676,Mitarbeiter!$A$6:$A$205,0))&lt;&gt;"",A2676&gt;INDEX(Mitarbeiter!$D$6:$D$205,MATCH(B2676,Mitarbeiter!$A$6:$A$205,0))),"nach Austritt","ok")))))))</f>
        <v/>
      </c>
    </row>
    <row r="2677">
      <c r="A2677" s="26" t="n"/>
      <c r="B2677" s="24" t="n"/>
      <c r="C2677" s="40">
        <f>IF(B2677="","",IFERROR(INDEX(Mitarbeiter!$B$6:$B$205,MATCH(B2677,Mitarbeiter!$A$6:$A$205,0)),"?"))</f>
        <v/>
      </c>
      <c r="D2677" s="41" t="n"/>
      <c r="E2677" s="42" t="n"/>
      <c r="F2677" s="43" t="n"/>
      <c r="G2677" s="44">
        <f>IF(OR(B2677="",F2677=""),"",IFERROR(F2677*INDEX(Mitarbeiter!$F$6:$F$205,MATCH(B2677,Mitarbeiter!$A$6:$A$205,0)),0))</f>
        <v/>
      </c>
      <c r="H2677" s="8">
        <f>IF(B2677="","",IF(ISNA(MATCH(B2677,Mitarbeiter!$A$6:$A$205,0)),"Pers.-Nr. unbekannt",IF(A2677="","Datum fehlt",IF(AND(D2677&lt;&gt;Einstellungen!$C$4,D2677&lt;&gt;Einstellungen!$C$5),"Objekt fehlt",IF(YEAR(A2677)&lt;&gt;Einstellungen!$C$3,"anderes Jahr",IF(A2677&lt;INDEX(Mitarbeiter!$C$6:$C$205,MATCH(B2677,Mitarbeiter!$A$6:$A$205,0)),"vor Eintritt",IF(AND(INDEX(Mitarbeiter!$D$6:$D$205,MATCH(B2677,Mitarbeiter!$A$6:$A$205,0))&lt;&gt;"",A2677&gt;INDEX(Mitarbeiter!$D$6:$D$205,MATCH(B2677,Mitarbeiter!$A$6:$A$205,0))),"nach Austritt","ok")))))))</f>
        <v/>
      </c>
    </row>
    <row r="2678">
      <c r="A2678" s="26" t="n"/>
      <c r="B2678" s="24" t="n"/>
      <c r="C2678" s="40">
        <f>IF(B2678="","",IFERROR(INDEX(Mitarbeiter!$B$6:$B$205,MATCH(B2678,Mitarbeiter!$A$6:$A$205,0)),"?"))</f>
        <v/>
      </c>
      <c r="D2678" s="41" t="n"/>
      <c r="E2678" s="42" t="n"/>
      <c r="F2678" s="43" t="n"/>
      <c r="G2678" s="44">
        <f>IF(OR(B2678="",F2678=""),"",IFERROR(F2678*INDEX(Mitarbeiter!$F$6:$F$205,MATCH(B2678,Mitarbeiter!$A$6:$A$205,0)),0))</f>
        <v/>
      </c>
      <c r="H2678" s="8">
        <f>IF(B2678="","",IF(ISNA(MATCH(B2678,Mitarbeiter!$A$6:$A$205,0)),"Pers.-Nr. unbekannt",IF(A2678="","Datum fehlt",IF(AND(D2678&lt;&gt;Einstellungen!$C$4,D2678&lt;&gt;Einstellungen!$C$5),"Objekt fehlt",IF(YEAR(A2678)&lt;&gt;Einstellungen!$C$3,"anderes Jahr",IF(A2678&lt;INDEX(Mitarbeiter!$C$6:$C$205,MATCH(B2678,Mitarbeiter!$A$6:$A$205,0)),"vor Eintritt",IF(AND(INDEX(Mitarbeiter!$D$6:$D$205,MATCH(B2678,Mitarbeiter!$A$6:$A$205,0))&lt;&gt;"",A2678&gt;INDEX(Mitarbeiter!$D$6:$D$205,MATCH(B2678,Mitarbeiter!$A$6:$A$205,0))),"nach Austritt","ok")))))))</f>
        <v/>
      </c>
    </row>
    <row r="2679">
      <c r="A2679" s="26" t="n"/>
      <c r="B2679" s="24" t="n"/>
      <c r="C2679" s="40">
        <f>IF(B2679="","",IFERROR(INDEX(Mitarbeiter!$B$6:$B$205,MATCH(B2679,Mitarbeiter!$A$6:$A$205,0)),"?"))</f>
        <v/>
      </c>
      <c r="D2679" s="41" t="n"/>
      <c r="E2679" s="42" t="n"/>
      <c r="F2679" s="43" t="n"/>
      <c r="G2679" s="44">
        <f>IF(OR(B2679="",F2679=""),"",IFERROR(F2679*INDEX(Mitarbeiter!$F$6:$F$205,MATCH(B2679,Mitarbeiter!$A$6:$A$205,0)),0))</f>
        <v/>
      </c>
      <c r="H2679" s="8">
        <f>IF(B2679="","",IF(ISNA(MATCH(B2679,Mitarbeiter!$A$6:$A$205,0)),"Pers.-Nr. unbekannt",IF(A2679="","Datum fehlt",IF(AND(D2679&lt;&gt;Einstellungen!$C$4,D2679&lt;&gt;Einstellungen!$C$5),"Objekt fehlt",IF(YEAR(A2679)&lt;&gt;Einstellungen!$C$3,"anderes Jahr",IF(A2679&lt;INDEX(Mitarbeiter!$C$6:$C$205,MATCH(B2679,Mitarbeiter!$A$6:$A$205,0)),"vor Eintritt",IF(AND(INDEX(Mitarbeiter!$D$6:$D$205,MATCH(B2679,Mitarbeiter!$A$6:$A$205,0))&lt;&gt;"",A2679&gt;INDEX(Mitarbeiter!$D$6:$D$205,MATCH(B2679,Mitarbeiter!$A$6:$A$205,0))),"nach Austritt","ok")))))))</f>
        <v/>
      </c>
    </row>
    <row r="2680">
      <c r="A2680" s="26" t="n"/>
      <c r="B2680" s="24" t="n"/>
      <c r="C2680" s="40">
        <f>IF(B2680="","",IFERROR(INDEX(Mitarbeiter!$B$6:$B$205,MATCH(B2680,Mitarbeiter!$A$6:$A$205,0)),"?"))</f>
        <v/>
      </c>
      <c r="D2680" s="41" t="n"/>
      <c r="E2680" s="42" t="n"/>
      <c r="F2680" s="43" t="n"/>
      <c r="G2680" s="44">
        <f>IF(OR(B2680="",F2680=""),"",IFERROR(F2680*INDEX(Mitarbeiter!$F$6:$F$205,MATCH(B2680,Mitarbeiter!$A$6:$A$205,0)),0))</f>
        <v/>
      </c>
      <c r="H2680" s="8">
        <f>IF(B2680="","",IF(ISNA(MATCH(B2680,Mitarbeiter!$A$6:$A$205,0)),"Pers.-Nr. unbekannt",IF(A2680="","Datum fehlt",IF(AND(D2680&lt;&gt;Einstellungen!$C$4,D2680&lt;&gt;Einstellungen!$C$5),"Objekt fehlt",IF(YEAR(A2680)&lt;&gt;Einstellungen!$C$3,"anderes Jahr",IF(A2680&lt;INDEX(Mitarbeiter!$C$6:$C$205,MATCH(B2680,Mitarbeiter!$A$6:$A$205,0)),"vor Eintritt",IF(AND(INDEX(Mitarbeiter!$D$6:$D$205,MATCH(B2680,Mitarbeiter!$A$6:$A$205,0))&lt;&gt;"",A2680&gt;INDEX(Mitarbeiter!$D$6:$D$205,MATCH(B2680,Mitarbeiter!$A$6:$A$205,0))),"nach Austritt","ok")))))))</f>
        <v/>
      </c>
    </row>
    <row r="2681">
      <c r="A2681" s="26" t="n"/>
      <c r="B2681" s="24" t="n"/>
      <c r="C2681" s="40">
        <f>IF(B2681="","",IFERROR(INDEX(Mitarbeiter!$B$6:$B$205,MATCH(B2681,Mitarbeiter!$A$6:$A$205,0)),"?"))</f>
        <v/>
      </c>
      <c r="D2681" s="41" t="n"/>
      <c r="E2681" s="42" t="n"/>
      <c r="F2681" s="43" t="n"/>
      <c r="G2681" s="44">
        <f>IF(OR(B2681="",F2681=""),"",IFERROR(F2681*INDEX(Mitarbeiter!$F$6:$F$205,MATCH(B2681,Mitarbeiter!$A$6:$A$205,0)),0))</f>
        <v/>
      </c>
      <c r="H2681" s="8">
        <f>IF(B2681="","",IF(ISNA(MATCH(B2681,Mitarbeiter!$A$6:$A$205,0)),"Pers.-Nr. unbekannt",IF(A2681="","Datum fehlt",IF(AND(D2681&lt;&gt;Einstellungen!$C$4,D2681&lt;&gt;Einstellungen!$C$5),"Objekt fehlt",IF(YEAR(A2681)&lt;&gt;Einstellungen!$C$3,"anderes Jahr",IF(A2681&lt;INDEX(Mitarbeiter!$C$6:$C$205,MATCH(B2681,Mitarbeiter!$A$6:$A$205,0)),"vor Eintritt",IF(AND(INDEX(Mitarbeiter!$D$6:$D$205,MATCH(B2681,Mitarbeiter!$A$6:$A$205,0))&lt;&gt;"",A2681&gt;INDEX(Mitarbeiter!$D$6:$D$205,MATCH(B2681,Mitarbeiter!$A$6:$A$205,0))),"nach Austritt","ok")))))))</f>
        <v/>
      </c>
    </row>
    <row r="2682">
      <c r="A2682" s="26" t="n"/>
      <c r="B2682" s="24" t="n"/>
      <c r="C2682" s="40">
        <f>IF(B2682="","",IFERROR(INDEX(Mitarbeiter!$B$6:$B$205,MATCH(B2682,Mitarbeiter!$A$6:$A$205,0)),"?"))</f>
        <v/>
      </c>
      <c r="D2682" s="41" t="n"/>
      <c r="E2682" s="42" t="n"/>
      <c r="F2682" s="43" t="n"/>
      <c r="G2682" s="44">
        <f>IF(OR(B2682="",F2682=""),"",IFERROR(F2682*INDEX(Mitarbeiter!$F$6:$F$205,MATCH(B2682,Mitarbeiter!$A$6:$A$205,0)),0))</f>
        <v/>
      </c>
      <c r="H2682" s="8">
        <f>IF(B2682="","",IF(ISNA(MATCH(B2682,Mitarbeiter!$A$6:$A$205,0)),"Pers.-Nr. unbekannt",IF(A2682="","Datum fehlt",IF(AND(D2682&lt;&gt;Einstellungen!$C$4,D2682&lt;&gt;Einstellungen!$C$5),"Objekt fehlt",IF(YEAR(A2682)&lt;&gt;Einstellungen!$C$3,"anderes Jahr",IF(A2682&lt;INDEX(Mitarbeiter!$C$6:$C$205,MATCH(B2682,Mitarbeiter!$A$6:$A$205,0)),"vor Eintritt",IF(AND(INDEX(Mitarbeiter!$D$6:$D$205,MATCH(B2682,Mitarbeiter!$A$6:$A$205,0))&lt;&gt;"",A2682&gt;INDEX(Mitarbeiter!$D$6:$D$205,MATCH(B2682,Mitarbeiter!$A$6:$A$205,0))),"nach Austritt","ok")))))))</f>
        <v/>
      </c>
    </row>
    <row r="2683">
      <c r="A2683" s="26" t="n"/>
      <c r="B2683" s="24" t="n"/>
      <c r="C2683" s="40">
        <f>IF(B2683="","",IFERROR(INDEX(Mitarbeiter!$B$6:$B$205,MATCH(B2683,Mitarbeiter!$A$6:$A$205,0)),"?"))</f>
        <v/>
      </c>
      <c r="D2683" s="41" t="n"/>
      <c r="E2683" s="42" t="n"/>
      <c r="F2683" s="43" t="n"/>
      <c r="G2683" s="44">
        <f>IF(OR(B2683="",F2683=""),"",IFERROR(F2683*INDEX(Mitarbeiter!$F$6:$F$205,MATCH(B2683,Mitarbeiter!$A$6:$A$205,0)),0))</f>
        <v/>
      </c>
      <c r="H2683" s="8">
        <f>IF(B2683="","",IF(ISNA(MATCH(B2683,Mitarbeiter!$A$6:$A$205,0)),"Pers.-Nr. unbekannt",IF(A2683="","Datum fehlt",IF(AND(D2683&lt;&gt;Einstellungen!$C$4,D2683&lt;&gt;Einstellungen!$C$5),"Objekt fehlt",IF(YEAR(A2683)&lt;&gt;Einstellungen!$C$3,"anderes Jahr",IF(A2683&lt;INDEX(Mitarbeiter!$C$6:$C$205,MATCH(B2683,Mitarbeiter!$A$6:$A$205,0)),"vor Eintritt",IF(AND(INDEX(Mitarbeiter!$D$6:$D$205,MATCH(B2683,Mitarbeiter!$A$6:$A$205,0))&lt;&gt;"",A2683&gt;INDEX(Mitarbeiter!$D$6:$D$205,MATCH(B2683,Mitarbeiter!$A$6:$A$205,0))),"nach Austritt","ok")))))))</f>
        <v/>
      </c>
    </row>
    <row r="2684">
      <c r="A2684" s="26" t="n"/>
      <c r="B2684" s="24" t="n"/>
      <c r="C2684" s="40">
        <f>IF(B2684="","",IFERROR(INDEX(Mitarbeiter!$B$6:$B$205,MATCH(B2684,Mitarbeiter!$A$6:$A$205,0)),"?"))</f>
        <v/>
      </c>
      <c r="D2684" s="41" t="n"/>
      <c r="E2684" s="42" t="n"/>
      <c r="F2684" s="43" t="n"/>
      <c r="G2684" s="44">
        <f>IF(OR(B2684="",F2684=""),"",IFERROR(F2684*INDEX(Mitarbeiter!$F$6:$F$205,MATCH(B2684,Mitarbeiter!$A$6:$A$205,0)),0))</f>
        <v/>
      </c>
      <c r="H2684" s="8">
        <f>IF(B2684="","",IF(ISNA(MATCH(B2684,Mitarbeiter!$A$6:$A$205,0)),"Pers.-Nr. unbekannt",IF(A2684="","Datum fehlt",IF(AND(D2684&lt;&gt;Einstellungen!$C$4,D2684&lt;&gt;Einstellungen!$C$5),"Objekt fehlt",IF(YEAR(A2684)&lt;&gt;Einstellungen!$C$3,"anderes Jahr",IF(A2684&lt;INDEX(Mitarbeiter!$C$6:$C$205,MATCH(B2684,Mitarbeiter!$A$6:$A$205,0)),"vor Eintritt",IF(AND(INDEX(Mitarbeiter!$D$6:$D$205,MATCH(B2684,Mitarbeiter!$A$6:$A$205,0))&lt;&gt;"",A2684&gt;INDEX(Mitarbeiter!$D$6:$D$205,MATCH(B2684,Mitarbeiter!$A$6:$A$205,0))),"nach Austritt","ok")))))))</f>
        <v/>
      </c>
    </row>
    <row r="2685">
      <c r="A2685" s="26" t="n"/>
      <c r="B2685" s="24" t="n"/>
      <c r="C2685" s="40">
        <f>IF(B2685="","",IFERROR(INDEX(Mitarbeiter!$B$6:$B$205,MATCH(B2685,Mitarbeiter!$A$6:$A$205,0)),"?"))</f>
        <v/>
      </c>
      <c r="D2685" s="41" t="n"/>
      <c r="E2685" s="42" t="n"/>
      <c r="F2685" s="43" t="n"/>
      <c r="G2685" s="44">
        <f>IF(OR(B2685="",F2685=""),"",IFERROR(F2685*INDEX(Mitarbeiter!$F$6:$F$205,MATCH(B2685,Mitarbeiter!$A$6:$A$205,0)),0))</f>
        <v/>
      </c>
      <c r="H2685" s="8">
        <f>IF(B2685="","",IF(ISNA(MATCH(B2685,Mitarbeiter!$A$6:$A$205,0)),"Pers.-Nr. unbekannt",IF(A2685="","Datum fehlt",IF(AND(D2685&lt;&gt;Einstellungen!$C$4,D2685&lt;&gt;Einstellungen!$C$5),"Objekt fehlt",IF(YEAR(A2685)&lt;&gt;Einstellungen!$C$3,"anderes Jahr",IF(A2685&lt;INDEX(Mitarbeiter!$C$6:$C$205,MATCH(B2685,Mitarbeiter!$A$6:$A$205,0)),"vor Eintritt",IF(AND(INDEX(Mitarbeiter!$D$6:$D$205,MATCH(B2685,Mitarbeiter!$A$6:$A$205,0))&lt;&gt;"",A2685&gt;INDEX(Mitarbeiter!$D$6:$D$205,MATCH(B2685,Mitarbeiter!$A$6:$A$205,0))),"nach Austritt","ok")))))))</f>
        <v/>
      </c>
    </row>
    <row r="2686">
      <c r="A2686" s="26" t="n"/>
      <c r="B2686" s="24" t="n"/>
      <c r="C2686" s="40">
        <f>IF(B2686="","",IFERROR(INDEX(Mitarbeiter!$B$6:$B$205,MATCH(B2686,Mitarbeiter!$A$6:$A$205,0)),"?"))</f>
        <v/>
      </c>
      <c r="D2686" s="41" t="n"/>
      <c r="E2686" s="42" t="n"/>
      <c r="F2686" s="43" t="n"/>
      <c r="G2686" s="44">
        <f>IF(OR(B2686="",F2686=""),"",IFERROR(F2686*INDEX(Mitarbeiter!$F$6:$F$205,MATCH(B2686,Mitarbeiter!$A$6:$A$205,0)),0))</f>
        <v/>
      </c>
      <c r="H2686" s="8">
        <f>IF(B2686="","",IF(ISNA(MATCH(B2686,Mitarbeiter!$A$6:$A$205,0)),"Pers.-Nr. unbekannt",IF(A2686="","Datum fehlt",IF(AND(D2686&lt;&gt;Einstellungen!$C$4,D2686&lt;&gt;Einstellungen!$C$5),"Objekt fehlt",IF(YEAR(A2686)&lt;&gt;Einstellungen!$C$3,"anderes Jahr",IF(A2686&lt;INDEX(Mitarbeiter!$C$6:$C$205,MATCH(B2686,Mitarbeiter!$A$6:$A$205,0)),"vor Eintritt",IF(AND(INDEX(Mitarbeiter!$D$6:$D$205,MATCH(B2686,Mitarbeiter!$A$6:$A$205,0))&lt;&gt;"",A2686&gt;INDEX(Mitarbeiter!$D$6:$D$205,MATCH(B2686,Mitarbeiter!$A$6:$A$205,0))),"nach Austritt","ok")))))))</f>
        <v/>
      </c>
    </row>
    <row r="2687">
      <c r="A2687" s="26" t="n"/>
      <c r="B2687" s="24" t="n"/>
      <c r="C2687" s="40">
        <f>IF(B2687="","",IFERROR(INDEX(Mitarbeiter!$B$6:$B$205,MATCH(B2687,Mitarbeiter!$A$6:$A$205,0)),"?"))</f>
        <v/>
      </c>
      <c r="D2687" s="41" t="n"/>
      <c r="E2687" s="42" t="n"/>
      <c r="F2687" s="43" t="n"/>
      <c r="G2687" s="44">
        <f>IF(OR(B2687="",F2687=""),"",IFERROR(F2687*INDEX(Mitarbeiter!$F$6:$F$205,MATCH(B2687,Mitarbeiter!$A$6:$A$205,0)),0))</f>
        <v/>
      </c>
      <c r="H2687" s="8">
        <f>IF(B2687="","",IF(ISNA(MATCH(B2687,Mitarbeiter!$A$6:$A$205,0)),"Pers.-Nr. unbekannt",IF(A2687="","Datum fehlt",IF(AND(D2687&lt;&gt;Einstellungen!$C$4,D2687&lt;&gt;Einstellungen!$C$5),"Objekt fehlt",IF(YEAR(A2687)&lt;&gt;Einstellungen!$C$3,"anderes Jahr",IF(A2687&lt;INDEX(Mitarbeiter!$C$6:$C$205,MATCH(B2687,Mitarbeiter!$A$6:$A$205,0)),"vor Eintritt",IF(AND(INDEX(Mitarbeiter!$D$6:$D$205,MATCH(B2687,Mitarbeiter!$A$6:$A$205,0))&lt;&gt;"",A2687&gt;INDEX(Mitarbeiter!$D$6:$D$205,MATCH(B2687,Mitarbeiter!$A$6:$A$205,0))),"nach Austritt","ok")))))))</f>
        <v/>
      </c>
    </row>
    <row r="2688">
      <c r="A2688" s="26" t="n"/>
      <c r="B2688" s="24" t="n"/>
      <c r="C2688" s="40">
        <f>IF(B2688="","",IFERROR(INDEX(Mitarbeiter!$B$6:$B$205,MATCH(B2688,Mitarbeiter!$A$6:$A$205,0)),"?"))</f>
        <v/>
      </c>
      <c r="D2688" s="41" t="n"/>
      <c r="E2688" s="42" t="n"/>
      <c r="F2688" s="43" t="n"/>
      <c r="G2688" s="44">
        <f>IF(OR(B2688="",F2688=""),"",IFERROR(F2688*INDEX(Mitarbeiter!$F$6:$F$205,MATCH(B2688,Mitarbeiter!$A$6:$A$205,0)),0))</f>
        <v/>
      </c>
      <c r="H2688" s="8">
        <f>IF(B2688="","",IF(ISNA(MATCH(B2688,Mitarbeiter!$A$6:$A$205,0)),"Pers.-Nr. unbekannt",IF(A2688="","Datum fehlt",IF(AND(D2688&lt;&gt;Einstellungen!$C$4,D2688&lt;&gt;Einstellungen!$C$5),"Objekt fehlt",IF(YEAR(A2688)&lt;&gt;Einstellungen!$C$3,"anderes Jahr",IF(A2688&lt;INDEX(Mitarbeiter!$C$6:$C$205,MATCH(B2688,Mitarbeiter!$A$6:$A$205,0)),"vor Eintritt",IF(AND(INDEX(Mitarbeiter!$D$6:$D$205,MATCH(B2688,Mitarbeiter!$A$6:$A$205,0))&lt;&gt;"",A2688&gt;INDEX(Mitarbeiter!$D$6:$D$205,MATCH(B2688,Mitarbeiter!$A$6:$A$205,0))),"nach Austritt","ok")))))))</f>
        <v/>
      </c>
    </row>
    <row r="2689">
      <c r="A2689" s="26" t="n"/>
      <c r="B2689" s="24" t="n"/>
      <c r="C2689" s="40">
        <f>IF(B2689="","",IFERROR(INDEX(Mitarbeiter!$B$6:$B$205,MATCH(B2689,Mitarbeiter!$A$6:$A$205,0)),"?"))</f>
        <v/>
      </c>
      <c r="D2689" s="41" t="n"/>
      <c r="E2689" s="42" t="n"/>
      <c r="F2689" s="43" t="n"/>
      <c r="G2689" s="44">
        <f>IF(OR(B2689="",F2689=""),"",IFERROR(F2689*INDEX(Mitarbeiter!$F$6:$F$205,MATCH(B2689,Mitarbeiter!$A$6:$A$205,0)),0))</f>
        <v/>
      </c>
      <c r="H2689" s="8">
        <f>IF(B2689="","",IF(ISNA(MATCH(B2689,Mitarbeiter!$A$6:$A$205,0)),"Pers.-Nr. unbekannt",IF(A2689="","Datum fehlt",IF(AND(D2689&lt;&gt;Einstellungen!$C$4,D2689&lt;&gt;Einstellungen!$C$5),"Objekt fehlt",IF(YEAR(A2689)&lt;&gt;Einstellungen!$C$3,"anderes Jahr",IF(A2689&lt;INDEX(Mitarbeiter!$C$6:$C$205,MATCH(B2689,Mitarbeiter!$A$6:$A$205,0)),"vor Eintritt",IF(AND(INDEX(Mitarbeiter!$D$6:$D$205,MATCH(B2689,Mitarbeiter!$A$6:$A$205,0))&lt;&gt;"",A2689&gt;INDEX(Mitarbeiter!$D$6:$D$205,MATCH(B2689,Mitarbeiter!$A$6:$A$205,0))),"nach Austritt","ok")))))))</f>
        <v/>
      </c>
    </row>
    <row r="2690">
      <c r="A2690" s="26" t="n"/>
      <c r="B2690" s="24" t="n"/>
      <c r="C2690" s="40">
        <f>IF(B2690="","",IFERROR(INDEX(Mitarbeiter!$B$6:$B$205,MATCH(B2690,Mitarbeiter!$A$6:$A$205,0)),"?"))</f>
        <v/>
      </c>
      <c r="D2690" s="41" t="n"/>
      <c r="E2690" s="42" t="n"/>
      <c r="F2690" s="43" t="n"/>
      <c r="G2690" s="44">
        <f>IF(OR(B2690="",F2690=""),"",IFERROR(F2690*INDEX(Mitarbeiter!$F$6:$F$205,MATCH(B2690,Mitarbeiter!$A$6:$A$205,0)),0))</f>
        <v/>
      </c>
      <c r="H2690" s="8">
        <f>IF(B2690="","",IF(ISNA(MATCH(B2690,Mitarbeiter!$A$6:$A$205,0)),"Pers.-Nr. unbekannt",IF(A2690="","Datum fehlt",IF(AND(D2690&lt;&gt;Einstellungen!$C$4,D2690&lt;&gt;Einstellungen!$C$5),"Objekt fehlt",IF(YEAR(A2690)&lt;&gt;Einstellungen!$C$3,"anderes Jahr",IF(A2690&lt;INDEX(Mitarbeiter!$C$6:$C$205,MATCH(B2690,Mitarbeiter!$A$6:$A$205,0)),"vor Eintritt",IF(AND(INDEX(Mitarbeiter!$D$6:$D$205,MATCH(B2690,Mitarbeiter!$A$6:$A$205,0))&lt;&gt;"",A2690&gt;INDEX(Mitarbeiter!$D$6:$D$205,MATCH(B2690,Mitarbeiter!$A$6:$A$205,0))),"nach Austritt","ok")))))))</f>
        <v/>
      </c>
    </row>
    <row r="2691">
      <c r="A2691" s="26" t="n"/>
      <c r="B2691" s="24" t="n"/>
      <c r="C2691" s="40">
        <f>IF(B2691="","",IFERROR(INDEX(Mitarbeiter!$B$6:$B$205,MATCH(B2691,Mitarbeiter!$A$6:$A$205,0)),"?"))</f>
        <v/>
      </c>
      <c r="D2691" s="41" t="n"/>
      <c r="E2691" s="42" t="n"/>
      <c r="F2691" s="43" t="n"/>
      <c r="G2691" s="44">
        <f>IF(OR(B2691="",F2691=""),"",IFERROR(F2691*INDEX(Mitarbeiter!$F$6:$F$205,MATCH(B2691,Mitarbeiter!$A$6:$A$205,0)),0))</f>
        <v/>
      </c>
      <c r="H2691" s="8">
        <f>IF(B2691="","",IF(ISNA(MATCH(B2691,Mitarbeiter!$A$6:$A$205,0)),"Pers.-Nr. unbekannt",IF(A2691="","Datum fehlt",IF(AND(D2691&lt;&gt;Einstellungen!$C$4,D2691&lt;&gt;Einstellungen!$C$5),"Objekt fehlt",IF(YEAR(A2691)&lt;&gt;Einstellungen!$C$3,"anderes Jahr",IF(A2691&lt;INDEX(Mitarbeiter!$C$6:$C$205,MATCH(B2691,Mitarbeiter!$A$6:$A$205,0)),"vor Eintritt",IF(AND(INDEX(Mitarbeiter!$D$6:$D$205,MATCH(B2691,Mitarbeiter!$A$6:$A$205,0))&lt;&gt;"",A2691&gt;INDEX(Mitarbeiter!$D$6:$D$205,MATCH(B2691,Mitarbeiter!$A$6:$A$205,0))),"nach Austritt","ok")))))))</f>
        <v/>
      </c>
    </row>
    <row r="2692">
      <c r="A2692" s="26" t="n"/>
      <c r="B2692" s="24" t="n"/>
      <c r="C2692" s="40">
        <f>IF(B2692="","",IFERROR(INDEX(Mitarbeiter!$B$6:$B$205,MATCH(B2692,Mitarbeiter!$A$6:$A$205,0)),"?"))</f>
        <v/>
      </c>
      <c r="D2692" s="41" t="n"/>
      <c r="E2692" s="42" t="n"/>
      <c r="F2692" s="43" t="n"/>
      <c r="G2692" s="44">
        <f>IF(OR(B2692="",F2692=""),"",IFERROR(F2692*INDEX(Mitarbeiter!$F$6:$F$205,MATCH(B2692,Mitarbeiter!$A$6:$A$205,0)),0))</f>
        <v/>
      </c>
      <c r="H2692" s="8">
        <f>IF(B2692="","",IF(ISNA(MATCH(B2692,Mitarbeiter!$A$6:$A$205,0)),"Pers.-Nr. unbekannt",IF(A2692="","Datum fehlt",IF(AND(D2692&lt;&gt;Einstellungen!$C$4,D2692&lt;&gt;Einstellungen!$C$5),"Objekt fehlt",IF(YEAR(A2692)&lt;&gt;Einstellungen!$C$3,"anderes Jahr",IF(A2692&lt;INDEX(Mitarbeiter!$C$6:$C$205,MATCH(B2692,Mitarbeiter!$A$6:$A$205,0)),"vor Eintritt",IF(AND(INDEX(Mitarbeiter!$D$6:$D$205,MATCH(B2692,Mitarbeiter!$A$6:$A$205,0))&lt;&gt;"",A2692&gt;INDEX(Mitarbeiter!$D$6:$D$205,MATCH(B2692,Mitarbeiter!$A$6:$A$205,0))),"nach Austritt","ok")))))))</f>
        <v/>
      </c>
    </row>
    <row r="2693">
      <c r="A2693" s="26" t="n"/>
      <c r="B2693" s="24" t="n"/>
      <c r="C2693" s="40">
        <f>IF(B2693="","",IFERROR(INDEX(Mitarbeiter!$B$6:$B$205,MATCH(B2693,Mitarbeiter!$A$6:$A$205,0)),"?"))</f>
        <v/>
      </c>
      <c r="D2693" s="41" t="n"/>
      <c r="E2693" s="42" t="n"/>
      <c r="F2693" s="43" t="n"/>
      <c r="G2693" s="44">
        <f>IF(OR(B2693="",F2693=""),"",IFERROR(F2693*INDEX(Mitarbeiter!$F$6:$F$205,MATCH(B2693,Mitarbeiter!$A$6:$A$205,0)),0))</f>
        <v/>
      </c>
      <c r="H2693" s="8">
        <f>IF(B2693="","",IF(ISNA(MATCH(B2693,Mitarbeiter!$A$6:$A$205,0)),"Pers.-Nr. unbekannt",IF(A2693="","Datum fehlt",IF(AND(D2693&lt;&gt;Einstellungen!$C$4,D2693&lt;&gt;Einstellungen!$C$5),"Objekt fehlt",IF(YEAR(A2693)&lt;&gt;Einstellungen!$C$3,"anderes Jahr",IF(A2693&lt;INDEX(Mitarbeiter!$C$6:$C$205,MATCH(B2693,Mitarbeiter!$A$6:$A$205,0)),"vor Eintritt",IF(AND(INDEX(Mitarbeiter!$D$6:$D$205,MATCH(B2693,Mitarbeiter!$A$6:$A$205,0))&lt;&gt;"",A2693&gt;INDEX(Mitarbeiter!$D$6:$D$205,MATCH(B2693,Mitarbeiter!$A$6:$A$205,0))),"nach Austritt","ok")))))))</f>
        <v/>
      </c>
    </row>
    <row r="2694">
      <c r="A2694" s="26" t="n"/>
      <c r="B2694" s="24" t="n"/>
      <c r="C2694" s="40">
        <f>IF(B2694="","",IFERROR(INDEX(Mitarbeiter!$B$6:$B$205,MATCH(B2694,Mitarbeiter!$A$6:$A$205,0)),"?"))</f>
        <v/>
      </c>
      <c r="D2694" s="41" t="n"/>
      <c r="E2694" s="42" t="n"/>
      <c r="F2694" s="43" t="n"/>
      <c r="G2694" s="44">
        <f>IF(OR(B2694="",F2694=""),"",IFERROR(F2694*INDEX(Mitarbeiter!$F$6:$F$205,MATCH(B2694,Mitarbeiter!$A$6:$A$205,0)),0))</f>
        <v/>
      </c>
      <c r="H2694" s="8">
        <f>IF(B2694="","",IF(ISNA(MATCH(B2694,Mitarbeiter!$A$6:$A$205,0)),"Pers.-Nr. unbekannt",IF(A2694="","Datum fehlt",IF(AND(D2694&lt;&gt;Einstellungen!$C$4,D2694&lt;&gt;Einstellungen!$C$5),"Objekt fehlt",IF(YEAR(A2694)&lt;&gt;Einstellungen!$C$3,"anderes Jahr",IF(A2694&lt;INDEX(Mitarbeiter!$C$6:$C$205,MATCH(B2694,Mitarbeiter!$A$6:$A$205,0)),"vor Eintritt",IF(AND(INDEX(Mitarbeiter!$D$6:$D$205,MATCH(B2694,Mitarbeiter!$A$6:$A$205,0))&lt;&gt;"",A2694&gt;INDEX(Mitarbeiter!$D$6:$D$205,MATCH(B2694,Mitarbeiter!$A$6:$A$205,0))),"nach Austritt","ok")))))))</f>
        <v/>
      </c>
    </row>
    <row r="2695">
      <c r="A2695" s="26" t="n"/>
      <c r="B2695" s="24" t="n"/>
      <c r="C2695" s="40">
        <f>IF(B2695="","",IFERROR(INDEX(Mitarbeiter!$B$6:$B$205,MATCH(B2695,Mitarbeiter!$A$6:$A$205,0)),"?"))</f>
        <v/>
      </c>
      <c r="D2695" s="41" t="n"/>
      <c r="E2695" s="42" t="n"/>
      <c r="F2695" s="43" t="n"/>
      <c r="G2695" s="44">
        <f>IF(OR(B2695="",F2695=""),"",IFERROR(F2695*INDEX(Mitarbeiter!$F$6:$F$205,MATCH(B2695,Mitarbeiter!$A$6:$A$205,0)),0))</f>
        <v/>
      </c>
      <c r="H2695" s="8">
        <f>IF(B2695="","",IF(ISNA(MATCH(B2695,Mitarbeiter!$A$6:$A$205,0)),"Pers.-Nr. unbekannt",IF(A2695="","Datum fehlt",IF(AND(D2695&lt;&gt;Einstellungen!$C$4,D2695&lt;&gt;Einstellungen!$C$5),"Objekt fehlt",IF(YEAR(A2695)&lt;&gt;Einstellungen!$C$3,"anderes Jahr",IF(A2695&lt;INDEX(Mitarbeiter!$C$6:$C$205,MATCH(B2695,Mitarbeiter!$A$6:$A$205,0)),"vor Eintritt",IF(AND(INDEX(Mitarbeiter!$D$6:$D$205,MATCH(B2695,Mitarbeiter!$A$6:$A$205,0))&lt;&gt;"",A2695&gt;INDEX(Mitarbeiter!$D$6:$D$205,MATCH(B2695,Mitarbeiter!$A$6:$A$205,0))),"nach Austritt","ok")))))))</f>
        <v/>
      </c>
    </row>
    <row r="2696">
      <c r="A2696" s="26" t="n"/>
      <c r="B2696" s="24" t="n"/>
      <c r="C2696" s="40">
        <f>IF(B2696="","",IFERROR(INDEX(Mitarbeiter!$B$6:$B$205,MATCH(B2696,Mitarbeiter!$A$6:$A$205,0)),"?"))</f>
        <v/>
      </c>
      <c r="D2696" s="41" t="n"/>
      <c r="E2696" s="42" t="n"/>
      <c r="F2696" s="43" t="n"/>
      <c r="G2696" s="44">
        <f>IF(OR(B2696="",F2696=""),"",IFERROR(F2696*INDEX(Mitarbeiter!$F$6:$F$205,MATCH(B2696,Mitarbeiter!$A$6:$A$205,0)),0))</f>
        <v/>
      </c>
      <c r="H2696" s="8">
        <f>IF(B2696="","",IF(ISNA(MATCH(B2696,Mitarbeiter!$A$6:$A$205,0)),"Pers.-Nr. unbekannt",IF(A2696="","Datum fehlt",IF(AND(D2696&lt;&gt;Einstellungen!$C$4,D2696&lt;&gt;Einstellungen!$C$5),"Objekt fehlt",IF(YEAR(A2696)&lt;&gt;Einstellungen!$C$3,"anderes Jahr",IF(A2696&lt;INDEX(Mitarbeiter!$C$6:$C$205,MATCH(B2696,Mitarbeiter!$A$6:$A$205,0)),"vor Eintritt",IF(AND(INDEX(Mitarbeiter!$D$6:$D$205,MATCH(B2696,Mitarbeiter!$A$6:$A$205,0))&lt;&gt;"",A2696&gt;INDEX(Mitarbeiter!$D$6:$D$205,MATCH(B2696,Mitarbeiter!$A$6:$A$205,0))),"nach Austritt","ok")))))))</f>
        <v/>
      </c>
    </row>
    <row r="2697">
      <c r="A2697" s="26" t="n"/>
      <c r="B2697" s="24" t="n"/>
      <c r="C2697" s="40">
        <f>IF(B2697="","",IFERROR(INDEX(Mitarbeiter!$B$6:$B$205,MATCH(B2697,Mitarbeiter!$A$6:$A$205,0)),"?"))</f>
        <v/>
      </c>
      <c r="D2697" s="41" t="n"/>
      <c r="E2697" s="42" t="n"/>
      <c r="F2697" s="43" t="n"/>
      <c r="G2697" s="44">
        <f>IF(OR(B2697="",F2697=""),"",IFERROR(F2697*INDEX(Mitarbeiter!$F$6:$F$205,MATCH(B2697,Mitarbeiter!$A$6:$A$205,0)),0))</f>
        <v/>
      </c>
      <c r="H2697" s="8">
        <f>IF(B2697="","",IF(ISNA(MATCH(B2697,Mitarbeiter!$A$6:$A$205,0)),"Pers.-Nr. unbekannt",IF(A2697="","Datum fehlt",IF(AND(D2697&lt;&gt;Einstellungen!$C$4,D2697&lt;&gt;Einstellungen!$C$5),"Objekt fehlt",IF(YEAR(A2697)&lt;&gt;Einstellungen!$C$3,"anderes Jahr",IF(A2697&lt;INDEX(Mitarbeiter!$C$6:$C$205,MATCH(B2697,Mitarbeiter!$A$6:$A$205,0)),"vor Eintritt",IF(AND(INDEX(Mitarbeiter!$D$6:$D$205,MATCH(B2697,Mitarbeiter!$A$6:$A$205,0))&lt;&gt;"",A2697&gt;INDEX(Mitarbeiter!$D$6:$D$205,MATCH(B2697,Mitarbeiter!$A$6:$A$205,0))),"nach Austritt","ok")))))))</f>
        <v/>
      </c>
    </row>
    <row r="2698">
      <c r="A2698" s="26" t="n"/>
      <c r="B2698" s="24" t="n"/>
      <c r="C2698" s="40">
        <f>IF(B2698="","",IFERROR(INDEX(Mitarbeiter!$B$6:$B$205,MATCH(B2698,Mitarbeiter!$A$6:$A$205,0)),"?"))</f>
        <v/>
      </c>
      <c r="D2698" s="41" t="n"/>
      <c r="E2698" s="42" t="n"/>
      <c r="F2698" s="43" t="n"/>
      <c r="G2698" s="44">
        <f>IF(OR(B2698="",F2698=""),"",IFERROR(F2698*INDEX(Mitarbeiter!$F$6:$F$205,MATCH(B2698,Mitarbeiter!$A$6:$A$205,0)),0))</f>
        <v/>
      </c>
      <c r="H2698" s="8">
        <f>IF(B2698="","",IF(ISNA(MATCH(B2698,Mitarbeiter!$A$6:$A$205,0)),"Pers.-Nr. unbekannt",IF(A2698="","Datum fehlt",IF(AND(D2698&lt;&gt;Einstellungen!$C$4,D2698&lt;&gt;Einstellungen!$C$5),"Objekt fehlt",IF(YEAR(A2698)&lt;&gt;Einstellungen!$C$3,"anderes Jahr",IF(A2698&lt;INDEX(Mitarbeiter!$C$6:$C$205,MATCH(B2698,Mitarbeiter!$A$6:$A$205,0)),"vor Eintritt",IF(AND(INDEX(Mitarbeiter!$D$6:$D$205,MATCH(B2698,Mitarbeiter!$A$6:$A$205,0))&lt;&gt;"",A2698&gt;INDEX(Mitarbeiter!$D$6:$D$205,MATCH(B2698,Mitarbeiter!$A$6:$A$205,0))),"nach Austritt","ok")))))))</f>
        <v/>
      </c>
    </row>
    <row r="2699">
      <c r="A2699" s="26" t="n"/>
      <c r="B2699" s="24" t="n"/>
      <c r="C2699" s="40">
        <f>IF(B2699="","",IFERROR(INDEX(Mitarbeiter!$B$6:$B$205,MATCH(B2699,Mitarbeiter!$A$6:$A$205,0)),"?"))</f>
        <v/>
      </c>
      <c r="D2699" s="41" t="n"/>
      <c r="E2699" s="42" t="n"/>
      <c r="F2699" s="43" t="n"/>
      <c r="G2699" s="44">
        <f>IF(OR(B2699="",F2699=""),"",IFERROR(F2699*INDEX(Mitarbeiter!$F$6:$F$205,MATCH(B2699,Mitarbeiter!$A$6:$A$205,0)),0))</f>
        <v/>
      </c>
      <c r="H2699" s="8">
        <f>IF(B2699="","",IF(ISNA(MATCH(B2699,Mitarbeiter!$A$6:$A$205,0)),"Pers.-Nr. unbekannt",IF(A2699="","Datum fehlt",IF(AND(D2699&lt;&gt;Einstellungen!$C$4,D2699&lt;&gt;Einstellungen!$C$5),"Objekt fehlt",IF(YEAR(A2699)&lt;&gt;Einstellungen!$C$3,"anderes Jahr",IF(A2699&lt;INDEX(Mitarbeiter!$C$6:$C$205,MATCH(B2699,Mitarbeiter!$A$6:$A$205,0)),"vor Eintritt",IF(AND(INDEX(Mitarbeiter!$D$6:$D$205,MATCH(B2699,Mitarbeiter!$A$6:$A$205,0))&lt;&gt;"",A2699&gt;INDEX(Mitarbeiter!$D$6:$D$205,MATCH(B2699,Mitarbeiter!$A$6:$A$205,0))),"nach Austritt","ok")))))))</f>
        <v/>
      </c>
    </row>
    <row r="2700">
      <c r="A2700" s="26" t="n"/>
      <c r="B2700" s="24" t="n"/>
      <c r="C2700" s="40">
        <f>IF(B2700="","",IFERROR(INDEX(Mitarbeiter!$B$6:$B$205,MATCH(B2700,Mitarbeiter!$A$6:$A$205,0)),"?"))</f>
        <v/>
      </c>
      <c r="D2700" s="41" t="n"/>
      <c r="E2700" s="42" t="n"/>
      <c r="F2700" s="43" t="n"/>
      <c r="G2700" s="44">
        <f>IF(OR(B2700="",F2700=""),"",IFERROR(F2700*INDEX(Mitarbeiter!$F$6:$F$205,MATCH(B2700,Mitarbeiter!$A$6:$A$205,0)),0))</f>
        <v/>
      </c>
      <c r="H2700" s="8">
        <f>IF(B2700="","",IF(ISNA(MATCH(B2700,Mitarbeiter!$A$6:$A$205,0)),"Pers.-Nr. unbekannt",IF(A2700="","Datum fehlt",IF(AND(D2700&lt;&gt;Einstellungen!$C$4,D2700&lt;&gt;Einstellungen!$C$5),"Objekt fehlt",IF(YEAR(A2700)&lt;&gt;Einstellungen!$C$3,"anderes Jahr",IF(A2700&lt;INDEX(Mitarbeiter!$C$6:$C$205,MATCH(B2700,Mitarbeiter!$A$6:$A$205,0)),"vor Eintritt",IF(AND(INDEX(Mitarbeiter!$D$6:$D$205,MATCH(B2700,Mitarbeiter!$A$6:$A$205,0))&lt;&gt;"",A2700&gt;INDEX(Mitarbeiter!$D$6:$D$205,MATCH(B2700,Mitarbeiter!$A$6:$A$205,0))),"nach Austritt","ok")))))))</f>
        <v/>
      </c>
    </row>
    <row r="2701">
      <c r="A2701" s="26" t="n"/>
      <c r="B2701" s="24" t="n"/>
      <c r="C2701" s="40">
        <f>IF(B2701="","",IFERROR(INDEX(Mitarbeiter!$B$6:$B$205,MATCH(B2701,Mitarbeiter!$A$6:$A$205,0)),"?"))</f>
        <v/>
      </c>
      <c r="D2701" s="41" t="n"/>
      <c r="E2701" s="42" t="n"/>
      <c r="F2701" s="43" t="n"/>
      <c r="G2701" s="44">
        <f>IF(OR(B2701="",F2701=""),"",IFERROR(F2701*INDEX(Mitarbeiter!$F$6:$F$205,MATCH(B2701,Mitarbeiter!$A$6:$A$205,0)),0))</f>
        <v/>
      </c>
      <c r="H2701" s="8">
        <f>IF(B2701="","",IF(ISNA(MATCH(B2701,Mitarbeiter!$A$6:$A$205,0)),"Pers.-Nr. unbekannt",IF(A2701="","Datum fehlt",IF(AND(D2701&lt;&gt;Einstellungen!$C$4,D2701&lt;&gt;Einstellungen!$C$5),"Objekt fehlt",IF(YEAR(A2701)&lt;&gt;Einstellungen!$C$3,"anderes Jahr",IF(A2701&lt;INDEX(Mitarbeiter!$C$6:$C$205,MATCH(B2701,Mitarbeiter!$A$6:$A$205,0)),"vor Eintritt",IF(AND(INDEX(Mitarbeiter!$D$6:$D$205,MATCH(B2701,Mitarbeiter!$A$6:$A$205,0))&lt;&gt;"",A2701&gt;INDEX(Mitarbeiter!$D$6:$D$205,MATCH(B2701,Mitarbeiter!$A$6:$A$205,0))),"nach Austritt","ok")))))))</f>
        <v/>
      </c>
    </row>
    <row r="2702">
      <c r="A2702" s="26" t="n"/>
      <c r="B2702" s="24" t="n"/>
      <c r="C2702" s="40">
        <f>IF(B2702="","",IFERROR(INDEX(Mitarbeiter!$B$6:$B$205,MATCH(B2702,Mitarbeiter!$A$6:$A$205,0)),"?"))</f>
        <v/>
      </c>
      <c r="D2702" s="41" t="n"/>
      <c r="E2702" s="42" t="n"/>
      <c r="F2702" s="43" t="n"/>
      <c r="G2702" s="44">
        <f>IF(OR(B2702="",F2702=""),"",IFERROR(F2702*INDEX(Mitarbeiter!$F$6:$F$205,MATCH(B2702,Mitarbeiter!$A$6:$A$205,0)),0))</f>
        <v/>
      </c>
      <c r="H2702" s="8">
        <f>IF(B2702="","",IF(ISNA(MATCH(B2702,Mitarbeiter!$A$6:$A$205,0)),"Pers.-Nr. unbekannt",IF(A2702="","Datum fehlt",IF(AND(D2702&lt;&gt;Einstellungen!$C$4,D2702&lt;&gt;Einstellungen!$C$5),"Objekt fehlt",IF(YEAR(A2702)&lt;&gt;Einstellungen!$C$3,"anderes Jahr",IF(A2702&lt;INDEX(Mitarbeiter!$C$6:$C$205,MATCH(B2702,Mitarbeiter!$A$6:$A$205,0)),"vor Eintritt",IF(AND(INDEX(Mitarbeiter!$D$6:$D$205,MATCH(B2702,Mitarbeiter!$A$6:$A$205,0))&lt;&gt;"",A2702&gt;INDEX(Mitarbeiter!$D$6:$D$205,MATCH(B2702,Mitarbeiter!$A$6:$A$205,0))),"nach Austritt","ok")))))))</f>
        <v/>
      </c>
    </row>
    <row r="2703">
      <c r="A2703" s="26" t="n"/>
      <c r="B2703" s="24" t="n"/>
      <c r="C2703" s="40">
        <f>IF(B2703="","",IFERROR(INDEX(Mitarbeiter!$B$6:$B$205,MATCH(B2703,Mitarbeiter!$A$6:$A$205,0)),"?"))</f>
        <v/>
      </c>
      <c r="D2703" s="41" t="n"/>
      <c r="E2703" s="42" t="n"/>
      <c r="F2703" s="43" t="n"/>
      <c r="G2703" s="44">
        <f>IF(OR(B2703="",F2703=""),"",IFERROR(F2703*INDEX(Mitarbeiter!$F$6:$F$205,MATCH(B2703,Mitarbeiter!$A$6:$A$205,0)),0))</f>
        <v/>
      </c>
      <c r="H2703" s="8">
        <f>IF(B2703="","",IF(ISNA(MATCH(B2703,Mitarbeiter!$A$6:$A$205,0)),"Pers.-Nr. unbekannt",IF(A2703="","Datum fehlt",IF(AND(D2703&lt;&gt;Einstellungen!$C$4,D2703&lt;&gt;Einstellungen!$C$5),"Objekt fehlt",IF(YEAR(A2703)&lt;&gt;Einstellungen!$C$3,"anderes Jahr",IF(A2703&lt;INDEX(Mitarbeiter!$C$6:$C$205,MATCH(B2703,Mitarbeiter!$A$6:$A$205,0)),"vor Eintritt",IF(AND(INDEX(Mitarbeiter!$D$6:$D$205,MATCH(B2703,Mitarbeiter!$A$6:$A$205,0))&lt;&gt;"",A2703&gt;INDEX(Mitarbeiter!$D$6:$D$205,MATCH(B2703,Mitarbeiter!$A$6:$A$205,0))),"nach Austritt","ok")))))))</f>
        <v/>
      </c>
    </row>
    <row r="2704">
      <c r="A2704" s="26" t="n"/>
      <c r="B2704" s="24" t="n"/>
      <c r="C2704" s="40">
        <f>IF(B2704="","",IFERROR(INDEX(Mitarbeiter!$B$6:$B$205,MATCH(B2704,Mitarbeiter!$A$6:$A$205,0)),"?"))</f>
        <v/>
      </c>
      <c r="D2704" s="41" t="n"/>
      <c r="E2704" s="42" t="n"/>
      <c r="F2704" s="43" t="n"/>
      <c r="G2704" s="44">
        <f>IF(OR(B2704="",F2704=""),"",IFERROR(F2704*INDEX(Mitarbeiter!$F$6:$F$205,MATCH(B2704,Mitarbeiter!$A$6:$A$205,0)),0))</f>
        <v/>
      </c>
      <c r="H2704" s="8">
        <f>IF(B2704="","",IF(ISNA(MATCH(B2704,Mitarbeiter!$A$6:$A$205,0)),"Pers.-Nr. unbekannt",IF(A2704="","Datum fehlt",IF(AND(D2704&lt;&gt;Einstellungen!$C$4,D2704&lt;&gt;Einstellungen!$C$5),"Objekt fehlt",IF(YEAR(A2704)&lt;&gt;Einstellungen!$C$3,"anderes Jahr",IF(A2704&lt;INDEX(Mitarbeiter!$C$6:$C$205,MATCH(B2704,Mitarbeiter!$A$6:$A$205,0)),"vor Eintritt",IF(AND(INDEX(Mitarbeiter!$D$6:$D$205,MATCH(B2704,Mitarbeiter!$A$6:$A$205,0))&lt;&gt;"",A2704&gt;INDEX(Mitarbeiter!$D$6:$D$205,MATCH(B2704,Mitarbeiter!$A$6:$A$205,0))),"nach Austritt","ok")))))))</f>
        <v/>
      </c>
    </row>
    <row r="2705">
      <c r="A2705" s="26" t="n"/>
      <c r="B2705" s="24" t="n"/>
      <c r="C2705" s="40">
        <f>IF(B2705="","",IFERROR(INDEX(Mitarbeiter!$B$6:$B$205,MATCH(B2705,Mitarbeiter!$A$6:$A$205,0)),"?"))</f>
        <v/>
      </c>
      <c r="D2705" s="41" t="n"/>
      <c r="E2705" s="42" t="n"/>
      <c r="F2705" s="43" t="n"/>
      <c r="G2705" s="44">
        <f>IF(OR(B2705="",F2705=""),"",IFERROR(F2705*INDEX(Mitarbeiter!$F$6:$F$205,MATCH(B2705,Mitarbeiter!$A$6:$A$205,0)),0))</f>
        <v/>
      </c>
      <c r="H2705" s="8">
        <f>IF(B2705="","",IF(ISNA(MATCH(B2705,Mitarbeiter!$A$6:$A$205,0)),"Pers.-Nr. unbekannt",IF(A2705="","Datum fehlt",IF(AND(D2705&lt;&gt;Einstellungen!$C$4,D2705&lt;&gt;Einstellungen!$C$5),"Objekt fehlt",IF(YEAR(A2705)&lt;&gt;Einstellungen!$C$3,"anderes Jahr",IF(A2705&lt;INDEX(Mitarbeiter!$C$6:$C$205,MATCH(B2705,Mitarbeiter!$A$6:$A$205,0)),"vor Eintritt",IF(AND(INDEX(Mitarbeiter!$D$6:$D$205,MATCH(B2705,Mitarbeiter!$A$6:$A$205,0))&lt;&gt;"",A2705&gt;INDEX(Mitarbeiter!$D$6:$D$205,MATCH(B2705,Mitarbeiter!$A$6:$A$205,0))),"nach Austritt","ok")))))))</f>
        <v/>
      </c>
    </row>
    <row r="2706">
      <c r="A2706" s="26" t="n"/>
      <c r="B2706" s="24" t="n"/>
      <c r="C2706" s="40">
        <f>IF(B2706="","",IFERROR(INDEX(Mitarbeiter!$B$6:$B$205,MATCH(B2706,Mitarbeiter!$A$6:$A$205,0)),"?"))</f>
        <v/>
      </c>
      <c r="D2706" s="41" t="n"/>
      <c r="E2706" s="42" t="n"/>
      <c r="F2706" s="43" t="n"/>
      <c r="G2706" s="44">
        <f>IF(OR(B2706="",F2706=""),"",IFERROR(F2706*INDEX(Mitarbeiter!$F$6:$F$205,MATCH(B2706,Mitarbeiter!$A$6:$A$205,0)),0))</f>
        <v/>
      </c>
      <c r="H2706" s="8">
        <f>IF(B2706="","",IF(ISNA(MATCH(B2706,Mitarbeiter!$A$6:$A$205,0)),"Pers.-Nr. unbekannt",IF(A2706="","Datum fehlt",IF(AND(D2706&lt;&gt;Einstellungen!$C$4,D2706&lt;&gt;Einstellungen!$C$5),"Objekt fehlt",IF(YEAR(A2706)&lt;&gt;Einstellungen!$C$3,"anderes Jahr",IF(A2706&lt;INDEX(Mitarbeiter!$C$6:$C$205,MATCH(B2706,Mitarbeiter!$A$6:$A$205,0)),"vor Eintritt",IF(AND(INDEX(Mitarbeiter!$D$6:$D$205,MATCH(B2706,Mitarbeiter!$A$6:$A$205,0))&lt;&gt;"",A2706&gt;INDEX(Mitarbeiter!$D$6:$D$205,MATCH(B2706,Mitarbeiter!$A$6:$A$205,0))),"nach Austritt","ok")))))))</f>
        <v/>
      </c>
    </row>
    <row r="2707">
      <c r="A2707" s="26" t="n"/>
      <c r="B2707" s="24" t="n"/>
      <c r="C2707" s="40">
        <f>IF(B2707="","",IFERROR(INDEX(Mitarbeiter!$B$6:$B$205,MATCH(B2707,Mitarbeiter!$A$6:$A$205,0)),"?"))</f>
        <v/>
      </c>
      <c r="D2707" s="41" t="n"/>
      <c r="E2707" s="42" t="n"/>
      <c r="F2707" s="43" t="n"/>
      <c r="G2707" s="44">
        <f>IF(OR(B2707="",F2707=""),"",IFERROR(F2707*INDEX(Mitarbeiter!$F$6:$F$205,MATCH(B2707,Mitarbeiter!$A$6:$A$205,0)),0))</f>
        <v/>
      </c>
      <c r="H2707" s="8">
        <f>IF(B2707="","",IF(ISNA(MATCH(B2707,Mitarbeiter!$A$6:$A$205,0)),"Pers.-Nr. unbekannt",IF(A2707="","Datum fehlt",IF(AND(D2707&lt;&gt;Einstellungen!$C$4,D2707&lt;&gt;Einstellungen!$C$5),"Objekt fehlt",IF(YEAR(A2707)&lt;&gt;Einstellungen!$C$3,"anderes Jahr",IF(A2707&lt;INDEX(Mitarbeiter!$C$6:$C$205,MATCH(B2707,Mitarbeiter!$A$6:$A$205,0)),"vor Eintritt",IF(AND(INDEX(Mitarbeiter!$D$6:$D$205,MATCH(B2707,Mitarbeiter!$A$6:$A$205,0))&lt;&gt;"",A2707&gt;INDEX(Mitarbeiter!$D$6:$D$205,MATCH(B2707,Mitarbeiter!$A$6:$A$205,0))),"nach Austritt","ok")))))))</f>
        <v/>
      </c>
    </row>
    <row r="2708">
      <c r="A2708" s="26" t="n"/>
      <c r="B2708" s="24" t="n"/>
      <c r="C2708" s="40">
        <f>IF(B2708="","",IFERROR(INDEX(Mitarbeiter!$B$6:$B$205,MATCH(B2708,Mitarbeiter!$A$6:$A$205,0)),"?"))</f>
        <v/>
      </c>
      <c r="D2708" s="41" t="n"/>
      <c r="E2708" s="42" t="n"/>
      <c r="F2708" s="43" t="n"/>
      <c r="G2708" s="44">
        <f>IF(OR(B2708="",F2708=""),"",IFERROR(F2708*INDEX(Mitarbeiter!$F$6:$F$205,MATCH(B2708,Mitarbeiter!$A$6:$A$205,0)),0))</f>
        <v/>
      </c>
      <c r="H2708" s="8">
        <f>IF(B2708="","",IF(ISNA(MATCH(B2708,Mitarbeiter!$A$6:$A$205,0)),"Pers.-Nr. unbekannt",IF(A2708="","Datum fehlt",IF(AND(D2708&lt;&gt;Einstellungen!$C$4,D2708&lt;&gt;Einstellungen!$C$5),"Objekt fehlt",IF(YEAR(A2708)&lt;&gt;Einstellungen!$C$3,"anderes Jahr",IF(A2708&lt;INDEX(Mitarbeiter!$C$6:$C$205,MATCH(B2708,Mitarbeiter!$A$6:$A$205,0)),"vor Eintritt",IF(AND(INDEX(Mitarbeiter!$D$6:$D$205,MATCH(B2708,Mitarbeiter!$A$6:$A$205,0))&lt;&gt;"",A2708&gt;INDEX(Mitarbeiter!$D$6:$D$205,MATCH(B2708,Mitarbeiter!$A$6:$A$205,0))),"nach Austritt","ok")))))))</f>
        <v/>
      </c>
    </row>
    <row r="2709">
      <c r="A2709" s="26" t="n"/>
      <c r="B2709" s="24" t="n"/>
      <c r="C2709" s="40">
        <f>IF(B2709="","",IFERROR(INDEX(Mitarbeiter!$B$6:$B$205,MATCH(B2709,Mitarbeiter!$A$6:$A$205,0)),"?"))</f>
        <v/>
      </c>
      <c r="D2709" s="41" t="n"/>
      <c r="E2709" s="42" t="n"/>
      <c r="F2709" s="43" t="n"/>
      <c r="G2709" s="44">
        <f>IF(OR(B2709="",F2709=""),"",IFERROR(F2709*INDEX(Mitarbeiter!$F$6:$F$205,MATCH(B2709,Mitarbeiter!$A$6:$A$205,0)),0))</f>
        <v/>
      </c>
      <c r="H2709" s="8">
        <f>IF(B2709="","",IF(ISNA(MATCH(B2709,Mitarbeiter!$A$6:$A$205,0)),"Pers.-Nr. unbekannt",IF(A2709="","Datum fehlt",IF(AND(D2709&lt;&gt;Einstellungen!$C$4,D2709&lt;&gt;Einstellungen!$C$5),"Objekt fehlt",IF(YEAR(A2709)&lt;&gt;Einstellungen!$C$3,"anderes Jahr",IF(A2709&lt;INDEX(Mitarbeiter!$C$6:$C$205,MATCH(B2709,Mitarbeiter!$A$6:$A$205,0)),"vor Eintritt",IF(AND(INDEX(Mitarbeiter!$D$6:$D$205,MATCH(B2709,Mitarbeiter!$A$6:$A$205,0))&lt;&gt;"",A2709&gt;INDEX(Mitarbeiter!$D$6:$D$205,MATCH(B2709,Mitarbeiter!$A$6:$A$205,0))),"nach Austritt","ok")))))))</f>
        <v/>
      </c>
    </row>
    <row r="2710">
      <c r="A2710" s="26" t="n"/>
      <c r="B2710" s="24" t="n"/>
      <c r="C2710" s="40">
        <f>IF(B2710="","",IFERROR(INDEX(Mitarbeiter!$B$6:$B$205,MATCH(B2710,Mitarbeiter!$A$6:$A$205,0)),"?"))</f>
        <v/>
      </c>
      <c r="D2710" s="41" t="n"/>
      <c r="E2710" s="42" t="n"/>
      <c r="F2710" s="43" t="n"/>
      <c r="G2710" s="44">
        <f>IF(OR(B2710="",F2710=""),"",IFERROR(F2710*INDEX(Mitarbeiter!$F$6:$F$205,MATCH(B2710,Mitarbeiter!$A$6:$A$205,0)),0))</f>
        <v/>
      </c>
      <c r="H2710" s="8">
        <f>IF(B2710="","",IF(ISNA(MATCH(B2710,Mitarbeiter!$A$6:$A$205,0)),"Pers.-Nr. unbekannt",IF(A2710="","Datum fehlt",IF(AND(D2710&lt;&gt;Einstellungen!$C$4,D2710&lt;&gt;Einstellungen!$C$5),"Objekt fehlt",IF(YEAR(A2710)&lt;&gt;Einstellungen!$C$3,"anderes Jahr",IF(A2710&lt;INDEX(Mitarbeiter!$C$6:$C$205,MATCH(B2710,Mitarbeiter!$A$6:$A$205,0)),"vor Eintritt",IF(AND(INDEX(Mitarbeiter!$D$6:$D$205,MATCH(B2710,Mitarbeiter!$A$6:$A$205,0))&lt;&gt;"",A2710&gt;INDEX(Mitarbeiter!$D$6:$D$205,MATCH(B2710,Mitarbeiter!$A$6:$A$205,0))),"nach Austritt","ok")))))))</f>
        <v/>
      </c>
    </row>
    <row r="2711">
      <c r="A2711" s="26" t="n"/>
      <c r="B2711" s="24" t="n"/>
      <c r="C2711" s="40">
        <f>IF(B2711="","",IFERROR(INDEX(Mitarbeiter!$B$6:$B$205,MATCH(B2711,Mitarbeiter!$A$6:$A$205,0)),"?"))</f>
        <v/>
      </c>
      <c r="D2711" s="41" t="n"/>
      <c r="E2711" s="42" t="n"/>
      <c r="F2711" s="43" t="n"/>
      <c r="G2711" s="44">
        <f>IF(OR(B2711="",F2711=""),"",IFERROR(F2711*INDEX(Mitarbeiter!$F$6:$F$205,MATCH(B2711,Mitarbeiter!$A$6:$A$205,0)),0))</f>
        <v/>
      </c>
      <c r="H2711" s="8">
        <f>IF(B2711="","",IF(ISNA(MATCH(B2711,Mitarbeiter!$A$6:$A$205,0)),"Pers.-Nr. unbekannt",IF(A2711="","Datum fehlt",IF(AND(D2711&lt;&gt;Einstellungen!$C$4,D2711&lt;&gt;Einstellungen!$C$5),"Objekt fehlt",IF(YEAR(A2711)&lt;&gt;Einstellungen!$C$3,"anderes Jahr",IF(A2711&lt;INDEX(Mitarbeiter!$C$6:$C$205,MATCH(B2711,Mitarbeiter!$A$6:$A$205,0)),"vor Eintritt",IF(AND(INDEX(Mitarbeiter!$D$6:$D$205,MATCH(B2711,Mitarbeiter!$A$6:$A$205,0))&lt;&gt;"",A2711&gt;INDEX(Mitarbeiter!$D$6:$D$205,MATCH(B2711,Mitarbeiter!$A$6:$A$205,0))),"nach Austritt","ok")))))))</f>
        <v/>
      </c>
    </row>
    <row r="2712">
      <c r="A2712" s="26" t="n"/>
      <c r="B2712" s="24" t="n"/>
      <c r="C2712" s="40">
        <f>IF(B2712="","",IFERROR(INDEX(Mitarbeiter!$B$6:$B$205,MATCH(B2712,Mitarbeiter!$A$6:$A$205,0)),"?"))</f>
        <v/>
      </c>
      <c r="D2712" s="41" t="n"/>
      <c r="E2712" s="42" t="n"/>
      <c r="F2712" s="43" t="n"/>
      <c r="G2712" s="44">
        <f>IF(OR(B2712="",F2712=""),"",IFERROR(F2712*INDEX(Mitarbeiter!$F$6:$F$205,MATCH(B2712,Mitarbeiter!$A$6:$A$205,0)),0))</f>
        <v/>
      </c>
      <c r="H2712" s="8">
        <f>IF(B2712="","",IF(ISNA(MATCH(B2712,Mitarbeiter!$A$6:$A$205,0)),"Pers.-Nr. unbekannt",IF(A2712="","Datum fehlt",IF(AND(D2712&lt;&gt;Einstellungen!$C$4,D2712&lt;&gt;Einstellungen!$C$5),"Objekt fehlt",IF(YEAR(A2712)&lt;&gt;Einstellungen!$C$3,"anderes Jahr",IF(A2712&lt;INDEX(Mitarbeiter!$C$6:$C$205,MATCH(B2712,Mitarbeiter!$A$6:$A$205,0)),"vor Eintritt",IF(AND(INDEX(Mitarbeiter!$D$6:$D$205,MATCH(B2712,Mitarbeiter!$A$6:$A$205,0))&lt;&gt;"",A2712&gt;INDEX(Mitarbeiter!$D$6:$D$205,MATCH(B2712,Mitarbeiter!$A$6:$A$205,0))),"nach Austritt","ok")))))))</f>
        <v/>
      </c>
    </row>
    <row r="2713">
      <c r="A2713" s="26" t="n"/>
      <c r="B2713" s="24" t="n"/>
      <c r="C2713" s="40">
        <f>IF(B2713="","",IFERROR(INDEX(Mitarbeiter!$B$6:$B$205,MATCH(B2713,Mitarbeiter!$A$6:$A$205,0)),"?"))</f>
        <v/>
      </c>
      <c r="D2713" s="41" t="n"/>
      <c r="E2713" s="42" t="n"/>
      <c r="F2713" s="43" t="n"/>
      <c r="G2713" s="44">
        <f>IF(OR(B2713="",F2713=""),"",IFERROR(F2713*INDEX(Mitarbeiter!$F$6:$F$205,MATCH(B2713,Mitarbeiter!$A$6:$A$205,0)),0))</f>
        <v/>
      </c>
      <c r="H2713" s="8">
        <f>IF(B2713="","",IF(ISNA(MATCH(B2713,Mitarbeiter!$A$6:$A$205,0)),"Pers.-Nr. unbekannt",IF(A2713="","Datum fehlt",IF(AND(D2713&lt;&gt;Einstellungen!$C$4,D2713&lt;&gt;Einstellungen!$C$5),"Objekt fehlt",IF(YEAR(A2713)&lt;&gt;Einstellungen!$C$3,"anderes Jahr",IF(A2713&lt;INDEX(Mitarbeiter!$C$6:$C$205,MATCH(B2713,Mitarbeiter!$A$6:$A$205,0)),"vor Eintritt",IF(AND(INDEX(Mitarbeiter!$D$6:$D$205,MATCH(B2713,Mitarbeiter!$A$6:$A$205,0))&lt;&gt;"",A2713&gt;INDEX(Mitarbeiter!$D$6:$D$205,MATCH(B2713,Mitarbeiter!$A$6:$A$205,0))),"nach Austritt","ok")))))))</f>
        <v/>
      </c>
    </row>
    <row r="2714">
      <c r="A2714" s="26" t="n"/>
      <c r="B2714" s="24" t="n"/>
      <c r="C2714" s="40">
        <f>IF(B2714="","",IFERROR(INDEX(Mitarbeiter!$B$6:$B$205,MATCH(B2714,Mitarbeiter!$A$6:$A$205,0)),"?"))</f>
        <v/>
      </c>
      <c r="D2714" s="41" t="n"/>
      <c r="E2714" s="42" t="n"/>
      <c r="F2714" s="43" t="n"/>
      <c r="G2714" s="44">
        <f>IF(OR(B2714="",F2714=""),"",IFERROR(F2714*INDEX(Mitarbeiter!$F$6:$F$205,MATCH(B2714,Mitarbeiter!$A$6:$A$205,0)),0))</f>
        <v/>
      </c>
      <c r="H2714" s="8">
        <f>IF(B2714="","",IF(ISNA(MATCH(B2714,Mitarbeiter!$A$6:$A$205,0)),"Pers.-Nr. unbekannt",IF(A2714="","Datum fehlt",IF(AND(D2714&lt;&gt;Einstellungen!$C$4,D2714&lt;&gt;Einstellungen!$C$5),"Objekt fehlt",IF(YEAR(A2714)&lt;&gt;Einstellungen!$C$3,"anderes Jahr",IF(A2714&lt;INDEX(Mitarbeiter!$C$6:$C$205,MATCH(B2714,Mitarbeiter!$A$6:$A$205,0)),"vor Eintritt",IF(AND(INDEX(Mitarbeiter!$D$6:$D$205,MATCH(B2714,Mitarbeiter!$A$6:$A$205,0))&lt;&gt;"",A2714&gt;INDEX(Mitarbeiter!$D$6:$D$205,MATCH(B2714,Mitarbeiter!$A$6:$A$205,0))),"nach Austritt","ok")))))))</f>
        <v/>
      </c>
    </row>
    <row r="2715">
      <c r="A2715" s="26" t="n"/>
      <c r="B2715" s="24" t="n"/>
      <c r="C2715" s="40">
        <f>IF(B2715="","",IFERROR(INDEX(Mitarbeiter!$B$6:$B$205,MATCH(B2715,Mitarbeiter!$A$6:$A$205,0)),"?"))</f>
        <v/>
      </c>
      <c r="D2715" s="41" t="n"/>
      <c r="E2715" s="42" t="n"/>
      <c r="F2715" s="43" t="n"/>
      <c r="G2715" s="44">
        <f>IF(OR(B2715="",F2715=""),"",IFERROR(F2715*INDEX(Mitarbeiter!$F$6:$F$205,MATCH(B2715,Mitarbeiter!$A$6:$A$205,0)),0))</f>
        <v/>
      </c>
      <c r="H2715" s="8">
        <f>IF(B2715="","",IF(ISNA(MATCH(B2715,Mitarbeiter!$A$6:$A$205,0)),"Pers.-Nr. unbekannt",IF(A2715="","Datum fehlt",IF(AND(D2715&lt;&gt;Einstellungen!$C$4,D2715&lt;&gt;Einstellungen!$C$5),"Objekt fehlt",IF(YEAR(A2715)&lt;&gt;Einstellungen!$C$3,"anderes Jahr",IF(A2715&lt;INDEX(Mitarbeiter!$C$6:$C$205,MATCH(B2715,Mitarbeiter!$A$6:$A$205,0)),"vor Eintritt",IF(AND(INDEX(Mitarbeiter!$D$6:$D$205,MATCH(B2715,Mitarbeiter!$A$6:$A$205,0))&lt;&gt;"",A2715&gt;INDEX(Mitarbeiter!$D$6:$D$205,MATCH(B2715,Mitarbeiter!$A$6:$A$205,0))),"nach Austritt","ok")))))))</f>
        <v/>
      </c>
    </row>
    <row r="2716">
      <c r="A2716" s="26" t="n"/>
      <c r="B2716" s="24" t="n"/>
      <c r="C2716" s="40">
        <f>IF(B2716="","",IFERROR(INDEX(Mitarbeiter!$B$6:$B$205,MATCH(B2716,Mitarbeiter!$A$6:$A$205,0)),"?"))</f>
        <v/>
      </c>
      <c r="D2716" s="41" t="n"/>
      <c r="E2716" s="42" t="n"/>
      <c r="F2716" s="43" t="n"/>
      <c r="G2716" s="44">
        <f>IF(OR(B2716="",F2716=""),"",IFERROR(F2716*INDEX(Mitarbeiter!$F$6:$F$205,MATCH(B2716,Mitarbeiter!$A$6:$A$205,0)),0))</f>
        <v/>
      </c>
      <c r="H2716" s="8">
        <f>IF(B2716="","",IF(ISNA(MATCH(B2716,Mitarbeiter!$A$6:$A$205,0)),"Pers.-Nr. unbekannt",IF(A2716="","Datum fehlt",IF(AND(D2716&lt;&gt;Einstellungen!$C$4,D2716&lt;&gt;Einstellungen!$C$5),"Objekt fehlt",IF(YEAR(A2716)&lt;&gt;Einstellungen!$C$3,"anderes Jahr",IF(A2716&lt;INDEX(Mitarbeiter!$C$6:$C$205,MATCH(B2716,Mitarbeiter!$A$6:$A$205,0)),"vor Eintritt",IF(AND(INDEX(Mitarbeiter!$D$6:$D$205,MATCH(B2716,Mitarbeiter!$A$6:$A$205,0))&lt;&gt;"",A2716&gt;INDEX(Mitarbeiter!$D$6:$D$205,MATCH(B2716,Mitarbeiter!$A$6:$A$205,0))),"nach Austritt","ok")))))))</f>
        <v/>
      </c>
    </row>
    <row r="2717">
      <c r="A2717" s="26" t="n"/>
      <c r="B2717" s="24" t="n"/>
      <c r="C2717" s="40">
        <f>IF(B2717="","",IFERROR(INDEX(Mitarbeiter!$B$6:$B$205,MATCH(B2717,Mitarbeiter!$A$6:$A$205,0)),"?"))</f>
        <v/>
      </c>
      <c r="D2717" s="41" t="n"/>
      <c r="E2717" s="42" t="n"/>
      <c r="F2717" s="43" t="n"/>
      <c r="G2717" s="44">
        <f>IF(OR(B2717="",F2717=""),"",IFERROR(F2717*INDEX(Mitarbeiter!$F$6:$F$205,MATCH(B2717,Mitarbeiter!$A$6:$A$205,0)),0))</f>
        <v/>
      </c>
      <c r="H2717" s="8">
        <f>IF(B2717="","",IF(ISNA(MATCH(B2717,Mitarbeiter!$A$6:$A$205,0)),"Pers.-Nr. unbekannt",IF(A2717="","Datum fehlt",IF(AND(D2717&lt;&gt;Einstellungen!$C$4,D2717&lt;&gt;Einstellungen!$C$5),"Objekt fehlt",IF(YEAR(A2717)&lt;&gt;Einstellungen!$C$3,"anderes Jahr",IF(A2717&lt;INDEX(Mitarbeiter!$C$6:$C$205,MATCH(B2717,Mitarbeiter!$A$6:$A$205,0)),"vor Eintritt",IF(AND(INDEX(Mitarbeiter!$D$6:$D$205,MATCH(B2717,Mitarbeiter!$A$6:$A$205,0))&lt;&gt;"",A2717&gt;INDEX(Mitarbeiter!$D$6:$D$205,MATCH(B2717,Mitarbeiter!$A$6:$A$205,0))),"nach Austritt","ok")))))))</f>
        <v/>
      </c>
    </row>
    <row r="2718">
      <c r="A2718" s="26" t="n"/>
      <c r="B2718" s="24" t="n"/>
      <c r="C2718" s="40">
        <f>IF(B2718="","",IFERROR(INDEX(Mitarbeiter!$B$6:$B$205,MATCH(B2718,Mitarbeiter!$A$6:$A$205,0)),"?"))</f>
        <v/>
      </c>
      <c r="D2718" s="41" t="n"/>
      <c r="E2718" s="42" t="n"/>
      <c r="F2718" s="43" t="n"/>
      <c r="G2718" s="44">
        <f>IF(OR(B2718="",F2718=""),"",IFERROR(F2718*INDEX(Mitarbeiter!$F$6:$F$205,MATCH(B2718,Mitarbeiter!$A$6:$A$205,0)),0))</f>
        <v/>
      </c>
      <c r="H2718" s="8">
        <f>IF(B2718="","",IF(ISNA(MATCH(B2718,Mitarbeiter!$A$6:$A$205,0)),"Pers.-Nr. unbekannt",IF(A2718="","Datum fehlt",IF(AND(D2718&lt;&gt;Einstellungen!$C$4,D2718&lt;&gt;Einstellungen!$C$5),"Objekt fehlt",IF(YEAR(A2718)&lt;&gt;Einstellungen!$C$3,"anderes Jahr",IF(A2718&lt;INDEX(Mitarbeiter!$C$6:$C$205,MATCH(B2718,Mitarbeiter!$A$6:$A$205,0)),"vor Eintritt",IF(AND(INDEX(Mitarbeiter!$D$6:$D$205,MATCH(B2718,Mitarbeiter!$A$6:$A$205,0))&lt;&gt;"",A2718&gt;INDEX(Mitarbeiter!$D$6:$D$205,MATCH(B2718,Mitarbeiter!$A$6:$A$205,0))),"nach Austritt","ok")))))))</f>
        <v/>
      </c>
    </row>
    <row r="2719">
      <c r="A2719" s="26" t="n"/>
      <c r="B2719" s="24" t="n"/>
      <c r="C2719" s="40">
        <f>IF(B2719="","",IFERROR(INDEX(Mitarbeiter!$B$6:$B$205,MATCH(B2719,Mitarbeiter!$A$6:$A$205,0)),"?"))</f>
        <v/>
      </c>
      <c r="D2719" s="41" t="n"/>
      <c r="E2719" s="42" t="n"/>
      <c r="F2719" s="43" t="n"/>
      <c r="G2719" s="44">
        <f>IF(OR(B2719="",F2719=""),"",IFERROR(F2719*INDEX(Mitarbeiter!$F$6:$F$205,MATCH(B2719,Mitarbeiter!$A$6:$A$205,0)),0))</f>
        <v/>
      </c>
      <c r="H2719" s="8">
        <f>IF(B2719="","",IF(ISNA(MATCH(B2719,Mitarbeiter!$A$6:$A$205,0)),"Pers.-Nr. unbekannt",IF(A2719="","Datum fehlt",IF(AND(D2719&lt;&gt;Einstellungen!$C$4,D2719&lt;&gt;Einstellungen!$C$5),"Objekt fehlt",IF(YEAR(A2719)&lt;&gt;Einstellungen!$C$3,"anderes Jahr",IF(A2719&lt;INDEX(Mitarbeiter!$C$6:$C$205,MATCH(B2719,Mitarbeiter!$A$6:$A$205,0)),"vor Eintritt",IF(AND(INDEX(Mitarbeiter!$D$6:$D$205,MATCH(B2719,Mitarbeiter!$A$6:$A$205,0))&lt;&gt;"",A2719&gt;INDEX(Mitarbeiter!$D$6:$D$205,MATCH(B2719,Mitarbeiter!$A$6:$A$205,0))),"nach Austritt","ok")))))))</f>
        <v/>
      </c>
    </row>
    <row r="2720">
      <c r="A2720" s="26" t="n"/>
      <c r="B2720" s="24" t="n"/>
      <c r="C2720" s="40">
        <f>IF(B2720="","",IFERROR(INDEX(Mitarbeiter!$B$6:$B$205,MATCH(B2720,Mitarbeiter!$A$6:$A$205,0)),"?"))</f>
        <v/>
      </c>
      <c r="D2720" s="41" t="n"/>
      <c r="E2720" s="42" t="n"/>
      <c r="F2720" s="43" t="n"/>
      <c r="G2720" s="44">
        <f>IF(OR(B2720="",F2720=""),"",IFERROR(F2720*INDEX(Mitarbeiter!$F$6:$F$205,MATCH(B2720,Mitarbeiter!$A$6:$A$205,0)),0))</f>
        <v/>
      </c>
      <c r="H2720" s="8">
        <f>IF(B2720="","",IF(ISNA(MATCH(B2720,Mitarbeiter!$A$6:$A$205,0)),"Pers.-Nr. unbekannt",IF(A2720="","Datum fehlt",IF(AND(D2720&lt;&gt;Einstellungen!$C$4,D2720&lt;&gt;Einstellungen!$C$5),"Objekt fehlt",IF(YEAR(A2720)&lt;&gt;Einstellungen!$C$3,"anderes Jahr",IF(A2720&lt;INDEX(Mitarbeiter!$C$6:$C$205,MATCH(B2720,Mitarbeiter!$A$6:$A$205,0)),"vor Eintritt",IF(AND(INDEX(Mitarbeiter!$D$6:$D$205,MATCH(B2720,Mitarbeiter!$A$6:$A$205,0))&lt;&gt;"",A2720&gt;INDEX(Mitarbeiter!$D$6:$D$205,MATCH(B2720,Mitarbeiter!$A$6:$A$205,0))),"nach Austritt","ok")))))))</f>
        <v/>
      </c>
    </row>
    <row r="2721">
      <c r="A2721" s="26" t="n"/>
      <c r="B2721" s="24" t="n"/>
      <c r="C2721" s="40">
        <f>IF(B2721="","",IFERROR(INDEX(Mitarbeiter!$B$6:$B$205,MATCH(B2721,Mitarbeiter!$A$6:$A$205,0)),"?"))</f>
        <v/>
      </c>
      <c r="D2721" s="41" t="n"/>
      <c r="E2721" s="42" t="n"/>
      <c r="F2721" s="43" t="n"/>
      <c r="G2721" s="44">
        <f>IF(OR(B2721="",F2721=""),"",IFERROR(F2721*INDEX(Mitarbeiter!$F$6:$F$205,MATCH(B2721,Mitarbeiter!$A$6:$A$205,0)),0))</f>
        <v/>
      </c>
      <c r="H2721" s="8">
        <f>IF(B2721="","",IF(ISNA(MATCH(B2721,Mitarbeiter!$A$6:$A$205,0)),"Pers.-Nr. unbekannt",IF(A2721="","Datum fehlt",IF(AND(D2721&lt;&gt;Einstellungen!$C$4,D2721&lt;&gt;Einstellungen!$C$5),"Objekt fehlt",IF(YEAR(A2721)&lt;&gt;Einstellungen!$C$3,"anderes Jahr",IF(A2721&lt;INDEX(Mitarbeiter!$C$6:$C$205,MATCH(B2721,Mitarbeiter!$A$6:$A$205,0)),"vor Eintritt",IF(AND(INDEX(Mitarbeiter!$D$6:$D$205,MATCH(B2721,Mitarbeiter!$A$6:$A$205,0))&lt;&gt;"",A2721&gt;INDEX(Mitarbeiter!$D$6:$D$205,MATCH(B2721,Mitarbeiter!$A$6:$A$205,0))),"nach Austritt","ok")))))))</f>
        <v/>
      </c>
    </row>
    <row r="2722">
      <c r="A2722" s="26" t="n"/>
      <c r="B2722" s="24" t="n"/>
      <c r="C2722" s="40">
        <f>IF(B2722="","",IFERROR(INDEX(Mitarbeiter!$B$6:$B$205,MATCH(B2722,Mitarbeiter!$A$6:$A$205,0)),"?"))</f>
        <v/>
      </c>
      <c r="D2722" s="41" t="n"/>
      <c r="E2722" s="42" t="n"/>
      <c r="F2722" s="43" t="n"/>
      <c r="G2722" s="44">
        <f>IF(OR(B2722="",F2722=""),"",IFERROR(F2722*INDEX(Mitarbeiter!$F$6:$F$205,MATCH(B2722,Mitarbeiter!$A$6:$A$205,0)),0))</f>
        <v/>
      </c>
      <c r="H2722" s="8">
        <f>IF(B2722="","",IF(ISNA(MATCH(B2722,Mitarbeiter!$A$6:$A$205,0)),"Pers.-Nr. unbekannt",IF(A2722="","Datum fehlt",IF(AND(D2722&lt;&gt;Einstellungen!$C$4,D2722&lt;&gt;Einstellungen!$C$5),"Objekt fehlt",IF(YEAR(A2722)&lt;&gt;Einstellungen!$C$3,"anderes Jahr",IF(A2722&lt;INDEX(Mitarbeiter!$C$6:$C$205,MATCH(B2722,Mitarbeiter!$A$6:$A$205,0)),"vor Eintritt",IF(AND(INDEX(Mitarbeiter!$D$6:$D$205,MATCH(B2722,Mitarbeiter!$A$6:$A$205,0))&lt;&gt;"",A2722&gt;INDEX(Mitarbeiter!$D$6:$D$205,MATCH(B2722,Mitarbeiter!$A$6:$A$205,0))),"nach Austritt","ok")))))))</f>
        <v/>
      </c>
    </row>
    <row r="2723">
      <c r="A2723" s="26" t="n"/>
      <c r="B2723" s="24" t="n"/>
      <c r="C2723" s="40">
        <f>IF(B2723="","",IFERROR(INDEX(Mitarbeiter!$B$6:$B$205,MATCH(B2723,Mitarbeiter!$A$6:$A$205,0)),"?"))</f>
        <v/>
      </c>
      <c r="D2723" s="41" t="n"/>
      <c r="E2723" s="42" t="n"/>
      <c r="F2723" s="43" t="n"/>
      <c r="G2723" s="44">
        <f>IF(OR(B2723="",F2723=""),"",IFERROR(F2723*INDEX(Mitarbeiter!$F$6:$F$205,MATCH(B2723,Mitarbeiter!$A$6:$A$205,0)),0))</f>
        <v/>
      </c>
      <c r="H2723" s="8">
        <f>IF(B2723="","",IF(ISNA(MATCH(B2723,Mitarbeiter!$A$6:$A$205,0)),"Pers.-Nr. unbekannt",IF(A2723="","Datum fehlt",IF(AND(D2723&lt;&gt;Einstellungen!$C$4,D2723&lt;&gt;Einstellungen!$C$5),"Objekt fehlt",IF(YEAR(A2723)&lt;&gt;Einstellungen!$C$3,"anderes Jahr",IF(A2723&lt;INDEX(Mitarbeiter!$C$6:$C$205,MATCH(B2723,Mitarbeiter!$A$6:$A$205,0)),"vor Eintritt",IF(AND(INDEX(Mitarbeiter!$D$6:$D$205,MATCH(B2723,Mitarbeiter!$A$6:$A$205,0))&lt;&gt;"",A2723&gt;INDEX(Mitarbeiter!$D$6:$D$205,MATCH(B2723,Mitarbeiter!$A$6:$A$205,0))),"nach Austritt","ok")))))))</f>
        <v/>
      </c>
    </row>
    <row r="2724">
      <c r="A2724" s="26" t="n"/>
      <c r="B2724" s="24" t="n"/>
      <c r="C2724" s="40">
        <f>IF(B2724="","",IFERROR(INDEX(Mitarbeiter!$B$6:$B$205,MATCH(B2724,Mitarbeiter!$A$6:$A$205,0)),"?"))</f>
        <v/>
      </c>
      <c r="D2724" s="41" t="n"/>
      <c r="E2724" s="42" t="n"/>
      <c r="F2724" s="43" t="n"/>
      <c r="G2724" s="44">
        <f>IF(OR(B2724="",F2724=""),"",IFERROR(F2724*INDEX(Mitarbeiter!$F$6:$F$205,MATCH(B2724,Mitarbeiter!$A$6:$A$205,0)),0))</f>
        <v/>
      </c>
      <c r="H2724" s="8">
        <f>IF(B2724="","",IF(ISNA(MATCH(B2724,Mitarbeiter!$A$6:$A$205,0)),"Pers.-Nr. unbekannt",IF(A2724="","Datum fehlt",IF(AND(D2724&lt;&gt;Einstellungen!$C$4,D2724&lt;&gt;Einstellungen!$C$5),"Objekt fehlt",IF(YEAR(A2724)&lt;&gt;Einstellungen!$C$3,"anderes Jahr",IF(A2724&lt;INDEX(Mitarbeiter!$C$6:$C$205,MATCH(B2724,Mitarbeiter!$A$6:$A$205,0)),"vor Eintritt",IF(AND(INDEX(Mitarbeiter!$D$6:$D$205,MATCH(B2724,Mitarbeiter!$A$6:$A$205,0))&lt;&gt;"",A2724&gt;INDEX(Mitarbeiter!$D$6:$D$205,MATCH(B2724,Mitarbeiter!$A$6:$A$205,0))),"nach Austritt","ok")))))))</f>
        <v/>
      </c>
    </row>
    <row r="2725">
      <c r="A2725" s="26" t="n"/>
      <c r="B2725" s="24" t="n"/>
      <c r="C2725" s="40">
        <f>IF(B2725="","",IFERROR(INDEX(Mitarbeiter!$B$6:$B$205,MATCH(B2725,Mitarbeiter!$A$6:$A$205,0)),"?"))</f>
        <v/>
      </c>
      <c r="D2725" s="41" t="n"/>
      <c r="E2725" s="42" t="n"/>
      <c r="F2725" s="43" t="n"/>
      <c r="G2725" s="44">
        <f>IF(OR(B2725="",F2725=""),"",IFERROR(F2725*INDEX(Mitarbeiter!$F$6:$F$205,MATCH(B2725,Mitarbeiter!$A$6:$A$205,0)),0))</f>
        <v/>
      </c>
      <c r="H2725" s="8">
        <f>IF(B2725="","",IF(ISNA(MATCH(B2725,Mitarbeiter!$A$6:$A$205,0)),"Pers.-Nr. unbekannt",IF(A2725="","Datum fehlt",IF(AND(D2725&lt;&gt;Einstellungen!$C$4,D2725&lt;&gt;Einstellungen!$C$5),"Objekt fehlt",IF(YEAR(A2725)&lt;&gt;Einstellungen!$C$3,"anderes Jahr",IF(A2725&lt;INDEX(Mitarbeiter!$C$6:$C$205,MATCH(B2725,Mitarbeiter!$A$6:$A$205,0)),"vor Eintritt",IF(AND(INDEX(Mitarbeiter!$D$6:$D$205,MATCH(B2725,Mitarbeiter!$A$6:$A$205,0))&lt;&gt;"",A2725&gt;INDEX(Mitarbeiter!$D$6:$D$205,MATCH(B2725,Mitarbeiter!$A$6:$A$205,0))),"nach Austritt","ok")))))))</f>
        <v/>
      </c>
    </row>
    <row r="2726">
      <c r="A2726" s="26" t="n"/>
      <c r="B2726" s="24" t="n"/>
      <c r="C2726" s="40">
        <f>IF(B2726="","",IFERROR(INDEX(Mitarbeiter!$B$6:$B$205,MATCH(B2726,Mitarbeiter!$A$6:$A$205,0)),"?"))</f>
        <v/>
      </c>
      <c r="D2726" s="41" t="n"/>
      <c r="E2726" s="42" t="n"/>
      <c r="F2726" s="43" t="n"/>
      <c r="G2726" s="44">
        <f>IF(OR(B2726="",F2726=""),"",IFERROR(F2726*INDEX(Mitarbeiter!$F$6:$F$205,MATCH(B2726,Mitarbeiter!$A$6:$A$205,0)),0))</f>
        <v/>
      </c>
      <c r="H2726" s="8">
        <f>IF(B2726="","",IF(ISNA(MATCH(B2726,Mitarbeiter!$A$6:$A$205,0)),"Pers.-Nr. unbekannt",IF(A2726="","Datum fehlt",IF(AND(D2726&lt;&gt;Einstellungen!$C$4,D2726&lt;&gt;Einstellungen!$C$5),"Objekt fehlt",IF(YEAR(A2726)&lt;&gt;Einstellungen!$C$3,"anderes Jahr",IF(A2726&lt;INDEX(Mitarbeiter!$C$6:$C$205,MATCH(B2726,Mitarbeiter!$A$6:$A$205,0)),"vor Eintritt",IF(AND(INDEX(Mitarbeiter!$D$6:$D$205,MATCH(B2726,Mitarbeiter!$A$6:$A$205,0))&lt;&gt;"",A2726&gt;INDEX(Mitarbeiter!$D$6:$D$205,MATCH(B2726,Mitarbeiter!$A$6:$A$205,0))),"nach Austritt","ok")))))))</f>
        <v/>
      </c>
    </row>
    <row r="2727">
      <c r="A2727" s="26" t="n"/>
      <c r="B2727" s="24" t="n"/>
      <c r="C2727" s="40">
        <f>IF(B2727="","",IFERROR(INDEX(Mitarbeiter!$B$6:$B$205,MATCH(B2727,Mitarbeiter!$A$6:$A$205,0)),"?"))</f>
        <v/>
      </c>
      <c r="D2727" s="41" t="n"/>
      <c r="E2727" s="42" t="n"/>
      <c r="F2727" s="43" t="n"/>
      <c r="G2727" s="44">
        <f>IF(OR(B2727="",F2727=""),"",IFERROR(F2727*INDEX(Mitarbeiter!$F$6:$F$205,MATCH(B2727,Mitarbeiter!$A$6:$A$205,0)),0))</f>
        <v/>
      </c>
      <c r="H2727" s="8">
        <f>IF(B2727="","",IF(ISNA(MATCH(B2727,Mitarbeiter!$A$6:$A$205,0)),"Pers.-Nr. unbekannt",IF(A2727="","Datum fehlt",IF(AND(D2727&lt;&gt;Einstellungen!$C$4,D2727&lt;&gt;Einstellungen!$C$5),"Objekt fehlt",IF(YEAR(A2727)&lt;&gt;Einstellungen!$C$3,"anderes Jahr",IF(A2727&lt;INDEX(Mitarbeiter!$C$6:$C$205,MATCH(B2727,Mitarbeiter!$A$6:$A$205,0)),"vor Eintritt",IF(AND(INDEX(Mitarbeiter!$D$6:$D$205,MATCH(B2727,Mitarbeiter!$A$6:$A$205,0))&lt;&gt;"",A2727&gt;INDEX(Mitarbeiter!$D$6:$D$205,MATCH(B2727,Mitarbeiter!$A$6:$A$205,0))),"nach Austritt","ok")))))))</f>
        <v/>
      </c>
    </row>
    <row r="2728">
      <c r="A2728" s="26" t="n"/>
      <c r="B2728" s="24" t="n"/>
      <c r="C2728" s="40">
        <f>IF(B2728="","",IFERROR(INDEX(Mitarbeiter!$B$6:$B$205,MATCH(B2728,Mitarbeiter!$A$6:$A$205,0)),"?"))</f>
        <v/>
      </c>
      <c r="D2728" s="41" t="n"/>
      <c r="E2728" s="42" t="n"/>
      <c r="F2728" s="43" t="n"/>
      <c r="G2728" s="44">
        <f>IF(OR(B2728="",F2728=""),"",IFERROR(F2728*INDEX(Mitarbeiter!$F$6:$F$205,MATCH(B2728,Mitarbeiter!$A$6:$A$205,0)),0))</f>
        <v/>
      </c>
      <c r="H2728" s="8">
        <f>IF(B2728="","",IF(ISNA(MATCH(B2728,Mitarbeiter!$A$6:$A$205,0)),"Pers.-Nr. unbekannt",IF(A2728="","Datum fehlt",IF(AND(D2728&lt;&gt;Einstellungen!$C$4,D2728&lt;&gt;Einstellungen!$C$5),"Objekt fehlt",IF(YEAR(A2728)&lt;&gt;Einstellungen!$C$3,"anderes Jahr",IF(A2728&lt;INDEX(Mitarbeiter!$C$6:$C$205,MATCH(B2728,Mitarbeiter!$A$6:$A$205,0)),"vor Eintritt",IF(AND(INDEX(Mitarbeiter!$D$6:$D$205,MATCH(B2728,Mitarbeiter!$A$6:$A$205,0))&lt;&gt;"",A2728&gt;INDEX(Mitarbeiter!$D$6:$D$205,MATCH(B2728,Mitarbeiter!$A$6:$A$205,0))),"nach Austritt","ok")))))))</f>
        <v/>
      </c>
    </row>
    <row r="2729">
      <c r="A2729" s="26" t="n"/>
      <c r="B2729" s="24" t="n"/>
      <c r="C2729" s="40">
        <f>IF(B2729="","",IFERROR(INDEX(Mitarbeiter!$B$6:$B$205,MATCH(B2729,Mitarbeiter!$A$6:$A$205,0)),"?"))</f>
        <v/>
      </c>
      <c r="D2729" s="41" t="n"/>
      <c r="E2729" s="42" t="n"/>
      <c r="F2729" s="43" t="n"/>
      <c r="G2729" s="44">
        <f>IF(OR(B2729="",F2729=""),"",IFERROR(F2729*INDEX(Mitarbeiter!$F$6:$F$205,MATCH(B2729,Mitarbeiter!$A$6:$A$205,0)),0))</f>
        <v/>
      </c>
      <c r="H2729" s="8">
        <f>IF(B2729="","",IF(ISNA(MATCH(B2729,Mitarbeiter!$A$6:$A$205,0)),"Pers.-Nr. unbekannt",IF(A2729="","Datum fehlt",IF(AND(D2729&lt;&gt;Einstellungen!$C$4,D2729&lt;&gt;Einstellungen!$C$5),"Objekt fehlt",IF(YEAR(A2729)&lt;&gt;Einstellungen!$C$3,"anderes Jahr",IF(A2729&lt;INDEX(Mitarbeiter!$C$6:$C$205,MATCH(B2729,Mitarbeiter!$A$6:$A$205,0)),"vor Eintritt",IF(AND(INDEX(Mitarbeiter!$D$6:$D$205,MATCH(B2729,Mitarbeiter!$A$6:$A$205,0))&lt;&gt;"",A2729&gt;INDEX(Mitarbeiter!$D$6:$D$205,MATCH(B2729,Mitarbeiter!$A$6:$A$205,0))),"nach Austritt","ok")))))))</f>
        <v/>
      </c>
    </row>
    <row r="2730">
      <c r="A2730" s="26" t="n"/>
      <c r="B2730" s="24" t="n"/>
      <c r="C2730" s="40">
        <f>IF(B2730="","",IFERROR(INDEX(Mitarbeiter!$B$6:$B$205,MATCH(B2730,Mitarbeiter!$A$6:$A$205,0)),"?"))</f>
        <v/>
      </c>
      <c r="D2730" s="41" t="n"/>
      <c r="E2730" s="42" t="n"/>
      <c r="F2730" s="43" t="n"/>
      <c r="G2730" s="44">
        <f>IF(OR(B2730="",F2730=""),"",IFERROR(F2730*INDEX(Mitarbeiter!$F$6:$F$205,MATCH(B2730,Mitarbeiter!$A$6:$A$205,0)),0))</f>
        <v/>
      </c>
      <c r="H2730" s="8">
        <f>IF(B2730="","",IF(ISNA(MATCH(B2730,Mitarbeiter!$A$6:$A$205,0)),"Pers.-Nr. unbekannt",IF(A2730="","Datum fehlt",IF(AND(D2730&lt;&gt;Einstellungen!$C$4,D2730&lt;&gt;Einstellungen!$C$5),"Objekt fehlt",IF(YEAR(A2730)&lt;&gt;Einstellungen!$C$3,"anderes Jahr",IF(A2730&lt;INDEX(Mitarbeiter!$C$6:$C$205,MATCH(B2730,Mitarbeiter!$A$6:$A$205,0)),"vor Eintritt",IF(AND(INDEX(Mitarbeiter!$D$6:$D$205,MATCH(B2730,Mitarbeiter!$A$6:$A$205,0))&lt;&gt;"",A2730&gt;INDEX(Mitarbeiter!$D$6:$D$205,MATCH(B2730,Mitarbeiter!$A$6:$A$205,0))),"nach Austritt","ok")))))))</f>
        <v/>
      </c>
    </row>
    <row r="2731">
      <c r="A2731" s="26" t="n"/>
      <c r="B2731" s="24" t="n"/>
      <c r="C2731" s="40">
        <f>IF(B2731="","",IFERROR(INDEX(Mitarbeiter!$B$6:$B$205,MATCH(B2731,Mitarbeiter!$A$6:$A$205,0)),"?"))</f>
        <v/>
      </c>
      <c r="D2731" s="41" t="n"/>
      <c r="E2731" s="42" t="n"/>
      <c r="F2731" s="43" t="n"/>
      <c r="G2731" s="44">
        <f>IF(OR(B2731="",F2731=""),"",IFERROR(F2731*INDEX(Mitarbeiter!$F$6:$F$205,MATCH(B2731,Mitarbeiter!$A$6:$A$205,0)),0))</f>
        <v/>
      </c>
      <c r="H2731" s="8">
        <f>IF(B2731="","",IF(ISNA(MATCH(B2731,Mitarbeiter!$A$6:$A$205,0)),"Pers.-Nr. unbekannt",IF(A2731="","Datum fehlt",IF(AND(D2731&lt;&gt;Einstellungen!$C$4,D2731&lt;&gt;Einstellungen!$C$5),"Objekt fehlt",IF(YEAR(A2731)&lt;&gt;Einstellungen!$C$3,"anderes Jahr",IF(A2731&lt;INDEX(Mitarbeiter!$C$6:$C$205,MATCH(B2731,Mitarbeiter!$A$6:$A$205,0)),"vor Eintritt",IF(AND(INDEX(Mitarbeiter!$D$6:$D$205,MATCH(B2731,Mitarbeiter!$A$6:$A$205,0))&lt;&gt;"",A2731&gt;INDEX(Mitarbeiter!$D$6:$D$205,MATCH(B2731,Mitarbeiter!$A$6:$A$205,0))),"nach Austritt","ok")))))))</f>
        <v/>
      </c>
    </row>
    <row r="2732">
      <c r="A2732" s="26" t="n"/>
      <c r="B2732" s="24" t="n"/>
      <c r="C2732" s="40">
        <f>IF(B2732="","",IFERROR(INDEX(Mitarbeiter!$B$6:$B$205,MATCH(B2732,Mitarbeiter!$A$6:$A$205,0)),"?"))</f>
        <v/>
      </c>
      <c r="D2732" s="41" t="n"/>
      <c r="E2732" s="42" t="n"/>
      <c r="F2732" s="43" t="n"/>
      <c r="G2732" s="44">
        <f>IF(OR(B2732="",F2732=""),"",IFERROR(F2732*INDEX(Mitarbeiter!$F$6:$F$205,MATCH(B2732,Mitarbeiter!$A$6:$A$205,0)),0))</f>
        <v/>
      </c>
      <c r="H2732" s="8">
        <f>IF(B2732="","",IF(ISNA(MATCH(B2732,Mitarbeiter!$A$6:$A$205,0)),"Pers.-Nr. unbekannt",IF(A2732="","Datum fehlt",IF(AND(D2732&lt;&gt;Einstellungen!$C$4,D2732&lt;&gt;Einstellungen!$C$5),"Objekt fehlt",IF(YEAR(A2732)&lt;&gt;Einstellungen!$C$3,"anderes Jahr",IF(A2732&lt;INDEX(Mitarbeiter!$C$6:$C$205,MATCH(B2732,Mitarbeiter!$A$6:$A$205,0)),"vor Eintritt",IF(AND(INDEX(Mitarbeiter!$D$6:$D$205,MATCH(B2732,Mitarbeiter!$A$6:$A$205,0))&lt;&gt;"",A2732&gt;INDEX(Mitarbeiter!$D$6:$D$205,MATCH(B2732,Mitarbeiter!$A$6:$A$205,0))),"nach Austritt","ok")))))))</f>
        <v/>
      </c>
    </row>
    <row r="2733">
      <c r="A2733" s="26" t="n"/>
      <c r="B2733" s="24" t="n"/>
      <c r="C2733" s="40">
        <f>IF(B2733="","",IFERROR(INDEX(Mitarbeiter!$B$6:$B$205,MATCH(B2733,Mitarbeiter!$A$6:$A$205,0)),"?"))</f>
        <v/>
      </c>
      <c r="D2733" s="41" t="n"/>
      <c r="E2733" s="42" t="n"/>
      <c r="F2733" s="43" t="n"/>
      <c r="G2733" s="44">
        <f>IF(OR(B2733="",F2733=""),"",IFERROR(F2733*INDEX(Mitarbeiter!$F$6:$F$205,MATCH(B2733,Mitarbeiter!$A$6:$A$205,0)),0))</f>
        <v/>
      </c>
      <c r="H2733" s="8">
        <f>IF(B2733="","",IF(ISNA(MATCH(B2733,Mitarbeiter!$A$6:$A$205,0)),"Pers.-Nr. unbekannt",IF(A2733="","Datum fehlt",IF(AND(D2733&lt;&gt;Einstellungen!$C$4,D2733&lt;&gt;Einstellungen!$C$5),"Objekt fehlt",IF(YEAR(A2733)&lt;&gt;Einstellungen!$C$3,"anderes Jahr",IF(A2733&lt;INDEX(Mitarbeiter!$C$6:$C$205,MATCH(B2733,Mitarbeiter!$A$6:$A$205,0)),"vor Eintritt",IF(AND(INDEX(Mitarbeiter!$D$6:$D$205,MATCH(B2733,Mitarbeiter!$A$6:$A$205,0))&lt;&gt;"",A2733&gt;INDEX(Mitarbeiter!$D$6:$D$205,MATCH(B2733,Mitarbeiter!$A$6:$A$205,0))),"nach Austritt","ok")))))))</f>
        <v/>
      </c>
    </row>
    <row r="2734">
      <c r="A2734" s="26" t="n"/>
      <c r="B2734" s="24" t="n"/>
      <c r="C2734" s="40">
        <f>IF(B2734="","",IFERROR(INDEX(Mitarbeiter!$B$6:$B$205,MATCH(B2734,Mitarbeiter!$A$6:$A$205,0)),"?"))</f>
        <v/>
      </c>
      <c r="D2734" s="41" t="n"/>
      <c r="E2734" s="42" t="n"/>
      <c r="F2734" s="43" t="n"/>
      <c r="G2734" s="44">
        <f>IF(OR(B2734="",F2734=""),"",IFERROR(F2734*INDEX(Mitarbeiter!$F$6:$F$205,MATCH(B2734,Mitarbeiter!$A$6:$A$205,0)),0))</f>
        <v/>
      </c>
      <c r="H2734" s="8">
        <f>IF(B2734="","",IF(ISNA(MATCH(B2734,Mitarbeiter!$A$6:$A$205,0)),"Pers.-Nr. unbekannt",IF(A2734="","Datum fehlt",IF(AND(D2734&lt;&gt;Einstellungen!$C$4,D2734&lt;&gt;Einstellungen!$C$5),"Objekt fehlt",IF(YEAR(A2734)&lt;&gt;Einstellungen!$C$3,"anderes Jahr",IF(A2734&lt;INDEX(Mitarbeiter!$C$6:$C$205,MATCH(B2734,Mitarbeiter!$A$6:$A$205,0)),"vor Eintritt",IF(AND(INDEX(Mitarbeiter!$D$6:$D$205,MATCH(B2734,Mitarbeiter!$A$6:$A$205,0))&lt;&gt;"",A2734&gt;INDEX(Mitarbeiter!$D$6:$D$205,MATCH(B2734,Mitarbeiter!$A$6:$A$205,0))),"nach Austritt","ok")))))))</f>
        <v/>
      </c>
    </row>
    <row r="2735">
      <c r="A2735" s="26" t="n"/>
      <c r="B2735" s="24" t="n"/>
      <c r="C2735" s="40">
        <f>IF(B2735="","",IFERROR(INDEX(Mitarbeiter!$B$6:$B$205,MATCH(B2735,Mitarbeiter!$A$6:$A$205,0)),"?"))</f>
        <v/>
      </c>
      <c r="D2735" s="41" t="n"/>
      <c r="E2735" s="42" t="n"/>
      <c r="F2735" s="43" t="n"/>
      <c r="G2735" s="44">
        <f>IF(OR(B2735="",F2735=""),"",IFERROR(F2735*INDEX(Mitarbeiter!$F$6:$F$205,MATCH(B2735,Mitarbeiter!$A$6:$A$205,0)),0))</f>
        <v/>
      </c>
      <c r="H2735" s="8">
        <f>IF(B2735="","",IF(ISNA(MATCH(B2735,Mitarbeiter!$A$6:$A$205,0)),"Pers.-Nr. unbekannt",IF(A2735="","Datum fehlt",IF(AND(D2735&lt;&gt;Einstellungen!$C$4,D2735&lt;&gt;Einstellungen!$C$5),"Objekt fehlt",IF(YEAR(A2735)&lt;&gt;Einstellungen!$C$3,"anderes Jahr",IF(A2735&lt;INDEX(Mitarbeiter!$C$6:$C$205,MATCH(B2735,Mitarbeiter!$A$6:$A$205,0)),"vor Eintritt",IF(AND(INDEX(Mitarbeiter!$D$6:$D$205,MATCH(B2735,Mitarbeiter!$A$6:$A$205,0))&lt;&gt;"",A2735&gt;INDEX(Mitarbeiter!$D$6:$D$205,MATCH(B2735,Mitarbeiter!$A$6:$A$205,0))),"nach Austritt","ok")))))))</f>
        <v/>
      </c>
    </row>
    <row r="2736">
      <c r="A2736" s="26" t="n"/>
      <c r="B2736" s="24" t="n"/>
      <c r="C2736" s="40">
        <f>IF(B2736="","",IFERROR(INDEX(Mitarbeiter!$B$6:$B$205,MATCH(B2736,Mitarbeiter!$A$6:$A$205,0)),"?"))</f>
        <v/>
      </c>
      <c r="D2736" s="41" t="n"/>
      <c r="E2736" s="42" t="n"/>
      <c r="F2736" s="43" t="n"/>
      <c r="G2736" s="44">
        <f>IF(OR(B2736="",F2736=""),"",IFERROR(F2736*INDEX(Mitarbeiter!$F$6:$F$205,MATCH(B2736,Mitarbeiter!$A$6:$A$205,0)),0))</f>
        <v/>
      </c>
      <c r="H2736" s="8">
        <f>IF(B2736="","",IF(ISNA(MATCH(B2736,Mitarbeiter!$A$6:$A$205,0)),"Pers.-Nr. unbekannt",IF(A2736="","Datum fehlt",IF(AND(D2736&lt;&gt;Einstellungen!$C$4,D2736&lt;&gt;Einstellungen!$C$5),"Objekt fehlt",IF(YEAR(A2736)&lt;&gt;Einstellungen!$C$3,"anderes Jahr",IF(A2736&lt;INDEX(Mitarbeiter!$C$6:$C$205,MATCH(B2736,Mitarbeiter!$A$6:$A$205,0)),"vor Eintritt",IF(AND(INDEX(Mitarbeiter!$D$6:$D$205,MATCH(B2736,Mitarbeiter!$A$6:$A$205,0))&lt;&gt;"",A2736&gt;INDEX(Mitarbeiter!$D$6:$D$205,MATCH(B2736,Mitarbeiter!$A$6:$A$205,0))),"nach Austritt","ok")))))))</f>
        <v/>
      </c>
    </row>
    <row r="2737">
      <c r="A2737" s="26" t="n"/>
      <c r="B2737" s="24" t="n"/>
      <c r="C2737" s="40">
        <f>IF(B2737="","",IFERROR(INDEX(Mitarbeiter!$B$6:$B$205,MATCH(B2737,Mitarbeiter!$A$6:$A$205,0)),"?"))</f>
        <v/>
      </c>
      <c r="D2737" s="41" t="n"/>
      <c r="E2737" s="42" t="n"/>
      <c r="F2737" s="43" t="n"/>
      <c r="G2737" s="44">
        <f>IF(OR(B2737="",F2737=""),"",IFERROR(F2737*INDEX(Mitarbeiter!$F$6:$F$205,MATCH(B2737,Mitarbeiter!$A$6:$A$205,0)),0))</f>
        <v/>
      </c>
      <c r="H2737" s="8">
        <f>IF(B2737="","",IF(ISNA(MATCH(B2737,Mitarbeiter!$A$6:$A$205,0)),"Pers.-Nr. unbekannt",IF(A2737="","Datum fehlt",IF(AND(D2737&lt;&gt;Einstellungen!$C$4,D2737&lt;&gt;Einstellungen!$C$5),"Objekt fehlt",IF(YEAR(A2737)&lt;&gt;Einstellungen!$C$3,"anderes Jahr",IF(A2737&lt;INDEX(Mitarbeiter!$C$6:$C$205,MATCH(B2737,Mitarbeiter!$A$6:$A$205,0)),"vor Eintritt",IF(AND(INDEX(Mitarbeiter!$D$6:$D$205,MATCH(B2737,Mitarbeiter!$A$6:$A$205,0))&lt;&gt;"",A2737&gt;INDEX(Mitarbeiter!$D$6:$D$205,MATCH(B2737,Mitarbeiter!$A$6:$A$205,0))),"nach Austritt","ok")))))))</f>
        <v/>
      </c>
    </row>
    <row r="2738">
      <c r="A2738" s="26" t="n"/>
      <c r="B2738" s="24" t="n"/>
      <c r="C2738" s="40">
        <f>IF(B2738="","",IFERROR(INDEX(Mitarbeiter!$B$6:$B$205,MATCH(B2738,Mitarbeiter!$A$6:$A$205,0)),"?"))</f>
        <v/>
      </c>
      <c r="D2738" s="41" t="n"/>
      <c r="E2738" s="42" t="n"/>
      <c r="F2738" s="43" t="n"/>
      <c r="G2738" s="44">
        <f>IF(OR(B2738="",F2738=""),"",IFERROR(F2738*INDEX(Mitarbeiter!$F$6:$F$205,MATCH(B2738,Mitarbeiter!$A$6:$A$205,0)),0))</f>
        <v/>
      </c>
      <c r="H2738" s="8">
        <f>IF(B2738="","",IF(ISNA(MATCH(B2738,Mitarbeiter!$A$6:$A$205,0)),"Pers.-Nr. unbekannt",IF(A2738="","Datum fehlt",IF(AND(D2738&lt;&gt;Einstellungen!$C$4,D2738&lt;&gt;Einstellungen!$C$5),"Objekt fehlt",IF(YEAR(A2738)&lt;&gt;Einstellungen!$C$3,"anderes Jahr",IF(A2738&lt;INDEX(Mitarbeiter!$C$6:$C$205,MATCH(B2738,Mitarbeiter!$A$6:$A$205,0)),"vor Eintritt",IF(AND(INDEX(Mitarbeiter!$D$6:$D$205,MATCH(B2738,Mitarbeiter!$A$6:$A$205,0))&lt;&gt;"",A2738&gt;INDEX(Mitarbeiter!$D$6:$D$205,MATCH(B2738,Mitarbeiter!$A$6:$A$205,0))),"nach Austritt","ok")))))))</f>
        <v/>
      </c>
    </row>
    <row r="2739">
      <c r="A2739" s="26" t="n"/>
      <c r="B2739" s="24" t="n"/>
      <c r="C2739" s="40">
        <f>IF(B2739="","",IFERROR(INDEX(Mitarbeiter!$B$6:$B$205,MATCH(B2739,Mitarbeiter!$A$6:$A$205,0)),"?"))</f>
        <v/>
      </c>
      <c r="D2739" s="41" t="n"/>
      <c r="E2739" s="42" t="n"/>
      <c r="F2739" s="43" t="n"/>
      <c r="G2739" s="44">
        <f>IF(OR(B2739="",F2739=""),"",IFERROR(F2739*INDEX(Mitarbeiter!$F$6:$F$205,MATCH(B2739,Mitarbeiter!$A$6:$A$205,0)),0))</f>
        <v/>
      </c>
      <c r="H2739" s="8">
        <f>IF(B2739="","",IF(ISNA(MATCH(B2739,Mitarbeiter!$A$6:$A$205,0)),"Pers.-Nr. unbekannt",IF(A2739="","Datum fehlt",IF(AND(D2739&lt;&gt;Einstellungen!$C$4,D2739&lt;&gt;Einstellungen!$C$5),"Objekt fehlt",IF(YEAR(A2739)&lt;&gt;Einstellungen!$C$3,"anderes Jahr",IF(A2739&lt;INDEX(Mitarbeiter!$C$6:$C$205,MATCH(B2739,Mitarbeiter!$A$6:$A$205,0)),"vor Eintritt",IF(AND(INDEX(Mitarbeiter!$D$6:$D$205,MATCH(B2739,Mitarbeiter!$A$6:$A$205,0))&lt;&gt;"",A2739&gt;INDEX(Mitarbeiter!$D$6:$D$205,MATCH(B2739,Mitarbeiter!$A$6:$A$205,0))),"nach Austritt","ok")))))))</f>
        <v/>
      </c>
    </row>
    <row r="2740">
      <c r="A2740" s="26" t="n"/>
      <c r="B2740" s="24" t="n"/>
      <c r="C2740" s="40">
        <f>IF(B2740="","",IFERROR(INDEX(Mitarbeiter!$B$6:$B$205,MATCH(B2740,Mitarbeiter!$A$6:$A$205,0)),"?"))</f>
        <v/>
      </c>
      <c r="D2740" s="41" t="n"/>
      <c r="E2740" s="42" t="n"/>
      <c r="F2740" s="43" t="n"/>
      <c r="G2740" s="44">
        <f>IF(OR(B2740="",F2740=""),"",IFERROR(F2740*INDEX(Mitarbeiter!$F$6:$F$205,MATCH(B2740,Mitarbeiter!$A$6:$A$205,0)),0))</f>
        <v/>
      </c>
      <c r="H2740" s="8">
        <f>IF(B2740="","",IF(ISNA(MATCH(B2740,Mitarbeiter!$A$6:$A$205,0)),"Pers.-Nr. unbekannt",IF(A2740="","Datum fehlt",IF(AND(D2740&lt;&gt;Einstellungen!$C$4,D2740&lt;&gt;Einstellungen!$C$5),"Objekt fehlt",IF(YEAR(A2740)&lt;&gt;Einstellungen!$C$3,"anderes Jahr",IF(A2740&lt;INDEX(Mitarbeiter!$C$6:$C$205,MATCH(B2740,Mitarbeiter!$A$6:$A$205,0)),"vor Eintritt",IF(AND(INDEX(Mitarbeiter!$D$6:$D$205,MATCH(B2740,Mitarbeiter!$A$6:$A$205,0))&lt;&gt;"",A2740&gt;INDEX(Mitarbeiter!$D$6:$D$205,MATCH(B2740,Mitarbeiter!$A$6:$A$205,0))),"nach Austritt","ok")))))))</f>
        <v/>
      </c>
    </row>
    <row r="2741">
      <c r="A2741" s="26" t="n"/>
      <c r="B2741" s="24" t="n"/>
      <c r="C2741" s="40">
        <f>IF(B2741="","",IFERROR(INDEX(Mitarbeiter!$B$6:$B$205,MATCH(B2741,Mitarbeiter!$A$6:$A$205,0)),"?"))</f>
        <v/>
      </c>
      <c r="D2741" s="41" t="n"/>
      <c r="E2741" s="42" t="n"/>
      <c r="F2741" s="43" t="n"/>
      <c r="G2741" s="44">
        <f>IF(OR(B2741="",F2741=""),"",IFERROR(F2741*INDEX(Mitarbeiter!$F$6:$F$205,MATCH(B2741,Mitarbeiter!$A$6:$A$205,0)),0))</f>
        <v/>
      </c>
      <c r="H2741" s="8">
        <f>IF(B2741="","",IF(ISNA(MATCH(B2741,Mitarbeiter!$A$6:$A$205,0)),"Pers.-Nr. unbekannt",IF(A2741="","Datum fehlt",IF(AND(D2741&lt;&gt;Einstellungen!$C$4,D2741&lt;&gt;Einstellungen!$C$5),"Objekt fehlt",IF(YEAR(A2741)&lt;&gt;Einstellungen!$C$3,"anderes Jahr",IF(A2741&lt;INDEX(Mitarbeiter!$C$6:$C$205,MATCH(B2741,Mitarbeiter!$A$6:$A$205,0)),"vor Eintritt",IF(AND(INDEX(Mitarbeiter!$D$6:$D$205,MATCH(B2741,Mitarbeiter!$A$6:$A$205,0))&lt;&gt;"",A2741&gt;INDEX(Mitarbeiter!$D$6:$D$205,MATCH(B2741,Mitarbeiter!$A$6:$A$205,0))),"nach Austritt","ok")))))))</f>
        <v/>
      </c>
    </row>
    <row r="2742">
      <c r="A2742" s="26" t="n"/>
      <c r="B2742" s="24" t="n"/>
      <c r="C2742" s="40">
        <f>IF(B2742="","",IFERROR(INDEX(Mitarbeiter!$B$6:$B$205,MATCH(B2742,Mitarbeiter!$A$6:$A$205,0)),"?"))</f>
        <v/>
      </c>
      <c r="D2742" s="41" t="n"/>
      <c r="E2742" s="42" t="n"/>
      <c r="F2742" s="43" t="n"/>
      <c r="G2742" s="44">
        <f>IF(OR(B2742="",F2742=""),"",IFERROR(F2742*INDEX(Mitarbeiter!$F$6:$F$205,MATCH(B2742,Mitarbeiter!$A$6:$A$205,0)),0))</f>
        <v/>
      </c>
      <c r="H2742" s="8">
        <f>IF(B2742="","",IF(ISNA(MATCH(B2742,Mitarbeiter!$A$6:$A$205,0)),"Pers.-Nr. unbekannt",IF(A2742="","Datum fehlt",IF(AND(D2742&lt;&gt;Einstellungen!$C$4,D2742&lt;&gt;Einstellungen!$C$5),"Objekt fehlt",IF(YEAR(A2742)&lt;&gt;Einstellungen!$C$3,"anderes Jahr",IF(A2742&lt;INDEX(Mitarbeiter!$C$6:$C$205,MATCH(B2742,Mitarbeiter!$A$6:$A$205,0)),"vor Eintritt",IF(AND(INDEX(Mitarbeiter!$D$6:$D$205,MATCH(B2742,Mitarbeiter!$A$6:$A$205,0))&lt;&gt;"",A2742&gt;INDEX(Mitarbeiter!$D$6:$D$205,MATCH(B2742,Mitarbeiter!$A$6:$A$205,0))),"nach Austritt","ok")))))))</f>
        <v/>
      </c>
    </row>
    <row r="2743">
      <c r="A2743" s="26" t="n"/>
      <c r="B2743" s="24" t="n"/>
      <c r="C2743" s="40">
        <f>IF(B2743="","",IFERROR(INDEX(Mitarbeiter!$B$6:$B$205,MATCH(B2743,Mitarbeiter!$A$6:$A$205,0)),"?"))</f>
        <v/>
      </c>
      <c r="D2743" s="41" t="n"/>
      <c r="E2743" s="42" t="n"/>
      <c r="F2743" s="43" t="n"/>
      <c r="G2743" s="44">
        <f>IF(OR(B2743="",F2743=""),"",IFERROR(F2743*INDEX(Mitarbeiter!$F$6:$F$205,MATCH(B2743,Mitarbeiter!$A$6:$A$205,0)),0))</f>
        <v/>
      </c>
      <c r="H2743" s="8">
        <f>IF(B2743="","",IF(ISNA(MATCH(B2743,Mitarbeiter!$A$6:$A$205,0)),"Pers.-Nr. unbekannt",IF(A2743="","Datum fehlt",IF(AND(D2743&lt;&gt;Einstellungen!$C$4,D2743&lt;&gt;Einstellungen!$C$5),"Objekt fehlt",IF(YEAR(A2743)&lt;&gt;Einstellungen!$C$3,"anderes Jahr",IF(A2743&lt;INDEX(Mitarbeiter!$C$6:$C$205,MATCH(B2743,Mitarbeiter!$A$6:$A$205,0)),"vor Eintritt",IF(AND(INDEX(Mitarbeiter!$D$6:$D$205,MATCH(B2743,Mitarbeiter!$A$6:$A$205,0))&lt;&gt;"",A2743&gt;INDEX(Mitarbeiter!$D$6:$D$205,MATCH(B2743,Mitarbeiter!$A$6:$A$205,0))),"nach Austritt","ok")))))))</f>
        <v/>
      </c>
    </row>
    <row r="2744">
      <c r="A2744" s="26" t="n"/>
      <c r="B2744" s="24" t="n"/>
      <c r="C2744" s="40">
        <f>IF(B2744="","",IFERROR(INDEX(Mitarbeiter!$B$6:$B$205,MATCH(B2744,Mitarbeiter!$A$6:$A$205,0)),"?"))</f>
        <v/>
      </c>
      <c r="D2744" s="41" t="n"/>
      <c r="E2744" s="42" t="n"/>
      <c r="F2744" s="43" t="n"/>
      <c r="G2744" s="44">
        <f>IF(OR(B2744="",F2744=""),"",IFERROR(F2744*INDEX(Mitarbeiter!$F$6:$F$205,MATCH(B2744,Mitarbeiter!$A$6:$A$205,0)),0))</f>
        <v/>
      </c>
      <c r="H2744" s="8">
        <f>IF(B2744="","",IF(ISNA(MATCH(B2744,Mitarbeiter!$A$6:$A$205,0)),"Pers.-Nr. unbekannt",IF(A2744="","Datum fehlt",IF(AND(D2744&lt;&gt;Einstellungen!$C$4,D2744&lt;&gt;Einstellungen!$C$5),"Objekt fehlt",IF(YEAR(A2744)&lt;&gt;Einstellungen!$C$3,"anderes Jahr",IF(A2744&lt;INDEX(Mitarbeiter!$C$6:$C$205,MATCH(B2744,Mitarbeiter!$A$6:$A$205,0)),"vor Eintritt",IF(AND(INDEX(Mitarbeiter!$D$6:$D$205,MATCH(B2744,Mitarbeiter!$A$6:$A$205,0))&lt;&gt;"",A2744&gt;INDEX(Mitarbeiter!$D$6:$D$205,MATCH(B2744,Mitarbeiter!$A$6:$A$205,0))),"nach Austritt","ok")))))))</f>
        <v/>
      </c>
    </row>
    <row r="2745">
      <c r="A2745" s="26" t="n"/>
      <c r="B2745" s="24" t="n"/>
      <c r="C2745" s="40">
        <f>IF(B2745="","",IFERROR(INDEX(Mitarbeiter!$B$6:$B$205,MATCH(B2745,Mitarbeiter!$A$6:$A$205,0)),"?"))</f>
        <v/>
      </c>
      <c r="D2745" s="41" t="n"/>
      <c r="E2745" s="42" t="n"/>
      <c r="F2745" s="43" t="n"/>
      <c r="G2745" s="44">
        <f>IF(OR(B2745="",F2745=""),"",IFERROR(F2745*INDEX(Mitarbeiter!$F$6:$F$205,MATCH(B2745,Mitarbeiter!$A$6:$A$205,0)),0))</f>
        <v/>
      </c>
      <c r="H2745" s="8">
        <f>IF(B2745="","",IF(ISNA(MATCH(B2745,Mitarbeiter!$A$6:$A$205,0)),"Pers.-Nr. unbekannt",IF(A2745="","Datum fehlt",IF(AND(D2745&lt;&gt;Einstellungen!$C$4,D2745&lt;&gt;Einstellungen!$C$5),"Objekt fehlt",IF(YEAR(A2745)&lt;&gt;Einstellungen!$C$3,"anderes Jahr",IF(A2745&lt;INDEX(Mitarbeiter!$C$6:$C$205,MATCH(B2745,Mitarbeiter!$A$6:$A$205,0)),"vor Eintritt",IF(AND(INDEX(Mitarbeiter!$D$6:$D$205,MATCH(B2745,Mitarbeiter!$A$6:$A$205,0))&lt;&gt;"",A2745&gt;INDEX(Mitarbeiter!$D$6:$D$205,MATCH(B2745,Mitarbeiter!$A$6:$A$205,0))),"nach Austritt","ok")))))))</f>
        <v/>
      </c>
    </row>
    <row r="2746">
      <c r="A2746" s="26" t="n"/>
      <c r="B2746" s="24" t="n"/>
      <c r="C2746" s="40">
        <f>IF(B2746="","",IFERROR(INDEX(Mitarbeiter!$B$6:$B$205,MATCH(B2746,Mitarbeiter!$A$6:$A$205,0)),"?"))</f>
        <v/>
      </c>
      <c r="D2746" s="41" t="n"/>
      <c r="E2746" s="42" t="n"/>
      <c r="F2746" s="43" t="n"/>
      <c r="G2746" s="44">
        <f>IF(OR(B2746="",F2746=""),"",IFERROR(F2746*INDEX(Mitarbeiter!$F$6:$F$205,MATCH(B2746,Mitarbeiter!$A$6:$A$205,0)),0))</f>
        <v/>
      </c>
      <c r="H2746" s="8">
        <f>IF(B2746="","",IF(ISNA(MATCH(B2746,Mitarbeiter!$A$6:$A$205,0)),"Pers.-Nr. unbekannt",IF(A2746="","Datum fehlt",IF(AND(D2746&lt;&gt;Einstellungen!$C$4,D2746&lt;&gt;Einstellungen!$C$5),"Objekt fehlt",IF(YEAR(A2746)&lt;&gt;Einstellungen!$C$3,"anderes Jahr",IF(A2746&lt;INDEX(Mitarbeiter!$C$6:$C$205,MATCH(B2746,Mitarbeiter!$A$6:$A$205,0)),"vor Eintritt",IF(AND(INDEX(Mitarbeiter!$D$6:$D$205,MATCH(B2746,Mitarbeiter!$A$6:$A$205,0))&lt;&gt;"",A2746&gt;INDEX(Mitarbeiter!$D$6:$D$205,MATCH(B2746,Mitarbeiter!$A$6:$A$205,0))),"nach Austritt","ok")))))))</f>
        <v/>
      </c>
    </row>
    <row r="2747">
      <c r="A2747" s="26" t="n"/>
      <c r="B2747" s="24" t="n"/>
      <c r="C2747" s="40">
        <f>IF(B2747="","",IFERROR(INDEX(Mitarbeiter!$B$6:$B$205,MATCH(B2747,Mitarbeiter!$A$6:$A$205,0)),"?"))</f>
        <v/>
      </c>
      <c r="D2747" s="41" t="n"/>
      <c r="E2747" s="42" t="n"/>
      <c r="F2747" s="43" t="n"/>
      <c r="G2747" s="44">
        <f>IF(OR(B2747="",F2747=""),"",IFERROR(F2747*INDEX(Mitarbeiter!$F$6:$F$205,MATCH(B2747,Mitarbeiter!$A$6:$A$205,0)),0))</f>
        <v/>
      </c>
      <c r="H2747" s="8">
        <f>IF(B2747="","",IF(ISNA(MATCH(B2747,Mitarbeiter!$A$6:$A$205,0)),"Pers.-Nr. unbekannt",IF(A2747="","Datum fehlt",IF(AND(D2747&lt;&gt;Einstellungen!$C$4,D2747&lt;&gt;Einstellungen!$C$5),"Objekt fehlt",IF(YEAR(A2747)&lt;&gt;Einstellungen!$C$3,"anderes Jahr",IF(A2747&lt;INDEX(Mitarbeiter!$C$6:$C$205,MATCH(B2747,Mitarbeiter!$A$6:$A$205,0)),"vor Eintritt",IF(AND(INDEX(Mitarbeiter!$D$6:$D$205,MATCH(B2747,Mitarbeiter!$A$6:$A$205,0))&lt;&gt;"",A2747&gt;INDEX(Mitarbeiter!$D$6:$D$205,MATCH(B2747,Mitarbeiter!$A$6:$A$205,0))),"nach Austritt","ok")))))))</f>
        <v/>
      </c>
    </row>
    <row r="2748">
      <c r="A2748" s="26" t="n"/>
      <c r="B2748" s="24" t="n"/>
      <c r="C2748" s="40">
        <f>IF(B2748="","",IFERROR(INDEX(Mitarbeiter!$B$6:$B$205,MATCH(B2748,Mitarbeiter!$A$6:$A$205,0)),"?"))</f>
        <v/>
      </c>
      <c r="D2748" s="41" t="n"/>
      <c r="E2748" s="42" t="n"/>
      <c r="F2748" s="43" t="n"/>
      <c r="G2748" s="44">
        <f>IF(OR(B2748="",F2748=""),"",IFERROR(F2748*INDEX(Mitarbeiter!$F$6:$F$205,MATCH(B2748,Mitarbeiter!$A$6:$A$205,0)),0))</f>
        <v/>
      </c>
      <c r="H2748" s="8">
        <f>IF(B2748="","",IF(ISNA(MATCH(B2748,Mitarbeiter!$A$6:$A$205,0)),"Pers.-Nr. unbekannt",IF(A2748="","Datum fehlt",IF(AND(D2748&lt;&gt;Einstellungen!$C$4,D2748&lt;&gt;Einstellungen!$C$5),"Objekt fehlt",IF(YEAR(A2748)&lt;&gt;Einstellungen!$C$3,"anderes Jahr",IF(A2748&lt;INDEX(Mitarbeiter!$C$6:$C$205,MATCH(B2748,Mitarbeiter!$A$6:$A$205,0)),"vor Eintritt",IF(AND(INDEX(Mitarbeiter!$D$6:$D$205,MATCH(B2748,Mitarbeiter!$A$6:$A$205,0))&lt;&gt;"",A2748&gt;INDEX(Mitarbeiter!$D$6:$D$205,MATCH(B2748,Mitarbeiter!$A$6:$A$205,0))),"nach Austritt","ok")))))))</f>
        <v/>
      </c>
    </row>
    <row r="2749">
      <c r="A2749" s="26" t="n"/>
      <c r="B2749" s="24" t="n"/>
      <c r="C2749" s="40">
        <f>IF(B2749="","",IFERROR(INDEX(Mitarbeiter!$B$6:$B$205,MATCH(B2749,Mitarbeiter!$A$6:$A$205,0)),"?"))</f>
        <v/>
      </c>
      <c r="D2749" s="41" t="n"/>
      <c r="E2749" s="42" t="n"/>
      <c r="F2749" s="43" t="n"/>
      <c r="G2749" s="44">
        <f>IF(OR(B2749="",F2749=""),"",IFERROR(F2749*INDEX(Mitarbeiter!$F$6:$F$205,MATCH(B2749,Mitarbeiter!$A$6:$A$205,0)),0))</f>
        <v/>
      </c>
      <c r="H2749" s="8">
        <f>IF(B2749="","",IF(ISNA(MATCH(B2749,Mitarbeiter!$A$6:$A$205,0)),"Pers.-Nr. unbekannt",IF(A2749="","Datum fehlt",IF(AND(D2749&lt;&gt;Einstellungen!$C$4,D2749&lt;&gt;Einstellungen!$C$5),"Objekt fehlt",IF(YEAR(A2749)&lt;&gt;Einstellungen!$C$3,"anderes Jahr",IF(A2749&lt;INDEX(Mitarbeiter!$C$6:$C$205,MATCH(B2749,Mitarbeiter!$A$6:$A$205,0)),"vor Eintritt",IF(AND(INDEX(Mitarbeiter!$D$6:$D$205,MATCH(B2749,Mitarbeiter!$A$6:$A$205,0))&lt;&gt;"",A2749&gt;INDEX(Mitarbeiter!$D$6:$D$205,MATCH(B2749,Mitarbeiter!$A$6:$A$205,0))),"nach Austritt","ok")))))))</f>
        <v/>
      </c>
    </row>
    <row r="2750">
      <c r="A2750" s="26" t="n"/>
      <c r="B2750" s="24" t="n"/>
      <c r="C2750" s="40">
        <f>IF(B2750="","",IFERROR(INDEX(Mitarbeiter!$B$6:$B$205,MATCH(B2750,Mitarbeiter!$A$6:$A$205,0)),"?"))</f>
        <v/>
      </c>
      <c r="D2750" s="41" t="n"/>
      <c r="E2750" s="42" t="n"/>
      <c r="F2750" s="43" t="n"/>
      <c r="G2750" s="44">
        <f>IF(OR(B2750="",F2750=""),"",IFERROR(F2750*INDEX(Mitarbeiter!$F$6:$F$205,MATCH(B2750,Mitarbeiter!$A$6:$A$205,0)),0))</f>
        <v/>
      </c>
      <c r="H2750" s="8">
        <f>IF(B2750="","",IF(ISNA(MATCH(B2750,Mitarbeiter!$A$6:$A$205,0)),"Pers.-Nr. unbekannt",IF(A2750="","Datum fehlt",IF(AND(D2750&lt;&gt;Einstellungen!$C$4,D2750&lt;&gt;Einstellungen!$C$5),"Objekt fehlt",IF(YEAR(A2750)&lt;&gt;Einstellungen!$C$3,"anderes Jahr",IF(A2750&lt;INDEX(Mitarbeiter!$C$6:$C$205,MATCH(B2750,Mitarbeiter!$A$6:$A$205,0)),"vor Eintritt",IF(AND(INDEX(Mitarbeiter!$D$6:$D$205,MATCH(B2750,Mitarbeiter!$A$6:$A$205,0))&lt;&gt;"",A2750&gt;INDEX(Mitarbeiter!$D$6:$D$205,MATCH(B2750,Mitarbeiter!$A$6:$A$205,0))),"nach Austritt","ok")))))))</f>
        <v/>
      </c>
    </row>
    <row r="2751">
      <c r="A2751" s="26" t="n"/>
      <c r="B2751" s="24" t="n"/>
      <c r="C2751" s="40">
        <f>IF(B2751="","",IFERROR(INDEX(Mitarbeiter!$B$6:$B$205,MATCH(B2751,Mitarbeiter!$A$6:$A$205,0)),"?"))</f>
        <v/>
      </c>
      <c r="D2751" s="41" t="n"/>
      <c r="E2751" s="42" t="n"/>
      <c r="F2751" s="43" t="n"/>
      <c r="G2751" s="44">
        <f>IF(OR(B2751="",F2751=""),"",IFERROR(F2751*INDEX(Mitarbeiter!$F$6:$F$205,MATCH(B2751,Mitarbeiter!$A$6:$A$205,0)),0))</f>
        <v/>
      </c>
      <c r="H2751" s="8">
        <f>IF(B2751="","",IF(ISNA(MATCH(B2751,Mitarbeiter!$A$6:$A$205,0)),"Pers.-Nr. unbekannt",IF(A2751="","Datum fehlt",IF(AND(D2751&lt;&gt;Einstellungen!$C$4,D2751&lt;&gt;Einstellungen!$C$5),"Objekt fehlt",IF(YEAR(A2751)&lt;&gt;Einstellungen!$C$3,"anderes Jahr",IF(A2751&lt;INDEX(Mitarbeiter!$C$6:$C$205,MATCH(B2751,Mitarbeiter!$A$6:$A$205,0)),"vor Eintritt",IF(AND(INDEX(Mitarbeiter!$D$6:$D$205,MATCH(B2751,Mitarbeiter!$A$6:$A$205,0))&lt;&gt;"",A2751&gt;INDEX(Mitarbeiter!$D$6:$D$205,MATCH(B2751,Mitarbeiter!$A$6:$A$205,0))),"nach Austritt","ok")))))))</f>
        <v/>
      </c>
    </row>
    <row r="2752">
      <c r="A2752" s="26" t="n"/>
      <c r="B2752" s="24" t="n"/>
      <c r="C2752" s="40">
        <f>IF(B2752="","",IFERROR(INDEX(Mitarbeiter!$B$6:$B$205,MATCH(B2752,Mitarbeiter!$A$6:$A$205,0)),"?"))</f>
        <v/>
      </c>
      <c r="D2752" s="41" t="n"/>
      <c r="E2752" s="42" t="n"/>
      <c r="F2752" s="43" t="n"/>
      <c r="G2752" s="44">
        <f>IF(OR(B2752="",F2752=""),"",IFERROR(F2752*INDEX(Mitarbeiter!$F$6:$F$205,MATCH(B2752,Mitarbeiter!$A$6:$A$205,0)),0))</f>
        <v/>
      </c>
      <c r="H2752" s="8">
        <f>IF(B2752="","",IF(ISNA(MATCH(B2752,Mitarbeiter!$A$6:$A$205,0)),"Pers.-Nr. unbekannt",IF(A2752="","Datum fehlt",IF(AND(D2752&lt;&gt;Einstellungen!$C$4,D2752&lt;&gt;Einstellungen!$C$5),"Objekt fehlt",IF(YEAR(A2752)&lt;&gt;Einstellungen!$C$3,"anderes Jahr",IF(A2752&lt;INDEX(Mitarbeiter!$C$6:$C$205,MATCH(B2752,Mitarbeiter!$A$6:$A$205,0)),"vor Eintritt",IF(AND(INDEX(Mitarbeiter!$D$6:$D$205,MATCH(B2752,Mitarbeiter!$A$6:$A$205,0))&lt;&gt;"",A2752&gt;INDEX(Mitarbeiter!$D$6:$D$205,MATCH(B2752,Mitarbeiter!$A$6:$A$205,0))),"nach Austritt","ok")))))))</f>
        <v/>
      </c>
    </row>
    <row r="2753">
      <c r="A2753" s="26" t="n"/>
      <c r="B2753" s="24" t="n"/>
      <c r="C2753" s="40">
        <f>IF(B2753="","",IFERROR(INDEX(Mitarbeiter!$B$6:$B$205,MATCH(B2753,Mitarbeiter!$A$6:$A$205,0)),"?"))</f>
        <v/>
      </c>
      <c r="D2753" s="41" t="n"/>
      <c r="E2753" s="42" t="n"/>
      <c r="F2753" s="43" t="n"/>
      <c r="G2753" s="44">
        <f>IF(OR(B2753="",F2753=""),"",IFERROR(F2753*INDEX(Mitarbeiter!$F$6:$F$205,MATCH(B2753,Mitarbeiter!$A$6:$A$205,0)),0))</f>
        <v/>
      </c>
      <c r="H2753" s="8">
        <f>IF(B2753="","",IF(ISNA(MATCH(B2753,Mitarbeiter!$A$6:$A$205,0)),"Pers.-Nr. unbekannt",IF(A2753="","Datum fehlt",IF(AND(D2753&lt;&gt;Einstellungen!$C$4,D2753&lt;&gt;Einstellungen!$C$5),"Objekt fehlt",IF(YEAR(A2753)&lt;&gt;Einstellungen!$C$3,"anderes Jahr",IF(A2753&lt;INDEX(Mitarbeiter!$C$6:$C$205,MATCH(B2753,Mitarbeiter!$A$6:$A$205,0)),"vor Eintritt",IF(AND(INDEX(Mitarbeiter!$D$6:$D$205,MATCH(B2753,Mitarbeiter!$A$6:$A$205,0))&lt;&gt;"",A2753&gt;INDEX(Mitarbeiter!$D$6:$D$205,MATCH(B2753,Mitarbeiter!$A$6:$A$205,0))),"nach Austritt","ok")))))))</f>
        <v/>
      </c>
    </row>
    <row r="2754">
      <c r="A2754" s="26" t="n"/>
      <c r="B2754" s="24" t="n"/>
      <c r="C2754" s="40">
        <f>IF(B2754="","",IFERROR(INDEX(Mitarbeiter!$B$6:$B$205,MATCH(B2754,Mitarbeiter!$A$6:$A$205,0)),"?"))</f>
        <v/>
      </c>
      <c r="D2754" s="41" t="n"/>
      <c r="E2754" s="42" t="n"/>
      <c r="F2754" s="43" t="n"/>
      <c r="G2754" s="44">
        <f>IF(OR(B2754="",F2754=""),"",IFERROR(F2754*INDEX(Mitarbeiter!$F$6:$F$205,MATCH(B2754,Mitarbeiter!$A$6:$A$205,0)),0))</f>
        <v/>
      </c>
      <c r="H2754" s="8">
        <f>IF(B2754="","",IF(ISNA(MATCH(B2754,Mitarbeiter!$A$6:$A$205,0)),"Pers.-Nr. unbekannt",IF(A2754="","Datum fehlt",IF(AND(D2754&lt;&gt;Einstellungen!$C$4,D2754&lt;&gt;Einstellungen!$C$5),"Objekt fehlt",IF(YEAR(A2754)&lt;&gt;Einstellungen!$C$3,"anderes Jahr",IF(A2754&lt;INDEX(Mitarbeiter!$C$6:$C$205,MATCH(B2754,Mitarbeiter!$A$6:$A$205,0)),"vor Eintritt",IF(AND(INDEX(Mitarbeiter!$D$6:$D$205,MATCH(B2754,Mitarbeiter!$A$6:$A$205,0))&lt;&gt;"",A2754&gt;INDEX(Mitarbeiter!$D$6:$D$205,MATCH(B2754,Mitarbeiter!$A$6:$A$205,0))),"nach Austritt","ok")))))))</f>
        <v/>
      </c>
    </row>
    <row r="2755">
      <c r="A2755" s="26" t="n"/>
      <c r="B2755" s="24" t="n"/>
      <c r="C2755" s="40">
        <f>IF(B2755="","",IFERROR(INDEX(Mitarbeiter!$B$6:$B$205,MATCH(B2755,Mitarbeiter!$A$6:$A$205,0)),"?"))</f>
        <v/>
      </c>
      <c r="D2755" s="41" t="n"/>
      <c r="E2755" s="42" t="n"/>
      <c r="F2755" s="43" t="n"/>
      <c r="G2755" s="44">
        <f>IF(OR(B2755="",F2755=""),"",IFERROR(F2755*INDEX(Mitarbeiter!$F$6:$F$205,MATCH(B2755,Mitarbeiter!$A$6:$A$205,0)),0))</f>
        <v/>
      </c>
      <c r="H2755" s="8">
        <f>IF(B2755="","",IF(ISNA(MATCH(B2755,Mitarbeiter!$A$6:$A$205,0)),"Pers.-Nr. unbekannt",IF(A2755="","Datum fehlt",IF(AND(D2755&lt;&gt;Einstellungen!$C$4,D2755&lt;&gt;Einstellungen!$C$5),"Objekt fehlt",IF(YEAR(A2755)&lt;&gt;Einstellungen!$C$3,"anderes Jahr",IF(A2755&lt;INDEX(Mitarbeiter!$C$6:$C$205,MATCH(B2755,Mitarbeiter!$A$6:$A$205,0)),"vor Eintritt",IF(AND(INDEX(Mitarbeiter!$D$6:$D$205,MATCH(B2755,Mitarbeiter!$A$6:$A$205,0))&lt;&gt;"",A2755&gt;INDEX(Mitarbeiter!$D$6:$D$205,MATCH(B2755,Mitarbeiter!$A$6:$A$205,0))),"nach Austritt","ok")))))))</f>
        <v/>
      </c>
    </row>
    <row r="2756">
      <c r="A2756" s="26" t="n"/>
      <c r="B2756" s="24" t="n"/>
      <c r="C2756" s="40">
        <f>IF(B2756="","",IFERROR(INDEX(Mitarbeiter!$B$6:$B$205,MATCH(B2756,Mitarbeiter!$A$6:$A$205,0)),"?"))</f>
        <v/>
      </c>
      <c r="D2756" s="41" t="n"/>
      <c r="E2756" s="42" t="n"/>
      <c r="F2756" s="43" t="n"/>
      <c r="G2756" s="44">
        <f>IF(OR(B2756="",F2756=""),"",IFERROR(F2756*INDEX(Mitarbeiter!$F$6:$F$205,MATCH(B2756,Mitarbeiter!$A$6:$A$205,0)),0))</f>
        <v/>
      </c>
      <c r="H2756" s="8">
        <f>IF(B2756="","",IF(ISNA(MATCH(B2756,Mitarbeiter!$A$6:$A$205,0)),"Pers.-Nr. unbekannt",IF(A2756="","Datum fehlt",IF(AND(D2756&lt;&gt;Einstellungen!$C$4,D2756&lt;&gt;Einstellungen!$C$5),"Objekt fehlt",IF(YEAR(A2756)&lt;&gt;Einstellungen!$C$3,"anderes Jahr",IF(A2756&lt;INDEX(Mitarbeiter!$C$6:$C$205,MATCH(B2756,Mitarbeiter!$A$6:$A$205,0)),"vor Eintritt",IF(AND(INDEX(Mitarbeiter!$D$6:$D$205,MATCH(B2756,Mitarbeiter!$A$6:$A$205,0))&lt;&gt;"",A2756&gt;INDEX(Mitarbeiter!$D$6:$D$205,MATCH(B2756,Mitarbeiter!$A$6:$A$205,0))),"nach Austritt","ok")))))))</f>
        <v/>
      </c>
    </row>
    <row r="2757">
      <c r="A2757" s="26" t="n"/>
      <c r="B2757" s="24" t="n"/>
      <c r="C2757" s="40">
        <f>IF(B2757="","",IFERROR(INDEX(Mitarbeiter!$B$6:$B$205,MATCH(B2757,Mitarbeiter!$A$6:$A$205,0)),"?"))</f>
        <v/>
      </c>
      <c r="D2757" s="41" t="n"/>
      <c r="E2757" s="42" t="n"/>
      <c r="F2757" s="43" t="n"/>
      <c r="G2757" s="44">
        <f>IF(OR(B2757="",F2757=""),"",IFERROR(F2757*INDEX(Mitarbeiter!$F$6:$F$205,MATCH(B2757,Mitarbeiter!$A$6:$A$205,0)),0))</f>
        <v/>
      </c>
      <c r="H2757" s="8">
        <f>IF(B2757="","",IF(ISNA(MATCH(B2757,Mitarbeiter!$A$6:$A$205,0)),"Pers.-Nr. unbekannt",IF(A2757="","Datum fehlt",IF(AND(D2757&lt;&gt;Einstellungen!$C$4,D2757&lt;&gt;Einstellungen!$C$5),"Objekt fehlt",IF(YEAR(A2757)&lt;&gt;Einstellungen!$C$3,"anderes Jahr",IF(A2757&lt;INDEX(Mitarbeiter!$C$6:$C$205,MATCH(B2757,Mitarbeiter!$A$6:$A$205,0)),"vor Eintritt",IF(AND(INDEX(Mitarbeiter!$D$6:$D$205,MATCH(B2757,Mitarbeiter!$A$6:$A$205,0))&lt;&gt;"",A2757&gt;INDEX(Mitarbeiter!$D$6:$D$205,MATCH(B2757,Mitarbeiter!$A$6:$A$205,0))),"nach Austritt","ok")))))))</f>
        <v/>
      </c>
    </row>
    <row r="2758">
      <c r="A2758" s="26" t="n"/>
      <c r="B2758" s="24" t="n"/>
      <c r="C2758" s="40">
        <f>IF(B2758="","",IFERROR(INDEX(Mitarbeiter!$B$6:$B$205,MATCH(B2758,Mitarbeiter!$A$6:$A$205,0)),"?"))</f>
        <v/>
      </c>
      <c r="D2758" s="41" t="n"/>
      <c r="E2758" s="42" t="n"/>
      <c r="F2758" s="43" t="n"/>
      <c r="G2758" s="44">
        <f>IF(OR(B2758="",F2758=""),"",IFERROR(F2758*INDEX(Mitarbeiter!$F$6:$F$205,MATCH(B2758,Mitarbeiter!$A$6:$A$205,0)),0))</f>
        <v/>
      </c>
      <c r="H2758" s="8">
        <f>IF(B2758="","",IF(ISNA(MATCH(B2758,Mitarbeiter!$A$6:$A$205,0)),"Pers.-Nr. unbekannt",IF(A2758="","Datum fehlt",IF(AND(D2758&lt;&gt;Einstellungen!$C$4,D2758&lt;&gt;Einstellungen!$C$5),"Objekt fehlt",IF(YEAR(A2758)&lt;&gt;Einstellungen!$C$3,"anderes Jahr",IF(A2758&lt;INDEX(Mitarbeiter!$C$6:$C$205,MATCH(B2758,Mitarbeiter!$A$6:$A$205,0)),"vor Eintritt",IF(AND(INDEX(Mitarbeiter!$D$6:$D$205,MATCH(B2758,Mitarbeiter!$A$6:$A$205,0))&lt;&gt;"",A2758&gt;INDEX(Mitarbeiter!$D$6:$D$205,MATCH(B2758,Mitarbeiter!$A$6:$A$205,0))),"nach Austritt","ok")))))))</f>
        <v/>
      </c>
    </row>
    <row r="2759">
      <c r="A2759" s="26" t="n"/>
      <c r="B2759" s="24" t="n"/>
      <c r="C2759" s="40">
        <f>IF(B2759="","",IFERROR(INDEX(Mitarbeiter!$B$6:$B$205,MATCH(B2759,Mitarbeiter!$A$6:$A$205,0)),"?"))</f>
        <v/>
      </c>
      <c r="D2759" s="41" t="n"/>
      <c r="E2759" s="42" t="n"/>
      <c r="F2759" s="43" t="n"/>
      <c r="G2759" s="44">
        <f>IF(OR(B2759="",F2759=""),"",IFERROR(F2759*INDEX(Mitarbeiter!$F$6:$F$205,MATCH(B2759,Mitarbeiter!$A$6:$A$205,0)),0))</f>
        <v/>
      </c>
      <c r="H2759" s="8">
        <f>IF(B2759="","",IF(ISNA(MATCH(B2759,Mitarbeiter!$A$6:$A$205,0)),"Pers.-Nr. unbekannt",IF(A2759="","Datum fehlt",IF(AND(D2759&lt;&gt;Einstellungen!$C$4,D2759&lt;&gt;Einstellungen!$C$5),"Objekt fehlt",IF(YEAR(A2759)&lt;&gt;Einstellungen!$C$3,"anderes Jahr",IF(A2759&lt;INDEX(Mitarbeiter!$C$6:$C$205,MATCH(B2759,Mitarbeiter!$A$6:$A$205,0)),"vor Eintritt",IF(AND(INDEX(Mitarbeiter!$D$6:$D$205,MATCH(B2759,Mitarbeiter!$A$6:$A$205,0))&lt;&gt;"",A2759&gt;INDEX(Mitarbeiter!$D$6:$D$205,MATCH(B2759,Mitarbeiter!$A$6:$A$205,0))),"nach Austritt","ok")))))))</f>
        <v/>
      </c>
    </row>
    <row r="2760">
      <c r="A2760" s="26" t="n"/>
      <c r="B2760" s="24" t="n"/>
      <c r="C2760" s="40">
        <f>IF(B2760="","",IFERROR(INDEX(Mitarbeiter!$B$6:$B$205,MATCH(B2760,Mitarbeiter!$A$6:$A$205,0)),"?"))</f>
        <v/>
      </c>
      <c r="D2760" s="41" t="n"/>
      <c r="E2760" s="42" t="n"/>
      <c r="F2760" s="43" t="n"/>
      <c r="G2760" s="44">
        <f>IF(OR(B2760="",F2760=""),"",IFERROR(F2760*INDEX(Mitarbeiter!$F$6:$F$205,MATCH(B2760,Mitarbeiter!$A$6:$A$205,0)),0))</f>
        <v/>
      </c>
      <c r="H2760" s="8">
        <f>IF(B2760="","",IF(ISNA(MATCH(B2760,Mitarbeiter!$A$6:$A$205,0)),"Pers.-Nr. unbekannt",IF(A2760="","Datum fehlt",IF(AND(D2760&lt;&gt;Einstellungen!$C$4,D2760&lt;&gt;Einstellungen!$C$5),"Objekt fehlt",IF(YEAR(A2760)&lt;&gt;Einstellungen!$C$3,"anderes Jahr",IF(A2760&lt;INDEX(Mitarbeiter!$C$6:$C$205,MATCH(B2760,Mitarbeiter!$A$6:$A$205,0)),"vor Eintritt",IF(AND(INDEX(Mitarbeiter!$D$6:$D$205,MATCH(B2760,Mitarbeiter!$A$6:$A$205,0))&lt;&gt;"",A2760&gt;INDEX(Mitarbeiter!$D$6:$D$205,MATCH(B2760,Mitarbeiter!$A$6:$A$205,0))),"nach Austritt","ok")))))))</f>
        <v/>
      </c>
    </row>
    <row r="2761">
      <c r="A2761" s="26" t="n"/>
      <c r="B2761" s="24" t="n"/>
      <c r="C2761" s="40">
        <f>IF(B2761="","",IFERROR(INDEX(Mitarbeiter!$B$6:$B$205,MATCH(B2761,Mitarbeiter!$A$6:$A$205,0)),"?"))</f>
        <v/>
      </c>
      <c r="D2761" s="41" t="n"/>
      <c r="E2761" s="42" t="n"/>
      <c r="F2761" s="43" t="n"/>
      <c r="G2761" s="44">
        <f>IF(OR(B2761="",F2761=""),"",IFERROR(F2761*INDEX(Mitarbeiter!$F$6:$F$205,MATCH(B2761,Mitarbeiter!$A$6:$A$205,0)),0))</f>
        <v/>
      </c>
      <c r="H2761" s="8">
        <f>IF(B2761="","",IF(ISNA(MATCH(B2761,Mitarbeiter!$A$6:$A$205,0)),"Pers.-Nr. unbekannt",IF(A2761="","Datum fehlt",IF(AND(D2761&lt;&gt;Einstellungen!$C$4,D2761&lt;&gt;Einstellungen!$C$5),"Objekt fehlt",IF(YEAR(A2761)&lt;&gt;Einstellungen!$C$3,"anderes Jahr",IF(A2761&lt;INDEX(Mitarbeiter!$C$6:$C$205,MATCH(B2761,Mitarbeiter!$A$6:$A$205,0)),"vor Eintritt",IF(AND(INDEX(Mitarbeiter!$D$6:$D$205,MATCH(B2761,Mitarbeiter!$A$6:$A$205,0))&lt;&gt;"",A2761&gt;INDEX(Mitarbeiter!$D$6:$D$205,MATCH(B2761,Mitarbeiter!$A$6:$A$205,0))),"nach Austritt","ok")))))))</f>
        <v/>
      </c>
    </row>
    <row r="2762">
      <c r="A2762" s="26" t="n"/>
      <c r="B2762" s="24" t="n"/>
      <c r="C2762" s="40">
        <f>IF(B2762="","",IFERROR(INDEX(Mitarbeiter!$B$6:$B$205,MATCH(B2762,Mitarbeiter!$A$6:$A$205,0)),"?"))</f>
        <v/>
      </c>
      <c r="D2762" s="41" t="n"/>
      <c r="E2762" s="42" t="n"/>
      <c r="F2762" s="43" t="n"/>
      <c r="G2762" s="44">
        <f>IF(OR(B2762="",F2762=""),"",IFERROR(F2762*INDEX(Mitarbeiter!$F$6:$F$205,MATCH(B2762,Mitarbeiter!$A$6:$A$205,0)),0))</f>
        <v/>
      </c>
      <c r="H2762" s="8">
        <f>IF(B2762="","",IF(ISNA(MATCH(B2762,Mitarbeiter!$A$6:$A$205,0)),"Pers.-Nr. unbekannt",IF(A2762="","Datum fehlt",IF(AND(D2762&lt;&gt;Einstellungen!$C$4,D2762&lt;&gt;Einstellungen!$C$5),"Objekt fehlt",IF(YEAR(A2762)&lt;&gt;Einstellungen!$C$3,"anderes Jahr",IF(A2762&lt;INDEX(Mitarbeiter!$C$6:$C$205,MATCH(B2762,Mitarbeiter!$A$6:$A$205,0)),"vor Eintritt",IF(AND(INDEX(Mitarbeiter!$D$6:$D$205,MATCH(B2762,Mitarbeiter!$A$6:$A$205,0))&lt;&gt;"",A2762&gt;INDEX(Mitarbeiter!$D$6:$D$205,MATCH(B2762,Mitarbeiter!$A$6:$A$205,0))),"nach Austritt","ok")))))))</f>
        <v/>
      </c>
    </row>
    <row r="2763">
      <c r="A2763" s="26" t="n"/>
      <c r="B2763" s="24" t="n"/>
      <c r="C2763" s="40">
        <f>IF(B2763="","",IFERROR(INDEX(Mitarbeiter!$B$6:$B$205,MATCH(B2763,Mitarbeiter!$A$6:$A$205,0)),"?"))</f>
        <v/>
      </c>
      <c r="D2763" s="41" t="n"/>
      <c r="E2763" s="42" t="n"/>
      <c r="F2763" s="43" t="n"/>
      <c r="G2763" s="44">
        <f>IF(OR(B2763="",F2763=""),"",IFERROR(F2763*INDEX(Mitarbeiter!$F$6:$F$205,MATCH(B2763,Mitarbeiter!$A$6:$A$205,0)),0))</f>
        <v/>
      </c>
      <c r="H2763" s="8">
        <f>IF(B2763="","",IF(ISNA(MATCH(B2763,Mitarbeiter!$A$6:$A$205,0)),"Pers.-Nr. unbekannt",IF(A2763="","Datum fehlt",IF(AND(D2763&lt;&gt;Einstellungen!$C$4,D2763&lt;&gt;Einstellungen!$C$5),"Objekt fehlt",IF(YEAR(A2763)&lt;&gt;Einstellungen!$C$3,"anderes Jahr",IF(A2763&lt;INDEX(Mitarbeiter!$C$6:$C$205,MATCH(B2763,Mitarbeiter!$A$6:$A$205,0)),"vor Eintritt",IF(AND(INDEX(Mitarbeiter!$D$6:$D$205,MATCH(B2763,Mitarbeiter!$A$6:$A$205,0))&lt;&gt;"",A2763&gt;INDEX(Mitarbeiter!$D$6:$D$205,MATCH(B2763,Mitarbeiter!$A$6:$A$205,0))),"nach Austritt","ok")))))))</f>
        <v/>
      </c>
    </row>
    <row r="2764">
      <c r="A2764" s="26" t="n"/>
      <c r="B2764" s="24" t="n"/>
      <c r="C2764" s="40">
        <f>IF(B2764="","",IFERROR(INDEX(Mitarbeiter!$B$6:$B$205,MATCH(B2764,Mitarbeiter!$A$6:$A$205,0)),"?"))</f>
        <v/>
      </c>
      <c r="D2764" s="41" t="n"/>
      <c r="E2764" s="42" t="n"/>
      <c r="F2764" s="43" t="n"/>
      <c r="G2764" s="44">
        <f>IF(OR(B2764="",F2764=""),"",IFERROR(F2764*INDEX(Mitarbeiter!$F$6:$F$205,MATCH(B2764,Mitarbeiter!$A$6:$A$205,0)),0))</f>
        <v/>
      </c>
      <c r="H2764" s="8">
        <f>IF(B2764="","",IF(ISNA(MATCH(B2764,Mitarbeiter!$A$6:$A$205,0)),"Pers.-Nr. unbekannt",IF(A2764="","Datum fehlt",IF(AND(D2764&lt;&gt;Einstellungen!$C$4,D2764&lt;&gt;Einstellungen!$C$5),"Objekt fehlt",IF(YEAR(A2764)&lt;&gt;Einstellungen!$C$3,"anderes Jahr",IF(A2764&lt;INDEX(Mitarbeiter!$C$6:$C$205,MATCH(B2764,Mitarbeiter!$A$6:$A$205,0)),"vor Eintritt",IF(AND(INDEX(Mitarbeiter!$D$6:$D$205,MATCH(B2764,Mitarbeiter!$A$6:$A$205,0))&lt;&gt;"",A2764&gt;INDEX(Mitarbeiter!$D$6:$D$205,MATCH(B2764,Mitarbeiter!$A$6:$A$205,0))),"nach Austritt","ok")))))))</f>
        <v/>
      </c>
    </row>
    <row r="2765">
      <c r="A2765" s="26" t="n"/>
      <c r="B2765" s="24" t="n"/>
      <c r="C2765" s="40">
        <f>IF(B2765="","",IFERROR(INDEX(Mitarbeiter!$B$6:$B$205,MATCH(B2765,Mitarbeiter!$A$6:$A$205,0)),"?"))</f>
        <v/>
      </c>
      <c r="D2765" s="41" t="n"/>
      <c r="E2765" s="42" t="n"/>
      <c r="F2765" s="43" t="n"/>
      <c r="G2765" s="44">
        <f>IF(OR(B2765="",F2765=""),"",IFERROR(F2765*INDEX(Mitarbeiter!$F$6:$F$205,MATCH(B2765,Mitarbeiter!$A$6:$A$205,0)),0))</f>
        <v/>
      </c>
      <c r="H2765" s="8">
        <f>IF(B2765="","",IF(ISNA(MATCH(B2765,Mitarbeiter!$A$6:$A$205,0)),"Pers.-Nr. unbekannt",IF(A2765="","Datum fehlt",IF(AND(D2765&lt;&gt;Einstellungen!$C$4,D2765&lt;&gt;Einstellungen!$C$5),"Objekt fehlt",IF(YEAR(A2765)&lt;&gt;Einstellungen!$C$3,"anderes Jahr",IF(A2765&lt;INDEX(Mitarbeiter!$C$6:$C$205,MATCH(B2765,Mitarbeiter!$A$6:$A$205,0)),"vor Eintritt",IF(AND(INDEX(Mitarbeiter!$D$6:$D$205,MATCH(B2765,Mitarbeiter!$A$6:$A$205,0))&lt;&gt;"",A2765&gt;INDEX(Mitarbeiter!$D$6:$D$205,MATCH(B2765,Mitarbeiter!$A$6:$A$205,0))),"nach Austritt","ok")))))))</f>
        <v/>
      </c>
    </row>
    <row r="2766">
      <c r="A2766" s="26" t="n"/>
      <c r="B2766" s="24" t="n"/>
      <c r="C2766" s="40">
        <f>IF(B2766="","",IFERROR(INDEX(Mitarbeiter!$B$6:$B$205,MATCH(B2766,Mitarbeiter!$A$6:$A$205,0)),"?"))</f>
        <v/>
      </c>
      <c r="D2766" s="41" t="n"/>
      <c r="E2766" s="42" t="n"/>
      <c r="F2766" s="43" t="n"/>
      <c r="G2766" s="44">
        <f>IF(OR(B2766="",F2766=""),"",IFERROR(F2766*INDEX(Mitarbeiter!$F$6:$F$205,MATCH(B2766,Mitarbeiter!$A$6:$A$205,0)),0))</f>
        <v/>
      </c>
      <c r="H2766" s="8">
        <f>IF(B2766="","",IF(ISNA(MATCH(B2766,Mitarbeiter!$A$6:$A$205,0)),"Pers.-Nr. unbekannt",IF(A2766="","Datum fehlt",IF(AND(D2766&lt;&gt;Einstellungen!$C$4,D2766&lt;&gt;Einstellungen!$C$5),"Objekt fehlt",IF(YEAR(A2766)&lt;&gt;Einstellungen!$C$3,"anderes Jahr",IF(A2766&lt;INDEX(Mitarbeiter!$C$6:$C$205,MATCH(B2766,Mitarbeiter!$A$6:$A$205,0)),"vor Eintritt",IF(AND(INDEX(Mitarbeiter!$D$6:$D$205,MATCH(B2766,Mitarbeiter!$A$6:$A$205,0))&lt;&gt;"",A2766&gt;INDEX(Mitarbeiter!$D$6:$D$205,MATCH(B2766,Mitarbeiter!$A$6:$A$205,0))),"nach Austritt","ok")))))))</f>
        <v/>
      </c>
    </row>
    <row r="2767">
      <c r="A2767" s="26" t="n"/>
      <c r="B2767" s="24" t="n"/>
      <c r="C2767" s="40">
        <f>IF(B2767="","",IFERROR(INDEX(Mitarbeiter!$B$6:$B$205,MATCH(B2767,Mitarbeiter!$A$6:$A$205,0)),"?"))</f>
        <v/>
      </c>
      <c r="D2767" s="41" t="n"/>
      <c r="E2767" s="42" t="n"/>
      <c r="F2767" s="43" t="n"/>
      <c r="G2767" s="44">
        <f>IF(OR(B2767="",F2767=""),"",IFERROR(F2767*INDEX(Mitarbeiter!$F$6:$F$205,MATCH(B2767,Mitarbeiter!$A$6:$A$205,0)),0))</f>
        <v/>
      </c>
      <c r="H2767" s="8">
        <f>IF(B2767="","",IF(ISNA(MATCH(B2767,Mitarbeiter!$A$6:$A$205,0)),"Pers.-Nr. unbekannt",IF(A2767="","Datum fehlt",IF(AND(D2767&lt;&gt;Einstellungen!$C$4,D2767&lt;&gt;Einstellungen!$C$5),"Objekt fehlt",IF(YEAR(A2767)&lt;&gt;Einstellungen!$C$3,"anderes Jahr",IF(A2767&lt;INDEX(Mitarbeiter!$C$6:$C$205,MATCH(B2767,Mitarbeiter!$A$6:$A$205,0)),"vor Eintritt",IF(AND(INDEX(Mitarbeiter!$D$6:$D$205,MATCH(B2767,Mitarbeiter!$A$6:$A$205,0))&lt;&gt;"",A2767&gt;INDEX(Mitarbeiter!$D$6:$D$205,MATCH(B2767,Mitarbeiter!$A$6:$A$205,0))),"nach Austritt","ok")))))))</f>
        <v/>
      </c>
    </row>
    <row r="2768">
      <c r="A2768" s="26" t="n"/>
      <c r="B2768" s="24" t="n"/>
      <c r="C2768" s="40">
        <f>IF(B2768="","",IFERROR(INDEX(Mitarbeiter!$B$6:$B$205,MATCH(B2768,Mitarbeiter!$A$6:$A$205,0)),"?"))</f>
        <v/>
      </c>
      <c r="D2768" s="41" t="n"/>
      <c r="E2768" s="42" t="n"/>
      <c r="F2768" s="43" t="n"/>
      <c r="G2768" s="44">
        <f>IF(OR(B2768="",F2768=""),"",IFERROR(F2768*INDEX(Mitarbeiter!$F$6:$F$205,MATCH(B2768,Mitarbeiter!$A$6:$A$205,0)),0))</f>
        <v/>
      </c>
      <c r="H2768" s="8">
        <f>IF(B2768="","",IF(ISNA(MATCH(B2768,Mitarbeiter!$A$6:$A$205,0)),"Pers.-Nr. unbekannt",IF(A2768="","Datum fehlt",IF(AND(D2768&lt;&gt;Einstellungen!$C$4,D2768&lt;&gt;Einstellungen!$C$5),"Objekt fehlt",IF(YEAR(A2768)&lt;&gt;Einstellungen!$C$3,"anderes Jahr",IF(A2768&lt;INDEX(Mitarbeiter!$C$6:$C$205,MATCH(B2768,Mitarbeiter!$A$6:$A$205,0)),"vor Eintritt",IF(AND(INDEX(Mitarbeiter!$D$6:$D$205,MATCH(B2768,Mitarbeiter!$A$6:$A$205,0))&lt;&gt;"",A2768&gt;INDEX(Mitarbeiter!$D$6:$D$205,MATCH(B2768,Mitarbeiter!$A$6:$A$205,0))),"nach Austritt","ok")))))))</f>
        <v/>
      </c>
    </row>
    <row r="2769">
      <c r="A2769" s="26" t="n"/>
      <c r="B2769" s="24" t="n"/>
      <c r="C2769" s="40">
        <f>IF(B2769="","",IFERROR(INDEX(Mitarbeiter!$B$6:$B$205,MATCH(B2769,Mitarbeiter!$A$6:$A$205,0)),"?"))</f>
        <v/>
      </c>
      <c r="D2769" s="41" t="n"/>
      <c r="E2769" s="42" t="n"/>
      <c r="F2769" s="43" t="n"/>
      <c r="G2769" s="44">
        <f>IF(OR(B2769="",F2769=""),"",IFERROR(F2769*INDEX(Mitarbeiter!$F$6:$F$205,MATCH(B2769,Mitarbeiter!$A$6:$A$205,0)),0))</f>
        <v/>
      </c>
      <c r="H2769" s="8">
        <f>IF(B2769="","",IF(ISNA(MATCH(B2769,Mitarbeiter!$A$6:$A$205,0)),"Pers.-Nr. unbekannt",IF(A2769="","Datum fehlt",IF(AND(D2769&lt;&gt;Einstellungen!$C$4,D2769&lt;&gt;Einstellungen!$C$5),"Objekt fehlt",IF(YEAR(A2769)&lt;&gt;Einstellungen!$C$3,"anderes Jahr",IF(A2769&lt;INDEX(Mitarbeiter!$C$6:$C$205,MATCH(B2769,Mitarbeiter!$A$6:$A$205,0)),"vor Eintritt",IF(AND(INDEX(Mitarbeiter!$D$6:$D$205,MATCH(B2769,Mitarbeiter!$A$6:$A$205,0))&lt;&gt;"",A2769&gt;INDEX(Mitarbeiter!$D$6:$D$205,MATCH(B2769,Mitarbeiter!$A$6:$A$205,0))),"nach Austritt","ok")))))))</f>
        <v/>
      </c>
    </row>
    <row r="2770">
      <c r="A2770" s="26" t="n"/>
      <c r="B2770" s="24" t="n"/>
      <c r="C2770" s="40">
        <f>IF(B2770="","",IFERROR(INDEX(Mitarbeiter!$B$6:$B$205,MATCH(B2770,Mitarbeiter!$A$6:$A$205,0)),"?"))</f>
        <v/>
      </c>
      <c r="D2770" s="41" t="n"/>
      <c r="E2770" s="42" t="n"/>
      <c r="F2770" s="43" t="n"/>
      <c r="G2770" s="44">
        <f>IF(OR(B2770="",F2770=""),"",IFERROR(F2770*INDEX(Mitarbeiter!$F$6:$F$205,MATCH(B2770,Mitarbeiter!$A$6:$A$205,0)),0))</f>
        <v/>
      </c>
      <c r="H2770" s="8">
        <f>IF(B2770="","",IF(ISNA(MATCH(B2770,Mitarbeiter!$A$6:$A$205,0)),"Pers.-Nr. unbekannt",IF(A2770="","Datum fehlt",IF(AND(D2770&lt;&gt;Einstellungen!$C$4,D2770&lt;&gt;Einstellungen!$C$5),"Objekt fehlt",IF(YEAR(A2770)&lt;&gt;Einstellungen!$C$3,"anderes Jahr",IF(A2770&lt;INDEX(Mitarbeiter!$C$6:$C$205,MATCH(B2770,Mitarbeiter!$A$6:$A$205,0)),"vor Eintritt",IF(AND(INDEX(Mitarbeiter!$D$6:$D$205,MATCH(B2770,Mitarbeiter!$A$6:$A$205,0))&lt;&gt;"",A2770&gt;INDEX(Mitarbeiter!$D$6:$D$205,MATCH(B2770,Mitarbeiter!$A$6:$A$205,0))),"nach Austritt","ok")))))))</f>
        <v/>
      </c>
    </row>
    <row r="2771">
      <c r="A2771" s="26" t="n"/>
      <c r="B2771" s="24" t="n"/>
      <c r="C2771" s="40">
        <f>IF(B2771="","",IFERROR(INDEX(Mitarbeiter!$B$6:$B$205,MATCH(B2771,Mitarbeiter!$A$6:$A$205,0)),"?"))</f>
        <v/>
      </c>
      <c r="D2771" s="41" t="n"/>
      <c r="E2771" s="42" t="n"/>
      <c r="F2771" s="43" t="n"/>
      <c r="G2771" s="44">
        <f>IF(OR(B2771="",F2771=""),"",IFERROR(F2771*INDEX(Mitarbeiter!$F$6:$F$205,MATCH(B2771,Mitarbeiter!$A$6:$A$205,0)),0))</f>
        <v/>
      </c>
      <c r="H2771" s="8">
        <f>IF(B2771="","",IF(ISNA(MATCH(B2771,Mitarbeiter!$A$6:$A$205,0)),"Pers.-Nr. unbekannt",IF(A2771="","Datum fehlt",IF(AND(D2771&lt;&gt;Einstellungen!$C$4,D2771&lt;&gt;Einstellungen!$C$5),"Objekt fehlt",IF(YEAR(A2771)&lt;&gt;Einstellungen!$C$3,"anderes Jahr",IF(A2771&lt;INDEX(Mitarbeiter!$C$6:$C$205,MATCH(B2771,Mitarbeiter!$A$6:$A$205,0)),"vor Eintritt",IF(AND(INDEX(Mitarbeiter!$D$6:$D$205,MATCH(B2771,Mitarbeiter!$A$6:$A$205,0))&lt;&gt;"",A2771&gt;INDEX(Mitarbeiter!$D$6:$D$205,MATCH(B2771,Mitarbeiter!$A$6:$A$205,0))),"nach Austritt","ok")))))))</f>
        <v/>
      </c>
    </row>
    <row r="2772">
      <c r="A2772" s="26" t="n"/>
      <c r="B2772" s="24" t="n"/>
      <c r="C2772" s="40">
        <f>IF(B2772="","",IFERROR(INDEX(Mitarbeiter!$B$6:$B$205,MATCH(B2772,Mitarbeiter!$A$6:$A$205,0)),"?"))</f>
        <v/>
      </c>
      <c r="D2772" s="41" t="n"/>
      <c r="E2772" s="42" t="n"/>
      <c r="F2772" s="43" t="n"/>
      <c r="G2772" s="44">
        <f>IF(OR(B2772="",F2772=""),"",IFERROR(F2772*INDEX(Mitarbeiter!$F$6:$F$205,MATCH(B2772,Mitarbeiter!$A$6:$A$205,0)),0))</f>
        <v/>
      </c>
      <c r="H2772" s="8">
        <f>IF(B2772="","",IF(ISNA(MATCH(B2772,Mitarbeiter!$A$6:$A$205,0)),"Pers.-Nr. unbekannt",IF(A2772="","Datum fehlt",IF(AND(D2772&lt;&gt;Einstellungen!$C$4,D2772&lt;&gt;Einstellungen!$C$5),"Objekt fehlt",IF(YEAR(A2772)&lt;&gt;Einstellungen!$C$3,"anderes Jahr",IF(A2772&lt;INDEX(Mitarbeiter!$C$6:$C$205,MATCH(B2772,Mitarbeiter!$A$6:$A$205,0)),"vor Eintritt",IF(AND(INDEX(Mitarbeiter!$D$6:$D$205,MATCH(B2772,Mitarbeiter!$A$6:$A$205,0))&lt;&gt;"",A2772&gt;INDEX(Mitarbeiter!$D$6:$D$205,MATCH(B2772,Mitarbeiter!$A$6:$A$205,0))),"nach Austritt","ok")))))))</f>
        <v/>
      </c>
    </row>
    <row r="2773">
      <c r="A2773" s="26" t="n"/>
      <c r="B2773" s="24" t="n"/>
      <c r="C2773" s="40">
        <f>IF(B2773="","",IFERROR(INDEX(Mitarbeiter!$B$6:$B$205,MATCH(B2773,Mitarbeiter!$A$6:$A$205,0)),"?"))</f>
        <v/>
      </c>
      <c r="D2773" s="41" t="n"/>
      <c r="E2773" s="42" t="n"/>
      <c r="F2773" s="43" t="n"/>
      <c r="G2773" s="44">
        <f>IF(OR(B2773="",F2773=""),"",IFERROR(F2773*INDEX(Mitarbeiter!$F$6:$F$205,MATCH(B2773,Mitarbeiter!$A$6:$A$205,0)),0))</f>
        <v/>
      </c>
      <c r="H2773" s="8">
        <f>IF(B2773="","",IF(ISNA(MATCH(B2773,Mitarbeiter!$A$6:$A$205,0)),"Pers.-Nr. unbekannt",IF(A2773="","Datum fehlt",IF(AND(D2773&lt;&gt;Einstellungen!$C$4,D2773&lt;&gt;Einstellungen!$C$5),"Objekt fehlt",IF(YEAR(A2773)&lt;&gt;Einstellungen!$C$3,"anderes Jahr",IF(A2773&lt;INDEX(Mitarbeiter!$C$6:$C$205,MATCH(B2773,Mitarbeiter!$A$6:$A$205,0)),"vor Eintritt",IF(AND(INDEX(Mitarbeiter!$D$6:$D$205,MATCH(B2773,Mitarbeiter!$A$6:$A$205,0))&lt;&gt;"",A2773&gt;INDEX(Mitarbeiter!$D$6:$D$205,MATCH(B2773,Mitarbeiter!$A$6:$A$205,0))),"nach Austritt","ok")))))))</f>
        <v/>
      </c>
    </row>
    <row r="2774">
      <c r="A2774" s="26" t="n"/>
      <c r="B2774" s="24" t="n"/>
      <c r="C2774" s="40">
        <f>IF(B2774="","",IFERROR(INDEX(Mitarbeiter!$B$6:$B$205,MATCH(B2774,Mitarbeiter!$A$6:$A$205,0)),"?"))</f>
        <v/>
      </c>
      <c r="D2774" s="41" t="n"/>
      <c r="E2774" s="42" t="n"/>
      <c r="F2774" s="43" t="n"/>
      <c r="G2774" s="44">
        <f>IF(OR(B2774="",F2774=""),"",IFERROR(F2774*INDEX(Mitarbeiter!$F$6:$F$205,MATCH(B2774,Mitarbeiter!$A$6:$A$205,0)),0))</f>
        <v/>
      </c>
      <c r="H2774" s="8">
        <f>IF(B2774="","",IF(ISNA(MATCH(B2774,Mitarbeiter!$A$6:$A$205,0)),"Pers.-Nr. unbekannt",IF(A2774="","Datum fehlt",IF(AND(D2774&lt;&gt;Einstellungen!$C$4,D2774&lt;&gt;Einstellungen!$C$5),"Objekt fehlt",IF(YEAR(A2774)&lt;&gt;Einstellungen!$C$3,"anderes Jahr",IF(A2774&lt;INDEX(Mitarbeiter!$C$6:$C$205,MATCH(B2774,Mitarbeiter!$A$6:$A$205,0)),"vor Eintritt",IF(AND(INDEX(Mitarbeiter!$D$6:$D$205,MATCH(B2774,Mitarbeiter!$A$6:$A$205,0))&lt;&gt;"",A2774&gt;INDEX(Mitarbeiter!$D$6:$D$205,MATCH(B2774,Mitarbeiter!$A$6:$A$205,0))),"nach Austritt","ok")))))))</f>
        <v/>
      </c>
    </row>
    <row r="2775">
      <c r="A2775" s="26" t="n"/>
      <c r="B2775" s="24" t="n"/>
      <c r="C2775" s="40">
        <f>IF(B2775="","",IFERROR(INDEX(Mitarbeiter!$B$6:$B$205,MATCH(B2775,Mitarbeiter!$A$6:$A$205,0)),"?"))</f>
        <v/>
      </c>
      <c r="D2775" s="41" t="n"/>
      <c r="E2775" s="42" t="n"/>
      <c r="F2775" s="43" t="n"/>
      <c r="G2775" s="44">
        <f>IF(OR(B2775="",F2775=""),"",IFERROR(F2775*INDEX(Mitarbeiter!$F$6:$F$205,MATCH(B2775,Mitarbeiter!$A$6:$A$205,0)),0))</f>
        <v/>
      </c>
      <c r="H2775" s="8">
        <f>IF(B2775="","",IF(ISNA(MATCH(B2775,Mitarbeiter!$A$6:$A$205,0)),"Pers.-Nr. unbekannt",IF(A2775="","Datum fehlt",IF(AND(D2775&lt;&gt;Einstellungen!$C$4,D2775&lt;&gt;Einstellungen!$C$5),"Objekt fehlt",IF(YEAR(A2775)&lt;&gt;Einstellungen!$C$3,"anderes Jahr",IF(A2775&lt;INDEX(Mitarbeiter!$C$6:$C$205,MATCH(B2775,Mitarbeiter!$A$6:$A$205,0)),"vor Eintritt",IF(AND(INDEX(Mitarbeiter!$D$6:$D$205,MATCH(B2775,Mitarbeiter!$A$6:$A$205,0))&lt;&gt;"",A2775&gt;INDEX(Mitarbeiter!$D$6:$D$205,MATCH(B2775,Mitarbeiter!$A$6:$A$205,0))),"nach Austritt","ok")))))))</f>
        <v/>
      </c>
    </row>
    <row r="2776">
      <c r="A2776" s="26" t="n"/>
      <c r="B2776" s="24" t="n"/>
      <c r="C2776" s="40">
        <f>IF(B2776="","",IFERROR(INDEX(Mitarbeiter!$B$6:$B$205,MATCH(B2776,Mitarbeiter!$A$6:$A$205,0)),"?"))</f>
        <v/>
      </c>
      <c r="D2776" s="41" t="n"/>
      <c r="E2776" s="42" t="n"/>
      <c r="F2776" s="43" t="n"/>
      <c r="G2776" s="44">
        <f>IF(OR(B2776="",F2776=""),"",IFERROR(F2776*INDEX(Mitarbeiter!$F$6:$F$205,MATCH(B2776,Mitarbeiter!$A$6:$A$205,0)),0))</f>
        <v/>
      </c>
      <c r="H2776" s="8">
        <f>IF(B2776="","",IF(ISNA(MATCH(B2776,Mitarbeiter!$A$6:$A$205,0)),"Pers.-Nr. unbekannt",IF(A2776="","Datum fehlt",IF(AND(D2776&lt;&gt;Einstellungen!$C$4,D2776&lt;&gt;Einstellungen!$C$5),"Objekt fehlt",IF(YEAR(A2776)&lt;&gt;Einstellungen!$C$3,"anderes Jahr",IF(A2776&lt;INDEX(Mitarbeiter!$C$6:$C$205,MATCH(B2776,Mitarbeiter!$A$6:$A$205,0)),"vor Eintritt",IF(AND(INDEX(Mitarbeiter!$D$6:$D$205,MATCH(B2776,Mitarbeiter!$A$6:$A$205,0))&lt;&gt;"",A2776&gt;INDEX(Mitarbeiter!$D$6:$D$205,MATCH(B2776,Mitarbeiter!$A$6:$A$205,0))),"nach Austritt","ok")))))))</f>
        <v/>
      </c>
    </row>
    <row r="2777">
      <c r="A2777" s="26" t="n"/>
      <c r="B2777" s="24" t="n"/>
      <c r="C2777" s="40">
        <f>IF(B2777="","",IFERROR(INDEX(Mitarbeiter!$B$6:$B$205,MATCH(B2777,Mitarbeiter!$A$6:$A$205,0)),"?"))</f>
        <v/>
      </c>
      <c r="D2777" s="41" t="n"/>
      <c r="E2777" s="42" t="n"/>
      <c r="F2777" s="43" t="n"/>
      <c r="G2777" s="44">
        <f>IF(OR(B2777="",F2777=""),"",IFERROR(F2777*INDEX(Mitarbeiter!$F$6:$F$205,MATCH(B2777,Mitarbeiter!$A$6:$A$205,0)),0))</f>
        <v/>
      </c>
      <c r="H2777" s="8">
        <f>IF(B2777="","",IF(ISNA(MATCH(B2777,Mitarbeiter!$A$6:$A$205,0)),"Pers.-Nr. unbekannt",IF(A2777="","Datum fehlt",IF(AND(D2777&lt;&gt;Einstellungen!$C$4,D2777&lt;&gt;Einstellungen!$C$5),"Objekt fehlt",IF(YEAR(A2777)&lt;&gt;Einstellungen!$C$3,"anderes Jahr",IF(A2777&lt;INDEX(Mitarbeiter!$C$6:$C$205,MATCH(B2777,Mitarbeiter!$A$6:$A$205,0)),"vor Eintritt",IF(AND(INDEX(Mitarbeiter!$D$6:$D$205,MATCH(B2777,Mitarbeiter!$A$6:$A$205,0))&lt;&gt;"",A2777&gt;INDEX(Mitarbeiter!$D$6:$D$205,MATCH(B2777,Mitarbeiter!$A$6:$A$205,0))),"nach Austritt","ok")))))))</f>
        <v/>
      </c>
    </row>
    <row r="2778">
      <c r="A2778" s="26" t="n"/>
      <c r="B2778" s="24" t="n"/>
      <c r="C2778" s="40">
        <f>IF(B2778="","",IFERROR(INDEX(Mitarbeiter!$B$6:$B$205,MATCH(B2778,Mitarbeiter!$A$6:$A$205,0)),"?"))</f>
        <v/>
      </c>
      <c r="D2778" s="41" t="n"/>
      <c r="E2778" s="42" t="n"/>
      <c r="F2778" s="43" t="n"/>
      <c r="G2778" s="44">
        <f>IF(OR(B2778="",F2778=""),"",IFERROR(F2778*INDEX(Mitarbeiter!$F$6:$F$205,MATCH(B2778,Mitarbeiter!$A$6:$A$205,0)),0))</f>
        <v/>
      </c>
      <c r="H2778" s="8">
        <f>IF(B2778="","",IF(ISNA(MATCH(B2778,Mitarbeiter!$A$6:$A$205,0)),"Pers.-Nr. unbekannt",IF(A2778="","Datum fehlt",IF(AND(D2778&lt;&gt;Einstellungen!$C$4,D2778&lt;&gt;Einstellungen!$C$5),"Objekt fehlt",IF(YEAR(A2778)&lt;&gt;Einstellungen!$C$3,"anderes Jahr",IF(A2778&lt;INDEX(Mitarbeiter!$C$6:$C$205,MATCH(B2778,Mitarbeiter!$A$6:$A$205,0)),"vor Eintritt",IF(AND(INDEX(Mitarbeiter!$D$6:$D$205,MATCH(B2778,Mitarbeiter!$A$6:$A$205,0))&lt;&gt;"",A2778&gt;INDEX(Mitarbeiter!$D$6:$D$205,MATCH(B2778,Mitarbeiter!$A$6:$A$205,0))),"nach Austritt","ok")))))))</f>
        <v/>
      </c>
    </row>
    <row r="2779">
      <c r="A2779" s="26" t="n"/>
      <c r="B2779" s="24" t="n"/>
      <c r="C2779" s="40">
        <f>IF(B2779="","",IFERROR(INDEX(Mitarbeiter!$B$6:$B$205,MATCH(B2779,Mitarbeiter!$A$6:$A$205,0)),"?"))</f>
        <v/>
      </c>
      <c r="D2779" s="41" t="n"/>
      <c r="E2779" s="42" t="n"/>
      <c r="F2779" s="43" t="n"/>
      <c r="G2779" s="44">
        <f>IF(OR(B2779="",F2779=""),"",IFERROR(F2779*INDEX(Mitarbeiter!$F$6:$F$205,MATCH(B2779,Mitarbeiter!$A$6:$A$205,0)),0))</f>
        <v/>
      </c>
      <c r="H2779" s="8">
        <f>IF(B2779="","",IF(ISNA(MATCH(B2779,Mitarbeiter!$A$6:$A$205,0)),"Pers.-Nr. unbekannt",IF(A2779="","Datum fehlt",IF(AND(D2779&lt;&gt;Einstellungen!$C$4,D2779&lt;&gt;Einstellungen!$C$5),"Objekt fehlt",IF(YEAR(A2779)&lt;&gt;Einstellungen!$C$3,"anderes Jahr",IF(A2779&lt;INDEX(Mitarbeiter!$C$6:$C$205,MATCH(B2779,Mitarbeiter!$A$6:$A$205,0)),"vor Eintritt",IF(AND(INDEX(Mitarbeiter!$D$6:$D$205,MATCH(B2779,Mitarbeiter!$A$6:$A$205,0))&lt;&gt;"",A2779&gt;INDEX(Mitarbeiter!$D$6:$D$205,MATCH(B2779,Mitarbeiter!$A$6:$A$205,0))),"nach Austritt","ok")))))))</f>
        <v/>
      </c>
    </row>
    <row r="2780">
      <c r="A2780" s="26" t="n"/>
      <c r="B2780" s="24" t="n"/>
      <c r="C2780" s="40">
        <f>IF(B2780="","",IFERROR(INDEX(Mitarbeiter!$B$6:$B$205,MATCH(B2780,Mitarbeiter!$A$6:$A$205,0)),"?"))</f>
        <v/>
      </c>
      <c r="D2780" s="41" t="n"/>
      <c r="E2780" s="42" t="n"/>
      <c r="F2780" s="43" t="n"/>
      <c r="G2780" s="44">
        <f>IF(OR(B2780="",F2780=""),"",IFERROR(F2780*INDEX(Mitarbeiter!$F$6:$F$205,MATCH(B2780,Mitarbeiter!$A$6:$A$205,0)),0))</f>
        <v/>
      </c>
      <c r="H2780" s="8">
        <f>IF(B2780="","",IF(ISNA(MATCH(B2780,Mitarbeiter!$A$6:$A$205,0)),"Pers.-Nr. unbekannt",IF(A2780="","Datum fehlt",IF(AND(D2780&lt;&gt;Einstellungen!$C$4,D2780&lt;&gt;Einstellungen!$C$5),"Objekt fehlt",IF(YEAR(A2780)&lt;&gt;Einstellungen!$C$3,"anderes Jahr",IF(A2780&lt;INDEX(Mitarbeiter!$C$6:$C$205,MATCH(B2780,Mitarbeiter!$A$6:$A$205,0)),"vor Eintritt",IF(AND(INDEX(Mitarbeiter!$D$6:$D$205,MATCH(B2780,Mitarbeiter!$A$6:$A$205,0))&lt;&gt;"",A2780&gt;INDEX(Mitarbeiter!$D$6:$D$205,MATCH(B2780,Mitarbeiter!$A$6:$A$205,0))),"nach Austritt","ok")))))))</f>
        <v/>
      </c>
    </row>
    <row r="2781">
      <c r="A2781" s="26" t="n"/>
      <c r="B2781" s="24" t="n"/>
      <c r="C2781" s="40">
        <f>IF(B2781="","",IFERROR(INDEX(Mitarbeiter!$B$6:$B$205,MATCH(B2781,Mitarbeiter!$A$6:$A$205,0)),"?"))</f>
        <v/>
      </c>
      <c r="D2781" s="41" t="n"/>
      <c r="E2781" s="42" t="n"/>
      <c r="F2781" s="43" t="n"/>
      <c r="G2781" s="44">
        <f>IF(OR(B2781="",F2781=""),"",IFERROR(F2781*INDEX(Mitarbeiter!$F$6:$F$205,MATCH(B2781,Mitarbeiter!$A$6:$A$205,0)),0))</f>
        <v/>
      </c>
      <c r="H2781" s="8">
        <f>IF(B2781="","",IF(ISNA(MATCH(B2781,Mitarbeiter!$A$6:$A$205,0)),"Pers.-Nr. unbekannt",IF(A2781="","Datum fehlt",IF(AND(D2781&lt;&gt;Einstellungen!$C$4,D2781&lt;&gt;Einstellungen!$C$5),"Objekt fehlt",IF(YEAR(A2781)&lt;&gt;Einstellungen!$C$3,"anderes Jahr",IF(A2781&lt;INDEX(Mitarbeiter!$C$6:$C$205,MATCH(B2781,Mitarbeiter!$A$6:$A$205,0)),"vor Eintritt",IF(AND(INDEX(Mitarbeiter!$D$6:$D$205,MATCH(B2781,Mitarbeiter!$A$6:$A$205,0))&lt;&gt;"",A2781&gt;INDEX(Mitarbeiter!$D$6:$D$205,MATCH(B2781,Mitarbeiter!$A$6:$A$205,0))),"nach Austritt","ok")))))))</f>
        <v/>
      </c>
    </row>
    <row r="2782">
      <c r="A2782" s="26" t="n"/>
      <c r="B2782" s="24" t="n"/>
      <c r="C2782" s="40">
        <f>IF(B2782="","",IFERROR(INDEX(Mitarbeiter!$B$6:$B$205,MATCH(B2782,Mitarbeiter!$A$6:$A$205,0)),"?"))</f>
        <v/>
      </c>
      <c r="D2782" s="41" t="n"/>
      <c r="E2782" s="42" t="n"/>
      <c r="F2782" s="43" t="n"/>
      <c r="G2782" s="44">
        <f>IF(OR(B2782="",F2782=""),"",IFERROR(F2782*INDEX(Mitarbeiter!$F$6:$F$205,MATCH(B2782,Mitarbeiter!$A$6:$A$205,0)),0))</f>
        <v/>
      </c>
      <c r="H2782" s="8">
        <f>IF(B2782="","",IF(ISNA(MATCH(B2782,Mitarbeiter!$A$6:$A$205,0)),"Pers.-Nr. unbekannt",IF(A2782="","Datum fehlt",IF(AND(D2782&lt;&gt;Einstellungen!$C$4,D2782&lt;&gt;Einstellungen!$C$5),"Objekt fehlt",IF(YEAR(A2782)&lt;&gt;Einstellungen!$C$3,"anderes Jahr",IF(A2782&lt;INDEX(Mitarbeiter!$C$6:$C$205,MATCH(B2782,Mitarbeiter!$A$6:$A$205,0)),"vor Eintritt",IF(AND(INDEX(Mitarbeiter!$D$6:$D$205,MATCH(B2782,Mitarbeiter!$A$6:$A$205,0))&lt;&gt;"",A2782&gt;INDEX(Mitarbeiter!$D$6:$D$205,MATCH(B2782,Mitarbeiter!$A$6:$A$205,0))),"nach Austritt","ok")))))))</f>
        <v/>
      </c>
    </row>
    <row r="2783">
      <c r="A2783" s="26" t="n"/>
      <c r="B2783" s="24" t="n"/>
      <c r="C2783" s="40">
        <f>IF(B2783="","",IFERROR(INDEX(Mitarbeiter!$B$6:$B$205,MATCH(B2783,Mitarbeiter!$A$6:$A$205,0)),"?"))</f>
        <v/>
      </c>
      <c r="D2783" s="41" t="n"/>
      <c r="E2783" s="42" t="n"/>
      <c r="F2783" s="43" t="n"/>
      <c r="G2783" s="44">
        <f>IF(OR(B2783="",F2783=""),"",IFERROR(F2783*INDEX(Mitarbeiter!$F$6:$F$205,MATCH(B2783,Mitarbeiter!$A$6:$A$205,0)),0))</f>
        <v/>
      </c>
      <c r="H2783" s="8">
        <f>IF(B2783="","",IF(ISNA(MATCH(B2783,Mitarbeiter!$A$6:$A$205,0)),"Pers.-Nr. unbekannt",IF(A2783="","Datum fehlt",IF(AND(D2783&lt;&gt;Einstellungen!$C$4,D2783&lt;&gt;Einstellungen!$C$5),"Objekt fehlt",IF(YEAR(A2783)&lt;&gt;Einstellungen!$C$3,"anderes Jahr",IF(A2783&lt;INDEX(Mitarbeiter!$C$6:$C$205,MATCH(B2783,Mitarbeiter!$A$6:$A$205,0)),"vor Eintritt",IF(AND(INDEX(Mitarbeiter!$D$6:$D$205,MATCH(B2783,Mitarbeiter!$A$6:$A$205,0))&lt;&gt;"",A2783&gt;INDEX(Mitarbeiter!$D$6:$D$205,MATCH(B2783,Mitarbeiter!$A$6:$A$205,0))),"nach Austritt","ok")))))))</f>
        <v/>
      </c>
    </row>
    <row r="2784">
      <c r="A2784" s="26" t="n"/>
      <c r="B2784" s="24" t="n"/>
      <c r="C2784" s="40">
        <f>IF(B2784="","",IFERROR(INDEX(Mitarbeiter!$B$6:$B$205,MATCH(B2784,Mitarbeiter!$A$6:$A$205,0)),"?"))</f>
        <v/>
      </c>
      <c r="D2784" s="41" t="n"/>
      <c r="E2784" s="42" t="n"/>
      <c r="F2784" s="43" t="n"/>
      <c r="G2784" s="44">
        <f>IF(OR(B2784="",F2784=""),"",IFERROR(F2784*INDEX(Mitarbeiter!$F$6:$F$205,MATCH(B2784,Mitarbeiter!$A$6:$A$205,0)),0))</f>
        <v/>
      </c>
      <c r="H2784" s="8">
        <f>IF(B2784="","",IF(ISNA(MATCH(B2784,Mitarbeiter!$A$6:$A$205,0)),"Pers.-Nr. unbekannt",IF(A2784="","Datum fehlt",IF(AND(D2784&lt;&gt;Einstellungen!$C$4,D2784&lt;&gt;Einstellungen!$C$5),"Objekt fehlt",IF(YEAR(A2784)&lt;&gt;Einstellungen!$C$3,"anderes Jahr",IF(A2784&lt;INDEX(Mitarbeiter!$C$6:$C$205,MATCH(B2784,Mitarbeiter!$A$6:$A$205,0)),"vor Eintritt",IF(AND(INDEX(Mitarbeiter!$D$6:$D$205,MATCH(B2784,Mitarbeiter!$A$6:$A$205,0))&lt;&gt;"",A2784&gt;INDEX(Mitarbeiter!$D$6:$D$205,MATCH(B2784,Mitarbeiter!$A$6:$A$205,0))),"nach Austritt","ok")))))))</f>
        <v/>
      </c>
    </row>
    <row r="2785">
      <c r="A2785" s="26" t="n"/>
      <c r="B2785" s="24" t="n"/>
      <c r="C2785" s="40">
        <f>IF(B2785="","",IFERROR(INDEX(Mitarbeiter!$B$6:$B$205,MATCH(B2785,Mitarbeiter!$A$6:$A$205,0)),"?"))</f>
        <v/>
      </c>
      <c r="D2785" s="41" t="n"/>
      <c r="E2785" s="42" t="n"/>
      <c r="F2785" s="43" t="n"/>
      <c r="G2785" s="44">
        <f>IF(OR(B2785="",F2785=""),"",IFERROR(F2785*INDEX(Mitarbeiter!$F$6:$F$205,MATCH(B2785,Mitarbeiter!$A$6:$A$205,0)),0))</f>
        <v/>
      </c>
      <c r="H2785" s="8">
        <f>IF(B2785="","",IF(ISNA(MATCH(B2785,Mitarbeiter!$A$6:$A$205,0)),"Pers.-Nr. unbekannt",IF(A2785="","Datum fehlt",IF(AND(D2785&lt;&gt;Einstellungen!$C$4,D2785&lt;&gt;Einstellungen!$C$5),"Objekt fehlt",IF(YEAR(A2785)&lt;&gt;Einstellungen!$C$3,"anderes Jahr",IF(A2785&lt;INDEX(Mitarbeiter!$C$6:$C$205,MATCH(B2785,Mitarbeiter!$A$6:$A$205,0)),"vor Eintritt",IF(AND(INDEX(Mitarbeiter!$D$6:$D$205,MATCH(B2785,Mitarbeiter!$A$6:$A$205,0))&lt;&gt;"",A2785&gt;INDEX(Mitarbeiter!$D$6:$D$205,MATCH(B2785,Mitarbeiter!$A$6:$A$205,0))),"nach Austritt","ok")))))))</f>
        <v/>
      </c>
    </row>
    <row r="2786">
      <c r="A2786" s="26" t="n"/>
      <c r="B2786" s="24" t="n"/>
      <c r="C2786" s="40">
        <f>IF(B2786="","",IFERROR(INDEX(Mitarbeiter!$B$6:$B$205,MATCH(B2786,Mitarbeiter!$A$6:$A$205,0)),"?"))</f>
        <v/>
      </c>
      <c r="D2786" s="41" t="n"/>
      <c r="E2786" s="42" t="n"/>
      <c r="F2786" s="43" t="n"/>
      <c r="G2786" s="44">
        <f>IF(OR(B2786="",F2786=""),"",IFERROR(F2786*INDEX(Mitarbeiter!$F$6:$F$205,MATCH(B2786,Mitarbeiter!$A$6:$A$205,0)),0))</f>
        <v/>
      </c>
      <c r="H2786" s="8">
        <f>IF(B2786="","",IF(ISNA(MATCH(B2786,Mitarbeiter!$A$6:$A$205,0)),"Pers.-Nr. unbekannt",IF(A2786="","Datum fehlt",IF(AND(D2786&lt;&gt;Einstellungen!$C$4,D2786&lt;&gt;Einstellungen!$C$5),"Objekt fehlt",IF(YEAR(A2786)&lt;&gt;Einstellungen!$C$3,"anderes Jahr",IF(A2786&lt;INDEX(Mitarbeiter!$C$6:$C$205,MATCH(B2786,Mitarbeiter!$A$6:$A$205,0)),"vor Eintritt",IF(AND(INDEX(Mitarbeiter!$D$6:$D$205,MATCH(B2786,Mitarbeiter!$A$6:$A$205,0))&lt;&gt;"",A2786&gt;INDEX(Mitarbeiter!$D$6:$D$205,MATCH(B2786,Mitarbeiter!$A$6:$A$205,0))),"nach Austritt","ok")))))))</f>
        <v/>
      </c>
    </row>
    <row r="2787">
      <c r="A2787" s="26" t="n"/>
      <c r="B2787" s="24" t="n"/>
      <c r="C2787" s="40">
        <f>IF(B2787="","",IFERROR(INDEX(Mitarbeiter!$B$6:$B$205,MATCH(B2787,Mitarbeiter!$A$6:$A$205,0)),"?"))</f>
        <v/>
      </c>
      <c r="D2787" s="41" t="n"/>
      <c r="E2787" s="42" t="n"/>
      <c r="F2787" s="43" t="n"/>
      <c r="G2787" s="44">
        <f>IF(OR(B2787="",F2787=""),"",IFERROR(F2787*INDEX(Mitarbeiter!$F$6:$F$205,MATCH(B2787,Mitarbeiter!$A$6:$A$205,0)),0))</f>
        <v/>
      </c>
      <c r="H2787" s="8">
        <f>IF(B2787="","",IF(ISNA(MATCH(B2787,Mitarbeiter!$A$6:$A$205,0)),"Pers.-Nr. unbekannt",IF(A2787="","Datum fehlt",IF(AND(D2787&lt;&gt;Einstellungen!$C$4,D2787&lt;&gt;Einstellungen!$C$5),"Objekt fehlt",IF(YEAR(A2787)&lt;&gt;Einstellungen!$C$3,"anderes Jahr",IF(A2787&lt;INDEX(Mitarbeiter!$C$6:$C$205,MATCH(B2787,Mitarbeiter!$A$6:$A$205,0)),"vor Eintritt",IF(AND(INDEX(Mitarbeiter!$D$6:$D$205,MATCH(B2787,Mitarbeiter!$A$6:$A$205,0))&lt;&gt;"",A2787&gt;INDEX(Mitarbeiter!$D$6:$D$205,MATCH(B2787,Mitarbeiter!$A$6:$A$205,0))),"nach Austritt","ok")))))))</f>
        <v/>
      </c>
    </row>
    <row r="2788">
      <c r="A2788" s="26" t="n"/>
      <c r="B2788" s="24" t="n"/>
      <c r="C2788" s="40">
        <f>IF(B2788="","",IFERROR(INDEX(Mitarbeiter!$B$6:$B$205,MATCH(B2788,Mitarbeiter!$A$6:$A$205,0)),"?"))</f>
        <v/>
      </c>
      <c r="D2788" s="41" t="n"/>
      <c r="E2788" s="42" t="n"/>
      <c r="F2788" s="43" t="n"/>
      <c r="G2788" s="44">
        <f>IF(OR(B2788="",F2788=""),"",IFERROR(F2788*INDEX(Mitarbeiter!$F$6:$F$205,MATCH(B2788,Mitarbeiter!$A$6:$A$205,0)),0))</f>
        <v/>
      </c>
      <c r="H2788" s="8">
        <f>IF(B2788="","",IF(ISNA(MATCH(B2788,Mitarbeiter!$A$6:$A$205,0)),"Pers.-Nr. unbekannt",IF(A2788="","Datum fehlt",IF(AND(D2788&lt;&gt;Einstellungen!$C$4,D2788&lt;&gt;Einstellungen!$C$5),"Objekt fehlt",IF(YEAR(A2788)&lt;&gt;Einstellungen!$C$3,"anderes Jahr",IF(A2788&lt;INDEX(Mitarbeiter!$C$6:$C$205,MATCH(B2788,Mitarbeiter!$A$6:$A$205,0)),"vor Eintritt",IF(AND(INDEX(Mitarbeiter!$D$6:$D$205,MATCH(B2788,Mitarbeiter!$A$6:$A$205,0))&lt;&gt;"",A2788&gt;INDEX(Mitarbeiter!$D$6:$D$205,MATCH(B2788,Mitarbeiter!$A$6:$A$205,0))),"nach Austritt","ok")))))))</f>
        <v/>
      </c>
    </row>
    <row r="2789">
      <c r="A2789" s="26" t="n"/>
      <c r="B2789" s="24" t="n"/>
      <c r="C2789" s="40">
        <f>IF(B2789="","",IFERROR(INDEX(Mitarbeiter!$B$6:$B$205,MATCH(B2789,Mitarbeiter!$A$6:$A$205,0)),"?"))</f>
        <v/>
      </c>
      <c r="D2789" s="41" t="n"/>
      <c r="E2789" s="42" t="n"/>
      <c r="F2789" s="43" t="n"/>
      <c r="G2789" s="44">
        <f>IF(OR(B2789="",F2789=""),"",IFERROR(F2789*INDEX(Mitarbeiter!$F$6:$F$205,MATCH(B2789,Mitarbeiter!$A$6:$A$205,0)),0))</f>
        <v/>
      </c>
      <c r="H2789" s="8">
        <f>IF(B2789="","",IF(ISNA(MATCH(B2789,Mitarbeiter!$A$6:$A$205,0)),"Pers.-Nr. unbekannt",IF(A2789="","Datum fehlt",IF(AND(D2789&lt;&gt;Einstellungen!$C$4,D2789&lt;&gt;Einstellungen!$C$5),"Objekt fehlt",IF(YEAR(A2789)&lt;&gt;Einstellungen!$C$3,"anderes Jahr",IF(A2789&lt;INDEX(Mitarbeiter!$C$6:$C$205,MATCH(B2789,Mitarbeiter!$A$6:$A$205,0)),"vor Eintritt",IF(AND(INDEX(Mitarbeiter!$D$6:$D$205,MATCH(B2789,Mitarbeiter!$A$6:$A$205,0))&lt;&gt;"",A2789&gt;INDEX(Mitarbeiter!$D$6:$D$205,MATCH(B2789,Mitarbeiter!$A$6:$A$205,0))),"nach Austritt","ok")))))))</f>
        <v/>
      </c>
    </row>
    <row r="2790">
      <c r="A2790" s="26" t="n"/>
      <c r="B2790" s="24" t="n"/>
      <c r="C2790" s="40">
        <f>IF(B2790="","",IFERROR(INDEX(Mitarbeiter!$B$6:$B$205,MATCH(B2790,Mitarbeiter!$A$6:$A$205,0)),"?"))</f>
        <v/>
      </c>
      <c r="D2790" s="41" t="n"/>
      <c r="E2790" s="42" t="n"/>
      <c r="F2790" s="43" t="n"/>
      <c r="G2790" s="44">
        <f>IF(OR(B2790="",F2790=""),"",IFERROR(F2790*INDEX(Mitarbeiter!$F$6:$F$205,MATCH(B2790,Mitarbeiter!$A$6:$A$205,0)),0))</f>
        <v/>
      </c>
      <c r="H2790" s="8">
        <f>IF(B2790="","",IF(ISNA(MATCH(B2790,Mitarbeiter!$A$6:$A$205,0)),"Pers.-Nr. unbekannt",IF(A2790="","Datum fehlt",IF(AND(D2790&lt;&gt;Einstellungen!$C$4,D2790&lt;&gt;Einstellungen!$C$5),"Objekt fehlt",IF(YEAR(A2790)&lt;&gt;Einstellungen!$C$3,"anderes Jahr",IF(A2790&lt;INDEX(Mitarbeiter!$C$6:$C$205,MATCH(B2790,Mitarbeiter!$A$6:$A$205,0)),"vor Eintritt",IF(AND(INDEX(Mitarbeiter!$D$6:$D$205,MATCH(B2790,Mitarbeiter!$A$6:$A$205,0))&lt;&gt;"",A2790&gt;INDEX(Mitarbeiter!$D$6:$D$205,MATCH(B2790,Mitarbeiter!$A$6:$A$205,0))),"nach Austritt","ok")))))))</f>
        <v/>
      </c>
    </row>
    <row r="2791">
      <c r="A2791" s="26" t="n"/>
      <c r="B2791" s="24" t="n"/>
      <c r="C2791" s="40">
        <f>IF(B2791="","",IFERROR(INDEX(Mitarbeiter!$B$6:$B$205,MATCH(B2791,Mitarbeiter!$A$6:$A$205,0)),"?"))</f>
        <v/>
      </c>
      <c r="D2791" s="41" t="n"/>
      <c r="E2791" s="42" t="n"/>
      <c r="F2791" s="43" t="n"/>
      <c r="G2791" s="44">
        <f>IF(OR(B2791="",F2791=""),"",IFERROR(F2791*INDEX(Mitarbeiter!$F$6:$F$205,MATCH(B2791,Mitarbeiter!$A$6:$A$205,0)),0))</f>
        <v/>
      </c>
      <c r="H2791" s="8">
        <f>IF(B2791="","",IF(ISNA(MATCH(B2791,Mitarbeiter!$A$6:$A$205,0)),"Pers.-Nr. unbekannt",IF(A2791="","Datum fehlt",IF(AND(D2791&lt;&gt;Einstellungen!$C$4,D2791&lt;&gt;Einstellungen!$C$5),"Objekt fehlt",IF(YEAR(A2791)&lt;&gt;Einstellungen!$C$3,"anderes Jahr",IF(A2791&lt;INDEX(Mitarbeiter!$C$6:$C$205,MATCH(B2791,Mitarbeiter!$A$6:$A$205,0)),"vor Eintritt",IF(AND(INDEX(Mitarbeiter!$D$6:$D$205,MATCH(B2791,Mitarbeiter!$A$6:$A$205,0))&lt;&gt;"",A2791&gt;INDEX(Mitarbeiter!$D$6:$D$205,MATCH(B2791,Mitarbeiter!$A$6:$A$205,0))),"nach Austritt","ok")))))))</f>
        <v/>
      </c>
    </row>
    <row r="2792">
      <c r="A2792" s="26" t="n"/>
      <c r="B2792" s="24" t="n"/>
      <c r="C2792" s="40">
        <f>IF(B2792="","",IFERROR(INDEX(Mitarbeiter!$B$6:$B$205,MATCH(B2792,Mitarbeiter!$A$6:$A$205,0)),"?"))</f>
        <v/>
      </c>
      <c r="D2792" s="41" t="n"/>
      <c r="E2792" s="42" t="n"/>
      <c r="F2792" s="43" t="n"/>
      <c r="G2792" s="44">
        <f>IF(OR(B2792="",F2792=""),"",IFERROR(F2792*INDEX(Mitarbeiter!$F$6:$F$205,MATCH(B2792,Mitarbeiter!$A$6:$A$205,0)),0))</f>
        <v/>
      </c>
      <c r="H2792" s="8">
        <f>IF(B2792="","",IF(ISNA(MATCH(B2792,Mitarbeiter!$A$6:$A$205,0)),"Pers.-Nr. unbekannt",IF(A2792="","Datum fehlt",IF(AND(D2792&lt;&gt;Einstellungen!$C$4,D2792&lt;&gt;Einstellungen!$C$5),"Objekt fehlt",IF(YEAR(A2792)&lt;&gt;Einstellungen!$C$3,"anderes Jahr",IF(A2792&lt;INDEX(Mitarbeiter!$C$6:$C$205,MATCH(B2792,Mitarbeiter!$A$6:$A$205,0)),"vor Eintritt",IF(AND(INDEX(Mitarbeiter!$D$6:$D$205,MATCH(B2792,Mitarbeiter!$A$6:$A$205,0))&lt;&gt;"",A2792&gt;INDEX(Mitarbeiter!$D$6:$D$205,MATCH(B2792,Mitarbeiter!$A$6:$A$205,0))),"nach Austritt","ok")))))))</f>
        <v/>
      </c>
    </row>
    <row r="2793">
      <c r="A2793" s="26" t="n"/>
      <c r="B2793" s="24" t="n"/>
      <c r="C2793" s="40">
        <f>IF(B2793="","",IFERROR(INDEX(Mitarbeiter!$B$6:$B$205,MATCH(B2793,Mitarbeiter!$A$6:$A$205,0)),"?"))</f>
        <v/>
      </c>
      <c r="D2793" s="41" t="n"/>
      <c r="E2793" s="42" t="n"/>
      <c r="F2793" s="43" t="n"/>
      <c r="G2793" s="44">
        <f>IF(OR(B2793="",F2793=""),"",IFERROR(F2793*INDEX(Mitarbeiter!$F$6:$F$205,MATCH(B2793,Mitarbeiter!$A$6:$A$205,0)),0))</f>
        <v/>
      </c>
      <c r="H2793" s="8">
        <f>IF(B2793="","",IF(ISNA(MATCH(B2793,Mitarbeiter!$A$6:$A$205,0)),"Pers.-Nr. unbekannt",IF(A2793="","Datum fehlt",IF(AND(D2793&lt;&gt;Einstellungen!$C$4,D2793&lt;&gt;Einstellungen!$C$5),"Objekt fehlt",IF(YEAR(A2793)&lt;&gt;Einstellungen!$C$3,"anderes Jahr",IF(A2793&lt;INDEX(Mitarbeiter!$C$6:$C$205,MATCH(B2793,Mitarbeiter!$A$6:$A$205,0)),"vor Eintritt",IF(AND(INDEX(Mitarbeiter!$D$6:$D$205,MATCH(B2793,Mitarbeiter!$A$6:$A$205,0))&lt;&gt;"",A2793&gt;INDEX(Mitarbeiter!$D$6:$D$205,MATCH(B2793,Mitarbeiter!$A$6:$A$205,0))),"nach Austritt","ok")))))))</f>
        <v/>
      </c>
    </row>
    <row r="2794">
      <c r="A2794" s="26" t="n"/>
      <c r="B2794" s="24" t="n"/>
      <c r="C2794" s="40">
        <f>IF(B2794="","",IFERROR(INDEX(Mitarbeiter!$B$6:$B$205,MATCH(B2794,Mitarbeiter!$A$6:$A$205,0)),"?"))</f>
        <v/>
      </c>
      <c r="D2794" s="41" t="n"/>
      <c r="E2794" s="42" t="n"/>
      <c r="F2794" s="43" t="n"/>
      <c r="G2794" s="44">
        <f>IF(OR(B2794="",F2794=""),"",IFERROR(F2794*INDEX(Mitarbeiter!$F$6:$F$205,MATCH(B2794,Mitarbeiter!$A$6:$A$205,0)),0))</f>
        <v/>
      </c>
      <c r="H2794" s="8">
        <f>IF(B2794="","",IF(ISNA(MATCH(B2794,Mitarbeiter!$A$6:$A$205,0)),"Pers.-Nr. unbekannt",IF(A2794="","Datum fehlt",IF(AND(D2794&lt;&gt;Einstellungen!$C$4,D2794&lt;&gt;Einstellungen!$C$5),"Objekt fehlt",IF(YEAR(A2794)&lt;&gt;Einstellungen!$C$3,"anderes Jahr",IF(A2794&lt;INDEX(Mitarbeiter!$C$6:$C$205,MATCH(B2794,Mitarbeiter!$A$6:$A$205,0)),"vor Eintritt",IF(AND(INDEX(Mitarbeiter!$D$6:$D$205,MATCH(B2794,Mitarbeiter!$A$6:$A$205,0))&lt;&gt;"",A2794&gt;INDEX(Mitarbeiter!$D$6:$D$205,MATCH(B2794,Mitarbeiter!$A$6:$A$205,0))),"nach Austritt","ok")))))))</f>
        <v/>
      </c>
    </row>
    <row r="2795">
      <c r="A2795" s="26" t="n"/>
      <c r="B2795" s="24" t="n"/>
      <c r="C2795" s="40">
        <f>IF(B2795="","",IFERROR(INDEX(Mitarbeiter!$B$6:$B$205,MATCH(B2795,Mitarbeiter!$A$6:$A$205,0)),"?"))</f>
        <v/>
      </c>
      <c r="D2795" s="41" t="n"/>
      <c r="E2795" s="42" t="n"/>
      <c r="F2795" s="43" t="n"/>
      <c r="G2795" s="44">
        <f>IF(OR(B2795="",F2795=""),"",IFERROR(F2795*INDEX(Mitarbeiter!$F$6:$F$205,MATCH(B2795,Mitarbeiter!$A$6:$A$205,0)),0))</f>
        <v/>
      </c>
      <c r="H2795" s="8">
        <f>IF(B2795="","",IF(ISNA(MATCH(B2795,Mitarbeiter!$A$6:$A$205,0)),"Pers.-Nr. unbekannt",IF(A2795="","Datum fehlt",IF(AND(D2795&lt;&gt;Einstellungen!$C$4,D2795&lt;&gt;Einstellungen!$C$5),"Objekt fehlt",IF(YEAR(A2795)&lt;&gt;Einstellungen!$C$3,"anderes Jahr",IF(A2795&lt;INDEX(Mitarbeiter!$C$6:$C$205,MATCH(B2795,Mitarbeiter!$A$6:$A$205,0)),"vor Eintritt",IF(AND(INDEX(Mitarbeiter!$D$6:$D$205,MATCH(B2795,Mitarbeiter!$A$6:$A$205,0))&lt;&gt;"",A2795&gt;INDEX(Mitarbeiter!$D$6:$D$205,MATCH(B2795,Mitarbeiter!$A$6:$A$205,0))),"nach Austritt","ok")))))))</f>
        <v/>
      </c>
    </row>
    <row r="2796">
      <c r="A2796" s="26" t="n"/>
      <c r="B2796" s="24" t="n"/>
      <c r="C2796" s="40">
        <f>IF(B2796="","",IFERROR(INDEX(Mitarbeiter!$B$6:$B$205,MATCH(B2796,Mitarbeiter!$A$6:$A$205,0)),"?"))</f>
        <v/>
      </c>
      <c r="D2796" s="41" t="n"/>
      <c r="E2796" s="42" t="n"/>
      <c r="F2796" s="43" t="n"/>
      <c r="G2796" s="44">
        <f>IF(OR(B2796="",F2796=""),"",IFERROR(F2796*INDEX(Mitarbeiter!$F$6:$F$205,MATCH(B2796,Mitarbeiter!$A$6:$A$205,0)),0))</f>
        <v/>
      </c>
      <c r="H2796" s="8">
        <f>IF(B2796="","",IF(ISNA(MATCH(B2796,Mitarbeiter!$A$6:$A$205,0)),"Pers.-Nr. unbekannt",IF(A2796="","Datum fehlt",IF(AND(D2796&lt;&gt;Einstellungen!$C$4,D2796&lt;&gt;Einstellungen!$C$5),"Objekt fehlt",IF(YEAR(A2796)&lt;&gt;Einstellungen!$C$3,"anderes Jahr",IF(A2796&lt;INDEX(Mitarbeiter!$C$6:$C$205,MATCH(B2796,Mitarbeiter!$A$6:$A$205,0)),"vor Eintritt",IF(AND(INDEX(Mitarbeiter!$D$6:$D$205,MATCH(B2796,Mitarbeiter!$A$6:$A$205,0))&lt;&gt;"",A2796&gt;INDEX(Mitarbeiter!$D$6:$D$205,MATCH(B2796,Mitarbeiter!$A$6:$A$205,0))),"nach Austritt","ok")))))))</f>
        <v/>
      </c>
    </row>
    <row r="2797">
      <c r="A2797" s="26" t="n"/>
      <c r="B2797" s="24" t="n"/>
      <c r="C2797" s="40">
        <f>IF(B2797="","",IFERROR(INDEX(Mitarbeiter!$B$6:$B$205,MATCH(B2797,Mitarbeiter!$A$6:$A$205,0)),"?"))</f>
        <v/>
      </c>
      <c r="D2797" s="41" t="n"/>
      <c r="E2797" s="42" t="n"/>
      <c r="F2797" s="43" t="n"/>
      <c r="G2797" s="44">
        <f>IF(OR(B2797="",F2797=""),"",IFERROR(F2797*INDEX(Mitarbeiter!$F$6:$F$205,MATCH(B2797,Mitarbeiter!$A$6:$A$205,0)),0))</f>
        <v/>
      </c>
      <c r="H2797" s="8">
        <f>IF(B2797="","",IF(ISNA(MATCH(B2797,Mitarbeiter!$A$6:$A$205,0)),"Pers.-Nr. unbekannt",IF(A2797="","Datum fehlt",IF(AND(D2797&lt;&gt;Einstellungen!$C$4,D2797&lt;&gt;Einstellungen!$C$5),"Objekt fehlt",IF(YEAR(A2797)&lt;&gt;Einstellungen!$C$3,"anderes Jahr",IF(A2797&lt;INDEX(Mitarbeiter!$C$6:$C$205,MATCH(B2797,Mitarbeiter!$A$6:$A$205,0)),"vor Eintritt",IF(AND(INDEX(Mitarbeiter!$D$6:$D$205,MATCH(B2797,Mitarbeiter!$A$6:$A$205,0))&lt;&gt;"",A2797&gt;INDEX(Mitarbeiter!$D$6:$D$205,MATCH(B2797,Mitarbeiter!$A$6:$A$205,0))),"nach Austritt","ok")))))))</f>
        <v/>
      </c>
    </row>
    <row r="2798">
      <c r="A2798" s="26" t="n"/>
      <c r="B2798" s="24" t="n"/>
      <c r="C2798" s="40">
        <f>IF(B2798="","",IFERROR(INDEX(Mitarbeiter!$B$6:$B$205,MATCH(B2798,Mitarbeiter!$A$6:$A$205,0)),"?"))</f>
        <v/>
      </c>
      <c r="D2798" s="41" t="n"/>
      <c r="E2798" s="42" t="n"/>
      <c r="F2798" s="43" t="n"/>
      <c r="G2798" s="44">
        <f>IF(OR(B2798="",F2798=""),"",IFERROR(F2798*INDEX(Mitarbeiter!$F$6:$F$205,MATCH(B2798,Mitarbeiter!$A$6:$A$205,0)),0))</f>
        <v/>
      </c>
      <c r="H2798" s="8">
        <f>IF(B2798="","",IF(ISNA(MATCH(B2798,Mitarbeiter!$A$6:$A$205,0)),"Pers.-Nr. unbekannt",IF(A2798="","Datum fehlt",IF(AND(D2798&lt;&gt;Einstellungen!$C$4,D2798&lt;&gt;Einstellungen!$C$5),"Objekt fehlt",IF(YEAR(A2798)&lt;&gt;Einstellungen!$C$3,"anderes Jahr",IF(A2798&lt;INDEX(Mitarbeiter!$C$6:$C$205,MATCH(B2798,Mitarbeiter!$A$6:$A$205,0)),"vor Eintritt",IF(AND(INDEX(Mitarbeiter!$D$6:$D$205,MATCH(B2798,Mitarbeiter!$A$6:$A$205,0))&lt;&gt;"",A2798&gt;INDEX(Mitarbeiter!$D$6:$D$205,MATCH(B2798,Mitarbeiter!$A$6:$A$205,0))),"nach Austritt","ok")))))))</f>
        <v/>
      </c>
    </row>
    <row r="2799">
      <c r="A2799" s="26" t="n"/>
      <c r="B2799" s="24" t="n"/>
      <c r="C2799" s="40">
        <f>IF(B2799="","",IFERROR(INDEX(Mitarbeiter!$B$6:$B$205,MATCH(B2799,Mitarbeiter!$A$6:$A$205,0)),"?"))</f>
        <v/>
      </c>
      <c r="D2799" s="41" t="n"/>
      <c r="E2799" s="42" t="n"/>
      <c r="F2799" s="43" t="n"/>
      <c r="G2799" s="44">
        <f>IF(OR(B2799="",F2799=""),"",IFERROR(F2799*INDEX(Mitarbeiter!$F$6:$F$205,MATCH(B2799,Mitarbeiter!$A$6:$A$205,0)),0))</f>
        <v/>
      </c>
      <c r="H2799" s="8">
        <f>IF(B2799="","",IF(ISNA(MATCH(B2799,Mitarbeiter!$A$6:$A$205,0)),"Pers.-Nr. unbekannt",IF(A2799="","Datum fehlt",IF(AND(D2799&lt;&gt;Einstellungen!$C$4,D2799&lt;&gt;Einstellungen!$C$5),"Objekt fehlt",IF(YEAR(A2799)&lt;&gt;Einstellungen!$C$3,"anderes Jahr",IF(A2799&lt;INDEX(Mitarbeiter!$C$6:$C$205,MATCH(B2799,Mitarbeiter!$A$6:$A$205,0)),"vor Eintritt",IF(AND(INDEX(Mitarbeiter!$D$6:$D$205,MATCH(B2799,Mitarbeiter!$A$6:$A$205,0))&lt;&gt;"",A2799&gt;INDEX(Mitarbeiter!$D$6:$D$205,MATCH(B2799,Mitarbeiter!$A$6:$A$205,0))),"nach Austritt","ok")))))))</f>
        <v/>
      </c>
    </row>
    <row r="2800">
      <c r="A2800" s="26" t="n"/>
      <c r="B2800" s="24" t="n"/>
      <c r="C2800" s="40">
        <f>IF(B2800="","",IFERROR(INDEX(Mitarbeiter!$B$6:$B$205,MATCH(B2800,Mitarbeiter!$A$6:$A$205,0)),"?"))</f>
        <v/>
      </c>
      <c r="D2800" s="41" t="n"/>
      <c r="E2800" s="42" t="n"/>
      <c r="F2800" s="43" t="n"/>
      <c r="G2800" s="44">
        <f>IF(OR(B2800="",F2800=""),"",IFERROR(F2800*INDEX(Mitarbeiter!$F$6:$F$205,MATCH(B2800,Mitarbeiter!$A$6:$A$205,0)),0))</f>
        <v/>
      </c>
      <c r="H2800" s="8">
        <f>IF(B2800="","",IF(ISNA(MATCH(B2800,Mitarbeiter!$A$6:$A$205,0)),"Pers.-Nr. unbekannt",IF(A2800="","Datum fehlt",IF(AND(D2800&lt;&gt;Einstellungen!$C$4,D2800&lt;&gt;Einstellungen!$C$5),"Objekt fehlt",IF(YEAR(A2800)&lt;&gt;Einstellungen!$C$3,"anderes Jahr",IF(A2800&lt;INDEX(Mitarbeiter!$C$6:$C$205,MATCH(B2800,Mitarbeiter!$A$6:$A$205,0)),"vor Eintritt",IF(AND(INDEX(Mitarbeiter!$D$6:$D$205,MATCH(B2800,Mitarbeiter!$A$6:$A$205,0))&lt;&gt;"",A2800&gt;INDEX(Mitarbeiter!$D$6:$D$205,MATCH(B2800,Mitarbeiter!$A$6:$A$205,0))),"nach Austritt","ok")))))))</f>
        <v/>
      </c>
    </row>
    <row r="2801">
      <c r="A2801" s="26" t="n"/>
      <c r="B2801" s="24" t="n"/>
      <c r="C2801" s="40">
        <f>IF(B2801="","",IFERROR(INDEX(Mitarbeiter!$B$6:$B$205,MATCH(B2801,Mitarbeiter!$A$6:$A$205,0)),"?"))</f>
        <v/>
      </c>
      <c r="D2801" s="41" t="n"/>
      <c r="E2801" s="42" t="n"/>
      <c r="F2801" s="43" t="n"/>
      <c r="G2801" s="44">
        <f>IF(OR(B2801="",F2801=""),"",IFERROR(F2801*INDEX(Mitarbeiter!$F$6:$F$205,MATCH(B2801,Mitarbeiter!$A$6:$A$205,0)),0))</f>
        <v/>
      </c>
      <c r="H2801" s="8">
        <f>IF(B2801="","",IF(ISNA(MATCH(B2801,Mitarbeiter!$A$6:$A$205,0)),"Pers.-Nr. unbekannt",IF(A2801="","Datum fehlt",IF(AND(D2801&lt;&gt;Einstellungen!$C$4,D2801&lt;&gt;Einstellungen!$C$5),"Objekt fehlt",IF(YEAR(A2801)&lt;&gt;Einstellungen!$C$3,"anderes Jahr",IF(A2801&lt;INDEX(Mitarbeiter!$C$6:$C$205,MATCH(B2801,Mitarbeiter!$A$6:$A$205,0)),"vor Eintritt",IF(AND(INDEX(Mitarbeiter!$D$6:$D$205,MATCH(B2801,Mitarbeiter!$A$6:$A$205,0))&lt;&gt;"",A2801&gt;INDEX(Mitarbeiter!$D$6:$D$205,MATCH(B2801,Mitarbeiter!$A$6:$A$205,0))),"nach Austritt","ok")))))))</f>
        <v/>
      </c>
    </row>
    <row r="2802">
      <c r="A2802" s="26" t="n"/>
      <c r="B2802" s="24" t="n"/>
      <c r="C2802" s="40">
        <f>IF(B2802="","",IFERROR(INDEX(Mitarbeiter!$B$6:$B$205,MATCH(B2802,Mitarbeiter!$A$6:$A$205,0)),"?"))</f>
        <v/>
      </c>
      <c r="D2802" s="41" t="n"/>
      <c r="E2802" s="42" t="n"/>
      <c r="F2802" s="43" t="n"/>
      <c r="G2802" s="44">
        <f>IF(OR(B2802="",F2802=""),"",IFERROR(F2802*INDEX(Mitarbeiter!$F$6:$F$205,MATCH(B2802,Mitarbeiter!$A$6:$A$205,0)),0))</f>
        <v/>
      </c>
      <c r="H2802" s="8">
        <f>IF(B2802="","",IF(ISNA(MATCH(B2802,Mitarbeiter!$A$6:$A$205,0)),"Pers.-Nr. unbekannt",IF(A2802="","Datum fehlt",IF(AND(D2802&lt;&gt;Einstellungen!$C$4,D2802&lt;&gt;Einstellungen!$C$5),"Objekt fehlt",IF(YEAR(A2802)&lt;&gt;Einstellungen!$C$3,"anderes Jahr",IF(A2802&lt;INDEX(Mitarbeiter!$C$6:$C$205,MATCH(B2802,Mitarbeiter!$A$6:$A$205,0)),"vor Eintritt",IF(AND(INDEX(Mitarbeiter!$D$6:$D$205,MATCH(B2802,Mitarbeiter!$A$6:$A$205,0))&lt;&gt;"",A2802&gt;INDEX(Mitarbeiter!$D$6:$D$205,MATCH(B2802,Mitarbeiter!$A$6:$A$205,0))),"nach Austritt","ok")))))))</f>
        <v/>
      </c>
    </row>
    <row r="2803">
      <c r="A2803" s="26" t="n"/>
      <c r="B2803" s="24" t="n"/>
      <c r="C2803" s="40">
        <f>IF(B2803="","",IFERROR(INDEX(Mitarbeiter!$B$6:$B$205,MATCH(B2803,Mitarbeiter!$A$6:$A$205,0)),"?"))</f>
        <v/>
      </c>
      <c r="D2803" s="41" t="n"/>
      <c r="E2803" s="42" t="n"/>
      <c r="F2803" s="43" t="n"/>
      <c r="G2803" s="44">
        <f>IF(OR(B2803="",F2803=""),"",IFERROR(F2803*INDEX(Mitarbeiter!$F$6:$F$205,MATCH(B2803,Mitarbeiter!$A$6:$A$205,0)),0))</f>
        <v/>
      </c>
      <c r="H2803" s="8">
        <f>IF(B2803="","",IF(ISNA(MATCH(B2803,Mitarbeiter!$A$6:$A$205,0)),"Pers.-Nr. unbekannt",IF(A2803="","Datum fehlt",IF(AND(D2803&lt;&gt;Einstellungen!$C$4,D2803&lt;&gt;Einstellungen!$C$5),"Objekt fehlt",IF(YEAR(A2803)&lt;&gt;Einstellungen!$C$3,"anderes Jahr",IF(A2803&lt;INDEX(Mitarbeiter!$C$6:$C$205,MATCH(B2803,Mitarbeiter!$A$6:$A$205,0)),"vor Eintritt",IF(AND(INDEX(Mitarbeiter!$D$6:$D$205,MATCH(B2803,Mitarbeiter!$A$6:$A$205,0))&lt;&gt;"",A2803&gt;INDEX(Mitarbeiter!$D$6:$D$205,MATCH(B2803,Mitarbeiter!$A$6:$A$205,0))),"nach Austritt","ok")))))))</f>
        <v/>
      </c>
    </row>
    <row r="2804">
      <c r="A2804" s="26" t="n"/>
      <c r="B2804" s="24" t="n"/>
      <c r="C2804" s="40">
        <f>IF(B2804="","",IFERROR(INDEX(Mitarbeiter!$B$6:$B$205,MATCH(B2804,Mitarbeiter!$A$6:$A$205,0)),"?"))</f>
        <v/>
      </c>
      <c r="D2804" s="41" t="n"/>
      <c r="E2804" s="42" t="n"/>
      <c r="F2804" s="43" t="n"/>
      <c r="G2804" s="44">
        <f>IF(OR(B2804="",F2804=""),"",IFERROR(F2804*INDEX(Mitarbeiter!$F$6:$F$205,MATCH(B2804,Mitarbeiter!$A$6:$A$205,0)),0))</f>
        <v/>
      </c>
      <c r="H2804" s="8">
        <f>IF(B2804="","",IF(ISNA(MATCH(B2804,Mitarbeiter!$A$6:$A$205,0)),"Pers.-Nr. unbekannt",IF(A2804="","Datum fehlt",IF(AND(D2804&lt;&gt;Einstellungen!$C$4,D2804&lt;&gt;Einstellungen!$C$5),"Objekt fehlt",IF(YEAR(A2804)&lt;&gt;Einstellungen!$C$3,"anderes Jahr",IF(A2804&lt;INDEX(Mitarbeiter!$C$6:$C$205,MATCH(B2804,Mitarbeiter!$A$6:$A$205,0)),"vor Eintritt",IF(AND(INDEX(Mitarbeiter!$D$6:$D$205,MATCH(B2804,Mitarbeiter!$A$6:$A$205,0))&lt;&gt;"",A2804&gt;INDEX(Mitarbeiter!$D$6:$D$205,MATCH(B2804,Mitarbeiter!$A$6:$A$205,0))),"nach Austritt","ok")))))))</f>
        <v/>
      </c>
    </row>
    <row r="2805">
      <c r="A2805" s="26" t="n"/>
      <c r="B2805" s="24" t="n"/>
      <c r="C2805" s="40">
        <f>IF(B2805="","",IFERROR(INDEX(Mitarbeiter!$B$6:$B$205,MATCH(B2805,Mitarbeiter!$A$6:$A$205,0)),"?"))</f>
        <v/>
      </c>
      <c r="D2805" s="41" t="n"/>
      <c r="E2805" s="42" t="n"/>
      <c r="F2805" s="43" t="n"/>
      <c r="G2805" s="44">
        <f>IF(OR(B2805="",F2805=""),"",IFERROR(F2805*INDEX(Mitarbeiter!$F$6:$F$205,MATCH(B2805,Mitarbeiter!$A$6:$A$205,0)),0))</f>
        <v/>
      </c>
      <c r="H2805" s="8">
        <f>IF(B2805="","",IF(ISNA(MATCH(B2805,Mitarbeiter!$A$6:$A$205,0)),"Pers.-Nr. unbekannt",IF(A2805="","Datum fehlt",IF(AND(D2805&lt;&gt;Einstellungen!$C$4,D2805&lt;&gt;Einstellungen!$C$5),"Objekt fehlt",IF(YEAR(A2805)&lt;&gt;Einstellungen!$C$3,"anderes Jahr",IF(A2805&lt;INDEX(Mitarbeiter!$C$6:$C$205,MATCH(B2805,Mitarbeiter!$A$6:$A$205,0)),"vor Eintritt",IF(AND(INDEX(Mitarbeiter!$D$6:$D$205,MATCH(B2805,Mitarbeiter!$A$6:$A$205,0))&lt;&gt;"",A2805&gt;INDEX(Mitarbeiter!$D$6:$D$205,MATCH(B2805,Mitarbeiter!$A$6:$A$205,0))),"nach Austritt","ok")))))))</f>
        <v/>
      </c>
    </row>
    <row r="2806">
      <c r="A2806" s="26" t="n"/>
      <c r="B2806" s="24" t="n"/>
      <c r="C2806" s="40">
        <f>IF(B2806="","",IFERROR(INDEX(Mitarbeiter!$B$6:$B$205,MATCH(B2806,Mitarbeiter!$A$6:$A$205,0)),"?"))</f>
        <v/>
      </c>
      <c r="D2806" s="41" t="n"/>
      <c r="E2806" s="42" t="n"/>
      <c r="F2806" s="43" t="n"/>
      <c r="G2806" s="44">
        <f>IF(OR(B2806="",F2806=""),"",IFERROR(F2806*INDEX(Mitarbeiter!$F$6:$F$205,MATCH(B2806,Mitarbeiter!$A$6:$A$205,0)),0))</f>
        <v/>
      </c>
      <c r="H2806" s="8">
        <f>IF(B2806="","",IF(ISNA(MATCH(B2806,Mitarbeiter!$A$6:$A$205,0)),"Pers.-Nr. unbekannt",IF(A2806="","Datum fehlt",IF(AND(D2806&lt;&gt;Einstellungen!$C$4,D2806&lt;&gt;Einstellungen!$C$5),"Objekt fehlt",IF(YEAR(A2806)&lt;&gt;Einstellungen!$C$3,"anderes Jahr",IF(A2806&lt;INDEX(Mitarbeiter!$C$6:$C$205,MATCH(B2806,Mitarbeiter!$A$6:$A$205,0)),"vor Eintritt",IF(AND(INDEX(Mitarbeiter!$D$6:$D$205,MATCH(B2806,Mitarbeiter!$A$6:$A$205,0))&lt;&gt;"",A2806&gt;INDEX(Mitarbeiter!$D$6:$D$205,MATCH(B2806,Mitarbeiter!$A$6:$A$205,0))),"nach Austritt","ok")))))))</f>
        <v/>
      </c>
    </row>
    <row r="2807">
      <c r="A2807" s="26" t="n"/>
      <c r="B2807" s="24" t="n"/>
      <c r="C2807" s="40">
        <f>IF(B2807="","",IFERROR(INDEX(Mitarbeiter!$B$6:$B$205,MATCH(B2807,Mitarbeiter!$A$6:$A$205,0)),"?"))</f>
        <v/>
      </c>
      <c r="D2807" s="41" t="n"/>
      <c r="E2807" s="42" t="n"/>
      <c r="F2807" s="43" t="n"/>
      <c r="G2807" s="44">
        <f>IF(OR(B2807="",F2807=""),"",IFERROR(F2807*INDEX(Mitarbeiter!$F$6:$F$205,MATCH(B2807,Mitarbeiter!$A$6:$A$205,0)),0))</f>
        <v/>
      </c>
      <c r="H2807" s="8">
        <f>IF(B2807="","",IF(ISNA(MATCH(B2807,Mitarbeiter!$A$6:$A$205,0)),"Pers.-Nr. unbekannt",IF(A2807="","Datum fehlt",IF(AND(D2807&lt;&gt;Einstellungen!$C$4,D2807&lt;&gt;Einstellungen!$C$5),"Objekt fehlt",IF(YEAR(A2807)&lt;&gt;Einstellungen!$C$3,"anderes Jahr",IF(A2807&lt;INDEX(Mitarbeiter!$C$6:$C$205,MATCH(B2807,Mitarbeiter!$A$6:$A$205,0)),"vor Eintritt",IF(AND(INDEX(Mitarbeiter!$D$6:$D$205,MATCH(B2807,Mitarbeiter!$A$6:$A$205,0))&lt;&gt;"",A2807&gt;INDEX(Mitarbeiter!$D$6:$D$205,MATCH(B2807,Mitarbeiter!$A$6:$A$205,0))),"nach Austritt","ok")))))))</f>
        <v/>
      </c>
    </row>
    <row r="2808">
      <c r="A2808" s="26" t="n"/>
      <c r="B2808" s="24" t="n"/>
      <c r="C2808" s="40">
        <f>IF(B2808="","",IFERROR(INDEX(Mitarbeiter!$B$6:$B$205,MATCH(B2808,Mitarbeiter!$A$6:$A$205,0)),"?"))</f>
        <v/>
      </c>
      <c r="D2808" s="41" t="n"/>
      <c r="E2808" s="42" t="n"/>
      <c r="F2808" s="43" t="n"/>
      <c r="G2808" s="44">
        <f>IF(OR(B2808="",F2808=""),"",IFERROR(F2808*INDEX(Mitarbeiter!$F$6:$F$205,MATCH(B2808,Mitarbeiter!$A$6:$A$205,0)),0))</f>
        <v/>
      </c>
      <c r="H2808" s="8">
        <f>IF(B2808="","",IF(ISNA(MATCH(B2808,Mitarbeiter!$A$6:$A$205,0)),"Pers.-Nr. unbekannt",IF(A2808="","Datum fehlt",IF(AND(D2808&lt;&gt;Einstellungen!$C$4,D2808&lt;&gt;Einstellungen!$C$5),"Objekt fehlt",IF(YEAR(A2808)&lt;&gt;Einstellungen!$C$3,"anderes Jahr",IF(A2808&lt;INDEX(Mitarbeiter!$C$6:$C$205,MATCH(B2808,Mitarbeiter!$A$6:$A$205,0)),"vor Eintritt",IF(AND(INDEX(Mitarbeiter!$D$6:$D$205,MATCH(B2808,Mitarbeiter!$A$6:$A$205,0))&lt;&gt;"",A2808&gt;INDEX(Mitarbeiter!$D$6:$D$205,MATCH(B2808,Mitarbeiter!$A$6:$A$205,0))),"nach Austritt","ok")))))))</f>
        <v/>
      </c>
    </row>
    <row r="2809">
      <c r="A2809" s="26" t="n"/>
      <c r="B2809" s="24" t="n"/>
      <c r="C2809" s="40">
        <f>IF(B2809="","",IFERROR(INDEX(Mitarbeiter!$B$6:$B$205,MATCH(B2809,Mitarbeiter!$A$6:$A$205,0)),"?"))</f>
        <v/>
      </c>
      <c r="D2809" s="41" t="n"/>
      <c r="E2809" s="42" t="n"/>
      <c r="F2809" s="43" t="n"/>
      <c r="G2809" s="44">
        <f>IF(OR(B2809="",F2809=""),"",IFERROR(F2809*INDEX(Mitarbeiter!$F$6:$F$205,MATCH(B2809,Mitarbeiter!$A$6:$A$205,0)),0))</f>
        <v/>
      </c>
      <c r="H2809" s="8">
        <f>IF(B2809="","",IF(ISNA(MATCH(B2809,Mitarbeiter!$A$6:$A$205,0)),"Pers.-Nr. unbekannt",IF(A2809="","Datum fehlt",IF(AND(D2809&lt;&gt;Einstellungen!$C$4,D2809&lt;&gt;Einstellungen!$C$5),"Objekt fehlt",IF(YEAR(A2809)&lt;&gt;Einstellungen!$C$3,"anderes Jahr",IF(A2809&lt;INDEX(Mitarbeiter!$C$6:$C$205,MATCH(B2809,Mitarbeiter!$A$6:$A$205,0)),"vor Eintritt",IF(AND(INDEX(Mitarbeiter!$D$6:$D$205,MATCH(B2809,Mitarbeiter!$A$6:$A$205,0))&lt;&gt;"",A2809&gt;INDEX(Mitarbeiter!$D$6:$D$205,MATCH(B2809,Mitarbeiter!$A$6:$A$205,0))),"nach Austritt","ok")))))))</f>
        <v/>
      </c>
    </row>
    <row r="2810">
      <c r="A2810" s="26" t="n"/>
      <c r="B2810" s="24" t="n"/>
      <c r="C2810" s="40">
        <f>IF(B2810="","",IFERROR(INDEX(Mitarbeiter!$B$6:$B$205,MATCH(B2810,Mitarbeiter!$A$6:$A$205,0)),"?"))</f>
        <v/>
      </c>
      <c r="D2810" s="41" t="n"/>
      <c r="E2810" s="42" t="n"/>
      <c r="F2810" s="43" t="n"/>
      <c r="G2810" s="44">
        <f>IF(OR(B2810="",F2810=""),"",IFERROR(F2810*INDEX(Mitarbeiter!$F$6:$F$205,MATCH(B2810,Mitarbeiter!$A$6:$A$205,0)),0))</f>
        <v/>
      </c>
      <c r="H2810" s="8">
        <f>IF(B2810="","",IF(ISNA(MATCH(B2810,Mitarbeiter!$A$6:$A$205,0)),"Pers.-Nr. unbekannt",IF(A2810="","Datum fehlt",IF(AND(D2810&lt;&gt;Einstellungen!$C$4,D2810&lt;&gt;Einstellungen!$C$5),"Objekt fehlt",IF(YEAR(A2810)&lt;&gt;Einstellungen!$C$3,"anderes Jahr",IF(A2810&lt;INDEX(Mitarbeiter!$C$6:$C$205,MATCH(B2810,Mitarbeiter!$A$6:$A$205,0)),"vor Eintritt",IF(AND(INDEX(Mitarbeiter!$D$6:$D$205,MATCH(B2810,Mitarbeiter!$A$6:$A$205,0))&lt;&gt;"",A2810&gt;INDEX(Mitarbeiter!$D$6:$D$205,MATCH(B2810,Mitarbeiter!$A$6:$A$205,0))),"nach Austritt","ok")))))))</f>
        <v/>
      </c>
    </row>
    <row r="2811">
      <c r="A2811" s="26" t="n"/>
      <c r="B2811" s="24" t="n"/>
      <c r="C2811" s="40">
        <f>IF(B2811="","",IFERROR(INDEX(Mitarbeiter!$B$6:$B$205,MATCH(B2811,Mitarbeiter!$A$6:$A$205,0)),"?"))</f>
        <v/>
      </c>
      <c r="D2811" s="41" t="n"/>
      <c r="E2811" s="42" t="n"/>
      <c r="F2811" s="43" t="n"/>
      <c r="G2811" s="44">
        <f>IF(OR(B2811="",F2811=""),"",IFERROR(F2811*INDEX(Mitarbeiter!$F$6:$F$205,MATCH(B2811,Mitarbeiter!$A$6:$A$205,0)),0))</f>
        <v/>
      </c>
      <c r="H2811" s="8">
        <f>IF(B2811="","",IF(ISNA(MATCH(B2811,Mitarbeiter!$A$6:$A$205,0)),"Pers.-Nr. unbekannt",IF(A2811="","Datum fehlt",IF(AND(D2811&lt;&gt;Einstellungen!$C$4,D2811&lt;&gt;Einstellungen!$C$5),"Objekt fehlt",IF(YEAR(A2811)&lt;&gt;Einstellungen!$C$3,"anderes Jahr",IF(A2811&lt;INDEX(Mitarbeiter!$C$6:$C$205,MATCH(B2811,Mitarbeiter!$A$6:$A$205,0)),"vor Eintritt",IF(AND(INDEX(Mitarbeiter!$D$6:$D$205,MATCH(B2811,Mitarbeiter!$A$6:$A$205,0))&lt;&gt;"",A2811&gt;INDEX(Mitarbeiter!$D$6:$D$205,MATCH(B2811,Mitarbeiter!$A$6:$A$205,0))),"nach Austritt","ok")))))))</f>
        <v/>
      </c>
    </row>
    <row r="2812">
      <c r="A2812" s="26" t="n"/>
      <c r="B2812" s="24" t="n"/>
      <c r="C2812" s="40">
        <f>IF(B2812="","",IFERROR(INDEX(Mitarbeiter!$B$6:$B$205,MATCH(B2812,Mitarbeiter!$A$6:$A$205,0)),"?"))</f>
        <v/>
      </c>
      <c r="D2812" s="41" t="n"/>
      <c r="E2812" s="42" t="n"/>
      <c r="F2812" s="43" t="n"/>
      <c r="G2812" s="44">
        <f>IF(OR(B2812="",F2812=""),"",IFERROR(F2812*INDEX(Mitarbeiter!$F$6:$F$205,MATCH(B2812,Mitarbeiter!$A$6:$A$205,0)),0))</f>
        <v/>
      </c>
      <c r="H2812" s="8">
        <f>IF(B2812="","",IF(ISNA(MATCH(B2812,Mitarbeiter!$A$6:$A$205,0)),"Pers.-Nr. unbekannt",IF(A2812="","Datum fehlt",IF(AND(D2812&lt;&gt;Einstellungen!$C$4,D2812&lt;&gt;Einstellungen!$C$5),"Objekt fehlt",IF(YEAR(A2812)&lt;&gt;Einstellungen!$C$3,"anderes Jahr",IF(A2812&lt;INDEX(Mitarbeiter!$C$6:$C$205,MATCH(B2812,Mitarbeiter!$A$6:$A$205,0)),"vor Eintritt",IF(AND(INDEX(Mitarbeiter!$D$6:$D$205,MATCH(B2812,Mitarbeiter!$A$6:$A$205,0))&lt;&gt;"",A2812&gt;INDEX(Mitarbeiter!$D$6:$D$205,MATCH(B2812,Mitarbeiter!$A$6:$A$205,0))),"nach Austritt","ok")))))))</f>
        <v/>
      </c>
    </row>
    <row r="2813">
      <c r="A2813" s="26" t="n"/>
      <c r="B2813" s="24" t="n"/>
      <c r="C2813" s="40">
        <f>IF(B2813="","",IFERROR(INDEX(Mitarbeiter!$B$6:$B$205,MATCH(B2813,Mitarbeiter!$A$6:$A$205,0)),"?"))</f>
        <v/>
      </c>
      <c r="D2813" s="41" t="n"/>
      <c r="E2813" s="42" t="n"/>
      <c r="F2813" s="43" t="n"/>
      <c r="G2813" s="44">
        <f>IF(OR(B2813="",F2813=""),"",IFERROR(F2813*INDEX(Mitarbeiter!$F$6:$F$205,MATCH(B2813,Mitarbeiter!$A$6:$A$205,0)),0))</f>
        <v/>
      </c>
      <c r="H2813" s="8">
        <f>IF(B2813="","",IF(ISNA(MATCH(B2813,Mitarbeiter!$A$6:$A$205,0)),"Pers.-Nr. unbekannt",IF(A2813="","Datum fehlt",IF(AND(D2813&lt;&gt;Einstellungen!$C$4,D2813&lt;&gt;Einstellungen!$C$5),"Objekt fehlt",IF(YEAR(A2813)&lt;&gt;Einstellungen!$C$3,"anderes Jahr",IF(A2813&lt;INDEX(Mitarbeiter!$C$6:$C$205,MATCH(B2813,Mitarbeiter!$A$6:$A$205,0)),"vor Eintritt",IF(AND(INDEX(Mitarbeiter!$D$6:$D$205,MATCH(B2813,Mitarbeiter!$A$6:$A$205,0))&lt;&gt;"",A2813&gt;INDEX(Mitarbeiter!$D$6:$D$205,MATCH(B2813,Mitarbeiter!$A$6:$A$205,0))),"nach Austritt","ok")))))))</f>
        <v/>
      </c>
    </row>
    <row r="2814">
      <c r="A2814" s="26" t="n"/>
      <c r="B2814" s="24" t="n"/>
      <c r="C2814" s="40">
        <f>IF(B2814="","",IFERROR(INDEX(Mitarbeiter!$B$6:$B$205,MATCH(B2814,Mitarbeiter!$A$6:$A$205,0)),"?"))</f>
        <v/>
      </c>
      <c r="D2814" s="41" t="n"/>
      <c r="E2814" s="42" t="n"/>
      <c r="F2814" s="43" t="n"/>
      <c r="G2814" s="44">
        <f>IF(OR(B2814="",F2814=""),"",IFERROR(F2814*INDEX(Mitarbeiter!$F$6:$F$205,MATCH(B2814,Mitarbeiter!$A$6:$A$205,0)),0))</f>
        <v/>
      </c>
      <c r="H2814" s="8">
        <f>IF(B2814="","",IF(ISNA(MATCH(B2814,Mitarbeiter!$A$6:$A$205,0)),"Pers.-Nr. unbekannt",IF(A2814="","Datum fehlt",IF(AND(D2814&lt;&gt;Einstellungen!$C$4,D2814&lt;&gt;Einstellungen!$C$5),"Objekt fehlt",IF(YEAR(A2814)&lt;&gt;Einstellungen!$C$3,"anderes Jahr",IF(A2814&lt;INDEX(Mitarbeiter!$C$6:$C$205,MATCH(B2814,Mitarbeiter!$A$6:$A$205,0)),"vor Eintritt",IF(AND(INDEX(Mitarbeiter!$D$6:$D$205,MATCH(B2814,Mitarbeiter!$A$6:$A$205,0))&lt;&gt;"",A2814&gt;INDEX(Mitarbeiter!$D$6:$D$205,MATCH(B2814,Mitarbeiter!$A$6:$A$205,0))),"nach Austritt","ok")))))))</f>
        <v/>
      </c>
    </row>
    <row r="2815">
      <c r="A2815" s="26" t="n"/>
      <c r="B2815" s="24" t="n"/>
      <c r="C2815" s="40">
        <f>IF(B2815="","",IFERROR(INDEX(Mitarbeiter!$B$6:$B$205,MATCH(B2815,Mitarbeiter!$A$6:$A$205,0)),"?"))</f>
        <v/>
      </c>
      <c r="D2815" s="41" t="n"/>
      <c r="E2815" s="42" t="n"/>
      <c r="F2815" s="43" t="n"/>
      <c r="G2815" s="44">
        <f>IF(OR(B2815="",F2815=""),"",IFERROR(F2815*INDEX(Mitarbeiter!$F$6:$F$205,MATCH(B2815,Mitarbeiter!$A$6:$A$205,0)),0))</f>
        <v/>
      </c>
      <c r="H2815" s="8">
        <f>IF(B2815="","",IF(ISNA(MATCH(B2815,Mitarbeiter!$A$6:$A$205,0)),"Pers.-Nr. unbekannt",IF(A2815="","Datum fehlt",IF(AND(D2815&lt;&gt;Einstellungen!$C$4,D2815&lt;&gt;Einstellungen!$C$5),"Objekt fehlt",IF(YEAR(A2815)&lt;&gt;Einstellungen!$C$3,"anderes Jahr",IF(A2815&lt;INDEX(Mitarbeiter!$C$6:$C$205,MATCH(B2815,Mitarbeiter!$A$6:$A$205,0)),"vor Eintritt",IF(AND(INDEX(Mitarbeiter!$D$6:$D$205,MATCH(B2815,Mitarbeiter!$A$6:$A$205,0))&lt;&gt;"",A2815&gt;INDEX(Mitarbeiter!$D$6:$D$205,MATCH(B2815,Mitarbeiter!$A$6:$A$205,0))),"nach Austritt","ok")))))))</f>
        <v/>
      </c>
    </row>
    <row r="2816">
      <c r="A2816" s="26" t="n"/>
      <c r="B2816" s="24" t="n"/>
      <c r="C2816" s="40">
        <f>IF(B2816="","",IFERROR(INDEX(Mitarbeiter!$B$6:$B$205,MATCH(B2816,Mitarbeiter!$A$6:$A$205,0)),"?"))</f>
        <v/>
      </c>
      <c r="D2816" s="41" t="n"/>
      <c r="E2816" s="42" t="n"/>
      <c r="F2816" s="43" t="n"/>
      <c r="G2816" s="44">
        <f>IF(OR(B2816="",F2816=""),"",IFERROR(F2816*INDEX(Mitarbeiter!$F$6:$F$205,MATCH(B2816,Mitarbeiter!$A$6:$A$205,0)),0))</f>
        <v/>
      </c>
      <c r="H2816" s="8">
        <f>IF(B2816="","",IF(ISNA(MATCH(B2816,Mitarbeiter!$A$6:$A$205,0)),"Pers.-Nr. unbekannt",IF(A2816="","Datum fehlt",IF(AND(D2816&lt;&gt;Einstellungen!$C$4,D2816&lt;&gt;Einstellungen!$C$5),"Objekt fehlt",IF(YEAR(A2816)&lt;&gt;Einstellungen!$C$3,"anderes Jahr",IF(A2816&lt;INDEX(Mitarbeiter!$C$6:$C$205,MATCH(B2816,Mitarbeiter!$A$6:$A$205,0)),"vor Eintritt",IF(AND(INDEX(Mitarbeiter!$D$6:$D$205,MATCH(B2816,Mitarbeiter!$A$6:$A$205,0))&lt;&gt;"",A2816&gt;INDEX(Mitarbeiter!$D$6:$D$205,MATCH(B2816,Mitarbeiter!$A$6:$A$205,0))),"nach Austritt","ok")))))))</f>
        <v/>
      </c>
    </row>
    <row r="2817">
      <c r="A2817" s="26" t="n"/>
      <c r="B2817" s="24" t="n"/>
      <c r="C2817" s="40">
        <f>IF(B2817="","",IFERROR(INDEX(Mitarbeiter!$B$6:$B$205,MATCH(B2817,Mitarbeiter!$A$6:$A$205,0)),"?"))</f>
        <v/>
      </c>
      <c r="D2817" s="41" t="n"/>
      <c r="E2817" s="42" t="n"/>
      <c r="F2817" s="43" t="n"/>
      <c r="G2817" s="44">
        <f>IF(OR(B2817="",F2817=""),"",IFERROR(F2817*INDEX(Mitarbeiter!$F$6:$F$205,MATCH(B2817,Mitarbeiter!$A$6:$A$205,0)),0))</f>
        <v/>
      </c>
      <c r="H2817" s="8">
        <f>IF(B2817="","",IF(ISNA(MATCH(B2817,Mitarbeiter!$A$6:$A$205,0)),"Pers.-Nr. unbekannt",IF(A2817="","Datum fehlt",IF(AND(D2817&lt;&gt;Einstellungen!$C$4,D2817&lt;&gt;Einstellungen!$C$5),"Objekt fehlt",IF(YEAR(A2817)&lt;&gt;Einstellungen!$C$3,"anderes Jahr",IF(A2817&lt;INDEX(Mitarbeiter!$C$6:$C$205,MATCH(B2817,Mitarbeiter!$A$6:$A$205,0)),"vor Eintritt",IF(AND(INDEX(Mitarbeiter!$D$6:$D$205,MATCH(B2817,Mitarbeiter!$A$6:$A$205,0))&lt;&gt;"",A2817&gt;INDEX(Mitarbeiter!$D$6:$D$205,MATCH(B2817,Mitarbeiter!$A$6:$A$205,0))),"nach Austritt","ok")))))))</f>
        <v/>
      </c>
    </row>
    <row r="2818">
      <c r="A2818" s="26" t="n"/>
      <c r="B2818" s="24" t="n"/>
      <c r="C2818" s="40">
        <f>IF(B2818="","",IFERROR(INDEX(Mitarbeiter!$B$6:$B$205,MATCH(B2818,Mitarbeiter!$A$6:$A$205,0)),"?"))</f>
        <v/>
      </c>
      <c r="D2818" s="41" t="n"/>
      <c r="E2818" s="42" t="n"/>
      <c r="F2818" s="43" t="n"/>
      <c r="G2818" s="44">
        <f>IF(OR(B2818="",F2818=""),"",IFERROR(F2818*INDEX(Mitarbeiter!$F$6:$F$205,MATCH(B2818,Mitarbeiter!$A$6:$A$205,0)),0))</f>
        <v/>
      </c>
      <c r="H2818" s="8">
        <f>IF(B2818="","",IF(ISNA(MATCH(B2818,Mitarbeiter!$A$6:$A$205,0)),"Pers.-Nr. unbekannt",IF(A2818="","Datum fehlt",IF(AND(D2818&lt;&gt;Einstellungen!$C$4,D2818&lt;&gt;Einstellungen!$C$5),"Objekt fehlt",IF(YEAR(A2818)&lt;&gt;Einstellungen!$C$3,"anderes Jahr",IF(A2818&lt;INDEX(Mitarbeiter!$C$6:$C$205,MATCH(B2818,Mitarbeiter!$A$6:$A$205,0)),"vor Eintritt",IF(AND(INDEX(Mitarbeiter!$D$6:$D$205,MATCH(B2818,Mitarbeiter!$A$6:$A$205,0))&lt;&gt;"",A2818&gt;INDEX(Mitarbeiter!$D$6:$D$205,MATCH(B2818,Mitarbeiter!$A$6:$A$205,0))),"nach Austritt","ok")))))))</f>
        <v/>
      </c>
    </row>
    <row r="2819">
      <c r="A2819" s="26" t="n"/>
      <c r="B2819" s="24" t="n"/>
      <c r="C2819" s="40">
        <f>IF(B2819="","",IFERROR(INDEX(Mitarbeiter!$B$6:$B$205,MATCH(B2819,Mitarbeiter!$A$6:$A$205,0)),"?"))</f>
        <v/>
      </c>
      <c r="D2819" s="41" t="n"/>
      <c r="E2819" s="42" t="n"/>
      <c r="F2819" s="43" t="n"/>
      <c r="G2819" s="44">
        <f>IF(OR(B2819="",F2819=""),"",IFERROR(F2819*INDEX(Mitarbeiter!$F$6:$F$205,MATCH(B2819,Mitarbeiter!$A$6:$A$205,0)),0))</f>
        <v/>
      </c>
      <c r="H2819" s="8">
        <f>IF(B2819="","",IF(ISNA(MATCH(B2819,Mitarbeiter!$A$6:$A$205,0)),"Pers.-Nr. unbekannt",IF(A2819="","Datum fehlt",IF(AND(D2819&lt;&gt;Einstellungen!$C$4,D2819&lt;&gt;Einstellungen!$C$5),"Objekt fehlt",IF(YEAR(A2819)&lt;&gt;Einstellungen!$C$3,"anderes Jahr",IF(A2819&lt;INDEX(Mitarbeiter!$C$6:$C$205,MATCH(B2819,Mitarbeiter!$A$6:$A$205,0)),"vor Eintritt",IF(AND(INDEX(Mitarbeiter!$D$6:$D$205,MATCH(B2819,Mitarbeiter!$A$6:$A$205,0))&lt;&gt;"",A2819&gt;INDEX(Mitarbeiter!$D$6:$D$205,MATCH(B2819,Mitarbeiter!$A$6:$A$205,0))),"nach Austritt","ok")))))))</f>
        <v/>
      </c>
    </row>
    <row r="2820">
      <c r="A2820" s="26" t="n"/>
      <c r="B2820" s="24" t="n"/>
      <c r="C2820" s="40">
        <f>IF(B2820="","",IFERROR(INDEX(Mitarbeiter!$B$6:$B$205,MATCH(B2820,Mitarbeiter!$A$6:$A$205,0)),"?"))</f>
        <v/>
      </c>
      <c r="D2820" s="41" t="n"/>
      <c r="E2820" s="42" t="n"/>
      <c r="F2820" s="43" t="n"/>
      <c r="G2820" s="44">
        <f>IF(OR(B2820="",F2820=""),"",IFERROR(F2820*INDEX(Mitarbeiter!$F$6:$F$205,MATCH(B2820,Mitarbeiter!$A$6:$A$205,0)),0))</f>
        <v/>
      </c>
      <c r="H2820" s="8">
        <f>IF(B2820="","",IF(ISNA(MATCH(B2820,Mitarbeiter!$A$6:$A$205,0)),"Pers.-Nr. unbekannt",IF(A2820="","Datum fehlt",IF(AND(D2820&lt;&gt;Einstellungen!$C$4,D2820&lt;&gt;Einstellungen!$C$5),"Objekt fehlt",IF(YEAR(A2820)&lt;&gt;Einstellungen!$C$3,"anderes Jahr",IF(A2820&lt;INDEX(Mitarbeiter!$C$6:$C$205,MATCH(B2820,Mitarbeiter!$A$6:$A$205,0)),"vor Eintritt",IF(AND(INDEX(Mitarbeiter!$D$6:$D$205,MATCH(B2820,Mitarbeiter!$A$6:$A$205,0))&lt;&gt;"",A2820&gt;INDEX(Mitarbeiter!$D$6:$D$205,MATCH(B2820,Mitarbeiter!$A$6:$A$205,0))),"nach Austritt","ok")))))))</f>
        <v/>
      </c>
    </row>
    <row r="2821">
      <c r="A2821" s="26" t="n"/>
      <c r="B2821" s="24" t="n"/>
      <c r="C2821" s="40">
        <f>IF(B2821="","",IFERROR(INDEX(Mitarbeiter!$B$6:$B$205,MATCH(B2821,Mitarbeiter!$A$6:$A$205,0)),"?"))</f>
        <v/>
      </c>
      <c r="D2821" s="41" t="n"/>
      <c r="E2821" s="42" t="n"/>
      <c r="F2821" s="43" t="n"/>
      <c r="G2821" s="44">
        <f>IF(OR(B2821="",F2821=""),"",IFERROR(F2821*INDEX(Mitarbeiter!$F$6:$F$205,MATCH(B2821,Mitarbeiter!$A$6:$A$205,0)),0))</f>
        <v/>
      </c>
      <c r="H2821" s="8">
        <f>IF(B2821="","",IF(ISNA(MATCH(B2821,Mitarbeiter!$A$6:$A$205,0)),"Pers.-Nr. unbekannt",IF(A2821="","Datum fehlt",IF(AND(D2821&lt;&gt;Einstellungen!$C$4,D2821&lt;&gt;Einstellungen!$C$5),"Objekt fehlt",IF(YEAR(A2821)&lt;&gt;Einstellungen!$C$3,"anderes Jahr",IF(A2821&lt;INDEX(Mitarbeiter!$C$6:$C$205,MATCH(B2821,Mitarbeiter!$A$6:$A$205,0)),"vor Eintritt",IF(AND(INDEX(Mitarbeiter!$D$6:$D$205,MATCH(B2821,Mitarbeiter!$A$6:$A$205,0))&lt;&gt;"",A2821&gt;INDEX(Mitarbeiter!$D$6:$D$205,MATCH(B2821,Mitarbeiter!$A$6:$A$205,0))),"nach Austritt","ok")))))))</f>
        <v/>
      </c>
    </row>
    <row r="2822">
      <c r="A2822" s="26" t="n"/>
      <c r="B2822" s="24" t="n"/>
      <c r="C2822" s="40">
        <f>IF(B2822="","",IFERROR(INDEX(Mitarbeiter!$B$6:$B$205,MATCH(B2822,Mitarbeiter!$A$6:$A$205,0)),"?"))</f>
        <v/>
      </c>
      <c r="D2822" s="41" t="n"/>
      <c r="E2822" s="42" t="n"/>
      <c r="F2822" s="43" t="n"/>
      <c r="G2822" s="44">
        <f>IF(OR(B2822="",F2822=""),"",IFERROR(F2822*INDEX(Mitarbeiter!$F$6:$F$205,MATCH(B2822,Mitarbeiter!$A$6:$A$205,0)),0))</f>
        <v/>
      </c>
      <c r="H2822" s="8">
        <f>IF(B2822="","",IF(ISNA(MATCH(B2822,Mitarbeiter!$A$6:$A$205,0)),"Pers.-Nr. unbekannt",IF(A2822="","Datum fehlt",IF(AND(D2822&lt;&gt;Einstellungen!$C$4,D2822&lt;&gt;Einstellungen!$C$5),"Objekt fehlt",IF(YEAR(A2822)&lt;&gt;Einstellungen!$C$3,"anderes Jahr",IF(A2822&lt;INDEX(Mitarbeiter!$C$6:$C$205,MATCH(B2822,Mitarbeiter!$A$6:$A$205,0)),"vor Eintritt",IF(AND(INDEX(Mitarbeiter!$D$6:$D$205,MATCH(B2822,Mitarbeiter!$A$6:$A$205,0))&lt;&gt;"",A2822&gt;INDEX(Mitarbeiter!$D$6:$D$205,MATCH(B2822,Mitarbeiter!$A$6:$A$205,0))),"nach Austritt","ok")))))))</f>
        <v/>
      </c>
    </row>
    <row r="2823">
      <c r="A2823" s="26" t="n"/>
      <c r="B2823" s="24" t="n"/>
      <c r="C2823" s="40">
        <f>IF(B2823="","",IFERROR(INDEX(Mitarbeiter!$B$6:$B$205,MATCH(B2823,Mitarbeiter!$A$6:$A$205,0)),"?"))</f>
        <v/>
      </c>
      <c r="D2823" s="41" t="n"/>
      <c r="E2823" s="42" t="n"/>
      <c r="F2823" s="43" t="n"/>
      <c r="G2823" s="44">
        <f>IF(OR(B2823="",F2823=""),"",IFERROR(F2823*INDEX(Mitarbeiter!$F$6:$F$205,MATCH(B2823,Mitarbeiter!$A$6:$A$205,0)),0))</f>
        <v/>
      </c>
      <c r="H2823" s="8">
        <f>IF(B2823="","",IF(ISNA(MATCH(B2823,Mitarbeiter!$A$6:$A$205,0)),"Pers.-Nr. unbekannt",IF(A2823="","Datum fehlt",IF(AND(D2823&lt;&gt;Einstellungen!$C$4,D2823&lt;&gt;Einstellungen!$C$5),"Objekt fehlt",IF(YEAR(A2823)&lt;&gt;Einstellungen!$C$3,"anderes Jahr",IF(A2823&lt;INDEX(Mitarbeiter!$C$6:$C$205,MATCH(B2823,Mitarbeiter!$A$6:$A$205,0)),"vor Eintritt",IF(AND(INDEX(Mitarbeiter!$D$6:$D$205,MATCH(B2823,Mitarbeiter!$A$6:$A$205,0))&lt;&gt;"",A2823&gt;INDEX(Mitarbeiter!$D$6:$D$205,MATCH(B2823,Mitarbeiter!$A$6:$A$205,0))),"nach Austritt","ok")))))))</f>
        <v/>
      </c>
    </row>
    <row r="2824">
      <c r="A2824" s="26" t="n"/>
      <c r="B2824" s="24" t="n"/>
      <c r="C2824" s="40">
        <f>IF(B2824="","",IFERROR(INDEX(Mitarbeiter!$B$6:$B$205,MATCH(B2824,Mitarbeiter!$A$6:$A$205,0)),"?"))</f>
        <v/>
      </c>
      <c r="D2824" s="41" t="n"/>
      <c r="E2824" s="42" t="n"/>
      <c r="F2824" s="43" t="n"/>
      <c r="G2824" s="44">
        <f>IF(OR(B2824="",F2824=""),"",IFERROR(F2824*INDEX(Mitarbeiter!$F$6:$F$205,MATCH(B2824,Mitarbeiter!$A$6:$A$205,0)),0))</f>
        <v/>
      </c>
      <c r="H2824" s="8">
        <f>IF(B2824="","",IF(ISNA(MATCH(B2824,Mitarbeiter!$A$6:$A$205,0)),"Pers.-Nr. unbekannt",IF(A2824="","Datum fehlt",IF(AND(D2824&lt;&gt;Einstellungen!$C$4,D2824&lt;&gt;Einstellungen!$C$5),"Objekt fehlt",IF(YEAR(A2824)&lt;&gt;Einstellungen!$C$3,"anderes Jahr",IF(A2824&lt;INDEX(Mitarbeiter!$C$6:$C$205,MATCH(B2824,Mitarbeiter!$A$6:$A$205,0)),"vor Eintritt",IF(AND(INDEX(Mitarbeiter!$D$6:$D$205,MATCH(B2824,Mitarbeiter!$A$6:$A$205,0))&lt;&gt;"",A2824&gt;INDEX(Mitarbeiter!$D$6:$D$205,MATCH(B2824,Mitarbeiter!$A$6:$A$205,0))),"nach Austritt","ok")))))))</f>
        <v/>
      </c>
    </row>
    <row r="2825">
      <c r="A2825" s="26" t="n"/>
      <c r="B2825" s="24" t="n"/>
      <c r="C2825" s="40">
        <f>IF(B2825="","",IFERROR(INDEX(Mitarbeiter!$B$6:$B$205,MATCH(B2825,Mitarbeiter!$A$6:$A$205,0)),"?"))</f>
        <v/>
      </c>
      <c r="D2825" s="41" t="n"/>
      <c r="E2825" s="42" t="n"/>
      <c r="F2825" s="43" t="n"/>
      <c r="G2825" s="44">
        <f>IF(OR(B2825="",F2825=""),"",IFERROR(F2825*INDEX(Mitarbeiter!$F$6:$F$205,MATCH(B2825,Mitarbeiter!$A$6:$A$205,0)),0))</f>
        <v/>
      </c>
      <c r="H2825" s="8">
        <f>IF(B2825="","",IF(ISNA(MATCH(B2825,Mitarbeiter!$A$6:$A$205,0)),"Pers.-Nr. unbekannt",IF(A2825="","Datum fehlt",IF(AND(D2825&lt;&gt;Einstellungen!$C$4,D2825&lt;&gt;Einstellungen!$C$5),"Objekt fehlt",IF(YEAR(A2825)&lt;&gt;Einstellungen!$C$3,"anderes Jahr",IF(A2825&lt;INDEX(Mitarbeiter!$C$6:$C$205,MATCH(B2825,Mitarbeiter!$A$6:$A$205,0)),"vor Eintritt",IF(AND(INDEX(Mitarbeiter!$D$6:$D$205,MATCH(B2825,Mitarbeiter!$A$6:$A$205,0))&lt;&gt;"",A2825&gt;INDEX(Mitarbeiter!$D$6:$D$205,MATCH(B2825,Mitarbeiter!$A$6:$A$205,0))),"nach Austritt","ok")))))))</f>
        <v/>
      </c>
    </row>
    <row r="2826">
      <c r="A2826" s="26" t="n"/>
      <c r="B2826" s="24" t="n"/>
      <c r="C2826" s="40">
        <f>IF(B2826="","",IFERROR(INDEX(Mitarbeiter!$B$6:$B$205,MATCH(B2826,Mitarbeiter!$A$6:$A$205,0)),"?"))</f>
        <v/>
      </c>
      <c r="D2826" s="41" t="n"/>
      <c r="E2826" s="42" t="n"/>
      <c r="F2826" s="43" t="n"/>
      <c r="G2826" s="44">
        <f>IF(OR(B2826="",F2826=""),"",IFERROR(F2826*INDEX(Mitarbeiter!$F$6:$F$205,MATCH(B2826,Mitarbeiter!$A$6:$A$205,0)),0))</f>
        <v/>
      </c>
      <c r="H2826" s="8">
        <f>IF(B2826="","",IF(ISNA(MATCH(B2826,Mitarbeiter!$A$6:$A$205,0)),"Pers.-Nr. unbekannt",IF(A2826="","Datum fehlt",IF(AND(D2826&lt;&gt;Einstellungen!$C$4,D2826&lt;&gt;Einstellungen!$C$5),"Objekt fehlt",IF(YEAR(A2826)&lt;&gt;Einstellungen!$C$3,"anderes Jahr",IF(A2826&lt;INDEX(Mitarbeiter!$C$6:$C$205,MATCH(B2826,Mitarbeiter!$A$6:$A$205,0)),"vor Eintritt",IF(AND(INDEX(Mitarbeiter!$D$6:$D$205,MATCH(B2826,Mitarbeiter!$A$6:$A$205,0))&lt;&gt;"",A2826&gt;INDEX(Mitarbeiter!$D$6:$D$205,MATCH(B2826,Mitarbeiter!$A$6:$A$205,0))),"nach Austritt","ok")))))))</f>
        <v/>
      </c>
    </row>
    <row r="2827">
      <c r="A2827" s="26" t="n"/>
      <c r="B2827" s="24" t="n"/>
      <c r="C2827" s="40">
        <f>IF(B2827="","",IFERROR(INDEX(Mitarbeiter!$B$6:$B$205,MATCH(B2827,Mitarbeiter!$A$6:$A$205,0)),"?"))</f>
        <v/>
      </c>
      <c r="D2827" s="41" t="n"/>
      <c r="E2827" s="42" t="n"/>
      <c r="F2827" s="43" t="n"/>
      <c r="G2827" s="44">
        <f>IF(OR(B2827="",F2827=""),"",IFERROR(F2827*INDEX(Mitarbeiter!$F$6:$F$205,MATCH(B2827,Mitarbeiter!$A$6:$A$205,0)),0))</f>
        <v/>
      </c>
      <c r="H2827" s="8">
        <f>IF(B2827="","",IF(ISNA(MATCH(B2827,Mitarbeiter!$A$6:$A$205,0)),"Pers.-Nr. unbekannt",IF(A2827="","Datum fehlt",IF(AND(D2827&lt;&gt;Einstellungen!$C$4,D2827&lt;&gt;Einstellungen!$C$5),"Objekt fehlt",IF(YEAR(A2827)&lt;&gt;Einstellungen!$C$3,"anderes Jahr",IF(A2827&lt;INDEX(Mitarbeiter!$C$6:$C$205,MATCH(B2827,Mitarbeiter!$A$6:$A$205,0)),"vor Eintritt",IF(AND(INDEX(Mitarbeiter!$D$6:$D$205,MATCH(B2827,Mitarbeiter!$A$6:$A$205,0))&lt;&gt;"",A2827&gt;INDEX(Mitarbeiter!$D$6:$D$205,MATCH(B2827,Mitarbeiter!$A$6:$A$205,0))),"nach Austritt","ok")))))))</f>
        <v/>
      </c>
    </row>
    <row r="2828">
      <c r="A2828" s="26" t="n"/>
      <c r="B2828" s="24" t="n"/>
      <c r="C2828" s="40">
        <f>IF(B2828="","",IFERROR(INDEX(Mitarbeiter!$B$6:$B$205,MATCH(B2828,Mitarbeiter!$A$6:$A$205,0)),"?"))</f>
        <v/>
      </c>
      <c r="D2828" s="41" t="n"/>
      <c r="E2828" s="42" t="n"/>
      <c r="F2828" s="43" t="n"/>
      <c r="G2828" s="44">
        <f>IF(OR(B2828="",F2828=""),"",IFERROR(F2828*INDEX(Mitarbeiter!$F$6:$F$205,MATCH(B2828,Mitarbeiter!$A$6:$A$205,0)),0))</f>
        <v/>
      </c>
      <c r="H2828" s="8">
        <f>IF(B2828="","",IF(ISNA(MATCH(B2828,Mitarbeiter!$A$6:$A$205,0)),"Pers.-Nr. unbekannt",IF(A2828="","Datum fehlt",IF(AND(D2828&lt;&gt;Einstellungen!$C$4,D2828&lt;&gt;Einstellungen!$C$5),"Objekt fehlt",IF(YEAR(A2828)&lt;&gt;Einstellungen!$C$3,"anderes Jahr",IF(A2828&lt;INDEX(Mitarbeiter!$C$6:$C$205,MATCH(B2828,Mitarbeiter!$A$6:$A$205,0)),"vor Eintritt",IF(AND(INDEX(Mitarbeiter!$D$6:$D$205,MATCH(B2828,Mitarbeiter!$A$6:$A$205,0))&lt;&gt;"",A2828&gt;INDEX(Mitarbeiter!$D$6:$D$205,MATCH(B2828,Mitarbeiter!$A$6:$A$205,0))),"nach Austritt","ok")))))))</f>
        <v/>
      </c>
    </row>
    <row r="2829">
      <c r="A2829" s="26" t="n"/>
      <c r="B2829" s="24" t="n"/>
      <c r="C2829" s="40">
        <f>IF(B2829="","",IFERROR(INDEX(Mitarbeiter!$B$6:$B$205,MATCH(B2829,Mitarbeiter!$A$6:$A$205,0)),"?"))</f>
        <v/>
      </c>
      <c r="D2829" s="41" t="n"/>
      <c r="E2829" s="42" t="n"/>
      <c r="F2829" s="43" t="n"/>
      <c r="G2829" s="44">
        <f>IF(OR(B2829="",F2829=""),"",IFERROR(F2829*INDEX(Mitarbeiter!$F$6:$F$205,MATCH(B2829,Mitarbeiter!$A$6:$A$205,0)),0))</f>
        <v/>
      </c>
      <c r="H2829" s="8">
        <f>IF(B2829="","",IF(ISNA(MATCH(B2829,Mitarbeiter!$A$6:$A$205,0)),"Pers.-Nr. unbekannt",IF(A2829="","Datum fehlt",IF(AND(D2829&lt;&gt;Einstellungen!$C$4,D2829&lt;&gt;Einstellungen!$C$5),"Objekt fehlt",IF(YEAR(A2829)&lt;&gt;Einstellungen!$C$3,"anderes Jahr",IF(A2829&lt;INDEX(Mitarbeiter!$C$6:$C$205,MATCH(B2829,Mitarbeiter!$A$6:$A$205,0)),"vor Eintritt",IF(AND(INDEX(Mitarbeiter!$D$6:$D$205,MATCH(B2829,Mitarbeiter!$A$6:$A$205,0))&lt;&gt;"",A2829&gt;INDEX(Mitarbeiter!$D$6:$D$205,MATCH(B2829,Mitarbeiter!$A$6:$A$205,0))),"nach Austritt","ok")))))))</f>
        <v/>
      </c>
    </row>
    <row r="2830">
      <c r="A2830" s="26" t="n"/>
      <c r="B2830" s="24" t="n"/>
      <c r="C2830" s="40">
        <f>IF(B2830="","",IFERROR(INDEX(Mitarbeiter!$B$6:$B$205,MATCH(B2830,Mitarbeiter!$A$6:$A$205,0)),"?"))</f>
        <v/>
      </c>
      <c r="D2830" s="41" t="n"/>
      <c r="E2830" s="42" t="n"/>
      <c r="F2830" s="43" t="n"/>
      <c r="G2830" s="44">
        <f>IF(OR(B2830="",F2830=""),"",IFERROR(F2830*INDEX(Mitarbeiter!$F$6:$F$205,MATCH(B2830,Mitarbeiter!$A$6:$A$205,0)),0))</f>
        <v/>
      </c>
      <c r="H2830" s="8">
        <f>IF(B2830="","",IF(ISNA(MATCH(B2830,Mitarbeiter!$A$6:$A$205,0)),"Pers.-Nr. unbekannt",IF(A2830="","Datum fehlt",IF(AND(D2830&lt;&gt;Einstellungen!$C$4,D2830&lt;&gt;Einstellungen!$C$5),"Objekt fehlt",IF(YEAR(A2830)&lt;&gt;Einstellungen!$C$3,"anderes Jahr",IF(A2830&lt;INDEX(Mitarbeiter!$C$6:$C$205,MATCH(B2830,Mitarbeiter!$A$6:$A$205,0)),"vor Eintritt",IF(AND(INDEX(Mitarbeiter!$D$6:$D$205,MATCH(B2830,Mitarbeiter!$A$6:$A$205,0))&lt;&gt;"",A2830&gt;INDEX(Mitarbeiter!$D$6:$D$205,MATCH(B2830,Mitarbeiter!$A$6:$A$205,0))),"nach Austritt","ok")))))))</f>
        <v/>
      </c>
    </row>
    <row r="2831">
      <c r="A2831" s="26" t="n"/>
      <c r="B2831" s="24" t="n"/>
      <c r="C2831" s="40">
        <f>IF(B2831="","",IFERROR(INDEX(Mitarbeiter!$B$6:$B$205,MATCH(B2831,Mitarbeiter!$A$6:$A$205,0)),"?"))</f>
        <v/>
      </c>
      <c r="D2831" s="41" t="n"/>
      <c r="E2831" s="42" t="n"/>
      <c r="F2831" s="43" t="n"/>
      <c r="G2831" s="44">
        <f>IF(OR(B2831="",F2831=""),"",IFERROR(F2831*INDEX(Mitarbeiter!$F$6:$F$205,MATCH(B2831,Mitarbeiter!$A$6:$A$205,0)),0))</f>
        <v/>
      </c>
      <c r="H2831" s="8">
        <f>IF(B2831="","",IF(ISNA(MATCH(B2831,Mitarbeiter!$A$6:$A$205,0)),"Pers.-Nr. unbekannt",IF(A2831="","Datum fehlt",IF(AND(D2831&lt;&gt;Einstellungen!$C$4,D2831&lt;&gt;Einstellungen!$C$5),"Objekt fehlt",IF(YEAR(A2831)&lt;&gt;Einstellungen!$C$3,"anderes Jahr",IF(A2831&lt;INDEX(Mitarbeiter!$C$6:$C$205,MATCH(B2831,Mitarbeiter!$A$6:$A$205,0)),"vor Eintritt",IF(AND(INDEX(Mitarbeiter!$D$6:$D$205,MATCH(B2831,Mitarbeiter!$A$6:$A$205,0))&lt;&gt;"",A2831&gt;INDEX(Mitarbeiter!$D$6:$D$205,MATCH(B2831,Mitarbeiter!$A$6:$A$205,0))),"nach Austritt","ok")))))))</f>
        <v/>
      </c>
    </row>
    <row r="2832">
      <c r="A2832" s="26" t="n"/>
      <c r="B2832" s="24" t="n"/>
      <c r="C2832" s="40">
        <f>IF(B2832="","",IFERROR(INDEX(Mitarbeiter!$B$6:$B$205,MATCH(B2832,Mitarbeiter!$A$6:$A$205,0)),"?"))</f>
        <v/>
      </c>
      <c r="D2832" s="41" t="n"/>
      <c r="E2832" s="42" t="n"/>
      <c r="F2832" s="43" t="n"/>
      <c r="G2832" s="44">
        <f>IF(OR(B2832="",F2832=""),"",IFERROR(F2832*INDEX(Mitarbeiter!$F$6:$F$205,MATCH(B2832,Mitarbeiter!$A$6:$A$205,0)),0))</f>
        <v/>
      </c>
      <c r="H2832" s="8">
        <f>IF(B2832="","",IF(ISNA(MATCH(B2832,Mitarbeiter!$A$6:$A$205,0)),"Pers.-Nr. unbekannt",IF(A2832="","Datum fehlt",IF(AND(D2832&lt;&gt;Einstellungen!$C$4,D2832&lt;&gt;Einstellungen!$C$5),"Objekt fehlt",IF(YEAR(A2832)&lt;&gt;Einstellungen!$C$3,"anderes Jahr",IF(A2832&lt;INDEX(Mitarbeiter!$C$6:$C$205,MATCH(B2832,Mitarbeiter!$A$6:$A$205,0)),"vor Eintritt",IF(AND(INDEX(Mitarbeiter!$D$6:$D$205,MATCH(B2832,Mitarbeiter!$A$6:$A$205,0))&lt;&gt;"",A2832&gt;INDEX(Mitarbeiter!$D$6:$D$205,MATCH(B2832,Mitarbeiter!$A$6:$A$205,0))),"nach Austritt","ok")))))))</f>
        <v/>
      </c>
    </row>
    <row r="2833">
      <c r="A2833" s="26" t="n"/>
      <c r="B2833" s="24" t="n"/>
      <c r="C2833" s="40">
        <f>IF(B2833="","",IFERROR(INDEX(Mitarbeiter!$B$6:$B$205,MATCH(B2833,Mitarbeiter!$A$6:$A$205,0)),"?"))</f>
        <v/>
      </c>
      <c r="D2833" s="41" t="n"/>
      <c r="E2833" s="42" t="n"/>
      <c r="F2833" s="43" t="n"/>
      <c r="G2833" s="44">
        <f>IF(OR(B2833="",F2833=""),"",IFERROR(F2833*INDEX(Mitarbeiter!$F$6:$F$205,MATCH(B2833,Mitarbeiter!$A$6:$A$205,0)),0))</f>
        <v/>
      </c>
      <c r="H2833" s="8">
        <f>IF(B2833="","",IF(ISNA(MATCH(B2833,Mitarbeiter!$A$6:$A$205,0)),"Pers.-Nr. unbekannt",IF(A2833="","Datum fehlt",IF(AND(D2833&lt;&gt;Einstellungen!$C$4,D2833&lt;&gt;Einstellungen!$C$5),"Objekt fehlt",IF(YEAR(A2833)&lt;&gt;Einstellungen!$C$3,"anderes Jahr",IF(A2833&lt;INDEX(Mitarbeiter!$C$6:$C$205,MATCH(B2833,Mitarbeiter!$A$6:$A$205,0)),"vor Eintritt",IF(AND(INDEX(Mitarbeiter!$D$6:$D$205,MATCH(B2833,Mitarbeiter!$A$6:$A$205,0))&lt;&gt;"",A2833&gt;INDEX(Mitarbeiter!$D$6:$D$205,MATCH(B2833,Mitarbeiter!$A$6:$A$205,0))),"nach Austritt","ok")))))))</f>
        <v/>
      </c>
    </row>
    <row r="2834">
      <c r="A2834" s="26" t="n"/>
      <c r="B2834" s="24" t="n"/>
      <c r="C2834" s="40">
        <f>IF(B2834="","",IFERROR(INDEX(Mitarbeiter!$B$6:$B$205,MATCH(B2834,Mitarbeiter!$A$6:$A$205,0)),"?"))</f>
        <v/>
      </c>
      <c r="D2834" s="41" t="n"/>
      <c r="E2834" s="42" t="n"/>
      <c r="F2834" s="43" t="n"/>
      <c r="G2834" s="44">
        <f>IF(OR(B2834="",F2834=""),"",IFERROR(F2834*INDEX(Mitarbeiter!$F$6:$F$205,MATCH(B2834,Mitarbeiter!$A$6:$A$205,0)),0))</f>
        <v/>
      </c>
      <c r="H2834" s="8">
        <f>IF(B2834="","",IF(ISNA(MATCH(B2834,Mitarbeiter!$A$6:$A$205,0)),"Pers.-Nr. unbekannt",IF(A2834="","Datum fehlt",IF(AND(D2834&lt;&gt;Einstellungen!$C$4,D2834&lt;&gt;Einstellungen!$C$5),"Objekt fehlt",IF(YEAR(A2834)&lt;&gt;Einstellungen!$C$3,"anderes Jahr",IF(A2834&lt;INDEX(Mitarbeiter!$C$6:$C$205,MATCH(B2834,Mitarbeiter!$A$6:$A$205,0)),"vor Eintritt",IF(AND(INDEX(Mitarbeiter!$D$6:$D$205,MATCH(B2834,Mitarbeiter!$A$6:$A$205,0))&lt;&gt;"",A2834&gt;INDEX(Mitarbeiter!$D$6:$D$205,MATCH(B2834,Mitarbeiter!$A$6:$A$205,0))),"nach Austritt","ok")))))))</f>
        <v/>
      </c>
    </row>
    <row r="2835">
      <c r="A2835" s="26" t="n"/>
      <c r="B2835" s="24" t="n"/>
      <c r="C2835" s="40">
        <f>IF(B2835="","",IFERROR(INDEX(Mitarbeiter!$B$6:$B$205,MATCH(B2835,Mitarbeiter!$A$6:$A$205,0)),"?"))</f>
        <v/>
      </c>
      <c r="D2835" s="41" t="n"/>
      <c r="E2835" s="42" t="n"/>
      <c r="F2835" s="43" t="n"/>
      <c r="G2835" s="44">
        <f>IF(OR(B2835="",F2835=""),"",IFERROR(F2835*INDEX(Mitarbeiter!$F$6:$F$205,MATCH(B2835,Mitarbeiter!$A$6:$A$205,0)),0))</f>
        <v/>
      </c>
      <c r="H2835" s="8">
        <f>IF(B2835="","",IF(ISNA(MATCH(B2835,Mitarbeiter!$A$6:$A$205,0)),"Pers.-Nr. unbekannt",IF(A2835="","Datum fehlt",IF(AND(D2835&lt;&gt;Einstellungen!$C$4,D2835&lt;&gt;Einstellungen!$C$5),"Objekt fehlt",IF(YEAR(A2835)&lt;&gt;Einstellungen!$C$3,"anderes Jahr",IF(A2835&lt;INDEX(Mitarbeiter!$C$6:$C$205,MATCH(B2835,Mitarbeiter!$A$6:$A$205,0)),"vor Eintritt",IF(AND(INDEX(Mitarbeiter!$D$6:$D$205,MATCH(B2835,Mitarbeiter!$A$6:$A$205,0))&lt;&gt;"",A2835&gt;INDEX(Mitarbeiter!$D$6:$D$205,MATCH(B2835,Mitarbeiter!$A$6:$A$205,0))),"nach Austritt","ok")))))))</f>
        <v/>
      </c>
    </row>
    <row r="2836">
      <c r="A2836" s="26" t="n"/>
      <c r="B2836" s="24" t="n"/>
      <c r="C2836" s="40">
        <f>IF(B2836="","",IFERROR(INDEX(Mitarbeiter!$B$6:$B$205,MATCH(B2836,Mitarbeiter!$A$6:$A$205,0)),"?"))</f>
        <v/>
      </c>
      <c r="D2836" s="41" t="n"/>
      <c r="E2836" s="42" t="n"/>
      <c r="F2836" s="43" t="n"/>
      <c r="G2836" s="44">
        <f>IF(OR(B2836="",F2836=""),"",IFERROR(F2836*INDEX(Mitarbeiter!$F$6:$F$205,MATCH(B2836,Mitarbeiter!$A$6:$A$205,0)),0))</f>
        <v/>
      </c>
      <c r="H2836" s="8">
        <f>IF(B2836="","",IF(ISNA(MATCH(B2836,Mitarbeiter!$A$6:$A$205,0)),"Pers.-Nr. unbekannt",IF(A2836="","Datum fehlt",IF(AND(D2836&lt;&gt;Einstellungen!$C$4,D2836&lt;&gt;Einstellungen!$C$5),"Objekt fehlt",IF(YEAR(A2836)&lt;&gt;Einstellungen!$C$3,"anderes Jahr",IF(A2836&lt;INDEX(Mitarbeiter!$C$6:$C$205,MATCH(B2836,Mitarbeiter!$A$6:$A$205,0)),"vor Eintritt",IF(AND(INDEX(Mitarbeiter!$D$6:$D$205,MATCH(B2836,Mitarbeiter!$A$6:$A$205,0))&lt;&gt;"",A2836&gt;INDEX(Mitarbeiter!$D$6:$D$205,MATCH(B2836,Mitarbeiter!$A$6:$A$205,0))),"nach Austritt","ok")))))))</f>
        <v/>
      </c>
    </row>
    <row r="2837">
      <c r="A2837" s="26" t="n"/>
      <c r="B2837" s="24" t="n"/>
      <c r="C2837" s="40">
        <f>IF(B2837="","",IFERROR(INDEX(Mitarbeiter!$B$6:$B$205,MATCH(B2837,Mitarbeiter!$A$6:$A$205,0)),"?"))</f>
        <v/>
      </c>
      <c r="D2837" s="41" t="n"/>
      <c r="E2837" s="42" t="n"/>
      <c r="F2837" s="43" t="n"/>
      <c r="G2837" s="44">
        <f>IF(OR(B2837="",F2837=""),"",IFERROR(F2837*INDEX(Mitarbeiter!$F$6:$F$205,MATCH(B2837,Mitarbeiter!$A$6:$A$205,0)),0))</f>
        <v/>
      </c>
      <c r="H2837" s="8">
        <f>IF(B2837="","",IF(ISNA(MATCH(B2837,Mitarbeiter!$A$6:$A$205,0)),"Pers.-Nr. unbekannt",IF(A2837="","Datum fehlt",IF(AND(D2837&lt;&gt;Einstellungen!$C$4,D2837&lt;&gt;Einstellungen!$C$5),"Objekt fehlt",IF(YEAR(A2837)&lt;&gt;Einstellungen!$C$3,"anderes Jahr",IF(A2837&lt;INDEX(Mitarbeiter!$C$6:$C$205,MATCH(B2837,Mitarbeiter!$A$6:$A$205,0)),"vor Eintritt",IF(AND(INDEX(Mitarbeiter!$D$6:$D$205,MATCH(B2837,Mitarbeiter!$A$6:$A$205,0))&lt;&gt;"",A2837&gt;INDEX(Mitarbeiter!$D$6:$D$205,MATCH(B2837,Mitarbeiter!$A$6:$A$205,0))),"nach Austritt","ok")))))))</f>
        <v/>
      </c>
    </row>
    <row r="2838">
      <c r="A2838" s="26" t="n"/>
      <c r="B2838" s="24" t="n"/>
      <c r="C2838" s="40">
        <f>IF(B2838="","",IFERROR(INDEX(Mitarbeiter!$B$6:$B$205,MATCH(B2838,Mitarbeiter!$A$6:$A$205,0)),"?"))</f>
        <v/>
      </c>
      <c r="D2838" s="41" t="n"/>
      <c r="E2838" s="42" t="n"/>
      <c r="F2838" s="43" t="n"/>
      <c r="G2838" s="44">
        <f>IF(OR(B2838="",F2838=""),"",IFERROR(F2838*INDEX(Mitarbeiter!$F$6:$F$205,MATCH(B2838,Mitarbeiter!$A$6:$A$205,0)),0))</f>
        <v/>
      </c>
      <c r="H2838" s="8">
        <f>IF(B2838="","",IF(ISNA(MATCH(B2838,Mitarbeiter!$A$6:$A$205,0)),"Pers.-Nr. unbekannt",IF(A2838="","Datum fehlt",IF(AND(D2838&lt;&gt;Einstellungen!$C$4,D2838&lt;&gt;Einstellungen!$C$5),"Objekt fehlt",IF(YEAR(A2838)&lt;&gt;Einstellungen!$C$3,"anderes Jahr",IF(A2838&lt;INDEX(Mitarbeiter!$C$6:$C$205,MATCH(B2838,Mitarbeiter!$A$6:$A$205,0)),"vor Eintritt",IF(AND(INDEX(Mitarbeiter!$D$6:$D$205,MATCH(B2838,Mitarbeiter!$A$6:$A$205,0))&lt;&gt;"",A2838&gt;INDEX(Mitarbeiter!$D$6:$D$205,MATCH(B2838,Mitarbeiter!$A$6:$A$205,0))),"nach Austritt","ok")))))))</f>
        <v/>
      </c>
    </row>
    <row r="2839">
      <c r="A2839" s="26" t="n"/>
      <c r="B2839" s="24" t="n"/>
      <c r="C2839" s="40">
        <f>IF(B2839="","",IFERROR(INDEX(Mitarbeiter!$B$6:$B$205,MATCH(B2839,Mitarbeiter!$A$6:$A$205,0)),"?"))</f>
        <v/>
      </c>
      <c r="D2839" s="41" t="n"/>
      <c r="E2839" s="42" t="n"/>
      <c r="F2839" s="43" t="n"/>
      <c r="G2839" s="44">
        <f>IF(OR(B2839="",F2839=""),"",IFERROR(F2839*INDEX(Mitarbeiter!$F$6:$F$205,MATCH(B2839,Mitarbeiter!$A$6:$A$205,0)),0))</f>
        <v/>
      </c>
      <c r="H2839" s="8">
        <f>IF(B2839="","",IF(ISNA(MATCH(B2839,Mitarbeiter!$A$6:$A$205,0)),"Pers.-Nr. unbekannt",IF(A2839="","Datum fehlt",IF(AND(D2839&lt;&gt;Einstellungen!$C$4,D2839&lt;&gt;Einstellungen!$C$5),"Objekt fehlt",IF(YEAR(A2839)&lt;&gt;Einstellungen!$C$3,"anderes Jahr",IF(A2839&lt;INDEX(Mitarbeiter!$C$6:$C$205,MATCH(B2839,Mitarbeiter!$A$6:$A$205,0)),"vor Eintritt",IF(AND(INDEX(Mitarbeiter!$D$6:$D$205,MATCH(B2839,Mitarbeiter!$A$6:$A$205,0))&lt;&gt;"",A2839&gt;INDEX(Mitarbeiter!$D$6:$D$205,MATCH(B2839,Mitarbeiter!$A$6:$A$205,0))),"nach Austritt","ok")))))))</f>
        <v/>
      </c>
    </row>
    <row r="2840">
      <c r="A2840" s="26" t="n"/>
      <c r="B2840" s="24" t="n"/>
      <c r="C2840" s="40">
        <f>IF(B2840="","",IFERROR(INDEX(Mitarbeiter!$B$6:$B$205,MATCH(B2840,Mitarbeiter!$A$6:$A$205,0)),"?"))</f>
        <v/>
      </c>
      <c r="D2840" s="41" t="n"/>
      <c r="E2840" s="42" t="n"/>
      <c r="F2840" s="43" t="n"/>
      <c r="G2840" s="44">
        <f>IF(OR(B2840="",F2840=""),"",IFERROR(F2840*INDEX(Mitarbeiter!$F$6:$F$205,MATCH(B2840,Mitarbeiter!$A$6:$A$205,0)),0))</f>
        <v/>
      </c>
      <c r="H2840" s="8">
        <f>IF(B2840="","",IF(ISNA(MATCH(B2840,Mitarbeiter!$A$6:$A$205,0)),"Pers.-Nr. unbekannt",IF(A2840="","Datum fehlt",IF(AND(D2840&lt;&gt;Einstellungen!$C$4,D2840&lt;&gt;Einstellungen!$C$5),"Objekt fehlt",IF(YEAR(A2840)&lt;&gt;Einstellungen!$C$3,"anderes Jahr",IF(A2840&lt;INDEX(Mitarbeiter!$C$6:$C$205,MATCH(B2840,Mitarbeiter!$A$6:$A$205,0)),"vor Eintritt",IF(AND(INDEX(Mitarbeiter!$D$6:$D$205,MATCH(B2840,Mitarbeiter!$A$6:$A$205,0))&lt;&gt;"",A2840&gt;INDEX(Mitarbeiter!$D$6:$D$205,MATCH(B2840,Mitarbeiter!$A$6:$A$205,0))),"nach Austritt","ok")))))))</f>
        <v/>
      </c>
    </row>
    <row r="2841">
      <c r="A2841" s="26" t="n"/>
      <c r="B2841" s="24" t="n"/>
      <c r="C2841" s="40">
        <f>IF(B2841="","",IFERROR(INDEX(Mitarbeiter!$B$6:$B$205,MATCH(B2841,Mitarbeiter!$A$6:$A$205,0)),"?"))</f>
        <v/>
      </c>
      <c r="D2841" s="41" t="n"/>
      <c r="E2841" s="42" t="n"/>
      <c r="F2841" s="43" t="n"/>
      <c r="G2841" s="44">
        <f>IF(OR(B2841="",F2841=""),"",IFERROR(F2841*INDEX(Mitarbeiter!$F$6:$F$205,MATCH(B2841,Mitarbeiter!$A$6:$A$205,0)),0))</f>
        <v/>
      </c>
      <c r="H2841" s="8">
        <f>IF(B2841="","",IF(ISNA(MATCH(B2841,Mitarbeiter!$A$6:$A$205,0)),"Pers.-Nr. unbekannt",IF(A2841="","Datum fehlt",IF(AND(D2841&lt;&gt;Einstellungen!$C$4,D2841&lt;&gt;Einstellungen!$C$5),"Objekt fehlt",IF(YEAR(A2841)&lt;&gt;Einstellungen!$C$3,"anderes Jahr",IF(A2841&lt;INDEX(Mitarbeiter!$C$6:$C$205,MATCH(B2841,Mitarbeiter!$A$6:$A$205,0)),"vor Eintritt",IF(AND(INDEX(Mitarbeiter!$D$6:$D$205,MATCH(B2841,Mitarbeiter!$A$6:$A$205,0))&lt;&gt;"",A2841&gt;INDEX(Mitarbeiter!$D$6:$D$205,MATCH(B2841,Mitarbeiter!$A$6:$A$205,0))),"nach Austritt","ok")))))))</f>
        <v/>
      </c>
    </row>
    <row r="2842">
      <c r="A2842" s="26" t="n"/>
      <c r="B2842" s="24" t="n"/>
      <c r="C2842" s="40">
        <f>IF(B2842="","",IFERROR(INDEX(Mitarbeiter!$B$6:$B$205,MATCH(B2842,Mitarbeiter!$A$6:$A$205,0)),"?"))</f>
        <v/>
      </c>
      <c r="D2842" s="41" t="n"/>
      <c r="E2842" s="42" t="n"/>
      <c r="F2842" s="43" t="n"/>
      <c r="G2842" s="44">
        <f>IF(OR(B2842="",F2842=""),"",IFERROR(F2842*INDEX(Mitarbeiter!$F$6:$F$205,MATCH(B2842,Mitarbeiter!$A$6:$A$205,0)),0))</f>
        <v/>
      </c>
      <c r="H2842" s="8">
        <f>IF(B2842="","",IF(ISNA(MATCH(B2842,Mitarbeiter!$A$6:$A$205,0)),"Pers.-Nr. unbekannt",IF(A2842="","Datum fehlt",IF(AND(D2842&lt;&gt;Einstellungen!$C$4,D2842&lt;&gt;Einstellungen!$C$5),"Objekt fehlt",IF(YEAR(A2842)&lt;&gt;Einstellungen!$C$3,"anderes Jahr",IF(A2842&lt;INDEX(Mitarbeiter!$C$6:$C$205,MATCH(B2842,Mitarbeiter!$A$6:$A$205,0)),"vor Eintritt",IF(AND(INDEX(Mitarbeiter!$D$6:$D$205,MATCH(B2842,Mitarbeiter!$A$6:$A$205,0))&lt;&gt;"",A2842&gt;INDEX(Mitarbeiter!$D$6:$D$205,MATCH(B2842,Mitarbeiter!$A$6:$A$205,0))),"nach Austritt","ok")))))))</f>
        <v/>
      </c>
    </row>
    <row r="2843">
      <c r="A2843" s="26" t="n"/>
      <c r="B2843" s="24" t="n"/>
      <c r="C2843" s="40">
        <f>IF(B2843="","",IFERROR(INDEX(Mitarbeiter!$B$6:$B$205,MATCH(B2843,Mitarbeiter!$A$6:$A$205,0)),"?"))</f>
        <v/>
      </c>
      <c r="D2843" s="41" t="n"/>
      <c r="E2843" s="42" t="n"/>
      <c r="F2843" s="43" t="n"/>
      <c r="G2843" s="44">
        <f>IF(OR(B2843="",F2843=""),"",IFERROR(F2843*INDEX(Mitarbeiter!$F$6:$F$205,MATCH(B2843,Mitarbeiter!$A$6:$A$205,0)),0))</f>
        <v/>
      </c>
      <c r="H2843" s="8">
        <f>IF(B2843="","",IF(ISNA(MATCH(B2843,Mitarbeiter!$A$6:$A$205,0)),"Pers.-Nr. unbekannt",IF(A2843="","Datum fehlt",IF(AND(D2843&lt;&gt;Einstellungen!$C$4,D2843&lt;&gt;Einstellungen!$C$5),"Objekt fehlt",IF(YEAR(A2843)&lt;&gt;Einstellungen!$C$3,"anderes Jahr",IF(A2843&lt;INDEX(Mitarbeiter!$C$6:$C$205,MATCH(B2843,Mitarbeiter!$A$6:$A$205,0)),"vor Eintritt",IF(AND(INDEX(Mitarbeiter!$D$6:$D$205,MATCH(B2843,Mitarbeiter!$A$6:$A$205,0))&lt;&gt;"",A2843&gt;INDEX(Mitarbeiter!$D$6:$D$205,MATCH(B2843,Mitarbeiter!$A$6:$A$205,0))),"nach Austritt","ok")))))))</f>
        <v/>
      </c>
    </row>
    <row r="2844">
      <c r="A2844" s="26" t="n"/>
      <c r="B2844" s="24" t="n"/>
      <c r="C2844" s="40">
        <f>IF(B2844="","",IFERROR(INDEX(Mitarbeiter!$B$6:$B$205,MATCH(B2844,Mitarbeiter!$A$6:$A$205,0)),"?"))</f>
        <v/>
      </c>
      <c r="D2844" s="41" t="n"/>
      <c r="E2844" s="42" t="n"/>
      <c r="F2844" s="43" t="n"/>
      <c r="G2844" s="44">
        <f>IF(OR(B2844="",F2844=""),"",IFERROR(F2844*INDEX(Mitarbeiter!$F$6:$F$205,MATCH(B2844,Mitarbeiter!$A$6:$A$205,0)),0))</f>
        <v/>
      </c>
      <c r="H2844" s="8">
        <f>IF(B2844="","",IF(ISNA(MATCH(B2844,Mitarbeiter!$A$6:$A$205,0)),"Pers.-Nr. unbekannt",IF(A2844="","Datum fehlt",IF(AND(D2844&lt;&gt;Einstellungen!$C$4,D2844&lt;&gt;Einstellungen!$C$5),"Objekt fehlt",IF(YEAR(A2844)&lt;&gt;Einstellungen!$C$3,"anderes Jahr",IF(A2844&lt;INDEX(Mitarbeiter!$C$6:$C$205,MATCH(B2844,Mitarbeiter!$A$6:$A$205,0)),"vor Eintritt",IF(AND(INDEX(Mitarbeiter!$D$6:$D$205,MATCH(B2844,Mitarbeiter!$A$6:$A$205,0))&lt;&gt;"",A2844&gt;INDEX(Mitarbeiter!$D$6:$D$205,MATCH(B2844,Mitarbeiter!$A$6:$A$205,0))),"nach Austritt","ok")))))))</f>
        <v/>
      </c>
    </row>
    <row r="2845">
      <c r="A2845" s="26" t="n"/>
      <c r="B2845" s="24" t="n"/>
      <c r="C2845" s="40">
        <f>IF(B2845="","",IFERROR(INDEX(Mitarbeiter!$B$6:$B$205,MATCH(B2845,Mitarbeiter!$A$6:$A$205,0)),"?"))</f>
        <v/>
      </c>
      <c r="D2845" s="41" t="n"/>
      <c r="E2845" s="42" t="n"/>
      <c r="F2845" s="43" t="n"/>
      <c r="G2845" s="44">
        <f>IF(OR(B2845="",F2845=""),"",IFERROR(F2845*INDEX(Mitarbeiter!$F$6:$F$205,MATCH(B2845,Mitarbeiter!$A$6:$A$205,0)),0))</f>
        <v/>
      </c>
      <c r="H2845" s="8">
        <f>IF(B2845="","",IF(ISNA(MATCH(B2845,Mitarbeiter!$A$6:$A$205,0)),"Pers.-Nr. unbekannt",IF(A2845="","Datum fehlt",IF(AND(D2845&lt;&gt;Einstellungen!$C$4,D2845&lt;&gt;Einstellungen!$C$5),"Objekt fehlt",IF(YEAR(A2845)&lt;&gt;Einstellungen!$C$3,"anderes Jahr",IF(A2845&lt;INDEX(Mitarbeiter!$C$6:$C$205,MATCH(B2845,Mitarbeiter!$A$6:$A$205,0)),"vor Eintritt",IF(AND(INDEX(Mitarbeiter!$D$6:$D$205,MATCH(B2845,Mitarbeiter!$A$6:$A$205,0))&lt;&gt;"",A2845&gt;INDEX(Mitarbeiter!$D$6:$D$205,MATCH(B2845,Mitarbeiter!$A$6:$A$205,0))),"nach Austritt","ok")))))))</f>
        <v/>
      </c>
    </row>
    <row r="2846">
      <c r="A2846" s="26" t="n"/>
      <c r="B2846" s="24" t="n"/>
      <c r="C2846" s="40">
        <f>IF(B2846="","",IFERROR(INDEX(Mitarbeiter!$B$6:$B$205,MATCH(B2846,Mitarbeiter!$A$6:$A$205,0)),"?"))</f>
        <v/>
      </c>
      <c r="D2846" s="41" t="n"/>
      <c r="E2846" s="42" t="n"/>
      <c r="F2846" s="43" t="n"/>
      <c r="G2846" s="44">
        <f>IF(OR(B2846="",F2846=""),"",IFERROR(F2846*INDEX(Mitarbeiter!$F$6:$F$205,MATCH(B2846,Mitarbeiter!$A$6:$A$205,0)),0))</f>
        <v/>
      </c>
      <c r="H2846" s="8">
        <f>IF(B2846="","",IF(ISNA(MATCH(B2846,Mitarbeiter!$A$6:$A$205,0)),"Pers.-Nr. unbekannt",IF(A2846="","Datum fehlt",IF(AND(D2846&lt;&gt;Einstellungen!$C$4,D2846&lt;&gt;Einstellungen!$C$5),"Objekt fehlt",IF(YEAR(A2846)&lt;&gt;Einstellungen!$C$3,"anderes Jahr",IF(A2846&lt;INDEX(Mitarbeiter!$C$6:$C$205,MATCH(B2846,Mitarbeiter!$A$6:$A$205,0)),"vor Eintritt",IF(AND(INDEX(Mitarbeiter!$D$6:$D$205,MATCH(B2846,Mitarbeiter!$A$6:$A$205,0))&lt;&gt;"",A2846&gt;INDEX(Mitarbeiter!$D$6:$D$205,MATCH(B2846,Mitarbeiter!$A$6:$A$205,0))),"nach Austritt","ok")))))))</f>
        <v/>
      </c>
    </row>
    <row r="2847">
      <c r="A2847" s="26" t="n"/>
      <c r="B2847" s="24" t="n"/>
      <c r="C2847" s="40">
        <f>IF(B2847="","",IFERROR(INDEX(Mitarbeiter!$B$6:$B$205,MATCH(B2847,Mitarbeiter!$A$6:$A$205,0)),"?"))</f>
        <v/>
      </c>
      <c r="D2847" s="41" t="n"/>
      <c r="E2847" s="42" t="n"/>
      <c r="F2847" s="43" t="n"/>
      <c r="G2847" s="44">
        <f>IF(OR(B2847="",F2847=""),"",IFERROR(F2847*INDEX(Mitarbeiter!$F$6:$F$205,MATCH(B2847,Mitarbeiter!$A$6:$A$205,0)),0))</f>
        <v/>
      </c>
      <c r="H2847" s="8">
        <f>IF(B2847="","",IF(ISNA(MATCH(B2847,Mitarbeiter!$A$6:$A$205,0)),"Pers.-Nr. unbekannt",IF(A2847="","Datum fehlt",IF(AND(D2847&lt;&gt;Einstellungen!$C$4,D2847&lt;&gt;Einstellungen!$C$5),"Objekt fehlt",IF(YEAR(A2847)&lt;&gt;Einstellungen!$C$3,"anderes Jahr",IF(A2847&lt;INDEX(Mitarbeiter!$C$6:$C$205,MATCH(B2847,Mitarbeiter!$A$6:$A$205,0)),"vor Eintritt",IF(AND(INDEX(Mitarbeiter!$D$6:$D$205,MATCH(B2847,Mitarbeiter!$A$6:$A$205,0))&lt;&gt;"",A2847&gt;INDEX(Mitarbeiter!$D$6:$D$205,MATCH(B2847,Mitarbeiter!$A$6:$A$205,0))),"nach Austritt","ok")))))))</f>
        <v/>
      </c>
    </row>
    <row r="2848">
      <c r="A2848" s="26" t="n"/>
      <c r="B2848" s="24" t="n"/>
      <c r="C2848" s="40">
        <f>IF(B2848="","",IFERROR(INDEX(Mitarbeiter!$B$6:$B$205,MATCH(B2848,Mitarbeiter!$A$6:$A$205,0)),"?"))</f>
        <v/>
      </c>
      <c r="D2848" s="41" t="n"/>
      <c r="E2848" s="42" t="n"/>
      <c r="F2848" s="43" t="n"/>
      <c r="G2848" s="44">
        <f>IF(OR(B2848="",F2848=""),"",IFERROR(F2848*INDEX(Mitarbeiter!$F$6:$F$205,MATCH(B2848,Mitarbeiter!$A$6:$A$205,0)),0))</f>
        <v/>
      </c>
      <c r="H2848" s="8">
        <f>IF(B2848="","",IF(ISNA(MATCH(B2848,Mitarbeiter!$A$6:$A$205,0)),"Pers.-Nr. unbekannt",IF(A2848="","Datum fehlt",IF(AND(D2848&lt;&gt;Einstellungen!$C$4,D2848&lt;&gt;Einstellungen!$C$5),"Objekt fehlt",IF(YEAR(A2848)&lt;&gt;Einstellungen!$C$3,"anderes Jahr",IF(A2848&lt;INDEX(Mitarbeiter!$C$6:$C$205,MATCH(B2848,Mitarbeiter!$A$6:$A$205,0)),"vor Eintritt",IF(AND(INDEX(Mitarbeiter!$D$6:$D$205,MATCH(B2848,Mitarbeiter!$A$6:$A$205,0))&lt;&gt;"",A2848&gt;INDEX(Mitarbeiter!$D$6:$D$205,MATCH(B2848,Mitarbeiter!$A$6:$A$205,0))),"nach Austritt","ok")))))))</f>
        <v/>
      </c>
    </row>
    <row r="2849">
      <c r="A2849" s="26" t="n"/>
      <c r="B2849" s="24" t="n"/>
      <c r="C2849" s="40">
        <f>IF(B2849="","",IFERROR(INDEX(Mitarbeiter!$B$6:$B$205,MATCH(B2849,Mitarbeiter!$A$6:$A$205,0)),"?"))</f>
        <v/>
      </c>
      <c r="D2849" s="41" t="n"/>
      <c r="E2849" s="42" t="n"/>
      <c r="F2849" s="43" t="n"/>
      <c r="G2849" s="44">
        <f>IF(OR(B2849="",F2849=""),"",IFERROR(F2849*INDEX(Mitarbeiter!$F$6:$F$205,MATCH(B2849,Mitarbeiter!$A$6:$A$205,0)),0))</f>
        <v/>
      </c>
      <c r="H2849" s="8">
        <f>IF(B2849="","",IF(ISNA(MATCH(B2849,Mitarbeiter!$A$6:$A$205,0)),"Pers.-Nr. unbekannt",IF(A2849="","Datum fehlt",IF(AND(D2849&lt;&gt;Einstellungen!$C$4,D2849&lt;&gt;Einstellungen!$C$5),"Objekt fehlt",IF(YEAR(A2849)&lt;&gt;Einstellungen!$C$3,"anderes Jahr",IF(A2849&lt;INDEX(Mitarbeiter!$C$6:$C$205,MATCH(B2849,Mitarbeiter!$A$6:$A$205,0)),"vor Eintritt",IF(AND(INDEX(Mitarbeiter!$D$6:$D$205,MATCH(B2849,Mitarbeiter!$A$6:$A$205,0))&lt;&gt;"",A2849&gt;INDEX(Mitarbeiter!$D$6:$D$205,MATCH(B2849,Mitarbeiter!$A$6:$A$205,0))),"nach Austritt","ok")))))))</f>
        <v/>
      </c>
    </row>
    <row r="2850">
      <c r="A2850" s="26" t="n"/>
      <c r="B2850" s="24" t="n"/>
      <c r="C2850" s="40">
        <f>IF(B2850="","",IFERROR(INDEX(Mitarbeiter!$B$6:$B$205,MATCH(B2850,Mitarbeiter!$A$6:$A$205,0)),"?"))</f>
        <v/>
      </c>
      <c r="D2850" s="41" t="n"/>
      <c r="E2850" s="42" t="n"/>
      <c r="F2850" s="43" t="n"/>
      <c r="G2850" s="44">
        <f>IF(OR(B2850="",F2850=""),"",IFERROR(F2850*INDEX(Mitarbeiter!$F$6:$F$205,MATCH(B2850,Mitarbeiter!$A$6:$A$205,0)),0))</f>
        <v/>
      </c>
      <c r="H2850" s="8">
        <f>IF(B2850="","",IF(ISNA(MATCH(B2850,Mitarbeiter!$A$6:$A$205,0)),"Pers.-Nr. unbekannt",IF(A2850="","Datum fehlt",IF(AND(D2850&lt;&gt;Einstellungen!$C$4,D2850&lt;&gt;Einstellungen!$C$5),"Objekt fehlt",IF(YEAR(A2850)&lt;&gt;Einstellungen!$C$3,"anderes Jahr",IF(A2850&lt;INDEX(Mitarbeiter!$C$6:$C$205,MATCH(B2850,Mitarbeiter!$A$6:$A$205,0)),"vor Eintritt",IF(AND(INDEX(Mitarbeiter!$D$6:$D$205,MATCH(B2850,Mitarbeiter!$A$6:$A$205,0))&lt;&gt;"",A2850&gt;INDEX(Mitarbeiter!$D$6:$D$205,MATCH(B2850,Mitarbeiter!$A$6:$A$205,0))),"nach Austritt","ok")))))))</f>
        <v/>
      </c>
    </row>
    <row r="2851">
      <c r="A2851" s="26" t="n"/>
      <c r="B2851" s="24" t="n"/>
      <c r="C2851" s="40">
        <f>IF(B2851="","",IFERROR(INDEX(Mitarbeiter!$B$6:$B$205,MATCH(B2851,Mitarbeiter!$A$6:$A$205,0)),"?"))</f>
        <v/>
      </c>
      <c r="D2851" s="41" t="n"/>
      <c r="E2851" s="42" t="n"/>
      <c r="F2851" s="43" t="n"/>
      <c r="G2851" s="44">
        <f>IF(OR(B2851="",F2851=""),"",IFERROR(F2851*INDEX(Mitarbeiter!$F$6:$F$205,MATCH(B2851,Mitarbeiter!$A$6:$A$205,0)),0))</f>
        <v/>
      </c>
      <c r="H2851" s="8">
        <f>IF(B2851="","",IF(ISNA(MATCH(B2851,Mitarbeiter!$A$6:$A$205,0)),"Pers.-Nr. unbekannt",IF(A2851="","Datum fehlt",IF(AND(D2851&lt;&gt;Einstellungen!$C$4,D2851&lt;&gt;Einstellungen!$C$5),"Objekt fehlt",IF(YEAR(A2851)&lt;&gt;Einstellungen!$C$3,"anderes Jahr",IF(A2851&lt;INDEX(Mitarbeiter!$C$6:$C$205,MATCH(B2851,Mitarbeiter!$A$6:$A$205,0)),"vor Eintritt",IF(AND(INDEX(Mitarbeiter!$D$6:$D$205,MATCH(B2851,Mitarbeiter!$A$6:$A$205,0))&lt;&gt;"",A2851&gt;INDEX(Mitarbeiter!$D$6:$D$205,MATCH(B2851,Mitarbeiter!$A$6:$A$205,0))),"nach Austritt","ok")))))))</f>
        <v/>
      </c>
    </row>
    <row r="2852">
      <c r="A2852" s="26" t="n"/>
      <c r="B2852" s="24" t="n"/>
      <c r="C2852" s="40">
        <f>IF(B2852="","",IFERROR(INDEX(Mitarbeiter!$B$6:$B$205,MATCH(B2852,Mitarbeiter!$A$6:$A$205,0)),"?"))</f>
        <v/>
      </c>
      <c r="D2852" s="41" t="n"/>
      <c r="E2852" s="42" t="n"/>
      <c r="F2852" s="43" t="n"/>
      <c r="G2852" s="44">
        <f>IF(OR(B2852="",F2852=""),"",IFERROR(F2852*INDEX(Mitarbeiter!$F$6:$F$205,MATCH(B2852,Mitarbeiter!$A$6:$A$205,0)),0))</f>
        <v/>
      </c>
      <c r="H2852" s="8">
        <f>IF(B2852="","",IF(ISNA(MATCH(B2852,Mitarbeiter!$A$6:$A$205,0)),"Pers.-Nr. unbekannt",IF(A2852="","Datum fehlt",IF(AND(D2852&lt;&gt;Einstellungen!$C$4,D2852&lt;&gt;Einstellungen!$C$5),"Objekt fehlt",IF(YEAR(A2852)&lt;&gt;Einstellungen!$C$3,"anderes Jahr",IF(A2852&lt;INDEX(Mitarbeiter!$C$6:$C$205,MATCH(B2852,Mitarbeiter!$A$6:$A$205,0)),"vor Eintritt",IF(AND(INDEX(Mitarbeiter!$D$6:$D$205,MATCH(B2852,Mitarbeiter!$A$6:$A$205,0))&lt;&gt;"",A2852&gt;INDEX(Mitarbeiter!$D$6:$D$205,MATCH(B2852,Mitarbeiter!$A$6:$A$205,0))),"nach Austritt","ok")))))))</f>
        <v/>
      </c>
    </row>
    <row r="2853">
      <c r="A2853" s="26" t="n"/>
      <c r="B2853" s="24" t="n"/>
      <c r="C2853" s="40">
        <f>IF(B2853="","",IFERROR(INDEX(Mitarbeiter!$B$6:$B$205,MATCH(B2853,Mitarbeiter!$A$6:$A$205,0)),"?"))</f>
        <v/>
      </c>
      <c r="D2853" s="41" t="n"/>
      <c r="E2853" s="42" t="n"/>
      <c r="F2853" s="43" t="n"/>
      <c r="G2853" s="44">
        <f>IF(OR(B2853="",F2853=""),"",IFERROR(F2853*INDEX(Mitarbeiter!$F$6:$F$205,MATCH(B2853,Mitarbeiter!$A$6:$A$205,0)),0))</f>
        <v/>
      </c>
      <c r="H2853" s="8">
        <f>IF(B2853="","",IF(ISNA(MATCH(B2853,Mitarbeiter!$A$6:$A$205,0)),"Pers.-Nr. unbekannt",IF(A2853="","Datum fehlt",IF(AND(D2853&lt;&gt;Einstellungen!$C$4,D2853&lt;&gt;Einstellungen!$C$5),"Objekt fehlt",IF(YEAR(A2853)&lt;&gt;Einstellungen!$C$3,"anderes Jahr",IF(A2853&lt;INDEX(Mitarbeiter!$C$6:$C$205,MATCH(B2853,Mitarbeiter!$A$6:$A$205,0)),"vor Eintritt",IF(AND(INDEX(Mitarbeiter!$D$6:$D$205,MATCH(B2853,Mitarbeiter!$A$6:$A$205,0))&lt;&gt;"",A2853&gt;INDEX(Mitarbeiter!$D$6:$D$205,MATCH(B2853,Mitarbeiter!$A$6:$A$205,0))),"nach Austritt","ok")))))))</f>
        <v/>
      </c>
    </row>
    <row r="2854">
      <c r="A2854" s="26" t="n"/>
      <c r="B2854" s="24" t="n"/>
      <c r="C2854" s="40">
        <f>IF(B2854="","",IFERROR(INDEX(Mitarbeiter!$B$6:$B$205,MATCH(B2854,Mitarbeiter!$A$6:$A$205,0)),"?"))</f>
        <v/>
      </c>
      <c r="D2854" s="41" t="n"/>
      <c r="E2854" s="42" t="n"/>
      <c r="F2854" s="43" t="n"/>
      <c r="G2854" s="44">
        <f>IF(OR(B2854="",F2854=""),"",IFERROR(F2854*INDEX(Mitarbeiter!$F$6:$F$205,MATCH(B2854,Mitarbeiter!$A$6:$A$205,0)),0))</f>
        <v/>
      </c>
      <c r="H2854" s="8">
        <f>IF(B2854="","",IF(ISNA(MATCH(B2854,Mitarbeiter!$A$6:$A$205,0)),"Pers.-Nr. unbekannt",IF(A2854="","Datum fehlt",IF(AND(D2854&lt;&gt;Einstellungen!$C$4,D2854&lt;&gt;Einstellungen!$C$5),"Objekt fehlt",IF(YEAR(A2854)&lt;&gt;Einstellungen!$C$3,"anderes Jahr",IF(A2854&lt;INDEX(Mitarbeiter!$C$6:$C$205,MATCH(B2854,Mitarbeiter!$A$6:$A$205,0)),"vor Eintritt",IF(AND(INDEX(Mitarbeiter!$D$6:$D$205,MATCH(B2854,Mitarbeiter!$A$6:$A$205,0))&lt;&gt;"",A2854&gt;INDEX(Mitarbeiter!$D$6:$D$205,MATCH(B2854,Mitarbeiter!$A$6:$A$205,0))),"nach Austritt","ok")))))))</f>
        <v/>
      </c>
    </row>
    <row r="2855">
      <c r="A2855" s="26" t="n"/>
      <c r="B2855" s="24" t="n"/>
      <c r="C2855" s="40">
        <f>IF(B2855="","",IFERROR(INDEX(Mitarbeiter!$B$6:$B$205,MATCH(B2855,Mitarbeiter!$A$6:$A$205,0)),"?"))</f>
        <v/>
      </c>
      <c r="D2855" s="41" t="n"/>
      <c r="E2855" s="42" t="n"/>
      <c r="F2855" s="43" t="n"/>
      <c r="G2855" s="44">
        <f>IF(OR(B2855="",F2855=""),"",IFERROR(F2855*INDEX(Mitarbeiter!$F$6:$F$205,MATCH(B2855,Mitarbeiter!$A$6:$A$205,0)),0))</f>
        <v/>
      </c>
      <c r="H2855" s="8">
        <f>IF(B2855="","",IF(ISNA(MATCH(B2855,Mitarbeiter!$A$6:$A$205,0)),"Pers.-Nr. unbekannt",IF(A2855="","Datum fehlt",IF(AND(D2855&lt;&gt;Einstellungen!$C$4,D2855&lt;&gt;Einstellungen!$C$5),"Objekt fehlt",IF(YEAR(A2855)&lt;&gt;Einstellungen!$C$3,"anderes Jahr",IF(A2855&lt;INDEX(Mitarbeiter!$C$6:$C$205,MATCH(B2855,Mitarbeiter!$A$6:$A$205,0)),"vor Eintritt",IF(AND(INDEX(Mitarbeiter!$D$6:$D$205,MATCH(B2855,Mitarbeiter!$A$6:$A$205,0))&lt;&gt;"",A2855&gt;INDEX(Mitarbeiter!$D$6:$D$205,MATCH(B2855,Mitarbeiter!$A$6:$A$205,0))),"nach Austritt","ok")))))))</f>
        <v/>
      </c>
    </row>
    <row r="2856">
      <c r="A2856" s="26" t="n"/>
      <c r="B2856" s="24" t="n"/>
      <c r="C2856" s="40">
        <f>IF(B2856="","",IFERROR(INDEX(Mitarbeiter!$B$6:$B$205,MATCH(B2856,Mitarbeiter!$A$6:$A$205,0)),"?"))</f>
        <v/>
      </c>
      <c r="D2856" s="41" t="n"/>
      <c r="E2856" s="42" t="n"/>
      <c r="F2856" s="43" t="n"/>
      <c r="G2856" s="44">
        <f>IF(OR(B2856="",F2856=""),"",IFERROR(F2856*INDEX(Mitarbeiter!$F$6:$F$205,MATCH(B2856,Mitarbeiter!$A$6:$A$205,0)),0))</f>
        <v/>
      </c>
      <c r="H2856" s="8">
        <f>IF(B2856="","",IF(ISNA(MATCH(B2856,Mitarbeiter!$A$6:$A$205,0)),"Pers.-Nr. unbekannt",IF(A2856="","Datum fehlt",IF(AND(D2856&lt;&gt;Einstellungen!$C$4,D2856&lt;&gt;Einstellungen!$C$5),"Objekt fehlt",IF(YEAR(A2856)&lt;&gt;Einstellungen!$C$3,"anderes Jahr",IF(A2856&lt;INDEX(Mitarbeiter!$C$6:$C$205,MATCH(B2856,Mitarbeiter!$A$6:$A$205,0)),"vor Eintritt",IF(AND(INDEX(Mitarbeiter!$D$6:$D$205,MATCH(B2856,Mitarbeiter!$A$6:$A$205,0))&lt;&gt;"",A2856&gt;INDEX(Mitarbeiter!$D$6:$D$205,MATCH(B2856,Mitarbeiter!$A$6:$A$205,0))),"nach Austritt","ok")))))))</f>
        <v/>
      </c>
    </row>
    <row r="2857">
      <c r="A2857" s="26" t="n"/>
      <c r="B2857" s="24" t="n"/>
      <c r="C2857" s="40">
        <f>IF(B2857="","",IFERROR(INDEX(Mitarbeiter!$B$6:$B$205,MATCH(B2857,Mitarbeiter!$A$6:$A$205,0)),"?"))</f>
        <v/>
      </c>
      <c r="D2857" s="41" t="n"/>
      <c r="E2857" s="42" t="n"/>
      <c r="F2857" s="43" t="n"/>
      <c r="G2857" s="44">
        <f>IF(OR(B2857="",F2857=""),"",IFERROR(F2857*INDEX(Mitarbeiter!$F$6:$F$205,MATCH(B2857,Mitarbeiter!$A$6:$A$205,0)),0))</f>
        <v/>
      </c>
      <c r="H2857" s="8">
        <f>IF(B2857="","",IF(ISNA(MATCH(B2857,Mitarbeiter!$A$6:$A$205,0)),"Pers.-Nr. unbekannt",IF(A2857="","Datum fehlt",IF(AND(D2857&lt;&gt;Einstellungen!$C$4,D2857&lt;&gt;Einstellungen!$C$5),"Objekt fehlt",IF(YEAR(A2857)&lt;&gt;Einstellungen!$C$3,"anderes Jahr",IF(A2857&lt;INDEX(Mitarbeiter!$C$6:$C$205,MATCH(B2857,Mitarbeiter!$A$6:$A$205,0)),"vor Eintritt",IF(AND(INDEX(Mitarbeiter!$D$6:$D$205,MATCH(B2857,Mitarbeiter!$A$6:$A$205,0))&lt;&gt;"",A2857&gt;INDEX(Mitarbeiter!$D$6:$D$205,MATCH(B2857,Mitarbeiter!$A$6:$A$205,0))),"nach Austritt","ok")))))))</f>
        <v/>
      </c>
    </row>
    <row r="2858">
      <c r="A2858" s="26" t="n"/>
      <c r="B2858" s="24" t="n"/>
      <c r="C2858" s="40">
        <f>IF(B2858="","",IFERROR(INDEX(Mitarbeiter!$B$6:$B$205,MATCH(B2858,Mitarbeiter!$A$6:$A$205,0)),"?"))</f>
        <v/>
      </c>
      <c r="D2858" s="41" t="n"/>
      <c r="E2858" s="42" t="n"/>
      <c r="F2858" s="43" t="n"/>
      <c r="G2858" s="44">
        <f>IF(OR(B2858="",F2858=""),"",IFERROR(F2858*INDEX(Mitarbeiter!$F$6:$F$205,MATCH(B2858,Mitarbeiter!$A$6:$A$205,0)),0))</f>
        <v/>
      </c>
      <c r="H2858" s="8">
        <f>IF(B2858="","",IF(ISNA(MATCH(B2858,Mitarbeiter!$A$6:$A$205,0)),"Pers.-Nr. unbekannt",IF(A2858="","Datum fehlt",IF(AND(D2858&lt;&gt;Einstellungen!$C$4,D2858&lt;&gt;Einstellungen!$C$5),"Objekt fehlt",IF(YEAR(A2858)&lt;&gt;Einstellungen!$C$3,"anderes Jahr",IF(A2858&lt;INDEX(Mitarbeiter!$C$6:$C$205,MATCH(B2858,Mitarbeiter!$A$6:$A$205,0)),"vor Eintritt",IF(AND(INDEX(Mitarbeiter!$D$6:$D$205,MATCH(B2858,Mitarbeiter!$A$6:$A$205,0))&lt;&gt;"",A2858&gt;INDEX(Mitarbeiter!$D$6:$D$205,MATCH(B2858,Mitarbeiter!$A$6:$A$205,0))),"nach Austritt","ok")))))))</f>
        <v/>
      </c>
    </row>
    <row r="2859">
      <c r="A2859" s="26" t="n"/>
      <c r="B2859" s="24" t="n"/>
      <c r="C2859" s="40">
        <f>IF(B2859="","",IFERROR(INDEX(Mitarbeiter!$B$6:$B$205,MATCH(B2859,Mitarbeiter!$A$6:$A$205,0)),"?"))</f>
        <v/>
      </c>
      <c r="D2859" s="41" t="n"/>
      <c r="E2859" s="42" t="n"/>
      <c r="F2859" s="43" t="n"/>
      <c r="G2859" s="44">
        <f>IF(OR(B2859="",F2859=""),"",IFERROR(F2859*INDEX(Mitarbeiter!$F$6:$F$205,MATCH(B2859,Mitarbeiter!$A$6:$A$205,0)),0))</f>
        <v/>
      </c>
      <c r="H2859" s="8">
        <f>IF(B2859="","",IF(ISNA(MATCH(B2859,Mitarbeiter!$A$6:$A$205,0)),"Pers.-Nr. unbekannt",IF(A2859="","Datum fehlt",IF(AND(D2859&lt;&gt;Einstellungen!$C$4,D2859&lt;&gt;Einstellungen!$C$5),"Objekt fehlt",IF(YEAR(A2859)&lt;&gt;Einstellungen!$C$3,"anderes Jahr",IF(A2859&lt;INDEX(Mitarbeiter!$C$6:$C$205,MATCH(B2859,Mitarbeiter!$A$6:$A$205,0)),"vor Eintritt",IF(AND(INDEX(Mitarbeiter!$D$6:$D$205,MATCH(B2859,Mitarbeiter!$A$6:$A$205,0))&lt;&gt;"",A2859&gt;INDEX(Mitarbeiter!$D$6:$D$205,MATCH(B2859,Mitarbeiter!$A$6:$A$205,0))),"nach Austritt","ok")))))))</f>
        <v/>
      </c>
    </row>
    <row r="2860">
      <c r="A2860" s="26" t="n"/>
      <c r="B2860" s="24" t="n"/>
      <c r="C2860" s="40">
        <f>IF(B2860="","",IFERROR(INDEX(Mitarbeiter!$B$6:$B$205,MATCH(B2860,Mitarbeiter!$A$6:$A$205,0)),"?"))</f>
        <v/>
      </c>
      <c r="D2860" s="41" t="n"/>
      <c r="E2860" s="42" t="n"/>
      <c r="F2860" s="43" t="n"/>
      <c r="G2860" s="44">
        <f>IF(OR(B2860="",F2860=""),"",IFERROR(F2860*INDEX(Mitarbeiter!$F$6:$F$205,MATCH(B2860,Mitarbeiter!$A$6:$A$205,0)),0))</f>
        <v/>
      </c>
      <c r="H2860" s="8">
        <f>IF(B2860="","",IF(ISNA(MATCH(B2860,Mitarbeiter!$A$6:$A$205,0)),"Pers.-Nr. unbekannt",IF(A2860="","Datum fehlt",IF(AND(D2860&lt;&gt;Einstellungen!$C$4,D2860&lt;&gt;Einstellungen!$C$5),"Objekt fehlt",IF(YEAR(A2860)&lt;&gt;Einstellungen!$C$3,"anderes Jahr",IF(A2860&lt;INDEX(Mitarbeiter!$C$6:$C$205,MATCH(B2860,Mitarbeiter!$A$6:$A$205,0)),"vor Eintritt",IF(AND(INDEX(Mitarbeiter!$D$6:$D$205,MATCH(B2860,Mitarbeiter!$A$6:$A$205,0))&lt;&gt;"",A2860&gt;INDEX(Mitarbeiter!$D$6:$D$205,MATCH(B2860,Mitarbeiter!$A$6:$A$205,0))),"nach Austritt","ok")))))))</f>
        <v/>
      </c>
    </row>
    <row r="2861">
      <c r="A2861" s="26" t="n"/>
      <c r="B2861" s="24" t="n"/>
      <c r="C2861" s="40">
        <f>IF(B2861="","",IFERROR(INDEX(Mitarbeiter!$B$6:$B$205,MATCH(B2861,Mitarbeiter!$A$6:$A$205,0)),"?"))</f>
        <v/>
      </c>
      <c r="D2861" s="41" t="n"/>
      <c r="E2861" s="42" t="n"/>
      <c r="F2861" s="43" t="n"/>
      <c r="G2861" s="44">
        <f>IF(OR(B2861="",F2861=""),"",IFERROR(F2861*INDEX(Mitarbeiter!$F$6:$F$205,MATCH(B2861,Mitarbeiter!$A$6:$A$205,0)),0))</f>
        <v/>
      </c>
      <c r="H2861" s="8">
        <f>IF(B2861="","",IF(ISNA(MATCH(B2861,Mitarbeiter!$A$6:$A$205,0)),"Pers.-Nr. unbekannt",IF(A2861="","Datum fehlt",IF(AND(D2861&lt;&gt;Einstellungen!$C$4,D2861&lt;&gt;Einstellungen!$C$5),"Objekt fehlt",IF(YEAR(A2861)&lt;&gt;Einstellungen!$C$3,"anderes Jahr",IF(A2861&lt;INDEX(Mitarbeiter!$C$6:$C$205,MATCH(B2861,Mitarbeiter!$A$6:$A$205,0)),"vor Eintritt",IF(AND(INDEX(Mitarbeiter!$D$6:$D$205,MATCH(B2861,Mitarbeiter!$A$6:$A$205,0))&lt;&gt;"",A2861&gt;INDEX(Mitarbeiter!$D$6:$D$205,MATCH(B2861,Mitarbeiter!$A$6:$A$205,0))),"nach Austritt","ok")))))))</f>
        <v/>
      </c>
    </row>
    <row r="2862">
      <c r="A2862" s="26" t="n"/>
      <c r="B2862" s="24" t="n"/>
      <c r="C2862" s="40">
        <f>IF(B2862="","",IFERROR(INDEX(Mitarbeiter!$B$6:$B$205,MATCH(B2862,Mitarbeiter!$A$6:$A$205,0)),"?"))</f>
        <v/>
      </c>
      <c r="D2862" s="41" t="n"/>
      <c r="E2862" s="42" t="n"/>
      <c r="F2862" s="43" t="n"/>
      <c r="G2862" s="44">
        <f>IF(OR(B2862="",F2862=""),"",IFERROR(F2862*INDEX(Mitarbeiter!$F$6:$F$205,MATCH(B2862,Mitarbeiter!$A$6:$A$205,0)),0))</f>
        <v/>
      </c>
      <c r="H2862" s="8">
        <f>IF(B2862="","",IF(ISNA(MATCH(B2862,Mitarbeiter!$A$6:$A$205,0)),"Pers.-Nr. unbekannt",IF(A2862="","Datum fehlt",IF(AND(D2862&lt;&gt;Einstellungen!$C$4,D2862&lt;&gt;Einstellungen!$C$5),"Objekt fehlt",IF(YEAR(A2862)&lt;&gt;Einstellungen!$C$3,"anderes Jahr",IF(A2862&lt;INDEX(Mitarbeiter!$C$6:$C$205,MATCH(B2862,Mitarbeiter!$A$6:$A$205,0)),"vor Eintritt",IF(AND(INDEX(Mitarbeiter!$D$6:$D$205,MATCH(B2862,Mitarbeiter!$A$6:$A$205,0))&lt;&gt;"",A2862&gt;INDEX(Mitarbeiter!$D$6:$D$205,MATCH(B2862,Mitarbeiter!$A$6:$A$205,0))),"nach Austritt","ok")))))))</f>
        <v/>
      </c>
    </row>
    <row r="2863">
      <c r="A2863" s="26" t="n"/>
      <c r="B2863" s="24" t="n"/>
      <c r="C2863" s="40">
        <f>IF(B2863="","",IFERROR(INDEX(Mitarbeiter!$B$6:$B$205,MATCH(B2863,Mitarbeiter!$A$6:$A$205,0)),"?"))</f>
        <v/>
      </c>
      <c r="D2863" s="41" t="n"/>
      <c r="E2863" s="42" t="n"/>
      <c r="F2863" s="43" t="n"/>
      <c r="G2863" s="44">
        <f>IF(OR(B2863="",F2863=""),"",IFERROR(F2863*INDEX(Mitarbeiter!$F$6:$F$205,MATCH(B2863,Mitarbeiter!$A$6:$A$205,0)),0))</f>
        <v/>
      </c>
      <c r="H2863" s="8">
        <f>IF(B2863="","",IF(ISNA(MATCH(B2863,Mitarbeiter!$A$6:$A$205,0)),"Pers.-Nr. unbekannt",IF(A2863="","Datum fehlt",IF(AND(D2863&lt;&gt;Einstellungen!$C$4,D2863&lt;&gt;Einstellungen!$C$5),"Objekt fehlt",IF(YEAR(A2863)&lt;&gt;Einstellungen!$C$3,"anderes Jahr",IF(A2863&lt;INDEX(Mitarbeiter!$C$6:$C$205,MATCH(B2863,Mitarbeiter!$A$6:$A$205,0)),"vor Eintritt",IF(AND(INDEX(Mitarbeiter!$D$6:$D$205,MATCH(B2863,Mitarbeiter!$A$6:$A$205,0))&lt;&gt;"",A2863&gt;INDEX(Mitarbeiter!$D$6:$D$205,MATCH(B2863,Mitarbeiter!$A$6:$A$205,0))),"nach Austritt","ok")))))))</f>
        <v/>
      </c>
    </row>
    <row r="2864">
      <c r="A2864" s="26" t="n"/>
      <c r="B2864" s="24" t="n"/>
      <c r="C2864" s="40">
        <f>IF(B2864="","",IFERROR(INDEX(Mitarbeiter!$B$6:$B$205,MATCH(B2864,Mitarbeiter!$A$6:$A$205,0)),"?"))</f>
        <v/>
      </c>
      <c r="D2864" s="41" t="n"/>
      <c r="E2864" s="42" t="n"/>
      <c r="F2864" s="43" t="n"/>
      <c r="G2864" s="44">
        <f>IF(OR(B2864="",F2864=""),"",IFERROR(F2864*INDEX(Mitarbeiter!$F$6:$F$205,MATCH(B2864,Mitarbeiter!$A$6:$A$205,0)),0))</f>
        <v/>
      </c>
      <c r="H2864" s="8">
        <f>IF(B2864="","",IF(ISNA(MATCH(B2864,Mitarbeiter!$A$6:$A$205,0)),"Pers.-Nr. unbekannt",IF(A2864="","Datum fehlt",IF(AND(D2864&lt;&gt;Einstellungen!$C$4,D2864&lt;&gt;Einstellungen!$C$5),"Objekt fehlt",IF(YEAR(A2864)&lt;&gt;Einstellungen!$C$3,"anderes Jahr",IF(A2864&lt;INDEX(Mitarbeiter!$C$6:$C$205,MATCH(B2864,Mitarbeiter!$A$6:$A$205,0)),"vor Eintritt",IF(AND(INDEX(Mitarbeiter!$D$6:$D$205,MATCH(B2864,Mitarbeiter!$A$6:$A$205,0))&lt;&gt;"",A2864&gt;INDEX(Mitarbeiter!$D$6:$D$205,MATCH(B2864,Mitarbeiter!$A$6:$A$205,0))),"nach Austritt","ok")))))))</f>
        <v/>
      </c>
    </row>
    <row r="2865">
      <c r="A2865" s="26" t="n"/>
      <c r="B2865" s="24" t="n"/>
      <c r="C2865" s="40">
        <f>IF(B2865="","",IFERROR(INDEX(Mitarbeiter!$B$6:$B$205,MATCH(B2865,Mitarbeiter!$A$6:$A$205,0)),"?"))</f>
        <v/>
      </c>
      <c r="D2865" s="41" t="n"/>
      <c r="E2865" s="42" t="n"/>
      <c r="F2865" s="43" t="n"/>
      <c r="G2865" s="44">
        <f>IF(OR(B2865="",F2865=""),"",IFERROR(F2865*INDEX(Mitarbeiter!$F$6:$F$205,MATCH(B2865,Mitarbeiter!$A$6:$A$205,0)),0))</f>
        <v/>
      </c>
      <c r="H2865" s="8">
        <f>IF(B2865="","",IF(ISNA(MATCH(B2865,Mitarbeiter!$A$6:$A$205,0)),"Pers.-Nr. unbekannt",IF(A2865="","Datum fehlt",IF(AND(D2865&lt;&gt;Einstellungen!$C$4,D2865&lt;&gt;Einstellungen!$C$5),"Objekt fehlt",IF(YEAR(A2865)&lt;&gt;Einstellungen!$C$3,"anderes Jahr",IF(A2865&lt;INDEX(Mitarbeiter!$C$6:$C$205,MATCH(B2865,Mitarbeiter!$A$6:$A$205,0)),"vor Eintritt",IF(AND(INDEX(Mitarbeiter!$D$6:$D$205,MATCH(B2865,Mitarbeiter!$A$6:$A$205,0))&lt;&gt;"",A2865&gt;INDEX(Mitarbeiter!$D$6:$D$205,MATCH(B2865,Mitarbeiter!$A$6:$A$205,0))),"nach Austritt","ok")))))))</f>
        <v/>
      </c>
    </row>
    <row r="2866">
      <c r="A2866" s="26" t="n"/>
      <c r="B2866" s="24" t="n"/>
      <c r="C2866" s="40">
        <f>IF(B2866="","",IFERROR(INDEX(Mitarbeiter!$B$6:$B$205,MATCH(B2866,Mitarbeiter!$A$6:$A$205,0)),"?"))</f>
        <v/>
      </c>
      <c r="D2866" s="41" t="n"/>
      <c r="E2866" s="42" t="n"/>
      <c r="F2866" s="43" t="n"/>
      <c r="G2866" s="44">
        <f>IF(OR(B2866="",F2866=""),"",IFERROR(F2866*INDEX(Mitarbeiter!$F$6:$F$205,MATCH(B2866,Mitarbeiter!$A$6:$A$205,0)),0))</f>
        <v/>
      </c>
      <c r="H2866" s="8">
        <f>IF(B2866="","",IF(ISNA(MATCH(B2866,Mitarbeiter!$A$6:$A$205,0)),"Pers.-Nr. unbekannt",IF(A2866="","Datum fehlt",IF(AND(D2866&lt;&gt;Einstellungen!$C$4,D2866&lt;&gt;Einstellungen!$C$5),"Objekt fehlt",IF(YEAR(A2866)&lt;&gt;Einstellungen!$C$3,"anderes Jahr",IF(A2866&lt;INDEX(Mitarbeiter!$C$6:$C$205,MATCH(B2866,Mitarbeiter!$A$6:$A$205,0)),"vor Eintritt",IF(AND(INDEX(Mitarbeiter!$D$6:$D$205,MATCH(B2866,Mitarbeiter!$A$6:$A$205,0))&lt;&gt;"",A2866&gt;INDEX(Mitarbeiter!$D$6:$D$205,MATCH(B2866,Mitarbeiter!$A$6:$A$205,0))),"nach Austritt","ok")))))))</f>
        <v/>
      </c>
    </row>
    <row r="2867">
      <c r="A2867" s="26" t="n"/>
      <c r="B2867" s="24" t="n"/>
      <c r="C2867" s="40">
        <f>IF(B2867="","",IFERROR(INDEX(Mitarbeiter!$B$6:$B$205,MATCH(B2867,Mitarbeiter!$A$6:$A$205,0)),"?"))</f>
        <v/>
      </c>
      <c r="D2867" s="41" t="n"/>
      <c r="E2867" s="42" t="n"/>
      <c r="F2867" s="43" t="n"/>
      <c r="G2867" s="44">
        <f>IF(OR(B2867="",F2867=""),"",IFERROR(F2867*INDEX(Mitarbeiter!$F$6:$F$205,MATCH(B2867,Mitarbeiter!$A$6:$A$205,0)),0))</f>
        <v/>
      </c>
      <c r="H2867" s="8">
        <f>IF(B2867="","",IF(ISNA(MATCH(B2867,Mitarbeiter!$A$6:$A$205,0)),"Pers.-Nr. unbekannt",IF(A2867="","Datum fehlt",IF(AND(D2867&lt;&gt;Einstellungen!$C$4,D2867&lt;&gt;Einstellungen!$C$5),"Objekt fehlt",IF(YEAR(A2867)&lt;&gt;Einstellungen!$C$3,"anderes Jahr",IF(A2867&lt;INDEX(Mitarbeiter!$C$6:$C$205,MATCH(B2867,Mitarbeiter!$A$6:$A$205,0)),"vor Eintritt",IF(AND(INDEX(Mitarbeiter!$D$6:$D$205,MATCH(B2867,Mitarbeiter!$A$6:$A$205,0))&lt;&gt;"",A2867&gt;INDEX(Mitarbeiter!$D$6:$D$205,MATCH(B2867,Mitarbeiter!$A$6:$A$205,0))),"nach Austritt","ok")))))))</f>
        <v/>
      </c>
    </row>
    <row r="2868">
      <c r="A2868" s="26" t="n"/>
      <c r="B2868" s="24" t="n"/>
      <c r="C2868" s="40">
        <f>IF(B2868="","",IFERROR(INDEX(Mitarbeiter!$B$6:$B$205,MATCH(B2868,Mitarbeiter!$A$6:$A$205,0)),"?"))</f>
        <v/>
      </c>
      <c r="D2868" s="41" t="n"/>
      <c r="E2868" s="42" t="n"/>
      <c r="F2868" s="43" t="n"/>
      <c r="G2868" s="44">
        <f>IF(OR(B2868="",F2868=""),"",IFERROR(F2868*INDEX(Mitarbeiter!$F$6:$F$205,MATCH(B2868,Mitarbeiter!$A$6:$A$205,0)),0))</f>
        <v/>
      </c>
      <c r="H2868" s="8">
        <f>IF(B2868="","",IF(ISNA(MATCH(B2868,Mitarbeiter!$A$6:$A$205,0)),"Pers.-Nr. unbekannt",IF(A2868="","Datum fehlt",IF(AND(D2868&lt;&gt;Einstellungen!$C$4,D2868&lt;&gt;Einstellungen!$C$5),"Objekt fehlt",IF(YEAR(A2868)&lt;&gt;Einstellungen!$C$3,"anderes Jahr",IF(A2868&lt;INDEX(Mitarbeiter!$C$6:$C$205,MATCH(B2868,Mitarbeiter!$A$6:$A$205,0)),"vor Eintritt",IF(AND(INDEX(Mitarbeiter!$D$6:$D$205,MATCH(B2868,Mitarbeiter!$A$6:$A$205,0))&lt;&gt;"",A2868&gt;INDEX(Mitarbeiter!$D$6:$D$205,MATCH(B2868,Mitarbeiter!$A$6:$A$205,0))),"nach Austritt","ok")))))))</f>
        <v/>
      </c>
    </row>
    <row r="2869">
      <c r="A2869" s="26" t="n"/>
      <c r="B2869" s="24" t="n"/>
      <c r="C2869" s="40">
        <f>IF(B2869="","",IFERROR(INDEX(Mitarbeiter!$B$6:$B$205,MATCH(B2869,Mitarbeiter!$A$6:$A$205,0)),"?"))</f>
        <v/>
      </c>
      <c r="D2869" s="41" t="n"/>
      <c r="E2869" s="42" t="n"/>
      <c r="F2869" s="43" t="n"/>
      <c r="G2869" s="44">
        <f>IF(OR(B2869="",F2869=""),"",IFERROR(F2869*INDEX(Mitarbeiter!$F$6:$F$205,MATCH(B2869,Mitarbeiter!$A$6:$A$205,0)),0))</f>
        <v/>
      </c>
      <c r="H2869" s="8">
        <f>IF(B2869="","",IF(ISNA(MATCH(B2869,Mitarbeiter!$A$6:$A$205,0)),"Pers.-Nr. unbekannt",IF(A2869="","Datum fehlt",IF(AND(D2869&lt;&gt;Einstellungen!$C$4,D2869&lt;&gt;Einstellungen!$C$5),"Objekt fehlt",IF(YEAR(A2869)&lt;&gt;Einstellungen!$C$3,"anderes Jahr",IF(A2869&lt;INDEX(Mitarbeiter!$C$6:$C$205,MATCH(B2869,Mitarbeiter!$A$6:$A$205,0)),"vor Eintritt",IF(AND(INDEX(Mitarbeiter!$D$6:$D$205,MATCH(B2869,Mitarbeiter!$A$6:$A$205,0))&lt;&gt;"",A2869&gt;INDEX(Mitarbeiter!$D$6:$D$205,MATCH(B2869,Mitarbeiter!$A$6:$A$205,0))),"nach Austritt","ok")))))))</f>
        <v/>
      </c>
    </row>
    <row r="2870">
      <c r="A2870" s="26" t="n"/>
      <c r="B2870" s="24" t="n"/>
      <c r="C2870" s="40">
        <f>IF(B2870="","",IFERROR(INDEX(Mitarbeiter!$B$6:$B$205,MATCH(B2870,Mitarbeiter!$A$6:$A$205,0)),"?"))</f>
        <v/>
      </c>
      <c r="D2870" s="41" t="n"/>
      <c r="E2870" s="42" t="n"/>
      <c r="F2870" s="43" t="n"/>
      <c r="G2870" s="44">
        <f>IF(OR(B2870="",F2870=""),"",IFERROR(F2870*INDEX(Mitarbeiter!$F$6:$F$205,MATCH(B2870,Mitarbeiter!$A$6:$A$205,0)),0))</f>
        <v/>
      </c>
      <c r="H2870" s="8">
        <f>IF(B2870="","",IF(ISNA(MATCH(B2870,Mitarbeiter!$A$6:$A$205,0)),"Pers.-Nr. unbekannt",IF(A2870="","Datum fehlt",IF(AND(D2870&lt;&gt;Einstellungen!$C$4,D2870&lt;&gt;Einstellungen!$C$5),"Objekt fehlt",IF(YEAR(A2870)&lt;&gt;Einstellungen!$C$3,"anderes Jahr",IF(A2870&lt;INDEX(Mitarbeiter!$C$6:$C$205,MATCH(B2870,Mitarbeiter!$A$6:$A$205,0)),"vor Eintritt",IF(AND(INDEX(Mitarbeiter!$D$6:$D$205,MATCH(B2870,Mitarbeiter!$A$6:$A$205,0))&lt;&gt;"",A2870&gt;INDEX(Mitarbeiter!$D$6:$D$205,MATCH(B2870,Mitarbeiter!$A$6:$A$205,0))),"nach Austritt","ok")))))))</f>
        <v/>
      </c>
    </row>
    <row r="2871">
      <c r="A2871" s="26" t="n"/>
      <c r="B2871" s="24" t="n"/>
      <c r="C2871" s="40">
        <f>IF(B2871="","",IFERROR(INDEX(Mitarbeiter!$B$6:$B$205,MATCH(B2871,Mitarbeiter!$A$6:$A$205,0)),"?"))</f>
        <v/>
      </c>
      <c r="D2871" s="41" t="n"/>
      <c r="E2871" s="42" t="n"/>
      <c r="F2871" s="43" t="n"/>
      <c r="G2871" s="44">
        <f>IF(OR(B2871="",F2871=""),"",IFERROR(F2871*INDEX(Mitarbeiter!$F$6:$F$205,MATCH(B2871,Mitarbeiter!$A$6:$A$205,0)),0))</f>
        <v/>
      </c>
      <c r="H2871" s="8">
        <f>IF(B2871="","",IF(ISNA(MATCH(B2871,Mitarbeiter!$A$6:$A$205,0)),"Pers.-Nr. unbekannt",IF(A2871="","Datum fehlt",IF(AND(D2871&lt;&gt;Einstellungen!$C$4,D2871&lt;&gt;Einstellungen!$C$5),"Objekt fehlt",IF(YEAR(A2871)&lt;&gt;Einstellungen!$C$3,"anderes Jahr",IF(A2871&lt;INDEX(Mitarbeiter!$C$6:$C$205,MATCH(B2871,Mitarbeiter!$A$6:$A$205,0)),"vor Eintritt",IF(AND(INDEX(Mitarbeiter!$D$6:$D$205,MATCH(B2871,Mitarbeiter!$A$6:$A$205,0))&lt;&gt;"",A2871&gt;INDEX(Mitarbeiter!$D$6:$D$205,MATCH(B2871,Mitarbeiter!$A$6:$A$205,0))),"nach Austritt","ok")))))))</f>
        <v/>
      </c>
    </row>
    <row r="2872">
      <c r="A2872" s="26" t="n"/>
      <c r="B2872" s="24" t="n"/>
      <c r="C2872" s="40">
        <f>IF(B2872="","",IFERROR(INDEX(Mitarbeiter!$B$6:$B$205,MATCH(B2872,Mitarbeiter!$A$6:$A$205,0)),"?"))</f>
        <v/>
      </c>
      <c r="D2872" s="41" t="n"/>
      <c r="E2872" s="42" t="n"/>
      <c r="F2872" s="43" t="n"/>
      <c r="G2872" s="44">
        <f>IF(OR(B2872="",F2872=""),"",IFERROR(F2872*INDEX(Mitarbeiter!$F$6:$F$205,MATCH(B2872,Mitarbeiter!$A$6:$A$205,0)),0))</f>
        <v/>
      </c>
      <c r="H2872" s="8">
        <f>IF(B2872="","",IF(ISNA(MATCH(B2872,Mitarbeiter!$A$6:$A$205,0)),"Pers.-Nr. unbekannt",IF(A2872="","Datum fehlt",IF(AND(D2872&lt;&gt;Einstellungen!$C$4,D2872&lt;&gt;Einstellungen!$C$5),"Objekt fehlt",IF(YEAR(A2872)&lt;&gt;Einstellungen!$C$3,"anderes Jahr",IF(A2872&lt;INDEX(Mitarbeiter!$C$6:$C$205,MATCH(B2872,Mitarbeiter!$A$6:$A$205,0)),"vor Eintritt",IF(AND(INDEX(Mitarbeiter!$D$6:$D$205,MATCH(B2872,Mitarbeiter!$A$6:$A$205,0))&lt;&gt;"",A2872&gt;INDEX(Mitarbeiter!$D$6:$D$205,MATCH(B2872,Mitarbeiter!$A$6:$A$205,0))),"nach Austritt","ok")))))))</f>
        <v/>
      </c>
    </row>
    <row r="2873">
      <c r="A2873" s="26" t="n"/>
      <c r="B2873" s="24" t="n"/>
      <c r="C2873" s="40">
        <f>IF(B2873="","",IFERROR(INDEX(Mitarbeiter!$B$6:$B$205,MATCH(B2873,Mitarbeiter!$A$6:$A$205,0)),"?"))</f>
        <v/>
      </c>
      <c r="D2873" s="41" t="n"/>
      <c r="E2873" s="42" t="n"/>
      <c r="F2873" s="43" t="n"/>
      <c r="G2873" s="44">
        <f>IF(OR(B2873="",F2873=""),"",IFERROR(F2873*INDEX(Mitarbeiter!$F$6:$F$205,MATCH(B2873,Mitarbeiter!$A$6:$A$205,0)),0))</f>
        <v/>
      </c>
      <c r="H2873" s="8">
        <f>IF(B2873="","",IF(ISNA(MATCH(B2873,Mitarbeiter!$A$6:$A$205,0)),"Pers.-Nr. unbekannt",IF(A2873="","Datum fehlt",IF(AND(D2873&lt;&gt;Einstellungen!$C$4,D2873&lt;&gt;Einstellungen!$C$5),"Objekt fehlt",IF(YEAR(A2873)&lt;&gt;Einstellungen!$C$3,"anderes Jahr",IF(A2873&lt;INDEX(Mitarbeiter!$C$6:$C$205,MATCH(B2873,Mitarbeiter!$A$6:$A$205,0)),"vor Eintritt",IF(AND(INDEX(Mitarbeiter!$D$6:$D$205,MATCH(B2873,Mitarbeiter!$A$6:$A$205,0))&lt;&gt;"",A2873&gt;INDEX(Mitarbeiter!$D$6:$D$205,MATCH(B2873,Mitarbeiter!$A$6:$A$205,0))),"nach Austritt","ok")))))))</f>
        <v/>
      </c>
    </row>
    <row r="2874">
      <c r="A2874" s="26" t="n"/>
      <c r="B2874" s="24" t="n"/>
      <c r="C2874" s="40">
        <f>IF(B2874="","",IFERROR(INDEX(Mitarbeiter!$B$6:$B$205,MATCH(B2874,Mitarbeiter!$A$6:$A$205,0)),"?"))</f>
        <v/>
      </c>
      <c r="D2874" s="41" t="n"/>
      <c r="E2874" s="42" t="n"/>
      <c r="F2874" s="43" t="n"/>
      <c r="G2874" s="44">
        <f>IF(OR(B2874="",F2874=""),"",IFERROR(F2874*INDEX(Mitarbeiter!$F$6:$F$205,MATCH(B2874,Mitarbeiter!$A$6:$A$205,0)),0))</f>
        <v/>
      </c>
      <c r="H2874" s="8">
        <f>IF(B2874="","",IF(ISNA(MATCH(B2874,Mitarbeiter!$A$6:$A$205,0)),"Pers.-Nr. unbekannt",IF(A2874="","Datum fehlt",IF(AND(D2874&lt;&gt;Einstellungen!$C$4,D2874&lt;&gt;Einstellungen!$C$5),"Objekt fehlt",IF(YEAR(A2874)&lt;&gt;Einstellungen!$C$3,"anderes Jahr",IF(A2874&lt;INDEX(Mitarbeiter!$C$6:$C$205,MATCH(B2874,Mitarbeiter!$A$6:$A$205,0)),"vor Eintritt",IF(AND(INDEX(Mitarbeiter!$D$6:$D$205,MATCH(B2874,Mitarbeiter!$A$6:$A$205,0))&lt;&gt;"",A2874&gt;INDEX(Mitarbeiter!$D$6:$D$205,MATCH(B2874,Mitarbeiter!$A$6:$A$205,0))),"nach Austritt","ok")))))))</f>
        <v/>
      </c>
    </row>
    <row r="2875">
      <c r="A2875" s="26" t="n"/>
      <c r="B2875" s="24" t="n"/>
      <c r="C2875" s="40">
        <f>IF(B2875="","",IFERROR(INDEX(Mitarbeiter!$B$6:$B$205,MATCH(B2875,Mitarbeiter!$A$6:$A$205,0)),"?"))</f>
        <v/>
      </c>
      <c r="D2875" s="41" t="n"/>
      <c r="E2875" s="42" t="n"/>
      <c r="F2875" s="43" t="n"/>
      <c r="G2875" s="44">
        <f>IF(OR(B2875="",F2875=""),"",IFERROR(F2875*INDEX(Mitarbeiter!$F$6:$F$205,MATCH(B2875,Mitarbeiter!$A$6:$A$205,0)),0))</f>
        <v/>
      </c>
      <c r="H2875" s="8">
        <f>IF(B2875="","",IF(ISNA(MATCH(B2875,Mitarbeiter!$A$6:$A$205,0)),"Pers.-Nr. unbekannt",IF(A2875="","Datum fehlt",IF(AND(D2875&lt;&gt;Einstellungen!$C$4,D2875&lt;&gt;Einstellungen!$C$5),"Objekt fehlt",IF(YEAR(A2875)&lt;&gt;Einstellungen!$C$3,"anderes Jahr",IF(A2875&lt;INDEX(Mitarbeiter!$C$6:$C$205,MATCH(B2875,Mitarbeiter!$A$6:$A$205,0)),"vor Eintritt",IF(AND(INDEX(Mitarbeiter!$D$6:$D$205,MATCH(B2875,Mitarbeiter!$A$6:$A$205,0))&lt;&gt;"",A2875&gt;INDEX(Mitarbeiter!$D$6:$D$205,MATCH(B2875,Mitarbeiter!$A$6:$A$205,0))),"nach Austritt","ok")))))))</f>
        <v/>
      </c>
    </row>
    <row r="2876">
      <c r="A2876" s="26" t="n"/>
      <c r="B2876" s="24" t="n"/>
      <c r="C2876" s="40">
        <f>IF(B2876="","",IFERROR(INDEX(Mitarbeiter!$B$6:$B$205,MATCH(B2876,Mitarbeiter!$A$6:$A$205,0)),"?"))</f>
        <v/>
      </c>
      <c r="D2876" s="41" t="n"/>
      <c r="E2876" s="42" t="n"/>
      <c r="F2876" s="43" t="n"/>
      <c r="G2876" s="44">
        <f>IF(OR(B2876="",F2876=""),"",IFERROR(F2876*INDEX(Mitarbeiter!$F$6:$F$205,MATCH(B2876,Mitarbeiter!$A$6:$A$205,0)),0))</f>
        <v/>
      </c>
      <c r="H2876" s="8">
        <f>IF(B2876="","",IF(ISNA(MATCH(B2876,Mitarbeiter!$A$6:$A$205,0)),"Pers.-Nr. unbekannt",IF(A2876="","Datum fehlt",IF(AND(D2876&lt;&gt;Einstellungen!$C$4,D2876&lt;&gt;Einstellungen!$C$5),"Objekt fehlt",IF(YEAR(A2876)&lt;&gt;Einstellungen!$C$3,"anderes Jahr",IF(A2876&lt;INDEX(Mitarbeiter!$C$6:$C$205,MATCH(B2876,Mitarbeiter!$A$6:$A$205,0)),"vor Eintritt",IF(AND(INDEX(Mitarbeiter!$D$6:$D$205,MATCH(B2876,Mitarbeiter!$A$6:$A$205,0))&lt;&gt;"",A2876&gt;INDEX(Mitarbeiter!$D$6:$D$205,MATCH(B2876,Mitarbeiter!$A$6:$A$205,0))),"nach Austritt","ok")))))))</f>
        <v/>
      </c>
    </row>
    <row r="2877">
      <c r="A2877" s="26" t="n"/>
      <c r="B2877" s="24" t="n"/>
      <c r="C2877" s="40">
        <f>IF(B2877="","",IFERROR(INDEX(Mitarbeiter!$B$6:$B$205,MATCH(B2877,Mitarbeiter!$A$6:$A$205,0)),"?"))</f>
        <v/>
      </c>
      <c r="D2877" s="41" t="n"/>
      <c r="E2877" s="42" t="n"/>
      <c r="F2877" s="43" t="n"/>
      <c r="G2877" s="44">
        <f>IF(OR(B2877="",F2877=""),"",IFERROR(F2877*INDEX(Mitarbeiter!$F$6:$F$205,MATCH(B2877,Mitarbeiter!$A$6:$A$205,0)),0))</f>
        <v/>
      </c>
      <c r="H2877" s="8">
        <f>IF(B2877="","",IF(ISNA(MATCH(B2877,Mitarbeiter!$A$6:$A$205,0)),"Pers.-Nr. unbekannt",IF(A2877="","Datum fehlt",IF(AND(D2877&lt;&gt;Einstellungen!$C$4,D2877&lt;&gt;Einstellungen!$C$5),"Objekt fehlt",IF(YEAR(A2877)&lt;&gt;Einstellungen!$C$3,"anderes Jahr",IF(A2877&lt;INDEX(Mitarbeiter!$C$6:$C$205,MATCH(B2877,Mitarbeiter!$A$6:$A$205,0)),"vor Eintritt",IF(AND(INDEX(Mitarbeiter!$D$6:$D$205,MATCH(B2877,Mitarbeiter!$A$6:$A$205,0))&lt;&gt;"",A2877&gt;INDEX(Mitarbeiter!$D$6:$D$205,MATCH(B2877,Mitarbeiter!$A$6:$A$205,0))),"nach Austritt","ok")))))))</f>
        <v/>
      </c>
    </row>
    <row r="2878">
      <c r="A2878" s="26" t="n"/>
      <c r="B2878" s="24" t="n"/>
      <c r="C2878" s="40">
        <f>IF(B2878="","",IFERROR(INDEX(Mitarbeiter!$B$6:$B$205,MATCH(B2878,Mitarbeiter!$A$6:$A$205,0)),"?"))</f>
        <v/>
      </c>
      <c r="D2878" s="41" t="n"/>
      <c r="E2878" s="42" t="n"/>
      <c r="F2878" s="43" t="n"/>
      <c r="G2878" s="44">
        <f>IF(OR(B2878="",F2878=""),"",IFERROR(F2878*INDEX(Mitarbeiter!$F$6:$F$205,MATCH(B2878,Mitarbeiter!$A$6:$A$205,0)),0))</f>
        <v/>
      </c>
      <c r="H2878" s="8">
        <f>IF(B2878="","",IF(ISNA(MATCH(B2878,Mitarbeiter!$A$6:$A$205,0)),"Pers.-Nr. unbekannt",IF(A2878="","Datum fehlt",IF(AND(D2878&lt;&gt;Einstellungen!$C$4,D2878&lt;&gt;Einstellungen!$C$5),"Objekt fehlt",IF(YEAR(A2878)&lt;&gt;Einstellungen!$C$3,"anderes Jahr",IF(A2878&lt;INDEX(Mitarbeiter!$C$6:$C$205,MATCH(B2878,Mitarbeiter!$A$6:$A$205,0)),"vor Eintritt",IF(AND(INDEX(Mitarbeiter!$D$6:$D$205,MATCH(B2878,Mitarbeiter!$A$6:$A$205,0))&lt;&gt;"",A2878&gt;INDEX(Mitarbeiter!$D$6:$D$205,MATCH(B2878,Mitarbeiter!$A$6:$A$205,0))),"nach Austritt","ok")))))))</f>
        <v/>
      </c>
    </row>
    <row r="2879">
      <c r="A2879" s="26" t="n"/>
      <c r="B2879" s="24" t="n"/>
      <c r="C2879" s="40">
        <f>IF(B2879="","",IFERROR(INDEX(Mitarbeiter!$B$6:$B$205,MATCH(B2879,Mitarbeiter!$A$6:$A$205,0)),"?"))</f>
        <v/>
      </c>
      <c r="D2879" s="41" t="n"/>
      <c r="E2879" s="42" t="n"/>
      <c r="F2879" s="43" t="n"/>
      <c r="G2879" s="44">
        <f>IF(OR(B2879="",F2879=""),"",IFERROR(F2879*INDEX(Mitarbeiter!$F$6:$F$205,MATCH(B2879,Mitarbeiter!$A$6:$A$205,0)),0))</f>
        <v/>
      </c>
      <c r="H2879" s="8">
        <f>IF(B2879="","",IF(ISNA(MATCH(B2879,Mitarbeiter!$A$6:$A$205,0)),"Pers.-Nr. unbekannt",IF(A2879="","Datum fehlt",IF(AND(D2879&lt;&gt;Einstellungen!$C$4,D2879&lt;&gt;Einstellungen!$C$5),"Objekt fehlt",IF(YEAR(A2879)&lt;&gt;Einstellungen!$C$3,"anderes Jahr",IF(A2879&lt;INDEX(Mitarbeiter!$C$6:$C$205,MATCH(B2879,Mitarbeiter!$A$6:$A$205,0)),"vor Eintritt",IF(AND(INDEX(Mitarbeiter!$D$6:$D$205,MATCH(B2879,Mitarbeiter!$A$6:$A$205,0))&lt;&gt;"",A2879&gt;INDEX(Mitarbeiter!$D$6:$D$205,MATCH(B2879,Mitarbeiter!$A$6:$A$205,0))),"nach Austritt","ok")))))))</f>
        <v/>
      </c>
    </row>
    <row r="2880">
      <c r="A2880" s="26" t="n"/>
      <c r="B2880" s="24" t="n"/>
      <c r="C2880" s="40">
        <f>IF(B2880="","",IFERROR(INDEX(Mitarbeiter!$B$6:$B$205,MATCH(B2880,Mitarbeiter!$A$6:$A$205,0)),"?"))</f>
        <v/>
      </c>
      <c r="D2880" s="41" t="n"/>
      <c r="E2880" s="42" t="n"/>
      <c r="F2880" s="43" t="n"/>
      <c r="G2880" s="44">
        <f>IF(OR(B2880="",F2880=""),"",IFERROR(F2880*INDEX(Mitarbeiter!$F$6:$F$205,MATCH(B2880,Mitarbeiter!$A$6:$A$205,0)),0))</f>
        <v/>
      </c>
      <c r="H2880" s="8">
        <f>IF(B2880="","",IF(ISNA(MATCH(B2880,Mitarbeiter!$A$6:$A$205,0)),"Pers.-Nr. unbekannt",IF(A2880="","Datum fehlt",IF(AND(D2880&lt;&gt;Einstellungen!$C$4,D2880&lt;&gt;Einstellungen!$C$5),"Objekt fehlt",IF(YEAR(A2880)&lt;&gt;Einstellungen!$C$3,"anderes Jahr",IF(A2880&lt;INDEX(Mitarbeiter!$C$6:$C$205,MATCH(B2880,Mitarbeiter!$A$6:$A$205,0)),"vor Eintritt",IF(AND(INDEX(Mitarbeiter!$D$6:$D$205,MATCH(B2880,Mitarbeiter!$A$6:$A$205,0))&lt;&gt;"",A2880&gt;INDEX(Mitarbeiter!$D$6:$D$205,MATCH(B2880,Mitarbeiter!$A$6:$A$205,0))),"nach Austritt","ok")))))))</f>
        <v/>
      </c>
    </row>
    <row r="2881">
      <c r="A2881" s="26" t="n"/>
      <c r="B2881" s="24" t="n"/>
      <c r="C2881" s="40">
        <f>IF(B2881="","",IFERROR(INDEX(Mitarbeiter!$B$6:$B$205,MATCH(B2881,Mitarbeiter!$A$6:$A$205,0)),"?"))</f>
        <v/>
      </c>
      <c r="D2881" s="41" t="n"/>
      <c r="E2881" s="42" t="n"/>
      <c r="F2881" s="43" t="n"/>
      <c r="G2881" s="44">
        <f>IF(OR(B2881="",F2881=""),"",IFERROR(F2881*INDEX(Mitarbeiter!$F$6:$F$205,MATCH(B2881,Mitarbeiter!$A$6:$A$205,0)),0))</f>
        <v/>
      </c>
      <c r="H2881" s="8">
        <f>IF(B2881="","",IF(ISNA(MATCH(B2881,Mitarbeiter!$A$6:$A$205,0)),"Pers.-Nr. unbekannt",IF(A2881="","Datum fehlt",IF(AND(D2881&lt;&gt;Einstellungen!$C$4,D2881&lt;&gt;Einstellungen!$C$5),"Objekt fehlt",IF(YEAR(A2881)&lt;&gt;Einstellungen!$C$3,"anderes Jahr",IF(A2881&lt;INDEX(Mitarbeiter!$C$6:$C$205,MATCH(B2881,Mitarbeiter!$A$6:$A$205,0)),"vor Eintritt",IF(AND(INDEX(Mitarbeiter!$D$6:$D$205,MATCH(B2881,Mitarbeiter!$A$6:$A$205,0))&lt;&gt;"",A2881&gt;INDEX(Mitarbeiter!$D$6:$D$205,MATCH(B2881,Mitarbeiter!$A$6:$A$205,0))),"nach Austritt","ok")))))))</f>
        <v/>
      </c>
    </row>
    <row r="2882">
      <c r="A2882" s="26" t="n"/>
      <c r="B2882" s="24" t="n"/>
      <c r="C2882" s="40">
        <f>IF(B2882="","",IFERROR(INDEX(Mitarbeiter!$B$6:$B$205,MATCH(B2882,Mitarbeiter!$A$6:$A$205,0)),"?"))</f>
        <v/>
      </c>
      <c r="D2882" s="41" t="n"/>
      <c r="E2882" s="42" t="n"/>
      <c r="F2882" s="43" t="n"/>
      <c r="G2882" s="44">
        <f>IF(OR(B2882="",F2882=""),"",IFERROR(F2882*INDEX(Mitarbeiter!$F$6:$F$205,MATCH(B2882,Mitarbeiter!$A$6:$A$205,0)),0))</f>
        <v/>
      </c>
      <c r="H2882" s="8">
        <f>IF(B2882="","",IF(ISNA(MATCH(B2882,Mitarbeiter!$A$6:$A$205,0)),"Pers.-Nr. unbekannt",IF(A2882="","Datum fehlt",IF(AND(D2882&lt;&gt;Einstellungen!$C$4,D2882&lt;&gt;Einstellungen!$C$5),"Objekt fehlt",IF(YEAR(A2882)&lt;&gt;Einstellungen!$C$3,"anderes Jahr",IF(A2882&lt;INDEX(Mitarbeiter!$C$6:$C$205,MATCH(B2882,Mitarbeiter!$A$6:$A$205,0)),"vor Eintritt",IF(AND(INDEX(Mitarbeiter!$D$6:$D$205,MATCH(B2882,Mitarbeiter!$A$6:$A$205,0))&lt;&gt;"",A2882&gt;INDEX(Mitarbeiter!$D$6:$D$205,MATCH(B2882,Mitarbeiter!$A$6:$A$205,0))),"nach Austritt","ok")))))))</f>
        <v/>
      </c>
    </row>
    <row r="2883">
      <c r="A2883" s="26" t="n"/>
      <c r="B2883" s="24" t="n"/>
      <c r="C2883" s="40">
        <f>IF(B2883="","",IFERROR(INDEX(Mitarbeiter!$B$6:$B$205,MATCH(B2883,Mitarbeiter!$A$6:$A$205,0)),"?"))</f>
        <v/>
      </c>
      <c r="D2883" s="41" t="n"/>
      <c r="E2883" s="42" t="n"/>
      <c r="F2883" s="43" t="n"/>
      <c r="G2883" s="44">
        <f>IF(OR(B2883="",F2883=""),"",IFERROR(F2883*INDEX(Mitarbeiter!$F$6:$F$205,MATCH(B2883,Mitarbeiter!$A$6:$A$205,0)),0))</f>
        <v/>
      </c>
      <c r="H2883" s="8">
        <f>IF(B2883="","",IF(ISNA(MATCH(B2883,Mitarbeiter!$A$6:$A$205,0)),"Pers.-Nr. unbekannt",IF(A2883="","Datum fehlt",IF(AND(D2883&lt;&gt;Einstellungen!$C$4,D2883&lt;&gt;Einstellungen!$C$5),"Objekt fehlt",IF(YEAR(A2883)&lt;&gt;Einstellungen!$C$3,"anderes Jahr",IF(A2883&lt;INDEX(Mitarbeiter!$C$6:$C$205,MATCH(B2883,Mitarbeiter!$A$6:$A$205,0)),"vor Eintritt",IF(AND(INDEX(Mitarbeiter!$D$6:$D$205,MATCH(B2883,Mitarbeiter!$A$6:$A$205,0))&lt;&gt;"",A2883&gt;INDEX(Mitarbeiter!$D$6:$D$205,MATCH(B2883,Mitarbeiter!$A$6:$A$205,0))),"nach Austritt","ok")))))))</f>
        <v/>
      </c>
    </row>
    <row r="2884">
      <c r="A2884" s="26" t="n"/>
      <c r="B2884" s="24" t="n"/>
      <c r="C2884" s="40">
        <f>IF(B2884="","",IFERROR(INDEX(Mitarbeiter!$B$6:$B$205,MATCH(B2884,Mitarbeiter!$A$6:$A$205,0)),"?"))</f>
        <v/>
      </c>
      <c r="D2884" s="41" t="n"/>
      <c r="E2884" s="42" t="n"/>
      <c r="F2884" s="43" t="n"/>
      <c r="G2884" s="44">
        <f>IF(OR(B2884="",F2884=""),"",IFERROR(F2884*INDEX(Mitarbeiter!$F$6:$F$205,MATCH(B2884,Mitarbeiter!$A$6:$A$205,0)),0))</f>
        <v/>
      </c>
      <c r="H2884" s="8">
        <f>IF(B2884="","",IF(ISNA(MATCH(B2884,Mitarbeiter!$A$6:$A$205,0)),"Pers.-Nr. unbekannt",IF(A2884="","Datum fehlt",IF(AND(D2884&lt;&gt;Einstellungen!$C$4,D2884&lt;&gt;Einstellungen!$C$5),"Objekt fehlt",IF(YEAR(A2884)&lt;&gt;Einstellungen!$C$3,"anderes Jahr",IF(A2884&lt;INDEX(Mitarbeiter!$C$6:$C$205,MATCH(B2884,Mitarbeiter!$A$6:$A$205,0)),"vor Eintritt",IF(AND(INDEX(Mitarbeiter!$D$6:$D$205,MATCH(B2884,Mitarbeiter!$A$6:$A$205,0))&lt;&gt;"",A2884&gt;INDEX(Mitarbeiter!$D$6:$D$205,MATCH(B2884,Mitarbeiter!$A$6:$A$205,0))),"nach Austritt","ok")))))))</f>
        <v/>
      </c>
    </row>
    <row r="2885">
      <c r="A2885" s="26" t="n"/>
      <c r="B2885" s="24" t="n"/>
      <c r="C2885" s="40">
        <f>IF(B2885="","",IFERROR(INDEX(Mitarbeiter!$B$6:$B$205,MATCH(B2885,Mitarbeiter!$A$6:$A$205,0)),"?"))</f>
        <v/>
      </c>
      <c r="D2885" s="41" t="n"/>
      <c r="E2885" s="42" t="n"/>
      <c r="F2885" s="43" t="n"/>
      <c r="G2885" s="44">
        <f>IF(OR(B2885="",F2885=""),"",IFERROR(F2885*INDEX(Mitarbeiter!$F$6:$F$205,MATCH(B2885,Mitarbeiter!$A$6:$A$205,0)),0))</f>
        <v/>
      </c>
      <c r="H2885" s="8">
        <f>IF(B2885="","",IF(ISNA(MATCH(B2885,Mitarbeiter!$A$6:$A$205,0)),"Pers.-Nr. unbekannt",IF(A2885="","Datum fehlt",IF(AND(D2885&lt;&gt;Einstellungen!$C$4,D2885&lt;&gt;Einstellungen!$C$5),"Objekt fehlt",IF(YEAR(A2885)&lt;&gt;Einstellungen!$C$3,"anderes Jahr",IF(A2885&lt;INDEX(Mitarbeiter!$C$6:$C$205,MATCH(B2885,Mitarbeiter!$A$6:$A$205,0)),"vor Eintritt",IF(AND(INDEX(Mitarbeiter!$D$6:$D$205,MATCH(B2885,Mitarbeiter!$A$6:$A$205,0))&lt;&gt;"",A2885&gt;INDEX(Mitarbeiter!$D$6:$D$205,MATCH(B2885,Mitarbeiter!$A$6:$A$205,0))),"nach Austritt","ok")))))))</f>
        <v/>
      </c>
    </row>
    <row r="2886">
      <c r="A2886" s="26" t="n"/>
      <c r="B2886" s="24" t="n"/>
      <c r="C2886" s="40">
        <f>IF(B2886="","",IFERROR(INDEX(Mitarbeiter!$B$6:$B$205,MATCH(B2886,Mitarbeiter!$A$6:$A$205,0)),"?"))</f>
        <v/>
      </c>
      <c r="D2886" s="41" t="n"/>
      <c r="E2886" s="42" t="n"/>
      <c r="F2886" s="43" t="n"/>
      <c r="G2886" s="44">
        <f>IF(OR(B2886="",F2886=""),"",IFERROR(F2886*INDEX(Mitarbeiter!$F$6:$F$205,MATCH(B2886,Mitarbeiter!$A$6:$A$205,0)),0))</f>
        <v/>
      </c>
      <c r="H2886" s="8">
        <f>IF(B2886="","",IF(ISNA(MATCH(B2886,Mitarbeiter!$A$6:$A$205,0)),"Pers.-Nr. unbekannt",IF(A2886="","Datum fehlt",IF(AND(D2886&lt;&gt;Einstellungen!$C$4,D2886&lt;&gt;Einstellungen!$C$5),"Objekt fehlt",IF(YEAR(A2886)&lt;&gt;Einstellungen!$C$3,"anderes Jahr",IF(A2886&lt;INDEX(Mitarbeiter!$C$6:$C$205,MATCH(B2886,Mitarbeiter!$A$6:$A$205,0)),"vor Eintritt",IF(AND(INDEX(Mitarbeiter!$D$6:$D$205,MATCH(B2886,Mitarbeiter!$A$6:$A$205,0))&lt;&gt;"",A2886&gt;INDEX(Mitarbeiter!$D$6:$D$205,MATCH(B2886,Mitarbeiter!$A$6:$A$205,0))),"nach Austritt","ok")))))))</f>
        <v/>
      </c>
    </row>
    <row r="2887">
      <c r="A2887" s="26" t="n"/>
      <c r="B2887" s="24" t="n"/>
      <c r="C2887" s="40">
        <f>IF(B2887="","",IFERROR(INDEX(Mitarbeiter!$B$6:$B$205,MATCH(B2887,Mitarbeiter!$A$6:$A$205,0)),"?"))</f>
        <v/>
      </c>
      <c r="D2887" s="41" t="n"/>
      <c r="E2887" s="42" t="n"/>
      <c r="F2887" s="43" t="n"/>
      <c r="G2887" s="44">
        <f>IF(OR(B2887="",F2887=""),"",IFERROR(F2887*INDEX(Mitarbeiter!$F$6:$F$205,MATCH(B2887,Mitarbeiter!$A$6:$A$205,0)),0))</f>
        <v/>
      </c>
      <c r="H2887" s="8">
        <f>IF(B2887="","",IF(ISNA(MATCH(B2887,Mitarbeiter!$A$6:$A$205,0)),"Pers.-Nr. unbekannt",IF(A2887="","Datum fehlt",IF(AND(D2887&lt;&gt;Einstellungen!$C$4,D2887&lt;&gt;Einstellungen!$C$5),"Objekt fehlt",IF(YEAR(A2887)&lt;&gt;Einstellungen!$C$3,"anderes Jahr",IF(A2887&lt;INDEX(Mitarbeiter!$C$6:$C$205,MATCH(B2887,Mitarbeiter!$A$6:$A$205,0)),"vor Eintritt",IF(AND(INDEX(Mitarbeiter!$D$6:$D$205,MATCH(B2887,Mitarbeiter!$A$6:$A$205,0))&lt;&gt;"",A2887&gt;INDEX(Mitarbeiter!$D$6:$D$205,MATCH(B2887,Mitarbeiter!$A$6:$A$205,0))),"nach Austritt","ok")))))))</f>
        <v/>
      </c>
    </row>
    <row r="2888">
      <c r="A2888" s="26" t="n"/>
      <c r="B2888" s="24" t="n"/>
      <c r="C2888" s="40">
        <f>IF(B2888="","",IFERROR(INDEX(Mitarbeiter!$B$6:$B$205,MATCH(B2888,Mitarbeiter!$A$6:$A$205,0)),"?"))</f>
        <v/>
      </c>
      <c r="D2888" s="41" t="n"/>
      <c r="E2888" s="42" t="n"/>
      <c r="F2888" s="43" t="n"/>
      <c r="G2888" s="44">
        <f>IF(OR(B2888="",F2888=""),"",IFERROR(F2888*INDEX(Mitarbeiter!$F$6:$F$205,MATCH(B2888,Mitarbeiter!$A$6:$A$205,0)),0))</f>
        <v/>
      </c>
      <c r="H2888" s="8">
        <f>IF(B2888="","",IF(ISNA(MATCH(B2888,Mitarbeiter!$A$6:$A$205,0)),"Pers.-Nr. unbekannt",IF(A2888="","Datum fehlt",IF(AND(D2888&lt;&gt;Einstellungen!$C$4,D2888&lt;&gt;Einstellungen!$C$5),"Objekt fehlt",IF(YEAR(A2888)&lt;&gt;Einstellungen!$C$3,"anderes Jahr",IF(A2888&lt;INDEX(Mitarbeiter!$C$6:$C$205,MATCH(B2888,Mitarbeiter!$A$6:$A$205,0)),"vor Eintritt",IF(AND(INDEX(Mitarbeiter!$D$6:$D$205,MATCH(B2888,Mitarbeiter!$A$6:$A$205,0))&lt;&gt;"",A2888&gt;INDEX(Mitarbeiter!$D$6:$D$205,MATCH(B2888,Mitarbeiter!$A$6:$A$205,0))),"nach Austritt","ok")))))))</f>
        <v/>
      </c>
    </row>
    <row r="2889">
      <c r="A2889" s="26" t="n"/>
      <c r="B2889" s="24" t="n"/>
      <c r="C2889" s="40">
        <f>IF(B2889="","",IFERROR(INDEX(Mitarbeiter!$B$6:$B$205,MATCH(B2889,Mitarbeiter!$A$6:$A$205,0)),"?"))</f>
        <v/>
      </c>
      <c r="D2889" s="41" t="n"/>
      <c r="E2889" s="42" t="n"/>
      <c r="F2889" s="43" t="n"/>
      <c r="G2889" s="44">
        <f>IF(OR(B2889="",F2889=""),"",IFERROR(F2889*INDEX(Mitarbeiter!$F$6:$F$205,MATCH(B2889,Mitarbeiter!$A$6:$A$205,0)),0))</f>
        <v/>
      </c>
      <c r="H2889" s="8">
        <f>IF(B2889="","",IF(ISNA(MATCH(B2889,Mitarbeiter!$A$6:$A$205,0)),"Pers.-Nr. unbekannt",IF(A2889="","Datum fehlt",IF(AND(D2889&lt;&gt;Einstellungen!$C$4,D2889&lt;&gt;Einstellungen!$C$5),"Objekt fehlt",IF(YEAR(A2889)&lt;&gt;Einstellungen!$C$3,"anderes Jahr",IF(A2889&lt;INDEX(Mitarbeiter!$C$6:$C$205,MATCH(B2889,Mitarbeiter!$A$6:$A$205,0)),"vor Eintritt",IF(AND(INDEX(Mitarbeiter!$D$6:$D$205,MATCH(B2889,Mitarbeiter!$A$6:$A$205,0))&lt;&gt;"",A2889&gt;INDEX(Mitarbeiter!$D$6:$D$205,MATCH(B2889,Mitarbeiter!$A$6:$A$205,0))),"nach Austritt","ok")))))))</f>
        <v/>
      </c>
    </row>
    <row r="2890">
      <c r="A2890" s="26" t="n"/>
      <c r="B2890" s="24" t="n"/>
      <c r="C2890" s="40">
        <f>IF(B2890="","",IFERROR(INDEX(Mitarbeiter!$B$6:$B$205,MATCH(B2890,Mitarbeiter!$A$6:$A$205,0)),"?"))</f>
        <v/>
      </c>
      <c r="D2890" s="41" t="n"/>
      <c r="E2890" s="42" t="n"/>
      <c r="F2890" s="43" t="n"/>
      <c r="G2890" s="44">
        <f>IF(OR(B2890="",F2890=""),"",IFERROR(F2890*INDEX(Mitarbeiter!$F$6:$F$205,MATCH(B2890,Mitarbeiter!$A$6:$A$205,0)),0))</f>
        <v/>
      </c>
      <c r="H2890" s="8">
        <f>IF(B2890="","",IF(ISNA(MATCH(B2890,Mitarbeiter!$A$6:$A$205,0)),"Pers.-Nr. unbekannt",IF(A2890="","Datum fehlt",IF(AND(D2890&lt;&gt;Einstellungen!$C$4,D2890&lt;&gt;Einstellungen!$C$5),"Objekt fehlt",IF(YEAR(A2890)&lt;&gt;Einstellungen!$C$3,"anderes Jahr",IF(A2890&lt;INDEX(Mitarbeiter!$C$6:$C$205,MATCH(B2890,Mitarbeiter!$A$6:$A$205,0)),"vor Eintritt",IF(AND(INDEX(Mitarbeiter!$D$6:$D$205,MATCH(B2890,Mitarbeiter!$A$6:$A$205,0))&lt;&gt;"",A2890&gt;INDEX(Mitarbeiter!$D$6:$D$205,MATCH(B2890,Mitarbeiter!$A$6:$A$205,0))),"nach Austritt","ok")))))))</f>
        <v/>
      </c>
    </row>
    <row r="2891">
      <c r="A2891" s="26" t="n"/>
      <c r="B2891" s="24" t="n"/>
      <c r="C2891" s="40">
        <f>IF(B2891="","",IFERROR(INDEX(Mitarbeiter!$B$6:$B$205,MATCH(B2891,Mitarbeiter!$A$6:$A$205,0)),"?"))</f>
        <v/>
      </c>
      <c r="D2891" s="41" t="n"/>
      <c r="E2891" s="42" t="n"/>
      <c r="F2891" s="43" t="n"/>
      <c r="G2891" s="44">
        <f>IF(OR(B2891="",F2891=""),"",IFERROR(F2891*INDEX(Mitarbeiter!$F$6:$F$205,MATCH(B2891,Mitarbeiter!$A$6:$A$205,0)),0))</f>
        <v/>
      </c>
      <c r="H2891" s="8">
        <f>IF(B2891="","",IF(ISNA(MATCH(B2891,Mitarbeiter!$A$6:$A$205,0)),"Pers.-Nr. unbekannt",IF(A2891="","Datum fehlt",IF(AND(D2891&lt;&gt;Einstellungen!$C$4,D2891&lt;&gt;Einstellungen!$C$5),"Objekt fehlt",IF(YEAR(A2891)&lt;&gt;Einstellungen!$C$3,"anderes Jahr",IF(A2891&lt;INDEX(Mitarbeiter!$C$6:$C$205,MATCH(B2891,Mitarbeiter!$A$6:$A$205,0)),"vor Eintritt",IF(AND(INDEX(Mitarbeiter!$D$6:$D$205,MATCH(B2891,Mitarbeiter!$A$6:$A$205,0))&lt;&gt;"",A2891&gt;INDEX(Mitarbeiter!$D$6:$D$205,MATCH(B2891,Mitarbeiter!$A$6:$A$205,0))),"nach Austritt","ok")))))))</f>
        <v/>
      </c>
    </row>
    <row r="2892">
      <c r="A2892" s="26" t="n"/>
      <c r="B2892" s="24" t="n"/>
      <c r="C2892" s="40">
        <f>IF(B2892="","",IFERROR(INDEX(Mitarbeiter!$B$6:$B$205,MATCH(B2892,Mitarbeiter!$A$6:$A$205,0)),"?"))</f>
        <v/>
      </c>
      <c r="D2892" s="41" t="n"/>
      <c r="E2892" s="42" t="n"/>
      <c r="F2892" s="43" t="n"/>
      <c r="G2892" s="44">
        <f>IF(OR(B2892="",F2892=""),"",IFERROR(F2892*INDEX(Mitarbeiter!$F$6:$F$205,MATCH(B2892,Mitarbeiter!$A$6:$A$205,0)),0))</f>
        <v/>
      </c>
      <c r="H2892" s="8">
        <f>IF(B2892="","",IF(ISNA(MATCH(B2892,Mitarbeiter!$A$6:$A$205,0)),"Pers.-Nr. unbekannt",IF(A2892="","Datum fehlt",IF(AND(D2892&lt;&gt;Einstellungen!$C$4,D2892&lt;&gt;Einstellungen!$C$5),"Objekt fehlt",IF(YEAR(A2892)&lt;&gt;Einstellungen!$C$3,"anderes Jahr",IF(A2892&lt;INDEX(Mitarbeiter!$C$6:$C$205,MATCH(B2892,Mitarbeiter!$A$6:$A$205,0)),"vor Eintritt",IF(AND(INDEX(Mitarbeiter!$D$6:$D$205,MATCH(B2892,Mitarbeiter!$A$6:$A$205,0))&lt;&gt;"",A2892&gt;INDEX(Mitarbeiter!$D$6:$D$205,MATCH(B2892,Mitarbeiter!$A$6:$A$205,0))),"nach Austritt","ok")))))))</f>
        <v/>
      </c>
    </row>
    <row r="2893">
      <c r="A2893" s="26" t="n"/>
      <c r="B2893" s="24" t="n"/>
      <c r="C2893" s="40">
        <f>IF(B2893="","",IFERROR(INDEX(Mitarbeiter!$B$6:$B$205,MATCH(B2893,Mitarbeiter!$A$6:$A$205,0)),"?"))</f>
        <v/>
      </c>
      <c r="D2893" s="41" t="n"/>
      <c r="E2893" s="42" t="n"/>
      <c r="F2893" s="43" t="n"/>
      <c r="G2893" s="44">
        <f>IF(OR(B2893="",F2893=""),"",IFERROR(F2893*INDEX(Mitarbeiter!$F$6:$F$205,MATCH(B2893,Mitarbeiter!$A$6:$A$205,0)),0))</f>
        <v/>
      </c>
      <c r="H2893" s="8">
        <f>IF(B2893="","",IF(ISNA(MATCH(B2893,Mitarbeiter!$A$6:$A$205,0)),"Pers.-Nr. unbekannt",IF(A2893="","Datum fehlt",IF(AND(D2893&lt;&gt;Einstellungen!$C$4,D2893&lt;&gt;Einstellungen!$C$5),"Objekt fehlt",IF(YEAR(A2893)&lt;&gt;Einstellungen!$C$3,"anderes Jahr",IF(A2893&lt;INDEX(Mitarbeiter!$C$6:$C$205,MATCH(B2893,Mitarbeiter!$A$6:$A$205,0)),"vor Eintritt",IF(AND(INDEX(Mitarbeiter!$D$6:$D$205,MATCH(B2893,Mitarbeiter!$A$6:$A$205,0))&lt;&gt;"",A2893&gt;INDEX(Mitarbeiter!$D$6:$D$205,MATCH(B2893,Mitarbeiter!$A$6:$A$205,0))),"nach Austritt","ok")))))))</f>
        <v/>
      </c>
    </row>
    <row r="2894">
      <c r="A2894" s="26" t="n"/>
      <c r="B2894" s="24" t="n"/>
      <c r="C2894" s="40">
        <f>IF(B2894="","",IFERROR(INDEX(Mitarbeiter!$B$6:$B$205,MATCH(B2894,Mitarbeiter!$A$6:$A$205,0)),"?"))</f>
        <v/>
      </c>
      <c r="D2894" s="41" t="n"/>
      <c r="E2894" s="42" t="n"/>
      <c r="F2894" s="43" t="n"/>
      <c r="G2894" s="44">
        <f>IF(OR(B2894="",F2894=""),"",IFERROR(F2894*INDEX(Mitarbeiter!$F$6:$F$205,MATCH(B2894,Mitarbeiter!$A$6:$A$205,0)),0))</f>
        <v/>
      </c>
      <c r="H2894" s="8">
        <f>IF(B2894="","",IF(ISNA(MATCH(B2894,Mitarbeiter!$A$6:$A$205,0)),"Pers.-Nr. unbekannt",IF(A2894="","Datum fehlt",IF(AND(D2894&lt;&gt;Einstellungen!$C$4,D2894&lt;&gt;Einstellungen!$C$5),"Objekt fehlt",IF(YEAR(A2894)&lt;&gt;Einstellungen!$C$3,"anderes Jahr",IF(A2894&lt;INDEX(Mitarbeiter!$C$6:$C$205,MATCH(B2894,Mitarbeiter!$A$6:$A$205,0)),"vor Eintritt",IF(AND(INDEX(Mitarbeiter!$D$6:$D$205,MATCH(B2894,Mitarbeiter!$A$6:$A$205,0))&lt;&gt;"",A2894&gt;INDEX(Mitarbeiter!$D$6:$D$205,MATCH(B2894,Mitarbeiter!$A$6:$A$205,0))),"nach Austritt","ok")))))))</f>
        <v/>
      </c>
    </row>
    <row r="2895">
      <c r="A2895" s="26" t="n"/>
      <c r="B2895" s="24" t="n"/>
      <c r="C2895" s="40">
        <f>IF(B2895="","",IFERROR(INDEX(Mitarbeiter!$B$6:$B$205,MATCH(B2895,Mitarbeiter!$A$6:$A$205,0)),"?"))</f>
        <v/>
      </c>
      <c r="D2895" s="41" t="n"/>
      <c r="E2895" s="42" t="n"/>
      <c r="F2895" s="43" t="n"/>
      <c r="G2895" s="44">
        <f>IF(OR(B2895="",F2895=""),"",IFERROR(F2895*INDEX(Mitarbeiter!$F$6:$F$205,MATCH(B2895,Mitarbeiter!$A$6:$A$205,0)),0))</f>
        <v/>
      </c>
      <c r="H2895" s="8">
        <f>IF(B2895="","",IF(ISNA(MATCH(B2895,Mitarbeiter!$A$6:$A$205,0)),"Pers.-Nr. unbekannt",IF(A2895="","Datum fehlt",IF(AND(D2895&lt;&gt;Einstellungen!$C$4,D2895&lt;&gt;Einstellungen!$C$5),"Objekt fehlt",IF(YEAR(A2895)&lt;&gt;Einstellungen!$C$3,"anderes Jahr",IF(A2895&lt;INDEX(Mitarbeiter!$C$6:$C$205,MATCH(B2895,Mitarbeiter!$A$6:$A$205,0)),"vor Eintritt",IF(AND(INDEX(Mitarbeiter!$D$6:$D$205,MATCH(B2895,Mitarbeiter!$A$6:$A$205,0))&lt;&gt;"",A2895&gt;INDEX(Mitarbeiter!$D$6:$D$205,MATCH(B2895,Mitarbeiter!$A$6:$A$205,0))),"nach Austritt","ok")))))))</f>
        <v/>
      </c>
    </row>
    <row r="2896">
      <c r="A2896" s="26" t="n"/>
      <c r="B2896" s="24" t="n"/>
      <c r="C2896" s="40">
        <f>IF(B2896="","",IFERROR(INDEX(Mitarbeiter!$B$6:$B$205,MATCH(B2896,Mitarbeiter!$A$6:$A$205,0)),"?"))</f>
        <v/>
      </c>
      <c r="D2896" s="41" t="n"/>
      <c r="E2896" s="42" t="n"/>
      <c r="F2896" s="43" t="n"/>
      <c r="G2896" s="44">
        <f>IF(OR(B2896="",F2896=""),"",IFERROR(F2896*INDEX(Mitarbeiter!$F$6:$F$205,MATCH(B2896,Mitarbeiter!$A$6:$A$205,0)),0))</f>
        <v/>
      </c>
      <c r="H2896" s="8">
        <f>IF(B2896="","",IF(ISNA(MATCH(B2896,Mitarbeiter!$A$6:$A$205,0)),"Pers.-Nr. unbekannt",IF(A2896="","Datum fehlt",IF(AND(D2896&lt;&gt;Einstellungen!$C$4,D2896&lt;&gt;Einstellungen!$C$5),"Objekt fehlt",IF(YEAR(A2896)&lt;&gt;Einstellungen!$C$3,"anderes Jahr",IF(A2896&lt;INDEX(Mitarbeiter!$C$6:$C$205,MATCH(B2896,Mitarbeiter!$A$6:$A$205,0)),"vor Eintritt",IF(AND(INDEX(Mitarbeiter!$D$6:$D$205,MATCH(B2896,Mitarbeiter!$A$6:$A$205,0))&lt;&gt;"",A2896&gt;INDEX(Mitarbeiter!$D$6:$D$205,MATCH(B2896,Mitarbeiter!$A$6:$A$205,0))),"nach Austritt","ok")))))))</f>
        <v/>
      </c>
    </row>
    <row r="2897">
      <c r="A2897" s="26" t="n"/>
      <c r="B2897" s="24" t="n"/>
      <c r="C2897" s="40">
        <f>IF(B2897="","",IFERROR(INDEX(Mitarbeiter!$B$6:$B$205,MATCH(B2897,Mitarbeiter!$A$6:$A$205,0)),"?"))</f>
        <v/>
      </c>
      <c r="D2897" s="41" t="n"/>
      <c r="E2897" s="42" t="n"/>
      <c r="F2897" s="43" t="n"/>
      <c r="G2897" s="44">
        <f>IF(OR(B2897="",F2897=""),"",IFERROR(F2897*INDEX(Mitarbeiter!$F$6:$F$205,MATCH(B2897,Mitarbeiter!$A$6:$A$205,0)),0))</f>
        <v/>
      </c>
      <c r="H2897" s="8">
        <f>IF(B2897="","",IF(ISNA(MATCH(B2897,Mitarbeiter!$A$6:$A$205,0)),"Pers.-Nr. unbekannt",IF(A2897="","Datum fehlt",IF(AND(D2897&lt;&gt;Einstellungen!$C$4,D2897&lt;&gt;Einstellungen!$C$5),"Objekt fehlt",IF(YEAR(A2897)&lt;&gt;Einstellungen!$C$3,"anderes Jahr",IF(A2897&lt;INDEX(Mitarbeiter!$C$6:$C$205,MATCH(B2897,Mitarbeiter!$A$6:$A$205,0)),"vor Eintritt",IF(AND(INDEX(Mitarbeiter!$D$6:$D$205,MATCH(B2897,Mitarbeiter!$A$6:$A$205,0))&lt;&gt;"",A2897&gt;INDEX(Mitarbeiter!$D$6:$D$205,MATCH(B2897,Mitarbeiter!$A$6:$A$205,0))),"nach Austritt","ok")))))))</f>
        <v/>
      </c>
    </row>
    <row r="2898">
      <c r="A2898" s="26" t="n"/>
      <c r="B2898" s="24" t="n"/>
      <c r="C2898" s="40">
        <f>IF(B2898="","",IFERROR(INDEX(Mitarbeiter!$B$6:$B$205,MATCH(B2898,Mitarbeiter!$A$6:$A$205,0)),"?"))</f>
        <v/>
      </c>
      <c r="D2898" s="41" t="n"/>
      <c r="E2898" s="42" t="n"/>
      <c r="F2898" s="43" t="n"/>
      <c r="G2898" s="44">
        <f>IF(OR(B2898="",F2898=""),"",IFERROR(F2898*INDEX(Mitarbeiter!$F$6:$F$205,MATCH(B2898,Mitarbeiter!$A$6:$A$205,0)),0))</f>
        <v/>
      </c>
      <c r="H2898" s="8">
        <f>IF(B2898="","",IF(ISNA(MATCH(B2898,Mitarbeiter!$A$6:$A$205,0)),"Pers.-Nr. unbekannt",IF(A2898="","Datum fehlt",IF(AND(D2898&lt;&gt;Einstellungen!$C$4,D2898&lt;&gt;Einstellungen!$C$5),"Objekt fehlt",IF(YEAR(A2898)&lt;&gt;Einstellungen!$C$3,"anderes Jahr",IF(A2898&lt;INDEX(Mitarbeiter!$C$6:$C$205,MATCH(B2898,Mitarbeiter!$A$6:$A$205,0)),"vor Eintritt",IF(AND(INDEX(Mitarbeiter!$D$6:$D$205,MATCH(B2898,Mitarbeiter!$A$6:$A$205,0))&lt;&gt;"",A2898&gt;INDEX(Mitarbeiter!$D$6:$D$205,MATCH(B2898,Mitarbeiter!$A$6:$A$205,0))),"nach Austritt","ok")))))))</f>
        <v/>
      </c>
    </row>
    <row r="2899">
      <c r="A2899" s="26" t="n"/>
      <c r="B2899" s="24" t="n"/>
      <c r="C2899" s="40">
        <f>IF(B2899="","",IFERROR(INDEX(Mitarbeiter!$B$6:$B$205,MATCH(B2899,Mitarbeiter!$A$6:$A$205,0)),"?"))</f>
        <v/>
      </c>
      <c r="D2899" s="41" t="n"/>
      <c r="E2899" s="42" t="n"/>
      <c r="F2899" s="43" t="n"/>
      <c r="G2899" s="44">
        <f>IF(OR(B2899="",F2899=""),"",IFERROR(F2899*INDEX(Mitarbeiter!$F$6:$F$205,MATCH(B2899,Mitarbeiter!$A$6:$A$205,0)),0))</f>
        <v/>
      </c>
      <c r="H2899" s="8">
        <f>IF(B2899="","",IF(ISNA(MATCH(B2899,Mitarbeiter!$A$6:$A$205,0)),"Pers.-Nr. unbekannt",IF(A2899="","Datum fehlt",IF(AND(D2899&lt;&gt;Einstellungen!$C$4,D2899&lt;&gt;Einstellungen!$C$5),"Objekt fehlt",IF(YEAR(A2899)&lt;&gt;Einstellungen!$C$3,"anderes Jahr",IF(A2899&lt;INDEX(Mitarbeiter!$C$6:$C$205,MATCH(B2899,Mitarbeiter!$A$6:$A$205,0)),"vor Eintritt",IF(AND(INDEX(Mitarbeiter!$D$6:$D$205,MATCH(B2899,Mitarbeiter!$A$6:$A$205,0))&lt;&gt;"",A2899&gt;INDEX(Mitarbeiter!$D$6:$D$205,MATCH(B2899,Mitarbeiter!$A$6:$A$205,0))),"nach Austritt","ok")))))))</f>
        <v/>
      </c>
    </row>
    <row r="2900">
      <c r="A2900" s="26" t="n"/>
      <c r="B2900" s="24" t="n"/>
      <c r="C2900" s="40">
        <f>IF(B2900="","",IFERROR(INDEX(Mitarbeiter!$B$6:$B$205,MATCH(B2900,Mitarbeiter!$A$6:$A$205,0)),"?"))</f>
        <v/>
      </c>
      <c r="D2900" s="41" t="n"/>
      <c r="E2900" s="42" t="n"/>
      <c r="F2900" s="43" t="n"/>
      <c r="G2900" s="44">
        <f>IF(OR(B2900="",F2900=""),"",IFERROR(F2900*INDEX(Mitarbeiter!$F$6:$F$205,MATCH(B2900,Mitarbeiter!$A$6:$A$205,0)),0))</f>
        <v/>
      </c>
      <c r="H2900" s="8">
        <f>IF(B2900="","",IF(ISNA(MATCH(B2900,Mitarbeiter!$A$6:$A$205,0)),"Pers.-Nr. unbekannt",IF(A2900="","Datum fehlt",IF(AND(D2900&lt;&gt;Einstellungen!$C$4,D2900&lt;&gt;Einstellungen!$C$5),"Objekt fehlt",IF(YEAR(A2900)&lt;&gt;Einstellungen!$C$3,"anderes Jahr",IF(A2900&lt;INDEX(Mitarbeiter!$C$6:$C$205,MATCH(B2900,Mitarbeiter!$A$6:$A$205,0)),"vor Eintritt",IF(AND(INDEX(Mitarbeiter!$D$6:$D$205,MATCH(B2900,Mitarbeiter!$A$6:$A$205,0))&lt;&gt;"",A2900&gt;INDEX(Mitarbeiter!$D$6:$D$205,MATCH(B2900,Mitarbeiter!$A$6:$A$205,0))),"nach Austritt","ok")))))))</f>
        <v/>
      </c>
    </row>
    <row r="2901">
      <c r="A2901" s="26" t="n"/>
      <c r="B2901" s="24" t="n"/>
      <c r="C2901" s="40">
        <f>IF(B2901="","",IFERROR(INDEX(Mitarbeiter!$B$6:$B$205,MATCH(B2901,Mitarbeiter!$A$6:$A$205,0)),"?"))</f>
        <v/>
      </c>
      <c r="D2901" s="41" t="n"/>
      <c r="E2901" s="42" t="n"/>
      <c r="F2901" s="43" t="n"/>
      <c r="G2901" s="44">
        <f>IF(OR(B2901="",F2901=""),"",IFERROR(F2901*INDEX(Mitarbeiter!$F$6:$F$205,MATCH(B2901,Mitarbeiter!$A$6:$A$205,0)),0))</f>
        <v/>
      </c>
      <c r="H2901" s="8">
        <f>IF(B2901="","",IF(ISNA(MATCH(B2901,Mitarbeiter!$A$6:$A$205,0)),"Pers.-Nr. unbekannt",IF(A2901="","Datum fehlt",IF(AND(D2901&lt;&gt;Einstellungen!$C$4,D2901&lt;&gt;Einstellungen!$C$5),"Objekt fehlt",IF(YEAR(A2901)&lt;&gt;Einstellungen!$C$3,"anderes Jahr",IF(A2901&lt;INDEX(Mitarbeiter!$C$6:$C$205,MATCH(B2901,Mitarbeiter!$A$6:$A$205,0)),"vor Eintritt",IF(AND(INDEX(Mitarbeiter!$D$6:$D$205,MATCH(B2901,Mitarbeiter!$A$6:$A$205,0))&lt;&gt;"",A2901&gt;INDEX(Mitarbeiter!$D$6:$D$205,MATCH(B2901,Mitarbeiter!$A$6:$A$205,0))),"nach Austritt","ok")))))))</f>
        <v/>
      </c>
    </row>
    <row r="2902">
      <c r="A2902" s="26" t="n"/>
      <c r="B2902" s="24" t="n"/>
      <c r="C2902" s="40">
        <f>IF(B2902="","",IFERROR(INDEX(Mitarbeiter!$B$6:$B$205,MATCH(B2902,Mitarbeiter!$A$6:$A$205,0)),"?"))</f>
        <v/>
      </c>
      <c r="D2902" s="41" t="n"/>
      <c r="E2902" s="42" t="n"/>
      <c r="F2902" s="43" t="n"/>
      <c r="G2902" s="44">
        <f>IF(OR(B2902="",F2902=""),"",IFERROR(F2902*INDEX(Mitarbeiter!$F$6:$F$205,MATCH(B2902,Mitarbeiter!$A$6:$A$205,0)),0))</f>
        <v/>
      </c>
      <c r="H2902" s="8">
        <f>IF(B2902="","",IF(ISNA(MATCH(B2902,Mitarbeiter!$A$6:$A$205,0)),"Pers.-Nr. unbekannt",IF(A2902="","Datum fehlt",IF(AND(D2902&lt;&gt;Einstellungen!$C$4,D2902&lt;&gt;Einstellungen!$C$5),"Objekt fehlt",IF(YEAR(A2902)&lt;&gt;Einstellungen!$C$3,"anderes Jahr",IF(A2902&lt;INDEX(Mitarbeiter!$C$6:$C$205,MATCH(B2902,Mitarbeiter!$A$6:$A$205,0)),"vor Eintritt",IF(AND(INDEX(Mitarbeiter!$D$6:$D$205,MATCH(B2902,Mitarbeiter!$A$6:$A$205,0))&lt;&gt;"",A2902&gt;INDEX(Mitarbeiter!$D$6:$D$205,MATCH(B2902,Mitarbeiter!$A$6:$A$205,0))),"nach Austritt","ok")))))))</f>
        <v/>
      </c>
    </row>
    <row r="2903">
      <c r="A2903" s="26" t="n"/>
      <c r="B2903" s="24" t="n"/>
      <c r="C2903" s="40">
        <f>IF(B2903="","",IFERROR(INDEX(Mitarbeiter!$B$6:$B$205,MATCH(B2903,Mitarbeiter!$A$6:$A$205,0)),"?"))</f>
        <v/>
      </c>
      <c r="D2903" s="41" t="n"/>
      <c r="E2903" s="42" t="n"/>
      <c r="F2903" s="43" t="n"/>
      <c r="G2903" s="44">
        <f>IF(OR(B2903="",F2903=""),"",IFERROR(F2903*INDEX(Mitarbeiter!$F$6:$F$205,MATCH(B2903,Mitarbeiter!$A$6:$A$205,0)),0))</f>
        <v/>
      </c>
      <c r="H2903" s="8">
        <f>IF(B2903="","",IF(ISNA(MATCH(B2903,Mitarbeiter!$A$6:$A$205,0)),"Pers.-Nr. unbekannt",IF(A2903="","Datum fehlt",IF(AND(D2903&lt;&gt;Einstellungen!$C$4,D2903&lt;&gt;Einstellungen!$C$5),"Objekt fehlt",IF(YEAR(A2903)&lt;&gt;Einstellungen!$C$3,"anderes Jahr",IF(A2903&lt;INDEX(Mitarbeiter!$C$6:$C$205,MATCH(B2903,Mitarbeiter!$A$6:$A$205,0)),"vor Eintritt",IF(AND(INDEX(Mitarbeiter!$D$6:$D$205,MATCH(B2903,Mitarbeiter!$A$6:$A$205,0))&lt;&gt;"",A2903&gt;INDEX(Mitarbeiter!$D$6:$D$205,MATCH(B2903,Mitarbeiter!$A$6:$A$205,0))),"nach Austritt","ok")))))))</f>
        <v/>
      </c>
    </row>
    <row r="2904">
      <c r="A2904" s="26" t="n"/>
      <c r="B2904" s="24" t="n"/>
      <c r="C2904" s="40">
        <f>IF(B2904="","",IFERROR(INDEX(Mitarbeiter!$B$6:$B$205,MATCH(B2904,Mitarbeiter!$A$6:$A$205,0)),"?"))</f>
        <v/>
      </c>
      <c r="D2904" s="41" t="n"/>
      <c r="E2904" s="42" t="n"/>
      <c r="F2904" s="43" t="n"/>
      <c r="G2904" s="44">
        <f>IF(OR(B2904="",F2904=""),"",IFERROR(F2904*INDEX(Mitarbeiter!$F$6:$F$205,MATCH(B2904,Mitarbeiter!$A$6:$A$205,0)),0))</f>
        <v/>
      </c>
      <c r="H2904" s="8">
        <f>IF(B2904="","",IF(ISNA(MATCH(B2904,Mitarbeiter!$A$6:$A$205,0)),"Pers.-Nr. unbekannt",IF(A2904="","Datum fehlt",IF(AND(D2904&lt;&gt;Einstellungen!$C$4,D2904&lt;&gt;Einstellungen!$C$5),"Objekt fehlt",IF(YEAR(A2904)&lt;&gt;Einstellungen!$C$3,"anderes Jahr",IF(A2904&lt;INDEX(Mitarbeiter!$C$6:$C$205,MATCH(B2904,Mitarbeiter!$A$6:$A$205,0)),"vor Eintritt",IF(AND(INDEX(Mitarbeiter!$D$6:$D$205,MATCH(B2904,Mitarbeiter!$A$6:$A$205,0))&lt;&gt;"",A2904&gt;INDEX(Mitarbeiter!$D$6:$D$205,MATCH(B2904,Mitarbeiter!$A$6:$A$205,0))),"nach Austritt","ok")))))))</f>
        <v/>
      </c>
    </row>
    <row r="2905">
      <c r="A2905" s="26" t="n"/>
      <c r="B2905" s="24" t="n"/>
      <c r="C2905" s="40">
        <f>IF(B2905="","",IFERROR(INDEX(Mitarbeiter!$B$6:$B$205,MATCH(B2905,Mitarbeiter!$A$6:$A$205,0)),"?"))</f>
        <v/>
      </c>
      <c r="D2905" s="41" t="n"/>
      <c r="E2905" s="42" t="n"/>
      <c r="F2905" s="43" t="n"/>
      <c r="G2905" s="44">
        <f>IF(OR(B2905="",F2905=""),"",IFERROR(F2905*INDEX(Mitarbeiter!$F$6:$F$205,MATCH(B2905,Mitarbeiter!$A$6:$A$205,0)),0))</f>
        <v/>
      </c>
      <c r="H2905" s="8">
        <f>IF(B2905="","",IF(ISNA(MATCH(B2905,Mitarbeiter!$A$6:$A$205,0)),"Pers.-Nr. unbekannt",IF(A2905="","Datum fehlt",IF(AND(D2905&lt;&gt;Einstellungen!$C$4,D2905&lt;&gt;Einstellungen!$C$5),"Objekt fehlt",IF(YEAR(A2905)&lt;&gt;Einstellungen!$C$3,"anderes Jahr",IF(A2905&lt;INDEX(Mitarbeiter!$C$6:$C$205,MATCH(B2905,Mitarbeiter!$A$6:$A$205,0)),"vor Eintritt",IF(AND(INDEX(Mitarbeiter!$D$6:$D$205,MATCH(B2905,Mitarbeiter!$A$6:$A$205,0))&lt;&gt;"",A2905&gt;INDEX(Mitarbeiter!$D$6:$D$205,MATCH(B2905,Mitarbeiter!$A$6:$A$205,0))),"nach Austritt","ok")))))))</f>
        <v/>
      </c>
    </row>
    <row r="2906">
      <c r="A2906" s="26" t="n"/>
      <c r="B2906" s="24" t="n"/>
      <c r="C2906" s="40">
        <f>IF(B2906="","",IFERROR(INDEX(Mitarbeiter!$B$6:$B$205,MATCH(B2906,Mitarbeiter!$A$6:$A$205,0)),"?"))</f>
        <v/>
      </c>
      <c r="D2906" s="41" t="n"/>
      <c r="E2906" s="42" t="n"/>
      <c r="F2906" s="43" t="n"/>
      <c r="G2906" s="44">
        <f>IF(OR(B2906="",F2906=""),"",IFERROR(F2906*INDEX(Mitarbeiter!$F$6:$F$205,MATCH(B2906,Mitarbeiter!$A$6:$A$205,0)),0))</f>
        <v/>
      </c>
      <c r="H2906" s="8">
        <f>IF(B2906="","",IF(ISNA(MATCH(B2906,Mitarbeiter!$A$6:$A$205,0)),"Pers.-Nr. unbekannt",IF(A2906="","Datum fehlt",IF(AND(D2906&lt;&gt;Einstellungen!$C$4,D2906&lt;&gt;Einstellungen!$C$5),"Objekt fehlt",IF(YEAR(A2906)&lt;&gt;Einstellungen!$C$3,"anderes Jahr",IF(A2906&lt;INDEX(Mitarbeiter!$C$6:$C$205,MATCH(B2906,Mitarbeiter!$A$6:$A$205,0)),"vor Eintritt",IF(AND(INDEX(Mitarbeiter!$D$6:$D$205,MATCH(B2906,Mitarbeiter!$A$6:$A$205,0))&lt;&gt;"",A2906&gt;INDEX(Mitarbeiter!$D$6:$D$205,MATCH(B2906,Mitarbeiter!$A$6:$A$205,0))),"nach Austritt","ok")))))))</f>
        <v/>
      </c>
    </row>
    <row r="2907">
      <c r="A2907" s="26" t="n"/>
      <c r="B2907" s="24" t="n"/>
      <c r="C2907" s="40">
        <f>IF(B2907="","",IFERROR(INDEX(Mitarbeiter!$B$6:$B$205,MATCH(B2907,Mitarbeiter!$A$6:$A$205,0)),"?"))</f>
        <v/>
      </c>
      <c r="D2907" s="41" t="n"/>
      <c r="E2907" s="42" t="n"/>
      <c r="F2907" s="43" t="n"/>
      <c r="G2907" s="44">
        <f>IF(OR(B2907="",F2907=""),"",IFERROR(F2907*INDEX(Mitarbeiter!$F$6:$F$205,MATCH(B2907,Mitarbeiter!$A$6:$A$205,0)),0))</f>
        <v/>
      </c>
      <c r="H2907" s="8">
        <f>IF(B2907="","",IF(ISNA(MATCH(B2907,Mitarbeiter!$A$6:$A$205,0)),"Pers.-Nr. unbekannt",IF(A2907="","Datum fehlt",IF(AND(D2907&lt;&gt;Einstellungen!$C$4,D2907&lt;&gt;Einstellungen!$C$5),"Objekt fehlt",IF(YEAR(A2907)&lt;&gt;Einstellungen!$C$3,"anderes Jahr",IF(A2907&lt;INDEX(Mitarbeiter!$C$6:$C$205,MATCH(B2907,Mitarbeiter!$A$6:$A$205,0)),"vor Eintritt",IF(AND(INDEX(Mitarbeiter!$D$6:$D$205,MATCH(B2907,Mitarbeiter!$A$6:$A$205,0))&lt;&gt;"",A2907&gt;INDEX(Mitarbeiter!$D$6:$D$205,MATCH(B2907,Mitarbeiter!$A$6:$A$205,0))),"nach Austritt","ok")))))))</f>
        <v/>
      </c>
    </row>
    <row r="2908">
      <c r="A2908" s="26" t="n"/>
      <c r="B2908" s="24" t="n"/>
      <c r="C2908" s="40">
        <f>IF(B2908="","",IFERROR(INDEX(Mitarbeiter!$B$6:$B$205,MATCH(B2908,Mitarbeiter!$A$6:$A$205,0)),"?"))</f>
        <v/>
      </c>
      <c r="D2908" s="41" t="n"/>
      <c r="E2908" s="42" t="n"/>
      <c r="F2908" s="43" t="n"/>
      <c r="G2908" s="44">
        <f>IF(OR(B2908="",F2908=""),"",IFERROR(F2908*INDEX(Mitarbeiter!$F$6:$F$205,MATCH(B2908,Mitarbeiter!$A$6:$A$205,0)),0))</f>
        <v/>
      </c>
      <c r="H2908" s="8">
        <f>IF(B2908="","",IF(ISNA(MATCH(B2908,Mitarbeiter!$A$6:$A$205,0)),"Pers.-Nr. unbekannt",IF(A2908="","Datum fehlt",IF(AND(D2908&lt;&gt;Einstellungen!$C$4,D2908&lt;&gt;Einstellungen!$C$5),"Objekt fehlt",IF(YEAR(A2908)&lt;&gt;Einstellungen!$C$3,"anderes Jahr",IF(A2908&lt;INDEX(Mitarbeiter!$C$6:$C$205,MATCH(B2908,Mitarbeiter!$A$6:$A$205,0)),"vor Eintritt",IF(AND(INDEX(Mitarbeiter!$D$6:$D$205,MATCH(B2908,Mitarbeiter!$A$6:$A$205,0))&lt;&gt;"",A2908&gt;INDEX(Mitarbeiter!$D$6:$D$205,MATCH(B2908,Mitarbeiter!$A$6:$A$205,0))),"nach Austritt","ok")))))))</f>
        <v/>
      </c>
    </row>
    <row r="2909">
      <c r="A2909" s="26" t="n"/>
      <c r="B2909" s="24" t="n"/>
      <c r="C2909" s="40">
        <f>IF(B2909="","",IFERROR(INDEX(Mitarbeiter!$B$6:$B$205,MATCH(B2909,Mitarbeiter!$A$6:$A$205,0)),"?"))</f>
        <v/>
      </c>
      <c r="D2909" s="41" t="n"/>
      <c r="E2909" s="42" t="n"/>
      <c r="F2909" s="43" t="n"/>
      <c r="G2909" s="44">
        <f>IF(OR(B2909="",F2909=""),"",IFERROR(F2909*INDEX(Mitarbeiter!$F$6:$F$205,MATCH(B2909,Mitarbeiter!$A$6:$A$205,0)),0))</f>
        <v/>
      </c>
      <c r="H2909" s="8">
        <f>IF(B2909="","",IF(ISNA(MATCH(B2909,Mitarbeiter!$A$6:$A$205,0)),"Pers.-Nr. unbekannt",IF(A2909="","Datum fehlt",IF(AND(D2909&lt;&gt;Einstellungen!$C$4,D2909&lt;&gt;Einstellungen!$C$5),"Objekt fehlt",IF(YEAR(A2909)&lt;&gt;Einstellungen!$C$3,"anderes Jahr",IF(A2909&lt;INDEX(Mitarbeiter!$C$6:$C$205,MATCH(B2909,Mitarbeiter!$A$6:$A$205,0)),"vor Eintritt",IF(AND(INDEX(Mitarbeiter!$D$6:$D$205,MATCH(B2909,Mitarbeiter!$A$6:$A$205,0))&lt;&gt;"",A2909&gt;INDEX(Mitarbeiter!$D$6:$D$205,MATCH(B2909,Mitarbeiter!$A$6:$A$205,0))),"nach Austritt","ok")))))))</f>
        <v/>
      </c>
    </row>
    <row r="2910">
      <c r="A2910" s="26" t="n"/>
      <c r="B2910" s="24" t="n"/>
      <c r="C2910" s="40">
        <f>IF(B2910="","",IFERROR(INDEX(Mitarbeiter!$B$6:$B$205,MATCH(B2910,Mitarbeiter!$A$6:$A$205,0)),"?"))</f>
        <v/>
      </c>
      <c r="D2910" s="41" t="n"/>
      <c r="E2910" s="42" t="n"/>
      <c r="F2910" s="43" t="n"/>
      <c r="G2910" s="44">
        <f>IF(OR(B2910="",F2910=""),"",IFERROR(F2910*INDEX(Mitarbeiter!$F$6:$F$205,MATCH(B2910,Mitarbeiter!$A$6:$A$205,0)),0))</f>
        <v/>
      </c>
      <c r="H2910" s="8">
        <f>IF(B2910="","",IF(ISNA(MATCH(B2910,Mitarbeiter!$A$6:$A$205,0)),"Pers.-Nr. unbekannt",IF(A2910="","Datum fehlt",IF(AND(D2910&lt;&gt;Einstellungen!$C$4,D2910&lt;&gt;Einstellungen!$C$5),"Objekt fehlt",IF(YEAR(A2910)&lt;&gt;Einstellungen!$C$3,"anderes Jahr",IF(A2910&lt;INDEX(Mitarbeiter!$C$6:$C$205,MATCH(B2910,Mitarbeiter!$A$6:$A$205,0)),"vor Eintritt",IF(AND(INDEX(Mitarbeiter!$D$6:$D$205,MATCH(B2910,Mitarbeiter!$A$6:$A$205,0))&lt;&gt;"",A2910&gt;INDEX(Mitarbeiter!$D$6:$D$205,MATCH(B2910,Mitarbeiter!$A$6:$A$205,0))),"nach Austritt","ok")))))))</f>
        <v/>
      </c>
    </row>
    <row r="2911">
      <c r="A2911" s="26" t="n"/>
      <c r="B2911" s="24" t="n"/>
      <c r="C2911" s="40">
        <f>IF(B2911="","",IFERROR(INDEX(Mitarbeiter!$B$6:$B$205,MATCH(B2911,Mitarbeiter!$A$6:$A$205,0)),"?"))</f>
        <v/>
      </c>
      <c r="D2911" s="41" t="n"/>
      <c r="E2911" s="42" t="n"/>
      <c r="F2911" s="43" t="n"/>
      <c r="G2911" s="44">
        <f>IF(OR(B2911="",F2911=""),"",IFERROR(F2911*INDEX(Mitarbeiter!$F$6:$F$205,MATCH(B2911,Mitarbeiter!$A$6:$A$205,0)),0))</f>
        <v/>
      </c>
      <c r="H2911" s="8">
        <f>IF(B2911="","",IF(ISNA(MATCH(B2911,Mitarbeiter!$A$6:$A$205,0)),"Pers.-Nr. unbekannt",IF(A2911="","Datum fehlt",IF(AND(D2911&lt;&gt;Einstellungen!$C$4,D2911&lt;&gt;Einstellungen!$C$5),"Objekt fehlt",IF(YEAR(A2911)&lt;&gt;Einstellungen!$C$3,"anderes Jahr",IF(A2911&lt;INDEX(Mitarbeiter!$C$6:$C$205,MATCH(B2911,Mitarbeiter!$A$6:$A$205,0)),"vor Eintritt",IF(AND(INDEX(Mitarbeiter!$D$6:$D$205,MATCH(B2911,Mitarbeiter!$A$6:$A$205,0))&lt;&gt;"",A2911&gt;INDEX(Mitarbeiter!$D$6:$D$205,MATCH(B2911,Mitarbeiter!$A$6:$A$205,0))),"nach Austritt","ok")))))))</f>
        <v/>
      </c>
    </row>
    <row r="2912">
      <c r="A2912" s="26" t="n"/>
      <c r="B2912" s="24" t="n"/>
      <c r="C2912" s="40">
        <f>IF(B2912="","",IFERROR(INDEX(Mitarbeiter!$B$6:$B$205,MATCH(B2912,Mitarbeiter!$A$6:$A$205,0)),"?"))</f>
        <v/>
      </c>
      <c r="D2912" s="41" t="n"/>
      <c r="E2912" s="42" t="n"/>
      <c r="F2912" s="43" t="n"/>
      <c r="G2912" s="44">
        <f>IF(OR(B2912="",F2912=""),"",IFERROR(F2912*INDEX(Mitarbeiter!$F$6:$F$205,MATCH(B2912,Mitarbeiter!$A$6:$A$205,0)),0))</f>
        <v/>
      </c>
      <c r="H2912" s="8">
        <f>IF(B2912="","",IF(ISNA(MATCH(B2912,Mitarbeiter!$A$6:$A$205,0)),"Pers.-Nr. unbekannt",IF(A2912="","Datum fehlt",IF(AND(D2912&lt;&gt;Einstellungen!$C$4,D2912&lt;&gt;Einstellungen!$C$5),"Objekt fehlt",IF(YEAR(A2912)&lt;&gt;Einstellungen!$C$3,"anderes Jahr",IF(A2912&lt;INDEX(Mitarbeiter!$C$6:$C$205,MATCH(B2912,Mitarbeiter!$A$6:$A$205,0)),"vor Eintritt",IF(AND(INDEX(Mitarbeiter!$D$6:$D$205,MATCH(B2912,Mitarbeiter!$A$6:$A$205,0))&lt;&gt;"",A2912&gt;INDEX(Mitarbeiter!$D$6:$D$205,MATCH(B2912,Mitarbeiter!$A$6:$A$205,0))),"nach Austritt","ok")))))))</f>
        <v/>
      </c>
    </row>
    <row r="2913">
      <c r="A2913" s="26" t="n"/>
      <c r="B2913" s="24" t="n"/>
      <c r="C2913" s="40">
        <f>IF(B2913="","",IFERROR(INDEX(Mitarbeiter!$B$6:$B$205,MATCH(B2913,Mitarbeiter!$A$6:$A$205,0)),"?"))</f>
        <v/>
      </c>
      <c r="D2913" s="41" t="n"/>
      <c r="E2913" s="42" t="n"/>
      <c r="F2913" s="43" t="n"/>
      <c r="G2913" s="44">
        <f>IF(OR(B2913="",F2913=""),"",IFERROR(F2913*INDEX(Mitarbeiter!$F$6:$F$205,MATCH(B2913,Mitarbeiter!$A$6:$A$205,0)),0))</f>
        <v/>
      </c>
      <c r="H2913" s="8">
        <f>IF(B2913="","",IF(ISNA(MATCH(B2913,Mitarbeiter!$A$6:$A$205,0)),"Pers.-Nr. unbekannt",IF(A2913="","Datum fehlt",IF(AND(D2913&lt;&gt;Einstellungen!$C$4,D2913&lt;&gt;Einstellungen!$C$5),"Objekt fehlt",IF(YEAR(A2913)&lt;&gt;Einstellungen!$C$3,"anderes Jahr",IF(A2913&lt;INDEX(Mitarbeiter!$C$6:$C$205,MATCH(B2913,Mitarbeiter!$A$6:$A$205,0)),"vor Eintritt",IF(AND(INDEX(Mitarbeiter!$D$6:$D$205,MATCH(B2913,Mitarbeiter!$A$6:$A$205,0))&lt;&gt;"",A2913&gt;INDEX(Mitarbeiter!$D$6:$D$205,MATCH(B2913,Mitarbeiter!$A$6:$A$205,0))),"nach Austritt","ok")))))))</f>
        <v/>
      </c>
    </row>
    <row r="2914">
      <c r="A2914" s="26" t="n"/>
      <c r="B2914" s="24" t="n"/>
      <c r="C2914" s="40">
        <f>IF(B2914="","",IFERROR(INDEX(Mitarbeiter!$B$6:$B$205,MATCH(B2914,Mitarbeiter!$A$6:$A$205,0)),"?"))</f>
        <v/>
      </c>
      <c r="D2914" s="41" t="n"/>
      <c r="E2914" s="42" t="n"/>
      <c r="F2914" s="43" t="n"/>
      <c r="G2914" s="44">
        <f>IF(OR(B2914="",F2914=""),"",IFERROR(F2914*INDEX(Mitarbeiter!$F$6:$F$205,MATCH(B2914,Mitarbeiter!$A$6:$A$205,0)),0))</f>
        <v/>
      </c>
      <c r="H2914" s="8">
        <f>IF(B2914="","",IF(ISNA(MATCH(B2914,Mitarbeiter!$A$6:$A$205,0)),"Pers.-Nr. unbekannt",IF(A2914="","Datum fehlt",IF(AND(D2914&lt;&gt;Einstellungen!$C$4,D2914&lt;&gt;Einstellungen!$C$5),"Objekt fehlt",IF(YEAR(A2914)&lt;&gt;Einstellungen!$C$3,"anderes Jahr",IF(A2914&lt;INDEX(Mitarbeiter!$C$6:$C$205,MATCH(B2914,Mitarbeiter!$A$6:$A$205,0)),"vor Eintritt",IF(AND(INDEX(Mitarbeiter!$D$6:$D$205,MATCH(B2914,Mitarbeiter!$A$6:$A$205,0))&lt;&gt;"",A2914&gt;INDEX(Mitarbeiter!$D$6:$D$205,MATCH(B2914,Mitarbeiter!$A$6:$A$205,0))),"nach Austritt","ok")))))))</f>
        <v/>
      </c>
    </row>
    <row r="2915">
      <c r="A2915" s="26" t="n"/>
      <c r="B2915" s="24" t="n"/>
      <c r="C2915" s="40">
        <f>IF(B2915="","",IFERROR(INDEX(Mitarbeiter!$B$6:$B$205,MATCH(B2915,Mitarbeiter!$A$6:$A$205,0)),"?"))</f>
        <v/>
      </c>
      <c r="D2915" s="41" t="n"/>
      <c r="E2915" s="42" t="n"/>
      <c r="F2915" s="43" t="n"/>
      <c r="G2915" s="44">
        <f>IF(OR(B2915="",F2915=""),"",IFERROR(F2915*INDEX(Mitarbeiter!$F$6:$F$205,MATCH(B2915,Mitarbeiter!$A$6:$A$205,0)),0))</f>
        <v/>
      </c>
      <c r="H2915" s="8">
        <f>IF(B2915="","",IF(ISNA(MATCH(B2915,Mitarbeiter!$A$6:$A$205,0)),"Pers.-Nr. unbekannt",IF(A2915="","Datum fehlt",IF(AND(D2915&lt;&gt;Einstellungen!$C$4,D2915&lt;&gt;Einstellungen!$C$5),"Objekt fehlt",IF(YEAR(A2915)&lt;&gt;Einstellungen!$C$3,"anderes Jahr",IF(A2915&lt;INDEX(Mitarbeiter!$C$6:$C$205,MATCH(B2915,Mitarbeiter!$A$6:$A$205,0)),"vor Eintritt",IF(AND(INDEX(Mitarbeiter!$D$6:$D$205,MATCH(B2915,Mitarbeiter!$A$6:$A$205,0))&lt;&gt;"",A2915&gt;INDEX(Mitarbeiter!$D$6:$D$205,MATCH(B2915,Mitarbeiter!$A$6:$A$205,0))),"nach Austritt","ok")))))))</f>
        <v/>
      </c>
    </row>
    <row r="2916">
      <c r="A2916" s="26" t="n"/>
      <c r="B2916" s="24" t="n"/>
      <c r="C2916" s="40">
        <f>IF(B2916="","",IFERROR(INDEX(Mitarbeiter!$B$6:$B$205,MATCH(B2916,Mitarbeiter!$A$6:$A$205,0)),"?"))</f>
        <v/>
      </c>
      <c r="D2916" s="41" t="n"/>
      <c r="E2916" s="42" t="n"/>
      <c r="F2916" s="43" t="n"/>
      <c r="G2916" s="44">
        <f>IF(OR(B2916="",F2916=""),"",IFERROR(F2916*INDEX(Mitarbeiter!$F$6:$F$205,MATCH(B2916,Mitarbeiter!$A$6:$A$205,0)),0))</f>
        <v/>
      </c>
      <c r="H2916" s="8">
        <f>IF(B2916="","",IF(ISNA(MATCH(B2916,Mitarbeiter!$A$6:$A$205,0)),"Pers.-Nr. unbekannt",IF(A2916="","Datum fehlt",IF(AND(D2916&lt;&gt;Einstellungen!$C$4,D2916&lt;&gt;Einstellungen!$C$5),"Objekt fehlt",IF(YEAR(A2916)&lt;&gt;Einstellungen!$C$3,"anderes Jahr",IF(A2916&lt;INDEX(Mitarbeiter!$C$6:$C$205,MATCH(B2916,Mitarbeiter!$A$6:$A$205,0)),"vor Eintritt",IF(AND(INDEX(Mitarbeiter!$D$6:$D$205,MATCH(B2916,Mitarbeiter!$A$6:$A$205,0))&lt;&gt;"",A2916&gt;INDEX(Mitarbeiter!$D$6:$D$205,MATCH(B2916,Mitarbeiter!$A$6:$A$205,0))),"nach Austritt","ok")))))))</f>
        <v/>
      </c>
    </row>
    <row r="2917">
      <c r="A2917" s="26" t="n"/>
      <c r="B2917" s="24" t="n"/>
      <c r="C2917" s="40">
        <f>IF(B2917="","",IFERROR(INDEX(Mitarbeiter!$B$6:$B$205,MATCH(B2917,Mitarbeiter!$A$6:$A$205,0)),"?"))</f>
        <v/>
      </c>
      <c r="D2917" s="41" t="n"/>
      <c r="E2917" s="42" t="n"/>
      <c r="F2917" s="43" t="n"/>
      <c r="G2917" s="44">
        <f>IF(OR(B2917="",F2917=""),"",IFERROR(F2917*INDEX(Mitarbeiter!$F$6:$F$205,MATCH(B2917,Mitarbeiter!$A$6:$A$205,0)),0))</f>
        <v/>
      </c>
      <c r="H2917" s="8">
        <f>IF(B2917="","",IF(ISNA(MATCH(B2917,Mitarbeiter!$A$6:$A$205,0)),"Pers.-Nr. unbekannt",IF(A2917="","Datum fehlt",IF(AND(D2917&lt;&gt;Einstellungen!$C$4,D2917&lt;&gt;Einstellungen!$C$5),"Objekt fehlt",IF(YEAR(A2917)&lt;&gt;Einstellungen!$C$3,"anderes Jahr",IF(A2917&lt;INDEX(Mitarbeiter!$C$6:$C$205,MATCH(B2917,Mitarbeiter!$A$6:$A$205,0)),"vor Eintritt",IF(AND(INDEX(Mitarbeiter!$D$6:$D$205,MATCH(B2917,Mitarbeiter!$A$6:$A$205,0))&lt;&gt;"",A2917&gt;INDEX(Mitarbeiter!$D$6:$D$205,MATCH(B2917,Mitarbeiter!$A$6:$A$205,0))),"nach Austritt","ok")))))))</f>
        <v/>
      </c>
    </row>
    <row r="2918">
      <c r="A2918" s="26" t="n"/>
      <c r="B2918" s="24" t="n"/>
      <c r="C2918" s="40">
        <f>IF(B2918="","",IFERROR(INDEX(Mitarbeiter!$B$6:$B$205,MATCH(B2918,Mitarbeiter!$A$6:$A$205,0)),"?"))</f>
        <v/>
      </c>
      <c r="D2918" s="41" t="n"/>
      <c r="E2918" s="42" t="n"/>
      <c r="F2918" s="43" t="n"/>
      <c r="G2918" s="44">
        <f>IF(OR(B2918="",F2918=""),"",IFERROR(F2918*INDEX(Mitarbeiter!$F$6:$F$205,MATCH(B2918,Mitarbeiter!$A$6:$A$205,0)),0))</f>
        <v/>
      </c>
      <c r="H2918" s="8">
        <f>IF(B2918="","",IF(ISNA(MATCH(B2918,Mitarbeiter!$A$6:$A$205,0)),"Pers.-Nr. unbekannt",IF(A2918="","Datum fehlt",IF(AND(D2918&lt;&gt;Einstellungen!$C$4,D2918&lt;&gt;Einstellungen!$C$5),"Objekt fehlt",IF(YEAR(A2918)&lt;&gt;Einstellungen!$C$3,"anderes Jahr",IF(A2918&lt;INDEX(Mitarbeiter!$C$6:$C$205,MATCH(B2918,Mitarbeiter!$A$6:$A$205,0)),"vor Eintritt",IF(AND(INDEX(Mitarbeiter!$D$6:$D$205,MATCH(B2918,Mitarbeiter!$A$6:$A$205,0))&lt;&gt;"",A2918&gt;INDEX(Mitarbeiter!$D$6:$D$205,MATCH(B2918,Mitarbeiter!$A$6:$A$205,0))),"nach Austritt","ok")))))))</f>
        <v/>
      </c>
    </row>
    <row r="2919">
      <c r="A2919" s="26" t="n"/>
      <c r="B2919" s="24" t="n"/>
      <c r="C2919" s="40">
        <f>IF(B2919="","",IFERROR(INDEX(Mitarbeiter!$B$6:$B$205,MATCH(B2919,Mitarbeiter!$A$6:$A$205,0)),"?"))</f>
        <v/>
      </c>
      <c r="D2919" s="41" t="n"/>
      <c r="E2919" s="42" t="n"/>
      <c r="F2919" s="43" t="n"/>
      <c r="G2919" s="44">
        <f>IF(OR(B2919="",F2919=""),"",IFERROR(F2919*INDEX(Mitarbeiter!$F$6:$F$205,MATCH(B2919,Mitarbeiter!$A$6:$A$205,0)),0))</f>
        <v/>
      </c>
      <c r="H2919" s="8">
        <f>IF(B2919="","",IF(ISNA(MATCH(B2919,Mitarbeiter!$A$6:$A$205,0)),"Pers.-Nr. unbekannt",IF(A2919="","Datum fehlt",IF(AND(D2919&lt;&gt;Einstellungen!$C$4,D2919&lt;&gt;Einstellungen!$C$5),"Objekt fehlt",IF(YEAR(A2919)&lt;&gt;Einstellungen!$C$3,"anderes Jahr",IF(A2919&lt;INDEX(Mitarbeiter!$C$6:$C$205,MATCH(B2919,Mitarbeiter!$A$6:$A$205,0)),"vor Eintritt",IF(AND(INDEX(Mitarbeiter!$D$6:$D$205,MATCH(B2919,Mitarbeiter!$A$6:$A$205,0))&lt;&gt;"",A2919&gt;INDEX(Mitarbeiter!$D$6:$D$205,MATCH(B2919,Mitarbeiter!$A$6:$A$205,0))),"nach Austritt","ok")))))))</f>
        <v/>
      </c>
    </row>
    <row r="2920">
      <c r="A2920" s="26" t="n"/>
      <c r="B2920" s="24" t="n"/>
      <c r="C2920" s="40">
        <f>IF(B2920="","",IFERROR(INDEX(Mitarbeiter!$B$6:$B$205,MATCH(B2920,Mitarbeiter!$A$6:$A$205,0)),"?"))</f>
        <v/>
      </c>
      <c r="D2920" s="41" t="n"/>
      <c r="E2920" s="42" t="n"/>
      <c r="F2920" s="43" t="n"/>
      <c r="G2920" s="44">
        <f>IF(OR(B2920="",F2920=""),"",IFERROR(F2920*INDEX(Mitarbeiter!$F$6:$F$205,MATCH(B2920,Mitarbeiter!$A$6:$A$205,0)),0))</f>
        <v/>
      </c>
      <c r="H2920" s="8">
        <f>IF(B2920="","",IF(ISNA(MATCH(B2920,Mitarbeiter!$A$6:$A$205,0)),"Pers.-Nr. unbekannt",IF(A2920="","Datum fehlt",IF(AND(D2920&lt;&gt;Einstellungen!$C$4,D2920&lt;&gt;Einstellungen!$C$5),"Objekt fehlt",IF(YEAR(A2920)&lt;&gt;Einstellungen!$C$3,"anderes Jahr",IF(A2920&lt;INDEX(Mitarbeiter!$C$6:$C$205,MATCH(B2920,Mitarbeiter!$A$6:$A$205,0)),"vor Eintritt",IF(AND(INDEX(Mitarbeiter!$D$6:$D$205,MATCH(B2920,Mitarbeiter!$A$6:$A$205,0))&lt;&gt;"",A2920&gt;INDEX(Mitarbeiter!$D$6:$D$205,MATCH(B2920,Mitarbeiter!$A$6:$A$205,0))),"nach Austritt","ok")))))))</f>
        <v/>
      </c>
    </row>
    <row r="2921">
      <c r="A2921" s="26" t="n"/>
      <c r="B2921" s="24" t="n"/>
      <c r="C2921" s="40">
        <f>IF(B2921="","",IFERROR(INDEX(Mitarbeiter!$B$6:$B$205,MATCH(B2921,Mitarbeiter!$A$6:$A$205,0)),"?"))</f>
        <v/>
      </c>
      <c r="D2921" s="41" t="n"/>
      <c r="E2921" s="42" t="n"/>
      <c r="F2921" s="43" t="n"/>
      <c r="G2921" s="44">
        <f>IF(OR(B2921="",F2921=""),"",IFERROR(F2921*INDEX(Mitarbeiter!$F$6:$F$205,MATCH(B2921,Mitarbeiter!$A$6:$A$205,0)),0))</f>
        <v/>
      </c>
      <c r="H2921" s="8">
        <f>IF(B2921="","",IF(ISNA(MATCH(B2921,Mitarbeiter!$A$6:$A$205,0)),"Pers.-Nr. unbekannt",IF(A2921="","Datum fehlt",IF(AND(D2921&lt;&gt;Einstellungen!$C$4,D2921&lt;&gt;Einstellungen!$C$5),"Objekt fehlt",IF(YEAR(A2921)&lt;&gt;Einstellungen!$C$3,"anderes Jahr",IF(A2921&lt;INDEX(Mitarbeiter!$C$6:$C$205,MATCH(B2921,Mitarbeiter!$A$6:$A$205,0)),"vor Eintritt",IF(AND(INDEX(Mitarbeiter!$D$6:$D$205,MATCH(B2921,Mitarbeiter!$A$6:$A$205,0))&lt;&gt;"",A2921&gt;INDEX(Mitarbeiter!$D$6:$D$205,MATCH(B2921,Mitarbeiter!$A$6:$A$205,0))),"nach Austritt","ok")))))))</f>
        <v/>
      </c>
    </row>
    <row r="2922">
      <c r="A2922" s="26" t="n"/>
      <c r="B2922" s="24" t="n"/>
      <c r="C2922" s="40">
        <f>IF(B2922="","",IFERROR(INDEX(Mitarbeiter!$B$6:$B$205,MATCH(B2922,Mitarbeiter!$A$6:$A$205,0)),"?"))</f>
        <v/>
      </c>
      <c r="D2922" s="41" t="n"/>
      <c r="E2922" s="42" t="n"/>
      <c r="F2922" s="43" t="n"/>
      <c r="G2922" s="44">
        <f>IF(OR(B2922="",F2922=""),"",IFERROR(F2922*INDEX(Mitarbeiter!$F$6:$F$205,MATCH(B2922,Mitarbeiter!$A$6:$A$205,0)),0))</f>
        <v/>
      </c>
      <c r="H2922" s="8">
        <f>IF(B2922="","",IF(ISNA(MATCH(B2922,Mitarbeiter!$A$6:$A$205,0)),"Pers.-Nr. unbekannt",IF(A2922="","Datum fehlt",IF(AND(D2922&lt;&gt;Einstellungen!$C$4,D2922&lt;&gt;Einstellungen!$C$5),"Objekt fehlt",IF(YEAR(A2922)&lt;&gt;Einstellungen!$C$3,"anderes Jahr",IF(A2922&lt;INDEX(Mitarbeiter!$C$6:$C$205,MATCH(B2922,Mitarbeiter!$A$6:$A$205,0)),"vor Eintritt",IF(AND(INDEX(Mitarbeiter!$D$6:$D$205,MATCH(B2922,Mitarbeiter!$A$6:$A$205,0))&lt;&gt;"",A2922&gt;INDEX(Mitarbeiter!$D$6:$D$205,MATCH(B2922,Mitarbeiter!$A$6:$A$205,0))),"nach Austritt","ok")))))))</f>
        <v/>
      </c>
    </row>
    <row r="2923">
      <c r="A2923" s="26" t="n"/>
      <c r="B2923" s="24" t="n"/>
      <c r="C2923" s="40">
        <f>IF(B2923="","",IFERROR(INDEX(Mitarbeiter!$B$6:$B$205,MATCH(B2923,Mitarbeiter!$A$6:$A$205,0)),"?"))</f>
        <v/>
      </c>
      <c r="D2923" s="41" t="n"/>
      <c r="E2923" s="42" t="n"/>
      <c r="F2923" s="43" t="n"/>
      <c r="G2923" s="44">
        <f>IF(OR(B2923="",F2923=""),"",IFERROR(F2923*INDEX(Mitarbeiter!$F$6:$F$205,MATCH(B2923,Mitarbeiter!$A$6:$A$205,0)),0))</f>
        <v/>
      </c>
      <c r="H2923" s="8">
        <f>IF(B2923="","",IF(ISNA(MATCH(B2923,Mitarbeiter!$A$6:$A$205,0)),"Pers.-Nr. unbekannt",IF(A2923="","Datum fehlt",IF(AND(D2923&lt;&gt;Einstellungen!$C$4,D2923&lt;&gt;Einstellungen!$C$5),"Objekt fehlt",IF(YEAR(A2923)&lt;&gt;Einstellungen!$C$3,"anderes Jahr",IF(A2923&lt;INDEX(Mitarbeiter!$C$6:$C$205,MATCH(B2923,Mitarbeiter!$A$6:$A$205,0)),"vor Eintritt",IF(AND(INDEX(Mitarbeiter!$D$6:$D$205,MATCH(B2923,Mitarbeiter!$A$6:$A$205,0))&lt;&gt;"",A2923&gt;INDEX(Mitarbeiter!$D$6:$D$205,MATCH(B2923,Mitarbeiter!$A$6:$A$205,0))),"nach Austritt","ok")))))))</f>
        <v/>
      </c>
    </row>
    <row r="2924">
      <c r="A2924" s="26" t="n"/>
      <c r="B2924" s="24" t="n"/>
      <c r="C2924" s="40">
        <f>IF(B2924="","",IFERROR(INDEX(Mitarbeiter!$B$6:$B$205,MATCH(B2924,Mitarbeiter!$A$6:$A$205,0)),"?"))</f>
        <v/>
      </c>
      <c r="D2924" s="41" t="n"/>
      <c r="E2924" s="42" t="n"/>
      <c r="F2924" s="43" t="n"/>
      <c r="G2924" s="44">
        <f>IF(OR(B2924="",F2924=""),"",IFERROR(F2924*INDEX(Mitarbeiter!$F$6:$F$205,MATCH(B2924,Mitarbeiter!$A$6:$A$205,0)),0))</f>
        <v/>
      </c>
      <c r="H2924" s="8">
        <f>IF(B2924="","",IF(ISNA(MATCH(B2924,Mitarbeiter!$A$6:$A$205,0)),"Pers.-Nr. unbekannt",IF(A2924="","Datum fehlt",IF(AND(D2924&lt;&gt;Einstellungen!$C$4,D2924&lt;&gt;Einstellungen!$C$5),"Objekt fehlt",IF(YEAR(A2924)&lt;&gt;Einstellungen!$C$3,"anderes Jahr",IF(A2924&lt;INDEX(Mitarbeiter!$C$6:$C$205,MATCH(B2924,Mitarbeiter!$A$6:$A$205,0)),"vor Eintritt",IF(AND(INDEX(Mitarbeiter!$D$6:$D$205,MATCH(B2924,Mitarbeiter!$A$6:$A$205,0))&lt;&gt;"",A2924&gt;INDEX(Mitarbeiter!$D$6:$D$205,MATCH(B2924,Mitarbeiter!$A$6:$A$205,0))),"nach Austritt","ok")))))))</f>
        <v/>
      </c>
    </row>
    <row r="2925">
      <c r="A2925" s="26" t="n"/>
      <c r="B2925" s="24" t="n"/>
      <c r="C2925" s="40">
        <f>IF(B2925="","",IFERROR(INDEX(Mitarbeiter!$B$6:$B$205,MATCH(B2925,Mitarbeiter!$A$6:$A$205,0)),"?"))</f>
        <v/>
      </c>
      <c r="D2925" s="41" t="n"/>
      <c r="E2925" s="42" t="n"/>
      <c r="F2925" s="43" t="n"/>
      <c r="G2925" s="44">
        <f>IF(OR(B2925="",F2925=""),"",IFERROR(F2925*INDEX(Mitarbeiter!$F$6:$F$205,MATCH(B2925,Mitarbeiter!$A$6:$A$205,0)),0))</f>
        <v/>
      </c>
      <c r="H2925" s="8">
        <f>IF(B2925="","",IF(ISNA(MATCH(B2925,Mitarbeiter!$A$6:$A$205,0)),"Pers.-Nr. unbekannt",IF(A2925="","Datum fehlt",IF(AND(D2925&lt;&gt;Einstellungen!$C$4,D2925&lt;&gt;Einstellungen!$C$5),"Objekt fehlt",IF(YEAR(A2925)&lt;&gt;Einstellungen!$C$3,"anderes Jahr",IF(A2925&lt;INDEX(Mitarbeiter!$C$6:$C$205,MATCH(B2925,Mitarbeiter!$A$6:$A$205,0)),"vor Eintritt",IF(AND(INDEX(Mitarbeiter!$D$6:$D$205,MATCH(B2925,Mitarbeiter!$A$6:$A$205,0))&lt;&gt;"",A2925&gt;INDEX(Mitarbeiter!$D$6:$D$205,MATCH(B2925,Mitarbeiter!$A$6:$A$205,0))),"nach Austritt","ok")))))))</f>
        <v/>
      </c>
    </row>
    <row r="2926">
      <c r="A2926" s="26" t="n"/>
      <c r="B2926" s="24" t="n"/>
      <c r="C2926" s="40">
        <f>IF(B2926="","",IFERROR(INDEX(Mitarbeiter!$B$6:$B$205,MATCH(B2926,Mitarbeiter!$A$6:$A$205,0)),"?"))</f>
        <v/>
      </c>
      <c r="D2926" s="41" t="n"/>
      <c r="E2926" s="42" t="n"/>
      <c r="F2926" s="43" t="n"/>
      <c r="G2926" s="44">
        <f>IF(OR(B2926="",F2926=""),"",IFERROR(F2926*INDEX(Mitarbeiter!$F$6:$F$205,MATCH(B2926,Mitarbeiter!$A$6:$A$205,0)),0))</f>
        <v/>
      </c>
      <c r="H2926" s="8">
        <f>IF(B2926="","",IF(ISNA(MATCH(B2926,Mitarbeiter!$A$6:$A$205,0)),"Pers.-Nr. unbekannt",IF(A2926="","Datum fehlt",IF(AND(D2926&lt;&gt;Einstellungen!$C$4,D2926&lt;&gt;Einstellungen!$C$5),"Objekt fehlt",IF(YEAR(A2926)&lt;&gt;Einstellungen!$C$3,"anderes Jahr",IF(A2926&lt;INDEX(Mitarbeiter!$C$6:$C$205,MATCH(B2926,Mitarbeiter!$A$6:$A$205,0)),"vor Eintritt",IF(AND(INDEX(Mitarbeiter!$D$6:$D$205,MATCH(B2926,Mitarbeiter!$A$6:$A$205,0))&lt;&gt;"",A2926&gt;INDEX(Mitarbeiter!$D$6:$D$205,MATCH(B2926,Mitarbeiter!$A$6:$A$205,0))),"nach Austritt","ok")))))))</f>
        <v/>
      </c>
    </row>
    <row r="2927">
      <c r="A2927" s="26" t="n"/>
      <c r="B2927" s="24" t="n"/>
      <c r="C2927" s="40">
        <f>IF(B2927="","",IFERROR(INDEX(Mitarbeiter!$B$6:$B$205,MATCH(B2927,Mitarbeiter!$A$6:$A$205,0)),"?"))</f>
        <v/>
      </c>
      <c r="D2927" s="41" t="n"/>
      <c r="E2927" s="42" t="n"/>
      <c r="F2927" s="43" t="n"/>
      <c r="G2927" s="44">
        <f>IF(OR(B2927="",F2927=""),"",IFERROR(F2927*INDEX(Mitarbeiter!$F$6:$F$205,MATCH(B2927,Mitarbeiter!$A$6:$A$205,0)),0))</f>
        <v/>
      </c>
      <c r="H2927" s="8">
        <f>IF(B2927="","",IF(ISNA(MATCH(B2927,Mitarbeiter!$A$6:$A$205,0)),"Pers.-Nr. unbekannt",IF(A2927="","Datum fehlt",IF(AND(D2927&lt;&gt;Einstellungen!$C$4,D2927&lt;&gt;Einstellungen!$C$5),"Objekt fehlt",IF(YEAR(A2927)&lt;&gt;Einstellungen!$C$3,"anderes Jahr",IF(A2927&lt;INDEX(Mitarbeiter!$C$6:$C$205,MATCH(B2927,Mitarbeiter!$A$6:$A$205,0)),"vor Eintritt",IF(AND(INDEX(Mitarbeiter!$D$6:$D$205,MATCH(B2927,Mitarbeiter!$A$6:$A$205,0))&lt;&gt;"",A2927&gt;INDEX(Mitarbeiter!$D$6:$D$205,MATCH(B2927,Mitarbeiter!$A$6:$A$205,0))),"nach Austritt","ok")))))))</f>
        <v/>
      </c>
    </row>
    <row r="2928">
      <c r="A2928" s="26" t="n"/>
      <c r="B2928" s="24" t="n"/>
      <c r="C2928" s="40">
        <f>IF(B2928="","",IFERROR(INDEX(Mitarbeiter!$B$6:$B$205,MATCH(B2928,Mitarbeiter!$A$6:$A$205,0)),"?"))</f>
        <v/>
      </c>
      <c r="D2928" s="41" t="n"/>
      <c r="E2928" s="42" t="n"/>
      <c r="F2928" s="43" t="n"/>
      <c r="G2928" s="44">
        <f>IF(OR(B2928="",F2928=""),"",IFERROR(F2928*INDEX(Mitarbeiter!$F$6:$F$205,MATCH(B2928,Mitarbeiter!$A$6:$A$205,0)),0))</f>
        <v/>
      </c>
      <c r="H2928" s="8">
        <f>IF(B2928="","",IF(ISNA(MATCH(B2928,Mitarbeiter!$A$6:$A$205,0)),"Pers.-Nr. unbekannt",IF(A2928="","Datum fehlt",IF(AND(D2928&lt;&gt;Einstellungen!$C$4,D2928&lt;&gt;Einstellungen!$C$5),"Objekt fehlt",IF(YEAR(A2928)&lt;&gt;Einstellungen!$C$3,"anderes Jahr",IF(A2928&lt;INDEX(Mitarbeiter!$C$6:$C$205,MATCH(B2928,Mitarbeiter!$A$6:$A$205,0)),"vor Eintritt",IF(AND(INDEX(Mitarbeiter!$D$6:$D$205,MATCH(B2928,Mitarbeiter!$A$6:$A$205,0))&lt;&gt;"",A2928&gt;INDEX(Mitarbeiter!$D$6:$D$205,MATCH(B2928,Mitarbeiter!$A$6:$A$205,0))),"nach Austritt","ok")))))))</f>
        <v/>
      </c>
    </row>
    <row r="2929">
      <c r="A2929" s="26" t="n"/>
      <c r="B2929" s="24" t="n"/>
      <c r="C2929" s="40">
        <f>IF(B2929="","",IFERROR(INDEX(Mitarbeiter!$B$6:$B$205,MATCH(B2929,Mitarbeiter!$A$6:$A$205,0)),"?"))</f>
        <v/>
      </c>
      <c r="D2929" s="41" t="n"/>
      <c r="E2929" s="42" t="n"/>
      <c r="F2929" s="43" t="n"/>
      <c r="G2929" s="44">
        <f>IF(OR(B2929="",F2929=""),"",IFERROR(F2929*INDEX(Mitarbeiter!$F$6:$F$205,MATCH(B2929,Mitarbeiter!$A$6:$A$205,0)),0))</f>
        <v/>
      </c>
      <c r="H2929" s="8">
        <f>IF(B2929="","",IF(ISNA(MATCH(B2929,Mitarbeiter!$A$6:$A$205,0)),"Pers.-Nr. unbekannt",IF(A2929="","Datum fehlt",IF(AND(D2929&lt;&gt;Einstellungen!$C$4,D2929&lt;&gt;Einstellungen!$C$5),"Objekt fehlt",IF(YEAR(A2929)&lt;&gt;Einstellungen!$C$3,"anderes Jahr",IF(A2929&lt;INDEX(Mitarbeiter!$C$6:$C$205,MATCH(B2929,Mitarbeiter!$A$6:$A$205,0)),"vor Eintritt",IF(AND(INDEX(Mitarbeiter!$D$6:$D$205,MATCH(B2929,Mitarbeiter!$A$6:$A$205,0))&lt;&gt;"",A2929&gt;INDEX(Mitarbeiter!$D$6:$D$205,MATCH(B2929,Mitarbeiter!$A$6:$A$205,0))),"nach Austritt","ok")))))))</f>
        <v/>
      </c>
    </row>
    <row r="2930">
      <c r="A2930" s="26" t="n"/>
      <c r="B2930" s="24" t="n"/>
      <c r="C2930" s="40">
        <f>IF(B2930="","",IFERROR(INDEX(Mitarbeiter!$B$6:$B$205,MATCH(B2930,Mitarbeiter!$A$6:$A$205,0)),"?"))</f>
        <v/>
      </c>
      <c r="D2930" s="41" t="n"/>
      <c r="E2930" s="42" t="n"/>
      <c r="F2930" s="43" t="n"/>
      <c r="G2930" s="44">
        <f>IF(OR(B2930="",F2930=""),"",IFERROR(F2930*INDEX(Mitarbeiter!$F$6:$F$205,MATCH(B2930,Mitarbeiter!$A$6:$A$205,0)),0))</f>
        <v/>
      </c>
      <c r="H2930" s="8">
        <f>IF(B2930="","",IF(ISNA(MATCH(B2930,Mitarbeiter!$A$6:$A$205,0)),"Pers.-Nr. unbekannt",IF(A2930="","Datum fehlt",IF(AND(D2930&lt;&gt;Einstellungen!$C$4,D2930&lt;&gt;Einstellungen!$C$5),"Objekt fehlt",IF(YEAR(A2930)&lt;&gt;Einstellungen!$C$3,"anderes Jahr",IF(A2930&lt;INDEX(Mitarbeiter!$C$6:$C$205,MATCH(B2930,Mitarbeiter!$A$6:$A$205,0)),"vor Eintritt",IF(AND(INDEX(Mitarbeiter!$D$6:$D$205,MATCH(B2930,Mitarbeiter!$A$6:$A$205,0))&lt;&gt;"",A2930&gt;INDEX(Mitarbeiter!$D$6:$D$205,MATCH(B2930,Mitarbeiter!$A$6:$A$205,0))),"nach Austritt","ok")))))))</f>
        <v/>
      </c>
    </row>
    <row r="2931">
      <c r="A2931" s="26" t="n"/>
      <c r="B2931" s="24" t="n"/>
      <c r="C2931" s="40">
        <f>IF(B2931="","",IFERROR(INDEX(Mitarbeiter!$B$6:$B$205,MATCH(B2931,Mitarbeiter!$A$6:$A$205,0)),"?"))</f>
        <v/>
      </c>
      <c r="D2931" s="41" t="n"/>
      <c r="E2931" s="42" t="n"/>
      <c r="F2931" s="43" t="n"/>
      <c r="G2931" s="44">
        <f>IF(OR(B2931="",F2931=""),"",IFERROR(F2931*INDEX(Mitarbeiter!$F$6:$F$205,MATCH(B2931,Mitarbeiter!$A$6:$A$205,0)),0))</f>
        <v/>
      </c>
      <c r="H2931" s="8">
        <f>IF(B2931="","",IF(ISNA(MATCH(B2931,Mitarbeiter!$A$6:$A$205,0)),"Pers.-Nr. unbekannt",IF(A2931="","Datum fehlt",IF(AND(D2931&lt;&gt;Einstellungen!$C$4,D2931&lt;&gt;Einstellungen!$C$5),"Objekt fehlt",IF(YEAR(A2931)&lt;&gt;Einstellungen!$C$3,"anderes Jahr",IF(A2931&lt;INDEX(Mitarbeiter!$C$6:$C$205,MATCH(B2931,Mitarbeiter!$A$6:$A$205,0)),"vor Eintritt",IF(AND(INDEX(Mitarbeiter!$D$6:$D$205,MATCH(B2931,Mitarbeiter!$A$6:$A$205,0))&lt;&gt;"",A2931&gt;INDEX(Mitarbeiter!$D$6:$D$205,MATCH(B2931,Mitarbeiter!$A$6:$A$205,0))),"nach Austritt","ok")))))))</f>
        <v/>
      </c>
    </row>
    <row r="2932">
      <c r="A2932" s="26" t="n"/>
      <c r="B2932" s="24" t="n"/>
      <c r="C2932" s="40">
        <f>IF(B2932="","",IFERROR(INDEX(Mitarbeiter!$B$6:$B$205,MATCH(B2932,Mitarbeiter!$A$6:$A$205,0)),"?"))</f>
        <v/>
      </c>
      <c r="D2932" s="41" t="n"/>
      <c r="E2932" s="42" t="n"/>
      <c r="F2932" s="43" t="n"/>
      <c r="G2932" s="44">
        <f>IF(OR(B2932="",F2932=""),"",IFERROR(F2932*INDEX(Mitarbeiter!$F$6:$F$205,MATCH(B2932,Mitarbeiter!$A$6:$A$205,0)),0))</f>
        <v/>
      </c>
      <c r="H2932" s="8">
        <f>IF(B2932="","",IF(ISNA(MATCH(B2932,Mitarbeiter!$A$6:$A$205,0)),"Pers.-Nr. unbekannt",IF(A2932="","Datum fehlt",IF(AND(D2932&lt;&gt;Einstellungen!$C$4,D2932&lt;&gt;Einstellungen!$C$5),"Objekt fehlt",IF(YEAR(A2932)&lt;&gt;Einstellungen!$C$3,"anderes Jahr",IF(A2932&lt;INDEX(Mitarbeiter!$C$6:$C$205,MATCH(B2932,Mitarbeiter!$A$6:$A$205,0)),"vor Eintritt",IF(AND(INDEX(Mitarbeiter!$D$6:$D$205,MATCH(B2932,Mitarbeiter!$A$6:$A$205,0))&lt;&gt;"",A2932&gt;INDEX(Mitarbeiter!$D$6:$D$205,MATCH(B2932,Mitarbeiter!$A$6:$A$205,0))),"nach Austritt","ok")))))))</f>
        <v/>
      </c>
    </row>
    <row r="2933">
      <c r="A2933" s="26" t="n"/>
      <c r="B2933" s="24" t="n"/>
      <c r="C2933" s="40">
        <f>IF(B2933="","",IFERROR(INDEX(Mitarbeiter!$B$6:$B$205,MATCH(B2933,Mitarbeiter!$A$6:$A$205,0)),"?"))</f>
        <v/>
      </c>
      <c r="D2933" s="41" t="n"/>
      <c r="E2933" s="42" t="n"/>
      <c r="F2933" s="43" t="n"/>
      <c r="G2933" s="44">
        <f>IF(OR(B2933="",F2933=""),"",IFERROR(F2933*INDEX(Mitarbeiter!$F$6:$F$205,MATCH(B2933,Mitarbeiter!$A$6:$A$205,0)),0))</f>
        <v/>
      </c>
      <c r="H2933" s="8">
        <f>IF(B2933="","",IF(ISNA(MATCH(B2933,Mitarbeiter!$A$6:$A$205,0)),"Pers.-Nr. unbekannt",IF(A2933="","Datum fehlt",IF(AND(D2933&lt;&gt;Einstellungen!$C$4,D2933&lt;&gt;Einstellungen!$C$5),"Objekt fehlt",IF(YEAR(A2933)&lt;&gt;Einstellungen!$C$3,"anderes Jahr",IF(A2933&lt;INDEX(Mitarbeiter!$C$6:$C$205,MATCH(B2933,Mitarbeiter!$A$6:$A$205,0)),"vor Eintritt",IF(AND(INDEX(Mitarbeiter!$D$6:$D$205,MATCH(B2933,Mitarbeiter!$A$6:$A$205,0))&lt;&gt;"",A2933&gt;INDEX(Mitarbeiter!$D$6:$D$205,MATCH(B2933,Mitarbeiter!$A$6:$A$205,0))),"nach Austritt","ok")))))))</f>
        <v/>
      </c>
    </row>
    <row r="2934">
      <c r="A2934" s="26" t="n"/>
      <c r="B2934" s="24" t="n"/>
      <c r="C2934" s="40">
        <f>IF(B2934="","",IFERROR(INDEX(Mitarbeiter!$B$6:$B$205,MATCH(B2934,Mitarbeiter!$A$6:$A$205,0)),"?"))</f>
        <v/>
      </c>
      <c r="D2934" s="41" t="n"/>
      <c r="E2934" s="42" t="n"/>
      <c r="F2934" s="43" t="n"/>
      <c r="G2934" s="44">
        <f>IF(OR(B2934="",F2934=""),"",IFERROR(F2934*INDEX(Mitarbeiter!$F$6:$F$205,MATCH(B2934,Mitarbeiter!$A$6:$A$205,0)),0))</f>
        <v/>
      </c>
      <c r="H2934" s="8">
        <f>IF(B2934="","",IF(ISNA(MATCH(B2934,Mitarbeiter!$A$6:$A$205,0)),"Pers.-Nr. unbekannt",IF(A2934="","Datum fehlt",IF(AND(D2934&lt;&gt;Einstellungen!$C$4,D2934&lt;&gt;Einstellungen!$C$5),"Objekt fehlt",IF(YEAR(A2934)&lt;&gt;Einstellungen!$C$3,"anderes Jahr",IF(A2934&lt;INDEX(Mitarbeiter!$C$6:$C$205,MATCH(B2934,Mitarbeiter!$A$6:$A$205,0)),"vor Eintritt",IF(AND(INDEX(Mitarbeiter!$D$6:$D$205,MATCH(B2934,Mitarbeiter!$A$6:$A$205,0))&lt;&gt;"",A2934&gt;INDEX(Mitarbeiter!$D$6:$D$205,MATCH(B2934,Mitarbeiter!$A$6:$A$205,0))),"nach Austritt","ok")))))))</f>
        <v/>
      </c>
    </row>
    <row r="2935">
      <c r="A2935" s="26" t="n"/>
      <c r="B2935" s="24" t="n"/>
      <c r="C2935" s="40">
        <f>IF(B2935="","",IFERROR(INDEX(Mitarbeiter!$B$6:$B$205,MATCH(B2935,Mitarbeiter!$A$6:$A$205,0)),"?"))</f>
        <v/>
      </c>
      <c r="D2935" s="41" t="n"/>
      <c r="E2935" s="42" t="n"/>
      <c r="F2935" s="43" t="n"/>
      <c r="G2935" s="44">
        <f>IF(OR(B2935="",F2935=""),"",IFERROR(F2935*INDEX(Mitarbeiter!$F$6:$F$205,MATCH(B2935,Mitarbeiter!$A$6:$A$205,0)),0))</f>
        <v/>
      </c>
      <c r="H2935" s="8">
        <f>IF(B2935="","",IF(ISNA(MATCH(B2935,Mitarbeiter!$A$6:$A$205,0)),"Pers.-Nr. unbekannt",IF(A2935="","Datum fehlt",IF(AND(D2935&lt;&gt;Einstellungen!$C$4,D2935&lt;&gt;Einstellungen!$C$5),"Objekt fehlt",IF(YEAR(A2935)&lt;&gt;Einstellungen!$C$3,"anderes Jahr",IF(A2935&lt;INDEX(Mitarbeiter!$C$6:$C$205,MATCH(B2935,Mitarbeiter!$A$6:$A$205,0)),"vor Eintritt",IF(AND(INDEX(Mitarbeiter!$D$6:$D$205,MATCH(B2935,Mitarbeiter!$A$6:$A$205,0))&lt;&gt;"",A2935&gt;INDEX(Mitarbeiter!$D$6:$D$205,MATCH(B2935,Mitarbeiter!$A$6:$A$205,0))),"nach Austritt","ok")))))))</f>
        <v/>
      </c>
    </row>
    <row r="2936">
      <c r="A2936" s="26" t="n"/>
      <c r="B2936" s="24" t="n"/>
      <c r="C2936" s="40">
        <f>IF(B2936="","",IFERROR(INDEX(Mitarbeiter!$B$6:$B$205,MATCH(B2936,Mitarbeiter!$A$6:$A$205,0)),"?"))</f>
        <v/>
      </c>
      <c r="D2936" s="41" t="n"/>
      <c r="E2936" s="42" t="n"/>
      <c r="F2936" s="43" t="n"/>
      <c r="G2936" s="44">
        <f>IF(OR(B2936="",F2936=""),"",IFERROR(F2936*INDEX(Mitarbeiter!$F$6:$F$205,MATCH(B2936,Mitarbeiter!$A$6:$A$205,0)),0))</f>
        <v/>
      </c>
      <c r="H2936" s="8">
        <f>IF(B2936="","",IF(ISNA(MATCH(B2936,Mitarbeiter!$A$6:$A$205,0)),"Pers.-Nr. unbekannt",IF(A2936="","Datum fehlt",IF(AND(D2936&lt;&gt;Einstellungen!$C$4,D2936&lt;&gt;Einstellungen!$C$5),"Objekt fehlt",IF(YEAR(A2936)&lt;&gt;Einstellungen!$C$3,"anderes Jahr",IF(A2936&lt;INDEX(Mitarbeiter!$C$6:$C$205,MATCH(B2936,Mitarbeiter!$A$6:$A$205,0)),"vor Eintritt",IF(AND(INDEX(Mitarbeiter!$D$6:$D$205,MATCH(B2936,Mitarbeiter!$A$6:$A$205,0))&lt;&gt;"",A2936&gt;INDEX(Mitarbeiter!$D$6:$D$205,MATCH(B2936,Mitarbeiter!$A$6:$A$205,0))),"nach Austritt","ok")))))))</f>
        <v/>
      </c>
    </row>
    <row r="2937">
      <c r="A2937" s="26" t="n"/>
      <c r="B2937" s="24" t="n"/>
      <c r="C2937" s="40">
        <f>IF(B2937="","",IFERROR(INDEX(Mitarbeiter!$B$6:$B$205,MATCH(B2937,Mitarbeiter!$A$6:$A$205,0)),"?"))</f>
        <v/>
      </c>
      <c r="D2937" s="41" t="n"/>
      <c r="E2937" s="42" t="n"/>
      <c r="F2937" s="43" t="n"/>
      <c r="G2937" s="44">
        <f>IF(OR(B2937="",F2937=""),"",IFERROR(F2937*INDEX(Mitarbeiter!$F$6:$F$205,MATCH(B2937,Mitarbeiter!$A$6:$A$205,0)),0))</f>
        <v/>
      </c>
      <c r="H2937" s="8">
        <f>IF(B2937="","",IF(ISNA(MATCH(B2937,Mitarbeiter!$A$6:$A$205,0)),"Pers.-Nr. unbekannt",IF(A2937="","Datum fehlt",IF(AND(D2937&lt;&gt;Einstellungen!$C$4,D2937&lt;&gt;Einstellungen!$C$5),"Objekt fehlt",IF(YEAR(A2937)&lt;&gt;Einstellungen!$C$3,"anderes Jahr",IF(A2937&lt;INDEX(Mitarbeiter!$C$6:$C$205,MATCH(B2937,Mitarbeiter!$A$6:$A$205,0)),"vor Eintritt",IF(AND(INDEX(Mitarbeiter!$D$6:$D$205,MATCH(B2937,Mitarbeiter!$A$6:$A$205,0))&lt;&gt;"",A2937&gt;INDEX(Mitarbeiter!$D$6:$D$205,MATCH(B2937,Mitarbeiter!$A$6:$A$205,0))),"nach Austritt","ok")))))))</f>
        <v/>
      </c>
    </row>
    <row r="2938">
      <c r="A2938" s="26" t="n"/>
      <c r="B2938" s="24" t="n"/>
      <c r="C2938" s="40">
        <f>IF(B2938="","",IFERROR(INDEX(Mitarbeiter!$B$6:$B$205,MATCH(B2938,Mitarbeiter!$A$6:$A$205,0)),"?"))</f>
        <v/>
      </c>
      <c r="D2938" s="41" t="n"/>
      <c r="E2938" s="42" t="n"/>
      <c r="F2938" s="43" t="n"/>
      <c r="G2938" s="44">
        <f>IF(OR(B2938="",F2938=""),"",IFERROR(F2938*INDEX(Mitarbeiter!$F$6:$F$205,MATCH(B2938,Mitarbeiter!$A$6:$A$205,0)),0))</f>
        <v/>
      </c>
      <c r="H2938" s="8">
        <f>IF(B2938="","",IF(ISNA(MATCH(B2938,Mitarbeiter!$A$6:$A$205,0)),"Pers.-Nr. unbekannt",IF(A2938="","Datum fehlt",IF(AND(D2938&lt;&gt;Einstellungen!$C$4,D2938&lt;&gt;Einstellungen!$C$5),"Objekt fehlt",IF(YEAR(A2938)&lt;&gt;Einstellungen!$C$3,"anderes Jahr",IF(A2938&lt;INDEX(Mitarbeiter!$C$6:$C$205,MATCH(B2938,Mitarbeiter!$A$6:$A$205,0)),"vor Eintritt",IF(AND(INDEX(Mitarbeiter!$D$6:$D$205,MATCH(B2938,Mitarbeiter!$A$6:$A$205,0))&lt;&gt;"",A2938&gt;INDEX(Mitarbeiter!$D$6:$D$205,MATCH(B2938,Mitarbeiter!$A$6:$A$205,0))),"nach Austritt","ok")))))))</f>
        <v/>
      </c>
    </row>
    <row r="2939">
      <c r="A2939" s="26" t="n"/>
      <c r="B2939" s="24" t="n"/>
      <c r="C2939" s="40">
        <f>IF(B2939="","",IFERROR(INDEX(Mitarbeiter!$B$6:$B$205,MATCH(B2939,Mitarbeiter!$A$6:$A$205,0)),"?"))</f>
        <v/>
      </c>
      <c r="D2939" s="41" t="n"/>
      <c r="E2939" s="42" t="n"/>
      <c r="F2939" s="43" t="n"/>
      <c r="G2939" s="44">
        <f>IF(OR(B2939="",F2939=""),"",IFERROR(F2939*INDEX(Mitarbeiter!$F$6:$F$205,MATCH(B2939,Mitarbeiter!$A$6:$A$205,0)),0))</f>
        <v/>
      </c>
      <c r="H2939" s="8">
        <f>IF(B2939="","",IF(ISNA(MATCH(B2939,Mitarbeiter!$A$6:$A$205,0)),"Pers.-Nr. unbekannt",IF(A2939="","Datum fehlt",IF(AND(D2939&lt;&gt;Einstellungen!$C$4,D2939&lt;&gt;Einstellungen!$C$5),"Objekt fehlt",IF(YEAR(A2939)&lt;&gt;Einstellungen!$C$3,"anderes Jahr",IF(A2939&lt;INDEX(Mitarbeiter!$C$6:$C$205,MATCH(B2939,Mitarbeiter!$A$6:$A$205,0)),"vor Eintritt",IF(AND(INDEX(Mitarbeiter!$D$6:$D$205,MATCH(B2939,Mitarbeiter!$A$6:$A$205,0))&lt;&gt;"",A2939&gt;INDEX(Mitarbeiter!$D$6:$D$205,MATCH(B2939,Mitarbeiter!$A$6:$A$205,0))),"nach Austritt","ok")))))))</f>
        <v/>
      </c>
    </row>
    <row r="2940">
      <c r="A2940" s="26" t="n"/>
      <c r="B2940" s="24" t="n"/>
      <c r="C2940" s="40">
        <f>IF(B2940="","",IFERROR(INDEX(Mitarbeiter!$B$6:$B$205,MATCH(B2940,Mitarbeiter!$A$6:$A$205,0)),"?"))</f>
        <v/>
      </c>
      <c r="D2940" s="41" t="n"/>
      <c r="E2940" s="42" t="n"/>
      <c r="F2940" s="43" t="n"/>
      <c r="G2940" s="44">
        <f>IF(OR(B2940="",F2940=""),"",IFERROR(F2940*INDEX(Mitarbeiter!$F$6:$F$205,MATCH(B2940,Mitarbeiter!$A$6:$A$205,0)),0))</f>
        <v/>
      </c>
      <c r="H2940" s="8">
        <f>IF(B2940="","",IF(ISNA(MATCH(B2940,Mitarbeiter!$A$6:$A$205,0)),"Pers.-Nr. unbekannt",IF(A2940="","Datum fehlt",IF(AND(D2940&lt;&gt;Einstellungen!$C$4,D2940&lt;&gt;Einstellungen!$C$5),"Objekt fehlt",IF(YEAR(A2940)&lt;&gt;Einstellungen!$C$3,"anderes Jahr",IF(A2940&lt;INDEX(Mitarbeiter!$C$6:$C$205,MATCH(B2940,Mitarbeiter!$A$6:$A$205,0)),"vor Eintritt",IF(AND(INDEX(Mitarbeiter!$D$6:$D$205,MATCH(B2940,Mitarbeiter!$A$6:$A$205,0))&lt;&gt;"",A2940&gt;INDEX(Mitarbeiter!$D$6:$D$205,MATCH(B2940,Mitarbeiter!$A$6:$A$205,0))),"nach Austritt","ok")))))))</f>
        <v/>
      </c>
    </row>
    <row r="2941">
      <c r="A2941" s="26" t="n"/>
      <c r="B2941" s="24" t="n"/>
      <c r="C2941" s="40">
        <f>IF(B2941="","",IFERROR(INDEX(Mitarbeiter!$B$6:$B$205,MATCH(B2941,Mitarbeiter!$A$6:$A$205,0)),"?"))</f>
        <v/>
      </c>
      <c r="D2941" s="41" t="n"/>
      <c r="E2941" s="42" t="n"/>
      <c r="F2941" s="43" t="n"/>
      <c r="G2941" s="44">
        <f>IF(OR(B2941="",F2941=""),"",IFERROR(F2941*INDEX(Mitarbeiter!$F$6:$F$205,MATCH(B2941,Mitarbeiter!$A$6:$A$205,0)),0))</f>
        <v/>
      </c>
      <c r="H2941" s="8">
        <f>IF(B2941="","",IF(ISNA(MATCH(B2941,Mitarbeiter!$A$6:$A$205,0)),"Pers.-Nr. unbekannt",IF(A2941="","Datum fehlt",IF(AND(D2941&lt;&gt;Einstellungen!$C$4,D2941&lt;&gt;Einstellungen!$C$5),"Objekt fehlt",IF(YEAR(A2941)&lt;&gt;Einstellungen!$C$3,"anderes Jahr",IF(A2941&lt;INDEX(Mitarbeiter!$C$6:$C$205,MATCH(B2941,Mitarbeiter!$A$6:$A$205,0)),"vor Eintritt",IF(AND(INDEX(Mitarbeiter!$D$6:$D$205,MATCH(B2941,Mitarbeiter!$A$6:$A$205,0))&lt;&gt;"",A2941&gt;INDEX(Mitarbeiter!$D$6:$D$205,MATCH(B2941,Mitarbeiter!$A$6:$A$205,0))),"nach Austritt","ok")))))))</f>
        <v/>
      </c>
    </row>
    <row r="2942">
      <c r="A2942" s="26" t="n"/>
      <c r="B2942" s="24" t="n"/>
      <c r="C2942" s="40">
        <f>IF(B2942="","",IFERROR(INDEX(Mitarbeiter!$B$6:$B$205,MATCH(B2942,Mitarbeiter!$A$6:$A$205,0)),"?"))</f>
        <v/>
      </c>
      <c r="D2942" s="41" t="n"/>
      <c r="E2942" s="42" t="n"/>
      <c r="F2942" s="43" t="n"/>
      <c r="G2942" s="44">
        <f>IF(OR(B2942="",F2942=""),"",IFERROR(F2942*INDEX(Mitarbeiter!$F$6:$F$205,MATCH(B2942,Mitarbeiter!$A$6:$A$205,0)),0))</f>
        <v/>
      </c>
      <c r="H2942" s="8">
        <f>IF(B2942="","",IF(ISNA(MATCH(B2942,Mitarbeiter!$A$6:$A$205,0)),"Pers.-Nr. unbekannt",IF(A2942="","Datum fehlt",IF(AND(D2942&lt;&gt;Einstellungen!$C$4,D2942&lt;&gt;Einstellungen!$C$5),"Objekt fehlt",IF(YEAR(A2942)&lt;&gt;Einstellungen!$C$3,"anderes Jahr",IF(A2942&lt;INDEX(Mitarbeiter!$C$6:$C$205,MATCH(B2942,Mitarbeiter!$A$6:$A$205,0)),"vor Eintritt",IF(AND(INDEX(Mitarbeiter!$D$6:$D$205,MATCH(B2942,Mitarbeiter!$A$6:$A$205,0))&lt;&gt;"",A2942&gt;INDEX(Mitarbeiter!$D$6:$D$205,MATCH(B2942,Mitarbeiter!$A$6:$A$205,0))),"nach Austritt","ok")))))))</f>
        <v/>
      </c>
    </row>
    <row r="2943">
      <c r="A2943" s="26" t="n"/>
      <c r="B2943" s="24" t="n"/>
      <c r="C2943" s="40">
        <f>IF(B2943="","",IFERROR(INDEX(Mitarbeiter!$B$6:$B$205,MATCH(B2943,Mitarbeiter!$A$6:$A$205,0)),"?"))</f>
        <v/>
      </c>
      <c r="D2943" s="41" t="n"/>
      <c r="E2943" s="42" t="n"/>
      <c r="F2943" s="43" t="n"/>
      <c r="G2943" s="44">
        <f>IF(OR(B2943="",F2943=""),"",IFERROR(F2943*INDEX(Mitarbeiter!$F$6:$F$205,MATCH(B2943,Mitarbeiter!$A$6:$A$205,0)),0))</f>
        <v/>
      </c>
      <c r="H2943" s="8">
        <f>IF(B2943="","",IF(ISNA(MATCH(B2943,Mitarbeiter!$A$6:$A$205,0)),"Pers.-Nr. unbekannt",IF(A2943="","Datum fehlt",IF(AND(D2943&lt;&gt;Einstellungen!$C$4,D2943&lt;&gt;Einstellungen!$C$5),"Objekt fehlt",IF(YEAR(A2943)&lt;&gt;Einstellungen!$C$3,"anderes Jahr",IF(A2943&lt;INDEX(Mitarbeiter!$C$6:$C$205,MATCH(B2943,Mitarbeiter!$A$6:$A$205,0)),"vor Eintritt",IF(AND(INDEX(Mitarbeiter!$D$6:$D$205,MATCH(B2943,Mitarbeiter!$A$6:$A$205,0))&lt;&gt;"",A2943&gt;INDEX(Mitarbeiter!$D$6:$D$205,MATCH(B2943,Mitarbeiter!$A$6:$A$205,0))),"nach Austritt","ok")))))))</f>
        <v/>
      </c>
    </row>
    <row r="2944">
      <c r="A2944" s="26" t="n"/>
      <c r="B2944" s="24" t="n"/>
      <c r="C2944" s="40">
        <f>IF(B2944="","",IFERROR(INDEX(Mitarbeiter!$B$6:$B$205,MATCH(B2944,Mitarbeiter!$A$6:$A$205,0)),"?"))</f>
        <v/>
      </c>
      <c r="D2944" s="41" t="n"/>
      <c r="E2944" s="42" t="n"/>
      <c r="F2944" s="43" t="n"/>
      <c r="G2944" s="44">
        <f>IF(OR(B2944="",F2944=""),"",IFERROR(F2944*INDEX(Mitarbeiter!$F$6:$F$205,MATCH(B2944,Mitarbeiter!$A$6:$A$205,0)),0))</f>
        <v/>
      </c>
      <c r="H2944" s="8">
        <f>IF(B2944="","",IF(ISNA(MATCH(B2944,Mitarbeiter!$A$6:$A$205,0)),"Pers.-Nr. unbekannt",IF(A2944="","Datum fehlt",IF(AND(D2944&lt;&gt;Einstellungen!$C$4,D2944&lt;&gt;Einstellungen!$C$5),"Objekt fehlt",IF(YEAR(A2944)&lt;&gt;Einstellungen!$C$3,"anderes Jahr",IF(A2944&lt;INDEX(Mitarbeiter!$C$6:$C$205,MATCH(B2944,Mitarbeiter!$A$6:$A$205,0)),"vor Eintritt",IF(AND(INDEX(Mitarbeiter!$D$6:$D$205,MATCH(B2944,Mitarbeiter!$A$6:$A$205,0))&lt;&gt;"",A2944&gt;INDEX(Mitarbeiter!$D$6:$D$205,MATCH(B2944,Mitarbeiter!$A$6:$A$205,0))),"nach Austritt","ok")))))))</f>
        <v/>
      </c>
    </row>
    <row r="2945">
      <c r="A2945" s="26" t="n"/>
      <c r="B2945" s="24" t="n"/>
      <c r="C2945" s="40">
        <f>IF(B2945="","",IFERROR(INDEX(Mitarbeiter!$B$6:$B$205,MATCH(B2945,Mitarbeiter!$A$6:$A$205,0)),"?"))</f>
        <v/>
      </c>
      <c r="D2945" s="41" t="n"/>
      <c r="E2945" s="42" t="n"/>
      <c r="F2945" s="43" t="n"/>
      <c r="G2945" s="44">
        <f>IF(OR(B2945="",F2945=""),"",IFERROR(F2945*INDEX(Mitarbeiter!$F$6:$F$205,MATCH(B2945,Mitarbeiter!$A$6:$A$205,0)),0))</f>
        <v/>
      </c>
      <c r="H2945" s="8">
        <f>IF(B2945="","",IF(ISNA(MATCH(B2945,Mitarbeiter!$A$6:$A$205,0)),"Pers.-Nr. unbekannt",IF(A2945="","Datum fehlt",IF(AND(D2945&lt;&gt;Einstellungen!$C$4,D2945&lt;&gt;Einstellungen!$C$5),"Objekt fehlt",IF(YEAR(A2945)&lt;&gt;Einstellungen!$C$3,"anderes Jahr",IF(A2945&lt;INDEX(Mitarbeiter!$C$6:$C$205,MATCH(B2945,Mitarbeiter!$A$6:$A$205,0)),"vor Eintritt",IF(AND(INDEX(Mitarbeiter!$D$6:$D$205,MATCH(B2945,Mitarbeiter!$A$6:$A$205,0))&lt;&gt;"",A2945&gt;INDEX(Mitarbeiter!$D$6:$D$205,MATCH(B2945,Mitarbeiter!$A$6:$A$205,0))),"nach Austritt","ok")))))))</f>
        <v/>
      </c>
    </row>
    <row r="2946">
      <c r="A2946" s="26" t="n"/>
      <c r="B2946" s="24" t="n"/>
      <c r="C2946" s="40">
        <f>IF(B2946="","",IFERROR(INDEX(Mitarbeiter!$B$6:$B$205,MATCH(B2946,Mitarbeiter!$A$6:$A$205,0)),"?"))</f>
        <v/>
      </c>
      <c r="D2946" s="41" t="n"/>
      <c r="E2946" s="42" t="n"/>
      <c r="F2946" s="43" t="n"/>
      <c r="G2946" s="44">
        <f>IF(OR(B2946="",F2946=""),"",IFERROR(F2946*INDEX(Mitarbeiter!$F$6:$F$205,MATCH(B2946,Mitarbeiter!$A$6:$A$205,0)),0))</f>
        <v/>
      </c>
      <c r="H2946" s="8">
        <f>IF(B2946="","",IF(ISNA(MATCH(B2946,Mitarbeiter!$A$6:$A$205,0)),"Pers.-Nr. unbekannt",IF(A2946="","Datum fehlt",IF(AND(D2946&lt;&gt;Einstellungen!$C$4,D2946&lt;&gt;Einstellungen!$C$5),"Objekt fehlt",IF(YEAR(A2946)&lt;&gt;Einstellungen!$C$3,"anderes Jahr",IF(A2946&lt;INDEX(Mitarbeiter!$C$6:$C$205,MATCH(B2946,Mitarbeiter!$A$6:$A$205,0)),"vor Eintritt",IF(AND(INDEX(Mitarbeiter!$D$6:$D$205,MATCH(B2946,Mitarbeiter!$A$6:$A$205,0))&lt;&gt;"",A2946&gt;INDEX(Mitarbeiter!$D$6:$D$205,MATCH(B2946,Mitarbeiter!$A$6:$A$205,0))),"nach Austritt","ok")))))))</f>
        <v/>
      </c>
    </row>
    <row r="2947">
      <c r="A2947" s="26" t="n"/>
      <c r="B2947" s="24" t="n"/>
      <c r="C2947" s="40">
        <f>IF(B2947="","",IFERROR(INDEX(Mitarbeiter!$B$6:$B$205,MATCH(B2947,Mitarbeiter!$A$6:$A$205,0)),"?"))</f>
        <v/>
      </c>
      <c r="D2947" s="41" t="n"/>
      <c r="E2947" s="42" t="n"/>
      <c r="F2947" s="43" t="n"/>
      <c r="G2947" s="44">
        <f>IF(OR(B2947="",F2947=""),"",IFERROR(F2947*INDEX(Mitarbeiter!$F$6:$F$205,MATCH(B2947,Mitarbeiter!$A$6:$A$205,0)),0))</f>
        <v/>
      </c>
      <c r="H2947" s="8">
        <f>IF(B2947="","",IF(ISNA(MATCH(B2947,Mitarbeiter!$A$6:$A$205,0)),"Pers.-Nr. unbekannt",IF(A2947="","Datum fehlt",IF(AND(D2947&lt;&gt;Einstellungen!$C$4,D2947&lt;&gt;Einstellungen!$C$5),"Objekt fehlt",IF(YEAR(A2947)&lt;&gt;Einstellungen!$C$3,"anderes Jahr",IF(A2947&lt;INDEX(Mitarbeiter!$C$6:$C$205,MATCH(B2947,Mitarbeiter!$A$6:$A$205,0)),"vor Eintritt",IF(AND(INDEX(Mitarbeiter!$D$6:$D$205,MATCH(B2947,Mitarbeiter!$A$6:$A$205,0))&lt;&gt;"",A2947&gt;INDEX(Mitarbeiter!$D$6:$D$205,MATCH(B2947,Mitarbeiter!$A$6:$A$205,0))),"nach Austritt","ok")))))))</f>
        <v/>
      </c>
    </row>
    <row r="2948">
      <c r="A2948" s="26" t="n"/>
      <c r="B2948" s="24" t="n"/>
      <c r="C2948" s="40">
        <f>IF(B2948="","",IFERROR(INDEX(Mitarbeiter!$B$6:$B$205,MATCH(B2948,Mitarbeiter!$A$6:$A$205,0)),"?"))</f>
        <v/>
      </c>
      <c r="D2948" s="41" t="n"/>
      <c r="E2948" s="42" t="n"/>
      <c r="F2948" s="43" t="n"/>
      <c r="G2948" s="44">
        <f>IF(OR(B2948="",F2948=""),"",IFERROR(F2948*INDEX(Mitarbeiter!$F$6:$F$205,MATCH(B2948,Mitarbeiter!$A$6:$A$205,0)),0))</f>
        <v/>
      </c>
      <c r="H2948" s="8">
        <f>IF(B2948="","",IF(ISNA(MATCH(B2948,Mitarbeiter!$A$6:$A$205,0)),"Pers.-Nr. unbekannt",IF(A2948="","Datum fehlt",IF(AND(D2948&lt;&gt;Einstellungen!$C$4,D2948&lt;&gt;Einstellungen!$C$5),"Objekt fehlt",IF(YEAR(A2948)&lt;&gt;Einstellungen!$C$3,"anderes Jahr",IF(A2948&lt;INDEX(Mitarbeiter!$C$6:$C$205,MATCH(B2948,Mitarbeiter!$A$6:$A$205,0)),"vor Eintritt",IF(AND(INDEX(Mitarbeiter!$D$6:$D$205,MATCH(B2948,Mitarbeiter!$A$6:$A$205,0))&lt;&gt;"",A2948&gt;INDEX(Mitarbeiter!$D$6:$D$205,MATCH(B2948,Mitarbeiter!$A$6:$A$205,0))),"nach Austritt","ok")))))))</f>
        <v/>
      </c>
    </row>
    <row r="2949">
      <c r="A2949" s="26" t="n"/>
      <c r="B2949" s="24" t="n"/>
      <c r="C2949" s="40">
        <f>IF(B2949="","",IFERROR(INDEX(Mitarbeiter!$B$6:$B$205,MATCH(B2949,Mitarbeiter!$A$6:$A$205,0)),"?"))</f>
        <v/>
      </c>
      <c r="D2949" s="41" t="n"/>
      <c r="E2949" s="42" t="n"/>
      <c r="F2949" s="43" t="n"/>
      <c r="G2949" s="44">
        <f>IF(OR(B2949="",F2949=""),"",IFERROR(F2949*INDEX(Mitarbeiter!$F$6:$F$205,MATCH(B2949,Mitarbeiter!$A$6:$A$205,0)),0))</f>
        <v/>
      </c>
      <c r="H2949" s="8">
        <f>IF(B2949="","",IF(ISNA(MATCH(B2949,Mitarbeiter!$A$6:$A$205,0)),"Pers.-Nr. unbekannt",IF(A2949="","Datum fehlt",IF(AND(D2949&lt;&gt;Einstellungen!$C$4,D2949&lt;&gt;Einstellungen!$C$5),"Objekt fehlt",IF(YEAR(A2949)&lt;&gt;Einstellungen!$C$3,"anderes Jahr",IF(A2949&lt;INDEX(Mitarbeiter!$C$6:$C$205,MATCH(B2949,Mitarbeiter!$A$6:$A$205,0)),"vor Eintritt",IF(AND(INDEX(Mitarbeiter!$D$6:$D$205,MATCH(B2949,Mitarbeiter!$A$6:$A$205,0))&lt;&gt;"",A2949&gt;INDEX(Mitarbeiter!$D$6:$D$205,MATCH(B2949,Mitarbeiter!$A$6:$A$205,0))),"nach Austritt","ok")))))))</f>
        <v/>
      </c>
    </row>
    <row r="2950">
      <c r="A2950" s="26" t="n"/>
      <c r="B2950" s="24" t="n"/>
      <c r="C2950" s="40">
        <f>IF(B2950="","",IFERROR(INDEX(Mitarbeiter!$B$6:$B$205,MATCH(B2950,Mitarbeiter!$A$6:$A$205,0)),"?"))</f>
        <v/>
      </c>
      <c r="D2950" s="41" t="n"/>
      <c r="E2950" s="42" t="n"/>
      <c r="F2950" s="43" t="n"/>
      <c r="G2950" s="44">
        <f>IF(OR(B2950="",F2950=""),"",IFERROR(F2950*INDEX(Mitarbeiter!$F$6:$F$205,MATCH(B2950,Mitarbeiter!$A$6:$A$205,0)),0))</f>
        <v/>
      </c>
      <c r="H2950" s="8">
        <f>IF(B2950="","",IF(ISNA(MATCH(B2950,Mitarbeiter!$A$6:$A$205,0)),"Pers.-Nr. unbekannt",IF(A2950="","Datum fehlt",IF(AND(D2950&lt;&gt;Einstellungen!$C$4,D2950&lt;&gt;Einstellungen!$C$5),"Objekt fehlt",IF(YEAR(A2950)&lt;&gt;Einstellungen!$C$3,"anderes Jahr",IF(A2950&lt;INDEX(Mitarbeiter!$C$6:$C$205,MATCH(B2950,Mitarbeiter!$A$6:$A$205,0)),"vor Eintritt",IF(AND(INDEX(Mitarbeiter!$D$6:$D$205,MATCH(B2950,Mitarbeiter!$A$6:$A$205,0))&lt;&gt;"",A2950&gt;INDEX(Mitarbeiter!$D$6:$D$205,MATCH(B2950,Mitarbeiter!$A$6:$A$205,0))),"nach Austritt","ok")))))))</f>
        <v/>
      </c>
    </row>
    <row r="2951">
      <c r="A2951" s="26" t="n"/>
      <c r="B2951" s="24" t="n"/>
      <c r="C2951" s="40">
        <f>IF(B2951="","",IFERROR(INDEX(Mitarbeiter!$B$6:$B$205,MATCH(B2951,Mitarbeiter!$A$6:$A$205,0)),"?"))</f>
        <v/>
      </c>
      <c r="D2951" s="41" t="n"/>
      <c r="E2951" s="42" t="n"/>
      <c r="F2951" s="43" t="n"/>
      <c r="G2951" s="44">
        <f>IF(OR(B2951="",F2951=""),"",IFERROR(F2951*INDEX(Mitarbeiter!$F$6:$F$205,MATCH(B2951,Mitarbeiter!$A$6:$A$205,0)),0))</f>
        <v/>
      </c>
      <c r="H2951" s="8">
        <f>IF(B2951="","",IF(ISNA(MATCH(B2951,Mitarbeiter!$A$6:$A$205,0)),"Pers.-Nr. unbekannt",IF(A2951="","Datum fehlt",IF(AND(D2951&lt;&gt;Einstellungen!$C$4,D2951&lt;&gt;Einstellungen!$C$5),"Objekt fehlt",IF(YEAR(A2951)&lt;&gt;Einstellungen!$C$3,"anderes Jahr",IF(A2951&lt;INDEX(Mitarbeiter!$C$6:$C$205,MATCH(B2951,Mitarbeiter!$A$6:$A$205,0)),"vor Eintritt",IF(AND(INDEX(Mitarbeiter!$D$6:$D$205,MATCH(B2951,Mitarbeiter!$A$6:$A$205,0))&lt;&gt;"",A2951&gt;INDEX(Mitarbeiter!$D$6:$D$205,MATCH(B2951,Mitarbeiter!$A$6:$A$205,0))),"nach Austritt","ok")))))))</f>
        <v/>
      </c>
    </row>
    <row r="2952">
      <c r="A2952" s="26" t="n"/>
      <c r="B2952" s="24" t="n"/>
      <c r="C2952" s="40">
        <f>IF(B2952="","",IFERROR(INDEX(Mitarbeiter!$B$6:$B$205,MATCH(B2952,Mitarbeiter!$A$6:$A$205,0)),"?"))</f>
        <v/>
      </c>
      <c r="D2952" s="41" t="n"/>
      <c r="E2952" s="42" t="n"/>
      <c r="F2952" s="43" t="n"/>
      <c r="G2952" s="44">
        <f>IF(OR(B2952="",F2952=""),"",IFERROR(F2952*INDEX(Mitarbeiter!$F$6:$F$205,MATCH(B2952,Mitarbeiter!$A$6:$A$205,0)),0))</f>
        <v/>
      </c>
      <c r="H2952" s="8">
        <f>IF(B2952="","",IF(ISNA(MATCH(B2952,Mitarbeiter!$A$6:$A$205,0)),"Pers.-Nr. unbekannt",IF(A2952="","Datum fehlt",IF(AND(D2952&lt;&gt;Einstellungen!$C$4,D2952&lt;&gt;Einstellungen!$C$5),"Objekt fehlt",IF(YEAR(A2952)&lt;&gt;Einstellungen!$C$3,"anderes Jahr",IF(A2952&lt;INDEX(Mitarbeiter!$C$6:$C$205,MATCH(B2952,Mitarbeiter!$A$6:$A$205,0)),"vor Eintritt",IF(AND(INDEX(Mitarbeiter!$D$6:$D$205,MATCH(B2952,Mitarbeiter!$A$6:$A$205,0))&lt;&gt;"",A2952&gt;INDEX(Mitarbeiter!$D$6:$D$205,MATCH(B2952,Mitarbeiter!$A$6:$A$205,0))),"nach Austritt","ok")))))))</f>
        <v/>
      </c>
    </row>
    <row r="2953">
      <c r="A2953" s="26" t="n"/>
      <c r="B2953" s="24" t="n"/>
      <c r="C2953" s="40">
        <f>IF(B2953="","",IFERROR(INDEX(Mitarbeiter!$B$6:$B$205,MATCH(B2953,Mitarbeiter!$A$6:$A$205,0)),"?"))</f>
        <v/>
      </c>
      <c r="D2953" s="41" t="n"/>
      <c r="E2953" s="42" t="n"/>
      <c r="F2953" s="43" t="n"/>
      <c r="G2953" s="44">
        <f>IF(OR(B2953="",F2953=""),"",IFERROR(F2953*INDEX(Mitarbeiter!$F$6:$F$205,MATCH(B2953,Mitarbeiter!$A$6:$A$205,0)),0))</f>
        <v/>
      </c>
      <c r="H2953" s="8">
        <f>IF(B2953="","",IF(ISNA(MATCH(B2953,Mitarbeiter!$A$6:$A$205,0)),"Pers.-Nr. unbekannt",IF(A2953="","Datum fehlt",IF(AND(D2953&lt;&gt;Einstellungen!$C$4,D2953&lt;&gt;Einstellungen!$C$5),"Objekt fehlt",IF(YEAR(A2953)&lt;&gt;Einstellungen!$C$3,"anderes Jahr",IF(A2953&lt;INDEX(Mitarbeiter!$C$6:$C$205,MATCH(B2953,Mitarbeiter!$A$6:$A$205,0)),"vor Eintritt",IF(AND(INDEX(Mitarbeiter!$D$6:$D$205,MATCH(B2953,Mitarbeiter!$A$6:$A$205,0))&lt;&gt;"",A2953&gt;INDEX(Mitarbeiter!$D$6:$D$205,MATCH(B2953,Mitarbeiter!$A$6:$A$205,0))),"nach Austritt","ok")))))))</f>
        <v/>
      </c>
    </row>
    <row r="2954">
      <c r="A2954" s="26" t="n"/>
      <c r="B2954" s="24" t="n"/>
      <c r="C2954" s="40">
        <f>IF(B2954="","",IFERROR(INDEX(Mitarbeiter!$B$6:$B$205,MATCH(B2954,Mitarbeiter!$A$6:$A$205,0)),"?"))</f>
        <v/>
      </c>
      <c r="D2954" s="41" t="n"/>
      <c r="E2954" s="42" t="n"/>
      <c r="F2954" s="43" t="n"/>
      <c r="G2954" s="44">
        <f>IF(OR(B2954="",F2954=""),"",IFERROR(F2954*INDEX(Mitarbeiter!$F$6:$F$205,MATCH(B2954,Mitarbeiter!$A$6:$A$205,0)),0))</f>
        <v/>
      </c>
      <c r="H2954" s="8">
        <f>IF(B2954="","",IF(ISNA(MATCH(B2954,Mitarbeiter!$A$6:$A$205,0)),"Pers.-Nr. unbekannt",IF(A2954="","Datum fehlt",IF(AND(D2954&lt;&gt;Einstellungen!$C$4,D2954&lt;&gt;Einstellungen!$C$5),"Objekt fehlt",IF(YEAR(A2954)&lt;&gt;Einstellungen!$C$3,"anderes Jahr",IF(A2954&lt;INDEX(Mitarbeiter!$C$6:$C$205,MATCH(B2954,Mitarbeiter!$A$6:$A$205,0)),"vor Eintritt",IF(AND(INDEX(Mitarbeiter!$D$6:$D$205,MATCH(B2954,Mitarbeiter!$A$6:$A$205,0))&lt;&gt;"",A2954&gt;INDEX(Mitarbeiter!$D$6:$D$205,MATCH(B2954,Mitarbeiter!$A$6:$A$205,0))),"nach Austritt","ok")))))))</f>
        <v/>
      </c>
    </row>
    <row r="2955">
      <c r="A2955" s="26" t="n"/>
      <c r="B2955" s="24" t="n"/>
      <c r="C2955" s="40">
        <f>IF(B2955="","",IFERROR(INDEX(Mitarbeiter!$B$6:$B$205,MATCH(B2955,Mitarbeiter!$A$6:$A$205,0)),"?"))</f>
        <v/>
      </c>
      <c r="D2955" s="41" t="n"/>
      <c r="E2955" s="42" t="n"/>
      <c r="F2955" s="43" t="n"/>
      <c r="G2955" s="44">
        <f>IF(OR(B2955="",F2955=""),"",IFERROR(F2955*INDEX(Mitarbeiter!$F$6:$F$205,MATCH(B2955,Mitarbeiter!$A$6:$A$205,0)),0))</f>
        <v/>
      </c>
      <c r="H2955" s="8">
        <f>IF(B2955="","",IF(ISNA(MATCH(B2955,Mitarbeiter!$A$6:$A$205,0)),"Pers.-Nr. unbekannt",IF(A2955="","Datum fehlt",IF(AND(D2955&lt;&gt;Einstellungen!$C$4,D2955&lt;&gt;Einstellungen!$C$5),"Objekt fehlt",IF(YEAR(A2955)&lt;&gt;Einstellungen!$C$3,"anderes Jahr",IF(A2955&lt;INDEX(Mitarbeiter!$C$6:$C$205,MATCH(B2955,Mitarbeiter!$A$6:$A$205,0)),"vor Eintritt",IF(AND(INDEX(Mitarbeiter!$D$6:$D$205,MATCH(B2955,Mitarbeiter!$A$6:$A$205,0))&lt;&gt;"",A2955&gt;INDEX(Mitarbeiter!$D$6:$D$205,MATCH(B2955,Mitarbeiter!$A$6:$A$205,0))),"nach Austritt","ok")))))))</f>
        <v/>
      </c>
    </row>
    <row r="2956">
      <c r="A2956" s="26" t="n"/>
      <c r="B2956" s="24" t="n"/>
      <c r="C2956" s="40">
        <f>IF(B2956="","",IFERROR(INDEX(Mitarbeiter!$B$6:$B$205,MATCH(B2956,Mitarbeiter!$A$6:$A$205,0)),"?"))</f>
        <v/>
      </c>
      <c r="D2956" s="41" t="n"/>
      <c r="E2956" s="42" t="n"/>
      <c r="F2956" s="43" t="n"/>
      <c r="G2956" s="44">
        <f>IF(OR(B2956="",F2956=""),"",IFERROR(F2956*INDEX(Mitarbeiter!$F$6:$F$205,MATCH(B2956,Mitarbeiter!$A$6:$A$205,0)),0))</f>
        <v/>
      </c>
      <c r="H2956" s="8">
        <f>IF(B2956="","",IF(ISNA(MATCH(B2956,Mitarbeiter!$A$6:$A$205,0)),"Pers.-Nr. unbekannt",IF(A2956="","Datum fehlt",IF(AND(D2956&lt;&gt;Einstellungen!$C$4,D2956&lt;&gt;Einstellungen!$C$5),"Objekt fehlt",IF(YEAR(A2956)&lt;&gt;Einstellungen!$C$3,"anderes Jahr",IF(A2956&lt;INDEX(Mitarbeiter!$C$6:$C$205,MATCH(B2956,Mitarbeiter!$A$6:$A$205,0)),"vor Eintritt",IF(AND(INDEX(Mitarbeiter!$D$6:$D$205,MATCH(B2956,Mitarbeiter!$A$6:$A$205,0))&lt;&gt;"",A2956&gt;INDEX(Mitarbeiter!$D$6:$D$205,MATCH(B2956,Mitarbeiter!$A$6:$A$205,0))),"nach Austritt","ok")))))))</f>
        <v/>
      </c>
    </row>
    <row r="2957">
      <c r="A2957" s="26" t="n"/>
      <c r="B2957" s="24" t="n"/>
      <c r="C2957" s="40">
        <f>IF(B2957="","",IFERROR(INDEX(Mitarbeiter!$B$6:$B$205,MATCH(B2957,Mitarbeiter!$A$6:$A$205,0)),"?"))</f>
        <v/>
      </c>
      <c r="D2957" s="41" t="n"/>
      <c r="E2957" s="42" t="n"/>
      <c r="F2957" s="43" t="n"/>
      <c r="G2957" s="44">
        <f>IF(OR(B2957="",F2957=""),"",IFERROR(F2957*INDEX(Mitarbeiter!$F$6:$F$205,MATCH(B2957,Mitarbeiter!$A$6:$A$205,0)),0))</f>
        <v/>
      </c>
      <c r="H2957" s="8">
        <f>IF(B2957="","",IF(ISNA(MATCH(B2957,Mitarbeiter!$A$6:$A$205,0)),"Pers.-Nr. unbekannt",IF(A2957="","Datum fehlt",IF(AND(D2957&lt;&gt;Einstellungen!$C$4,D2957&lt;&gt;Einstellungen!$C$5),"Objekt fehlt",IF(YEAR(A2957)&lt;&gt;Einstellungen!$C$3,"anderes Jahr",IF(A2957&lt;INDEX(Mitarbeiter!$C$6:$C$205,MATCH(B2957,Mitarbeiter!$A$6:$A$205,0)),"vor Eintritt",IF(AND(INDEX(Mitarbeiter!$D$6:$D$205,MATCH(B2957,Mitarbeiter!$A$6:$A$205,0))&lt;&gt;"",A2957&gt;INDEX(Mitarbeiter!$D$6:$D$205,MATCH(B2957,Mitarbeiter!$A$6:$A$205,0))),"nach Austritt","ok")))))))</f>
        <v/>
      </c>
    </row>
    <row r="2958">
      <c r="A2958" s="26" t="n"/>
      <c r="B2958" s="24" t="n"/>
      <c r="C2958" s="40">
        <f>IF(B2958="","",IFERROR(INDEX(Mitarbeiter!$B$6:$B$205,MATCH(B2958,Mitarbeiter!$A$6:$A$205,0)),"?"))</f>
        <v/>
      </c>
      <c r="D2958" s="41" t="n"/>
      <c r="E2958" s="42" t="n"/>
      <c r="F2958" s="43" t="n"/>
      <c r="G2958" s="44">
        <f>IF(OR(B2958="",F2958=""),"",IFERROR(F2958*INDEX(Mitarbeiter!$F$6:$F$205,MATCH(B2958,Mitarbeiter!$A$6:$A$205,0)),0))</f>
        <v/>
      </c>
      <c r="H2958" s="8">
        <f>IF(B2958="","",IF(ISNA(MATCH(B2958,Mitarbeiter!$A$6:$A$205,0)),"Pers.-Nr. unbekannt",IF(A2958="","Datum fehlt",IF(AND(D2958&lt;&gt;Einstellungen!$C$4,D2958&lt;&gt;Einstellungen!$C$5),"Objekt fehlt",IF(YEAR(A2958)&lt;&gt;Einstellungen!$C$3,"anderes Jahr",IF(A2958&lt;INDEX(Mitarbeiter!$C$6:$C$205,MATCH(B2958,Mitarbeiter!$A$6:$A$205,0)),"vor Eintritt",IF(AND(INDEX(Mitarbeiter!$D$6:$D$205,MATCH(B2958,Mitarbeiter!$A$6:$A$205,0))&lt;&gt;"",A2958&gt;INDEX(Mitarbeiter!$D$6:$D$205,MATCH(B2958,Mitarbeiter!$A$6:$A$205,0))),"nach Austritt","ok")))))))</f>
        <v/>
      </c>
    </row>
    <row r="2959">
      <c r="A2959" s="26" t="n"/>
      <c r="B2959" s="24" t="n"/>
      <c r="C2959" s="40">
        <f>IF(B2959="","",IFERROR(INDEX(Mitarbeiter!$B$6:$B$205,MATCH(B2959,Mitarbeiter!$A$6:$A$205,0)),"?"))</f>
        <v/>
      </c>
      <c r="D2959" s="41" t="n"/>
      <c r="E2959" s="42" t="n"/>
      <c r="F2959" s="43" t="n"/>
      <c r="G2959" s="44">
        <f>IF(OR(B2959="",F2959=""),"",IFERROR(F2959*INDEX(Mitarbeiter!$F$6:$F$205,MATCH(B2959,Mitarbeiter!$A$6:$A$205,0)),0))</f>
        <v/>
      </c>
      <c r="H2959" s="8">
        <f>IF(B2959="","",IF(ISNA(MATCH(B2959,Mitarbeiter!$A$6:$A$205,0)),"Pers.-Nr. unbekannt",IF(A2959="","Datum fehlt",IF(AND(D2959&lt;&gt;Einstellungen!$C$4,D2959&lt;&gt;Einstellungen!$C$5),"Objekt fehlt",IF(YEAR(A2959)&lt;&gt;Einstellungen!$C$3,"anderes Jahr",IF(A2959&lt;INDEX(Mitarbeiter!$C$6:$C$205,MATCH(B2959,Mitarbeiter!$A$6:$A$205,0)),"vor Eintritt",IF(AND(INDEX(Mitarbeiter!$D$6:$D$205,MATCH(B2959,Mitarbeiter!$A$6:$A$205,0))&lt;&gt;"",A2959&gt;INDEX(Mitarbeiter!$D$6:$D$205,MATCH(B2959,Mitarbeiter!$A$6:$A$205,0))),"nach Austritt","ok")))))))</f>
        <v/>
      </c>
    </row>
    <row r="2960">
      <c r="A2960" s="26" t="n"/>
      <c r="B2960" s="24" t="n"/>
      <c r="C2960" s="40">
        <f>IF(B2960="","",IFERROR(INDEX(Mitarbeiter!$B$6:$B$205,MATCH(B2960,Mitarbeiter!$A$6:$A$205,0)),"?"))</f>
        <v/>
      </c>
      <c r="D2960" s="41" t="n"/>
      <c r="E2960" s="42" t="n"/>
      <c r="F2960" s="43" t="n"/>
      <c r="G2960" s="44">
        <f>IF(OR(B2960="",F2960=""),"",IFERROR(F2960*INDEX(Mitarbeiter!$F$6:$F$205,MATCH(B2960,Mitarbeiter!$A$6:$A$205,0)),0))</f>
        <v/>
      </c>
      <c r="H2960" s="8">
        <f>IF(B2960="","",IF(ISNA(MATCH(B2960,Mitarbeiter!$A$6:$A$205,0)),"Pers.-Nr. unbekannt",IF(A2960="","Datum fehlt",IF(AND(D2960&lt;&gt;Einstellungen!$C$4,D2960&lt;&gt;Einstellungen!$C$5),"Objekt fehlt",IF(YEAR(A2960)&lt;&gt;Einstellungen!$C$3,"anderes Jahr",IF(A2960&lt;INDEX(Mitarbeiter!$C$6:$C$205,MATCH(B2960,Mitarbeiter!$A$6:$A$205,0)),"vor Eintritt",IF(AND(INDEX(Mitarbeiter!$D$6:$D$205,MATCH(B2960,Mitarbeiter!$A$6:$A$205,0))&lt;&gt;"",A2960&gt;INDEX(Mitarbeiter!$D$6:$D$205,MATCH(B2960,Mitarbeiter!$A$6:$A$205,0))),"nach Austritt","ok")))))))</f>
        <v/>
      </c>
    </row>
    <row r="2961">
      <c r="A2961" s="26" t="n"/>
      <c r="B2961" s="24" t="n"/>
      <c r="C2961" s="40">
        <f>IF(B2961="","",IFERROR(INDEX(Mitarbeiter!$B$6:$B$205,MATCH(B2961,Mitarbeiter!$A$6:$A$205,0)),"?"))</f>
        <v/>
      </c>
      <c r="D2961" s="41" t="n"/>
      <c r="E2961" s="42" t="n"/>
      <c r="F2961" s="43" t="n"/>
      <c r="G2961" s="44">
        <f>IF(OR(B2961="",F2961=""),"",IFERROR(F2961*INDEX(Mitarbeiter!$F$6:$F$205,MATCH(B2961,Mitarbeiter!$A$6:$A$205,0)),0))</f>
        <v/>
      </c>
      <c r="H2961" s="8">
        <f>IF(B2961="","",IF(ISNA(MATCH(B2961,Mitarbeiter!$A$6:$A$205,0)),"Pers.-Nr. unbekannt",IF(A2961="","Datum fehlt",IF(AND(D2961&lt;&gt;Einstellungen!$C$4,D2961&lt;&gt;Einstellungen!$C$5),"Objekt fehlt",IF(YEAR(A2961)&lt;&gt;Einstellungen!$C$3,"anderes Jahr",IF(A2961&lt;INDEX(Mitarbeiter!$C$6:$C$205,MATCH(B2961,Mitarbeiter!$A$6:$A$205,0)),"vor Eintritt",IF(AND(INDEX(Mitarbeiter!$D$6:$D$205,MATCH(B2961,Mitarbeiter!$A$6:$A$205,0))&lt;&gt;"",A2961&gt;INDEX(Mitarbeiter!$D$6:$D$205,MATCH(B2961,Mitarbeiter!$A$6:$A$205,0))),"nach Austritt","ok")))))))</f>
        <v/>
      </c>
    </row>
    <row r="2962">
      <c r="A2962" s="26" t="n"/>
      <c r="B2962" s="24" t="n"/>
      <c r="C2962" s="40">
        <f>IF(B2962="","",IFERROR(INDEX(Mitarbeiter!$B$6:$B$205,MATCH(B2962,Mitarbeiter!$A$6:$A$205,0)),"?"))</f>
        <v/>
      </c>
      <c r="D2962" s="41" t="n"/>
      <c r="E2962" s="42" t="n"/>
      <c r="F2962" s="43" t="n"/>
      <c r="G2962" s="44">
        <f>IF(OR(B2962="",F2962=""),"",IFERROR(F2962*INDEX(Mitarbeiter!$F$6:$F$205,MATCH(B2962,Mitarbeiter!$A$6:$A$205,0)),0))</f>
        <v/>
      </c>
      <c r="H2962" s="8">
        <f>IF(B2962="","",IF(ISNA(MATCH(B2962,Mitarbeiter!$A$6:$A$205,0)),"Pers.-Nr. unbekannt",IF(A2962="","Datum fehlt",IF(AND(D2962&lt;&gt;Einstellungen!$C$4,D2962&lt;&gt;Einstellungen!$C$5),"Objekt fehlt",IF(YEAR(A2962)&lt;&gt;Einstellungen!$C$3,"anderes Jahr",IF(A2962&lt;INDEX(Mitarbeiter!$C$6:$C$205,MATCH(B2962,Mitarbeiter!$A$6:$A$205,0)),"vor Eintritt",IF(AND(INDEX(Mitarbeiter!$D$6:$D$205,MATCH(B2962,Mitarbeiter!$A$6:$A$205,0))&lt;&gt;"",A2962&gt;INDEX(Mitarbeiter!$D$6:$D$205,MATCH(B2962,Mitarbeiter!$A$6:$A$205,0))),"nach Austritt","ok")))))))</f>
        <v/>
      </c>
    </row>
    <row r="2963">
      <c r="A2963" s="26" t="n"/>
      <c r="B2963" s="24" t="n"/>
      <c r="C2963" s="40">
        <f>IF(B2963="","",IFERROR(INDEX(Mitarbeiter!$B$6:$B$205,MATCH(B2963,Mitarbeiter!$A$6:$A$205,0)),"?"))</f>
        <v/>
      </c>
      <c r="D2963" s="41" t="n"/>
      <c r="E2963" s="42" t="n"/>
      <c r="F2963" s="43" t="n"/>
      <c r="G2963" s="44">
        <f>IF(OR(B2963="",F2963=""),"",IFERROR(F2963*INDEX(Mitarbeiter!$F$6:$F$205,MATCH(B2963,Mitarbeiter!$A$6:$A$205,0)),0))</f>
        <v/>
      </c>
      <c r="H2963" s="8">
        <f>IF(B2963="","",IF(ISNA(MATCH(B2963,Mitarbeiter!$A$6:$A$205,0)),"Pers.-Nr. unbekannt",IF(A2963="","Datum fehlt",IF(AND(D2963&lt;&gt;Einstellungen!$C$4,D2963&lt;&gt;Einstellungen!$C$5),"Objekt fehlt",IF(YEAR(A2963)&lt;&gt;Einstellungen!$C$3,"anderes Jahr",IF(A2963&lt;INDEX(Mitarbeiter!$C$6:$C$205,MATCH(B2963,Mitarbeiter!$A$6:$A$205,0)),"vor Eintritt",IF(AND(INDEX(Mitarbeiter!$D$6:$D$205,MATCH(B2963,Mitarbeiter!$A$6:$A$205,0))&lt;&gt;"",A2963&gt;INDEX(Mitarbeiter!$D$6:$D$205,MATCH(B2963,Mitarbeiter!$A$6:$A$205,0))),"nach Austritt","ok")))))))</f>
        <v/>
      </c>
    </row>
    <row r="2964">
      <c r="A2964" s="26" t="n"/>
      <c r="B2964" s="24" t="n"/>
      <c r="C2964" s="40">
        <f>IF(B2964="","",IFERROR(INDEX(Mitarbeiter!$B$6:$B$205,MATCH(B2964,Mitarbeiter!$A$6:$A$205,0)),"?"))</f>
        <v/>
      </c>
      <c r="D2964" s="41" t="n"/>
      <c r="E2964" s="42" t="n"/>
      <c r="F2964" s="43" t="n"/>
      <c r="G2964" s="44">
        <f>IF(OR(B2964="",F2964=""),"",IFERROR(F2964*INDEX(Mitarbeiter!$F$6:$F$205,MATCH(B2964,Mitarbeiter!$A$6:$A$205,0)),0))</f>
        <v/>
      </c>
      <c r="H2964" s="8">
        <f>IF(B2964="","",IF(ISNA(MATCH(B2964,Mitarbeiter!$A$6:$A$205,0)),"Pers.-Nr. unbekannt",IF(A2964="","Datum fehlt",IF(AND(D2964&lt;&gt;Einstellungen!$C$4,D2964&lt;&gt;Einstellungen!$C$5),"Objekt fehlt",IF(YEAR(A2964)&lt;&gt;Einstellungen!$C$3,"anderes Jahr",IF(A2964&lt;INDEX(Mitarbeiter!$C$6:$C$205,MATCH(B2964,Mitarbeiter!$A$6:$A$205,0)),"vor Eintritt",IF(AND(INDEX(Mitarbeiter!$D$6:$D$205,MATCH(B2964,Mitarbeiter!$A$6:$A$205,0))&lt;&gt;"",A2964&gt;INDEX(Mitarbeiter!$D$6:$D$205,MATCH(B2964,Mitarbeiter!$A$6:$A$205,0))),"nach Austritt","ok")))))))</f>
        <v/>
      </c>
    </row>
    <row r="2965">
      <c r="A2965" s="26" t="n"/>
      <c r="B2965" s="24" t="n"/>
      <c r="C2965" s="40">
        <f>IF(B2965="","",IFERROR(INDEX(Mitarbeiter!$B$6:$B$205,MATCH(B2965,Mitarbeiter!$A$6:$A$205,0)),"?"))</f>
        <v/>
      </c>
      <c r="D2965" s="41" t="n"/>
      <c r="E2965" s="42" t="n"/>
      <c r="F2965" s="43" t="n"/>
      <c r="G2965" s="44">
        <f>IF(OR(B2965="",F2965=""),"",IFERROR(F2965*INDEX(Mitarbeiter!$F$6:$F$205,MATCH(B2965,Mitarbeiter!$A$6:$A$205,0)),0))</f>
        <v/>
      </c>
      <c r="H2965" s="8">
        <f>IF(B2965="","",IF(ISNA(MATCH(B2965,Mitarbeiter!$A$6:$A$205,0)),"Pers.-Nr. unbekannt",IF(A2965="","Datum fehlt",IF(AND(D2965&lt;&gt;Einstellungen!$C$4,D2965&lt;&gt;Einstellungen!$C$5),"Objekt fehlt",IF(YEAR(A2965)&lt;&gt;Einstellungen!$C$3,"anderes Jahr",IF(A2965&lt;INDEX(Mitarbeiter!$C$6:$C$205,MATCH(B2965,Mitarbeiter!$A$6:$A$205,0)),"vor Eintritt",IF(AND(INDEX(Mitarbeiter!$D$6:$D$205,MATCH(B2965,Mitarbeiter!$A$6:$A$205,0))&lt;&gt;"",A2965&gt;INDEX(Mitarbeiter!$D$6:$D$205,MATCH(B2965,Mitarbeiter!$A$6:$A$205,0))),"nach Austritt","ok")))))))</f>
        <v/>
      </c>
    </row>
    <row r="2966">
      <c r="A2966" s="26" t="n"/>
      <c r="B2966" s="24" t="n"/>
      <c r="C2966" s="40">
        <f>IF(B2966="","",IFERROR(INDEX(Mitarbeiter!$B$6:$B$205,MATCH(B2966,Mitarbeiter!$A$6:$A$205,0)),"?"))</f>
        <v/>
      </c>
      <c r="D2966" s="41" t="n"/>
      <c r="E2966" s="42" t="n"/>
      <c r="F2966" s="43" t="n"/>
      <c r="G2966" s="44">
        <f>IF(OR(B2966="",F2966=""),"",IFERROR(F2966*INDEX(Mitarbeiter!$F$6:$F$205,MATCH(B2966,Mitarbeiter!$A$6:$A$205,0)),0))</f>
        <v/>
      </c>
      <c r="H2966" s="8">
        <f>IF(B2966="","",IF(ISNA(MATCH(B2966,Mitarbeiter!$A$6:$A$205,0)),"Pers.-Nr. unbekannt",IF(A2966="","Datum fehlt",IF(AND(D2966&lt;&gt;Einstellungen!$C$4,D2966&lt;&gt;Einstellungen!$C$5),"Objekt fehlt",IF(YEAR(A2966)&lt;&gt;Einstellungen!$C$3,"anderes Jahr",IF(A2966&lt;INDEX(Mitarbeiter!$C$6:$C$205,MATCH(B2966,Mitarbeiter!$A$6:$A$205,0)),"vor Eintritt",IF(AND(INDEX(Mitarbeiter!$D$6:$D$205,MATCH(B2966,Mitarbeiter!$A$6:$A$205,0))&lt;&gt;"",A2966&gt;INDEX(Mitarbeiter!$D$6:$D$205,MATCH(B2966,Mitarbeiter!$A$6:$A$205,0))),"nach Austritt","ok")))))))</f>
        <v/>
      </c>
    </row>
    <row r="2967">
      <c r="A2967" s="26" t="n"/>
      <c r="B2967" s="24" t="n"/>
      <c r="C2967" s="40">
        <f>IF(B2967="","",IFERROR(INDEX(Mitarbeiter!$B$6:$B$205,MATCH(B2967,Mitarbeiter!$A$6:$A$205,0)),"?"))</f>
        <v/>
      </c>
      <c r="D2967" s="41" t="n"/>
      <c r="E2967" s="42" t="n"/>
      <c r="F2967" s="43" t="n"/>
      <c r="G2967" s="44">
        <f>IF(OR(B2967="",F2967=""),"",IFERROR(F2967*INDEX(Mitarbeiter!$F$6:$F$205,MATCH(B2967,Mitarbeiter!$A$6:$A$205,0)),0))</f>
        <v/>
      </c>
      <c r="H2967" s="8">
        <f>IF(B2967="","",IF(ISNA(MATCH(B2967,Mitarbeiter!$A$6:$A$205,0)),"Pers.-Nr. unbekannt",IF(A2967="","Datum fehlt",IF(AND(D2967&lt;&gt;Einstellungen!$C$4,D2967&lt;&gt;Einstellungen!$C$5),"Objekt fehlt",IF(YEAR(A2967)&lt;&gt;Einstellungen!$C$3,"anderes Jahr",IF(A2967&lt;INDEX(Mitarbeiter!$C$6:$C$205,MATCH(B2967,Mitarbeiter!$A$6:$A$205,0)),"vor Eintritt",IF(AND(INDEX(Mitarbeiter!$D$6:$D$205,MATCH(B2967,Mitarbeiter!$A$6:$A$205,0))&lt;&gt;"",A2967&gt;INDEX(Mitarbeiter!$D$6:$D$205,MATCH(B2967,Mitarbeiter!$A$6:$A$205,0))),"nach Austritt","ok")))))))</f>
        <v/>
      </c>
    </row>
    <row r="2968">
      <c r="A2968" s="26" t="n"/>
      <c r="B2968" s="24" t="n"/>
      <c r="C2968" s="40">
        <f>IF(B2968="","",IFERROR(INDEX(Mitarbeiter!$B$6:$B$205,MATCH(B2968,Mitarbeiter!$A$6:$A$205,0)),"?"))</f>
        <v/>
      </c>
      <c r="D2968" s="41" t="n"/>
      <c r="E2968" s="42" t="n"/>
      <c r="F2968" s="43" t="n"/>
      <c r="G2968" s="44">
        <f>IF(OR(B2968="",F2968=""),"",IFERROR(F2968*INDEX(Mitarbeiter!$F$6:$F$205,MATCH(B2968,Mitarbeiter!$A$6:$A$205,0)),0))</f>
        <v/>
      </c>
      <c r="H2968" s="8">
        <f>IF(B2968="","",IF(ISNA(MATCH(B2968,Mitarbeiter!$A$6:$A$205,0)),"Pers.-Nr. unbekannt",IF(A2968="","Datum fehlt",IF(AND(D2968&lt;&gt;Einstellungen!$C$4,D2968&lt;&gt;Einstellungen!$C$5),"Objekt fehlt",IF(YEAR(A2968)&lt;&gt;Einstellungen!$C$3,"anderes Jahr",IF(A2968&lt;INDEX(Mitarbeiter!$C$6:$C$205,MATCH(B2968,Mitarbeiter!$A$6:$A$205,0)),"vor Eintritt",IF(AND(INDEX(Mitarbeiter!$D$6:$D$205,MATCH(B2968,Mitarbeiter!$A$6:$A$205,0))&lt;&gt;"",A2968&gt;INDEX(Mitarbeiter!$D$6:$D$205,MATCH(B2968,Mitarbeiter!$A$6:$A$205,0))),"nach Austritt","ok")))))))</f>
        <v/>
      </c>
    </row>
    <row r="2969">
      <c r="A2969" s="26" t="n"/>
      <c r="B2969" s="24" t="n"/>
      <c r="C2969" s="40">
        <f>IF(B2969="","",IFERROR(INDEX(Mitarbeiter!$B$6:$B$205,MATCH(B2969,Mitarbeiter!$A$6:$A$205,0)),"?"))</f>
        <v/>
      </c>
      <c r="D2969" s="41" t="n"/>
      <c r="E2969" s="42" t="n"/>
      <c r="F2969" s="43" t="n"/>
      <c r="G2969" s="44">
        <f>IF(OR(B2969="",F2969=""),"",IFERROR(F2969*INDEX(Mitarbeiter!$F$6:$F$205,MATCH(B2969,Mitarbeiter!$A$6:$A$205,0)),0))</f>
        <v/>
      </c>
      <c r="H2969" s="8">
        <f>IF(B2969="","",IF(ISNA(MATCH(B2969,Mitarbeiter!$A$6:$A$205,0)),"Pers.-Nr. unbekannt",IF(A2969="","Datum fehlt",IF(AND(D2969&lt;&gt;Einstellungen!$C$4,D2969&lt;&gt;Einstellungen!$C$5),"Objekt fehlt",IF(YEAR(A2969)&lt;&gt;Einstellungen!$C$3,"anderes Jahr",IF(A2969&lt;INDEX(Mitarbeiter!$C$6:$C$205,MATCH(B2969,Mitarbeiter!$A$6:$A$205,0)),"vor Eintritt",IF(AND(INDEX(Mitarbeiter!$D$6:$D$205,MATCH(B2969,Mitarbeiter!$A$6:$A$205,0))&lt;&gt;"",A2969&gt;INDEX(Mitarbeiter!$D$6:$D$205,MATCH(B2969,Mitarbeiter!$A$6:$A$205,0))),"nach Austritt","ok")))))))</f>
        <v/>
      </c>
    </row>
    <row r="2970">
      <c r="A2970" s="26" t="n"/>
      <c r="B2970" s="24" t="n"/>
      <c r="C2970" s="40">
        <f>IF(B2970="","",IFERROR(INDEX(Mitarbeiter!$B$6:$B$205,MATCH(B2970,Mitarbeiter!$A$6:$A$205,0)),"?"))</f>
        <v/>
      </c>
      <c r="D2970" s="41" t="n"/>
      <c r="E2970" s="42" t="n"/>
      <c r="F2970" s="43" t="n"/>
      <c r="G2970" s="44">
        <f>IF(OR(B2970="",F2970=""),"",IFERROR(F2970*INDEX(Mitarbeiter!$F$6:$F$205,MATCH(B2970,Mitarbeiter!$A$6:$A$205,0)),0))</f>
        <v/>
      </c>
      <c r="H2970" s="8">
        <f>IF(B2970="","",IF(ISNA(MATCH(B2970,Mitarbeiter!$A$6:$A$205,0)),"Pers.-Nr. unbekannt",IF(A2970="","Datum fehlt",IF(AND(D2970&lt;&gt;Einstellungen!$C$4,D2970&lt;&gt;Einstellungen!$C$5),"Objekt fehlt",IF(YEAR(A2970)&lt;&gt;Einstellungen!$C$3,"anderes Jahr",IF(A2970&lt;INDEX(Mitarbeiter!$C$6:$C$205,MATCH(B2970,Mitarbeiter!$A$6:$A$205,0)),"vor Eintritt",IF(AND(INDEX(Mitarbeiter!$D$6:$D$205,MATCH(B2970,Mitarbeiter!$A$6:$A$205,0))&lt;&gt;"",A2970&gt;INDEX(Mitarbeiter!$D$6:$D$205,MATCH(B2970,Mitarbeiter!$A$6:$A$205,0))),"nach Austritt","ok")))))))</f>
        <v/>
      </c>
    </row>
    <row r="2971">
      <c r="A2971" s="26" t="n"/>
      <c r="B2971" s="24" t="n"/>
      <c r="C2971" s="40">
        <f>IF(B2971="","",IFERROR(INDEX(Mitarbeiter!$B$6:$B$205,MATCH(B2971,Mitarbeiter!$A$6:$A$205,0)),"?"))</f>
        <v/>
      </c>
      <c r="D2971" s="41" t="n"/>
      <c r="E2971" s="42" t="n"/>
      <c r="F2971" s="43" t="n"/>
      <c r="G2971" s="44">
        <f>IF(OR(B2971="",F2971=""),"",IFERROR(F2971*INDEX(Mitarbeiter!$F$6:$F$205,MATCH(B2971,Mitarbeiter!$A$6:$A$205,0)),0))</f>
        <v/>
      </c>
      <c r="H2971" s="8">
        <f>IF(B2971="","",IF(ISNA(MATCH(B2971,Mitarbeiter!$A$6:$A$205,0)),"Pers.-Nr. unbekannt",IF(A2971="","Datum fehlt",IF(AND(D2971&lt;&gt;Einstellungen!$C$4,D2971&lt;&gt;Einstellungen!$C$5),"Objekt fehlt",IF(YEAR(A2971)&lt;&gt;Einstellungen!$C$3,"anderes Jahr",IF(A2971&lt;INDEX(Mitarbeiter!$C$6:$C$205,MATCH(B2971,Mitarbeiter!$A$6:$A$205,0)),"vor Eintritt",IF(AND(INDEX(Mitarbeiter!$D$6:$D$205,MATCH(B2971,Mitarbeiter!$A$6:$A$205,0))&lt;&gt;"",A2971&gt;INDEX(Mitarbeiter!$D$6:$D$205,MATCH(B2971,Mitarbeiter!$A$6:$A$205,0))),"nach Austritt","ok")))))))</f>
        <v/>
      </c>
    </row>
    <row r="2972">
      <c r="A2972" s="26" t="n"/>
      <c r="B2972" s="24" t="n"/>
      <c r="C2972" s="40">
        <f>IF(B2972="","",IFERROR(INDEX(Mitarbeiter!$B$6:$B$205,MATCH(B2972,Mitarbeiter!$A$6:$A$205,0)),"?"))</f>
        <v/>
      </c>
      <c r="D2972" s="41" t="n"/>
      <c r="E2972" s="42" t="n"/>
      <c r="F2972" s="43" t="n"/>
      <c r="G2972" s="44">
        <f>IF(OR(B2972="",F2972=""),"",IFERROR(F2972*INDEX(Mitarbeiter!$F$6:$F$205,MATCH(B2972,Mitarbeiter!$A$6:$A$205,0)),0))</f>
        <v/>
      </c>
      <c r="H2972" s="8">
        <f>IF(B2972="","",IF(ISNA(MATCH(B2972,Mitarbeiter!$A$6:$A$205,0)),"Pers.-Nr. unbekannt",IF(A2972="","Datum fehlt",IF(AND(D2972&lt;&gt;Einstellungen!$C$4,D2972&lt;&gt;Einstellungen!$C$5),"Objekt fehlt",IF(YEAR(A2972)&lt;&gt;Einstellungen!$C$3,"anderes Jahr",IF(A2972&lt;INDEX(Mitarbeiter!$C$6:$C$205,MATCH(B2972,Mitarbeiter!$A$6:$A$205,0)),"vor Eintritt",IF(AND(INDEX(Mitarbeiter!$D$6:$D$205,MATCH(B2972,Mitarbeiter!$A$6:$A$205,0))&lt;&gt;"",A2972&gt;INDEX(Mitarbeiter!$D$6:$D$205,MATCH(B2972,Mitarbeiter!$A$6:$A$205,0))),"nach Austritt","ok")))))))</f>
        <v/>
      </c>
    </row>
    <row r="2973">
      <c r="A2973" s="26" t="n"/>
      <c r="B2973" s="24" t="n"/>
      <c r="C2973" s="40">
        <f>IF(B2973="","",IFERROR(INDEX(Mitarbeiter!$B$6:$B$205,MATCH(B2973,Mitarbeiter!$A$6:$A$205,0)),"?"))</f>
        <v/>
      </c>
      <c r="D2973" s="41" t="n"/>
      <c r="E2973" s="42" t="n"/>
      <c r="F2973" s="43" t="n"/>
      <c r="G2973" s="44">
        <f>IF(OR(B2973="",F2973=""),"",IFERROR(F2973*INDEX(Mitarbeiter!$F$6:$F$205,MATCH(B2973,Mitarbeiter!$A$6:$A$205,0)),0))</f>
        <v/>
      </c>
      <c r="H2973" s="8">
        <f>IF(B2973="","",IF(ISNA(MATCH(B2973,Mitarbeiter!$A$6:$A$205,0)),"Pers.-Nr. unbekannt",IF(A2973="","Datum fehlt",IF(AND(D2973&lt;&gt;Einstellungen!$C$4,D2973&lt;&gt;Einstellungen!$C$5),"Objekt fehlt",IF(YEAR(A2973)&lt;&gt;Einstellungen!$C$3,"anderes Jahr",IF(A2973&lt;INDEX(Mitarbeiter!$C$6:$C$205,MATCH(B2973,Mitarbeiter!$A$6:$A$205,0)),"vor Eintritt",IF(AND(INDEX(Mitarbeiter!$D$6:$D$205,MATCH(B2973,Mitarbeiter!$A$6:$A$205,0))&lt;&gt;"",A2973&gt;INDEX(Mitarbeiter!$D$6:$D$205,MATCH(B2973,Mitarbeiter!$A$6:$A$205,0))),"nach Austritt","ok")))))))</f>
        <v/>
      </c>
    </row>
    <row r="2974">
      <c r="A2974" s="26" t="n"/>
      <c r="B2974" s="24" t="n"/>
      <c r="C2974" s="40">
        <f>IF(B2974="","",IFERROR(INDEX(Mitarbeiter!$B$6:$B$205,MATCH(B2974,Mitarbeiter!$A$6:$A$205,0)),"?"))</f>
        <v/>
      </c>
      <c r="D2974" s="41" t="n"/>
      <c r="E2974" s="42" t="n"/>
      <c r="F2974" s="43" t="n"/>
      <c r="G2974" s="44">
        <f>IF(OR(B2974="",F2974=""),"",IFERROR(F2974*INDEX(Mitarbeiter!$F$6:$F$205,MATCH(B2974,Mitarbeiter!$A$6:$A$205,0)),0))</f>
        <v/>
      </c>
      <c r="H2974" s="8">
        <f>IF(B2974="","",IF(ISNA(MATCH(B2974,Mitarbeiter!$A$6:$A$205,0)),"Pers.-Nr. unbekannt",IF(A2974="","Datum fehlt",IF(AND(D2974&lt;&gt;Einstellungen!$C$4,D2974&lt;&gt;Einstellungen!$C$5),"Objekt fehlt",IF(YEAR(A2974)&lt;&gt;Einstellungen!$C$3,"anderes Jahr",IF(A2974&lt;INDEX(Mitarbeiter!$C$6:$C$205,MATCH(B2974,Mitarbeiter!$A$6:$A$205,0)),"vor Eintritt",IF(AND(INDEX(Mitarbeiter!$D$6:$D$205,MATCH(B2974,Mitarbeiter!$A$6:$A$205,0))&lt;&gt;"",A2974&gt;INDEX(Mitarbeiter!$D$6:$D$205,MATCH(B2974,Mitarbeiter!$A$6:$A$205,0))),"nach Austritt","ok")))))))</f>
        <v/>
      </c>
    </row>
    <row r="2975">
      <c r="A2975" s="26" t="n"/>
      <c r="B2975" s="24" t="n"/>
      <c r="C2975" s="40">
        <f>IF(B2975="","",IFERROR(INDEX(Mitarbeiter!$B$6:$B$205,MATCH(B2975,Mitarbeiter!$A$6:$A$205,0)),"?"))</f>
        <v/>
      </c>
      <c r="D2975" s="41" t="n"/>
      <c r="E2975" s="42" t="n"/>
      <c r="F2975" s="43" t="n"/>
      <c r="G2975" s="44">
        <f>IF(OR(B2975="",F2975=""),"",IFERROR(F2975*INDEX(Mitarbeiter!$F$6:$F$205,MATCH(B2975,Mitarbeiter!$A$6:$A$205,0)),0))</f>
        <v/>
      </c>
      <c r="H2975" s="8">
        <f>IF(B2975="","",IF(ISNA(MATCH(B2975,Mitarbeiter!$A$6:$A$205,0)),"Pers.-Nr. unbekannt",IF(A2975="","Datum fehlt",IF(AND(D2975&lt;&gt;Einstellungen!$C$4,D2975&lt;&gt;Einstellungen!$C$5),"Objekt fehlt",IF(YEAR(A2975)&lt;&gt;Einstellungen!$C$3,"anderes Jahr",IF(A2975&lt;INDEX(Mitarbeiter!$C$6:$C$205,MATCH(B2975,Mitarbeiter!$A$6:$A$205,0)),"vor Eintritt",IF(AND(INDEX(Mitarbeiter!$D$6:$D$205,MATCH(B2975,Mitarbeiter!$A$6:$A$205,0))&lt;&gt;"",A2975&gt;INDEX(Mitarbeiter!$D$6:$D$205,MATCH(B2975,Mitarbeiter!$A$6:$A$205,0))),"nach Austritt","ok")))))))</f>
        <v/>
      </c>
    </row>
    <row r="2976">
      <c r="A2976" s="26" t="n"/>
      <c r="B2976" s="24" t="n"/>
      <c r="C2976" s="40">
        <f>IF(B2976="","",IFERROR(INDEX(Mitarbeiter!$B$6:$B$205,MATCH(B2976,Mitarbeiter!$A$6:$A$205,0)),"?"))</f>
        <v/>
      </c>
      <c r="D2976" s="41" t="n"/>
      <c r="E2976" s="42" t="n"/>
      <c r="F2976" s="43" t="n"/>
      <c r="G2976" s="44">
        <f>IF(OR(B2976="",F2976=""),"",IFERROR(F2976*INDEX(Mitarbeiter!$F$6:$F$205,MATCH(B2976,Mitarbeiter!$A$6:$A$205,0)),0))</f>
        <v/>
      </c>
      <c r="H2976" s="8">
        <f>IF(B2976="","",IF(ISNA(MATCH(B2976,Mitarbeiter!$A$6:$A$205,0)),"Pers.-Nr. unbekannt",IF(A2976="","Datum fehlt",IF(AND(D2976&lt;&gt;Einstellungen!$C$4,D2976&lt;&gt;Einstellungen!$C$5),"Objekt fehlt",IF(YEAR(A2976)&lt;&gt;Einstellungen!$C$3,"anderes Jahr",IF(A2976&lt;INDEX(Mitarbeiter!$C$6:$C$205,MATCH(B2976,Mitarbeiter!$A$6:$A$205,0)),"vor Eintritt",IF(AND(INDEX(Mitarbeiter!$D$6:$D$205,MATCH(B2976,Mitarbeiter!$A$6:$A$205,0))&lt;&gt;"",A2976&gt;INDEX(Mitarbeiter!$D$6:$D$205,MATCH(B2976,Mitarbeiter!$A$6:$A$205,0))),"nach Austritt","ok")))))))</f>
        <v/>
      </c>
    </row>
    <row r="2977">
      <c r="A2977" s="26" t="n"/>
      <c r="B2977" s="24" t="n"/>
      <c r="C2977" s="40">
        <f>IF(B2977="","",IFERROR(INDEX(Mitarbeiter!$B$6:$B$205,MATCH(B2977,Mitarbeiter!$A$6:$A$205,0)),"?"))</f>
        <v/>
      </c>
      <c r="D2977" s="41" t="n"/>
      <c r="E2977" s="42" t="n"/>
      <c r="F2977" s="43" t="n"/>
      <c r="G2977" s="44">
        <f>IF(OR(B2977="",F2977=""),"",IFERROR(F2977*INDEX(Mitarbeiter!$F$6:$F$205,MATCH(B2977,Mitarbeiter!$A$6:$A$205,0)),0))</f>
        <v/>
      </c>
      <c r="H2977" s="8">
        <f>IF(B2977="","",IF(ISNA(MATCH(B2977,Mitarbeiter!$A$6:$A$205,0)),"Pers.-Nr. unbekannt",IF(A2977="","Datum fehlt",IF(AND(D2977&lt;&gt;Einstellungen!$C$4,D2977&lt;&gt;Einstellungen!$C$5),"Objekt fehlt",IF(YEAR(A2977)&lt;&gt;Einstellungen!$C$3,"anderes Jahr",IF(A2977&lt;INDEX(Mitarbeiter!$C$6:$C$205,MATCH(B2977,Mitarbeiter!$A$6:$A$205,0)),"vor Eintritt",IF(AND(INDEX(Mitarbeiter!$D$6:$D$205,MATCH(B2977,Mitarbeiter!$A$6:$A$205,0))&lt;&gt;"",A2977&gt;INDEX(Mitarbeiter!$D$6:$D$205,MATCH(B2977,Mitarbeiter!$A$6:$A$205,0))),"nach Austritt","ok")))))))</f>
        <v/>
      </c>
    </row>
    <row r="2978">
      <c r="A2978" s="26" t="n"/>
      <c r="B2978" s="24" t="n"/>
      <c r="C2978" s="40">
        <f>IF(B2978="","",IFERROR(INDEX(Mitarbeiter!$B$6:$B$205,MATCH(B2978,Mitarbeiter!$A$6:$A$205,0)),"?"))</f>
        <v/>
      </c>
      <c r="D2978" s="41" t="n"/>
      <c r="E2978" s="42" t="n"/>
      <c r="F2978" s="43" t="n"/>
      <c r="G2978" s="44">
        <f>IF(OR(B2978="",F2978=""),"",IFERROR(F2978*INDEX(Mitarbeiter!$F$6:$F$205,MATCH(B2978,Mitarbeiter!$A$6:$A$205,0)),0))</f>
        <v/>
      </c>
      <c r="H2978" s="8">
        <f>IF(B2978="","",IF(ISNA(MATCH(B2978,Mitarbeiter!$A$6:$A$205,0)),"Pers.-Nr. unbekannt",IF(A2978="","Datum fehlt",IF(AND(D2978&lt;&gt;Einstellungen!$C$4,D2978&lt;&gt;Einstellungen!$C$5),"Objekt fehlt",IF(YEAR(A2978)&lt;&gt;Einstellungen!$C$3,"anderes Jahr",IF(A2978&lt;INDEX(Mitarbeiter!$C$6:$C$205,MATCH(B2978,Mitarbeiter!$A$6:$A$205,0)),"vor Eintritt",IF(AND(INDEX(Mitarbeiter!$D$6:$D$205,MATCH(B2978,Mitarbeiter!$A$6:$A$205,0))&lt;&gt;"",A2978&gt;INDEX(Mitarbeiter!$D$6:$D$205,MATCH(B2978,Mitarbeiter!$A$6:$A$205,0))),"nach Austritt","ok")))))))</f>
        <v/>
      </c>
    </row>
    <row r="2979">
      <c r="A2979" s="26" t="n"/>
      <c r="B2979" s="24" t="n"/>
      <c r="C2979" s="40">
        <f>IF(B2979="","",IFERROR(INDEX(Mitarbeiter!$B$6:$B$205,MATCH(B2979,Mitarbeiter!$A$6:$A$205,0)),"?"))</f>
        <v/>
      </c>
      <c r="D2979" s="41" t="n"/>
      <c r="E2979" s="42" t="n"/>
      <c r="F2979" s="43" t="n"/>
      <c r="G2979" s="44">
        <f>IF(OR(B2979="",F2979=""),"",IFERROR(F2979*INDEX(Mitarbeiter!$F$6:$F$205,MATCH(B2979,Mitarbeiter!$A$6:$A$205,0)),0))</f>
        <v/>
      </c>
      <c r="H2979" s="8">
        <f>IF(B2979="","",IF(ISNA(MATCH(B2979,Mitarbeiter!$A$6:$A$205,0)),"Pers.-Nr. unbekannt",IF(A2979="","Datum fehlt",IF(AND(D2979&lt;&gt;Einstellungen!$C$4,D2979&lt;&gt;Einstellungen!$C$5),"Objekt fehlt",IF(YEAR(A2979)&lt;&gt;Einstellungen!$C$3,"anderes Jahr",IF(A2979&lt;INDEX(Mitarbeiter!$C$6:$C$205,MATCH(B2979,Mitarbeiter!$A$6:$A$205,0)),"vor Eintritt",IF(AND(INDEX(Mitarbeiter!$D$6:$D$205,MATCH(B2979,Mitarbeiter!$A$6:$A$205,0))&lt;&gt;"",A2979&gt;INDEX(Mitarbeiter!$D$6:$D$205,MATCH(B2979,Mitarbeiter!$A$6:$A$205,0))),"nach Austritt","ok")))))))</f>
        <v/>
      </c>
    </row>
    <row r="2980">
      <c r="A2980" s="26" t="n"/>
      <c r="B2980" s="24" t="n"/>
      <c r="C2980" s="40">
        <f>IF(B2980="","",IFERROR(INDEX(Mitarbeiter!$B$6:$B$205,MATCH(B2980,Mitarbeiter!$A$6:$A$205,0)),"?"))</f>
        <v/>
      </c>
      <c r="D2980" s="41" t="n"/>
      <c r="E2980" s="42" t="n"/>
      <c r="F2980" s="43" t="n"/>
      <c r="G2980" s="44">
        <f>IF(OR(B2980="",F2980=""),"",IFERROR(F2980*INDEX(Mitarbeiter!$F$6:$F$205,MATCH(B2980,Mitarbeiter!$A$6:$A$205,0)),0))</f>
        <v/>
      </c>
      <c r="H2980" s="8">
        <f>IF(B2980="","",IF(ISNA(MATCH(B2980,Mitarbeiter!$A$6:$A$205,0)),"Pers.-Nr. unbekannt",IF(A2980="","Datum fehlt",IF(AND(D2980&lt;&gt;Einstellungen!$C$4,D2980&lt;&gt;Einstellungen!$C$5),"Objekt fehlt",IF(YEAR(A2980)&lt;&gt;Einstellungen!$C$3,"anderes Jahr",IF(A2980&lt;INDEX(Mitarbeiter!$C$6:$C$205,MATCH(B2980,Mitarbeiter!$A$6:$A$205,0)),"vor Eintritt",IF(AND(INDEX(Mitarbeiter!$D$6:$D$205,MATCH(B2980,Mitarbeiter!$A$6:$A$205,0))&lt;&gt;"",A2980&gt;INDEX(Mitarbeiter!$D$6:$D$205,MATCH(B2980,Mitarbeiter!$A$6:$A$205,0))),"nach Austritt","ok")))))))</f>
        <v/>
      </c>
    </row>
    <row r="2981">
      <c r="A2981" s="26" t="n"/>
      <c r="B2981" s="24" t="n"/>
      <c r="C2981" s="40">
        <f>IF(B2981="","",IFERROR(INDEX(Mitarbeiter!$B$6:$B$205,MATCH(B2981,Mitarbeiter!$A$6:$A$205,0)),"?"))</f>
        <v/>
      </c>
      <c r="D2981" s="41" t="n"/>
      <c r="E2981" s="42" t="n"/>
      <c r="F2981" s="43" t="n"/>
      <c r="G2981" s="44">
        <f>IF(OR(B2981="",F2981=""),"",IFERROR(F2981*INDEX(Mitarbeiter!$F$6:$F$205,MATCH(B2981,Mitarbeiter!$A$6:$A$205,0)),0))</f>
        <v/>
      </c>
      <c r="H2981" s="8">
        <f>IF(B2981="","",IF(ISNA(MATCH(B2981,Mitarbeiter!$A$6:$A$205,0)),"Pers.-Nr. unbekannt",IF(A2981="","Datum fehlt",IF(AND(D2981&lt;&gt;Einstellungen!$C$4,D2981&lt;&gt;Einstellungen!$C$5),"Objekt fehlt",IF(YEAR(A2981)&lt;&gt;Einstellungen!$C$3,"anderes Jahr",IF(A2981&lt;INDEX(Mitarbeiter!$C$6:$C$205,MATCH(B2981,Mitarbeiter!$A$6:$A$205,0)),"vor Eintritt",IF(AND(INDEX(Mitarbeiter!$D$6:$D$205,MATCH(B2981,Mitarbeiter!$A$6:$A$205,0))&lt;&gt;"",A2981&gt;INDEX(Mitarbeiter!$D$6:$D$205,MATCH(B2981,Mitarbeiter!$A$6:$A$205,0))),"nach Austritt","ok")))))))</f>
        <v/>
      </c>
    </row>
    <row r="2982">
      <c r="A2982" s="26" t="n"/>
      <c r="B2982" s="24" t="n"/>
      <c r="C2982" s="40">
        <f>IF(B2982="","",IFERROR(INDEX(Mitarbeiter!$B$6:$B$205,MATCH(B2982,Mitarbeiter!$A$6:$A$205,0)),"?"))</f>
        <v/>
      </c>
      <c r="D2982" s="41" t="n"/>
      <c r="E2982" s="42" t="n"/>
      <c r="F2982" s="43" t="n"/>
      <c r="G2982" s="44">
        <f>IF(OR(B2982="",F2982=""),"",IFERROR(F2982*INDEX(Mitarbeiter!$F$6:$F$205,MATCH(B2982,Mitarbeiter!$A$6:$A$205,0)),0))</f>
        <v/>
      </c>
      <c r="H2982" s="8">
        <f>IF(B2982="","",IF(ISNA(MATCH(B2982,Mitarbeiter!$A$6:$A$205,0)),"Pers.-Nr. unbekannt",IF(A2982="","Datum fehlt",IF(AND(D2982&lt;&gt;Einstellungen!$C$4,D2982&lt;&gt;Einstellungen!$C$5),"Objekt fehlt",IF(YEAR(A2982)&lt;&gt;Einstellungen!$C$3,"anderes Jahr",IF(A2982&lt;INDEX(Mitarbeiter!$C$6:$C$205,MATCH(B2982,Mitarbeiter!$A$6:$A$205,0)),"vor Eintritt",IF(AND(INDEX(Mitarbeiter!$D$6:$D$205,MATCH(B2982,Mitarbeiter!$A$6:$A$205,0))&lt;&gt;"",A2982&gt;INDEX(Mitarbeiter!$D$6:$D$205,MATCH(B2982,Mitarbeiter!$A$6:$A$205,0))),"nach Austritt","ok")))))))</f>
        <v/>
      </c>
    </row>
    <row r="2983">
      <c r="A2983" s="26" t="n"/>
      <c r="B2983" s="24" t="n"/>
      <c r="C2983" s="40">
        <f>IF(B2983="","",IFERROR(INDEX(Mitarbeiter!$B$6:$B$205,MATCH(B2983,Mitarbeiter!$A$6:$A$205,0)),"?"))</f>
        <v/>
      </c>
      <c r="D2983" s="41" t="n"/>
      <c r="E2983" s="42" t="n"/>
      <c r="F2983" s="43" t="n"/>
      <c r="G2983" s="44">
        <f>IF(OR(B2983="",F2983=""),"",IFERROR(F2983*INDEX(Mitarbeiter!$F$6:$F$205,MATCH(B2983,Mitarbeiter!$A$6:$A$205,0)),0))</f>
        <v/>
      </c>
      <c r="H2983" s="8">
        <f>IF(B2983="","",IF(ISNA(MATCH(B2983,Mitarbeiter!$A$6:$A$205,0)),"Pers.-Nr. unbekannt",IF(A2983="","Datum fehlt",IF(AND(D2983&lt;&gt;Einstellungen!$C$4,D2983&lt;&gt;Einstellungen!$C$5),"Objekt fehlt",IF(YEAR(A2983)&lt;&gt;Einstellungen!$C$3,"anderes Jahr",IF(A2983&lt;INDEX(Mitarbeiter!$C$6:$C$205,MATCH(B2983,Mitarbeiter!$A$6:$A$205,0)),"vor Eintritt",IF(AND(INDEX(Mitarbeiter!$D$6:$D$205,MATCH(B2983,Mitarbeiter!$A$6:$A$205,0))&lt;&gt;"",A2983&gt;INDEX(Mitarbeiter!$D$6:$D$205,MATCH(B2983,Mitarbeiter!$A$6:$A$205,0))),"nach Austritt","ok")))))))</f>
        <v/>
      </c>
    </row>
    <row r="2984">
      <c r="A2984" s="26" t="n"/>
      <c r="B2984" s="24" t="n"/>
      <c r="C2984" s="40">
        <f>IF(B2984="","",IFERROR(INDEX(Mitarbeiter!$B$6:$B$205,MATCH(B2984,Mitarbeiter!$A$6:$A$205,0)),"?"))</f>
        <v/>
      </c>
      <c r="D2984" s="41" t="n"/>
      <c r="E2984" s="42" t="n"/>
      <c r="F2984" s="43" t="n"/>
      <c r="G2984" s="44">
        <f>IF(OR(B2984="",F2984=""),"",IFERROR(F2984*INDEX(Mitarbeiter!$F$6:$F$205,MATCH(B2984,Mitarbeiter!$A$6:$A$205,0)),0))</f>
        <v/>
      </c>
      <c r="H2984" s="8">
        <f>IF(B2984="","",IF(ISNA(MATCH(B2984,Mitarbeiter!$A$6:$A$205,0)),"Pers.-Nr. unbekannt",IF(A2984="","Datum fehlt",IF(AND(D2984&lt;&gt;Einstellungen!$C$4,D2984&lt;&gt;Einstellungen!$C$5),"Objekt fehlt",IF(YEAR(A2984)&lt;&gt;Einstellungen!$C$3,"anderes Jahr",IF(A2984&lt;INDEX(Mitarbeiter!$C$6:$C$205,MATCH(B2984,Mitarbeiter!$A$6:$A$205,0)),"vor Eintritt",IF(AND(INDEX(Mitarbeiter!$D$6:$D$205,MATCH(B2984,Mitarbeiter!$A$6:$A$205,0))&lt;&gt;"",A2984&gt;INDEX(Mitarbeiter!$D$6:$D$205,MATCH(B2984,Mitarbeiter!$A$6:$A$205,0))),"nach Austritt","ok")))))))</f>
        <v/>
      </c>
    </row>
    <row r="2985">
      <c r="A2985" s="26" t="n"/>
      <c r="B2985" s="24" t="n"/>
      <c r="C2985" s="40">
        <f>IF(B2985="","",IFERROR(INDEX(Mitarbeiter!$B$6:$B$205,MATCH(B2985,Mitarbeiter!$A$6:$A$205,0)),"?"))</f>
        <v/>
      </c>
      <c r="D2985" s="41" t="n"/>
      <c r="E2985" s="42" t="n"/>
      <c r="F2985" s="43" t="n"/>
      <c r="G2985" s="44">
        <f>IF(OR(B2985="",F2985=""),"",IFERROR(F2985*INDEX(Mitarbeiter!$F$6:$F$205,MATCH(B2985,Mitarbeiter!$A$6:$A$205,0)),0))</f>
        <v/>
      </c>
      <c r="H2985" s="8">
        <f>IF(B2985="","",IF(ISNA(MATCH(B2985,Mitarbeiter!$A$6:$A$205,0)),"Pers.-Nr. unbekannt",IF(A2985="","Datum fehlt",IF(AND(D2985&lt;&gt;Einstellungen!$C$4,D2985&lt;&gt;Einstellungen!$C$5),"Objekt fehlt",IF(YEAR(A2985)&lt;&gt;Einstellungen!$C$3,"anderes Jahr",IF(A2985&lt;INDEX(Mitarbeiter!$C$6:$C$205,MATCH(B2985,Mitarbeiter!$A$6:$A$205,0)),"vor Eintritt",IF(AND(INDEX(Mitarbeiter!$D$6:$D$205,MATCH(B2985,Mitarbeiter!$A$6:$A$205,0))&lt;&gt;"",A2985&gt;INDEX(Mitarbeiter!$D$6:$D$205,MATCH(B2985,Mitarbeiter!$A$6:$A$205,0))),"nach Austritt","ok")))))))</f>
        <v/>
      </c>
    </row>
    <row r="2986">
      <c r="A2986" s="26" t="n"/>
      <c r="B2986" s="24" t="n"/>
      <c r="C2986" s="40">
        <f>IF(B2986="","",IFERROR(INDEX(Mitarbeiter!$B$6:$B$205,MATCH(B2986,Mitarbeiter!$A$6:$A$205,0)),"?"))</f>
        <v/>
      </c>
      <c r="D2986" s="41" t="n"/>
      <c r="E2986" s="42" t="n"/>
      <c r="F2986" s="43" t="n"/>
      <c r="G2986" s="44">
        <f>IF(OR(B2986="",F2986=""),"",IFERROR(F2986*INDEX(Mitarbeiter!$F$6:$F$205,MATCH(B2986,Mitarbeiter!$A$6:$A$205,0)),0))</f>
        <v/>
      </c>
      <c r="H2986" s="8">
        <f>IF(B2986="","",IF(ISNA(MATCH(B2986,Mitarbeiter!$A$6:$A$205,0)),"Pers.-Nr. unbekannt",IF(A2986="","Datum fehlt",IF(AND(D2986&lt;&gt;Einstellungen!$C$4,D2986&lt;&gt;Einstellungen!$C$5),"Objekt fehlt",IF(YEAR(A2986)&lt;&gt;Einstellungen!$C$3,"anderes Jahr",IF(A2986&lt;INDEX(Mitarbeiter!$C$6:$C$205,MATCH(B2986,Mitarbeiter!$A$6:$A$205,0)),"vor Eintritt",IF(AND(INDEX(Mitarbeiter!$D$6:$D$205,MATCH(B2986,Mitarbeiter!$A$6:$A$205,0))&lt;&gt;"",A2986&gt;INDEX(Mitarbeiter!$D$6:$D$205,MATCH(B2986,Mitarbeiter!$A$6:$A$205,0))),"nach Austritt","ok")))))))</f>
        <v/>
      </c>
    </row>
    <row r="2987">
      <c r="A2987" s="26" t="n"/>
      <c r="B2987" s="24" t="n"/>
      <c r="C2987" s="40">
        <f>IF(B2987="","",IFERROR(INDEX(Mitarbeiter!$B$6:$B$205,MATCH(B2987,Mitarbeiter!$A$6:$A$205,0)),"?"))</f>
        <v/>
      </c>
      <c r="D2987" s="41" t="n"/>
      <c r="E2987" s="42" t="n"/>
      <c r="F2987" s="43" t="n"/>
      <c r="G2987" s="44">
        <f>IF(OR(B2987="",F2987=""),"",IFERROR(F2987*INDEX(Mitarbeiter!$F$6:$F$205,MATCH(B2987,Mitarbeiter!$A$6:$A$205,0)),0))</f>
        <v/>
      </c>
      <c r="H2987" s="8">
        <f>IF(B2987="","",IF(ISNA(MATCH(B2987,Mitarbeiter!$A$6:$A$205,0)),"Pers.-Nr. unbekannt",IF(A2987="","Datum fehlt",IF(AND(D2987&lt;&gt;Einstellungen!$C$4,D2987&lt;&gt;Einstellungen!$C$5),"Objekt fehlt",IF(YEAR(A2987)&lt;&gt;Einstellungen!$C$3,"anderes Jahr",IF(A2987&lt;INDEX(Mitarbeiter!$C$6:$C$205,MATCH(B2987,Mitarbeiter!$A$6:$A$205,0)),"vor Eintritt",IF(AND(INDEX(Mitarbeiter!$D$6:$D$205,MATCH(B2987,Mitarbeiter!$A$6:$A$205,0))&lt;&gt;"",A2987&gt;INDEX(Mitarbeiter!$D$6:$D$205,MATCH(B2987,Mitarbeiter!$A$6:$A$205,0))),"nach Austritt","ok")))))))</f>
        <v/>
      </c>
    </row>
    <row r="2988">
      <c r="A2988" s="26" t="n"/>
      <c r="B2988" s="24" t="n"/>
      <c r="C2988" s="40">
        <f>IF(B2988="","",IFERROR(INDEX(Mitarbeiter!$B$6:$B$205,MATCH(B2988,Mitarbeiter!$A$6:$A$205,0)),"?"))</f>
        <v/>
      </c>
      <c r="D2988" s="41" t="n"/>
      <c r="E2988" s="42" t="n"/>
      <c r="F2988" s="43" t="n"/>
      <c r="G2988" s="44">
        <f>IF(OR(B2988="",F2988=""),"",IFERROR(F2988*INDEX(Mitarbeiter!$F$6:$F$205,MATCH(B2988,Mitarbeiter!$A$6:$A$205,0)),0))</f>
        <v/>
      </c>
      <c r="H2988" s="8">
        <f>IF(B2988="","",IF(ISNA(MATCH(B2988,Mitarbeiter!$A$6:$A$205,0)),"Pers.-Nr. unbekannt",IF(A2988="","Datum fehlt",IF(AND(D2988&lt;&gt;Einstellungen!$C$4,D2988&lt;&gt;Einstellungen!$C$5),"Objekt fehlt",IF(YEAR(A2988)&lt;&gt;Einstellungen!$C$3,"anderes Jahr",IF(A2988&lt;INDEX(Mitarbeiter!$C$6:$C$205,MATCH(B2988,Mitarbeiter!$A$6:$A$205,0)),"vor Eintritt",IF(AND(INDEX(Mitarbeiter!$D$6:$D$205,MATCH(B2988,Mitarbeiter!$A$6:$A$205,0))&lt;&gt;"",A2988&gt;INDEX(Mitarbeiter!$D$6:$D$205,MATCH(B2988,Mitarbeiter!$A$6:$A$205,0))),"nach Austritt","ok")))))))</f>
        <v/>
      </c>
    </row>
    <row r="2989">
      <c r="A2989" s="26" t="n"/>
      <c r="B2989" s="24" t="n"/>
      <c r="C2989" s="40">
        <f>IF(B2989="","",IFERROR(INDEX(Mitarbeiter!$B$6:$B$205,MATCH(B2989,Mitarbeiter!$A$6:$A$205,0)),"?"))</f>
        <v/>
      </c>
      <c r="D2989" s="41" t="n"/>
      <c r="E2989" s="42" t="n"/>
      <c r="F2989" s="43" t="n"/>
      <c r="G2989" s="44">
        <f>IF(OR(B2989="",F2989=""),"",IFERROR(F2989*INDEX(Mitarbeiter!$F$6:$F$205,MATCH(B2989,Mitarbeiter!$A$6:$A$205,0)),0))</f>
        <v/>
      </c>
      <c r="H2989" s="8">
        <f>IF(B2989="","",IF(ISNA(MATCH(B2989,Mitarbeiter!$A$6:$A$205,0)),"Pers.-Nr. unbekannt",IF(A2989="","Datum fehlt",IF(AND(D2989&lt;&gt;Einstellungen!$C$4,D2989&lt;&gt;Einstellungen!$C$5),"Objekt fehlt",IF(YEAR(A2989)&lt;&gt;Einstellungen!$C$3,"anderes Jahr",IF(A2989&lt;INDEX(Mitarbeiter!$C$6:$C$205,MATCH(B2989,Mitarbeiter!$A$6:$A$205,0)),"vor Eintritt",IF(AND(INDEX(Mitarbeiter!$D$6:$D$205,MATCH(B2989,Mitarbeiter!$A$6:$A$205,0))&lt;&gt;"",A2989&gt;INDEX(Mitarbeiter!$D$6:$D$205,MATCH(B2989,Mitarbeiter!$A$6:$A$205,0))),"nach Austritt","ok")))))))</f>
        <v/>
      </c>
    </row>
    <row r="2990">
      <c r="A2990" s="26" t="n"/>
      <c r="B2990" s="24" t="n"/>
      <c r="C2990" s="40">
        <f>IF(B2990="","",IFERROR(INDEX(Mitarbeiter!$B$6:$B$205,MATCH(B2990,Mitarbeiter!$A$6:$A$205,0)),"?"))</f>
        <v/>
      </c>
      <c r="D2990" s="41" t="n"/>
      <c r="E2990" s="42" t="n"/>
      <c r="F2990" s="43" t="n"/>
      <c r="G2990" s="44">
        <f>IF(OR(B2990="",F2990=""),"",IFERROR(F2990*INDEX(Mitarbeiter!$F$6:$F$205,MATCH(B2990,Mitarbeiter!$A$6:$A$205,0)),0))</f>
        <v/>
      </c>
      <c r="H2990" s="8">
        <f>IF(B2990="","",IF(ISNA(MATCH(B2990,Mitarbeiter!$A$6:$A$205,0)),"Pers.-Nr. unbekannt",IF(A2990="","Datum fehlt",IF(AND(D2990&lt;&gt;Einstellungen!$C$4,D2990&lt;&gt;Einstellungen!$C$5),"Objekt fehlt",IF(YEAR(A2990)&lt;&gt;Einstellungen!$C$3,"anderes Jahr",IF(A2990&lt;INDEX(Mitarbeiter!$C$6:$C$205,MATCH(B2990,Mitarbeiter!$A$6:$A$205,0)),"vor Eintritt",IF(AND(INDEX(Mitarbeiter!$D$6:$D$205,MATCH(B2990,Mitarbeiter!$A$6:$A$205,0))&lt;&gt;"",A2990&gt;INDEX(Mitarbeiter!$D$6:$D$205,MATCH(B2990,Mitarbeiter!$A$6:$A$205,0))),"nach Austritt","ok")))))))</f>
        <v/>
      </c>
    </row>
    <row r="2991">
      <c r="A2991" s="26" t="n"/>
      <c r="B2991" s="24" t="n"/>
      <c r="C2991" s="40">
        <f>IF(B2991="","",IFERROR(INDEX(Mitarbeiter!$B$6:$B$205,MATCH(B2991,Mitarbeiter!$A$6:$A$205,0)),"?"))</f>
        <v/>
      </c>
      <c r="D2991" s="41" t="n"/>
      <c r="E2991" s="42" t="n"/>
      <c r="F2991" s="43" t="n"/>
      <c r="G2991" s="44">
        <f>IF(OR(B2991="",F2991=""),"",IFERROR(F2991*INDEX(Mitarbeiter!$F$6:$F$205,MATCH(B2991,Mitarbeiter!$A$6:$A$205,0)),0))</f>
        <v/>
      </c>
      <c r="H2991" s="8">
        <f>IF(B2991="","",IF(ISNA(MATCH(B2991,Mitarbeiter!$A$6:$A$205,0)),"Pers.-Nr. unbekannt",IF(A2991="","Datum fehlt",IF(AND(D2991&lt;&gt;Einstellungen!$C$4,D2991&lt;&gt;Einstellungen!$C$5),"Objekt fehlt",IF(YEAR(A2991)&lt;&gt;Einstellungen!$C$3,"anderes Jahr",IF(A2991&lt;INDEX(Mitarbeiter!$C$6:$C$205,MATCH(B2991,Mitarbeiter!$A$6:$A$205,0)),"vor Eintritt",IF(AND(INDEX(Mitarbeiter!$D$6:$D$205,MATCH(B2991,Mitarbeiter!$A$6:$A$205,0))&lt;&gt;"",A2991&gt;INDEX(Mitarbeiter!$D$6:$D$205,MATCH(B2991,Mitarbeiter!$A$6:$A$205,0))),"nach Austritt","ok")))))))</f>
        <v/>
      </c>
    </row>
    <row r="2992">
      <c r="A2992" s="26" t="n"/>
      <c r="B2992" s="24" t="n"/>
      <c r="C2992" s="40">
        <f>IF(B2992="","",IFERROR(INDEX(Mitarbeiter!$B$6:$B$205,MATCH(B2992,Mitarbeiter!$A$6:$A$205,0)),"?"))</f>
        <v/>
      </c>
      <c r="D2992" s="41" t="n"/>
      <c r="E2992" s="42" t="n"/>
      <c r="F2992" s="43" t="n"/>
      <c r="G2992" s="44">
        <f>IF(OR(B2992="",F2992=""),"",IFERROR(F2992*INDEX(Mitarbeiter!$F$6:$F$205,MATCH(B2992,Mitarbeiter!$A$6:$A$205,0)),0))</f>
        <v/>
      </c>
      <c r="H2992" s="8">
        <f>IF(B2992="","",IF(ISNA(MATCH(B2992,Mitarbeiter!$A$6:$A$205,0)),"Pers.-Nr. unbekannt",IF(A2992="","Datum fehlt",IF(AND(D2992&lt;&gt;Einstellungen!$C$4,D2992&lt;&gt;Einstellungen!$C$5),"Objekt fehlt",IF(YEAR(A2992)&lt;&gt;Einstellungen!$C$3,"anderes Jahr",IF(A2992&lt;INDEX(Mitarbeiter!$C$6:$C$205,MATCH(B2992,Mitarbeiter!$A$6:$A$205,0)),"vor Eintritt",IF(AND(INDEX(Mitarbeiter!$D$6:$D$205,MATCH(B2992,Mitarbeiter!$A$6:$A$205,0))&lt;&gt;"",A2992&gt;INDEX(Mitarbeiter!$D$6:$D$205,MATCH(B2992,Mitarbeiter!$A$6:$A$205,0))),"nach Austritt","ok")))))))</f>
        <v/>
      </c>
    </row>
    <row r="2993">
      <c r="A2993" s="26" t="n"/>
      <c r="B2993" s="24" t="n"/>
      <c r="C2993" s="40">
        <f>IF(B2993="","",IFERROR(INDEX(Mitarbeiter!$B$6:$B$205,MATCH(B2993,Mitarbeiter!$A$6:$A$205,0)),"?"))</f>
        <v/>
      </c>
      <c r="D2993" s="41" t="n"/>
      <c r="E2993" s="42" t="n"/>
      <c r="F2993" s="43" t="n"/>
      <c r="G2993" s="44">
        <f>IF(OR(B2993="",F2993=""),"",IFERROR(F2993*INDEX(Mitarbeiter!$F$6:$F$205,MATCH(B2993,Mitarbeiter!$A$6:$A$205,0)),0))</f>
        <v/>
      </c>
      <c r="H2993" s="8">
        <f>IF(B2993="","",IF(ISNA(MATCH(B2993,Mitarbeiter!$A$6:$A$205,0)),"Pers.-Nr. unbekannt",IF(A2993="","Datum fehlt",IF(AND(D2993&lt;&gt;Einstellungen!$C$4,D2993&lt;&gt;Einstellungen!$C$5),"Objekt fehlt",IF(YEAR(A2993)&lt;&gt;Einstellungen!$C$3,"anderes Jahr",IF(A2993&lt;INDEX(Mitarbeiter!$C$6:$C$205,MATCH(B2993,Mitarbeiter!$A$6:$A$205,0)),"vor Eintritt",IF(AND(INDEX(Mitarbeiter!$D$6:$D$205,MATCH(B2993,Mitarbeiter!$A$6:$A$205,0))&lt;&gt;"",A2993&gt;INDEX(Mitarbeiter!$D$6:$D$205,MATCH(B2993,Mitarbeiter!$A$6:$A$205,0))),"nach Austritt","ok")))))))</f>
        <v/>
      </c>
    </row>
    <row r="2994">
      <c r="A2994" s="26" t="n"/>
      <c r="B2994" s="24" t="n"/>
      <c r="C2994" s="40">
        <f>IF(B2994="","",IFERROR(INDEX(Mitarbeiter!$B$6:$B$205,MATCH(B2994,Mitarbeiter!$A$6:$A$205,0)),"?"))</f>
        <v/>
      </c>
      <c r="D2994" s="41" t="n"/>
      <c r="E2994" s="42" t="n"/>
      <c r="F2994" s="43" t="n"/>
      <c r="G2994" s="44">
        <f>IF(OR(B2994="",F2994=""),"",IFERROR(F2994*INDEX(Mitarbeiter!$F$6:$F$205,MATCH(B2994,Mitarbeiter!$A$6:$A$205,0)),0))</f>
        <v/>
      </c>
      <c r="H2994" s="8">
        <f>IF(B2994="","",IF(ISNA(MATCH(B2994,Mitarbeiter!$A$6:$A$205,0)),"Pers.-Nr. unbekannt",IF(A2994="","Datum fehlt",IF(AND(D2994&lt;&gt;Einstellungen!$C$4,D2994&lt;&gt;Einstellungen!$C$5),"Objekt fehlt",IF(YEAR(A2994)&lt;&gt;Einstellungen!$C$3,"anderes Jahr",IF(A2994&lt;INDEX(Mitarbeiter!$C$6:$C$205,MATCH(B2994,Mitarbeiter!$A$6:$A$205,0)),"vor Eintritt",IF(AND(INDEX(Mitarbeiter!$D$6:$D$205,MATCH(B2994,Mitarbeiter!$A$6:$A$205,0))&lt;&gt;"",A2994&gt;INDEX(Mitarbeiter!$D$6:$D$205,MATCH(B2994,Mitarbeiter!$A$6:$A$205,0))),"nach Austritt","ok")))))))</f>
        <v/>
      </c>
    </row>
    <row r="2995">
      <c r="A2995" s="26" t="n"/>
      <c r="B2995" s="24" t="n"/>
      <c r="C2995" s="40">
        <f>IF(B2995="","",IFERROR(INDEX(Mitarbeiter!$B$6:$B$205,MATCH(B2995,Mitarbeiter!$A$6:$A$205,0)),"?"))</f>
        <v/>
      </c>
      <c r="D2995" s="41" t="n"/>
      <c r="E2995" s="42" t="n"/>
      <c r="F2995" s="43" t="n"/>
      <c r="G2995" s="44">
        <f>IF(OR(B2995="",F2995=""),"",IFERROR(F2995*INDEX(Mitarbeiter!$F$6:$F$205,MATCH(B2995,Mitarbeiter!$A$6:$A$205,0)),0))</f>
        <v/>
      </c>
      <c r="H2995" s="8">
        <f>IF(B2995="","",IF(ISNA(MATCH(B2995,Mitarbeiter!$A$6:$A$205,0)),"Pers.-Nr. unbekannt",IF(A2995="","Datum fehlt",IF(AND(D2995&lt;&gt;Einstellungen!$C$4,D2995&lt;&gt;Einstellungen!$C$5),"Objekt fehlt",IF(YEAR(A2995)&lt;&gt;Einstellungen!$C$3,"anderes Jahr",IF(A2995&lt;INDEX(Mitarbeiter!$C$6:$C$205,MATCH(B2995,Mitarbeiter!$A$6:$A$205,0)),"vor Eintritt",IF(AND(INDEX(Mitarbeiter!$D$6:$D$205,MATCH(B2995,Mitarbeiter!$A$6:$A$205,0))&lt;&gt;"",A2995&gt;INDEX(Mitarbeiter!$D$6:$D$205,MATCH(B2995,Mitarbeiter!$A$6:$A$205,0))),"nach Austritt","ok")))))))</f>
        <v/>
      </c>
    </row>
    <row r="2996">
      <c r="A2996" s="26" t="n"/>
      <c r="B2996" s="24" t="n"/>
      <c r="C2996" s="40">
        <f>IF(B2996="","",IFERROR(INDEX(Mitarbeiter!$B$6:$B$205,MATCH(B2996,Mitarbeiter!$A$6:$A$205,0)),"?"))</f>
        <v/>
      </c>
      <c r="D2996" s="41" t="n"/>
      <c r="E2996" s="42" t="n"/>
      <c r="F2996" s="43" t="n"/>
      <c r="G2996" s="44">
        <f>IF(OR(B2996="",F2996=""),"",IFERROR(F2996*INDEX(Mitarbeiter!$F$6:$F$205,MATCH(B2996,Mitarbeiter!$A$6:$A$205,0)),0))</f>
        <v/>
      </c>
      <c r="H2996" s="8">
        <f>IF(B2996="","",IF(ISNA(MATCH(B2996,Mitarbeiter!$A$6:$A$205,0)),"Pers.-Nr. unbekannt",IF(A2996="","Datum fehlt",IF(AND(D2996&lt;&gt;Einstellungen!$C$4,D2996&lt;&gt;Einstellungen!$C$5),"Objekt fehlt",IF(YEAR(A2996)&lt;&gt;Einstellungen!$C$3,"anderes Jahr",IF(A2996&lt;INDEX(Mitarbeiter!$C$6:$C$205,MATCH(B2996,Mitarbeiter!$A$6:$A$205,0)),"vor Eintritt",IF(AND(INDEX(Mitarbeiter!$D$6:$D$205,MATCH(B2996,Mitarbeiter!$A$6:$A$205,0))&lt;&gt;"",A2996&gt;INDEX(Mitarbeiter!$D$6:$D$205,MATCH(B2996,Mitarbeiter!$A$6:$A$205,0))),"nach Austritt","ok")))))))</f>
        <v/>
      </c>
    </row>
    <row r="2997">
      <c r="A2997" s="26" t="n"/>
      <c r="B2997" s="24" t="n"/>
      <c r="C2997" s="40">
        <f>IF(B2997="","",IFERROR(INDEX(Mitarbeiter!$B$6:$B$205,MATCH(B2997,Mitarbeiter!$A$6:$A$205,0)),"?"))</f>
        <v/>
      </c>
      <c r="D2997" s="41" t="n"/>
      <c r="E2997" s="42" t="n"/>
      <c r="F2997" s="43" t="n"/>
      <c r="G2997" s="44">
        <f>IF(OR(B2997="",F2997=""),"",IFERROR(F2997*INDEX(Mitarbeiter!$F$6:$F$205,MATCH(B2997,Mitarbeiter!$A$6:$A$205,0)),0))</f>
        <v/>
      </c>
      <c r="H2997" s="8">
        <f>IF(B2997="","",IF(ISNA(MATCH(B2997,Mitarbeiter!$A$6:$A$205,0)),"Pers.-Nr. unbekannt",IF(A2997="","Datum fehlt",IF(AND(D2997&lt;&gt;Einstellungen!$C$4,D2997&lt;&gt;Einstellungen!$C$5),"Objekt fehlt",IF(YEAR(A2997)&lt;&gt;Einstellungen!$C$3,"anderes Jahr",IF(A2997&lt;INDEX(Mitarbeiter!$C$6:$C$205,MATCH(B2997,Mitarbeiter!$A$6:$A$205,0)),"vor Eintritt",IF(AND(INDEX(Mitarbeiter!$D$6:$D$205,MATCH(B2997,Mitarbeiter!$A$6:$A$205,0))&lt;&gt;"",A2997&gt;INDEX(Mitarbeiter!$D$6:$D$205,MATCH(B2997,Mitarbeiter!$A$6:$A$205,0))),"nach Austritt","ok")))))))</f>
        <v/>
      </c>
    </row>
    <row r="2998">
      <c r="A2998" s="26" t="n"/>
      <c r="B2998" s="24" t="n"/>
      <c r="C2998" s="40">
        <f>IF(B2998="","",IFERROR(INDEX(Mitarbeiter!$B$6:$B$205,MATCH(B2998,Mitarbeiter!$A$6:$A$205,0)),"?"))</f>
        <v/>
      </c>
      <c r="D2998" s="41" t="n"/>
      <c r="E2998" s="42" t="n"/>
      <c r="F2998" s="43" t="n"/>
      <c r="G2998" s="44">
        <f>IF(OR(B2998="",F2998=""),"",IFERROR(F2998*INDEX(Mitarbeiter!$F$6:$F$205,MATCH(B2998,Mitarbeiter!$A$6:$A$205,0)),0))</f>
        <v/>
      </c>
      <c r="H2998" s="8">
        <f>IF(B2998="","",IF(ISNA(MATCH(B2998,Mitarbeiter!$A$6:$A$205,0)),"Pers.-Nr. unbekannt",IF(A2998="","Datum fehlt",IF(AND(D2998&lt;&gt;Einstellungen!$C$4,D2998&lt;&gt;Einstellungen!$C$5),"Objekt fehlt",IF(YEAR(A2998)&lt;&gt;Einstellungen!$C$3,"anderes Jahr",IF(A2998&lt;INDEX(Mitarbeiter!$C$6:$C$205,MATCH(B2998,Mitarbeiter!$A$6:$A$205,0)),"vor Eintritt",IF(AND(INDEX(Mitarbeiter!$D$6:$D$205,MATCH(B2998,Mitarbeiter!$A$6:$A$205,0))&lt;&gt;"",A2998&gt;INDEX(Mitarbeiter!$D$6:$D$205,MATCH(B2998,Mitarbeiter!$A$6:$A$205,0))),"nach Austritt","ok")))))))</f>
        <v/>
      </c>
    </row>
    <row r="2999">
      <c r="A2999" s="26" t="n"/>
      <c r="B2999" s="24" t="n"/>
      <c r="C2999" s="40">
        <f>IF(B2999="","",IFERROR(INDEX(Mitarbeiter!$B$6:$B$205,MATCH(B2999,Mitarbeiter!$A$6:$A$205,0)),"?"))</f>
        <v/>
      </c>
      <c r="D2999" s="41" t="n"/>
      <c r="E2999" s="42" t="n"/>
      <c r="F2999" s="43" t="n"/>
      <c r="G2999" s="44">
        <f>IF(OR(B2999="",F2999=""),"",IFERROR(F2999*INDEX(Mitarbeiter!$F$6:$F$205,MATCH(B2999,Mitarbeiter!$A$6:$A$205,0)),0))</f>
        <v/>
      </c>
      <c r="H2999" s="8">
        <f>IF(B2999="","",IF(ISNA(MATCH(B2999,Mitarbeiter!$A$6:$A$205,0)),"Pers.-Nr. unbekannt",IF(A2999="","Datum fehlt",IF(AND(D2999&lt;&gt;Einstellungen!$C$4,D2999&lt;&gt;Einstellungen!$C$5),"Objekt fehlt",IF(YEAR(A2999)&lt;&gt;Einstellungen!$C$3,"anderes Jahr",IF(A2999&lt;INDEX(Mitarbeiter!$C$6:$C$205,MATCH(B2999,Mitarbeiter!$A$6:$A$205,0)),"vor Eintritt",IF(AND(INDEX(Mitarbeiter!$D$6:$D$205,MATCH(B2999,Mitarbeiter!$A$6:$A$205,0))&lt;&gt;"",A2999&gt;INDEX(Mitarbeiter!$D$6:$D$205,MATCH(B2999,Mitarbeiter!$A$6:$A$205,0))),"nach Austritt","ok")))))))</f>
        <v/>
      </c>
    </row>
    <row r="3000">
      <c r="A3000" s="26" t="n"/>
      <c r="B3000" s="24" t="n"/>
      <c r="C3000" s="40">
        <f>IF(B3000="","",IFERROR(INDEX(Mitarbeiter!$B$6:$B$205,MATCH(B3000,Mitarbeiter!$A$6:$A$205,0)),"?"))</f>
        <v/>
      </c>
      <c r="D3000" s="41" t="n"/>
      <c r="E3000" s="42" t="n"/>
      <c r="F3000" s="43" t="n"/>
      <c r="G3000" s="44">
        <f>IF(OR(B3000="",F3000=""),"",IFERROR(F3000*INDEX(Mitarbeiter!$F$6:$F$205,MATCH(B3000,Mitarbeiter!$A$6:$A$205,0)),0))</f>
        <v/>
      </c>
      <c r="H3000" s="8">
        <f>IF(B3000="","",IF(ISNA(MATCH(B3000,Mitarbeiter!$A$6:$A$205,0)),"Pers.-Nr. unbekannt",IF(A3000="","Datum fehlt",IF(AND(D3000&lt;&gt;Einstellungen!$C$4,D3000&lt;&gt;Einstellungen!$C$5),"Objekt fehlt",IF(YEAR(A3000)&lt;&gt;Einstellungen!$C$3,"anderes Jahr",IF(A3000&lt;INDEX(Mitarbeiter!$C$6:$C$205,MATCH(B3000,Mitarbeiter!$A$6:$A$205,0)),"vor Eintritt",IF(AND(INDEX(Mitarbeiter!$D$6:$D$205,MATCH(B3000,Mitarbeiter!$A$6:$A$205,0))&lt;&gt;"",A3000&gt;INDEX(Mitarbeiter!$D$6:$D$205,MATCH(B3000,Mitarbeiter!$A$6:$A$205,0))),"nach Austritt","ok")))))))</f>
        <v/>
      </c>
    </row>
    <row r="3001">
      <c r="A3001" s="26" t="n"/>
      <c r="B3001" s="24" t="n"/>
      <c r="C3001" s="40">
        <f>IF(B3001="","",IFERROR(INDEX(Mitarbeiter!$B$6:$B$205,MATCH(B3001,Mitarbeiter!$A$6:$A$205,0)),"?"))</f>
        <v/>
      </c>
      <c r="D3001" s="41" t="n"/>
      <c r="E3001" s="42" t="n"/>
      <c r="F3001" s="43" t="n"/>
      <c r="G3001" s="44">
        <f>IF(OR(B3001="",F3001=""),"",IFERROR(F3001*INDEX(Mitarbeiter!$F$6:$F$205,MATCH(B3001,Mitarbeiter!$A$6:$A$205,0)),0))</f>
        <v/>
      </c>
      <c r="H3001" s="8">
        <f>IF(B3001="","",IF(ISNA(MATCH(B3001,Mitarbeiter!$A$6:$A$205,0)),"Pers.-Nr. unbekannt",IF(A3001="","Datum fehlt",IF(AND(D3001&lt;&gt;Einstellungen!$C$4,D3001&lt;&gt;Einstellungen!$C$5),"Objekt fehlt",IF(YEAR(A3001)&lt;&gt;Einstellungen!$C$3,"anderes Jahr",IF(A3001&lt;INDEX(Mitarbeiter!$C$6:$C$205,MATCH(B3001,Mitarbeiter!$A$6:$A$205,0)),"vor Eintritt",IF(AND(INDEX(Mitarbeiter!$D$6:$D$205,MATCH(B3001,Mitarbeiter!$A$6:$A$205,0))&lt;&gt;"",A3001&gt;INDEX(Mitarbeiter!$D$6:$D$205,MATCH(B3001,Mitarbeiter!$A$6:$A$205,0))),"nach Austritt","ok")))))))</f>
        <v/>
      </c>
    </row>
    <row r="3002">
      <c r="A3002" s="26" t="n"/>
      <c r="B3002" s="24" t="n"/>
      <c r="C3002" s="40">
        <f>IF(B3002="","",IFERROR(INDEX(Mitarbeiter!$B$6:$B$205,MATCH(B3002,Mitarbeiter!$A$6:$A$205,0)),"?"))</f>
        <v/>
      </c>
      <c r="D3002" s="41" t="n"/>
      <c r="E3002" s="42" t="n"/>
      <c r="F3002" s="43" t="n"/>
      <c r="G3002" s="44">
        <f>IF(OR(B3002="",F3002=""),"",IFERROR(F3002*INDEX(Mitarbeiter!$F$6:$F$205,MATCH(B3002,Mitarbeiter!$A$6:$A$205,0)),0))</f>
        <v/>
      </c>
      <c r="H3002" s="8">
        <f>IF(B3002="","",IF(ISNA(MATCH(B3002,Mitarbeiter!$A$6:$A$205,0)),"Pers.-Nr. unbekannt",IF(A3002="","Datum fehlt",IF(AND(D3002&lt;&gt;Einstellungen!$C$4,D3002&lt;&gt;Einstellungen!$C$5),"Objekt fehlt",IF(YEAR(A3002)&lt;&gt;Einstellungen!$C$3,"anderes Jahr",IF(A3002&lt;INDEX(Mitarbeiter!$C$6:$C$205,MATCH(B3002,Mitarbeiter!$A$6:$A$205,0)),"vor Eintritt",IF(AND(INDEX(Mitarbeiter!$D$6:$D$205,MATCH(B3002,Mitarbeiter!$A$6:$A$205,0))&lt;&gt;"",A3002&gt;INDEX(Mitarbeiter!$D$6:$D$205,MATCH(B3002,Mitarbeiter!$A$6:$A$205,0))),"nach Austritt","ok")))))))</f>
        <v/>
      </c>
    </row>
    <row r="3003">
      <c r="A3003" s="26" t="n"/>
      <c r="B3003" s="24" t="n"/>
      <c r="C3003" s="40">
        <f>IF(B3003="","",IFERROR(INDEX(Mitarbeiter!$B$6:$B$205,MATCH(B3003,Mitarbeiter!$A$6:$A$205,0)),"?"))</f>
        <v/>
      </c>
      <c r="D3003" s="41" t="n"/>
      <c r="E3003" s="42" t="n"/>
      <c r="F3003" s="43" t="n"/>
      <c r="G3003" s="44">
        <f>IF(OR(B3003="",F3003=""),"",IFERROR(F3003*INDEX(Mitarbeiter!$F$6:$F$205,MATCH(B3003,Mitarbeiter!$A$6:$A$205,0)),0))</f>
        <v/>
      </c>
      <c r="H3003" s="8">
        <f>IF(B3003="","",IF(ISNA(MATCH(B3003,Mitarbeiter!$A$6:$A$205,0)),"Pers.-Nr. unbekannt",IF(A3003="","Datum fehlt",IF(AND(D3003&lt;&gt;Einstellungen!$C$4,D3003&lt;&gt;Einstellungen!$C$5),"Objekt fehlt",IF(YEAR(A3003)&lt;&gt;Einstellungen!$C$3,"anderes Jahr",IF(A3003&lt;INDEX(Mitarbeiter!$C$6:$C$205,MATCH(B3003,Mitarbeiter!$A$6:$A$205,0)),"vor Eintritt",IF(AND(INDEX(Mitarbeiter!$D$6:$D$205,MATCH(B3003,Mitarbeiter!$A$6:$A$205,0))&lt;&gt;"",A3003&gt;INDEX(Mitarbeiter!$D$6:$D$205,MATCH(B3003,Mitarbeiter!$A$6:$A$205,0))),"nach Austritt","ok")))))))</f>
        <v/>
      </c>
    </row>
    <row r="3004">
      <c r="A3004" s="26" t="n"/>
      <c r="B3004" s="24" t="n"/>
      <c r="C3004" s="40">
        <f>IF(B3004="","",IFERROR(INDEX(Mitarbeiter!$B$6:$B$205,MATCH(B3004,Mitarbeiter!$A$6:$A$205,0)),"?"))</f>
        <v/>
      </c>
      <c r="D3004" s="41" t="n"/>
      <c r="E3004" s="42" t="n"/>
      <c r="F3004" s="43" t="n"/>
      <c r="G3004" s="44">
        <f>IF(OR(B3004="",F3004=""),"",IFERROR(F3004*INDEX(Mitarbeiter!$F$6:$F$205,MATCH(B3004,Mitarbeiter!$A$6:$A$205,0)),0))</f>
        <v/>
      </c>
      <c r="H3004" s="8">
        <f>IF(B3004="","",IF(ISNA(MATCH(B3004,Mitarbeiter!$A$6:$A$205,0)),"Pers.-Nr. unbekannt",IF(A3004="","Datum fehlt",IF(AND(D3004&lt;&gt;Einstellungen!$C$4,D3004&lt;&gt;Einstellungen!$C$5),"Objekt fehlt",IF(YEAR(A3004)&lt;&gt;Einstellungen!$C$3,"anderes Jahr",IF(A3004&lt;INDEX(Mitarbeiter!$C$6:$C$205,MATCH(B3004,Mitarbeiter!$A$6:$A$205,0)),"vor Eintritt",IF(AND(INDEX(Mitarbeiter!$D$6:$D$205,MATCH(B3004,Mitarbeiter!$A$6:$A$205,0))&lt;&gt;"",A3004&gt;INDEX(Mitarbeiter!$D$6:$D$205,MATCH(B3004,Mitarbeiter!$A$6:$A$205,0))),"nach Austritt","ok")))))))</f>
        <v/>
      </c>
    </row>
    <row r="3005">
      <c r="A3005" s="26" t="n"/>
      <c r="B3005" s="24" t="n"/>
      <c r="C3005" s="40">
        <f>IF(B3005="","",IFERROR(INDEX(Mitarbeiter!$B$6:$B$205,MATCH(B3005,Mitarbeiter!$A$6:$A$205,0)),"?"))</f>
        <v/>
      </c>
      <c r="D3005" s="41" t="n"/>
      <c r="E3005" s="42" t="n"/>
      <c r="F3005" s="43" t="n"/>
      <c r="G3005" s="44">
        <f>IF(OR(B3005="",F3005=""),"",IFERROR(F3005*INDEX(Mitarbeiter!$F$6:$F$205,MATCH(B3005,Mitarbeiter!$A$6:$A$205,0)),0))</f>
        <v/>
      </c>
      <c r="H3005" s="8">
        <f>IF(B3005="","",IF(ISNA(MATCH(B3005,Mitarbeiter!$A$6:$A$205,0)),"Pers.-Nr. unbekannt",IF(A3005="","Datum fehlt",IF(AND(D3005&lt;&gt;Einstellungen!$C$4,D3005&lt;&gt;Einstellungen!$C$5),"Objekt fehlt",IF(YEAR(A3005)&lt;&gt;Einstellungen!$C$3,"anderes Jahr",IF(A3005&lt;INDEX(Mitarbeiter!$C$6:$C$205,MATCH(B3005,Mitarbeiter!$A$6:$A$205,0)),"vor Eintritt",IF(AND(INDEX(Mitarbeiter!$D$6:$D$205,MATCH(B3005,Mitarbeiter!$A$6:$A$205,0))&lt;&gt;"",A3005&gt;INDEX(Mitarbeiter!$D$6:$D$205,MATCH(B3005,Mitarbeiter!$A$6:$A$205,0))),"nach Austritt","ok")))))))</f>
        <v/>
      </c>
    </row>
    <row r="3006">
      <c r="A3006" s="26" t="n"/>
      <c r="B3006" s="24" t="n"/>
      <c r="C3006" s="40">
        <f>IF(B3006="","",IFERROR(INDEX(Mitarbeiter!$B$6:$B$205,MATCH(B3006,Mitarbeiter!$A$6:$A$205,0)),"?"))</f>
        <v/>
      </c>
      <c r="D3006" s="41" t="n"/>
      <c r="E3006" s="42" t="n"/>
      <c r="F3006" s="43" t="n"/>
      <c r="G3006" s="44">
        <f>IF(OR(B3006="",F3006=""),"",IFERROR(F3006*INDEX(Mitarbeiter!$F$6:$F$205,MATCH(B3006,Mitarbeiter!$A$6:$A$205,0)),0))</f>
        <v/>
      </c>
      <c r="H3006" s="8">
        <f>IF(B3006="","",IF(ISNA(MATCH(B3006,Mitarbeiter!$A$6:$A$205,0)),"Pers.-Nr. unbekannt",IF(A3006="","Datum fehlt",IF(AND(D3006&lt;&gt;Einstellungen!$C$4,D3006&lt;&gt;Einstellungen!$C$5),"Objekt fehlt",IF(YEAR(A3006)&lt;&gt;Einstellungen!$C$3,"anderes Jahr",IF(A3006&lt;INDEX(Mitarbeiter!$C$6:$C$205,MATCH(B3006,Mitarbeiter!$A$6:$A$205,0)),"vor Eintritt",IF(AND(INDEX(Mitarbeiter!$D$6:$D$205,MATCH(B3006,Mitarbeiter!$A$6:$A$205,0))&lt;&gt;"",A3006&gt;INDEX(Mitarbeiter!$D$6:$D$205,MATCH(B3006,Mitarbeiter!$A$6:$A$205,0))),"nach Austritt","ok")))))))</f>
        <v/>
      </c>
    </row>
    <row r="3007">
      <c r="A3007" s="26" t="n"/>
      <c r="B3007" s="24" t="n"/>
      <c r="C3007" s="40">
        <f>IF(B3007="","",IFERROR(INDEX(Mitarbeiter!$B$6:$B$205,MATCH(B3007,Mitarbeiter!$A$6:$A$205,0)),"?"))</f>
        <v/>
      </c>
      <c r="D3007" s="41" t="n"/>
      <c r="E3007" s="42" t="n"/>
      <c r="F3007" s="43" t="n"/>
      <c r="G3007" s="44">
        <f>IF(OR(B3007="",F3007=""),"",IFERROR(F3007*INDEX(Mitarbeiter!$F$6:$F$205,MATCH(B3007,Mitarbeiter!$A$6:$A$205,0)),0))</f>
        <v/>
      </c>
      <c r="H3007" s="8">
        <f>IF(B3007="","",IF(ISNA(MATCH(B3007,Mitarbeiter!$A$6:$A$205,0)),"Pers.-Nr. unbekannt",IF(A3007="","Datum fehlt",IF(AND(D3007&lt;&gt;Einstellungen!$C$4,D3007&lt;&gt;Einstellungen!$C$5),"Objekt fehlt",IF(YEAR(A3007)&lt;&gt;Einstellungen!$C$3,"anderes Jahr",IF(A3007&lt;INDEX(Mitarbeiter!$C$6:$C$205,MATCH(B3007,Mitarbeiter!$A$6:$A$205,0)),"vor Eintritt",IF(AND(INDEX(Mitarbeiter!$D$6:$D$205,MATCH(B3007,Mitarbeiter!$A$6:$A$205,0))&lt;&gt;"",A3007&gt;INDEX(Mitarbeiter!$D$6:$D$205,MATCH(B3007,Mitarbeiter!$A$6:$A$205,0))),"nach Austritt","ok")))))))</f>
        <v/>
      </c>
    </row>
    <row r="3008">
      <c r="A3008" s="26" t="n"/>
      <c r="B3008" s="24" t="n"/>
      <c r="C3008" s="40">
        <f>IF(B3008="","",IFERROR(INDEX(Mitarbeiter!$B$6:$B$205,MATCH(B3008,Mitarbeiter!$A$6:$A$205,0)),"?"))</f>
        <v/>
      </c>
      <c r="D3008" s="41" t="n"/>
      <c r="E3008" s="42" t="n"/>
      <c r="F3008" s="43" t="n"/>
      <c r="G3008" s="44">
        <f>IF(OR(B3008="",F3008=""),"",IFERROR(F3008*INDEX(Mitarbeiter!$F$6:$F$205,MATCH(B3008,Mitarbeiter!$A$6:$A$205,0)),0))</f>
        <v/>
      </c>
      <c r="H3008" s="8">
        <f>IF(B3008="","",IF(ISNA(MATCH(B3008,Mitarbeiter!$A$6:$A$205,0)),"Pers.-Nr. unbekannt",IF(A3008="","Datum fehlt",IF(AND(D3008&lt;&gt;Einstellungen!$C$4,D3008&lt;&gt;Einstellungen!$C$5),"Objekt fehlt",IF(YEAR(A3008)&lt;&gt;Einstellungen!$C$3,"anderes Jahr",IF(A3008&lt;INDEX(Mitarbeiter!$C$6:$C$205,MATCH(B3008,Mitarbeiter!$A$6:$A$205,0)),"vor Eintritt",IF(AND(INDEX(Mitarbeiter!$D$6:$D$205,MATCH(B3008,Mitarbeiter!$A$6:$A$205,0))&lt;&gt;"",A3008&gt;INDEX(Mitarbeiter!$D$6:$D$205,MATCH(B3008,Mitarbeiter!$A$6:$A$205,0))),"nach Austritt","ok")))))))</f>
        <v/>
      </c>
    </row>
    <row r="3009">
      <c r="A3009" s="26" t="n"/>
      <c r="B3009" s="24" t="n"/>
      <c r="C3009" s="40">
        <f>IF(B3009="","",IFERROR(INDEX(Mitarbeiter!$B$6:$B$205,MATCH(B3009,Mitarbeiter!$A$6:$A$205,0)),"?"))</f>
        <v/>
      </c>
      <c r="D3009" s="41" t="n"/>
      <c r="E3009" s="42" t="n"/>
      <c r="F3009" s="43" t="n"/>
      <c r="G3009" s="44">
        <f>IF(OR(B3009="",F3009=""),"",IFERROR(F3009*INDEX(Mitarbeiter!$F$6:$F$205,MATCH(B3009,Mitarbeiter!$A$6:$A$205,0)),0))</f>
        <v/>
      </c>
      <c r="H3009" s="8">
        <f>IF(B3009="","",IF(ISNA(MATCH(B3009,Mitarbeiter!$A$6:$A$205,0)),"Pers.-Nr. unbekannt",IF(A3009="","Datum fehlt",IF(AND(D3009&lt;&gt;Einstellungen!$C$4,D3009&lt;&gt;Einstellungen!$C$5),"Objekt fehlt",IF(YEAR(A3009)&lt;&gt;Einstellungen!$C$3,"anderes Jahr",IF(A3009&lt;INDEX(Mitarbeiter!$C$6:$C$205,MATCH(B3009,Mitarbeiter!$A$6:$A$205,0)),"vor Eintritt",IF(AND(INDEX(Mitarbeiter!$D$6:$D$205,MATCH(B3009,Mitarbeiter!$A$6:$A$205,0))&lt;&gt;"",A3009&gt;INDEX(Mitarbeiter!$D$6:$D$205,MATCH(B3009,Mitarbeiter!$A$6:$A$205,0))),"nach Austritt","ok")))))))</f>
        <v/>
      </c>
    </row>
    <row r="3010">
      <c r="A3010" s="26" t="n"/>
      <c r="B3010" s="24" t="n"/>
      <c r="C3010" s="40">
        <f>IF(B3010="","",IFERROR(INDEX(Mitarbeiter!$B$6:$B$205,MATCH(B3010,Mitarbeiter!$A$6:$A$205,0)),"?"))</f>
        <v/>
      </c>
      <c r="D3010" s="41" t="n"/>
      <c r="E3010" s="42" t="n"/>
      <c r="F3010" s="43" t="n"/>
      <c r="G3010" s="44">
        <f>IF(OR(B3010="",F3010=""),"",IFERROR(F3010*INDEX(Mitarbeiter!$F$6:$F$205,MATCH(B3010,Mitarbeiter!$A$6:$A$205,0)),0))</f>
        <v/>
      </c>
      <c r="H3010" s="8">
        <f>IF(B3010="","",IF(ISNA(MATCH(B3010,Mitarbeiter!$A$6:$A$205,0)),"Pers.-Nr. unbekannt",IF(A3010="","Datum fehlt",IF(AND(D3010&lt;&gt;Einstellungen!$C$4,D3010&lt;&gt;Einstellungen!$C$5),"Objekt fehlt",IF(YEAR(A3010)&lt;&gt;Einstellungen!$C$3,"anderes Jahr",IF(A3010&lt;INDEX(Mitarbeiter!$C$6:$C$205,MATCH(B3010,Mitarbeiter!$A$6:$A$205,0)),"vor Eintritt",IF(AND(INDEX(Mitarbeiter!$D$6:$D$205,MATCH(B3010,Mitarbeiter!$A$6:$A$205,0))&lt;&gt;"",A3010&gt;INDEX(Mitarbeiter!$D$6:$D$205,MATCH(B3010,Mitarbeiter!$A$6:$A$205,0))),"nach Austritt","ok")))))))</f>
        <v/>
      </c>
    </row>
    <row r="3011">
      <c r="A3011" s="26" t="n"/>
      <c r="B3011" s="24" t="n"/>
      <c r="C3011" s="40">
        <f>IF(B3011="","",IFERROR(INDEX(Mitarbeiter!$B$6:$B$205,MATCH(B3011,Mitarbeiter!$A$6:$A$205,0)),"?"))</f>
        <v/>
      </c>
      <c r="D3011" s="41" t="n"/>
      <c r="E3011" s="42" t="n"/>
      <c r="F3011" s="43" t="n"/>
      <c r="G3011" s="44">
        <f>IF(OR(B3011="",F3011=""),"",IFERROR(F3011*INDEX(Mitarbeiter!$F$6:$F$205,MATCH(B3011,Mitarbeiter!$A$6:$A$205,0)),0))</f>
        <v/>
      </c>
      <c r="H3011" s="8">
        <f>IF(B3011="","",IF(ISNA(MATCH(B3011,Mitarbeiter!$A$6:$A$205,0)),"Pers.-Nr. unbekannt",IF(A3011="","Datum fehlt",IF(AND(D3011&lt;&gt;Einstellungen!$C$4,D3011&lt;&gt;Einstellungen!$C$5),"Objekt fehlt",IF(YEAR(A3011)&lt;&gt;Einstellungen!$C$3,"anderes Jahr",IF(A3011&lt;INDEX(Mitarbeiter!$C$6:$C$205,MATCH(B3011,Mitarbeiter!$A$6:$A$205,0)),"vor Eintritt",IF(AND(INDEX(Mitarbeiter!$D$6:$D$205,MATCH(B3011,Mitarbeiter!$A$6:$A$205,0))&lt;&gt;"",A3011&gt;INDEX(Mitarbeiter!$D$6:$D$205,MATCH(B3011,Mitarbeiter!$A$6:$A$205,0))),"nach Austritt","ok")))))))</f>
        <v/>
      </c>
    </row>
    <row r="3012">
      <c r="A3012" s="26" t="n"/>
      <c r="B3012" s="24" t="n"/>
      <c r="C3012" s="40">
        <f>IF(B3012="","",IFERROR(INDEX(Mitarbeiter!$B$6:$B$205,MATCH(B3012,Mitarbeiter!$A$6:$A$205,0)),"?"))</f>
        <v/>
      </c>
      <c r="D3012" s="41" t="n"/>
      <c r="E3012" s="42" t="n"/>
      <c r="F3012" s="43" t="n"/>
      <c r="G3012" s="44">
        <f>IF(OR(B3012="",F3012=""),"",IFERROR(F3012*INDEX(Mitarbeiter!$F$6:$F$205,MATCH(B3012,Mitarbeiter!$A$6:$A$205,0)),0))</f>
        <v/>
      </c>
      <c r="H3012" s="8">
        <f>IF(B3012="","",IF(ISNA(MATCH(B3012,Mitarbeiter!$A$6:$A$205,0)),"Pers.-Nr. unbekannt",IF(A3012="","Datum fehlt",IF(AND(D3012&lt;&gt;Einstellungen!$C$4,D3012&lt;&gt;Einstellungen!$C$5),"Objekt fehlt",IF(YEAR(A3012)&lt;&gt;Einstellungen!$C$3,"anderes Jahr",IF(A3012&lt;INDEX(Mitarbeiter!$C$6:$C$205,MATCH(B3012,Mitarbeiter!$A$6:$A$205,0)),"vor Eintritt",IF(AND(INDEX(Mitarbeiter!$D$6:$D$205,MATCH(B3012,Mitarbeiter!$A$6:$A$205,0))&lt;&gt;"",A3012&gt;INDEX(Mitarbeiter!$D$6:$D$205,MATCH(B3012,Mitarbeiter!$A$6:$A$205,0))),"nach Austritt","ok")))))))</f>
        <v/>
      </c>
    </row>
    <row r="3013">
      <c r="A3013" s="26" t="n"/>
      <c r="B3013" s="24" t="n"/>
      <c r="C3013" s="40">
        <f>IF(B3013="","",IFERROR(INDEX(Mitarbeiter!$B$6:$B$205,MATCH(B3013,Mitarbeiter!$A$6:$A$205,0)),"?"))</f>
        <v/>
      </c>
      <c r="D3013" s="41" t="n"/>
      <c r="E3013" s="42" t="n"/>
      <c r="F3013" s="43" t="n"/>
      <c r="G3013" s="44">
        <f>IF(OR(B3013="",F3013=""),"",IFERROR(F3013*INDEX(Mitarbeiter!$F$6:$F$205,MATCH(B3013,Mitarbeiter!$A$6:$A$205,0)),0))</f>
        <v/>
      </c>
      <c r="H3013" s="8">
        <f>IF(B3013="","",IF(ISNA(MATCH(B3013,Mitarbeiter!$A$6:$A$205,0)),"Pers.-Nr. unbekannt",IF(A3013="","Datum fehlt",IF(AND(D3013&lt;&gt;Einstellungen!$C$4,D3013&lt;&gt;Einstellungen!$C$5),"Objekt fehlt",IF(YEAR(A3013)&lt;&gt;Einstellungen!$C$3,"anderes Jahr",IF(A3013&lt;INDEX(Mitarbeiter!$C$6:$C$205,MATCH(B3013,Mitarbeiter!$A$6:$A$205,0)),"vor Eintritt",IF(AND(INDEX(Mitarbeiter!$D$6:$D$205,MATCH(B3013,Mitarbeiter!$A$6:$A$205,0))&lt;&gt;"",A3013&gt;INDEX(Mitarbeiter!$D$6:$D$205,MATCH(B3013,Mitarbeiter!$A$6:$A$205,0))),"nach Austritt","ok")))))))</f>
        <v/>
      </c>
    </row>
    <row r="3014">
      <c r="A3014" s="26" t="n"/>
      <c r="B3014" s="24" t="n"/>
      <c r="C3014" s="40">
        <f>IF(B3014="","",IFERROR(INDEX(Mitarbeiter!$B$6:$B$205,MATCH(B3014,Mitarbeiter!$A$6:$A$205,0)),"?"))</f>
        <v/>
      </c>
      <c r="D3014" s="41" t="n"/>
      <c r="E3014" s="42" t="n"/>
      <c r="F3014" s="43" t="n"/>
      <c r="G3014" s="44">
        <f>IF(OR(B3014="",F3014=""),"",IFERROR(F3014*INDEX(Mitarbeiter!$F$6:$F$205,MATCH(B3014,Mitarbeiter!$A$6:$A$205,0)),0))</f>
        <v/>
      </c>
      <c r="H3014" s="8">
        <f>IF(B3014="","",IF(ISNA(MATCH(B3014,Mitarbeiter!$A$6:$A$205,0)),"Pers.-Nr. unbekannt",IF(A3014="","Datum fehlt",IF(AND(D3014&lt;&gt;Einstellungen!$C$4,D3014&lt;&gt;Einstellungen!$C$5),"Objekt fehlt",IF(YEAR(A3014)&lt;&gt;Einstellungen!$C$3,"anderes Jahr",IF(A3014&lt;INDEX(Mitarbeiter!$C$6:$C$205,MATCH(B3014,Mitarbeiter!$A$6:$A$205,0)),"vor Eintritt",IF(AND(INDEX(Mitarbeiter!$D$6:$D$205,MATCH(B3014,Mitarbeiter!$A$6:$A$205,0))&lt;&gt;"",A3014&gt;INDEX(Mitarbeiter!$D$6:$D$205,MATCH(B3014,Mitarbeiter!$A$6:$A$205,0))),"nach Austritt","ok")))))))</f>
        <v/>
      </c>
    </row>
    <row r="3015">
      <c r="A3015" s="26" t="n"/>
      <c r="B3015" s="24" t="n"/>
      <c r="C3015" s="40">
        <f>IF(B3015="","",IFERROR(INDEX(Mitarbeiter!$B$6:$B$205,MATCH(B3015,Mitarbeiter!$A$6:$A$205,0)),"?"))</f>
        <v/>
      </c>
      <c r="D3015" s="41" t="n"/>
      <c r="E3015" s="42" t="n"/>
      <c r="F3015" s="43" t="n"/>
      <c r="G3015" s="44">
        <f>IF(OR(B3015="",F3015=""),"",IFERROR(F3015*INDEX(Mitarbeiter!$F$6:$F$205,MATCH(B3015,Mitarbeiter!$A$6:$A$205,0)),0))</f>
        <v/>
      </c>
      <c r="H3015" s="8">
        <f>IF(B3015="","",IF(ISNA(MATCH(B3015,Mitarbeiter!$A$6:$A$205,0)),"Pers.-Nr. unbekannt",IF(A3015="","Datum fehlt",IF(AND(D3015&lt;&gt;Einstellungen!$C$4,D3015&lt;&gt;Einstellungen!$C$5),"Objekt fehlt",IF(YEAR(A3015)&lt;&gt;Einstellungen!$C$3,"anderes Jahr",IF(A3015&lt;INDEX(Mitarbeiter!$C$6:$C$205,MATCH(B3015,Mitarbeiter!$A$6:$A$205,0)),"vor Eintritt",IF(AND(INDEX(Mitarbeiter!$D$6:$D$205,MATCH(B3015,Mitarbeiter!$A$6:$A$205,0))&lt;&gt;"",A3015&gt;INDEX(Mitarbeiter!$D$6:$D$205,MATCH(B3015,Mitarbeiter!$A$6:$A$205,0))),"nach Austritt","ok")))))))</f>
        <v/>
      </c>
    </row>
    <row r="3016">
      <c r="A3016" s="26" t="n"/>
      <c r="B3016" s="24" t="n"/>
      <c r="C3016" s="40">
        <f>IF(B3016="","",IFERROR(INDEX(Mitarbeiter!$B$6:$B$205,MATCH(B3016,Mitarbeiter!$A$6:$A$205,0)),"?"))</f>
        <v/>
      </c>
      <c r="D3016" s="41" t="n"/>
      <c r="E3016" s="42" t="n"/>
      <c r="F3016" s="43" t="n"/>
      <c r="G3016" s="44">
        <f>IF(OR(B3016="",F3016=""),"",IFERROR(F3016*INDEX(Mitarbeiter!$F$6:$F$205,MATCH(B3016,Mitarbeiter!$A$6:$A$205,0)),0))</f>
        <v/>
      </c>
      <c r="H3016" s="8">
        <f>IF(B3016="","",IF(ISNA(MATCH(B3016,Mitarbeiter!$A$6:$A$205,0)),"Pers.-Nr. unbekannt",IF(A3016="","Datum fehlt",IF(AND(D3016&lt;&gt;Einstellungen!$C$4,D3016&lt;&gt;Einstellungen!$C$5),"Objekt fehlt",IF(YEAR(A3016)&lt;&gt;Einstellungen!$C$3,"anderes Jahr",IF(A3016&lt;INDEX(Mitarbeiter!$C$6:$C$205,MATCH(B3016,Mitarbeiter!$A$6:$A$205,0)),"vor Eintritt",IF(AND(INDEX(Mitarbeiter!$D$6:$D$205,MATCH(B3016,Mitarbeiter!$A$6:$A$205,0))&lt;&gt;"",A3016&gt;INDEX(Mitarbeiter!$D$6:$D$205,MATCH(B3016,Mitarbeiter!$A$6:$A$205,0))),"nach Austritt","ok")))))))</f>
        <v/>
      </c>
    </row>
    <row r="3017">
      <c r="A3017" s="26" t="n"/>
      <c r="B3017" s="24" t="n"/>
      <c r="C3017" s="40">
        <f>IF(B3017="","",IFERROR(INDEX(Mitarbeiter!$B$6:$B$205,MATCH(B3017,Mitarbeiter!$A$6:$A$205,0)),"?"))</f>
        <v/>
      </c>
      <c r="D3017" s="41" t="n"/>
      <c r="E3017" s="42" t="n"/>
      <c r="F3017" s="43" t="n"/>
      <c r="G3017" s="44">
        <f>IF(OR(B3017="",F3017=""),"",IFERROR(F3017*INDEX(Mitarbeiter!$F$6:$F$205,MATCH(B3017,Mitarbeiter!$A$6:$A$205,0)),0))</f>
        <v/>
      </c>
      <c r="H3017" s="8">
        <f>IF(B3017="","",IF(ISNA(MATCH(B3017,Mitarbeiter!$A$6:$A$205,0)),"Pers.-Nr. unbekannt",IF(A3017="","Datum fehlt",IF(AND(D3017&lt;&gt;Einstellungen!$C$4,D3017&lt;&gt;Einstellungen!$C$5),"Objekt fehlt",IF(YEAR(A3017)&lt;&gt;Einstellungen!$C$3,"anderes Jahr",IF(A3017&lt;INDEX(Mitarbeiter!$C$6:$C$205,MATCH(B3017,Mitarbeiter!$A$6:$A$205,0)),"vor Eintritt",IF(AND(INDEX(Mitarbeiter!$D$6:$D$205,MATCH(B3017,Mitarbeiter!$A$6:$A$205,0))&lt;&gt;"",A3017&gt;INDEX(Mitarbeiter!$D$6:$D$205,MATCH(B3017,Mitarbeiter!$A$6:$A$205,0))),"nach Austritt","ok")))))))</f>
        <v/>
      </c>
    </row>
    <row r="3018">
      <c r="A3018" s="26" t="n"/>
      <c r="B3018" s="24" t="n"/>
      <c r="C3018" s="40">
        <f>IF(B3018="","",IFERROR(INDEX(Mitarbeiter!$B$6:$B$205,MATCH(B3018,Mitarbeiter!$A$6:$A$205,0)),"?"))</f>
        <v/>
      </c>
      <c r="D3018" s="41" t="n"/>
      <c r="E3018" s="42" t="n"/>
      <c r="F3018" s="43" t="n"/>
      <c r="G3018" s="44">
        <f>IF(OR(B3018="",F3018=""),"",IFERROR(F3018*INDEX(Mitarbeiter!$F$6:$F$205,MATCH(B3018,Mitarbeiter!$A$6:$A$205,0)),0))</f>
        <v/>
      </c>
      <c r="H3018" s="8">
        <f>IF(B3018="","",IF(ISNA(MATCH(B3018,Mitarbeiter!$A$6:$A$205,0)),"Pers.-Nr. unbekannt",IF(A3018="","Datum fehlt",IF(AND(D3018&lt;&gt;Einstellungen!$C$4,D3018&lt;&gt;Einstellungen!$C$5),"Objekt fehlt",IF(YEAR(A3018)&lt;&gt;Einstellungen!$C$3,"anderes Jahr",IF(A3018&lt;INDEX(Mitarbeiter!$C$6:$C$205,MATCH(B3018,Mitarbeiter!$A$6:$A$205,0)),"vor Eintritt",IF(AND(INDEX(Mitarbeiter!$D$6:$D$205,MATCH(B3018,Mitarbeiter!$A$6:$A$205,0))&lt;&gt;"",A3018&gt;INDEX(Mitarbeiter!$D$6:$D$205,MATCH(B3018,Mitarbeiter!$A$6:$A$205,0))),"nach Austritt","ok")))))))</f>
        <v/>
      </c>
    </row>
    <row r="3019">
      <c r="A3019" s="26" t="n"/>
      <c r="B3019" s="24" t="n"/>
      <c r="C3019" s="40">
        <f>IF(B3019="","",IFERROR(INDEX(Mitarbeiter!$B$6:$B$205,MATCH(B3019,Mitarbeiter!$A$6:$A$205,0)),"?"))</f>
        <v/>
      </c>
      <c r="D3019" s="41" t="n"/>
      <c r="E3019" s="42" t="n"/>
      <c r="F3019" s="43" t="n"/>
      <c r="G3019" s="44">
        <f>IF(OR(B3019="",F3019=""),"",IFERROR(F3019*INDEX(Mitarbeiter!$F$6:$F$205,MATCH(B3019,Mitarbeiter!$A$6:$A$205,0)),0))</f>
        <v/>
      </c>
      <c r="H3019" s="8">
        <f>IF(B3019="","",IF(ISNA(MATCH(B3019,Mitarbeiter!$A$6:$A$205,0)),"Pers.-Nr. unbekannt",IF(A3019="","Datum fehlt",IF(AND(D3019&lt;&gt;Einstellungen!$C$4,D3019&lt;&gt;Einstellungen!$C$5),"Objekt fehlt",IF(YEAR(A3019)&lt;&gt;Einstellungen!$C$3,"anderes Jahr",IF(A3019&lt;INDEX(Mitarbeiter!$C$6:$C$205,MATCH(B3019,Mitarbeiter!$A$6:$A$205,0)),"vor Eintritt",IF(AND(INDEX(Mitarbeiter!$D$6:$D$205,MATCH(B3019,Mitarbeiter!$A$6:$A$205,0))&lt;&gt;"",A3019&gt;INDEX(Mitarbeiter!$D$6:$D$205,MATCH(B3019,Mitarbeiter!$A$6:$A$205,0))),"nach Austritt","ok")))))))</f>
        <v/>
      </c>
    </row>
    <row r="3020">
      <c r="A3020" s="26" t="n"/>
      <c r="B3020" s="24" t="n"/>
      <c r="C3020" s="40">
        <f>IF(B3020="","",IFERROR(INDEX(Mitarbeiter!$B$6:$B$205,MATCH(B3020,Mitarbeiter!$A$6:$A$205,0)),"?"))</f>
        <v/>
      </c>
      <c r="D3020" s="41" t="n"/>
      <c r="E3020" s="42" t="n"/>
      <c r="F3020" s="43" t="n"/>
      <c r="G3020" s="44">
        <f>IF(OR(B3020="",F3020=""),"",IFERROR(F3020*INDEX(Mitarbeiter!$F$6:$F$205,MATCH(B3020,Mitarbeiter!$A$6:$A$205,0)),0))</f>
        <v/>
      </c>
      <c r="H3020" s="8">
        <f>IF(B3020="","",IF(ISNA(MATCH(B3020,Mitarbeiter!$A$6:$A$205,0)),"Pers.-Nr. unbekannt",IF(A3020="","Datum fehlt",IF(AND(D3020&lt;&gt;Einstellungen!$C$4,D3020&lt;&gt;Einstellungen!$C$5),"Objekt fehlt",IF(YEAR(A3020)&lt;&gt;Einstellungen!$C$3,"anderes Jahr",IF(A3020&lt;INDEX(Mitarbeiter!$C$6:$C$205,MATCH(B3020,Mitarbeiter!$A$6:$A$205,0)),"vor Eintritt",IF(AND(INDEX(Mitarbeiter!$D$6:$D$205,MATCH(B3020,Mitarbeiter!$A$6:$A$205,0))&lt;&gt;"",A3020&gt;INDEX(Mitarbeiter!$D$6:$D$205,MATCH(B3020,Mitarbeiter!$A$6:$A$205,0))),"nach Austritt","ok")))))))</f>
        <v/>
      </c>
    </row>
    <row r="3021">
      <c r="A3021" s="26" t="n"/>
      <c r="B3021" s="24" t="n"/>
      <c r="C3021" s="40">
        <f>IF(B3021="","",IFERROR(INDEX(Mitarbeiter!$B$6:$B$205,MATCH(B3021,Mitarbeiter!$A$6:$A$205,0)),"?"))</f>
        <v/>
      </c>
      <c r="D3021" s="41" t="n"/>
      <c r="E3021" s="42" t="n"/>
      <c r="F3021" s="43" t="n"/>
      <c r="G3021" s="44">
        <f>IF(OR(B3021="",F3021=""),"",IFERROR(F3021*INDEX(Mitarbeiter!$F$6:$F$205,MATCH(B3021,Mitarbeiter!$A$6:$A$205,0)),0))</f>
        <v/>
      </c>
      <c r="H3021" s="8">
        <f>IF(B3021="","",IF(ISNA(MATCH(B3021,Mitarbeiter!$A$6:$A$205,0)),"Pers.-Nr. unbekannt",IF(A3021="","Datum fehlt",IF(AND(D3021&lt;&gt;Einstellungen!$C$4,D3021&lt;&gt;Einstellungen!$C$5),"Objekt fehlt",IF(YEAR(A3021)&lt;&gt;Einstellungen!$C$3,"anderes Jahr",IF(A3021&lt;INDEX(Mitarbeiter!$C$6:$C$205,MATCH(B3021,Mitarbeiter!$A$6:$A$205,0)),"vor Eintritt",IF(AND(INDEX(Mitarbeiter!$D$6:$D$205,MATCH(B3021,Mitarbeiter!$A$6:$A$205,0))&lt;&gt;"",A3021&gt;INDEX(Mitarbeiter!$D$6:$D$205,MATCH(B3021,Mitarbeiter!$A$6:$A$205,0))),"nach Austritt","ok")))))))</f>
        <v/>
      </c>
    </row>
    <row r="3022">
      <c r="A3022" s="26" t="n"/>
      <c r="B3022" s="24" t="n"/>
      <c r="C3022" s="40">
        <f>IF(B3022="","",IFERROR(INDEX(Mitarbeiter!$B$6:$B$205,MATCH(B3022,Mitarbeiter!$A$6:$A$205,0)),"?"))</f>
        <v/>
      </c>
      <c r="D3022" s="41" t="n"/>
      <c r="E3022" s="42" t="n"/>
      <c r="F3022" s="43" t="n"/>
      <c r="G3022" s="44">
        <f>IF(OR(B3022="",F3022=""),"",IFERROR(F3022*INDEX(Mitarbeiter!$F$6:$F$205,MATCH(B3022,Mitarbeiter!$A$6:$A$205,0)),0))</f>
        <v/>
      </c>
      <c r="H3022" s="8">
        <f>IF(B3022="","",IF(ISNA(MATCH(B3022,Mitarbeiter!$A$6:$A$205,0)),"Pers.-Nr. unbekannt",IF(A3022="","Datum fehlt",IF(AND(D3022&lt;&gt;Einstellungen!$C$4,D3022&lt;&gt;Einstellungen!$C$5),"Objekt fehlt",IF(YEAR(A3022)&lt;&gt;Einstellungen!$C$3,"anderes Jahr",IF(A3022&lt;INDEX(Mitarbeiter!$C$6:$C$205,MATCH(B3022,Mitarbeiter!$A$6:$A$205,0)),"vor Eintritt",IF(AND(INDEX(Mitarbeiter!$D$6:$D$205,MATCH(B3022,Mitarbeiter!$A$6:$A$205,0))&lt;&gt;"",A3022&gt;INDEX(Mitarbeiter!$D$6:$D$205,MATCH(B3022,Mitarbeiter!$A$6:$A$205,0))),"nach Austritt","ok")))))))</f>
        <v/>
      </c>
    </row>
    <row r="3023">
      <c r="A3023" s="26" t="n"/>
      <c r="B3023" s="24" t="n"/>
      <c r="C3023" s="40">
        <f>IF(B3023="","",IFERROR(INDEX(Mitarbeiter!$B$6:$B$205,MATCH(B3023,Mitarbeiter!$A$6:$A$205,0)),"?"))</f>
        <v/>
      </c>
      <c r="D3023" s="41" t="n"/>
      <c r="E3023" s="42" t="n"/>
      <c r="F3023" s="43" t="n"/>
      <c r="G3023" s="44">
        <f>IF(OR(B3023="",F3023=""),"",IFERROR(F3023*INDEX(Mitarbeiter!$F$6:$F$205,MATCH(B3023,Mitarbeiter!$A$6:$A$205,0)),0))</f>
        <v/>
      </c>
      <c r="H3023" s="8">
        <f>IF(B3023="","",IF(ISNA(MATCH(B3023,Mitarbeiter!$A$6:$A$205,0)),"Pers.-Nr. unbekannt",IF(A3023="","Datum fehlt",IF(AND(D3023&lt;&gt;Einstellungen!$C$4,D3023&lt;&gt;Einstellungen!$C$5),"Objekt fehlt",IF(YEAR(A3023)&lt;&gt;Einstellungen!$C$3,"anderes Jahr",IF(A3023&lt;INDEX(Mitarbeiter!$C$6:$C$205,MATCH(B3023,Mitarbeiter!$A$6:$A$205,0)),"vor Eintritt",IF(AND(INDEX(Mitarbeiter!$D$6:$D$205,MATCH(B3023,Mitarbeiter!$A$6:$A$205,0))&lt;&gt;"",A3023&gt;INDEX(Mitarbeiter!$D$6:$D$205,MATCH(B3023,Mitarbeiter!$A$6:$A$205,0))),"nach Austritt","ok")))))))</f>
        <v/>
      </c>
    </row>
    <row r="3024">
      <c r="A3024" s="26" t="n"/>
      <c r="B3024" s="24" t="n"/>
      <c r="C3024" s="40">
        <f>IF(B3024="","",IFERROR(INDEX(Mitarbeiter!$B$6:$B$205,MATCH(B3024,Mitarbeiter!$A$6:$A$205,0)),"?"))</f>
        <v/>
      </c>
      <c r="D3024" s="41" t="n"/>
      <c r="E3024" s="42" t="n"/>
      <c r="F3024" s="43" t="n"/>
      <c r="G3024" s="44">
        <f>IF(OR(B3024="",F3024=""),"",IFERROR(F3024*INDEX(Mitarbeiter!$F$6:$F$205,MATCH(B3024,Mitarbeiter!$A$6:$A$205,0)),0))</f>
        <v/>
      </c>
      <c r="H3024" s="8">
        <f>IF(B3024="","",IF(ISNA(MATCH(B3024,Mitarbeiter!$A$6:$A$205,0)),"Pers.-Nr. unbekannt",IF(A3024="","Datum fehlt",IF(AND(D3024&lt;&gt;Einstellungen!$C$4,D3024&lt;&gt;Einstellungen!$C$5),"Objekt fehlt",IF(YEAR(A3024)&lt;&gt;Einstellungen!$C$3,"anderes Jahr",IF(A3024&lt;INDEX(Mitarbeiter!$C$6:$C$205,MATCH(B3024,Mitarbeiter!$A$6:$A$205,0)),"vor Eintritt",IF(AND(INDEX(Mitarbeiter!$D$6:$D$205,MATCH(B3024,Mitarbeiter!$A$6:$A$205,0))&lt;&gt;"",A3024&gt;INDEX(Mitarbeiter!$D$6:$D$205,MATCH(B3024,Mitarbeiter!$A$6:$A$205,0))),"nach Austritt","ok")))))))</f>
        <v/>
      </c>
    </row>
    <row r="3025">
      <c r="A3025" s="26" t="n"/>
      <c r="B3025" s="24" t="n"/>
      <c r="C3025" s="40">
        <f>IF(B3025="","",IFERROR(INDEX(Mitarbeiter!$B$6:$B$205,MATCH(B3025,Mitarbeiter!$A$6:$A$205,0)),"?"))</f>
        <v/>
      </c>
      <c r="D3025" s="41" t="n"/>
      <c r="E3025" s="42" t="n"/>
      <c r="F3025" s="43" t="n"/>
      <c r="G3025" s="44">
        <f>IF(OR(B3025="",F3025=""),"",IFERROR(F3025*INDEX(Mitarbeiter!$F$6:$F$205,MATCH(B3025,Mitarbeiter!$A$6:$A$205,0)),0))</f>
        <v/>
      </c>
      <c r="H3025" s="8">
        <f>IF(B3025="","",IF(ISNA(MATCH(B3025,Mitarbeiter!$A$6:$A$205,0)),"Pers.-Nr. unbekannt",IF(A3025="","Datum fehlt",IF(AND(D3025&lt;&gt;Einstellungen!$C$4,D3025&lt;&gt;Einstellungen!$C$5),"Objekt fehlt",IF(YEAR(A3025)&lt;&gt;Einstellungen!$C$3,"anderes Jahr",IF(A3025&lt;INDEX(Mitarbeiter!$C$6:$C$205,MATCH(B3025,Mitarbeiter!$A$6:$A$205,0)),"vor Eintritt",IF(AND(INDEX(Mitarbeiter!$D$6:$D$205,MATCH(B3025,Mitarbeiter!$A$6:$A$205,0))&lt;&gt;"",A3025&gt;INDEX(Mitarbeiter!$D$6:$D$205,MATCH(B3025,Mitarbeiter!$A$6:$A$205,0))),"nach Austritt","ok")))))))</f>
        <v/>
      </c>
    </row>
    <row r="3026">
      <c r="A3026" s="26" t="n"/>
      <c r="B3026" s="24" t="n"/>
      <c r="C3026" s="40">
        <f>IF(B3026="","",IFERROR(INDEX(Mitarbeiter!$B$6:$B$205,MATCH(B3026,Mitarbeiter!$A$6:$A$205,0)),"?"))</f>
        <v/>
      </c>
      <c r="D3026" s="41" t="n"/>
      <c r="E3026" s="42" t="n"/>
      <c r="F3026" s="43" t="n"/>
      <c r="G3026" s="44">
        <f>IF(OR(B3026="",F3026=""),"",IFERROR(F3026*INDEX(Mitarbeiter!$F$6:$F$205,MATCH(B3026,Mitarbeiter!$A$6:$A$205,0)),0))</f>
        <v/>
      </c>
      <c r="H3026" s="8">
        <f>IF(B3026="","",IF(ISNA(MATCH(B3026,Mitarbeiter!$A$6:$A$205,0)),"Pers.-Nr. unbekannt",IF(A3026="","Datum fehlt",IF(AND(D3026&lt;&gt;Einstellungen!$C$4,D3026&lt;&gt;Einstellungen!$C$5),"Objekt fehlt",IF(YEAR(A3026)&lt;&gt;Einstellungen!$C$3,"anderes Jahr",IF(A3026&lt;INDEX(Mitarbeiter!$C$6:$C$205,MATCH(B3026,Mitarbeiter!$A$6:$A$205,0)),"vor Eintritt",IF(AND(INDEX(Mitarbeiter!$D$6:$D$205,MATCH(B3026,Mitarbeiter!$A$6:$A$205,0))&lt;&gt;"",A3026&gt;INDEX(Mitarbeiter!$D$6:$D$205,MATCH(B3026,Mitarbeiter!$A$6:$A$205,0))),"nach Austritt","ok")))))))</f>
        <v/>
      </c>
    </row>
    <row r="3027">
      <c r="A3027" s="26" t="n"/>
      <c r="B3027" s="24" t="n"/>
      <c r="C3027" s="40">
        <f>IF(B3027="","",IFERROR(INDEX(Mitarbeiter!$B$6:$B$205,MATCH(B3027,Mitarbeiter!$A$6:$A$205,0)),"?"))</f>
        <v/>
      </c>
      <c r="D3027" s="41" t="n"/>
      <c r="E3027" s="42" t="n"/>
      <c r="F3027" s="43" t="n"/>
      <c r="G3027" s="44">
        <f>IF(OR(B3027="",F3027=""),"",IFERROR(F3027*INDEX(Mitarbeiter!$F$6:$F$205,MATCH(B3027,Mitarbeiter!$A$6:$A$205,0)),0))</f>
        <v/>
      </c>
      <c r="H3027" s="8">
        <f>IF(B3027="","",IF(ISNA(MATCH(B3027,Mitarbeiter!$A$6:$A$205,0)),"Pers.-Nr. unbekannt",IF(A3027="","Datum fehlt",IF(AND(D3027&lt;&gt;Einstellungen!$C$4,D3027&lt;&gt;Einstellungen!$C$5),"Objekt fehlt",IF(YEAR(A3027)&lt;&gt;Einstellungen!$C$3,"anderes Jahr",IF(A3027&lt;INDEX(Mitarbeiter!$C$6:$C$205,MATCH(B3027,Mitarbeiter!$A$6:$A$205,0)),"vor Eintritt",IF(AND(INDEX(Mitarbeiter!$D$6:$D$205,MATCH(B3027,Mitarbeiter!$A$6:$A$205,0))&lt;&gt;"",A3027&gt;INDEX(Mitarbeiter!$D$6:$D$205,MATCH(B3027,Mitarbeiter!$A$6:$A$205,0))),"nach Austritt","ok")))))))</f>
        <v/>
      </c>
    </row>
    <row r="3028">
      <c r="A3028" s="26" t="n"/>
      <c r="B3028" s="24" t="n"/>
      <c r="C3028" s="40">
        <f>IF(B3028="","",IFERROR(INDEX(Mitarbeiter!$B$6:$B$205,MATCH(B3028,Mitarbeiter!$A$6:$A$205,0)),"?"))</f>
        <v/>
      </c>
      <c r="D3028" s="41" t="n"/>
      <c r="E3028" s="42" t="n"/>
      <c r="F3028" s="43" t="n"/>
      <c r="G3028" s="44">
        <f>IF(OR(B3028="",F3028=""),"",IFERROR(F3028*INDEX(Mitarbeiter!$F$6:$F$205,MATCH(B3028,Mitarbeiter!$A$6:$A$205,0)),0))</f>
        <v/>
      </c>
      <c r="H3028" s="8">
        <f>IF(B3028="","",IF(ISNA(MATCH(B3028,Mitarbeiter!$A$6:$A$205,0)),"Pers.-Nr. unbekannt",IF(A3028="","Datum fehlt",IF(AND(D3028&lt;&gt;Einstellungen!$C$4,D3028&lt;&gt;Einstellungen!$C$5),"Objekt fehlt",IF(YEAR(A3028)&lt;&gt;Einstellungen!$C$3,"anderes Jahr",IF(A3028&lt;INDEX(Mitarbeiter!$C$6:$C$205,MATCH(B3028,Mitarbeiter!$A$6:$A$205,0)),"vor Eintritt",IF(AND(INDEX(Mitarbeiter!$D$6:$D$205,MATCH(B3028,Mitarbeiter!$A$6:$A$205,0))&lt;&gt;"",A3028&gt;INDEX(Mitarbeiter!$D$6:$D$205,MATCH(B3028,Mitarbeiter!$A$6:$A$205,0))),"nach Austritt","ok")))))))</f>
        <v/>
      </c>
    </row>
    <row r="3029">
      <c r="A3029" s="26" t="n"/>
      <c r="B3029" s="24" t="n"/>
      <c r="C3029" s="40">
        <f>IF(B3029="","",IFERROR(INDEX(Mitarbeiter!$B$6:$B$205,MATCH(B3029,Mitarbeiter!$A$6:$A$205,0)),"?"))</f>
        <v/>
      </c>
      <c r="D3029" s="41" t="n"/>
      <c r="E3029" s="42" t="n"/>
      <c r="F3029" s="43" t="n"/>
      <c r="G3029" s="44">
        <f>IF(OR(B3029="",F3029=""),"",IFERROR(F3029*INDEX(Mitarbeiter!$F$6:$F$205,MATCH(B3029,Mitarbeiter!$A$6:$A$205,0)),0))</f>
        <v/>
      </c>
      <c r="H3029" s="8">
        <f>IF(B3029="","",IF(ISNA(MATCH(B3029,Mitarbeiter!$A$6:$A$205,0)),"Pers.-Nr. unbekannt",IF(A3029="","Datum fehlt",IF(AND(D3029&lt;&gt;Einstellungen!$C$4,D3029&lt;&gt;Einstellungen!$C$5),"Objekt fehlt",IF(YEAR(A3029)&lt;&gt;Einstellungen!$C$3,"anderes Jahr",IF(A3029&lt;INDEX(Mitarbeiter!$C$6:$C$205,MATCH(B3029,Mitarbeiter!$A$6:$A$205,0)),"vor Eintritt",IF(AND(INDEX(Mitarbeiter!$D$6:$D$205,MATCH(B3029,Mitarbeiter!$A$6:$A$205,0))&lt;&gt;"",A3029&gt;INDEX(Mitarbeiter!$D$6:$D$205,MATCH(B3029,Mitarbeiter!$A$6:$A$205,0))),"nach Austritt","ok")))))))</f>
        <v/>
      </c>
    </row>
    <row r="3030">
      <c r="A3030" s="26" t="n"/>
      <c r="B3030" s="24" t="n"/>
      <c r="C3030" s="40">
        <f>IF(B3030="","",IFERROR(INDEX(Mitarbeiter!$B$6:$B$205,MATCH(B3030,Mitarbeiter!$A$6:$A$205,0)),"?"))</f>
        <v/>
      </c>
      <c r="D3030" s="41" t="n"/>
      <c r="E3030" s="42" t="n"/>
      <c r="F3030" s="43" t="n"/>
      <c r="G3030" s="44">
        <f>IF(OR(B3030="",F3030=""),"",IFERROR(F3030*INDEX(Mitarbeiter!$F$6:$F$205,MATCH(B3030,Mitarbeiter!$A$6:$A$205,0)),0))</f>
        <v/>
      </c>
      <c r="H3030" s="8">
        <f>IF(B3030="","",IF(ISNA(MATCH(B3030,Mitarbeiter!$A$6:$A$205,0)),"Pers.-Nr. unbekannt",IF(A3030="","Datum fehlt",IF(AND(D3030&lt;&gt;Einstellungen!$C$4,D3030&lt;&gt;Einstellungen!$C$5),"Objekt fehlt",IF(YEAR(A3030)&lt;&gt;Einstellungen!$C$3,"anderes Jahr",IF(A3030&lt;INDEX(Mitarbeiter!$C$6:$C$205,MATCH(B3030,Mitarbeiter!$A$6:$A$205,0)),"vor Eintritt",IF(AND(INDEX(Mitarbeiter!$D$6:$D$205,MATCH(B3030,Mitarbeiter!$A$6:$A$205,0))&lt;&gt;"",A3030&gt;INDEX(Mitarbeiter!$D$6:$D$205,MATCH(B3030,Mitarbeiter!$A$6:$A$205,0))),"nach Austritt","ok")))))))</f>
        <v/>
      </c>
    </row>
    <row r="3031">
      <c r="A3031" s="26" t="n"/>
      <c r="B3031" s="24" t="n"/>
      <c r="C3031" s="40">
        <f>IF(B3031="","",IFERROR(INDEX(Mitarbeiter!$B$6:$B$205,MATCH(B3031,Mitarbeiter!$A$6:$A$205,0)),"?"))</f>
        <v/>
      </c>
      <c r="D3031" s="41" t="n"/>
      <c r="E3031" s="42" t="n"/>
      <c r="F3031" s="43" t="n"/>
      <c r="G3031" s="44">
        <f>IF(OR(B3031="",F3031=""),"",IFERROR(F3031*INDEX(Mitarbeiter!$F$6:$F$205,MATCH(B3031,Mitarbeiter!$A$6:$A$205,0)),0))</f>
        <v/>
      </c>
      <c r="H3031" s="8">
        <f>IF(B3031="","",IF(ISNA(MATCH(B3031,Mitarbeiter!$A$6:$A$205,0)),"Pers.-Nr. unbekannt",IF(A3031="","Datum fehlt",IF(AND(D3031&lt;&gt;Einstellungen!$C$4,D3031&lt;&gt;Einstellungen!$C$5),"Objekt fehlt",IF(YEAR(A3031)&lt;&gt;Einstellungen!$C$3,"anderes Jahr",IF(A3031&lt;INDEX(Mitarbeiter!$C$6:$C$205,MATCH(B3031,Mitarbeiter!$A$6:$A$205,0)),"vor Eintritt",IF(AND(INDEX(Mitarbeiter!$D$6:$D$205,MATCH(B3031,Mitarbeiter!$A$6:$A$205,0))&lt;&gt;"",A3031&gt;INDEX(Mitarbeiter!$D$6:$D$205,MATCH(B3031,Mitarbeiter!$A$6:$A$205,0))),"nach Austritt","ok")))))))</f>
        <v/>
      </c>
    </row>
    <row r="3032">
      <c r="A3032" s="26" t="n"/>
      <c r="B3032" s="24" t="n"/>
      <c r="C3032" s="40">
        <f>IF(B3032="","",IFERROR(INDEX(Mitarbeiter!$B$6:$B$205,MATCH(B3032,Mitarbeiter!$A$6:$A$205,0)),"?"))</f>
        <v/>
      </c>
      <c r="D3032" s="41" t="n"/>
      <c r="E3032" s="42" t="n"/>
      <c r="F3032" s="43" t="n"/>
      <c r="G3032" s="44">
        <f>IF(OR(B3032="",F3032=""),"",IFERROR(F3032*INDEX(Mitarbeiter!$F$6:$F$205,MATCH(B3032,Mitarbeiter!$A$6:$A$205,0)),0))</f>
        <v/>
      </c>
      <c r="H3032" s="8">
        <f>IF(B3032="","",IF(ISNA(MATCH(B3032,Mitarbeiter!$A$6:$A$205,0)),"Pers.-Nr. unbekannt",IF(A3032="","Datum fehlt",IF(AND(D3032&lt;&gt;Einstellungen!$C$4,D3032&lt;&gt;Einstellungen!$C$5),"Objekt fehlt",IF(YEAR(A3032)&lt;&gt;Einstellungen!$C$3,"anderes Jahr",IF(A3032&lt;INDEX(Mitarbeiter!$C$6:$C$205,MATCH(B3032,Mitarbeiter!$A$6:$A$205,0)),"vor Eintritt",IF(AND(INDEX(Mitarbeiter!$D$6:$D$205,MATCH(B3032,Mitarbeiter!$A$6:$A$205,0))&lt;&gt;"",A3032&gt;INDEX(Mitarbeiter!$D$6:$D$205,MATCH(B3032,Mitarbeiter!$A$6:$A$205,0))),"nach Austritt","ok")))))))</f>
        <v/>
      </c>
    </row>
    <row r="3033">
      <c r="A3033" s="26" t="n"/>
      <c r="B3033" s="24" t="n"/>
      <c r="C3033" s="40">
        <f>IF(B3033="","",IFERROR(INDEX(Mitarbeiter!$B$6:$B$205,MATCH(B3033,Mitarbeiter!$A$6:$A$205,0)),"?"))</f>
        <v/>
      </c>
      <c r="D3033" s="41" t="n"/>
      <c r="E3033" s="42" t="n"/>
      <c r="F3033" s="43" t="n"/>
      <c r="G3033" s="44">
        <f>IF(OR(B3033="",F3033=""),"",IFERROR(F3033*INDEX(Mitarbeiter!$F$6:$F$205,MATCH(B3033,Mitarbeiter!$A$6:$A$205,0)),0))</f>
        <v/>
      </c>
      <c r="H3033" s="8">
        <f>IF(B3033="","",IF(ISNA(MATCH(B3033,Mitarbeiter!$A$6:$A$205,0)),"Pers.-Nr. unbekannt",IF(A3033="","Datum fehlt",IF(AND(D3033&lt;&gt;Einstellungen!$C$4,D3033&lt;&gt;Einstellungen!$C$5),"Objekt fehlt",IF(YEAR(A3033)&lt;&gt;Einstellungen!$C$3,"anderes Jahr",IF(A3033&lt;INDEX(Mitarbeiter!$C$6:$C$205,MATCH(B3033,Mitarbeiter!$A$6:$A$205,0)),"vor Eintritt",IF(AND(INDEX(Mitarbeiter!$D$6:$D$205,MATCH(B3033,Mitarbeiter!$A$6:$A$205,0))&lt;&gt;"",A3033&gt;INDEX(Mitarbeiter!$D$6:$D$205,MATCH(B3033,Mitarbeiter!$A$6:$A$205,0))),"nach Austritt","ok")))))))</f>
        <v/>
      </c>
    </row>
    <row r="3034">
      <c r="A3034" s="26" t="n"/>
      <c r="B3034" s="24" t="n"/>
      <c r="C3034" s="40">
        <f>IF(B3034="","",IFERROR(INDEX(Mitarbeiter!$B$6:$B$205,MATCH(B3034,Mitarbeiter!$A$6:$A$205,0)),"?"))</f>
        <v/>
      </c>
      <c r="D3034" s="41" t="n"/>
      <c r="E3034" s="42" t="n"/>
      <c r="F3034" s="43" t="n"/>
      <c r="G3034" s="44">
        <f>IF(OR(B3034="",F3034=""),"",IFERROR(F3034*INDEX(Mitarbeiter!$F$6:$F$205,MATCH(B3034,Mitarbeiter!$A$6:$A$205,0)),0))</f>
        <v/>
      </c>
      <c r="H3034" s="8">
        <f>IF(B3034="","",IF(ISNA(MATCH(B3034,Mitarbeiter!$A$6:$A$205,0)),"Pers.-Nr. unbekannt",IF(A3034="","Datum fehlt",IF(AND(D3034&lt;&gt;Einstellungen!$C$4,D3034&lt;&gt;Einstellungen!$C$5),"Objekt fehlt",IF(YEAR(A3034)&lt;&gt;Einstellungen!$C$3,"anderes Jahr",IF(A3034&lt;INDEX(Mitarbeiter!$C$6:$C$205,MATCH(B3034,Mitarbeiter!$A$6:$A$205,0)),"vor Eintritt",IF(AND(INDEX(Mitarbeiter!$D$6:$D$205,MATCH(B3034,Mitarbeiter!$A$6:$A$205,0))&lt;&gt;"",A3034&gt;INDEX(Mitarbeiter!$D$6:$D$205,MATCH(B3034,Mitarbeiter!$A$6:$A$205,0))),"nach Austritt","ok")))))))</f>
        <v/>
      </c>
    </row>
    <row r="3035">
      <c r="A3035" s="26" t="n"/>
      <c r="B3035" s="24" t="n"/>
      <c r="C3035" s="40">
        <f>IF(B3035="","",IFERROR(INDEX(Mitarbeiter!$B$6:$B$205,MATCH(B3035,Mitarbeiter!$A$6:$A$205,0)),"?"))</f>
        <v/>
      </c>
      <c r="D3035" s="41" t="n"/>
      <c r="E3035" s="42" t="n"/>
      <c r="F3035" s="43" t="n"/>
      <c r="G3035" s="44">
        <f>IF(OR(B3035="",F3035=""),"",IFERROR(F3035*INDEX(Mitarbeiter!$F$6:$F$205,MATCH(B3035,Mitarbeiter!$A$6:$A$205,0)),0))</f>
        <v/>
      </c>
      <c r="H3035" s="8">
        <f>IF(B3035="","",IF(ISNA(MATCH(B3035,Mitarbeiter!$A$6:$A$205,0)),"Pers.-Nr. unbekannt",IF(A3035="","Datum fehlt",IF(AND(D3035&lt;&gt;Einstellungen!$C$4,D3035&lt;&gt;Einstellungen!$C$5),"Objekt fehlt",IF(YEAR(A3035)&lt;&gt;Einstellungen!$C$3,"anderes Jahr",IF(A3035&lt;INDEX(Mitarbeiter!$C$6:$C$205,MATCH(B3035,Mitarbeiter!$A$6:$A$205,0)),"vor Eintritt",IF(AND(INDEX(Mitarbeiter!$D$6:$D$205,MATCH(B3035,Mitarbeiter!$A$6:$A$205,0))&lt;&gt;"",A3035&gt;INDEX(Mitarbeiter!$D$6:$D$205,MATCH(B3035,Mitarbeiter!$A$6:$A$205,0))),"nach Austritt","ok")))))))</f>
        <v/>
      </c>
    </row>
    <row r="3036">
      <c r="A3036" s="26" t="n"/>
      <c r="B3036" s="24" t="n"/>
      <c r="C3036" s="40">
        <f>IF(B3036="","",IFERROR(INDEX(Mitarbeiter!$B$6:$B$205,MATCH(B3036,Mitarbeiter!$A$6:$A$205,0)),"?"))</f>
        <v/>
      </c>
      <c r="D3036" s="41" t="n"/>
      <c r="E3036" s="42" t="n"/>
      <c r="F3036" s="43" t="n"/>
      <c r="G3036" s="44">
        <f>IF(OR(B3036="",F3036=""),"",IFERROR(F3036*INDEX(Mitarbeiter!$F$6:$F$205,MATCH(B3036,Mitarbeiter!$A$6:$A$205,0)),0))</f>
        <v/>
      </c>
      <c r="H3036" s="8">
        <f>IF(B3036="","",IF(ISNA(MATCH(B3036,Mitarbeiter!$A$6:$A$205,0)),"Pers.-Nr. unbekannt",IF(A3036="","Datum fehlt",IF(AND(D3036&lt;&gt;Einstellungen!$C$4,D3036&lt;&gt;Einstellungen!$C$5),"Objekt fehlt",IF(YEAR(A3036)&lt;&gt;Einstellungen!$C$3,"anderes Jahr",IF(A3036&lt;INDEX(Mitarbeiter!$C$6:$C$205,MATCH(B3036,Mitarbeiter!$A$6:$A$205,0)),"vor Eintritt",IF(AND(INDEX(Mitarbeiter!$D$6:$D$205,MATCH(B3036,Mitarbeiter!$A$6:$A$205,0))&lt;&gt;"",A3036&gt;INDEX(Mitarbeiter!$D$6:$D$205,MATCH(B3036,Mitarbeiter!$A$6:$A$205,0))),"nach Austritt","ok")))))))</f>
        <v/>
      </c>
    </row>
    <row r="3037">
      <c r="A3037" s="26" t="n"/>
      <c r="B3037" s="24" t="n"/>
      <c r="C3037" s="40">
        <f>IF(B3037="","",IFERROR(INDEX(Mitarbeiter!$B$6:$B$205,MATCH(B3037,Mitarbeiter!$A$6:$A$205,0)),"?"))</f>
        <v/>
      </c>
      <c r="D3037" s="41" t="n"/>
      <c r="E3037" s="42" t="n"/>
      <c r="F3037" s="43" t="n"/>
      <c r="G3037" s="44">
        <f>IF(OR(B3037="",F3037=""),"",IFERROR(F3037*INDEX(Mitarbeiter!$F$6:$F$205,MATCH(B3037,Mitarbeiter!$A$6:$A$205,0)),0))</f>
        <v/>
      </c>
      <c r="H3037" s="8">
        <f>IF(B3037="","",IF(ISNA(MATCH(B3037,Mitarbeiter!$A$6:$A$205,0)),"Pers.-Nr. unbekannt",IF(A3037="","Datum fehlt",IF(AND(D3037&lt;&gt;Einstellungen!$C$4,D3037&lt;&gt;Einstellungen!$C$5),"Objekt fehlt",IF(YEAR(A3037)&lt;&gt;Einstellungen!$C$3,"anderes Jahr",IF(A3037&lt;INDEX(Mitarbeiter!$C$6:$C$205,MATCH(B3037,Mitarbeiter!$A$6:$A$205,0)),"vor Eintritt",IF(AND(INDEX(Mitarbeiter!$D$6:$D$205,MATCH(B3037,Mitarbeiter!$A$6:$A$205,0))&lt;&gt;"",A3037&gt;INDEX(Mitarbeiter!$D$6:$D$205,MATCH(B3037,Mitarbeiter!$A$6:$A$205,0))),"nach Austritt","ok")))))))</f>
        <v/>
      </c>
    </row>
    <row r="3038">
      <c r="A3038" s="26" t="n"/>
      <c r="B3038" s="24" t="n"/>
      <c r="C3038" s="40">
        <f>IF(B3038="","",IFERROR(INDEX(Mitarbeiter!$B$6:$B$205,MATCH(B3038,Mitarbeiter!$A$6:$A$205,0)),"?"))</f>
        <v/>
      </c>
      <c r="D3038" s="41" t="n"/>
      <c r="E3038" s="42" t="n"/>
      <c r="F3038" s="43" t="n"/>
      <c r="G3038" s="44">
        <f>IF(OR(B3038="",F3038=""),"",IFERROR(F3038*INDEX(Mitarbeiter!$F$6:$F$205,MATCH(B3038,Mitarbeiter!$A$6:$A$205,0)),0))</f>
        <v/>
      </c>
      <c r="H3038" s="8">
        <f>IF(B3038="","",IF(ISNA(MATCH(B3038,Mitarbeiter!$A$6:$A$205,0)),"Pers.-Nr. unbekannt",IF(A3038="","Datum fehlt",IF(AND(D3038&lt;&gt;Einstellungen!$C$4,D3038&lt;&gt;Einstellungen!$C$5),"Objekt fehlt",IF(YEAR(A3038)&lt;&gt;Einstellungen!$C$3,"anderes Jahr",IF(A3038&lt;INDEX(Mitarbeiter!$C$6:$C$205,MATCH(B3038,Mitarbeiter!$A$6:$A$205,0)),"vor Eintritt",IF(AND(INDEX(Mitarbeiter!$D$6:$D$205,MATCH(B3038,Mitarbeiter!$A$6:$A$205,0))&lt;&gt;"",A3038&gt;INDEX(Mitarbeiter!$D$6:$D$205,MATCH(B3038,Mitarbeiter!$A$6:$A$205,0))),"nach Austritt","ok")))))))</f>
        <v/>
      </c>
    </row>
    <row r="3039">
      <c r="A3039" s="26" t="n"/>
      <c r="B3039" s="24" t="n"/>
      <c r="C3039" s="40">
        <f>IF(B3039="","",IFERROR(INDEX(Mitarbeiter!$B$6:$B$205,MATCH(B3039,Mitarbeiter!$A$6:$A$205,0)),"?"))</f>
        <v/>
      </c>
      <c r="D3039" s="41" t="n"/>
      <c r="E3039" s="42" t="n"/>
      <c r="F3039" s="43" t="n"/>
      <c r="G3039" s="44">
        <f>IF(OR(B3039="",F3039=""),"",IFERROR(F3039*INDEX(Mitarbeiter!$F$6:$F$205,MATCH(B3039,Mitarbeiter!$A$6:$A$205,0)),0))</f>
        <v/>
      </c>
      <c r="H3039" s="8">
        <f>IF(B3039="","",IF(ISNA(MATCH(B3039,Mitarbeiter!$A$6:$A$205,0)),"Pers.-Nr. unbekannt",IF(A3039="","Datum fehlt",IF(AND(D3039&lt;&gt;Einstellungen!$C$4,D3039&lt;&gt;Einstellungen!$C$5),"Objekt fehlt",IF(YEAR(A3039)&lt;&gt;Einstellungen!$C$3,"anderes Jahr",IF(A3039&lt;INDEX(Mitarbeiter!$C$6:$C$205,MATCH(B3039,Mitarbeiter!$A$6:$A$205,0)),"vor Eintritt",IF(AND(INDEX(Mitarbeiter!$D$6:$D$205,MATCH(B3039,Mitarbeiter!$A$6:$A$205,0))&lt;&gt;"",A3039&gt;INDEX(Mitarbeiter!$D$6:$D$205,MATCH(B3039,Mitarbeiter!$A$6:$A$205,0))),"nach Austritt","ok")))))))</f>
        <v/>
      </c>
    </row>
    <row r="3040">
      <c r="A3040" s="26" t="n"/>
      <c r="B3040" s="24" t="n"/>
      <c r="C3040" s="40">
        <f>IF(B3040="","",IFERROR(INDEX(Mitarbeiter!$B$6:$B$205,MATCH(B3040,Mitarbeiter!$A$6:$A$205,0)),"?"))</f>
        <v/>
      </c>
      <c r="D3040" s="41" t="n"/>
      <c r="E3040" s="42" t="n"/>
      <c r="F3040" s="43" t="n"/>
      <c r="G3040" s="44">
        <f>IF(OR(B3040="",F3040=""),"",IFERROR(F3040*INDEX(Mitarbeiter!$F$6:$F$205,MATCH(B3040,Mitarbeiter!$A$6:$A$205,0)),0))</f>
        <v/>
      </c>
      <c r="H3040" s="8">
        <f>IF(B3040="","",IF(ISNA(MATCH(B3040,Mitarbeiter!$A$6:$A$205,0)),"Pers.-Nr. unbekannt",IF(A3040="","Datum fehlt",IF(AND(D3040&lt;&gt;Einstellungen!$C$4,D3040&lt;&gt;Einstellungen!$C$5),"Objekt fehlt",IF(YEAR(A3040)&lt;&gt;Einstellungen!$C$3,"anderes Jahr",IF(A3040&lt;INDEX(Mitarbeiter!$C$6:$C$205,MATCH(B3040,Mitarbeiter!$A$6:$A$205,0)),"vor Eintritt",IF(AND(INDEX(Mitarbeiter!$D$6:$D$205,MATCH(B3040,Mitarbeiter!$A$6:$A$205,0))&lt;&gt;"",A3040&gt;INDEX(Mitarbeiter!$D$6:$D$205,MATCH(B3040,Mitarbeiter!$A$6:$A$205,0))),"nach Austritt","ok")))))))</f>
        <v/>
      </c>
    </row>
    <row r="3041">
      <c r="A3041" s="26" t="n"/>
      <c r="B3041" s="24" t="n"/>
      <c r="C3041" s="40">
        <f>IF(B3041="","",IFERROR(INDEX(Mitarbeiter!$B$6:$B$205,MATCH(B3041,Mitarbeiter!$A$6:$A$205,0)),"?"))</f>
        <v/>
      </c>
      <c r="D3041" s="41" t="n"/>
      <c r="E3041" s="42" t="n"/>
      <c r="F3041" s="43" t="n"/>
      <c r="G3041" s="44">
        <f>IF(OR(B3041="",F3041=""),"",IFERROR(F3041*INDEX(Mitarbeiter!$F$6:$F$205,MATCH(B3041,Mitarbeiter!$A$6:$A$205,0)),0))</f>
        <v/>
      </c>
      <c r="H3041" s="8">
        <f>IF(B3041="","",IF(ISNA(MATCH(B3041,Mitarbeiter!$A$6:$A$205,0)),"Pers.-Nr. unbekannt",IF(A3041="","Datum fehlt",IF(AND(D3041&lt;&gt;Einstellungen!$C$4,D3041&lt;&gt;Einstellungen!$C$5),"Objekt fehlt",IF(YEAR(A3041)&lt;&gt;Einstellungen!$C$3,"anderes Jahr",IF(A3041&lt;INDEX(Mitarbeiter!$C$6:$C$205,MATCH(B3041,Mitarbeiter!$A$6:$A$205,0)),"vor Eintritt",IF(AND(INDEX(Mitarbeiter!$D$6:$D$205,MATCH(B3041,Mitarbeiter!$A$6:$A$205,0))&lt;&gt;"",A3041&gt;INDEX(Mitarbeiter!$D$6:$D$205,MATCH(B3041,Mitarbeiter!$A$6:$A$205,0))),"nach Austritt","ok")))))))</f>
        <v/>
      </c>
    </row>
    <row r="3042">
      <c r="A3042" s="26" t="n"/>
      <c r="B3042" s="24" t="n"/>
      <c r="C3042" s="40">
        <f>IF(B3042="","",IFERROR(INDEX(Mitarbeiter!$B$6:$B$205,MATCH(B3042,Mitarbeiter!$A$6:$A$205,0)),"?"))</f>
        <v/>
      </c>
      <c r="D3042" s="41" t="n"/>
      <c r="E3042" s="42" t="n"/>
      <c r="F3042" s="43" t="n"/>
      <c r="G3042" s="44">
        <f>IF(OR(B3042="",F3042=""),"",IFERROR(F3042*INDEX(Mitarbeiter!$F$6:$F$205,MATCH(B3042,Mitarbeiter!$A$6:$A$205,0)),0))</f>
        <v/>
      </c>
      <c r="H3042" s="8">
        <f>IF(B3042="","",IF(ISNA(MATCH(B3042,Mitarbeiter!$A$6:$A$205,0)),"Pers.-Nr. unbekannt",IF(A3042="","Datum fehlt",IF(AND(D3042&lt;&gt;Einstellungen!$C$4,D3042&lt;&gt;Einstellungen!$C$5),"Objekt fehlt",IF(YEAR(A3042)&lt;&gt;Einstellungen!$C$3,"anderes Jahr",IF(A3042&lt;INDEX(Mitarbeiter!$C$6:$C$205,MATCH(B3042,Mitarbeiter!$A$6:$A$205,0)),"vor Eintritt",IF(AND(INDEX(Mitarbeiter!$D$6:$D$205,MATCH(B3042,Mitarbeiter!$A$6:$A$205,0))&lt;&gt;"",A3042&gt;INDEX(Mitarbeiter!$D$6:$D$205,MATCH(B3042,Mitarbeiter!$A$6:$A$205,0))),"nach Austritt","ok")))))))</f>
        <v/>
      </c>
    </row>
    <row r="3043">
      <c r="A3043" s="26" t="n"/>
      <c r="B3043" s="24" t="n"/>
      <c r="C3043" s="40">
        <f>IF(B3043="","",IFERROR(INDEX(Mitarbeiter!$B$6:$B$205,MATCH(B3043,Mitarbeiter!$A$6:$A$205,0)),"?"))</f>
        <v/>
      </c>
      <c r="D3043" s="41" t="n"/>
      <c r="E3043" s="42" t="n"/>
      <c r="F3043" s="43" t="n"/>
      <c r="G3043" s="44">
        <f>IF(OR(B3043="",F3043=""),"",IFERROR(F3043*INDEX(Mitarbeiter!$F$6:$F$205,MATCH(B3043,Mitarbeiter!$A$6:$A$205,0)),0))</f>
        <v/>
      </c>
      <c r="H3043" s="8">
        <f>IF(B3043="","",IF(ISNA(MATCH(B3043,Mitarbeiter!$A$6:$A$205,0)),"Pers.-Nr. unbekannt",IF(A3043="","Datum fehlt",IF(AND(D3043&lt;&gt;Einstellungen!$C$4,D3043&lt;&gt;Einstellungen!$C$5),"Objekt fehlt",IF(YEAR(A3043)&lt;&gt;Einstellungen!$C$3,"anderes Jahr",IF(A3043&lt;INDEX(Mitarbeiter!$C$6:$C$205,MATCH(B3043,Mitarbeiter!$A$6:$A$205,0)),"vor Eintritt",IF(AND(INDEX(Mitarbeiter!$D$6:$D$205,MATCH(B3043,Mitarbeiter!$A$6:$A$205,0))&lt;&gt;"",A3043&gt;INDEX(Mitarbeiter!$D$6:$D$205,MATCH(B3043,Mitarbeiter!$A$6:$A$205,0))),"nach Austritt","ok")))))))</f>
        <v/>
      </c>
    </row>
    <row r="3044">
      <c r="A3044" s="26" t="n"/>
      <c r="B3044" s="24" t="n"/>
      <c r="C3044" s="40">
        <f>IF(B3044="","",IFERROR(INDEX(Mitarbeiter!$B$6:$B$205,MATCH(B3044,Mitarbeiter!$A$6:$A$205,0)),"?"))</f>
        <v/>
      </c>
      <c r="D3044" s="41" t="n"/>
      <c r="E3044" s="42" t="n"/>
      <c r="F3044" s="43" t="n"/>
      <c r="G3044" s="44">
        <f>IF(OR(B3044="",F3044=""),"",IFERROR(F3044*INDEX(Mitarbeiter!$F$6:$F$205,MATCH(B3044,Mitarbeiter!$A$6:$A$205,0)),0))</f>
        <v/>
      </c>
      <c r="H3044" s="8">
        <f>IF(B3044="","",IF(ISNA(MATCH(B3044,Mitarbeiter!$A$6:$A$205,0)),"Pers.-Nr. unbekannt",IF(A3044="","Datum fehlt",IF(AND(D3044&lt;&gt;Einstellungen!$C$4,D3044&lt;&gt;Einstellungen!$C$5),"Objekt fehlt",IF(YEAR(A3044)&lt;&gt;Einstellungen!$C$3,"anderes Jahr",IF(A3044&lt;INDEX(Mitarbeiter!$C$6:$C$205,MATCH(B3044,Mitarbeiter!$A$6:$A$205,0)),"vor Eintritt",IF(AND(INDEX(Mitarbeiter!$D$6:$D$205,MATCH(B3044,Mitarbeiter!$A$6:$A$205,0))&lt;&gt;"",A3044&gt;INDEX(Mitarbeiter!$D$6:$D$205,MATCH(B3044,Mitarbeiter!$A$6:$A$205,0))),"nach Austritt","ok")))))))</f>
        <v/>
      </c>
    </row>
    <row r="3045">
      <c r="A3045" s="26" t="n"/>
      <c r="B3045" s="24" t="n"/>
      <c r="C3045" s="40">
        <f>IF(B3045="","",IFERROR(INDEX(Mitarbeiter!$B$6:$B$205,MATCH(B3045,Mitarbeiter!$A$6:$A$205,0)),"?"))</f>
        <v/>
      </c>
      <c r="D3045" s="41" t="n"/>
      <c r="E3045" s="42" t="n"/>
      <c r="F3045" s="43" t="n"/>
      <c r="G3045" s="44">
        <f>IF(OR(B3045="",F3045=""),"",IFERROR(F3045*INDEX(Mitarbeiter!$F$6:$F$205,MATCH(B3045,Mitarbeiter!$A$6:$A$205,0)),0))</f>
        <v/>
      </c>
      <c r="H3045" s="8">
        <f>IF(B3045="","",IF(ISNA(MATCH(B3045,Mitarbeiter!$A$6:$A$205,0)),"Pers.-Nr. unbekannt",IF(A3045="","Datum fehlt",IF(AND(D3045&lt;&gt;Einstellungen!$C$4,D3045&lt;&gt;Einstellungen!$C$5),"Objekt fehlt",IF(YEAR(A3045)&lt;&gt;Einstellungen!$C$3,"anderes Jahr",IF(A3045&lt;INDEX(Mitarbeiter!$C$6:$C$205,MATCH(B3045,Mitarbeiter!$A$6:$A$205,0)),"vor Eintritt",IF(AND(INDEX(Mitarbeiter!$D$6:$D$205,MATCH(B3045,Mitarbeiter!$A$6:$A$205,0))&lt;&gt;"",A3045&gt;INDEX(Mitarbeiter!$D$6:$D$205,MATCH(B3045,Mitarbeiter!$A$6:$A$205,0))),"nach Austritt","ok")))))))</f>
        <v/>
      </c>
    </row>
    <row r="3046">
      <c r="A3046" s="26" t="n"/>
      <c r="B3046" s="24" t="n"/>
      <c r="C3046" s="40">
        <f>IF(B3046="","",IFERROR(INDEX(Mitarbeiter!$B$6:$B$205,MATCH(B3046,Mitarbeiter!$A$6:$A$205,0)),"?"))</f>
        <v/>
      </c>
      <c r="D3046" s="41" t="n"/>
      <c r="E3046" s="42" t="n"/>
      <c r="F3046" s="43" t="n"/>
      <c r="G3046" s="44">
        <f>IF(OR(B3046="",F3046=""),"",IFERROR(F3046*INDEX(Mitarbeiter!$F$6:$F$205,MATCH(B3046,Mitarbeiter!$A$6:$A$205,0)),0))</f>
        <v/>
      </c>
      <c r="H3046" s="8">
        <f>IF(B3046="","",IF(ISNA(MATCH(B3046,Mitarbeiter!$A$6:$A$205,0)),"Pers.-Nr. unbekannt",IF(A3046="","Datum fehlt",IF(AND(D3046&lt;&gt;Einstellungen!$C$4,D3046&lt;&gt;Einstellungen!$C$5),"Objekt fehlt",IF(YEAR(A3046)&lt;&gt;Einstellungen!$C$3,"anderes Jahr",IF(A3046&lt;INDEX(Mitarbeiter!$C$6:$C$205,MATCH(B3046,Mitarbeiter!$A$6:$A$205,0)),"vor Eintritt",IF(AND(INDEX(Mitarbeiter!$D$6:$D$205,MATCH(B3046,Mitarbeiter!$A$6:$A$205,0))&lt;&gt;"",A3046&gt;INDEX(Mitarbeiter!$D$6:$D$205,MATCH(B3046,Mitarbeiter!$A$6:$A$205,0))),"nach Austritt","ok")))))))</f>
        <v/>
      </c>
    </row>
    <row r="3047">
      <c r="A3047" s="26" t="n"/>
      <c r="B3047" s="24" t="n"/>
      <c r="C3047" s="40">
        <f>IF(B3047="","",IFERROR(INDEX(Mitarbeiter!$B$6:$B$205,MATCH(B3047,Mitarbeiter!$A$6:$A$205,0)),"?"))</f>
        <v/>
      </c>
      <c r="D3047" s="41" t="n"/>
      <c r="E3047" s="42" t="n"/>
      <c r="F3047" s="43" t="n"/>
      <c r="G3047" s="44">
        <f>IF(OR(B3047="",F3047=""),"",IFERROR(F3047*INDEX(Mitarbeiter!$F$6:$F$205,MATCH(B3047,Mitarbeiter!$A$6:$A$205,0)),0))</f>
        <v/>
      </c>
      <c r="H3047" s="8">
        <f>IF(B3047="","",IF(ISNA(MATCH(B3047,Mitarbeiter!$A$6:$A$205,0)),"Pers.-Nr. unbekannt",IF(A3047="","Datum fehlt",IF(AND(D3047&lt;&gt;Einstellungen!$C$4,D3047&lt;&gt;Einstellungen!$C$5),"Objekt fehlt",IF(YEAR(A3047)&lt;&gt;Einstellungen!$C$3,"anderes Jahr",IF(A3047&lt;INDEX(Mitarbeiter!$C$6:$C$205,MATCH(B3047,Mitarbeiter!$A$6:$A$205,0)),"vor Eintritt",IF(AND(INDEX(Mitarbeiter!$D$6:$D$205,MATCH(B3047,Mitarbeiter!$A$6:$A$205,0))&lt;&gt;"",A3047&gt;INDEX(Mitarbeiter!$D$6:$D$205,MATCH(B3047,Mitarbeiter!$A$6:$A$205,0))),"nach Austritt","ok")))))))</f>
        <v/>
      </c>
    </row>
    <row r="3048">
      <c r="A3048" s="26" t="n"/>
      <c r="B3048" s="24" t="n"/>
      <c r="C3048" s="40">
        <f>IF(B3048="","",IFERROR(INDEX(Mitarbeiter!$B$6:$B$205,MATCH(B3048,Mitarbeiter!$A$6:$A$205,0)),"?"))</f>
        <v/>
      </c>
      <c r="D3048" s="41" t="n"/>
      <c r="E3048" s="42" t="n"/>
      <c r="F3048" s="43" t="n"/>
      <c r="G3048" s="44">
        <f>IF(OR(B3048="",F3048=""),"",IFERROR(F3048*INDEX(Mitarbeiter!$F$6:$F$205,MATCH(B3048,Mitarbeiter!$A$6:$A$205,0)),0))</f>
        <v/>
      </c>
      <c r="H3048" s="8">
        <f>IF(B3048="","",IF(ISNA(MATCH(B3048,Mitarbeiter!$A$6:$A$205,0)),"Pers.-Nr. unbekannt",IF(A3048="","Datum fehlt",IF(AND(D3048&lt;&gt;Einstellungen!$C$4,D3048&lt;&gt;Einstellungen!$C$5),"Objekt fehlt",IF(YEAR(A3048)&lt;&gt;Einstellungen!$C$3,"anderes Jahr",IF(A3048&lt;INDEX(Mitarbeiter!$C$6:$C$205,MATCH(B3048,Mitarbeiter!$A$6:$A$205,0)),"vor Eintritt",IF(AND(INDEX(Mitarbeiter!$D$6:$D$205,MATCH(B3048,Mitarbeiter!$A$6:$A$205,0))&lt;&gt;"",A3048&gt;INDEX(Mitarbeiter!$D$6:$D$205,MATCH(B3048,Mitarbeiter!$A$6:$A$205,0))),"nach Austritt","ok")))))))</f>
        <v/>
      </c>
    </row>
    <row r="3049">
      <c r="A3049" s="26" t="n"/>
      <c r="B3049" s="24" t="n"/>
      <c r="C3049" s="40">
        <f>IF(B3049="","",IFERROR(INDEX(Mitarbeiter!$B$6:$B$205,MATCH(B3049,Mitarbeiter!$A$6:$A$205,0)),"?"))</f>
        <v/>
      </c>
      <c r="D3049" s="41" t="n"/>
      <c r="E3049" s="42" t="n"/>
      <c r="F3049" s="43" t="n"/>
      <c r="G3049" s="44">
        <f>IF(OR(B3049="",F3049=""),"",IFERROR(F3049*INDEX(Mitarbeiter!$F$6:$F$205,MATCH(B3049,Mitarbeiter!$A$6:$A$205,0)),0))</f>
        <v/>
      </c>
      <c r="H3049" s="8">
        <f>IF(B3049="","",IF(ISNA(MATCH(B3049,Mitarbeiter!$A$6:$A$205,0)),"Pers.-Nr. unbekannt",IF(A3049="","Datum fehlt",IF(AND(D3049&lt;&gt;Einstellungen!$C$4,D3049&lt;&gt;Einstellungen!$C$5),"Objekt fehlt",IF(YEAR(A3049)&lt;&gt;Einstellungen!$C$3,"anderes Jahr",IF(A3049&lt;INDEX(Mitarbeiter!$C$6:$C$205,MATCH(B3049,Mitarbeiter!$A$6:$A$205,0)),"vor Eintritt",IF(AND(INDEX(Mitarbeiter!$D$6:$D$205,MATCH(B3049,Mitarbeiter!$A$6:$A$205,0))&lt;&gt;"",A3049&gt;INDEX(Mitarbeiter!$D$6:$D$205,MATCH(B3049,Mitarbeiter!$A$6:$A$205,0))),"nach Austritt","ok")))))))</f>
        <v/>
      </c>
    </row>
    <row r="3050">
      <c r="A3050" s="26" t="n"/>
      <c r="B3050" s="24" t="n"/>
      <c r="C3050" s="40">
        <f>IF(B3050="","",IFERROR(INDEX(Mitarbeiter!$B$6:$B$205,MATCH(B3050,Mitarbeiter!$A$6:$A$205,0)),"?"))</f>
        <v/>
      </c>
      <c r="D3050" s="41" t="n"/>
      <c r="E3050" s="42" t="n"/>
      <c r="F3050" s="43" t="n"/>
      <c r="G3050" s="44">
        <f>IF(OR(B3050="",F3050=""),"",IFERROR(F3050*INDEX(Mitarbeiter!$F$6:$F$205,MATCH(B3050,Mitarbeiter!$A$6:$A$205,0)),0))</f>
        <v/>
      </c>
      <c r="H3050" s="8">
        <f>IF(B3050="","",IF(ISNA(MATCH(B3050,Mitarbeiter!$A$6:$A$205,0)),"Pers.-Nr. unbekannt",IF(A3050="","Datum fehlt",IF(AND(D3050&lt;&gt;Einstellungen!$C$4,D3050&lt;&gt;Einstellungen!$C$5),"Objekt fehlt",IF(YEAR(A3050)&lt;&gt;Einstellungen!$C$3,"anderes Jahr",IF(A3050&lt;INDEX(Mitarbeiter!$C$6:$C$205,MATCH(B3050,Mitarbeiter!$A$6:$A$205,0)),"vor Eintritt",IF(AND(INDEX(Mitarbeiter!$D$6:$D$205,MATCH(B3050,Mitarbeiter!$A$6:$A$205,0))&lt;&gt;"",A3050&gt;INDEX(Mitarbeiter!$D$6:$D$205,MATCH(B3050,Mitarbeiter!$A$6:$A$205,0))),"nach Austritt","ok")))))))</f>
        <v/>
      </c>
    </row>
    <row r="3051">
      <c r="A3051" s="26" t="n"/>
      <c r="B3051" s="24" t="n"/>
      <c r="C3051" s="40">
        <f>IF(B3051="","",IFERROR(INDEX(Mitarbeiter!$B$6:$B$205,MATCH(B3051,Mitarbeiter!$A$6:$A$205,0)),"?"))</f>
        <v/>
      </c>
      <c r="D3051" s="41" t="n"/>
      <c r="E3051" s="42" t="n"/>
      <c r="F3051" s="43" t="n"/>
      <c r="G3051" s="44">
        <f>IF(OR(B3051="",F3051=""),"",IFERROR(F3051*INDEX(Mitarbeiter!$F$6:$F$205,MATCH(B3051,Mitarbeiter!$A$6:$A$205,0)),0))</f>
        <v/>
      </c>
      <c r="H3051" s="8">
        <f>IF(B3051="","",IF(ISNA(MATCH(B3051,Mitarbeiter!$A$6:$A$205,0)),"Pers.-Nr. unbekannt",IF(A3051="","Datum fehlt",IF(AND(D3051&lt;&gt;Einstellungen!$C$4,D3051&lt;&gt;Einstellungen!$C$5),"Objekt fehlt",IF(YEAR(A3051)&lt;&gt;Einstellungen!$C$3,"anderes Jahr",IF(A3051&lt;INDEX(Mitarbeiter!$C$6:$C$205,MATCH(B3051,Mitarbeiter!$A$6:$A$205,0)),"vor Eintritt",IF(AND(INDEX(Mitarbeiter!$D$6:$D$205,MATCH(B3051,Mitarbeiter!$A$6:$A$205,0))&lt;&gt;"",A3051&gt;INDEX(Mitarbeiter!$D$6:$D$205,MATCH(B3051,Mitarbeiter!$A$6:$A$205,0))),"nach Austritt","ok")))))))</f>
        <v/>
      </c>
    </row>
    <row r="3052">
      <c r="A3052" s="26" t="n"/>
      <c r="B3052" s="24" t="n"/>
      <c r="C3052" s="40">
        <f>IF(B3052="","",IFERROR(INDEX(Mitarbeiter!$B$6:$B$205,MATCH(B3052,Mitarbeiter!$A$6:$A$205,0)),"?"))</f>
        <v/>
      </c>
      <c r="D3052" s="41" t="n"/>
      <c r="E3052" s="42" t="n"/>
      <c r="F3052" s="43" t="n"/>
      <c r="G3052" s="44">
        <f>IF(OR(B3052="",F3052=""),"",IFERROR(F3052*INDEX(Mitarbeiter!$F$6:$F$205,MATCH(B3052,Mitarbeiter!$A$6:$A$205,0)),0))</f>
        <v/>
      </c>
      <c r="H3052" s="8">
        <f>IF(B3052="","",IF(ISNA(MATCH(B3052,Mitarbeiter!$A$6:$A$205,0)),"Pers.-Nr. unbekannt",IF(A3052="","Datum fehlt",IF(AND(D3052&lt;&gt;Einstellungen!$C$4,D3052&lt;&gt;Einstellungen!$C$5),"Objekt fehlt",IF(YEAR(A3052)&lt;&gt;Einstellungen!$C$3,"anderes Jahr",IF(A3052&lt;INDEX(Mitarbeiter!$C$6:$C$205,MATCH(B3052,Mitarbeiter!$A$6:$A$205,0)),"vor Eintritt",IF(AND(INDEX(Mitarbeiter!$D$6:$D$205,MATCH(B3052,Mitarbeiter!$A$6:$A$205,0))&lt;&gt;"",A3052&gt;INDEX(Mitarbeiter!$D$6:$D$205,MATCH(B3052,Mitarbeiter!$A$6:$A$205,0))),"nach Austritt","ok")))))))</f>
        <v/>
      </c>
    </row>
    <row r="3053">
      <c r="A3053" s="26" t="n"/>
      <c r="B3053" s="24" t="n"/>
      <c r="C3053" s="40">
        <f>IF(B3053="","",IFERROR(INDEX(Mitarbeiter!$B$6:$B$205,MATCH(B3053,Mitarbeiter!$A$6:$A$205,0)),"?"))</f>
        <v/>
      </c>
      <c r="D3053" s="41" t="n"/>
      <c r="E3053" s="42" t="n"/>
      <c r="F3053" s="43" t="n"/>
      <c r="G3053" s="44">
        <f>IF(OR(B3053="",F3053=""),"",IFERROR(F3053*INDEX(Mitarbeiter!$F$6:$F$205,MATCH(B3053,Mitarbeiter!$A$6:$A$205,0)),0))</f>
        <v/>
      </c>
      <c r="H3053" s="8">
        <f>IF(B3053="","",IF(ISNA(MATCH(B3053,Mitarbeiter!$A$6:$A$205,0)),"Pers.-Nr. unbekannt",IF(A3053="","Datum fehlt",IF(AND(D3053&lt;&gt;Einstellungen!$C$4,D3053&lt;&gt;Einstellungen!$C$5),"Objekt fehlt",IF(YEAR(A3053)&lt;&gt;Einstellungen!$C$3,"anderes Jahr",IF(A3053&lt;INDEX(Mitarbeiter!$C$6:$C$205,MATCH(B3053,Mitarbeiter!$A$6:$A$205,0)),"vor Eintritt",IF(AND(INDEX(Mitarbeiter!$D$6:$D$205,MATCH(B3053,Mitarbeiter!$A$6:$A$205,0))&lt;&gt;"",A3053&gt;INDEX(Mitarbeiter!$D$6:$D$205,MATCH(B3053,Mitarbeiter!$A$6:$A$205,0))),"nach Austritt","ok")))))))</f>
        <v/>
      </c>
    </row>
    <row r="3054">
      <c r="A3054" s="26" t="n"/>
      <c r="B3054" s="24" t="n"/>
      <c r="C3054" s="40">
        <f>IF(B3054="","",IFERROR(INDEX(Mitarbeiter!$B$6:$B$205,MATCH(B3054,Mitarbeiter!$A$6:$A$205,0)),"?"))</f>
        <v/>
      </c>
      <c r="D3054" s="41" t="n"/>
      <c r="E3054" s="42" t="n"/>
      <c r="F3054" s="43" t="n"/>
      <c r="G3054" s="44">
        <f>IF(OR(B3054="",F3054=""),"",IFERROR(F3054*INDEX(Mitarbeiter!$F$6:$F$205,MATCH(B3054,Mitarbeiter!$A$6:$A$205,0)),0))</f>
        <v/>
      </c>
      <c r="H3054" s="8">
        <f>IF(B3054="","",IF(ISNA(MATCH(B3054,Mitarbeiter!$A$6:$A$205,0)),"Pers.-Nr. unbekannt",IF(A3054="","Datum fehlt",IF(AND(D3054&lt;&gt;Einstellungen!$C$4,D3054&lt;&gt;Einstellungen!$C$5),"Objekt fehlt",IF(YEAR(A3054)&lt;&gt;Einstellungen!$C$3,"anderes Jahr",IF(A3054&lt;INDEX(Mitarbeiter!$C$6:$C$205,MATCH(B3054,Mitarbeiter!$A$6:$A$205,0)),"vor Eintritt",IF(AND(INDEX(Mitarbeiter!$D$6:$D$205,MATCH(B3054,Mitarbeiter!$A$6:$A$205,0))&lt;&gt;"",A3054&gt;INDEX(Mitarbeiter!$D$6:$D$205,MATCH(B3054,Mitarbeiter!$A$6:$A$205,0))),"nach Austritt","ok")))))))</f>
        <v/>
      </c>
    </row>
    <row r="3055">
      <c r="A3055" s="26" t="n"/>
      <c r="B3055" s="24" t="n"/>
      <c r="C3055" s="40">
        <f>IF(B3055="","",IFERROR(INDEX(Mitarbeiter!$B$6:$B$205,MATCH(B3055,Mitarbeiter!$A$6:$A$205,0)),"?"))</f>
        <v/>
      </c>
      <c r="D3055" s="41" t="n"/>
      <c r="E3055" s="42" t="n"/>
      <c r="F3055" s="43" t="n"/>
      <c r="G3055" s="44">
        <f>IF(OR(B3055="",F3055=""),"",IFERROR(F3055*INDEX(Mitarbeiter!$F$6:$F$205,MATCH(B3055,Mitarbeiter!$A$6:$A$205,0)),0))</f>
        <v/>
      </c>
      <c r="H3055" s="8">
        <f>IF(B3055="","",IF(ISNA(MATCH(B3055,Mitarbeiter!$A$6:$A$205,0)),"Pers.-Nr. unbekannt",IF(A3055="","Datum fehlt",IF(AND(D3055&lt;&gt;Einstellungen!$C$4,D3055&lt;&gt;Einstellungen!$C$5),"Objekt fehlt",IF(YEAR(A3055)&lt;&gt;Einstellungen!$C$3,"anderes Jahr",IF(A3055&lt;INDEX(Mitarbeiter!$C$6:$C$205,MATCH(B3055,Mitarbeiter!$A$6:$A$205,0)),"vor Eintritt",IF(AND(INDEX(Mitarbeiter!$D$6:$D$205,MATCH(B3055,Mitarbeiter!$A$6:$A$205,0))&lt;&gt;"",A3055&gt;INDEX(Mitarbeiter!$D$6:$D$205,MATCH(B3055,Mitarbeiter!$A$6:$A$205,0))),"nach Austritt","ok")))))))</f>
        <v/>
      </c>
    </row>
    <row r="3056">
      <c r="A3056" s="26" t="n"/>
      <c r="B3056" s="24" t="n"/>
      <c r="C3056" s="40">
        <f>IF(B3056="","",IFERROR(INDEX(Mitarbeiter!$B$6:$B$205,MATCH(B3056,Mitarbeiter!$A$6:$A$205,0)),"?"))</f>
        <v/>
      </c>
      <c r="D3056" s="41" t="n"/>
      <c r="E3056" s="42" t="n"/>
      <c r="F3056" s="43" t="n"/>
      <c r="G3056" s="44">
        <f>IF(OR(B3056="",F3056=""),"",IFERROR(F3056*INDEX(Mitarbeiter!$F$6:$F$205,MATCH(B3056,Mitarbeiter!$A$6:$A$205,0)),0))</f>
        <v/>
      </c>
      <c r="H3056" s="8">
        <f>IF(B3056="","",IF(ISNA(MATCH(B3056,Mitarbeiter!$A$6:$A$205,0)),"Pers.-Nr. unbekannt",IF(A3056="","Datum fehlt",IF(AND(D3056&lt;&gt;Einstellungen!$C$4,D3056&lt;&gt;Einstellungen!$C$5),"Objekt fehlt",IF(YEAR(A3056)&lt;&gt;Einstellungen!$C$3,"anderes Jahr",IF(A3056&lt;INDEX(Mitarbeiter!$C$6:$C$205,MATCH(B3056,Mitarbeiter!$A$6:$A$205,0)),"vor Eintritt",IF(AND(INDEX(Mitarbeiter!$D$6:$D$205,MATCH(B3056,Mitarbeiter!$A$6:$A$205,0))&lt;&gt;"",A3056&gt;INDEX(Mitarbeiter!$D$6:$D$205,MATCH(B3056,Mitarbeiter!$A$6:$A$205,0))),"nach Austritt","ok")))))))</f>
        <v/>
      </c>
    </row>
    <row r="3057">
      <c r="A3057" s="26" t="n"/>
      <c r="B3057" s="24" t="n"/>
      <c r="C3057" s="40">
        <f>IF(B3057="","",IFERROR(INDEX(Mitarbeiter!$B$6:$B$205,MATCH(B3057,Mitarbeiter!$A$6:$A$205,0)),"?"))</f>
        <v/>
      </c>
      <c r="D3057" s="41" t="n"/>
      <c r="E3057" s="42" t="n"/>
      <c r="F3057" s="43" t="n"/>
      <c r="G3057" s="44">
        <f>IF(OR(B3057="",F3057=""),"",IFERROR(F3057*INDEX(Mitarbeiter!$F$6:$F$205,MATCH(B3057,Mitarbeiter!$A$6:$A$205,0)),0))</f>
        <v/>
      </c>
      <c r="H3057" s="8">
        <f>IF(B3057="","",IF(ISNA(MATCH(B3057,Mitarbeiter!$A$6:$A$205,0)),"Pers.-Nr. unbekannt",IF(A3057="","Datum fehlt",IF(AND(D3057&lt;&gt;Einstellungen!$C$4,D3057&lt;&gt;Einstellungen!$C$5),"Objekt fehlt",IF(YEAR(A3057)&lt;&gt;Einstellungen!$C$3,"anderes Jahr",IF(A3057&lt;INDEX(Mitarbeiter!$C$6:$C$205,MATCH(B3057,Mitarbeiter!$A$6:$A$205,0)),"vor Eintritt",IF(AND(INDEX(Mitarbeiter!$D$6:$D$205,MATCH(B3057,Mitarbeiter!$A$6:$A$205,0))&lt;&gt;"",A3057&gt;INDEX(Mitarbeiter!$D$6:$D$205,MATCH(B3057,Mitarbeiter!$A$6:$A$205,0))),"nach Austritt","ok")))))))</f>
        <v/>
      </c>
    </row>
    <row r="3058">
      <c r="A3058" s="26" t="n"/>
      <c r="B3058" s="24" t="n"/>
      <c r="C3058" s="40">
        <f>IF(B3058="","",IFERROR(INDEX(Mitarbeiter!$B$6:$B$205,MATCH(B3058,Mitarbeiter!$A$6:$A$205,0)),"?"))</f>
        <v/>
      </c>
      <c r="D3058" s="41" t="n"/>
      <c r="E3058" s="42" t="n"/>
      <c r="F3058" s="43" t="n"/>
      <c r="G3058" s="44">
        <f>IF(OR(B3058="",F3058=""),"",IFERROR(F3058*INDEX(Mitarbeiter!$F$6:$F$205,MATCH(B3058,Mitarbeiter!$A$6:$A$205,0)),0))</f>
        <v/>
      </c>
      <c r="H3058" s="8">
        <f>IF(B3058="","",IF(ISNA(MATCH(B3058,Mitarbeiter!$A$6:$A$205,0)),"Pers.-Nr. unbekannt",IF(A3058="","Datum fehlt",IF(AND(D3058&lt;&gt;Einstellungen!$C$4,D3058&lt;&gt;Einstellungen!$C$5),"Objekt fehlt",IF(YEAR(A3058)&lt;&gt;Einstellungen!$C$3,"anderes Jahr",IF(A3058&lt;INDEX(Mitarbeiter!$C$6:$C$205,MATCH(B3058,Mitarbeiter!$A$6:$A$205,0)),"vor Eintritt",IF(AND(INDEX(Mitarbeiter!$D$6:$D$205,MATCH(B3058,Mitarbeiter!$A$6:$A$205,0))&lt;&gt;"",A3058&gt;INDEX(Mitarbeiter!$D$6:$D$205,MATCH(B3058,Mitarbeiter!$A$6:$A$205,0))),"nach Austritt","ok")))))))</f>
        <v/>
      </c>
    </row>
    <row r="3059">
      <c r="A3059" s="26" t="n"/>
      <c r="B3059" s="24" t="n"/>
      <c r="C3059" s="40">
        <f>IF(B3059="","",IFERROR(INDEX(Mitarbeiter!$B$6:$B$205,MATCH(B3059,Mitarbeiter!$A$6:$A$205,0)),"?"))</f>
        <v/>
      </c>
      <c r="D3059" s="41" t="n"/>
      <c r="E3059" s="42" t="n"/>
      <c r="F3059" s="43" t="n"/>
      <c r="G3059" s="44">
        <f>IF(OR(B3059="",F3059=""),"",IFERROR(F3059*INDEX(Mitarbeiter!$F$6:$F$205,MATCH(B3059,Mitarbeiter!$A$6:$A$205,0)),0))</f>
        <v/>
      </c>
      <c r="H3059" s="8">
        <f>IF(B3059="","",IF(ISNA(MATCH(B3059,Mitarbeiter!$A$6:$A$205,0)),"Pers.-Nr. unbekannt",IF(A3059="","Datum fehlt",IF(AND(D3059&lt;&gt;Einstellungen!$C$4,D3059&lt;&gt;Einstellungen!$C$5),"Objekt fehlt",IF(YEAR(A3059)&lt;&gt;Einstellungen!$C$3,"anderes Jahr",IF(A3059&lt;INDEX(Mitarbeiter!$C$6:$C$205,MATCH(B3059,Mitarbeiter!$A$6:$A$205,0)),"vor Eintritt",IF(AND(INDEX(Mitarbeiter!$D$6:$D$205,MATCH(B3059,Mitarbeiter!$A$6:$A$205,0))&lt;&gt;"",A3059&gt;INDEX(Mitarbeiter!$D$6:$D$205,MATCH(B3059,Mitarbeiter!$A$6:$A$205,0))),"nach Austritt","ok")))))))</f>
        <v/>
      </c>
    </row>
    <row r="3060">
      <c r="A3060" s="26" t="n"/>
      <c r="B3060" s="24" t="n"/>
      <c r="C3060" s="40">
        <f>IF(B3060="","",IFERROR(INDEX(Mitarbeiter!$B$6:$B$205,MATCH(B3060,Mitarbeiter!$A$6:$A$205,0)),"?"))</f>
        <v/>
      </c>
      <c r="D3060" s="41" t="n"/>
      <c r="E3060" s="42" t="n"/>
      <c r="F3060" s="43" t="n"/>
      <c r="G3060" s="44">
        <f>IF(OR(B3060="",F3060=""),"",IFERROR(F3060*INDEX(Mitarbeiter!$F$6:$F$205,MATCH(B3060,Mitarbeiter!$A$6:$A$205,0)),0))</f>
        <v/>
      </c>
      <c r="H3060" s="8">
        <f>IF(B3060="","",IF(ISNA(MATCH(B3060,Mitarbeiter!$A$6:$A$205,0)),"Pers.-Nr. unbekannt",IF(A3060="","Datum fehlt",IF(AND(D3060&lt;&gt;Einstellungen!$C$4,D3060&lt;&gt;Einstellungen!$C$5),"Objekt fehlt",IF(YEAR(A3060)&lt;&gt;Einstellungen!$C$3,"anderes Jahr",IF(A3060&lt;INDEX(Mitarbeiter!$C$6:$C$205,MATCH(B3060,Mitarbeiter!$A$6:$A$205,0)),"vor Eintritt",IF(AND(INDEX(Mitarbeiter!$D$6:$D$205,MATCH(B3060,Mitarbeiter!$A$6:$A$205,0))&lt;&gt;"",A3060&gt;INDEX(Mitarbeiter!$D$6:$D$205,MATCH(B3060,Mitarbeiter!$A$6:$A$205,0))),"nach Austritt","ok")))))))</f>
        <v/>
      </c>
    </row>
    <row r="3061">
      <c r="A3061" s="26" t="n"/>
      <c r="B3061" s="24" t="n"/>
      <c r="C3061" s="40">
        <f>IF(B3061="","",IFERROR(INDEX(Mitarbeiter!$B$6:$B$205,MATCH(B3061,Mitarbeiter!$A$6:$A$205,0)),"?"))</f>
        <v/>
      </c>
      <c r="D3061" s="41" t="n"/>
      <c r="E3061" s="42" t="n"/>
      <c r="F3061" s="43" t="n"/>
      <c r="G3061" s="44">
        <f>IF(OR(B3061="",F3061=""),"",IFERROR(F3061*INDEX(Mitarbeiter!$F$6:$F$205,MATCH(B3061,Mitarbeiter!$A$6:$A$205,0)),0))</f>
        <v/>
      </c>
      <c r="H3061" s="8">
        <f>IF(B3061="","",IF(ISNA(MATCH(B3061,Mitarbeiter!$A$6:$A$205,0)),"Pers.-Nr. unbekannt",IF(A3061="","Datum fehlt",IF(AND(D3061&lt;&gt;Einstellungen!$C$4,D3061&lt;&gt;Einstellungen!$C$5),"Objekt fehlt",IF(YEAR(A3061)&lt;&gt;Einstellungen!$C$3,"anderes Jahr",IF(A3061&lt;INDEX(Mitarbeiter!$C$6:$C$205,MATCH(B3061,Mitarbeiter!$A$6:$A$205,0)),"vor Eintritt",IF(AND(INDEX(Mitarbeiter!$D$6:$D$205,MATCH(B3061,Mitarbeiter!$A$6:$A$205,0))&lt;&gt;"",A3061&gt;INDEX(Mitarbeiter!$D$6:$D$205,MATCH(B3061,Mitarbeiter!$A$6:$A$205,0))),"nach Austritt","ok")))))))</f>
        <v/>
      </c>
    </row>
    <row r="3062">
      <c r="A3062" s="26" t="n"/>
      <c r="B3062" s="24" t="n"/>
      <c r="C3062" s="40">
        <f>IF(B3062="","",IFERROR(INDEX(Mitarbeiter!$B$6:$B$205,MATCH(B3062,Mitarbeiter!$A$6:$A$205,0)),"?"))</f>
        <v/>
      </c>
      <c r="D3062" s="41" t="n"/>
      <c r="E3062" s="42" t="n"/>
      <c r="F3062" s="43" t="n"/>
      <c r="G3062" s="44">
        <f>IF(OR(B3062="",F3062=""),"",IFERROR(F3062*INDEX(Mitarbeiter!$F$6:$F$205,MATCH(B3062,Mitarbeiter!$A$6:$A$205,0)),0))</f>
        <v/>
      </c>
      <c r="H3062" s="8">
        <f>IF(B3062="","",IF(ISNA(MATCH(B3062,Mitarbeiter!$A$6:$A$205,0)),"Pers.-Nr. unbekannt",IF(A3062="","Datum fehlt",IF(AND(D3062&lt;&gt;Einstellungen!$C$4,D3062&lt;&gt;Einstellungen!$C$5),"Objekt fehlt",IF(YEAR(A3062)&lt;&gt;Einstellungen!$C$3,"anderes Jahr",IF(A3062&lt;INDEX(Mitarbeiter!$C$6:$C$205,MATCH(B3062,Mitarbeiter!$A$6:$A$205,0)),"vor Eintritt",IF(AND(INDEX(Mitarbeiter!$D$6:$D$205,MATCH(B3062,Mitarbeiter!$A$6:$A$205,0))&lt;&gt;"",A3062&gt;INDEX(Mitarbeiter!$D$6:$D$205,MATCH(B3062,Mitarbeiter!$A$6:$A$205,0))),"nach Austritt","ok")))))))</f>
        <v/>
      </c>
    </row>
    <row r="3063">
      <c r="A3063" s="26" t="n"/>
      <c r="B3063" s="24" t="n"/>
      <c r="C3063" s="40">
        <f>IF(B3063="","",IFERROR(INDEX(Mitarbeiter!$B$6:$B$205,MATCH(B3063,Mitarbeiter!$A$6:$A$205,0)),"?"))</f>
        <v/>
      </c>
      <c r="D3063" s="41" t="n"/>
      <c r="E3063" s="42" t="n"/>
      <c r="F3063" s="43" t="n"/>
      <c r="G3063" s="44">
        <f>IF(OR(B3063="",F3063=""),"",IFERROR(F3063*INDEX(Mitarbeiter!$F$6:$F$205,MATCH(B3063,Mitarbeiter!$A$6:$A$205,0)),0))</f>
        <v/>
      </c>
      <c r="H3063" s="8">
        <f>IF(B3063="","",IF(ISNA(MATCH(B3063,Mitarbeiter!$A$6:$A$205,0)),"Pers.-Nr. unbekannt",IF(A3063="","Datum fehlt",IF(AND(D3063&lt;&gt;Einstellungen!$C$4,D3063&lt;&gt;Einstellungen!$C$5),"Objekt fehlt",IF(YEAR(A3063)&lt;&gt;Einstellungen!$C$3,"anderes Jahr",IF(A3063&lt;INDEX(Mitarbeiter!$C$6:$C$205,MATCH(B3063,Mitarbeiter!$A$6:$A$205,0)),"vor Eintritt",IF(AND(INDEX(Mitarbeiter!$D$6:$D$205,MATCH(B3063,Mitarbeiter!$A$6:$A$205,0))&lt;&gt;"",A3063&gt;INDEX(Mitarbeiter!$D$6:$D$205,MATCH(B3063,Mitarbeiter!$A$6:$A$205,0))),"nach Austritt","ok")))))))</f>
        <v/>
      </c>
    </row>
    <row r="3064">
      <c r="A3064" s="26" t="n"/>
      <c r="B3064" s="24" t="n"/>
      <c r="C3064" s="40">
        <f>IF(B3064="","",IFERROR(INDEX(Mitarbeiter!$B$6:$B$205,MATCH(B3064,Mitarbeiter!$A$6:$A$205,0)),"?"))</f>
        <v/>
      </c>
      <c r="D3064" s="41" t="n"/>
      <c r="E3064" s="42" t="n"/>
      <c r="F3064" s="43" t="n"/>
      <c r="G3064" s="44">
        <f>IF(OR(B3064="",F3064=""),"",IFERROR(F3064*INDEX(Mitarbeiter!$F$6:$F$205,MATCH(B3064,Mitarbeiter!$A$6:$A$205,0)),0))</f>
        <v/>
      </c>
      <c r="H3064" s="8">
        <f>IF(B3064="","",IF(ISNA(MATCH(B3064,Mitarbeiter!$A$6:$A$205,0)),"Pers.-Nr. unbekannt",IF(A3064="","Datum fehlt",IF(AND(D3064&lt;&gt;Einstellungen!$C$4,D3064&lt;&gt;Einstellungen!$C$5),"Objekt fehlt",IF(YEAR(A3064)&lt;&gt;Einstellungen!$C$3,"anderes Jahr",IF(A3064&lt;INDEX(Mitarbeiter!$C$6:$C$205,MATCH(B3064,Mitarbeiter!$A$6:$A$205,0)),"vor Eintritt",IF(AND(INDEX(Mitarbeiter!$D$6:$D$205,MATCH(B3064,Mitarbeiter!$A$6:$A$205,0))&lt;&gt;"",A3064&gt;INDEX(Mitarbeiter!$D$6:$D$205,MATCH(B3064,Mitarbeiter!$A$6:$A$205,0))),"nach Austritt","ok")))))))</f>
        <v/>
      </c>
    </row>
    <row r="3065">
      <c r="A3065" s="26" t="n"/>
      <c r="B3065" s="24" t="n"/>
      <c r="C3065" s="40">
        <f>IF(B3065="","",IFERROR(INDEX(Mitarbeiter!$B$6:$B$205,MATCH(B3065,Mitarbeiter!$A$6:$A$205,0)),"?"))</f>
        <v/>
      </c>
      <c r="D3065" s="41" t="n"/>
      <c r="E3065" s="42" t="n"/>
      <c r="F3065" s="43" t="n"/>
      <c r="G3065" s="44">
        <f>IF(OR(B3065="",F3065=""),"",IFERROR(F3065*INDEX(Mitarbeiter!$F$6:$F$205,MATCH(B3065,Mitarbeiter!$A$6:$A$205,0)),0))</f>
        <v/>
      </c>
      <c r="H3065" s="8">
        <f>IF(B3065="","",IF(ISNA(MATCH(B3065,Mitarbeiter!$A$6:$A$205,0)),"Pers.-Nr. unbekannt",IF(A3065="","Datum fehlt",IF(AND(D3065&lt;&gt;Einstellungen!$C$4,D3065&lt;&gt;Einstellungen!$C$5),"Objekt fehlt",IF(YEAR(A3065)&lt;&gt;Einstellungen!$C$3,"anderes Jahr",IF(A3065&lt;INDEX(Mitarbeiter!$C$6:$C$205,MATCH(B3065,Mitarbeiter!$A$6:$A$205,0)),"vor Eintritt",IF(AND(INDEX(Mitarbeiter!$D$6:$D$205,MATCH(B3065,Mitarbeiter!$A$6:$A$205,0))&lt;&gt;"",A3065&gt;INDEX(Mitarbeiter!$D$6:$D$205,MATCH(B3065,Mitarbeiter!$A$6:$A$205,0))),"nach Austritt","ok")))))))</f>
        <v/>
      </c>
    </row>
    <row r="3066">
      <c r="A3066" s="26" t="n"/>
      <c r="B3066" s="24" t="n"/>
      <c r="C3066" s="40">
        <f>IF(B3066="","",IFERROR(INDEX(Mitarbeiter!$B$6:$B$205,MATCH(B3066,Mitarbeiter!$A$6:$A$205,0)),"?"))</f>
        <v/>
      </c>
      <c r="D3066" s="41" t="n"/>
      <c r="E3066" s="42" t="n"/>
      <c r="F3066" s="43" t="n"/>
      <c r="G3066" s="44">
        <f>IF(OR(B3066="",F3066=""),"",IFERROR(F3066*INDEX(Mitarbeiter!$F$6:$F$205,MATCH(B3066,Mitarbeiter!$A$6:$A$205,0)),0))</f>
        <v/>
      </c>
      <c r="H3066" s="8">
        <f>IF(B3066="","",IF(ISNA(MATCH(B3066,Mitarbeiter!$A$6:$A$205,0)),"Pers.-Nr. unbekannt",IF(A3066="","Datum fehlt",IF(AND(D3066&lt;&gt;Einstellungen!$C$4,D3066&lt;&gt;Einstellungen!$C$5),"Objekt fehlt",IF(YEAR(A3066)&lt;&gt;Einstellungen!$C$3,"anderes Jahr",IF(A3066&lt;INDEX(Mitarbeiter!$C$6:$C$205,MATCH(B3066,Mitarbeiter!$A$6:$A$205,0)),"vor Eintritt",IF(AND(INDEX(Mitarbeiter!$D$6:$D$205,MATCH(B3066,Mitarbeiter!$A$6:$A$205,0))&lt;&gt;"",A3066&gt;INDEX(Mitarbeiter!$D$6:$D$205,MATCH(B3066,Mitarbeiter!$A$6:$A$205,0))),"nach Austritt","ok")))))))</f>
        <v/>
      </c>
    </row>
    <row r="3067">
      <c r="A3067" s="26" t="n"/>
      <c r="B3067" s="24" t="n"/>
      <c r="C3067" s="40">
        <f>IF(B3067="","",IFERROR(INDEX(Mitarbeiter!$B$6:$B$205,MATCH(B3067,Mitarbeiter!$A$6:$A$205,0)),"?"))</f>
        <v/>
      </c>
      <c r="D3067" s="41" t="n"/>
      <c r="E3067" s="42" t="n"/>
      <c r="F3067" s="43" t="n"/>
      <c r="G3067" s="44">
        <f>IF(OR(B3067="",F3067=""),"",IFERROR(F3067*INDEX(Mitarbeiter!$F$6:$F$205,MATCH(B3067,Mitarbeiter!$A$6:$A$205,0)),0))</f>
        <v/>
      </c>
      <c r="H3067" s="8">
        <f>IF(B3067="","",IF(ISNA(MATCH(B3067,Mitarbeiter!$A$6:$A$205,0)),"Pers.-Nr. unbekannt",IF(A3067="","Datum fehlt",IF(AND(D3067&lt;&gt;Einstellungen!$C$4,D3067&lt;&gt;Einstellungen!$C$5),"Objekt fehlt",IF(YEAR(A3067)&lt;&gt;Einstellungen!$C$3,"anderes Jahr",IF(A3067&lt;INDEX(Mitarbeiter!$C$6:$C$205,MATCH(B3067,Mitarbeiter!$A$6:$A$205,0)),"vor Eintritt",IF(AND(INDEX(Mitarbeiter!$D$6:$D$205,MATCH(B3067,Mitarbeiter!$A$6:$A$205,0))&lt;&gt;"",A3067&gt;INDEX(Mitarbeiter!$D$6:$D$205,MATCH(B3067,Mitarbeiter!$A$6:$A$205,0))),"nach Austritt","ok")))))))</f>
        <v/>
      </c>
    </row>
    <row r="3068">
      <c r="A3068" s="26" t="n"/>
      <c r="B3068" s="24" t="n"/>
      <c r="C3068" s="40">
        <f>IF(B3068="","",IFERROR(INDEX(Mitarbeiter!$B$6:$B$205,MATCH(B3068,Mitarbeiter!$A$6:$A$205,0)),"?"))</f>
        <v/>
      </c>
      <c r="D3068" s="41" t="n"/>
      <c r="E3068" s="42" t="n"/>
      <c r="F3068" s="43" t="n"/>
      <c r="G3068" s="44">
        <f>IF(OR(B3068="",F3068=""),"",IFERROR(F3068*INDEX(Mitarbeiter!$F$6:$F$205,MATCH(B3068,Mitarbeiter!$A$6:$A$205,0)),0))</f>
        <v/>
      </c>
      <c r="H3068" s="8">
        <f>IF(B3068="","",IF(ISNA(MATCH(B3068,Mitarbeiter!$A$6:$A$205,0)),"Pers.-Nr. unbekannt",IF(A3068="","Datum fehlt",IF(AND(D3068&lt;&gt;Einstellungen!$C$4,D3068&lt;&gt;Einstellungen!$C$5),"Objekt fehlt",IF(YEAR(A3068)&lt;&gt;Einstellungen!$C$3,"anderes Jahr",IF(A3068&lt;INDEX(Mitarbeiter!$C$6:$C$205,MATCH(B3068,Mitarbeiter!$A$6:$A$205,0)),"vor Eintritt",IF(AND(INDEX(Mitarbeiter!$D$6:$D$205,MATCH(B3068,Mitarbeiter!$A$6:$A$205,0))&lt;&gt;"",A3068&gt;INDEX(Mitarbeiter!$D$6:$D$205,MATCH(B3068,Mitarbeiter!$A$6:$A$205,0))),"nach Austritt","ok")))))))</f>
        <v/>
      </c>
    </row>
    <row r="3069">
      <c r="A3069" s="26" t="n"/>
      <c r="B3069" s="24" t="n"/>
      <c r="C3069" s="40">
        <f>IF(B3069="","",IFERROR(INDEX(Mitarbeiter!$B$6:$B$205,MATCH(B3069,Mitarbeiter!$A$6:$A$205,0)),"?"))</f>
        <v/>
      </c>
      <c r="D3069" s="41" t="n"/>
      <c r="E3069" s="42" t="n"/>
      <c r="F3069" s="43" t="n"/>
      <c r="G3069" s="44">
        <f>IF(OR(B3069="",F3069=""),"",IFERROR(F3069*INDEX(Mitarbeiter!$F$6:$F$205,MATCH(B3069,Mitarbeiter!$A$6:$A$205,0)),0))</f>
        <v/>
      </c>
      <c r="H3069" s="8">
        <f>IF(B3069="","",IF(ISNA(MATCH(B3069,Mitarbeiter!$A$6:$A$205,0)),"Pers.-Nr. unbekannt",IF(A3069="","Datum fehlt",IF(AND(D3069&lt;&gt;Einstellungen!$C$4,D3069&lt;&gt;Einstellungen!$C$5),"Objekt fehlt",IF(YEAR(A3069)&lt;&gt;Einstellungen!$C$3,"anderes Jahr",IF(A3069&lt;INDEX(Mitarbeiter!$C$6:$C$205,MATCH(B3069,Mitarbeiter!$A$6:$A$205,0)),"vor Eintritt",IF(AND(INDEX(Mitarbeiter!$D$6:$D$205,MATCH(B3069,Mitarbeiter!$A$6:$A$205,0))&lt;&gt;"",A3069&gt;INDEX(Mitarbeiter!$D$6:$D$205,MATCH(B3069,Mitarbeiter!$A$6:$A$205,0))),"nach Austritt","ok")))))))</f>
        <v/>
      </c>
    </row>
    <row r="3070">
      <c r="A3070" s="26" t="n"/>
      <c r="B3070" s="24" t="n"/>
      <c r="C3070" s="40">
        <f>IF(B3070="","",IFERROR(INDEX(Mitarbeiter!$B$6:$B$205,MATCH(B3070,Mitarbeiter!$A$6:$A$205,0)),"?"))</f>
        <v/>
      </c>
      <c r="D3070" s="41" t="n"/>
      <c r="E3070" s="42" t="n"/>
      <c r="F3070" s="43" t="n"/>
      <c r="G3070" s="44">
        <f>IF(OR(B3070="",F3070=""),"",IFERROR(F3070*INDEX(Mitarbeiter!$F$6:$F$205,MATCH(B3070,Mitarbeiter!$A$6:$A$205,0)),0))</f>
        <v/>
      </c>
      <c r="H3070" s="8">
        <f>IF(B3070="","",IF(ISNA(MATCH(B3070,Mitarbeiter!$A$6:$A$205,0)),"Pers.-Nr. unbekannt",IF(A3070="","Datum fehlt",IF(AND(D3070&lt;&gt;Einstellungen!$C$4,D3070&lt;&gt;Einstellungen!$C$5),"Objekt fehlt",IF(YEAR(A3070)&lt;&gt;Einstellungen!$C$3,"anderes Jahr",IF(A3070&lt;INDEX(Mitarbeiter!$C$6:$C$205,MATCH(B3070,Mitarbeiter!$A$6:$A$205,0)),"vor Eintritt",IF(AND(INDEX(Mitarbeiter!$D$6:$D$205,MATCH(B3070,Mitarbeiter!$A$6:$A$205,0))&lt;&gt;"",A3070&gt;INDEX(Mitarbeiter!$D$6:$D$205,MATCH(B3070,Mitarbeiter!$A$6:$A$205,0))),"nach Austritt","ok")))))))</f>
        <v/>
      </c>
    </row>
    <row r="3071">
      <c r="A3071" s="26" t="n"/>
      <c r="B3071" s="24" t="n"/>
      <c r="C3071" s="40">
        <f>IF(B3071="","",IFERROR(INDEX(Mitarbeiter!$B$6:$B$205,MATCH(B3071,Mitarbeiter!$A$6:$A$205,0)),"?"))</f>
        <v/>
      </c>
      <c r="D3071" s="41" t="n"/>
      <c r="E3071" s="42" t="n"/>
      <c r="F3071" s="43" t="n"/>
      <c r="G3071" s="44">
        <f>IF(OR(B3071="",F3071=""),"",IFERROR(F3071*INDEX(Mitarbeiter!$F$6:$F$205,MATCH(B3071,Mitarbeiter!$A$6:$A$205,0)),0))</f>
        <v/>
      </c>
      <c r="H3071" s="8">
        <f>IF(B3071="","",IF(ISNA(MATCH(B3071,Mitarbeiter!$A$6:$A$205,0)),"Pers.-Nr. unbekannt",IF(A3071="","Datum fehlt",IF(AND(D3071&lt;&gt;Einstellungen!$C$4,D3071&lt;&gt;Einstellungen!$C$5),"Objekt fehlt",IF(YEAR(A3071)&lt;&gt;Einstellungen!$C$3,"anderes Jahr",IF(A3071&lt;INDEX(Mitarbeiter!$C$6:$C$205,MATCH(B3071,Mitarbeiter!$A$6:$A$205,0)),"vor Eintritt",IF(AND(INDEX(Mitarbeiter!$D$6:$D$205,MATCH(B3071,Mitarbeiter!$A$6:$A$205,0))&lt;&gt;"",A3071&gt;INDEX(Mitarbeiter!$D$6:$D$205,MATCH(B3071,Mitarbeiter!$A$6:$A$205,0))),"nach Austritt","ok")))))))</f>
        <v/>
      </c>
    </row>
    <row r="3072">
      <c r="A3072" s="26" t="n"/>
      <c r="B3072" s="24" t="n"/>
      <c r="C3072" s="40">
        <f>IF(B3072="","",IFERROR(INDEX(Mitarbeiter!$B$6:$B$205,MATCH(B3072,Mitarbeiter!$A$6:$A$205,0)),"?"))</f>
        <v/>
      </c>
      <c r="D3072" s="41" t="n"/>
      <c r="E3072" s="42" t="n"/>
      <c r="F3072" s="43" t="n"/>
      <c r="G3072" s="44">
        <f>IF(OR(B3072="",F3072=""),"",IFERROR(F3072*INDEX(Mitarbeiter!$F$6:$F$205,MATCH(B3072,Mitarbeiter!$A$6:$A$205,0)),0))</f>
        <v/>
      </c>
      <c r="H3072" s="8">
        <f>IF(B3072="","",IF(ISNA(MATCH(B3072,Mitarbeiter!$A$6:$A$205,0)),"Pers.-Nr. unbekannt",IF(A3072="","Datum fehlt",IF(AND(D3072&lt;&gt;Einstellungen!$C$4,D3072&lt;&gt;Einstellungen!$C$5),"Objekt fehlt",IF(YEAR(A3072)&lt;&gt;Einstellungen!$C$3,"anderes Jahr",IF(A3072&lt;INDEX(Mitarbeiter!$C$6:$C$205,MATCH(B3072,Mitarbeiter!$A$6:$A$205,0)),"vor Eintritt",IF(AND(INDEX(Mitarbeiter!$D$6:$D$205,MATCH(B3072,Mitarbeiter!$A$6:$A$205,0))&lt;&gt;"",A3072&gt;INDEX(Mitarbeiter!$D$6:$D$205,MATCH(B3072,Mitarbeiter!$A$6:$A$205,0))),"nach Austritt","ok")))))))</f>
        <v/>
      </c>
    </row>
    <row r="3073">
      <c r="A3073" s="26" t="n"/>
      <c r="B3073" s="24" t="n"/>
      <c r="C3073" s="40">
        <f>IF(B3073="","",IFERROR(INDEX(Mitarbeiter!$B$6:$B$205,MATCH(B3073,Mitarbeiter!$A$6:$A$205,0)),"?"))</f>
        <v/>
      </c>
      <c r="D3073" s="41" t="n"/>
      <c r="E3073" s="42" t="n"/>
      <c r="F3073" s="43" t="n"/>
      <c r="G3073" s="44">
        <f>IF(OR(B3073="",F3073=""),"",IFERROR(F3073*INDEX(Mitarbeiter!$F$6:$F$205,MATCH(B3073,Mitarbeiter!$A$6:$A$205,0)),0))</f>
        <v/>
      </c>
      <c r="H3073" s="8">
        <f>IF(B3073="","",IF(ISNA(MATCH(B3073,Mitarbeiter!$A$6:$A$205,0)),"Pers.-Nr. unbekannt",IF(A3073="","Datum fehlt",IF(AND(D3073&lt;&gt;Einstellungen!$C$4,D3073&lt;&gt;Einstellungen!$C$5),"Objekt fehlt",IF(YEAR(A3073)&lt;&gt;Einstellungen!$C$3,"anderes Jahr",IF(A3073&lt;INDEX(Mitarbeiter!$C$6:$C$205,MATCH(B3073,Mitarbeiter!$A$6:$A$205,0)),"vor Eintritt",IF(AND(INDEX(Mitarbeiter!$D$6:$D$205,MATCH(B3073,Mitarbeiter!$A$6:$A$205,0))&lt;&gt;"",A3073&gt;INDEX(Mitarbeiter!$D$6:$D$205,MATCH(B3073,Mitarbeiter!$A$6:$A$205,0))),"nach Austritt","ok")))))))</f>
        <v/>
      </c>
    </row>
    <row r="3074">
      <c r="A3074" s="26" t="n"/>
      <c r="B3074" s="24" t="n"/>
      <c r="C3074" s="40">
        <f>IF(B3074="","",IFERROR(INDEX(Mitarbeiter!$B$6:$B$205,MATCH(B3074,Mitarbeiter!$A$6:$A$205,0)),"?"))</f>
        <v/>
      </c>
      <c r="D3074" s="41" t="n"/>
      <c r="E3074" s="42" t="n"/>
      <c r="F3074" s="43" t="n"/>
      <c r="G3074" s="44">
        <f>IF(OR(B3074="",F3074=""),"",IFERROR(F3074*INDEX(Mitarbeiter!$F$6:$F$205,MATCH(B3074,Mitarbeiter!$A$6:$A$205,0)),0))</f>
        <v/>
      </c>
      <c r="H3074" s="8">
        <f>IF(B3074="","",IF(ISNA(MATCH(B3074,Mitarbeiter!$A$6:$A$205,0)),"Pers.-Nr. unbekannt",IF(A3074="","Datum fehlt",IF(AND(D3074&lt;&gt;Einstellungen!$C$4,D3074&lt;&gt;Einstellungen!$C$5),"Objekt fehlt",IF(YEAR(A3074)&lt;&gt;Einstellungen!$C$3,"anderes Jahr",IF(A3074&lt;INDEX(Mitarbeiter!$C$6:$C$205,MATCH(B3074,Mitarbeiter!$A$6:$A$205,0)),"vor Eintritt",IF(AND(INDEX(Mitarbeiter!$D$6:$D$205,MATCH(B3074,Mitarbeiter!$A$6:$A$205,0))&lt;&gt;"",A3074&gt;INDEX(Mitarbeiter!$D$6:$D$205,MATCH(B3074,Mitarbeiter!$A$6:$A$205,0))),"nach Austritt","ok")))))))</f>
        <v/>
      </c>
    </row>
    <row r="3075">
      <c r="A3075" s="26" t="n"/>
      <c r="B3075" s="24" t="n"/>
      <c r="C3075" s="40">
        <f>IF(B3075="","",IFERROR(INDEX(Mitarbeiter!$B$6:$B$205,MATCH(B3075,Mitarbeiter!$A$6:$A$205,0)),"?"))</f>
        <v/>
      </c>
      <c r="D3075" s="41" t="n"/>
      <c r="E3075" s="42" t="n"/>
      <c r="F3075" s="43" t="n"/>
      <c r="G3075" s="44">
        <f>IF(OR(B3075="",F3075=""),"",IFERROR(F3075*INDEX(Mitarbeiter!$F$6:$F$205,MATCH(B3075,Mitarbeiter!$A$6:$A$205,0)),0))</f>
        <v/>
      </c>
      <c r="H3075" s="8">
        <f>IF(B3075="","",IF(ISNA(MATCH(B3075,Mitarbeiter!$A$6:$A$205,0)),"Pers.-Nr. unbekannt",IF(A3075="","Datum fehlt",IF(AND(D3075&lt;&gt;Einstellungen!$C$4,D3075&lt;&gt;Einstellungen!$C$5),"Objekt fehlt",IF(YEAR(A3075)&lt;&gt;Einstellungen!$C$3,"anderes Jahr",IF(A3075&lt;INDEX(Mitarbeiter!$C$6:$C$205,MATCH(B3075,Mitarbeiter!$A$6:$A$205,0)),"vor Eintritt",IF(AND(INDEX(Mitarbeiter!$D$6:$D$205,MATCH(B3075,Mitarbeiter!$A$6:$A$205,0))&lt;&gt;"",A3075&gt;INDEX(Mitarbeiter!$D$6:$D$205,MATCH(B3075,Mitarbeiter!$A$6:$A$205,0))),"nach Austritt","ok")))))))</f>
        <v/>
      </c>
    </row>
    <row r="3076">
      <c r="A3076" s="26" t="n"/>
      <c r="B3076" s="24" t="n"/>
      <c r="C3076" s="40">
        <f>IF(B3076="","",IFERROR(INDEX(Mitarbeiter!$B$6:$B$205,MATCH(B3076,Mitarbeiter!$A$6:$A$205,0)),"?"))</f>
        <v/>
      </c>
      <c r="D3076" s="41" t="n"/>
      <c r="E3076" s="42" t="n"/>
      <c r="F3076" s="43" t="n"/>
      <c r="G3076" s="44">
        <f>IF(OR(B3076="",F3076=""),"",IFERROR(F3076*INDEX(Mitarbeiter!$F$6:$F$205,MATCH(B3076,Mitarbeiter!$A$6:$A$205,0)),0))</f>
        <v/>
      </c>
      <c r="H3076" s="8">
        <f>IF(B3076="","",IF(ISNA(MATCH(B3076,Mitarbeiter!$A$6:$A$205,0)),"Pers.-Nr. unbekannt",IF(A3076="","Datum fehlt",IF(AND(D3076&lt;&gt;Einstellungen!$C$4,D3076&lt;&gt;Einstellungen!$C$5),"Objekt fehlt",IF(YEAR(A3076)&lt;&gt;Einstellungen!$C$3,"anderes Jahr",IF(A3076&lt;INDEX(Mitarbeiter!$C$6:$C$205,MATCH(B3076,Mitarbeiter!$A$6:$A$205,0)),"vor Eintritt",IF(AND(INDEX(Mitarbeiter!$D$6:$D$205,MATCH(B3076,Mitarbeiter!$A$6:$A$205,0))&lt;&gt;"",A3076&gt;INDEX(Mitarbeiter!$D$6:$D$205,MATCH(B3076,Mitarbeiter!$A$6:$A$205,0))),"nach Austritt","ok")))))))</f>
        <v/>
      </c>
    </row>
    <row r="3077">
      <c r="A3077" s="26" t="n"/>
      <c r="B3077" s="24" t="n"/>
      <c r="C3077" s="40">
        <f>IF(B3077="","",IFERROR(INDEX(Mitarbeiter!$B$6:$B$205,MATCH(B3077,Mitarbeiter!$A$6:$A$205,0)),"?"))</f>
        <v/>
      </c>
      <c r="D3077" s="41" t="n"/>
      <c r="E3077" s="42" t="n"/>
      <c r="F3077" s="43" t="n"/>
      <c r="G3077" s="44">
        <f>IF(OR(B3077="",F3077=""),"",IFERROR(F3077*INDEX(Mitarbeiter!$F$6:$F$205,MATCH(B3077,Mitarbeiter!$A$6:$A$205,0)),0))</f>
        <v/>
      </c>
      <c r="H3077" s="8">
        <f>IF(B3077="","",IF(ISNA(MATCH(B3077,Mitarbeiter!$A$6:$A$205,0)),"Pers.-Nr. unbekannt",IF(A3077="","Datum fehlt",IF(AND(D3077&lt;&gt;Einstellungen!$C$4,D3077&lt;&gt;Einstellungen!$C$5),"Objekt fehlt",IF(YEAR(A3077)&lt;&gt;Einstellungen!$C$3,"anderes Jahr",IF(A3077&lt;INDEX(Mitarbeiter!$C$6:$C$205,MATCH(B3077,Mitarbeiter!$A$6:$A$205,0)),"vor Eintritt",IF(AND(INDEX(Mitarbeiter!$D$6:$D$205,MATCH(B3077,Mitarbeiter!$A$6:$A$205,0))&lt;&gt;"",A3077&gt;INDEX(Mitarbeiter!$D$6:$D$205,MATCH(B3077,Mitarbeiter!$A$6:$A$205,0))),"nach Austritt","ok")))))))</f>
        <v/>
      </c>
    </row>
    <row r="3078">
      <c r="A3078" s="26" t="n"/>
      <c r="B3078" s="24" t="n"/>
      <c r="C3078" s="40">
        <f>IF(B3078="","",IFERROR(INDEX(Mitarbeiter!$B$6:$B$205,MATCH(B3078,Mitarbeiter!$A$6:$A$205,0)),"?"))</f>
        <v/>
      </c>
      <c r="D3078" s="41" t="n"/>
      <c r="E3078" s="42" t="n"/>
      <c r="F3078" s="43" t="n"/>
      <c r="G3078" s="44">
        <f>IF(OR(B3078="",F3078=""),"",IFERROR(F3078*INDEX(Mitarbeiter!$F$6:$F$205,MATCH(B3078,Mitarbeiter!$A$6:$A$205,0)),0))</f>
        <v/>
      </c>
      <c r="H3078" s="8">
        <f>IF(B3078="","",IF(ISNA(MATCH(B3078,Mitarbeiter!$A$6:$A$205,0)),"Pers.-Nr. unbekannt",IF(A3078="","Datum fehlt",IF(AND(D3078&lt;&gt;Einstellungen!$C$4,D3078&lt;&gt;Einstellungen!$C$5),"Objekt fehlt",IF(YEAR(A3078)&lt;&gt;Einstellungen!$C$3,"anderes Jahr",IF(A3078&lt;INDEX(Mitarbeiter!$C$6:$C$205,MATCH(B3078,Mitarbeiter!$A$6:$A$205,0)),"vor Eintritt",IF(AND(INDEX(Mitarbeiter!$D$6:$D$205,MATCH(B3078,Mitarbeiter!$A$6:$A$205,0))&lt;&gt;"",A3078&gt;INDEX(Mitarbeiter!$D$6:$D$205,MATCH(B3078,Mitarbeiter!$A$6:$A$205,0))),"nach Austritt","ok")))))))</f>
        <v/>
      </c>
    </row>
    <row r="3079">
      <c r="A3079" s="26" t="n"/>
      <c r="B3079" s="24" t="n"/>
      <c r="C3079" s="40">
        <f>IF(B3079="","",IFERROR(INDEX(Mitarbeiter!$B$6:$B$205,MATCH(B3079,Mitarbeiter!$A$6:$A$205,0)),"?"))</f>
        <v/>
      </c>
      <c r="D3079" s="41" t="n"/>
      <c r="E3079" s="42" t="n"/>
      <c r="F3079" s="43" t="n"/>
      <c r="G3079" s="44">
        <f>IF(OR(B3079="",F3079=""),"",IFERROR(F3079*INDEX(Mitarbeiter!$F$6:$F$205,MATCH(B3079,Mitarbeiter!$A$6:$A$205,0)),0))</f>
        <v/>
      </c>
      <c r="H3079" s="8">
        <f>IF(B3079="","",IF(ISNA(MATCH(B3079,Mitarbeiter!$A$6:$A$205,0)),"Pers.-Nr. unbekannt",IF(A3079="","Datum fehlt",IF(AND(D3079&lt;&gt;Einstellungen!$C$4,D3079&lt;&gt;Einstellungen!$C$5),"Objekt fehlt",IF(YEAR(A3079)&lt;&gt;Einstellungen!$C$3,"anderes Jahr",IF(A3079&lt;INDEX(Mitarbeiter!$C$6:$C$205,MATCH(B3079,Mitarbeiter!$A$6:$A$205,0)),"vor Eintritt",IF(AND(INDEX(Mitarbeiter!$D$6:$D$205,MATCH(B3079,Mitarbeiter!$A$6:$A$205,0))&lt;&gt;"",A3079&gt;INDEX(Mitarbeiter!$D$6:$D$205,MATCH(B3079,Mitarbeiter!$A$6:$A$205,0))),"nach Austritt","ok")))))))</f>
        <v/>
      </c>
    </row>
    <row r="3080">
      <c r="A3080" s="26" t="n"/>
      <c r="B3080" s="24" t="n"/>
      <c r="C3080" s="40">
        <f>IF(B3080="","",IFERROR(INDEX(Mitarbeiter!$B$6:$B$205,MATCH(B3080,Mitarbeiter!$A$6:$A$205,0)),"?"))</f>
        <v/>
      </c>
      <c r="D3080" s="41" t="n"/>
      <c r="E3080" s="42" t="n"/>
      <c r="F3080" s="43" t="n"/>
      <c r="G3080" s="44">
        <f>IF(OR(B3080="",F3080=""),"",IFERROR(F3080*INDEX(Mitarbeiter!$F$6:$F$205,MATCH(B3080,Mitarbeiter!$A$6:$A$205,0)),0))</f>
        <v/>
      </c>
      <c r="H3080" s="8">
        <f>IF(B3080="","",IF(ISNA(MATCH(B3080,Mitarbeiter!$A$6:$A$205,0)),"Pers.-Nr. unbekannt",IF(A3080="","Datum fehlt",IF(AND(D3080&lt;&gt;Einstellungen!$C$4,D3080&lt;&gt;Einstellungen!$C$5),"Objekt fehlt",IF(YEAR(A3080)&lt;&gt;Einstellungen!$C$3,"anderes Jahr",IF(A3080&lt;INDEX(Mitarbeiter!$C$6:$C$205,MATCH(B3080,Mitarbeiter!$A$6:$A$205,0)),"vor Eintritt",IF(AND(INDEX(Mitarbeiter!$D$6:$D$205,MATCH(B3080,Mitarbeiter!$A$6:$A$205,0))&lt;&gt;"",A3080&gt;INDEX(Mitarbeiter!$D$6:$D$205,MATCH(B3080,Mitarbeiter!$A$6:$A$205,0))),"nach Austritt","ok")))))))</f>
        <v/>
      </c>
    </row>
    <row r="3081">
      <c r="A3081" s="26" t="n"/>
      <c r="B3081" s="24" t="n"/>
      <c r="C3081" s="40">
        <f>IF(B3081="","",IFERROR(INDEX(Mitarbeiter!$B$6:$B$205,MATCH(B3081,Mitarbeiter!$A$6:$A$205,0)),"?"))</f>
        <v/>
      </c>
      <c r="D3081" s="41" t="n"/>
      <c r="E3081" s="42" t="n"/>
      <c r="F3081" s="43" t="n"/>
      <c r="G3081" s="44">
        <f>IF(OR(B3081="",F3081=""),"",IFERROR(F3081*INDEX(Mitarbeiter!$F$6:$F$205,MATCH(B3081,Mitarbeiter!$A$6:$A$205,0)),0))</f>
        <v/>
      </c>
      <c r="H3081" s="8">
        <f>IF(B3081="","",IF(ISNA(MATCH(B3081,Mitarbeiter!$A$6:$A$205,0)),"Pers.-Nr. unbekannt",IF(A3081="","Datum fehlt",IF(AND(D3081&lt;&gt;Einstellungen!$C$4,D3081&lt;&gt;Einstellungen!$C$5),"Objekt fehlt",IF(YEAR(A3081)&lt;&gt;Einstellungen!$C$3,"anderes Jahr",IF(A3081&lt;INDEX(Mitarbeiter!$C$6:$C$205,MATCH(B3081,Mitarbeiter!$A$6:$A$205,0)),"vor Eintritt",IF(AND(INDEX(Mitarbeiter!$D$6:$D$205,MATCH(B3081,Mitarbeiter!$A$6:$A$205,0))&lt;&gt;"",A3081&gt;INDEX(Mitarbeiter!$D$6:$D$205,MATCH(B3081,Mitarbeiter!$A$6:$A$205,0))),"nach Austritt","ok")))))))</f>
        <v/>
      </c>
    </row>
    <row r="3082">
      <c r="A3082" s="26" t="n"/>
      <c r="B3082" s="24" t="n"/>
      <c r="C3082" s="40">
        <f>IF(B3082="","",IFERROR(INDEX(Mitarbeiter!$B$6:$B$205,MATCH(B3082,Mitarbeiter!$A$6:$A$205,0)),"?"))</f>
        <v/>
      </c>
      <c r="D3082" s="41" t="n"/>
      <c r="E3082" s="42" t="n"/>
      <c r="F3082" s="43" t="n"/>
      <c r="G3082" s="44">
        <f>IF(OR(B3082="",F3082=""),"",IFERROR(F3082*INDEX(Mitarbeiter!$F$6:$F$205,MATCH(B3082,Mitarbeiter!$A$6:$A$205,0)),0))</f>
        <v/>
      </c>
      <c r="H3082" s="8">
        <f>IF(B3082="","",IF(ISNA(MATCH(B3082,Mitarbeiter!$A$6:$A$205,0)),"Pers.-Nr. unbekannt",IF(A3082="","Datum fehlt",IF(AND(D3082&lt;&gt;Einstellungen!$C$4,D3082&lt;&gt;Einstellungen!$C$5),"Objekt fehlt",IF(YEAR(A3082)&lt;&gt;Einstellungen!$C$3,"anderes Jahr",IF(A3082&lt;INDEX(Mitarbeiter!$C$6:$C$205,MATCH(B3082,Mitarbeiter!$A$6:$A$205,0)),"vor Eintritt",IF(AND(INDEX(Mitarbeiter!$D$6:$D$205,MATCH(B3082,Mitarbeiter!$A$6:$A$205,0))&lt;&gt;"",A3082&gt;INDEX(Mitarbeiter!$D$6:$D$205,MATCH(B3082,Mitarbeiter!$A$6:$A$205,0))),"nach Austritt","ok")))))))</f>
        <v/>
      </c>
    </row>
    <row r="3083">
      <c r="A3083" s="26" t="n"/>
      <c r="B3083" s="24" t="n"/>
      <c r="C3083" s="40">
        <f>IF(B3083="","",IFERROR(INDEX(Mitarbeiter!$B$6:$B$205,MATCH(B3083,Mitarbeiter!$A$6:$A$205,0)),"?"))</f>
        <v/>
      </c>
      <c r="D3083" s="41" t="n"/>
      <c r="E3083" s="42" t="n"/>
      <c r="F3083" s="43" t="n"/>
      <c r="G3083" s="44">
        <f>IF(OR(B3083="",F3083=""),"",IFERROR(F3083*INDEX(Mitarbeiter!$F$6:$F$205,MATCH(B3083,Mitarbeiter!$A$6:$A$205,0)),0))</f>
        <v/>
      </c>
      <c r="H3083" s="8">
        <f>IF(B3083="","",IF(ISNA(MATCH(B3083,Mitarbeiter!$A$6:$A$205,0)),"Pers.-Nr. unbekannt",IF(A3083="","Datum fehlt",IF(AND(D3083&lt;&gt;Einstellungen!$C$4,D3083&lt;&gt;Einstellungen!$C$5),"Objekt fehlt",IF(YEAR(A3083)&lt;&gt;Einstellungen!$C$3,"anderes Jahr",IF(A3083&lt;INDEX(Mitarbeiter!$C$6:$C$205,MATCH(B3083,Mitarbeiter!$A$6:$A$205,0)),"vor Eintritt",IF(AND(INDEX(Mitarbeiter!$D$6:$D$205,MATCH(B3083,Mitarbeiter!$A$6:$A$205,0))&lt;&gt;"",A3083&gt;INDEX(Mitarbeiter!$D$6:$D$205,MATCH(B3083,Mitarbeiter!$A$6:$A$205,0))),"nach Austritt","ok")))))))</f>
        <v/>
      </c>
    </row>
    <row r="3084">
      <c r="A3084" s="26" t="n"/>
      <c r="B3084" s="24" t="n"/>
      <c r="C3084" s="40">
        <f>IF(B3084="","",IFERROR(INDEX(Mitarbeiter!$B$6:$B$205,MATCH(B3084,Mitarbeiter!$A$6:$A$205,0)),"?"))</f>
        <v/>
      </c>
      <c r="D3084" s="41" t="n"/>
      <c r="E3084" s="42" t="n"/>
      <c r="F3084" s="43" t="n"/>
      <c r="G3084" s="44">
        <f>IF(OR(B3084="",F3084=""),"",IFERROR(F3084*INDEX(Mitarbeiter!$F$6:$F$205,MATCH(B3084,Mitarbeiter!$A$6:$A$205,0)),0))</f>
        <v/>
      </c>
      <c r="H3084" s="8">
        <f>IF(B3084="","",IF(ISNA(MATCH(B3084,Mitarbeiter!$A$6:$A$205,0)),"Pers.-Nr. unbekannt",IF(A3084="","Datum fehlt",IF(AND(D3084&lt;&gt;Einstellungen!$C$4,D3084&lt;&gt;Einstellungen!$C$5),"Objekt fehlt",IF(YEAR(A3084)&lt;&gt;Einstellungen!$C$3,"anderes Jahr",IF(A3084&lt;INDEX(Mitarbeiter!$C$6:$C$205,MATCH(B3084,Mitarbeiter!$A$6:$A$205,0)),"vor Eintritt",IF(AND(INDEX(Mitarbeiter!$D$6:$D$205,MATCH(B3084,Mitarbeiter!$A$6:$A$205,0))&lt;&gt;"",A3084&gt;INDEX(Mitarbeiter!$D$6:$D$205,MATCH(B3084,Mitarbeiter!$A$6:$A$205,0))),"nach Austritt","ok")))))))</f>
        <v/>
      </c>
    </row>
    <row r="3085">
      <c r="A3085" s="26" t="n"/>
      <c r="B3085" s="24" t="n"/>
      <c r="C3085" s="40">
        <f>IF(B3085="","",IFERROR(INDEX(Mitarbeiter!$B$6:$B$205,MATCH(B3085,Mitarbeiter!$A$6:$A$205,0)),"?"))</f>
        <v/>
      </c>
      <c r="D3085" s="41" t="n"/>
      <c r="E3085" s="42" t="n"/>
      <c r="F3085" s="43" t="n"/>
      <c r="G3085" s="44">
        <f>IF(OR(B3085="",F3085=""),"",IFERROR(F3085*INDEX(Mitarbeiter!$F$6:$F$205,MATCH(B3085,Mitarbeiter!$A$6:$A$205,0)),0))</f>
        <v/>
      </c>
      <c r="H3085" s="8">
        <f>IF(B3085="","",IF(ISNA(MATCH(B3085,Mitarbeiter!$A$6:$A$205,0)),"Pers.-Nr. unbekannt",IF(A3085="","Datum fehlt",IF(AND(D3085&lt;&gt;Einstellungen!$C$4,D3085&lt;&gt;Einstellungen!$C$5),"Objekt fehlt",IF(YEAR(A3085)&lt;&gt;Einstellungen!$C$3,"anderes Jahr",IF(A3085&lt;INDEX(Mitarbeiter!$C$6:$C$205,MATCH(B3085,Mitarbeiter!$A$6:$A$205,0)),"vor Eintritt",IF(AND(INDEX(Mitarbeiter!$D$6:$D$205,MATCH(B3085,Mitarbeiter!$A$6:$A$205,0))&lt;&gt;"",A3085&gt;INDEX(Mitarbeiter!$D$6:$D$205,MATCH(B3085,Mitarbeiter!$A$6:$A$205,0))),"nach Austritt","ok")))))))</f>
        <v/>
      </c>
    </row>
    <row r="3086">
      <c r="A3086" s="26" t="n"/>
      <c r="B3086" s="24" t="n"/>
      <c r="C3086" s="40">
        <f>IF(B3086="","",IFERROR(INDEX(Mitarbeiter!$B$6:$B$205,MATCH(B3086,Mitarbeiter!$A$6:$A$205,0)),"?"))</f>
        <v/>
      </c>
      <c r="D3086" s="41" t="n"/>
      <c r="E3086" s="42" t="n"/>
      <c r="F3086" s="43" t="n"/>
      <c r="G3086" s="44">
        <f>IF(OR(B3086="",F3086=""),"",IFERROR(F3086*INDEX(Mitarbeiter!$F$6:$F$205,MATCH(B3086,Mitarbeiter!$A$6:$A$205,0)),0))</f>
        <v/>
      </c>
      <c r="H3086" s="8">
        <f>IF(B3086="","",IF(ISNA(MATCH(B3086,Mitarbeiter!$A$6:$A$205,0)),"Pers.-Nr. unbekannt",IF(A3086="","Datum fehlt",IF(AND(D3086&lt;&gt;Einstellungen!$C$4,D3086&lt;&gt;Einstellungen!$C$5),"Objekt fehlt",IF(YEAR(A3086)&lt;&gt;Einstellungen!$C$3,"anderes Jahr",IF(A3086&lt;INDEX(Mitarbeiter!$C$6:$C$205,MATCH(B3086,Mitarbeiter!$A$6:$A$205,0)),"vor Eintritt",IF(AND(INDEX(Mitarbeiter!$D$6:$D$205,MATCH(B3086,Mitarbeiter!$A$6:$A$205,0))&lt;&gt;"",A3086&gt;INDEX(Mitarbeiter!$D$6:$D$205,MATCH(B3086,Mitarbeiter!$A$6:$A$205,0))),"nach Austritt","ok")))))))</f>
        <v/>
      </c>
    </row>
    <row r="3087">
      <c r="A3087" s="26" t="n"/>
      <c r="B3087" s="24" t="n"/>
      <c r="C3087" s="40">
        <f>IF(B3087="","",IFERROR(INDEX(Mitarbeiter!$B$6:$B$205,MATCH(B3087,Mitarbeiter!$A$6:$A$205,0)),"?"))</f>
        <v/>
      </c>
      <c r="D3087" s="41" t="n"/>
      <c r="E3087" s="42" t="n"/>
      <c r="F3087" s="43" t="n"/>
      <c r="G3087" s="44">
        <f>IF(OR(B3087="",F3087=""),"",IFERROR(F3087*INDEX(Mitarbeiter!$F$6:$F$205,MATCH(B3087,Mitarbeiter!$A$6:$A$205,0)),0))</f>
        <v/>
      </c>
      <c r="H3087" s="8">
        <f>IF(B3087="","",IF(ISNA(MATCH(B3087,Mitarbeiter!$A$6:$A$205,0)),"Pers.-Nr. unbekannt",IF(A3087="","Datum fehlt",IF(AND(D3087&lt;&gt;Einstellungen!$C$4,D3087&lt;&gt;Einstellungen!$C$5),"Objekt fehlt",IF(YEAR(A3087)&lt;&gt;Einstellungen!$C$3,"anderes Jahr",IF(A3087&lt;INDEX(Mitarbeiter!$C$6:$C$205,MATCH(B3087,Mitarbeiter!$A$6:$A$205,0)),"vor Eintritt",IF(AND(INDEX(Mitarbeiter!$D$6:$D$205,MATCH(B3087,Mitarbeiter!$A$6:$A$205,0))&lt;&gt;"",A3087&gt;INDEX(Mitarbeiter!$D$6:$D$205,MATCH(B3087,Mitarbeiter!$A$6:$A$205,0))),"nach Austritt","ok")))))))</f>
        <v/>
      </c>
    </row>
    <row r="3088">
      <c r="A3088" s="26" t="n"/>
      <c r="B3088" s="24" t="n"/>
      <c r="C3088" s="40">
        <f>IF(B3088="","",IFERROR(INDEX(Mitarbeiter!$B$6:$B$205,MATCH(B3088,Mitarbeiter!$A$6:$A$205,0)),"?"))</f>
        <v/>
      </c>
      <c r="D3088" s="41" t="n"/>
      <c r="E3088" s="42" t="n"/>
      <c r="F3088" s="43" t="n"/>
      <c r="G3088" s="44">
        <f>IF(OR(B3088="",F3088=""),"",IFERROR(F3088*INDEX(Mitarbeiter!$F$6:$F$205,MATCH(B3088,Mitarbeiter!$A$6:$A$205,0)),0))</f>
        <v/>
      </c>
      <c r="H3088" s="8">
        <f>IF(B3088="","",IF(ISNA(MATCH(B3088,Mitarbeiter!$A$6:$A$205,0)),"Pers.-Nr. unbekannt",IF(A3088="","Datum fehlt",IF(AND(D3088&lt;&gt;Einstellungen!$C$4,D3088&lt;&gt;Einstellungen!$C$5),"Objekt fehlt",IF(YEAR(A3088)&lt;&gt;Einstellungen!$C$3,"anderes Jahr",IF(A3088&lt;INDEX(Mitarbeiter!$C$6:$C$205,MATCH(B3088,Mitarbeiter!$A$6:$A$205,0)),"vor Eintritt",IF(AND(INDEX(Mitarbeiter!$D$6:$D$205,MATCH(B3088,Mitarbeiter!$A$6:$A$205,0))&lt;&gt;"",A3088&gt;INDEX(Mitarbeiter!$D$6:$D$205,MATCH(B3088,Mitarbeiter!$A$6:$A$205,0))),"nach Austritt","ok")))))))</f>
        <v/>
      </c>
    </row>
    <row r="3089">
      <c r="A3089" s="26" t="n"/>
      <c r="B3089" s="24" t="n"/>
      <c r="C3089" s="40">
        <f>IF(B3089="","",IFERROR(INDEX(Mitarbeiter!$B$6:$B$205,MATCH(B3089,Mitarbeiter!$A$6:$A$205,0)),"?"))</f>
        <v/>
      </c>
      <c r="D3089" s="41" t="n"/>
      <c r="E3089" s="42" t="n"/>
      <c r="F3089" s="43" t="n"/>
      <c r="G3089" s="44">
        <f>IF(OR(B3089="",F3089=""),"",IFERROR(F3089*INDEX(Mitarbeiter!$F$6:$F$205,MATCH(B3089,Mitarbeiter!$A$6:$A$205,0)),0))</f>
        <v/>
      </c>
      <c r="H3089" s="8">
        <f>IF(B3089="","",IF(ISNA(MATCH(B3089,Mitarbeiter!$A$6:$A$205,0)),"Pers.-Nr. unbekannt",IF(A3089="","Datum fehlt",IF(AND(D3089&lt;&gt;Einstellungen!$C$4,D3089&lt;&gt;Einstellungen!$C$5),"Objekt fehlt",IF(YEAR(A3089)&lt;&gt;Einstellungen!$C$3,"anderes Jahr",IF(A3089&lt;INDEX(Mitarbeiter!$C$6:$C$205,MATCH(B3089,Mitarbeiter!$A$6:$A$205,0)),"vor Eintritt",IF(AND(INDEX(Mitarbeiter!$D$6:$D$205,MATCH(B3089,Mitarbeiter!$A$6:$A$205,0))&lt;&gt;"",A3089&gt;INDEX(Mitarbeiter!$D$6:$D$205,MATCH(B3089,Mitarbeiter!$A$6:$A$205,0))),"nach Austritt","ok")))))))</f>
        <v/>
      </c>
    </row>
    <row r="3090">
      <c r="A3090" s="26" t="n"/>
      <c r="B3090" s="24" t="n"/>
      <c r="C3090" s="40">
        <f>IF(B3090="","",IFERROR(INDEX(Mitarbeiter!$B$6:$B$205,MATCH(B3090,Mitarbeiter!$A$6:$A$205,0)),"?"))</f>
        <v/>
      </c>
      <c r="D3090" s="41" t="n"/>
      <c r="E3090" s="42" t="n"/>
      <c r="F3090" s="43" t="n"/>
      <c r="G3090" s="44">
        <f>IF(OR(B3090="",F3090=""),"",IFERROR(F3090*INDEX(Mitarbeiter!$F$6:$F$205,MATCH(B3090,Mitarbeiter!$A$6:$A$205,0)),0))</f>
        <v/>
      </c>
      <c r="H3090" s="8">
        <f>IF(B3090="","",IF(ISNA(MATCH(B3090,Mitarbeiter!$A$6:$A$205,0)),"Pers.-Nr. unbekannt",IF(A3090="","Datum fehlt",IF(AND(D3090&lt;&gt;Einstellungen!$C$4,D3090&lt;&gt;Einstellungen!$C$5),"Objekt fehlt",IF(YEAR(A3090)&lt;&gt;Einstellungen!$C$3,"anderes Jahr",IF(A3090&lt;INDEX(Mitarbeiter!$C$6:$C$205,MATCH(B3090,Mitarbeiter!$A$6:$A$205,0)),"vor Eintritt",IF(AND(INDEX(Mitarbeiter!$D$6:$D$205,MATCH(B3090,Mitarbeiter!$A$6:$A$205,0))&lt;&gt;"",A3090&gt;INDEX(Mitarbeiter!$D$6:$D$205,MATCH(B3090,Mitarbeiter!$A$6:$A$205,0))),"nach Austritt","ok")))))))</f>
        <v/>
      </c>
    </row>
    <row r="3091">
      <c r="A3091" s="26" t="n"/>
      <c r="B3091" s="24" t="n"/>
      <c r="C3091" s="40">
        <f>IF(B3091="","",IFERROR(INDEX(Mitarbeiter!$B$6:$B$205,MATCH(B3091,Mitarbeiter!$A$6:$A$205,0)),"?"))</f>
        <v/>
      </c>
      <c r="D3091" s="41" t="n"/>
      <c r="E3091" s="42" t="n"/>
      <c r="F3091" s="43" t="n"/>
      <c r="G3091" s="44">
        <f>IF(OR(B3091="",F3091=""),"",IFERROR(F3091*INDEX(Mitarbeiter!$F$6:$F$205,MATCH(B3091,Mitarbeiter!$A$6:$A$205,0)),0))</f>
        <v/>
      </c>
      <c r="H3091" s="8">
        <f>IF(B3091="","",IF(ISNA(MATCH(B3091,Mitarbeiter!$A$6:$A$205,0)),"Pers.-Nr. unbekannt",IF(A3091="","Datum fehlt",IF(AND(D3091&lt;&gt;Einstellungen!$C$4,D3091&lt;&gt;Einstellungen!$C$5),"Objekt fehlt",IF(YEAR(A3091)&lt;&gt;Einstellungen!$C$3,"anderes Jahr",IF(A3091&lt;INDEX(Mitarbeiter!$C$6:$C$205,MATCH(B3091,Mitarbeiter!$A$6:$A$205,0)),"vor Eintritt",IF(AND(INDEX(Mitarbeiter!$D$6:$D$205,MATCH(B3091,Mitarbeiter!$A$6:$A$205,0))&lt;&gt;"",A3091&gt;INDEX(Mitarbeiter!$D$6:$D$205,MATCH(B3091,Mitarbeiter!$A$6:$A$205,0))),"nach Austritt","ok")))))))</f>
        <v/>
      </c>
    </row>
    <row r="3092">
      <c r="A3092" s="26" t="n"/>
      <c r="B3092" s="24" t="n"/>
      <c r="C3092" s="40">
        <f>IF(B3092="","",IFERROR(INDEX(Mitarbeiter!$B$6:$B$205,MATCH(B3092,Mitarbeiter!$A$6:$A$205,0)),"?"))</f>
        <v/>
      </c>
      <c r="D3092" s="41" t="n"/>
      <c r="E3092" s="42" t="n"/>
      <c r="F3092" s="43" t="n"/>
      <c r="G3092" s="44">
        <f>IF(OR(B3092="",F3092=""),"",IFERROR(F3092*INDEX(Mitarbeiter!$F$6:$F$205,MATCH(B3092,Mitarbeiter!$A$6:$A$205,0)),0))</f>
        <v/>
      </c>
      <c r="H3092" s="8">
        <f>IF(B3092="","",IF(ISNA(MATCH(B3092,Mitarbeiter!$A$6:$A$205,0)),"Pers.-Nr. unbekannt",IF(A3092="","Datum fehlt",IF(AND(D3092&lt;&gt;Einstellungen!$C$4,D3092&lt;&gt;Einstellungen!$C$5),"Objekt fehlt",IF(YEAR(A3092)&lt;&gt;Einstellungen!$C$3,"anderes Jahr",IF(A3092&lt;INDEX(Mitarbeiter!$C$6:$C$205,MATCH(B3092,Mitarbeiter!$A$6:$A$205,0)),"vor Eintritt",IF(AND(INDEX(Mitarbeiter!$D$6:$D$205,MATCH(B3092,Mitarbeiter!$A$6:$A$205,0))&lt;&gt;"",A3092&gt;INDEX(Mitarbeiter!$D$6:$D$205,MATCH(B3092,Mitarbeiter!$A$6:$A$205,0))),"nach Austritt","ok")))))))</f>
        <v/>
      </c>
    </row>
    <row r="3093">
      <c r="A3093" s="26" t="n"/>
      <c r="B3093" s="24" t="n"/>
      <c r="C3093" s="40">
        <f>IF(B3093="","",IFERROR(INDEX(Mitarbeiter!$B$6:$B$205,MATCH(B3093,Mitarbeiter!$A$6:$A$205,0)),"?"))</f>
        <v/>
      </c>
      <c r="D3093" s="41" t="n"/>
      <c r="E3093" s="42" t="n"/>
      <c r="F3093" s="43" t="n"/>
      <c r="G3093" s="44">
        <f>IF(OR(B3093="",F3093=""),"",IFERROR(F3093*INDEX(Mitarbeiter!$F$6:$F$205,MATCH(B3093,Mitarbeiter!$A$6:$A$205,0)),0))</f>
        <v/>
      </c>
      <c r="H3093" s="8">
        <f>IF(B3093="","",IF(ISNA(MATCH(B3093,Mitarbeiter!$A$6:$A$205,0)),"Pers.-Nr. unbekannt",IF(A3093="","Datum fehlt",IF(AND(D3093&lt;&gt;Einstellungen!$C$4,D3093&lt;&gt;Einstellungen!$C$5),"Objekt fehlt",IF(YEAR(A3093)&lt;&gt;Einstellungen!$C$3,"anderes Jahr",IF(A3093&lt;INDEX(Mitarbeiter!$C$6:$C$205,MATCH(B3093,Mitarbeiter!$A$6:$A$205,0)),"vor Eintritt",IF(AND(INDEX(Mitarbeiter!$D$6:$D$205,MATCH(B3093,Mitarbeiter!$A$6:$A$205,0))&lt;&gt;"",A3093&gt;INDEX(Mitarbeiter!$D$6:$D$205,MATCH(B3093,Mitarbeiter!$A$6:$A$205,0))),"nach Austritt","ok")))))))</f>
        <v/>
      </c>
    </row>
    <row r="3094">
      <c r="A3094" s="26" t="n"/>
      <c r="B3094" s="24" t="n"/>
      <c r="C3094" s="40">
        <f>IF(B3094="","",IFERROR(INDEX(Mitarbeiter!$B$6:$B$205,MATCH(B3094,Mitarbeiter!$A$6:$A$205,0)),"?"))</f>
        <v/>
      </c>
      <c r="D3094" s="41" t="n"/>
      <c r="E3094" s="42" t="n"/>
      <c r="F3094" s="43" t="n"/>
      <c r="G3094" s="44">
        <f>IF(OR(B3094="",F3094=""),"",IFERROR(F3094*INDEX(Mitarbeiter!$F$6:$F$205,MATCH(B3094,Mitarbeiter!$A$6:$A$205,0)),0))</f>
        <v/>
      </c>
      <c r="H3094" s="8">
        <f>IF(B3094="","",IF(ISNA(MATCH(B3094,Mitarbeiter!$A$6:$A$205,0)),"Pers.-Nr. unbekannt",IF(A3094="","Datum fehlt",IF(AND(D3094&lt;&gt;Einstellungen!$C$4,D3094&lt;&gt;Einstellungen!$C$5),"Objekt fehlt",IF(YEAR(A3094)&lt;&gt;Einstellungen!$C$3,"anderes Jahr",IF(A3094&lt;INDEX(Mitarbeiter!$C$6:$C$205,MATCH(B3094,Mitarbeiter!$A$6:$A$205,0)),"vor Eintritt",IF(AND(INDEX(Mitarbeiter!$D$6:$D$205,MATCH(B3094,Mitarbeiter!$A$6:$A$205,0))&lt;&gt;"",A3094&gt;INDEX(Mitarbeiter!$D$6:$D$205,MATCH(B3094,Mitarbeiter!$A$6:$A$205,0))),"nach Austritt","ok")))))))</f>
        <v/>
      </c>
    </row>
    <row r="3095">
      <c r="A3095" s="26" t="n"/>
      <c r="B3095" s="24" t="n"/>
      <c r="C3095" s="40">
        <f>IF(B3095="","",IFERROR(INDEX(Mitarbeiter!$B$6:$B$205,MATCH(B3095,Mitarbeiter!$A$6:$A$205,0)),"?"))</f>
        <v/>
      </c>
      <c r="D3095" s="41" t="n"/>
      <c r="E3095" s="42" t="n"/>
      <c r="F3095" s="43" t="n"/>
      <c r="G3095" s="44">
        <f>IF(OR(B3095="",F3095=""),"",IFERROR(F3095*INDEX(Mitarbeiter!$F$6:$F$205,MATCH(B3095,Mitarbeiter!$A$6:$A$205,0)),0))</f>
        <v/>
      </c>
      <c r="H3095" s="8">
        <f>IF(B3095="","",IF(ISNA(MATCH(B3095,Mitarbeiter!$A$6:$A$205,0)),"Pers.-Nr. unbekannt",IF(A3095="","Datum fehlt",IF(AND(D3095&lt;&gt;Einstellungen!$C$4,D3095&lt;&gt;Einstellungen!$C$5),"Objekt fehlt",IF(YEAR(A3095)&lt;&gt;Einstellungen!$C$3,"anderes Jahr",IF(A3095&lt;INDEX(Mitarbeiter!$C$6:$C$205,MATCH(B3095,Mitarbeiter!$A$6:$A$205,0)),"vor Eintritt",IF(AND(INDEX(Mitarbeiter!$D$6:$D$205,MATCH(B3095,Mitarbeiter!$A$6:$A$205,0))&lt;&gt;"",A3095&gt;INDEX(Mitarbeiter!$D$6:$D$205,MATCH(B3095,Mitarbeiter!$A$6:$A$205,0))),"nach Austritt","ok")))))))</f>
        <v/>
      </c>
    </row>
    <row r="3096">
      <c r="A3096" s="26" t="n"/>
      <c r="B3096" s="24" t="n"/>
      <c r="C3096" s="40">
        <f>IF(B3096="","",IFERROR(INDEX(Mitarbeiter!$B$6:$B$205,MATCH(B3096,Mitarbeiter!$A$6:$A$205,0)),"?"))</f>
        <v/>
      </c>
      <c r="D3096" s="41" t="n"/>
      <c r="E3096" s="42" t="n"/>
      <c r="F3096" s="43" t="n"/>
      <c r="G3096" s="44">
        <f>IF(OR(B3096="",F3096=""),"",IFERROR(F3096*INDEX(Mitarbeiter!$F$6:$F$205,MATCH(B3096,Mitarbeiter!$A$6:$A$205,0)),0))</f>
        <v/>
      </c>
      <c r="H3096" s="8">
        <f>IF(B3096="","",IF(ISNA(MATCH(B3096,Mitarbeiter!$A$6:$A$205,0)),"Pers.-Nr. unbekannt",IF(A3096="","Datum fehlt",IF(AND(D3096&lt;&gt;Einstellungen!$C$4,D3096&lt;&gt;Einstellungen!$C$5),"Objekt fehlt",IF(YEAR(A3096)&lt;&gt;Einstellungen!$C$3,"anderes Jahr",IF(A3096&lt;INDEX(Mitarbeiter!$C$6:$C$205,MATCH(B3096,Mitarbeiter!$A$6:$A$205,0)),"vor Eintritt",IF(AND(INDEX(Mitarbeiter!$D$6:$D$205,MATCH(B3096,Mitarbeiter!$A$6:$A$205,0))&lt;&gt;"",A3096&gt;INDEX(Mitarbeiter!$D$6:$D$205,MATCH(B3096,Mitarbeiter!$A$6:$A$205,0))),"nach Austritt","ok")))))))</f>
        <v/>
      </c>
    </row>
    <row r="3097">
      <c r="A3097" s="26" t="n"/>
      <c r="B3097" s="24" t="n"/>
      <c r="C3097" s="40">
        <f>IF(B3097="","",IFERROR(INDEX(Mitarbeiter!$B$6:$B$205,MATCH(B3097,Mitarbeiter!$A$6:$A$205,0)),"?"))</f>
        <v/>
      </c>
      <c r="D3097" s="41" t="n"/>
      <c r="E3097" s="42" t="n"/>
      <c r="F3097" s="43" t="n"/>
      <c r="G3097" s="44">
        <f>IF(OR(B3097="",F3097=""),"",IFERROR(F3097*INDEX(Mitarbeiter!$F$6:$F$205,MATCH(B3097,Mitarbeiter!$A$6:$A$205,0)),0))</f>
        <v/>
      </c>
      <c r="H3097" s="8">
        <f>IF(B3097="","",IF(ISNA(MATCH(B3097,Mitarbeiter!$A$6:$A$205,0)),"Pers.-Nr. unbekannt",IF(A3097="","Datum fehlt",IF(AND(D3097&lt;&gt;Einstellungen!$C$4,D3097&lt;&gt;Einstellungen!$C$5),"Objekt fehlt",IF(YEAR(A3097)&lt;&gt;Einstellungen!$C$3,"anderes Jahr",IF(A3097&lt;INDEX(Mitarbeiter!$C$6:$C$205,MATCH(B3097,Mitarbeiter!$A$6:$A$205,0)),"vor Eintritt",IF(AND(INDEX(Mitarbeiter!$D$6:$D$205,MATCH(B3097,Mitarbeiter!$A$6:$A$205,0))&lt;&gt;"",A3097&gt;INDEX(Mitarbeiter!$D$6:$D$205,MATCH(B3097,Mitarbeiter!$A$6:$A$205,0))),"nach Austritt","ok")))))))</f>
        <v/>
      </c>
    </row>
    <row r="3098">
      <c r="A3098" s="26" t="n"/>
      <c r="B3098" s="24" t="n"/>
      <c r="C3098" s="40">
        <f>IF(B3098="","",IFERROR(INDEX(Mitarbeiter!$B$6:$B$205,MATCH(B3098,Mitarbeiter!$A$6:$A$205,0)),"?"))</f>
        <v/>
      </c>
      <c r="D3098" s="41" t="n"/>
      <c r="E3098" s="42" t="n"/>
      <c r="F3098" s="43" t="n"/>
      <c r="G3098" s="44">
        <f>IF(OR(B3098="",F3098=""),"",IFERROR(F3098*INDEX(Mitarbeiter!$F$6:$F$205,MATCH(B3098,Mitarbeiter!$A$6:$A$205,0)),0))</f>
        <v/>
      </c>
      <c r="H3098" s="8">
        <f>IF(B3098="","",IF(ISNA(MATCH(B3098,Mitarbeiter!$A$6:$A$205,0)),"Pers.-Nr. unbekannt",IF(A3098="","Datum fehlt",IF(AND(D3098&lt;&gt;Einstellungen!$C$4,D3098&lt;&gt;Einstellungen!$C$5),"Objekt fehlt",IF(YEAR(A3098)&lt;&gt;Einstellungen!$C$3,"anderes Jahr",IF(A3098&lt;INDEX(Mitarbeiter!$C$6:$C$205,MATCH(B3098,Mitarbeiter!$A$6:$A$205,0)),"vor Eintritt",IF(AND(INDEX(Mitarbeiter!$D$6:$D$205,MATCH(B3098,Mitarbeiter!$A$6:$A$205,0))&lt;&gt;"",A3098&gt;INDEX(Mitarbeiter!$D$6:$D$205,MATCH(B3098,Mitarbeiter!$A$6:$A$205,0))),"nach Austritt","ok")))))))</f>
        <v/>
      </c>
    </row>
    <row r="3099">
      <c r="A3099" s="26" t="n"/>
      <c r="B3099" s="24" t="n"/>
      <c r="C3099" s="40">
        <f>IF(B3099="","",IFERROR(INDEX(Mitarbeiter!$B$6:$B$205,MATCH(B3099,Mitarbeiter!$A$6:$A$205,0)),"?"))</f>
        <v/>
      </c>
      <c r="D3099" s="41" t="n"/>
      <c r="E3099" s="42" t="n"/>
      <c r="F3099" s="43" t="n"/>
      <c r="G3099" s="44">
        <f>IF(OR(B3099="",F3099=""),"",IFERROR(F3099*INDEX(Mitarbeiter!$F$6:$F$205,MATCH(B3099,Mitarbeiter!$A$6:$A$205,0)),0))</f>
        <v/>
      </c>
      <c r="H3099" s="8">
        <f>IF(B3099="","",IF(ISNA(MATCH(B3099,Mitarbeiter!$A$6:$A$205,0)),"Pers.-Nr. unbekannt",IF(A3099="","Datum fehlt",IF(AND(D3099&lt;&gt;Einstellungen!$C$4,D3099&lt;&gt;Einstellungen!$C$5),"Objekt fehlt",IF(YEAR(A3099)&lt;&gt;Einstellungen!$C$3,"anderes Jahr",IF(A3099&lt;INDEX(Mitarbeiter!$C$6:$C$205,MATCH(B3099,Mitarbeiter!$A$6:$A$205,0)),"vor Eintritt",IF(AND(INDEX(Mitarbeiter!$D$6:$D$205,MATCH(B3099,Mitarbeiter!$A$6:$A$205,0))&lt;&gt;"",A3099&gt;INDEX(Mitarbeiter!$D$6:$D$205,MATCH(B3099,Mitarbeiter!$A$6:$A$205,0))),"nach Austritt","ok")))))))</f>
        <v/>
      </c>
    </row>
    <row r="3100">
      <c r="A3100" s="26" t="n"/>
      <c r="B3100" s="24" t="n"/>
      <c r="C3100" s="40">
        <f>IF(B3100="","",IFERROR(INDEX(Mitarbeiter!$B$6:$B$205,MATCH(B3100,Mitarbeiter!$A$6:$A$205,0)),"?"))</f>
        <v/>
      </c>
      <c r="D3100" s="41" t="n"/>
      <c r="E3100" s="42" t="n"/>
      <c r="F3100" s="43" t="n"/>
      <c r="G3100" s="44">
        <f>IF(OR(B3100="",F3100=""),"",IFERROR(F3100*INDEX(Mitarbeiter!$F$6:$F$205,MATCH(B3100,Mitarbeiter!$A$6:$A$205,0)),0))</f>
        <v/>
      </c>
      <c r="H3100" s="8">
        <f>IF(B3100="","",IF(ISNA(MATCH(B3100,Mitarbeiter!$A$6:$A$205,0)),"Pers.-Nr. unbekannt",IF(A3100="","Datum fehlt",IF(AND(D3100&lt;&gt;Einstellungen!$C$4,D3100&lt;&gt;Einstellungen!$C$5),"Objekt fehlt",IF(YEAR(A3100)&lt;&gt;Einstellungen!$C$3,"anderes Jahr",IF(A3100&lt;INDEX(Mitarbeiter!$C$6:$C$205,MATCH(B3100,Mitarbeiter!$A$6:$A$205,0)),"vor Eintritt",IF(AND(INDEX(Mitarbeiter!$D$6:$D$205,MATCH(B3100,Mitarbeiter!$A$6:$A$205,0))&lt;&gt;"",A3100&gt;INDEX(Mitarbeiter!$D$6:$D$205,MATCH(B3100,Mitarbeiter!$A$6:$A$205,0))),"nach Austritt","ok")))))))</f>
        <v/>
      </c>
    </row>
    <row r="3101">
      <c r="A3101" s="26" t="n"/>
      <c r="B3101" s="24" t="n"/>
      <c r="C3101" s="40">
        <f>IF(B3101="","",IFERROR(INDEX(Mitarbeiter!$B$6:$B$205,MATCH(B3101,Mitarbeiter!$A$6:$A$205,0)),"?"))</f>
        <v/>
      </c>
      <c r="D3101" s="41" t="n"/>
      <c r="E3101" s="42" t="n"/>
      <c r="F3101" s="43" t="n"/>
      <c r="G3101" s="44">
        <f>IF(OR(B3101="",F3101=""),"",IFERROR(F3101*INDEX(Mitarbeiter!$F$6:$F$205,MATCH(B3101,Mitarbeiter!$A$6:$A$205,0)),0))</f>
        <v/>
      </c>
      <c r="H3101" s="8">
        <f>IF(B3101="","",IF(ISNA(MATCH(B3101,Mitarbeiter!$A$6:$A$205,0)),"Pers.-Nr. unbekannt",IF(A3101="","Datum fehlt",IF(AND(D3101&lt;&gt;Einstellungen!$C$4,D3101&lt;&gt;Einstellungen!$C$5),"Objekt fehlt",IF(YEAR(A3101)&lt;&gt;Einstellungen!$C$3,"anderes Jahr",IF(A3101&lt;INDEX(Mitarbeiter!$C$6:$C$205,MATCH(B3101,Mitarbeiter!$A$6:$A$205,0)),"vor Eintritt",IF(AND(INDEX(Mitarbeiter!$D$6:$D$205,MATCH(B3101,Mitarbeiter!$A$6:$A$205,0))&lt;&gt;"",A3101&gt;INDEX(Mitarbeiter!$D$6:$D$205,MATCH(B3101,Mitarbeiter!$A$6:$A$205,0))),"nach Austritt","ok")))))))</f>
        <v/>
      </c>
    </row>
    <row r="3102">
      <c r="A3102" s="26" t="n"/>
      <c r="B3102" s="24" t="n"/>
      <c r="C3102" s="40">
        <f>IF(B3102="","",IFERROR(INDEX(Mitarbeiter!$B$6:$B$205,MATCH(B3102,Mitarbeiter!$A$6:$A$205,0)),"?"))</f>
        <v/>
      </c>
      <c r="D3102" s="41" t="n"/>
      <c r="E3102" s="42" t="n"/>
      <c r="F3102" s="43" t="n"/>
      <c r="G3102" s="44">
        <f>IF(OR(B3102="",F3102=""),"",IFERROR(F3102*INDEX(Mitarbeiter!$F$6:$F$205,MATCH(B3102,Mitarbeiter!$A$6:$A$205,0)),0))</f>
        <v/>
      </c>
      <c r="H3102" s="8">
        <f>IF(B3102="","",IF(ISNA(MATCH(B3102,Mitarbeiter!$A$6:$A$205,0)),"Pers.-Nr. unbekannt",IF(A3102="","Datum fehlt",IF(AND(D3102&lt;&gt;Einstellungen!$C$4,D3102&lt;&gt;Einstellungen!$C$5),"Objekt fehlt",IF(YEAR(A3102)&lt;&gt;Einstellungen!$C$3,"anderes Jahr",IF(A3102&lt;INDEX(Mitarbeiter!$C$6:$C$205,MATCH(B3102,Mitarbeiter!$A$6:$A$205,0)),"vor Eintritt",IF(AND(INDEX(Mitarbeiter!$D$6:$D$205,MATCH(B3102,Mitarbeiter!$A$6:$A$205,0))&lt;&gt;"",A3102&gt;INDEX(Mitarbeiter!$D$6:$D$205,MATCH(B3102,Mitarbeiter!$A$6:$A$205,0))),"nach Austritt","ok")))))))</f>
        <v/>
      </c>
    </row>
    <row r="3103">
      <c r="A3103" s="26" t="n"/>
      <c r="B3103" s="24" t="n"/>
      <c r="C3103" s="40">
        <f>IF(B3103="","",IFERROR(INDEX(Mitarbeiter!$B$6:$B$205,MATCH(B3103,Mitarbeiter!$A$6:$A$205,0)),"?"))</f>
        <v/>
      </c>
      <c r="D3103" s="41" t="n"/>
      <c r="E3103" s="42" t="n"/>
      <c r="F3103" s="43" t="n"/>
      <c r="G3103" s="44">
        <f>IF(OR(B3103="",F3103=""),"",IFERROR(F3103*INDEX(Mitarbeiter!$F$6:$F$205,MATCH(B3103,Mitarbeiter!$A$6:$A$205,0)),0))</f>
        <v/>
      </c>
      <c r="H3103" s="8">
        <f>IF(B3103="","",IF(ISNA(MATCH(B3103,Mitarbeiter!$A$6:$A$205,0)),"Pers.-Nr. unbekannt",IF(A3103="","Datum fehlt",IF(AND(D3103&lt;&gt;Einstellungen!$C$4,D3103&lt;&gt;Einstellungen!$C$5),"Objekt fehlt",IF(YEAR(A3103)&lt;&gt;Einstellungen!$C$3,"anderes Jahr",IF(A3103&lt;INDEX(Mitarbeiter!$C$6:$C$205,MATCH(B3103,Mitarbeiter!$A$6:$A$205,0)),"vor Eintritt",IF(AND(INDEX(Mitarbeiter!$D$6:$D$205,MATCH(B3103,Mitarbeiter!$A$6:$A$205,0))&lt;&gt;"",A3103&gt;INDEX(Mitarbeiter!$D$6:$D$205,MATCH(B3103,Mitarbeiter!$A$6:$A$205,0))),"nach Austritt","ok")))))))</f>
        <v/>
      </c>
    </row>
    <row r="3104">
      <c r="A3104" s="26" t="n"/>
      <c r="B3104" s="24" t="n"/>
      <c r="C3104" s="40">
        <f>IF(B3104="","",IFERROR(INDEX(Mitarbeiter!$B$6:$B$205,MATCH(B3104,Mitarbeiter!$A$6:$A$205,0)),"?"))</f>
        <v/>
      </c>
      <c r="D3104" s="41" t="n"/>
      <c r="E3104" s="42" t="n"/>
      <c r="F3104" s="43" t="n"/>
      <c r="G3104" s="44">
        <f>IF(OR(B3104="",F3104=""),"",IFERROR(F3104*INDEX(Mitarbeiter!$F$6:$F$205,MATCH(B3104,Mitarbeiter!$A$6:$A$205,0)),0))</f>
        <v/>
      </c>
      <c r="H3104" s="8">
        <f>IF(B3104="","",IF(ISNA(MATCH(B3104,Mitarbeiter!$A$6:$A$205,0)),"Pers.-Nr. unbekannt",IF(A3104="","Datum fehlt",IF(AND(D3104&lt;&gt;Einstellungen!$C$4,D3104&lt;&gt;Einstellungen!$C$5),"Objekt fehlt",IF(YEAR(A3104)&lt;&gt;Einstellungen!$C$3,"anderes Jahr",IF(A3104&lt;INDEX(Mitarbeiter!$C$6:$C$205,MATCH(B3104,Mitarbeiter!$A$6:$A$205,0)),"vor Eintritt",IF(AND(INDEX(Mitarbeiter!$D$6:$D$205,MATCH(B3104,Mitarbeiter!$A$6:$A$205,0))&lt;&gt;"",A3104&gt;INDEX(Mitarbeiter!$D$6:$D$205,MATCH(B3104,Mitarbeiter!$A$6:$A$205,0))),"nach Austritt","ok")))))))</f>
        <v/>
      </c>
    </row>
    <row r="3105">
      <c r="A3105" s="26" t="n"/>
      <c r="B3105" s="24" t="n"/>
      <c r="C3105" s="40">
        <f>IF(B3105="","",IFERROR(INDEX(Mitarbeiter!$B$6:$B$205,MATCH(B3105,Mitarbeiter!$A$6:$A$205,0)),"?"))</f>
        <v/>
      </c>
      <c r="D3105" s="41" t="n"/>
      <c r="E3105" s="42" t="n"/>
      <c r="F3105" s="43" t="n"/>
      <c r="G3105" s="44">
        <f>IF(OR(B3105="",F3105=""),"",IFERROR(F3105*INDEX(Mitarbeiter!$F$6:$F$205,MATCH(B3105,Mitarbeiter!$A$6:$A$205,0)),0))</f>
        <v/>
      </c>
      <c r="H3105" s="8">
        <f>IF(B3105="","",IF(ISNA(MATCH(B3105,Mitarbeiter!$A$6:$A$205,0)),"Pers.-Nr. unbekannt",IF(A3105="","Datum fehlt",IF(AND(D3105&lt;&gt;Einstellungen!$C$4,D3105&lt;&gt;Einstellungen!$C$5),"Objekt fehlt",IF(YEAR(A3105)&lt;&gt;Einstellungen!$C$3,"anderes Jahr",IF(A3105&lt;INDEX(Mitarbeiter!$C$6:$C$205,MATCH(B3105,Mitarbeiter!$A$6:$A$205,0)),"vor Eintritt",IF(AND(INDEX(Mitarbeiter!$D$6:$D$205,MATCH(B3105,Mitarbeiter!$A$6:$A$205,0))&lt;&gt;"",A3105&gt;INDEX(Mitarbeiter!$D$6:$D$205,MATCH(B3105,Mitarbeiter!$A$6:$A$205,0))),"nach Austritt","ok")))))))</f>
        <v/>
      </c>
    </row>
    <row r="3106">
      <c r="A3106" s="26" t="n"/>
      <c r="B3106" s="24" t="n"/>
      <c r="C3106" s="40">
        <f>IF(B3106="","",IFERROR(INDEX(Mitarbeiter!$B$6:$B$205,MATCH(B3106,Mitarbeiter!$A$6:$A$205,0)),"?"))</f>
        <v/>
      </c>
      <c r="D3106" s="41" t="n"/>
      <c r="E3106" s="42" t="n"/>
      <c r="F3106" s="43" t="n"/>
      <c r="G3106" s="44">
        <f>IF(OR(B3106="",F3106=""),"",IFERROR(F3106*INDEX(Mitarbeiter!$F$6:$F$205,MATCH(B3106,Mitarbeiter!$A$6:$A$205,0)),0))</f>
        <v/>
      </c>
      <c r="H3106" s="8">
        <f>IF(B3106="","",IF(ISNA(MATCH(B3106,Mitarbeiter!$A$6:$A$205,0)),"Pers.-Nr. unbekannt",IF(A3106="","Datum fehlt",IF(AND(D3106&lt;&gt;Einstellungen!$C$4,D3106&lt;&gt;Einstellungen!$C$5),"Objekt fehlt",IF(YEAR(A3106)&lt;&gt;Einstellungen!$C$3,"anderes Jahr",IF(A3106&lt;INDEX(Mitarbeiter!$C$6:$C$205,MATCH(B3106,Mitarbeiter!$A$6:$A$205,0)),"vor Eintritt",IF(AND(INDEX(Mitarbeiter!$D$6:$D$205,MATCH(B3106,Mitarbeiter!$A$6:$A$205,0))&lt;&gt;"",A3106&gt;INDEX(Mitarbeiter!$D$6:$D$205,MATCH(B3106,Mitarbeiter!$A$6:$A$205,0))),"nach Austritt","ok")))))))</f>
        <v/>
      </c>
    </row>
    <row r="3107">
      <c r="A3107" s="26" t="n"/>
      <c r="B3107" s="24" t="n"/>
      <c r="C3107" s="40">
        <f>IF(B3107="","",IFERROR(INDEX(Mitarbeiter!$B$6:$B$205,MATCH(B3107,Mitarbeiter!$A$6:$A$205,0)),"?"))</f>
        <v/>
      </c>
      <c r="D3107" s="41" t="n"/>
      <c r="E3107" s="42" t="n"/>
      <c r="F3107" s="43" t="n"/>
      <c r="G3107" s="44">
        <f>IF(OR(B3107="",F3107=""),"",IFERROR(F3107*INDEX(Mitarbeiter!$F$6:$F$205,MATCH(B3107,Mitarbeiter!$A$6:$A$205,0)),0))</f>
        <v/>
      </c>
      <c r="H3107" s="8">
        <f>IF(B3107="","",IF(ISNA(MATCH(B3107,Mitarbeiter!$A$6:$A$205,0)),"Pers.-Nr. unbekannt",IF(A3107="","Datum fehlt",IF(AND(D3107&lt;&gt;Einstellungen!$C$4,D3107&lt;&gt;Einstellungen!$C$5),"Objekt fehlt",IF(YEAR(A3107)&lt;&gt;Einstellungen!$C$3,"anderes Jahr",IF(A3107&lt;INDEX(Mitarbeiter!$C$6:$C$205,MATCH(B3107,Mitarbeiter!$A$6:$A$205,0)),"vor Eintritt",IF(AND(INDEX(Mitarbeiter!$D$6:$D$205,MATCH(B3107,Mitarbeiter!$A$6:$A$205,0))&lt;&gt;"",A3107&gt;INDEX(Mitarbeiter!$D$6:$D$205,MATCH(B3107,Mitarbeiter!$A$6:$A$205,0))),"nach Austritt","ok")))))))</f>
        <v/>
      </c>
    </row>
    <row r="3108">
      <c r="A3108" s="26" t="n"/>
      <c r="B3108" s="24" t="n"/>
      <c r="C3108" s="40">
        <f>IF(B3108="","",IFERROR(INDEX(Mitarbeiter!$B$6:$B$205,MATCH(B3108,Mitarbeiter!$A$6:$A$205,0)),"?"))</f>
        <v/>
      </c>
      <c r="D3108" s="41" t="n"/>
      <c r="E3108" s="42" t="n"/>
      <c r="F3108" s="43" t="n"/>
      <c r="G3108" s="44">
        <f>IF(OR(B3108="",F3108=""),"",IFERROR(F3108*INDEX(Mitarbeiter!$F$6:$F$205,MATCH(B3108,Mitarbeiter!$A$6:$A$205,0)),0))</f>
        <v/>
      </c>
      <c r="H3108" s="8">
        <f>IF(B3108="","",IF(ISNA(MATCH(B3108,Mitarbeiter!$A$6:$A$205,0)),"Pers.-Nr. unbekannt",IF(A3108="","Datum fehlt",IF(AND(D3108&lt;&gt;Einstellungen!$C$4,D3108&lt;&gt;Einstellungen!$C$5),"Objekt fehlt",IF(YEAR(A3108)&lt;&gt;Einstellungen!$C$3,"anderes Jahr",IF(A3108&lt;INDEX(Mitarbeiter!$C$6:$C$205,MATCH(B3108,Mitarbeiter!$A$6:$A$205,0)),"vor Eintritt",IF(AND(INDEX(Mitarbeiter!$D$6:$D$205,MATCH(B3108,Mitarbeiter!$A$6:$A$205,0))&lt;&gt;"",A3108&gt;INDEX(Mitarbeiter!$D$6:$D$205,MATCH(B3108,Mitarbeiter!$A$6:$A$205,0))),"nach Austritt","ok")))))))</f>
        <v/>
      </c>
    </row>
    <row r="3109">
      <c r="A3109" s="26" t="n"/>
      <c r="B3109" s="24" t="n"/>
      <c r="C3109" s="40">
        <f>IF(B3109="","",IFERROR(INDEX(Mitarbeiter!$B$6:$B$205,MATCH(B3109,Mitarbeiter!$A$6:$A$205,0)),"?"))</f>
        <v/>
      </c>
      <c r="D3109" s="41" t="n"/>
      <c r="E3109" s="42" t="n"/>
      <c r="F3109" s="43" t="n"/>
      <c r="G3109" s="44">
        <f>IF(OR(B3109="",F3109=""),"",IFERROR(F3109*INDEX(Mitarbeiter!$F$6:$F$205,MATCH(B3109,Mitarbeiter!$A$6:$A$205,0)),0))</f>
        <v/>
      </c>
      <c r="H3109" s="8">
        <f>IF(B3109="","",IF(ISNA(MATCH(B3109,Mitarbeiter!$A$6:$A$205,0)),"Pers.-Nr. unbekannt",IF(A3109="","Datum fehlt",IF(AND(D3109&lt;&gt;Einstellungen!$C$4,D3109&lt;&gt;Einstellungen!$C$5),"Objekt fehlt",IF(YEAR(A3109)&lt;&gt;Einstellungen!$C$3,"anderes Jahr",IF(A3109&lt;INDEX(Mitarbeiter!$C$6:$C$205,MATCH(B3109,Mitarbeiter!$A$6:$A$205,0)),"vor Eintritt",IF(AND(INDEX(Mitarbeiter!$D$6:$D$205,MATCH(B3109,Mitarbeiter!$A$6:$A$205,0))&lt;&gt;"",A3109&gt;INDEX(Mitarbeiter!$D$6:$D$205,MATCH(B3109,Mitarbeiter!$A$6:$A$205,0))),"nach Austritt","ok")))))))</f>
        <v/>
      </c>
    </row>
    <row r="3110">
      <c r="A3110" s="26" t="n"/>
      <c r="B3110" s="24" t="n"/>
      <c r="C3110" s="40">
        <f>IF(B3110="","",IFERROR(INDEX(Mitarbeiter!$B$6:$B$205,MATCH(B3110,Mitarbeiter!$A$6:$A$205,0)),"?"))</f>
        <v/>
      </c>
      <c r="D3110" s="41" t="n"/>
      <c r="E3110" s="42" t="n"/>
      <c r="F3110" s="43" t="n"/>
      <c r="G3110" s="44">
        <f>IF(OR(B3110="",F3110=""),"",IFERROR(F3110*INDEX(Mitarbeiter!$F$6:$F$205,MATCH(B3110,Mitarbeiter!$A$6:$A$205,0)),0))</f>
        <v/>
      </c>
      <c r="H3110" s="8">
        <f>IF(B3110="","",IF(ISNA(MATCH(B3110,Mitarbeiter!$A$6:$A$205,0)),"Pers.-Nr. unbekannt",IF(A3110="","Datum fehlt",IF(AND(D3110&lt;&gt;Einstellungen!$C$4,D3110&lt;&gt;Einstellungen!$C$5),"Objekt fehlt",IF(YEAR(A3110)&lt;&gt;Einstellungen!$C$3,"anderes Jahr",IF(A3110&lt;INDEX(Mitarbeiter!$C$6:$C$205,MATCH(B3110,Mitarbeiter!$A$6:$A$205,0)),"vor Eintritt",IF(AND(INDEX(Mitarbeiter!$D$6:$D$205,MATCH(B3110,Mitarbeiter!$A$6:$A$205,0))&lt;&gt;"",A3110&gt;INDEX(Mitarbeiter!$D$6:$D$205,MATCH(B3110,Mitarbeiter!$A$6:$A$205,0))),"nach Austritt","ok")))))))</f>
        <v/>
      </c>
    </row>
    <row r="3111">
      <c r="A3111" s="26" t="n"/>
      <c r="B3111" s="24" t="n"/>
      <c r="C3111" s="40">
        <f>IF(B3111="","",IFERROR(INDEX(Mitarbeiter!$B$6:$B$205,MATCH(B3111,Mitarbeiter!$A$6:$A$205,0)),"?"))</f>
        <v/>
      </c>
      <c r="D3111" s="41" t="n"/>
      <c r="E3111" s="42" t="n"/>
      <c r="F3111" s="43" t="n"/>
      <c r="G3111" s="44">
        <f>IF(OR(B3111="",F3111=""),"",IFERROR(F3111*INDEX(Mitarbeiter!$F$6:$F$205,MATCH(B3111,Mitarbeiter!$A$6:$A$205,0)),0))</f>
        <v/>
      </c>
      <c r="H3111" s="8">
        <f>IF(B3111="","",IF(ISNA(MATCH(B3111,Mitarbeiter!$A$6:$A$205,0)),"Pers.-Nr. unbekannt",IF(A3111="","Datum fehlt",IF(AND(D3111&lt;&gt;Einstellungen!$C$4,D3111&lt;&gt;Einstellungen!$C$5),"Objekt fehlt",IF(YEAR(A3111)&lt;&gt;Einstellungen!$C$3,"anderes Jahr",IF(A3111&lt;INDEX(Mitarbeiter!$C$6:$C$205,MATCH(B3111,Mitarbeiter!$A$6:$A$205,0)),"vor Eintritt",IF(AND(INDEX(Mitarbeiter!$D$6:$D$205,MATCH(B3111,Mitarbeiter!$A$6:$A$205,0))&lt;&gt;"",A3111&gt;INDEX(Mitarbeiter!$D$6:$D$205,MATCH(B3111,Mitarbeiter!$A$6:$A$205,0))),"nach Austritt","ok")))))))</f>
        <v/>
      </c>
    </row>
    <row r="3112">
      <c r="A3112" s="26" t="n"/>
      <c r="B3112" s="24" t="n"/>
      <c r="C3112" s="40">
        <f>IF(B3112="","",IFERROR(INDEX(Mitarbeiter!$B$6:$B$205,MATCH(B3112,Mitarbeiter!$A$6:$A$205,0)),"?"))</f>
        <v/>
      </c>
      <c r="D3112" s="41" t="n"/>
      <c r="E3112" s="42" t="n"/>
      <c r="F3112" s="43" t="n"/>
      <c r="G3112" s="44">
        <f>IF(OR(B3112="",F3112=""),"",IFERROR(F3112*INDEX(Mitarbeiter!$F$6:$F$205,MATCH(B3112,Mitarbeiter!$A$6:$A$205,0)),0))</f>
        <v/>
      </c>
      <c r="H3112" s="8">
        <f>IF(B3112="","",IF(ISNA(MATCH(B3112,Mitarbeiter!$A$6:$A$205,0)),"Pers.-Nr. unbekannt",IF(A3112="","Datum fehlt",IF(AND(D3112&lt;&gt;Einstellungen!$C$4,D3112&lt;&gt;Einstellungen!$C$5),"Objekt fehlt",IF(YEAR(A3112)&lt;&gt;Einstellungen!$C$3,"anderes Jahr",IF(A3112&lt;INDEX(Mitarbeiter!$C$6:$C$205,MATCH(B3112,Mitarbeiter!$A$6:$A$205,0)),"vor Eintritt",IF(AND(INDEX(Mitarbeiter!$D$6:$D$205,MATCH(B3112,Mitarbeiter!$A$6:$A$205,0))&lt;&gt;"",A3112&gt;INDEX(Mitarbeiter!$D$6:$D$205,MATCH(B3112,Mitarbeiter!$A$6:$A$205,0))),"nach Austritt","ok")))))))</f>
        <v/>
      </c>
    </row>
    <row r="3113">
      <c r="A3113" s="26" t="n"/>
      <c r="B3113" s="24" t="n"/>
      <c r="C3113" s="40">
        <f>IF(B3113="","",IFERROR(INDEX(Mitarbeiter!$B$6:$B$205,MATCH(B3113,Mitarbeiter!$A$6:$A$205,0)),"?"))</f>
        <v/>
      </c>
      <c r="D3113" s="41" t="n"/>
      <c r="E3113" s="42" t="n"/>
      <c r="F3113" s="43" t="n"/>
      <c r="G3113" s="44">
        <f>IF(OR(B3113="",F3113=""),"",IFERROR(F3113*INDEX(Mitarbeiter!$F$6:$F$205,MATCH(B3113,Mitarbeiter!$A$6:$A$205,0)),0))</f>
        <v/>
      </c>
      <c r="H3113" s="8">
        <f>IF(B3113="","",IF(ISNA(MATCH(B3113,Mitarbeiter!$A$6:$A$205,0)),"Pers.-Nr. unbekannt",IF(A3113="","Datum fehlt",IF(AND(D3113&lt;&gt;Einstellungen!$C$4,D3113&lt;&gt;Einstellungen!$C$5),"Objekt fehlt",IF(YEAR(A3113)&lt;&gt;Einstellungen!$C$3,"anderes Jahr",IF(A3113&lt;INDEX(Mitarbeiter!$C$6:$C$205,MATCH(B3113,Mitarbeiter!$A$6:$A$205,0)),"vor Eintritt",IF(AND(INDEX(Mitarbeiter!$D$6:$D$205,MATCH(B3113,Mitarbeiter!$A$6:$A$205,0))&lt;&gt;"",A3113&gt;INDEX(Mitarbeiter!$D$6:$D$205,MATCH(B3113,Mitarbeiter!$A$6:$A$205,0))),"nach Austritt","ok")))))))</f>
        <v/>
      </c>
    </row>
    <row r="3114">
      <c r="A3114" s="26" t="n"/>
      <c r="B3114" s="24" t="n"/>
      <c r="C3114" s="40">
        <f>IF(B3114="","",IFERROR(INDEX(Mitarbeiter!$B$6:$B$205,MATCH(B3114,Mitarbeiter!$A$6:$A$205,0)),"?"))</f>
        <v/>
      </c>
      <c r="D3114" s="41" t="n"/>
      <c r="E3114" s="42" t="n"/>
      <c r="F3114" s="43" t="n"/>
      <c r="G3114" s="44">
        <f>IF(OR(B3114="",F3114=""),"",IFERROR(F3114*INDEX(Mitarbeiter!$F$6:$F$205,MATCH(B3114,Mitarbeiter!$A$6:$A$205,0)),0))</f>
        <v/>
      </c>
      <c r="H3114" s="8">
        <f>IF(B3114="","",IF(ISNA(MATCH(B3114,Mitarbeiter!$A$6:$A$205,0)),"Pers.-Nr. unbekannt",IF(A3114="","Datum fehlt",IF(AND(D3114&lt;&gt;Einstellungen!$C$4,D3114&lt;&gt;Einstellungen!$C$5),"Objekt fehlt",IF(YEAR(A3114)&lt;&gt;Einstellungen!$C$3,"anderes Jahr",IF(A3114&lt;INDEX(Mitarbeiter!$C$6:$C$205,MATCH(B3114,Mitarbeiter!$A$6:$A$205,0)),"vor Eintritt",IF(AND(INDEX(Mitarbeiter!$D$6:$D$205,MATCH(B3114,Mitarbeiter!$A$6:$A$205,0))&lt;&gt;"",A3114&gt;INDEX(Mitarbeiter!$D$6:$D$205,MATCH(B3114,Mitarbeiter!$A$6:$A$205,0))),"nach Austritt","ok")))))))</f>
        <v/>
      </c>
    </row>
    <row r="3115">
      <c r="A3115" s="26" t="n"/>
      <c r="B3115" s="24" t="n"/>
      <c r="C3115" s="40">
        <f>IF(B3115="","",IFERROR(INDEX(Mitarbeiter!$B$6:$B$205,MATCH(B3115,Mitarbeiter!$A$6:$A$205,0)),"?"))</f>
        <v/>
      </c>
      <c r="D3115" s="41" t="n"/>
      <c r="E3115" s="42" t="n"/>
      <c r="F3115" s="43" t="n"/>
      <c r="G3115" s="44">
        <f>IF(OR(B3115="",F3115=""),"",IFERROR(F3115*INDEX(Mitarbeiter!$F$6:$F$205,MATCH(B3115,Mitarbeiter!$A$6:$A$205,0)),0))</f>
        <v/>
      </c>
      <c r="H3115" s="8">
        <f>IF(B3115="","",IF(ISNA(MATCH(B3115,Mitarbeiter!$A$6:$A$205,0)),"Pers.-Nr. unbekannt",IF(A3115="","Datum fehlt",IF(AND(D3115&lt;&gt;Einstellungen!$C$4,D3115&lt;&gt;Einstellungen!$C$5),"Objekt fehlt",IF(YEAR(A3115)&lt;&gt;Einstellungen!$C$3,"anderes Jahr",IF(A3115&lt;INDEX(Mitarbeiter!$C$6:$C$205,MATCH(B3115,Mitarbeiter!$A$6:$A$205,0)),"vor Eintritt",IF(AND(INDEX(Mitarbeiter!$D$6:$D$205,MATCH(B3115,Mitarbeiter!$A$6:$A$205,0))&lt;&gt;"",A3115&gt;INDEX(Mitarbeiter!$D$6:$D$205,MATCH(B3115,Mitarbeiter!$A$6:$A$205,0))),"nach Austritt","ok")))))))</f>
        <v/>
      </c>
    </row>
    <row r="3116">
      <c r="A3116" s="26" t="n"/>
      <c r="B3116" s="24" t="n"/>
      <c r="C3116" s="40">
        <f>IF(B3116="","",IFERROR(INDEX(Mitarbeiter!$B$6:$B$205,MATCH(B3116,Mitarbeiter!$A$6:$A$205,0)),"?"))</f>
        <v/>
      </c>
      <c r="D3116" s="41" t="n"/>
      <c r="E3116" s="42" t="n"/>
      <c r="F3116" s="43" t="n"/>
      <c r="G3116" s="44">
        <f>IF(OR(B3116="",F3116=""),"",IFERROR(F3116*INDEX(Mitarbeiter!$F$6:$F$205,MATCH(B3116,Mitarbeiter!$A$6:$A$205,0)),0))</f>
        <v/>
      </c>
      <c r="H3116" s="8">
        <f>IF(B3116="","",IF(ISNA(MATCH(B3116,Mitarbeiter!$A$6:$A$205,0)),"Pers.-Nr. unbekannt",IF(A3116="","Datum fehlt",IF(AND(D3116&lt;&gt;Einstellungen!$C$4,D3116&lt;&gt;Einstellungen!$C$5),"Objekt fehlt",IF(YEAR(A3116)&lt;&gt;Einstellungen!$C$3,"anderes Jahr",IF(A3116&lt;INDEX(Mitarbeiter!$C$6:$C$205,MATCH(B3116,Mitarbeiter!$A$6:$A$205,0)),"vor Eintritt",IF(AND(INDEX(Mitarbeiter!$D$6:$D$205,MATCH(B3116,Mitarbeiter!$A$6:$A$205,0))&lt;&gt;"",A3116&gt;INDEX(Mitarbeiter!$D$6:$D$205,MATCH(B3116,Mitarbeiter!$A$6:$A$205,0))),"nach Austritt","ok")))))))</f>
        <v/>
      </c>
    </row>
    <row r="3117">
      <c r="A3117" s="26" t="n"/>
      <c r="B3117" s="24" t="n"/>
      <c r="C3117" s="40">
        <f>IF(B3117="","",IFERROR(INDEX(Mitarbeiter!$B$6:$B$205,MATCH(B3117,Mitarbeiter!$A$6:$A$205,0)),"?"))</f>
        <v/>
      </c>
      <c r="D3117" s="41" t="n"/>
      <c r="E3117" s="42" t="n"/>
      <c r="F3117" s="43" t="n"/>
      <c r="G3117" s="44">
        <f>IF(OR(B3117="",F3117=""),"",IFERROR(F3117*INDEX(Mitarbeiter!$F$6:$F$205,MATCH(B3117,Mitarbeiter!$A$6:$A$205,0)),0))</f>
        <v/>
      </c>
      <c r="H3117" s="8">
        <f>IF(B3117="","",IF(ISNA(MATCH(B3117,Mitarbeiter!$A$6:$A$205,0)),"Pers.-Nr. unbekannt",IF(A3117="","Datum fehlt",IF(AND(D3117&lt;&gt;Einstellungen!$C$4,D3117&lt;&gt;Einstellungen!$C$5),"Objekt fehlt",IF(YEAR(A3117)&lt;&gt;Einstellungen!$C$3,"anderes Jahr",IF(A3117&lt;INDEX(Mitarbeiter!$C$6:$C$205,MATCH(B3117,Mitarbeiter!$A$6:$A$205,0)),"vor Eintritt",IF(AND(INDEX(Mitarbeiter!$D$6:$D$205,MATCH(B3117,Mitarbeiter!$A$6:$A$205,0))&lt;&gt;"",A3117&gt;INDEX(Mitarbeiter!$D$6:$D$205,MATCH(B3117,Mitarbeiter!$A$6:$A$205,0))),"nach Austritt","ok")))))))</f>
        <v/>
      </c>
    </row>
    <row r="3118">
      <c r="A3118" s="26" t="n"/>
      <c r="B3118" s="24" t="n"/>
      <c r="C3118" s="40">
        <f>IF(B3118="","",IFERROR(INDEX(Mitarbeiter!$B$6:$B$205,MATCH(B3118,Mitarbeiter!$A$6:$A$205,0)),"?"))</f>
        <v/>
      </c>
      <c r="D3118" s="41" t="n"/>
      <c r="E3118" s="42" t="n"/>
      <c r="F3118" s="43" t="n"/>
      <c r="G3118" s="44">
        <f>IF(OR(B3118="",F3118=""),"",IFERROR(F3118*INDEX(Mitarbeiter!$F$6:$F$205,MATCH(B3118,Mitarbeiter!$A$6:$A$205,0)),0))</f>
        <v/>
      </c>
      <c r="H3118" s="8">
        <f>IF(B3118="","",IF(ISNA(MATCH(B3118,Mitarbeiter!$A$6:$A$205,0)),"Pers.-Nr. unbekannt",IF(A3118="","Datum fehlt",IF(AND(D3118&lt;&gt;Einstellungen!$C$4,D3118&lt;&gt;Einstellungen!$C$5),"Objekt fehlt",IF(YEAR(A3118)&lt;&gt;Einstellungen!$C$3,"anderes Jahr",IF(A3118&lt;INDEX(Mitarbeiter!$C$6:$C$205,MATCH(B3118,Mitarbeiter!$A$6:$A$205,0)),"vor Eintritt",IF(AND(INDEX(Mitarbeiter!$D$6:$D$205,MATCH(B3118,Mitarbeiter!$A$6:$A$205,0))&lt;&gt;"",A3118&gt;INDEX(Mitarbeiter!$D$6:$D$205,MATCH(B3118,Mitarbeiter!$A$6:$A$205,0))),"nach Austritt","ok")))))))</f>
        <v/>
      </c>
    </row>
    <row r="3119">
      <c r="A3119" s="26" t="n"/>
      <c r="B3119" s="24" t="n"/>
      <c r="C3119" s="40">
        <f>IF(B3119="","",IFERROR(INDEX(Mitarbeiter!$B$6:$B$205,MATCH(B3119,Mitarbeiter!$A$6:$A$205,0)),"?"))</f>
        <v/>
      </c>
      <c r="D3119" s="41" t="n"/>
      <c r="E3119" s="42" t="n"/>
      <c r="F3119" s="43" t="n"/>
      <c r="G3119" s="44">
        <f>IF(OR(B3119="",F3119=""),"",IFERROR(F3119*INDEX(Mitarbeiter!$F$6:$F$205,MATCH(B3119,Mitarbeiter!$A$6:$A$205,0)),0))</f>
        <v/>
      </c>
      <c r="H3119" s="8">
        <f>IF(B3119="","",IF(ISNA(MATCH(B3119,Mitarbeiter!$A$6:$A$205,0)),"Pers.-Nr. unbekannt",IF(A3119="","Datum fehlt",IF(AND(D3119&lt;&gt;Einstellungen!$C$4,D3119&lt;&gt;Einstellungen!$C$5),"Objekt fehlt",IF(YEAR(A3119)&lt;&gt;Einstellungen!$C$3,"anderes Jahr",IF(A3119&lt;INDEX(Mitarbeiter!$C$6:$C$205,MATCH(B3119,Mitarbeiter!$A$6:$A$205,0)),"vor Eintritt",IF(AND(INDEX(Mitarbeiter!$D$6:$D$205,MATCH(B3119,Mitarbeiter!$A$6:$A$205,0))&lt;&gt;"",A3119&gt;INDEX(Mitarbeiter!$D$6:$D$205,MATCH(B3119,Mitarbeiter!$A$6:$A$205,0))),"nach Austritt","ok")))))))</f>
        <v/>
      </c>
    </row>
    <row r="3120">
      <c r="A3120" s="26" t="n"/>
      <c r="B3120" s="24" t="n"/>
      <c r="C3120" s="40">
        <f>IF(B3120="","",IFERROR(INDEX(Mitarbeiter!$B$6:$B$205,MATCH(B3120,Mitarbeiter!$A$6:$A$205,0)),"?"))</f>
        <v/>
      </c>
      <c r="D3120" s="41" t="n"/>
      <c r="E3120" s="42" t="n"/>
      <c r="F3120" s="43" t="n"/>
      <c r="G3120" s="44">
        <f>IF(OR(B3120="",F3120=""),"",IFERROR(F3120*INDEX(Mitarbeiter!$F$6:$F$205,MATCH(B3120,Mitarbeiter!$A$6:$A$205,0)),0))</f>
        <v/>
      </c>
      <c r="H3120" s="8">
        <f>IF(B3120="","",IF(ISNA(MATCH(B3120,Mitarbeiter!$A$6:$A$205,0)),"Pers.-Nr. unbekannt",IF(A3120="","Datum fehlt",IF(AND(D3120&lt;&gt;Einstellungen!$C$4,D3120&lt;&gt;Einstellungen!$C$5),"Objekt fehlt",IF(YEAR(A3120)&lt;&gt;Einstellungen!$C$3,"anderes Jahr",IF(A3120&lt;INDEX(Mitarbeiter!$C$6:$C$205,MATCH(B3120,Mitarbeiter!$A$6:$A$205,0)),"vor Eintritt",IF(AND(INDEX(Mitarbeiter!$D$6:$D$205,MATCH(B3120,Mitarbeiter!$A$6:$A$205,0))&lt;&gt;"",A3120&gt;INDEX(Mitarbeiter!$D$6:$D$205,MATCH(B3120,Mitarbeiter!$A$6:$A$205,0))),"nach Austritt","ok")))))))</f>
        <v/>
      </c>
    </row>
    <row r="3121">
      <c r="A3121" s="26" t="n"/>
      <c r="B3121" s="24" t="n"/>
      <c r="C3121" s="40">
        <f>IF(B3121="","",IFERROR(INDEX(Mitarbeiter!$B$6:$B$205,MATCH(B3121,Mitarbeiter!$A$6:$A$205,0)),"?"))</f>
        <v/>
      </c>
      <c r="D3121" s="41" t="n"/>
      <c r="E3121" s="42" t="n"/>
      <c r="F3121" s="43" t="n"/>
      <c r="G3121" s="44">
        <f>IF(OR(B3121="",F3121=""),"",IFERROR(F3121*INDEX(Mitarbeiter!$F$6:$F$205,MATCH(B3121,Mitarbeiter!$A$6:$A$205,0)),0))</f>
        <v/>
      </c>
      <c r="H3121" s="8">
        <f>IF(B3121="","",IF(ISNA(MATCH(B3121,Mitarbeiter!$A$6:$A$205,0)),"Pers.-Nr. unbekannt",IF(A3121="","Datum fehlt",IF(AND(D3121&lt;&gt;Einstellungen!$C$4,D3121&lt;&gt;Einstellungen!$C$5),"Objekt fehlt",IF(YEAR(A3121)&lt;&gt;Einstellungen!$C$3,"anderes Jahr",IF(A3121&lt;INDEX(Mitarbeiter!$C$6:$C$205,MATCH(B3121,Mitarbeiter!$A$6:$A$205,0)),"vor Eintritt",IF(AND(INDEX(Mitarbeiter!$D$6:$D$205,MATCH(B3121,Mitarbeiter!$A$6:$A$205,0))&lt;&gt;"",A3121&gt;INDEX(Mitarbeiter!$D$6:$D$205,MATCH(B3121,Mitarbeiter!$A$6:$A$205,0))),"nach Austritt","ok")))))))</f>
        <v/>
      </c>
    </row>
    <row r="3122">
      <c r="A3122" s="26" t="n"/>
      <c r="B3122" s="24" t="n"/>
      <c r="C3122" s="40">
        <f>IF(B3122="","",IFERROR(INDEX(Mitarbeiter!$B$6:$B$205,MATCH(B3122,Mitarbeiter!$A$6:$A$205,0)),"?"))</f>
        <v/>
      </c>
      <c r="D3122" s="41" t="n"/>
      <c r="E3122" s="42" t="n"/>
      <c r="F3122" s="43" t="n"/>
      <c r="G3122" s="44">
        <f>IF(OR(B3122="",F3122=""),"",IFERROR(F3122*INDEX(Mitarbeiter!$F$6:$F$205,MATCH(B3122,Mitarbeiter!$A$6:$A$205,0)),0))</f>
        <v/>
      </c>
      <c r="H3122" s="8">
        <f>IF(B3122="","",IF(ISNA(MATCH(B3122,Mitarbeiter!$A$6:$A$205,0)),"Pers.-Nr. unbekannt",IF(A3122="","Datum fehlt",IF(AND(D3122&lt;&gt;Einstellungen!$C$4,D3122&lt;&gt;Einstellungen!$C$5),"Objekt fehlt",IF(YEAR(A3122)&lt;&gt;Einstellungen!$C$3,"anderes Jahr",IF(A3122&lt;INDEX(Mitarbeiter!$C$6:$C$205,MATCH(B3122,Mitarbeiter!$A$6:$A$205,0)),"vor Eintritt",IF(AND(INDEX(Mitarbeiter!$D$6:$D$205,MATCH(B3122,Mitarbeiter!$A$6:$A$205,0))&lt;&gt;"",A3122&gt;INDEX(Mitarbeiter!$D$6:$D$205,MATCH(B3122,Mitarbeiter!$A$6:$A$205,0))),"nach Austritt","ok")))))))</f>
        <v/>
      </c>
    </row>
    <row r="3123">
      <c r="A3123" s="26" t="n"/>
      <c r="B3123" s="24" t="n"/>
      <c r="C3123" s="40">
        <f>IF(B3123="","",IFERROR(INDEX(Mitarbeiter!$B$6:$B$205,MATCH(B3123,Mitarbeiter!$A$6:$A$205,0)),"?"))</f>
        <v/>
      </c>
      <c r="D3123" s="41" t="n"/>
      <c r="E3123" s="42" t="n"/>
      <c r="F3123" s="43" t="n"/>
      <c r="G3123" s="44">
        <f>IF(OR(B3123="",F3123=""),"",IFERROR(F3123*INDEX(Mitarbeiter!$F$6:$F$205,MATCH(B3123,Mitarbeiter!$A$6:$A$205,0)),0))</f>
        <v/>
      </c>
      <c r="H3123" s="8">
        <f>IF(B3123="","",IF(ISNA(MATCH(B3123,Mitarbeiter!$A$6:$A$205,0)),"Pers.-Nr. unbekannt",IF(A3123="","Datum fehlt",IF(AND(D3123&lt;&gt;Einstellungen!$C$4,D3123&lt;&gt;Einstellungen!$C$5),"Objekt fehlt",IF(YEAR(A3123)&lt;&gt;Einstellungen!$C$3,"anderes Jahr",IF(A3123&lt;INDEX(Mitarbeiter!$C$6:$C$205,MATCH(B3123,Mitarbeiter!$A$6:$A$205,0)),"vor Eintritt",IF(AND(INDEX(Mitarbeiter!$D$6:$D$205,MATCH(B3123,Mitarbeiter!$A$6:$A$205,0))&lt;&gt;"",A3123&gt;INDEX(Mitarbeiter!$D$6:$D$205,MATCH(B3123,Mitarbeiter!$A$6:$A$205,0))),"nach Austritt","ok")))))))</f>
        <v/>
      </c>
    </row>
    <row r="3124">
      <c r="A3124" s="26" t="n"/>
      <c r="B3124" s="24" t="n"/>
      <c r="C3124" s="40">
        <f>IF(B3124="","",IFERROR(INDEX(Mitarbeiter!$B$6:$B$205,MATCH(B3124,Mitarbeiter!$A$6:$A$205,0)),"?"))</f>
        <v/>
      </c>
      <c r="D3124" s="41" t="n"/>
      <c r="E3124" s="42" t="n"/>
      <c r="F3124" s="43" t="n"/>
      <c r="G3124" s="44">
        <f>IF(OR(B3124="",F3124=""),"",IFERROR(F3124*INDEX(Mitarbeiter!$F$6:$F$205,MATCH(B3124,Mitarbeiter!$A$6:$A$205,0)),0))</f>
        <v/>
      </c>
      <c r="H3124" s="8">
        <f>IF(B3124="","",IF(ISNA(MATCH(B3124,Mitarbeiter!$A$6:$A$205,0)),"Pers.-Nr. unbekannt",IF(A3124="","Datum fehlt",IF(AND(D3124&lt;&gt;Einstellungen!$C$4,D3124&lt;&gt;Einstellungen!$C$5),"Objekt fehlt",IF(YEAR(A3124)&lt;&gt;Einstellungen!$C$3,"anderes Jahr",IF(A3124&lt;INDEX(Mitarbeiter!$C$6:$C$205,MATCH(B3124,Mitarbeiter!$A$6:$A$205,0)),"vor Eintritt",IF(AND(INDEX(Mitarbeiter!$D$6:$D$205,MATCH(B3124,Mitarbeiter!$A$6:$A$205,0))&lt;&gt;"",A3124&gt;INDEX(Mitarbeiter!$D$6:$D$205,MATCH(B3124,Mitarbeiter!$A$6:$A$205,0))),"nach Austritt","ok")))))))</f>
        <v/>
      </c>
    </row>
    <row r="3125">
      <c r="A3125" s="26" t="n"/>
      <c r="B3125" s="24" t="n"/>
      <c r="C3125" s="40">
        <f>IF(B3125="","",IFERROR(INDEX(Mitarbeiter!$B$6:$B$205,MATCH(B3125,Mitarbeiter!$A$6:$A$205,0)),"?"))</f>
        <v/>
      </c>
      <c r="D3125" s="41" t="n"/>
      <c r="E3125" s="42" t="n"/>
      <c r="F3125" s="43" t="n"/>
      <c r="G3125" s="44">
        <f>IF(OR(B3125="",F3125=""),"",IFERROR(F3125*INDEX(Mitarbeiter!$F$6:$F$205,MATCH(B3125,Mitarbeiter!$A$6:$A$205,0)),0))</f>
        <v/>
      </c>
      <c r="H3125" s="8">
        <f>IF(B3125="","",IF(ISNA(MATCH(B3125,Mitarbeiter!$A$6:$A$205,0)),"Pers.-Nr. unbekannt",IF(A3125="","Datum fehlt",IF(AND(D3125&lt;&gt;Einstellungen!$C$4,D3125&lt;&gt;Einstellungen!$C$5),"Objekt fehlt",IF(YEAR(A3125)&lt;&gt;Einstellungen!$C$3,"anderes Jahr",IF(A3125&lt;INDEX(Mitarbeiter!$C$6:$C$205,MATCH(B3125,Mitarbeiter!$A$6:$A$205,0)),"vor Eintritt",IF(AND(INDEX(Mitarbeiter!$D$6:$D$205,MATCH(B3125,Mitarbeiter!$A$6:$A$205,0))&lt;&gt;"",A3125&gt;INDEX(Mitarbeiter!$D$6:$D$205,MATCH(B3125,Mitarbeiter!$A$6:$A$205,0))),"nach Austritt","ok")))))))</f>
        <v/>
      </c>
    </row>
    <row r="3126">
      <c r="A3126" s="26" t="n"/>
      <c r="B3126" s="24" t="n"/>
      <c r="C3126" s="40">
        <f>IF(B3126="","",IFERROR(INDEX(Mitarbeiter!$B$6:$B$205,MATCH(B3126,Mitarbeiter!$A$6:$A$205,0)),"?"))</f>
        <v/>
      </c>
      <c r="D3126" s="41" t="n"/>
      <c r="E3126" s="42" t="n"/>
      <c r="F3126" s="43" t="n"/>
      <c r="G3126" s="44">
        <f>IF(OR(B3126="",F3126=""),"",IFERROR(F3126*INDEX(Mitarbeiter!$F$6:$F$205,MATCH(B3126,Mitarbeiter!$A$6:$A$205,0)),0))</f>
        <v/>
      </c>
      <c r="H3126" s="8">
        <f>IF(B3126="","",IF(ISNA(MATCH(B3126,Mitarbeiter!$A$6:$A$205,0)),"Pers.-Nr. unbekannt",IF(A3126="","Datum fehlt",IF(AND(D3126&lt;&gt;Einstellungen!$C$4,D3126&lt;&gt;Einstellungen!$C$5),"Objekt fehlt",IF(YEAR(A3126)&lt;&gt;Einstellungen!$C$3,"anderes Jahr",IF(A3126&lt;INDEX(Mitarbeiter!$C$6:$C$205,MATCH(B3126,Mitarbeiter!$A$6:$A$205,0)),"vor Eintritt",IF(AND(INDEX(Mitarbeiter!$D$6:$D$205,MATCH(B3126,Mitarbeiter!$A$6:$A$205,0))&lt;&gt;"",A3126&gt;INDEX(Mitarbeiter!$D$6:$D$205,MATCH(B3126,Mitarbeiter!$A$6:$A$205,0))),"nach Austritt","ok")))))))</f>
        <v/>
      </c>
    </row>
    <row r="3127">
      <c r="A3127" s="26" t="n"/>
      <c r="B3127" s="24" t="n"/>
      <c r="C3127" s="40">
        <f>IF(B3127="","",IFERROR(INDEX(Mitarbeiter!$B$6:$B$205,MATCH(B3127,Mitarbeiter!$A$6:$A$205,0)),"?"))</f>
        <v/>
      </c>
      <c r="D3127" s="41" t="n"/>
      <c r="E3127" s="42" t="n"/>
      <c r="F3127" s="43" t="n"/>
      <c r="G3127" s="44">
        <f>IF(OR(B3127="",F3127=""),"",IFERROR(F3127*INDEX(Mitarbeiter!$F$6:$F$205,MATCH(B3127,Mitarbeiter!$A$6:$A$205,0)),0))</f>
        <v/>
      </c>
      <c r="H3127" s="8">
        <f>IF(B3127="","",IF(ISNA(MATCH(B3127,Mitarbeiter!$A$6:$A$205,0)),"Pers.-Nr. unbekannt",IF(A3127="","Datum fehlt",IF(AND(D3127&lt;&gt;Einstellungen!$C$4,D3127&lt;&gt;Einstellungen!$C$5),"Objekt fehlt",IF(YEAR(A3127)&lt;&gt;Einstellungen!$C$3,"anderes Jahr",IF(A3127&lt;INDEX(Mitarbeiter!$C$6:$C$205,MATCH(B3127,Mitarbeiter!$A$6:$A$205,0)),"vor Eintritt",IF(AND(INDEX(Mitarbeiter!$D$6:$D$205,MATCH(B3127,Mitarbeiter!$A$6:$A$205,0))&lt;&gt;"",A3127&gt;INDEX(Mitarbeiter!$D$6:$D$205,MATCH(B3127,Mitarbeiter!$A$6:$A$205,0))),"nach Austritt","ok")))))))</f>
        <v/>
      </c>
    </row>
    <row r="3128">
      <c r="A3128" s="26" t="n"/>
      <c r="B3128" s="24" t="n"/>
      <c r="C3128" s="40">
        <f>IF(B3128="","",IFERROR(INDEX(Mitarbeiter!$B$6:$B$205,MATCH(B3128,Mitarbeiter!$A$6:$A$205,0)),"?"))</f>
        <v/>
      </c>
      <c r="D3128" s="41" t="n"/>
      <c r="E3128" s="42" t="n"/>
      <c r="F3128" s="43" t="n"/>
      <c r="G3128" s="44">
        <f>IF(OR(B3128="",F3128=""),"",IFERROR(F3128*INDEX(Mitarbeiter!$F$6:$F$205,MATCH(B3128,Mitarbeiter!$A$6:$A$205,0)),0))</f>
        <v/>
      </c>
      <c r="H3128" s="8">
        <f>IF(B3128="","",IF(ISNA(MATCH(B3128,Mitarbeiter!$A$6:$A$205,0)),"Pers.-Nr. unbekannt",IF(A3128="","Datum fehlt",IF(AND(D3128&lt;&gt;Einstellungen!$C$4,D3128&lt;&gt;Einstellungen!$C$5),"Objekt fehlt",IF(YEAR(A3128)&lt;&gt;Einstellungen!$C$3,"anderes Jahr",IF(A3128&lt;INDEX(Mitarbeiter!$C$6:$C$205,MATCH(B3128,Mitarbeiter!$A$6:$A$205,0)),"vor Eintritt",IF(AND(INDEX(Mitarbeiter!$D$6:$D$205,MATCH(B3128,Mitarbeiter!$A$6:$A$205,0))&lt;&gt;"",A3128&gt;INDEX(Mitarbeiter!$D$6:$D$205,MATCH(B3128,Mitarbeiter!$A$6:$A$205,0))),"nach Austritt","ok")))))))</f>
        <v/>
      </c>
    </row>
    <row r="3129">
      <c r="A3129" s="26" t="n"/>
      <c r="B3129" s="24" t="n"/>
      <c r="C3129" s="40">
        <f>IF(B3129="","",IFERROR(INDEX(Mitarbeiter!$B$6:$B$205,MATCH(B3129,Mitarbeiter!$A$6:$A$205,0)),"?"))</f>
        <v/>
      </c>
      <c r="D3129" s="41" t="n"/>
      <c r="E3129" s="42" t="n"/>
      <c r="F3129" s="43" t="n"/>
      <c r="G3129" s="44">
        <f>IF(OR(B3129="",F3129=""),"",IFERROR(F3129*INDEX(Mitarbeiter!$F$6:$F$205,MATCH(B3129,Mitarbeiter!$A$6:$A$205,0)),0))</f>
        <v/>
      </c>
      <c r="H3129" s="8">
        <f>IF(B3129="","",IF(ISNA(MATCH(B3129,Mitarbeiter!$A$6:$A$205,0)),"Pers.-Nr. unbekannt",IF(A3129="","Datum fehlt",IF(AND(D3129&lt;&gt;Einstellungen!$C$4,D3129&lt;&gt;Einstellungen!$C$5),"Objekt fehlt",IF(YEAR(A3129)&lt;&gt;Einstellungen!$C$3,"anderes Jahr",IF(A3129&lt;INDEX(Mitarbeiter!$C$6:$C$205,MATCH(B3129,Mitarbeiter!$A$6:$A$205,0)),"vor Eintritt",IF(AND(INDEX(Mitarbeiter!$D$6:$D$205,MATCH(B3129,Mitarbeiter!$A$6:$A$205,0))&lt;&gt;"",A3129&gt;INDEX(Mitarbeiter!$D$6:$D$205,MATCH(B3129,Mitarbeiter!$A$6:$A$205,0))),"nach Austritt","ok")))))))</f>
        <v/>
      </c>
    </row>
    <row r="3130">
      <c r="A3130" s="26" t="n"/>
      <c r="B3130" s="24" t="n"/>
      <c r="C3130" s="40">
        <f>IF(B3130="","",IFERROR(INDEX(Mitarbeiter!$B$6:$B$205,MATCH(B3130,Mitarbeiter!$A$6:$A$205,0)),"?"))</f>
        <v/>
      </c>
      <c r="D3130" s="41" t="n"/>
      <c r="E3130" s="42" t="n"/>
      <c r="F3130" s="43" t="n"/>
      <c r="G3130" s="44">
        <f>IF(OR(B3130="",F3130=""),"",IFERROR(F3130*INDEX(Mitarbeiter!$F$6:$F$205,MATCH(B3130,Mitarbeiter!$A$6:$A$205,0)),0))</f>
        <v/>
      </c>
      <c r="H3130" s="8">
        <f>IF(B3130="","",IF(ISNA(MATCH(B3130,Mitarbeiter!$A$6:$A$205,0)),"Pers.-Nr. unbekannt",IF(A3130="","Datum fehlt",IF(AND(D3130&lt;&gt;Einstellungen!$C$4,D3130&lt;&gt;Einstellungen!$C$5),"Objekt fehlt",IF(YEAR(A3130)&lt;&gt;Einstellungen!$C$3,"anderes Jahr",IF(A3130&lt;INDEX(Mitarbeiter!$C$6:$C$205,MATCH(B3130,Mitarbeiter!$A$6:$A$205,0)),"vor Eintritt",IF(AND(INDEX(Mitarbeiter!$D$6:$D$205,MATCH(B3130,Mitarbeiter!$A$6:$A$205,0))&lt;&gt;"",A3130&gt;INDEX(Mitarbeiter!$D$6:$D$205,MATCH(B3130,Mitarbeiter!$A$6:$A$205,0))),"nach Austritt","ok")))))))</f>
        <v/>
      </c>
    </row>
    <row r="3131">
      <c r="A3131" s="26" t="n"/>
      <c r="B3131" s="24" t="n"/>
      <c r="C3131" s="40">
        <f>IF(B3131="","",IFERROR(INDEX(Mitarbeiter!$B$6:$B$205,MATCH(B3131,Mitarbeiter!$A$6:$A$205,0)),"?"))</f>
        <v/>
      </c>
      <c r="D3131" s="41" t="n"/>
      <c r="E3131" s="42" t="n"/>
      <c r="F3131" s="43" t="n"/>
      <c r="G3131" s="44">
        <f>IF(OR(B3131="",F3131=""),"",IFERROR(F3131*INDEX(Mitarbeiter!$F$6:$F$205,MATCH(B3131,Mitarbeiter!$A$6:$A$205,0)),0))</f>
        <v/>
      </c>
      <c r="H3131" s="8">
        <f>IF(B3131="","",IF(ISNA(MATCH(B3131,Mitarbeiter!$A$6:$A$205,0)),"Pers.-Nr. unbekannt",IF(A3131="","Datum fehlt",IF(AND(D3131&lt;&gt;Einstellungen!$C$4,D3131&lt;&gt;Einstellungen!$C$5),"Objekt fehlt",IF(YEAR(A3131)&lt;&gt;Einstellungen!$C$3,"anderes Jahr",IF(A3131&lt;INDEX(Mitarbeiter!$C$6:$C$205,MATCH(B3131,Mitarbeiter!$A$6:$A$205,0)),"vor Eintritt",IF(AND(INDEX(Mitarbeiter!$D$6:$D$205,MATCH(B3131,Mitarbeiter!$A$6:$A$205,0))&lt;&gt;"",A3131&gt;INDEX(Mitarbeiter!$D$6:$D$205,MATCH(B3131,Mitarbeiter!$A$6:$A$205,0))),"nach Austritt","ok")))))))</f>
        <v/>
      </c>
    </row>
    <row r="3132">
      <c r="A3132" s="26" t="n"/>
      <c r="B3132" s="24" t="n"/>
      <c r="C3132" s="40">
        <f>IF(B3132="","",IFERROR(INDEX(Mitarbeiter!$B$6:$B$205,MATCH(B3132,Mitarbeiter!$A$6:$A$205,0)),"?"))</f>
        <v/>
      </c>
      <c r="D3132" s="41" t="n"/>
      <c r="E3132" s="42" t="n"/>
      <c r="F3132" s="43" t="n"/>
      <c r="G3132" s="44">
        <f>IF(OR(B3132="",F3132=""),"",IFERROR(F3132*INDEX(Mitarbeiter!$F$6:$F$205,MATCH(B3132,Mitarbeiter!$A$6:$A$205,0)),0))</f>
        <v/>
      </c>
      <c r="H3132" s="8">
        <f>IF(B3132="","",IF(ISNA(MATCH(B3132,Mitarbeiter!$A$6:$A$205,0)),"Pers.-Nr. unbekannt",IF(A3132="","Datum fehlt",IF(AND(D3132&lt;&gt;Einstellungen!$C$4,D3132&lt;&gt;Einstellungen!$C$5),"Objekt fehlt",IF(YEAR(A3132)&lt;&gt;Einstellungen!$C$3,"anderes Jahr",IF(A3132&lt;INDEX(Mitarbeiter!$C$6:$C$205,MATCH(B3132,Mitarbeiter!$A$6:$A$205,0)),"vor Eintritt",IF(AND(INDEX(Mitarbeiter!$D$6:$D$205,MATCH(B3132,Mitarbeiter!$A$6:$A$205,0))&lt;&gt;"",A3132&gt;INDEX(Mitarbeiter!$D$6:$D$205,MATCH(B3132,Mitarbeiter!$A$6:$A$205,0))),"nach Austritt","ok")))))))</f>
        <v/>
      </c>
    </row>
    <row r="3133">
      <c r="A3133" s="26" t="n"/>
      <c r="B3133" s="24" t="n"/>
      <c r="C3133" s="40">
        <f>IF(B3133="","",IFERROR(INDEX(Mitarbeiter!$B$6:$B$205,MATCH(B3133,Mitarbeiter!$A$6:$A$205,0)),"?"))</f>
        <v/>
      </c>
      <c r="D3133" s="41" t="n"/>
      <c r="E3133" s="42" t="n"/>
      <c r="F3133" s="43" t="n"/>
      <c r="G3133" s="44">
        <f>IF(OR(B3133="",F3133=""),"",IFERROR(F3133*INDEX(Mitarbeiter!$F$6:$F$205,MATCH(B3133,Mitarbeiter!$A$6:$A$205,0)),0))</f>
        <v/>
      </c>
      <c r="H3133" s="8">
        <f>IF(B3133="","",IF(ISNA(MATCH(B3133,Mitarbeiter!$A$6:$A$205,0)),"Pers.-Nr. unbekannt",IF(A3133="","Datum fehlt",IF(AND(D3133&lt;&gt;Einstellungen!$C$4,D3133&lt;&gt;Einstellungen!$C$5),"Objekt fehlt",IF(YEAR(A3133)&lt;&gt;Einstellungen!$C$3,"anderes Jahr",IF(A3133&lt;INDEX(Mitarbeiter!$C$6:$C$205,MATCH(B3133,Mitarbeiter!$A$6:$A$205,0)),"vor Eintritt",IF(AND(INDEX(Mitarbeiter!$D$6:$D$205,MATCH(B3133,Mitarbeiter!$A$6:$A$205,0))&lt;&gt;"",A3133&gt;INDEX(Mitarbeiter!$D$6:$D$205,MATCH(B3133,Mitarbeiter!$A$6:$A$205,0))),"nach Austritt","ok")))))))</f>
        <v/>
      </c>
    </row>
    <row r="3134">
      <c r="A3134" s="26" t="n"/>
      <c r="B3134" s="24" t="n"/>
      <c r="C3134" s="40">
        <f>IF(B3134="","",IFERROR(INDEX(Mitarbeiter!$B$6:$B$205,MATCH(B3134,Mitarbeiter!$A$6:$A$205,0)),"?"))</f>
        <v/>
      </c>
      <c r="D3134" s="41" t="n"/>
      <c r="E3134" s="42" t="n"/>
      <c r="F3134" s="43" t="n"/>
      <c r="G3134" s="44">
        <f>IF(OR(B3134="",F3134=""),"",IFERROR(F3134*INDEX(Mitarbeiter!$F$6:$F$205,MATCH(B3134,Mitarbeiter!$A$6:$A$205,0)),0))</f>
        <v/>
      </c>
      <c r="H3134" s="8">
        <f>IF(B3134="","",IF(ISNA(MATCH(B3134,Mitarbeiter!$A$6:$A$205,0)),"Pers.-Nr. unbekannt",IF(A3134="","Datum fehlt",IF(AND(D3134&lt;&gt;Einstellungen!$C$4,D3134&lt;&gt;Einstellungen!$C$5),"Objekt fehlt",IF(YEAR(A3134)&lt;&gt;Einstellungen!$C$3,"anderes Jahr",IF(A3134&lt;INDEX(Mitarbeiter!$C$6:$C$205,MATCH(B3134,Mitarbeiter!$A$6:$A$205,0)),"vor Eintritt",IF(AND(INDEX(Mitarbeiter!$D$6:$D$205,MATCH(B3134,Mitarbeiter!$A$6:$A$205,0))&lt;&gt;"",A3134&gt;INDEX(Mitarbeiter!$D$6:$D$205,MATCH(B3134,Mitarbeiter!$A$6:$A$205,0))),"nach Austritt","ok")))))))</f>
        <v/>
      </c>
    </row>
    <row r="3135">
      <c r="A3135" s="26" t="n"/>
      <c r="B3135" s="24" t="n"/>
      <c r="C3135" s="40">
        <f>IF(B3135="","",IFERROR(INDEX(Mitarbeiter!$B$6:$B$205,MATCH(B3135,Mitarbeiter!$A$6:$A$205,0)),"?"))</f>
        <v/>
      </c>
      <c r="D3135" s="41" t="n"/>
      <c r="E3135" s="42" t="n"/>
      <c r="F3135" s="43" t="n"/>
      <c r="G3135" s="44">
        <f>IF(OR(B3135="",F3135=""),"",IFERROR(F3135*INDEX(Mitarbeiter!$F$6:$F$205,MATCH(B3135,Mitarbeiter!$A$6:$A$205,0)),0))</f>
        <v/>
      </c>
      <c r="H3135" s="8">
        <f>IF(B3135="","",IF(ISNA(MATCH(B3135,Mitarbeiter!$A$6:$A$205,0)),"Pers.-Nr. unbekannt",IF(A3135="","Datum fehlt",IF(AND(D3135&lt;&gt;Einstellungen!$C$4,D3135&lt;&gt;Einstellungen!$C$5),"Objekt fehlt",IF(YEAR(A3135)&lt;&gt;Einstellungen!$C$3,"anderes Jahr",IF(A3135&lt;INDEX(Mitarbeiter!$C$6:$C$205,MATCH(B3135,Mitarbeiter!$A$6:$A$205,0)),"vor Eintritt",IF(AND(INDEX(Mitarbeiter!$D$6:$D$205,MATCH(B3135,Mitarbeiter!$A$6:$A$205,0))&lt;&gt;"",A3135&gt;INDEX(Mitarbeiter!$D$6:$D$205,MATCH(B3135,Mitarbeiter!$A$6:$A$205,0))),"nach Austritt","ok")))))))</f>
        <v/>
      </c>
    </row>
    <row r="3136">
      <c r="A3136" s="26" t="n"/>
      <c r="B3136" s="24" t="n"/>
      <c r="C3136" s="40">
        <f>IF(B3136="","",IFERROR(INDEX(Mitarbeiter!$B$6:$B$205,MATCH(B3136,Mitarbeiter!$A$6:$A$205,0)),"?"))</f>
        <v/>
      </c>
      <c r="D3136" s="41" t="n"/>
      <c r="E3136" s="42" t="n"/>
      <c r="F3136" s="43" t="n"/>
      <c r="G3136" s="44">
        <f>IF(OR(B3136="",F3136=""),"",IFERROR(F3136*INDEX(Mitarbeiter!$F$6:$F$205,MATCH(B3136,Mitarbeiter!$A$6:$A$205,0)),0))</f>
        <v/>
      </c>
      <c r="H3136" s="8">
        <f>IF(B3136="","",IF(ISNA(MATCH(B3136,Mitarbeiter!$A$6:$A$205,0)),"Pers.-Nr. unbekannt",IF(A3136="","Datum fehlt",IF(AND(D3136&lt;&gt;Einstellungen!$C$4,D3136&lt;&gt;Einstellungen!$C$5),"Objekt fehlt",IF(YEAR(A3136)&lt;&gt;Einstellungen!$C$3,"anderes Jahr",IF(A3136&lt;INDEX(Mitarbeiter!$C$6:$C$205,MATCH(B3136,Mitarbeiter!$A$6:$A$205,0)),"vor Eintritt",IF(AND(INDEX(Mitarbeiter!$D$6:$D$205,MATCH(B3136,Mitarbeiter!$A$6:$A$205,0))&lt;&gt;"",A3136&gt;INDEX(Mitarbeiter!$D$6:$D$205,MATCH(B3136,Mitarbeiter!$A$6:$A$205,0))),"nach Austritt","ok")))))))</f>
        <v/>
      </c>
    </row>
    <row r="3137">
      <c r="A3137" s="26" t="n"/>
      <c r="B3137" s="24" t="n"/>
      <c r="C3137" s="40">
        <f>IF(B3137="","",IFERROR(INDEX(Mitarbeiter!$B$6:$B$205,MATCH(B3137,Mitarbeiter!$A$6:$A$205,0)),"?"))</f>
        <v/>
      </c>
      <c r="D3137" s="41" t="n"/>
      <c r="E3137" s="42" t="n"/>
      <c r="F3137" s="43" t="n"/>
      <c r="G3137" s="44">
        <f>IF(OR(B3137="",F3137=""),"",IFERROR(F3137*INDEX(Mitarbeiter!$F$6:$F$205,MATCH(B3137,Mitarbeiter!$A$6:$A$205,0)),0))</f>
        <v/>
      </c>
      <c r="H3137" s="8">
        <f>IF(B3137="","",IF(ISNA(MATCH(B3137,Mitarbeiter!$A$6:$A$205,0)),"Pers.-Nr. unbekannt",IF(A3137="","Datum fehlt",IF(AND(D3137&lt;&gt;Einstellungen!$C$4,D3137&lt;&gt;Einstellungen!$C$5),"Objekt fehlt",IF(YEAR(A3137)&lt;&gt;Einstellungen!$C$3,"anderes Jahr",IF(A3137&lt;INDEX(Mitarbeiter!$C$6:$C$205,MATCH(B3137,Mitarbeiter!$A$6:$A$205,0)),"vor Eintritt",IF(AND(INDEX(Mitarbeiter!$D$6:$D$205,MATCH(B3137,Mitarbeiter!$A$6:$A$205,0))&lt;&gt;"",A3137&gt;INDEX(Mitarbeiter!$D$6:$D$205,MATCH(B3137,Mitarbeiter!$A$6:$A$205,0))),"nach Austritt","ok")))))))</f>
        <v/>
      </c>
    </row>
    <row r="3138">
      <c r="A3138" s="26" t="n"/>
      <c r="B3138" s="24" t="n"/>
      <c r="C3138" s="40">
        <f>IF(B3138="","",IFERROR(INDEX(Mitarbeiter!$B$6:$B$205,MATCH(B3138,Mitarbeiter!$A$6:$A$205,0)),"?"))</f>
        <v/>
      </c>
      <c r="D3138" s="41" t="n"/>
      <c r="E3138" s="42" t="n"/>
      <c r="F3138" s="43" t="n"/>
      <c r="G3138" s="44">
        <f>IF(OR(B3138="",F3138=""),"",IFERROR(F3138*INDEX(Mitarbeiter!$F$6:$F$205,MATCH(B3138,Mitarbeiter!$A$6:$A$205,0)),0))</f>
        <v/>
      </c>
      <c r="H3138" s="8">
        <f>IF(B3138="","",IF(ISNA(MATCH(B3138,Mitarbeiter!$A$6:$A$205,0)),"Pers.-Nr. unbekannt",IF(A3138="","Datum fehlt",IF(AND(D3138&lt;&gt;Einstellungen!$C$4,D3138&lt;&gt;Einstellungen!$C$5),"Objekt fehlt",IF(YEAR(A3138)&lt;&gt;Einstellungen!$C$3,"anderes Jahr",IF(A3138&lt;INDEX(Mitarbeiter!$C$6:$C$205,MATCH(B3138,Mitarbeiter!$A$6:$A$205,0)),"vor Eintritt",IF(AND(INDEX(Mitarbeiter!$D$6:$D$205,MATCH(B3138,Mitarbeiter!$A$6:$A$205,0))&lt;&gt;"",A3138&gt;INDEX(Mitarbeiter!$D$6:$D$205,MATCH(B3138,Mitarbeiter!$A$6:$A$205,0))),"nach Austritt","ok")))))))</f>
        <v/>
      </c>
    </row>
    <row r="3139">
      <c r="A3139" s="26" t="n"/>
      <c r="B3139" s="24" t="n"/>
      <c r="C3139" s="40">
        <f>IF(B3139="","",IFERROR(INDEX(Mitarbeiter!$B$6:$B$205,MATCH(B3139,Mitarbeiter!$A$6:$A$205,0)),"?"))</f>
        <v/>
      </c>
      <c r="D3139" s="41" t="n"/>
      <c r="E3139" s="42" t="n"/>
      <c r="F3139" s="43" t="n"/>
      <c r="G3139" s="44">
        <f>IF(OR(B3139="",F3139=""),"",IFERROR(F3139*INDEX(Mitarbeiter!$F$6:$F$205,MATCH(B3139,Mitarbeiter!$A$6:$A$205,0)),0))</f>
        <v/>
      </c>
      <c r="H3139" s="8">
        <f>IF(B3139="","",IF(ISNA(MATCH(B3139,Mitarbeiter!$A$6:$A$205,0)),"Pers.-Nr. unbekannt",IF(A3139="","Datum fehlt",IF(AND(D3139&lt;&gt;Einstellungen!$C$4,D3139&lt;&gt;Einstellungen!$C$5),"Objekt fehlt",IF(YEAR(A3139)&lt;&gt;Einstellungen!$C$3,"anderes Jahr",IF(A3139&lt;INDEX(Mitarbeiter!$C$6:$C$205,MATCH(B3139,Mitarbeiter!$A$6:$A$205,0)),"vor Eintritt",IF(AND(INDEX(Mitarbeiter!$D$6:$D$205,MATCH(B3139,Mitarbeiter!$A$6:$A$205,0))&lt;&gt;"",A3139&gt;INDEX(Mitarbeiter!$D$6:$D$205,MATCH(B3139,Mitarbeiter!$A$6:$A$205,0))),"nach Austritt","ok")))))))</f>
        <v/>
      </c>
    </row>
    <row r="3140">
      <c r="A3140" s="26" t="n"/>
      <c r="B3140" s="24" t="n"/>
      <c r="C3140" s="40">
        <f>IF(B3140="","",IFERROR(INDEX(Mitarbeiter!$B$6:$B$205,MATCH(B3140,Mitarbeiter!$A$6:$A$205,0)),"?"))</f>
        <v/>
      </c>
      <c r="D3140" s="41" t="n"/>
      <c r="E3140" s="42" t="n"/>
      <c r="F3140" s="43" t="n"/>
      <c r="G3140" s="44">
        <f>IF(OR(B3140="",F3140=""),"",IFERROR(F3140*INDEX(Mitarbeiter!$F$6:$F$205,MATCH(B3140,Mitarbeiter!$A$6:$A$205,0)),0))</f>
        <v/>
      </c>
      <c r="H3140" s="8">
        <f>IF(B3140="","",IF(ISNA(MATCH(B3140,Mitarbeiter!$A$6:$A$205,0)),"Pers.-Nr. unbekannt",IF(A3140="","Datum fehlt",IF(AND(D3140&lt;&gt;Einstellungen!$C$4,D3140&lt;&gt;Einstellungen!$C$5),"Objekt fehlt",IF(YEAR(A3140)&lt;&gt;Einstellungen!$C$3,"anderes Jahr",IF(A3140&lt;INDEX(Mitarbeiter!$C$6:$C$205,MATCH(B3140,Mitarbeiter!$A$6:$A$205,0)),"vor Eintritt",IF(AND(INDEX(Mitarbeiter!$D$6:$D$205,MATCH(B3140,Mitarbeiter!$A$6:$A$205,0))&lt;&gt;"",A3140&gt;INDEX(Mitarbeiter!$D$6:$D$205,MATCH(B3140,Mitarbeiter!$A$6:$A$205,0))),"nach Austritt","ok")))))))</f>
        <v/>
      </c>
    </row>
    <row r="3141">
      <c r="A3141" s="26" t="n"/>
      <c r="B3141" s="24" t="n"/>
      <c r="C3141" s="40">
        <f>IF(B3141="","",IFERROR(INDEX(Mitarbeiter!$B$6:$B$205,MATCH(B3141,Mitarbeiter!$A$6:$A$205,0)),"?"))</f>
        <v/>
      </c>
      <c r="D3141" s="41" t="n"/>
      <c r="E3141" s="42" t="n"/>
      <c r="F3141" s="43" t="n"/>
      <c r="G3141" s="44">
        <f>IF(OR(B3141="",F3141=""),"",IFERROR(F3141*INDEX(Mitarbeiter!$F$6:$F$205,MATCH(B3141,Mitarbeiter!$A$6:$A$205,0)),0))</f>
        <v/>
      </c>
      <c r="H3141" s="8">
        <f>IF(B3141="","",IF(ISNA(MATCH(B3141,Mitarbeiter!$A$6:$A$205,0)),"Pers.-Nr. unbekannt",IF(A3141="","Datum fehlt",IF(AND(D3141&lt;&gt;Einstellungen!$C$4,D3141&lt;&gt;Einstellungen!$C$5),"Objekt fehlt",IF(YEAR(A3141)&lt;&gt;Einstellungen!$C$3,"anderes Jahr",IF(A3141&lt;INDEX(Mitarbeiter!$C$6:$C$205,MATCH(B3141,Mitarbeiter!$A$6:$A$205,0)),"vor Eintritt",IF(AND(INDEX(Mitarbeiter!$D$6:$D$205,MATCH(B3141,Mitarbeiter!$A$6:$A$205,0))&lt;&gt;"",A3141&gt;INDEX(Mitarbeiter!$D$6:$D$205,MATCH(B3141,Mitarbeiter!$A$6:$A$205,0))),"nach Austritt","ok")))))))</f>
        <v/>
      </c>
    </row>
    <row r="3142">
      <c r="A3142" s="26" t="n"/>
      <c r="B3142" s="24" t="n"/>
      <c r="C3142" s="40">
        <f>IF(B3142="","",IFERROR(INDEX(Mitarbeiter!$B$6:$B$205,MATCH(B3142,Mitarbeiter!$A$6:$A$205,0)),"?"))</f>
        <v/>
      </c>
      <c r="D3142" s="41" t="n"/>
      <c r="E3142" s="42" t="n"/>
      <c r="F3142" s="43" t="n"/>
      <c r="G3142" s="44">
        <f>IF(OR(B3142="",F3142=""),"",IFERROR(F3142*INDEX(Mitarbeiter!$F$6:$F$205,MATCH(B3142,Mitarbeiter!$A$6:$A$205,0)),0))</f>
        <v/>
      </c>
      <c r="H3142" s="8">
        <f>IF(B3142="","",IF(ISNA(MATCH(B3142,Mitarbeiter!$A$6:$A$205,0)),"Pers.-Nr. unbekannt",IF(A3142="","Datum fehlt",IF(AND(D3142&lt;&gt;Einstellungen!$C$4,D3142&lt;&gt;Einstellungen!$C$5),"Objekt fehlt",IF(YEAR(A3142)&lt;&gt;Einstellungen!$C$3,"anderes Jahr",IF(A3142&lt;INDEX(Mitarbeiter!$C$6:$C$205,MATCH(B3142,Mitarbeiter!$A$6:$A$205,0)),"vor Eintritt",IF(AND(INDEX(Mitarbeiter!$D$6:$D$205,MATCH(B3142,Mitarbeiter!$A$6:$A$205,0))&lt;&gt;"",A3142&gt;INDEX(Mitarbeiter!$D$6:$D$205,MATCH(B3142,Mitarbeiter!$A$6:$A$205,0))),"nach Austritt","ok")))))))</f>
        <v/>
      </c>
    </row>
    <row r="3143">
      <c r="A3143" s="26" t="n"/>
      <c r="B3143" s="24" t="n"/>
      <c r="C3143" s="40">
        <f>IF(B3143="","",IFERROR(INDEX(Mitarbeiter!$B$6:$B$205,MATCH(B3143,Mitarbeiter!$A$6:$A$205,0)),"?"))</f>
        <v/>
      </c>
      <c r="D3143" s="41" t="n"/>
      <c r="E3143" s="42" t="n"/>
      <c r="F3143" s="43" t="n"/>
      <c r="G3143" s="44">
        <f>IF(OR(B3143="",F3143=""),"",IFERROR(F3143*INDEX(Mitarbeiter!$F$6:$F$205,MATCH(B3143,Mitarbeiter!$A$6:$A$205,0)),0))</f>
        <v/>
      </c>
      <c r="H3143" s="8">
        <f>IF(B3143="","",IF(ISNA(MATCH(B3143,Mitarbeiter!$A$6:$A$205,0)),"Pers.-Nr. unbekannt",IF(A3143="","Datum fehlt",IF(AND(D3143&lt;&gt;Einstellungen!$C$4,D3143&lt;&gt;Einstellungen!$C$5),"Objekt fehlt",IF(YEAR(A3143)&lt;&gt;Einstellungen!$C$3,"anderes Jahr",IF(A3143&lt;INDEX(Mitarbeiter!$C$6:$C$205,MATCH(B3143,Mitarbeiter!$A$6:$A$205,0)),"vor Eintritt",IF(AND(INDEX(Mitarbeiter!$D$6:$D$205,MATCH(B3143,Mitarbeiter!$A$6:$A$205,0))&lt;&gt;"",A3143&gt;INDEX(Mitarbeiter!$D$6:$D$205,MATCH(B3143,Mitarbeiter!$A$6:$A$205,0))),"nach Austritt","ok")))))))</f>
        <v/>
      </c>
    </row>
    <row r="3144">
      <c r="A3144" s="26" t="n"/>
      <c r="B3144" s="24" t="n"/>
      <c r="C3144" s="40">
        <f>IF(B3144="","",IFERROR(INDEX(Mitarbeiter!$B$6:$B$205,MATCH(B3144,Mitarbeiter!$A$6:$A$205,0)),"?"))</f>
        <v/>
      </c>
      <c r="D3144" s="41" t="n"/>
      <c r="E3144" s="42" t="n"/>
      <c r="F3144" s="43" t="n"/>
      <c r="G3144" s="44">
        <f>IF(OR(B3144="",F3144=""),"",IFERROR(F3144*INDEX(Mitarbeiter!$F$6:$F$205,MATCH(B3144,Mitarbeiter!$A$6:$A$205,0)),0))</f>
        <v/>
      </c>
      <c r="H3144" s="8">
        <f>IF(B3144="","",IF(ISNA(MATCH(B3144,Mitarbeiter!$A$6:$A$205,0)),"Pers.-Nr. unbekannt",IF(A3144="","Datum fehlt",IF(AND(D3144&lt;&gt;Einstellungen!$C$4,D3144&lt;&gt;Einstellungen!$C$5),"Objekt fehlt",IF(YEAR(A3144)&lt;&gt;Einstellungen!$C$3,"anderes Jahr",IF(A3144&lt;INDEX(Mitarbeiter!$C$6:$C$205,MATCH(B3144,Mitarbeiter!$A$6:$A$205,0)),"vor Eintritt",IF(AND(INDEX(Mitarbeiter!$D$6:$D$205,MATCH(B3144,Mitarbeiter!$A$6:$A$205,0))&lt;&gt;"",A3144&gt;INDEX(Mitarbeiter!$D$6:$D$205,MATCH(B3144,Mitarbeiter!$A$6:$A$205,0))),"nach Austritt","ok")))))))</f>
        <v/>
      </c>
    </row>
    <row r="3145">
      <c r="A3145" s="26" t="n"/>
      <c r="B3145" s="24" t="n"/>
      <c r="C3145" s="40">
        <f>IF(B3145="","",IFERROR(INDEX(Mitarbeiter!$B$6:$B$205,MATCH(B3145,Mitarbeiter!$A$6:$A$205,0)),"?"))</f>
        <v/>
      </c>
      <c r="D3145" s="41" t="n"/>
      <c r="E3145" s="42" t="n"/>
      <c r="F3145" s="43" t="n"/>
      <c r="G3145" s="44">
        <f>IF(OR(B3145="",F3145=""),"",IFERROR(F3145*INDEX(Mitarbeiter!$F$6:$F$205,MATCH(B3145,Mitarbeiter!$A$6:$A$205,0)),0))</f>
        <v/>
      </c>
      <c r="H3145" s="8">
        <f>IF(B3145="","",IF(ISNA(MATCH(B3145,Mitarbeiter!$A$6:$A$205,0)),"Pers.-Nr. unbekannt",IF(A3145="","Datum fehlt",IF(AND(D3145&lt;&gt;Einstellungen!$C$4,D3145&lt;&gt;Einstellungen!$C$5),"Objekt fehlt",IF(YEAR(A3145)&lt;&gt;Einstellungen!$C$3,"anderes Jahr",IF(A3145&lt;INDEX(Mitarbeiter!$C$6:$C$205,MATCH(B3145,Mitarbeiter!$A$6:$A$205,0)),"vor Eintritt",IF(AND(INDEX(Mitarbeiter!$D$6:$D$205,MATCH(B3145,Mitarbeiter!$A$6:$A$205,0))&lt;&gt;"",A3145&gt;INDEX(Mitarbeiter!$D$6:$D$205,MATCH(B3145,Mitarbeiter!$A$6:$A$205,0))),"nach Austritt","ok")))))))</f>
        <v/>
      </c>
    </row>
    <row r="3146">
      <c r="A3146" s="26" t="n"/>
      <c r="B3146" s="24" t="n"/>
      <c r="C3146" s="40">
        <f>IF(B3146="","",IFERROR(INDEX(Mitarbeiter!$B$6:$B$205,MATCH(B3146,Mitarbeiter!$A$6:$A$205,0)),"?"))</f>
        <v/>
      </c>
      <c r="D3146" s="41" t="n"/>
      <c r="E3146" s="42" t="n"/>
      <c r="F3146" s="43" t="n"/>
      <c r="G3146" s="44">
        <f>IF(OR(B3146="",F3146=""),"",IFERROR(F3146*INDEX(Mitarbeiter!$F$6:$F$205,MATCH(B3146,Mitarbeiter!$A$6:$A$205,0)),0))</f>
        <v/>
      </c>
      <c r="H3146" s="8">
        <f>IF(B3146="","",IF(ISNA(MATCH(B3146,Mitarbeiter!$A$6:$A$205,0)),"Pers.-Nr. unbekannt",IF(A3146="","Datum fehlt",IF(AND(D3146&lt;&gt;Einstellungen!$C$4,D3146&lt;&gt;Einstellungen!$C$5),"Objekt fehlt",IF(YEAR(A3146)&lt;&gt;Einstellungen!$C$3,"anderes Jahr",IF(A3146&lt;INDEX(Mitarbeiter!$C$6:$C$205,MATCH(B3146,Mitarbeiter!$A$6:$A$205,0)),"vor Eintritt",IF(AND(INDEX(Mitarbeiter!$D$6:$D$205,MATCH(B3146,Mitarbeiter!$A$6:$A$205,0))&lt;&gt;"",A3146&gt;INDEX(Mitarbeiter!$D$6:$D$205,MATCH(B3146,Mitarbeiter!$A$6:$A$205,0))),"nach Austritt","ok")))))))</f>
        <v/>
      </c>
    </row>
    <row r="3147">
      <c r="A3147" s="26" t="n"/>
      <c r="B3147" s="24" t="n"/>
      <c r="C3147" s="40">
        <f>IF(B3147="","",IFERROR(INDEX(Mitarbeiter!$B$6:$B$205,MATCH(B3147,Mitarbeiter!$A$6:$A$205,0)),"?"))</f>
        <v/>
      </c>
      <c r="D3147" s="41" t="n"/>
      <c r="E3147" s="42" t="n"/>
      <c r="F3147" s="43" t="n"/>
      <c r="G3147" s="44">
        <f>IF(OR(B3147="",F3147=""),"",IFERROR(F3147*INDEX(Mitarbeiter!$F$6:$F$205,MATCH(B3147,Mitarbeiter!$A$6:$A$205,0)),0))</f>
        <v/>
      </c>
      <c r="H3147" s="8">
        <f>IF(B3147="","",IF(ISNA(MATCH(B3147,Mitarbeiter!$A$6:$A$205,0)),"Pers.-Nr. unbekannt",IF(A3147="","Datum fehlt",IF(AND(D3147&lt;&gt;Einstellungen!$C$4,D3147&lt;&gt;Einstellungen!$C$5),"Objekt fehlt",IF(YEAR(A3147)&lt;&gt;Einstellungen!$C$3,"anderes Jahr",IF(A3147&lt;INDEX(Mitarbeiter!$C$6:$C$205,MATCH(B3147,Mitarbeiter!$A$6:$A$205,0)),"vor Eintritt",IF(AND(INDEX(Mitarbeiter!$D$6:$D$205,MATCH(B3147,Mitarbeiter!$A$6:$A$205,0))&lt;&gt;"",A3147&gt;INDEX(Mitarbeiter!$D$6:$D$205,MATCH(B3147,Mitarbeiter!$A$6:$A$205,0))),"nach Austritt","ok")))))))</f>
        <v/>
      </c>
    </row>
    <row r="3148">
      <c r="A3148" s="26" t="n"/>
      <c r="B3148" s="24" t="n"/>
      <c r="C3148" s="40">
        <f>IF(B3148="","",IFERROR(INDEX(Mitarbeiter!$B$6:$B$205,MATCH(B3148,Mitarbeiter!$A$6:$A$205,0)),"?"))</f>
        <v/>
      </c>
      <c r="D3148" s="41" t="n"/>
      <c r="E3148" s="42" t="n"/>
      <c r="F3148" s="43" t="n"/>
      <c r="G3148" s="44">
        <f>IF(OR(B3148="",F3148=""),"",IFERROR(F3148*INDEX(Mitarbeiter!$F$6:$F$205,MATCH(B3148,Mitarbeiter!$A$6:$A$205,0)),0))</f>
        <v/>
      </c>
      <c r="H3148" s="8">
        <f>IF(B3148="","",IF(ISNA(MATCH(B3148,Mitarbeiter!$A$6:$A$205,0)),"Pers.-Nr. unbekannt",IF(A3148="","Datum fehlt",IF(AND(D3148&lt;&gt;Einstellungen!$C$4,D3148&lt;&gt;Einstellungen!$C$5),"Objekt fehlt",IF(YEAR(A3148)&lt;&gt;Einstellungen!$C$3,"anderes Jahr",IF(A3148&lt;INDEX(Mitarbeiter!$C$6:$C$205,MATCH(B3148,Mitarbeiter!$A$6:$A$205,0)),"vor Eintritt",IF(AND(INDEX(Mitarbeiter!$D$6:$D$205,MATCH(B3148,Mitarbeiter!$A$6:$A$205,0))&lt;&gt;"",A3148&gt;INDEX(Mitarbeiter!$D$6:$D$205,MATCH(B3148,Mitarbeiter!$A$6:$A$205,0))),"nach Austritt","ok")))))))</f>
        <v/>
      </c>
    </row>
    <row r="3149">
      <c r="A3149" s="26" t="n"/>
      <c r="B3149" s="24" t="n"/>
      <c r="C3149" s="40">
        <f>IF(B3149="","",IFERROR(INDEX(Mitarbeiter!$B$6:$B$205,MATCH(B3149,Mitarbeiter!$A$6:$A$205,0)),"?"))</f>
        <v/>
      </c>
      <c r="D3149" s="41" t="n"/>
      <c r="E3149" s="42" t="n"/>
      <c r="F3149" s="43" t="n"/>
      <c r="G3149" s="44">
        <f>IF(OR(B3149="",F3149=""),"",IFERROR(F3149*INDEX(Mitarbeiter!$F$6:$F$205,MATCH(B3149,Mitarbeiter!$A$6:$A$205,0)),0))</f>
        <v/>
      </c>
      <c r="H3149" s="8">
        <f>IF(B3149="","",IF(ISNA(MATCH(B3149,Mitarbeiter!$A$6:$A$205,0)),"Pers.-Nr. unbekannt",IF(A3149="","Datum fehlt",IF(AND(D3149&lt;&gt;Einstellungen!$C$4,D3149&lt;&gt;Einstellungen!$C$5),"Objekt fehlt",IF(YEAR(A3149)&lt;&gt;Einstellungen!$C$3,"anderes Jahr",IF(A3149&lt;INDEX(Mitarbeiter!$C$6:$C$205,MATCH(B3149,Mitarbeiter!$A$6:$A$205,0)),"vor Eintritt",IF(AND(INDEX(Mitarbeiter!$D$6:$D$205,MATCH(B3149,Mitarbeiter!$A$6:$A$205,0))&lt;&gt;"",A3149&gt;INDEX(Mitarbeiter!$D$6:$D$205,MATCH(B3149,Mitarbeiter!$A$6:$A$205,0))),"nach Austritt","ok")))))))</f>
        <v/>
      </c>
    </row>
    <row r="3150">
      <c r="A3150" s="26" t="n"/>
      <c r="B3150" s="24" t="n"/>
      <c r="C3150" s="40">
        <f>IF(B3150="","",IFERROR(INDEX(Mitarbeiter!$B$6:$B$205,MATCH(B3150,Mitarbeiter!$A$6:$A$205,0)),"?"))</f>
        <v/>
      </c>
      <c r="D3150" s="41" t="n"/>
      <c r="E3150" s="42" t="n"/>
      <c r="F3150" s="43" t="n"/>
      <c r="G3150" s="44">
        <f>IF(OR(B3150="",F3150=""),"",IFERROR(F3150*INDEX(Mitarbeiter!$F$6:$F$205,MATCH(B3150,Mitarbeiter!$A$6:$A$205,0)),0))</f>
        <v/>
      </c>
      <c r="H3150" s="8">
        <f>IF(B3150="","",IF(ISNA(MATCH(B3150,Mitarbeiter!$A$6:$A$205,0)),"Pers.-Nr. unbekannt",IF(A3150="","Datum fehlt",IF(AND(D3150&lt;&gt;Einstellungen!$C$4,D3150&lt;&gt;Einstellungen!$C$5),"Objekt fehlt",IF(YEAR(A3150)&lt;&gt;Einstellungen!$C$3,"anderes Jahr",IF(A3150&lt;INDEX(Mitarbeiter!$C$6:$C$205,MATCH(B3150,Mitarbeiter!$A$6:$A$205,0)),"vor Eintritt",IF(AND(INDEX(Mitarbeiter!$D$6:$D$205,MATCH(B3150,Mitarbeiter!$A$6:$A$205,0))&lt;&gt;"",A3150&gt;INDEX(Mitarbeiter!$D$6:$D$205,MATCH(B3150,Mitarbeiter!$A$6:$A$205,0))),"nach Austritt","ok")))))))</f>
        <v/>
      </c>
    </row>
    <row r="3151">
      <c r="A3151" s="26" t="n"/>
      <c r="B3151" s="24" t="n"/>
      <c r="C3151" s="40">
        <f>IF(B3151="","",IFERROR(INDEX(Mitarbeiter!$B$6:$B$205,MATCH(B3151,Mitarbeiter!$A$6:$A$205,0)),"?"))</f>
        <v/>
      </c>
      <c r="D3151" s="41" t="n"/>
      <c r="E3151" s="42" t="n"/>
      <c r="F3151" s="43" t="n"/>
      <c r="G3151" s="44">
        <f>IF(OR(B3151="",F3151=""),"",IFERROR(F3151*INDEX(Mitarbeiter!$F$6:$F$205,MATCH(B3151,Mitarbeiter!$A$6:$A$205,0)),0))</f>
        <v/>
      </c>
      <c r="H3151" s="8">
        <f>IF(B3151="","",IF(ISNA(MATCH(B3151,Mitarbeiter!$A$6:$A$205,0)),"Pers.-Nr. unbekannt",IF(A3151="","Datum fehlt",IF(AND(D3151&lt;&gt;Einstellungen!$C$4,D3151&lt;&gt;Einstellungen!$C$5),"Objekt fehlt",IF(YEAR(A3151)&lt;&gt;Einstellungen!$C$3,"anderes Jahr",IF(A3151&lt;INDEX(Mitarbeiter!$C$6:$C$205,MATCH(B3151,Mitarbeiter!$A$6:$A$205,0)),"vor Eintritt",IF(AND(INDEX(Mitarbeiter!$D$6:$D$205,MATCH(B3151,Mitarbeiter!$A$6:$A$205,0))&lt;&gt;"",A3151&gt;INDEX(Mitarbeiter!$D$6:$D$205,MATCH(B3151,Mitarbeiter!$A$6:$A$205,0))),"nach Austritt","ok")))))))</f>
        <v/>
      </c>
    </row>
    <row r="3152">
      <c r="A3152" s="26" t="n"/>
      <c r="B3152" s="24" t="n"/>
      <c r="C3152" s="40">
        <f>IF(B3152="","",IFERROR(INDEX(Mitarbeiter!$B$6:$B$205,MATCH(B3152,Mitarbeiter!$A$6:$A$205,0)),"?"))</f>
        <v/>
      </c>
      <c r="D3152" s="41" t="n"/>
      <c r="E3152" s="42" t="n"/>
      <c r="F3152" s="43" t="n"/>
      <c r="G3152" s="44">
        <f>IF(OR(B3152="",F3152=""),"",IFERROR(F3152*INDEX(Mitarbeiter!$F$6:$F$205,MATCH(B3152,Mitarbeiter!$A$6:$A$205,0)),0))</f>
        <v/>
      </c>
      <c r="H3152" s="8">
        <f>IF(B3152="","",IF(ISNA(MATCH(B3152,Mitarbeiter!$A$6:$A$205,0)),"Pers.-Nr. unbekannt",IF(A3152="","Datum fehlt",IF(AND(D3152&lt;&gt;Einstellungen!$C$4,D3152&lt;&gt;Einstellungen!$C$5),"Objekt fehlt",IF(YEAR(A3152)&lt;&gt;Einstellungen!$C$3,"anderes Jahr",IF(A3152&lt;INDEX(Mitarbeiter!$C$6:$C$205,MATCH(B3152,Mitarbeiter!$A$6:$A$205,0)),"vor Eintritt",IF(AND(INDEX(Mitarbeiter!$D$6:$D$205,MATCH(B3152,Mitarbeiter!$A$6:$A$205,0))&lt;&gt;"",A3152&gt;INDEX(Mitarbeiter!$D$6:$D$205,MATCH(B3152,Mitarbeiter!$A$6:$A$205,0))),"nach Austritt","ok")))))))</f>
        <v/>
      </c>
    </row>
    <row r="3153">
      <c r="A3153" s="26" t="n"/>
      <c r="B3153" s="24" t="n"/>
      <c r="C3153" s="40">
        <f>IF(B3153="","",IFERROR(INDEX(Mitarbeiter!$B$6:$B$205,MATCH(B3153,Mitarbeiter!$A$6:$A$205,0)),"?"))</f>
        <v/>
      </c>
      <c r="D3153" s="41" t="n"/>
      <c r="E3153" s="42" t="n"/>
      <c r="F3153" s="43" t="n"/>
      <c r="G3153" s="44">
        <f>IF(OR(B3153="",F3153=""),"",IFERROR(F3153*INDEX(Mitarbeiter!$F$6:$F$205,MATCH(B3153,Mitarbeiter!$A$6:$A$205,0)),0))</f>
        <v/>
      </c>
      <c r="H3153" s="8">
        <f>IF(B3153="","",IF(ISNA(MATCH(B3153,Mitarbeiter!$A$6:$A$205,0)),"Pers.-Nr. unbekannt",IF(A3153="","Datum fehlt",IF(AND(D3153&lt;&gt;Einstellungen!$C$4,D3153&lt;&gt;Einstellungen!$C$5),"Objekt fehlt",IF(YEAR(A3153)&lt;&gt;Einstellungen!$C$3,"anderes Jahr",IF(A3153&lt;INDEX(Mitarbeiter!$C$6:$C$205,MATCH(B3153,Mitarbeiter!$A$6:$A$205,0)),"vor Eintritt",IF(AND(INDEX(Mitarbeiter!$D$6:$D$205,MATCH(B3153,Mitarbeiter!$A$6:$A$205,0))&lt;&gt;"",A3153&gt;INDEX(Mitarbeiter!$D$6:$D$205,MATCH(B3153,Mitarbeiter!$A$6:$A$205,0))),"nach Austritt","ok")))))))</f>
        <v/>
      </c>
    </row>
    <row r="3154">
      <c r="A3154" s="26" t="n"/>
      <c r="B3154" s="24" t="n"/>
      <c r="C3154" s="40">
        <f>IF(B3154="","",IFERROR(INDEX(Mitarbeiter!$B$6:$B$205,MATCH(B3154,Mitarbeiter!$A$6:$A$205,0)),"?"))</f>
        <v/>
      </c>
      <c r="D3154" s="41" t="n"/>
      <c r="E3154" s="42" t="n"/>
      <c r="F3154" s="43" t="n"/>
      <c r="G3154" s="44">
        <f>IF(OR(B3154="",F3154=""),"",IFERROR(F3154*INDEX(Mitarbeiter!$F$6:$F$205,MATCH(B3154,Mitarbeiter!$A$6:$A$205,0)),0))</f>
        <v/>
      </c>
      <c r="H3154" s="8">
        <f>IF(B3154="","",IF(ISNA(MATCH(B3154,Mitarbeiter!$A$6:$A$205,0)),"Pers.-Nr. unbekannt",IF(A3154="","Datum fehlt",IF(AND(D3154&lt;&gt;Einstellungen!$C$4,D3154&lt;&gt;Einstellungen!$C$5),"Objekt fehlt",IF(YEAR(A3154)&lt;&gt;Einstellungen!$C$3,"anderes Jahr",IF(A3154&lt;INDEX(Mitarbeiter!$C$6:$C$205,MATCH(B3154,Mitarbeiter!$A$6:$A$205,0)),"vor Eintritt",IF(AND(INDEX(Mitarbeiter!$D$6:$D$205,MATCH(B3154,Mitarbeiter!$A$6:$A$205,0))&lt;&gt;"",A3154&gt;INDEX(Mitarbeiter!$D$6:$D$205,MATCH(B3154,Mitarbeiter!$A$6:$A$205,0))),"nach Austritt","ok")))))))</f>
        <v/>
      </c>
    </row>
    <row r="3155">
      <c r="A3155" s="26" t="n"/>
      <c r="B3155" s="24" t="n"/>
      <c r="C3155" s="40">
        <f>IF(B3155="","",IFERROR(INDEX(Mitarbeiter!$B$6:$B$205,MATCH(B3155,Mitarbeiter!$A$6:$A$205,0)),"?"))</f>
        <v/>
      </c>
      <c r="D3155" s="41" t="n"/>
      <c r="E3155" s="42" t="n"/>
      <c r="F3155" s="43" t="n"/>
      <c r="G3155" s="44">
        <f>IF(OR(B3155="",F3155=""),"",IFERROR(F3155*INDEX(Mitarbeiter!$F$6:$F$205,MATCH(B3155,Mitarbeiter!$A$6:$A$205,0)),0))</f>
        <v/>
      </c>
      <c r="H3155" s="8">
        <f>IF(B3155="","",IF(ISNA(MATCH(B3155,Mitarbeiter!$A$6:$A$205,0)),"Pers.-Nr. unbekannt",IF(A3155="","Datum fehlt",IF(AND(D3155&lt;&gt;Einstellungen!$C$4,D3155&lt;&gt;Einstellungen!$C$5),"Objekt fehlt",IF(YEAR(A3155)&lt;&gt;Einstellungen!$C$3,"anderes Jahr",IF(A3155&lt;INDEX(Mitarbeiter!$C$6:$C$205,MATCH(B3155,Mitarbeiter!$A$6:$A$205,0)),"vor Eintritt",IF(AND(INDEX(Mitarbeiter!$D$6:$D$205,MATCH(B3155,Mitarbeiter!$A$6:$A$205,0))&lt;&gt;"",A3155&gt;INDEX(Mitarbeiter!$D$6:$D$205,MATCH(B3155,Mitarbeiter!$A$6:$A$205,0))),"nach Austritt","ok")))))))</f>
        <v/>
      </c>
    </row>
    <row r="3156">
      <c r="A3156" s="26" t="n"/>
      <c r="B3156" s="24" t="n"/>
      <c r="C3156" s="40">
        <f>IF(B3156="","",IFERROR(INDEX(Mitarbeiter!$B$6:$B$205,MATCH(B3156,Mitarbeiter!$A$6:$A$205,0)),"?"))</f>
        <v/>
      </c>
      <c r="D3156" s="41" t="n"/>
      <c r="E3156" s="42" t="n"/>
      <c r="F3156" s="43" t="n"/>
      <c r="G3156" s="44">
        <f>IF(OR(B3156="",F3156=""),"",IFERROR(F3156*INDEX(Mitarbeiter!$F$6:$F$205,MATCH(B3156,Mitarbeiter!$A$6:$A$205,0)),0))</f>
        <v/>
      </c>
      <c r="H3156" s="8">
        <f>IF(B3156="","",IF(ISNA(MATCH(B3156,Mitarbeiter!$A$6:$A$205,0)),"Pers.-Nr. unbekannt",IF(A3156="","Datum fehlt",IF(AND(D3156&lt;&gt;Einstellungen!$C$4,D3156&lt;&gt;Einstellungen!$C$5),"Objekt fehlt",IF(YEAR(A3156)&lt;&gt;Einstellungen!$C$3,"anderes Jahr",IF(A3156&lt;INDEX(Mitarbeiter!$C$6:$C$205,MATCH(B3156,Mitarbeiter!$A$6:$A$205,0)),"vor Eintritt",IF(AND(INDEX(Mitarbeiter!$D$6:$D$205,MATCH(B3156,Mitarbeiter!$A$6:$A$205,0))&lt;&gt;"",A3156&gt;INDEX(Mitarbeiter!$D$6:$D$205,MATCH(B3156,Mitarbeiter!$A$6:$A$205,0))),"nach Austritt","ok")))))))</f>
        <v/>
      </c>
    </row>
    <row r="3157">
      <c r="A3157" s="26" t="n"/>
      <c r="B3157" s="24" t="n"/>
      <c r="C3157" s="40">
        <f>IF(B3157="","",IFERROR(INDEX(Mitarbeiter!$B$6:$B$205,MATCH(B3157,Mitarbeiter!$A$6:$A$205,0)),"?"))</f>
        <v/>
      </c>
      <c r="D3157" s="41" t="n"/>
      <c r="E3157" s="42" t="n"/>
      <c r="F3157" s="43" t="n"/>
      <c r="G3157" s="44">
        <f>IF(OR(B3157="",F3157=""),"",IFERROR(F3157*INDEX(Mitarbeiter!$F$6:$F$205,MATCH(B3157,Mitarbeiter!$A$6:$A$205,0)),0))</f>
        <v/>
      </c>
      <c r="H3157" s="8">
        <f>IF(B3157="","",IF(ISNA(MATCH(B3157,Mitarbeiter!$A$6:$A$205,0)),"Pers.-Nr. unbekannt",IF(A3157="","Datum fehlt",IF(AND(D3157&lt;&gt;Einstellungen!$C$4,D3157&lt;&gt;Einstellungen!$C$5),"Objekt fehlt",IF(YEAR(A3157)&lt;&gt;Einstellungen!$C$3,"anderes Jahr",IF(A3157&lt;INDEX(Mitarbeiter!$C$6:$C$205,MATCH(B3157,Mitarbeiter!$A$6:$A$205,0)),"vor Eintritt",IF(AND(INDEX(Mitarbeiter!$D$6:$D$205,MATCH(B3157,Mitarbeiter!$A$6:$A$205,0))&lt;&gt;"",A3157&gt;INDEX(Mitarbeiter!$D$6:$D$205,MATCH(B3157,Mitarbeiter!$A$6:$A$205,0))),"nach Austritt","ok")))))))</f>
        <v/>
      </c>
    </row>
    <row r="3158">
      <c r="A3158" s="26" t="n"/>
      <c r="B3158" s="24" t="n"/>
      <c r="C3158" s="40">
        <f>IF(B3158="","",IFERROR(INDEX(Mitarbeiter!$B$6:$B$205,MATCH(B3158,Mitarbeiter!$A$6:$A$205,0)),"?"))</f>
        <v/>
      </c>
      <c r="D3158" s="41" t="n"/>
      <c r="E3158" s="42" t="n"/>
      <c r="F3158" s="43" t="n"/>
      <c r="G3158" s="44">
        <f>IF(OR(B3158="",F3158=""),"",IFERROR(F3158*INDEX(Mitarbeiter!$F$6:$F$205,MATCH(B3158,Mitarbeiter!$A$6:$A$205,0)),0))</f>
        <v/>
      </c>
      <c r="H3158" s="8">
        <f>IF(B3158="","",IF(ISNA(MATCH(B3158,Mitarbeiter!$A$6:$A$205,0)),"Pers.-Nr. unbekannt",IF(A3158="","Datum fehlt",IF(AND(D3158&lt;&gt;Einstellungen!$C$4,D3158&lt;&gt;Einstellungen!$C$5),"Objekt fehlt",IF(YEAR(A3158)&lt;&gt;Einstellungen!$C$3,"anderes Jahr",IF(A3158&lt;INDEX(Mitarbeiter!$C$6:$C$205,MATCH(B3158,Mitarbeiter!$A$6:$A$205,0)),"vor Eintritt",IF(AND(INDEX(Mitarbeiter!$D$6:$D$205,MATCH(B3158,Mitarbeiter!$A$6:$A$205,0))&lt;&gt;"",A3158&gt;INDEX(Mitarbeiter!$D$6:$D$205,MATCH(B3158,Mitarbeiter!$A$6:$A$205,0))),"nach Austritt","ok")))))))</f>
        <v/>
      </c>
    </row>
    <row r="3159">
      <c r="A3159" s="26" t="n"/>
      <c r="B3159" s="24" t="n"/>
      <c r="C3159" s="40">
        <f>IF(B3159="","",IFERROR(INDEX(Mitarbeiter!$B$6:$B$205,MATCH(B3159,Mitarbeiter!$A$6:$A$205,0)),"?"))</f>
        <v/>
      </c>
      <c r="D3159" s="41" t="n"/>
      <c r="E3159" s="42" t="n"/>
      <c r="F3159" s="43" t="n"/>
      <c r="G3159" s="44">
        <f>IF(OR(B3159="",F3159=""),"",IFERROR(F3159*INDEX(Mitarbeiter!$F$6:$F$205,MATCH(B3159,Mitarbeiter!$A$6:$A$205,0)),0))</f>
        <v/>
      </c>
      <c r="H3159" s="8">
        <f>IF(B3159="","",IF(ISNA(MATCH(B3159,Mitarbeiter!$A$6:$A$205,0)),"Pers.-Nr. unbekannt",IF(A3159="","Datum fehlt",IF(AND(D3159&lt;&gt;Einstellungen!$C$4,D3159&lt;&gt;Einstellungen!$C$5),"Objekt fehlt",IF(YEAR(A3159)&lt;&gt;Einstellungen!$C$3,"anderes Jahr",IF(A3159&lt;INDEX(Mitarbeiter!$C$6:$C$205,MATCH(B3159,Mitarbeiter!$A$6:$A$205,0)),"vor Eintritt",IF(AND(INDEX(Mitarbeiter!$D$6:$D$205,MATCH(B3159,Mitarbeiter!$A$6:$A$205,0))&lt;&gt;"",A3159&gt;INDEX(Mitarbeiter!$D$6:$D$205,MATCH(B3159,Mitarbeiter!$A$6:$A$205,0))),"nach Austritt","ok")))))))</f>
        <v/>
      </c>
    </row>
    <row r="3160">
      <c r="A3160" s="26" t="n"/>
      <c r="B3160" s="24" t="n"/>
      <c r="C3160" s="40">
        <f>IF(B3160="","",IFERROR(INDEX(Mitarbeiter!$B$6:$B$205,MATCH(B3160,Mitarbeiter!$A$6:$A$205,0)),"?"))</f>
        <v/>
      </c>
      <c r="D3160" s="41" t="n"/>
      <c r="E3160" s="42" t="n"/>
      <c r="F3160" s="43" t="n"/>
      <c r="G3160" s="44">
        <f>IF(OR(B3160="",F3160=""),"",IFERROR(F3160*INDEX(Mitarbeiter!$F$6:$F$205,MATCH(B3160,Mitarbeiter!$A$6:$A$205,0)),0))</f>
        <v/>
      </c>
      <c r="H3160" s="8">
        <f>IF(B3160="","",IF(ISNA(MATCH(B3160,Mitarbeiter!$A$6:$A$205,0)),"Pers.-Nr. unbekannt",IF(A3160="","Datum fehlt",IF(AND(D3160&lt;&gt;Einstellungen!$C$4,D3160&lt;&gt;Einstellungen!$C$5),"Objekt fehlt",IF(YEAR(A3160)&lt;&gt;Einstellungen!$C$3,"anderes Jahr",IF(A3160&lt;INDEX(Mitarbeiter!$C$6:$C$205,MATCH(B3160,Mitarbeiter!$A$6:$A$205,0)),"vor Eintritt",IF(AND(INDEX(Mitarbeiter!$D$6:$D$205,MATCH(B3160,Mitarbeiter!$A$6:$A$205,0))&lt;&gt;"",A3160&gt;INDEX(Mitarbeiter!$D$6:$D$205,MATCH(B3160,Mitarbeiter!$A$6:$A$205,0))),"nach Austritt","ok")))))))</f>
        <v/>
      </c>
    </row>
    <row r="3161">
      <c r="A3161" s="26" t="n"/>
      <c r="B3161" s="24" t="n"/>
      <c r="C3161" s="40">
        <f>IF(B3161="","",IFERROR(INDEX(Mitarbeiter!$B$6:$B$205,MATCH(B3161,Mitarbeiter!$A$6:$A$205,0)),"?"))</f>
        <v/>
      </c>
      <c r="D3161" s="41" t="n"/>
      <c r="E3161" s="42" t="n"/>
      <c r="F3161" s="43" t="n"/>
      <c r="G3161" s="44">
        <f>IF(OR(B3161="",F3161=""),"",IFERROR(F3161*INDEX(Mitarbeiter!$F$6:$F$205,MATCH(B3161,Mitarbeiter!$A$6:$A$205,0)),0))</f>
        <v/>
      </c>
      <c r="H3161" s="8">
        <f>IF(B3161="","",IF(ISNA(MATCH(B3161,Mitarbeiter!$A$6:$A$205,0)),"Pers.-Nr. unbekannt",IF(A3161="","Datum fehlt",IF(AND(D3161&lt;&gt;Einstellungen!$C$4,D3161&lt;&gt;Einstellungen!$C$5),"Objekt fehlt",IF(YEAR(A3161)&lt;&gt;Einstellungen!$C$3,"anderes Jahr",IF(A3161&lt;INDEX(Mitarbeiter!$C$6:$C$205,MATCH(B3161,Mitarbeiter!$A$6:$A$205,0)),"vor Eintritt",IF(AND(INDEX(Mitarbeiter!$D$6:$D$205,MATCH(B3161,Mitarbeiter!$A$6:$A$205,0))&lt;&gt;"",A3161&gt;INDEX(Mitarbeiter!$D$6:$D$205,MATCH(B3161,Mitarbeiter!$A$6:$A$205,0))),"nach Austritt","ok")))))))</f>
        <v/>
      </c>
    </row>
    <row r="3162">
      <c r="A3162" s="26" t="n"/>
      <c r="B3162" s="24" t="n"/>
      <c r="C3162" s="40">
        <f>IF(B3162="","",IFERROR(INDEX(Mitarbeiter!$B$6:$B$205,MATCH(B3162,Mitarbeiter!$A$6:$A$205,0)),"?"))</f>
        <v/>
      </c>
      <c r="D3162" s="41" t="n"/>
      <c r="E3162" s="42" t="n"/>
      <c r="F3162" s="43" t="n"/>
      <c r="G3162" s="44">
        <f>IF(OR(B3162="",F3162=""),"",IFERROR(F3162*INDEX(Mitarbeiter!$F$6:$F$205,MATCH(B3162,Mitarbeiter!$A$6:$A$205,0)),0))</f>
        <v/>
      </c>
      <c r="H3162" s="8">
        <f>IF(B3162="","",IF(ISNA(MATCH(B3162,Mitarbeiter!$A$6:$A$205,0)),"Pers.-Nr. unbekannt",IF(A3162="","Datum fehlt",IF(AND(D3162&lt;&gt;Einstellungen!$C$4,D3162&lt;&gt;Einstellungen!$C$5),"Objekt fehlt",IF(YEAR(A3162)&lt;&gt;Einstellungen!$C$3,"anderes Jahr",IF(A3162&lt;INDEX(Mitarbeiter!$C$6:$C$205,MATCH(B3162,Mitarbeiter!$A$6:$A$205,0)),"vor Eintritt",IF(AND(INDEX(Mitarbeiter!$D$6:$D$205,MATCH(B3162,Mitarbeiter!$A$6:$A$205,0))&lt;&gt;"",A3162&gt;INDEX(Mitarbeiter!$D$6:$D$205,MATCH(B3162,Mitarbeiter!$A$6:$A$205,0))),"nach Austritt","ok")))))))</f>
        <v/>
      </c>
    </row>
    <row r="3163">
      <c r="A3163" s="26" t="n"/>
      <c r="B3163" s="24" t="n"/>
      <c r="C3163" s="40">
        <f>IF(B3163="","",IFERROR(INDEX(Mitarbeiter!$B$6:$B$205,MATCH(B3163,Mitarbeiter!$A$6:$A$205,0)),"?"))</f>
        <v/>
      </c>
      <c r="D3163" s="41" t="n"/>
      <c r="E3163" s="42" t="n"/>
      <c r="F3163" s="43" t="n"/>
      <c r="G3163" s="44">
        <f>IF(OR(B3163="",F3163=""),"",IFERROR(F3163*INDEX(Mitarbeiter!$F$6:$F$205,MATCH(B3163,Mitarbeiter!$A$6:$A$205,0)),0))</f>
        <v/>
      </c>
      <c r="H3163" s="8">
        <f>IF(B3163="","",IF(ISNA(MATCH(B3163,Mitarbeiter!$A$6:$A$205,0)),"Pers.-Nr. unbekannt",IF(A3163="","Datum fehlt",IF(AND(D3163&lt;&gt;Einstellungen!$C$4,D3163&lt;&gt;Einstellungen!$C$5),"Objekt fehlt",IF(YEAR(A3163)&lt;&gt;Einstellungen!$C$3,"anderes Jahr",IF(A3163&lt;INDEX(Mitarbeiter!$C$6:$C$205,MATCH(B3163,Mitarbeiter!$A$6:$A$205,0)),"vor Eintritt",IF(AND(INDEX(Mitarbeiter!$D$6:$D$205,MATCH(B3163,Mitarbeiter!$A$6:$A$205,0))&lt;&gt;"",A3163&gt;INDEX(Mitarbeiter!$D$6:$D$205,MATCH(B3163,Mitarbeiter!$A$6:$A$205,0))),"nach Austritt","ok")))))))</f>
        <v/>
      </c>
    </row>
    <row r="3164">
      <c r="A3164" s="26" t="n"/>
      <c r="B3164" s="24" t="n"/>
      <c r="C3164" s="40">
        <f>IF(B3164="","",IFERROR(INDEX(Mitarbeiter!$B$6:$B$205,MATCH(B3164,Mitarbeiter!$A$6:$A$205,0)),"?"))</f>
        <v/>
      </c>
      <c r="D3164" s="41" t="n"/>
      <c r="E3164" s="42" t="n"/>
      <c r="F3164" s="43" t="n"/>
      <c r="G3164" s="44">
        <f>IF(OR(B3164="",F3164=""),"",IFERROR(F3164*INDEX(Mitarbeiter!$F$6:$F$205,MATCH(B3164,Mitarbeiter!$A$6:$A$205,0)),0))</f>
        <v/>
      </c>
      <c r="H3164" s="8">
        <f>IF(B3164="","",IF(ISNA(MATCH(B3164,Mitarbeiter!$A$6:$A$205,0)),"Pers.-Nr. unbekannt",IF(A3164="","Datum fehlt",IF(AND(D3164&lt;&gt;Einstellungen!$C$4,D3164&lt;&gt;Einstellungen!$C$5),"Objekt fehlt",IF(YEAR(A3164)&lt;&gt;Einstellungen!$C$3,"anderes Jahr",IF(A3164&lt;INDEX(Mitarbeiter!$C$6:$C$205,MATCH(B3164,Mitarbeiter!$A$6:$A$205,0)),"vor Eintritt",IF(AND(INDEX(Mitarbeiter!$D$6:$D$205,MATCH(B3164,Mitarbeiter!$A$6:$A$205,0))&lt;&gt;"",A3164&gt;INDEX(Mitarbeiter!$D$6:$D$205,MATCH(B3164,Mitarbeiter!$A$6:$A$205,0))),"nach Austritt","ok")))))))</f>
        <v/>
      </c>
    </row>
    <row r="3165">
      <c r="A3165" s="26" t="n"/>
      <c r="B3165" s="24" t="n"/>
      <c r="C3165" s="40">
        <f>IF(B3165="","",IFERROR(INDEX(Mitarbeiter!$B$6:$B$205,MATCH(B3165,Mitarbeiter!$A$6:$A$205,0)),"?"))</f>
        <v/>
      </c>
      <c r="D3165" s="41" t="n"/>
      <c r="E3165" s="42" t="n"/>
      <c r="F3165" s="43" t="n"/>
      <c r="G3165" s="44">
        <f>IF(OR(B3165="",F3165=""),"",IFERROR(F3165*INDEX(Mitarbeiter!$F$6:$F$205,MATCH(B3165,Mitarbeiter!$A$6:$A$205,0)),0))</f>
        <v/>
      </c>
      <c r="H3165" s="8">
        <f>IF(B3165="","",IF(ISNA(MATCH(B3165,Mitarbeiter!$A$6:$A$205,0)),"Pers.-Nr. unbekannt",IF(A3165="","Datum fehlt",IF(AND(D3165&lt;&gt;Einstellungen!$C$4,D3165&lt;&gt;Einstellungen!$C$5),"Objekt fehlt",IF(YEAR(A3165)&lt;&gt;Einstellungen!$C$3,"anderes Jahr",IF(A3165&lt;INDEX(Mitarbeiter!$C$6:$C$205,MATCH(B3165,Mitarbeiter!$A$6:$A$205,0)),"vor Eintritt",IF(AND(INDEX(Mitarbeiter!$D$6:$D$205,MATCH(B3165,Mitarbeiter!$A$6:$A$205,0))&lt;&gt;"",A3165&gt;INDEX(Mitarbeiter!$D$6:$D$205,MATCH(B3165,Mitarbeiter!$A$6:$A$205,0))),"nach Austritt","ok")))))))</f>
        <v/>
      </c>
    </row>
    <row r="3166">
      <c r="A3166" s="26" t="n"/>
      <c r="B3166" s="24" t="n"/>
      <c r="C3166" s="40">
        <f>IF(B3166="","",IFERROR(INDEX(Mitarbeiter!$B$6:$B$205,MATCH(B3166,Mitarbeiter!$A$6:$A$205,0)),"?"))</f>
        <v/>
      </c>
      <c r="D3166" s="41" t="n"/>
      <c r="E3166" s="42" t="n"/>
      <c r="F3166" s="43" t="n"/>
      <c r="G3166" s="44">
        <f>IF(OR(B3166="",F3166=""),"",IFERROR(F3166*INDEX(Mitarbeiter!$F$6:$F$205,MATCH(B3166,Mitarbeiter!$A$6:$A$205,0)),0))</f>
        <v/>
      </c>
      <c r="H3166" s="8">
        <f>IF(B3166="","",IF(ISNA(MATCH(B3166,Mitarbeiter!$A$6:$A$205,0)),"Pers.-Nr. unbekannt",IF(A3166="","Datum fehlt",IF(AND(D3166&lt;&gt;Einstellungen!$C$4,D3166&lt;&gt;Einstellungen!$C$5),"Objekt fehlt",IF(YEAR(A3166)&lt;&gt;Einstellungen!$C$3,"anderes Jahr",IF(A3166&lt;INDEX(Mitarbeiter!$C$6:$C$205,MATCH(B3166,Mitarbeiter!$A$6:$A$205,0)),"vor Eintritt",IF(AND(INDEX(Mitarbeiter!$D$6:$D$205,MATCH(B3166,Mitarbeiter!$A$6:$A$205,0))&lt;&gt;"",A3166&gt;INDEX(Mitarbeiter!$D$6:$D$205,MATCH(B3166,Mitarbeiter!$A$6:$A$205,0))),"nach Austritt","ok")))))))</f>
        <v/>
      </c>
    </row>
    <row r="3167">
      <c r="A3167" s="26" t="n"/>
      <c r="B3167" s="24" t="n"/>
      <c r="C3167" s="40">
        <f>IF(B3167="","",IFERROR(INDEX(Mitarbeiter!$B$6:$B$205,MATCH(B3167,Mitarbeiter!$A$6:$A$205,0)),"?"))</f>
        <v/>
      </c>
      <c r="D3167" s="41" t="n"/>
      <c r="E3167" s="42" t="n"/>
      <c r="F3167" s="43" t="n"/>
      <c r="G3167" s="44">
        <f>IF(OR(B3167="",F3167=""),"",IFERROR(F3167*INDEX(Mitarbeiter!$F$6:$F$205,MATCH(B3167,Mitarbeiter!$A$6:$A$205,0)),0))</f>
        <v/>
      </c>
      <c r="H3167" s="8">
        <f>IF(B3167="","",IF(ISNA(MATCH(B3167,Mitarbeiter!$A$6:$A$205,0)),"Pers.-Nr. unbekannt",IF(A3167="","Datum fehlt",IF(AND(D3167&lt;&gt;Einstellungen!$C$4,D3167&lt;&gt;Einstellungen!$C$5),"Objekt fehlt",IF(YEAR(A3167)&lt;&gt;Einstellungen!$C$3,"anderes Jahr",IF(A3167&lt;INDEX(Mitarbeiter!$C$6:$C$205,MATCH(B3167,Mitarbeiter!$A$6:$A$205,0)),"vor Eintritt",IF(AND(INDEX(Mitarbeiter!$D$6:$D$205,MATCH(B3167,Mitarbeiter!$A$6:$A$205,0))&lt;&gt;"",A3167&gt;INDEX(Mitarbeiter!$D$6:$D$205,MATCH(B3167,Mitarbeiter!$A$6:$A$205,0))),"nach Austritt","ok")))))))</f>
        <v/>
      </c>
    </row>
    <row r="3168">
      <c r="A3168" s="26" t="n"/>
      <c r="B3168" s="24" t="n"/>
      <c r="C3168" s="40">
        <f>IF(B3168="","",IFERROR(INDEX(Mitarbeiter!$B$6:$B$205,MATCH(B3168,Mitarbeiter!$A$6:$A$205,0)),"?"))</f>
        <v/>
      </c>
      <c r="D3168" s="41" t="n"/>
      <c r="E3168" s="42" t="n"/>
      <c r="F3168" s="43" t="n"/>
      <c r="G3168" s="44">
        <f>IF(OR(B3168="",F3168=""),"",IFERROR(F3168*INDEX(Mitarbeiter!$F$6:$F$205,MATCH(B3168,Mitarbeiter!$A$6:$A$205,0)),0))</f>
        <v/>
      </c>
      <c r="H3168" s="8">
        <f>IF(B3168="","",IF(ISNA(MATCH(B3168,Mitarbeiter!$A$6:$A$205,0)),"Pers.-Nr. unbekannt",IF(A3168="","Datum fehlt",IF(AND(D3168&lt;&gt;Einstellungen!$C$4,D3168&lt;&gt;Einstellungen!$C$5),"Objekt fehlt",IF(YEAR(A3168)&lt;&gt;Einstellungen!$C$3,"anderes Jahr",IF(A3168&lt;INDEX(Mitarbeiter!$C$6:$C$205,MATCH(B3168,Mitarbeiter!$A$6:$A$205,0)),"vor Eintritt",IF(AND(INDEX(Mitarbeiter!$D$6:$D$205,MATCH(B3168,Mitarbeiter!$A$6:$A$205,0))&lt;&gt;"",A3168&gt;INDEX(Mitarbeiter!$D$6:$D$205,MATCH(B3168,Mitarbeiter!$A$6:$A$205,0))),"nach Austritt","ok")))))))</f>
        <v/>
      </c>
    </row>
    <row r="3169">
      <c r="A3169" s="26" t="n"/>
      <c r="B3169" s="24" t="n"/>
      <c r="C3169" s="40">
        <f>IF(B3169="","",IFERROR(INDEX(Mitarbeiter!$B$6:$B$205,MATCH(B3169,Mitarbeiter!$A$6:$A$205,0)),"?"))</f>
        <v/>
      </c>
      <c r="D3169" s="41" t="n"/>
      <c r="E3169" s="42" t="n"/>
      <c r="F3169" s="43" t="n"/>
      <c r="G3169" s="44">
        <f>IF(OR(B3169="",F3169=""),"",IFERROR(F3169*INDEX(Mitarbeiter!$F$6:$F$205,MATCH(B3169,Mitarbeiter!$A$6:$A$205,0)),0))</f>
        <v/>
      </c>
      <c r="H3169" s="8">
        <f>IF(B3169="","",IF(ISNA(MATCH(B3169,Mitarbeiter!$A$6:$A$205,0)),"Pers.-Nr. unbekannt",IF(A3169="","Datum fehlt",IF(AND(D3169&lt;&gt;Einstellungen!$C$4,D3169&lt;&gt;Einstellungen!$C$5),"Objekt fehlt",IF(YEAR(A3169)&lt;&gt;Einstellungen!$C$3,"anderes Jahr",IF(A3169&lt;INDEX(Mitarbeiter!$C$6:$C$205,MATCH(B3169,Mitarbeiter!$A$6:$A$205,0)),"vor Eintritt",IF(AND(INDEX(Mitarbeiter!$D$6:$D$205,MATCH(B3169,Mitarbeiter!$A$6:$A$205,0))&lt;&gt;"",A3169&gt;INDEX(Mitarbeiter!$D$6:$D$205,MATCH(B3169,Mitarbeiter!$A$6:$A$205,0))),"nach Austritt","ok")))))))</f>
        <v/>
      </c>
    </row>
    <row r="3170">
      <c r="A3170" s="26" t="n"/>
      <c r="B3170" s="24" t="n"/>
      <c r="C3170" s="40">
        <f>IF(B3170="","",IFERROR(INDEX(Mitarbeiter!$B$6:$B$205,MATCH(B3170,Mitarbeiter!$A$6:$A$205,0)),"?"))</f>
        <v/>
      </c>
      <c r="D3170" s="41" t="n"/>
      <c r="E3170" s="42" t="n"/>
      <c r="F3170" s="43" t="n"/>
      <c r="G3170" s="44">
        <f>IF(OR(B3170="",F3170=""),"",IFERROR(F3170*INDEX(Mitarbeiter!$F$6:$F$205,MATCH(B3170,Mitarbeiter!$A$6:$A$205,0)),0))</f>
        <v/>
      </c>
      <c r="H3170" s="8">
        <f>IF(B3170="","",IF(ISNA(MATCH(B3170,Mitarbeiter!$A$6:$A$205,0)),"Pers.-Nr. unbekannt",IF(A3170="","Datum fehlt",IF(AND(D3170&lt;&gt;Einstellungen!$C$4,D3170&lt;&gt;Einstellungen!$C$5),"Objekt fehlt",IF(YEAR(A3170)&lt;&gt;Einstellungen!$C$3,"anderes Jahr",IF(A3170&lt;INDEX(Mitarbeiter!$C$6:$C$205,MATCH(B3170,Mitarbeiter!$A$6:$A$205,0)),"vor Eintritt",IF(AND(INDEX(Mitarbeiter!$D$6:$D$205,MATCH(B3170,Mitarbeiter!$A$6:$A$205,0))&lt;&gt;"",A3170&gt;INDEX(Mitarbeiter!$D$6:$D$205,MATCH(B3170,Mitarbeiter!$A$6:$A$205,0))),"nach Austritt","ok")))))))</f>
        <v/>
      </c>
    </row>
    <row r="3171">
      <c r="A3171" s="26" t="n"/>
      <c r="B3171" s="24" t="n"/>
      <c r="C3171" s="40">
        <f>IF(B3171="","",IFERROR(INDEX(Mitarbeiter!$B$6:$B$205,MATCH(B3171,Mitarbeiter!$A$6:$A$205,0)),"?"))</f>
        <v/>
      </c>
      <c r="D3171" s="41" t="n"/>
      <c r="E3171" s="42" t="n"/>
      <c r="F3171" s="43" t="n"/>
      <c r="G3171" s="44">
        <f>IF(OR(B3171="",F3171=""),"",IFERROR(F3171*INDEX(Mitarbeiter!$F$6:$F$205,MATCH(B3171,Mitarbeiter!$A$6:$A$205,0)),0))</f>
        <v/>
      </c>
      <c r="H3171" s="8">
        <f>IF(B3171="","",IF(ISNA(MATCH(B3171,Mitarbeiter!$A$6:$A$205,0)),"Pers.-Nr. unbekannt",IF(A3171="","Datum fehlt",IF(AND(D3171&lt;&gt;Einstellungen!$C$4,D3171&lt;&gt;Einstellungen!$C$5),"Objekt fehlt",IF(YEAR(A3171)&lt;&gt;Einstellungen!$C$3,"anderes Jahr",IF(A3171&lt;INDEX(Mitarbeiter!$C$6:$C$205,MATCH(B3171,Mitarbeiter!$A$6:$A$205,0)),"vor Eintritt",IF(AND(INDEX(Mitarbeiter!$D$6:$D$205,MATCH(B3171,Mitarbeiter!$A$6:$A$205,0))&lt;&gt;"",A3171&gt;INDEX(Mitarbeiter!$D$6:$D$205,MATCH(B3171,Mitarbeiter!$A$6:$A$205,0))),"nach Austritt","ok")))))))</f>
        <v/>
      </c>
    </row>
    <row r="3172">
      <c r="A3172" s="26" t="n"/>
      <c r="B3172" s="24" t="n"/>
      <c r="C3172" s="40">
        <f>IF(B3172="","",IFERROR(INDEX(Mitarbeiter!$B$6:$B$205,MATCH(B3172,Mitarbeiter!$A$6:$A$205,0)),"?"))</f>
        <v/>
      </c>
      <c r="D3172" s="41" t="n"/>
      <c r="E3172" s="42" t="n"/>
      <c r="F3172" s="43" t="n"/>
      <c r="G3172" s="44">
        <f>IF(OR(B3172="",F3172=""),"",IFERROR(F3172*INDEX(Mitarbeiter!$F$6:$F$205,MATCH(B3172,Mitarbeiter!$A$6:$A$205,0)),0))</f>
        <v/>
      </c>
      <c r="H3172" s="8">
        <f>IF(B3172="","",IF(ISNA(MATCH(B3172,Mitarbeiter!$A$6:$A$205,0)),"Pers.-Nr. unbekannt",IF(A3172="","Datum fehlt",IF(AND(D3172&lt;&gt;Einstellungen!$C$4,D3172&lt;&gt;Einstellungen!$C$5),"Objekt fehlt",IF(YEAR(A3172)&lt;&gt;Einstellungen!$C$3,"anderes Jahr",IF(A3172&lt;INDEX(Mitarbeiter!$C$6:$C$205,MATCH(B3172,Mitarbeiter!$A$6:$A$205,0)),"vor Eintritt",IF(AND(INDEX(Mitarbeiter!$D$6:$D$205,MATCH(B3172,Mitarbeiter!$A$6:$A$205,0))&lt;&gt;"",A3172&gt;INDEX(Mitarbeiter!$D$6:$D$205,MATCH(B3172,Mitarbeiter!$A$6:$A$205,0))),"nach Austritt","ok")))))))</f>
        <v/>
      </c>
    </row>
    <row r="3173">
      <c r="A3173" s="26" t="n"/>
      <c r="B3173" s="24" t="n"/>
      <c r="C3173" s="40">
        <f>IF(B3173="","",IFERROR(INDEX(Mitarbeiter!$B$6:$B$205,MATCH(B3173,Mitarbeiter!$A$6:$A$205,0)),"?"))</f>
        <v/>
      </c>
      <c r="D3173" s="41" t="n"/>
      <c r="E3173" s="42" t="n"/>
      <c r="F3173" s="43" t="n"/>
      <c r="G3173" s="44">
        <f>IF(OR(B3173="",F3173=""),"",IFERROR(F3173*INDEX(Mitarbeiter!$F$6:$F$205,MATCH(B3173,Mitarbeiter!$A$6:$A$205,0)),0))</f>
        <v/>
      </c>
      <c r="H3173" s="8">
        <f>IF(B3173="","",IF(ISNA(MATCH(B3173,Mitarbeiter!$A$6:$A$205,0)),"Pers.-Nr. unbekannt",IF(A3173="","Datum fehlt",IF(AND(D3173&lt;&gt;Einstellungen!$C$4,D3173&lt;&gt;Einstellungen!$C$5),"Objekt fehlt",IF(YEAR(A3173)&lt;&gt;Einstellungen!$C$3,"anderes Jahr",IF(A3173&lt;INDEX(Mitarbeiter!$C$6:$C$205,MATCH(B3173,Mitarbeiter!$A$6:$A$205,0)),"vor Eintritt",IF(AND(INDEX(Mitarbeiter!$D$6:$D$205,MATCH(B3173,Mitarbeiter!$A$6:$A$205,0))&lt;&gt;"",A3173&gt;INDEX(Mitarbeiter!$D$6:$D$205,MATCH(B3173,Mitarbeiter!$A$6:$A$205,0))),"nach Austritt","ok")))))))</f>
        <v/>
      </c>
    </row>
    <row r="3174">
      <c r="A3174" s="26" t="n"/>
      <c r="B3174" s="24" t="n"/>
      <c r="C3174" s="40">
        <f>IF(B3174="","",IFERROR(INDEX(Mitarbeiter!$B$6:$B$205,MATCH(B3174,Mitarbeiter!$A$6:$A$205,0)),"?"))</f>
        <v/>
      </c>
      <c r="D3174" s="41" t="n"/>
      <c r="E3174" s="42" t="n"/>
      <c r="F3174" s="43" t="n"/>
      <c r="G3174" s="44">
        <f>IF(OR(B3174="",F3174=""),"",IFERROR(F3174*INDEX(Mitarbeiter!$F$6:$F$205,MATCH(B3174,Mitarbeiter!$A$6:$A$205,0)),0))</f>
        <v/>
      </c>
      <c r="H3174" s="8">
        <f>IF(B3174="","",IF(ISNA(MATCH(B3174,Mitarbeiter!$A$6:$A$205,0)),"Pers.-Nr. unbekannt",IF(A3174="","Datum fehlt",IF(AND(D3174&lt;&gt;Einstellungen!$C$4,D3174&lt;&gt;Einstellungen!$C$5),"Objekt fehlt",IF(YEAR(A3174)&lt;&gt;Einstellungen!$C$3,"anderes Jahr",IF(A3174&lt;INDEX(Mitarbeiter!$C$6:$C$205,MATCH(B3174,Mitarbeiter!$A$6:$A$205,0)),"vor Eintritt",IF(AND(INDEX(Mitarbeiter!$D$6:$D$205,MATCH(B3174,Mitarbeiter!$A$6:$A$205,0))&lt;&gt;"",A3174&gt;INDEX(Mitarbeiter!$D$6:$D$205,MATCH(B3174,Mitarbeiter!$A$6:$A$205,0))),"nach Austritt","ok")))))))</f>
        <v/>
      </c>
    </row>
    <row r="3175">
      <c r="A3175" s="26" t="n"/>
      <c r="B3175" s="24" t="n"/>
      <c r="C3175" s="40">
        <f>IF(B3175="","",IFERROR(INDEX(Mitarbeiter!$B$6:$B$205,MATCH(B3175,Mitarbeiter!$A$6:$A$205,0)),"?"))</f>
        <v/>
      </c>
      <c r="D3175" s="41" t="n"/>
      <c r="E3175" s="42" t="n"/>
      <c r="F3175" s="43" t="n"/>
      <c r="G3175" s="44">
        <f>IF(OR(B3175="",F3175=""),"",IFERROR(F3175*INDEX(Mitarbeiter!$F$6:$F$205,MATCH(B3175,Mitarbeiter!$A$6:$A$205,0)),0))</f>
        <v/>
      </c>
      <c r="H3175" s="8">
        <f>IF(B3175="","",IF(ISNA(MATCH(B3175,Mitarbeiter!$A$6:$A$205,0)),"Pers.-Nr. unbekannt",IF(A3175="","Datum fehlt",IF(AND(D3175&lt;&gt;Einstellungen!$C$4,D3175&lt;&gt;Einstellungen!$C$5),"Objekt fehlt",IF(YEAR(A3175)&lt;&gt;Einstellungen!$C$3,"anderes Jahr",IF(A3175&lt;INDEX(Mitarbeiter!$C$6:$C$205,MATCH(B3175,Mitarbeiter!$A$6:$A$205,0)),"vor Eintritt",IF(AND(INDEX(Mitarbeiter!$D$6:$D$205,MATCH(B3175,Mitarbeiter!$A$6:$A$205,0))&lt;&gt;"",A3175&gt;INDEX(Mitarbeiter!$D$6:$D$205,MATCH(B3175,Mitarbeiter!$A$6:$A$205,0))),"nach Austritt","ok")))))))</f>
        <v/>
      </c>
    </row>
    <row r="3176">
      <c r="A3176" s="26" t="n"/>
      <c r="B3176" s="24" t="n"/>
      <c r="C3176" s="40">
        <f>IF(B3176="","",IFERROR(INDEX(Mitarbeiter!$B$6:$B$205,MATCH(B3176,Mitarbeiter!$A$6:$A$205,0)),"?"))</f>
        <v/>
      </c>
      <c r="D3176" s="41" t="n"/>
      <c r="E3176" s="42" t="n"/>
      <c r="F3176" s="43" t="n"/>
      <c r="G3176" s="44">
        <f>IF(OR(B3176="",F3176=""),"",IFERROR(F3176*INDEX(Mitarbeiter!$F$6:$F$205,MATCH(B3176,Mitarbeiter!$A$6:$A$205,0)),0))</f>
        <v/>
      </c>
      <c r="H3176" s="8">
        <f>IF(B3176="","",IF(ISNA(MATCH(B3176,Mitarbeiter!$A$6:$A$205,0)),"Pers.-Nr. unbekannt",IF(A3176="","Datum fehlt",IF(AND(D3176&lt;&gt;Einstellungen!$C$4,D3176&lt;&gt;Einstellungen!$C$5),"Objekt fehlt",IF(YEAR(A3176)&lt;&gt;Einstellungen!$C$3,"anderes Jahr",IF(A3176&lt;INDEX(Mitarbeiter!$C$6:$C$205,MATCH(B3176,Mitarbeiter!$A$6:$A$205,0)),"vor Eintritt",IF(AND(INDEX(Mitarbeiter!$D$6:$D$205,MATCH(B3176,Mitarbeiter!$A$6:$A$205,0))&lt;&gt;"",A3176&gt;INDEX(Mitarbeiter!$D$6:$D$205,MATCH(B3176,Mitarbeiter!$A$6:$A$205,0))),"nach Austritt","ok")))))))</f>
        <v/>
      </c>
    </row>
    <row r="3177">
      <c r="A3177" s="26" t="n"/>
      <c r="B3177" s="24" t="n"/>
      <c r="C3177" s="40">
        <f>IF(B3177="","",IFERROR(INDEX(Mitarbeiter!$B$6:$B$205,MATCH(B3177,Mitarbeiter!$A$6:$A$205,0)),"?"))</f>
        <v/>
      </c>
      <c r="D3177" s="41" t="n"/>
      <c r="E3177" s="42" t="n"/>
      <c r="F3177" s="43" t="n"/>
      <c r="G3177" s="44">
        <f>IF(OR(B3177="",F3177=""),"",IFERROR(F3177*INDEX(Mitarbeiter!$F$6:$F$205,MATCH(B3177,Mitarbeiter!$A$6:$A$205,0)),0))</f>
        <v/>
      </c>
      <c r="H3177" s="8">
        <f>IF(B3177="","",IF(ISNA(MATCH(B3177,Mitarbeiter!$A$6:$A$205,0)),"Pers.-Nr. unbekannt",IF(A3177="","Datum fehlt",IF(AND(D3177&lt;&gt;Einstellungen!$C$4,D3177&lt;&gt;Einstellungen!$C$5),"Objekt fehlt",IF(YEAR(A3177)&lt;&gt;Einstellungen!$C$3,"anderes Jahr",IF(A3177&lt;INDEX(Mitarbeiter!$C$6:$C$205,MATCH(B3177,Mitarbeiter!$A$6:$A$205,0)),"vor Eintritt",IF(AND(INDEX(Mitarbeiter!$D$6:$D$205,MATCH(B3177,Mitarbeiter!$A$6:$A$205,0))&lt;&gt;"",A3177&gt;INDEX(Mitarbeiter!$D$6:$D$205,MATCH(B3177,Mitarbeiter!$A$6:$A$205,0))),"nach Austritt","ok")))))))</f>
        <v/>
      </c>
    </row>
    <row r="3178">
      <c r="A3178" s="26" t="n"/>
      <c r="B3178" s="24" t="n"/>
      <c r="C3178" s="40">
        <f>IF(B3178="","",IFERROR(INDEX(Mitarbeiter!$B$6:$B$205,MATCH(B3178,Mitarbeiter!$A$6:$A$205,0)),"?"))</f>
        <v/>
      </c>
      <c r="D3178" s="41" t="n"/>
      <c r="E3178" s="42" t="n"/>
      <c r="F3178" s="43" t="n"/>
      <c r="G3178" s="44">
        <f>IF(OR(B3178="",F3178=""),"",IFERROR(F3178*INDEX(Mitarbeiter!$F$6:$F$205,MATCH(B3178,Mitarbeiter!$A$6:$A$205,0)),0))</f>
        <v/>
      </c>
      <c r="H3178" s="8">
        <f>IF(B3178="","",IF(ISNA(MATCH(B3178,Mitarbeiter!$A$6:$A$205,0)),"Pers.-Nr. unbekannt",IF(A3178="","Datum fehlt",IF(AND(D3178&lt;&gt;Einstellungen!$C$4,D3178&lt;&gt;Einstellungen!$C$5),"Objekt fehlt",IF(YEAR(A3178)&lt;&gt;Einstellungen!$C$3,"anderes Jahr",IF(A3178&lt;INDEX(Mitarbeiter!$C$6:$C$205,MATCH(B3178,Mitarbeiter!$A$6:$A$205,0)),"vor Eintritt",IF(AND(INDEX(Mitarbeiter!$D$6:$D$205,MATCH(B3178,Mitarbeiter!$A$6:$A$205,0))&lt;&gt;"",A3178&gt;INDEX(Mitarbeiter!$D$6:$D$205,MATCH(B3178,Mitarbeiter!$A$6:$A$205,0))),"nach Austritt","ok")))))))</f>
        <v/>
      </c>
    </row>
    <row r="3179">
      <c r="A3179" s="26" t="n"/>
      <c r="B3179" s="24" t="n"/>
      <c r="C3179" s="40">
        <f>IF(B3179="","",IFERROR(INDEX(Mitarbeiter!$B$6:$B$205,MATCH(B3179,Mitarbeiter!$A$6:$A$205,0)),"?"))</f>
        <v/>
      </c>
      <c r="D3179" s="41" t="n"/>
      <c r="E3179" s="42" t="n"/>
      <c r="F3179" s="43" t="n"/>
      <c r="G3179" s="44">
        <f>IF(OR(B3179="",F3179=""),"",IFERROR(F3179*INDEX(Mitarbeiter!$F$6:$F$205,MATCH(B3179,Mitarbeiter!$A$6:$A$205,0)),0))</f>
        <v/>
      </c>
      <c r="H3179" s="8">
        <f>IF(B3179="","",IF(ISNA(MATCH(B3179,Mitarbeiter!$A$6:$A$205,0)),"Pers.-Nr. unbekannt",IF(A3179="","Datum fehlt",IF(AND(D3179&lt;&gt;Einstellungen!$C$4,D3179&lt;&gt;Einstellungen!$C$5),"Objekt fehlt",IF(YEAR(A3179)&lt;&gt;Einstellungen!$C$3,"anderes Jahr",IF(A3179&lt;INDEX(Mitarbeiter!$C$6:$C$205,MATCH(B3179,Mitarbeiter!$A$6:$A$205,0)),"vor Eintritt",IF(AND(INDEX(Mitarbeiter!$D$6:$D$205,MATCH(B3179,Mitarbeiter!$A$6:$A$205,0))&lt;&gt;"",A3179&gt;INDEX(Mitarbeiter!$D$6:$D$205,MATCH(B3179,Mitarbeiter!$A$6:$A$205,0))),"nach Austritt","ok")))))))</f>
        <v/>
      </c>
    </row>
    <row r="3180">
      <c r="A3180" s="26" t="n"/>
      <c r="B3180" s="24" t="n"/>
      <c r="C3180" s="40">
        <f>IF(B3180="","",IFERROR(INDEX(Mitarbeiter!$B$6:$B$205,MATCH(B3180,Mitarbeiter!$A$6:$A$205,0)),"?"))</f>
        <v/>
      </c>
      <c r="D3180" s="41" t="n"/>
      <c r="E3180" s="42" t="n"/>
      <c r="F3180" s="43" t="n"/>
      <c r="G3180" s="44">
        <f>IF(OR(B3180="",F3180=""),"",IFERROR(F3180*INDEX(Mitarbeiter!$F$6:$F$205,MATCH(B3180,Mitarbeiter!$A$6:$A$205,0)),0))</f>
        <v/>
      </c>
      <c r="H3180" s="8">
        <f>IF(B3180="","",IF(ISNA(MATCH(B3180,Mitarbeiter!$A$6:$A$205,0)),"Pers.-Nr. unbekannt",IF(A3180="","Datum fehlt",IF(AND(D3180&lt;&gt;Einstellungen!$C$4,D3180&lt;&gt;Einstellungen!$C$5),"Objekt fehlt",IF(YEAR(A3180)&lt;&gt;Einstellungen!$C$3,"anderes Jahr",IF(A3180&lt;INDEX(Mitarbeiter!$C$6:$C$205,MATCH(B3180,Mitarbeiter!$A$6:$A$205,0)),"vor Eintritt",IF(AND(INDEX(Mitarbeiter!$D$6:$D$205,MATCH(B3180,Mitarbeiter!$A$6:$A$205,0))&lt;&gt;"",A3180&gt;INDEX(Mitarbeiter!$D$6:$D$205,MATCH(B3180,Mitarbeiter!$A$6:$A$205,0))),"nach Austritt","ok")))))))</f>
        <v/>
      </c>
    </row>
    <row r="3181">
      <c r="A3181" s="26" t="n"/>
      <c r="B3181" s="24" t="n"/>
      <c r="C3181" s="40">
        <f>IF(B3181="","",IFERROR(INDEX(Mitarbeiter!$B$6:$B$205,MATCH(B3181,Mitarbeiter!$A$6:$A$205,0)),"?"))</f>
        <v/>
      </c>
      <c r="D3181" s="41" t="n"/>
      <c r="E3181" s="42" t="n"/>
      <c r="F3181" s="43" t="n"/>
      <c r="G3181" s="44">
        <f>IF(OR(B3181="",F3181=""),"",IFERROR(F3181*INDEX(Mitarbeiter!$F$6:$F$205,MATCH(B3181,Mitarbeiter!$A$6:$A$205,0)),0))</f>
        <v/>
      </c>
      <c r="H3181" s="8">
        <f>IF(B3181="","",IF(ISNA(MATCH(B3181,Mitarbeiter!$A$6:$A$205,0)),"Pers.-Nr. unbekannt",IF(A3181="","Datum fehlt",IF(AND(D3181&lt;&gt;Einstellungen!$C$4,D3181&lt;&gt;Einstellungen!$C$5),"Objekt fehlt",IF(YEAR(A3181)&lt;&gt;Einstellungen!$C$3,"anderes Jahr",IF(A3181&lt;INDEX(Mitarbeiter!$C$6:$C$205,MATCH(B3181,Mitarbeiter!$A$6:$A$205,0)),"vor Eintritt",IF(AND(INDEX(Mitarbeiter!$D$6:$D$205,MATCH(B3181,Mitarbeiter!$A$6:$A$205,0))&lt;&gt;"",A3181&gt;INDEX(Mitarbeiter!$D$6:$D$205,MATCH(B3181,Mitarbeiter!$A$6:$A$205,0))),"nach Austritt","ok")))))))</f>
        <v/>
      </c>
    </row>
    <row r="3182">
      <c r="A3182" s="26" t="n"/>
      <c r="B3182" s="24" t="n"/>
      <c r="C3182" s="40">
        <f>IF(B3182="","",IFERROR(INDEX(Mitarbeiter!$B$6:$B$205,MATCH(B3182,Mitarbeiter!$A$6:$A$205,0)),"?"))</f>
        <v/>
      </c>
      <c r="D3182" s="41" t="n"/>
      <c r="E3182" s="42" t="n"/>
      <c r="F3182" s="43" t="n"/>
      <c r="G3182" s="44">
        <f>IF(OR(B3182="",F3182=""),"",IFERROR(F3182*INDEX(Mitarbeiter!$F$6:$F$205,MATCH(B3182,Mitarbeiter!$A$6:$A$205,0)),0))</f>
        <v/>
      </c>
      <c r="H3182" s="8">
        <f>IF(B3182="","",IF(ISNA(MATCH(B3182,Mitarbeiter!$A$6:$A$205,0)),"Pers.-Nr. unbekannt",IF(A3182="","Datum fehlt",IF(AND(D3182&lt;&gt;Einstellungen!$C$4,D3182&lt;&gt;Einstellungen!$C$5),"Objekt fehlt",IF(YEAR(A3182)&lt;&gt;Einstellungen!$C$3,"anderes Jahr",IF(A3182&lt;INDEX(Mitarbeiter!$C$6:$C$205,MATCH(B3182,Mitarbeiter!$A$6:$A$205,0)),"vor Eintritt",IF(AND(INDEX(Mitarbeiter!$D$6:$D$205,MATCH(B3182,Mitarbeiter!$A$6:$A$205,0))&lt;&gt;"",A3182&gt;INDEX(Mitarbeiter!$D$6:$D$205,MATCH(B3182,Mitarbeiter!$A$6:$A$205,0))),"nach Austritt","ok")))))))</f>
        <v/>
      </c>
    </row>
    <row r="3183">
      <c r="A3183" s="26" t="n"/>
      <c r="B3183" s="24" t="n"/>
      <c r="C3183" s="40">
        <f>IF(B3183="","",IFERROR(INDEX(Mitarbeiter!$B$6:$B$205,MATCH(B3183,Mitarbeiter!$A$6:$A$205,0)),"?"))</f>
        <v/>
      </c>
      <c r="D3183" s="41" t="n"/>
      <c r="E3183" s="42" t="n"/>
      <c r="F3183" s="43" t="n"/>
      <c r="G3183" s="44">
        <f>IF(OR(B3183="",F3183=""),"",IFERROR(F3183*INDEX(Mitarbeiter!$F$6:$F$205,MATCH(B3183,Mitarbeiter!$A$6:$A$205,0)),0))</f>
        <v/>
      </c>
      <c r="H3183" s="8">
        <f>IF(B3183="","",IF(ISNA(MATCH(B3183,Mitarbeiter!$A$6:$A$205,0)),"Pers.-Nr. unbekannt",IF(A3183="","Datum fehlt",IF(AND(D3183&lt;&gt;Einstellungen!$C$4,D3183&lt;&gt;Einstellungen!$C$5),"Objekt fehlt",IF(YEAR(A3183)&lt;&gt;Einstellungen!$C$3,"anderes Jahr",IF(A3183&lt;INDEX(Mitarbeiter!$C$6:$C$205,MATCH(B3183,Mitarbeiter!$A$6:$A$205,0)),"vor Eintritt",IF(AND(INDEX(Mitarbeiter!$D$6:$D$205,MATCH(B3183,Mitarbeiter!$A$6:$A$205,0))&lt;&gt;"",A3183&gt;INDEX(Mitarbeiter!$D$6:$D$205,MATCH(B3183,Mitarbeiter!$A$6:$A$205,0))),"nach Austritt","ok")))))))</f>
        <v/>
      </c>
    </row>
    <row r="3184">
      <c r="A3184" s="26" t="n"/>
      <c r="B3184" s="24" t="n"/>
      <c r="C3184" s="40">
        <f>IF(B3184="","",IFERROR(INDEX(Mitarbeiter!$B$6:$B$205,MATCH(B3184,Mitarbeiter!$A$6:$A$205,0)),"?"))</f>
        <v/>
      </c>
      <c r="D3184" s="41" t="n"/>
      <c r="E3184" s="42" t="n"/>
      <c r="F3184" s="43" t="n"/>
      <c r="G3184" s="44">
        <f>IF(OR(B3184="",F3184=""),"",IFERROR(F3184*INDEX(Mitarbeiter!$F$6:$F$205,MATCH(B3184,Mitarbeiter!$A$6:$A$205,0)),0))</f>
        <v/>
      </c>
      <c r="H3184" s="8">
        <f>IF(B3184="","",IF(ISNA(MATCH(B3184,Mitarbeiter!$A$6:$A$205,0)),"Pers.-Nr. unbekannt",IF(A3184="","Datum fehlt",IF(AND(D3184&lt;&gt;Einstellungen!$C$4,D3184&lt;&gt;Einstellungen!$C$5),"Objekt fehlt",IF(YEAR(A3184)&lt;&gt;Einstellungen!$C$3,"anderes Jahr",IF(A3184&lt;INDEX(Mitarbeiter!$C$6:$C$205,MATCH(B3184,Mitarbeiter!$A$6:$A$205,0)),"vor Eintritt",IF(AND(INDEX(Mitarbeiter!$D$6:$D$205,MATCH(B3184,Mitarbeiter!$A$6:$A$205,0))&lt;&gt;"",A3184&gt;INDEX(Mitarbeiter!$D$6:$D$205,MATCH(B3184,Mitarbeiter!$A$6:$A$205,0))),"nach Austritt","ok")))))))</f>
        <v/>
      </c>
    </row>
    <row r="3185">
      <c r="A3185" s="26" t="n"/>
      <c r="B3185" s="24" t="n"/>
      <c r="C3185" s="40">
        <f>IF(B3185="","",IFERROR(INDEX(Mitarbeiter!$B$6:$B$205,MATCH(B3185,Mitarbeiter!$A$6:$A$205,0)),"?"))</f>
        <v/>
      </c>
      <c r="D3185" s="41" t="n"/>
      <c r="E3185" s="42" t="n"/>
      <c r="F3185" s="43" t="n"/>
      <c r="G3185" s="44">
        <f>IF(OR(B3185="",F3185=""),"",IFERROR(F3185*INDEX(Mitarbeiter!$F$6:$F$205,MATCH(B3185,Mitarbeiter!$A$6:$A$205,0)),0))</f>
        <v/>
      </c>
      <c r="H3185" s="8">
        <f>IF(B3185="","",IF(ISNA(MATCH(B3185,Mitarbeiter!$A$6:$A$205,0)),"Pers.-Nr. unbekannt",IF(A3185="","Datum fehlt",IF(AND(D3185&lt;&gt;Einstellungen!$C$4,D3185&lt;&gt;Einstellungen!$C$5),"Objekt fehlt",IF(YEAR(A3185)&lt;&gt;Einstellungen!$C$3,"anderes Jahr",IF(A3185&lt;INDEX(Mitarbeiter!$C$6:$C$205,MATCH(B3185,Mitarbeiter!$A$6:$A$205,0)),"vor Eintritt",IF(AND(INDEX(Mitarbeiter!$D$6:$D$205,MATCH(B3185,Mitarbeiter!$A$6:$A$205,0))&lt;&gt;"",A3185&gt;INDEX(Mitarbeiter!$D$6:$D$205,MATCH(B3185,Mitarbeiter!$A$6:$A$205,0))),"nach Austritt","ok")))))))</f>
        <v/>
      </c>
    </row>
    <row r="3186">
      <c r="A3186" s="26" t="n"/>
      <c r="B3186" s="24" t="n"/>
      <c r="C3186" s="40">
        <f>IF(B3186="","",IFERROR(INDEX(Mitarbeiter!$B$6:$B$205,MATCH(B3186,Mitarbeiter!$A$6:$A$205,0)),"?"))</f>
        <v/>
      </c>
      <c r="D3186" s="41" t="n"/>
      <c r="E3186" s="42" t="n"/>
      <c r="F3186" s="43" t="n"/>
      <c r="G3186" s="44">
        <f>IF(OR(B3186="",F3186=""),"",IFERROR(F3186*INDEX(Mitarbeiter!$F$6:$F$205,MATCH(B3186,Mitarbeiter!$A$6:$A$205,0)),0))</f>
        <v/>
      </c>
      <c r="H3186" s="8">
        <f>IF(B3186="","",IF(ISNA(MATCH(B3186,Mitarbeiter!$A$6:$A$205,0)),"Pers.-Nr. unbekannt",IF(A3186="","Datum fehlt",IF(AND(D3186&lt;&gt;Einstellungen!$C$4,D3186&lt;&gt;Einstellungen!$C$5),"Objekt fehlt",IF(YEAR(A3186)&lt;&gt;Einstellungen!$C$3,"anderes Jahr",IF(A3186&lt;INDEX(Mitarbeiter!$C$6:$C$205,MATCH(B3186,Mitarbeiter!$A$6:$A$205,0)),"vor Eintritt",IF(AND(INDEX(Mitarbeiter!$D$6:$D$205,MATCH(B3186,Mitarbeiter!$A$6:$A$205,0))&lt;&gt;"",A3186&gt;INDEX(Mitarbeiter!$D$6:$D$205,MATCH(B3186,Mitarbeiter!$A$6:$A$205,0))),"nach Austritt","ok")))))))</f>
        <v/>
      </c>
    </row>
    <row r="3187">
      <c r="A3187" s="26" t="n"/>
      <c r="B3187" s="24" t="n"/>
      <c r="C3187" s="40">
        <f>IF(B3187="","",IFERROR(INDEX(Mitarbeiter!$B$6:$B$205,MATCH(B3187,Mitarbeiter!$A$6:$A$205,0)),"?"))</f>
        <v/>
      </c>
      <c r="D3187" s="41" t="n"/>
      <c r="E3187" s="42" t="n"/>
      <c r="F3187" s="43" t="n"/>
      <c r="G3187" s="44">
        <f>IF(OR(B3187="",F3187=""),"",IFERROR(F3187*INDEX(Mitarbeiter!$F$6:$F$205,MATCH(B3187,Mitarbeiter!$A$6:$A$205,0)),0))</f>
        <v/>
      </c>
      <c r="H3187" s="8">
        <f>IF(B3187="","",IF(ISNA(MATCH(B3187,Mitarbeiter!$A$6:$A$205,0)),"Pers.-Nr. unbekannt",IF(A3187="","Datum fehlt",IF(AND(D3187&lt;&gt;Einstellungen!$C$4,D3187&lt;&gt;Einstellungen!$C$5),"Objekt fehlt",IF(YEAR(A3187)&lt;&gt;Einstellungen!$C$3,"anderes Jahr",IF(A3187&lt;INDEX(Mitarbeiter!$C$6:$C$205,MATCH(B3187,Mitarbeiter!$A$6:$A$205,0)),"vor Eintritt",IF(AND(INDEX(Mitarbeiter!$D$6:$D$205,MATCH(B3187,Mitarbeiter!$A$6:$A$205,0))&lt;&gt;"",A3187&gt;INDEX(Mitarbeiter!$D$6:$D$205,MATCH(B3187,Mitarbeiter!$A$6:$A$205,0))),"nach Austritt","ok")))))))</f>
        <v/>
      </c>
    </row>
    <row r="3188">
      <c r="A3188" s="26" t="n"/>
      <c r="B3188" s="24" t="n"/>
      <c r="C3188" s="40">
        <f>IF(B3188="","",IFERROR(INDEX(Mitarbeiter!$B$6:$B$205,MATCH(B3188,Mitarbeiter!$A$6:$A$205,0)),"?"))</f>
        <v/>
      </c>
      <c r="D3188" s="41" t="n"/>
      <c r="E3188" s="42" t="n"/>
      <c r="F3188" s="43" t="n"/>
      <c r="G3188" s="44">
        <f>IF(OR(B3188="",F3188=""),"",IFERROR(F3188*INDEX(Mitarbeiter!$F$6:$F$205,MATCH(B3188,Mitarbeiter!$A$6:$A$205,0)),0))</f>
        <v/>
      </c>
      <c r="H3188" s="8">
        <f>IF(B3188="","",IF(ISNA(MATCH(B3188,Mitarbeiter!$A$6:$A$205,0)),"Pers.-Nr. unbekannt",IF(A3188="","Datum fehlt",IF(AND(D3188&lt;&gt;Einstellungen!$C$4,D3188&lt;&gt;Einstellungen!$C$5),"Objekt fehlt",IF(YEAR(A3188)&lt;&gt;Einstellungen!$C$3,"anderes Jahr",IF(A3188&lt;INDEX(Mitarbeiter!$C$6:$C$205,MATCH(B3188,Mitarbeiter!$A$6:$A$205,0)),"vor Eintritt",IF(AND(INDEX(Mitarbeiter!$D$6:$D$205,MATCH(B3188,Mitarbeiter!$A$6:$A$205,0))&lt;&gt;"",A3188&gt;INDEX(Mitarbeiter!$D$6:$D$205,MATCH(B3188,Mitarbeiter!$A$6:$A$205,0))),"nach Austritt","ok")))))))</f>
        <v/>
      </c>
    </row>
    <row r="3189">
      <c r="A3189" s="26" t="n"/>
      <c r="B3189" s="24" t="n"/>
      <c r="C3189" s="40">
        <f>IF(B3189="","",IFERROR(INDEX(Mitarbeiter!$B$6:$B$205,MATCH(B3189,Mitarbeiter!$A$6:$A$205,0)),"?"))</f>
        <v/>
      </c>
      <c r="D3189" s="41" t="n"/>
      <c r="E3189" s="42" t="n"/>
      <c r="F3189" s="43" t="n"/>
      <c r="G3189" s="44">
        <f>IF(OR(B3189="",F3189=""),"",IFERROR(F3189*INDEX(Mitarbeiter!$F$6:$F$205,MATCH(B3189,Mitarbeiter!$A$6:$A$205,0)),0))</f>
        <v/>
      </c>
      <c r="H3189" s="8">
        <f>IF(B3189="","",IF(ISNA(MATCH(B3189,Mitarbeiter!$A$6:$A$205,0)),"Pers.-Nr. unbekannt",IF(A3189="","Datum fehlt",IF(AND(D3189&lt;&gt;Einstellungen!$C$4,D3189&lt;&gt;Einstellungen!$C$5),"Objekt fehlt",IF(YEAR(A3189)&lt;&gt;Einstellungen!$C$3,"anderes Jahr",IF(A3189&lt;INDEX(Mitarbeiter!$C$6:$C$205,MATCH(B3189,Mitarbeiter!$A$6:$A$205,0)),"vor Eintritt",IF(AND(INDEX(Mitarbeiter!$D$6:$D$205,MATCH(B3189,Mitarbeiter!$A$6:$A$205,0))&lt;&gt;"",A3189&gt;INDEX(Mitarbeiter!$D$6:$D$205,MATCH(B3189,Mitarbeiter!$A$6:$A$205,0))),"nach Austritt","ok")))))))</f>
        <v/>
      </c>
    </row>
    <row r="3190">
      <c r="A3190" s="26" t="n"/>
      <c r="B3190" s="24" t="n"/>
      <c r="C3190" s="40">
        <f>IF(B3190="","",IFERROR(INDEX(Mitarbeiter!$B$6:$B$205,MATCH(B3190,Mitarbeiter!$A$6:$A$205,0)),"?"))</f>
        <v/>
      </c>
      <c r="D3190" s="41" t="n"/>
      <c r="E3190" s="42" t="n"/>
      <c r="F3190" s="43" t="n"/>
      <c r="G3190" s="44">
        <f>IF(OR(B3190="",F3190=""),"",IFERROR(F3190*INDEX(Mitarbeiter!$F$6:$F$205,MATCH(B3190,Mitarbeiter!$A$6:$A$205,0)),0))</f>
        <v/>
      </c>
      <c r="H3190" s="8">
        <f>IF(B3190="","",IF(ISNA(MATCH(B3190,Mitarbeiter!$A$6:$A$205,0)),"Pers.-Nr. unbekannt",IF(A3190="","Datum fehlt",IF(AND(D3190&lt;&gt;Einstellungen!$C$4,D3190&lt;&gt;Einstellungen!$C$5),"Objekt fehlt",IF(YEAR(A3190)&lt;&gt;Einstellungen!$C$3,"anderes Jahr",IF(A3190&lt;INDEX(Mitarbeiter!$C$6:$C$205,MATCH(B3190,Mitarbeiter!$A$6:$A$205,0)),"vor Eintritt",IF(AND(INDEX(Mitarbeiter!$D$6:$D$205,MATCH(B3190,Mitarbeiter!$A$6:$A$205,0))&lt;&gt;"",A3190&gt;INDEX(Mitarbeiter!$D$6:$D$205,MATCH(B3190,Mitarbeiter!$A$6:$A$205,0))),"nach Austritt","ok")))))))</f>
        <v/>
      </c>
    </row>
    <row r="3191">
      <c r="A3191" s="26" t="n"/>
      <c r="B3191" s="24" t="n"/>
      <c r="C3191" s="40">
        <f>IF(B3191="","",IFERROR(INDEX(Mitarbeiter!$B$6:$B$205,MATCH(B3191,Mitarbeiter!$A$6:$A$205,0)),"?"))</f>
        <v/>
      </c>
      <c r="D3191" s="41" t="n"/>
      <c r="E3191" s="42" t="n"/>
      <c r="F3191" s="43" t="n"/>
      <c r="G3191" s="44">
        <f>IF(OR(B3191="",F3191=""),"",IFERROR(F3191*INDEX(Mitarbeiter!$F$6:$F$205,MATCH(B3191,Mitarbeiter!$A$6:$A$205,0)),0))</f>
        <v/>
      </c>
      <c r="H3191" s="8">
        <f>IF(B3191="","",IF(ISNA(MATCH(B3191,Mitarbeiter!$A$6:$A$205,0)),"Pers.-Nr. unbekannt",IF(A3191="","Datum fehlt",IF(AND(D3191&lt;&gt;Einstellungen!$C$4,D3191&lt;&gt;Einstellungen!$C$5),"Objekt fehlt",IF(YEAR(A3191)&lt;&gt;Einstellungen!$C$3,"anderes Jahr",IF(A3191&lt;INDEX(Mitarbeiter!$C$6:$C$205,MATCH(B3191,Mitarbeiter!$A$6:$A$205,0)),"vor Eintritt",IF(AND(INDEX(Mitarbeiter!$D$6:$D$205,MATCH(B3191,Mitarbeiter!$A$6:$A$205,0))&lt;&gt;"",A3191&gt;INDEX(Mitarbeiter!$D$6:$D$205,MATCH(B3191,Mitarbeiter!$A$6:$A$205,0))),"nach Austritt","ok")))))))</f>
        <v/>
      </c>
    </row>
    <row r="3192">
      <c r="A3192" s="26" t="n"/>
      <c r="B3192" s="24" t="n"/>
      <c r="C3192" s="40">
        <f>IF(B3192="","",IFERROR(INDEX(Mitarbeiter!$B$6:$B$205,MATCH(B3192,Mitarbeiter!$A$6:$A$205,0)),"?"))</f>
        <v/>
      </c>
      <c r="D3192" s="41" t="n"/>
      <c r="E3192" s="42" t="n"/>
      <c r="F3192" s="43" t="n"/>
      <c r="G3192" s="44">
        <f>IF(OR(B3192="",F3192=""),"",IFERROR(F3192*INDEX(Mitarbeiter!$F$6:$F$205,MATCH(B3192,Mitarbeiter!$A$6:$A$205,0)),0))</f>
        <v/>
      </c>
      <c r="H3192" s="8">
        <f>IF(B3192="","",IF(ISNA(MATCH(B3192,Mitarbeiter!$A$6:$A$205,0)),"Pers.-Nr. unbekannt",IF(A3192="","Datum fehlt",IF(AND(D3192&lt;&gt;Einstellungen!$C$4,D3192&lt;&gt;Einstellungen!$C$5),"Objekt fehlt",IF(YEAR(A3192)&lt;&gt;Einstellungen!$C$3,"anderes Jahr",IF(A3192&lt;INDEX(Mitarbeiter!$C$6:$C$205,MATCH(B3192,Mitarbeiter!$A$6:$A$205,0)),"vor Eintritt",IF(AND(INDEX(Mitarbeiter!$D$6:$D$205,MATCH(B3192,Mitarbeiter!$A$6:$A$205,0))&lt;&gt;"",A3192&gt;INDEX(Mitarbeiter!$D$6:$D$205,MATCH(B3192,Mitarbeiter!$A$6:$A$205,0))),"nach Austritt","ok")))))))</f>
        <v/>
      </c>
    </row>
    <row r="3193">
      <c r="A3193" s="26" t="n"/>
      <c r="B3193" s="24" t="n"/>
      <c r="C3193" s="40">
        <f>IF(B3193="","",IFERROR(INDEX(Mitarbeiter!$B$6:$B$205,MATCH(B3193,Mitarbeiter!$A$6:$A$205,0)),"?"))</f>
        <v/>
      </c>
      <c r="D3193" s="41" t="n"/>
      <c r="E3193" s="42" t="n"/>
      <c r="F3193" s="43" t="n"/>
      <c r="G3193" s="44">
        <f>IF(OR(B3193="",F3193=""),"",IFERROR(F3193*INDEX(Mitarbeiter!$F$6:$F$205,MATCH(B3193,Mitarbeiter!$A$6:$A$205,0)),0))</f>
        <v/>
      </c>
      <c r="H3193" s="8">
        <f>IF(B3193="","",IF(ISNA(MATCH(B3193,Mitarbeiter!$A$6:$A$205,0)),"Pers.-Nr. unbekannt",IF(A3193="","Datum fehlt",IF(AND(D3193&lt;&gt;Einstellungen!$C$4,D3193&lt;&gt;Einstellungen!$C$5),"Objekt fehlt",IF(YEAR(A3193)&lt;&gt;Einstellungen!$C$3,"anderes Jahr",IF(A3193&lt;INDEX(Mitarbeiter!$C$6:$C$205,MATCH(B3193,Mitarbeiter!$A$6:$A$205,0)),"vor Eintritt",IF(AND(INDEX(Mitarbeiter!$D$6:$D$205,MATCH(B3193,Mitarbeiter!$A$6:$A$205,0))&lt;&gt;"",A3193&gt;INDEX(Mitarbeiter!$D$6:$D$205,MATCH(B3193,Mitarbeiter!$A$6:$A$205,0))),"nach Austritt","ok")))))))</f>
        <v/>
      </c>
    </row>
    <row r="3194">
      <c r="A3194" s="26" t="n"/>
      <c r="B3194" s="24" t="n"/>
      <c r="C3194" s="40">
        <f>IF(B3194="","",IFERROR(INDEX(Mitarbeiter!$B$6:$B$205,MATCH(B3194,Mitarbeiter!$A$6:$A$205,0)),"?"))</f>
        <v/>
      </c>
      <c r="D3194" s="41" t="n"/>
      <c r="E3194" s="42" t="n"/>
      <c r="F3194" s="43" t="n"/>
      <c r="G3194" s="44">
        <f>IF(OR(B3194="",F3194=""),"",IFERROR(F3194*INDEX(Mitarbeiter!$F$6:$F$205,MATCH(B3194,Mitarbeiter!$A$6:$A$205,0)),0))</f>
        <v/>
      </c>
      <c r="H3194" s="8">
        <f>IF(B3194="","",IF(ISNA(MATCH(B3194,Mitarbeiter!$A$6:$A$205,0)),"Pers.-Nr. unbekannt",IF(A3194="","Datum fehlt",IF(AND(D3194&lt;&gt;Einstellungen!$C$4,D3194&lt;&gt;Einstellungen!$C$5),"Objekt fehlt",IF(YEAR(A3194)&lt;&gt;Einstellungen!$C$3,"anderes Jahr",IF(A3194&lt;INDEX(Mitarbeiter!$C$6:$C$205,MATCH(B3194,Mitarbeiter!$A$6:$A$205,0)),"vor Eintritt",IF(AND(INDEX(Mitarbeiter!$D$6:$D$205,MATCH(B3194,Mitarbeiter!$A$6:$A$205,0))&lt;&gt;"",A3194&gt;INDEX(Mitarbeiter!$D$6:$D$205,MATCH(B3194,Mitarbeiter!$A$6:$A$205,0))),"nach Austritt","ok")))))))</f>
        <v/>
      </c>
    </row>
    <row r="3195">
      <c r="A3195" s="26" t="n"/>
      <c r="B3195" s="24" t="n"/>
      <c r="C3195" s="40">
        <f>IF(B3195="","",IFERROR(INDEX(Mitarbeiter!$B$6:$B$205,MATCH(B3195,Mitarbeiter!$A$6:$A$205,0)),"?"))</f>
        <v/>
      </c>
      <c r="D3195" s="41" t="n"/>
      <c r="E3195" s="42" t="n"/>
      <c r="F3195" s="43" t="n"/>
      <c r="G3195" s="44">
        <f>IF(OR(B3195="",F3195=""),"",IFERROR(F3195*INDEX(Mitarbeiter!$F$6:$F$205,MATCH(B3195,Mitarbeiter!$A$6:$A$205,0)),0))</f>
        <v/>
      </c>
      <c r="H3195" s="8">
        <f>IF(B3195="","",IF(ISNA(MATCH(B3195,Mitarbeiter!$A$6:$A$205,0)),"Pers.-Nr. unbekannt",IF(A3195="","Datum fehlt",IF(AND(D3195&lt;&gt;Einstellungen!$C$4,D3195&lt;&gt;Einstellungen!$C$5),"Objekt fehlt",IF(YEAR(A3195)&lt;&gt;Einstellungen!$C$3,"anderes Jahr",IF(A3195&lt;INDEX(Mitarbeiter!$C$6:$C$205,MATCH(B3195,Mitarbeiter!$A$6:$A$205,0)),"vor Eintritt",IF(AND(INDEX(Mitarbeiter!$D$6:$D$205,MATCH(B3195,Mitarbeiter!$A$6:$A$205,0))&lt;&gt;"",A3195&gt;INDEX(Mitarbeiter!$D$6:$D$205,MATCH(B3195,Mitarbeiter!$A$6:$A$205,0))),"nach Austritt","ok")))))))</f>
        <v/>
      </c>
    </row>
    <row r="3196">
      <c r="A3196" s="26" t="n"/>
      <c r="B3196" s="24" t="n"/>
      <c r="C3196" s="40">
        <f>IF(B3196="","",IFERROR(INDEX(Mitarbeiter!$B$6:$B$205,MATCH(B3196,Mitarbeiter!$A$6:$A$205,0)),"?"))</f>
        <v/>
      </c>
      <c r="D3196" s="41" t="n"/>
      <c r="E3196" s="42" t="n"/>
      <c r="F3196" s="43" t="n"/>
      <c r="G3196" s="44">
        <f>IF(OR(B3196="",F3196=""),"",IFERROR(F3196*INDEX(Mitarbeiter!$F$6:$F$205,MATCH(B3196,Mitarbeiter!$A$6:$A$205,0)),0))</f>
        <v/>
      </c>
      <c r="H3196" s="8">
        <f>IF(B3196="","",IF(ISNA(MATCH(B3196,Mitarbeiter!$A$6:$A$205,0)),"Pers.-Nr. unbekannt",IF(A3196="","Datum fehlt",IF(AND(D3196&lt;&gt;Einstellungen!$C$4,D3196&lt;&gt;Einstellungen!$C$5),"Objekt fehlt",IF(YEAR(A3196)&lt;&gt;Einstellungen!$C$3,"anderes Jahr",IF(A3196&lt;INDEX(Mitarbeiter!$C$6:$C$205,MATCH(B3196,Mitarbeiter!$A$6:$A$205,0)),"vor Eintritt",IF(AND(INDEX(Mitarbeiter!$D$6:$D$205,MATCH(B3196,Mitarbeiter!$A$6:$A$205,0))&lt;&gt;"",A3196&gt;INDEX(Mitarbeiter!$D$6:$D$205,MATCH(B3196,Mitarbeiter!$A$6:$A$205,0))),"nach Austritt","ok")))))))</f>
        <v/>
      </c>
    </row>
    <row r="3197">
      <c r="A3197" s="26" t="n"/>
      <c r="B3197" s="24" t="n"/>
      <c r="C3197" s="40">
        <f>IF(B3197="","",IFERROR(INDEX(Mitarbeiter!$B$6:$B$205,MATCH(B3197,Mitarbeiter!$A$6:$A$205,0)),"?"))</f>
        <v/>
      </c>
      <c r="D3197" s="41" t="n"/>
      <c r="E3197" s="42" t="n"/>
      <c r="F3197" s="43" t="n"/>
      <c r="G3197" s="44">
        <f>IF(OR(B3197="",F3197=""),"",IFERROR(F3197*INDEX(Mitarbeiter!$F$6:$F$205,MATCH(B3197,Mitarbeiter!$A$6:$A$205,0)),0))</f>
        <v/>
      </c>
      <c r="H3197" s="8">
        <f>IF(B3197="","",IF(ISNA(MATCH(B3197,Mitarbeiter!$A$6:$A$205,0)),"Pers.-Nr. unbekannt",IF(A3197="","Datum fehlt",IF(AND(D3197&lt;&gt;Einstellungen!$C$4,D3197&lt;&gt;Einstellungen!$C$5),"Objekt fehlt",IF(YEAR(A3197)&lt;&gt;Einstellungen!$C$3,"anderes Jahr",IF(A3197&lt;INDEX(Mitarbeiter!$C$6:$C$205,MATCH(B3197,Mitarbeiter!$A$6:$A$205,0)),"vor Eintritt",IF(AND(INDEX(Mitarbeiter!$D$6:$D$205,MATCH(B3197,Mitarbeiter!$A$6:$A$205,0))&lt;&gt;"",A3197&gt;INDEX(Mitarbeiter!$D$6:$D$205,MATCH(B3197,Mitarbeiter!$A$6:$A$205,0))),"nach Austritt","ok")))))))</f>
        <v/>
      </c>
    </row>
    <row r="3198">
      <c r="A3198" s="26" t="n"/>
      <c r="B3198" s="24" t="n"/>
      <c r="C3198" s="40">
        <f>IF(B3198="","",IFERROR(INDEX(Mitarbeiter!$B$6:$B$205,MATCH(B3198,Mitarbeiter!$A$6:$A$205,0)),"?"))</f>
        <v/>
      </c>
      <c r="D3198" s="41" t="n"/>
      <c r="E3198" s="42" t="n"/>
      <c r="F3198" s="43" t="n"/>
      <c r="G3198" s="44">
        <f>IF(OR(B3198="",F3198=""),"",IFERROR(F3198*INDEX(Mitarbeiter!$F$6:$F$205,MATCH(B3198,Mitarbeiter!$A$6:$A$205,0)),0))</f>
        <v/>
      </c>
      <c r="H3198" s="8">
        <f>IF(B3198="","",IF(ISNA(MATCH(B3198,Mitarbeiter!$A$6:$A$205,0)),"Pers.-Nr. unbekannt",IF(A3198="","Datum fehlt",IF(AND(D3198&lt;&gt;Einstellungen!$C$4,D3198&lt;&gt;Einstellungen!$C$5),"Objekt fehlt",IF(YEAR(A3198)&lt;&gt;Einstellungen!$C$3,"anderes Jahr",IF(A3198&lt;INDEX(Mitarbeiter!$C$6:$C$205,MATCH(B3198,Mitarbeiter!$A$6:$A$205,0)),"vor Eintritt",IF(AND(INDEX(Mitarbeiter!$D$6:$D$205,MATCH(B3198,Mitarbeiter!$A$6:$A$205,0))&lt;&gt;"",A3198&gt;INDEX(Mitarbeiter!$D$6:$D$205,MATCH(B3198,Mitarbeiter!$A$6:$A$205,0))),"nach Austritt","ok")))))))</f>
        <v/>
      </c>
    </row>
    <row r="3199">
      <c r="A3199" s="26" t="n"/>
      <c r="B3199" s="24" t="n"/>
      <c r="C3199" s="40">
        <f>IF(B3199="","",IFERROR(INDEX(Mitarbeiter!$B$6:$B$205,MATCH(B3199,Mitarbeiter!$A$6:$A$205,0)),"?"))</f>
        <v/>
      </c>
      <c r="D3199" s="41" t="n"/>
      <c r="E3199" s="42" t="n"/>
      <c r="F3199" s="43" t="n"/>
      <c r="G3199" s="44">
        <f>IF(OR(B3199="",F3199=""),"",IFERROR(F3199*INDEX(Mitarbeiter!$F$6:$F$205,MATCH(B3199,Mitarbeiter!$A$6:$A$205,0)),0))</f>
        <v/>
      </c>
      <c r="H3199" s="8">
        <f>IF(B3199="","",IF(ISNA(MATCH(B3199,Mitarbeiter!$A$6:$A$205,0)),"Pers.-Nr. unbekannt",IF(A3199="","Datum fehlt",IF(AND(D3199&lt;&gt;Einstellungen!$C$4,D3199&lt;&gt;Einstellungen!$C$5),"Objekt fehlt",IF(YEAR(A3199)&lt;&gt;Einstellungen!$C$3,"anderes Jahr",IF(A3199&lt;INDEX(Mitarbeiter!$C$6:$C$205,MATCH(B3199,Mitarbeiter!$A$6:$A$205,0)),"vor Eintritt",IF(AND(INDEX(Mitarbeiter!$D$6:$D$205,MATCH(B3199,Mitarbeiter!$A$6:$A$205,0))&lt;&gt;"",A3199&gt;INDEX(Mitarbeiter!$D$6:$D$205,MATCH(B3199,Mitarbeiter!$A$6:$A$205,0))),"nach Austritt","ok")))))))</f>
        <v/>
      </c>
    </row>
    <row r="3200">
      <c r="A3200" s="26" t="n"/>
      <c r="B3200" s="24" t="n"/>
      <c r="C3200" s="40">
        <f>IF(B3200="","",IFERROR(INDEX(Mitarbeiter!$B$6:$B$205,MATCH(B3200,Mitarbeiter!$A$6:$A$205,0)),"?"))</f>
        <v/>
      </c>
      <c r="D3200" s="41" t="n"/>
      <c r="E3200" s="42" t="n"/>
      <c r="F3200" s="43" t="n"/>
      <c r="G3200" s="44">
        <f>IF(OR(B3200="",F3200=""),"",IFERROR(F3200*INDEX(Mitarbeiter!$F$6:$F$205,MATCH(B3200,Mitarbeiter!$A$6:$A$205,0)),0))</f>
        <v/>
      </c>
      <c r="H3200" s="8">
        <f>IF(B3200="","",IF(ISNA(MATCH(B3200,Mitarbeiter!$A$6:$A$205,0)),"Pers.-Nr. unbekannt",IF(A3200="","Datum fehlt",IF(AND(D3200&lt;&gt;Einstellungen!$C$4,D3200&lt;&gt;Einstellungen!$C$5),"Objekt fehlt",IF(YEAR(A3200)&lt;&gt;Einstellungen!$C$3,"anderes Jahr",IF(A3200&lt;INDEX(Mitarbeiter!$C$6:$C$205,MATCH(B3200,Mitarbeiter!$A$6:$A$205,0)),"vor Eintritt",IF(AND(INDEX(Mitarbeiter!$D$6:$D$205,MATCH(B3200,Mitarbeiter!$A$6:$A$205,0))&lt;&gt;"",A3200&gt;INDEX(Mitarbeiter!$D$6:$D$205,MATCH(B3200,Mitarbeiter!$A$6:$A$205,0))),"nach Austritt","ok")))))))</f>
        <v/>
      </c>
    </row>
    <row r="3201">
      <c r="A3201" s="26" t="n"/>
      <c r="B3201" s="24" t="n"/>
      <c r="C3201" s="40">
        <f>IF(B3201="","",IFERROR(INDEX(Mitarbeiter!$B$6:$B$205,MATCH(B3201,Mitarbeiter!$A$6:$A$205,0)),"?"))</f>
        <v/>
      </c>
      <c r="D3201" s="41" t="n"/>
      <c r="E3201" s="42" t="n"/>
      <c r="F3201" s="43" t="n"/>
      <c r="G3201" s="44">
        <f>IF(OR(B3201="",F3201=""),"",IFERROR(F3201*INDEX(Mitarbeiter!$F$6:$F$205,MATCH(B3201,Mitarbeiter!$A$6:$A$205,0)),0))</f>
        <v/>
      </c>
      <c r="H3201" s="8">
        <f>IF(B3201="","",IF(ISNA(MATCH(B3201,Mitarbeiter!$A$6:$A$205,0)),"Pers.-Nr. unbekannt",IF(A3201="","Datum fehlt",IF(AND(D3201&lt;&gt;Einstellungen!$C$4,D3201&lt;&gt;Einstellungen!$C$5),"Objekt fehlt",IF(YEAR(A3201)&lt;&gt;Einstellungen!$C$3,"anderes Jahr",IF(A3201&lt;INDEX(Mitarbeiter!$C$6:$C$205,MATCH(B3201,Mitarbeiter!$A$6:$A$205,0)),"vor Eintritt",IF(AND(INDEX(Mitarbeiter!$D$6:$D$205,MATCH(B3201,Mitarbeiter!$A$6:$A$205,0))&lt;&gt;"",A3201&gt;INDEX(Mitarbeiter!$D$6:$D$205,MATCH(B3201,Mitarbeiter!$A$6:$A$205,0))),"nach Austritt","ok")))))))</f>
        <v/>
      </c>
    </row>
    <row r="3202">
      <c r="A3202" s="26" t="n"/>
      <c r="B3202" s="24" t="n"/>
      <c r="C3202" s="40">
        <f>IF(B3202="","",IFERROR(INDEX(Mitarbeiter!$B$6:$B$205,MATCH(B3202,Mitarbeiter!$A$6:$A$205,0)),"?"))</f>
        <v/>
      </c>
      <c r="D3202" s="41" t="n"/>
      <c r="E3202" s="42" t="n"/>
      <c r="F3202" s="43" t="n"/>
      <c r="G3202" s="44">
        <f>IF(OR(B3202="",F3202=""),"",IFERROR(F3202*INDEX(Mitarbeiter!$F$6:$F$205,MATCH(B3202,Mitarbeiter!$A$6:$A$205,0)),0))</f>
        <v/>
      </c>
      <c r="H3202" s="8">
        <f>IF(B3202="","",IF(ISNA(MATCH(B3202,Mitarbeiter!$A$6:$A$205,0)),"Pers.-Nr. unbekannt",IF(A3202="","Datum fehlt",IF(AND(D3202&lt;&gt;Einstellungen!$C$4,D3202&lt;&gt;Einstellungen!$C$5),"Objekt fehlt",IF(YEAR(A3202)&lt;&gt;Einstellungen!$C$3,"anderes Jahr",IF(A3202&lt;INDEX(Mitarbeiter!$C$6:$C$205,MATCH(B3202,Mitarbeiter!$A$6:$A$205,0)),"vor Eintritt",IF(AND(INDEX(Mitarbeiter!$D$6:$D$205,MATCH(B3202,Mitarbeiter!$A$6:$A$205,0))&lt;&gt;"",A3202&gt;INDEX(Mitarbeiter!$D$6:$D$205,MATCH(B3202,Mitarbeiter!$A$6:$A$205,0))),"nach Austritt","ok")))))))</f>
        <v/>
      </c>
    </row>
    <row r="3203">
      <c r="A3203" s="26" t="n"/>
      <c r="B3203" s="24" t="n"/>
      <c r="C3203" s="40">
        <f>IF(B3203="","",IFERROR(INDEX(Mitarbeiter!$B$6:$B$205,MATCH(B3203,Mitarbeiter!$A$6:$A$205,0)),"?"))</f>
        <v/>
      </c>
      <c r="D3203" s="41" t="n"/>
      <c r="E3203" s="42" t="n"/>
      <c r="F3203" s="43" t="n"/>
      <c r="G3203" s="44">
        <f>IF(OR(B3203="",F3203=""),"",IFERROR(F3203*INDEX(Mitarbeiter!$F$6:$F$205,MATCH(B3203,Mitarbeiter!$A$6:$A$205,0)),0))</f>
        <v/>
      </c>
      <c r="H3203" s="8">
        <f>IF(B3203="","",IF(ISNA(MATCH(B3203,Mitarbeiter!$A$6:$A$205,0)),"Pers.-Nr. unbekannt",IF(A3203="","Datum fehlt",IF(AND(D3203&lt;&gt;Einstellungen!$C$4,D3203&lt;&gt;Einstellungen!$C$5),"Objekt fehlt",IF(YEAR(A3203)&lt;&gt;Einstellungen!$C$3,"anderes Jahr",IF(A3203&lt;INDEX(Mitarbeiter!$C$6:$C$205,MATCH(B3203,Mitarbeiter!$A$6:$A$205,0)),"vor Eintritt",IF(AND(INDEX(Mitarbeiter!$D$6:$D$205,MATCH(B3203,Mitarbeiter!$A$6:$A$205,0))&lt;&gt;"",A3203&gt;INDEX(Mitarbeiter!$D$6:$D$205,MATCH(B3203,Mitarbeiter!$A$6:$A$205,0))),"nach Austritt","ok")))))))</f>
        <v/>
      </c>
    </row>
    <row r="3204">
      <c r="A3204" s="26" t="n"/>
      <c r="B3204" s="24" t="n"/>
      <c r="C3204" s="40">
        <f>IF(B3204="","",IFERROR(INDEX(Mitarbeiter!$B$6:$B$205,MATCH(B3204,Mitarbeiter!$A$6:$A$205,0)),"?"))</f>
        <v/>
      </c>
      <c r="D3204" s="41" t="n"/>
      <c r="E3204" s="42" t="n"/>
      <c r="F3204" s="43" t="n"/>
      <c r="G3204" s="44">
        <f>IF(OR(B3204="",F3204=""),"",IFERROR(F3204*INDEX(Mitarbeiter!$F$6:$F$205,MATCH(B3204,Mitarbeiter!$A$6:$A$205,0)),0))</f>
        <v/>
      </c>
      <c r="H3204" s="8">
        <f>IF(B3204="","",IF(ISNA(MATCH(B3204,Mitarbeiter!$A$6:$A$205,0)),"Pers.-Nr. unbekannt",IF(A3204="","Datum fehlt",IF(AND(D3204&lt;&gt;Einstellungen!$C$4,D3204&lt;&gt;Einstellungen!$C$5),"Objekt fehlt",IF(YEAR(A3204)&lt;&gt;Einstellungen!$C$3,"anderes Jahr",IF(A3204&lt;INDEX(Mitarbeiter!$C$6:$C$205,MATCH(B3204,Mitarbeiter!$A$6:$A$205,0)),"vor Eintritt",IF(AND(INDEX(Mitarbeiter!$D$6:$D$205,MATCH(B3204,Mitarbeiter!$A$6:$A$205,0))&lt;&gt;"",A3204&gt;INDEX(Mitarbeiter!$D$6:$D$205,MATCH(B3204,Mitarbeiter!$A$6:$A$205,0))),"nach Austritt","ok")))))))</f>
        <v/>
      </c>
    </row>
    <row r="3205">
      <c r="A3205" s="26" t="n"/>
      <c r="B3205" s="24" t="n"/>
      <c r="C3205" s="40">
        <f>IF(B3205="","",IFERROR(INDEX(Mitarbeiter!$B$6:$B$205,MATCH(B3205,Mitarbeiter!$A$6:$A$205,0)),"?"))</f>
        <v/>
      </c>
      <c r="D3205" s="41" t="n"/>
      <c r="E3205" s="42" t="n"/>
      <c r="F3205" s="43" t="n"/>
      <c r="G3205" s="44">
        <f>IF(OR(B3205="",F3205=""),"",IFERROR(F3205*INDEX(Mitarbeiter!$F$6:$F$205,MATCH(B3205,Mitarbeiter!$A$6:$A$205,0)),0))</f>
        <v/>
      </c>
      <c r="H3205" s="8">
        <f>IF(B3205="","",IF(ISNA(MATCH(B3205,Mitarbeiter!$A$6:$A$205,0)),"Pers.-Nr. unbekannt",IF(A3205="","Datum fehlt",IF(AND(D3205&lt;&gt;Einstellungen!$C$4,D3205&lt;&gt;Einstellungen!$C$5),"Objekt fehlt",IF(YEAR(A3205)&lt;&gt;Einstellungen!$C$3,"anderes Jahr",IF(A3205&lt;INDEX(Mitarbeiter!$C$6:$C$205,MATCH(B3205,Mitarbeiter!$A$6:$A$205,0)),"vor Eintritt",IF(AND(INDEX(Mitarbeiter!$D$6:$D$205,MATCH(B3205,Mitarbeiter!$A$6:$A$205,0))&lt;&gt;"",A3205&gt;INDEX(Mitarbeiter!$D$6:$D$205,MATCH(B3205,Mitarbeiter!$A$6:$A$205,0))),"nach Austritt","ok")))))))</f>
        <v/>
      </c>
    </row>
    <row r="3206">
      <c r="A3206" s="26" t="n"/>
      <c r="B3206" s="24" t="n"/>
      <c r="C3206" s="40">
        <f>IF(B3206="","",IFERROR(INDEX(Mitarbeiter!$B$6:$B$205,MATCH(B3206,Mitarbeiter!$A$6:$A$205,0)),"?"))</f>
        <v/>
      </c>
      <c r="D3206" s="41" t="n"/>
      <c r="E3206" s="42" t="n"/>
      <c r="F3206" s="43" t="n"/>
      <c r="G3206" s="44">
        <f>IF(OR(B3206="",F3206=""),"",IFERROR(F3206*INDEX(Mitarbeiter!$F$6:$F$205,MATCH(B3206,Mitarbeiter!$A$6:$A$205,0)),0))</f>
        <v/>
      </c>
      <c r="H3206" s="8">
        <f>IF(B3206="","",IF(ISNA(MATCH(B3206,Mitarbeiter!$A$6:$A$205,0)),"Pers.-Nr. unbekannt",IF(A3206="","Datum fehlt",IF(AND(D3206&lt;&gt;Einstellungen!$C$4,D3206&lt;&gt;Einstellungen!$C$5),"Objekt fehlt",IF(YEAR(A3206)&lt;&gt;Einstellungen!$C$3,"anderes Jahr",IF(A3206&lt;INDEX(Mitarbeiter!$C$6:$C$205,MATCH(B3206,Mitarbeiter!$A$6:$A$205,0)),"vor Eintritt",IF(AND(INDEX(Mitarbeiter!$D$6:$D$205,MATCH(B3206,Mitarbeiter!$A$6:$A$205,0))&lt;&gt;"",A3206&gt;INDEX(Mitarbeiter!$D$6:$D$205,MATCH(B3206,Mitarbeiter!$A$6:$A$205,0))),"nach Austritt","ok")))))))</f>
        <v/>
      </c>
    </row>
    <row r="3207">
      <c r="A3207" s="26" t="n"/>
      <c r="B3207" s="24" t="n"/>
      <c r="C3207" s="40">
        <f>IF(B3207="","",IFERROR(INDEX(Mitarbeiter!$B$6:$B$205,MATCH(B3207,Mitarbeiter!$A$6:$A$205,0)),"?"))</f>
        <v/>
      </c>
      <c r="D3207" s="41" t="n"/>
      <c r="E3207" s="42" t="n"/>
      <c r="F3207" s="43" t="n"/>
      <c r="G3207" s="44">
        <f>IF(OR(B3207="",F3207=""),"",IFERROR(F3207*INDEX(Mitarbeiter!$F$6:$F$205,MATCH(B3207,Mitarbeiter!$A$6:$A$205,0)),0))</f>
        <v/>
      </c>
      <c r="H3207" s="8">
        <f>IF(B3207="","",IF(ISNA(MATCH(B3207,Mitarbeiter!$A$6:$A$205,0)),"Pers.-Nr. unbekannt",IF(A3207="","Datum fehlt",IF(AND(D3207&lt;&gt;Einstellungen!$C$4,D3207&lt;&gt;Einstellungen!$C$5),"Objekt fehlt",IF(YEAR(A3207)&lt;&gt;Einstellungen!$C$3,"anderes Jahr",IF(A3207&lt;INDEX(Mitarbeiter!$C$6:$C$205,MATCH(B3207,Mitarbeiter!$A$6:$A$205,0)),"vor Eintritt",IF(AND(INDEX(Mitarbeiter!$D$6:$D$205,MATCH(B3207,Mitarbeiter!$A$6:$A$205,0))&lt;&gt;"",A3207&gt;INDEX(Mitarbeiter!$D$6:$D$205,MATCH(B3207,Mitarbeiter!$A$6:$A$205,0))),"nach Austritt","ok")))))))</f>
        <v/>
      </c>
    </row>
    <row r="3208">
      <c r="A3208" s="26" t="n"/>
      <c r="B3208" s="24" t="n"/>
      <c r="C3208" s="40">
        <f>IF(B3208="","",IFERROR(INDEX(Mitarbeiter!$B$6:$B$205,MATCH(B3208,Mitarbeiter!$A$6:$A$205,0)),"?"))</f>
        <v/>
      </c>
      <c r="D3208" s="41" t="n"/>
      <c r="E3208" s="42" t="n"/>
      <c r="F3208" s="43" t="n"/>
      <c r="G3208" s="44">
        <f>IF(OR(B3208="",F3208=""),"",IFERROR(F3208*INDEX(Mitarbeiter!$F$6:$F$205,MATCH(B3208,Mitarbeiter!$A$6:$A$205,0)),0))</f>
        <v/>
      </c>
      <c r="H3208" s="8">
        <f>IF(B3208="","",IF(ISNA(MATCH(B3208,Mitarbeiter!$A$6:$A$205,0)),"Pers.-Nr. unbekannt",IF(A3208="","Datum fehlt",IF(AND(D3208&lt;&gt;Einstellungen!$C$4,D3208&lt;&gt;Einstellungen!$C$5),"Objekt fehlt",IF(YEAR(A3208)&lt;&gt;Einstellungen!$C$3,"anderes Jahr",IF(A3208&lt;INDEX(Mitarbeiter!$C$6:$C$205,MATCH(B3208,Mitarbeiter!$A$6:$A$205,0)),"vor Eintritt",IF(AND(INDEX(Mitarbeiter!$D$6:$D$205,MATCH(B3208,Mitarbeiter!$A$6:$A$205,0))&lt;&gt;"",A3208&gt;INDEX(Mitarbeiter!$D$6:$D$205,MATCH(B3208,Mitarbeiter!$A$6:$A$205,0))),"nach Austritt","ok")))))))</f>
        <v/>
      </c>
    </row>
    <row r="3209">
      <c r="A3209" s="26" t="n"/>
      <c r="B3209" s="24" t="n"/>
      <c r="C3209" s="40">
        <f>IF(B3209="","",IFERROR(INDEX(Mitarbeiter!$B$6:$B$205,MATCH(B3209,Mitarbeiter!$A$6:$A$205,0)),"?"))</f>
        <v/>
      </c>
      <c r="D3209" s="41" t="n"/>
      <c r="E3209" s="42" t="n"/>
      <c r="F3209" s="43" t="n"/>
      <c r="G3209" s="44">
        <f>IF(OR(B3209="",F3209=""),"",IFERROR(F3209*INDEX(Mitarbeiter!$F$6:$F$205,MATCH(B3209,Mitarbeiter!$A$6:$A$205,0)),0))</f>
        <v/>
      </c>
      <c r="H3209" s="8">
        <f>IF(B3209="","",IF(ISNA(MATCH(B3209,Mitarbeiter!$A$6:$A$205,0)),"Pers.-Nr. unbekannt",IF(A3209="","Datum fehlt",IF(AND(D3209&lt;&gt;Einstellungen!$C$4,D3209&lt;&gt;Einstellungen!$C$5),"Objekt fehlt",IF(YEAR(A3209)&lt;&gt;Einstellungen!$C$3,"anderes Jahr",IF(A3209&lt;INDEX(Mitarbeiter!$C$6:$C$205,MATCH(B3209,Mitarbeiter!$A$6:$A$205,0)),"vor Eintritt",IF(AND(INDEX(Mitarbeiter!$D$6:$D$205,MATCH(B3209,Mitarbeiter!$A$6:$A$205,0))&lt;&gt;"",A3209&gt;INDEX(Mitarbeiter!$D$6:$D$205,MATCH(B3209,Mitarbeiter!$A$6:$A$205,0))),"nach Austritt","ok")))))))</f>
        <v/>
      </c>
    </row>
    <row r="3210">
      <c r="A3210" s="26" t="n"/>
      <c r="B3210" s="24" t="n"/>
      <c r="C3210" s="40">
        <f>IF(B3210="","",IFERROR(INDEX(Mitarbeiter!$B$6:$B$205,MATCH(B3210,Mitarbeiter!$A$6:$A$205,0)),"?"))</f>
        <v/>
      </c>
      <c r="D3210" s="41" t="n"/>
      <c r="E3210" s="42" t="n"/>
      <c r="F3210" s="43" t="n"/>
      <c r="G3210" s="44">
        <f>IF(OR(B3210="",F3210=""),"",IFERROR(F3210*INDEX(Mitarbeiter!$F$6:$F$205,MATCH(B3210,Mitarbeiter!$A$6:$A$205,0)),0))</f>
        <v/>
      </c>
      <c r="H3210" s="8">
        <f>IF(B3210="","",IF(ISNA(MATCH(B3210,Mitarbeiter!$A$6:$A$205,0)),"Pers.-Nr. unbekannt",IF(A3210="","Datum fehlt",IF(AND(D3210&lt;&gt;Einstellungen!$C$4,D3210&lt;&gt;Einstellungen!$C$5),"Objekt fehlt",IF(YEAR(A3210)&lt;&gt;Einstellungen!$C$3,"anderes Jahr",IF(A3210&lt;INDEX(Mitarbeiter!$C$6:$C$205,MATCH(B3210,Mitarbeiter!$A$6:$A$205,0)),"vor Eintritt",IF(AND(INDEX(Mitarbeiter!$D$6:$D$205,MATCH(B3210,Mitarbeiter!$A$6:$A$205,0))&lt;&gt;"",A3210&gt;INDEX(Mitarbeiter!$D$6:$D$205,MATCH(B3210,Mitarbeiter!$A$6:$A$205,0))),"nach Austritt","ok")))))))</f>
        <v/>
      </c>
    </row>
    <row r="3211">
      <c r="A3211" s="26" t="n"/>
      <c r="B3211" s="24" t="n"/>
      <c r="C3211" s="40">
        <f>IF(B3211="","",IFERROR(INDEX(Mitarbeiter!$B$6:$B$205,MATCH(B3211,Mitarbeiter!$A$6:$A$205,0)),"?"))</f>
        <v/>
      </c>
      <c r="D3211" s="41" t="n"/>
      <c r="E3211" s="42" t="n"/>
      <c r="F3211" s="43" t="n"/>
      <c r="G3211" s="44">
        <f>IF(OR(B3211="",F3211=""),"",IFERROR(F3211*INDEX(Mitarbeiter!$F$6:$F$205,MATCH(B3211,Mitarbeiter!$A$6:$A$205,0)),0))</f>
        <v/>
      </c>
      <c r="H3211" s="8">
        <f>IF(B3211="","",IF(ISNA(MATCH(B3211,Mitarbeiter!$A$6:$A$205,0)),"Pers.-Nr. unbekannt",IF(A3211="","Datum fehlt",IF(AND(D3211&lt;&gt;Einstellungen!$C$4,D3211&lt;&gt;Einstellungen!$C$5),"Objekt fehlt",IF(YEAR(A3211)&lt;&gt;Einstellungen!$C$3,"anderes Jahr",IF(A3211&lt;INDEX(Mitarbeiter!$C$6:$C$205,MATCH(B3211,Mitarbeiter!$A$6:$A$205,0)),"vor Eintritt",IF(AND(INDEX(Mitarbeiter!$D$6:$D$205,MATCH(B3211,Mitarbeiter!$A$6:$A$205,0))&lt;&gt;"",A3211&gt;INDEX(Mitarbeiter!$D$6:$D$205,MATCH(B3211,Mitarbeiter!$A$6:$A$205,0))),"nach Austritt","ok")))))))</f>
        <v/>
      </c>
    </row>
    <row r="3212">
      <c r="A3212" s="26" t="n"/>
      <c r="B3212" s="24" t="n"/>
      <c r="C3212" s="40">
        <f>IF(B3212="","",IFERROR(INDEX(Mitarbeiter!$B$6:$B$205,MATCH(B3212,Mitarbeiter!$A$6:$A$205,0)),"?"))</f>
        <v/>
      </c>
      <c r="D3212" s="41" t="n"/>
      <c r="E3212" s="42" t="n"/>
      <c r="F3212" s="43" t="n"/>
      <c r="G3212" s="44">
        <f>IF(OR(B3212="",F3212=""),"",IFERROR(F3212*INDEX(Mitarbeiter!$F$6:$F$205,MATCH(B3212,Mitarbeiter!$A$6:$A$205,0)),0))</f>
        <v/>
      </c>
      <c r="H3212" s="8">
        <f>IF(B3212="","",IF(ISNA(MATCH(B3212,Mitarbeiter!$A$6:$A$205,0)),"Pers.-Nr. unbekannt",IF(A3212="","Datum fehlt",IF(AND(D3212&lt;&gt;Einstellungen!$C$4,D3212&lt;&gt;Einstellungen!$C$5),"Objekt fehlt",IF(YEAR(A3212)&lt;&gt;Einstellungen!$C$3,"anderes Jahr",IF(A3212&lt;INDEX(Mitarbeiter!$C$6:$C$205,MATCH(B3212,Mitarbeiter!$A$6:$A$205,0)),"vor Eintritt",IF(AND(INDEX(Mitarbeiter!$D$6:$D$205,MATCH(B3212,Mitarbeiter!$A$6:$A$205,0))&lt;&gt;"",A3212&gt;INDEX(Mitarbeiter!$D$6:$D$205,MATCH(B3212,Mitarbeiter!$A$6:$A$205,0))),"nach Austritt","ok")))))))</f>
        <v/>
      </c>
    </row>
    <row r="3213">
      <c r="A3213" s="26" t="n"/>
      <c r="B3213" s="24" t="n"/>
      <c r="C3213" s="40">
        <f>IF(B3213="","",IFERROR(INDEX(Mitarbeiter!$B$6:$B$205,MATCH(B3213,Mitarbeiter!$A$6:$A$205,0)),"?"))</f>
        <v/>
      </c>
      <c r="D3213" s="41" t="n"/>
      <c r="E3213" s="42" t="n"/>
      <c r="F3213" s="43" t="n"/>
      <c r="G3213" s="44">
        <f>IF(OR(B3213="",F3213=""),"",IFERROR(F3213*INDEX(Mitarbeiter!$F$6:$F$205,MATCH(B3213,Mitarbeiter!$A$6:$A$205,0)),0))</f>
        <v/>
      </c>
      <c r="H3213" s="8">
        <f>IF(B3213="","",IF(ISNA(MATCH(B3213,Mitarbeiter!$A$6:$A$205,0)),"Pers.-Nr. unbekannt",IF(A3213="","Datum fehlt",IF(AND(D3213&lt;&gt;Einstellungen!$C$4,D3213&lt;&gt;Einstellungen!$C$5),"Objekt fehlt",IF(YEAR(A3213)&lt;&gt;Einstellungen!$C$3,"anderes Jahr",IF(A3213&lt;INDEX(Mitarbeiter!$C$6:$C$205,MATCH(B3213,Mitarbeiter!$A$6:$A$205,0)),"vor Eintritt",IF(AND(INDEX(Mitarbeiter!$D$6:$D$205,MATCH(B3213,Mitarbeiter!$A$6:$A$205,0))&lt;&gt;"",A3213&gt;INDEX(Mitarbeiter!$D$6:$D$205,MATCH(B3213,Mitarbeiter!$A$6:$A$205,0))),"nach Austritt","ok")))))))</f>
        <v/>
      </c>
    </row>
    <row r="3214">
      <c r="A3214" s="26" t="n"/>
      <c r="B3214" s="24" t="n"/>
      <c r="C3214" s="40">
        <f>IF(B3214="","",IFERROR(INDEX(Mitarbeiter!$B$6:$B$205,MATCH(B3214,Mitarbeiter!$A$6:$A$205,0)),"?"))</f>
        <v/>
      </c>
      <c r="D3214" s="41" t="n"/>
      <c r="E3214" s="42" t="n"/>
      <c r="F3214" s="43" t="n"/>
      <c r="G3214" s="44">
        <f>IF(OR(B3214="",F3214=""),"",IFERROR(F3214*INDEX(Mitarbeiter!$F$6:$F$205,MATCH(B3214,Mitarbeiter!$A$6:$A$205,0)),0))</f>
        <v/>
      </c>
      <c r="H3214" s="8">
        <f>IF(B3214="","",IF(ISNA(MATCH(B3214,Mitarbeiter!$A$6:$A$205,0)),"Pers.-Nr. unbekannt",IF(A3214="","Datum fehlt",IF(AND(D3214&lt;&gt;Einstellungen!$C$4,D3214&lt;&gt;Einstellungen!$C$5),"Objekt fehlt",IF(YEAR(A3214)&lt;&gt;Einstellungen!$C$3,"anderes Jahr",IF(A3214&lt;INDEX(Mitarbeiter!$C$6:$C$205,MATCH(B3214,Mitarbeiter!$A$6:$A$205,0)),"vor Eintritt",IF(AND(INDEX(Mitarbeiter!$D$6:$D$205,MATCH(B3214,Mitarbeiter!$A$6:$A$205,0))&lt;&gt;"",A3214&gt;INDEX(Mitarbeiter!$D$6:$D$205,MATCH(B3214,Mitarbeiter!$A$6:$A$205,0))),"nach Austritt","ok")))))))</f>
        <v/>
      </c>
    </row>
    <row r="3215">
      <c r="A3215" s="26" t="n"/>
      <c r="B3215" s="24" t="n"/>
      <c r="C3215" s="40">
        <f>IF(B3215="","",IFERROR(INDEX(Mitarbeiter!$B$6:$B$205,MATCH(B3215,Mitarbeiter!$A$6:$A$205,0)),"?"))</f>
        <v/>
      </c>
      <c r="D3215" s="41" t="n"/>
      <c r="E3215" s="42" t="n"/>
      <c r="F3215" s="43" t="n"/>
      <c r="G3215" s="44">
        <f>IF(OR(B3215="",F3215=""),"",IFERROR(F3215*INDEX(Mitarbeiter!$F$6:$F$205,MATCH(B3215,Mitarbeiter!$A$6:$A$205,0)),0))</f>
        <v/>
      </c>
      <c r="H3215" s="8">
        <f>IF(B3215="","",IF(ISNA(MATCH(B3215,Mitarbeiter!$A$6:$A$205,0)),"Pers.-Nr. unbekannt",IF(A3215="","Datum fehlt",IF(AND(D3215&lt;&gt;Einstellungen!$C$4,D3215&lt;&gt;Einstellungen!$C$5),"Objekt fehlt",IF(YEAR(A3215)&lt;&gt;Einstellungen!$C$3,"anderes Jahr",IF(A3215&lt;INDEX(Mitarbeiter!$C$6:$C$205,MATCH(B3215,Mitarbeiter!$A$6:$A$205,0)),"vor Eintritt",IF(AND(INDEX(Mitarbeiter!$D$6:$D$205,MATCH(B3215,Mitarbeiter!$A$6:$A$205,0))&lt;&gt;"",A3215&gt;INDEX(Mitarbeiter!$D$6:$D$205,MATCH(B3215,Mitarbeiter!$A$6:$A$205,0))),"nach Austritt","ok")))))))</f>
        <v/>
      </c>
    </row>
    <row r="3216">
      <c r="A3216" s="26" t="n"/>
      <c r="B3216" s="24" t="n"/>
      <c r="C3216" s="40">
        <f>IF(B3216="","",IFERROR(INDEX(Mitarbeiter!$B$6:$B$205,MATCH(B3216,Mitarbeiter!$A$6:$A$205,0)),"?"))</f>
        <v/>
      </c>
      <c r="D3216" s="41" t="n"/>
      <c r="E3216" s="42" t="n"/>
      <c r="F3216" s="43" t="n"/>
      <c r="G3216" s="44">
        <f>IF(OR(B3216="",F3216=""),"",IFERROR(F3216*INDEX(Mitarbeiter!$F$6:$F$205,MATCH(B3216,Mitarbeiter!$A$6:$A$205,0)),0))</f>
        <v/>
      </c>
      <c r="H3216" s="8">
        <f>IF(B3216="","",IF(ISNA(MATCH(B3216,Mitarbeiter!$A$6:$A$205,0)),"Pers.-Nr. unbekannt",IF(A3216="","Datum fehlt",IF(AND(D3216&lt;&gt;Einstellungen!$C$4,D3216&lt;&gt;Einstellungen!$C$5),"Objekt fehlt",IF(YEAR(A3216)&lt;&gt;Einstellungen!$C$3,"anderes Jahr",IF(A3216&lt;INDEX(Mitarbeiter!$C$6:$C$205,MATCH(B3216,Mitarbeiter!$A$6:$A$205,0)),"vor Eintritt",IF(AND(INDEX(Mitarbeiter!$D$6:$D$205,MATCH(B3216,Mitarbeiter!$A$6:$A$205,0))&lt;&gt;"",A3216&gt;INDEX(Mitarbeiter!$D$6:$D$205,MATCH(B3216,Mitarbeiter!$A$6:$A$205,0))),"nach Austritt","ok")))))))</f>
        <v/>
      </c>
    </row>
    <row r="3217">
      <c r="A3217" s="26" t="n"/>
      <c r="B3217" s="24" t="n"/>
      <c r="C3217" s="40">
        <f>IF(B3217="","",IFERROR(INDEX(Mitarbeiter!$B$6:$B$205,MATCH(B3217,Mitarbeiter!$A$6:$A$205,0)),"?"))</f>
        <v/>
      </c>
      <c r="D3217" s="41" t="n"/>
      <c r="E3217" s="42" t="n"/>
      <c r="F3217" s="43" t="n"/>
      <c r="G3217" s="44">
        <f>IF(OR(B3217="",F3217=""),"",IFERROR(F3217*INDEX(Mitarbeiter!$F$6:$F$205,MATCH(B3217,Mitarbeiter!$A$6:$A$205,0)),0))</f>
        <v/>
      </c>
      <c r="H3217" s="8">
        <f>IF(B3217="","",IF(ISNA(MATCH(B3217,Mitarbeiter!$A$6:$A$205,0)),"Pers.-Nr. unbekannt",IF(A3217="","Datum fehlt",IF(AND(D3217&lt;&gt;Einstellungen!$C$4,D3217&lt;&gt;Einstellungen!$C$5),"Objekt fehlt",IF(YEAR(A3217)&lt;&gt;Einstellungen!$C$3,"anderes Jahr",IF(A3217&lt;INDEX(Mitarbeiter!$C$6:$C$205,MATCH(B3217,Mitarbeiter!$A$6:$A$205,0)),"vor Eintritt",IF(AND(INDEX(Mitarbeiter!$D$6:$D$205,MATCH(B3217,Mitarbeiter!$A$6:$A$205,0))&lt;&gt;"",A3217&gt;INDEX(Mitarbeiter!$D$6:$D$205,MATCH(B3217,Mitarbeiter!$A$6:$A$205,0))),"nach Austritt","ok")))))))</f>
        <v/>
      </c>
    </row>
    <row r="3218">
      <c r="A3218" s="26" t="n"/>
      <c r="B3218" s="24" t="n"/>
      <c r="C3218" s="40">
        <f>IF(B3218="","",IFERROR(INDEX(Mitarbeiter!$B$6:$B$205,MATCH(B3218,Mitarbeiter!$A$6:$A$205,0)),"?"))</f>
        <v/>
      </c>
      <c r="D3218" s="41" t="n"/>
      <c r="E3218" s="42" t="n"/>
      <c r="F3218" s="43" t="n"/>
      <c r="G3218" s="44">
        <f>IF(OR(B3218="",F3218=""),"",IFERROR(F3218*INDEX(Mitarbeiter!$F$6:$F$205,MATCH(B3218,Mitarbeiter!$A$6:$A$205,0)),0))</f>
        <v/>
      </c>
      <c r="H3218" s="8">
        <f>IF(B3218="","",IF(ISNA(MATCH(B3218,Mitarbeiter!$A$6:$A$205,0)),"Pers.-Nr. unbekannt",IF(A3218="","Datum fehlt",IF(AND(D3218&lt;&gt;Einstellungen!$C$4,D3218&lt;&gt;Einstellungen!$C$5),"Objekt fehlt",IF(YEAR(A3218)&lt;&gt;Einstellungen!$C$3,"anderes Jahr",IF(A3218&lt;INDEX(Mitarbeiter!$C$6:$C$205,MATCH(B3218,Mitarbeiter!$A$6:$A$205,0)),"vor Eintritt",IF(AND(INDEX(Mitarbeiter!$D$6:$D$205,MATCH(B3218,Mitarbeiter!$A$6:$A$205,0))&lt;&gt;"",A3218&gt;INDEX(Mitarbeiter!$D$6:$D$205,MATCH(B3218,Mitarbeiter!$A$6:$A$205,0))),"nach Austritt","ok")))))))</f>
        <v/>
      </c>
    </row>
    <row r="3219">
      <c r="A3219" s="26" t="n"/>
      <c r="B3219" s="24" t="n"/>
      <c r="C3219" s="40">
        <f>IF(B3219="","",IFERROR(INDEX(Mitarbeiter!$B$6:$B$205,MATCH(B3219,Mitarbeiter!$A$6:$A$205,0)),"?"))</f>
        <v/>
      </c>
      <c r="D3219" s="41" t="n"/>
      <c r="E3219" s="42" t="n"/>
      <c r="F3219" s="43" t="n"/>
      <c r="G3219" s="44">
        <f>IF(OR(B3219="",F3219=""),"",IFERROR(F3219*INDEX(Mitarbeiter!$F$6:$F$205,MATCH(B3219,Mitarbeiter!$A$6:$A$205,0)),0))</f>
        <v/>
      </c>
      <c r="H3219" s="8">
        <f>IF(B3219="","",IF(ISNA(MATCH(B3219,Mitarbeiter!$A$6:$A$205,0)),"Pers.-Nr. unbekannt",IF(A3219="","Datum fehlt",IF(AND(D3219&lt;&gt;Einstellungen!$C$4,D3219&lt;&gt;Einstellungen!$C$5),"Objekt fehlt",IF(YEAR(A3219)&lt;&gt;Einstellungen!$C$3,"anderes Jahr",IF(A3219&lt;INDEX(Mitarbeiter!$C$6:$C$205,MATCH(B3219,Mitarbeiter!$A$6:$A$205,0)),"vor Eintritt",IF(AND(INDEX(Mitarbeiter!$D$6:$D$205,MATCH(B3219,Mitarbeiter!$A$6:$A$205,0))&lt;&gt;"",A3219&gt;INDEX(Mitarbeiter!$D$6:$D$205,MATCH(B3219,Mitarbeiter!$A$6:$A$205,0))),"nach Austritt","ok")))))))</f>
        <v/>
      </c>
    </row>
    <row r="3220">
      <c r="A3220" s="26" t="n"/>
      <c r="B3220" s="24" t="n"/>
      <c r="C3220" s="40">
        <f>IF(B3220="","",IFERROR(INDEX(Mitarbeiter!$B$6:$B$205,MATCH(B3220,Mitarbeiter!$A$6:$A$205,0)),"?"))</f>
        <v/>
      </c>
      <c r="D3220" s="41" t="n"/>
      <c r="E3220" s="42" t="n"/>
      <c r="F3220" s="43" t="n"/>
      <c r="G3220" s="44">
        <f>IF(OR(B3220="",F3220=""),"",IFERROR(F3220*INDEX(Mitarbeiter!$F$6:$F$205,MATCH(B3220,Mitarbeiter!$A$6:$A$205,0)),0))</f>
        <v/>
      </c>
      <c r="H3220" s="8">
        <f>IF(B3220="","",IF(ISNA(MATCH(B3220,Mitarbeiter!$A$6:$A$205,0)),"Pers.-Nr. unbekannt",IF(A3220="","Datum fehlt",IF(AND(D3220&lt;&gt;Einstellungen!$C$4,D3220&lt;&gt;Einstellungen!$C$5),"Objekt fehlt",IF(YEAR(A3220)&lt;&gt;Einstellungen!$C$3,"anderes Jahr",IF(A3220&lt;INDEX(Mitarbeiter!$C$6:$C$205,MATCH(B3220,Mitarbeiter!$A$6:$A$205,0)),"vor Eintritt",IF(AND(INDEX(Mitarbeiter!$D$6:$D$205,MATCH(B3220,Mitarbeiter!$A$6:$A$205,0))&lt;&gt;"",A3220&gt;INDEX(Mitarbeiter!$D$6:$D$205,MATCH(B3220,Mitarbeiter!$A$6:$A$205,0))),"nach Austritt","ok")))))))</f>
        <v/>
      </c>
    </row>
    <row r="3221">
      <c r="A3221" s="26" t="n"/>
      <c r="B3221" s="24" t="n"/>
      <c r="C3221" s="40">
        <f>IF(B3221="","",IFERROR(INDEX(Mitarbeiter!$B$6:$B$205,MATCH(B3221,Mitarbeiter!$A$6:$A$205,0)),"?"))</f>
        <v/>
      </c>
      <c r="D3221" s="41" t="n"/>
      <c r="E3221" s="42" t="n"/>
      <c r="F3221" s="43" t="n"/>
      <c r="G3221" s="44">
        <f>IF(OR(B3221="",F3221=""),"",IFERROR(F3221*INDEX(Mitarbeiter!$F$6:$F$205,MATCH(B3221,Mitarbeiter!$A$6:$A$205,0)),0))</f>
        <v/>
      </c>
      <c r="H3221" s="8">
        <f>IF(B3221="","",IF(ISNA(MATCH(B3221,Mitarbeiter!$A$6:$A$205,0)),"Pers.-Nr. unbekannt",IF(A3221="","Datum fehlt",IF(AND(D3221&lt;&gt;Einstellungen!$C$4,D3221&lt;&gt;Einstellungen!$C$5),"Objekt fehlt",IF(YEAR(A3221)&lt;&gt;Einstellungen!$C$3,"anderes Jahr",IF(A3221&lt;INDEX(Mitarbeiter!$C$6:$C$205,MATCH(B3221,Mitarbeiter!$A$6:$A$205,0)),"vor Eintritt",IF(AND(INDEX(Mitarbeiter!$D$6:$D$205,MATCH(B3221,Mitarbeiter!$A$6:$A$205,0))&lt;&gt;"",A3221&gt;INDEX(Mitarbeiter!$D$6:$D$205,MATCH(B3221,Mitarbeiter!$A$6:$A$205,0))),"nach Austritt","ok")))))))</f>
        <v/>
      </c>
    </row>
    <row r="3222">
      <c r="A3222" s="26" t="n"/>
      <c r="B3222" s="24" t="n"/>
      <c r="C3222" s="40">
        <f>IF(B3222="","",IFERROR(INDEX(Mitarbeiter!$B$6:$B$205,MATCH(B3222,Mitarbeiter!$A$6:$A$205,0)),"?"))</f>
        <v/>
      </c>
      <c r="D3222" s="41" t="n"/>
      <c r="E3222" s="42" t="n"/>
      <c r="F3222" s="43" t="n"/>
      <c r="G3222" s="44">
        <f>IF(OR(B3222="",F3222=""),"",IFERROR(F3222*INDEX(Mitarbeiter!$F$6:$F$205,MATCH(B3222,Mitarbeiter!$A$6:$A$205,0)),0))</f>
        <v/>
      </c>
      <c r="H3222" s="8">
        <f>IF(B3222="","",IF(ISNA(MATCH(B3222,Mitarbeiter!$A$6:$A$205,0)),"Pers.-Nr. unbekannt",IF(A3222="","Datum fehlt",IF(AND(D3222&lt;&gt;Einstellungen!$C$4,D3222&lt;&gt;Einstellungen!$C$5),"Objekt fehlt",IF(YEAR(A3222)&lt;&gt;Einstellungen!$C$3,"anderes Jahr",IF(A3222&lt;INDEX(Mitarbeiter!$C$6:$C$205,MATCH(B3222,Mitarbeiter!$A$6:$A$205,0)),"vor Eintritt",IF(AND(INDEX(Mitarbeiter!$D$6:$D$205,MATCH(B3222,Mitarbeiter!$A$6:$A$205,0))&lt;&gt;"",A3222&gt;INDEX(Mitarbeiter!$D$6:$D$205,MATCH(B3222,Mitarbeiter!$A$6:$A$205,0))),"nach Austritt","ok")))))))</f>
        <v/>
      </c>
    </row>
    <row r="3223">
      <c r="A3223" s="26" t="n"/>
      <c r="B3223" s="24" t="n"/>
      <c r="C3223" s="40">
        <f>IF(B3223="","",IFERROR(INDEX(Mitarbeiter!$B$6:$B$205,MATCH(B3223,Mitarbeiter!$A$6:$A$205,0)),"?"))</f>
        <v/>
      </c>
      <c r="D3223" s="41" t="n"/>
      <c r="E3223" s="42" t="n"/>
      <c r="F3223" s="43" t="n"/>
      <c r="G3223" s="44">
        <f>IF(OR(B3223="",F3223=""),"",IFERROR(F3223*INDEX(Mitarbeiter!$F$6:$F$205,MATCH(B3223,Mitarbeiter!$A$6:$A$205,0)),0))</f>
        <v/>
      </c>
      <c r="H3223" s="8">
        <f>IF(B3223="","",IF(ISNA(MATCH(B3223,Mitarbeiter!$A$6:$A$205,0)),"Pers.-Nr. unbekannt",IF(A3223="","Datum fehlt",IF(AND(D3223&lt;&gt;Einstellungen!$C$4,D3223&lt;&gt;Einstellungen!$C$5),"Objekt fehlt",IF(YEAR(A3223)&lt;&gt;Einstellungen!$C$3,"anderes Jahr",IF(A3223&lt;INDEX(Mitarbeiter!$C$6:$C$205,MATCH(B3223,Mitarbeiter!$A$6:$A$205,0)),"vor Eintritt",IF(AND(INDEX(Mitarbeiter!$D$6:$D$205,MATCH(B3223,Mitarbeiter!$A$6:$A$205,0))&lt;&gt;"",A3223&gt;INDEX(Mitarbeiter!$D$6:$D$205,MATCH(B3223,Mitarbeiter!$A$6:$A$205,0))),"nach Austritt","ok")))))))</f>
        <v/>
      </c>
    </row>
    <row r="3224">
      <c r="A3224" s="26" t="n"/>
      <c r="B3224" s="24" t="n"/>
      <c r="C3224" s="40">
        <f>IF(B3224="","",IFERROR(INDEX(Mitarbeiter!$B$6:$B$205,MATCH(B3224,Mitarbeiter!$A$6:$A$205,0)),"?"))</f>
        <v/>
      </c>
      <c r="D3224" s="41" t="n"/>
      <c r="E3224" s="42" t="n"/>
      <c r="F3224" s="43" t="n"/>
      <c r="G3224" s="44">
        <f>IF(OR(B3224="",F3224=""),"",IFERROR(F3224*INDEX(Mitarbeiter!$F$6:$F$205,MATCH(B3224,Mitarbeiter!$A$6:$A$205,0)),0))</f>
        <v/>
      </c>
      <c r="H3224" s="8">
        <f>IF(B3224="","",IF(ISNA(MATCH(B3224,Mitarbeiter!$A$6:$A$205,0)),"Pers.-Nr. unbekannt",IF(A3224="","Datum fehlt",IF(AND(D3224&lt;&gt;Einstellungen!$C$4,D3224&lt;&gt;Einstellungen!$C$5),"Objekt fehlt",IF(YEAR(A3224)&lt;&gt;Einstellungen!$C$3,"anderes Jahr",IF(A3224&lt;INDEX(Mitarbeiter!$C$6:$C$205,MATCH(B3224,Mitarbeiter!$A$6:$A$205,0)),"vor Eintritt",IF(AND(INDEX(Mitarbeiter!$D$6:$D$205,MATCH(B3224,Mitarbeiter!$A$6:$A$205,0))&lt;&gt;"",A3224&gt;INDEX(Mitarbeiter!$D$6:$D$205,MATCH(B3224,Mitarbeiter!$A$6:$A$205,0))),"nach Austritt","ok")))))))</f>
        <v/>
      </c>
    </row>
    <row r="3225">
      <c r="A3225" s="26" t="n"/>
      <c r="B3225" s="24" t="n"/>
      <c r="C3225" s="40">
        <f>IF(B3225="","",IFERROR(INDEX(Mitarbeiter!$B$6:$B$205,MATCH(B3225,Mitarbeiter!$A$6:$A$205,0)),"?"))</f>
        <v/>
      </c>
      <c r="D3225" s="41" t="n"/>
      <c r="E3225" s="42" t="n"/>
      <c r="F3225" s="43" t="n"/>
      <c r="G3225" s="44">
        <f>IF(OR(B3225="",F3225=""),"",IFERROR(F3225*INDEX(Mitarbeiter!$F$6:$F$205,MATCH(B3225,Mitarbeiter!$A$6:$A$205,0)),0))</f>
        <v/>
      </c>
      <c r="H3225" s="8">
        <f>IF(B3225="","",IF(ISNA(MATCH(B3225,Mitarbeiter!$A$6:$A$205,0)),"Pers.-Nr. unbekannt",IF(A3225="","Datum fehlt",IF(AND(D3225&lt;&gt;Einstellungen!$C$4,D3225&lt;&gt;Einstellungen!$C$5),"Objekt fehlt",IF(YEAR(A3225)&lt;&gt;Einstellungen!$C$3,"anderes Jahr",IF(A3225&lt;INDEX(Mitarbeiter!$C$6:$C$205,MATCH(B3225,Mitarbeiter!$A$6:$A$205,0)),"vor Eintritt",IF(AND(INDEX(Mitarbeiter!$D$6:$D$205,MATCH(B3225,Mitarbeiter!$A$6:$A$205,0))&lt;&gt;"",A3225&gt;INDEX(Mitarbeiter!$D$6:$D$205,MATCH(B3225,Mitarbeiter!$A$6:$A$205,0))),"nach Austritt","ok")))))))</f>
        <v/>
      </c>
    </row>
    <row r="3226">
      <c r="A3226" s="26" t="n"/>
      <c r="B3226" s="24" t="n"/>
      <c r="C3226" s="40">
        <f>IF(B3226="","",IFERROR(INDEX(Mitarbeiter!$B$6:$B$205,MATCH(B3226,Mitarbeiter!$A$6:$A$205,0)),"?"))</f>
        <v/>
      </c>
      <c r="D3226" s="41" t="n"/>
      <c r="E3226" s="42" t="n"/>
      <c r="F3226" s="43" t="n"/>
      <c r="G3226" s="44">
        <f>IF(OR(B3226="",F3226=""),"",IFERROR(F3226*INDEX(Mitarbeiter!$F$6:$F$205,MATCH(B3226,Mitarbeiter!$A$6:$A$205,0)),0))</f>
        <v/>
      </c>
      <c r="H3226" s="8">
        <f>IF(B3226="","",IF(ISNA(MATCH(B3226,Mitarbeiter!$A$6:$A$205,0)),"Pers.-Nr. unbekannt",IF(A3226="","Datum fehlt",IF(AND(D3226&lt;&gt;Einstellungen!$C$4,D3226&lt;&gt;Einstellungen!$C$5),"Objekt fehlt",IF(YEAR(A3226)&lt;&gt;Einstellungen!$C$3,"anderes Jahr",IF(A3226&lt;INDEX(Mitarbeiter!$C$6:$C$205,MATCH(B3226,Mitarbeiter!$A$6:$A$205,0)),"vor Eintritt",IF(AND(INDEX(Mitarbeiter!$D$6:$D$205,MATCH(B3226,Mitarbeiter!$A$6:$A$205,0))&lt;&gt;"",A3226&gt;INDEX(Mitarbeiter!$D$6:$D$205,MATCH(B3226,Mitarbeiter!$A$6:$A$205,0))),"nach Austritt","ok")))))))</f>
        <v/>
      </c>
    </row>
    <row r="3227">
      <c r="A3227" s="26" t="n"/>
      <c r="B3227" s="24" t="n"/>
      <c r="C3227" s="40">
        <f>IF(B3227="","",IFERROR(INDEX(Mitarbeiter!$B$6:$B$205,MATCH(B3227,Mitarbeiter!$A$6:$A$205,0)),"?"))</f>
        <v/>
      </c>
      <c r="D3227" s="41" t="n"/>
      <c r="E3227" s="42" t="n"/>
      <c r="F3227" s="43" t="n"/>
      <c r="G3227" s="44">
        <f>IF(OR(B3227="",F3227=""),"",IFERROR(F3227*INDEX(Mitarbeiter!$F$6:$F$205,MATCH(B3227,Mitarbeiter!$A$6:$A$205,0)),0))</f>
        <v/>
      </c>
      <c r="H3227" s="8">
        <f>IF(B3227="","",IF(ISNA(MATCH(B3227,Mitarbeiter!$A$6:$A$205,0)),"Pers.-Nr. unbekannt",IF(A3227="","Datum fehlt",IF(AND(D3227&lt;&gt;Einstellungen!$C$4,D3227&lt;&gt;Einstellungen!$C$5),"Objekt fehlt",IF(YEAR(A3227)&lt;&gt;Einstellungen!$C$3,"anderes Jahr",IF(A3227&lt;INDEX(Mitarbeiter!$C$6:$C$205,MATCH(B3227,Mitarbeiter!$A$6:$A$205,0)),"vor Eintritt",IF(AND(INDEX(Mitarbeiter!$D$6:$D$205,MATCH(B3227,Mitarbeiter!$A$6:$A$205,0))&lt;&gt;"",A3227&gt;INDEX(Mitarbeiter!$D$6:$D$205,MATCH(B3227,Mitarbeiter!$A$6:$A$205,0))),"nach Austritt","ok")))))))</f>
        <v/>
      </c>
    </row>
    <row r="3228">
      <c r="A3228" s="26" t="n"/>
      <c r="B3228" s="24" t="n"/>
      <c r="C3228" s="40">
        <f>IF(B3228="","",IFERROR(INDEX(Mitarbeiter!$B$6:$B$205,MATCH(B3228,Mitarbeiter!$A$6:$A$205,0)),"?"))</f>
        <v/>
      </c>
      <c r="D3228" s="41" t="n"/>
      <c r="E3228" s="42" t="n"/>
      <c r="F3228" s="43" t="n"/>
      <c r="G3228" s="44">
        <f>IF(OR(B3228="",F3228=""),"",IFERROR(F3228*INDEX(Mitarbeiter!$F$6:$F$205,MATCH(B3228,Mitarbeiter!$A$6:$A$205,0)),0))</f>
        <v/>
      </c>
      <c r="H3228" s="8">
        <f>IF(B3228="","",IF(ISNA(MATCH(B3228,Mitarbeiter!$A$6:$A$205,0)),"Pers.-Nr. unbekannt",IF(A3228="","Datum fehlt",IF(AND(D3228&lt;&gt;Einstellungen!$C$4,D3228&lt;&gt;Einstellungen!$C$5),"Objekt fehlt",IF(YEAR(A3228)&lt;&gt;Einstellungen!$C$3,"anderes Jahr",IF(A3228&lt;INDEX(Mitarbeiter!$C$6:$C$205,MATCH(B3228,Mitarbeiter!$A$6:$A$205,0)),"vor Eintritt",IF(AND(INDEX(Mitarbeiter!$D$6:$D$205,MATCH(B3228,Mitarbeiter!$A$6:$A$205,0))&lt;&gt;"",A3228&gt;INDEX(Mitarbeiter!$D$6:$D$205,MATCH(B3228,Mitarbeiter!$A$6:$A$205,0))),"nach Austritt","ok")))))))</f>
        <v/>
      </c>
    </row>
    <row r="3229">
      <c r="A3229" s="26" t="n"/>
      <c r="B3229" s="24" t="n"/>
      <c r="C3229" s="40">
        <f>IF(B3229="","",IFERROR(INDEX(Mitarbeiter!$B$6:$B$205,MATCH(B3229,Mitarbeiter!$A$6:$A$205,0)),"?"))</f>
        <v/>
      </c>
      <c r="D3229" s="41" t="n"/>
      <c r="E3229" s="42" t="n"/>
      <c r="F3229" s="43" t="n"/>
      <c r="G3229" s="44">
        <f>IF(OR(B3229="",F3229=""),"",IFERROR(F3229*INDEX(Mitarbeiter!$F$6:$F$205,MATCH(B3229,Mitarbeiter!$A$6:$A$205,0)),0))</f>
        <v/>
      </c>
      <c r="H3229" s="8">
        <f>IF(B3229="","",IF(ISNA(MATCH(B3229,Mitarbeiter!$A$6:$A$205,0)),"Pers.-Nr. unbekannt",IF(A3229="","Datum fehlt",IF(AND(D3229&lt;&gt;Einstellungen!$C$4,D3229&lt;&gt;Einstellungen!$C$5),"Objekt fehlt",IF(YEAR(A3229)&lt;&gt;Einstellungen!$C$3,"anderes Jahr",IF(A3229&lt;INDEX(Mitarbeiter!$C$6:$C$205,MATCH(B3229,Mitarbeiter!$A$6:$A$205,0)),"vor Eintritt",IF(AND(INDEX(Mitarbeiter!$D$6:$D$205,MATCH(B3229,Mitarbeiter!$A$6:$A$205,0))&lt;&gt;"",A3229&gt;INDEX(Mitarbeiter!$D$6:$D$205,MATCH(B3229,Mitarbeiter!$A$6:$A$205,0))),"nach Austritt","ok")))))))</f>
        <v/>
      </c>
    </row>
    <row r="3230">
      <c r="A3230" s="26" t="n"/>
      <c r="B3230" s="24" t="n"/>
      <c r="C3230" s="40">
        <f>IF(B3230="","",IFERROR(INDEX(Mitarbeiter!$B$6:$B$205,MATCH(B3230,Mitarbeiter!$A$6:$A$205,0)),"?"))</f>
        <v/>
      </c>
      <c r="D3230" s="41" t="n"/>
      <c r="E3230" s="42" t="n"/>
      <c r="F3230" s="43" t="n"/>
      <c r="G3230" s="44">
        <f>IF(OR(B3230="",F3230=""),"",IFERROR(F3230*INDEX(Mitarbeiter!$F$6:$F$205,MATCH(B3230,Mitarbeiter!$A$6:$A$205,0)),0))</f>
        <v/>
      </c>
      <c r="H3230" s="8">
        <f>IF(B3230="","",IF(ISNA(MATCH(B3230,Mitarbeiter!$A$6:$A$205,0)),"Pers.-Nr. unbekannt",IF(A3230="","Datum fehlt",IF(AND(D3230&lt;&gt;Einstellungen!$C$4,D3230&lt;&gt;Einstellungen!$C$5),"Objekt fehlt",IF(YEAR(A3230)&lt;&gt;Einstellungen!$C$3,"anderes Jahr",IF(A3230&lt;INDEX(Mitarbeiter!$C$6:$C$205,MATCH(B3230,Mitarbeiter!$A$6:$A$205,0)),"vor Eintritt",IF(AND(INDEX(Mitarbeiter!$D$6:$D$205,MATCH(B3230,Mitarbeiter!$A$6:$A$205,0))&lt;&gt;"",A3230&gt;INDEX(Mitarbeiter!$D$6:$D$205,MATCH(B3230,Mitarbeiter!$A$6:$A$205,0))),"nach Austritt","ok")))))))</f>
        <v/>
      </c>
    </row>
    <row r="3231">
      <c r="A3231" s="26" t="n"/>
      <c r="B3231" s="24" t="n"/>
      <c r="C3231" s="40">
        <f>IF(B3231="","",IFERROR(INDEX(Mitarbeiter!$B$6:$B$205,MATCH(B3231,Mitarbeiter!$A$6:$A$205,0)),"?"))</f>
        <v/>
      </c>
      <c r="D3231" s="41" t="n"/>
      <c r="E3231" s="42" t="n"/>
      <c r="F3231" s="43" t="n"/>
      <c r="G3231" s="44">
        <f>IF(OR(B3231="",F3231=""),"",IFERROR(F3231*INDEX(Mitarbeiter!$F$6:$F$205,MATCH(B3231,Mitarbeiter!$A$6:$A$205,0)),0))</f>
        <v/>
      </c>
      <c r="H3231" s="8">
        <f>IF(B3231="","",IF(ISNA(MATCH(B3231,Mitarbeiter!$A$6:$A$205,0)),"Pers.-Nr. unbekannt",IF(A3231="","Datum fehlt",IF(AND(D3231&lt;&gt;Einstellungen!$C$4,D3231&lt;&gt;Einstellungen!$C$5),"Objekt fehlt",IF(YEAR(A3231)&lt;&gt;Einstellungen!$C$3,"anderes Jahr",IF(A3231&lt;INDEX(Mitarbeiter!$C$6:$C$205,MATCH(B3231,Mitarbeiter!$A$6:$A$205,0)),"vor Eintritt",IF(AND(INDEX(Mitarbeiter!$D$6:$D$205,MATCH(B3231,Mitarbeiter!$A$6:$A$205,0))&lt;&gt;"",A3231&gt;INDEX(Mitarbeiter!$D$6:$D$205,MATCH(B3231,Mitarbeiter!$A$6:$A$205,0))),"nach Austritt","ok")))))))</f>
        <v/>
      </c>
    </row>
    <row r="3232">
      <c r="A3232" s="26" t="n"/>
      <c r="B3232" s="24" t="n"/>
      <c r="C3232" s="40">
        <f>IF(B3232="","",IFERROR(INDEX(Mitarbeiter!$B$6:$B$205,MATCH(B3232,Mitarbeiter!$A$6:$A$205,0)),"?"))</f>
        <v/>
      </c>
      <c r="D3232" s="41" t="n"/>
      <c r="E3232" s="42" t="n"/>
      <c r="F3232" s="43" t="n"/>
      <c r="G3232" s="44">
        <f>IF(OR(B3232="",F3232=""),"",IFERROR(F3232*INDEX(Mitarbeiter!$F$6:$F$205,MATCH(B3232,Mitarbeiter!$A$6:$A$205,0)),0))</f>
        <v/>
      </c>
      <c r="H3232" s="8">
        <f>IF(B3232="","",IF(ISNA(MATCH(B3232,Mitarbeiter!$A$6:$A$205,0)),"Pers.-Nr. unbekannt",IF(A3232="","Datum fehlt",IF(AND(D3232&lt;&gt;Einstellungen!$C$4,D3232&lt;&gt;Einstellungen!$C$5),"Objekt fehlt",IF(YEAR(A3232)&lt;&gt;Einstellungen!$C$3,"anderes Jahr",IF(A3232&lt;INDEX(Mitarbeiter!$C$6:$C$205,MATCH(B3232,Mitarbeiter!$A$6:$A$205,0)),"vor Eintritt",IF(AND(INDEX(Mitarbeiter!$D$6:$D$205,MATCH(B3232,Mitarbeiter!$A$6:$A$205,0))&lt;&gt;"",A3232&gt;INDEX(Mitarbeiter!$D$6:$D$205,MATCH(B3232,Mitarbeiter!$A$6:$A$205,0))),"nach Austritt","ok")))))))</f>
        <v/>
      </c>
    </row>
    <row r="3233">
      <c r="A3233" s="26" t="n"/>
      <c r="B3233" s="24" t="n"/>
      <c r="C3233" s="40">
        <f>IF(B3233="","",IFERROR(INDEX(Mitarbeiter!$B$6:$B$205,MATCH(B3233,Mitarbeiter!$A$6:$A$205,0)),"?"))</f>
        <v/>
      </c>
      <c r="D3233" s="41" t="n"/>
      <c r="E3233" s="42" t="n"/>
      <c r="F3233" s="43" t="n"/>
      <c r="G3233" s="44">
        <f>IF(OR(B3233="",F3233=""),"",IFERROR(F3233*INDEX(Mitarbeiter!$F$6:$F$205,MATCH(B3233,Mitarbeiter!$A$6:$A$205,0)),0))</f>
        <v/>
      </c>
      <c r="H3233" s="8">
        <f>IF(B3233="","",IF(ISNA(MATCH(B3233,Mitarbeiter!$A$6:$A$205,0)),"Pers.-Nr. unbekannt",IF(A3233="","Datum fehlt",IF(AND(D3233&lt;&gt;Einstellungen!$C$4,D3233&lt;&gt;Einstellungen!$C$5),"Objekt fehlt",IF(YEAR(A3233)&lt;&gt;Einstellungen!$C$3,"anderes Jahr",IF(A3233&lt;INDEX(Mitarbeiter!$C$6:$C$205,MATCH(B3233,Mitarbeiter!$A$6:$A$205,0)),"vor Eintritt",IF(AND(INDEX(Mitarbeiter!$D$6:$D$205,MATCH(B3233,Mitarbeiter!$A$6:$A$205,0))&lt;&gt;"",A3233&gt;INDEX(Mitarbeiter!$D$6:$D$205,MATCH(B3233,Mitarbeiter!$A$6:$A$205,0))),"nach Austritt","ok")))))))</f>
        <v/>
      </c>
    </row>
    <row r="3234">
      <c r="A3234" s="26" t="n"/>
      <c r="B3234" s="24" t="n"/>
      <c r="C3234" s="40">
        <f>IF(B3234="","",IFERROR(INDEX(Mitarbeiter!$B$6:$B$205,MATCH(B3234,Mitarbeiter!$A$6:$A$205,0)),"?"))</f>
        <v/>
      </c>
      <c r="D3234" s="41" t="n"/>
      <c r="E3234" s="42" t="n"/>
      <c r="F3234" s="43" t="n"/>
      <c r="G3234" s="44">
        <f>IF(OR(B3234="",F3234=""),"",IFERROR(F3234*INDEX(Mitarbeiter!$F$6:$F$205,MATCH(B3234,Mitarbeiter!$A$6:$A$205,0)),0))</f>
        <v/>
      </c>
      <c r="H3234" s="8">
        <f>IF(B3234="","",IF(ISNA(MATCH(B3234,Mitarbeiter!$A$6:$A$205,0)),"Pers.-Nr. unbekannt",IF(A3234="","Datum fehlt",IF(AND(D3234&lt;&gt;Einstellungen!$C$4,D3234&lt;&gt;Einstellungen!$C$5),"Objekt fehlt",IF(YEAR(A3234)&lt;&gt;Einstellungen!$C$3,"anderes Jahr",IF(A3234&lt;INDEX(Mitarbeiter!$C$6:$C$205,MATCH(B3234,Mitarbeiter!$A$6:$A$205,0)),"vor Eintritt",IF(AND(INDEX(Mitarbeiter!$D$6:$D$205,MATCH(B3234,Mitarbeiter!$A$6:$A$205,0))&lt;&gt;"",A3234&gt;INDEX(Mitarbeiter!$D$6:$D$205,MATCH(B3234,Mitarbeiter!$A$6:$A$205,0))),"nach Austritt","ok")))))))</f>
        <v/>
      </c>
    </row>
    <row r="3235">
      <c r="A3235" s="26" t="n"/>
      <c r="B3235" s="24" t="n"/>
      <c r="C3235" s="40">
        <f>IF(B3235="","",IFERROR(INDEX(Mitarbeiter!$B$6:$B$205,MATCH(B3235,Mitarbeiter!$A$6:$A$205,0)),"?"))</f>
        <v/>
      </c>
      <c r="D3235" s="41" t="n"/>
      <c r="E3235" s="42" t="n"/>
      <c r="F3235" s="43" t="n"/>
      <c r="G3235" s="44">
        <f>IF(OR(B3235="",F3235=""),"",IFERROR(F3235*INDEX(Mitarbeiter!$F$6:$F$205,MATCH(B3235,Mitarbeiter!$A$6:$A$205,0)),0))</f>
        <v/>
      </c>
      <c r="H3235" s="8">
        <f>IF(B3235="","",IF(ISNA(MATCH(B3235,Mitarbeiter!$A$6:$A$205,0)),"Pers.-Nr. unbekannt",IF(A3235="","Datum fehlt",IF(AND(D3235&lt;&gt;Einstellungen!$C$4,D3235&lt;&gt;Einstellungen!$C$5),"Objekt fehlt",IF(YEAR(A3235)&lt;&gt;Einstellungen!$C$3,"anderes Jahr",IF(A3235&lt;INDEX(Mitarbeiter!$C$6:$C$205,MATCH(B3235,Mitarbeiter!$A$6:$A$205,0)),"vor Eintritt",IF(AND(INDEX(Mitarbeiter!$D$6:$D$205,MATCH(B3235,Mitarbeiter!$A$6:$A$205,0))&lt;&gt;"",A3235&gt;INDEX(Mitarbeiter!$D$6:$D$205,MATCH(B3235,Mitarbeiter!$A$6:$A$205,0))),"nach Austritt","ok")))))))</f>
        <v/>
      </c>
    </row>
    <row r="3236">
      <c r="A3236" s="26" t="n"/>
      <c r="B3236" s="24" t="n"/>
      <c r="C3236" s="40">
        <f>IF(B3236="","",IFERROR(INDEX(Mitarbeiter!$B$6:$B$205,MATCH(B3236,Mitarbeiter!$A$6:$A$205,0)),"?"))</f>
        <v/>
      </c>
      <c r="D3236" s="41" t="n"/>
      <c r="E3236" s="42" t="n"/>
      <c r="F3236" s="43" t="n"/>
      <c r="G3236" s="44">
        <f>IF(OR(B3236="",F3236=""),"",IFERROR(F3236*INDEX(Mitarbeiter!$F$6:$F$205,MATCH(B3236,Mitarbeiter!$A$6:$A$205,0)),0))</f>
        <v/>
      </c>
      <c r="H3236" s="8">
        <f>IF(B3236="","",IF(ISNA(MATCH(B3236,Mitarbeiter!$A$6:$A$205,0)),"Pers.-Nr. unbekannt",IF(A3236="","Datum fehlt",IF(AND(D3236&lt;&gt;Einstellungen!$C$4,D3236&lt;&gt;Einstellungen!$C$5),"Objekt fehlt",IF(YEAR(A3236)&lt;&gt;Einstellungen!$C$3,"anderes Jahr",IF(A3236&lt;INDEX(Mitarbeiter!$C$6:$C$205,MATCH(B3236,Mitarbeiter!$A$6:$A$205,0)),"vor Eintritt",IF(AND(INDEX(Mitarbeiter!$D$6:$D$205,MATCH(B3236,Mitarbeiter!$A$6:$A$205,0))&lt;&gt;"",A3236&gt;INDEX(Mitarbeiter!$D$6:$D$205,MATCH(B3236,Mitarbeiter!$A$6:$A$205,0))),"nach Austritt","ok")))))))</f>
        <v/>
      </c>
    </row>
    <row r="3237">
      <c r="A3237" s="26" t="n"/>
      <c r="B3237" s="24" t="n"/>
      <c r="C3237" s="40">
        <f>IF(B3237="","",IFERROR(INDEX(Mitarbeiter!$B$6:$B$205,MATCH(B3237,Mitarbeiter!$A$6:$A$205,0)),"?"))</f>
        <v/>
      </c>
      <c r="D3237" s="41" t="n"/>
      <c r="E3237" s="42" t="n"/>
      <c r="F3237" s="43" t="n"/>
      <c r="G3237" s="44">
        <f>IF(OR(B3237="",F3237=""),"",IFERROR(F3237*INDEX(Mitarbeiter!$F$6:$F$205,MATCH(B3237,Mitarbeiter!$A$6:$A$205,0)),0))</f>
        <v/>
      </c>
      <c r="H3237" s="8">
        <f>IF(B3237="","",IF(ISNA(MATCH(B3237,Mitarbeiter!$A$6:$A$205,0)),"Pers.-Nr. unbekannt",IF(A3237="","Datum fehlt",IF(AND(D3237&lt;&gt;Einstellungen!$C$4,D3237&lt;&gt;Einstellungen!$C$5),"Objekt fehlt",IF(YEAR(A3237)&lt;&gt;Einstellungen!$C$3,"anderes Jahr",IF(A3237&lt;INDEX(Mitarbeiter!$C$6:$C$205,MATCH(B3237,Mitarbeiter!$A$6:$A$205,0)),"vor Eintritt",IF(AND(INDEX(Mitarbeiter!$D$6:$D$205,MATCH(B3237,Mitarbeiter!$A$6:$A$205,0))&lt;&gt;"",A3237&gt;INDEX(Mitarbeiter!$D$6:$D$205,MATCH(B3237,Mitarbeiter!$A$6:$A$205,0))),"nach Austritt","ok")))))))</f>
        <v/>
      </c>
    </row>
    <row r="3238">
      <c r="A3238" s="26" t="n"/>
      <c r="B3238" s="24" t="n"/>
      <c r="C3238" s="40">
        <f>IF(B3238="","",IFERROR(INDEX(Mitarbeiter!$B$6:$B$205,MATCH(B3238,Mitarbeiter!$A$6:$A$205,0)),"?"))</f>
        <v/>
      </c>
      <c r="D3238" s="41" t="n"/>
      <c r="E3238" s="42" t="n"/>
      <c r="F3238" s="43" t="n"/>
      <c r="G3238" s="44">
        <f>IF(OR(B3238="",F3238=""),"",IFERROR(F3238*INDEX(Mitarbeiter!$F$6:$F$205,MATCH(B3238,Mitarbeiter!$A$6:$A$205,0)),0))</f>
        <v/>
      </c>
      <c r="H3238" s="8">
        <f>IF(B3238="","",IF(ISNA(MATCH(B3238,Mitarbeiter!$A$6:$A$205,0)),"Pers.-Nr. unbekannt",IF(A3238="","Datum fehlt",IF(AND(D3238&lt;&gt;Einstellungen!$C$4,D3238&lt;&gt;Einstellungen!$C$5),"Objekt fehlt",IF(YEAR(A3238)&lt;&gt;Einstellungen!$C$3,"anderes Jahr",IF(A3238&lt;INDEX(Mitarbeiter!$C$6:$C$205,MATCH(B3238,Mitarbeiter!$A$6:$A$205,0)),"vor Eintritt",IF(AND(INDEX(Mitarbeiter!$D$6:$D$205,MATCH(B3238,Mitarbeiter!$A$6:$A$205,0))&lt;&gt;"",A3238&gt;INDEX(Mitarbeiter!$D$6:$D$205,MATCH(B3238,Mitarbeiter!$A$6:$A$205,0))),"nach Austritt","ok")))))))</f>
        <v/>
      </c>
    </row>
    <row r="3239">
      <c r="A3239" s="26" t="n"/>
      <c r="B3239" s="24" t="n"/>
      <c r="C3239" s="40">
        <f>IF(B3239="","",IFERROR(INDEX(Mitarbeiter!$B$6:$B$205,MATCH(B3239,Mitarbeiter!$A$6:$A$205,0)),"?"))</f>
        <v/>
      </c>
      <c r="D3239" s="41" t="n"/>
      <c r="E3239" s="42" t="n"/>
      <c r="F3239" s="43" t="n"/>
      <c r="G3239" s="44">
        <f>IF(OR(B3239="",F3239=""),"",IFERROR(F3239*INDEX(Mitarbeiter!$F$6:$F$205,MATCH(B3239,Mitarbeiter!$A$6:$A$205,0)),0))</f>
        <v/>
      </c>
      <c r="H3239" s="8">
        <f>IF(B3239="","",IF(ISNA(MATCH(B3239,Mitarbeiter!$A$6:$A$205,0)),"Pers.-Nr. unbekannt",IF(A3239="","Datum fehlt",IF(AND(D3239&lt;&gt;Einstellungen!$C$4,D3239&lt;&gt;Einstellungen!$C$5),"Objekt fehlt",IF(YEAR(A3239)&lt;&gt;Einstellungen!$C$3,"anderes Jahr",IF(A3239&lt;INDEX(Mitarbeiter!$C$6:$C$205,MATCH(B3239,Mitarbeiter!$A$6:$A$205,0)),"vor Eintritt",IF(AND(INDEX(Mitarbeiter!$D$6:$D$205,MATCH(B3239,Mitarbeiter!$A$6:$A$205,0))&lt;&gt;"",A3239&gt;INDEX(Mitarbeiter!$D$6:$D$205,MATCH(B3239,Mitarbeiter!$A$6:$A$205,0))),"nach Austritt","ok")))))))</f>
        <v/>
      </c>
    </row>
    <row r="3240">
      <c r="A3240" s="26" t="n"/>
      <c r="B3240" s="24" t="n"/>
      <c r="C3240" s="40">
        <f>IF(B3240="","",IFERROR(INDEX(Mitarbeiter!$B$6:$B$205,MATCH(B3240,Mitarbeiter!$A$6:$A$205,0)),"?"))</f>
        <v/>
      </c>
      <c r="D3240" s="41" t="n"/>
      <c r="E3240" s="42" t="n"/>
      <c r="F3240" s="43" t="n"/>
      <c r="G3240" s="44">
        <f>IF(OR(B3240="",F3240=""),"",IFERROR(F3240*INDEX(Mitarbeiter!$F$6:$F$205,MATCH(B3240,Mitarbeiter!$A$6:$A$205,0)),0))</f>
        <v/>
      </c>
      <c r="H3240" s="8">
        <f>IF(B3240="","",IF(ISNA(MATCH(B3240,Mitarbeiter!$A$6:$A$205,0)),"Pers.-Nr. unbekannt",IF(A3240="","Datum fehlt",IF(AND(D3240&lt;&gt;Einstellungen!$C$4,D3240&lt;&gt;Einstellungen!$C$5),"Objekt fehlt",IF(YEAR(A3240)&lt;&gt;Einstellungen!$C$3,"anderes Jahr",IF(A3240&lt;INDEX(Mitarbeiter!$C$6:$C$205,MATCH(B3240,Mitarbeiter!$A$6:$A$205,0)),"vor Eintritt",IF(AND(INDEX(Mitarbeiter!$D$6:$D$205,MATCH(B3240,Mitarbeiter!$A$6:$A$205,0))&lt;&gt;"",A3240&gt;INDEX(Mitarbeiter!$D$6:$D$205,MATCH(B3240,Mitarbeiter!$A$6:$A$205,0))),"nach Austritt","ok")))))))</f>
        <v/>
      </c>
    </row>
    <row r="3241">
      <c r="A3241" s="26" t="n"/>
      <c r="B3241" s="24" t="n"/>
      <c r="C3241" s="40">
        <f>IF(B3241="","",IFERROR(INDEX(Mitarbeiter!$B$6:$B$205,MATCH(B3241,Mitarbeiter!$A$6:$A$205,0)),"?"))</f>
        <v/>
      </c>
      <c r="D3241" s="41" t="n"/>
      <c r="E3241" s="42" t="n"/>
      <c r="F3241" s="43" t="n"/>
      <c r="G3241" s="44">
        <f>IF(OR(B3241="",F3241=""),"",IFERROR(F3241*INDEX(Mitarbeiter!$F$6:$F$205,MATCH(B3241,Mitarbeiter!$A$6:$A$205,0)),0))</f>
        <v/>
      </c>
      <c r="H3241" s="8">
        <f>IF(B3241="","",IF(ISNA(MATCH(B3241,Mitarbeiter!$A$6:$A$205,0)),"Pers.-Nr. unbekannt",IF(A3241="","Datum fehlt",IF(AND(D3241&lt;&gt;Einstellungen!$C$4,D3241&lt;&gt;Einstellungen!$C$5),"Objekt fehlt",IF(YEAR(A3241)&lt;&gt;Einstellungen!$C$3,"anderes Jahr",IF(A3241&lt;INDEX(Mitarbeiter!$C$6:$C$205,MATCH(B3241,Mitarbeiter!$A$6:$A$205,0)),"vor Eintritt",IF(AND(INDEX(Mitarbeiter!$D$6:$D$205,MATCH(B3241,Mitarbeiter!$A$6:$A$205,0))&lt;&gt;"",A3241&gt;INDEX(Mitarbeiter!$D$6:$D$205,MATCH(B3241,Mitarbeiter!$A$6:$A$205,0))),"nach Austritt","ok")))))))</f>
        <v/>
      </c>
    </row>
    <row r="3242">
      <c r="A3242" s="26" t="n"/>
      <c r="B3242" s="24" t="n"/>
      <c r="C3242" s="40">
        <f>IF(B3242="","",IFERROR(INDEX(Mitarbeiter!$B$6:$B$205,MATCH(B3242,Mitarbeiter!$A$6:$A$205,0)),"?"))</f>
        <v/>
      </c>
      <c r="D3242" s="41" t="n"/>
      <c r="E3242" s="42" t="n"/>
      <c r="F3242" s="43" t="n"/>
      <c r="G3242" s="44">
        <f>IF(OR(B3242="",F3242=""),"",IFERROR(F3242*INDEX(Mitarbeiter!$F$6:$F$205,MATCH(B3242,Mitarbeiter!$A$6:$A$205,0)),0))</f>
        <v/>
      </c>
      <c r="H3242" s="8">
        <f>IF(B3242="","",IF(ISNA(MATCH(B3242,Mitarbeiter!$A$6:$A$205,0)),"Pers.-Nr. unbekannt",IF(A3242="","Datum fehlt",IF(AND(D3242&lt;&gt;Einstellungen!$C$4,D3242&lt;&gt;Einstellungen!$C$5),"Objekt fehlt",IF(YEAR(A3242)&lt;&gt;Einstellungen!$C$3,"anderes Jahr",IF(A3242&lt;INDEX(Mitarbeiter!$C$6:$C$205,MATCH(B3242,Mitarbeiter!$A$6:$A$205,0)),"vor Eintritt",IF(AND(INDEX(Mitarbeiter!$D$6:$D$205,MATCH(B3242,Mitarbeiter!$A$6:$A$205,0))&lt;&gt;"",A3242&gt;INDEX(Mitarbeiter!$D$6:$D$205,MATCH(B3242,Mitarbeiter!$A$6:$A$205,0))),"nach Austritt","ok")))))))</f>
        <v/>
      </c>
    </row>
    <row r="3243">
      <c r="A3243" s="26" t="n"/>
      <c r="B3243" s="24" t="n"/>
      <c r="C3243" s="40">
        <f>IF(B3243="","",IFERROR(INDEX(Mitarbeiter!$B$6:$B$205,MATCH(B3243,Mitarbeiter!$A$6:$A$205,0)),"?"))</f>
        <v/>
      </c>
      <c r="D3243" s="41" t="n"/>
      <c r="E3243" s="42" t="n"/>
      <c r="F3243" s="43" t="n"/>
      <c r="G3243" s="44">
        <f>IF(OR(B3243="",F3243=""),"",IFERROR(F3243*INDEX(Mitarbeiter!$F$6:$F$205,MATCH(B3243,Mitarbeiter!$A$6:$A$205,0)),0))</f>
        <v/>
      </c>
      <c r="H3243" s="8">
        <f>IF(B3243="","",IF(ISNA(MATCH(B3243,Mitarbeiter!$A$6:$A$205,0)),"Pers.-Nr. unbekannt",IF(A3243="","Datum fehlt",IF(AND(D3243&lt;&gt;Einstellungen!$C$4,D3243&lt;&gt;Einstellungen!$C$5),"Objekt fehlt",IF(YEAR(A3243)&lt;&gt;Einstellungen!$C$3,"anderes Jahr",IF(A3243&lt;INDEX(Mitarbeiter!$C$6:$C$205,MATCH(B3243,Mitarbeiter!$A$6:$A$205,0)),"vor Eintritt",IF(AND(INDEX(Mitarbeiter!$D$6:$D$205,MATCH(B3243,Mitarbeiter!$A$6:$A$205,0))&lt;&gt;"",A3243&gt;INDEX(Mitarbeiter!$D$6:$D$205,MATCH(B3243,Mitarbeiter!$A$6:$A$205,0))),"nach Austritt","ok")))))))</f>
        <v/>
      </c>
    </row>
    <row r="3244">
      <c r="A3244" s="26" t="n"/>
      <c r="B3244" s="24" t="n"/>
      <c r="C3244" s="40">
        <f>IF(B3244="","",IFERROR(INDEX(Mitarbeiter!$B$6:$B$205,MATCH(B3244,Mitarbeiter!$A$6:$A$205,0)),"?"))</f>
        <v/>
      </c>
      <c r="D3244" s="41" t="n"/>
      <c r="E3244" s="42" t="n"/>
      <c r="F3244" s="43" t="n"/>
      <c r="G3244" s="44">
        <f>IF(OR(B3244="",F3244=""),"",IFERROR(F3244*INDEX(Mitarbeiter!$F$6:$F$205,MATCH(B3244,Mitarbeiter!$A$6:$A$205,0)),0))</f>
        <v/>
      </c>
      <c r="H3244" s="8">
        <f>IF(B3244="","",IF(ISNA(MATCH(B3244,Mitarbeiter!$A$6:$A$205,0)),"Pers.-Nr. unbekannt",IF(A3244="","Datum fehlt",IF(AND(D3244&lt;&gt;Einstellungen!$C$4,D3244&lt;&gt;Einstellungen!$C$5),"Objekt fehlt",IF(YEAR(A3244)&lt;&gt;Einstellungen!$C$3,"anderes Jahr",IF(A3244&lt;INDEX(Mitarbeiter!$C$6:$C$205,MATCH(B3244,Mitarbeiter!$A$6:$A$205,0)),"vor Eintritt",IF(AND(INDEX(Mitarbeiter!$D$6:$D$205,MATCH(B3244,Mitarbeiter!$A$6:$A$205,0))&lt;&gt;"",A3244&gt;INDEX(Mitarbeiter!$D$6:$D$205,MATCH(B3244,Mitarbeiter!$A$6:$A$205,0))),"nach Austritt","ok")))))))</f>
        <v/>
      </c>
    </row>
    <row r="3245">
      <c r="A3245" s="26" t="n"/>
      <c r="B3245" s="24" t="n"/>
      <c r="C3245" s="40">
        <f>IF(B3245="","",IFERROR(INDEX(Mitarbeiter!$B$6:$B$205,MATCH(B3245,Mitarbeiter!$A$6:$A$205,0)),"?"))</f>
        <v/>
      </c>
      <c r="D3245" s="41" t="n"/>
      <c r="E3245" s="42" t="n"/>
      <c r="F3245" s="43" t="n"/>
      <c r="G3245" s="44">
        <f>IF(OR(B3245="",F3245=""),"",IFERROR(F3245*INDEX(Mitarbeiter!$F$6:$F$205,MATCH(B3245,Mitarbeiter!$A$6:$A$205,0)),0))</f>
        <v/>
      </c>
      <c r="H3245" s="8">
        <f>IF(B3245="","",IF(ISNA(MATCH(B3245,Mitarbeiter!$A$6:$A$205,0)),"Pers.-Nr. unbekannt",IF(A3245="","Datum fehlt",IF(AND(D3245&lt;&gt;Einstellungen!$C$4,D3245&lt;&gt;Einstellungen!$C$5),"Objekt fehlt",IF(YEAR(A3245)&lt;&gt;Einstellungen!$C$3,"anderes Jahr",IF(A3245&lt;INDEX(Mitarbeiter!$C$6:$C$205,MATCH(B3245,Mitarbeiter!$A$6:$A$205,0)),"vor Eintritt",IF(AND(INDEX(Mitarbeiter!$D$6:$D$205,MATCH(B3245,Mitarbeiter!$A$6:$A$205,0))&lt;&gt;"",A3245&gt;INDEX(Mitarbeiter!$D$6:$D$205,MATCH(B3245,Mitarbeiter!$A$6:$A$205,0))),"nach Austritt","ok")))))))</f>
        <v/>
      </c>
    </row>
    <row r="3246">
      <c r="A3246" s="26" t="n"/>
      <c r="B3246" s="24" t="n"/>
      <c r="C3246" s="40">
        <f>IF(B3246="","",IFERROR(INDEX(Mitarbeiter!$B$6:$B$205,MATCH(B3246,Mitarbeiter!$A$6:$A$205,0)),"?"))</f>
        <v/>
      </c>
      <c r="D3246" s="41" t="n"/>
      <c r="E3246" s="42" t="n"/>
      <c r="F3246" s="43" t="n"/>
      <c r="G3246" s="44">
        <f>IF(OR(B3246="",F3246=""),"",IFERROR(F3246*INDEX(Mitarbeiter!$F$6:$F$205,MATCH(B3246,Mitarbeiter!$A$6:$A$205,0)),0))</f>
        <v/>
      </c>
      <c r="H3246" s="8">
        <f>IF(B3246="","",IF(ISNA(MATCH(B3246,Mitarbeiter!$A$6:$A$205,0)),"Pers.-Nr. unbekannt",IF(A3246="","Datum fehlt",IF(AND(D3246&lt;&gt;Einstellungen!$C$4,D3246&lt;&gt;Einstellungen!$C$5),"Objekt fehlt",IF(YEAR(A3246)&lt;&gt;Einstellungen!$C$3,"anderes Jahr",IF(A3246&lt;INDEX(Mitarbeiter!$C$6:$C$205,MATCH(B3246,Mitarbeiter!$A$6:$A$205,0)),"vor Eintritt",IF(AND(INDEX(Mitarbeiter!$D$6:$D$205,MATCH(B3246,Mitarbeiter!$A$6:$A$205,0))&lt;&gt;"",A3246&gt;INDEX(Mitarbeiter!$D$6:$D$205,MATCH(B3246,Mitarbeiter!$A$6:$A$205,0))),"nach Austritt","ok")))))))</f>
        <v/>
      </c>
    </row>
    <row r="3247">
      <c r="A3247" s="26" t="n"/>
      <c r="B3247" s="24" t="n"/>
      <c r="C3247" s="40">
        <f>IF(B3247="","",IFERROR(INDEX(Mitarbeiter!$B$6:$B$205,MATCH(B3247,Mitarbeiter!$A$6:$A$205,0)),"?"))</f>
        <v/>
      </c>
      <c r="D3247" s="41" t="n"/>
      <c r="E3247" s="42" t="n"/>
      <c r="F3247" s="43" t="n"/>
      <c r="G3247" s="44">
        <f>IF(OR(B3247="",F3247=""),"",IFERROR(F3247*INDEX(Mitarbeiter!$F$6:$F$205,MATCH(B3247,Mitarbeiter!$A$6:$A$205,0)),0))</f>
        <v/>
      </c>
      <c r="H3247" s="8">
        <f>IF(B3247="","",IF(ISNA(MATCH(B3247,Mitarbeiter!$A$6:$A$205,0)),"Pers.-Nr. unbekannt",IF(A3247="","Datum fehlt",IF(AND(D3247&lt;&gt;Einstellungen!$C$4,D3247&lt;&gt;Einstellungen!$C$5),"Objekt fehlt",IF(YEAR(A3247)&lt;&gt;Einstellungen!$C$3,"anderes Jahr",IF(A3247&lt;INDEX(Mitarbeiter!$C$6:$C$205,MATCH(B3247,Mitarbeiter!$A$6:$A$205,0)),"vor Eintritt",IF(AND(INDEX(Mitarbeiter!$D$6:$D$205,MATCH(B3247,Mitarbeiter!$A$6:$A$205,0))&lt;&gt;"",A3247&gt;INDEX(Mitarbeiter!$D$6:$D$205,MATCH(B3247,Mitarbeiter!$A$6:$A$205,0))),"nach Austritt","ok")))))))</f>
        <v/>
      </c>
    </row>
    <row r="3248">
      <c r="A3248" s="26" t="n"/>
      <c r="B3248" s="24" t="n"/>
      <c r="C3248" s="40">
        <f>IF(B3248="","",IFERROR(INDEX(Mitarbeiter!$B$6:$B$205,MATCH(B3248,Mitarbeiter!$A$6:$A$205,0)),"?"))</f>
        <v/>
      </c>
      <c r="D3248" s="41" t="n"/>
      <c r="E3248" s="42" t="n"/>
      <c r="F3248" s="43" t="n"/>
      <c r="G3248" s="44">
        <f>IF(OR(B3248="",F3248=""),"",IFERROR(F3248*INDEX(Mitarbeiter!$F$6:$F$205,MATCH(B3248,Mitarbeiter!$A$6:$A$205,0)),0))</f>
        <v/>
      </c>
      <c r="H3248" s="8">
        <f>IF(B3248="","",IF(ISNA(MATCH(B3248,Mitarbeiter!$A$6:$A$205,0)),"Pers.-Nr. unbekannt",IF(A3248="","Datum fehlt",IF(AND(D3248&lt;&gt;Einstellungen!$C$4,D3248&lt;&gt;Einstellungen!$C$5),"Objekt fehlt",IF(YEAR(A3248)&lt;&gt;Einstellungen!$C$3,"anderes Jahr",IF(A3248&lt;INDEX(Mitarbeiter!$C$6:$C$205,MATCH(B3248,Mitarbeiter!$A$6:$A$205,0)),"vor Eintritt",IF(AND(INDEX(Mitarbeiter!$D$6:$D$205,MATCH(B3248,Mitarbeiter!$A$6:$A$205,0))&lt;&gt;"",A3248&gt;INDEX(Mitarbeiter!$D$6:$D$205,MATCH(B3248,Mitarbeiter!$A$6:$A$205,0))),"nach Austritt","ok")))))))</f>
        <v/>
      </c>
    </row>
    <row r="3249">
      <c r="A3249" s="26" t="n"/>
      <c r="B3249" s="24" t="n"/>
      <c r="C3249" s="40">
        <f>IF(B3249="","",IFERROR(INDEX(Mitarbeiter!$B$6:$B$205,MATCH(B3249,Mitarbeiter!$A$6:$A$205,0)),"?"))</f>
        <v/>
      </c>
      <c r="D3249" s="41" t="n"/>
      <c r="E3249" s="42" t="n"/>
      <c r="F3249" s="43" t="n"/>
      <c r="G3249" s="44">
        <f>IF(OR(B3249="",F3249=""),"",IFERROR(F3249*INDEX(Mitarbeiter!$F$6:$F$205,MATCH(B3249,Mitarbeiter!$A$6:$A$205,0)),0))</f>
        <v/>
      </c>
      <c r="H3249" s="8">
        <f>IF(B3249="","",IF(ISNA(MATCH(B3249,Mitarbeiter!$A$6:$A$205,0)),"Pers.-Nr. unbekannt",IF(A3249="","Datum fehlt",IF(AND(D3249&lt;&gt;Einstellungen!$C$4,D3249&lt;&gt;Einstellungen!$C$5),"Objekt fehlt",IF(YEAR(A3249)&lt;&gt;Einstellungen!$C$3,"anderes Jahr",IF(A3249&lt;INDEX(Mitarbeiter!$C$6:$C$205,MATCH(B3249,Mitarbeiter!$A$6:$A$205,0)),"vor Eintritt",IF(AND(INDEX(Mitarbeiter!$D$6:$D$205,MATCH(B3249,Mitarbeiter!$A$6:$A$205,0))&lt;&gt;"",A3249&gt;INDEX(Mitarbeiter!$D$6:$D$205,MATCH(B3249,Mitarbeiter!$A$6:$A$205,0))),"nach Austritt","ok")))))))</f>
        <v/>
      </c>
    </row>
    <row r="3250">
      <c r="A3250" s="26" t="n"/>
      <c r="B3250" s="24" t="n"/>
      <c r="C3250" s="40">
        <f>IF(B3250="","",IFERROR(INDEX(Mitarbeiter!$B$6:$B$205,MATCH(B3250,Mitarbeiter!$A$6:$A$205,0)),"?"))</f>
        <v/>
      </c>
      <c r="D3250" s="41" t="n"/>
      <c r="E3250" s="42" t="n"/>
      <c r="F3250" s="43" t="n"/>
      <c r="G3250" s="44">
        <f>IF(OR(B3250="",F3250=""),"",IFERROR(F3250*INDEX(Mitarbeiter!$F$6:$F$205,MATCH(B3250,Mitarbeiter!$A$6:$A$205,0)),0))</f>
        <v/>
      </c>
      <c r="H3250" s="8">
        <f>IF(B3250="","",IF(ISNA(MATCH(B3250,Mitarbeiter!$A$6:$A$205,0)),"Pers.-Nr. unbekannt",IF(A3250="","Datum fehlt",IF(AND(D3250&lt;&gt;Einstellungen!$C$4,D3250&lt;&gt;Einstellungen!$C$5),"Objekt fehlt",IF(YEAR(A3250)&lt;&gt;Einstellungen!$C$3,"anderes Jahr",IF(A3250&lt;INDEX(Mitarbeiter!$C$6:$C$205,MATCH(B3250,Mitarbeiter!$A$6:$A$205,0)),"vor Eintritt",IF(AND(INDEX(Mitarbeiter!$D$6:$D$205,MATCH(B3250,Mitarbeiter!$A$6:$A$205,0))&lt;&gt;"",A3250&gt;INDEX(Mitarbeiter!$D$6:$D$205,MATCH(B3250,Mitarbeiter!$A$6:$A$205,0))),"nach Austritt","ok")))))))</f>
        <v/>
      </c>
    </row>
    <row r="3251">
      <c r="A3251" s="26" t="n"/>
      <c r="B3251" s="24" t="n"/>
      <c r="C3251" s="40">
        <f>IF(B3251="","",IFERROR(INDEX(Mitarbeiter!$B$6:$B$205,MATCH(B3251,Mitarbeiter!$A$6:$A$205,0)),"?"))</f>
        <v/>
      </c>
      <c r="D3251" s="41" t="n"/>
      <c r="E3251" s="42" t="n"/>
      <c r="F3251" s="43" t="n"/>
      <c r="G3251" s="44">
        <f>IF(OR(B3251="",F3251=""),"",IFERROR(F3251*INDEX(Mitarbeiter!$F$6:$F$205,MATCH(B3251,Mitarbeiter!$A$6:$A$205,0)),0))</f>
        <v/>
      </c>
      <c r="H3251" s="8">
        <f>IF(B3251="","",IF(ISNA(MATCH(B3251,Mitarbeiter!$A$6:$A$205,0)),"Pers.-Nr. unbekannt",IF(A3251="","Datum fehlt",IF(AND(D3251&lt;&gt;Einstellungen!$C$4,D3251&lt;&gt;Einstellungen!$C$5),"Objekt fehlt",IF(YEAR(A3251)&lt;&gt;Einstellungen!$C$3,"anderes Jahr",IF(A3251&lt;INDEX(Mitarbeiter!$C$6:$C$205,MATCH(B3251,Mitarbeiter!$A$6:$A$205,0)),"vor Eintritt",IF(AND(INDEX(Mitarbeiter!$D$6:$D$205,MATCH(B3251,Mitarbeiter!$A$6:$A$205,0))&lt;&gt;"",A3251&gt;INDEX(Mitarbeiter!$D$6:$D$205,MATCH(B3251,Mitarbeiter!$A$6:$A$205,0))),"nach Austritt","ok")))))))</f>
        <v/>
      </c>
    </row>
    <row r="3252">
      <c r="A3252" s="26" t="n"/>
      <c r="B3252" s="24" t="n"/>
      <c r="C3252" s="40">
        <f>IF(B3252="","",IFERROR(INDEX(Mitarbeiter!$B$6:$B$205,MATCH(B3252,Mitarbeiter!$A$6:$A$205,0)),"?"))</f>
        <v/>
      </c>
      <c r="D3252" s="41" t="n"/>
      <c r="E3252" s="42" t="n"/>
      <c r="F3252" s="43" t="n"/>
      <c r="G3252" s="44">
        <f>IF(OR(B3252="",F3252=""),"",IFERROR(F3252*INDEX(Mitarbeiter!$F$6:$F$205,MATCH(B3252,Mitarbeiter!$A$6:$A$205,0)),0))</f>
        <v/>
      </c>
      <c r="H3252" s="8">
        <f>IF(B3252="","",IF(ISNA(MATCH(B3252,Mitarbeiter!$A$6:$A$205,0)),"Pers.-Nr. unbekannt",IF(A3252="","Datum fehlt",IF(AND(D3252&lt;&gt;Einstellungen!$C$4,D3252&lt;&gt;Einstellungen!$C$5),"Objekt fehlt",IF(YEAR(A3252)&lt;&gt;Einstellungen!$C$3,"anderes Jahr",IF(A3252&lt;INDEX(Mitarbeiter!$C$6:$C$205,MATCH(B3252,Mitarbeiter!$A$6:$A$205,0)),"vor Eintritt",IF(AND(INDEX(Mitarbeiter!$D$6:$D$205,MATCH(B3252,Mitarbeiter!$A$6:$A$205,0))&lt;&gt;"",A3252&gt;INDEX(Mitarbeiter!$D$6:$D$205,MATCH(B3252,Mitarbeiter!$A$6:$A$205,0))),"nach Austritt","ok")))))))</f>
        <v/>
      </c>
    </row>
    <row r="3253">
      <c r="A3253" s="26" t="n"/>
      <c r="B3253" s="24" t="n"/>
      <c r="C3253" s="40">
        <f>IF(B3253="","",IFERROR(INDEX(Mitarbeiter!$B$6:$B$205,MATCH(B3253,Mitarbeiter!$A$6:$A$205,0)),"?"))</f>
        <v/>
      </c>
      <c r="D3253" s="41" t="n"/>
      <c r="E3253" s="42" t="n"/>
      <c r="F3253" s="43" t="n"/>
      <c r="G3253" s="44">
        <f>IF(OR(B3253="",F3253=""),"",IFERROR(F3253*INDEX(Mitarbeiter!$F$6:$F$205,MATCH(B3253,Mitarbeiter!$A$6:$A$205,0)),0))</f>
        <v/>
      </c>
      <c r="H3253" s="8">
        <f>IF(B3253="","",IF(ISNA(MATCH(B3253,Mitarbeiter!$A$6:$A$205,0)),"Pers.-Nr. unbekannt",IF(A3253="","Datum fehlt",IF(AND(D3253&lt;&gt;Einstellungen!$C$4,D3253&lt;&gt;Einstellungen!$C$5),"Objekt fehlt",IF(YEAR(A3253)&lt;&gt;Einstellungen!$C$3,"anderes Jahr",IF(A3253&lt;INDEX(Mitarbeiter!$C$6:$C$205,MATCH(B3253,Mitarbeiter!$A$6:$A$205,0)),"vor Eintritt",IF(AND(INDEX(Mitarbeiter!$D$6:$D$205,MATCH(B3253,Mitarbeiter!$A$6:$A$205,0))&lt;&gt;"",A3253&gt;INDEX(Mitarbeiter!$D$6:$D$205,MATCH(B3253,Mitarbeiter!$A$6:$A$205,0))),"nach Austritt","ok")))))))</f>
        <v/>
      </c>
    </row>
    <row r="3254">
      <c r="A3254" s="26" t="n"/>
      <c r="B3254" s="24" t="n"/>
      <c r="C3254" s="40">
        <f>IF(B3254="","",IFERROR(INDEX(Mitarbeiter!$B$6:$B$205,MATCH(B3254,Mitarbeiter!$A$6:$A$205,0)),"?"))</f>
        <v/>
      </c>
      <c r="D3254" s="41" t="n"/>
      <c r="E3254" s="42" t="n"/>
      <c r="F3254" s="43" t="n"/>
      <c r="G3254" s="44">
        <f>IF(OR(B3254="",F3254=""),"",IFERROR(F3254*INDEX(Mitarbeiter!$F$6:$F$205,MATCH(B3254,Mitarbeiter!$A$6:$A$205,0)),0))</f>
        <v/>
      </c>
      <c r="H3254" s="8">
        <f>IF(B3254="","",IF(ISNA(MATCH(B3254,Mitarbeiter!$A$6:$A$205,0)),"Pers.-Nr. unbekannt",IF(A3254="","Datum fehlt",IF(AND(D3254&lt;&gt;Einstellungen!$C$4,D3254&lt;&gt;Einstellungen!$C$5),"Objekt fehlt",IF(YEAR(A3254)&lt;&gt;Einstellungen!$C$3,"anderes Jahr",IF(A3254&lt;INDEX(Mitarbeiter!$C$6:$C$205,MATCH(B3254,Mitarbeiter!$A$6:$A$205,0)),"vor Eintritt",IF(AND(INDEX(Mitarbeiter!$D$6:$D$205,MATCH(B3254,Mitarbeiter!$A$6:$A$205,0))&lt;&gt;"",A3254&gt;INDEX(Mitarbeiter!$D$6:$D$205,MATCH(B3254,Mitarbeiter!$A$6:$A$205,0))),"nach Austritt","ok")))))))</f>
        <v/>
      </c>
    </row>
    <row r="3255">
      <c r="A3255" s="26" t="n"/>
      <c r="B3255" s="24" t="n"/>
      <c r="C3255" s="40">
        <f>IF(B3255="","",IFERROR(INDEX(Mitarbeiter!$B$6:$B$205,MATCH(B3255,Mitarbeiter!$A$6:$A$205,0)),"?"))</f>
        <v/>
      </c>
      <c r="D3255" s="41" t="n"/>
      <c r="E3255" s="42" t="n"/>
      <c r="F3255" s="43" t="n"/>
      <c r="G3255" s="44">
        <f>IF(OR(B3255="",F3255=""),"",IFERROR(F3255*INDEX(Mitarbeiter!$F$6:$F$205,MATCH(B3255,Mitarbeiter!$A$6:$A$205,0)),0))</f>
        <v/>
      </c>
      <c r="H3255" s="8">
        <f>IF(B3255="","",IF(ISNA(MATCH(B3255,Mitarbeiter!$A$6:$A$205,0)),"Pers.-Nr. unbekannt",IF(A3255="","Datum fehlt",IF(AND(D3255&lt;&gt;Einstellungen!$C$4,D3255&lt;&gt;Einstellungen!$C$5),"Objekt fehlt",IF(YEAR(A3255)&lt;&gt;Einstellungen!$C$3,"anderes Jahr",IF(A3255&lt;INDEX(Mitarbeiter!$C$6:$C$205,MATCH(B3255,Mitarbeiter!$A$6:$A$205,0)),"vor Eintritt",IF(AND(INDEX(Mitarbeiter!$D$6:$D$205,MATCH(B3255,Mitarbeiter!$A$6:$A$205,0))&lt;&gt;"",A3255&gt;INDEX(Mitarbeiter!$D$6:$D$205,MATCH(B3255,Mitarbeiter!$A$6:$A$205,0))),"nach Austritt","ok")))))))</f>
        <v/>
      </c>
    </row>
    <row r="3256">
      <c r="A3256" s="26" t="n"/>
      <c r="B3256" s="24" t="n"/>
      <c r="C3256" s="40">
        <f>IF(B3256="","",IFERROR(INDEX(Mitarbeiter!$B$6:$B$205,MATCH(B3256,Mitarbeiter!$A$6:$A$205,0)),"?"))</f>
        <v/>
      </c>
      <c r="D3256" s="41" t="n"/>
      <c r="E3256" s="42" t="n"/>
      <c r="F3256" s="43" t="n"/>
      <c r="G3256" s="44">
        <f>IF(OR(B3256="",F3256=""),"",IFERROR(F3256*INDEX(Mitarbeiter!$F$6:$F$205,MATCH(B3256,Mitarbeiter!$A$6:$A$205,0)),0))</f>
        <v/>
      </c>
      <c r="H3256" s="8">
        <f>IF(B3256="","",IF(ISNA(MATCH(B3256,Mitarbeiter!$A$6:$A$205,0)),"Pers.-Nr. unbekannt",IF(A3256="","Datum fehlt",IF(AND(D3256&lt;&gt;Einstellungen!$C$4,D3256&lt;&gt;Einstellungen!$C$5),"Objekt fehlt",IF(YEAR(A3256)&lt;&gt;Einstellungen!$C$3,"anderes Jahr",IF(A3256&lt;INDEX(Mitarbeiter!$C$6:$C$205,MATCH(B3256,Mitarbeiter!$A$6:$A$205,0)),"vor Eintritt",IF(AND(INDEX(Mitarbeiter!$D$6:$D$205,MATCH(B3256,Mitarbeiter!$A$6:$A$205,0))&lt;&gt;"",A3256&gt;INDEX(Mitarbeiter!$D$6:$D$205,MATCH(B3256,Mitarbeiter!$A$6:$A$205,0))),"nach Austritt","ok")))))))</f>
        <v/>
      </c>
    </row>
    <row r="3257">
      <c r="A3257" s="26" t="n"/>
      <c r="B3257" s="24" t="n"/>
      <c r="C3257" s="40">
        <f>IF(B3257="","",IFERROR(INDEX(Mitarbeiter!$B$6:$B$205,MATCH(B3257,Mitarbeiter!$A$6:$A$205,0)),"?"))</f>
        <v/>
      </c>
      <c r="D3257" s="41" t="n"/>
      <c r="E3257" s="42" t="n"/>
      <c r="F3257" s="43" t="n"/>
      <c r="G3257" s="44">
        <f>IF(OR(B3257="",F3257=""),"",IFERROR(F3257*INDEX(Mitarbeiter!$F$6:$F$205,MATCH(B3257,Mitarbeiter!$A$6:$A$205,0)),0))</f>
        <v/>
      </c>
      <c r="H3257" s="8">
        <f>IF(B3257="","",IF(ISNA(MATCH(B3257,Mitarbeiter!$A$6:$A$205,0)),"Pers.-Nr. unbekannt",IF(A3257="","Datum fehlt",IF(AND(D3257&lt;&gt;Einstellungen!$C$4,D3257&lt;&gt;Einstellungen!$C$5),"Objekt fehlt",IF(YEAR(A3257)&lt;&gt;Einstellungen!$C$3,"anderes Jahr",IF(A3257&lt;INDEX(Mitarbeiter!$C$6:$C$205,MATCH(B3257,Mitarbeiter!$A$6:$A$205,0)),"vor Eintritt",IF(AND(INDEX(Mitarbeiter!$D$6:$D$205,MATCH(B3257,Mitarbeiter!$A$6:$A$205,0))&lt;&gt;"",A3257&gt;INDEX(Mitarbeiter!$D$6:$D$205,MATCH(B3257,Mitarbeiter!$A$6:$A$205,0))),"nach Austritt","ok")))))))</f>
        <v/>
      </c>
    </row>
    <row r="3258">
      <c r="A3258" s="26" t="n"/>
      <c r="B3258" s="24" t="n"/>
      <c r="C3258" s="40">
        <f>IF(B3258="","",IFERROR(INDEX(Mitarbeiter!$B$6:$B$205,MATCH(B3258,Mitarbeiter!$A$6:$A$205,0)),"?"))</f>
        <v/>
      </c>
      <c r="D3258" s="41" t="n"/>
      <c r="E3258" s="42" t="n"/>
      <c r="F3258" s="43" t="n"/>
      <c r="G3258" s="44">
        <f>IF(OR(B3258="",F3258=""),"",IFERROR(F3258*INDEX(Mitarbeiter!$F$6:$F$205,MATCH(B3258,Mitarbeiter!$A$6:$A$205,0)),0))</f>
        <v/>
      </c>
      <c r="H3258" s="8">
        <f>IF(B3258="","",IF(ISNA(MATCH(B3258,Mitarbeiter!$A$6:$A$205,0)),"Pers.-Nr. unbekannt",IF(A3258="","Datum fehlt",IF(AND(D3258&lt;&gt;Einstellungen!$C$4,D3258&lt;&gt;Einstellungen!$C$5),"Objekt fehlt",IF(YEAR(A3258)&lt;&gt;Einstellungen!$C$3,"anderes Jahr",IF(A3258&lt;INDEX(Mitarbeiter!$C$6:$C$205,MATCH(B3258,Mitarbeiter!$A$6:$A$205,0)),"vor Eintritt",IF(AND(INDEX(Mitarbeiter!$D$6:$D$205,MATCH(B3258,Mitarbeiter!$A$6:$A$205,0))&lt;&gt;"",A3258&gt;INDEX(Mitarbeiter!$D$6:$D$205,MATCH(B3258,Mitarbeiter!$A$6:$A$205,0))),"nach Austritt","ok")))))))</f>
        <v/>
      </c>
    </row>
    <row r="3259">
      <c r="A3259" s="26" t="n"/>
      <c r="B3259" s="24" t="n"/>
      <c r="C3259" s="40">
        <f>IF(B3259="","",IFERROR(INDEX(Mitarbeiter!$B$6:$B$205,MATCH(B3259,Mitarbeiter!$A$6:$A$205,0)),"?"))</f>
        <v/>
      </c>
      <c r="D3259" s="41" t="n"/>
      <c r="E3259" s="42" t="n"/>
      <c r="F3259" s="43" t="n"/>
      <c r="G3259" s="44">
        <f>IF(OR(B3259="",F3259=""),"",IFERROR(F3259*INDEX(Mitarbeiter!$F$6:$F$205,MATCH(B3259,Mitarbeiter!$A$6:$A$205,0)),0))</f>
        <v/>
      </c>
      <c r="H3259" s="8">
        <f>IF(B3259="","",IF(ISNA(MATCH(B3259,Mitarbeiter!$A$6:$A$205,0)),"Pers.-Nr. unbekannt",IF(A3259="","Datum fehlt",IF(AND(D3259&lt;&gt;Einstellungen!$C$4,D3259&lt;&gt;Einstellungen!$C$5),"Objekt fehlt",IF(YEAR(A3259)&lt;&gt;Einstellungen!$C$3,"anderes Jahr",IF(A3259&lt;INDEX(Mitarbeiter!$C$6:$C$205,MATCH(B3259,Mitarbeiter!$A$6:$A$205,0)),"vor Eintritt",IF(AND(INDEX(Mitarbeiter!$D$6:$D$205,MATCH(B3259,Mitarbeiter!$A$6:$A$205,0))&lt;&gt;"",A3259&gt;INDEX(Mitarbeiter!$D$6:$D$205,MATCH(B3259,Mitarbeiter!$A$6:$A$205,0))),"nach Austritt","ok")))))))</f>
        <v/>
      </c>
    </row>
    <row r="3260">
      <c r="A3260" s="26" t="n"/>
      <c r="B3260" s="24" t="n"/>
      <c r="C3260" s="40">
        <f>IF(B3260="","",IFERROR(INDEX(Mitarbeiter!$B$6:$B$205,MATCH(B3260,Mitarbeiter!$A$6:$A$205,0)),"?"))</f>
        <v/>
      </c>
      <c r="D3260" s="41" t="n"/>
      <c r="E3260" s="42" t="n"/>
      <c r="F3260" s="43" t="n"/>
      <c r="G3260" s="44">
        <f>IF(OR(B3260="",F3260=""),"",IFERROR(F3260*INDEX(Mitarbeiter!$F$6:$F$205,MATCH(B3260,Mitarbeiter!$A$6:$A$205,0)),0))</f>
        <v/>
      </c>
      <c r="H3260" s="8">
        <f>IF(B3260="","",IF(ISNA(MATCH(B3260,Mitarbeiter!$A$6:$A$205,0)),"Pers.-Nr. unbekannt",IF(A3260="","Datum fehlt",IF(AND(D3260&lt;&gt;Einstellungen!$C$4,D3260&lt;&gt;Einstellungen!$C$5),"Objekt fehlt",IF(YEAR(A3260)&lt;&gt;Einstellungen!$C$3,"anderes Jahr",IF(A3260&lt;INDEX(Mitarbeiter!$C$6:$C$205,MATCH(B3260,Mitarbeiter!$A$6:$A$205,0)),"vor Eintritt",IF(AND(INDEX(Mitarbeiter!$D$6:$D$205,MATCH(B3260,Mitarbeiter!$A$6:$A$205,0))&lt;&gt;"",A3260&gt;INDEX(Mitarbeiter!$D$6:$D$205,MATCH(B3260,Mitarbeiter!$A$6:$A$205,0))),"nach Austritt","ok")))))))</f>
        <v/>
      </c>
    </row>
    <row r="3261">
      <c r="A3261" s="26" t="n"/>
      <c r="B3261" s="24" t="n"/>
      <c r="C3261" s="40">
        <f>IF(B3261="","",IFERROR(INDEX(Mitarbeiter!$B$6:$B$205,MATCH(B3261,Mitarbeiter!$A$6:$A$205,0)),"?"))</f>
        <v/>
      </c>
      <c r="D3261" s="41" t="n"/>
      <c r="E3261" s="42" t="n"/>
      <c r="F3261" s="43" t="n"/>
      <c r="G3261" s="44">
        <f>IF(OR(B3261="",F3261=""),"",IFERROR(F3261*INDEX(Mitarbeiter!$F$6:$F$205,MATCH(B3261,Mitarbeiter!$A$6:$A$205,0)),0))</f>
        <v/>
      </c>
      <c r="H3261" s="8">
        <f>IF(B3261="","",IF(ISNA(MATCH(B3261,Mitarbeiter!$A$6:$A$205,0)),"Pers.-Nr. unbekannt",IF(A3261="","Datum fehlt",IF(AND(D3261&lt;&gt;Einstellungen!$C$4,D3261&lt;&gt;Einstellungen!$C$5),"Objekt fehlt",IF(YEAR(A3261)&lt;&gt;Einstellungen!$C$3,"anderes Jahr",IF(A3261&lt;INDEX(Mitarbeiter!$C$6:$C$205,MATCH(B3261,Mitarbeiter!$A$6:$A$205,0)),"vor Eintritt",IF(AND(INDEX(Mitarbeiter!$D$6:$D$205,MATCH(B3261,Mitarbeiter!$A$6:$A$205,0))&lt;&gt;"",A3261&gt;INDEX(Mitarbeiter!$D$6:$D$205,MATCH(B3261,Mitarbeiter!$A$6:$A$205,0))),"nach Austritt","ok")))))))</f>
        <v/>
      </c>
    </row>
    <row r="3262">
      <c r="A3262" s="26" t="n"/>
      <c r="B3262" s="24" t="n"/>
      <c r="C3262" s="40">
        <f>IF(B3262="","",IFERROR(INDEX(Mitarbeiter!$B$6:$B$205,MATCH(B3262,Mitarbeiter!$A$6:$A$205,0)),"?"))</f>
        <v/>
      </c>
      <c r="D3262" s="41" t="n"/>
      <c r="E3262" s="42" t="n"/>
      <c r="F3262" s="43" t="n"/>
      <c r="G3262" s="44">
        <f>IF(OR(B3262="",F3262=""),"",IFERROR(F3262*INDEX(Mitarbeiter!$F$6:$F$205,MATCH(B3262,Mitarbeiter!$A$6:$A$205,0)),0))</f>
        <v/>
      </c>
      <c r="H3262" s="8">
        <f>IF(B3262="","",IF(ISNA(MATCH(B3262,Mitarbeiter!$A$6:$A$205,0)),"Pers.-Nr. unbekannt",IF(A3262="","Datum fehlt",IF(AND(D3262&lt;&gt;Einstellungen!$C$4,D3262&lt;&gt;Einstellungen!$C$5),"Objekt fehlt",IF(YEAR(A3262)&lt;&gt;Einstellungen!$C$3,"anderes Jahr",IF(A3262&lt;INDEX(Mitarbeiter!$C$6:$C$205,MATCH(B3262,Mitarbeiter!$A$6:$A$205,0)),"vor Eintritt",IF(AND(INDEX(Mitarbeiter!$D$6:$D$205,MATCH(B3262,Mitarbeiter!$A$6:$A$205,0))&lt;&gt;"",A3262&gt;INDEX(Mitarbeiter!$D$6:$D$205,MATCH(B3262,Mitarbeiter!$A$6:$A$205,0))),"nach Austritt","ok")))))))</f>
        <v/>
      </c>
    </row>
    <row r="3263">
      <c r="A3263" s="26" t="n"/>
      <c r="B3263" s="24" t="n"/>
      <c r="C3263" s="40">
        <f>IF(B3263="","",IFERROR(INDEX(Mitarbeiter!$B$6:$B$205,MATCH(B3263,Mitarbeiter!$A$6:$A$205,0)),"?"))</f>
        <v/>
      </c>
      <c r="D3263" s="41" t="n"/>
      <c r="E3263" s="42" t="n"/>
      <c r="F3263" s="43" t="n"/>
      <c r="G3263" s="44">
        <f>IF(OR(B3263="",F3263=""),"",IFERROR(F3263*INDEX(Mitarbeiter!$F$6:$F$205,MATCH(B3263,Mitarbeiter!$A$6:$A$205,0)),0))</f>
        <v/>
      </c>
      <c r="H3263" s="8">
        <f>IF(B3263="","",IF(ISNA(MATCH(B3263,Mitarbeiter!$A$6:$A$205,0)),"Pers.-Nr. unbekannt",IF(A3263="","Datum fehlt",IF(AND(D3263&lt;&gt;Einstellungen!$C$4,D3263&lt;&gt;Einstellungen!$C$5),"Objekt fehlt",IF(YEAR(A3263)&lt;&gt;Einstellungen!$C$3,"anderes Jahr",IF(A3263&lt;INDEX(Mitarbeiter!$C$6:$C$205,MATCH(B3263,Mitarbeiter!$A$6:$A$205,0)),"vor Eintritt",IF(AND(INDEX(Mitarbeiter!$D$6:$D$205,MATCH(B3263,Mitarbeiter!$A$6:$A$205,0))&lt;&gt;"",A3263&gt;INDEX(Mitarbeiter!$D$6:$D$205,MATCH(B3263,Mitarbeiter!$A$6:$A$205,0))),"nach Austritt","ok")))))))</f>
        <v/>
      </c>
    </row>
    <row r="3264">
      <c r="A3264" s="26" t="n"/>
      <c r="B3264" s="24" t="n"/>
      <c r="C3264" s="40">
        <f>IF(B3264="","",IFERROR(INDEX(Mitarbeiter!$B$6:$B$205,MATCH(B3264,Mitarbeiter!$A$6:$A$205,0)),"?"))</f>
        <v/>
      </c>
      <c r="D3264" s="41" t="n"/>
      <c r="E3264" s="42" t="n"/>
      <c r="F3264" s="43" t="n"/>
      <c r="G3264" s="44">
        <f>IF(OR(B3264="",F3264=""),"",IFERROR(F3264*INDEX(Mitarbeiter!$F$6:$F$205,MATCH(B3264,Mitarbeiter!$A$6:$A$205,0)),0))</f>
        <v/>
      </c>
      <c r="H3264" s="8">
        <f>IF(B3264="","",IF(ISNA(MATCH(B3264,Mitarbeiter!$A$6:$A$205,0)),"Pers.-Nr. unbekannt",IF(A3264="","Datum fehlt",IF(AND(D3264&lt;&gt;Einstellungen!$C$4,D3264&lt;&gt;Einstellungen!$C$5),"Objekt fehlt",IF(YEAR(A3264)&lt;&gt;Einstellungen!$C$3,"anderes Jahr",IF(A3264&lt;INDEX(Mitarbeiter!$C$6:$C$205,MATCH(B3264,Mitarbeiter!$A$6:$A$205,0)),"vor Eintritt",IF(AND(INDEX(Mitarbeiter!$D$6:$D$205,MATCH(B3264,Mitarbeiter!$A$6:$A$205,0))&lt;&gt;"",A3264&gt;INDEX(Mitarbeiter!$D$6:$D$205,MATCH(B3264,Mitarbeiter!$A$6:$A$205,0))),"nach Austritt","ok")))))))</f>
        <v/>
      </c>
    </row>
    <row r="3265">
      <c r="A3265" s="26" t="n"/>
      <c r="B3265" s="24" t="n"/>
      <c r="C3265" s="40">
        <f>IF(B3265="","",IFERROR(INDEX(Mitarbeiter!$B$6:$B$205,MATCH(B3265,Mitarbeiter!$A$6:$A$205,0)),"?"))</f>
        <v/>
      </c>
      <c r="D3265" s="41" t="n"/>
      <c r="E3265" s="42" t="n"/>
      <c r="F3265" s="43" t="n"/>
      <c r="G3265" s="44">
        <f>IF(OR(B3265="",F3265=""),"",IFERROR(F3265*INDEX(Mitarbeiter!$F$6:$F$205,MATCH(B3265,Mitarbeiter!$A$6:$A$205,0)),0))</f>
        <v/>
      </c>
      <c r="H3265" s="8">
        <f>IF(B3265="","",IF(ISNA(MATCH(B3265,Mitarbeiter!$A$6:$A$205,0)),"Pers.-Nr. unbekannt",IF(A3265="","Datum fehlt",IF(AND(D3265&lt;&gt;Einstellungen!$C$4,D3265&lt;&gt;Einstellungen!$C$5),"Objekt fehlt",IF(YEAR(A3265)&lt;&gt;Einstellungen!$C$3,"anderes Jahr",IF(A3265&lt;INDEX(Mitarbeiter!$C$6:$C$205,MATCH(B3265,Mitarbeiter!$A$6:$A$205,0)),"vor Eintritt",IF(AND(INDEX(Mitarbeiter!$D$6:$D$205,MATCH(B3265,Mitarbeiter!$A$6:$A$205,0))&lt;&gt;"",A3265&gt;INDEX(Mitarbeiter!$D$6:$D$205,MATCH(B3265,Mitarbeiter!$A$6:$A$205,0))),"nach Austritt","ok")))))))</f>
        <v/>
      </c>
    </row>
    <row r="3266">
      <c r="A3266" s="26" t="n"/>
      <c r="B3266" s="24" t="n"/>
      <c r="C3266" s="40">
        <f>IF(B3266="","",IFERROR(INDEX(Mitarbeiter!$B$6:$B$205,MATCH(B3266,Mitarbeiter!$A$6:$A$205,0)),"?"))</f>
        <v/>
      </c>
      <c r="D3266" s="41" t="n"/>
      <c r="E3266" s="42" t="n"/>
      <c r="F3266" s="43" t="n"/>
      <c r="G3266" s="44">
        <f>IF(OR(B3266="",F3266=""),"",IFERROR(F3266*INDEX(Mitarbeiter!$F$6:$F$205,MATCH(B3266,Mitarbeiter!$A$6:$A$205,0)),0))</f>
        <v/>
      </c>
      <c r="H3266" s="8">
        <f>IF(B3266="","",IF(ISNA(MATCH(B3266,Mitarbeiter!$A$6:$A$205,0)),"Pers.-Nr. unbekannt",IF(A3266="","Datum fehlt",IF(AND(D3266&lt;&gt;Einstellungen!$C$4,D3266&lt;&gt;Einstellungen!$C$5),"Objekt fehlt",IF(YEAR(A3266)&lt;&gt;Einstellungen!$C$3,"anderes Jahr",IF(A3266&lt;INDEX(Mitarbeiter!$C$6:$C$205,MATCH(B3266,Mitarbeiter!$A$6:$A$205,0)),"vor Eintritt",IF(AND(INDEX(Mitarbeiter!$D$6:$D$205,MATCH(B3266,Mitarbeiter!$A$6:$A$205,0))&lt;&gt;"",A3266&gt;INDEX(Mitarbeiter!$D$6:$D$205,MATCH(B3266,Mitarbeiter!$A$6:$A$205,0))),"nach Austritt","ok")))))))</f>
        <v/>
      </c>
    </row>
    <row r="3267">
      <c r="A3267" s="26" t="n"/>
      <c r="B3267" s="24" t="n"/>
      <c r="C3267" s="40">
        <f>IF(B3267="","",IFERROR(INDEX(Mitarbeiter!$B$6:$B$205,MATCH(B3267,Mitarbeiter!$A$6:$A$205,0)),"?"))</f>
        <v/>
      </c>
      <c r="D3267" s="41" t="n"/>
      <c r="E3267" s="42" t="n"/>
      <c r="F3267" s="43" t="n"/>
      <c r="G3267" s="44">
        <f>IF(OR(B3267="",F3267=""),"",IFERROR(F3267*INDEX(Mitarbeiter!$F$6:$F$205,MATCH(B3267,Mitarbeiter!$A$6:$A$205,0)),0))</f>
        <v/>
      </c>
      <c r="H3267" s="8">
        <f>IF(B3267="","",IF(ISNA(MATCH(B3267,Mitarbeiter!$A$6:$A$205,0)),"Pers.-Nr. unbekannt",IF(A3267="","Datum fehlt",IF(AND(D3267&lt;&gt;Einstellungen!$C$4,D3267&lt;&gt;Einstellungen!$C$5),"Objekt fehlt",IF(YEAR(A3267)&lt;&gt;Einstellungen!$C$3,"anderes Jahr",IF(A3267&lt;INDEX(Mitarbeiter!$C$6:$C$205,MATCH(B3267,Mitarbeiter!$A$6:$A$205,0)),"vor Eintritt",IF(AND(INDEX(Mitarbeiter!$D$6:$D$205,MATCH(B3267,Mitarbeiter!$A$6:$A$205,0))&lt;&gt;"",A3267&gt;INDEX(Mitarbeiter!$D$6:$D$205,MATCH(B3267,Mitarbeiter!$A$6:$A$205,0))),"nach Austritt","ok")))))))</f>
        <v/>
      </c>
    </row>
    <row r="3268">
      <c r="A3268" s="26" t="n"/>
      <c r="B3268" s="24" t="n"/>
      <c r="C3268" s="40">
        <f>IF(B3268="","",IFERROR(INDEX(Mitarbeiter!$B$6:$B$205,MATCH(B3268,Mitarbeiter!$A$6:$A$205,0)),"?"))</f>
        <v/>
      </c>
      <c r="D3268" s="41" t="n"/>
      <c r="E3268" s="42" t="n"/>
      <c r="F3268" s="43" t="n"/>
      <c r="G3268" s="44">
        <f>IF(OR(B3268="",F3268=""),"",IFERROR(F3268*INDEX(Mitarbeiter!$F$6:$F$205,MATCH(B3268,Mitarbeiter!$A$6:$A$205,0)),0))</f>
        <v/>
      </c>
      <c r="H3268" s="8">
        <f>IF(B3268="","",IF(ISNA(MATCH(B3268,Mitarbeiter!$A$6:$A$205,0)),"Pers.-Nr. unbekannt",IF(A3268="","Datum fehlt",IF(AND(D3268&lt;&gt;Einstellungen!$C$4,D3268&lt;&gt;Einstellungen!$C$5),"Objekt fehlt",IF(YEAR(A3268)&lt;&gt;Einstellungen!$C$3,"anderes Jahr",IF(A3268&lt;INDEX(Mitarbeiter!$C$6:$C$205,MATCH(B3268,Mitarbeiter!$A$6:$A$205,0)),"vor Eintritt",IF(AND(INDEX(Mitarbeiter!$D$6:$D$205,MATCH(B3268,Mitarbeiter!$A$6:$A$205,0))&lt;&gt;"",A3268&gt;INDEX(Mitarbeiter!$D$6:$D$205,MATCH(B3268,Mitarbeiter!$A$6:$A$205,0))),"nach Austritt","ok")))))))</f>
        <v/>
      </c>
    </row>
    <row r="3269">
      <c r="A3269" s="26" t="n"/>
      <c r="B3269" s="24" t="n"/>
      <c r="C3269" s="40">
        <f>IF(B3269="","",IFERROR(INDEX(Mitarbeiter!$B$6:$B$205,MATCH(B3269,Mitarbeiter!$A$6:$A$205,0)),"?"))</f>
        <v/>
      </c>
      <c r="D3269" s="41" t="n"/>
      <c r="E3269" s="42" t="n"/>
      <c r="F3269" s="43" t="n"/>
      <c r="G3269" s="44">
        <f>IF(OR(B3269="",F3269=""),"",IFERROR(F3269*INDEX(Mitarbeiter!$F$6:$F$205,MATCH(B3269,Mitarbeiter!$A$6:$A$205,0)),0))</f>
        <v/>
      </c>
      <c r="H3269" s="8">
        <f>IF(B3269="","",IF(ISNA(MATCH(B3269,Mitarbeiter!$A$6:$A$205,0)),"Pers.-Nr. unbekannt",IF(A3269="","Datum fehlt",IF(AND(D3269&lt;&gt;Einstellungen!$C$4,D3269&lt;&gt;Einstellungen!$C$5),"Objekt fehlt",IF(YEAR(A3269)&lt;&gt;Einstellungen!$C$3,"anderes Jahr",IF(A3269&lt;INDEX(Mitarbeiter!$C$6:$C$205,MATCH(B3269,Mitarbeiter!$A$6:$A$205,0)),"vor Eintritt",IF(AND(INDEX(Mitarbeiter!$D$6:$D$205,MATCH(B3269,Mitarbeiter!$A$6:$A$205,0))&lt;&gt;"",A3269&gt;INDEX(Mitarbeiter!$D$6:$D$205,MATCH(B3269,Mitarbeiter!$A$6:$A$205,0))),"nach Austritt","ok")))))))</f>
        <v/>
      </c>
    </row>
    <row r="3270">
      <c r="A3270" s="26" t="n"/>
      <c r="B3270" s="24" t="n"/>
      <c r="C3270" s="40">
        <f>IF(B3270="","",IFERROR(INDEX(Mitarbeiter!$B$6:$B$205,MATCH(B3270,Mitarbeiter!$A$6:$A$205,0)),"?"))</f>
        <v/>
      </c>
      <c r="D3270" s="41" t="n"/>
      <c r="E3270" s="42" t="n"/>
      <c r="F3270" s="43" t="n"/>
      <c r="G3270" s="44">
        <f>IF(OR(B3270="",F3270=""),"",IFERROR(F3270*INDEX(Mitarbeiter!$F$6:$F$205,MATCH(B3270,Mitarbeiter!$A$6:$A$205,0)),0))</f>
        <v/>
      </c>
      <c r="H3270" s="8">
        <f>IF(B3270="","",IF(ISNA(MATCH(B3270,Mitarbeiter!$A$6:$A$205,0)),"Pers.-Nr. unbekannt",IF(A3270="","Datum fehlt",IF(AND(D3270&lt;&gt;Einstellungen!$C$4,D3270&lt;&gt;Einstellungen!$C$5),"Objekt fehlt",IF(YEAR(A3270)&lt;&gt;Einstellungen!$C$3,"anderes Jahr",IF(A3270&lt;INDEX(Mitarbeiter!$C$6:$C$205,MATCH(B3270,Mitarbeiter!$A$6:$A$205,0)),"vor Eintritt",IF(AND(INDEX(Mitarbeiter!$D$6:$D$205,MATCH(B3270,Mitarbeiter!$A$6:$A$205,0))&lt;&gt;"",A3270&gt;INDEX(Mitarbeiter!$D$6:$D$205,MATCH(B3270,Mitarbeiter!$A$6:$A$205,0))),"nach Austritt","ok")))))))</f>
        <v/>
      </c>
    </row>
    <row r="3271">
      <c r="A3271" s="26" t="n"/>
      <c r="B3271" s="24" t="n"/>
      <c r="C3271" s="40">
        <f>IF(B3271="","",IFERROR(INDEX(Mitarbeiter!$B$6:$B$205,MATCH(B3271,Mitarbeiter!$A$6:$A$205,0)),"?"))</f>
        <v/>
      </c>
      <c r="D3271" s="41" t="n"/>
      <c r="E3271" s="42" t="n"/>
      <c r="F3271" s="43" t="n"/>
      <c r="G3271" s="44">
        <f>IF(OR(B3271="",F3271=""),"",IFERROR(F3271*INDEX(Mitarbeiter!$F$6:$F$205,MATCH(B3271,Mitarbeiter!$A$6:$A$205,0)),0))</f>
        <v/>
      </c>
      <c r="H3271" s="8">
        <f>IF(B3271="","",IF(ISNA(MATCH(B3271,Mitarbeiter!$A$6:$A$205,0)),"Pers.-Nr. unbekannt",IF(A3271="","Datum fehlt",IF(AND(D3271&lt;&gt;Einstellungen!$C$4,D3271&lt;&gt;Einstellungen!$C$5),"Objekt fehlt",IF(YEAR(A3271)&lt;&gt;Einstellungen!$C$3,"anderes Jahr",IF(A3271&lt;INDEX(Mitarbeiter!$C$6:$C$205,MATCH(B3271,Mitarbeiter!$A$6:$A$205,0)),"vor Eintritt",IF(AND(INDEX(Mitarbeiter!$D$6:$D$205,MATCH(B3271,Mitarbeiter!$A$6:$A$205,0))&lt;&gt;"",A3271&gt;INDEX(Mitarbeiter!$D$6:$D$205,MATCH(B3271,Mitarbeiter!$A$6:$A$205,0))),"nach Austritt","ok")))))))</f>
        <v/>
      </c>
    </row>
    <row r="3272">
      <c r="A3272" s="26" t="n"/>
      <c r="B3272" s="24" t="n"/>
      <c r="C3272" s="40">
        <f>IF(B3272="","",IFERROR(INDEX(Mitarbeiter!$B$6:$B$205,MATCH(B3272,Mitarbeiter!$A$6:$A$205,0)),"?"))</f>
        <v/>
      </c>
      <c r="D3272" s="41" t="n"/>
      <c r="E3272" s="42" t="n"/>
      <c r="F3272" s="43" t="n"/>
      <c r="G3272" s="44">
        <f>IF(OR(B3272="",F3272=""),"",IFERROR(F3272*INDEX(Mitarbeiter!$F$6:$F$205,MATCH(B3272,Mitarbeiter!$A$6:$A$205,0)),0))</f>
        <v/>
      </c>
      <c r="H3272" s="8">
        <f>IF(B3272="","",IF(ISNA(MATCH(B3272,Mitarbeiter!$A$6:$A$205,0)),"Pers.-Nr. unbekannt",IF(A3272="","Datum fehlt",IF(AND(D3272&lt;&gt;Einstellungen!$C$4,D3272&lt;&gt;Einstellungen!$C$5),"Objekt fehlt",IF(YEAR(A3272)&lt;&gt;Einstellungen!$C$3,"anderes Jahr",IF(A3272&lt;INDEX(Mitarbeiter!$C$6:$C$205,MATCH(B3272,Mitarbeiter!$A$6:$A$205,0)),"vor Eintritt",IF(AND(INDEX(Mitarbeiter!$D$6:$D$205,MATCH(B3272,Mitarbeiter!$A$6:$A$205,0))&lt;&gt;"",A3272&gt;INDEX(Mitarbeiter!$D$6:$D$205,MATCH(B3272,Mitarbeiter!$A$6:$A$205,0))),"nach Austritt","ok")))))))</f>
        <v/>
      </c>
    </row>
    <row r="3273">
      <c r="A3273" s="26" t="n"/>
      <c r="B3273" s="24" t="n"/>
      <c r="C3273" s="40">
        <f>IF(B3273="","",IFERROR(INDEX(Mitarbeiter!$B$6:$B$205,MATCH(B3273,Mitarbeiter!$A$6:$A$205,0)),"?"))</f>
        <v/>
      </c>
      <c r="D3273" s="41" t="n"/>
      <c r="E3273" s="42" t="n"/>
      <c r="F3273" s="43" t="n"/>
      <c r="G3273" s="44">
        <f>IF(OR(B3273="",F3273=""),"",IFERROR(F3273*INDEX(Mitarbeiter!$F$6:$F$205,MATCH(B3273,Mitarbeiter!$A$6:$A$205,0)),0))</f>
        <v/>
      </c>
      <c r="H3273" s="8">
        <f>IF(B3273="","",IF(ISNA(MATCH(B3273,Mitarbeiter!$A$6:$A$205,0)),"Pers.-Nr. unbekannt",IF(A3273="","Datum fehlt",IF(AND(D3273&lt;&gt;Einstellungen!$C$4,D3273&lt;&gt;Einstellungen!$C$5),"Objekt fehlt",IF(YEAR(A3273)&lt;&gt;Einstellungen!$C$3,"anderes Jahr",IF(A3273&lt;INDEX(Mitarbeiter!$C$6:$C$205,MATCH(B3273,Mitarbeiter!$A$6:$A$205,0)),"vor Eintritt",IF(AND(INDEX(Mitarbeiter!$D$6:$D$205,MATCH(B3273,Mitarbeiter!$A$6:$A$205,0))&lt;&gt;"",A3273&gt;INDEX(Mitarbeiter!$D$6:$D$205,MATCH(B3273,Mitarbeiter!$A$6:$A$205,0))),"nach Austritt","ok")))))))</f>
        <v/>
      </c>
    </row>
    <row r="3274">
      <c r="A3274" s="26" t="n"/>
      <c r="B3274" s="24" t="n"/>
      <c r="C3274" s="40">
        <f>IF(B3274="","",IFERROR(INDEX(Mitarbeiter!$B$6:$B$205,MATCH(B3274,Mitarbeiter!$A$6:$A$205,0)),"?"))</f>
        <v/>
      </c>
      <c r="D3274" s="41" t="n"/>
      <c r="E3274" s="42" t="n"/>
      <c r="F3274" s="43" t="n"/>
      <c r="G3274" s="44">
        <f>IF(OR(B3274="",F3274=""),"",IFERROR(F3274*INDEX(Mitarbeiter!$F$6:$F$205,MATCH(B3274,Mitarbeiter!$A$6:$A$205,0)),0))</f>
        <v/>
      </c>
      <c r="H3274" s="8">
        <f>IF(B3274="","",IF(ISNA(MATCH(B3274,Mitarbeiter!$A$6:$A$205,0)),"Pers.-Nr. unbekannt",IF(A3274="","Datum fehlt",IF(AND(D3274&lt;&gt;Einstellungen!$C$4,D3274&lt;&gt;Einstellungen!$C$5),"Objekt fehlt",IF(YEAR(A3274)&lt;&gt;Einstellungen!$C$3,"anderes Jahr",IF(A3274&lt;INDEX(Mitarbeiter!$C$6:$C$205,MATCH(B3274,Mitarbeiter!$A$6:$A$205,0)),"vor Eintritt",IF(AND(INDEX(Mitarbeiter!$D$6:$D$205,MATCH(B3274,Mitarbeiter!$A$6:$A$205,0))&lt;&gt;"",A3274&gt;INDEX(Mitarbeiter!$D$6:$D$205,MATCH(B3274,Mitarbeiter!$A$6:$A$205,0))),"nach Austritt","ok")))))))</f>
        <v/>
      </c>
    </row>
    <row r="3275">
      <c r="A3275" s="26" t="n"/>
      <c r="B3275" s="24" t="n"/>
      <c r="C3275" s="40">
        <f>IF(B3275="","",IFERROR(INDEX(Mitarbeiter!$B$6:$B$205,MATCH(B3275,Mitarbeiter!$A$6:$A$205,0)),"?"))</f>
        <v/>
      </c>
      <c r="D3275" s="41" t="n"/>
      <c r="E3275" s="42" t="n"/>
      <c r="F3275" s="43" t="n"/>
      <c r="G3275" s="44">
        <f>IF(OR(B3275="",F3275=""),"",IFERROR(F3275*INDEX(Mitarbeiter!$F$6:$F$205,MATCH(B3275,Mitarbeiter!$A$6:$A$205,0)),0))</f>
        <v/>
      </c>
      <c r="H3275" s="8">
        <f>IF(B3275="","",IF(ISNA(MATCH(B3275,Mitarbeiter!$A$6:$A$205,0)),"Pers.-Nr. unbekannt",IF(A3275="","Datum fehlt",IF(AND(D3275&lt;&gt;Einstellungen!$C$4,D3275&lt;&gt;Einstellungen!$C$5),"Objekt fehlt",IF(YEAR(A3275)&lt;&gt;Einstellungen!$C$3,"anderes Jahr",IF(A3275&lt;INDEX(Mitarbeiter!$C$6:$C$205,MATCH(B3275,Mitarbeiter!$A$6:$A$205,0)),"vor Eintritt",IF(AND(INDEX(Mitarbeiter!$D$6:$D$205,MATCH(B3275,Mitarbeiter!$A$6:$A$205,0))&lt;&gt;"",A3275&gt;INDEX(Mitarbeiter!$D$6:$D$205,MATCH(B3275,Mitarbeiter!$A$6:$A$205,0))),"nach Austritt","ok")))))))</f>
        <v/>
      </c>
    </row>
    <row r="3276">
      <c r="A3276" s="26" t="n"/>
      <c r="B3276" s="24" t="n"/>
      <c r="C3276" s="40">
        <f>IF(B3276="","",IFERROR(INDEX(Mitarbeiter!$B$6:$B$205,MATCH(B3276,Mitarbeiter!$A$6:$A$205,0)),"?"))</f>
        <v/>
      </c>
      <c r="D3276" s="41" t="n"/>
      <c r="E3276" s="42" t="n"/>
      <c r="F3276" s="43" t="n"/>
      <c r="G3276" s="44">
        <f>IF(OR(B3276="",F3276=""),"",IFERROR(F3276*INDEX(Mitarbeiter!$F$6:$F$205,MATCH(B3276,Mitarbeiter!$A$6:$A$205,0)),0))</f>
        <v/>
      </c>
      <c r="H3276" s="8">
        <f>IF(B3276="","",IF(ISNA(MATCH(B3276,Mitarbeiter!$A$6:$A$205,0)),"Pers.-Nr. unbekannt",IF(A3276="","Datum fehlt",IF(AND(D3276&lt;&gt;Einstellungen!$C$4,D3276&lt;&gt;Einstellungen!$C$5),"Objekt fehlt",IF(YEAR(A3276)&lt;&gt;Einstellungen!$C$3,"anderes Jahr",IF(A3276&lt;INDEX(Mitarbeiter!$C$6:$C$205,MATCH(B3276,Mitarbeiter!$A$6:$A$205,0)),"vor Eintritt",IF(AND(INDEX(Mitarbeiter!$D$6:$D$205,MATCH(B3276,Mitarbeiter!$A$6:$A$205,0))&lt;&gt;"",A3276&gt;INDEX(Mitarbeiter!$D$6:$D$205,MATCH(B3276,Mitarbeiter!$A$6:$A$205,0))),"nach Austritt","ok")))))))</f>
        <v/>
      </c>
    </row>
    <row r="3277">
      <c r="A3277" s="26" t="n"/>
      <c r="B3277" s="24" t="n"/>
      <c r="C3277" s="40">
        <f>IF(B3277="","",IFERROR(INDEX(Mitarbeiter!$B$6:$B$205,MATCH(B3277,Mitarbeiter!$A$6:$A$205,0)),"?"))</f>
        <v/>
      </c>
      <c r="D3277" s="41" t="n"/>
      <c r="E3277" s="42" t="n"/>
      <c r="F3277" s="43" t="n"/>
      <c r="G3277" s="44">
        <f>IF(OR(B3277="",F3277=""),"",IFERROR(F3277*INDEX(Mitarbeiter!$F$6:$F$205,MATCH(B3277,Mitarbeiter!$A$6:$A$205,0)),0))</f>
        <v/>
      </c>
      <c r="H3277" s="8">
        <f>IF(B3277="","",IF(ISNA(MATCH(B3277,Mitarbeiter!$A$6:$A$205,0)),"Pers.-Nr. unbekannt",IF(A3277="","Datum fehlt",IF(AND(D3277&lt;&gt;Einstellungen!$C$4,D3277&lt;&gt;Einstellungen!$C$5),"Objekt fehlt",IF(YEAR(A3277)&lt;&gt;Einstellungen!$C$3,"anderes Jahr",IF(A3277&lt;INDEX(Mitarbeiter!$C$6:$C$205,MATCH(B3277,Mitarbeiter!$A$6:$A$205,0)),"vor Eintritt",IF(AND(INDEX(Mitarbeiter!$D$6:$D$205,MATCH(B3277,Mitarbeiter!$A$6:$A$205,0))&lt;&gt;"",A3277&gt;INDEX(Mitarbeiter!$D$6:$D$205,MATCH(B3277,Mitarbeiter!$A$6:$A$205,0))),"nach Austritt","ok")))))))</f>
        <v/>
      </c>
    </row>
    <row r="3278">
      <c r="A3278" s="26" t="n"/>
      <c r="B3278" s="24" t="n"/>
      <c r="C3278" s="40">
        <f>IF(B3278="","",IFERROR(INDEX(Mitarbeiter!$B$6:$B$205,MATCH(B3278,Mitarbeiter!$A$6:$A$205,0)),"?"))</f>
        <v/>
      </c>
      <c r="D3278" s="41" t="n"/>
      <c r="E3278" s="42" t="n"/>
      <c r="F3278" s="43" t="n"/>
      <c r="G3278" s="44">
        <f>IF(OR(B3278="",F3278=""),"",IFERROR(F3278*INDEX(Mitarbeiter!$F$6:$F$205,MATCH(B3278,Mitarbeiter!$A$6:$A$205,0)),0))</f>
        <v/>
      </c>
      <c r="H3278" s="8">
        <f>IF(B3278="","",IF(ISNA(MATCH(B3278,Mitarbeiter!$A$6:$A$205,0)),"Pers.-Nr. unbekannt",IF(A3278="","Datum fehlt",IF(AND(D3278&lt;&gt;Einstellungen!$C$4,D3278&lt;&gt;Einstellungen!$C$5),"Objekt fehlt",IF(YEAR(A3278)&lt;&gt;Einstellungen!$C$3,"anderes Jahr",IF(A3278&lt;INDEX(Mitarbeiter!$C$6:$C$205,MATCH(B3278,Mitarbeiter!$A$6:$A$205,0)),"vor Eintritt",IF(AND(INDEX(Mitarbeiter!$D$6:$D$205,MATCH(B3278,Mitarbeiter!$A$6:$A$205,0))&lt;&gt;"",A3278&gt;INDEX(Mitarbeiter!$D$6:$D$205,MATCH(B3278,Mitarbeiter!$A$6:$A$205,0))),"nach Austritt","ok")))))))</f>
        <v/>
      </c>
    </row>
    <row r="3279">
      <c r="A3279" s="26" t="n"/>
      <c r="B3279" s="24" t="n"/>
      <c r="C3279" s="40">
        <f>IF(B3279="","",IFERROR(INDEX(Mitarbeiter!$B$6:$B$205,MATCH(B3279,Mitarbeiter!$A$6:$A$205,0)),"?"))</f>
        <v/>
      </c>
      <c r="D3279" s="41" t="n"/>
      <c r="E3279" s="42" t="n"/>
      <c r="F3279" s="43" t="n"/>
      <c r="G3279" s="44">
        <f>IF(OR(B3279="",F3279=""),"",IFERROR(F3279*INDEX(Mitarbeiter!$F$6:$F$205,MATCH(B3279,Mitarbeiter!$A$6:$A$205,0)),0))</f>
        <v/>
      </c>
      <c r="H3279" s="8">
        <f>IF(B3279="","",IF(ISNA(MATCH(B3279,Mitarbeiter!$A$6:$A$205,0)),"Pers.-Nr. unbekannt",IF(A3279="","Datum fehlt",IF(AND(D3279&lt;&gt;Einstellungen!$C$4,D3279&lt;&gt;Einstellungen!$C$5),"Objekt fehlt",IF(YEAR(A3279)&lt;&gt;Einstellungen!$C$3,"anderes Jahr",IF(A3279&lt;INDEX(Mitarbeiter!$C$6:$C$205,MATCH(B3279,Mitarbeiter!$A$6:$A$205,0)),"vor Eintritt",IF(AND(INDEX(Mitarbeiter!$D$6:$D$205,MATCH(B3279,Mitarbeiter!$A$6:$A$205,0))&lt;&gt;"",A3279&gt;INDEX(Mitarbeiter!$D$6:$D$205,MATCH(B3279,Mitarbeiter!$A$6:$A$205,0))),"nach Austritt","ok")))))))</f>
        <v/>
      </c>
    </row>
    <row r="3280">
      <c r="A3280" s="26" t="n"/>
      <c r="B3280" s="24" t="n"/>
      <c r="C3280" s="40">
        <f>IF(B3280="","",IFERROR(INDEX(Mitarbeiter!$B$6:$B$205,MATCH(B3280,Mitarbeiter!$A$6:$A$205,0)),"?"))</f>
        <v/>
      </c>
      <c r="D3280" s="41" t="n"/>
      <c r="E3280" s="42" t="n"/>
      <c r="F3280" s="43" t="n"/>
      <c r="G3280" s="44">
        <f>IF(OR(B3280="",F3280=""),"",IFERROR(F3280*INDEX(Mitarbeiter!$F$6:$F$205,MATCH(B3280,Mitarbeiter!$A$6:$A$205,0)),0))</f>
        <v/>
      </c>
      <c r="H3280" s="8">
        <f>IF(B3280="","",IF(ISNA(MATCH(B3280,Mitarbeiter!$A$6:$A$205,0)),"Pers.-Nr. unbekannt",IF(A3280="","Datum fehlt",IF(AND(D3280&lt;&gt;Einstellungen!$C$4,D3280&lt;&gt;Einstellungen!$C$5),"Objekt fehlt",IF(YEAR(A3280)&lt;&gt;Einstellungen!$C$3,"anderes Jahr",IF(A3280&lt;INDEX(Mitarbeiter!$C$6:$C$205,MATCH(B3280,Mitarbeiter!$A$6:$A$205,0)),"vor Eintritt",IF(AND(INDEX(Mitarbeiter!$D$6:$D$205,MATCH(B3280,Mitarbeiter!$A$6:$A$205,0))&lt;&gt;"",A3280&gt;INDEX(Mitarbeiter!$D$6:$D$205,MATCH(B3280,Mitarbeiter!$A$6:$A$205,0))),"nach Austritt","ok")))))))</f>
        <v/>
      </c>
    </row>
    <row r="3281">
      <c r="A3281" s="26" t="n"/>
      <c r="B3281" s="24" t="n"/>
      <c r="C3281" s="40">
        <f>IF(B3281="","",IFERROR(INDEX(Mitarbeiter!$B$6:$B$205,MATCH(B3281,Mitarbeiter!$A$6:$A$205,0)),"?"))</f>
        <v/>
      </c>
      <c r="D3281" s="41" t="n"/>
      <c r="E3281" s="42" t="n"/>
      <c r="F3281" s="43" t="n"/>
      <c r="G3281" s="44">
        <f>IF(OR(B3281="",F3281=""),"",IFERROR(F3281*INDEX(Mitarbeiter!$F$6:$F$205,MATCH(B3281,Mitarbeiter!$A$6:$A$205,0)),0))</f>
        <v/>
      </c>
      <c r="H3281" s="8">
        <f>IF(B3281="","",IF(ISNA(MATCH(B3281,Mitarbeiter!$A$6:$A$205,0)),"Pers.-Nr. unbekannt",IF(A3281="","Datum fehlt",IF(AND(D3281&lt;&gt;Einstellungen!$C$4,D3281&lt;&gt;Einstellungen!$C$5),"Objekt fehlt",IF(YEAR(A3281)&lt;&gt;Einstellungen!$C$3,"anderes Jahr",IF(A3281&lt;INDEX(Mitarbeiter!$C$6:$C$205,MATCH(B3281,Mitarbeiter!$A$6:$A$205,0)),"vor Eintritt",IF(AND(INDEX(Mitarbeiter!$D$6:$D$205,MATCH(B3281,Mitarbeiter!$A$6:$A$205,0))&lt;&gt;"",A3281&gt;INDEX(Mitarbeiter!$D$6:$D$205,MATCH(B3281,Mitarbeiter!$A$6:$A$205,0))),"nach Austritt","ok")))))))</f>
        <v/>
      </c>
    </row>
    <row r="3282">
      <c r="A3282" s="26" t="n"/>
      <c r="B3282" s="24" t="n"/>
      <c r="C3282" s="40">
        <f>IF(B3282="","",IFERROR(INDEX(Mitarbeiter!$B$6:$B$205,MATCH(B3282,Mitarbeiter!$A$6:$A$205,0)),"?"))</f>
        <v/>
      </c>
      <c r="D3282" s="41" t="n"/>
      <c r="E3282" s="42" t="n"/>
      <c r="F3282" s="43" t="n"/>
      <c r="G3282" s="44">
        <f>IF(OR(B3282="",F3282=""),"",IFERROR(F3282*INDEX(Mitarbeiter!$F$6:$F$205,MATCH(B3282,Mitarbeiter!$A$6:$A$205,0)),0))</f>
        <v/>
      </c>
      <c r="H3282" s="8">
        <f>IF(B3282="","",IF(ISNA(MATCH(B3282,Mitarbeiter!$A$6:$A$205,0)),"Pers.-Nr. unbekannt",IF(A3282="","Datum fehlt",IF(AND(D3282&lt;&gt;Einstellungen!$C$4,D3282&lt;&gt;Einstellungen!$C$5),"Objekt fehlt",IF(YEAR(A3282)&lt;&gt;Einstellungen!$C$3,"anderes Jahr",IF(A3282&lt;INDEX(Mitarbeiter!$C$6:$C$205,MATCH(B3282,Mitarbeiter!$A$6:$A$205,0)),"vor Eintritt",IF(AND(INDEX(Mitarbeiter!$D$6:$D$205,MATCH(B3282,Mitarbeiter!$A$6:$A$205,0))&lt;&gt;"",A3282&gt;INDEX(Mitarbeiter!$D$6:$D$205,MATCH(B3282,Mitarbeiter!$A$6:$A$205,0))),"nach Austritt","ok")))))))</f>
        <v/>
      </c>
    </row>
    <row r="3283">
      <c r="A3283" s="26" t="n"/>
      <c r="B3283" s="24" t="n"/>
      <c r="C3283" s="40">
        <f>IF(B3283="","",IFERROR(INDEX(Mitarbeiter!$B$6:$B$205,MATCH(B3283,Mitarbeiter!$A$6:$A$205,0)),"?"))</f>
        <v/>
      </c>
      <c r="D3283" s="41" t="n"/>
      <c r="E3283" s="42" t="n"/>
      <c r="F3283" s="43" t="n"/>
      <c r="G3283" s="44">
        <f>IF(OR(B3283="",F3283=""),"",IFERROR(F3283*INDEX(Mitarbeiter!$F$6:$F$205,MATCH(B3283,Mitarbeiter!$A$6:$A$205,0)),0))</f>
        <v/>
      </c>
      <c r="H3283" s="8">
        <f>IF(B3283="","",IF(ISNA(MATCH(B3283,Mitarbeiter!$A$6:$A$205,0)),"Pers.-Nr. unbekannt",IF(A3283="","Datum fehlt",IF(AND(D3283&lt;&gt;Einstellungen!$C$4,D3283&lt;&gt;Einstellungen!$C$5),"Objekt fehlt",IF(YEAR(A3283)&lt;&gt;Einstellungen!$C$3,"anderes Jahr",IF(A3283&lt;INDEX(Mitarbeiter!$C$6:$C$205,MATCH(B3283,Mitarbeiter!$A$6:$A$205,0)),"vor Eintritt",IF(AND(INDEX(Mitarbeiter!$D$6:$D$205,MATCH(B3283,Mitarbeiter!$A$6:$A$205,0))&lt;&gt;"",A3283&gt;INDEX(Mitarbeiter!$D$6:$D$205,MATCH(B3283,Mitarbeiter!$A$6:$A$205,0))),"nach Austritt","ok")))))))</f>
        <v/>
      </c>
    </row>
    <row r="3284">
      <c r="A3284" s="26" t="n"/>
      <c r="B3284" s="24" t="n"/>
      <c r="C3284" s="40">
        <f>IF(B3284="","",IFERROR(INDEX(Mitarbeiter!$B$6:$B$205,MATCH(B3284,Mitarbeiter!$A$6:$A$205,0)),"?"))</f>
        <v/>
      </c>
      <c r="D3284" s="41" t="n"/>
      <c r="E3284" s="42" t="n"/>
      <c r="F3284" s="43" t="n"/>
      <c r="G3284" s="44">
        <f>IF(OR(B3284="",F3284=""),"",IFERROR(F3284*INDEX(Mitarbeiter!$F$6:$F$205,MATCH(B3284,Mitarbeiter!$A$6:$A$205,0)),0))</f>
        <v/>
      </c>
      <c r="H3284" s="8">
        <f>IF(B3284="","",IF(ISNA(MATCH(B3284,Mitarbeiter!$A$6:$A$205,0)),"Pers.-Nr. unbekannt",IF(A3284="","Datum fehlt",IF(AND(D3284&lt;&gt;Einstellungen!$C$4,D3284&lt;&gt;Einstellungen!$C$5),"Objekt fehlt",IF(YEAR(A3284)&lt;&gt;Einstellungen!$C$3,"anderes Jahr",IF(A3284&lt;INDEX(Mitarbeiter!$C$6:$C$205,MATCH(B3284,Mitarbeiter!$A$6:$A$205,0)),"vor Eintritt",IF(AND(INDEX(Mitarbeiter!$D$6:$D$205,MATCH(B3284,Mitarbeiter!$A$6:$A$205,0))&lt;&gt;"",A3284&gt;INDEX(Mitarbeiter!$D$6:$D$205,MATCH(B3284,Mitarbeiter!$A$6:$A$205,0))),"nach Austritt","ok")))))))</f>
        <v/>
      </c>
    </row>
    <row r="3285">
      <c r="A3285" s="26" t="n"/>
      <c r="B3285" s="24" t="n"/>
      <c r="C3285" s="40">
        <f>IF(B3285="","",IFERROR(INDEX(Mitarbeiter!$B$6:$B$205,MATCH(B3285,Mitarbeiter!$A$6:$A$205,0)),"?"))</f>
        <v/>
      </c>
      <c r="D3285" s="41" t="n"/>
      <c r="E3285" s="42" t="n"/>
      <c r="F3285" s="43" t="n"/>
      <c r="G3285" s="44">
        <f>IF(OR(B3285="",F3285=""),"",IFERROR(F3285*INDEX(Mitarbeiter!$F$6:$F$205,MATCH(B3285,Mitarbeiter!$A$6:$A$205,0)),0))</f>
        <v/>
      </c>
      <c r="H3285" s="8">
        <f>IF(B3285="","",IF(ISNA(MATCH(B3285,Mitarbeiter!$A$6:$A$205,0)),"Pers.-Nr. unbekannt",IF(A3285="","Datum fehlt",IF(AND(D3285&lt;&gt;Einstellungen!$C$4,D3285&lt;&gt;Einstellungen!$C$5),"Objekt fehlt",IF(YEAR(A3285)&lt;&gt;Einstellungen!$C$3,"anderes Jahr",IF(A3285&lt;INDEX(Mitarbeiter!$C$6:$C$205,MATCH(B3285,Mitarbeiter!$A$6:$A$205,0)),"vor Eintritt",IF(AND(INDEX(Mitarbeiter!$D$6:$D$205,MATCH(B3285,Mitarbeiter!$A$6:$A$205,0))&lt;&gt;"",A3285&gt;INDEX(Mitarbeiter!$D$6:$D$205,MATCH(B3285,Mitarbeiter!$A$6:$A$205,0))),"nach Austritt","ok")))))))</f>
        <v/>
      </c>
    </row>
    <row r="3286">
      <c r="A3286" s="26" t="n"/>
      <c r="B3286" s="24" t="n"/>
      <c r="C3286" s="40">
        <f>IF(B3286="","",IFERROR(INDEX(Mitarbeiter!$B$6:$B$205,MATCH(B3286,Mitarbeiter!$A$6:$A$205,0)),"?"))</f>
        <v/>
      </c>
      <c r="D3286" s="41" t="n"/>
      <c r="E3286" s="42" t="n"/>
      <c r="F3286" s="43" t="n"/>
      <c r="G3286" s="44">
        <f>IF(OR(B3286="",F3286=""),"",IFERROR(F3286*INDEX(Mitarbeiter!$F$6:$F$205,MATCH(B3286,Mitarbeiter!$A$6:$A$205,0)),0))</f>
        <v/>
      </c>
      <c r="H3286" s="8">
        <f>IF(B3286="","",IF(ISNA(MATCH(B3286,Mitarbeiter!$A$6:$A$205,0)),"Pers.-Nr. unbekannt",IF(A3286="","Datum fehlt",IF(AND(D3286&lt;&gt;Einstellungen!$C$4,D3286&lt;&gt;Einstellungen!$C$5),"Objekt fehlt",IF(YEAR(A3286)&lt;&gt;Einstellungen!$C$3,"anderes Jahr",IF(A3286&lt;INDEX(Mitarbeiter!$C$6:$C$205,MATCH(B3286,Mitarbeiter!$A$6:$A$205,0)),"vor Eintritt",IF(AND(INDEX(Mitarbeiter!$D$6:$D$205,MATCH(B3286,Mitarbeiter!$A$6:$A$205,0))&lt;&gt;"",A3286&gt;INDEX(Mitarbeiter!$D$6:$D$205,MATCH(B3286,Mitarbeiter!$A$6:$A$205,0))),"nach Austritt","ok")))))))</f>
        <v/>
      </c>
    </row>
    <row r="3287">
      <c r="A3287" s="26" t="n"/>
      <c r="B3287" s="24" t="n"/>
      <c r="C3287" s="40">
        <f>IF(B3287="","",IFERROR(INDEX(Mitarbeiter!$B$6:$B$205,MATCH(B3287,Mitarbeiter!$A$6:$A$205,0)),"?"))</f>
        <v/>
      </c>
      <c r="D3287" s="41" t="n"/>
      <c r="E3287" s="42" t="n"/>
      <c r="F3287" s="43" t="n"/>
      <c r="G3287" s="44">
        <f>IF(OR(B3287="",F3287=""),"",IFERROR(F3287*INDEX(Mitarbeiter!$F$6:$F$205,MATCH(B3287,Mitarbeiter!$A$6:$A$205,0)),0))</f>
        <v/>
      </c>
      <c r="H3287" s="8">
        <f>IF(B3287="","",IF(ISNA(MATCH(B3287,Mitarbeiter!$A$6:$A$205,0)),"Pers.-Nr. unbekannt",IF(A3287="","Datum fehlt",IF(AND(D3287&lt;&gt;Einstellungen!$C$4,D3287&lt;&gt;Einstellungen!$C$5),"Objekt fehlt",IF(YEAR(A3287)&lt;&gt;Einstellungen!$C$3,"anderes Jahr",IF(A3287&lt;INDEX(Mitarbeiter!$C$6:$C$205,MATCH(B3287,Mitarbeiter!$A$6:$A$205,0)),"vor Eintritt",IF(AND(INDEX(Mitarbeiter!$D$6:$D$205,MATCH(B3287,Mitarbeiter!$A$6:$A$205,0))&lt;&gt;"",A3287&gt;INDEX(Mitarbeiter!$D$6:$D$205,MATCH(B3287,Mitarbeiter!$A$6:$A$205,0))),"nach Austritt","ok")))))))</f>
        <v/>
      </c>
    </row>
    <row r="3288">
      <c r="A3288" s="26" t="n"/>
      <c r="B3288" s="24" t="n"/>
      <c r="C3288" s="40">
        <f>IF(B3288="","",IFERROR(INDEX(Mitarbeiter!$B$6:$B$205,MATCH(B3288,Mitarbeiter!$A$6:$A$205,0)),"?"))</f>
        <v/>
      </c>
      <c r="D3288" s="41" t="n"/>
      <c r="E3288" s="42" t="n"/>
      <c r="F3288" s="43" t="n"/>
      <c r="G3288" s="44">
        <f>IF(OR(B3288="",F3288=""),"",IFERROR(F3288*INDEX(Mitarbeiter!$F$6:$F$205,MATCH(B3288,Mitarbeiter!$A$6:$A$205,0)),0))</f>
        <v/>
      </c>
      <c r="H3288" s="8">
        <f>IF(B3288="","",IF(ISNA(MATCH(B3288,Mitarbeiter!$A$6:$A$205,0)),"Pers.-Nr. unbekannt",IF(A3288="","Datum fehlt",IF(AND(D3288&lt;&gt;Einstellungen!$C$4,D3288&lt;&gt;Einstellungen!$C$5),"Objekt fehlt",IF(YEAR(A3288)&lt;&gt;Einstellungen!$C$3,"anderes Jahr",IF(A3288&lt;INDEX(Mitarbeiter!$C$6:$C$205,MATCH(B3288,Mitarbeiter!$A$6:$A$205,0)),"vor Eintritt",IF(AND(INDEX(Mitarbeiter!$D$6:$D$205,MATCH(B3288,Mitarbeiter!$A$6:$A$205,0))&lt;&gt;"",A3288&gt;INDEX(Mitarbeiter!$D$6:$D$205,MATCH(B3288,Mitarbeiter!$A$6:$A$205,0))),"nach Austritt","ok")))))))</f>
        <v/>
      </c>
    </row>
    <row r="3289">
      <c r="A3289" s="26" t="n"/>
      <c r="B3289" s="24" t="n"/>
      <c r="C3289" s="40">
        <f>IF(B3289="","",IFERROR(INDEX(Mitarbeiter!$B$6:$B$205,MATCH(B3289,Mitarbeiter!$A$6:$A$205,0)),"?"))</f>
        <v/>
      </c>
      <c r="D3289" s="41" t="n"/>
      <c r="E3289" s="42" t="n"/>
      <c r="F3289" s="43" t="n"/>
      <c r="G3289" s="44">
        <f>IF(OR(B3289="",F3289=""),"",IFERROR(F3289*INDEX(Mitarbeiter!$F$6:$F$205,MATCH(B3289,Mitarbeiter!$A$6:$A$205,0)),0))</f>
        <v/>
      </c>
      <c r="H3289" s="8">
        <f>IF(B3289="","",IF(ISNA(MATCH(B3289,Mitarbeiter!$A$6:$A$205,0)),"Pers.-Nr. unbekannt",IF(A3289="","Datum fehlt",IF(AND(D3289&lt;&gt;Einstellungen!$C$4,D3289&lt;&gt;Einstellungen!$C$5),"Objekt fehlt",IF(YEAR(A3289)&lt;&gt;Einstellungen!$C$3,"anderes Jahr",IF(A3289&lt;INDEX(Mitarbeiter!$C$6:$C$205,MATCH(B3289,Mitarbeiter!$A$6:$A$205,0)),"vor Eintritt",IF(AND(INDEX(Mitarbeiter!$D$6:$D$205,MATCH(B3289,Mitarbeiter!$A$6:$A$205,0))&lt;&gt;"",A3289&gt;INDEX(Mitarbeiter!$D$6:$D$205,MATCH(B3289,Mitarbeiter!$A$6:$A$205,0))),"nach Austritt","ok")))))))</f>
        <v/>
      </c>
    </row>
    <row r="3290">
      <c r="A3290" s="26" t="n"/>
      <c r="B3290" s="24" t="n"/>
      <c r="C3290" s="40">
        <f>IF(B3290="","",IFERROR(INDEX(Mitarbeiter!$B$6:$B$205,MATCH(B3290,Mitarbeiter!$A$6:$A$205,0)),"?"))</f>
        <v/>
      </c>
      <c r="D3290" s="41" t="n"/>
      <c r="E3290" s="42" t="n"/>
      <c r="F3290" s="43" t="n"/>
      <c r="G3290" s="44">
        <f>IF(OR(B3290="",F3290=""),"",IFERROR(F3290*INDEX(Mitarbeiter!$F$6:$F$205,MATCH(B3290,Mitarbeiter!$A$6:$A$205,0)),0))</f>
        <v/>
      </c>
      <c r="H3290" s="8">
        <f>IF(B3290="","",IF(ISNA(MATCH(B3290,Mitarbeiter!$A$6:$A$205,0)),"Pers.-Nr. unbekannt",IF(A3290="","Datum fehlt",IF(AND(D3290&lt;&gt;Einstellungen!$C$4,D3290&lt;&gt;Einstellungen!$C$5),"Objekt fehlt",IF(YEAR(A3290)&lt;&gt;Einstellungen!$C$3,"anderes Jahr",IF(A3290&lt;INDEX(Mitarbeiter!$C$6:$C$205,MATCH(B3290,Mitarbeiter!$A$6:$A$205,0)),"vor Eintritt",IF(AND(INDEX(Mitarbeiter!$D$6:$D$205,MATCH(B3290,Mitarbeiter!$A$6:$A$205,0))&lt;&gt;"",A3290&gt;INDEX(Mitarbeiter!$D$6:$D$205,MATCH(B3290,Mitarbeiter!$A$6:$A$205,0))),"nach Austritt","ok")))))))</f>
        <v/>
      </c>
    </row>
    <row r="3291">
      <c r="A3291" s="26" t="n"/>
      <c r="B3291" s="24" t="n"/>
      <c r="C3291" s="40">
        <f>IF(B3291="","",IFERROR(INDEX(Mitarbeiter!$B$6:$B$205,MATCH(B3291,Mitarbeiter!$A$6:$A$205,0)),"?"))</f>
        <v/>
      </c>
      <c r="D3291" s="41" t="n"/>
      <c r="E3291" s="42" t="n"/>
      <c r="F3291" s="43" t="n"/>
      <c r="G3291" s="44">
        <f>IF(OR(B3291="",F3291=""),"",IFERROR(F3291*INDEX(Mitarbeiter!$F$6:$F$205,MATCH(B3291,Mitarbeiter!$A$6:$A$205,0)),0))</f>
        <v/>
      </c>
      <c r="H3291" s="8">
        <f>IF(B3291="","",IF(ISNA(MATCH(B3291,Mitarbeiter!$A$6:$A$205,0)),"Pers.-Nr. unbekannt",IF(A3291="","Datum fehlt",IF(AND(D3291&lt;&gt;Einstellungen!$C$4,D3291&lt;&gt;Einstellungen!$C$5),"Objekt fehlt",IF(YEAR(A3291)&lt;&gt;Einstellungen!$C$3,"anderes Jahr",IF(A3291&lt;INDEX(Mitarbeiter!$C$6:$C$205,MATCH(B3291,Mitarbeiter!$A$6:$A$205,0)),"vor Eintritt",IF(AND(INDEX(Mitarbeiter!$D$6:$D$205,MATCH(B3291,Mitarbeiter!$A$6:$A$205,0))&lt;&gt;"",A3291&gt;INDEX(Mitarbeiter!$D$6:$D$205,MATCH(B3291,Mitarbeiter!$A$6:$A$205,0))),"nach Austritt","ok")))))))</f>
        <v/>
      </c>
    </row>
    <row r="3292">
      <c r="A3292" s="26" t="n"/>
      <c r="B3292" s="24" t="n"/>
      <c r="C3292" s="40">
        <f>IF(B3292="","",IFERROR(INDEX(Mitarbeiter!$B$6:$B$205,MATCH(B3292,Mitarbeiter!$A$6:$A$205,0)),"?"))</f>
        <v/>
      </c>
      <c r="D3292" s="41" t="n"/>
      <c r="E3292" s="42" t="n"/>
      <c r="F3292" s="43" t="n"/>
      <c r="G3292" s="44">
        <f>IF(OR(B3292="",F3292=""),"",IFERROR(F3292*INDEX(Mitarbeiter!$F$6:$F$205,MATCH(B3292,Mitarbeiter!$A$6:$A$205,0)),0))</f>
        <v/>
      </c>
      <c r="H3292" s="8">
        <f>IF(B3292="","",IF(ISNA(MATCH(B3292,Mitarbeiter!$A$6:$A$205,0)),"Pers.-Nr. unbekannt",IF(A3292="","Datum fehlt",IF(AND(D3292&lt;&gt;Einstellungen!$C$4,D3292&lt;&gt;Einstellungen!$C$5),"Objekt fehlt",IF(YEAR(A3292)&lt;&gt;Einstellungen!$C$3,"anderes Jahr",IF(A3292&lt;INDEX(Mitarbeiter!$C$6:$C$205,MATCH(B3292,Mitarbeiter!$A$6:$A$205,0)),"vor Eintritt",IF(AND(INDEX(Mitarbeiter!$D$6:$D$205,MATCH(B3292,Mitarbeiter!$A$6:$A$205,0))&lt;&gt;"",A3292&gt;INDEX(Mitarbeiter!$D$6:$D$205,MATCH(B3292,Mitarbeiter!$A$6:$A$205,0))),"nach Austritt","ok")))))))</f>
        <v/>
      </c>
    </row>
    <row r="3293">
      <c r="A3293" s="26" t="n"/>
      <c r="B3293" s="24" t="n"/>
      <c r="C3293" s="40">
        <f>IF(B3293="","",IFERROR(INDEX(Mitarbeiter!$B$6:$B$205,MATCH(B3293,Mitarbeiter!$A$6:$A$205,0)),"?"))</f>
        <v/>
      </c>
      <c r="D3293" s="41" t="n"/>
      <c r="E3293" s="42" t="n"/>
      <c r="F3293" s="43" t="n"/>
      <c r="G3293" s="44">
        <f>IF(OR(B3293="",F3293=""),"",IFERROR(F3293*INDEX(Mitarbeiter!$F$6:$F$205,MATCH(B3293,Mitarbeiter!$A$6:$A$205,0)),0))</f>
        <v/>
      </c>
      <c r="H3293" s="8">
        <f>IF(B3293="","",IF(ISNA(MATCH(B3293,Mitarbeiter!$A$6:$A$205,0)),"Pers.-Nr. unbekannt",IF(A3293="","Datum fehlt",IF(AND(D3293&lt;&gt;Einstellungen!$C$4,D3293&lt;&gt;Einstellungen!$C$5),"Objekt fehlt",IF(YEAR(A3293)&lt;&gt;Einstellungen!$C$3,"anderes Jahr",IF(A3293&lt;INDEX(Mitarbeiter!$C$6:$C$205,MATCH(B3293,Mitarbeiter!$A$6:$A$205,0)),"vor Eintritt",IF(AND(INDEX(Mitarbeiter!$D$6:$D$205,MATCH(B3293,Mitarbeiter!$A$6:$A$205,0))&lt;&gt;"",A3293&gt;INDEX(Mitarbeiter!$D$6:$D$205,MATCH(B3293,Mitarbeiter!$A$6:$A$205,0))),"nach Austritt","ok")))))))</f>
        <v/>
      </c>
    </row>
    <row r="3294">
      <c r="A3294" s="26" t="n"/>
      <c r="B3294" s="24" t="n"/>
      <c r="C3294" s="40">
        <f>IF(B3294="","",IFERROR(INDEX(Mitarbeiter!$B$6:$B$205,MATCH(B3294,Mitarbeiter!$A$6:$A$205,0)),"?"))</f>
        <v/>
      </c>
      <c r="D3294" s="41" t="n"/>
      <c r="E3294" s="42" t="n"/>
      <c r="F3294" s="43" t="n"/>
      <c r="G3294" s="44">
        <f>IF(OR(B3294="",F3294=""),"",IFERROR(F3294*INDEX(Mitarbeiter!$F$6:$F$205,MATCH(B3294,Mitarbeiter!$A$6:$A$205,0)),0))</f>
        <v/>
      </c>
      <c r="H3294" s="8">
        <f>IF(B3294="","",IF(ISNA(MATCH(B3294,Mitarbeiter!$A$6:$A$205,0)),"Pers.-Nr. unbekannt",IF(A3294="","Datum fehlt",IF(AND(D3294&lt;&gt;Einstellungen!$C$4,D3294&lt;&gt;Einstellungen!$C$5),"Objekt fehlt",IF(YEAR(A3294)&lt;&gt;Einstellungen!$C$3,"anderes Jahr",IF(A3294&lt;INDEX(Mitarbeiter!$C$6:$C$205,MATCH(B3294,Mitarbeiter!$A$6:$A$205,0)),"vor Eintritt",IF(AND(INDEX(Mitarbeiter!$D$6:$D$205,MATCH(B3294,Mitarbeiter!$A$6:$A$205,0))&lt;&gt;"",A3294&gt;INDEX(Mitarbeiter!$D$6:$D$205,MATCH(B3294,Mitarbeiter!$A$6:$A$205,0))),"nach Austritt","ok")))))))</f>
        <v/>
      </c>
    </row>
    <row r="3295">
      <c r="A3295" s="26" t="n"/>
      <c r="B3295" s="24" t="n"/>
      <c r="C3295" s="40">
        <f>IF(B3295="","",IFERROR(INDEX(Mitarbeiter!$B$6:$B$205,MATCH(B3295,Mitarbeiter!$A$6:$A$205,0)),"?"))</f>
        <v/>
      </c>
      <c r="D3295" s="41" t="n"/>
      <c r="E3295" s="42" t="n"/>
      <c r="F3295" s="43" t="n"/>
      <c r="G3295" s="44">
        <f>IF(OR(B3295="",F3295=""),"",IFERROR(F3295*INDEX(Mitarbeiter!$F$6:$F$205,MATCH(B3295,Mitarbeiter!$A$6:$A$205,0)),0))</f>
        <v/>
      </c>
      <c r="H3295" s="8">
        <f>IF(B3295="","",IF(ISNA(MATCH(B3295,Mitarbeiter!$A$6:$A$205,0)),"Pers.-Nr. unbekannt",IF(A3295="","Datum fehlt",IF(AND(D3295&lt;&gt;Einstellungen!$C$4,D3295&lt;&gt;Einstellungen!$C$5),"Objekt fehlt",IF(YEAR(A3295)&lt;&gt;Einstellungen!$C$3,"anderes Jahr",IF(A3295&lt;INDEX(Mitarbeiter!$C$6:$C$205,MATCH(B3295,Mitarbeiter!$A$6:$A$205,0)),"vor Eintritt",IF(AND(INDEX(Mitarbeiter!$D$6:$D$205,MATCH(B3295,Mitarbeiter!$A$6:$A$205,0))&lt;&gt;"",A3295&gt;INDEX(Mitarbeiter!$D$6:$D$205,MATCH(B3295,Mitarbeiter!$A$6:$A$205,0))),"nach Austritt","ok")))))))</f>
        <v/>
      </c>
    </row>
    <row r="3296">
      <c r="A3296" s="26" t="n"/>
      <c r="B3296" s="24" t="n"/>
      <c r="C3296" s="40">
        <f>IF(B3296="","",IFERROR(INDEX(Mitarbeiter!$B$6:$B$205,MATCH(B3296,Mitarbeiter!$A$6:$A$205,0)),"?"))</f>
        <v/>
      </c>
      <c r="D3296" s="41" t="n"/>
      <c r="E3296" s="42" t="n"/>
      <c r="F3296" s="43" t="n"/>
      <c r="G3296" s="44">
        <f>IF(OR(B3296="",F3296=""),"",IFERROR(F3296*INDEX(Mitarbeiter!$F$6:$F$205,MATCH(B3296,Mitarbeiter!$A$6:$A$205,0)),0))</f>
        <v/>
      </c>
      <c r="H3296" s="8">
        <f>IF(B3296="","",IF(ISNA(MATCH(B3296,Mitarbeiter!$A$6:$A$205,0)),"Pers.-Nr. unbekannt",IF(A3296="","Datum fehlt",IF(AND(D3296&lt;&gt;Einstellungen!$C$4,D3296&lt;&gt;Einstellungen!$C$5),"Objekt fehlt",IF(YEAR(A3296)&lt;&gt;Einstellungen!$C$3,"anderes Jahr",IF(A3296&lt;INDEX(Mitarbeiter!$C$6:$C$205,MATCH(B3296,Mitarbeiter!$A$6:$A$205,0)),"vor Eintritt",IF(AND(INDEX(Mitarbeiter!$D$6:$D$205,MATCH(B3296,Mitarbeiter!$A$6:$A$205,0))&lt;&gt;"",A3296&gt;INDEX(Mitarbeiter!$D$6:$D$205,MATCH(B3296,Mitarbeiter!$A$6:$A$205,0))),"nach Austritt","ok")))))))</f>
        <v/>
      </c>
    </row>
    <row r="3297">
      <c r="A3297" s="26" t="n"/>
      <c r="B3297" s="24" t="n"/>
      <c r="C3297" s="40">
        <f>IF(B3297="","",IFERROR(INDEX(Mitarbeiter!$B$6:$B$205,MATCH(B3297,Mitarbeiter!$A$6:$A$205,0)),"?"))</f>
        <v/>
      </c>
      <c r="D3297" s="41" t="n"/>
      <c r="E3297" s="42" t="n"/>
      <c r="F3297" s="43" t="n"/>
      <c r="G3297" s="44">
        <f>IF(OR(B3297="",F3297=""),"",IFERROR(F3297*INDEX(Mitarbeiter!$F$6:$F$205,MATCH(B3297,Mitarbeiter!$A$6:$A$205,0)),0))</f>
        <v/>
      </c>
      <c r="H3297" s="8">
        <f>IF(B3297="","",IF(ISNA(MATCH(B3297,Mitarbeiter!$A$6:$A$205,0)),"Pers.-Nr. unbekannt",IF(A3297="","Datum fehlt",IF(AND(D3297&lt;&gt;Einstellungen!$C$4,D3297&lt;&gt;Einstellungen!$C$5),"Objekt fehlt",IF(YEAR(A3297)&lt;&gt;Einstellungen!$C$3,"anderes Jahr",IF(A3297&lt;INDEX(Mitarbeiter!$C$6:$C$205,MATCH(B3297,Mitarbeiter!$A$6:$A$205,0)),"vor Eintritt",IF(AND(INDEX(Mitarbeiter!$D$6:$D$205,MATCH(B3297,Mitarbeiter!$A$6:$A$205,0))&lt;&gt;"",A3297&gt;INDEX(Mitarbeiter!$D$6:$D$205,MATCH(B3297,Mitarbeiter!$A$6:$A$205,0))),"nach Austritt","ok")))))))</f>
        <v/>
      </c>
    </row>
    <row r="3298">
      <c r="A3298" s="26" t="n"/>
      <c r="B3298" s="24" t="n"/>
      <c r="C3298" s="40">
        <f>IF(B3298="","",IFERROR(INDEX(Mitarbeiter!$B$6:$B$205,MATCH(B3298,Mitarbeiter!$A$6:$A$205,0)),"?"))</f>
        <v/>
      </c>
      <c r="D3298" s="41" t="n"/>
      <c r="E3298" s="42" t="n"/>
      <c r="F3298" s="43" t="n"/>
      <c r="G3298" s="44">
        <f>IF(OR(B3298="",F3298=""),"",IFERROR(F3298*INDEX(Mitarbeiter!$F$6:$F$205,MATCH(B3298,Mitarbeiter!$A$6:$A$205,0)),0))</f>
        <v/>
      </c>
      <c r="H3298" s="8">
        <f>IF(B3298="","",IF(ISNA(MATCH(B3298,Mitarbeiter!$A$6:$A$205,0)),"Pers.-Nr. unbekannt",IF(A3298="","Datum fehlt",IF(AND(D3298&lt;&gt;Einstellungen!$C$4,D3298&lt;&gt;Einstellungen!$C$5),"Objekt fehlt",IF(YEAR(A3298)&lt;&gt;Einstellungen!$C$3,"anderes Jahr",IF(A3298&lt;INDEX(Mitarbeiter!$C$6:$C$205,MATCH(B3298,Mitarbeiter!$A$6:$A$205,0)),"vor Eintritt",IF(AND(INDEX(Mitarbeiter!$D$6:$D$205,MATCH(B3298,Mitarbeiter!$A$6:$A$205,0))&lt;&gt;"",A3298&gt;INDEX(Mitarbeiter!$D$6:$D$205,MATCH(B3298,Mitarbeiter!$A$6:$A$205,0))),"nach Austritt","ok")))))))</f>
        <v/>
      </c>
    </row>
    <row r="3299">
      <c r="A3299" s="26" t="n"/>
      <c r="B3299" s="24" t="n"/>
      <c r="C3299" s="40">
        <f>IF(B3299="","",IFERROR(INDEX(Mitarbeiter!$B$6:$B$205,MATCH(B3299,Mitarbeiter!$A$6:$A$205,0)),"?"))</f>
        <v/>
      </c>
      <c r="D3299" s="41" t="n"/>
      <c r="E3299" s="42" t="n"/>
      <c r="F3299" s="43" t="n"/>
      <c r="G3299" s="44">
        <f>IF(OR(B3299="",F3299=""),"",IFERROR(F3299*INDEX(Mitarbeiter!$F$6:$F$205,MATCH(B3299,Mitarbeiter!$A$6:$A$205,0)),0))</f>
        <v/>
      </c>
      <c r="H3299" s="8">
        <f>IF(B3299="","",IF(ISNA(MATCH(B3299,Mitarbeiter!$A$6:$A$205,0)),"Pers.-Nr. unbekannt",IF(A3299="","Datum fehlt",IF(AND(D3299&lt;&gt;Einstellungen!$C$4,D3299&lt;&gt;Einstellungen!$C$5),"Objekt fehlt",IF(YEAR(A3299)&lt;&gt;Einstellungen!$C$3,"anderes Jahr",IF(A3299&lt;INDEX(Mitarbeiter!$C$6:$C$205,MATCH(B3299,Mitarbeiter!$A$6:$A$205,0)),"vor Eintritt",IF(AND(INDEX(Mitarbeiter!$D$6:$D$205,MATCH(B3299,Mitarbeiter!$A$6:$A$205,0))&lt;&gt;"",A3299&gt;INDEX(Mitarbeiter!$D$6:$D$205,MATCH(B3299,Mitarbeiter!$A$6:$A$205,0))),"nach Austritt","ok")))))))</f>
        <v/>
      </c>
    </row>
    <row r="3300">
      <c r="A3300" s="26" t="n"/>
      <c r="B3300" s="24" t="n"/>
      <c r="C3300" s="40">
        <f>IF(B3300="","",IFERROR(INDEX(Mitarbeiter!$B$6:$B$205,MATCH(B3300,Mitarbeiter!$A$6:$A$205,0)),"?"))</f>
        <v/>
      </c>
      <c r="D3300" s="41" t="n"/>
      <c r="E3300" s="42" t="n"/>
      <c r="F3300" s="43" t="n"/>
      <c r="G3300" s="44">
        <f>IF(OR(B3300="",F3300=""),"",IFERROR(F3300*INDEX(Mitarbeiter!$F$6:$F$205,MATCH(B3300,Mitarbeiter!$A$6:$A$205,0)),0))</f>
        <v/>
      </c>
      <c r="H3300" s="8">
        <f>IF(B3300="","",IF(ISNA(MATCH(B3300,Mitarbeiter!$A$6:$A$205,0)),"Pers.-Nr. unbekannt",IF(A3300="","Datum fehlt",IF(AND(D3300&lt;&gt;Einstellungen!$C$4,D3300&lt;&gt;Einstellungen!$C$5),"Objekt fehlt",IF(YEAR(A3300)&lt;&gt;Einstellungen!$C$3,"anderes Jahr",IF(A3300&lt;INDEX(Mitarbeiter!$C$6:$C$205,MATCH(B3300,Mitarbeiter!$A$6:$A$205,0)),"vor Eintritt",IF(AND(INDEX(Mitarbeiter!$D$6:$D$205,MATCH(B3300,Mitarbeiter!$A$6:$A$205,0))&lt;&gt;"",A3300&gt;INDEX(Mitarbeiter!$D$6:$D$205,MATCH(B3300,Mitarbeiter!$A$6:$A$205,0))),"nach Austritt","ok")))))))</f>
        <v/>
      </c>
    </row>
    <row r="3301">
      <c r="A3301" s="26" t="n"/>
      <c r="B3301" s="24" t="n"/>
      <c r="C3301" s="40">
        <f>IF(B3301="","",IFERROR(INDEX(Mitarbeiter!$B$6:$B$205,MATCH(B3301,Mitarbeiter!$A$6:$A$205,0)),"?"))</f>
        <v/>
      </c>
      <c r="D3301" s="41" t="n"/>
      <c r="E3301" s="42" t="n"/>
      <c r="F3301" s="43" t="n"/>
      <c r="G3301" s="44">
        <f>IF(OR(B3301="",F3301=""),"",IFERROR(F3301*INDEX(Mitarbeiter!$F$6:$F$205,MATCH(B3301,Mitarbeiter!$A$6:$A$205,0)),0))</f>
        <v/>
      </c>
      <c r="H3301" s="8">
        <f>IF(B3301="","",IF(ISNA(MATCH(B3301,Mitarbeiter!$A$6:$A$205,0)),"Pers.-Nr. unbekannt",IF(A3301="","Datum fehlt",IF(AND(D3301&lt;&gt;Einstellungen!$C$4,D3301&lt;&gt;Einstellungen!$C$5),"Objekt fehlt",IF(YEAR(A3301)&lt;&gt;Einstellungen!$C$3,"anderes Jahr",IF(A3301&lt;INDEX(Mitarbeiter!$C$6:$C$205,MATCH(B3301,Mitarbeiter!$A$6:$A$205,0)),"vor Eintritt",IF(AND(INDEX(Mitarbeiter!$D$6:$D$205,MATCH(B3301,Mitarbeiter!$A$6:$A$205,0))&lt;&gt;"",A3301&gt;INDEX(Mitarbeiter!$D$6:$D$205,MATCH(B3301,Mitarbeiter!$A$6:$A$205,0))),"nach Austritt","ok")))))))</f>
        <v/>
      </c>
    </row>
    <row r="3302">
      <c r="A3302" s="26" t="n"/>
      <c r="B3302" s="24" t="n"/>
      <c r="C3302" s="40">
        <f>IF(B3302="","",IFERROR(INDEX(Mitarbeiter!$B$6:$B$205,MATCH(B3302,Mitarbeiter!$A$6:$A$205,0)),"?"))</f>
        <v/>
      </c>
      <c r="D3302" s="41" t="n"/>
      <c r="E3302" s="42" t="n"/>
      <c r="F3302" s="43" t="n"/>
      <c r="G3302" s="44">
        <f>IF(OR(B3302="",F3302=""),"",IFERROR(F3302*INDEX(Mitarbeiter!$F$6:$F$205,MATCH(B3302,Mitarbeiter!$A$6:$A$205,0)),0))</f>
        <v/>
      </c>
      <c r="H3302" s="8">
        <f>IF(B3302="","",IF(ISNA(MATCH(B3302,Mitarbeiter!$A$6:$A$205,0)),"Pers.-Nr. unbekannt",IF(A3302="","Datum fehlt",IF(AND(D3302&lt;&gt;Einstellungen!$C$4,D3302&lt;&gt;Einstellungen!$C$5),"Objekt fehlt",IF(YEAR(A3302)&lt;&gt;Einstellungen!$C$3,"anderes Jahr",IF(A3302&lt;INDEX(Mitarbeiter!$C$6:$C$205,MATCH(B3302,Mitarbeiter!$A$6:$A$205,0)),"vor Eintritt",IF(AND(INDEX(Mitarbeiter!$D$6:$D$205,MATCH(B3302,Mitarbeiter!$A$6:$A$205,0))&lt;&gt;"",A3302&gt;INDEX(Mitarbeiter!$D$6:$D$205,MATCH(B3302,Mitarbeiter!$A$6:$A$205,0))),"nach Austritt","ok")))))))</f>
        <v/>
      </c>
    </row>
    <row r="3303">
      <c r="A3303" s="26" t="n"/>
      <c r="B3303" s="24" t="n"/>
      <c r="C3303" s="40">
        <f>IF(B3303="","",IFERROR(INDEX(Mitarbeiter!$B$6:$B$205,MATCH(B3303,Mitarbeiter!$A$6:$A$205,0)),"?"))</f>
        <v/>
      </c>
      <c r="D3303" s="41" t="n"/>
      <c r="E3303" s="42" t="n"/>
      <c r="F3303" s="43" t="n"/>
      <c r="G3303" s="44">
        <f>IF(OR(B3303="",F3303=""),"",IFERROR(F3303*INDEX(Mitarbeiter!$F$6:$F$205,MATCH(B3303,Mitarbeiter!$A$6:$A$205,0)),0))</f>
        <v/>
      </c>
      <c r="H3303" s="8">
        <f>IF(B3303="","",IF(ISNA(MATCH(B3303,Mitarbeiter!$A$6:$A$205,0)),"Pers.-Nr. unbekannt",IF(A3303="","Datum fehlt",IF(AND(D3303&lt;&gt;Einstellungen!$C$4,D3303&lt;&gt;Einstellungen!$C$5),"Objekt fehlt",IF(YEAR(A3303)&lt;&gt;Einstellungen!$C$3,"anderes Jahr",IF(A3303&lt;INDEX(Mitarbeiter!$C$6:$C$205,MATCH(B3303,Mitarbeiter!$A$6:$A$205,0)),"vor Eintritt",IF(AND(INDEX(Mitarbeiter!$D$6:$D$205,MATCH(B3303,Mitarbeiter!$A$6:$A$205,0))&lt;&gt;"",A3303&gt;INDEX(Mitarbeiter!$D$6:$D$205,MATCH(B3303,Mitarbeiter!$A$6:$A$205,0))),"nach Austritt","ok")))))))</f>
        <v/>
      </c>
    </row>
    <row r="3304">
      <c r="A3304" s="26" t="n"/>
      <c r="B3304" s="24" t="n"/>
      <c r="C3304" s="40">
        <f>IF(B3304="","",IFERROR(INDEX(Mitarbeiter!$B$6:$B$205,MATCH(B3304,Mitarbeiter!$A$6:$A$205,0)),"?"))</f>
        <v/>
      </c>
      <c r="D3304" s="41" t="n"/>
      <c r="E3304" s="42" t="n"/>
      <c r="F3304" s="43" t="n"/>
      <c r="G3304" s="44">
        <f>IF(OR(B3304="",F3304=""),"",IFERROR(F3304*INDEX(Mitarbeiter!$F$6:$F$205,MATCH(B3304,Mitarbeiter!$A$6:$A$205,0)),0))</f>
        <v/>
      </c>
      <c r="H3304" s="8">
        <f>IF(B3304="","",IF(ISNA(MATCH(B3304,Mitarbeiter!$A$6:$A$205,0)),"Pers.-Nr. unbekannt",IF(A3304="","Datum fehlt",IF(AND(D3304&lt;&gt;Einstellungen!$C$4,D3304&lt;&gt;Einstellungen!$C$5),"Objekt fehlt",IF(YEAR(A3304)&lt;&gt;Einstellungen!$C$3,"anderes Jahr",IF(A3304&lt;INDEX(Mitarbeiter!$C$6:$C$205,MATCH(B3304,Mitarbeiter!$A$6:$A$205,0)),"vor Eintritt",IF(AND(INDEX(Mitarbeiter!$D$6:$D$205,MATCH(B3304,Mitarbeiter!$A$6:$A$205,0))&lt;&gt;"",A3304&gt;INDEX(Mitarbeiter!$D$6:$D$205,MATCH(B3304,Mitarbeiter!$A$6:$A$205,0))),"nach Austritt","ok")))))))</f>
        <v/>
      </c>
    </row>
    <row r="3305">
      <c r="A3305" s="26" t="n"/>
      <c r="B3305" s="24" t="n"/>
      <c r="C3305" s="40">
        <f>IF(B3305="","",IFERROR(INDEX(Mitarbeiter!$B$6:$B$205,MATCH(B3305,Mitarbeiter!$A$6:$A$205,0)),"?"))</f>
        <v/>
      </c>
      <c r="D3305" s="41" t="n"/>
      <c r="E3305" s="42" t="n"/>
      <c r="F3305" s="43" t="n"/>
      <c r="G3305" s="44">
        <f>IF(OR(B3305="",F3305=""),"",IFERROR(F3305*INDEX(Mitarbeiter!$F$6:$F$205,MATCH(B3305,Mitarbeiter!$A$6:$A$205,0)),0))</f>
        <v/>
      </c>
      <c r="H3305" s="8">
        <f>IF(B3305="","",IF(ISNA(MATCH(B3305,Mitarbeiter!$A$6:$A$205,0)),"Pers.-Nr. unbekannt",IF(A3305="","Datum fehlt",IF(AND(D3305&lt;&gt;Einstellungen!$C$4,D3305&lt;&gt;Einstellungen!$C$5),"Objekt fehlt",IF(YEAR(A3305)&lt;&gt;Einstellungen!$C$3,"anderes Jahr",IF(A3305&lt;INDEX(Mitarbeiter!$C$6:$C$205,MATCH(B3305,Mitarbeiter!$A$6:$A$205,0)),"vor Eintritt",IF(AND(INDEX(Mitarbeiter!$D$6:$D$205,MATCH(B3305,Mitarbeiter!$A$6:$A$205,0))&lt;&gt;"",A3305&gt;INDEX(Mitarbeiter!$D$6:$D$205,MATCH(B3305,Mitarbeiter!$A$6:$A$205,0))),"nach Austritt","ok")))))))</f>
        <v/>
      </c>
    </row>
    <row r="3306">
      <c r="A3306" s="26" t="n"/>
      <c r="B3306" s="24" t="n"/>
      <c r="C3306" s="40">
        <f>IF(B3306="","",IFERROR(INDEX(Mitarbeiter!$B$6:$B$205,MATCH(B3306,Mitarbeiter!$A$6:$A$205,0)),"?"))</f>
        <v/>
      </c>
      <c r="D3306" s="41" t="n"/>
      <c r="E3306" s="42" t="n"/>
      <c r="F3306" s="43" t="n"/>
      <c r="G3306" s="44">
        <f>IF(OR(B3306="",F3306=""),"",IFERROR(F3306*INDEX(Mitarbeiter!$F$6:$F$205,MATCH(B3306,Mitarbeiter!$A$6:$A$205,0)),0))</f>
        <v/>
      </c>
      <c r="H3306" s="8">
        <f>IF(B3306="","",IF(ISNA(MATCH(B3306,Mitarbeiter!$A$6:$A$205,0)),"Pers.-Nr. unbekannt",IF(A3306="","Datum fehlt",IF(AND(D3306&lt;&gt;Einstellungen!$C$4,D3306&lt;&gt;Einstellungen!$C$5),"Objekt fehlt",IF(YEAR(A3306)&lt;&gt;Einstellungen!$C$3,"anderes Jahr",IF(A3306&lt;INDEX(Mitarbeiter!$C$6:$C$205,MATCH(B3306,Mitarbeiter!$A$6:$A$205,0)),"vor Eintritt",IF(AND(INDEX(Mitarbeiter!$D$6:$D$205,MATCH(B3306,Mitarbeiter!$A$6:$A$205,0))&lt;&gt;"",A3306&gt;INDEX(Mitarbeiter!$D$6:$D$205,MATCH(B3306,Mitarbeiter!$A$6:$A$205,0))),"nach Austritt","ok")))))))</f>
        <v/>
      </c>
    </row>
    <row r="3307">
      <c r="A3307" s="26" t="n"/>
      <c r="B3307" s="24" t="n"/>
      <c r="C3307" s="40">
        <f>IF(B3307="","",IFERROR(INDEX(Mitarbeiter!$B$6:$B$205,MATCH(B3307,Mitarbeiter!$A$6:$A$205,0)),"?"))</f>
        <v/>
      </c>
      <c r="D3307" s="41" t="n"/>
      <c r="E3307" s="42" t="n"/>
      <c r="F3307" s="43" t="n"/>
      <c r="G3307" s="44">
        <f>IF(OR(B3307="",F3307=""),"",IFERROR(F3307*INDEX(Mitarbeiter!$F$6:$F$205,MATCH(B3307,Mitarbeiter!$A$6:$A$205,0)),0))</f>
        <v/>
      </c>
      <c r="H3307" s="8">
        <f>IF(B3307="","",IF(ISNA(MATCH(B3307,Mitarbeiter!$A$6:$A$205,0)),"Pers.-Nr. unbekannt",IF(A3307="","Datum fehlt",IF(AND(D3307&lt;&gt;Einstellungen!$C$4,D3307&lt;&gt;Einstellungen!$C$5),"Objekt fehlt",IF(YEAR(A3307)&lt;&gt;Einstellungen!$C$3,"anderes Jahr",IF(A3307&lt;INDEX(Mitarbeiter!$C$6:$C$205,MATCH(B3307,Mitarbeiter!$A$6:$A$205,0)),"vor Eintritt",IF(AND(INDEX(Mitarbeiter!$D$6:$D$205,MATCH(B3307,Mitarbeiter!$A$6:$A$205,0))&lt;&gt;"",A3307&gt;INDEX(Mitarbeiter!$D$6:$D$205,MATCH(B3307,Mitarbeiter!$A$6:$A$205,0))),"nach Austritt","ok")))))))</f>
        <v/>
      </c>
    </row>
    <row r="3308">
      <c r="A3308" s="26" t="n"/>
      <c r="B3308" s="24" t="n"/>
      <c r="C3308" s="40">
        <f>IF(B3308="","",IFERROR(INDEX(Mitarbeiter!$B$6:$B$205,MATCH(B3308,Mitarbeiter!$A$6:$A$205,0)),"?"))</f>
        <v/>
      </c>
      <c r="D3308" s="41" t="n"/>
      <c r="E3308" s="42" t="n"/>
      <c r="F3308" s="43" t="n"/>
      <c r="G3308" s="44">
        <f>IF(OR(B3308="",F3308=""),"",IFERROR(F3308*INDEX(Mitarbeiter!$F$6:$F$205,MATCH(B3308,Mitarbeiter!$A$6:$A$205,0)),0))</f>
        <v/>
      </c>
      <c r="H3308" s="8">
        <f>IF(B3308="","",IF(ISNA(MATCH(B3308,Mitarbeiter!$A$6:$A$205,0)),"Pers.-Nr. unbekannt",IF(A3308="","Datum fehlt",IF(AND(D3308&lt;&gt;Einstellungen!$C$4,D3308&lt;&gt;Einstellungen!$C$5),"Objekt fehlt",IF(YEAR(A3308)&lt;&gt;Einstellungen!$C$3,"anderes Jahr",IF(A3308&lt;INDEX(Mitarbeiter!$C$6:$C$205,MATCH(B3308,Mitarbeiter!$A$6:$A$205,0)),"vor Eintritt",IF(AND(INDEX(Mitarbeiter!$D$6:$D$205,MATCH(B3308,Mitarbeiter!$A$6:$A$205,0))&lt;&gt;"",A3308&gt;INDEX(Mitarbeiter!$D$6:$D$205,MATCH(B3308,Mitarbeiter!$A$6:$A$205,0))),"nach Austritt","ok")))))))</f>
        <v/>
      </c>
    </row>
    <row r="3309">
      <c r="A3309" s="26" t="n"/>
      <c r="B3309" s="24" t="n"/>
      <c r="C3309" s="40">
        <f>IF(B3309="","",IFERROR(INDEX(Mitarbeiter!$B$6:$B$205,MATCH(B3309,Mitarbeiter!$A$6:$A$205,0)),"?"))</f>
        <v/>
      </c>
      <c r="D3309" s="41" t="n"/>
      <c r="E3309" s="42" t="n"/>
      <c r="F3309" s="43" t="n"/>
      <c r="G3309" s="44">
        <f>IF(OR(B3309="",F3309=""),"",IFERROR(F3309*INDEX(Mitarbeiter!$F$6:$F$205,MATCH(B3309,Mitarbeiter!$A$6:$A$205,0)),0))</f>
        <v/>
      </c>
      <c r="H3309" s="8">
        <f>IF(B3309="","",IF(ISNA(MATCH(B3309,Mitarbeiter!$A$6:$A$205,0)),"Pers.-Nr. unbekannt",IF(A3309="","Datum fehlt",IF(AND(D3309&lt;&gt;Einstellungen!$C$4,D3309&lt;&gt;Einstellungen!$C$5),"Objekt fehlt",IF(YEAR(A3309)&lt;&gt;Einstellungen!$C$3,"anderes Jahr",IF(A3309&lt;INDEX(Mitarbeiter!$C$6:$C$205,MATCH(B3309,Mitarbeiter!$A$6:$A$205,0)),"vor Eintritt",IF(AND(INDEX(Mitarbeiter!$D$6:$D$205,MATCH(B3309,Mitarbeiter!$A$6:$A$205,0))&lt;&gt;"",A3309&gt;INDEX(Mitarbeiter!$D$6:$D$205,MATCH(B3309,Mitarbeiter!$A$6:$A$205,0))),"nach Austritt","ok")))))))</f>
        <v/>
      </c>
    </row>
    <row r="3310">
      <c r="A3310" s="26" t="n"/>
      <c r="B3310" s="24" t="n"/>
      <c r="C3310" s="40">
        <f>IF(B3310="","",IFERROR(INDEX(Mitarbeiter!$B$6:$B$205,MATCH(B3310,Mitarbeiter!$A$6:$A$205,0)),"?"))</f>
        <v/>
      </c>
      <c r="D3310" s="41" t="n"/>
      <c r="E3310" s="42" t="n"/>
      <c r="F3310" s="43" t="n"/>
      <c r="G3310" s="44">
        <f>IF(OR(B3310="",F3310=""),"",IFERROR(F3310*INDEX(Mitarbeiter!$F$6:$F$205,MATCH(B3310,Mitarbeiter!$A$6:$A$205,0)),0))</f>
        <v/>
      </c>
      <c r="H3310" s="8">
        <f>IF(B3310="","",IF(ISNA(MATCH(B3310,Mitarbeiter!$A$6:$A$205,0)),"Pers.-Nr. unbekannt",IF(A3310="","Datum fehlt",IF(AND(D3310&lt;&gt;Einstellungen!$C$4,D3310&lt;&gt;Einstellungen!$C$5),"Objekt fehlt",IF(YEAR(A3310)&lt;&gt;Einstellungen!$C$3,"anderes Jahr",IF(A3310&lt;INDEX(Mitarbeiter!$C$6:$C$205,MATCH(B3310,Mitarbeiter!$A$6:$A$205,0)),"vor Eintritt",IF(AND(INDEX(Mitarbeiter!$D$6:$D$205,MATCH(B3310,Mitarbeiter!$A$6:$A$205,0))&lt;&gt;"",A3310&gt;INDEX(Mitarbeiter!$D$6:$D$205,MATCH(B3310,Mitarbeiter!$A$6:$A$205,0))),"nach Austritt","ok")))))))</f>
        <v/>
      </c>
    </row>
    <row r="3311">
      <c r="A3311" s="26" t="n"/>
      <c r="B3311" s="24" t="n"/>
      <c r="C3311" s="40">
        <f>IF(B3311="","",IFERROR(INDEX(Mitarbeiter!$B$6:$B$205,MATCH(B3311,Mitarbeiter!$A$6:$A$205,0)),"?"))</f>
        <v/>
      </c>
      <c r="D3311" s="41" t="n"/>
      <c r="E3311" s="42" t="n"/>
      <c r="F3311" s="43" t="n"/>
      <c r="G3311" s="44">
        <f>IF(OR(B3311="",F3311=""),"",IFERROR(F3311*INDEX(Mitarbeiter!$F$6:$F$205,MATCH(B3311,Mitarbeiter!$A$6:$A$205,0)),0))</f>
        <v/>
      </c>
      <c r="H3311" s="8">
        <f>IF(B3311="","",IF(ISNA(MATCH(B3311,Mitarbeiter!$A$6:$A$205,0)),"Pers.-Nr. unbekannt",IF(A3311="","Datum fehlt",IF(AND(D3311&lt;&gt;Einstellungen!$C$4,D3311&lt;&gt;Einstellungen!$C$5),"Objekt fehlt",IF(YEAR(A3311)&lt;&gt;Einstellungen!$C$3,"anderes Jahr",IF(A3311&lt;INDEX(Mitarbeiter!$C$6:$C$205,MATCH(B3311,Mitarbeiter!$A$6:$A$205,0)),"vor Eintritt",IF(AND(INDEX(Mitarbeiter!$D$6:$D$205,MATCH(B3311,Mitarbeiter!$A$6:$A$205,0))&lt;&gt;"",A3311&gt;INDEX(Mitarbeiter!$D$6:$D$205,MATCH(B3311,Mitarbeiter!$A$6:$A$205,0))),"nach Austritt","ok")))))))</f>
        <v/>
      </c>
    </row>
    <row r="3312">
      <c r="A3312" s="26" t="n"/>
      <c r="B3312" s="24" t="n"/>
      <c r="C3312" s="40">
        <f>IF(B3312="","",IFERROR(INDEX(Mitarbeiter!$B$6:$B$205,MATCH(B3312,Mitarbeiter!$A$6:$A$205,0)),"?"))</f>
        <v/>
      </c>
      <c r="D3312" s="41" t="n"/>
      <c r="E3312" s="42" t="n"/>
      <c r="F3312" s="43" t="n"/>
      <c r="G3312" s="44">
        <f>IF(OR(B3312="",F3312=""),"",IFERROR(F3312*INDEX(Mitarbeiter!$F$6:$F$205,MATCH(B3312,Mitarbeiter!$A$6:$A$205,0)),0))</f>
        <v/>
      </c>
      <c r="H3312" s="8">
        <f>IF(B3312="","",IF(ISNA(MATCH(B3312,Mitarbeiter!$A$6:$A$205,0)),"Pers.-Nr. unbekannt",IF(A3312="","Datum fehlt",IF(AND(D3312&lt;&gt;Einstellungen!$C$4,D3312&lt;&gt;Einstellungen!$C$5),"Objekt fehlt",IF(YEAR(A3312)&lt;&gt;Einstellungen!$C$3,"anderes Jahr",IF(A3312&lt;INDEX(Mitarbeiter!$C$6:$C$205,MATCH(B3312,Mitarbeiter!$A$6:$A$205,0)),"vor Eintritt",IF(AND(INDEX(Mitarbeiter!$D$6:$D$205,MATCH(B3312,Mitarbeiter!$A$6:$A$205,0))&lt;&gt;"",A3312&gt;INDEX(Mitarbeiter!$D$6:$D$205,MATCH(B3312,Mitarbeiter!$A$6:$A$205,0))),"nach Austritt","ok")))))))</f>
        <v/>
      </c>
    </row>
    <row r="3313">
      <c r="A3313" s="26" t="n"/>
      <c r="B3313" s="24" t="n"/>
      <c r="C3313" s="40">
        <f>IF(B3313="","",IFERROR(INDEX(Mitarbeiter!$B$6:$B$205,MATCH(B3313,Mitarbeiter!$A$6:$A$205,0)),"?"))</f>
        <v/>
      </c>
      <c r="D3313" s="41" t="n"/>
      <c r="E3313" s="42" t="n"/>
      <c r="F3313" s="43" t="n"/>
      <c r="G3313" s="44">
        <f>IF(OR(B3313="",F3313=""),"",IFERROR(F3313*INDEX(Mitarbeiter!$F$6:$F$205,MATCH(B3313,Mitarbeiter!$A$6:$A$205,0)),0))</f>
        <v/>
      </c>
      <c r="H3313" s="8">
        <f>IF(B3313="","",IF(ISNA(MATCH(B3313,Mitarbeiter!$A$6:$A$205,0)),"Pers.-Nr. unbekannt",IF(A3313="","Datum fehlt",IF(AND(D3313&lt;&gt;Einstellungen!$C$4,D3313&lt;&gt;Einstellungen!$C$5),"Objekt fehlt",IF(YEAR(A3313)&lt;&gt;Einstellungen!$C$3,"anderes Jahr",IF(A3313&lt;INDEX(Mitarbeiter!$C$6:$C$205,MATCH(B3313,Mitarbeiter!$A$6:$A$205,0)),"vor Eintritt",IF(AND(INDEX(Mitarbeiter!$D$6:$D$205,MATCH(B3313,Mitarbeiter!$A$6:$A$205,0))&lt;&gt;"",A3313&gt;INDEX(Mitarbeiter!$D$6:$D$205,MATCH(B3313,Mitarbeiter!$A$6:$A$205,0))),"nach Austritt","ok")))))))</f>
        <v/>
      </c>
    </row>
    <row r="3314">
      <c r="A3314" s="26" t="n"/>
      <c r="B3314" s="24" t="n"/>
      <c r="C3314" s="40">
        <f>IF(B3314="","",IFERROR(INDEX(Mitarbeiter!$B$6:$B$205,MATCH(B3314,Mitarbeiter!$A$6:$A$205,0)),"?"))</f>
        <v/>
      </c>
      <c r="D3314" s="41" t="n"/>
      <c r="E3314" s="42" t="n"/>
      <c r="F3314" s="43" t="n"/>
      <c r="G3314" s="44">
        <f>IF(OR(B3314="",F3314=""),"",IFERROR(F3314*INDEX(Mitarbeiter!$F$6:$F$205,MATCH(B3314,Mitarbeiter!$A$6:$A$205,0)),0))</f>
        <v/>
      </c>
      <c r="H3314" s="8">
        <f>IF(B3314="","",IF(ISNA(MATCH(B3314,Mitarbeiter!$A$6:$A$205,0)),"Pers.-Nr. unbekannt",IF(A3314="","Datum fehlt",IF(AND(D3314&lt;&gt;Einstellungen!$C$4,D3314&lt;&gt;Einstellungen!$C$5),"Objekt fehlt",IF(YEAR(A3314)&lt;&gt;Einstellungen!$C$3,"anderes Jahr",IF(A3314&lt;INDEX(Mitarbeiter!$C$6:$C$205,MATCH(B3314,Mitarbeiter!$A$6:$A$205,0)),"vor Eintritt",IF(AND(INDEX(Mitarbeiter!$D$6:$D$205,MATCH(B3314,Mitarbeiter!$A$6:$A$205,0))&lt;&gt;"",A3314&gt;INDEX(Mitarbeiter!$D$6:$D$205,MATCH(B3314,Mitarbeiter!$A$6:$A$205,0))),"nach Austritt","ok")))))))</f>
        <v/>
      </c>
    </row>
    <row r="3315">
      <c r="A3315" s="26" t="n"/>
      <c r="B3315" s="24" t="n"/>
      <c r="C3315" s="40">
        <f>IF(B3315="","",IFERROR(INDEX(Mitarbeiter!$B$6:$B$205,MATCH(B3315,Mitarbeiter!$A$6:$A$205,0)),"?"))</f>
        <v/>
      </c>
      <c r="D3315" s="41" t="n"/>
      <c r="E3315" s="42" t="n"/>
      <c r="F3315" s="43" t="n"/>
      <c r="G3315" s="44">
        <f>IF(OR(B3315="",F3315=""),"",IFERROR(F3315*INDEX(Mitarbeiter!$F$6:$F$205,MATCH(B3315,Mitarbeiter!$A$6:$A$205,0)),0))</f>
        <v/>
      </c>
      <c r="H3315" s="8">
        <f>IF(B3315="","",IF(ISNA(MATCH(B3315,Mitarbeiter!$A$6:$A$205,0)),"Pers.-Nr. unbekannt",IF(A3315="","Datum fehlt",IF(AND(D3315&lt;&gt;Einstellungen!$C$4,D3315&lt;&gt;Einstellungen!$C$5),"Objekt fehlt",IF(YEAR(A3315)&lt;&gt;Einstellungen!$C$3,"anderes Jahr",IF(A3315&lt;INDEX(Mitarbeiter!$C$6:$C$205,MATCH(B3315,Mitarbeiter!$A$6:$A$205,0)),"vor Eintritt",IF(AND(INDEX(Mitarbeiter!$D$6:$D$205,MATCH(B3315,Mitarbeiter!$A$6:$A$205,0))&lt;&gt;"",A3315&gt;INDEX(Mitarbeiter!$D$6:$D$205,MATCH(B3315,Mitarbeiter!$A$6:$A$205,0))),"nach Austritt","ok")))))))</f>
        <v/>
      </c>
    </row>
    <row r="3316">
      <c r="A3316" s="26" t="n"/>
      <c r="B3316" s="24" t="n"/>
      <c r="C3316" s="40">
        <f>IF(B3316="","",IFERROR(INDEX(Mitarbeiter!$B$6:$B$205,MATCH(B3316,Mitarbeiter!$A$6:$A$205,0)),"?"))</f>
        <v/>
      </c>
      <c r="D3316" s="41" t="n"/>
      <c r="E3316" s="42" t="n"/>
      <c r="F3316" s="43" t="n"/>
      <c r="G3316" s="44">
        <f>IF(OR(B3316="",F3316=""),"",IFERROR(F3316*INDEX(Mitarbeiter!$F$6:$F$205,MATCH(B3316,Mitarbeiter!$A$6:$A$205,0)),0))</f>
        <v/>
      </c>
      <c r="H3316" s="8">
        <f>IF(B3316="","",IF(ISNA(MATCH(B3316,Mitarbeiter!$A$6:$A$205,0)),"Pers.-Nr. unbekannt",IF(A3316="","Datum fehlt",IF(AND(D3316&lt;&gt;Einstellungen!$C$4,D3316&lt;&gt;Einstellungen!$C$5),"Objekt fehlt",IF(YEAR(A3316)&lt;&gt;Einstellungen!$C$3,"anderes Jahr",IF(A3316&lt;INDEX(Mitarbeiter!$C$6:$C$205,MATCH(B3316,Mitarbeiter!$A$6:$A$205,0)),"vor Eintritt",IF(AND(INDEX(Mitarbeiter!$D$6:$D$205,MATCH(B3316,Mitarbeiter!$A$6:$A$205,0))&lt;&gt;"",A3316&gt;INDEX(Mitarbeiter!$D$6:$D$205,MATCH(B3316,Mitarbeiter!$A$6:$A$205,0))),"nach Austritt","ok")))))))</f>
        <v/>
      </c>
    </row>
    <row r="3317">
      <c r="A3317" s="26" t="n"/>
      <c r="B3317" s="24" t="n"/>
      <c r="C3317" s="40">
        <f>IF(B3317="","",IFERROR(INDEX(Mitarbeiter!$B$6:$B$205,MATCH(B3317,Mitarbeiter!$A$6:$A$205,0)),"?"))</f>
        <v/>
      </c>
      <c r="D3317" s="41" t="n"/>
      <c r="E3317" s="42" t="n"/>
      <c r="F3317" s="43" t="n"/>
      <c r="G3317" s="44">
        <f>IF(OR(B3317="",F3317=""),"",IFERROR(F3317*INDEX(Mitarbeiter!$F$6:$F$205,MATCH(B3317,Mitarbeiter!$A$6:$A$205,0)),0))</f>
        <v/>
      </c>
      <c r="H3317" s="8">
        <f>IF(B3317="","",IF(ISNA(MATCH(B3317,Mitarbeiter!$A$6:$A$205,0)),"Pers.-Nr. unbekannt",IF(A3317="","Datum fehlt",IF(AND(D3317&lt;&gt;Einstellungen!$C$4,D3317&lt;&gt;Einstellungen!$C$5),"Objekt fehlt",IF(YEAR(A3317)&lt;&gt;Einstellungen!$C$3,"anderes Jahr",IF(A3317&lt;INDEX(Mitarbeiter!$C$6:$C$205,MATCH(B3317,Mitarbeiter!$A$6:$A$205,0)),"vor Eintritt",IF(AND(INDEX(Mitarbeiter!$D$6:$D$205,MATCH(B3317,Mitarbeiter!$A$6:$A$205,0))&lt;&gt;"",A3317&gt;INDEX(Mitarbeiter!$D$6:$D$205,MATCH(B3317,Mitarbeiter!$A$6:$A$205,0))),"nach Austritt","ok")))))))</f>
        <v/>
      </c>
    </row>
    <row r="3318">
      <c r="A3318" s="26" t="n"/>
      <c r="B3318" s="24" t="n"/>
      <c r="C3318" s="40">
        <f>IF(B3318="","",IFERROR(INDEX(Mitarbeiter!$B$6:$B$205,MATCH(B3318,Mitarbeiter!$A$6:$A$205,0)),"?"))</f>
        <v/>
      </c>
      <c r="D3318" s="41" t="n"/>
      <c r="E3318" s="42" t="n"/>
      <c r="F3318" s="43" t="n"/>
      <c r="G3318" s="44">
        <f>IF(OR(B3318="",F3318=""),"",IFERROR(F3318*INDEX(Mitarbeiter!$F$6:$F$205,MATCH(B3318,Mitarbeiter!$A$6:$A$205,0)),0))</f>
        <v/>
      </c>
      <c r="H3318" s="8">
        <f>IF(B3318="","",IF(ISNA(MATCH(B3318,Mitarbeiter!$A$6:$A$205,0)),"Pers.-Nr. unbekannt",IF(A3318="","Datum fehlt",IF(AND(D3318&lt;&gt;Einstellungen!$C$4,D3318&lt;&gt;Einstellungen!$C$5),"Objekt fehlt",IF(YEAR(A3318)&lt;&gt;Einstellungen!$C$3,"anderes Jahr",IF(A3318&lt;INDEX(Mitarbeiter!$C$6:$C$205,MATCH(B3318,Mitarbeiter!$A$6:$A$205,0)),"vor Eintritt",IF(AND(INDEX(Mitarbeiter!$D$6:$D$205,MATCH(B3318,Mitarbeiter!$A$6:$A$205,0))&lt;&gt;"",A3318&gt;INDEX(Mitarbeiter!$D$6:$D$205,MATCH(B3318,Mitarbeiter!$A$6:$A$205,0))),"nach Austritt","ok")))))))</f>
        <v/>
      </c>
    </row>
    <row r="3319">
      <c r="A3319" s="26" t="n"/>
      <c r="B3319" s="24" t="n"/>
      <c r="C3319" s="40">
        <f>IF(B3319="","",IFERROR(INDEX(Mitarbeiter!$B$6:$B$205,MATCH(B3319,Mitarbeiter!$A$6:$A$205,0)),"?"))</f>
        <v/>
      </c>
      <c r="D3319" s="41" t="n"/>
      <c r="E3319" s="42" t="n"/>
      <c r="F3319" s="43" t="n"/>
      <c r="G3319" s="44">
        <f>IF(OR(B3319="",F3319=""),"",IFERROR(F3319*INDEX(Mitarbeiter!$F$6:$F$205,MATCH(B3319,Mitarbeiter!$A$6:$A$205,0)),0))</f>
        <v/>
      </c>
      <c r="H3319" s="8">
        <f>IF(B3319="","",IF(ISNA(MATCH(B3319,Mitarbeiter!$A$6:$A$205,0)),"Pers.-Nr. unbekannt",IF(A3319="","Datum fehlt",IF(AND(D3319&lt;&gt;Einstellungen!$C$4,D3319&lt;&gt;Einstellungen!$C$5),"Objekt fehlt",IF(YEAR(A3319)&lt;&gt;Einstellungen!$C$3,"anderes Jahr",IF(A3319&lt;INDEX(Mitarbeiter!$C$6:$C$205,MATCH(B3319,Mitarbeiter!$A$6:$A$205,0)),"vor Eintritt",IF(AND(INDEX(Mitarbeiter!$D$6:$D$205,MATCH(B3319,Mitarbeiter!$A$6:$A$205,0))&lt;&gt;"",A3319&gt;INDEX(Mitarbeiter!$D$6:$D$205,MATCH(B3319,Mitarbeiter!$A$6:$A$205,0))),"nach Austritt","ok")))))))</f>
        <v/>
      </c>
    </row>
    <row r="3320">
      <c r="A3320" s="26" t="n"/>
      <c r="B3320" s="24" t="n"/>
      <c r="C3320" s="40">
        <f>IF(B3320="","",IFERROR(INDEX(Mitarbeiter!$B$6:$B$205,MATCH(B3320,Mitarbeiter!$A$6:$A$205,0)),"?"))</f>
        <v/>
      </c>
      <c r="D3320" s="41" t="n"/>
      <c r="E3320" s="42" t="n"/>
      <c r="F3320" s="43" t="n"/>
      <c r="G3320" s="44">
        <f>IF(OR(B3320="",F3320=""),"",IFERROR(F3320*INDEX(Mitarbeiter!$F$6:$F$205,MATCH(B3320,Mitarbeiter!$A$6:$A$205,0)),0))</f>
        <v/>
      </c>
      <c r="H3320" s="8">
        <f>IF(B3320="","",IF(ISNA(MATCH(B3320,Mitarbeiter!$A$6:$A$205,0)),"Pers.-Nr. unbekannt",IF(A3320="","Datum fehlt",IF(AND(D3320&lt;&gt;Einstellungen!$C$4,D3320&lt;&gt;Einstellungen!$C$5),"Objekt fehlt",IF(YEAR(A3320)&lt;&gt;Einstellungen!$C$3,"anderes Jahr",IF(A3320&lt;INDEX(Mitarbeiter!$C$6:$C$205,MATCH(B3320,Mitarbeiter!$A$6:$A$205,0)),"vor Eintritt",IF(AND(INDEX(Mitarbeiter!$D$6:$D$205,MATCH(B3320,Mitarbeiter!$A$6:$A$205,0))&lt;&gt;"",A3320&gt;INDEX(Mitarbeiter!$D$6:$D$205,MATCH(B3320,Mitarbeiter!$A$6:$A$205,0))),"nach Austritt","ok")))))))</f>
        <v/>
      </c>
    </row>
    <row r="3321">
      <c r="A3321" s="26" t="n"/>
      <c r="B3321" s="24" t="n"/>
      <c r="C3321" s="40">
        <f>IF(B3321="","",IFERROR(INDEX(Mitarbeiter!$B$6:$B$205,MATCH(B3321,Mitarbeiter!$A$6:$A$205,0)),"?"))</f>
        <v/>
      </c>
      <c r="D3321" s="41" t="n"/>
      <c r="E3321" s="42" t="n"/>
      <c r="F3321" s="43" t="n"/>
      <c r="G3321" s="44">
        <f>IF(OR(B3321="",F3321=""),"",IFERROR(F3321*INDEX(Mitarbeiter!$F$6:$F$205,MATCH(B3321,Mitarbeiter!$A$6:$A$205,0)),0))</f>
        <v/>
      </c>
      <c r="H3321" s="8">
        <f>IF(B3321="","",IF(ISNA(MATCH(B3321,Mitarbeiter!$A$6:$A$205,0)),"Pers.-Nr. unbekannt",IF(A3321="","Datum fehlt",IF(AND(D3321&lt;&gt;Einstellungen!$C$4,D3321&lt;&gt;Einstellungen!$C$5),"Objekt fehlt",IF(YEAR(A3321)&lt;&gt;Einstellungen!$C$3,"anderes Jahr",IF(A3321&lt;INDEX(Mitarbeiter!$C$6:$C$205,MATCH(B3321,Mitarbeiter!$A$6:$A$205,0)),"vor Eintritt",IF(AND(INDEX(Mitarbeiter!$D$6:$D$205,MATCH(B3321,Mitarbeiter!$A$6:$A$205,0))&lt;&gt;"",A3321&gt;INDEX(Mitarbeiter!$D$6:$D$205,MATCH(B3321,Mitarbeiter!$A$6:$A$205,0))),"nach Austritt","ok")))))))</f>
        <v/>
      </c>
    </row>
    <row r="3322">
      <c r="A3322" s="26" t="n"/>
      <c r="B3322" s="24" t="n"/>
      <c r="C3322" s="40">
        <f>IF(B3322="","",IFERROR(INDEX(Mitarbeiter!$B$6:$B$205,MATCH(B3322,Mitarbeiter!$A$6:$A$205,0)),"?"))</f>
        <v/>
      </c>
      <c r="D3322" s="41" t="n"/>
      <c r="E3322" s="42" t="n"/>
      <c r="F3322" s="43" t="n"/>
      <c r="G3322" s="44">
        <f>IF(OR(B3322="",F3322=""),"",IFERROR(F3322*INDEX(Mitarbeiter!$F$6:$F$205,MATCH(B3322,Mitarbeiter!$A$6:$A$205,0)),0))</f>
        <v/>
      </c>
      <c r="H3322" s="8">
        <f>IF(B3322="","",IF(ISNA(MATCH(B3322,Mitarbeiter!$A$6:$A$205,0)),"Pers.-Nr. unbekannt",IF(A3322="","Datum fehlt",IF(AND(D3322&lt;&gt;Einstellungen!$C$4,D3322&lt;&gt;Einstellungen!$C$5),"Objekt fehlt",IF(YEAR(A3322)&lt;&gt;Einstellungen!$C$3,"anderes Jahr",IF(A3322&lt;INDEX(Mitarbeiter!$C$6:$C$205,MATCH(B3322,Mitarbeiter!$A$6:$A$205,0)),"vor Eintritt",IF(AND(INDEX(Mitarbeiter!$D$6:$D$205,MATCH(B3322,Mitarbeiter!$A$6:$A$205,0))&lt;&gt;"",A3322&gt;INDEX(Mitarbeiter!$D$6:$D$205,MATCH(B3322,Mitarbeiter!$A$6:$A$205,0))),"nach Austritt","ok")))))))</f>
        <v/>
      </c>
    </row>
    <row r="3323">
      <c r="A3323" s="26" t="n"/>
      <c r="B3323" s="24" t="n"/>
      <c r="C3323" s="40">
        <f>IF(B3323="","",IFERROR(INDEX(Mitarbeiter!$B$6:$B$205,MATCH(B3323,Mitarbeiter!$A$6:$A$205,0)),"?"))</f>
        <v/>
      </c>
      <c r="D3323" s="41" t="n"/>
      <c r="E3323" s="42" t="n"/>
      <c r="F3323" s="43" t="n"/>
      <c r="G3323" s="44">
        <f>IF(OR(B3323="",F3323=""),"",IFERROR(F3323*INDEX(Mitarbeiter!$F$6:$F$205,MATCH(B3323,Mitarbeiter!$A$6:$A$205,0)),0))</f>
        <v/>
      </c>
      <c r="H3323" s="8">
        <f>IF(B3323="","",IF(ISNA(MATCH(B3323,Mitarbeiter!$A$6:$A$205,0)),"Pers.-Nr. unbekannt",IF(A3323="","Datum fehlt",IF(AND(D3323&lt;&gt;Einstellungen!$C$4,D3323&lt;&gt;Einstellungen!$C$5),"Objekt fehlt",IF(YEAR(A3323)&lt;&gt;Einstellungen!$C$3,"anderes Jahr",IF(A3323&lt;INDEX(Mitarbeiter!$C$6:$C$205,MATCH(B3323,Mitarbeiter!$A$6:$A$205,0)),"vor Eintritt",IF(AND(INDEX(Mitarbeiter!$D$6:$D$205,MATCH(B3323,Mitarbeiter!$A$6:$A$205,0))&lt;&gt;"",A3323&gt;INDEX(Mitarbeiter!$D$6:$D$205,MATCH(B3323,Mitarbeiter!$A$6:$A$205,0))),"nach Austritt","ok")))))))</f>
        <v/>
      </c>
    </row>
    <row r="3324">
      <c r="A3324" s="26" t="n"/>
      <c r="B3324" s="24" t="n"/>
      <c r="C3324" s="40">
        <f>IF(B3324="","",IFERROR(INDEX(Mitarbeiter!$B$6:$B$205,MATCH(B3324,Mitarbeiter!$A$6:$A$205,0)),"?"))</f>
        <v/>
      </c>
      <c r="D3324" s="41" t="n"/>
      <c r="E3324" s="42" t="n"/>
      <c r="F3324" s="43" t="n"/>
      <c r="G3324" s="44">
        <f>IF(OR(B3324="",F3324=""),"",IFERROR(F3324*INDEX(Mitarbeiter!$F$6:$F$205,MATCH(B3324,Mitarbeiter!$A$6:$A$205,0)),0))</f>
        <v/>
      </c>
      <c r="H3324" s="8">
        <f>IF(B3324="","",IF(ISNA(MATCH(B3324,Mitarbeiter!$A$6:$A$205,0)),"Pers.-Nr. unbekannt",IF(A3324="","Datum fehlt",IF(AND(D3324&lt;&gt;Einstellungen!$C$4,D3324&lt;&gt;Einstellungen!$C$5),"Objekt fehlt",IF(YEAR(A3324)&lt;&gt;Einstellungen!$C$3,"anderes Jahr",IF(A3324&lt;INDEX(Mitarbeiter!$C$6:$C$205,MATCH(B3324,Mitarbeiter!$A$6:$A$205,0)),"vor Eintritt",IF(AND(INDEX(Mitarbeiter!$D$6:$D$205,MATCH(B3324,Mitarbeiter!$A$6:$A$205,0))&lt;&gt;"",A3324&gt;INDEX(Mitarbeiter!$D$6:$D$205,MATCH(B3324,Mitarbeiter!$A$6:$A$205,0))),"nach Austritt","ok")))))))</f>
        <v/>
      </c>
    </row>
    <row r="3325">
      <c r="A3325" s="26" t="n"/>
      <c r="B3325" s="24" t="n"/>
      <c r="C3325" s="40">
        <f>IF(B3325="","",IFERROR(INDEX(Mitarbeiter!$B$6:$B$205,MATCH(B3325,Mitarbeiter!$A$6:$A$205,0)),"?"))</f>
        <v/>
      </c>
      <c r="D3325" s="41" t="n"/>
      <c r="E3325" s="42" t="n"/>
      <c r="F3325" s="43" t="n"/>
      <c r="G3325" s="44">
        <f>IF(OR(B3325="",F3325=""),"",IFERROR(F3325*INDEX(Mitarbeiter!$F$6:$F$205,MATCH(B3325,Mitarbeiter!$A$6:$A$205,0)),0))</f>
        <v/>
      </c>
      <c r="H3325" s="8">
        <f>IF(B3325="","",IF(ISNA(MATCH(B3325,Mitarbeiter!$A$6:$A$205,0)),"Pers.-Nr. unbekannt",IF(A3325="","Datum fehlt",IF(AND(D3325&lt;&gt;Einstellungen!$C$4,D3325&lt;&gt;Einstellungen!$C$5),"Objekt fehlt",IF(YEAR(A3325)&lt;&gt;Einstellungen!$C$3,"anderes Jahr",IF(A3325&lt;INDEX(Mitarbeiter!$C$6:$C$205,MATCH(B3325,Mitarbeiter!$A$6:$A$205,0)),"vor Eintritt",IF(AND(INDEX(Mitarbeiter!$D$6:$D$205,MATCH(B3325,Mitarbeiter!$A$6:$A$205,0))&lt;&gt;"",A3325&gt;INDEX(Mitarbeiter!$D$6:$D$205,MATCH(B3325,Mitarbeiter!$A$6:$A$205,0))),"nach Austritt","ok")))))))</f>
        <v/>
      </c>
    </row>
    <row r="3326">
      <c r="A3326" s="26" t="n"/>
      <c r="B3326" s="24" t="n"/>
      <c r="C3326" s="40">
        <f>IF(B3326="","",IFERROR(INDEX(Mitarbeiter!$B$6:$B$205,MATCH(B3326,Mitarbeiter!$A$6:$A$205,0)),"?"))</f>
        <v/>
      </c>
      <c r="D3326" s="41" t="n"/>
      <c r="E3326" s="42" t="n"/>
      <c r="F3326" s="43" t="n"/>
      <c r="G3326" s="44">
        <f>IF(OR(B3326="",F3326=""),"",IFERROR(F3326*INDEX(Mitarbeiter!$F$6:$F$205,MATCH(B3326,Mitarbeiter!$A$6:$A$205,0)),0))</f>
        <v/>
      </c>
      <c r="H3326" s="8">
        <f>IF(B3326="","",IF(ISNA(MATCH(B3326,Mitarbeiter!$A$6:$A$205,0)),"Pers.-Nr. unbekannt",IF(A3326="","Datum fehlt",IF(AND(D3326&lt;&gt;Einstellungen!$C$4,D3326&lt;&gt;Einstellungen!$C$5),"Objekt fehlt",IF(YEAR(A3326)&lt;&gt;Einstellungen!$C$3,"anderes Jahr",IF(A3326&lt;INDEX(Mitarbeiter!$C$6:$C$205,MATCH(B3326,Mitarbeiter!$A$6:$A$205,0)),"vor Eintritt",IF(AND(INDEX(Mitarbeiter!$D$6:$D$205,MATCH(B3326,Mitarbeiter!$A$6:$A$205,0))&lt;&gt;"",A3326&gt;INDEX(Mitarbeiter!$D$6:$D$205,MATCH(B3326,Mitarbeiter!$A$6:$A$205,0))),"nach Austritt","ok")))))))</f>
        <v/>
      </c>
    </row>
    <row r="3327">
      <c r="A3327" s="26" t="n"/>
      <c r="B3327" s="24" t="n"/>
      <c r="C3327" s="40">
        <f>IF(B3327="","",IFERROR(INDEX(Mitarbeiter!$B$6:$B$205,MATCH(B3327,Mitarbeiter!$A$6:$A$205,0)),"?"))</f>
        <v/>
      </c>
      <c r="D3327" s="41" t="n"/>
      <c r="E3327" s="42" t="n"/>
      <c r="F3327" s="43" t="n"/>
      <c r="G3327" s="44">
        <f>IF(OR(B3327="",F3327=""),"",IFERROR(F3327*INDEX(Mitarbeiter!$F$6:$F$205,MATCH(B3327,Mitarbeiter!$A$6:$A$205,0)),0))</f>
        <v/>
      </c>
      <c r="H3327" s="8">
        <f>IF(B3327="","",IF(ISNA(MATCH(B3327,Mitarbeiter!$A$6:$A$205,0)),"Pers.-Nr. unbekannt",IF(A3327="","Datum fehlt",IF(AND(D3327&lt;&gt;Einstellungen!$C$4,D3327&lt;&gt;Einstellungen!$C$5),"Objekt fehlt",IF(YEAR(A3327)&lt;&gt;Einstellungen!$C$3,"anderes Jahr",IF(A3327&lt;INDEX(Mitarbeiter!$C$6:$C$205,MATCH(B3327,Mitarbeiter!$A$6:$A$205,0)),"vor Eintritt",IF(AND(INDEX(Mitarbeiter!$D$6:$D$205,MATCH(B3327,Mitarbeiter!$A$6:$A$205,0))&lt;&gt;"",A3327&gt;INDEX(Mitarbeiter!$D$6:$D$205,MATCH(B3327,Mitarbeiter!$A$6:$A$205,0))),"nach Austritt","ok")))))))</f>
        <v/>
      </c>
    </row>
    <row r="3328">
      <c r="A3328" s="26" t="n"/>
      <c r="B3328" s="24" t="n"/>
      <c r="C3328" s="40">
        <f>IF(B3328="","",IFERROR(INDEX(Mitarbeiter!$B$6:$B$205,MATCH(B3328,Mitarbeiter!$A$6:$A$205,0)),"?"))</f>
        <v/>
      </c>
      <c r="D3328" s="41" t="n"/>
      <c r="E3328" s="42" t="n"/>
      <c r="F3328" s="43" t="n"/>
      <c r="G3328" s="44">
        <f>IF(OR(B3328="",F3328=""),"",IFERROR(F3328*INDEX(Mitarbeiter!$F$6:$F$205,MATCH(B3328,Mitarbeiter!$A$6:$A$205,0)),0))</f>
        <v/>
      </c>
      <c r="H3328" s="8">
        <f>IF(B3328="","",IF(ISNA(MATCH(B3328,Mitarbeiter!$A$6:$A$205,0)),"Pers.-Nr. unbekannt",IF(A3328="","Datum fehlt",IF(AND(D3328&lt;&gt;Einstellungen!$C$4,D3328&lt;&gt;Einstellungen!$C$5),"Objekt fehlt",IF(YEAR(A3328)&lt;&gt;Einstellungen!$C$3,"anderes Jahr",IF(A3328&lt;INDEX(Mitarbeiter!$C$6:$C$205,MATCH(B3328,Mitarbeiter!$A$6:$A$205,0)),"vor Eintritt",IF(AND(INDEX(Mitarbeiter!$D$6:$D$205,MATCH(B3328,Mitarbeiter!$A$6:$A$205,0))&lt;&gt;"",A3328&gt;INDEX(Mitarbeiter!$D$6:$D$205,MATCH(B3328,Mitarbeiter!$A$6:$A$205,0))),"nach Austritt","ok")))))))</f>
        <v/>
      </c>
    </row>
    <row r="3329">
      <c r="A3329" s="26" t="n"/>
      <c r="B3329" s="24" t="n"/>
      <c r="C3329" s="40">
        <f>IF(B3329="","",IFERROR(INDEX(Mitarbeiter!$B$6:$B$205,MATCH(B3329,Mitarbeiter!$A$6:$A$205,0)),"?"))</f>
        <v/>
      </c>
      <c r="D3329" s="41" t="n"/>
      <c r="E3329" s="42" t="n"/>
      <c r="F3329" s="43" t="n"/>
      <c r="G3329" s="44">
        <f>IF(OR(B3329="",F3329=""),"",IFERROR(F3329*INDEX(Mitarbeiter!$F$6:$F$205,MATCH(B3329,Mitarbeiter!$A$6:$A$205,0)),0))</f>
        <v/>
      </c>
      <c r="H3329" s="8">
        <f>IF(B3329="","",IF(ISNA(MATCH(B3329,Mitarbeiter!$A$6:$A$205,0)),"Pers.-Nr. unbekannt",IF(A3329="","Datum fehlt",IF(AND(D3329&lt;&gt;Einstellungen!$C$4,D3329&lt;&gt;Einstellungen!$C$5),"Objekt fehlt",IF(YEAR(A3329)&lt;&gt;Einstellungen!$C$3,"anderes Jahr",IF(A3329&lt;INDEX(Mitarbeiter!$C$6:$C$205,MATCH(B3329,Mitarbeiter!$A$6:$A$205,0)),"vor Eintritt",IF(AND(INDEX(Mitarbeiter!$D$6:$D$205,MATCH(B3329,Mitarbeiter!$A$6:$A$205,0))&lt;&gt;"",A3329&gt;INDEX(Mitarbeiter!$D$6:$D$205,MATCH(B3329,Mitarbeiter!$A$6:$A$205,0))),"nach Austritt","ok")))))))</f>
        <v/>
      </c>
    </row>
    <row r="3330">
      <c r="A3330" s="26" t="n"/>
      <c r="B3330" s="24" t="n"/>
      <c r="C3330" s="40">
        <f>IF(B3330="","",IFERROR(INDEX(Mitarbeiter!$B$6:$B$205,MATCH(B3330,Mitarbeiter!$A$6:$A$205,0)),"?"))</f>
        <v/>
      </c>
      <c r="D3330" s="41" t="n"/>
      <c r="E3330" s="42" t="n"/>
      <c r="F3330" s="43" t="n"/>
      <c r="G3330" s="44">
        <f>IF(OR(B3330="",F3330=""),"",IFERROR(F3330*INDEX(Mitarbeiter!$F$6:$F$205,MATCH(B3330,Mitarbeiter!$A$6:$A$205,0)),0))</f>
        <v/>
      </c>
      <c r="H3330" s="8">
        <f>IF(B3330="","",IF(ISNA(MATCH(B3330,Mitarbeiter!$A$6:$A$205,0)),"Pers.-Nr. unbekannt",IF(A3330="","Datum fehlt",IF(AND(D3330&lt;&gt;Einstellungen!$C$4,D3330&lt;&gt;Einstellungen!$C$5),"Objekt fehlt",IF(YEAR(A3330)&lt;&gt;Einstellungen!$C$3,"anderes Jahr",IF(A3330&lt;INDEX(Mitarbeiter!$C$6:$C$205,MATCH(B3330,Mitarbeiter!$A$6:$A$205,0)),"vor Eintritt",IF(AND(INDEX(Mitarbeiter!$D$6:$D$205,MATCH(B3330,Mitarbeiter!$A$6:$A$205,0))&lt;&gt;"",A3330&gt;INDEX(Mitarbeiter!$D$6:$D$205,MATCH(B3330,Mitarbeiter!$A$6:$A$205,0))),"nach Austritt","ok")))))))</f>
        <v/>
      </c>
    </row>
    <row r="3331">
      <c r="A3331" s="26" t="n"/>
      <c r="B3331" s="24" t="n"/>
      <c r="C3331" s="40">
        <f>IF(B3331="","",IFERROR(INDEX(Mitarbeiter!$B$6:$B$205,MATCH(B3331,Mitarbeiter!$A$6:$A$205,0)),"?"))</f>
        <v/>
      </c>
      <c r="D3331" s="41" t="n"/>
      <c r="E3331" s="42" t="n"/>
      <c r="F3331" s="43" t="n"/>
      <c r="G3331" s="44">
        <f>IF(OR(B3331="",F3331=""),"",IFERROR(F3331*INDEX(Mitarbeiter!$F$6:$F$205,MATCH(B3331,Mitarbeiter!$A$6:$A$205,0)),0))</f>
        <v/>
      </c>
      <c r="H3331" s="8">
        <f>IF(B3331="","",IF(ISNA(MATCH(B3331,Mitarbeiter!$A$6:$A$205,0)),"Pers.-Nr. unbekannt",IF(A3331="","Datum fehlt",IF(AND(D3331&lt;&gt;Einstellungen!$C$4,D3331&lt;&gt;Einstellungen!$C$5),"Objekt fehlt",IF(YEAR(A3331)&lt;&gt;Einstellungen!$C$3,"anderes Jahr",IF(A3331&lt;INDEX(Mitarbeiter!$C$6:$C$205,MATCH(B3331,Mitarbeiter!$A$6:$A$205,0)),"vor Eintritt",IF(AND(INDEX(Mitarbeiter!$D$6:$D$205,MATCH(B3331,Mitarbeiter!$A$6:$A$205,0))&lt;&gt;"",A3331&gt;INDEX(Mitarbeiter!$D$6:$D$205,MATCH(B3331,Mitarbeiter!$A$6:$A$205,0))),"nach Austritt","ok")))))))</f>
        <v/>
      </c>
    </row>
    <row r="3332">
      <c r="A3332" s="26" t="n"/>
      <c r="B3332" s="24" t="n"/>
      <c r="C3332" s="40">
        <f>IF(B3332="","",IFERROR(INDEX(Mitarbeiter!$B$6:$B$205,MATCH(B3332,Mitarbeiter!$A$6:$A$205,0)),"?"))</f>
        <v/>
      </c>
      <c r="D3332" s="41" t="n"/>
      <c r="E3332" s="42" t="n"/>
      <c r="F3332" s="43" t="n"/>
      <c r="G3332" s="44">
        <f>IF(OR(B3332="",F3332=""),"",IFERROR(F3332*INDEX(Mitarbeiter!$F$6:$F$205,MATCH(B3332,Mitarbeiter!$A$6:$A$205,0)),0))</f>
        <v/>
      </c>
      <c r="H3332" s="8">
        <f>IF(B3332="","",IF(ISNA(MATCH(B3332,Mitarbeiter!$A$6:$A$205,0)),"Pers.-Nr. unbekannt",IF(A3332="","Datum fehlt",IF(AND(D3332&lt;&gt;Einstellungen!$C$4,D3332&lt;&gt;Einstellungen!$C$5),"Objekt fehlt",IF(YEAR(A3332)&lt;&gt;Einstellungen!$C$3,"anderes Jahr",IF(A3332&lt;INDEX(Mitarbeiter!$C$6:$C$205,MATCH(B3332,Mitarbeiter!$A$6:$A$205,0)),"vor Eintritt",IF(AND(INDEX(Mitarbeiter!$D$6:$D$205,MATCH(B3332,Mitarbeiter!$A$6:$A$205,0))&lt;&gt;"",A3332&gt;INDEX(Mitarbeiter!$D$6:$D$205,MATCH(B3332,Mitarbeiter!$A$6:$A$205,0))),"nach Austritt","ok")))))))</f>
        <v/>
      </c>
    </row>
    <row r="3333">
      <c r="A3333" s="26" t="n"/>
      <c r="B3333" s="24" t="n"/>
      <c r="C3333" s="40">
        <f>IF(B3333="","",IFERROR(INDEX(Mitarbeiter!$B$6:$B$205,MATCH(B3333,Mitarbeiter!$A$6:$A$205,0)),"?"))</f>
        <v/>
      </c>
      <c r="D3333" s="41" t="n"/>
      <c r="E3333" s="42" t="n"/>
      <c r="F3333" s="43" t="n"/>
      <c r="G3333" s="44">
        <f>IF(OR(B3333="",F3333=""),"",IFERROR(F3333*INDEX(Mitarbeiter!$F$6:$F$205,MATCH(B3333,Mitarbeiter!$A$6:$A$205,0)),0))</f>
        <v/>
      </c>
      <c r="H3333" s="8">
        <f>IF(B3333="","",IF(ISNA(MATCH(B3333,Mitarbeiter!$A$6:$A$205,0)),"Pers.-Nr. unbekannt",IF(A3333="","Datum fehlt",IF(AND(D3333&lt;&gt;Einstellungen!$C$4,D3333&lt;&gt;Einstellungen!$C$5),"Objekt fehlt",IF(YEAR(A3333)&lt;&gt;Einstellungen!$C$3,"anderes Jahr",IF(A3333&lt;INDEX(Mitarbeiter!$C$6:$C$205,MATCH(B3333,Mitarbeiter!$A$6:$A$205,0)),"vor Eintritt",IF(AND(INDEX(Mitarbeiter!$D$6:$D$205,MATCH(B3333,Mitarbeiter!$A$6:$A$205,0))&lt;&gt;"",A3333&gt;INDEX(Mitarbeiter!$D$6:$D$205,MATCH(B3333,Mitarbeiter!$A$6:$A$205,0))),"nach Austritt","ok")))))))</f>
        <v/>
      </c>
    </row>
    <row r="3334">
      <c r="A3334" s="26" t="n"/>
      <c r="B3334" s="24" t="n"/>
      <c r="C3334" s="40">
        <f>IF(B3334="","",IFERROR(INDEX(Mitarbeiter!$B$6:$B$205,MATCH(B3334,Mitarbeiter!$A$6:$A$205,0)),"?"))</f>
        <v/>
      </c>
      <c r="D3334" s="41" t="n"/>
      <c r="E3334" s="42" t="n"/>
      <c r="F3334" s="43" t="n"/>
      <c r="G3334" s="44">
        <f>IF(OR(B3334="",F3334=""),"",IFERROR(F3334*INDEX(Mitarbeiter!$F$6:$F$205,MATCH(B3334,Mitarbeiter!$A$6:$A$205,0)),0))</f>
        <v/>
      </c>
      <c r="H3334" s="8">
        <f>IF(B3334="","",IF(ISNA(MATCH(B3334,Mitarbeiter!$A$6:$A$205,0)),"Pers.-Nr. unbekannt",IF(A3334="","Datum fehlt",IF(AND(D3334&lt;&gt;Einstellungen!$C$4,D3334&lt;&gt;Einstellungen!$C$5),"Objekt fehlt",IF(YEAR(A3334)&lt;&gt;Einstellungen!$C$3,"anderes Jahr",IF(A3334&lt;INDEX(Mitarbeiter!$C$6:$C$205,MATCH(B3334,Mitarbeiter!$A$6:$A$205,0)),"vor Eintritt",IF(AND(INDEX(Mitarbeiter!$D$6:$D$205,MATCH(B3334,Mitarbeiter!$A$6:$A$205,0))&lt;&gt;"",A3334&gt;INDEX(Mitarbeiter!$D$6:$D$205,MATCH(B3334,Mitarbeiter!$A$6:$A$205,0))),"nach Austritt","ok")))))))</f>
        <v/>
      </c>
    </row>
    <row r="3335">
      <c r="A3335" s="26" t="n"/>
      <c r="B3335" s="24" t="n"/>
      <c r="C3335" s="40">
        <f>IF(B3335="","",IFERROR(INDEX(Mitarbeiter!$B$6:$B$205,MATCH(B3335,Mitarbeiter!$A$6:$A$205,0)),"?"))</f>
        <v/>
      </c>
      <c r="D3335" s="41" t="n"/>
      <c r="E3335" s="42" t="n"/>
      <c r="F3335" s="43" t="n"/>
      <c r="G3335" s="44">
        <f>IF(OR(B3335="",F3335=""),"",IFERROR(F3335*INDEX(Mitarbeiter!$F$6:$F$205,MATCH(B3335,Mitarbeiter!$A$6:$A$205,0)),0))</f>
        <v/>
      </c>
      <c r="H3335" s="8">
        <f>IF(B3335="","",IF(ISNA(MATCH(B3335,Mitarbeiter!$A$6:$A$205,0)),"Pers.-Nr. unbekannt",IF(A3335="","Datum fehlt",IF(AND(D3335&lt;&gt;Einstellungen!$C$4,D3335&lt;&gt;Einstellungen!$C$5),"Objekt fehlt",IF(YEAR(A3335)&lt;&gt;Einstellungen!$C$3,"anderes Jahr",IF(A3335&lt;INDEX(Mitarbeiter!$C$6:$C$205,MATCH(B3335,Mitarbeiter!$A$6:$A$205,0)),"vor Eintritt",IF(AND(INDEX(Mitarbeiter!$D$6:$D$205,MATCH(B3335,Mitarbeiter!$A$6:$A$205,0))&lt;&gt;"",A3335&gt;INDEX(Mitarbeiter!$D$6:$D$205,MATCH(B3335,Mitarbeiter!$A$6:$A$205,0))),"nach Austritt","ok")))))))</f>
        <v/>
      </c>
    </row>
    <row r="3336">
      <c r="A3336" s="26" t="n"/>
      <c r="B3336" s="24" t="n"/>
      <c r="C3336" s="40">
        <f>IF(B3336="","",IFERROR(INDEX(Mitarbeiter!$B$6:$B$205,MATCH(B3336,Mitarbeiter!$A$6:$A$205,0)),"?"))</f>
        <v/>
      </c>
      <c r="D3336" s="41" t="n"/>
      <c r="E3336" s="42" t="n"/>
      <c r="F3336" s="43" t="n"/>
      <c r="G3336" s="44">
        <f>IF(OR(B3336="",F3336=""),"",IFERROR(F3336*INDEX(Mitarbeiter!$F$6:$F$205,MATCH(B3336,Mitarbeiter!$A$6:$A$205,0)),0))</f>
        <v/>
      </c>
      <c r="H3336" s="8">
        <f>IF(B3336="","",IF(ISNA(MATCH(B3336,Mitarbeiter!$A$6:$A$205,0)),"Pers.-Nr. unbekannt",IF(A3336="","Datum fehlt",IF(AND(D3336&lt;&gt;Einstellungen!$C$4,D3336&lt;&gt;Einstellungen!$C$5),"Objekt fehlt",IF(YEAR(A3336)&lt;&gt;Einstellungen!$C$3,"anderes Jahr",IF(A3336&lt;INDEX(Mitarbeiter!$C$6:$C$205,MATCH(B3336,Mitarbeiter!$A$6:$A$205,0)),"vor Eintritt",IF(AND(INDEX(Mitarbeiter!$D$6:$D$205,MATCH(B3336,Mitarbeiter!$A$6:$A$205,0))&lt;&gt;"",A3336&gt;INDEX(Mitarbeiter!$D$6:$D$205,MATCH(B3336,Mitarbeiter!$A$6:$A$205,0))),"nach Austritt","ok")))))))</f>
        <v/>
      </c>
    </row>
    <row r="3337">
      <c r="A3337" s="26" t="n"/>
      <c r="B3337" s="24" t="n"/>
      <c r="C3337" s="40">
        <f>IF(B3337="","",IFERROR(INDEX(Mitarbeiter!$B$6:$B$205,MATCH(B3337,Mitarbeiter!$A$6:$A$205,0)),"?"))</f>
        <v/>
      </c>
      <c r="D3337" s="41" t="n"/>
      <c r="E3337" s="42" t="n"/>
      <c r="F3337" s="43" t="n"/>
      <c r="G3337" s="44">
        <f>IF(OR(B3337="",F3337=""),"",IFERROR(F3337*INDEX(Mitarbeiter!$F$6:$F$205,MATCH(B3337,Mitarbeiter!$A$6:$A$205,0)),0))</f>
        <v/>
      </c>
      <c r="H3337" s="8">
        <f>IF(B3337="","",IF(ISNA(MATCH(B3337,Mitarbeiter!$A$6:$A$205,0)),"Pers.-Nr. unbekannt",IF(A3337="","Datum fehlt",IF(AND(D3337&lt;&gt;Einstellungen!$C$4,D3337&lt;&gt;Einstellungen!$C$5),"Objekt fehlt",IF(YEAR(A3337)&lt;&gt;Einstellungen!$C$3,"anderes Jahr",IF(A3337&lt;INDEX(Mitarbeiter!$C$6:$C$205,MATCH(B3337,Mitarbeiter!$A$6:$A$205,0)),"vor Eintritt",IF(AND(INDEX(Mitarbeiter!$D$6:$D$205,MATCH(B3337,Mitarbeiter!$A$6:$A$205,0))&lt;&gt;"",A3337&gt;INDEX(Mitarbeiter!$D$6:$D$205,MATCH(B3337,Mitarbeiter!$A$6:$A$205,0))),"nach Austritt","ok")))))))</f>
        <v/>
      </c>
    </row>
    <row r="3338">
      <c r="A3338" s="26" t="n"/>
      <c r="B3338" s="24" t="n"/>
      <c r="C3338" s="40">
        <f>IF(B3338="","",IFERROR(INDEX(Mitarbeiter!$B$6:$B$205,MATCH(B3338,Mitarbeiter!$A$6:$A$205,0)),"?"))</f>
        <v/>
      </c>
      <c r="D3338" s="41" t="n"/>
      <c r="E3338" s="42" t="n"/>
      <c r="F3338" s="43" t="n"/>
      <c r="G3338" s="44">
        <f>IF(OR(B3338="",F3338=""),"",IFERROR(F3338*INDEX(Mitarbeiter!$F$6:$F$205,MATCH(B3338,Mitarbeiter!$A$6:$A$205,0)),0))</f>
        <v/>
      </c>
      <c r="H3338" s="8">
        <f>IF(B3338="","",IF(ISNA(MATCH(B3338,Mitarbeiter!$A$6:$A$205,0)),"Pers.-Nr. unbekannt",IF(A3338="","Datum fehlt",IF(AND(D3338&lt;&gt;Einstellungen!$C$4,D3338&lt;&gt;Einstellungen!$C$5),"Objekt fehlt",IF(YEAR(A3338)&lt;&gt;Einstellungen!$C$3,"anderes Jahr",IF(A3338&lt;INDEX(Mitarbeiter!$C$6:$C$205,MATCH(B3338,Mitarbeiter!$A$6:$A$205,0)),"vor Eintritt",IF(AND(INDEX(Mitarbeiter!$D$6:$D$205,MATCH(B3338,Mitarbeiter!$A$6:$A$205,0))&lt;&gt;"",A3338&gt;INDEX(Mitarbeiter!$D$6:$D$205,MATCH(B3338,Mitarbeiter!$A$6:$A$205,0))),"nach Austritt","ok")))))))</f>
        <v/>
      </c>
    </row>
    <row r="3339">
      <c r="A3339" s="26" t="n"/>
      <c r="B3339" s="24" t="n"/>
      <c r="C3339" s="40">
        <f>IF(B3339="","",IFERROR(INDEX(Mitarbeiter!$B$6:$B$205,MATCH(B3339,Mitarbeiter!$A$6:$A$205,0)),"?"))</f>
        <v/>
      </c>
      <c r="D3339" s="41" t="n"/>
      <c r="E3339" s="42" t="n"/>
      <c r="F3339" s="43" t="n"/>
      <c r="G3339" s="44">
        <f>IF(OR(B3339="",F3339=""),"",IFERROR(F3339*INDEX(Mitarbeiter!$F$6:$F$205,MATCH(B3339,Mitarbeiter!$A$6:$A$205,0)),0))</f>
        <v/>
      </c>
      <c r="H3339" s="8">
        <f>IF(B3339="","",IF(ISNA(MATCH(B3339,Mitarbeiter!$A$6:$A$205,0)),"Pers.-Nr. unbekannt",IF(A3339="","Datum fehlt",IF(AND(D3339&lt;&gt;Einstellungen!$C$4,D3339&lt;&gt;Einstellungen!$C$5),"Objekt fehlt",IF(YEAR(A3339)&lt;&gt;Einstellungen!$C$3,"anderes Jahr",IF(A3339&lt;INDEX(Mitarbeiter!$C$6:$C$205,MATCH(B3339,Mitarbeiter!$A$6:$A$205,0)),"vor Eintritt",IF(AND(INDEX(Mitarbeiter!$D$6:$D$205,MATCH(B3339,Mitarbeiter!$A$6:$A$205,0))&lt;&gt;"",A3339&gt;INDEX(Mitarbeiter!$D$6:$D$205,MATCH(B3339,Mitarbeiter!$A$6:$A$205,0))),"nach Austritt","ok")))))))</f>
        <v/>
      </c>
    </row>
    <row r="3340">
      <c r="A3340" s="26" t="n"/>
      <c r="B3340" s="24" t="n"/>
      <c r="C3340" s="40">
        <f>IF(B3340="","",IFERROR(INDEX(Mitarbeiter!$B$6:$B$205,MATCH(B3340,Mitarbeiter!$A$6:$A$205,0)),"?"))</f>
        <v/>
      </c>
      <c r="D3340" s="41" t="n"/>
      <c r="E3340" s="42" t="n"/>
      <c r="F3340" s="43" t="n"/>
      <c r="G3340" s="44">
        <f>IF(OR(B3340="",F3340=""),"",IFERROR(F3340*INDEX(Mitarbeiter!$F$6:$F$205,MATCH(B3340,Mitarbeiter!$A$6:$A$205,0)),0))</f>
        <v/>
      </c>
      <c r="H3340" s="8">
        <f>IF(B3340="","",IF(ISNA(MATCH(B3340,Mitarbeiter!$A$6:$A$205,0)),"Pers.-Nr. unbekannt",IF(A3340="","Datum fehlt",IF(AND(D3340&lt;&gt;Einstellungen!$C$4,D3340&lt;&gt;Einstellungen!$C$5),"Objekt fehlt",IF(YEAR(A3340)&lt;&gt;Einstellungen!$C$3,"anderes Jahr",IF(A3340&lt;INDEX(Mitarbeiter!$C$6:$C$205,MATCH(B3340,Mitarbeiter!$A$6:$A$205,0)),"vor Eintritt",IF(AND(INDEX(Mitarbeiter!$D$6:$D$205,MATCH(B3340,Mitarbeiter!$A$6:$A$205,0))&lt;&gt;"",A3340&gt;INDEX(Mitarbeiter!$D$6:$D$205,MATCH(B3340,Mitarbeiter!$A$6:$A$205,0))),"nach Austritt","ok")))))))</f>
        <v/>
      </c>
    </row>
    <row r="3341">
      <c r="A3341" s="26" t="n"/>
      <c r="B3341" s="24" t="n"/>
      <c r="C3341" s="40">
        <f>IF(B3341="","",IFERROR(INDEX(Mitarbeiter!$B$6:$B$205,MATCH(B3341,Mitarbeiter!$A$6:$A$205,0)),"?"))</f>
        <v/>
      </c>
      <c r="D3341" s="41" t="n"/>
      <c r="E3341" s="42" t="n"/>
      <c r="F3341" s="43" t="n"/>
      <c r="G3341" s="44">
        <f>IF(OR(B3341="",F3341=""),"",IFERROR(F3341*INDEX(Mitarbeiter!$F$6:$F$205,MATCH(B3341,Mitarbeiter!$A$6:$A$205,0)),0))</f>
        <v/>
      </c>
      <c r="H3341" s="8">
        <f>IF(B3341="","",IF(ISNA(MATCH(B3341,Mitarbeiter!$A$6:$A$205,0)),"Pers.-Nr. unbekannt",IF(A3341="","Datum fehlt",IF(AND(D3341&lt;&gt;Einstellungen!$C$4,D3341&lt;&gt;Einstellungen!$C$5),"Objekt fehlt",IF(YEAR(A3341)&lt;&gt;Einstellungen!$C$3,"anderes Jahr",IF(A3341&lt;INDEX(Mitarbeiter!$C$6:$C$205,MATCH(B3341,Mitarbeiter!$A$6:$A$205,0)),"vor Eintritt",IF(AND(INDEX(Mitarbeiter!$D$6:$D$205,MATCH(B3341,Mitarbeiter!$A$6:$A$205,0))&lt;&gt;"",A3341&gt;INDEX(Mitarbeiter!$D$6:$D$205,MATCH(B3341,Mitarbeiter!$A$6:$A$205,0))),"nach Austritt","ok")))))))</f>
        <v/>
      </c>
    </row>
    <row r="3342">
      <c r="A3342" s="26" t="n"/>
      <c r="B3342" s="24" t="n"/>
      <c r="C3342" s="40">
        <f>IF(B3342="","",IFERROR(INDEX(Mitarbeiter!$B$6:$B$205,MATCH(B3342,Mitarbeiter!$A$6:$A$205,0)),"?"))</f>
        <v/>
      </c>
      <c r="D3342" s="41" t="n"/>
      <c r="E3342" s="42" t="n"/>
      <c r="F3342" s="43" t="n"/>
      <c r="G3342" s="44">
        <f>IF(OR(B3342="",F3342=""),"",IFERROR(F3342*INDEX(Mitarbeiter!$F$6:$F$205,MATCH(B3342,Mitarbeiter!$A$6:$A$205,0)),0))</f>
        <v/>
      </c>
      <c r="H3342" s="8">
        <f>IF(B3342="","",IF(ISNA(MATCH(B3342,Mitarbeiter!$A$6:$A$205,0)),"Pers.-Nr. unbekannt",IF(A3342="","Datum fehlt",IF(AND(D3342&lt;&gt;Einstellungen!$C$4,D3342&lt;&gt;Einstellungen!$C$5),"Objekt fehlt",IF(YEAR(A3342)&lt;&gt;Einstellungen!$C$3,"anderes Jahr",IF(A3342&lt;INDEX(Mitarbeiter!$C$6:$C$205,MATCH(B3342,Mitarbeiter!$A$6:$A$205,0)),"vor Eintritt",IF(AND(INDEX(Mitarbeiter!$D$6:$D$205,MATCH(B3342,Mitarbeiter!$A$6:$A$205,0))&lt;&gt;"",A3342&gt;INDEX(Mitarbeiter!$D$6:$D$205,MATCH(B3342,Mitarbeiter!$A$6:$A$205,0))),"nach Austritt","ok")))))))</f>
        <v/>
      </c>
    </row>
    <row r="3343">
      <c r="A3343" s="26" t="n"/>
      <c r="B3343" s="24" t="n"/>
      <c r="C3343" s="40">
        <f>IF(B3343="","",IFERROR(INDEX(Mitarbeiter!$B$6:$B$205,MATCH(B3343,Mitarbeiter!$A$6:$A$205,0)),"?"))</f>
        <v/>
      </c>
      <c r="D3343" s="41" t="n"/>
      <c r="E3343" s="42" t="n"/>
      <c r="F3343" s="43" t="n"/>
      <c r="G3343" s="44">
        <f>IF(OR(B3343="",F3343=""),"",IFERROR(F3343*INDEX(Mitarbeiter!$F$6:$F$205,MATCH(B3343,Mitarbeiter!$A$6:$A$205,0)),0))</f>
        <v/>
      </c>
      <c r="H3343" s="8">
        <f>IF(B3343="","",IF(ISNA(MATCH(B3343,Mitarbeiter!$A$6:$A$205,0)),"Pers.-Nr. unbekannt",IF(A3343="","Datum fehlt",IF(AND(D3343&lt;&gt;Einstellungen!$C$4,D3343&lt;&gt;Einstellungen!$C$5),"Objekt fehlt",IF(YEAR(A3343)&lt;&gt;Einstellungen!$C$3,"anderes Jahr",IF(A3343&lt;INDEX(Mitarbeiter!$C$6:$C$205,MATCH(B3343,Mitarbeiter!$A$6:$A$205,0)),"vor Eintritt",IF(AND(INDEX(Mitarbeiter!$D$6:$D$205,MATCH(B3343,Mitarbeiter!$A$6:$A$205,0))&lt;&gt;"",A3343&gt;INDEX(Mitarbeiter!$D$6:$D$205,MATCH(B3343,Mitarbeiter!$A$6:$A$205,0))),"nach Austritt","ok")))))))</f>
        <v/>
      </c>
    </row>
    <row r="3344">
      <c r="A3344" s="26" t="n"/>
      <c r="B3344" s="24" t="n"/>
      <c r="C3344" s="40">
        <f>IF(B3344="","",IFERROR(INDEX(Mitarbeiter!$B$6:$B$205,MATCH(B3344,Mitarbeiter!$A$6:$A$205,0)),"?"))</f>
        <v/>
      </c>
      <c r="D3344" s="41" t="n"/>
      <c r="E3344" s="42" t="n"/>
      <c r="F3344" s="43" t="n"/>
      <c r="G3344" s="44">
        <f>IF(OR(B3344="",F3344=""),"",IFERROR(F3344*INDEX(Mitarbeiter!$F$6:$F$205,MATCH(B3344,Mitarbeiter!$A$6:$A$205,0)),0))</f>
        <v/>
      </c>
      <c r="H3344" s="8">
        <f>IF(B3344="","",IF(ISNA(MATCH(B3344,Mitarbeiter!$A$6:$A$205,0)),"Pers.-Nr. unbekannt",IF(A3344="","Datum fehlt",IF(AND(D3344&lt;&gt;Einstellungen!$C$4,D3344&lt;&gt;Einstellungen!$C$5),"Objekt fehlt",IF(YEAR(A3344)&lt;&gt;Einstellungen!$C$3,"anderes Jahr",IF(A3344&lt;INDEX(Mitarbeiter!$C$6:$C$205,MATCH(B3344,Mitarbeiter!$A$6:$A$205,0)),"vor Eintritt",IF(AND(INDEX(Mitarbeiter!$D$6:$D$205,MATCH(B3344,Mitarbeiter!$A$6:$A$205,0))&lt;&gt;"",A3344&gt;INDEX(Mitarbeiter!$D$6:$D$205,MATCH(B3344,Mitarbeiter!$A$6:$A$205,0))),"nach Austritt","ok")))))))</f>
        <v/>
      </c>
    </row>
    <row r="3345">
      <c r="A3345" s="26" t="n"/>
      <c r="B3345" s="24" t="n"/>
      <c r="C3345" s="40">
        <f>IF(B3345="","",IFERROR(INDEX(Mitarbeiter!$B$6:$B$205,MATCH(B3345,Mitarbeiter!$A$6:$A$205,0)),"?"))</f>
        <v/>
      </c>
      <c r="D3345" s="41" t="n"/>
      <c r="E3345" s="42" t="n"/>
      <c r="F3345" s="43" t="n"/>
      <c r="G3345" s="44">
        <f>IF(OR(B3345="",F3345=""),"",IFERROR(F3345*INDEX(Mitarbeiter!$F$6:$F$205,MATCH(B3345,Mitarbeiter!$A$6:$A$205,0)),0))</f>
        <v/>
      </c>
      <c r="H3345" s="8">
        <f>IF(B3345="","",IF(ISNA(MATCH(B3345,Mitarbeiter!$A$6:$A$205,0)),"Pers.-Nr. unbekannt",IF(A3345="","Datum fehlt",IF(AND(D3345&lt;&gt;Einstellungen!$C$4,D3345&lt;&gt;Einstellungen!$C$5),"Objekt fehlt",IF(YEAR(A3345)&lt;&gt;Einstellungen!$C$3,"anderes Jahr",IF(A3345&lt;INDEX(Mitarbeiter!$C$6:$C$205,MATCH(B3345,Mitarbeiter!$A$6:$A$205,0)),"vor Eintritt",IF(AND(INDEX(Mitarbeiter!$D$6:$D$205,MATCH(B3345,Mitarbeiter!$A$6:$A$205,0))&lt;&gt;"",A3345&gt;INDEX(Mitarbeiter!$D$6:$D$205,MATCH(B3345,Mitarbeiter!$A$6:$A$205,0))),"nach Austritt","ok")))))))</f>
        <v/>
      </c>
    </row>
    <row r="3346">
      <c r="A3346" s="26" t="n"/>
      <c r="B3346" s="24" t="n"/>
      <c r="C3346" s="40">
        <f>IF(B3346="","",IFERROR(INDEX(Mitarbeiter!$B$6:$B$205,MATCH(B3346,Mitarbeiter!$A$6:$A$205,0)),"?"))</f>
        <v/>
      </c>
      <c r="D3346" s="41" t="n"/>
      <c r="E3346" s="42" t="n"/>
      <c r="F3346" s="43" t="n"/>
      <c r="G3346" s="44">
        <f>IF(OR(B3346="",F3346=""),"",IFERROR(F3346*INDEX(Mitarbeiter!$F$6:$F$205,MATCH(B3346,Mitarbeiter!$A$6:$A$205,0)),0))</f>
        <v/>
      </c>
      <c r="H3346" s="8">
        <f>IF(B3346="","",IF(ISNA(MATCH(B3346,Mitarbeiter!$A$6:$A$205,0)),"Pers.-Nr. unbekannt",IF(A3346="","Datum fehlt",IF(AND(D3346&lt;&gt;Einstellungen!$C$4,D3346&lt;&gt;Einstellungen!$C$5),"Objekt fehlt",IF(YEAR(A3346)&lt;&gt;Einstellungen!$C$3,"anderes Jahr",IF(A3346&lt;INDEX(Mitarbeiter!$C$6:$C$205,MATCH(B3346,Mitarbeiter!$A$6:$A$205,0)),"vor Eintritt",IF(AND(INDEX(Mitarbeiter!$D$6:$D$205,MATCH(B3346,Mitarbeiter!$A$6:$A$205,0))&lt;&gt;"",A3346&gt;INDEX(Mitarbeiter!$D$6:$D$205,MATCH(B3346,Mitarbeiter!$A$6:$A$205,0))),"nach Austritt","ok")))))))</f>
        <v/>
      </c>
    </row>
    <row r="3347">
      <c r="A3347" s="26" t="n"/>
      <c r="B3347" s="24" t="n"/>
      <c r="C3347" s="40">
        <f>IF(B3347="","",IFERROR(INDEX(Mitarbeiter!$B$6:$B$205,MATCH(B3347,Mitarbeiter!$A$6:$A$205,0)),"?"))</f>
        <v/>
      </c>
      <c r="D3347" s="41" t="n"/>
      <c r="E3347" s="42" t="n"/>
      <c r="F3347" s="43" t="n"/>
      <c r="G3347" s="44">
        <f>IF(OR(B3347="",F3347=""),"",IFERROR(F3347*INDEX(Mitarbeiter!$F$6:$F$205,MATCH(B3347,Mitarbeiter!$A$6:$A$205,0)),0))</f>
        <v/>
      </c>
      <c r="H3347" s="8">
        <f>IF(B3347="","",IF(ISNA(MATCH(B3347,Mitarbeiter!$A$6:$A$205,0)),"Pers.-Nr. unbekannt",IF(A3347="","Datum fehlt",IF(AND(D3347&lt;&gt;Einstellungen!$C$4,D3347&lt;&gt;Einstellungen!$C$5),"Objekt fehlt",IF(YEAR(A3347)&lt;&gt;Einstellungen!$C$3,"anderes Jahr",IF(A3347&lt;INDEX(Mitarbeiter!$C$6:$C$205,MATCH(B3347,Mitarbeiter!$A$6:$A$205,0)),"vor Eintritt",IF(AND(INDEX(Mitarbeiter!$D$6:$D$205,MATCH(B3347,Mitarbeiter!$A$6:$A$205,0))&lt;&gt;"",A3347&gt;INDEX(Mitarbeiter!$D$6:$D$205,MATCH(B3347,Mitarbeiter!$A$6:$A$205,0))),"nach Austritt","ok")))))))</f>
        <v/>
      </c>
    </row>
    <row r="3348">
      <c r="A3348" s="26" t="n"/>
      <c r="B3348" s="24" t="n"/>
      <c r="C3348" s="40">
        <f>IF(B3348="","",IFERROR(INDEX(Mitarbeiter!$B$6:$B$205,MATCH(B3348,Mitarbeiter!$A$6:$A$205,0)),"?"))</f>
        <v/>
      </c>
      <c r="D3348" s="41" t="n"/>
      <c r="E3348" s="42" t="n"/>
      <c r="F3348" s="43" t="n"/>
      <c r="G3348" s="44">
        <f>IF(OR(B3348="",F3348=""),"",IFERROR(F3348*INDEX(Mitarbeiter!$F$6:$F$205,MATCH(B3348,Mitarbeiter!$A$6:$A$205,0)),0))</f>
        <v/>
      </c>
      <c r="H3348" s="8">
        <f>IF(B3348="","",IF(ISNA(MATCH(B3348,Mitarbeiter!$A$6:$A$205,0)),"Pers.-Nr. unbekannt",IF(A3348="","Datum fehlt",IF(AND(D3348&lt;&gt;Einstellungen!$C$4,D3348&lt;&gt;Einstellungen!$C$5),"Objekt fehlt",IF(YEAR(A3348)&lt;&gt;Einstellungen!$C$3,"anderes Jahr",IF(A3348&lt;INDEX(Mitarbeiter!$C$6:$C$205,MATCH(B3348,Mitarbeiter!$A$6:$A$205,0)),"vor Eintritt",IF(AND(INDEX(Mitarbeiter!$D$6:$D$205,MATCH(B3348,Mitarbeiter!$A$6:$A$205,0))&lt;&gt;"",A3348&gt;INDEX(Mitarbeiter!$D$6:$D$205,MATCH(B3348,Mitarbeiter!$A$6:$A$205,0))),"nach Austritt","ok")))))))</f>
        <v/>
      </c>
    </row>
    <row r="3349">
      <c r="A3349" s="26" t="n"/>
      <c r="B3349" s="24" t="n"/>
      <c r="C3349" s="40">
        <f>IF(B3349="","",IFERROR(INDEX(Mitarbeiter!$B$6:$B$205,MATCH(B3349,Mitarbeiter!$A$6:$A$205,0)),"?"))</f>
        <v/>
      </c>
      <c r="D3349" s="41" t="n"/>
      <c r="E3349" s="42" t="n"/>
      <c r="F3349" s="43" t="n"/>
      <c r="G3349" s="44">
        <f>IF(OR(B3349="",F3349=""),"",IFERROR(F3349*INDEX(Mitarbeiter!$F$6:$F$205,MATCH(B3349,Mitarbeiter!$A$6:$A$205,0)),0))</f>
        <v/>
      </c>
      <c r="H3349" s="8">
        <f>IF(B3349="","",IF(ISNA(MATCH(B3349,Mitarbeiter!$A$6:$A$205,0)),"Pers.-Nr. unbekannt",IF(A3349="","Datum fehlt",IF(AND(D3349&lt;&gt;Einstellungen!$C$4,D3349&lt;&gt;Einstellungen!$C$5),"Objekt fehlt",IF(YEAR(A3349)&lt;&gt;Einstellungen!$C$3,"anderes Jahr",IF(A3349&lt;INDEX(Mitarbeiter!$C$6:$C$205,MATCH(B3349,Mitarbeiter!$A$6:$A$205,0)),"vor Eintritt",IF(AND(INDEX(Mitarbeiter!$D$6:$D$205,MATCH(B3349,Mitarbeiter!$A$6:$A$205,0))&lt;&gt;"",A3349&gt;INDEX(Mitarbeiter!$D$6:$D$205,MATCH(B3349,Mitarbeiter!$A$6:$A$205,0))),"nach Austritt","ok")))))))</f>
        <v/>
      </c>
    </row>
    <row r="3350">
      <c r="A3350" s="26" t="n"/>
      <c r="B3350" s="24" t="n"/>
      <c r="C3350" s="40">
        <f>IF(B3350="","",IFERROR(INDEX(Mitarbeiter!$B$6:$B$205,MATCH(B3350,Mitarbeiter!$A$6:$A$205,0)),"?"))</f>
        <v/>
      </c>
      <c r="D3350" s="41" t="n"/>
      <c r="E3350" s="42" t="n"/>
      <c r="F3350" s="43" t="n"/>
      <c r="G3350" s="44">
        <f>IF(OR(B3350="",F3350=""),"",IFERROR(F3350*INDEX(Mitarbeiter!$F$6:$F$205,MATCH(B3350,Mitarbeiter!$A$6:$A$205,0)),0))</f>
        <v/>
      </c>
      <c r="H3350" s="8">
        <f>IF(B3350="","",IF(ISNA(MATCH(B3350,Mitarbeiter!$A$6:$A$205,0)),"Pers.-Nr. unbekannt",IF(A3350="","Datum fehlt",IF(AND(D3350&lt;&gt;Einstellungen!$C$4,D3350&lt;&gt;Einstellungen!$C$5),"Objekt fehlt",IF(YEAR(A3350)&lt;&gt;Einstellungen!$C$3,"anderes Jahr",IF(A3350&lt;INDEX(Mitarbeiter!$C$6:$C$205,MATCH(B3350,Mitarbeiter!$A$6:$A$205,0)),"vor Eintritt",IF(AND(INDEX(Mitarbeiter!$D$6:$D$205,MATCH(B3350,Mitarbeiter!$A$6:$A$205,0))&lt;&gt;"",A3350&gt;INDEX(Mitarbeiter!$D$6:$D$205,MATCH(B3350,Mitarbeiter!$A$6:$A$205,0))),"nach Austritt","ok")))))))</f>
        <v/>
      </c>
    </row>
    <row r="3351">
      <c r="A3351" s="26" t="n"/>
      <c r="B3351" s="24" t="n"/>
      <c r="C3351" s="40">
        <f>IF(B3351="","",IFERROR(INDEX(Mitarbeiter!$B$6:$B$205,MATCH(B3351,Mitarbeiter!$A$6:$A$205,0)),"?"))</f>
        <v/>
      </c>
      <c r="D3351" s="41" t="n"/>
      <c r="E3351" s="42" t="n"/>
      <c r="F3351" s="43" t="n"/>
      <c r="G3351" s="44">
        <f>IF(OR(B3351="",F3351=""),"",IFERROR(F3351*INDEX(Mitarbeiter!$F$6:$F$205,MATCH(B3351,Mitarbeiter!$A$6:$A$205,0)),0))</f>
        <v/>
      </c>
      <c r="H3351" s="8">
        <f>IF(B3351="","",IF(ISNA(MATCH(B3351,Mitarbeiter!$A$6:$A$205,0)),"Pers.-Nr. unbekannt",IF(A3351="","Datum fehlt",IF(AND(D3351&lt;&gt;Einstellungen!$C$4,D3351&lt;&gt;Einstellungen!$C$5),"Objekt fehlt",IF(YEAR(A3351)&lt;&gt;Einstellungen!$C$3,"anderes Jahr",IF(A3351&lt;INDEX(Mitarbeiter!$C$6:$C$205,MATCH(B3351,Mitarbeiter!$A$6:$A$205,0)),"vor Eintritt",IF(AND(INDEX(Mitarbeiter!$D$6:$D$205,MATCH(B3351,Mitarbeiter!$A$6:$A$205,0))&lt;&gt;"",A3351&gt;INDEX(Mitarbeiter!$D$6:$D$205,MATCH(B3351,Mitarbeiter!$A$6:$A$205,0))),"nach Austritt","ok")))))))</f>
        <v/>
      </c>
    </row>
    <row r="3352">
      <c r="A3352" s="26" t="n"/>
      <c r="B3352" s="24" t="n"/>
      <c r="C3352" s="40">
        <f>IF(B3352="","",IFERROR(INDEX(Mitarbeiter!$B$6:$B$205,MATCH(B3352,Mitarbeiter!$A$6:$A$205,0)),"?"))</f>
        <v/>
      </c>
      <c r="D3352" s="41" t="n"/>
      <c r="E3352" s="42" t="n"/>
      <c r="F3352" s="43" t="n"/>
      <c r="G3352" s="44">
        <f>IF(OR(B3352="",F3352=""),"",IFERROR(F3352*INDEX(Mitarbeiter!$F$6:$F$205,MATCH(B3352,Mitarbeiter!$A$6:$A$205,0)),0))</f>
        <v/>
      </c>
      <c r="H3352" s="8">
        <f>IF(B3352="","",IF(ISNA(MATCH(B3352,Mitarbeiter!$A$6:$A$205,0)),"Pers.-Nr. unbekannt",IF(A3352="","Datum fehlt",IF(AND(D3352&lt;&gt;Einstellungen!$C$4,D3352&lt;&gt;Einstellungen!$C$5),"Objekt fehlt",IF(YEAR(A3352)&lt;&gt;Einstellungen!$C$3,"anderes Jahr",IF(A3352&lt;INDEX(Mitarbeiter!$C$6:$C$205,MATCH(B3352,Mitarbeiter!$A$6:$A$205,0)),"vor Eintritt",IF(AND(INDEX(Mitarbeiter!$D$6:$D$205,MATCH(B3352,Mitarbeiter!$A$6:$A$205,0))&lt;&gt;"",A3352&gt;INDEX(Mitarbeiter!$D$6:$D$205,MATCH(B3352,Mitarbeiter!$A$6:$A$205,0))),"nach Austritt","ok")))))))</f>
        <v/>
      </c>
    </row>
    <row r="3353">
      <c r="A3353" s="26" t="n"/>
      <c r="B3353" s="24" t="n"/>
      <c r="C3353" s="40">
        <f>IF(B3353="","",IFERROR(INDEX(Mitarbeiter!$B$6:$B$205,MATCH(B3353,Mitarbeiter!$A$6:$A$205,0)),"?"))</f>
        <v/>
      </c>
      <c r="D3353" s="41" t="n"/>
      <c r="E3353" s="42" t="n"/>
      <c r="F3353" s="43" t="n"/>
      <c r="G3353" s="44">
        <f>IF(OR(B3353="",F3353=""),"",IFERROR(F3353*INDEX(Mitarbeiter!$F$6:$F$205,MATCH(B3353,Mitarbeiter!$A$6:$A$205,0)),0))</f>
        <v/>
      </c>
      <c r="H3353" s="8">
        <f>IF(B3353="","",IF(ISNA(MATCH(B3353,Mitarbeiter!$A$6:$A$205,0)),"Pers.-Nr. unbekannt",IF(A3353="","Datum fehlt",IF(AND(D3353&lt;&gt;Einstellungen!$C$4,D3353&lt;&gt;Einstellungen!$C$5),"Objekt fehlt",IF(YEAR(A3353)&lt;&gt;Einstellungen!$C$3,"anderes Jahr",IF(A3353&lt;INDEX(Mitarbeiter!$C$6:$C$205,MATCH(B3353,Mitarbeiter!$A$6:$A$205,0)),"vor Eintritt",IF(AND(INDEX(Mitarbeiter!$D$6:$D$205,MATCH(B3353,Mitarbeiter!$A$6:$A$205,0))&lt;&gt;"",A3353&gt;INDEX(Mitarbeiter!$D$6:$D$205,MATCH(B3353,Mitarbeiter!$A$6:$A$205,0))),"nach Austritt","ok")))))))</f>
        <v/>
      </c>
    </row>
    <row r="3354">
      <c r="A3354" s="26" t="n"/>
      <c r="B3354" s="24" t="n"/>
      <c r="C3354" s="40">
        <f>IF(B3354="","",IFERROR(INDEX(Mitarbeiter!$B$6:$B$205,MATCH(B3354,Mitarbeiter!$A$6:$A$205,0)),"?"))</f>
        <v/>
      </c>
      <c r="D3354" s="41" t="n"/>
      <c r="E3354" s="42" t="n"/>
      <c r="F3354" s="43" t="n"/>
      <c r="G3354" s="44">
        <f>IF(OR(B3354="",F3354=""),"",IFERROR(F3354*INDEX(Mitarbeiter!$F$6:$F$205,MATCH(B3354,Mitarbeiter!$A$6:$A$205,0)),0))</f>
        <v/>
      </c>
      <c r="H3354" s="8">
        <f>IF(B3354="","",IF(ISNA(MATCH(B3354,Mitarbeiter!$A$6:$A$205,0)),"Pers.-Nr. unbekannt",IF(A3354="","Datum fehlt",IF(AND(D3354&lt;&gt;Einstellungen!$C$4,D3354&lt;&gt;Einstellungen!$C$5),"Objekt fehlt",IF(YEAR(A3354)&lt;&gt;Einstellungen!$C$3,"anderes Jahr",IF(A3354&lt;INDEX(Mitarbeiter!$C$6:$C$205,MATCH(B3354,Mitarbeiter!$A$6:$A$205,0)),"vor Eintritt",IF(AND(INDEX(Mitarbeiter!$D$6:$D$205,MATCH(B3354,Mitarbeiter!$A$6:$A$205,0))&lt;&gt;"",A3354&gt;INDEX(Mitarbeiter!$D$6:$D$205,MATCH(B3354,Mitarbeiter!$A$6:$A$205,0))),"nach Austritt","ok")))))))</f>
        <v/>
      </c>
    </row>
    <row r="3355">
      <c r="A3355" s="26" t="n"/>
      <c r="B3355" s="24" t="n"/>
      <c r="C3355" s="40">
        <f>IF(B3355="","",IFERROR(INDEX(Mitarbeiter!$B$6:$B$205,MATCH(B3355,Mitarbeiter!$A$6:$A$205,0)),"?"))</f>
        <v/>
      </c>
      <c r="D3355" s="41" t="n"/>
      <c r="E3355" s="42" t="n"/>
      <c r="F3355" s="43" t="n"/>
      <c r="G3355" s="44">
        <f>IF(OR(B3355="",F3355=""),"",IFERROR(F3355*INDEX(Mitarbeiter!$F$6:$F$205,MATCH(B3355,Mitarbeiter!$A$6:$A$205,0)),0))</f>
        <v/>
      </c>
      <c r="H3355" s="8">
        <f>IF(B3355="","",IF(ISNA(MATCH(B3355,Mitarbeiter!$A$6:$A$205,0)),"Pers.-Nr. unbekannt",IF(A3355="","Datum fehlt",IF(AND(D3355&lt;&gt;Einstellungen!$C$4,D3355&lt;&gt;Einstellungen!$C$5),"Objekt fehlt",IF(YEAR(A3355)&lt;&gt;Einstellungen!$C$3,"anderes Jahr",IF(A3355&lt;INDEX(Mitarbeiter!$C$6:$C$205,MATCH(B3355,Mitarbeiter!$A$6:$A$205,0)),"vor Eintritt",IF(AND(INDEX(Mitarbeiter!$D$6:$D$205,MATCH(B3355,Mitarbeiter!$A$6:$A$205,0))&lt;&gt;"",A3355&gt;INDEX(Mitarbeiter!$D$6:$D$205,MATCH(B3355,Mitarbeiter!$A$6:$A$205,0))),"nach Austritt","ok")))))))</f>
        <v/>
      </c>
    </row>
    <row r="3356">
      <c r="A3356" s="26" t="n"/>
      <c r="B3356" s="24" t="n"/>
      <c r="C3356" s="40">
        <f>IF(B3356="","",IFERROR(INDEX(Mitarbeiter!$B$6:$B$205,MATCH(B3356,Mitarbeiter!$A$6:$A$205,0)),"?"))</f>
        <v/>
      </c>
      <c r="D3356" s="41" t="n"/>
      <c r="E3356" s="42" t="n"/>
      <c r="F3356" s="43" t="n"/>
      <c r="G3356" s="44">
        <f>IF(OR(B3356="",F3356=""),"",IFERROR(F3356*INDEX(Mitarbeiter!$F$6:$F$205,MATCH(B3356,Mitarbeiter!$A$6:$A$205,0)),0))</f>
        <v/>
      </c>
      <c r="H3356" s="8">
        <f>IF(B3356="","",IF(ISNA(MATCH(B3356,Mitarbeiter!$A$6:$A$205,0)),"Pers.-Nr. unbekannt",IF(A3356="","Datum fehlt",IF(AND(D3356&lt;&gt;Einstellungen!$C$4,D3356&lt;&gt;Einstellungen!$C$5),"Objekt fehlt",IF(YEAR(A3356)&lt;&gt;Einstellungen!$C$3,"anderes Jahr",IF(A3356&lt;INDEX(Mitarbeiter!$C$6:$C$205,MATCH(B3356,Mitarbeiter!$A$6:$A$205,0)),"vor Eintritt",IF(AND(INDEX(Mitarbeiter!$D$6:$D$205,MATCH(B3356,Mitarbeiter!$A$6:$A$205,0))&lt;&gt;"",A3356&gt;INDEX(Mitarbeiter!$D$6:$D$205,MATCH(B3356,Mitarbeiter!$A$6:$A$205,0))),"nach Austritt","ok")))))))</f>
        <v/>
      </c>
    </row>
    <row r="3357">
      <c r="A3357" s="26" t="n"/>
      <c r="B3357" s="24" t="n"/>
      <c r="C3357" s="40">
        <f>IF(B3357="","",IFERROR(INDEX(Mitarbeiter!$B$6:$B$205,MATCH(B3357,Mitarbeiter!$A$6:$A$205,0)),"?"))</f>
        <v/>
      </c>
      <c r="D3357" s="41" t="n"/>
      <c r="E3357" s="42" t="n"/>
      <c r="F3357" s="43" t="n"/>
      <c r="G3357" s="44">
        <f>IF(OR(B3357="",F3357=""),"",IFERROR(F3357*INDEX(Mitarbeiter!$F$6:$F$205,MATCH(B3357,Mitarbeiter!$A$6:$A$205,0)),0))</f>
        <v/>
      </c>
      <c r="H3357" s="8">
        <f>IF(B3357="","",IF(ISNA(MATCH(B3357,Mitarbeiter!$A$6:$A$205,0)),"Pers.-Nr. unbekannt",IF(A3357="","Datum fehlt",IF(AND(D3357&lt;&gt;Einstellungen!$C$4,D3357&lt;&gt;Einstellungen!$C$5),"Objekt fehlt",IF(YEAR(A3357)&lt;&gt;Einstellungen!$C$3,"anderes Jahr",IF(A3357&lt;INDEX(Mitarbeiter!$C$6:$C$205,MATCH(B3357,Mitarbeiter!$A$6:$A$205,0)),"vor Eintritt",IF(AND(INDEX(Mitarbeiter!$D$6:$D$205,MATCH(B3357,Mitarbeiter!$A$6:$A$205,0))&lt;&gt;"",A3357&gt;INDEX(Mitarbeiter!$D$6:$D$205,MATCH(B3357,Mitarbeiter!$A$6:$A$205,0))),"nach Austritt","ok")))))))</f>
        <v/>
      </c>
    </row>
    <row r="3358">
      <c r="A3358" s="26" t="n"/>
      <c r="B3358" s="24" t="n"/>
      <c r="C3358" s="40">
        <f>IF(B3358="","",IFERROR(INDEX(Mitarbeiter!$B$6:$B$205,MATCH(B3358,Mitarbeiter!$A$6:$A$205,0)),"?"))</f>
        <v/>
      </c>
      <c r="D3358" s="41" t="n"/>
      <c r="E3358" s="42" t="n"/>
      <c r="F3358" s="43" t="n"/>
      <c r="G3358" s="44">
        <f>IF(OR(B3358="",F3358=""),"",IFERROR(F3358*INDEX(Mitarbeiter!$F$6:$F$205,MATCH(B3358,Mitarbeiter!$A$6:$A$205,0)),0))</f>
        <v/>
      </c>
      <c r="H3358" s="8">
        <f>IF(B3358="","",IF(ISNA(MATCH(B3358,Mitarbeiter!$A$6:$A$205,0)),"Pers.-Nr. unbekannt",IF(A3358="","Datum fehlt",IF(AND(D3358&lt;&gt;Einstellungen!$C$4,D3358&lt;&gt;Einstellungen!$C$5),"Objekt fehlt",IF(YEAR(A3358)&lt;&gt;Einstellungen!$C$3,"anderes Jahr",IF(A3358&lt;INDEX(Mitarbeiter!$C$6:$C$205,MATCH(B3358,Mitarbeiter!$A$6:$A$205,0)),"vor Eintritt",IF(AND(INDEX(Mitarbeiter!$D$6:$D$205,MATCH(B3358,Mitarbeiter!$A$6:$A$205,0))&lt;&gt;"",A3358&gt;INDEX(Mitarbeiter!$D$6:$D$205,MATCH(B3358,Mitarbeiter!$A$6:$A$205,0))),"nach Austritt","ok")))))))</f>
        <v/>
      </c>
    </row>
    <row r="3359">
      <c r="A3359" s="26" t="n"/>
      <c r="B3359" s="24" t="n"/>
      <c r="C3359" s="40">
        <f>IF(B3359="","",IFERROR(INDEX(Mitarbeiter!$B$6:$B$205,MATCH(B3359,Mitarbeiter!$A$6:$A$205,0)),"?"))</f>
        <v/>
      </c>
      <c r="D3359" s="41" t="n"/>
      <c r="E3359" s="42" t="n"/>
      <c r="F3359" s="43" t="n"/>
      <c r="G3359" s="44">
        <f>IF(OR(B3359="",F3359=""),"",IFERROR(F3359*INDEX(Mitarbeiter!$F$6:$F$205,MATCH(B3359,Mitarbeiter!$A$6:$A$205,0)),0))</f>
        <v/>
      </c>
      <c r="H3359" s="8">
        <f>IF(B3359="","",IF(ISNA(MATCH(B3359,Mitarbeiter!$A$6:$A$205,0)),"Pers.-Nr. unbekannt",IF(A3359="","Datum fehlt",IF(AND(D3359&lt;&gt;Einstellungen!$C$4,D3359&lt;&gt;Einstellungen!$C$5),"Objekt fehlt",IF(YEAR(A3359)&lt;&gt;Einstellungen!$C$3,"anderes Jahr",IF(A3359&lt;INDEX(Mitarbeiter!$C$6:$C$205,MATCH(B3359,Mitarbeiter!$A$6:$A$205,0)),"vor Eintritt",IF(AND(INDEX(Mitarbeiter!$D$6:$D$205,MATCH(B3359,Mitarbeiter!$A$6:$A$205,0))&lt;&gt;"",A3359&gt;INDEX(Mitarbeiter!$D$6:$D$205,MATCH(B3359,Mitarbeiter!$A$6:$A$205,0))),"nach Austritt","ok")))))))</f>
        <v/>
      </c>
    </row>
    <row r="3360">
      <c r="A3360" s="26" t="n"/>
      <c r="B3360" s="24" t="n"/>
      <c r="C3360" s="40">
        <f>IF(B3360="","",IFERROR(INDEX(Mitarbeiter!$B$6:$B$205,MATCH(B3360,Mitarbeiter!$A$6:$A$205,0)),"?"))</f>
        <v/>
      </c>
      <c r="D3360" s="41" t="n"/>
      <c r="E3360" s="42" t="n"/>
      <c r="F3360" s="43" t="n"/>
      <c r="G3360" s="44">
        <f>IF(OR(B3360="",F3360=""),"",IFERROR(F3360*INDEX(Mitarbeiter!$F$6:$F$205,MATCH(B3360,Mitarbeiter!$A$6:$A$205,0)),0))</f>
        <v/>
      </c>
      <c r="H3360" s="8">
        <f>IF(B3360="","",IF(ISNA(MATCH(B3360,Mitarbeiter!$A$6:$A$205,0)),"Pers.-Nr. unbekannt",IF(A3360="","Datum fehlt",IF(AND(D3360&lt;&gt;Einstellungen!$C$4,D3360&lt;&gt;Einstellungen!$C$5),"Objekt fehlt",IF(YEAR(A3360)&lt;&gt;Einstellungen!$C$3,"anderes Jahr",IF(A3360&lt;INDEX(Mitarbeiter!$C$6:$C$205,MATCH(B3360,Mitarbeiter!$A$6:$A$205,0)),"vor Eintritt",IF(AND(INDEX(Mitarbeiter!$D$6:$D$205,MATCH(B3360,Mitarbeiter!$A$6:$A$205,0))&lt;&gt;"",A3360&gt;INDEX(Mitarbeiter!$D$6:$D$205,MATCH(B3360,Mitarbeiter!$A$6:$A$205,0))),"nach Austritt","ok")))))))</f>
        <v/>
      </c>
    </row>
    <row r="3361">
      <c r="A3361" s="26" t="n"/>
      <c r="B3361" s="24" t="n"/>
      <c r="C3361" s="40">
        <f>IF(B3361="","",IFERROR(INDEX(Mitarbeiter!$B$6:$B$205,MATCH(B3361,Mitarbeiter!$A$6:$A$205,0)),"?"))</f>
        <v/>
      </c>
      <c r="D3361" s="41" t="n"/>
      <c r="E3361" s="42" t="n"/>
      <c r="F3361" s="43" t="n"/>
      <c r="G3361" s="44">
        <f>IF(OR(B3361="",F3361=""),"",IFERROR(F3361*INDEX(Mitarbeiter!$F$6:$F$205,MATCH(B3361,Mitarbeiter!$A$6:$A$205,0)),0))</f>
        <v/>
      </c>
      <c r="H3361" s="8">
        <f>IF(B3361="","",IF(ISNA(MATCH(B3361,Mitarbeiter!$A$6:$A$205,0)),"Pers.-Nr. unbekannt",IF(A3361="","Datum fehlt",IF(AND(D3361&lt;&gt;Einstellungen!$C$4,D3361&lt;&gt;Einstellungen!$C$5),"Objekt fehlt",IF(YEAR(A3361)&lt;&gt;Einstellungen!$C$3,"anderes Jahr",IF(A3361&lt;INDEX(Mitarbeiter!$C$6:$C$205,MATCH(B3361,Mitarbeiter!$A$6:$A$205,0)),"vor Eintritt",IF(AND(INDEX(Mitarbeiter!$D$6:$D$205,MATCH(B3361,Mitarbeiter!$A$6:$A$205,0))&lt;&gt;"",A3361&gt;INDEX(Mitarbeiter!$D$6:$D$205,MATCH(B3361,Mitarbeiter!$A$6:$A$205,0))),"nach Austritt","ok")))))))</f>
        <v/>
      </c>
    </row>
    <row r="3362">
      <c r="A3362" s="26" t="n"/>
      <c r="B3362" s="24" t="n"/>
      <c r="C3362" s="40">
        <f>IF(B3362="","",IFERROR(INDEX(Mitarbeiter!$B$6:$B$205,MATCH(B3362,Mitarbeiter!$A$6:$A$205,0)),"?"))</f>
        <v/>
      </c>
      <c r="D3362" s="41" t="n"/>
      <c r="E3362" s="42" t="n"/>
      <c r="F3362" s="43" t="n"/>
      <c r="G3362" s="44">
        <f>IF(OR(B3362="",F3362=""),"",IFERROR(F3362*INDEX(Mitarbeiter!$F$6:$F$205,MATCH(B3362,Mitarbeiter!$A$6:$A$205,0)),0))</f>
        <v/>
      </c>
      <c r="H3362" s="8">
        <f>IF(B3362="","",IF(ISNA(MATCH(B3362,Mitarbeiter!$A$6:$A$205,0)),"Pers.-Nr. unbekannt",IF(A3362="","Datum fehlt",IF(AND(D3362&lt;&gt;Einstellungen!$C$4,D3362&lt;&gt;Einstellungen!$C$5),"Objekt fehlt",IF(YEAR(A3362)&lt;&gt;Einstellungen!$C$3,"anderes Jahr",IF(A3362&lt;INDEX(Mitarbeiter!$C$6:$C$205,MATCH(B3362,Mitarbeiter!$A$6:$A$205,0)),"vor Eintritt",IF(AND(INDEX(Mitarbeiter!$D$6:$D$205,MATCH(B3362,Mitarbeiter!$A$6:$A$205,0))&lt;&gt;"",A3362&gt;INDEX(Mitarbeiter!$D$6:$D$205,MATCH(B3362,Mitarbeiter!$A$6:$A$205,0))),"nach Austritt","ok")))))))</f>
        <v/>
      </c>
    </row>
    <row r="3363">
      <c r="A3363" s="26" t="n"/>
      <c r="B3363" s="24" t="n"/>
      <c r="C3363" s="40">
        <f>IF(B3363="","",IFERROR(INDEX(Mitarbeiter!$B$6:$B$205,MATCH(B3363,Mitarbeiter!$A$6:$A$205,0)),"?"))</f>
        <v/>
      </c>
      <c r="D3363" s="41" t="n"/>
      <c r="E3363" s="42" t="n"/>
      <c r="F3363" s="43" t="n"/>
      <c r="G3363" s="44">
        <f>IF(OR(B3363="",F3363=""),"",IFERROR(F3363*INDEX(Mitarbeiter!$F$6:$F$205,MATCH(B3363,Mitarbeiter!$A$6:$A$205,0)),0))</f>
        <v/>
      </c>
      <c r="H3363" s="8">
        <f>IF(B3363="","",IF(ISNA(MATCH(B3363,Mitarbeiter!$A$6:$A$205,0)),"Pers.-Nr. unbekannt",IF(A3363="","Datum fehlt",IF(AND(D3363&lt;&gt;Einstellungen!$C$4,D3363&lt;&gt;Einstellungen!$C$5),"Objekt fehlt",IF(YEAR(A3363)&lt;&gt;Einstellungen!$C$3,"anderes Jahr",IF(A3363&lt;INDEX(Mitarbeiter!$C$6:$C$205,MATCH(B3363,Mitarbeiter!$A$6:$A$205,0)),"vor Eintritt",IF(AND(INDEX(Mitarbeiter!$D$6:$D$205,MATCH(B3363,Mitarbeiter!$A$6:$A$205,0))&lt;&gt;"",A3363&gt;INDEX(Mitarbeiter!$D$6:$D$205,MATCH(B3363,Mitarbeiter!$A$6:$A$205,0))),"nach Austritt","ok")))))))</f>
        <v/>
      </c>
    </row>
    <row r="3364">
      <c r="A3364" s="26" t="n"/>
      <c r="B3364" s="24" t="n"/>
      <c r="C3364" s="40">
        <f>IF(B3364="","",IFERROR(INDEX(Mitarbeiter!$B$6:$B$205,MATCH(B3364,Mitarbeiter!$A$6:$A$205,0)),"?"))</f>
        <v/>
      </c>
      <c r="D3364" s="41" t="n"/>
      <c r="E3364" s="42" t="n"/>
      <c r="F3364" s="43" t="n"/>
      <c r="G3364" s="44">
        <f>IF(OR(B3364="",F3364=""),"",IFERROR(F3364*INDEX(Mitarbeiter!$F$6:$F$205,MATCH(B3364,Mitarbeiter!$A$6:$A$205,0)),0))</f>
        <v/>
      </c>
      <c r="H3364" s="8">
        <f>IF(B3364="","",IF(ISNA(MATCH(B3364,Mitarbeiter!$A$6:$A$205,0)),"Pers.-Nr. unbekannt",IF(A3364="","Datum fehlt",IF(AND(D3364&lt;&gt;Einstellungen!$C$4,D3364&lt;&gt;Einstellungen!$C$5),"Objekt fehlt",IF(YEAR(A3364)&lt;&gt;Einstellungen!$C$3,"anderes Jahr",IF(A3364&lt;INDEX(Mitarbeiter!$C$6:$C$205,MATCH(B3364,Mitarbeiter!$A$6:$A$205,0)),"vor Eintritt",IF(AND(INDEX(Mitarbeiter!$D$6:$D$205,MATCH(B3364,Mitarbeiter!$A$6:$A$205,0))&lt;&gt;"",A3364&gt;INDEX(Mitarbeiter!$D$6:$D$205,MATCH(B3364,Mitarbeiter!$A$6:$A$205,0))),"nach Austritt","ok")))))))</f>
        <v/>
      </c>
    </row>
    <row r="3365">
      <c r="A3365" s="26" t="n"/>
      <c r="B3365" s="24" t="n"/>
      <c r="C3365" s="40">
        <f>IF(B3365="","",IFERROR(INDEX(Mitarbeiter!$B$6:$B$205,MATCH(B3365,Mitarbeiter!$A$6:$A$205,0)),"?"))</f>
        <v/>
      </c>
      <c r="D3365" s="41" t="n"/>
      <c r="E3365" s="42" t="n"/>
      <c r="F3365" s="43" t="n"/>
      <c r="G3365" s="44">
        <f>IF(OR(B3365="",F3365=""),"",IFERROR(F3365*INDEX(Mitarbeiter!$F$6:$F$205,MATCH(B3365,Mitarbeiter!$A$6:$A$205,0)),0))</f>
        <v/>
      </c>
      <c r="H3365" s="8">
        <f>IF(B3365="","",IF(ISNA(MATCH(B3365,Mitarbeiter!$A$6:$A$205,0)),"Pers.-Nr. unbekannt",IF(A3365="","Datum fehlt",IF(AND(D3365&lt;&gt;Einstellungen!$C$4,D3365&lt;&gt;Einstellungen!$C$5),"Objekt fehlt",IF(YEAR(A3365)&lt;&gt;Einstellungen!$C$3,"anderes Jahr",IF(A3365&lt;INDEX(Mitarbeiter!$C$6:$C$205,MATCH(B3365,Mitarbeiter!$A$6:$A$205,0)),"vor Eintritt",IF(AND(INDEX(Mitarbeiter!$D$6:$D$205,MATCH(B3365,Mitarbeiter!$A$6:$A$205,0))&lt;&gt;"",A3365&gt;INDEX(Mitarbeiter!$D$6:$D$205,MATCH(B3365,Mitarbeiter!$A$6:$A$205,0))),"nach Austritt","ok")))))))</f>
        <v/>
      </c>
    </row>
    <row r="3366">
      <c r="A3366" s="26" t="n"/>
      <c r="B3366" s="24" t="n"/>
      <c r="C3366" s="40">
        <f>IF(B3366="","",IFERROR(INDEX(Mitarbeiter!$B$6:$B$205,MATCH(B3366,Mitarbeiter!$A$6:$A$205,0)),"?"))</f>
        <v/>
      </c>
      <c r="D3366" s="41" t="n"/>
      <c r="E3366" s="42" t="n"/>
      <c r="F3366" s="43" t="n"/>
      <c r="G3366" s="44">
        <f>IF(OR(B3366="",F3366=""),"",IFERROR(F3366*INDEX(Mitarbeiter!$F$6:$F$205,MATCH(B3366,Mitarbeiter!$A$6:$A$205,0)),0))</f>
        <v/>
      </c>
      <c r="H3366" s="8">
        <f>IF(B3366="","",IF(ISNA(MATCH(B3366,Mitarbeiter!$A$6:$A$205,0)),"Pers.-Nr. unbekannt",IF(A3366="","Datum fehlt",IF(AND(D3366&lt;&gt;Einstellungen!$C$4,D3366&lt;&gt;Einstellungen!$C$5),"Objekt fehlt",IF(YEAR(A3366)&lt;&gt;Einstellungen!$C$3,"anderes Jahr",IF(A3366&lt;INDEX(Mitarbeiter!$C$6:$C$205,MATCH(B3366,Mitarbeiter!$A$6:$A$205,0)),"vor Eintritt",IF(AND(INDEX(Mitarbeiter!$D$6:$D$205,MATCH(B3366,Mitarbeiter!$A$6:$A$205,0))&lt;&gt;"",A3366&gt;INDEX(Mitarbeiter!$D$6:$D$205,MATCH(B3366,Mitarbeiter!$A$6:$A$205,0))),"nach Austritt","ok")))))))</f>
        <v/>
      </c>
    </row>
    <row r="3367">
      <c r="A3367" s="26" t="n"/>
      <c r="B3367" s="24" t="n"/>
      <c r="C3367" s="40">
        <f>IF(B3367="","",IFERROR(INDEX(Mitarbeiter!$B$6:$B$205,MATCH(B3367,Mitarbeiter!$A$6:$A$205,0)),"?"))</f>
        <v/>
      </c>
      <c r="D3367" s="41" t="n"/>
      <c r="E3367" s="42" t="n"/>
      <c r="F3367" s="43" t="n"/>
      <c r="G3367" s="44">
        <f>IF(OR(B3367="",F3367=""),"",IFERROR(F3367*INDEX(Mitarbeiter!$F$6:$F$205,MATCH(B3367,Mitarbeiter!$A$6:$A$205,0)),0))</f>
        <v/>
      </c>
      <c r="H3367" s="8">
        <f>IF(B3367="","",IF(ISNA(MATCH(B3367,Mitarbeiter!$A$6:$A$205,0)),"Pers.-Nr. unbekannt",IF(A3367="","Datum fehlt",IF(AND(D3367&lt;&gt;Einstellungen!$C$4,D3367&lt;&gt;Einstellungen!$C$5),"Objekt fehlt",IF(YEAR(A3367)&lt;&gt;Einstellungen!$C$3,"anderes Jahr",IF(A3367&lt;INDEX(Mitarbeiter!$C$6:$C$205,MATCH(B3367,Mitarbeiter!$A$6:$A$205,0)),"vor Eintritt",IF(AND(INDEX(Mitarbeiter!$D$6:$D$205,MATCH(B3367,Mitarbeiter!$A$6:$A$205,0))&lt;&gt;"",A3367&gt;INDEX(Mitarbeiter!$D$6:$D$205,MATCH(B3367,Mitarbeiter!$A$6:$A$205,0))),"nach Austritt","ok")))))))</f>
        <v/>
      </c>
    </row>
    <row r="3368">
      <c r="A3368" s="26" t="n"/>
      <c r="B3368" s="24" t="n"/>
      <c r="C3368" s="40">
        <f>IF(B3368="","",IFERROR(INDEX(Mitarbeiter!$B$6:$B$205,MATCH(B3368,Mitarbeiter!$A$6:$A$205,0)),"?"))</f>
        <v/>
      </c>
      <c r="D3368" s="41" t="n"/>
      <c r="E3368" s="42" t="n"/>
      <c r="F3368" s="43" t="n"/>
      <c r="G3368" s="44">
        <f>IF(OR(B3368="",F3368=""),"",IFERROR(F3368*INDEX(Mitarbeiter!$F$6:$F$205,MATCH(B3368,Mitarbeiter!$A$6:$A$205,0)),0))</f>
        <v/>
      </c>
      <c r="H3368" s="8">
        <f>IF(B3368="","",IF(ISNA(MATCH(B3368,Mitarbeiter!$A$6:$A$205,0)),"Pers.-Nr. unbekannt",IF(A3368="","Datum fehlt",IF(AND(D3368&lt;&gt;Einstellungen!$C$4,D3368&lt;&gt;Einstellungen!$C$5),"Objekt fehlt",IF(YEAR(A3368)&lt;&gt;Einstellungen!$C$3,"anderes Jahr",IF(A3368&lt;INDEX(Mitarbeiter!$C$6:$C$205,MATCH(B3368,Mitarbeiter!$A$6:$A$205,0)),"vor Eintritt",IF(AND(INDEX(Mitarbeiter!$D$6:$D$205,MATCH(B3368,Mitarbeiter!$A$6:$A$205,0))&lt;&gt;"",A3368&gt;INDEX(Mitarbeiter!$D$6:$D$205,MATCH(B3368,Mitarbeiter!$A$6:$A$205,0))),"nach Austritt","ok")))))))</f>
        <v/>
      </c>
    </row>
    <row r="3369">
      <c r="A3369" s="26" t="n"/>
      <c r="B3369" s="24" t="n"/>
      <c r="C3369" s="40">
        <f>IF(B3369="","",IFERROR(INDEX(Mitarbeiter!$B$6:$B$205,MATCH(B3369,Mitarbeiter!$A$6:$A$205,0)),"?"))</f>
        <v/>
      </c>
      <c r="D3369" s="41" t="n"/>
      <c r="E3369" s="42" t="n"/>
      <c r="F3369" s="43" t="n"/>
      <c r="G3369" s="44">
        <f>IF(OR(B3369="",F3369=""),"",IFERROR(F3369*INDEX(Mitarbeiter!$F$6:$F$205,MATCH(B3369,Mitarbeiter!$A$6:$A$205,0)),0))</f>
        <v/>
      </c>
      <c r="H3369" s="8">
        <f>IF(B3369="","",IF(ISNA(MATCH(B3369,Mitarbeiter!$A$6:$A$205,0)),"Pers.-Nr. unbekannt",IF(A3369="","Datum fehlt",IF(AND(D3369&lt;&gt;Einstellungen!$C$4,D3369&lt;&gt;Einstellungen!$C$5),"Objekt fehlt",IF(YEAR(A3369)&lt;&gt;Einstellungen!$C$3,"anderes Jahr",IF(A3369&lt;INDEX(Mitarbeiter!$C$6:$C$205,MATCH(B3369,Mitarbeiter!$A$6:$A$205,0)),"vor Eintritt",IF(AND(INDEX(Mitarbeiter!$D$6:$D$205,MATCH(B3369,Mitarbeiter!$A$6:$A$205,0))&lt;&gt;"",A3369&gt;INDEX(Mitarbeiter!$D$6:$D$205,MATCH(B3369,Mitarbeiter!$A$6:$A$205,0))),"nach Austritt","ok")))))))</f>
        <v/>
      </c>
    </row>
    <row r="3370">
      <c r="A3370" s="26" t="n"/>
      <c r="B3370" s="24" t="n"/>
      <c r="C3370" s="40">
        <f>IF(B3370="","",IFERROR(INDEX(Mitarbeiter!$B$6:$B$205,MATCH(B3370,Mitarbeiter!$A$6:$A$205,0)),"?"))</f>
        <v/>
      </c>
      <c r="D3370" s="41" t="n"/>
      <c r="E3370" s="42" t="n"/>
      <c r="F3370" s="43" t="n"/>
      <c r="G3370" s="44">
        <f>IF(OR(B3370="",F3370=""),"",IFERROR(F3370*INDEX(Mitarbeiter!$F$6:$F$205,MATCH(B3370,Mitarbeiter!$A$6:$A$205,0)),0))</f>
        <v/>
      </c>
      <c r="H3370" s="8">
        <f>IF(B3370="","",IF(ISNA(MATCH(B3370,Mitarbeiter!$A$6:$A$205,0)),"Pers.-Nr. unbekannt",IF(A3370="","Datum fehlt",IF(AND(D3370&lt;&gt;Einstellungen!$C$4,D3370&lt;&gt;Einstellungen!$C$5),"Objekt fehlt",IF(YEAR(A3370)&lt;&gt;Einstellungen!$C$3,"anderes Jahr",IF(A3370&lt;INDEX(Mitarbeiter!$C$6:$C$205,MATCH(B3370,Mitarbeiter!$A$6:$A$205,0)),"vor Eintritt",IF(AND(INDEX(Mitarbeiter!$D$6:$D$205,MATCH(B3370,Mitarbeiter!$A$6:$A$205,0))&lt;&gt;"",A3370&gt;INDEX(Mitarbeiter!$D$6:$D$205,MATCH(B3370,Mitarbeiter!$A$6:$A$205,0))),"nach Austritt","ok")))))))</f>
        <v/>
      </c>
    </row>
    <row r="3371">
      <c r="A3371" s="26" t="n"/>
      <c r="B3371" s="24" t="n"/>
      <c r="C3371" s="40">
        <f>IF(B3371="","",IFERROR(INDEX(Mitarbeiter!$B$6:$B$205,MATCH(B3371,Mitarbeiter!$A$6:$A$205,0)),"?"))</f>
        <v/>
      </c>
      <c r="D3371" s="41" t="n"/>
      <c r="E3371" s="42" t="n"/>
      <c r="F3371" s="43" t="n"/>
      <c r="G3371" s="44">
        <f>IF(OR(B3371="",F3371=""),"",IFERROR(F3371*INDEX(Mitarbeiter!$F$6:$F$205,MATCH(B3371,Mitarbeiter!$A$6:$A$205,0)),0))</f>
        <v/>
      </c>
      <c r="H3371" s="8">
        <f>IF(B3371="","",IF(ISNA(MATCH(B3371,Mitarbeiter!$A$6:$A$205,0)),"Pers.-Nr. unbekannt",IF(A3371="","Datum fehlt",IF(AND(D3371&lt;&gt;Einstellungen!$C$4,D3371&lt;&gt;Einstellungen!$C$5),"Objekt fehlt",IF(YEAR(A3371)&lt;&gt;Einstellungen!$C$3,"anderes Jahr",IF(A3371&lt;INDEX(Mitarbeiter!$C$6:$C$205,MATCH(B3371,Mitarbeiter!$A$6:$A$205,0)),"vor Eintritt",IF(AND(INDEX(Mitarbeiter!$D$6:$D$205,MATCH(B3371,Mitarbeiter!$A$6:$A$205,0))&lt;&gt;"",A3371&gt;INDEX(Mitarbeiter!$D$6:$D$205,MATCH(B3371,Mitarbeiter!$A$6:$A$205,0))),"nach Austritt","ok")))))))</f>
        <v/>
      </c>
    </row>
    <row r="3372">
      <c r="A3372" s="26" t="n"/>
      <c r="B3372" s="24" t="n"/>
      <c r="C3372" s="40">
        <f>IF(B3372="","",IFERROR(INDEX(Mitarbeiter!$B$6:$B$205,MATCH(B3372,Mitarbeiter!$A$6:$A$205,0)),"?"))</f>
        <v/>
      </c>
      <c r="D3372" s="41" t="n"/>
      <c r="E3372" s="42" t="n"/>
      <c r="F3372" s="43" t="n"/>
      <c r="G3372" s="44">
        <f>IF(OR(B3372="",F3372=""),"",IFERROR(F3372*INDEX(Mitarbeiter!$F$6:$F$205,MATCH(B3372,Mitarbeiter!$A$6:$A$205,0)),0))</f>
        <v/>
      </c>
      <c r="H3372" s="8">
        <f>IF(B3372="","",IF(ISNA(MATCH(B3372,Mitarbeiter!$A$6:$A$205,0)),"Pers.-Nr. unbekannt",IF(A3372="","Datum fehlt",IF(AND(D3372&lt;&gt;Einstellungen!$C$4,D3372&lt;&gt;Einstellungen!$C$5),"Objekt fehlt",IF(YEAR(A3372)&lt;&gt;Einstellungen!$C$3,"anderes Jahr",IF(A3372&lt;INDEX(Mitarbeiter!$C$6:$C$205,MATCH(B3372,Mitarbeiter!$A$6:$A$205,0)),"vor Eintritt",IF(AND(INDEX(Mitarbeiter!$D$6:$D$205,MATCH(B3372,Mitarbeiter!$A$6:$A$205,0))&lt;&gt;"",A3372&gt;INDEX(Mitarbeiter!$D$6:$D$205,MATCH(B3372,Mitarbeiter!$A$6:$A$205,0))),"nach Austritt","ok")))))))</f>
        <v/>
      </c>
    </row>
    <row r="3373">
      <c r="A3373" s="26" t="n"/>
      <c r="B3373" s="24" t="n"/>
      <c r="C3373" s="40">
        <f>IF(B3373="","",IFERROR(INDEX(Mitarbeiter!$B$6:$B$205,MATCH(B3373,Mitarbeiter!$A$6:$A$205,0)),"?"))</f>
        <v/>
      </c>
      <c r="D3373" s="41" t="n"/>
      <c r="E3373" s="42" t="n"/>
      <c r="F3373" s="43" t="n"/>
      <c r="G3373" s="44">
        <f>IF(OR(B3373="",F3373=""),"",IFERROR(F3373*INDEX(Mitarbeiter!$F$6:$F$205,MATCH(B3373,Mitarbeiter!$A$6:$A$205,0)),0))</f>
        <v/>
      </c>
      <c r="H3373" s="8">
        <f>IF(B3373="","",IF(ISNA(MATCH(B3373,Mitarbeiter!$A$6:$A$205,0)),"Pers.-Nr. unbekannt",IF(A3373="","Datum fehlt",IF(AND(D3373&lt;&gt;Einstellungen!$C$4,D3373&lt;&gt;Einstellungen!$C$5),"Objekt fehlt",IF(YEAR(A3373)&lt;&gt;Einstellungen!$C$3,"anderes Jahr",IF(A3373&lt;INDEX(Mitarbeiter!$C$6:$C$205,MATCH(B3373,Mitarbeiter!$A$6:$A$205,0)),"vor Eintritt",IF(AND(INDEX(Mitarbeiter!$D$6:$D$205,MATCH(B3373,Mitarbeiter!$A$6:$A$205,0))&lt;&gt;"",A3373&gt;INDEX(Mitarbeiter!$D$6:$D$205,MATCH(B3373,Mitarbeiter!$A$6:$A$205,0))),"nach Austritt","ok")))))))</f>
        <v/>
      </c>
    </row>
    <row r="3374">
      <c r="A3374" s="26" t="n"/>
      <c r="B3374" s="24" t="n"/>
      <c r="C3374" s="40">
        <f>IF(B3374="","",IFERROR(INDEX(Mitarbeiter!$B$6:$B$205,MATCH(B3374,Mitarbeiter!$A$6:$A$205,0)),"?"))</f>
        <v/>
      </c>
      <c r="D3374" s="41" t="n"/>
      <c r="E3374" s="42" t="n"/>
      <c r="F3374" s="43" t="n"/>
      <c r="G3374" s="44">
        <f>IF(OR(B3374="",F3374=""),"",IFERROR(F3374*INDEX(Mitarbeiter!$F$6:$F$205,MATCH(B3374,Mitarbeiter!$A$6:$A$205,0)),0))</f>
        <v/>
      </c>
      <c r="H3374" s="8">
        <f>IF(B3374="","",IF(ISNA(MATCH(B3374,Mitarbeiter!$A$6:$A$205,0)),"Pers.-Nr. unbekannt",IF(A3374="","Datum fehlt",IF(AND(D3374&lt;&gt;Einstellungen!$C$4,D3374&lt;&gt;Einstellungen!$C$5),"Objekt fehlt",IF(YEAR(A3374)&lt;&gt;Einstellungen!$C$3,"anderes Jahr",IF(A3374&lt;INDEX(Mitarbeiter!$C$6:$C$205,MATCH(B3374,Mitarbeiter!$A$6:$A$205,0)),"vor Eintritt",IF(AND(INDEX(Mitarbeiter!$D$6:$D$205,MATCH(B3374,Mitarbeiter!$A$6:$A$205,0))&lt;&gt;"",A3374&gt;INDEX(Mitarbeiter!$D$6:$D$205,MATCH(B3374,Mitarbeiter!$A$6:$A$205,0))),"nach Austritt","ok")))))))</f>
        <v/>
      </c>
    </row>
    <row r="3375">
      <c r="A3375" s="26" t="n"/>
      <c r="B3375" s="24" t="n"/>
      <c r="C3375" s="40">
        <f>IF(B3375="","",IFERROR(INDEX(Mitarbeiter!$B$6:$B$205,MATCH(B3375,Mitarbeiter!$A$6:$A$205,0)),"?"))</f>
        <v/>
      </c>
      <c r="D3375" s="41" t="n"/>
      <c r="E3375" s="42" t="n"/>
      <c r="F3375" s="43" t="n"/>
      <c r="G3375" s="44">
        <f>IF(OR(B3375="",F3375=""),"",IFERROR(F3375*INDEX(Mitarbeiter!$F$6:$F$205,MATCH(B3375,Mitarbeiter!$A$6:$A$205,0)),0))</f>
        <v/>
      </c>
      <c r="H3375" s="8">
        <f>IF(B3375="","",IF(ISNA(MATCH(B3375,Mitarbeiter!$A$6:$A$205,0)),"Pers.-Nr. unbekannt",IF(A3375="","Datum fehlt",IF(AND(D3375&lt;&gt;Einstellungen!$C$4,D3375&lt;&gt;Einstellungen!$C$5),"Objekt fehlt",IF(YEAR(A3375)&lt;&gt;Einstellungen!$C$3,"anderes Jahr",IF(A3375&lt;INDEX(Mitarbeiter!$C$6:$C$205,MATCH(B3375,Mitarbeiter!$A$6:$A$205,0)),"vor Eintritt",IF(AND(INDEX(Mitarbeiter!$D$6:$D$205,MATCH(B3375,Mitarbeiter!$A$6:$A$205,0))&lt;&gt;"",A3375&gt;INDEX(Mitarbeiter!$D$6:$D$205,MATCH(B3375,Mitarbeiter!$A$6:$A$205,0))),"nach Austritt","ok")))))))</f>
        <v/>
      </c>
    </row>
    <row r="3376">
      <c r="A3376" s="26" t="n"/>
      <c r="B3376" s="24" t="n"/>
      <c r="C3376" s="40">
        <f>IF(B3376="","",IFERROR(INDEX(Mitarbeiter!$B$6:$B$205,MATCH(B3376,Mitarbeiter!$A$6:$A$205,0)),"?"))</f>
        <v/>
      </c>
      <c r="D3376" s="41" t="n"/>
      <c r="E3376" s="42" t="n"/>
      <c r="F3376" s="43" t="n"/>
      <c r="G3376" s="44">
        <f>IF(OR(B3376="",F3376=""),"",IFERROR(F3376*INDEX(Mitarbeiter!$F$6:$F$205,MATCH(B3376,Mitarbeiter!$A$6:$A$205,0)),0))</f>
        <v/>
      </c>
      <c r="H3376" s="8">
        <f>IF(B3376="","",IF(ISNA(MATCH(B3376,Mitarbeiter!$A$6:$A$205,0)),"Pers.-Nr. unbekannt",IF(A3376="","Datum fehlt",IF(AND(D3376&lt;&gt;Einstellungen!$C$4,D3376&lt;&gt;Einstellungen!$C$5),"Objekt fehlt",IF(YEAR(A3376)&lt;&gt;Einstellungen!$C$3,"anderes Jahr",IF(A3376&lt;INDEX(Mitarbeiter!$C$6:$C$205,MATCH(B3376,Mitarbeiter!$A$6:$A$205,0)),"vor Eintritt",IF(AND(INDEX(Mitarbeiter!$D$6:$D$205,MATCH(B3376,Mitarbeiter!$A$6:$A$205,0))&lt;&gt;"",A3376&gt;INDEX(Mitarbeiter!$D$6:$D$205,MATCH(B3376,Mitarbeiter!$A$6:$A$205,0))),"nach Austritt","ok")))))))</f>
        <v/>
      </c>
    </row>
    <row r="3377">
      <c r="A3377" s="26" t="n"/>
      <c r="B3377" s="24" t="n"/>
      <c r="C3377" s="40">
        <f>IF(B3377="","",IFERROR(INDEX(Mitarbeiter!$B$6:$B$205,MATCH(B3377,Mitarbeiter!$A$6:$A$205,0)),"?"))</f>
        <v/>
      </c>
      <c r="D3377" s="41" t="n"/>
      <c r="E3377" s="42" t="n"/>
      <c r="F3377" s="43" t="n"/>
      <c r="G3377" s="44">
        <f>IF(OR(B3377="",F3377=""),"",IFERROR(F3377*INDEX(Mitarbeiter!$F$6:$F$205,MATCH(B3377,Mitarbeiter!$A$6:$A$205,0)),0))</f>
        <v/>
      </c>
      <c r="H3377" s="8">
        <f>IF(B3377="","",IF(ISNA(MATCH(B3377,Mitarbeiter!$A$6:$A$205,0)),"Pers.-Nr. unbekannt",IF(A3377="","Datum fehlt",IF(AND(D3377&lt;&gt;Einstellungen!$C$4,D3377&lt;&gt;Einstellungen!$C$5),"Objekt fehlt",IF(YEAR(A3377)&lt;&gt;Einstellungen!$C$3,"anderes Jahr",IF(A3377&lt;INDEX(Mitarbeiter!$C$6:$C$205,MATCH(B3377,Mitarbeiter!$A$6:$A$205,0)),"vor Eintritt",IF(AND(INDEX(Mitarbeiter!$D$6:$D$205,MATCH(B3377,Mitarbeiter!$A$6:$A$205,0))&lt;&gt;"",A3377&gt;INDEX(Mitarbeiter!$D$6:$D$205,MATCH(B3377,Mitarbeiter!$A$6:$A$205,0))),"nach Austritt","ok")))))))</f>
        <v/>
      </c>
    </row>
    <row r="3378">
      <c r="A3378" s="26" t="n"/>
      <c r="B3378" s="24" t="n"/>
      <c r="C3378" s="40">
        <f>IF(B3378="","",IFERROR(INDEX(Mitarbeiter!$B$6:$B$205,MATCH(B3378,Mitarbeiter!$A$6:$A$205,0)),"?"))</f>
        <v/>
      </c>
      <c r="D3378" s="41" t="n"/>
      <c r="E3378" s="42" t="n"/>
      <c r="F3378" s="43" t="n"/>
      <c r="G3378" s="44">
        <f>IF(OR(B3378="",F3378=""),"",IFERROR(F3378*INDEX(Mitarbeiter!$F$6:$F$205,MATCH(B3378,Mitarbeiter!$A$6:$A$205,0)),0))</f>
        <v/>
      </c>
      <c r="H3378" s="8">
        <f>IF(B3378="","",IF(ISNA(MATCH(B3378,Mitarbeiter!$A$6:$A$205,0)),"Pers.-Nr. unbekannt",IF(A3378="","Datum fehlt",IF(AND(D3378&lt;&gt;Einstellungen!$C$4,D3378&lt;&gt;Einstellungen!$C$5),"Objekt fehlt",IF(YEAR(A3378)&lt;&gt;Einstellungen!$C$3,"anderes Jahr",IF(A3378&lt;INDEX(Mitarbeiter!$C$6:$C$205,MATCH(B3378,Mitarbeiter!$A$6:$A$205,0)),"vor Eintritt",IF(AND(INDEX(Mitarbeiter!$D$6:$D$205,MATCH(B3378,Mitarbeiter!$A$6:$A$205,0))&lt;&gt;"",A3378&gt;INDEX(Mitarbeiter!$D$6:$D$205,MATCH(B3378,Mitarbeiter!$A$6:$A$205,0))),"nach Austritt","ok")))))))</f>
        <v/>
      </c>
    </row>
    <row r="3379">
      <c r="A3379" s="26" t="n"/>
      <c r="B3379" s="24" t="n"/>
      <c r="C3379" s="40">
        <f>IF(B3379="","",IFERROR(INDEX(Mitarbeiter!$B$6:$B$205,MATCH(B3379,Mitarbeiter!$A$6:$A$205,0)),"?"))</f>
        <v/>
      </c>
      <c r="D3379" s="41" t="n"/>
      <c r="E3379" s="42" t="n"/>
      <c r="F3379" s="43" t="n"/>
      <c r="G3379" s="44">
        <f>IF(OR(B3379="",F3379=""),"",IFERROR(F3379*INDEX(Mitarbeiter!$F$6:$F$205,MATCH(B3379,Mitarbeiter!$A$6:$A$205,0)),0))</f>
        <v/>
      </c>
      <c r="H3379" s="8">
        <f>IF(B3379="","",IF(ISNA(MATCH(B3379,Mitarbeiter!$A$6:$A$205,0)),"Pers.-Nr. unbekannt",IF(A3379="","Datum fehlt",IF(AND(D3379&lt;&gt;Einstellungen!$C$4,D3379&lt;&gt;Einstellungen!$C$5),"Objekt fehlt",IF(YEAR(A3379)&lt;&gt;Einstellungen!$C$3,"anderes Jahr",IF(A3379&lt;INDEX(Mitarbeiter!$C$6:$C$205,MATCH(B3379,Mitarbeiter!$A$6:$A$205,0)),"vor Eintritt",IF(AND(INDEX(Mitarbeiter!$D$6:$D$205,MATCH(B3379,Mitarbeiter!$A$6:$A$205,0))&lt;&gt;"",A3379&gt;INDEX(Mitarbeiter!$D$6:$D$205,MATCH(B3379,Mitarbeiter!$A$6:$A$205,0))),"nach Austritt","ok")))))))</f>
        <v/>
      </c>
    </row>
    <row r="3380">
      <c r="A3380" s="26" t="n"/>
      <c r="B3380" s="24" t="n"/>
      <c r="C3380" s="40">
        <f>IF(B3380="","",IFERROR(INDEX(Mitarbeiter!$B$6:$B$205,MATCH(B3380,Mitarbeiter!$A$6:$A$205,0)),"?"))</f>
        <v/>
      </c>
      <c r="D3380" s="41" t="n"/>
      <c r="E3380" s="42" t="n"/>
      <c r="F3380" s="43" t="n"/>
      <c r="G3380" s="44">
        <f>IF(OR(B3380="",F3380=""),"",IFERROR(F3380*INDEX(Mitarbeiter!$F$6:$F$205,MATCH(B3380,Mitarbeiter!$A$6:$A$205,0)),0))</f>
        <v/>
      </c>
      <c r="H3380" s="8">
        <f>IF(B3380="","",IF(ISNA(MATCH(B3380,Mitarbeiter!$A$6:$A$205,0)),"Pers.-Nr. unbekannt",IF(A3380="","Datum fehlt",IF(AND(D3380&lt;&gt;Einstellungen!$C$4,D3380&lt;&gt;Einstellungen!$C$5),"Objekt fehlt",IF(YEAR(A3380)&lt;&gt;Einstellungen!$C$3,"anderes Jahr",IF(A3380&lt;INDEX(Mitarbeiter!$C$6:$C$205,MATCH(B3380,Mitarbeiter!$A$6:$A$205,0)),"vor Eintritt",IF(AND(INDEX(Mitarbeiter!$D$6:$D$205,MATCH(B3380,Mitarbeiter!$A$6:$A$205,0))&lt;&gt;"",A3380&gt;INDEX(Mitarbeiter!$D$6:$D$205,MATCH(B3380,Mitarbeiter!$A$6:$A$205,0))),"nach Austritt","ok")))))))</f>
        <v/>
      </c>
    </row>
    <row r="3381">
      <c r="A3381" s="26" t="n"/>
      <c r="B3381" s="24" t="n"/>
      <c r="C3381" s="40">
        <f>IF(B3381="","",IFERROR(INDEX(Mitarbeiter!$B$6:$B$205,MATCH(B3381,Mitarbeiter!$A$6:$A$205,0)),"?"))</f>
        <v/>
      </c>
      <c r="D3381" s="41" t="n"/>
      <c r="E3381" s="42" t="n"/>
      <c r="F3381" s="43" t="n"/>
      <c r="G3381" s="44">
        <f>IF(OR(B3381="",F3381=""),"",IFERROR(F3381*INDEX(Mitarbeiter!$F$6:$F$205,MATCH(B3381,Mitarbeiter!$A$6:$A$205,0)),0))</f>
        <v/>
      </c>
      <c r="H3381" s="8">
        <f>IF(B3381="","",IF(ISNA(MATCH(B3381,Mitarbeiter!$A$6:$A$205,0)),"Pers.-Nr. unbekannt",IF(A3381="","Datum fehlt",IF(AND(D3381&lt;&gt;Einstellungen!$C$4,D3381&lt;&gt;Einstellungen!$C$5),"Objekt fehlt",IF(YEAR(A3381)&lt;&gt;Einstellungen!$C$3,"anderes Jahr",IF(A3381&lt;INDEX(Mitarbeiter!$C$6:$C$205,MATCH(B3381,Mitarbeiter!$A$6:$A$205,0)),"vor Eintritt",IF(AND(INDEX(Mitarbeiter!$D$6:$D$205,MATCH(B3381,Mitarbeiter!$A$6:$A$205,0))&lt;&gt;"",A3381&gt;INDEX(Mitarbeiter!$D$6:$D$205,MATCH(B3381,Mitarbeiter!$A$6:$A$205,0))),"nach Austritt","ok")))))))</f>
        <v/>
      </c>
    </row>
    <row r="3382">
      <c r="A3382" s="26" t="n"/>
      <c r="B3382" s="24" t="n"/>
      <c r="C3382" s="40">
        <f>IF(B3382="","",IFERROR(INDEX(Mitarbeiter!$B$6:$B$205,MATCH(B3382,Mitarbeiter!$A$6:$A$205,0)),"?"))</f>
        <v/>
      </c>
      <c r="D3382" s="41" t="n"/>
      <c r="E3382" s="42" t="n"/>
      <c r="F3382" s="43" t="n"/>
      <c r="G3382" s="44">
        <f>IF(OR(B3382="",F3382=""),"",IFERROR(F3382*INDEX(Mitarbeiter!$F$6:$F$205,MATCH(B3382,Mitarbeiter!$A$6:$A$205,0)),0))</f>
        <v/>
      </c>
      <c r="H3382" s="8">
        <f>IF(B3382="","",IF(ISNA(MATCH(B3382,Mitarbeiter!$A$6:$A$205,0)),"Pers.-Nr. unbekannt",IF(A3382="","Datum fehlt",IF(AND(D3382&lt;&gt;Einstellungen!$C$4,D3382&lt;&gt;Einstellungen!$C$5),"Objekt fehlt",IF(YEAR(A3382)&lt;&gt;Einstellungen!$C$3,"anderes Jahr",IF(A3382&lt;INDEX(Mitarbeiter!$C$6:$C$205,MATCH(B3382,Mitarbeiter!$A$6:$A$205,0)),"vor Eintritt",IF(AND(INDEX(Mitarbeiter!$D$6:$D$205,MATCH(B3382,Mitarbeiter!$A$6:$A$205,0))&lt;&gt;"",A3382&gt;INDEX(Mitarbeiter!$D$6:$D$205,MATCH(B3382,Mitarbeiter!$A$6:$A$205,0))),"nach Austritt","ok")))))))</f>
        <v/>
      </c>
    </row>
    <row r="3383">
      <c r="A3383" s="26" t="n"/>
      <c r="B3383" s="24" t="n"/>
      <c r="C3383" s="40">
        <f>IF(B3383="","",IFERROR(INDEX(Mitarbeiter!$B$6:$B$205,MATCH(B3383,Mitarbeiter!$A$6:$A$205,0)),"?"))</f>
        <v/>
      </c>
      <c r="D3383" s="41" t="n"/>
      <c r="E3383" s="42" t="n"/>
      <c r="F3383" s="43" t="n"/>
      <c r="G3383" s="44">
        <f>IF(OR(B3383="",F3383=""),"",IFERROR(F3383*INDEX(Mitarbeiter!$F$6:$F$205,MATCH(B3383,Mitarbeiter!$A$6:$A$205,0)),0))</f>
        <v/>
      </c>
      <c r="H3383" s="8">
        <f>IF(B3383="","",IF(ISNA(MATCH(B3383,Mitarbeiter!$A$6:$A$205,0)),"Pers.-Nr. unbekannt",IF(A3383="","Datum fehlt",IF(AND(D3383&lt;&gt;Einstellungen!$C$4,D3383&lt;&gt;Einstellungen!$C$5),"Objekt fehlt",IF(YEAR(A3383)&lt;&gt;Einstellungen!$C$3,"anderes Jahr",IF(A3383&lt;INDEX(Mitarbeiter!$C$6:$C$205,MATCH(B3383,Mitarbeiter!$A$6:$A$205,0)),"vor Eintritt",IF(AND(INDEX(Mitarbeiter!$D$6:$D$205,MATCH(B3383,Mitarbeiter!$A$6:$A$205,0))&lt;&gt;"",A3383&gt;INDEX(Mitarbeiter!$D$6:$D$205,MATCH(B3383,Mitarbeiter!$A$6:$A$205,0))),"nach Austritt","ok")))))))</f>
        <v/>
      </c>
    </row>
    <row r="3384">
      <c r="A3384" s="26" t="n"/>
      <c r="B3384" s="24" t="n"/>
      <c r="C3384" s="40">
        <f>IF(B3384="","",IFERROR(INDEX(Mitarbeiter!$B$6:$B$205,MATCH(B3384,Mitarbeiter!$A$6:$A$205,0)),"?"))</f>
        <v/>
      </c>
      <c r="D3384" s="41" t="n"/>
      <c r="E3384" s="42" t="n"/>
      <c r="F3384" s="43" t="n"/>
      <c r="G3384" s="44">
        <f>IF(OR(B3384="",F3384=""),"",IFERROR(F3384*INDEX(Mitarbeiter!$F$6:$F$205,MATCH(B3384,Mitarbeiter!$A$6:$A$205,0)),0))</f>
        <v/>
      </c>
      <c r="H3384" s="8">
        <f>IF(B3384="","",IF(ISNA(MATCH(B3384,Mitarbeiter!$A$6:$A$205,0)),"Pers.-Nr. unbekannt",IF(A3384="","Datum fehlt",IF(AND(D3384&lt;&gt;Einstellungen!$C$4,D3384&lt;&gt;Einstellungen!$C$5),"Objekt fehlt",IF(YEAR(A3384)&lt;&gt;Einstellungen!$C$3,"anderes Jahr",IF(A3384&lt;INDEX(Mitarbeiter!$C$6:$C$205,MATCH(B3384,Mitarbeiter!$A$6:$A$205,0)),"vor Eintritt",IF(AND(INDEX(Mitarbeiter!$D$6:$D$205,MATCH(B3384,Mitarbeiter!$A$6:$A$205,0))&lt;&gt;"",A3384&gt;INDEX(Mitarbeiter!$D$6:$D$205,MATCH(B3384,Mitarbeiter!$A$6:$A$205,0))),"nach Austritt","ok")))))))</f>
        <v/>
      </c>
    </row>
    <row r="3385">
      <c r="A3385" s="26" t="n"/>
      <c r="B3385" s="24" t="n"/>
      <c r="C3385" s="40">
        <f>IF(B3385="","",IFERROR(INDEX(Mitarbeiter!$B$6:$B$205,MATCH(B3385,Mitarbeiter!$A$6:$A$205,0)),"?"))</f>
        <v/>
      </c>
      <c r="D3385" s="41" t="n"/>
      <c r="E3385" s="42" t="n"/>
      <c r="F3385" s="43" t="n"/>
      <c r="G3385" s="44">
        <f>IF(OR(B3385="",F3385=""),"",IFERROR(F3385*INDEX(Mitarbeiter!$F$6:$F$205,MATCH(B3385,Mitarbeiter!$A$6:$A$205,0)),0))</f>
        <v/>
      </c>
      <c r="H3385" s="8">
        <f>IF(B3385="","",IF(ISNA(MATCH(B3385,Mitarbeiter!$A$6:$A$205,0)),"Pers.-Nr. unbekannt",IF(A3385="","Datum fehlt",IF(AND(D3385&lt;&gt;Einstellungen!$C$4,D3385&lt;&gt;Einstellungen!$C$5),"Objekt fehlt",IF(YEAR(A3385)&lt;&gt;Einstellungen!$C$3,"anderes Jahr",IF(A3385&lt;INDEX(Mitarbeiter!$C$6:$C$205,MATCH(B3385,Mitarbeiter!$A$6:$A$205,0)),"vor Eintritt",IF(AND(INDEX(Mitarbeiter!$D$6:$D$205,MATCH(B3385,Mitarbeiter!$A$6:$A$205,0))&lt;&gt;"",A3385&gt;INDEX(Mitarbeiter!$D$6:$D$205,MATCH(B3385,Mitarbeiter!$A$6:$A$205,0))),"nach Austritt","ok")))))))</f>
        <v/>
      </c>
    </row>
    <row r="3386">
      <c r="A3386" s="26" t="n"/>
      <c r="B3386" s="24" t="n"/>
      <c r="C3386" s="40">
        <f>IF(B3386="","",IFERROR(INDEX(Mitarbeiter!$B$6:$B$205,MATCH(B3386,Mitarbeiter!$A$6:$A$205,0)),"?"))</f>
        <v/>
      </c>
      <c r="D3386" s="41" t="n"/>
      <c r="E3386" s="42" t="n"/>
      <c r="F3386" s="43" t="n"/>
      <c r="G3386" s="44">
        <f>IF(OR(B3386="",F3386=""),"",IFERROR(F3386*INDEX(Mitarbeiter!$F$6:$F$205,MATCH(B3386,Mitarbeiter!$A$6:$A$205,0)),0))</f>
        <v/>
      </c>
      <c r="H3386" s="8">
        <f>IF(B3386="","",IF(ISNA(MATCH(B3386,Mitarbeiter!$A$6:$A$205,0)),"Pers.-Nr. unbekannt",IF(A3386="","Datum fehlt",IF(AND(D3386&lt;&gt;Einstellungen!$C$4,D3386&lt;&gt;Einstellungen!$C$5),"Objekt fehlt",IF(YEAR(A3386)&lt;&gt;Einstellungen!$C$3,"anderes Jahr",IF(A3386&lt;INDEX(Mitarbeiter!$C$6:$C$205,MATCH(B3386,Mitarbeiter!$A$6:$A$205,0)),"vor Eintritt",IF(AND(INDEX(Mitarbeiter!$D$6:$D$205,MATCH(B3386,Mitarbeiter!$A$6:$A$205,0))&lt;&gt;"",A3386&gt;INDEX(Mitarbeiter!$D$6:$D$205,MATCH(B3386,Mitarbeiter!$A$6:$A$205,0))),"nach Austritt","ok")))))))</f>
        <v/>
      </c>
    </row>
    <row r="3387">
      <c r="A3387" s="26" t="n"/>
      <c r="B3387" s="24" t="n"/>
      <c r="C3387" s="40">
        <f>IF(B3387="","",IFERROR(INDEX(Mitarbeiter!$B$6:$B$205,MATCH(B3387,Mitarbeiter!$A$6:$A$205,0)),"?"))</f>
        <v/>
      </c>
      <c r="D3387" s="41" t="n"/>
      <c r="E3387" s="42" t="n"/>
      <c r="F3387" s="43" t="n"/>
      <c r="G3387" s="44">
        <f>IF(OR(B3387="",F3387=""),"",IFERROR(F3387*INDEX(Mitarbeiter!$F$6:$F$205,MATCH(B3387,Mitarbeiter!$A$6:$A$205,0)),0))</f>
        <v/>
      </c>
      <c r="H3387" s="8">
        <f>IF(B3387="","",IF(ISNA(MATCH(B3387,Mitarbeiter!$A$6:$A$205,0)),"Pers.-Nr. unbekannt",IF(A3387="","Datum fehlt",IF(AND(D3387&lt;&gt;Einstellungen!$C$4,D3387&lt;&gt;Einstellungen!$C$5),"Objekt fehlt",IF(YEAR(A3387)&lt;&gt;Einstellungen!$C$3,"anderes Jahr",IF(A3387&lt;INDEX(Mitarbeiter!$C$6:$C$205,MATCH(B3387,Mitarbeiter!$A$6:$A$205,0)),"vor Eintritt",IF(AND(INDEX(Mitarbeiter!$D$6:$D$205,MATCH(B3387,Mitarbeiter!$A$6:$A$205,0))&lt;&gt;"",A3387&gt;INDEX(Mitarbeiter!$D$6:$D$205,MATCH(B3387,Mitarbeiter!$A$6:$A$205,0))),"nach Austritt","ok")))))))</f>
        <v/>
      </c>
    </row>
    <row r="3388">
      <c r="A3388" s="26" t="n"/>
      <c r="B3388" s="24" t="n"/>
      <c r="C3388" s="40">
        <f>IF(B3388="","",IFERROR(INDEX(Mitarbeiter!$B$6:$B$205,MATCH(B3388,Mitarbeiter!$A$6:$A$205,0)),"?"))</f>
        <v/>
      </c>
      <c r="D3388" s="41" t="n"/>
      <c r="E3388" s="42" t="n"/>
      <c r="F3388" s="43" t="n"/>
      <c r="G3388" s="44">
        <f>IF(OR(B3388="",F3388=""),"",IFERROR(F3388*INDEX(Mitarbeiter!$F$6:$F$205,MATCH(B3388,Mitarbeiter!$A$6:$A$205,0)),0))</f>
        <v/>
      </c>
      <c r="H3388" s="8">
        <f>IF(B3388="","",IF(ISNA(MATCH(B3388,Mitarbeiter!$A$6:$A$205,0)),"Pers.-Nr. unbekannt",IF(A3388="","Datum fehlt",IF(AND(D3388&lt;&gt;Einstellungen!$C$4,D3388&lt;&gt;Einstellungen!$C$5),"Objekt fehlt",IF(YEAR(A3388)&lt;&gt;Einstellungen!$C$3,"anderes Jahr",IF(A3388&lt;INDEX(Mitarbeiter!$C$6:$C$205,MATCH(B3388,Mitarbeiter!$A$6:$A$205,0)),"vor Eintritt",IF(AND(INDEX(Mitarbeiter!$D$6:$D$205,MATCH(B3388,Mitarbeiter!$A$6:$A$205,0))&lt;&gt;"",A3388&gt;INDEX(Mitarbeiter!$D$6:$D$205,MATCH(B3388,Mitarbeiter!$A$6:$A$205,0))),"nach Austritt","ok")))))))</f>
        <v/>
      </c>
    </row>
    <row r="3389">
      <c r="A3389" s="26" t="n"/>
      <c r="B3389" s="24" t="n"/>
      <c r="C3389" s="40">
        <f>IF(B3389="","",IFERROR(INDEX(Mitarbeiter!$B$6:$B$205,MATCH(B3389,Mitarbeiter!$A$6:$A$205,0)),"?"))</f>
        <v/>
      </c>
      <c r="D3389" s="41" t="n"/>
      <c r="E3389" s="42" t="n"/>
      <c r="F3389" s="43" t="n"/>
      <c r="G3389" s="44">
        <f>IF(OR(B3389="",F3389=""),"",IFERROR(F3389*INDEX(Mitarbeiter!$F$6:$F$205,MATCH(B3389,Mitarbeiter!$A$6:$A$205,0)),0))</f>
        <v/>
      </c>
      <c r="H3389" s="8">
        <f>IF(B3389="","",IF(ISNA(MATCH(B3389,Mitarbeiter!$A$6:$A$205,0)),"Pers.-Nr. unbekannt",IF(A3389="","Datum fehlt",IF(AND(D3389&lt;&gt;Einstellungen!$C$4,D3389&lt;&gt;Einstellungen!$C$5),"Objekt fehlt",IF(YEAR(A3389)&lt;&gt;Einstellungen!$C$3,"anderes Jahr",IF(A3389&lt;INDEX(Mitarbeiter!$C$6:$C$205,MATCH(B3389,Mitarbeiter!$A$6:$A$205,0)),"vor Eintritt",IF(AND(INDEX(Mitarbeiter!$D$6:$D$205,MATCH(B3389,Mitarbeiter!$A$6:$A$205,0))&lt;&gt;"",A3389&gt;INDEX(Mitarbeiter!$D$6:$D$205,MATCH(B3389,Mitarbeiter!$A$6:$A$205,0))),"nach Austritt","ok")))))))</f>
        <v/>
      </c>
    </row>
    <row r="3390">
      <c r="A3390" s="26" t="n"/>
      <c r="B3390" s="24" t="n"/>
      <c r="C3390" s="40">
        <f>IF(B3390="","",IFERROR(INDEX(Mitarbeiter!$B$6:$B$205,MATCH(B3390,Mitarbeiter!$A$6:$A$205,0)),"?"))</f>
        <v/>
      </c>
      <c r="D3390" s="41" t="n"/>
      <c r="E3390" s="42" t="n"/>
      <c r="F3390" s="43" t="n"/>
      <c r="G3390" s="44">
        <f>IF(OR(B3390="",F3390=""),"",IFERROR(F3390*INDEX(Mitarbeiter!$F$6:$F$205,MATCH(B3390,Mitarbeiter!$A$6:$A$205,0)),0))</f>
        <v/>
      </c>
      <c r="H3390" s="8">
        <f>IF(B3390="","",IF(ISNA(MATCH(B3390,Mitarbeiter!$A$6:$A$205,0)),"Pers.-Nr. unbekannt",IF(A3390="","Datum fehlt",IF(AND(D3390&lt;&gt;Einstellungen!$C$4,D3390&lt;&gt;Einstellungen!$C$5),"Objekt fehlt",IF(YEAR(A3390)&lt;&gt;Einstellungen!$C$3,"anderes Jahr",IF(A3390&lt;INDEX(Mitarbeiter!$C$6:$C$205,MATCH(B3390,Mitarbeiter!$A$6:$A$205,0)),"vor Eintritt",IF(AND(INDEX(Mitarbeiter!$D$6:$D$205,MATCH(B3390,Mitarbeiter!$A$6:$A$205,0))&lt;&gt;"",A3390&gt;INDEX(Mitarbeiter!$D$6:$D$205,MATCH(B3390,Mitarbeiter!$A$6:$A$205,0))),"nach Austritt","ok")))))))</f>
        <v/>
      </c>
    </row>
    <row r="3391">
      <c r="A3391" s="26" t="n"/>
      <c r="B3391" s="24" t="n"/>
      <c r="C3391" s="40">
        <f>IF(B3391="","",IFERROR(INDEX(Mitarbeiter!$B$6:$B$205,MATCH(B3391,Mitarbeiter!$A$6:$A$205,0)),"?"))</f>
        <v/>
      </c>
      <c r="D3391" s="41" t="n"/>
      <c r="E3391" s="42" t="n"/>
      <c r="F3391" s="43" t="n"/>
      <c r="G3391" s="44">
        <f>IF(OR(B3391="",F3391=""),"",IFERROR(F3391*INDEX(Mitarbeiter!$F$6:$F$205,MATCH(B3391,Mitarbeiter!$A$6:$A$205,0)),0))</f>
        <v/>
      </c>
      <c r="H3391" s="8">
        <f>IF(B3391="","",IF(ISNA(MATCH(B3391,Mitarbeiter!$A$6:$A$205,0)),"Pers.-Nr. unbekannt",IF(A3391="","Datum fehlt",IF(AND(D3391&lt;&gt;Einstellungen!$C$4,D3391&lt;&gt;Einstellungen!$C$5),"Objekt fehlt",IF(YEAR(A3391)&lt;&gt;Einstellungen!$C$3,"anderes Jahr",IF(A3391&lt;INDEX(Mitarbeiter!$C$6:$C$205,MATCH(B3391,Mitarbeiter!$A$6:$A$205,0)),"vor Eintritt",IF(AND(INDEX(Mitarbeiter!$D$6:$D$205,MATCH(B3391,Mitarbeiter!$A$6:$A$205,0))&lt;&gt;"",A3391&gt;INDEX(Mitarbeiter!$D$6:$D$205,MATCH(B3391,Mitarbeiter!$A$6:$A$205,0))),"nach Austritt","ok")))))))</f>
        <v/>
      </c>
    </row>
    <row r="3392">
      <c r="A3392" s="26" t="n"/>
      <c r="B3392" s="24" t="n"/>
      <c r="C3392" s="40">
        <f>IF(B3392="","",IFERROR(INDEX(Mitarbeiter!$B$6:$B$205,MATCH(B3392,Mitarbeiter!$A$6:$A$205,0)),"?"))</f>
        <v/>
      </c>
      <c r="D3392" s="41" t="n"/>
      <c r="E3392" s="42" t="n"/>
      <c r="F3392" s="43" t="n"/>
      <c r="G3392" s="44">
        <f>IF(OR(B3392="",F3392=""),"",IFERROR(F3392*INDEX(Mitarbeiter!$F$6:$F$205,MATCH(B3392,Mitarbeiter!$A$6:$A$205,0)),0))</f>
        <v/>
      </c>
      <c r="H3392" s="8">
        <f>IF(B3392="","",IF(ISNA(MATCH(B3392,Mitarbeiter!$A$6:$A$205,0)),"Pers.-Nr. unbekannt",IF(A3392="","Datum fehlt",IF(AND(D3392&lt;&gt;Einstellungen!$C$4,D3392&lt;&gt;Einstellungen!$C$5),"Objekt fehlt",IF(YEAR(A3392)&lt;&gt;Einstellungen!$C$3,"anderes Jahr",IF(A3392&lt;INDEX(Mitarbeiter!$C$6:$C$205,MATCH(B3392,Mitarbeiter!$A$6:$A$205,0)),"vor Eintritt",IF(AND(INDEX(Mitarbeiter!$D$6:$D$205,MATCH(B3392,Mitarbeiter!$A$6:$A$205,0))&lt;&gt;"",A3392&gt;INDEX(Mitarbeiter!$D$6:$D$205,MATCH(B3392,Mitarbeiter!$A$6:$A$205,0))),"nach Austritt","ok")))))))</f>
        <v/>
      </c>
    </row>
    <row r="3393">
      <c r="A3393" s="26" t="n"/>
      <c r="B3393" s="24" t="n"/>
      <c r="C3393" s="40">
        <f>IF(B3393="","",IFERROR(INDEX(Mitarbeiter!$B$6:$B$205,MATCH(B3393,Mitarbeiter!$A$6:$A$205,0)),"?"))</f>
        <v/>
      </c>
      <c r="D3393" s="41" t="n"/>
      <c r="E3393" s="42" t="n"/>
      <c r="F3393" s="43" t="n"/>
      <c r="G3393" s="44">
        <f>IF(OR(B3393="",F3393=""),"",IFERROR(F3393*INDEX(Mitarbeiter!$F$6:$F$205,MATCH(B3393,Mitarbeiter!$A$6:$A$205,0)),0))</f>
        <v/>
      </c>
      <c r="H3393" s="8">
        <f>IF(B3393="","",IF(ISNA(MATCH(B3393,Mitarbeiter!$A$6:$A$205,0)),"Pers.-Nr. unbekannt",IF(A3393="","Datum fehlt",IF(AND(D3393&lt;&gt;Einstellungen!$C$4,D3393&lt;&gt;Einstellungen!$C$5),"Objekt fehlt",IF(YEAR(A3393)&lt;&gt;Einstellungen!$C$3,"anderes Jahr",IF(A3393&lt;INDEX(Mitarbeiter!$C$6:$C$205,MATCH(B3393,Mitarbeiter!$A$6:$A$205,0)),"vor Eintritt",IF(AND(INDEX(Mitarbeiter!$D$6:$D$205,MATCH(B3393,Mitarbeiter!$A$6:$A$205,0))&lt;&gt;"",A3393&gt;INDEX(Mitarbeiter!$D$6:$D$205,MATCH(B3393,Mitarbeiter!$A$6:$A$205,0))),"nach Austritt","ok")))))))</f>
        <v/>
      </c>
    </row>
    <row r="3394">
      <c r="A3394" s="26" t="n"/>
      <c r="B3394" s="24" t="n"/>
      <c r="C3394" s="40">
        <f>IF(B3394="","",IFERROR(INDEX(Mitarbeiter!$B$6:$B$205,MATCH(B3394,Mitarbeiter!$A$6:$A$205,0)),"?"))</f>
        <v/>
      </c>
      <c r="D3394" s="41" t="n"/>
      <c r="E3394" s="42" t="n"/>
      <c r="F3394" s="43" t="n"/>
      <c r="G3394" s="44">
        <f>IF(OR(B3394="",F3394=""),"",IFERROR(F3394*INDEX(Mitarbeiter!$F$6:$F$205,MATCH(B3394,Mitarbeiter!$A$6:$A$205,0)),0))</f>
        <v/>
      </c>
      <c r="H3394" s="8">
        <f>IF(B3394="","",IF(ISNA(MATCH(B3394,Mitarbeiter!$A$6:$A$205,0)),"Pers.-Nr. unbekannt",IF(A3394="","Datum fehlt",IF(AND(D3394&lt;&gt;Einstellungen!$C$4,D3394&lt;&gt;Einstellungen!$C$5),"Objekt fehlt",IF(YEAR(A3394)&lt;&gt;Einstellungen!$C$3,"anderes Jahr",IF(A3394&lt;INDEX(Mitarbeiter!$C$6:$C$205,MATCH(B3394,Mitarbeiter!$A$6:$A$205,0)),"vor Eintritt",IF(AND(INDEX(Mitarbeiter!$D$6:$D$205,MATCH(B3394,Mitarbeiter!$A$6:$A$205,0))&lt;&gt;"",A3394&gt;INDEX(Mitarbeiter!$D$6:$D$205,MATCH(B3394,Mitarbeiter!$A$6:$A$205,0))),"nach Austritt","ok")))))))</f>
        <v/>
      </c>
    </row>
    <row r="3395">
      <c r="A3395" s="26" t="n"/>
      <c r="B3395" s="24" t="n"/>
      <c r="C3395" s="40">
        <f>IF(B3395="","",IFERROR(INDEX(Mitarbeiter!$B$6:$B$205,MATCH(B3395,Mitarbeiter!$A$6:$A$205,0)),"?"))</f>
        <v/>
      </c>
      <c r="D3395" s="41" t="n"/>
      <c r="E3395" s="42" t="n"/>
      <c r="F3395" s="43" t="n"/>
      <c r="G3395" s="44">
        <f>IF(OR(B3395="",F3395=""),"",IFERROR(F3395*INDEX(Mitarbeiter!$F$6:$F$205,MATCH(B3395,Mitarbeiter!$A$6:$A$205,0)),0))</f>
        <v/>
      </c>
      <c r="H3395" s="8">
        <f>IF(B3395="","",IF(ISNA(MATCH(B3395,Mitarbeiter!$A$6:$A$205,0)),"Pers.-Nr. unbekannt",IF(A3395="","Datum fehlt",IF(AND(D3395&lt;&gt;Einstellungen!$C$4,D3395&lt;&gt;Einstellungen!$C$5),"Objekt fehlt",IF(YEAR(A3395)&lt;&gt;Einstellungen!$C$3,"anderes Jahr",IF(A3395&lt;INDEX(Mitarbeiter!$C$6:$C$205,MATCH(B3395,Mitarbeiter!$A$6:$A$205,0)),"vor Eintritt",IF(AND(INDEX(Mitarbeiter!$D$6:$D$205,MATCH(B3395,Mitarbeiter!$A$6:$A$205,0))&lt;&gt;"",A3395&gt;INDEX(Mitarbeiter!$D$6:$D$205,MATCH(B3395,Mitarbeiter!$A$6:$A$205,0))),"nach Austritt","ok")))))))</f>
        <v/>
      </c>
    </row>
    <row r="3396">
      <c r="A3396" s="26" t="n"/>
      <c r="B3396" s="24" t="n"/>
      <c r="C3396" s="40">
        <f>IF(B3396="","",IFERROR(INDEX(Mitarbeiter!$B$6:$B$205,MATCH(B3396,Mitarbeiter!$A$6:$A$205,0)),"?"))</f>
        <v/>
      </c>
      <c r="D3396" s="41" t="n"/>
      <c r="E3396" s="42" t="n"/>
      <c r="F3396" s="43" t="n"/>
      <c r="G3396" s="44">
        <f>IF(OR(B3396="",F3396=""),"",IFERROR(F3396*INDEX(Mitarbeiter!$F$6:$F$205,MATCH(B3396,Mitarbeiter!$A$6:$A$205,0)),0))</f>
        <v/>
      </c>
      <c r="H3396" s="8">
        <f>IF(B3396="","",IF(ISNA(MATCH(B3396,Mitarbeiter!$A$6:$A$205,0)),"Pers.-Nr. unbekannt",IF(A3396="","Datum fehlt",IF(AND(D3396&lt;&gt;Einstellungen!$C$4,D3396&lt;&gt;Einstellungen!$C$5),"Objekt fehlt",IF(YEAR(A3396)&lt;&gt;Einstellungen!$C$3,"anderes Jahr",IF(A3396&lt;INDEX(Mitarbeiter!$C$6:$C$205,MATCH(B3396,Mitarbeiter!$A$6:$A$205,0)),"vor Eintritt",IF(AND(INDEX(Mitarbeiter!$D$6:$D$205,MATCH(B3396,Mitarbeiter!$A$6:$A$205,0))&lt;&gt;"",A3396&gt;INDEX(Mitarbeiter!$D$6:$D$205,MATCH(B3396,Mitarbeiter!$A$6:$A$205,0))),"nach Austritt","ok")))))))</f>
        <v/>
      </c>
    </row>
    <row r="3397">
      <c r="A3397" s="26" t="n"/>
      <c r="B3397" s="24" t="n"/>
      <c r="C3397" s="40">
        <f>IF(B3397="","",IFERROR(INDEX(Mitarbeiter!$B$6:$B$205,MATCH(B3397,Mitarbeiter!$A$6:$A$205,0)),"?"))</f>
        <v/>
      </c>
      <c r="D3397" s="41" t="n"/>
      <c r="E3397" s="42" t="n"/>
      <c r="F3397" s="43" t="n"/>
      <c r="G3397" s="44">
        <f>IF(OR(B3397="",F3397=""),"",IFERROR(F3397*INDEX(Mitarbeiter!$F$6:$F$205,MATCH(B3397,Mitarbeiter!$A$6:$A$205,0)),0))</f>
        <v/>
      </c>
      <c r="H3397" s="8">
        <f>IF(B3397="","",IF(ISNA(MATCH(B3397,Mitarbeiter!$A$6:$A$205,0)),"Pers.-Nr. unbekannt",IF(A3397="","Datum fehlt",IF(AND(D3397&lt;&gt;Einstellungen!$C$4,D3397&lt;&gt;Einstellungen!$C$5),"Objekt fehlt",IF(YEAR(A3397)&lt;&gt;Einstellungen!$C$3,"anderes Jahr",IF(A3397&lt;INDEX(Mitarbeiter!$C$6:$C$205,MATCH(B3397,Mitarbeiter!$A$6:$A$205,0)),"vor Eintritt",IF(AND(INDEX(Mitarbeiter!$D$6:$D$205,MATCH(B3397,Mitarbeiter!$A$6:$A$205,0))&lt;&gt;"",A3397&gt;INDEX(Mitarbeiter!$D$6:$D$205,MATCH(B3397,Mitarbeiter!$A$6:$A$205,0))),"nach Austritt","ok")))))))</f>
        <v/>
      </c>
    </row>
    <row r="3398">
      <c r="A3398" s="26" t="n"/>
      <c r="B3398" s="24" t="n"/>
      <c r="C3398" s="40">
        <f>IF(B3398="","",IFERROR(INDEX(Mitarbeiter!$B$6:$B$205,MATCH(B3398,Mitarbeiter!$A$6:$A$205,0)),"?"))</f>
        <v/>
      </c>
      <c r="D3398" s="41" t="n"/>
      <c r="E3398" s="42" t="n"/>
      <c r="F3398" s="43" t="n"/>
      <c r="G3398" s="44">
        <f>IF(OR(B3398="",F3398=""),"",IFERROR(F3398*INDEX(Mitarbeiter!$F$6:$F$205,MATCH(B3398,Mitarbeiter!$A$6:$A$205,0)),0))</f>
        <v/>
      </c>
      <c r="H3398" s="8">
        <f>IF(B3398="","",IF(ISNA(MATCH(B3398,Mitarbeiter!$A$6:$A$205,0)),"Pers.-Nr. unbekannt",IF(A3398="","Datum fehlt",IF(AND(D3398&lt;&gt;Einstellungen!$C$4,D3398&lt;&gt;Einstellungen!$C$5),"Objekt fehlt",IF(YEAR(A3398)&lt;&gt;Einstellungen!$C$3,"anderes Jahr",IF(A3398&lt;INDEX(Mitarbeiter!$C$6:$C$205,MATCH(B3398,Mitarbeiter!$A$6:$A$205,0)),"vor Eintritt",IF(AND(INDEX(Mitarbeiter!$D$6:$D$205,MATCH(B3398,Mitarbeiter!$A$6:$A$205,0))&lt;&gt;"",A3398&gt;INDEX(Mitarbeiter!$D$6:$D$205,MATCH(B3398,Mitarbeiter!$A$6:$A$205,0))),"nach Austritt","ok")))))))</f>
        <v/>
      </c>
    </row>
    <row r="3399">
      <c r="A3399" s="26" t="n"/>
      <c r="B3399" s="24" t="n"/>
      <c r="C3399" s="40">
        <f>IF(B3399="","",IFERROR(INDEX(Mitarbeiter!$B$6:$B$205,MATCH(B3399,Mitarbeiter!$A$6:$A$205,0)),"?"))</f>
        <v/>
      </c>
      <c r="D3399" s="41" t="n"/>
      <c r="E3399" s="42" t="n"/>
      <c r="F3399" s="43" t="n"/>
      <c r="G3399" s="44">
        <f>IF(OR(B3399="",F3399=""),"",IFERROR(F3399*INDEX(Mitarbeiter!$F$6:$F$205,MATCH(B3399,Mitarbeiter!$A$6:$A$205,0)),0))</f>
        <v/>
      </c>
      <c r="H3399" s="8">
        <f>IF(B3399="","",IF(ISNA(MATCH(B3399,Mitarbeiter!$A$6:$A$205,0)),"Pers.-Nr. unbekannt",IF(A3399="","Datum fehlt",IF(AND(D3399&lt;&gt;Einstellungen!$C$4,D3399&lt;&gt;Einstellungen!$C$5),"Objekt fehlt",IF(YEAR(A3399)&lt;&gt;Einstellungen!$C$3,"anderes Jahr",IF(A3399&lt;INDEX(Mitarbeiter!$C$6:$C$205,MATCH(B3399,Mitarbeiter!$A$6:$A$205,0)),"vor Eintritt",IF(AND(INDEX(Mitarbeiter!$D$6:$D$205,MATCH(B3399,Mitarbeiter!$A$6:$A$205,0))&lt;&gt;"",A3399&gt;INDEX(Mitarbeiter!$D$6:$D$205,MATCH(B3399,Mitarbeiter!$A$6:$A$205,0))),"nach Austritt","ok")))))))</f>
        <v/>
      </c>
    </row>
    <row r="3400">
      <c r="A3400" s="26" t="n"/>
      <c r="B3400" s="24" t="n"/>
      <c r="C3400" s="40">
        <f>IF(B3400="","",IFERROR(INDEX(Mitarbeiter!$B$6:$B$205,MATCH(B3400,Mitarbeiter!$A$6:$A$205,0)),"?"))</f>
        <v/>
      </c>
      <c r="D3400" s="41" t="n"/>
      <c r="E3400" s="42" t="n"/>
      <c r="F3400" s="43" t="n"/>
      <c r="G3400" s="44">
        <f>IF(OR(B3400="",F3400=""),"",IFERROR(F3400*INDEX(Mitarbeiter!$F$6:$F$205,MATCH(B3400,Mitarbeiter!$A$6:$A$205,0)),0))</f>
        <v/>
      </c>
      <c r="H3400" s="8">
        <f>IF(B3400="","",IF(ISNA(MATCH(B3400,Mitarbeiter!$A$6:$A$205,0)),"Pers.-Nr. unbekannt",IF(A3400="","Datum fehlt",IF(AND(D3400&lt;&gt;Einstellungen!$C$4,D3400&lt;&gt;Einstellungen!$C$5),"Objekt fehlt",IF(YEAR(A3400)&lt;&gt;Einstellungen!$C$3,"anderes Jahr",IF(A3400&lt;INDEX(Mitarbeiter!$C$6:$C$205,MATCH(B3400,Mitarbeiter!$A$6:$A$205,0)),"vor Eintritt",IF(AND(INDEX(Mitarbeiter!$D$6:$D$205,MATCH(B3400,Mitarbeiter!$A$6:$A$205,0))&lt;&gt;"",A3400&gt;INDEX(Mitarbeiter!$D$6:$D$205,MATCH(B3400,Mitarbeiter!$A$6:$A$205,0))),"nach Austritt","ok")))))))</f>
        <v/>
      </c>
    </row>
    <row r="3401">
      <c r="A3401" s="26" t="n"/>
      <c r="B3401" s="24" t="n"/>
      <c r="C3401" s="40">
        <f>IF(B3401="","",IFERROR(INDEX(Mitarbeiter!$B$6:$B$205,MATCH(B3401,Mitarbeiter!$A$6:$A$205,0)),"?"))</f>
        <v/>
      </c>
      <c r="D3401" s="41" t="n"/>
      <c r="E3401" s="42" t="n"/>
      <c r="F3401" s="43" t="n"/>
      <c r="G3401" s="44">
        <f>IF(OR(B3401="",F3401=""),"",IFERROR(F3401*INDEX(Mitarbeiter!$F$6:$F$205,MATCH(B3401,Mitarbeiter!$A$6:$A$205,0)),0))</f>
        <v/>
      </c>
      <c r="H3401" s="8">
        <f>IF(B3401="","",IF(ISNA(MATCH(B3401,Mitarbeiter!$A$6:$A$205,0)),"Pers.-Nr. unbekannt",IF(A3401="","Datum fehlt",IF(AND(D3401&lt;&gt;Einstellungen!$C$4,D3401&lt;&gt;Einstellungen!$C$5),"Objekt fehlt",IF(YEAR(A3401)&lt;&gt;Einstellungen!$C$3,"anderes Jahr",IF(A3401&lt;INDEX(Mitarbeiter!$C$6:$C$205,MATCH(B3401,Mitarbeiter!$A$6:$A$205,0)),"vor Eintritt",IF(AND(INDEX(Mitarbeiter!$D$6:$D$205,MATCH(B3401,Mitarbeiter!$A$6:$A$205,0))&lt;&gt;"",A3401&gt;INDEX(Mitarbeiter!$D$6:$D$205,MATCH(B3401,Mitarbeiter!$A$6:$A$205,0))),"nach Austritt","ok")))))))</f>
        <v/>
      </c>
    </row>
    <row r="3402">
      <c r="A3402" s="26" t="n"/>
      <c r="B3402" s="24" t="n"/>
      <c r="C3402" s="40">
        <f>IF(B3402="","",IFERROR(INDEX(Mitarbeiter!$B$6:$B$205,MATCH(B3402,Mitarbeiter!$A$6:$A$205,0)),"?"))</f>
        <v/>
      </c>
      <c r="D3402" s="41" t="n"/>
      <c r="E3402" s="42" t="n"/>
      <c r="F3402" s="43" t="n"/>
      <c r="G3402" s="44">
        <f>IF(OR(B3402="",F3402=""),"",IFERROR(F3402*INDEX(Mitarbeiter!$F$6:$F$205,MATCH(B3402,Mitarbeiter!$A$6:$A$205,0)),0))</f>
        <v/>
      </c>
      <c r="H3402" s="8">
        <f>IF(B3402="","",IF(ISNA(MATCH(B3402,Mitarbeiter!$A$6:$A$205,0)),"Pers.-Nr. unbekannt",IF(A3402="","Datum fehlt",IF(AND(D3402&lt;&gt;Einstellungen!$C$4,D3402&lt;&gt;Einstellungen!$C$5),"Objekt fehlt",IF(YEAR(A3402)&lt;&gt;Einstellungen!$C$3,"anderes Jahr",IF(A3402&lt;INDEX(Mitarbeiter!$C$6:$C$205,MATCH(B3402,Mitarbeiter!$A$6:$A$205,0)),"vor Eintritt",IF(AND(INDEX(Mitarbeiter!$D$6:$D$205,MATCH(B3402,Mitarbeiter!$A$6:$A$205,0))&lt;&gt;"",A3402&gt;INDEX(Mitarbeiter!$D$6:$D$205,MATCH(B3402,Mitarbeiter!$A$6:$A$205,0))),"nach Austritt","ok")))))))</f>
        <v/>
      </c>
    </row>
    <row r="3403">
      <c r="A3403" s="26" t="n"/>
      <c r="B3403" s="24" t="n"/>
      <c r="C3403" s="40">
        <f>IF(B3403="","",IFERROR(INDEX(Mitarbeiter!$B$6:$B$205,MATCH(B3403,Mitarbeiter!$A$6:$A$205,0)),"?"))</f>
        <v/>
      </c>
      <c r="D3403" s="41" t="n"/>
      <c r="E3403" s="42" t="n"/>
      <c r="F3403" s="43" t="n"/>
      <c r="G3403" s="44">
        <f>IF(OR(B3403="",F3403=""),"",IFERROR(F3403*INDEX(Mitarbeiter!$F$6:$F$205,MATCH(B3403,Mitarbeiter!$A$6:$A$205,0)),0))</f>
        <v/>
      </c>
      <c r="H3403" s="8">
        <f>IF(B3403="","",IF(ISNA(MATCH(B3403,Mitarbeiter!$A$6:$A$205,0)),"Pers.-Nr. unbekannt",IF(A3403="","Datum fehlt",IF(AND(D3403&lt;&gt;Einstellungen!$C$4,D3403&lt;&gt;Einstellungen!$C$5),"Objekt fehlt",IF(YEAR(A3403)&lt;&gt;Einstellungen!$C$3,"anderes Jahr",IF(A3403&lt;INDEX(Mitarbeiter!$C$6:$C$205,MATCH(B3403,Mitarbeiter!$A$6:$A$205,0)),"vor Eintritt",IF(AND(INDEX(Mitarbeiter!$D$6:$D$205,MATCH(B3403,Mitarbeiter!$A$6:$A$205,0))&lt;&gt;"",A3403&gt;INDEX(Mitarbeiter!$D$6:$D$205,MATCH(B3403,Mitarbeiter!$A$6:$A$205,0))),"nach Austritt","ok")))))))</f>
        <v/>
      </c>
    </row>
    <row r="3404">
      <c r="A3404" s="26" t="n"/>
      <c r="B3404" s="24" t="n"/>
      <c r="C3404" s="40">
        <f>IF(B3404="","",IFERROR(INDEX(Mitarbeiter!$B$6:$B$205,MATCH(B3404,Mitarbeiter!$A$6:$A$205,0)),"?"))</f>
        <v/>
      </c>
      <c r="D3404" s="41" t="n"/>
      <c r="E3404" s="42" t="n"/>
      <c r="F3404" s="43" t="n"/>
      <c r="G3404" s="44">
        <f>IF(OR(B3404="",F3404=""),"",IFERROR(F3404*INDEX(Mitarbeiter!$F$6:$F$205,MATCH(B3404,Mitarbeiter!$A$6:$A$205,0)),0))</f>
        <v/>
      </c>
      <c r="H3404" s="8">
        <f>IF(B3404="","",IF(ISNA(MATCH(B3404,Mitarbeiter!$A$6:$A$205,0)),"Pers.-Nr. unbekannt",IF(A3404="","Datum fehlt",IF(AND(D3404&lt;&gt;Einstellungen!$C$4,D3404&lt;&gt;Einstellungen!$C$5),"Objekt fehlt",IF(YEAR(A3404)&lt;&gt;Einstellungen!$C$3,"anderes Jahr",IF(A3404&lt;INDEX(Mitarbeiter!$C$6:$C$205,MATCH(B3404,Mitarbeiter!$A$6:$A$205,0)),"vor Eintritt",IF(AND(INDEX(Mitarbeiter!$D$6:$D$205,MATCH(B3404,Mitarbeiter!$A$6:$A$205,0))&lt;&gt;"",A3404&gt;INDEX(Mitarbeiter!$D$6:$D$205,MATCH(B3404,Mitarbeiter!$A$6:$A$205,0))),"nach Austritt","ok")))))))</f>
        <v/>
      </c>
    </row>
    <row r="3405">
      <c r="A3405" s="26" t="n"/>
      <c r="B3405" s="24" t="n"/>
      <c r="C3405" s="40">
        <f>IF(B3405="","",IFERROR(INDEX(Mitarbeiter!$B$6:$B$205,MATCH(B3405,Mitarbeiter!$A$6:$A$205,0)),"?"))</f>
        <v/>
      </c>
      <c r="D3405" s="41" t="n"/>
      <c r="E3405" s="42" t="n"/>
      <c r="F3405" s="43" t="n"/>
      <c r="G3405" s="44">
        <f>IF(OR(B3405="",F3405=""),"",IFERROR(F3405*INDEX(Mitarbeiter!$F$6:$F$205,MATCH(B3405,Mitarbeiter!$A$6:$A$205,0)),0))</f>
        <v/>
      </c>
      <c r="H3405" s="8">
        <f>IF(B3405="","",IF(ISNA(MATCH(B3405,Mitarbeiter!$A$6:$A$205,0)),"Pers.-Nr. unbekannt",IF(A3405="","Datum fehlt",IF(AND(D3405&lt;&gt;Einstellungen!$C$4,D3405&lt;&gt;Einstellungen!$C$5),"Objekt fehlt",IF(YEAR(A3405)&lt;&gt;Einstellungen!$C$3,"anderes Jahr",IF(A3405&lt;INDEX(Mitarbeiter!$C$6:$C$205,MATCH(B3405,Mitarbeiter!$A$6:$A$205,0)),"vor Eintritt",IF(AND(INDEX(Mitarbeiter!$D$6:$D$205,MATCH(B3405,Mitarbeiter!$A$6:$A$205,0))&lt;&gt;"",A3405&gt;INDEX(Mitarbeiter!$D$6:$D$205,MATCH(B3405,Mitarbeiter!$A$6:$A$205,0))),"nach Austritt","ok")))))))</f>
        <v/>
      </c>
    </row>
    <row r="3406">
      <c r="A3406" s="26" t="n"/>
      <c r="B3406" s="24" t="n"/>
      <c r="C3406" s="40">
        <f>IF(B3406="","",IFERROR(INDEX(Mitarbeiter!$B$6:$B$205,MATCH(B3406,Mitarbeiter!$A$6:$A$205,0)),"?"))</f>
        <v/>
      </c>
      <c r="D3406" s="41" t="n"/>
      <c r="E3406" s="42" t="n"/>
      <c r="F3406" s="43" t="n"/>
      <c r="G3406" s="44">
        <f>IF(OR(B3406="",F3406=""),"",IFERROR(F3406*INDEX(Mitarbeiter!$F$6:$F$205,MATCH(B3406,Mitarbeiter!$A$6:$A$205,0)),0))</f>
        <v/>
      </c>
      <c r="H3406" s="8">
        <f>IF(B3406="","",IF(ISNA(MATCH(B3406,Mitarbeiter!$A$6:$A$205,0)),"Pers.-Nr. unbekannt",IF(A3406="","Datum fehlt",IF(AND(D3406&lt;&gt;Einstellungen!$C$4,D3406&lt;&gt;Einstellungen!$C$5),"Objekt fehlt",IF(YEAR(A3406)&lt;&gt;Einstellungen!$C$3,"anderes Jahr",IF(A3406&lt;INDEX(Mitarbeiter!$C$6:$C$205,MATCH(B3406,Mitarbeiter!$A$6:$A$205,0)),"vor Eintritt",IF(AND(INDEX(Mitarbeiter!$D$6:$D$205,MATCH(B3406,Mitarbeiter!$A$6:$A$205,0))&lt;&gt;"",A3406&gt;INDEX(Mitarbeiter!$D$6:$D$205,MATCH(B3406,Mitarbeiter!$A$6:$A$205,0))),"nach Austritt","ok")))))))</f>
        <v/>
      </c>
    </row>
    <row r="3407">
      <c r="A3407" s="26" t="n"/>
      <c r="B3407" s="24" t="n"/>
      <c r="C3407" s="40">
        <f>IF(B3407="","",IFERROR(INDEX(Mitarbeiter!$B$6:$B$205,MATCH(B3407,Mitarbeiter!$A$6:$A$205,0)),"?"))</f>
        <v/>
      </c>
      <c r="D3407" s="41" t="n"/>
      <c r="E3407" s="42" t="n"/>
      <c r="F3407" s="43" t="n"/>
      <c r="G3407" s="44">
        <f>IF(OR(B3407="",F3407=""),"",IFERROR(F3407*INDEX(Mitarbeiter!$F$6:$F$205,MATCH(B3407,Mitarbeiter!$A$6:$A$205,0)),0))</f>
        <v/>
      </c>
      <c r="H3407" s="8">
        <f>IF(B3407="","",IF(ISNA(MATCH(B3407,Mitarbeiter!$A$6:$A$205,0)),"Pers.-Nr. unbekannt",IF(A3407="","Datum fehlt",IF(AND(D3407&lt;&gt;Einstellungen!$C$4,D3407&lt;&gt;Einstellungen!$C$5),"Objekt fehlt",IF(YEAR(A3407)&lt;&gt;Einstellungen!$C$3,"anderes Jahr",IF(A3407&lt;INDEX(Mitarbeiter!$C$6:$C$205,MATCH(B3407,Mitarbeiter!$A$6:$A$205,0)),"vor Eintritt",IF(AND(INDEX(Mitarbeiter!$D$6:$D$205,MATCH(B3407,Mitarbeiter!$A$6:$A$205,0))&lt;&gt;"",A3407&gt;INDEX(Mitarbeiter!$D$6:$D$205,MATCH(B3407,Mitarbeiter!$A$6:$A$205,0))),"nach Austritt","ok")))))))</f>
        <v/>
      </c>
    </row>
    <row r="3408">
      <c r="A3408" s="26" t="n"/>
      <c r="B3408" s="24" t="n"/>
      <c r="C3408" s="40">
        <f>IF(B3408="","",IFERROR(INDEX(Mitarbeiter!$B$6:$B$205,MATCH(B3408,Mitarbeiter!$A$6:$A$205,0)),"?"))</f>
        <v/>
      </c>
      <c r="D3408" s="41" t="n"/>
      <c r="E3408" s="42" t="n"/>
      <c r="F3408" s="43" t="n"/>
      <c r="G3408" s="44">
        <f>IF(OR(B3408="",F3408=""),"",IFERROR(F3408*INDEX(Mitarbeiter!$F$6:$F$205,MATCH(B3408,Mitarbeiter!$A$6:$A$205,0)),0))</f>
        <v/>
      </c>
      <c r="H3408" s="8">
        <f>IF(B3408="","",IF(ISNA(MATCH(B3408,Mitarbeiter!$A$6:$A$205,0)),"Pers.-Nr. unbekannt",IF(A3408="","Datum fehlt",IF(AND(D3408&lt;&gt;Einstellungen!$C$4,D3408&lt;&gt;Einstellungen!$C$5),"Objekt fehlt",IF(YEAR(A3408)&lt;&gt;Einstellungen!$C$3,"anderes Jahr",IF(A3408&lt;INDEX(Mitarbeiter!$C$6:$C$205,MATCH(B3408,Mitarbeiter!$A$6:$A$205,0)),"vor Eintritt",IF(AND(INDEX(Mitarbeiter!$D$6:$D$205,MATCH(B3408,Mitarbeiter!$A$6:$A$205,0))&lt;&gt;"",A3408&gt;INDEX(Mitarbeiter!$D$6:$D$205,MATCH(B3408,Mitarbeiter!$A$6:$A$205,0))),"nach Austritt","ok")))))))</f>
        <v/>
      </c>
    </row>
    <row r="3409">
      <c r="A3409" s="26" t="n"/>
      <c r="B3409" s="24" t="n"/>
      <c r="C3409" s="40">
        <f>IF(B3409="","",IFERROR(INDEX(Mitarbeiter!$B$6:$B$205,MATCH(B3409,Mitarbeiter!$A$6:$A$205,0)),"?"))</f>
        <v/>
      </c>
      <c r="D3409" s="41" t="n"/>
      <c r="E3409" s="42" t="n"/>
      <c r="F3409" s="43" t="n"/>
      <c r="G3409" s="44">
        <f>IF(OR(B3409="",F3409=""),"",IFERROR(F3409*INDEX(Mitarbeiter!$F$6:$F$205,MATCH(B3409,Mitarbeiter!$A$6:$A$205,0)),0))</f>
        <v/>
      </c>
      <c r="H3409" s="8">
        <f>IF(B3409="","",IF(ISNA(MATCH(B3409,Mitarbeiter!$A$6:$A$205,0)),"Pers.-Nr. unbekannt",IF(A3409="","Datum fehlt",IF(AND(D3409&lt;&gt;Einstellungen!$C$4,D3409&lt;&gt;Einstellungen!$C$5),"Objekt fehlt",IF(YEAR(A3409)&lt;&gt;Einstellungen!$C$3,"anderes Jahr",IF(A3409&lt;INDEX(Mitarbeiter!$C$6:$C$205,MATCH(B3409,Mitarbeiter!$A$6:$A$205,0)),"vor Eintritt",IF(AND(INDEX(Mitarbeiter!$D$6:$D$205,MATCH(B3409,Mitarbeiter!$A$6:$A$205,0))&lt;&gt;"",A3409&gt;INDEX(Mitarbeiter!$D$6:$D$205,MATCH(B3409,Mitarbeiter!$A$6:$A$205,0))),"nach Austritt","ok")))))))</f>
        <v/>
      </c>
    </row>
    <row r="3410">
      <c r="A3410" s="26" t="n"/>
      <c r="B3410" s="24" t="n"/>
      <c r="C3410" s="40">
        <f>IF(B3410="","",IFERROR(INDEX(Mitarbeiter!$B$6:$B$205,MATCH(B3410,Mitarbeiter!$A$6:$A$205,0)),"?"))</f>
        <v/>
      </c>
      <c r="D3410" s="41" t="n"/>
      <c r="E3410" s="42" t="n"/>
      <c r="F3410" s="43" t="n"/>
      <c r="G3410" s="44">
        <f>IF(OR(B3410="",F3410=""),"",IFERROR(F3410*INDEX(Mitarbeiter!$F$6:$F$205,MATCH(B3410,Mitarbeiter!$A$6:$A$205,0)),0))</f>
        <v/>
      </c>
      <c r="H3410" s="8">
        <f>IF(B3410="","",IF(ISNA(MATCH(B3410,Mitarbeiter!$A$6:$A$205,0)),"Pers.-Nr. unbekannt",IF(A3410="","Datum fehlt",IF(AND(D3410&lt;&gt;Einstellungen!$C$4,D3410&lt;&gt;Einstellungen!$C$5),"Objekt fehlt",IF(YEAR(A3410)&lt;&gt;Einstellungen!$C$3,"anderes Jahr",IF(A3410&lt;INDEX(Mitarbeiter!$C$6:$C$205,MATCH(B3410,Mitarbeiter!$A$6:$A$205,0)),"vor Eintritt",IF(AND(INDEX(Mitarbeiter!$D$6:$D$205,MATCH(B3410,Mitarbeiter!$A$6:$A$205,0))&lt;&gt;"",A3410&gt;INDEX(Mitarbeiter!$D$6:$D$205,MATCH(B3410,Mitarbeiter!$A$6:$A$205,0))),"nach Austritt","ok")))))))</f>
        <v/>
      </c>
    </row>
    <row r="3411">
      <c r="A3411" s="26" t="n"/>
      <c r="B3411" s="24" t="n"/>
      <c r="C3411" s="40">
        <f>IF(B3411="","",IFERROR(INDEX(Mitarbeiter!$B$6:$B$205,MATCH(B3411,Mitarbeiter!$A$6:$A$205,0)),"?"))</f>
        <v/>
      </c>
      <c r="D3411" s="41" t="n"/>
      <c r="E3411" s="42" t="n"/>
      <c r="F3411" s="43" t="n"/>
      <c r="G3411" s="44">
        <f>IF(OR(B3411="",F3411=""),"",IFERROR(F3411*INDEX(Mitarbeiter!$F$6:$F$205,MATCH(B3411,Mitarbeiter!$A$6:$A$205,0)),0))</f>
        <v/>
      </c>
      <c r="H3411" s="8">
        <f>IF(B3411="","",IF(ISNA(MATCH(B3411,Mitarbeiter!$A$6:$A$205,0)),"Pers.-Nr. unbekannt",IF(A3411="","Datum fehlt",IF(AND(D3411&lt;&gt;Einstellungen!$C$4,D3411&lt;&gt;Einstellungen!$C$5),"Objekt fehlt",IF(YEAR(A3411)&lt;&gt;Einstellungen!$C$3,"anderes Jahr",IF(A3411&lt;INDEX(Mitarbeiter!$C$6:$C$205,MATCH(B3411,Mitarbeiter!$A$6:$A$205,0)),"vor Eintritt",IF(AND(INDEX(Mitarbeiter!$D$6:$D$205,MATCH(B3411,Mitarbeiter!$A$6:$A$205,0))&lt;&gt;"",A3411&gt;INDEX(Mitarbeiter!$D$6:$D$205,MATCH(B3411,Mitarbeiter!$A$6:$A$205,0))),"nach Austritt","ok")))))))</f>
        <v/>
      </c>
    </row>
    <row r="3412">
      <c r="A3412" s="26" t="n"/>
      <c r="B3412" s="24" t="n"/>
      <c r="C3412" s="40">
        <f>IF(B3412="","",IFERROR(INDEX(Mitarbeiter!$B$6:$B$205,MATCH(B3412,Mitarbeiter!$A$6:$A$205,0)),"?"))</f>
        <v/>
      </c>
      <c r="D3412" s="41" t="n"/>
      <c r="E3412" s="42" t="n"/>
      <c r="F3412" s="43" t="n"/>
      <c r="G3412" s="44">
        <f>IF(OR(B3412="",F3412=""),"",IFERROR(F3412*INDEX(Mitarbeiter!$F$6:$F$205,MATCH(B3412,Mitarbeiter!$A$6:$A$205,0)),0))</f>
        <v/>
      </c>
      <c r="H3412" s="8">
        <f>IF(B3412="","",IF(ISNA(MATCH(B3412,Mitarbeiter!$A$6:$A$205,0)),"Pers.-Nr. unbekannt",IF(A3412="","Datum fehlt",IF(AND(D3412&lt;&gt;Einstellungen!$C$4,D3412&lt;&gt;Einstellungen!$C$5),"Objekt fehlt",IF(YEAR(A3412)&lt;&gt;Einstellungen!$C$3,"anderes Jahr",IF(A3412&lt;INDEX(Mitarbeiter!$C$6:$C$205,MATCH(B3412,Mitarbeiter!$A$6:$A$205,0)),"vor Eintritt",IF(AND(INDEX(Mitarbeiter!$D$6:$D$205,MATCH(B3412,Mitarbeiter!$A$6:$A$205,0))&lt;&gt;"",A3412&gt;INDEX(Mitarbeiter!$D$6:$D$205,MATCH(B3412,Mitarbeiter!$A$6:$A$205,0))),"nach Austritt","ok")))))))</f>
        <v/>
      </c>
    </row>
    <row r="3413">
      <c r="A3413" s="26" t="n"/>
      <c r="B3413" s="24" t="n"/>
      <c r="C3413" s="40">
        <f>IF(B3413="","",IFERROR(INDEX(Mitarbeiter!$B$6:$B$205,MATCH(B3413,Mitarbeiter!$A$6:$A$205,0)),"?"))</f>
        <v/>
      </c>
      <c r="D3413" s="41" t="n"/>
      <c r="E3413" s="42" t="n"/>
      <c r="F3413" s="43" t="n"/>
      <c r="G3413" s="44">
        <f>IF(OR(B3413="",F3413=""),"",IFERROR(F3413*INDEX(Mitarbeiter!$F$6:$F$205,MATCH(B3413,Mitarbeiter!$A$6:$A$205,0)),0))</f>
        <v/>
      </c>
      <c r="H3413" s="8">
        <f>IF(B3413="","",IF(ISNA(MATCH(B3413,Mitarbeiter!$A$6:$A$205,0)),"Pers.-Nr. unbekannt",IF(A3413="","Datum fehlt",IF(AND(D3413&lt;&gt;Einstellungen!$C$4,D3413&lt;&gt;Einstellungen!$C$5),"Objekt fehlt",IF(YEAR(A3413)&lt;&gt;Einstellungen!$C$3,"anderes Jahr",IF(A3413&lt;INDEX(Mitarbeiter!$C$6:$C$205,MATCH(B3413,Mitarbeiter!$A$6:$A$205,0)),"vor Eintritt",IF(AND(INDEX(Mitarbeiter!$D$6:$D$205,MATCH(B3413,Mitarbeiter!$A$6:$A$205,0))&lt;&gt;"",A3413&gt;INDEX(Mitarbeiter!$D$6:$D$205,MATCH(B3413,Mitarbeiter!$A$6:$A$205,0))),"nach Austritt","ok")))))))</f>
        <v/>
      </c>
    </row>
    <row r="3414">
      <c r="A3414" s="26" t="n"/>
      <c r="B3414" s="24" t="n"/>
      <c r="C3414" s="40">
        <f>IF(B3414="","",IFERROR(INDEX(Mitarbeiter!$B$6:$B$205,MATCH(B3414,Mitarbeiter!$A$6:$A$205,0)),"?"))</f>
        <v/>
      </c>
      <c r="D3414" s="41" t="n"/>
      <c r="E3414" s="42" t="n"/>
      <c r="F3414" s="43" t="n"/>
      <c r="G3414" s="44">
        <f>IF(OR(B3414="",F3414=""),"",IFERROR(F3414*INDEX(Mitarbeiter!$F$6:$F$205,MATCH(B3414,Mitarbeiter!$A$6:$A$205,0)),0))</f>
        <v/>
      </c>
      <c r="H3414" s="8">
        <f>IF(B3414="","",IF(ISNA(MATCH(B3414,Mitarbeiter!$A$6:$A$205,0)),"Pers.-Nr. unbekannt",IF(A3414="","Datum fehlt",IF(AND(D3414&lt;&gt;Einstellungen!$C$4,D3414&lt;&gt;Einstellungen!$C$5),"Objekt fehlt",IF(YEAR(A3414)&lt;&gt;Einstellungen!$C$3,"anderes Jahr",IF(A3414&lt;INDEX(Mitarbeiter!$C$6:$C$205,MATCH(B3414,Mitarbeiter!$A$6:$A$205,0)),"vor Eintritt",IF(AND(INDEX(Mitarbeiter!$D$6:$D$205,MATCH(B3414,Mitarbeiter!$A$6:$A$205,0))&lt;&gt;"",A3414&gt;INDEX(Mitarbeiter!$D$6:$D$205,MATCH(B3414,Mitarbeiter!$A$6:$A$205,0))),"nach Austritt","ok")))))))</f>
        <v/>
      </c>
    </row>
    <row r="3415">
      <c r="A3415" s="26" t="n"/>
      <c r="B3415" s="24" t="n"/>
      <c r="C3415" s="40">
        <f>IF(B3415="","",IFERROR(INDEX(Mitarbeiter!$B$6:$B$205,MATCH(B3415,Mitarbeiter!$A$6:$A$205,0)),"?"))</f>
        <v/>
      </c>
      <c r="D3415" s="41" t="n"/>
      <c r="E3415" s="42" t="n"/>
      <c r="F3415" s="43" t="n"/>
      <c r="G3415" s="44">
        <f>IF(OR(B3415="",F3415=""),"",IFERROR(F3415*INDEX(Mitarbeiter!$F$6:$F$205,MATCH(B3415,Mitarbeiter!$A$6:$A$205,0)),0))</f>
        <v/>
      </c>
      <c r="H3415" s="8">
        <f>IF(B3415="","",IF(ISNA(MATCH(B3415,Mitarbeiter!$A$6:$A$205,0)),"Pers.-Nr. unbekannt",IF(A3415="","Datum fehlt",IF(AND(D3415&lt;&gt;Einstellungen!$C$4,D3415&lt;&gt;Einstellungen!$C$5),"Objekt fehlt",IF(YEAR(A3415)&lt;&gt;Einstellungen!$C$3,"anderes Jahr",IF(A3415&lt;INDEX(Mitarbeiter!$C$6:$C$205,MATCH(B3415,Mitarbeiter!$A$6:$A$205,0)),"vor Eintritt",IF(AND(INDEX(Mitarbeiter!$D$6:$D$205,MATCH(B3415,Mitarbeiter!$A$6:$A$205,0))&lt;&gt;"",A3415&gt;INDEX(Mitarbeiter!$D$6:$D$205,MATCH(B3415,Mitarbeiter!$A$6:$A$205,0))),"nach Austritt","ok")))))))</f>
        <v/>
      </c>
    </row>
    <row r="3416">
      <c r="A3416" s="26" t="n"/>
      <c r="B3416" s="24" t="n"/>
      <c r="C3416" s="40">
        <f>IF(B3416="","",IFERROR(INDEX(Mitarbeiter!$B$6:$B$205,MATCH(B3416,Mitarbeiter!$A$6:$A$205,0)),"?"))</f>
        <v/>
      </c>
      <c r="D3416" s="41" t="n"/>
      <c r="E3416" s="42" t="n"/>
      <c r="F3416" s="43" t="n"/>
      <c r="G3416" s="44">
        <f>IF(OR(B3416="",F3416=""),"",IFERROR(F3416*INDEX(Mitarbeiter!$F$6:$F$205,MATCH(B3416,Mitarbeiter!$A$6:$A$205,0)),0))</f>
        <v/>
      </c>
      <c r="H3416" s="8">
        <f>IF(B3416="","",IF(ISNA(MATCH(B3416,Mitarbeiter!$A$6:$A$205,0)),"Pers.-Nr. unbekannt",IF(A3416="","Datum fehlt",IF(AND(D3416&lt;&gt;Einstellungen!$C$4,D3416&lt;&gt;Einstellungen!$C$5),"Objekt fehlt",IF(YEAR(A3416)&lt;&gt;Einstellungen!$C$3,"anderes Jahr",IF(A3416&lt;INDEX(Mitarbeiter!$C$6:$C$205,MATCH(B3416,Mitarbeiter!$A$6:$A$205,0)),"vor Eintritt",IF(AND(INDEX(Mitarbeiter!$D$6:$D$205,MATCH(B3416,Mitarbeiter!$A$6:$A$205,0))&lt;&gt;"",A3416&gt;INDEX(Mitarbeiter!$D$6:$D$205,MATCH(B3416,Mitarbeiter!$A$6:$A$205,0))),"nach Austritt","ok")))))))</f>
        <v/>
      </c>
    </row>
    <row r="3417">
      <c r="A3417" s="26" t="n"/>
      <c r="B3417" s="24" t="n"/>
      <c r="C3417" s="40">
        <f>IF(B3417="","",IFERROR(INDEX(Mitarbeiter!$B$6:$B$205,MATCH(B3417,Mitarbeiter!$A$6:$A$205,0)),"?"))</f>
        <v/>
      </c>
      <c r="D3417" s="41" t="n"/>
      <c r="E3417" s="42" t="n"/>
      <c r="F3417" s="43" t="n"/>
      <c r="G3417" s="44">
        <f>IF(OR(B3417="",F3417=""),"",IFERROR(F3417*INDEX(Mitarbeiter!$F$6:$F$205,MATCH(B3417,Mitarbeiter!$A$6:$A$205,0)),0))</f>
        <v/>
      </c>
      <c r="H3417" s="8">
        <f>IF(B3417="","",IF(ISNA(MATCH(B3417,Mitarbeiter!$A$6:$A$205,0)),"Pers.-Nr. unbekannt",IF(A3417="","Datum fehlt",IF(AND(D3417&lt;&gt;Einstellungen!$C$4,D3417&lt;&gt;Einstellungen!$C$5),"Objekt fehlt",IF(YEAR(A3417)&lt;&gt;Einstellungen!$C$3,"anderes Jahr",IF(A3417&lt;INDEX(Mitarbeiter!$C$6:$C$205,MATCH(B3417,Mitarbeiter!$A$6:$A$205,0)),"vor Eintritt",IF(AND(INDEX(Mitarbeiter!$D$6:$D$205,MATCH(B3417,Mitarbeiter!$A$6:$A$205,0))&lt;&gt;"",A3417&gt;INDEX(Mitarbeiter!$D$6:$D$205,MATCH(B3417,Mitarbeiter!$A$6:$A$205,0))),"nach Austritt","ok")))))))</f>
        <v/>
      </c>
    </row>
    <row r="3418">
      <c r="A3418" s="26" t="n"/>
      <c r="B3418" s="24" t="n"/>
      <c r="C3418" s="40">
        <f>IF(B3418="","",IFERROR(INDEX(Mitarbeiter!$B$6:$B$205,MATCH(B3418,Mitarbeiter!$A$6:$A$205,0)),"?"))</f>
        <v/>
      </c>
      <c r="D3418" s="41" t="n"/>
      <c r="E3418" s="42" t="n"/>
      <c r="F3418" s="43" t="n"/>
      <c r="G3418" s="44">
        <f>IF(OR(B3418="",F3418=""),"",IFERROR(F3418*INDEX(Mitarbeiter!$F$6:$F$205,MATCH(B3418,Mitarbeiter!$A$6:$A$205,0)),0))</f>
        <v/>
      </c>
      <c r="H3418" s="8">
        <f>IF(B3418="","",IF(ISNA(MATCH(B3418,Mitarbeiter!$A$6:$A$205,0)),"Pers.-Nr. unbekannt",IF(A3418="","Datum fehlt",IF(AND(D3418&lt;&gt;Einstellungen!$C$4,D3418&lt;&gt;Einstellungen!$C$5),"Objekt fehlt",IF(YEAR(A3418)&lt;&gt;Einstellungen!$C$3,"anderes Jahr",IF(A3418&lt;INDEX(Mitarbeiter!$C$6:$C$205,MATCH(B3418,Mitarbeiter!$A$6:$A$205,0)),"vor Eintritt",IF(AND(INDEX(Mitarbeiter!$D$6:$D$205,MATCH(B3418,Mitarbeiter!$A$6:$A$205,0))&lt;&gt;"",A3418&gt;INDEX(Mitarbeiter!$D$6:$D$205,MATCH(B3418,Mitarbeiter!$A$6:$A$205,0))),"nach Austritt","ok")))))))</f>
        <v/>
      </c>
    </row>
    <row r="3419">
      <c r="A3419" s="26" t="n"/>
      <c r="B3419" s="24" t="n"/>
      <c r="C3419" s="40">
        <f>IF(B3419="","",IFERROR(INDEX(Mitarbeiter!$B$6:$B$205,MATCH(B3419,Mitarbeiter!$A$6:$A$205,0)),"?"))</f>
        <v/>
      </c>
      <c r="D3419" s="41" t="n"/>
      <c r="E3419" s="42" t="n"/>
      <c r="F3419" s="43" t="n"/>
      <c r="G3419" s="44">
        <f>IF(OR(B3419="",F3419=""),"",IFERROR(F3419*INDEX(Mitarbeiter!$F$6:$F$205,MATCH(B3419,Mitarbeiter!$A$6:$A$205,0)),0))</f>
        <v/>
      </c>
      <c r="H3419" s="8">
        <f>IF(B3419="","",IF(ISNA(MATCH(B3419,Mitarbeiter!$A$6:$A$205,0)),"Pers.-Nr. unbekannt",IF(A3419="","Datum fehlt",IF(AND(D3419&lt;&gt;Einstellungen!$C$4,D3419&lt;&gt;Einstellungen!$C$5),"Objekt fehlt",IF(YEAR(A3419)&lt;&gt;Einstellungen!$C$3,"anderes Jahr",IF(A3419&lt;INDEX(Mitarbeiter!$C$6:$C$205,MATCH(B3419,Mitarbeiter!$A$6:$A$205,0)),"vor Eintritt",IF(AND(INDEX(Mitarbeiter!$D$6:$D$205,MATCH(B3419,Mitarbeiter!$A$6:$A$205,0))&lt;&gt;"",A3419&gt;INDEX(Mitarbeiter!$D$6:$D$205,MATCH(B3419,Mitarbeiter!$A$6:$A$205,0))),"nach Austritt","ok")))))))</f>
        <v/>
      </c>
    </row>
    <row r="3420">
      <c r="A3420" s="26" t="n"/>
      <c r="B3420" s="24" t="n"/>
      <c r="C3420" s="40">
        <f>IF(B3420="","",IFERROR(INDEX(Mitarbeiter!$B$6:$B$205,MATCH(B3420,Mitarbeiter!$A$6:$A$205,0)),"?"))</f>
        <v/>
      </c>
      <c r="D3420" s="41" t="n"/>
      <c r="E3420" s="42" t="n"/>
      <c r="F3420" s="43" t="n"/>
      <c r="G3420" s="44">
        <f>IF(OR(B3420="",F3420=""),"",IFERROR(F3420*INDEX(Mitarbeiter!$F$6:$F$205,MATCH(B3420,Mitarbeiter!$A$6:$A$205,0)),0))</f>
        <v/>
      </c>
      <c r="H3420" s="8">
        <f>IF(B3420="","",IF(ISNA(MATCH(B3420,Mitarbeiter!$A$6:$A$205,0)),"Pers.-Nr. unbekannt",IF(A3420="","Datum fehlt",IF(AND(D3420&lt;&gt;Einstellungen!$C$4,D3420&lt;&gt;Einstellungen!$C$5),"Objekt fehlt",IF(YEAR(A3420)&lt;&gt;Einstellungen!$C$3,"anderes Jahr",IF(A3420&lt;INDEX(Mitarbeiter!$C$6:$C$205,MATCH(B3420,Mitarbeiter!$A$6:$A$205,0)),"vor Eintritt",IF(AND(INDEX(Mitarbeiter!$D$6:$D$205,MATCH(B3420,Mitarbeiter!$A$6:$A$205,0))&lt;&gt;"",A3420&gt;INDEX(Mitarbeiter!$D$6:$D$205,MATCH(B3420,Mitarbeiter!$A$6:$A$205,0))),"nach Austritt","ok")))))))</f>
        <v/>
      </c>
    </row>
    <row r="3421">
      <c r="A3421" s="26" t="n"/>
      <c r="B3421" s="24" t="n"/>
      <c r="C3421" s="40">
        <f>IF(B3421="","",IFERROR(INDEX(Mitarbeiter!$B$6:$B$205,MATCH(B3421,Mitarbeiter!$A$6:$A$205,0)),"?"))</f>
        <v/>
      </c>
      <c r="D3421" s="41" t="n"/>
      <c r="E3421" s="42" t="n"/>
      <c r="F3421" s="43" t="n"/>
      <c r="G3421" s="44">
        <f>IF(OR(B3421="",F3421=""),"",IFERROR(F3421*INDEX(Mitarbeiter!$F$6:$F$205,MATCH(B3421,Mitarbeiter!$A$6:$A$205,0)),0))</f>
        <v/>
      </c>
      <c r="H3421" s="8">
        <f>IF(B3421="","",IF(ISNA(MATCH(B3421,Mitarbeiter!$A$6:$A$205,0)),"Pers.-Nr. unbekannt",IF(A3421="","Datum fehlt",IF(AND(D3421&lt;&gt;Einstellungen!$C$4,D3421&lt;&gt;Einstellungen!$C$5),"Objekt fehlt",IF(YEAR(A3421)&lt;&gt;Einstellungen!$C$3,"anderes Jahr",IF(A3421&lt;INDEX(Mitarbeiter!$C$6:$C$205,MATCH(B3421,Mitarbeiter!$A$6:$A$205,0)),"vor Eintritt",IF(AND(INDEX(Mitarbeiter!$D$6:$D$205,MATCH(B3421,Mitarbeiter!$A$6:$A$205,0))&lt;&gt;"",A3421&gt;INDEX(Mitarbeiter!$D$6:$D$205,MATCH(B3421,Mitarbeiter!$A$6:$A$205,0))),"nach Austritt","ok")))))))</f>
        <v/>
      </c>
    </row>
    <row r="3422">
      <c r="A3422" s="26" t="n"/>
      <c r="B3422" s="24" t="n"/>
      <c r="C3422" s="40">
        <f>IF(B3422="","",IFERROR(INDEX(Mitarbeiter!$B$6:$B$205,MATCH(B3422,Mitarbeiter!$A$6:$A$205,0)),"?"))</f>
        <v/>
      </c>
      <c r="D3422" s="41" t="n"/>
      <c r="E3422" s="42" t="n"/>
      <c r="F3422" s="43" t="n"/>
      <c r="G3422" s="44">
        <f>IF(OR(B3422="",F3422=""),"",IFERROR(F3422*INDEX(Mitarbeiter!$F$6:$F$205,MATCH(B3422,Mitarbeiter!$A$6:$A$205,0)),0))</f>
        <v/>
      </c>
      <c r="H3422" s="8">
        <f>IF(B3422="","",IF(ISNA(MATCH(B3422,Mitarbeiter!$A$6:$A$205,0)),"Pers.-Nr. unbekannt",IF(A3422="","Datum fehlt",IF(AND(D3422&lt;&gt;Einstellungen!$C$4,D3422&lt;&gt;Einstellungen!$C$5),"Objekt fehlt",IF(YEAR(A3422)&lt;&gt;Einstellungen!$C$3,"anderes Jahr",IF(A3422&lt;INDEX(Mitarbeiter!$C$6:$C$205,MATCH(B3422,Mitarbeiter!$A$6:$A$205,0)),"vor Eintritt",IF(AND(INDEX(Mitarbeiter!$D$6:$D$205,MATCH(B3422,Mitarbeiter!$A$6:$A$205,0))&lt;&gt;"",A3422&gt;INDEX(Mitarbeiter!$D$6:$D$205,MATCH(B3422,Mitarbeiter!$A$6:$A$205,0))),"nach Austritt","ok")))))))</f>
        <v/>
      </c>
    </row>
    <row r="3423">
      <c r="A3423" s="26" t="n"/>
      <c r="B3423" s="24" t="n"/>
      <c r="C3423" s="40">
        <f>IF(B3423="","",IFERROR(INDEX(Mitarbeiter!$B$6:$B$205,MATCH(B3423,Mitarbeiter!$A$6:$A$205,0)),"?"))</f>
        <v/>
      </c>
      <c r="D3423" s="41" t="n"/>
      <c r="E3423" s="42" t="n"/>
      <c r="F3423" s="43" t="n"/>
      <c r="G3423" s="44">
        <f>IF(OR(B3423="",F3423=""),"",IFERROR(F3423*INDEX(Mitarbeiter!$F$6:$F$205,MATCH(B3423,Mitarbeiter!$A$6:$A$205,0)),0))</f>
        <v/>
      </c>
      <c r="H3423" s="8">
        <f>IF(B3423="","",IF(ISNA(MATCH(B3423,Mitarbeiter!$A$6:$A$205,0)),"Pers.-Nr. unbekannt",IF(A3423="","Datum fehlt",IF(AND(D3423&lt;&gt;Einstellungen!$C$4,D3423&lt;&gt;Einstellungen!$C$5),"Objekt fehlt",IF(YEAR(A3423)&lt;&gt;Einstellungen!$C$3,"anderes Jahr",IF(A3423&lt;INDEX(Mitarbeiter!$C$6:$C$205,MATCH(B3423,Mitarbeiter!$A$6:$A$205,0)),"vor Eintritt",IF(AND(INDEX(Mitarbeiter!$D$6:$D$205,MATCH(B3423,Mitarbeiter!$A$6:$A$205,0))&lt;&gt;"",A3423&gt;INDEX(Mitarbeiter!$D$6:$D$205,MATCH(B3423,Mitarbeiter!$A$6:$A$205,0))),"nach Austritt","ok")))))))</f>
        <v/>
      </c>
    </row>
    <row r="3424">
      <c r="A3424" s="26" t="n"/>
      <c r="B3424" s="24" t="n"/>
      <c r="C3424" s="40">
        <f>IF(B3424="","",IFERROR(INDEX(Mitarbeiter!$B$6:$B$205,MATCH(B3424,Mitarbeiter!$A$6:$A$205,0)),"?"))</f>
        <v/>
      </c>
      <c r="D3424" s="41" t="n"/>
      <c r="E3424" s="42" t="n"/>
      <c r="F3424" s="43" t="n"/>
      <c r="G3424" s="44">
        <f>IF(OR(B3424="",F3424=""),"",IFERROR(F3424*INDEX(Mitarbeiter!$F$6:$F$205,MATCH(B3424,Mitarbeiter!$A$6:$A$205,0)),0))</f>
        <v/>
      </c>
      <c r="H3424" s="8">
        <f>IF(B3424="","",IF(ISNA(MATCH(B3424,Mitarbeiter!$A$6:$A$205,0)),"Pers.-Nr. unbekannt",IF(A3424="","Datum fehlt",IF(AND(D3424&lt;&gt;Einstellungen!$C$4,D3424&lt;&gt;Einstellungen!$C$5),"Objekt fehlt",IF(YEAR(A3424)&lt;&gt;Einstellungen!$C$3,"anderes Jahr",IF(A3424&lt;INDEX(Mitarbeiter!$C$6:$C$205,MATCH(B3424,Mitarbeiter!$A$6:$A$205,0)),"vor Eintritt",IF(AND(INDEX(Mitarbeiter!$D$6:$D$205,MATCH(B3424,Mitarbeiter!$A$6:$A$205,0))&lt;&gt;"",A3424&gt;INDEX(Mitarbeiter!$D$6:$D$205,MATCH(B3424,Mitarbeiter!$A$6:$A$205,0))),"nach Austritt","ok")))))))</f>
        <v/>
      </c>
    </row>
    <row r="3425">
      <c r="A3425" s="26" t="n"/>
      <c r="B3425" s="24" t="n"/>
      <c r="C3425" s="40">
        <f>IF(B3425="","",IFERROR(INDEX(Mitarbeiter!$B$6:$B$205,MATCH(B3425,Mitarbeiter!$A$6:$A$205,0)),"?"))</f>
        <v/>
      </c>
      <c r="D3425" s="41" t="n"/>
      <c r="E3425" s="42" t="n"/>
      <c r="F3425" s="43" t="n"/>
      <c r="G3425" s="44">
        <f>IF(OR(B3425="",F3425=""),"",IFERROR(F3425*INDEX(Mitarbeiter!$F$6:$F$205,MATCH(B3425,Mitarbeiter!$A$6:$A$205,0)),0))</f>
        <v/>
      </c>
      <c r="H3425" s="8">
        <f>IF(B3425="","",IF(ISNA(MATCH(B3425,Mitarbeiter!$A$6:$A$205,0)),"Pers.-Nr. unbekannt",IF(A3425="","Datum fehlt",IF(AND(D3425&lt;&gt;Einstellungen!$C$4,D3425&lt;&gt;Einstellungen!$C$5),"Objekt fehlt",IF(YEAR(A3425)&lt;&gt;Einstellungen!$C$3,"anderes Jahr",IF(A3425&lt;INDEX(Mitarbeiter!$C$6:$C$205,MATCH(B3425,Mitarbeiter!$A$6:$A$205,0)),"vor Eintritt",IF(AND(INDEX(Mitarbeiter!$D$6:$D$205,MATCH(B3425,Mitarbeiter!$A$6:$A$205,0))&lt;&gt;"",A3425&gt;INDEX(Mitarbeiter!$D$6:$D$205,MATCH(B3425,Mitarbeiter!$A$6:$A$205,0))),"nach Austritt","ok")))))))</f>
        <v/>
      </c>
    </row>
    <row r="3426">
      <c r="A3426" s="26" t="n"/>
      <c r="B3426" s="24" t="n"/>
      <c r="C3426" s="40">
        <f>IF(B3426="","",IFERROR(INDEX(Mitarbeiter!$B$6:$B$205,MATCH(B3426,Mitarbeiter!$A$6:$A$205,0)),"?"))</f>
        <v/>
      </c>
      <c r="D3426" s="41" t="n"/>
      <c r="E3426" s="42" t="n"/>
      <c r="F3426" s="43" t="n"/>
      <c r="G3426" s="44">
        <f>IF(OR(B3426="",F3426=""),"",IFERROR(F3426*INDEX(Mitarbeiter!$F$6:$F$205,MATCH(B3426,Mitarbeiter!$A$6:$A$205,0)),0))</f>
        <v/>
      </c>
      <c r="H3426" s="8">
        <f>IF(B3426="","",IF(ISNA(MATCH(B3426,Mitarbeiter!$A$6:$A$205,0)),"Pers.-Nr. unbekannt",IF(A3426="","Datum fehlt",IF(AND(D3426&lt;&gt;Einstellungen!$C$4,D3426&lt;&gt;Einstellungen!$C$5),"Objekt fehlt",IF(YEAR(A3426)&lt;&gt;Einstellungen!$C$3,"anderes Jahr",IF(A3426&lt;INDEX(Mitarbeiter!$C$6:$C$205,MATCH(B3426,Mitarbeiter!$A$6:$A$205,0)),"vor Eintritt",IF(AND(INDEX(Mitarbeiter!$D$6:$D$205,MATCH(B3426,Mitarbeiter!$A$6:$A$205,0))&lt;&gt;"",A3426&gt;INDEX(Mitarbeiter!$D$6:$D$205,MATCH(B3426,Mitarbeiter!$A$6:$A$205,0))),"nach Austritt","ok")))))))</f>
        <v/>
      </c>
    </row>
    <row r="3427">
      <c r="A3427" s="26" t="n"/>
      <c r="B3427" s="24" t="n"/>
      <c r="C3427" s="40">
        <f>IF(B3427="","",IFERROR(INDEX(Mitarbeiter!$B$6:$B$205,MATCH(B3427,Mitarbeiter!$A$6:$A$205,0)),"?"))</f>
        <v/>
      </c>
      <c r="D3427" s="41" t="n"/>
      <c r="E3427" s="42" t="n"/>
      <c r="F3427" s="43" t="n"/>
      <c r="G3427" s="44">
        <f>IF(OR(B3427="",F3427=""),"",IFERROR(F3427*INDEX(Mitarbeiter!$F$6:$F$205,MATCH(B3427,Mitarbeiter!$A$6:$A$205,0)),0))</f>
        <v/>
      </c>
      <c r="H3427" s="8">
        <f>IF(B3427="","",IF(ISNA(MATCH(B3427,Mitarbeiter!$A$6:$A$205,0)),"Pers.-Nr. unbekannt",IF(A3427="","Datum fehlt",IF(AND(D3427&lt;&gt;Einstellungen!$C$4,D3427&lt;&gt;Einstellungen!$C$5),"Objekt fehlt",IF(YEAR(A3427)&lt;&gt;Einstellungen!$C$3,"anderes Jahr",IF(A3427&lt;INDEX(Mitarbeiter!$C$6:$C$205,MATCH(B3427,Mitarbeiter!$A$6:$A$205,0)),"vor Eintritt",IF(AND(INDEX(Mitarbeiter!$D$6:$D$205,MATCH(B3427,Mitarbeiter!$A$6:$A$205,0))&lt;&gt;"",A3427&gt;INDEX(Mitarbeiter!$D$6:$D$205,MATCH(B3427,Mitarbeiter!$A$6:$A$205,0))),"nach Austritt","ok")))))))</f>
        <v/>
      </c>
    </row>
    <row r="3428">
      <c r="A3428" s="26" t="n"/>
      <c r="B3428" s="24" t="n"/>
      <c r="C3428" s="40">
        <f>IF(B3428="","",IFERROR(INDEX(Mitarbeiter!$B$6:$B$205,MATCH(B3428,Mitarbeiter!$A$6:$A$205,0)),"?"))</f>
        <v/>
      </c>
      <c r="D3428" s="41" t="n"/>
      <c r="E3428" s="42" t="n"/>
      <c r="F3428" s="43" t="n"/>
      <c r="G3428" s="44">
        <f>IF(OR(B3428="",F3428=""),"",IFERROR(F3428*INDEX(Mitarbeiter!$F$6:$F$205,MATCH(B3428,Mitarbeiter!$A$6:$A$205,0)),0))</f>
        <v/>
      </c>
      <c r="H3428" s="8">
        <f>IF(B3428="","",IF(ISNA(MATCH(B3428,Mitarbeiter!$A$6:$A$205,0)),"Pers.-Nr. unbekannt",IF(A3428="","Datum fehlt",IF(AND(D3428&lt;&gt;Einstellungen!$C$4,D3428&lt;&gt;Einstellungen!$C$5),"Objekt fehlt",IF(YEAR(A3428)&lt;&gt;Einstellungen!$C$3,"anderes Jahr",IF(A3428&lt;INDEX(Mitarbeiter!$C$6:$C$205,MATCH(B3428,Mitarbeiter!$A$6:$A$205,0)),"vor Eintritt",IF(AND(INDEX(Mitarbeiter!$D$6:$D$205,MATCH(B3428,Mitarbeiter!$A$6:$A$205,0))&lt;&gt;"",A3428&gt;INDEX(Mitarbeiter!$D$6:$D$205,MATCH(B3428,Mitarbeiter!$A$6:$A$205,0))),"nach Austritt","ok")))))))</f>
        <v/>
      </c>
    </row>
    <row r="3429">
      <c r="A3429" s="26" t="n"/>
      <c r="B3429" s="24" t="n"/>
      <c r="C3429" s="40">
        <f>IF(B3429="","",IFERROR(INDEX(Mitarbeiter!$B$6:$B$205,MATCH(B3429,Mitarbeiter!$A$6:$A$205,0)),"?"))</f>
        <v/>
      </c>
      <c r="D3429" s="41" t="n"/>
      <c r="E3429" s="42" t="n"/>
      <c r="F3429" s="43" t="n"/>
      <c r="G3429" s="44">
        <f>IF(OR(B3429="",F3429=""),"",IFERROR(F3429*INDEX(Mitarbeiter!$F$6:$F$205,MATCH(B3429,Mitarbeiter!$A$6:$A$205,0)),0))</f>
        <v/>
      </c>
      <c r="H3429" s="8">
        <f>IF(B3429="","",IF(ISNA(MATCH(B3429,Mitarbeiter!$A$6:$A$205,0)),"Pers.-Nr. unbekannt",IF(A3429="","Datum fehlt",IF(AND(D3429&lt;&gt;Einstellungen!$C$4,D3429&lt;&gt;Einstellungen!$C$5),"Objekt fehlt",IF(YEAR(A3429)&lt;&gt;Einstellungen!$C$3,"anderes Jahr",IF(A3429&lt;INDEX(Mitarbeiter!$C$6:$C$205,MATCH(B3429,Mitarbeiter!$A$6:$A$205,0)),"vor Eintritt",IF(AND(INDEX(Mitarbeiter!$D$6:$D$205,MATCH(B3429,Mitarbeiter!$A$6:$A$205,0))&lt;&gt;"",A3429&gt;INDEX(Mitarbeiter!$D$6:$D$205,MATCH(B3429,Mitarbeiter!$A$6:$A$205,0))),"nach Austritt","ok")))))))</f>
        <v/>
      </c>
    </row>
    <row r="3430">
      <c r="A3430" s="26" t="n"/>
      <c r="B3430" s="24" t="n"/>
      <c r="C3430" s="40">
        <f>IF(B3430="","",IFERROR(INDEX(Mitarbeiter!$B$6:$B$205,MATCH(B3430,Mitarbeiter!$A$6:$A$205,0)),"?"))</f>
        <v/>
      </c>
      <c r="D3430" s="41" t="n"/>
      <c r="E3430" s="42" t="n"/>
      <c r="F3430" s="43" t="n"/>
      <c r="G3430" s="44">
        <f>IF(OR(B3430="",F3430=""),"",IFERROR(F3430*INDEX(Mitarbeiter!$F$6:$F$205,MATCH(B3430,Mitarbeiter!$A$6:$A$205,0)),0))</f>
        <v/>
      </c>
      <c r="H3430" s="8">
        <f>IF(B3430="","",IF(ISNA(MATCH(B3430,Mitarbeiter!$A$6:$A$205,0)),"Pers.-Nr. unbekannt",IF(A3430="","Datum fehlt",IF(AND(D3430&lt;&gt;Einstellungen!$C$4,D3430&lt;&gt;Einstellungen!$C$5),"Objekt fehlt",IF(YEAR(A3430)&lt;&gt;Einstellungen!$C$3,"anderes Jahr",IF(A3430&lt;INDEX(Mitarbeiter!$C$6:$C$205,MATCH(B3430,Mitarbeiter!$A$6:$A$205,0)),"vor Eintritt",IF(AND(INDEX(Mitarbeiter!$D$6:$D$205,MATCH(B3430,Mitarbeiter!$A$6:$A$205,0))&lt;&gt;"",A3430&gt;INDEX(Mitarbeiter!$D$6:$D$205,MATCH(B3430,Mitarbeiter!$A$6:$A$205,0))),"nach Austritt","ok")))))))</f>
        <v/>
      </c>
    </row>
    <row r="3431">
      <c r="A3431" s="26" t="n"/>
      <c r="B3431" s="24" t="n"/>
      <c r="C3431" s="40">
        <f>IF(B3431="","",IFERROR(INDEX(Mitarbeiter!$B$6:$B$205,MATCH(B3431,Mitarbeiter!$A$6:$A$205,0)),"?"))</f>
        <v/>
      </c>
      <c r="D3431" s="41" t="n"/>
      <c r="E3431" s="42" t="n"/>
      <c r="F3431" s="43" t="n"/>
      <c r="G3431" s="44">
        <f>IF(OR(B3431="",F3431=""),"",IFERROR(F3431*INDEX(Mitarbeiter!$F$6:$F$205,MATCH(B3431,Mitarbeiter!$A$6:$A$205,0)),0))</f>
        <v/>
      </c>
      <c r="H3431" s="8">
        <f>IF(B3431="","",IF(ISNA(MATCH(B3431,Mitarbeiter!$A$6:$A$205,0)),"Pers.-Nr. unbekannt",IF(A3431="","Datum fehlt",IF(AND(D3431&lt;&gt;Einstellungen!$C$4,D3431&lt;&gt;Einstellungen!$C$5),"Objekt fehlt",IF(YEAR(A3431)&lt;&gt;Einstellungen!$C$3,"anderes Jahr",IF(A3431&lt;INDEX(Mitarbeiter!$C$6:$C$205,MATCH(B3431,Mitarbeiter!$A$6:$A$205,0)),"vor Eintritt",IF(AND(INDEX(Mitarbeiter!$D$6:$D$205,MATCH(B3431,Mitarbeiter!$A$6:$A$205,0))&lt;&gt;"",A3431&gt;INDEX(Mitarbeiter!$D$6:$D$205,MATCH(B3431,Mitarbeiter!$A$6:$A$205,0))),"nach Austritt","ok")))))))</f>
        <v/>
      </c>
    </row>
    <row r="3432">
      <c r="A3432" s="26" t="n"/>
      <c r="B3432" s="24" t="n"/>
      <c r="C3432" s="40">
        <f>IF(B3432="","",IFERROR(INDEX(Mitarbeiter!$B$6:$B$205,MATCH(B3432,Mitarbeiter!$A$6:$A$205,0)),"?"))</f>
        <v/>
      </c>
      <c r="D3432" s="41" t="n"/>
      <c r="E3432" s="42" t="n"/>
      <c r="F3432" s="43" t="n"/>
      <c r="G3432" s="44">
        <f>IF(OR(B3432="",F3432=""),"",IFERROR(F3432*INDEX(Mitarbeiter!$F$6:$F$205,MATCH(B3432,Mitarbeiter!$A$6:$A$205,0)),0))</f>
        <v/>
      </c>
      <c r="H3432" s="8">
        <f>IF(B3432="","",IF(ISNA(MATCH(B3432,Mitarbeiter!$A$6:$A$205,0)),"Pers.-Nr. unbekannt",IF(A3432="","Datum fehlt",IF(AND(D3432&lt;&gt;Einstellungen!$C$4,D3432&lt;&gt;Einstellungen!$C$5),"Objekt fehlt",IF(YEAR(A3432)&lt;&gt;Einstellungen!$C$3,"anderes Jahr",IF(A3432&lt;INDEX(Mitarbeiter!$C$6:$C$205,MATCH(B3432,Mitarbeiter!$A$6:$A$205,0)),"vor Eintritt",IF(AND(INDEX(Mitarbeiter!$D$6:$D$205,MATCH(B3432,Mitarbeiter!$A$6:$A$205,0))&lt;&gt;"",A3432&gt;INDEX(Mitarbeiter!$D$6:$D$205,MATCH(B3432,Mitarbeiter!$A$6:$A$205,0))),"nach Austritt","ok")))))))</f>
        <v/>
      </c>
    </row>
    <row r="3433">
      <c r="A3433" s="26" t="n"/>
      <c r="B3433" s="24" t="n"/>
      <c r="C3433" s="40">
        <f>IF(B3433="","",IFERROR(INDEX(Mitarbeiter!$B$6:$B$205,MATCH(B3433,Mitarbeiter!$A$6:$A$205,0)),"?"))</f>
        <v/>
      </c>
      <c r="D3433" s="41" t="n"/>
      <c r="E3433" s="42" t="n"/>
      <c r="F3433" s="43" t="n"/>
      <c r="G3433" s="44">
        <f>IF(OR(B3433="",F3433=""),"",IFERROR(F3433*INDEX(Mitarbeiter!$F$6:$F$205,MATCH(B3433,Mitarbeiter!$A$6:$A$205,0)),0))</f>
        <v/>
      </c>
      <c r="H3433" s="8">
        <f>IF(B3433="","",IF(ISNA(MATCH(B3433,Mitarbeiter!$A$6:$A$205,0)),"Pers.-Nr. unbekannt",IF(A3433="","Datum fehlt",IF(AND(D3433&lt;&gt;Einstellungen!$C$4,D3433&lt;&gt;Einstellungen!$C$5),"Objekt fehlt",IF(YEAR(A3433)&lt;&gt;Einstellungen!$C$3,"anderes Jahr",IF(A3433&lt;INDEX(Mitarbeiter!$C$6:$C$205,MATCH(B3433,Mitarbeiter!$A$6:$A$205,0)),"vor Eintritt",IF(AND(INDEX(Mitarbeiter!$D$6:$D$205,MATCH(B3433,Mitarbeiter!$A$6:$A$205,0))&lt;&gt;"",A3433&gt;INDEX(Mitarbeiter!$D$6:$D$205,MATCH(B3433,Mitarbeiter!$A$6:$A$205,0))),"nach Austritt","ok")))))))</f>
        <v/>
      </c>
    </row>
    <row r="3434">
      <c r="A3434" s="26" t="n"/>
      <c r="B3434" s="24" t="n"/>
      <c r="C3434" s="40">
        <f>IF(B3434="","",IFERROR(INDEX(Mitarbeiter!$B$6:$B$205,MATCH(B3434,Mitarbeiter!$A$6:$A$205,0)),"?"))</f>
        <v/>
      </c>
      <c r="D3434" s="41" t="n"/>
      <c r="E3434" s="42" t="n"/>
      <c r="F3434" s="43" t="n"/>
      <c r="G3434" s="44">
        <f>IF(OR(B3434="",F3434=""),"",IFERROR(F3434*INDEX(Mitarbeiter!$F$6:$F$205,MATCH(B3434,Mitarbeiter!$A$6:$A$205,0)),0))</f>
        <v/>
      </c>
      <c r="H3434" s="8">
        <f>IF(B3434="","",IF(ISNA(MATCH(B3434,Mitarbeiter!$A$6:$A$205,0)),"Pers.-Nr. unbekannt",IF(A3434="","Datum fehlt",IF(AND(D3434&lt;&gt;Einstellungen!$C$4,D3434&lt;&gt;Einstellungen!$C$5),"Objekt fehlt",IF(YEAR(A3434)&lt;&gt;Einstellungen!$C$3,"anderes Jahr",IF(A3434&lt;INDEX(Mitarbeiter!$C$6:$C$205,MATCH(B3434,Mitarbeiter!$A$6:$A$205,0)),"vor Eintritt",IF(AND(INDEX(Mitarbeiter!$D$6:$D$205,MATCH(B3434,Mitarbeiter!$A$6:$A$205,0))&lt;&gt;"",A3434&gt;INDEX(Mitarbeiter!$D$6:$D$205,MATCH(B3434,Mitarbeiter!$A$6:$A$205,0))),"nach Austritt","ok")))))))</f>
        <v/>
      </c>
    </row>
    <row r="3435">
      <c r="A3435" s="26" t="n"/>
      <c r="B3435" s="24" t="n"/>
      <c r="C3435" s="40">
        <f>IF(B3435="","",IFERROR(INDEX(Mitarbeiter!$B$6:$B$205,MATCH(B3435,Mitarbeiter!$A$6:$A$205,0)),"?"))</f>
        <v/>
      </c>
      <c r="D3435" s="41" t="n"/>
      <c r="E3435" s="42" t="n"/>
      <c r="F3435" s="43" t="n"/>
      <c r="G3435" s="44">
        <f>IF(OR(B3435="",F3435=""),"",IFERROR(F3435*INDEX(Mitarbeiter!$F$6:$F$205,MATCH(B3435,Mitarbeiter!$A$6:$A$205,0)),0))</f>
        <v/>
      </c>
      <c r="H3435" s="8">
        <f>IF(B3435="","",IF(ISNA(MATCH(B3435,Mitarbeiter!$A$6:$A$205,0)),"Pers.-Nr. unbekannt",IF(A3435="","Datum fehlt",IF(AND(D3435&lt;&gt;Einstellungen!$C$4,D3435&lt;&gt;Einstellungen!$C$5),"Objekt fehlt",IF(YEAR(A3435)&lt;&gt;Einstellungen!$C$3,"anderes Jahr",IF(A3435&lt;INDEX(Mitarbeiter!$C$6:$C$205,MATCH(B3435,Mitarbeiter!$A$6:$A$205,0)),"vor Eintritt",IF(AND(INDEX(Mitarbeiter!$D$6:$D$205,MATCH(B3435,Mitarbeiter!$A$6:$A$205,0))&lt;&gt;"",A3435&gt;INDEX(Mitarbeiter!$D$6:$D$205,MATCH(B3435,Mitarbeiter!$A$6:$A$205,0))),"nach Austritt","ok")))))))</f>
        <v/>
      </c>
    </row>
    <row r="3436">
      <c r="A3436" s="26" t="n"/>
      <c r="B3436" s="24" t="n"/>
      <c r="C3436" s="40">
        <f>IF(B3436="","",IFERROR(INDEX(Mitarbeiter!$B$6:$B$205,MATCH(B3436,Mitarbeiter!$A$6:$A$205,0)),"?"))</f>
        <v/>
      </c>
      <c r="D3436" s="41" t="n"/>
      <c r="E3436" s="42" t="n"/>
      <c r="F3436" s="43" t="n"/>
      <c r="G3436" s="44">
        <f>IF(OR(B3436="",F3436=""),"",IFERROR(F3436*INDEX(Mitarbeiter!$F$6:$F$205,MATCH(B3436,Mitarbeiter!$A$6:$A$205,0)),0))</f>
        <v/>
      </c>
      <c r="H3436" s="8">
        <f>IF(B3436="","",IF(ISNA(MATCH(B3436,Mitarbeiter!$A$6:$A$205,0)),"Pers.-Nr. unbekannt",IF(A3436="","Datum fehlt",IF(AND(D3436&lt;&gt;Einstellungen!$C$4,D3436&lt;&gt;Einstellungen!$C$5),"Objekt fehlt",IF(YEAR(A3436)&lt;&gt;Einstellungen!$C$3,"anderes Jahr",IF(A3436&lt;INDEX(Mitarbeiter!$C$6:$C$205,MATCH(B3436,Mitarbeiter!$A$6:$A$205,0)),"vor Eintritt",IF(AND(INDEX(Mitarbeiter!$D$6:$D$205,MATCH(B3436,Mitarbeiter!$A$6:$A$205,0))&lt;&gt;"",A3436&gt;INDEX(Mitarbeiter!$D$6:$D$205,MATCH(B3436,Mitarbeiter!$A$6:$A$205,0))),"nach Austritt","ok")))))))</f>
        <v/>
      </c>
    </row>
    <row r="3437">
      <c r="A3437" s="26" t="n"/>
      <c r="B3437" s="24" t="n"/>
      <c r="C3437" s="40">
        <f>IF(B3437="","",IFERROR(INDEX(Mitarbeiter!$B$6:$B$205,MATCH(B3437,Mitarbeiter!$A$6:$A$205,0)),"?"))</f>
        <v/>
      </c>
      <c r="D3437" s="41" t="n"/>
      <c r="E3437" s="42" t="n"/>
      <c r="F3437" s="43" t="n"/>
      <c r="G3437" s="44">
        <f>IF(OR(B3437="",F3437=""),"",IFERROR(F3437*INDEX(Mitarbeiter!$F$6:$F$205,MATCH(B3437,Mitarbeiter!$A$6:$A$205,0)),0))</f>
        <v/>
      </c>
      <c r="H3437" s="8">
        <f>IF(B3437="","",IF(ISNA(MATCH(B3437,Mitarbeiter!$A$6:$A$205,0)),"Pers.-Nr. unbekannt",IF(A3437="","Datum fehlt",IF(AND(D3437&lt;&gt;Einstellungen!$C$4,D3437&lt;&gt;Einstellungen!$C$5),"Objekt fehlt",IF(YEAR(A3437)&lt;&gt;Einstellungen!$C$3,"anderes Jahr",IF(A3437&lt;INDEX(Mitarbeiter!$C$6:$C$205,MATCH(B3437,Mitarbeiter!$A$6:$A$205,0)),"vor Eintritt",IF(AND(INDEX(Mitarbeiter!$D$6:$D$205,MATCH(B3437,Mitarbeiter!$A$6:$A$205,0))&lt;&gt;"",A3437&gt;INDEX(Mitarbeiter!$D$6:$D$205,MATCH(B3437,Mitarbeiter!$A$6:$A$205,0))),"nach Austritt","ok")))))))</f>
        <v/>
      </c>
    </row>
    <row r="3438">
      <c r="A3438" s="26" t="n"/>
      <c r="B3438" s="24" t="n"/>
      <c r="C3438" s="40">
        <f>IF(B3438="","",IFERROR(INDEX(Mitarbeiter!$B$6:$B$205,MATCH(B3438,Mitarbeiter!$A$6:$A$205,0)),"?"))</f>
        <v/>
      </c>
      <c r="D3438" s="41" t="n"/>
      <c r="E3438" s="42" t="n"/>
      <c r="F3438" s="43" t="n"/>
      <c r="G3438" s="44">
        <f>IF(OR(B3438="",F3438=""),"",IFERROR(F3438*INDEX(Mitarbeiter!$F$6:$F$205,MATCH(B3438,Mitarbeiter!$A$6:$A$205,0)),0))</f>
        <v/>
      </c>
      <c r="H3438" s="8">
        <f>IF(B3438="","",IF(ISNA(MATCH(B3438,Mitarbeiter!$A$6:$A$205,0)),"Pers.-Nr. unbekannt",IF(A3438="","Datum fehlt",IF(AND(D3438&lt;&gt;Einstellungen!$C$4,D3438&lt;&gt;Einstellungen!$C$5),"Objekt fehlt",IF(YEAR(A3438)&lt;&gt;Einstellungen!$C$3,"anderes Jahr",IF(A3438&lt;INDEX(Mitarbeiter!$C$6:$C$205,MATCH(B3438,Mitarbeiter!$A$6:$A$205,0)),"vor Eintritt",IF(AND(INDEX(Mitarbeiter!$D$6:$D$205,MATCH(B3438,Mitarbeiter!$A$6:$A$205,0))&lt;&gt;"",A3438&gt;INDEX(Mitarbeiter!$D$6:$D$205,MATCH(B3438,Mitarbeiter!$A$6:$A$205,0))),"nach Austritt","ok")))))))</f>
        <v/>
      </c>
    </row>
    <row r="3439">
      <c r="A3439" s="26" t="n"/>
      <c r="B3439" s="24" t="n"/>
      <c r="C3439" s="40">
        <f>IF(B3439="","",IFERROR(INDEX(Mitarbeiter!$B$6:$B$205,MATCH(B3439,Mitarbeiter!$A$6:$A$205,0)),"?"))</f>
        <v/>
      </c>
      <c r="D3439" s="41" t="n"/>
      <c r="E3439" s="42" t="n"/>
      <c r="F3439" s="43" t="n"/>
      <c r="G3439" s="44">
        <f>IF(OR(B3439="",F3439=""),"",IFERROR(F3439*INDEX(Mitarbeiter!$F$6:$F$205,MATCH(B3439,Mitarbeiter!$A$6:$A$205,0)),0))</f>
        <v/>
      </c>
      <c r="H3439" s="8">
        <f>IF(B3439="","",IF(ISNA(MATCH(B3439,Mitarbeiter!$A$6:$A$205,0)),"Pers.-Nr. unbekannt",IF(A3439="","Datum fehlt",IF(AND(D3439&lt;&gt;Einstellungen!$C$4,D3439&lt;&gt;Einstellungen!$C$5),"Objekt fehlt",IF(YEAR(A3439)&lt;&gt;Einstellungen!$C$3,"anderes Jahr",IF(A3439&lt;INDEX(Mitarbeiter!$C$6:$C$205,MATCH(B3439,Mitarbeiter!$A$6:$A$205,0)),"vor Eintritt",IF(AND(INDEX(Mitarbeiter!$D$6:$D$205,MATCH(B3439,Mitarbeiter!$A$6:$A$205,0))&lt;&gt;"",A3439&gt;INDEX(Mitarbeiter!$D$6:$D$205,MATCH(B3439,Mitarbeiter!$A$6:$A$205,0))),"nach Austritt","ok")))))))</f>
        <v/>
      </c>
    </row>
    <row r="3440">
      <c r="A3440" s="26" t="n"/>
      <c r="B3440" s="24" t="n"/>
      <c r="C3440" s="40">
        <f>IF(B3440="","",IFERROR(INDEX(Mitarbeiter!$B$6:$B$205,MATCH(B3440,Mitarbeiter!$A$6:$A$205,0)),"?"))</f>
        <v/>
      </c>
      <c r="D3440" s="41" t="n"/>
      <c r="E3440" s="42" t="n"/>
      <c r="F3440" s="43" t="n"/>
      <c r="G3440" s="44">
        <f>IF(OR(B3440="",F3440=""),"",IFERROR(F3440*INDEX(Mitarbeiter!$F$6:$F$205,MATCH(B3440,Mitarbeiter!$A$6:$A$205,0)),0))</f>
        <v/>
      </c>
      <c r="H3440" s="8">
        <f>IF(B3440="","",IF(ISNA(MATCH(B3440,Mitarbeiter!$A$6:$A$205,0)),"Pers.-Nr. unbekannt",IF(A3440="","Datum fehlt",IF(AND(D3440&lt;&gt;Einstellungen!$C$4,D3440&lt;&gt;Einstellungen!$C$5),"Objekt fehlt",IF(YEAR(A3440)&lt;&gt;Einstellungen!$C$3,"anderes Jahr",IF(A3440&lt;INDEX(Mitarbeiter!$C$6:$C$205,MATCH(B3440,Mitarbeiter!$A$6:$A$205,0)),"vor Eintritt",IF(AND(INDEX(Mitarbeiter!$D$6:$D$205,MATCH(B3440,Mitarbeiter!$A$6:$A$205,0))&lt;&gt;"",A3440&gt;INDEX(Mitarbeiter!$D$6:$D$205,MATCH(B3440,Mitarbeiter!$A$6:$A$205,0))),"nach Austritt","ok")))))))</f>
        <v/>
      </c>
    </row>
    <row r="3441">
      <c r="A3441" s="26" t="n"/>
      <c r="B3441" s="24" t="n"/>
      <c r="C3441" s="40">
        <f>IF(B3441="","",IFERROR(INDEX(Mitarbeiter!$B$6:$B$205,MATCH(B3441,Mitarbeiter!$A$6:$A$205,0)),"?"))</f>
        <v/>
      </c>
      <c r="D3441" s="41" t="n"/>
      <c r="E3441" s="42" t="n"/>
      <c r="F3441" s="43" t="n"/>
      <c r="G3441" s="44">
        <f>IF(OR(B3441="",F3441=""),"",IFERROR(F3441*INDEX(Mitarbeiter!$F$6:$F$205,MATCH(B3441,Mitarbeiter!$A$6:$A$205,0)),0))</f>
        <v/>
      </c>
      <c r="H3441" s="8">
        <f>IF(B3441="","",IF(ISNA(MATCH(B3441,Mitarbeiter!$A$6:$A$205,0)),"Pers.-Nr. unbekannt",IF(A3441="","Datum fehlt",IF(AND(D3441&lt;&gt;Einstellungen!$C$4,D3441&lt;&gt;Einstellungen!$C$5),"Objekt fehlt",IF(YEAR(A3441)&lt;&gt;Einstellungen!$C$3,"anderes Jahr",IF(A3441&lt;INDEX(Mitarbeiter!$C$6:$C$205,MATCH(B3441,Mitarbeiter!$A$6:$A$205,0)),"vor Eintritt",IF(AND(INDEX(Mitarbeiter!$D$6:$D$205,MATCH(B3441,Mitarbeiter!$A$6:$A$205,0))&lt;&gt;"",A3441&gt;INDEX(Mitarbeiter!$D$6:$D$205,MATCH(B3441,Mitarbeiter!$A$6:$A$205,0))),"nach Austritt","ok")))))))</f>
        <v/>
      </c>
    </row>
    <row r="3442">
      <c r="A3442" s="26" t="n"/>
      <c r="B3442" s="24" t="n"/>
      <c r="C3442" s="40">
        <f>IF(B3442="","",IFERROR(INDEX(Mitarbeiter!$B$6:$B$205,MATCH(B3442,Mitarbeiter!$A$6:$A$205,0)),"?"))</f>
        <v/>
      </c>
      <c r="D3442" s="41" t="n"/>
      <c r="E3442" s="42" t="n"/>
      <c r="F3442" s="43" t="n"/>
      <c r="G3442" s="44">
        <f>IF(OR(B3442="",F3442=""),"",IFERROR(F3442*INDEX(Mitarbeiter!$F$6:$F$205,MATCH(B3442,Mitarbeiter!$A$6:$A$205,0)),0))</f>
        <v/>
      </c>
      <c r="H3442" s="8">
        <f>IF(B3442="","",IF(ISNA(MATCH(B3442,Mitarbeiter!$A$6:$A$205,0)),"Pers.-Nr. unbekannt",IF(A3442="","Datum fehlt",IF(AND(D3442&lt;&gt;Einstellungen!$C$4,D3442&lt;&gt;Einstellungen!$C$5),"Objekt fehlt",IF(YEAR(A3442)&lt;&gt;Einstellungen!$C$3,"anderes Jahr",IF(A3442&lt;INDEX(Mitarbeiter!$C$6:$C$205,MATCH(B3442,Mitarbeiter!$A$6:$A$205,0)),"vor Eintritt",IF(AND(INDEX(Mitarbeiter!$D$6:$D$205,MATCH(B3442,Mitarbeiter!$A$6:$A$205,0))&lt;&gt;"",A3442&gt;INDEX(Mitarbeiter!$D$6:$D$205,MATCH(B3442,Mitarbeiter!$A$6:$A$205,0))),"nach Austritt","ok")))))))</f>
        <v/>
      </c>
    </row>
    <row r="3443">
      <c r="A3443" s="26" t="n"/>
      <c r="B3443" s="24" t="n"/>
      <c r="C3443" s="40">
        <f>IF(B3443="","",IFERROR(INDEX(Mitarbeiter!$B$6:$B$205,MATCH(B3443,Mitarbeiter!$A$6:$A$205,0)),"?"))</f>
        <v/>
      </c>
      <c r="D3443" s="41" t="n"/>
      <c r="E3443" s="42" t="n"/>
      <c r="F3443" s="43" t="n"/>
      <c r="G3443" s="44">
        <f>IF(OR(B3443="",F3443=""),"",IFERROR(F3443*INDEX(Mitarbeiter!$F$6:$F$205,MATCH(B3443,Mitarbeiter!$A$6:$A$205,0)),0))</f>
        <v/>
      </c>
      <c r="H3443" s="8">
        <f>IF(B3443="","",IF(ISNA(MATCH(B3443,Mitarbeiter!$A$6:$A$205,0)),"Pers.-Nr. unbekannt",IF(A3443="","Datum fehlt",IF(AND(D3443&lt;&gt;Einstellungen!$C$4,D3443&lt;&gt;Einstellungen!$C$5),"Objekt fehlt",IF(YEAR(A3443)&lt;&gt;Einstellungen!$C$3,"anderes Jahr",IF(A3443&lt;INDEX(Mitarbeiter!$C$6:$C$205,MATCH(B3443,Mitarbeiter!$A$6:$A$205,0)),"vor Eintritt",IF(AND(INDEX(Mitarbeiter!$D$6:$D$205,MATCH(B3443,Mitarbeiter!$A$6:$A$205,0))&lt;&gt;"",A3443&gt;INDEX(Mitarbeiter!$D$6:$D$205,MATCH(B3443,Mitarbeiter!$A$6:$A$205,0))),"nach Austritt","ok")))))))</f>
        <v/>
      </c>
    </row>
    <row r="3444">
      <c r="A3444" s="26" t="n"/>
      <c r="B3444" s="24" t="n"/>
      <c r="C3444" s="40">
        <f>IF(B3444="","",IFERROR(INDEX(Mitarbeiter!$B$6:$B$205,MATCH(B3444,Mitarbeiter!$A$6:$A$205,0)),"?"))</f>
        <v/>
      </c>
      <c r="D3444" s="41" t="n"/>
      <c r="E3444" s="42" t="n"/>
      <c r="F3444" s="43" t="n"/>
      <c r="G3444" s="44">
        <f>IF(OR(B3444="",F3444=""),"",IFERROR(F3444*INDEX(Mitarbeiter!$F$6:$F$205,MATCH(B3444,Mitarbeiter!$A$6:$A$205,0)),0))</f>
        <v/>
      </c>
      <c r="H3444" s="8">
        <f>IF(B3444="","",IF(ISNA(MATCH(B3444,Mitarbeiter!$A$6:$A$205,0)),"Pers.-Nr. unbekannt",IF(A3444="","Datum fehlt",IF(AND(D3444&lt;&gt;Einstellungen!$C$4,D3444&lt;&gt;Einstellungen!$C$5),"Objekt fehlt",IF(YEAR(A3444)&lt;&gt;Einstellungen!$C$3,"anderes Jahr",IF(A3444&lt;INDEX(Mitarbeiter!$C$6:$C$205,MATCH(B3444,Mitarbeiter!$A$6:$A$205,0)),"vor Eintritt",IF(AND(INDEX(Mitarbeiter!$D$6:$D$205,MATCH(B3444,Mitarbeiter!$A$6:$A$205,0))&lt;&gt;"",A3444&gt;INDEX(Mitarbeiter!$D$6:$D$205,MATCH(B3444,Mitarbeiter!$A$6:$A$205,0))),"nach Austritt","ok")))))))</f>
        <v/>
      </c>
    </row>
    <row r="3445">
      <c r="A3445" s="26" t="n"/>
      <c r="B3445" s="24" t="n"/>
      <c r="C3445" s="40">
        <f>IF(B3445="","",IFERROR(INDEX(Mitarbeiter!$B$6:$B$205,MATCH(B3445,Mitarbeiter!$A$6:$A$205,0)),"?"))</f>
        <v/>
      </c>
      <c r="D3445" s="41" t="n"/>
      <c r="E3445" s="42" t="n"/>
      <c r="F3445" s="43" t="n"/>
      <c r="G3445" s="44">
        <f>IF(OR(B3445="",F3445=""),"",IFERROR(F3445*INDEX(Mitarbeiter!$F$6:$F$205,MATCH(B3445,Mitarbeiter!$A$6:$A$205,0)),0))</f>
        <v/>
      </c>
      <c r="H3445" s="8">
        <f>IF(B3445="","",IF(ISNA(MATCH(B3445,Mitarbeiter!$A$6:$A$205,0)),"Pers.-Nr. unbekannt",IF(A3445="","Datum fehlt",IF(AND(D3445&lt;&gt;Einstellungen!$C$4,D3445&lt;&gt;Einstellungen!$C$5),"Objekt fehlt",IF(YEAR(A3445)&lt;&gt;Einstellungen!$C$3,"anderes Jahr",IF(A3445&lt;INDEX(Mitarbeiter!$C$6:$C$205,MATCH(B3445,Mitarbeiter!$A$6:$A$205,0)),"vor Eintritt",IF(AND(INDEX(Mitarbeiter!$D$6:$D$205,MATCH(B3445,Mitarbeiter!$A$6:$A$205,0))&lt;&gt;"",A3445&gt;INDEX(Mitarbeiter!$D$6:$D$205,MATCH(B3445,Mitarbeiter!$A$6:$A$205,0))),"nach Austritt","ok")))))))</f>
        <v/>
      </c>
    </row>
    <row r="3446">
      <c r="A3446" s="26" t="n"/>
      <c r="B3446" s="24" t="n"/>
      <c r="C3446" s="40">
        <f>IF(B3446="","",IFERROR(INDEX(Mitarbeiter!$B$6:$B$205,MATCH(B3446,Mitarbeiter!$A$6:$A$205,0)),"?"))</f>
        <v/>
      </c>
      <c r="D3446" s="41" t="n"/>
      <c r="E3446" s="42" t="n"/>
      <c r="F3446" s="43" t="n"/>
      <c r="G3446" s="44">
        <f>IF(OR(B3446="",F3446=""),"",IFERROR(F3446*INDEX(Mitarbeiter!$F$6:$F$205,MATCH(B3446,Mitarbeiter!$A$6:$A$205,0)),0))</f>
        <v/>
      </c>
      <c r="H3446" s="8">
        <f>IF(B3446="","",IF(ISNA(MATCH(B3446,Mitarbeiter!$A$6:$A$205,0)),"Pers.-Nr. unbekannt",IF(A3446="","Datum fehlt",IF(AND(D3446&lt;&gt;Einstellungen!$C$4,D3446&lt;&gt;Einstellungen!$C$5),"Objekt fehlt",IF(YEAR(A3446)&lt;&gt;Einstellungen!$C$3,"anderes Jahr",IF(A3446&lt;INDEX(Mitarbeiter!$C$6:$C$205,MATCH(B3446,Mitarbeiter!$A$6:$A$205,0)),"vor Eintritt",IF(AND(INDEX(Mitarbeiter!$D$6:$D$205,MATCH(B3446,Mitarbeiter!$A$6:$A$205,0))&lt;&gt;"",A3446&gt;INDEX(Mitarbeiter!$D$6:$D$205,MATCH(B3446,Mitarbeiter!$A$6:$A$205,0))),"nach Austritt","ok")))))))</f>
        <v/>
      </c>
    </row>
    <row r="3447">
      <c r="A3447" s="26" t="n"/>
      <c r="B3447" s="24" t="n"/>
      <c r="C3447" s="40">
        <f>IF(B3447="","",IFERROR(INDEX(Mitarbeiter!$B$6:$B$205,MATCH(B3447,Mitarbeiter!$A$6:$A$205,0)),"?"))</f>
        <v/>
      </c>
      <c r="D3447" s="41" t="n"/>
      <c r="E3447" s="42" t="n"/>
      <c r="F3447" s="43" t="n"/>
      <c r="G3447" s="44">
        <f>IF(OR(B3447="",F3447=""),"",IFERROR(F3447*INDEX(Mitarbeiter!$F$6:$F$205,MATCH(B3447,Mitarbeiter!$A$6:$A$205,0)),0))</f>
        <v/>
      </c>
      <c r="H3447" s="8">
        <f>IF(B3447="","",IF(ISNA(MATCH(B3447,Mitarbeiter!$A$6:$A$205,0)),"Pers.-Nr. unbekannt",IF(A3447="","Datum fehlt",IF(AND(D3447&lt;&gt;Einstellungen!$C$4,D3447&lt;&gt;Einstellungen!$C$5),"Objekt fehlt",IF(YEAR(A3447)&lt;&gt;Einstellungen!$C$3,"anderes Jahr",IF(A3447&lt;INDEX(Mitarbeiter!$C$6:$C$205,MATCH(B3447,Mitarbeiter!$A$6:$A$205,0)),"vor Eintritt",IF(AND(INDEX(Mitarbeiter!$D$6:$D$205,MATCH(B3447,Mitarbeiter!$A$6:$A$205,0))&lt;&gt;"",A3447&gt;INDEX(Mitarbeiter!$D$6:$D$205,MATCH(B3447,Mitarbeiter!$A$6:$A$205,0))),"nach Austritt","ok")))))))</f>
        <v/>
      </c>
    </row>
    <row r="3448">
      <c r="A3448" s="26" t="n"/>
      <c r="B3448" s="24" t="n"/>
      <c r="C3448" s="40">
        <f>IF(B3448="","",IFERROR(INDEX(Mitarbeiter!$B$6:$B$205,MATCH(B3448,Mitarbeiter!$A$6:$A$205,0)),"?"))</f>
        <v/>
      </c>
      <c r="D3448" s="41" t="n"/>
      <c r="E3448" s="42" t="n"/>
      <c r="F3448" s="43" t="n"/>
      <c r="G3448" s="44">
        <f>IF(OR(B3448="",F3448=""),"",IFERROR(F3448*INDEX(Mitarbeiter!$F$6:$F$205,MATCH(B3448,Mitarbeiter!$A$6:$A$205,0)),0))</f>
        <v/>
      </c>
      <c r="H3448" s="8">
        <f>IF(B3448="","",IF(ISNA(MATCH(B3448,Mitarbeiter!$A$6:$A$205,0)),"Pers.-Nr. unbekannt",IF(A3448="","Datum fehlt",IF(AND(D3448&lt;&gt;Einstellungen!$C$4,D3448&lt;&gt;Einstellungen!$C$5),"Objekt fehlt",IF(YEAR(A3448)&lt;&gt;Einstellungen!$C$3,"anderes Jahr",IF(A3448&lt;INDEX(Mitarbeiter!$C$6:$C$205,MATCH(B3448,Mitarbeiter!$A$6:$A$205,0)),"vor Eintritt",IF(AND(INDEX(Mitarbeiter!$D$6:$D$205,MATCH(B3448,Mitarbeiter!$A$6:$A$205,0))&lt;&gt;"",A3448&gt;INDEX(Mitarbeiter!$D$6:$D$205,MATCH(B3448,Mitarbeiter!$A$6:$A$205,0))),"nach Austritt","ok")))))))</f>
        <v/>
      </c>
    </row>
    <row r="3449">
      <c r="A3449" s="26" t="n"/>
      <c r="B3449" s="24" t="n"/>
      <c r="C3449" s="40">
        <f>IF(B3449="","",IFERROR(INDEX(Mitarbeiter!$B$6:$B$205,MATCH(B3449,Mitarbeiter!$A$6:$A$205,0)),"?"))</f>
        <v/>
      </c>
      <c r="D3449" s="41" t="n"/>
      <c r="E3449" s="42" t="n"/>
      <c r="F3449" s="43" t="n"/>
      <c r="G3449" s="44">
        <f>IF(OR(B3449="",F3449=""),"",IFERROR(F3449*INDEX(Mitarbeiter!$F$6:$F$205,MATCH(B3449,Mitarbeiter!$A$6:$A$205,0)),0))</f>
        <v/>
      </c>
      <c r="H3449" s="8">
        <f>IF(B3449="","",IF(ISNA(MATCH(B3449,Mitarbeiter!$A$6:$A$205,0)),"Pers.-Nr. unbekannt",IF(A3449="","Datum fehlt",IF(AND(D3449&lt;&gt;Einstellungen!$C$4,D3449&lt;&gt;Einstellungen!$C$5),"Objekt fehlt",IF(YEAR(A3449)&lt;&gt;Einstellungen!$C$3,"anderes Jahr",IF(A3449&lt;INDEX(Mitarbeiter!$C$6:$C$205,MATCH(B3449,Mitarbeiter!$A$6:$A$205,0)),"vor Eintritt",IF(AND(INDEX(Mitarbeiter!$D$6:$D$205,MATCH(B3449,Mitarbeiter!$A$6:$A$205,0))&lt;&gt;"",A3449&gt;INDEX(Mitarbeiter!$D$6:$D$205,MATCH(B3449,Mitarbeiter!$A$6:$A$205,0))),"nach Austritt","ok")))))))</f>
        <v/>
      </c>
    </row>
    <row r="3450">
      <c r="A3450" s="26" t="n"/>
      <c r="B3450" s="24" t="n"/>
      <c r="C3450" s="40">
        <f>IF(B3450="","",IFERROR(INDEX(Mitarbeiter!$B$6:$B$205,MATCH(B3450,Mitarbeiter!$A$6:$A$205,0)),"?"))</f>
        <v/>
      </c>
      <c r="D3450" s="41" t="n"/>
      <c r="E3450" s="42" t="n"/>
      <c r="F3450" s="43" t="n"/>
      <c r="G3450" s="44">
        <f>IF(OR(B3450="",F3450=""),"",IFERROR(F3450*INDEX(Mitarbeiter!$F$6:$F$205,MATCH(B3450,Mitarbeiter!$A$6:$A$205,0)),0))</f>
        <v/>
      </c>
      <c r="H3450" s="8">
        <f>IF(B3450="","",IF(ISNA(MATCH(B3450,Mitarbeiter!$A$6:$A$205,0)),"Pers.-Nr. unbekannt",IF(A3450="","Datum fehlt",IF(AND(D3450&lt;&gt;Einstellungen!$C$4,D3450&lt;&gt;Einstellungen!$C$5),"Objekt fehlt",IF(YEAR(A3450)&lt;&gt;Einstellungen!$C$3,"anderes Jahr",IF(A3450&lt;INDEX(Mitarbeiter!$C$6:$C$205,MATCH(B3450,Mitarbeiter!$A$6:$A$205,0)),"vor Eintritt",IF(AND(INDEX(Mitarbeiter!$D$6:$D$205,MATCH(B3450,Mitarbeiter!$A$6:$A$205,0))&lt;&gt;"",A3450&gt;INDEX(Mitarbeiter!$D$6:$D$205,MATCH(B3450,Mitarbeiter!$A$6:$A$205,0))),"nach Austritt","ok")))))))</f>
        <v/>
      </c>
    </row>
    <row r="3451">
      <c r="A3451" s="26" t="n"/>
      <c r="B3451" s="24" t="n"/>
      <c r="C3451" s="40">
        <f>IF(B3451="","",IFERROR(INDEX(Mitarbeiter!$B$6:$B$205,MATCH(B3451,Mitarbeiter!$A$6:$A$205,0)),"?"))</f>
        <v/>
      </c>
      <c r="D3451" s="41" t="n"/>
      <c r="E3451" s="42" t="n"/>
      <c r="F3451" s="43" t="n"/>
      <c r="G3451" s="44">
        <f>IF(OR(B3451="",F3451=""),"",IFERROR(F3451*INDEX(Mitarbeiter!$F$6:$F$205,MATCH(B3451,Mitarbeiter!$A$6:$A$205,0)),0))</f>
        <v/>
      </c>
      <c r="H3451" s="8">
        <f>IF(B3451="","",IF(ISNA(MATCH(B3451,Mitarbeiter!$A$6:$A$205,0)),"Pers.-Nr. unbekannt",IF(A3451="","Datum fehlt",IF(AND(D3451&lt;&gt;Einstellungen!$C$4,D3451&lt;&gt;Einstellungen!$C$5),"Objekt fehlt",IF(YEAR(A3451)&lt;&gt;Einstellungen!$C$3,"anderes Jahr",IF(A3451&lt;INDEX(Mitarbeiter!$C$6:$C$205,MATCH(B3451,Mitarbeiter!$A$6:$A$205,0)),"vor Eintritt",IF(AND(INDEX(Mitarbeiter!$D$6:$D$205,MATCH(B3451,Mitarbeiter!$A$6:$A$205,0))&lt;&gt;"",A3451&gt;INDEX(Mitarbeiter!$D$6:$D$205,MATCH(B3451,Mitarbeiter!$A$6:$A$205,0))),"nach Austritt","ok")))))))</f>
        <v/>
      </c>
    </row>
    <row r="3452">
      <c r="A3452" s="26" t="n"/>
      <c r="B3452" s="24" t="n"/>
      <c r="C3452" s="40">
        <f>IF(B3452="","",IFERROR(INDEX(Mitarbeiter!$B$6:$B$205,MATCH(B3452,Mitarbeiter!$A$6:$A$205,0)),"?"))</f>
        <v/>
      </c>
      <c r="D3452" s="41" t="n"/>
      <c r="E3452" s="42" t="n"/>
      <c r="F3452" s="43" t="n"/>
      <c r="G3452" s="44">
        <f>IF(OR(B3452="",F3452=""),"",IFERROR(F3452*INDEX(Mitarbeiter!$F$6:$F$205,MATCH(B3452,Mitarbeiter!$A$6:$A$205,0)),0))</f>
        <v/>
      </c>
      <c r="H3452" s="8">
        <f>IF(B3452="","",IF(ISNA(MATCH(B3452,Mitarbeiter!$A$6:$A$205,0)),"Pers.-Nr. unbekannt",IF(A3452="","Datum fehlt",IF(AND(D3452&lt;&gt;Einstellungen!$C$4,D3452&lt;&gt;Einstellungen!$C$5),"Objekt fehlt",IF(YEAR(A3452)&lt;&gt;Einstellungen!$C$3,"anderes Jahr",IF(A3452&lt;INDEX(Mitarbeiter!$C$6:$C$205,MATCH(B3452,Mitarbeiter!$A$6:$A$205,0)),"vor Eintritt",IF(AND(INDEX(Mitarbeiter!$D$6:$D$205,MATCH(B3452,Mitarbeiter!$A$6:$A$205,0))&lt;&gt;"",A3452&gt;INDEX(Mitarbeiter!$D$6:$D$205,MATCH(B3452,Mitarbeiter!$A$6:$A$205,0))),"nach Austritt","ok")))))))</f>
        <v/>
      </c>
    </row>
    <row r="3453">
      <c r="A3453" s="26" t="n"/>
      <c r="B3453" s="24" t="n"/>
      <c r="C3453" s="40">
        <f>IF(B3453="","",IFERROR(INDEX(Mitarbeiter!$B$6:$B$205,MATCH(B3453,Mitarbeiter!$A$6:$A$205,0)),"?"))</f>
        <v/>
      </c>
      <c r="D3453" s="41" t="n"/>
      <c r="E3453" s="42" t="n"/>
      <c r="F3453" s="43" t="n"/>
      <c r="G3453" s="44">
        <f>IF(OR(B3453="",F3453=""),"",IFERROR(F3453*INDEX(Mitarbeiter!$F$6:$F$205,MATCH(B3453,Mitarbeiter!$A$6:$A$205,0)),0))</f>
        <v/>
      </c>
      <c r="H3453" s="8">
        <f>IF(B3453="","",IF(ISNA(MATCH(B3453,Mitarbeiter!$A$6:$A$205,0)),"Pers.-Nr. unbekannt",IF(A3453="","Datum fehlt",IF(AND(D3453&lt;&gt;Einstellungen!$C$4,D3453&lt;&gt;Einstellungen!$C$5),"Objekt fehlt",IF(YEAR(A3453)&lt;&gt;Einstellungen!$C$3,"anderes Jahr",IF(A3453&lt;INDEX(Mitarbeiter!$C$6:$C$205,MATCH(B3453,Mitarbeiter!$A$6:$A$205,0)),"vor Eintritt",IF(AND(INDEX(Mitarbeiter!$D$6:$D$205,MATCH(B3453,Mitarbeiter!$A$6:$A$205,0))&lt;&gt;"",A3453&gt;INDEX(Mitarbeiter!$D$6:$D$205,MATCH(B3453,Mitarbeiter!$A$6:$A$205,0))),"nach Austritt","ok")))))))</f>
        <v/>
      </c>
    </row>
    <row r="3454">
      <c r="A3454" s="26" t="n"/>
      <c r="B3454" s="24" t="n"/>
      <c r="C3454" s="40">
        <f>IF(B3454="","",IFERROR(INDEX(Mitarbeiter!$B$6:$B$205,MATCH(B3454,Mitarbeiter!$A$6:$A$205,0)),"?"))</f>
        <v/>
      </c>
      <c r="D3454" s="41" t="n"/>
      <c r="E3454" s="42" t="n"/>
      <c r="F3454" s="43" t="n"/>
      <c r="G3454" s="44">
        <f>IF(OR(B3454="",F3454=""),"",IFERROR(F3454*INDEX(Mitarbeiter!$F$6:$F$205,MATCH(B3454,Mitarbeiter!$A$6:$A$205,0)),0))</f>
        <v/>
      </c>
      <c r="H3454" s="8">
        <f>IF(B3454="","",IF(ISNA(MATCH(B3454,Mitarbeiter!$A$6:$A$205,0)),"Pers.-Nr. unbekannt",IF(A3454="","Datum fehlt",IF(AND(D3454&lt;&gt;Einstellungen!$C$4,D3454&lt;&gt;Einstellungen!$C$5),"Objekt fehlt",IF(YEAR(A3454)&lt;&gt;Einstellungen!$C$3,"anderes Jahr",IF(A3454&lt;INDEX(Mitarbeiter!$C$6:$C$205,MATCH(B3454,Mitarbeiter!$A$6:$A$205,0)),"vor Eintritt",IF(AND(INDEX(Mitarbeiter!$D$6:$D$205,MATCH(B3454,Mitarbeiter!$A$6:$A$205,0))&lt;&gt;"",A3454&gt;INDEX(Mitarbeiter!$D$6:$D$205,MATCH(B3454,Mitarbeiter!$A$6:$A$205,0))),"nach Austritt","ok")))))))</f>
        <v/>
      </c>
    </row>
    <row r="3455">
      <c r="A3455" s="26" t="n"/>
      <c r="B3455" s="24" t="n"/>
      <c r="C3455" s="40">
        <f>IF(B3455="","",IFERROR(INDEX(Mitarbeiter!$B$6:$B$205,MATCH(B3455,Mitarbeiter!$A$6:$A$205,0)),"?"))</f>
        <v/>
      </c>
      <c r="D3455" s="41" t="n"/>
      <c r="E3455" s="42" t="n"/>
      <c r="F3455" s="43" t="n"/>
      <c r="G3455" s="44">
        <f>IF(OR(B3455="",F3455=""),"",IFERROR(F3455*INDEX(Mitarbeiter!$F$6:$F$205,MATCH(B3455,Mitarbeiter!$A$6:$A$205,0)),0))</f>
        <v/>
      </c>
      <c r="H3455" s="8">
        <f>IF(B3455="","",IF(ISNA(MATCH(B3455,Mitarbeiter!$A$6:$A$205,0)),"Pers.-Nr. unbekannt",IF(A3455="","Datum fehlt",IF(AND(D3455&lt;&gt;Einstellungen!$C$4,D3455&lt;&gt;Einstellungen!$C$5),"Objekt fehlt",IF(YEAR(A3455)&lt;&gt;Einstellungen!$C$3,"anderes Jahr",IF(A3455&lt;INDEX(Mitarbeiter!$C$6:$C$205,MATCH(B3455,Mitarbeiter!$A$6:$A$205,0)),"vor Eintritt",IF(AND(INDEX(Mitarbeiter!$D$6:$D$205,MATCH(B3455,Mitarbeiter!$A$6:$A$205,0))&lt;&gt;"",A3455&gt;INDEX(Mitarbeiter!$D$6:$D$205,MATCH(B3455,Mitarbeiter!$A$6:$A$205,0))),"nach Austritt","ok")))))))</f>
        <v/>
      </c>
    </row>
    <row r="3456">
      <c r="A3456" s="26" t="n"/>
      <c r="B3456" s="24" t="n"/>
      <c r="C3456" s="40">
        <f>IF(B3456="","",IFERROR(INDEX(Mitarbeiter!$B$6:$B$205,MATCH(B3456,Mitarbeiter!$A$6:$A$205,0)),"?"))</f>
        <v/>
      </c>
      <c r="D3456" s="41" t="n"/>
      <c r="E3456" s="42" t="n"/>
      <c r="F3456" s="43" t="n"/>
      <c r="G3456" s="44">
        <f>IF(OR(B3456="",F3456=""),"",IFERROR(F3456*INDEX(Mitarbeiter!$F$6:$F$205,MATCH(B3456,Mitarbeiter!$A$6:$A$205,0)),0))</f>
        <v/>
      </c>
      <c r="H3456" s="8">
        <f>IF(B3456="","",IF(ISNA(MATCH(B3456,Mitarbeiter!$A$6:$A$205,0)),"Pers.-Nr. unbekannt",IF(A3456="","Datum fehlt",IF(AND(D3456&lt;&gt;Einstellungen!$C$4,D3456&lt;&gt;Einstellungen!$C$5),"Objekt fehlt",IF(YEAR(A3456)&lt;&gt;Einstellungen!$C$3,"anderes Jahr",IF(A3456&lt;INDEX(Mitarbeiter!$C$6:$C$205,MATCH(B3456,Mitarbeiter!$A$6:$A$205,0)),"vor Eintritt",IF(AND(INDEX(Mitarbeiter!$D$6:$D$205,MATCH(B3456,Mitarbeiter!$A$6:$A$205,0))&lt;&gt;"",A3456&gt;INDEX(Mitarbeiter!$D$6:$D$205,MATCH(B3456,Mitarbeiter!$A$6:$A$205,0))),"nach Austritt","ok")))))))</f>
        <v/>
      </c>
    </row>
    <row r="3457">
      <c r="A3457" s="26" t="n"/>
      <c r="B3457" s="24" t="n"/>
      <c r="C3457" s="40">
        <f>IF(B3457="","",IFERROR(INDEX(Mitarbeiter!$B$6:$B$205,MATCH(B3457,Mitarbeiter!$A$6:$A$205,0)),"?"))</f>
        <v/>
      </c>
      <c r="D3457" s="41" t="n"/>
      <c r="E3457" s="42" t="n"/>
      <c r="F3457" s="43" t="n"/>
      <c r="G3457" s="44">
        <f>IF(OR(B3457="",F3457=""),"",IFERROR(F3457*INDEX(Mitarbeiter!$F$6:$F$205,MATCH(B3457,Mitarbeiter!$A$6:$A$205,0)),0))</f>
        <v/>
      </c>
      <c r="H3457" s="8">
        <f>IF(B3457="","",IF(ISNA(MATCH(B3457,Mitarbeiter!$A$6:$A$205,0)),"Pers.-Nr. unbekannt",IF(A3457="","Datum fehlt",IF(AND(D3457&lt;&gt;Einstellungen!$C$4,D3457&lt;&gt;Einstellungen!$C$5),"Objekt fehlt",IF(YEAR(A3457)&lt;&gt;Einstellungen!$C$3,"anderes Jahr",IF(A3457&lt;INDEX(Mitarbeiter!$C$6:$C$205,MATCH(B3457,Mitarbeiter!$A$6:$A$205,0)),"vor Eintritt",IF(AND(INDEX(Mitarbeiter!$D$6:$D$205,MATCH(B3457,Mitarbeiter!$A$6:$A$205,0))&lt;&gt;"",A3457&gt;INDEX(Mitarbeiter!$D$6:$D$205,MATCH(B3457,Mitarbeiter!$A$6:$A$205,0))),"nach Austritt","ok")))))))</f>
        <v/>
      </c>
    </row>
    <row r="3458">
      <c r="A3458" s="26" t="n"/>
      <c r="B3458" s="24" t="n"/>
      <c r="C3458" s="40">
        <f>IF(B3458="","",IFERROR(INDEX(Mitarbeiter!$B$6:$B$205,MATCH(B3458,Mitarbeiter!$A$6:$A$205,0)),"?"))</f>
        <v/>
      </c>
      <c r="D3458" s="41" t="n"/>
      <c r="E3458" s="42" t="n"/>
      <c r="F3458" s="43" t="n"/>
      <c r="G3458" s="44">
        <f>IF(OR(B3458="",F3458=""),"",IFERROR(F3458*INDEX(Mitarbeiter!$F$6:$F$205,MATCH(B3458,Mitarbeiter!$A$6:$A$205,0)),0))</f>
        <v/>
      </c>
      <c r="H3458" s="8">
        <f>IF(B3458="","",IF(ISNA(MATCH(B3458,Mitarbeiter!$A$6:$A$205,0)),"Pers.-Nr. unbekannt",IF(A3458="","Datum fehlt",IF(AND(D3458&lt;&gt;Einstellungen!$C$4,D3458&lt;&gt;Einstellungen!$C$5),"Objekt fehlt",IF(YEAR(A3458)&lt;&gt;Einstellungen!$C$3,"anderes Jahr",IF(A3458&lt;INDEX(Mitarbeiter!$C$6:$C$205,MATCH(B3458,Mitarbeiter!$A$6:$A$205,0)),"vor Eintritt",IF(AND(INDEX(Mitarbeiter!$D$6:$D$205,MATCH(B3458,Mitarbeiter!$A$6:$A$205,0))&lt;&gt;"",A3458&gt;INDEX(Mitarbeiter!$D$6:$D$205,MATCH(B3458,Mitarbeiter!$A$6:$A$205,0))),"nach Austritt","ok")))))))</f>
        <v/>
      </c>
    </row>
    <row r="3459">
      <c r="A3459" s="26" t="n"/>
      <c r="B3459" s="24" t="n"/>
      <c r="C3459" s="40">
        <f>IF(B3459="","",IFERROR(INDEX(Mitarbeiter!$B$6:$B$205,MATCH(B3459,Mitarbeiter!$A$6:$A$205,0)),"?"))</f>
        <v/>
      </c>
      <c r="D3459" s="41" t="n"/>
      <c r="E3459" s="42" t="n"/>
      <c r="F3459" s="43" t="n"/>
      <c r="G3459" s="44">
        <f>IF(OR(B3459="",F3459=""),"",IFERROR(F3459*INDEX(Mitarbeiter!$F$6:$F$205,MATCH(B3459,Mitarbeiter!$A$6:$A$205,0)),0))</f>
        <v/>
      </c>
      <c r="H3459" s="8">
        <f>IF(B3459="","",IF(ISNA(MATCH(B3459,Mitarbeiter!$A$6:$A$205,0)),"Pers.-Nr. unbekannt",IF(A3459="","Datum fehlt",IF(AND(D3459&lt;&gt;Einstellungen!$C$4,D3459&lt;&gt;Einstellungen!$C$5),"Objekt fehlt",IF(YEAR(A3459)&lt;&gt;Einstellungen!$C$3,"anderes Jahr",IF(A3459&lt;INDEX(Mitarbeiter!$C$6:$C$205,MATCH(B3459,Mitarbeiter!$A$6:$A$205,0)),"vor Eintritt",IF(AND(INDEX(Mitarbeiter!$D$6:$D$205,MATCH(B3459,Mitarbeiter!$A$6:$A$205,0))&lt;&gt;"",A3459&gt;INDEX(Mitarbeiter!$D$6:$D$205,MATCH(B3459,Mitarbeiter!$A$6:$A$205,0))),"nach Austritt","ok")))))))</f>
        <v/>
      </c>
    </row>
    <row r="3460">
      <c r="A3460" s="26" t="n"/>
      <c r="B3460" s="24" t="n"/>
      <c r="C3460" s="40">
        <f>IF(B3460="","",IFERROR(INDEX(Mitarbeiter!$B$6:$B$205,MATCH(B3460,Mitarbeiter!$A$6:$A$205,0)),"?"))</f>
        <v/>
      </c>
      <c r="D3460" s="41" t="n"/>
      <c r="E3460" s="42" t="n"/>
      <c r="F3460" s="43" t="n"/>
      <c r="G3460" s="44">
        <f>IF(OR(B3460="",F3460=""),"",IFERROR(F3460*INDEX(Mitarbeiter!$F$6:$F$205,MATCH(B3460,Mitarbeiter!$A$6:$A$205,0)),0))</f>
        <v/>
      </c>
      <c r="H3460" s="8">
        <f>IF(B3460="","",IF(ISNA(MATCH(B3460,Mitarbeiter!$A$6:$A$205,0)),"Pers.-Nr. unbekannt",IF(A3460="","Datum fehlt",IF(AND(D3460&lt;&gt;Einstellungen!$C$4,D3460&lt;&gt;Einstellungen!$C$5),"Objekt fehlt",IF(YEAR(A3460)&lt;&gt;Einstellungen!$C$3,"anderes Jahr",IF(A3460&lt;INDEX(Mitarbeiter!$C$6:$C$205,MATCH(B3460,Mitarbeiter!$A$6:$A$205,0)),"vor Eintritt",IF(AND(INDEX(Mitarbeiter!$D$6:$D$205,MATCH(B3460,Mitarbeiter!$A$6:$A$205,0))&lt;&gt;"",A3460&gt;INDEX(Mitarbeiter!$D$6:$D$205,MATCH(B3460,Mitarbeiter!$A$6:$A$205,0))),"nach Austritt","ok")))))))</f>
        <v/>
      </c>
    </row>
    <row r="3461">
      <c r="A3461" s="26" t="n"/>
      <c r="B3461" s="24" t="n"/>
      <c r="C3461" s="40">
        <f>IF(B3461="","",IFERROR(INDEX(Mitarbeiter!$B$6:$B$205,MATCH(B3461,Mitarbeiter!$A$6:$A$205,0)),"?"))</f>
        <v/>
      </c>
      <c r="D3461" s="41" t="n"/>
      <c r="E3461" s="42" t="n"/>
      <c r="F3461" s="43" t="n"/>
      <c r="G3461" s="44">
        <f>IF(OR(B3461="",F3461=""),"",IFERROR(F3461*INDEX(Mitarbeiter!$F$6:$F$205,MATCH(B3461,Mitarbeiter!$A$6:$A$205,0)),0))</f>
        <v/>
      </c>
      <c r="H3461" s="8">
        <f>IF(B3461="","",IF(ISNA(MATCH(B3461,Mitarbeiter!$A$6:$A$205,0)),"Pers.-Nr. unbekannt",IF(A3461="","Datum fehlt",IF(AND(D3461&lt;&gt;Einstellungen!$C$4,D3461&lt;&gt;Einstellungen!$C$5),"Objekt fehlt",IF(YEAR(A3461)&lt;&gt;Einstellungen!$C$3,"anderes Jahr",IF(A3461&lt;INDEX(Mitarbeiter!$C$6:$C$205,MATCH(B3461,Mitarbeiter!$A$6:$A$205,0)),"vor Eintritt",IF(AND(INDEX(Mitarbeiter!$D$6:$D$205,MATCH(B3461,Mitarbeiter!$A$6:$A$205,0))&lt;&gt;"",A3461&gt;INDEX(Mitarbeiter!$D$6:$D$205,MATCH(B3461,Mitarbeiter!$A$6:$A$205,0))),"nach Austritt","ok")))))))</f>
        <v/>
      </c>
    </row>
    <row r="3462">
      <c r="A3462" s="26" t="n"/>
      <c r="B3462" s="24" t="n"/>
      <c r="C3462" s="40">
        <f>IF(B3462="","",IFERROR(INDEX(Mitarbeiter!$B$6:$B$205,MATCH(B3462,Mitarbeiter!$A$6:$A$205,0)),"?"))</f>
        <v/>
      </c>
      <c r="D3462" s="41" t="n"/>
      <c r="E3462" s="42" t="n"/>
      <c r="F3462" s="43" t="n"/>
      <c r="G3462" s="44">
        <f>IF(OR(B3462="",F3462=""),"",IFERROR(F3462*INDEX(Mitarbeiter!$F$6:$F$205,MATCH(B3462,Mitarbeiter!$A$6:$A$205,0)),0))</f>
        <v/>
      </c>
      <c r="H3462" s="8">
        <f>IF(B3462="","",IF(ISNA(MATCH(B3462,Mitarbeiter!$A$6:$A$205,0)),"Pers.-Nr. unbekannt",IF(A3462="","Datum fehlt",IF(AND(D3462&lt;&gt;Einstellungen!$C$4,D3462&lt;&gt;Einstellungen!$C$5),"Objekt fehlt",IF(YEAR(A3462)&lt;&gt;Einstellungen!$C$3,"anderes Jahr",IF(A3462&lt;INDEX(Mitarbeiter!$C$6:$C$205,MATCH(B3462,Mitarbeiter!$A$6:$A$205,0)),"vor Eintritt",IF(AND(INDEX(Mitarbeiter!$D$6:$D$205,MATCH(B3462,Mitarbeiter!$A$6:$A$205,0))&lt;&gt;"",A3462&gt;INDEX(Mitarbeiter!$D$6:$D$205,MATCH(B3462,Mitarbeiter!$A$6:$A$205,0))),"nach Austritt","ok")))))))</f>
        <v/>
      </c>
    </row>
    <row r="3463">
      <c r="A3463" s="26" t="n"/>
      <c r="B3463" s="24" t="n"/>
      <c r="C3463" s="40">
        <f>IF(B3463="","",IFERROR(INDEX(Mitarbeiter!$B$6:$B$205,MATCH(B3463,Mitarbeiter!$A$6:$A$205,0)),"?"))</f>
        <v/>
      </c>
      <c r="D3463" s="41" t="n"/>
      <c r="E3463" s="42" t="n"/>
      <c r="F3463" s="43" t="n"/>
      <c r="G3463" s="44">
        <f>IF(OR(B3463="",F3463=""),"",IFERROR(F3463*INDEX(Mitarbeiter!$F$6:$F$205,MATCH(B3463,Mitarbeiter!$A$6:$A$205,0)),0))</f>
        <v/>
      </c>
      <c r="H3463" s="8">
        <f>IF(B3463="","",IF(ISNA(MATCH(B3463,Mitarbeiter!$A$6:$A$205,0)),"Pers.-Nr. unbekannt",IF(A3463="","Datum fehlt",IF(AND(D3463&lt;&gt;Einstellungen!$C$4,D3463&lt;&gt;Einstellungen!$C$5),"Objekt fehlt",IF(YEAR(A3463)&lt;&gt;Einstellungen!$C$3,"anderes Jahr",IF(A3463&lt;INDEX(Mitarbeiter!$C$6:$C$205,MATCH(B3463,Mitarbeiter!$A$6:$A$205,0)),"vor Eintritt",IF(AND(INDEX(Mitarbeiter!$D$6:$D$205,MATCH(B3463,Mitarbeiter!$A$6:$A$205,0))&lt;&gt;"",A3463&gt;INDEX(Mitarbeiter!$D$6:$D$205,MATCH(B3463,Mitarbeiter!$A$6:$A$205,0))),"nach Austritt","ok")))))))</f>
        <v/>
      </c>
    </row>
    <row r="3464">
      <c r="A3464" s="26" t="n"/>
      <c r="B3464" s="24" t="n"/>
      <c r="C3464" s="40">
        <f>IF(B3464="","",IFERROR(INDEX(Mitarbeiter!$B$6:$B$205,MATCH(B3464,Mitarbeiter!$A$6:$A$205,0)),"?"))</f>
        <v/>
      </c>
      <c r="D3464" s="41" t="n"/>
      <c r="E3464" s="42" t="n"/>
      <c r="F3464" s="43" t="n"/>
      <c r="G3464" s="44">
        <f>IF(OR(B3464="",F3464=""),"",IFERROR(F3464*INDEX(Mitarbeiter!$F$6:$F$205,MATCH(B3464,Mitarbeiter!$A$6:$A$205,0)),0))</f>
        <v/>
      </c>
      <c r="H3464" s="8">
        <f>IF(B3464="","",IF(ISNA(MATCH(B3464,Mitarbeiter!$A$6:$A$205,0)),"Pers.-Nr. unbekannt",IF(A3464="","Datum fehlt",IF(AND(D3464&lt;&gt;Einstellungen!$C$4,D3464&lt;&gt;Einstellungen!$C$5),"Objekt fehlt",IF(YEAR(A3464)&lt;&gt;Einstellungen!$C$3,"anderes Jahr",IF(A3464&lt;INDEX(Mitarbeiter!$C$6:$C$205,MATCH(B3464,Mitarbeiter!$A$6:$A$205,0)),"vor Eintritt",IF(AND(INDEX(Mitarbeiter!$D$6:$D$205,MATCH(B3464,Mitarbeiter!$A$6:$A$205,0))&lt;&gt;"",A3464&gt;INDEX(Mitarbeiter!$D$6:$D$205,MATCH(B3464,Mitarbeiter!$A$6:$A$205,0))),"nach Austritt","ok")))))))</f>
        <v/>
      </c>
    </row>
    <row r="3465">
      <c r="A3465" s="26" t="n"/>
      <c r="B3465" s="24" t="n"/>
      <c r="C3465" s="40">
        <f>IF(B3465="","",IFERROR(INDEX(Mitarbeiter!$B$6:$B$205,MATCH(B3465,Mitarbeiter!$A$6:$A$205,0)),"?"))</f>
        <v/>
      </c>
      <c r="D3465" s="41" t="n"/>
      <c r="E3465" s="42" t="n"/>
      <c r="F3465" s="43" t="n"/>
      <c r="G3465" s="44">
        <f>IF(OR(B3465="",F3465=""),"",IFERROR(F3465*INDEX(Mitarbeiter!$F$6:$F$205,MATCH(B3465,Mitarbeiter!$A$6:$A$205,0)),0))</f>
        <v/>
      </c>
      <c r="H3465" s="8">
        <f>IF(B3465="","",IF(ISNA(MATCH(B3465,Mitarbeiter!$A$6:$A$205,0)),"Pers.-Nr. unbekannt",IF(A3465="","Datum fehlt",IF(AND(D3465&lt;&gt;Einstellungen!$C$4,D3465&lt;&gt;Einstellungen!$C$5),"Objekt fehlt",IF(YEAR(A3465)&lt;&gt;Einstellungen!$C$3,"anderes Jahr",IF(A3465&lt;INDEX(Mitarbeiter!$C$6:$C$205,MATCH(B3465,Mitarbeiter!$A$6:$A$205,0)),"vor Eintritt",IF(AND(INDEX(Mitarbeiter!$D$6:$D$205,MATCH(B3465,Mitarbeiter!$A$6:$A$205,0))&lt;&gt;"",A3465&gt;INDEX(Mitarbeiter!$D$6:$D$205,MATCH(B3465,Mitarbeiter!$A$6:$A$205,0))),"nach Austritt","ok")))))))</f>
        <v/>
      </c>
    </row>
    <row r="3466">
      <c r="A3466" s="26" t="n"/>
      <c r="B3466" s="24" t="n"/>
      <c r="C3466" s="40">
        <f>IF(B3466="","",IFERROR(INDEX(Mitarbeiter!$B$6:$B$205,MATCH(B3466,Mitarbeiter!$A$6:$A$205,0)),"?"))</f>
        <v/>
      </c>
      <c r="D3466" s="41" t="n"/>
      <c r="E3466" s="42" t="n"/>
      <c r="F3466" s="43" t="n"/>
      <c r="G3466" s="44">
        <f>IF(OR(B3466="",F3466=""),"",IFERROR(F3466*INDEX(Mitarbeiter!$F$6:$F$205,MATCH(B3466,Mitarbeiter!$A$6:$A$205,0)),0))</f>
        <v/>
      </c>
      <c r="H3466" s="8">
        <f>IF(B3466="","",IF(ISNA(MATCH(B3466,Mitarbeiter!$A$6:$A$205,0)),"Pers.-Nr. unbekannt",IF(A3466="","Datum fehlt",IF(AND(D3466&lt;&gt;Einstellungen!$C$4,D3466&lt;&gt;Einstellungen!$C$5),"Objekt fehlt",IF(YEAR(A3466)&lt;&gt;Einstellungen!$C$3,"anderes Jahr",IF(A3466&lt;INDEX(Mitarbeiter!$C$6:$C$205,MATCH(B3466,Mitarbeiter!$A$6:$A$205,0)),"vor Eintritt",IF(AND(INDEX(Mitarbeiter!$D$6:$D$205,MATCH(B3466,Mitarbeiter!$A$6:$A$205,0))&lt;&gt;"",A3466&gt;INDEX(Mitarbeiter!$D$6:$D$205,MATCH(B3466,Mitarbeiter!$A$6:$A$205,0))),"nach Austritt","ok")))))))</f>
        <v/>
      </c>
    </row>
    <row r="3467">
      <c r="A3467" s="26" t="n"/>
      <c r="B3467" s="24" t="n"/>
      <c r="C3467" s="40">
        <f>IF(B3467="","",IFERROR(INDEX(Mitarbeiter!$B$6:$B$205,MATCH(B3467,Mitarbeiter!$A$6:$A$205,0)),"?"))</f>
        <v/>
      </c>
      <c r="D3467" s="41" t="n"/>
      <c r="E3467" s="42" t="n"/>
      <c r="F3467" s="43" t="n"/>
      <c r="G3467" s="44">
        <f>IF(OR(B3467="",F3467=""),"",IFERROR(F3467*INDEX(Mitarbeiter!$F$6:$F$205,MATCH(B3467,Mitarbeiter!$A$6:$A$205,0)),0))</f>
        <v/>
      </c>
      <c r="H3467" s="8">
        <f>IF(B3467="","",IF(ISNA(MATCH(B3467,Mitarbeiter!$A$6:$A$205,0)),"Pers.-Nr. unbekannt",IF(A3467="","Datum fehlt",IF(AND(D3467&lt;&gt;Einstellungen!$C$4,D3467&lt;&gt;Einstellungen!$C$5),"Objekt fehlt",IF(YEAR(A3467)&lt;&gt;Einstellungen!$C$3,"anderes Jahr",IF(A3467&lt;INDEX(Mitarbeiter!$C$6:$C$205,MATCH(B3467,Mitarbeiter!$A$6:$A$205,0)),"vor Eintritt",IF(AND(INDEX(Mitarbeiter!$D$6:$D$205,MATCH(B3467,Mitarbeiter!$A$6:$A$205,0))&lt;&gt;"",A3467&gt;INDEX(Mitarbeiter!$D$6:$D$205,MATCH(B3467,Mitarbeiter!$A$6:$A$205,0))),"nach Austritt","ok")))))))</f>
        <v/>
      </c>
    </row>
    <row r="3468">
      <c r="A3468" s="26" t="n"/>
      <c r="B3468" s="24" t="n"/>
      <c r="C3468" s="40">
        <f>IF(B3468="","",IFERROR(INDEX(Mitarbeiter!$B$6:$B$205,MATCH(B3468,Mitarbeiter!$A$6:$A$205,0)),"?"))</f>
        <v/>
      </c>
      <c r="D3468" s="41" t="n"/>
      <c r="E3468" s="42" t="n"/>
      <c r="F3468" s="43" t="n"/>
      <c r="G3468" s="44">
        <f>IF(OR(B3468="",F3468=""),"",IFERROR(F3468*INDEX(Mitarbeiter!$F$6:$F$205,MATCH(B3468,Mitarbeiter!$A$6:$A$205,0)),0))</f>
        <v/>
      </c>
      <c r="H3468" s="8">
        <f>IF(B3468="","",IF(ISNA(MATCH(B3468,Mitarbeiter!$A$6:$A$205,0)),"Pers.-Nr. unbekannt",IF(A3468="","Datum fehlt",IF(AND(D3468&lt;&gt;Einstellungen!$C$4,D3468&lt;&gt;Einstellungen!$C$5),"Objekt fehlt",IF(YEAR(A3468)&lt;&gt;Einstellungen!$C$3,"anderes Jahr",IF(A3468&lt;INDEX(Mitarbeiter!$C$6:$C$205,MATCH(B3468,Mitarbeiter!$A$6:$A$205,0)),"vor Eintritt",IF(AND(INDEX(Mitarbeiter!$D$6:$D$205,MATCH(B3468,Mitarbeiter!$A$6:$A$205,0))&lt;&gt;"",A3468&gt;INDEX(Mitarbeiter!$D$6:$D$205,MATCH(B3468,Mitarbeiter!$A$6:$A$205,0))),"nach Austritt","ok")))))))</f>
        <v/>
      </c>
    </row>
    <row r="3469">
      <c r="A3469" s="26" t="n"/>
      <c r="B3469" s="24" t="n"/>
      <c r="C3469" s="40">
        <f>IF(B3469="","",IFERROR(INDEX(Mitarbeiter!$B$6:$B$205,MATCH(B3469,Mitarbeiter!$A$6:$A$205,0)),"?"))</f>
        <v/>
      </c>
      <c r="D3469" s="41" t="n"/>
      <c r="E3469" s="42" t="n"/>
      <c r="F3469" s="43" t="n"/>
      <c r="G3469" s="44">
        <f>IF(OR(B3469="",F3469=""),"",IFERROR(F3469*INDEX(Mitarbeiter!$F$6:$F$205,MATCH(B3469,Mitarbeiter!$A$6:$A$205,0)),0))</f>
        <v/>
      </c>
      <c r="H3469" s="8">
        <f>IF(B3469="","",IF(ISNA(MATCH(B3469,Mitarbeiter!$A$6:$A$205,0)),"Pers.-Nr. unbekannt",IF(A3469="","Datum fehlt",IF(AND(D3469&lt;&gt;Einstellungen!$C$4,D3469&lt;&gt;Einstellungen!$C$5),"Objekt fehlt",IF(YEAR(A3469)&lt;&gt;Einstellungen!$C$3,"anderes Jahr",IF(A3469&lt;INDEX(Mitarbeiter!$C$6:$C$205,MATCH(B3469,Mitarbeiter!$A$6:$A$205,0)),"vor Eintritt",IF(AND(INDEX(Mitarbeiter!$D$6:$D$205,MATCH(B3469,Mitarbeiter!$A$6:$A$205,0))&lt;&gt;"",A3469&gt;INDEX(Mitarbeiter!$D$6:$D$205,MATCH(B3469,Mitarbeiter!$A$6:$A$205,0))),"nach Austritt","ok")))))))</f>
        <v/>
      </c>
    </row>
    <row r="3470">
      <c r="A3470" s="26" t="n"/>
      <c r="B3470" s="24" t="n"/>
      <c r="C3470" s="40">
        <f>IF(B3470="","",IFERROR(INDEX(Mitarbeiter!$B$6:$B$205,MATCH(B3470,Mitarbeiter!$A$6:$A$205,0)),"?"))</f>
        <v/>
      </c>
      <c r="D3470" s="41" t="n"/>
      <c r="E3470" s="42" t="n"/>
      <c r="F3470" s="43" t="n"/>
      <c r="G3470" s="44">
        <f>IF(OR(B3470="",F3470=""),"",IFERROR(F3470*INDEX(Mitarbeiter!$F$6:$F$205,MATCH(B3470,Mitarbeiter!$A$6:$A$205,0)),0))</f>
        <v/>
      </c>
      <c r="H3470" s="8">
        <f>IF(B3470="","",IF(ISNA(MATCH(B3470,Mitarbeiter!$A$6:$A$205,0)),"Pers.-Nr. unbekannt",IF(A3470="","Datum fehlt",IF(AND(D3470&lt;&gt;Einstellungen!$C$4,D3470&lt;&gt;Einstellungen!$C$5),"Objekt fehlt",IF(YEAR(A3470)&lt;&gt;Einstellungen!$C$3,"anderes Jahr",IF(A3470&lt;INDEX(Mitarbeiter!$C$6:$C$205,MATCH(B3470,Mitarbeiter!$A$6:$A$205,0)),"vor Eintritt",IF(AND(INDEX(Mitarbeiter!$D$6:$D$205,MATCH(B3470,Mitarbeiter!$A$6:$A$205,0))&lt;&gt;"",A3470&gt;INDEX(Mitarbeiter!$D$6:$D$205,MATCH(B3470,Mitarbeiter!$A$6:$A$205,0))),"nach Austritt","ok")))))))</f>
        <v/>
      </c>
    </row>
    <row r="3471">
      <c r="A3471" s="26" t="n"/>
      <c r="B3471" s="24" t="n"/>
      <c r="C3471" s="40">
        <f>IF(B3471="","",IFERROR(INDEX(Mitarbeiter!$B$6:$B$205,MATCH(B3471,Mitarbeiter!$A$6:$A$205,0)),"?"))</f>
        <v/>
      </c>
      <c r="D3471" s="41" t="n"/>
      <c r="E3471" s="42" t="n"/>
      <c r="F3471" s="43" t="n"/>
      <c r="G3471" s="44">
        <f>IF(OR(B3471="",F3471=""),"",IFERROR(F3471*INDEX(Mitarbeiter!$F$6:$F$205,MATCH(B3471,Mitarbeiter!$A$6:$A$205,0)),0))</f>
        <v/>
      </c>
      <c r="H3471" s="8">
        <f>IF(B3471="","",IF(ISNA(MATCH(B3471,Mitarbeiter!$A$6:$A$205,0)),"Pers.-Nr. unbekannt",IF(A3471="","Datum fehlt",IF(AND(D3471&lt;&gt;Einstellungen!$C$4,D3471&lt;&gt;Einstellungen!$C$5),"Objekt fehlt",IF(YEAR(A3471)&lt;&gt;Einstellungen!$C$3,"anderes Jahr",IF(A3471&lt;INDEX(Mitarbeiter!$C$6:$C$205,MATCH(B3471,Mitarbeiter!$A$6:$A$205,0)),"vor Eintritt",IF(AND(INDEX(Mitarbeiter!$D$6:$D$205,MATCH(B3471,Mitarbeiter!$A$6:$A$205,0))&lt;&gt;"",A3471&gt;INDEX(Mitarbeiter!$D$6:$D$205,MATCH(B3471,Mitarbeiter!$A$6:$A$205,0))),"nach Austritt","ok")))))))</f>
        <v/>
      </c>
    </row>
    <row r="3472">
      <c r="A3472" s="26" t="n"/>
      <c r="B3472" s="24" t="n"/>
      <c r="C3472" s="40">
        <f>IF(B3472="","",IFERROR(INDEX(Mitarbeiter!$B$6:$B$205,MATCH(B3472,Mitarbeiter!$A$6:$A$205,0)),"?"))</f>
        <v/>
      </c>
      <c r="D3472" s="41" t="n"/>
      <c r="E3472" s="42" t="n"/>
      <c r="F3472" s="43" t="n"/>
      <c r="G3472" s="44">
        <f>IF(OR(B3472="",F3472=""),"",IFERROR(F3472*INDEX(Mitarbeiter!$F$6:$F$205,MATCH(B3472,Mitarbeiter!$A$6:$A$205,0)),0))</f>
        <v/>
      </c>
      <c r="H3472" s="8">
        <f>IF(B3472="","",IF(ISNA(MATCH(B3472,Mitarbeiter!$A$6:$A$205,0)),"Pers.-Nr. unbekannt",IF(A3472="","Datum fehlt",IF(AND(D3472&lt;&gt;Einstellungen!$C$4,D3472&lt;&gt;Einstellungen!$C$5),"Objekt fehlt",IF(YEAR(A3472)&lt;&gt;Einstellungen!$C$3,"anderes Jahr",IF(A3472&lt;INDEX(Mitarbeiter!$C$6:$C$205,MATCH(B3472,Mitarbeiter!$A$6:$A$205,0)),"vor Eintritt",IF(AND(INDEX(Mitarbeiter!$D$6:$D$205,MATCH(B3472,Mitarbeiter!$A$6:$A$205,0))&lt;&gt;"",A3472&gt;INDEX(Mitarbeiter!$D$6:$D$205,MATCH(B3472,Mitarbeiter!$A$6:$A$205,0))),"nach Austritt","ok")))))))</f>
        <v/>
      </c>
    </row>
    <row r="3473">
      <c r="A3473" s="26" t="n"/>
      <c r="B3473" s="24" t="n"/>
      <c r="C3473" s="40">
        <f>IF(B3473="","",IFERROR(INDEX(Mitarbeiter!$B$6:$B$205,MATCH(B3473,Mitarbeiter!$A$6:$A$205,0)),"?"))</f>
        <v/>
      </c>
      <c r="D3473" s="41" t="n"/>
      <c r="E3473" s="42" t="n"/>
      <c r="F3473" s="43" t="n"/>
      <c r="G3473" s="44">
        <f>IF(OR(B3473="",F3473=""),"",IFERROR(F3473*INDEX(Mitarbeiter!$F$6:$F$205,MATCH(B3473,Mitarbeiter!$A$6:$A$205,0)),0))</f>
        <v/>
      </c>
      <c r="H3473" s="8">
        <f>IF(B3473="","",IF(ISNA(MATCH(B3473,Mitarbeiter!$A$6:$A$205,0)),"Pers.-Nr. unbekannt",IF(A3473="","Datum fehlt",IF(AND(D3473&lt;&gt;Einstellungen!$C$4,D3473&lt;&gt;Einstellungen!$C$5),"Objekt fehlt",IF(YEAR(A3473)&lt;&gt;Einstellungen!$C$3,"anderes Jahr",IF(A3473&lt;INDEX(Mitarbeiter!$C$6:$C$205,MATCH(B3473,Mitarbeiter!$A$6:$A$205,0)),"vor Eintritt",IF(AND(INDEX(Mitarbeiter!$D$6:$D$205,MATCH(B3473,Mitarbeiter!$A$6:$A$205,0))&lt;&gt;"",A3473&gt;INDEX(Mitarbeiter!$D$6:$D$205,MATCH(B3473,Mitarbeiter!$A$6:$A$205,0))),"nach Austritt","ok")))))))</f>
        <v/>
      </c>
    </row>
    <row r="3474">
      <c r="A3474" s="26" t="n"/>
      <c r="B3474" s="24" t="n"/>
      <c r="C3474" s="40">
        <f>IF(B3474="","",IFERROR(INDEX(Mitarbeiter!$B$6:$B$205,MATCH(B3474,Mitarbeiter!$A$6:$A$205,0)),"?"))</f>
        <v/>
      </c>
      <c r="D3474" s="41" t="n"/>
      <c r="E3474" s="42" t="n"/>
      <c r="F3474" s="43" t="n"/>
      <c r="G3474" s="44">
        <f>IF(OR(B3474="",F3474=""),"",IFERROR(F3474*INDEX(Mitarbeiter!$F$6:$F$205,MATCH(B3474,Mitarbeiter!$A$6:$A$205,0)),0))</f>
        <v/>
      </c>
      <c r="H3474" s="8">
        <f>IF(B3474="","",IF(ISNA(MATCH(B3474,Mitarbeiter!$A$6:$A$205,0)),"Pers.-Nr. unbekannt",IF(A3474="","Datum fehlt",IF(AND(D3474&lt;&gt;Einstellungen!$C$4,D3474&lt;&gt;Einstellungen!$C$5),"Objekt fehlt",IF(YEAR(A3474)&lt;&gt;Einstellungen!$C$3,"anderes Jahr",IF(A3474&lt;INDEX(Mitarbeiter!$C$6:$C$205,MATCH(B3474,Mitarbeiter!$A$6:$A$205,0)),"vor Eintritt",IF(AND(INDEX(Mitarbeiter!$D$6:$D$205,MATCH(B3474,Mitarbeiter!$A$6:$A$205,0))&lt;&gt;"",A3474&gt;INDEX(Mitarbeiter!$D$6:$D$205,MATCH(B3474,Mitarbeiter!$A$6:$A$205,0))),"nach Austritt","ok")))))))</f>
        <v/>
      </c>
    </row>
    <row r="3475">
      <c r="A3475" s="26" t="n"/>
      <c r="B3475" s="24" t="n"/>
      <c r="C3475" s="40">
        <f>IF(B3475="","",IFERROR(INDEX(Mitarbeiter!$B$6:$B$205,MATCH(B3475,Mitarbeiter!$A$6:$A$205,0)),"?"))</f>
        <v/>
      </c>
      <c r="D3475" s="41" t="n"/>
      <c r="E3475" s="42" t="n"/>
      <c r="F3475" s="43" t="n"/>
      <c r="G3475" s="44">
        <f>IF(OR(B3475="",F3475=""),"",IFERROR(F3475*INDEX(Mitarbeiter!$F$6:$F$205,MATCH(B3475,Mitarbeiter!$A$6:$A$205,0)),0))</f>
        <v/>
      </c>
      <c r="H3475" s="8">
        <f>IF(B3475="","",IF(ISNA(MATCH(B3475,Mitarbeiter!$A$6:$A$205,0)),"Pers.-Nr. unbekannt",IF(A3475="","Datum fehlt",IF(AND(D3475&lt;&gt;Einstellungen!$C$4,D3475&lt;&gt;Einstellungen!$C$5),"Objekt fehlt",IF(YEAR(A3475)&lt;&gt;Einstellungen!$C$3,"anderes Jahr",IF(A3475&lt;INDEX(Mitarbeiter!$C$6:$C$205,MATCH(B3475,Mitarbeiter!$A$6:$A$205,0)),"vor Eintritt",IF(AND(INDEX(Mitarbeiter!$D$6:$D$205,MATCH(B3475,Mitarbeiter!$A$6:$A$205,0))&lt;&gt;"",A3475&gt;INDEX(Mitarbeiter!$D$6:$D$205,MATCH(B3475,Mitarbeiter!$A$6:$A$205,0))),"nach Austritt","ok")))))))</f>
        <v/>
      </c>
    </row>
    <row r="3476">
      <c r="A3476" s="26" t="n"/>
      <c r="B3476" s="24" t="n"/>
      <c r="C3476" s="40">
        <f>IF(B3476="","",IFERROR(INDEX(Mitarbeiter!$B$6:$B$205,MATCH(B3476,Mitarbeiter!$A$6:$A$205,0)),"?"))</f>
        <v/>
      </c>
      <c r="D3476" s="41" t="n"/>
      <c r="E3476" s="42" t="n"/>
      <c r="F3476" s="43" t="n"/>
      <c r="G3476" s="44">
        <f>IF(OR(B3476="",F3476=""),"",IFERROR(F3476*INDEX(Mitarbeiter!$F$6:$F$205,MATCH(B3476,Mitarbeiter!$A$6:$A$205,0)),0))</f>
        <v/>
      </c>
      <c r="H3476" s="8">
        <f>IF(B3476="","",IF(ISNA(MATCH(B3476,Mitarbeiter!$A$6:$A$205,0)),"Pers.-Nr. unbekannt",IF(A3476="","Datum fehlt",IF(AND(D3476&lt;&gt;Einstellungen!$C$4,D3476&lt;&gt;Einstellungen!$C$5),"Objekt fehlt",IF(YEAR(A3476)&lt;&gt;Einstellungen!$C$3,"anderes Jahr",IF(A3476&lt;INDEX(Mitarbeiter!$C$6:$C$205,MATCH(B3476,Mitarbeiter!$A$6:$A$205,0)),"vor Eintritt",IF(AND(INDEX(Mitarbeiter!$D$6:$D$205,MATCH(B3476,Mitarbeiter!$A$6:$A$205,0))&lt;&gt;"",A3476&gt;INDEX(Mitarbeiter!$D$6:$D$205,MATCH(B3476,Mitarbeiter!$A$6:$A$205,0))),"nach Austritt","ok")))))))</f>
        <v/>
      </c>
    </row>
    <row r="3477">
      <c r="A3477" s="26" t="n"/>
      <c r="B3477" s="24" t="n"/>
      <c r="C3477" s="40">
        <f>IF(B3477="","",IFERROR(INDEX(Mitarbeiter!$B$6:$B$205,MATCH(B3477,Mitarbeiter!$A$6:$A$205,0)),"?"))</f>
        <v/>
      </c>
      <c r="D3477" s="41" t="n"/>
      <c r="E3477" s="42" t="n"/>
      <c r="F3477" s="43" t="n"/>
      <c r="G3477" s="44">
        <f>IF(OR(B3477="",F3477=""),"",IFERROR(F3477*INDEX(Mitarbeiter!$F$6:$F$205,MATCH(B3477,Mitarbeiter!$A$6:$A$205,0)),0))</f>
        <v/>
      </c>
      <c r="H3477" s="8">
        <f>IF(B3477="","",IF(ISNA(MATCH(B3477,Mitarbeiter!$A$6:$A$205,0)),"Pers.-Nr. unbekannt",IF(A3477="","Datum fehlt",IF(AND(D3477&lt;&gt;Einstellungen!$C$4,D3477&lt;&gt;Einstellungen!$C$5),"Objekt fehlt",IF(YEAR(A3477)&lt;&gt;Einstellungen!$C$3,"anderes Jahr",IF(A3477&lt;INDEX(Mitarbeiter!$C$6:$C$205,MATCH(B3477,Mitarbeiter!$A$6:$A$205,0)),"vor Eintritt",IF(AND(INDEX(Mitarbeiter!$D$6:$D$205,MATCH(B3477,Mitarbeiter!$A$6:$A$205,0))&lt;&gt;"",A3477&gt;INDEX(Mitarbeiter!$D$6:$D$205,MATCH(B3477,Mitarbeiter!$A$6:$A$205,0))),"nach Austritt","ok")))))))</f>
        <v/>
      </c>
    </row>
    <row r="3478">
      <c r="A3478" s="26" t="n"/>
      <c r="B3478" s="24" t="n"/>
      <c r="C3478" s="40">
        <f>IF(B3478="","",IFERROR(INDEX(Mitarbeiter!$B$6:$B$205,MATCH(B3478,Mitarbeiter!$A$6:$A$205,0)),"?"))</f>
        <v/>
      </c>
      <c r="D3478" s="41" t="n"/>
      <c r="E3478" s="42" t="n"/>
      <c r="F3478" s="43" t="n"/>
      <c r="G3478" s="44">
        <f>IF(OR(B3478="",F3478=""),"",IFERROR(F3478*INDEX(Mitarbeiter!$F$6:$F$205,MATCH(B3478,Mitarbeiter!$A$6:$A$205,0)),0))</f>
        <v/>
      </c>
      <c r="H3478" s="8">
        <f>IF(B3478="","",IF(ISNA(MATCH(B3478,Mitarbeiter!$A$6:$A$205,0)),"Pers.-Nr. unbekannt",IF(A3478="","Datum fehlt",IF(AND(D3478&lt;&gt;Einstellungen!$C$4,D3478&lt;&gt;Einstellungen!$C$5),"Objekt fehlt",IF(YEAR(A3478)&lt;&gt;Einstellungen!$C$3,"anderes Jahr",IF(A3478&lt;INDEX(Mitarbeiter!$C$6:$C$205,MATCH(B3478,Mitarbeiter!$A$6:$A$205,0)),"vor Eintritt",IF(AND(INDEX(Mitarbeiter!$D$6:$D$205,MATCH(B3478,Mitarbeiter!$A$6:$A$205,0))&lt;&gt;"",A3478&gt;INDEX(Mitarbeiter!$D$6:$D$205,MATCH(B3478,Mitarbeiter!$A$6:$A$205,0))),"nach Austritt","ok")))))))</f>
        <v/>
      </c>
    </row>
    <row r="3479">
      <c r="A3479" s="26" t="n"/>
      <c r="B3479" s="24" t="n"/>
      <c r="C3479" s="40">
        <f>IF(B3479="","",IFERROR(INDEX(Mitarbeiter!$B$6:$B$205,MATCH(B3479,Mitarbeiter!$A$6:$A$205,0)),"?"))</f>
        <v/>
      </c>
      <c r="D3479" s="41" t="n"/>
      <c r="E3479" s="42" t="n"/>
      <c r="F3479" s="43" t="n"/>
      <c r="G3479" s="44">
        <f>IF(OR(B3479="",F3479=""),"",IFERROR(F3479*INDEX(Mitarbeiter!$F$6:$F$205,MATCH(B3479,Mitarbeiter!$A$6:$A$205,0)),0))</f>
        <v/>
      </c>
      <c r="H3479" s="8">
        <f>IF(B3479="","",IF(ISNA(MATCH(B3479,Mitarbeiter!$A$6:$A$205,0)),"Pers.-Nr. unbekannt",IF(A3479="","Datum fehlt",IF(AND(D3479&lt;&gt;Einstellungen!$C$4,D3479&lt;&gt;Einstellungen!$C$5),"Objekt fehlt",IF(YEAR(A3479)&lt;&gt;Einstellungen!$C$3,"anderes Jahr",IF(A3479&lt;INDEX(Mitarbeiter!$C$6:$C$205,MATCH(B3479,Mitarbeiter!$A$6:$A$205,0)),"vor Eintritt",IF(AND(INDEX(Mitarbeiter!$D$6:$D$205,MATCH(B3479,Mitarbeiter!$A$6:$A$205,0))&lt;&gt;"",A3479&gt;INDEX(Mitarbeiter!$D$6:$D$205,MATCH(B3479,Mitarbeiter!$A$6:$A$205,0))),"nach Austritt","ok")))))))</f>
        <v/>
      </c>
    </row>
    <row r="3480">
      <c r="A3480" s="26" t="n"/>
      <c r="B3480" s="24" t="n"/>
      <c r="C3480" s="40">
        <f>IF(B3480="","",IFERROR(INDEX(Mitarbeiter!$B$6:$B$205,MATCH(B3480,Mitarbeiter!$A$6:$A$205,0)),"?"))</f>
        <v/>
      </c>
      <c r="D3480" s="41" t="n"/>
      <c r="E3480" s="42" t="n"/>
      <c r="F3480" s="43" t="n"/>
      <c r="G3480" s="44">
        <f>IF(OR(B3480="",F3480=""),"",IFERROR(F3480*INDEX(Mitarbeiter!$F$6:$F$205,MATCH(B3480,Mitarbeiter!$A$6:$A$205,0)),0))</f>
        <v/>
      </c>
      <c r="H3480" s="8">
        <f>IF(B3480="","",IF(ISNA(MATCH(B3480,Mitarbeiter!$A$6:$A$205,0)),"Pers.-Nr. unbekannt",IF(A3480="","Datum fehlt",IF(AND(D3480&lt;&gt;Einstellungen!$C$4,D3480&lt;&gt;Einstellungen!$C$5),"Objekt fehlt",IF(YEAR(A3480)&lt;&gt;Einstellungen!$C$3,"anderes Jahr",IF(A3480&lt;INDEX(Mitarbeiter!$C$6:$C$205,MATCH(B3480,Mitarbeiter!$A$6:$A$205,0)),"vor Eintritt",IF(AND(INDEX(Mitarbeiter!$D$6:$D$205,MATCH(B3480,Mitarbeiter!$A$6:$A$205,0))&lt;&gt;"",A3480&gt;INDEX(Mitarbeiter!$D$6:$D$205,MATCH(B3480,Mitarbeiter!$A$6:$A$205,0))),"nach Austritt","ok")))))))</f>
        <v/>
      </c>
    </row>
    <row r="3481">
      <c r="A3481" s="26" t="n"/>
      <c r="B3481" s="24" t="n"/>
      <c r="C3481" s="40">
        <f>IF(B3481="","",IFERROR(INDEX(Mitarbeiter!$B$6:$B$205,MATCH(B3481,Mitarbeiter!$A$6:$A$205,0)),"?"))</f>
        <v/>
      </c>
      <c r="D3481" s="41" t="n"/>
      <c r="E3481" s="42" t="n"/>
      <c r="F3481" s="43" t="n"/>
      <c r="G3481" s="44">
        <f>IF(OR(B3481="",F3481=""),"",IFERROR(F3481*INDEX(Mitarbeiter!$F$6:$F$205,MATCH(B3481,Mitarbeiter!$A$6:$A$205,0)),0))</f>
        <v/>
      </c>
      <c r="H3481" s="8">
        <f>IF(B3481="","",IF(ISNA(MATCH(B3481,Mitarbeiter!$A$6:$A$205,0)),"Pers.-Nr. unbekannt",IF(A3481="","Datum fehlt",IF(AND(D3481&lt;&gt;Einstellungen!$C$4,D3481&lt;&gt;Einstellungen!$C$5),"Objekt fehlt",IF(YEAR(A3481)&lt;&gt;Einstellungen!$C$3,"anderes Jahr",IF(A3481&lt;INDEX(Mitarbeiter!$C$6:$C$205,MATCH(B3481,Mitarbeiter!$A$6:$A$205,0)),"vor Eintritt",IF(AND(INDEX(Mitarbeiter!$D$6:$D$205,MATCH(B3481,Mitarbeiter!$A$6:$A$205,0))&lt;&gt;"",A3481&gt;INDEX(Mitarbeiter!$D$6:$D$205,MATCH(B3481,Mitarbeiter!$A$6:$A$205,0))),"nach Austritt","ok")))))))</f>
        <v/>
      </c>
    </row>
    <row r="3482">
      <c r="A3482" s="26" t="n"/>
      <c r="B3482" s="24" t="n"/>
      <c r="C3482" s="40">
        <f>IF(B3482="","",IFERROR(INDEX(Mitarbeiter!$B$6:$B$205,MATCH(B3482,Mitarbeiter!$A$6:$A$205,0)),"?"))</f>
        <v/>
      </c>
      <c r="D3482" s="41" t="n"/>
      <c r="E3482" s="42" t="n"/>
      <c r="F3482" s="43" t="n"/>
      <c r="G3482" s="44">
        <f>IF(OR(B3482="",F3482=""),"",IFERROR(F3482*INDEX(Mitarbeiter!$F$6:$F$205,MATCH(B3482,Mitarbeiter!$A$6:$A$205,0)),0))</f>
        <v/>
      </c>
      <c r="H3482" s="8">
        <f>IF(B3482="","",IF(ISNA(MATCH(B3482,Mitarbeiter!$A$6:$A$205,0)),"Pers.-Nr. unbekannt",IF(A3482="","Datum fehlt",IF(AND(D3482&lt;&gt;Einstellungen!$C$4,D3482&lt;&gt;Einstellungen!$C$5),"Objekt fehlt",IF(YEAR(A3482)&lt;&gt;Einstellungen!$C$3,"anderes Jahr",IF(A3482&lt;INDEX(Mitarbeiter!$C$6:$C$205,MATCH(B3482,Mitarbeiter!$A$6:$A$205,0)),"vor Eintritt",IF(AND(INDEX(Mitarbeiter!$D$6:$D$205,MATCH(B3482,Mitarbeiter!$A$6:$A$205,0))&lt;&gt;"",A3482&gt;INDEX(Mitarbeiter!$D$6:$D$205,MATCH(B3482,Mitarbeiter!$A$6:$A$205,0))),"nach Austritt","ok")))))))</f>
        <v/>
      </c>
    </row>
    <row r="3483">
      <c r="A3483" s="26" t="n"/>
      <c r="B3483" s="24" t="n"/>
      <c r="C3483" s="40">
        <f>IF(B3483="","",IFERROR(INDEX(Mitarbeiter!$B$6:$B$205,MATCH(B3483,Mitarbeiter!$A$6:$A$205,0)),"?"))</f>
        <v/>
      </c>
      <c r="D3483" s="41" t="n"/>
      <c r="E3483" s="42" t="n"/>
      <c r="F3483" s="43" t="n"/>
      <c r="G3483" s="44">
        <f>IF(OR(B3483="",F3483=""),"",IFERROR(F3483*INDEX(Mitarbeiter!$F$6:$F$205,MATCH(B3483,Mitarbeiter!$A$6:$A$205,0)),0))</f>
        <v/>
      </c>
      <c r="H3483" s="8">
        <f>IF(B3483="","",IF(ISNA(MATCH(B3483,Mitarbeiter!$A$6:$A$205,0)),"Pers.-Nr. unbekannt",IF(A3483="","Datum fehlt",IF(AND(D3483&lt;&gt;Einstellungen!$C$4,D3483&lt;&gt;Einstellungen!$C$5),"Objekt fehlt",IF(YEAR(A3483)&lt;&gt;Einstellungen!$C$3,"anderes Jahr",IF(A3483&lt;INDEX(Mitarbeiter!$C$6:$C$205,MATCH(B3483,Mitarbeiter!$A$6:$A$205,0)),"vor Eintritt",IF(AND(INDEX(Mitarbeiter!$D$6:$D$205,MATCH(B3483,Mitarbeiter!$A$6:$A$205,0))&lt;&gt;"",A3483&gt;INDEX(Mitarbeiter!$D$6:$D$205,MATCH(B3483,Mitarbeiter!$A$6:$A$205,0))),"nach Austritt","ok")))))))</f>
        <v/>
      </c>
    </row>
    <row r="3484">
      <c r="A3484" s="26" t="n"/>
      <c r="B3484" s="24" t="n"/>
      <c r="C3484" s="40">
        <f>IF(B3484="","",IFERROR(INDEX(Mitarbeiter!$B$6:$B$205,MATCH(B3484,Mitarbeiter!$A$6:$A$205,0)),"?"))</f>
        <v/>
      </c>
      <c r="D3484" s="41" t="n"/>
      <c r="E3484" s="42" t="n"/>
      <c r="F3484" s="43" t="n"/>
      <c r="G3484" s="44">
        <f>IF(OR(B3484="",F3484=""),"",IFERROR(F3484*INDEX(Mitarbeiter!$F$6:$F$205,MATCH(B3484,Mitarbeiter!$A$6:$A$205,0)),0))</f>
        <v/>
      </c>
      <c r="H3484" s="8">
        <f>IF(B3484="","",IF(ISNA(MATCH(B3484,Mitarbeiter!$A$6:$A$205,0)),"Pers.-Nr. unbekannt",IF(A3484="","Datum fehlt",IF(AND(D3484&lt;&gt;Einstellungen!$C$4,D3484&lt;&gt;Einstellungen!$C$5),"Objekt fehlt",IF(YEAR(A3484)&lt;&gt;Einstellungen!$C$3,"anderes Jahr",IF(A3484&lt;INDEX(Mitarbeiter!$C$6:$C$205,MATCH(B3484,Mitarbeiter!$A$6:$A$205,0)),"vor Eintritt",IF(AND(INDEX(Mitarbeiter!$D$6:$D$205,MATCH(B3484,Mitarbeiter!$A$6:$A$205,0))&lt;&gt;"",A3484&gt;INDEX(Mitarbeiter!$D$6:$D$205,MATCH(B3484,Mitarbeiter!$A$6:$A$205,0))),"nach Austritt","ok")))))))</f>
        <v/>
      </c>
    </row>
    <row r="3485">
      <c r="A3485" s="26" t="n"/>
      <c r="B3485" s="24" t="n"/>
      <c r="C3485" s="40">
        <f>IF(B3485="","",IFERROR(INDEX(Mitarbeiter!$B$6:$B$205,MATCH(B3485,Mitarbeiter!$A$6:$A$205,0)),"?"))</f>
        <v/>
      </c>
      <c r="D3485" s="41" t="n"/>
      <c r="E3485" s="42" t="n"/>
      <c r="F3485" s="43" t="n"/>
      <c r="G3485" s="44">
        <f>IF(OR(B3485="",F3485=""),"",IFERROR(F3485*INDEX(Mitarbeiter!$F$6:$F$205,MATCH(B3485,Mitarbeiter!$A$6:$A$205,0)),0))</f>
        <v/>
      </c>
      <c r="H3485" s="8">
        <f>IF(B3485="","",IF(ISNA(MATCH(B3485,Mitarbeiter!$A$6:$A$205,0)),"Pers.-Nr. unbekannt",IF(A3485="","Datum fehlt",IF(AND(D3485&lt;&gt;Einstellungen!$C$4,D3485&lt;&gt;Einstellungen!$C$5),"Objekt fehlt",IF(YEAR(A3485)&lt;&gt;Einstellungen!$C$3,"anderes Jahr",IF(A3485&lt;INDEX(Mitarbeiter!$C$6:$C$205,MATCH(B3485,Mitarbeiter!$A$6:$A$205,0)),"vor Eintritt",IF(AND(INDEX(Mitarbeiter!$D$6:$D$205,MATCH(B3485,Mitarbeiter!$A$6:$A$205,0))&lt;&gt;"",A3485&gt;INDEX(Mitarbeiter!$D$6:$D$205,MATCH(B3485,Mitarbeiter!$A$6:$A$205,0))),"nach Austritt","ok")))))))</f>
        <v/>
      </c>
    </row>
    <row r="3486">
      <c r="A3486" s="26" t="n"/>
      <c r="B3486" s="24" t="n"/>
      <c r="C3486" s="40">
        <f>IF(B3486="","",IFERROR(INDEX(Mitarbeiter!$B$6:$B$205,MATCH(B3486,Mitarbeiter!$A$6:$A$205,0)),"?"))</f>
        <v/>
      </c>
      <c r="D3486" s="41" t="n"/>
      <c r="E3486" s="42" t="n"/>
      <c r="F3486" s="43" t="n"/>
      <c r="G3486" s="44">
        <f>IF(OR(B3486="",F3486=""),"",IFERROR(F3486*INDEX(Mitarbeiter!$F$6:$F$205,MATCH(B3486,Mitarbeiter!$A$6:$A$205,0)),0))</f>
        <v/>
      </c>
      <c r="H3486" s="8">
        <f>IF(B3486="","",IF(ISNA(MATCH(B3486,Mitarbeiter!$A$6:$A$205,0)),"Pers.-Nr. unbekannt",IF(A3486="","Datum fehlt",IF(AND(D3486&lt;&gt;Einstellungen!$C$4,D3486&lt;&gt;Einstellungen!$C$5),"Objekt fehlt",IF(YEAR(A3486)&lt;&gt;Einstellungen!$C$3,"anderes Jahr",IF(A3486&lt;INDEX(Mitarbeiter!$C$6:$C$205,MATCH(B3486,Mitarbeiter!$A$6:$A$205,0)),"vor Eintritt",IF(AND(INDEX(Mitarbeiter!$D$6:$D$205,MATCH(B3486,Mitarbeiter!$A$6:$A$205,0))&lt;&gt;"",A3486&gt;INDEX(Mitarbeiter!$D$6:$D$205,MATCH(B3486,Mitarbeiter!$A$6:$A$205,0))),"nach Austritt","ok")))))))</f>
        <v/>
      </c>
    </row>
    <row r="3487">
      <c r="A3487" s="26" t="n"/>
      <c r="B3487" s="24" t="n"/>
      <c r="C3487" s="40">
        <f>IF(B3487="","",IFERROR(INDEX(Mitarbeiter!$B$6:$B$205,MATCH(B3487,Mitarbeiter!$A$6:$A$205,0)),"?"))</f>
        <v/>
      </c>
      <c r="D3487" s="41" t="n"/>
      <c r="E3487" s="42" t="n"/>
      <c r="F3487" s="43" t="n"/>
      <c r="G3487" s="44">
        <f>IF(OR(B3487="",F3487=""),"",IFERROR(F3487*INDEX(Mitarbeiter!$F$6:$F$205,MATCH(B3487,Mitarbeiter!$A$6:$A$205,0)),0))</f>
        <v/>
      </c>
      <c r="H3487" s="8">
        <f>IF(B3487="","",IF(ISNA(MATCH(B3487,Mitarbeiter!$A$6:$A$205,0)),"Pers.-Nr. unbekannt",IF(A3487="","Datum fehlt",IF(AND(D3487&lt;&gt;Einstellungen!$C$4,D3487&lt;&gt;Einstellungen!$C$5),"Objekt fehlt",IF(YEAR(A3487)&lt;&gt;Einstellungen!$C$3,"anderes Jahr",IF(A3487&lt;INDEX(Mitarbeiter!$C$6:$C$205,MATCH(B3487,Mitarbeiter!$A$6:$A$205,0)),"vor Eintritt",IF(AND(INDEX(Mitarbeiter!$D$6:$D$205,MATCH(B3487,Mitarbeiter!$A$6:$A$205,0))&lt;&gt;"",A3487&gt;INDEX(Mitarbeiter!$D$6:$D$205,MATCH(B3487,Mitarbeiter!$A$6:$A$205,0))),"nach Austritt","ok")))))))</f>
        <v/>
      </c>
    </row>
    <row r="3488">
      <c r="A3488" s="26" t="n"/>
      <c r="B3488" s="24" t="n"/>
      <c r="C3488" s="40">
        <f>IF(B3488="","",IFERROR(INDEX(Mitarbeiter!$B$6:$B$205,MATCH(B3488,Mitarbeiter!$A$6:$A$205,0)),"?"))</f>
        <v/>
      </c>
      <c r="D3488" s="41" t="n"/>
      <c r="E3488" s="42" t="n"/>
      <c r="F3488" s="43" t="n"/>
      <c r="G3488" s="44">
        <f>IF(OR(B3488="",F3488=""),"",IFERROR(F3488*INDEX(Mitarbeiter!$F$6:$F$205,MATCH(B3488,Mitarbeiter!$A$6:$A$205,0)),0))</f>
        <v/>
      </c>
      <c r="H3488" s="8">
        <f>IF(B3488="","",IF(ISNA(MATCH(B3488,Mitarbeiter!$A$6:$A$205,0)),"Pers.-Nr. unbekannt",IF(A3488="","Datum fehlt",IF(AND(D3488&lt;&gt;Einstellungen!$C$4,D3488&lt;&gt;Einstellungen!$C$5),"Objekt fehlt",IF(YEAR(A3488)&lt;&gt;Einstellungen!$C$3,"anderes Jahr",IF(A3488&lt;INDEX(Mitarbeiter!$C$6:$C$205,MATCH(B3488,Mitarbeiter!$A$6:$A$205,0)),"vor Eintritt",IF(AND(INDEX(Mitarbeiter!$D$6:$D$205,MATCH(B3488,Mitarbeiter!$A$6:$A$205,0))&lt;&gt;"",A3488&gt;INDEX(Mitarbeiter!$D$6:$D$205,MATCH(B3488,Mitarbeiter!$A$6:$A$205,0))),"nach Austritt","ok")))))))</f>
        <v/>
      </c>
    </row>
    <row r="3489">
      <c r="A3489" s="26" t="n"/>
      <c r="B3489" s="24" t="n"/>
      <c r="C3489" s="40">
        <f>IF(B3489="","",IFERROR(INDEX(Mitarbeiter!$B$6:$B$205,MATCH(B3489,Mitarbeiter!$A$6:$A$205,0)),"?"))</f>
        <v/>
      </c>
      <c r="D3489" s="41" t="n"/>
      <c r="E3489" s="42" t="n"/>
      <c r="F3489" s="43" t="n"/>
      <c r="G3489" s="44">
        <f>IF(OR(B3489="",F3489=""),"",IFERROR(F3489*INDEX(Mitarbeiter!$F$6:$F$205,MATCH(B3489,Mitarbeiter!$A$6:$A$205,0)),0))</f>
        <v/>
      </c>
      <c r="H3489" s="8">
        <f>IF(B3489="","",IF(ISNA(MATCH(B3489,Mitarbeiter!$A$6:$A$205,0)),"Pers.-Nr. unbekannt",IF(A3489="","Datum fehlt",IF(AND(D3489&lt;&gt;Einstellungen!$C$4,D3489&lt;&gt;Einstellungen!$C$5),"Objekt fehlt",IF(YEAR(A3489)&lt;&gt;Einstellungen!$C$3,"anderes Jahr",IF(A3489&lt;INDEX(Mitarbeiter!$C$6:$C$205,MATCH(B3489,Mitarbeiter!$A$6:$A$205,0)),"vor Eintritt",IF(AND(INDEX(Mitarbeiter!$D$6:$D$205,MATCH(B3489,Mitarbeiter!$A$6:$A$205,0))&lt;&gt;"",A3489&gt;INDEX(Mitarbeiter!$D$6:$D$205,MATCH(B3489,Mitarbeiter!$A$6:$A$205,0))),"nach Austritt","ok")))))))</f>
        <v/>
      </c>
    </row>
    <row r="3490">
      <c r="A3490" s="26" t="n"/>
      <c r="B3490" s="24" t="n"/>
      <c r="C3490" s="40">
        <f>IF(B3490="","",IFERROR(INDEX(Mitarbeiter!$B$6:$B$205,MATCH(B3490,Mitarbeiter!$A$6:$A$205,0)),"?"))</f>
        <v/>
      </c>
      <c r="D3490" s="41" t="n"/>
      <c r="E3490" s="42" t="n"/>
      <c r="F3490" s="43" t="n"/>
      <c r="G3490" s="44">
        <f>IF(OR(B3490="",F3490=""),"",IFERROR(F3490*INDEX(Mitarbeiter!$F$6:$F$205,MATCH(B3490,Mitarbeiter!$A$6:$A$205,0)),0))</f>
        <v/>
      </c>
      <c r="H3490" s="8">
        <f>IF(B3490="","",IF(ISNA(MATCH(B3490,Mitarbeiter!$A$6:$A$205,0)),"Pers.-Nr. unbekannt",IF(A3490="","Datum fehlt",IF(AND(D3490&lt;&gt;Einstellungen!$C$4,D3490&lt;&gt;Einstellungen!$C$5),"Objekt fehlt",IF(YEAR(A3490)&lt;&gt;Einstellungen!$C$3,"anderes Jahr",IF(A3490&lt;INDEX(Mitarbeiter!$C$6:$C$205,MATCH(B3490,Mitarbeiter!$A$6:$A$205,0)),"vor Eintritt",IF(AND(INDEX(Mitarbeiter!$D$6:$D$205,MATCH(B3490,Mitarbeiter!$A$6:$A$205,0))&lt;&gt;"",A3490&gt;INDEX(Mitarbeiter!$D$6:$D$205,MATCH(B3490,Mitarbeiter!$A$6:$A$205,0))),"nach Austritt","ok")))))))</f>
        <v/>
      </c>
    </row>
    <row r="3491">
      <c r="A3491" s="26" t="n"/>
      <c r="B3491" s="24" t="n"/>
      <c r="C3491" s="40">
        <f>IF(B3491="","",IFERROR(INDEX(Mitarbeiter!$B$6:$B$205,MATCH(B3491,Mitarbeiter!$A$6:$A$205,0)),"?"))</f>
        <v/>
      </c>
      <c r="D3491" s="41" t="n"/>
      <c r="E3491" s="42" t="n"/>
      <c r="F3491" s="43" t="n"/>
      <c r="G3491" s="44">
        <f>IF(OR(B3491="",F3491=""),"",IFERROR(F3491*INDEX(Mitarbeiter!$F$6:$F$205,MATCH(B3491,Mitarbeiter!$A$6:$A$205,0)),0))</f>
        <v/>
      </c>
      <c r="H3491" s="8">
        <f>IF(B3491="","",IF(ISNA(MATCH(B3491,Mitarbeiter!$A$6:$A$205,0)),"Pers.-Nr. unbekannt",IF(A3491="","Datum fehlt",IF(AND(D3491&lt;&gt;Einstellungen!$C$4,D3491&lt;&gt;Einstellungen!$C$5),"Objekt fehlt",IF(YEAR(A3491)&lt;&gt;Einstellungen!$C$3,"anderes Jahr",IF(A3491&lt;INDEX(Mitarbeiter!$C$6:$C$205,MATCH(B3491,Mitarbeiter!$A$6:$A$205,0)),"vor Eintritt",IF(AND(INDEX(Mitarbeiter!$D$6:$D$205,MATCH(B3491,Mitarbeiter!$A$6:$A$205,0))&lt;&gt;"",A3491&gt;INDEX(Mitarbeiter!$D$6:$D$205,MATCH(B3491,Mitarbeiter!$A$6:$A$205,0))),"nach Austritt","ok")))))))</f>
        <v/>
      </c>
    </row>
    <row r="3492">
      <c r="A3492" s="26" t="n"/>
      <c r="B3492" s="24" t="n"/>
      <c r="C3492" s="40">
        <f>IF(B3492="","",IFERROR(INDEX(Mitarbeiter!$B$6:$B$205,MATCH(B3492,Mitarbeiter!$A$6:$A$205,0)),"?"))</f>
        <v/>
      </c>
      <c r="D3492" s="41" t="n"/>
      <c r="E3492" s="42" t="n"/>
      <c r="F3492" s="43" t="n"/>
      <c r="G3492" s="44">
        <f>IF(OR(B3492="",F3492=""),"",IFERROR(F3492*INDEX(Mitarbeiter!$F$6:$F$205,MATCH(B3492,Mitarbeiter!$A$6:$A$205,0)),0))</f>
        <v/>
      </c>
      <c r="H3492" s="8">
        <f>IF(B3492="","",IF(ISNA(MATCH(B3492,Mitarbeiter!$A$6:$A$205,0)),"Pers.-Nr. unbekannt",IF(A3492="","Datum fehlt",IF(AND(D3492&lt;&gt;Einstellungen!$C$4,D3492&lt;&gt;Einstellungen!$C$5),"Objekt fehlt",IF(YEAR(A3492)&lt;&gt;Einstellungen!$C$3,"anderes Jahr",IF(A3492&lt;INDEX(Mitarbeiter!$C$6:$C$205,MATCH(B3492,Mitarbeiter!$A$6:$A$205,0)),"vor Eintritt",IF(AND(INDEX(Mitarbeiter!$D$6:$D$205,MATCH(B3492,Mitarbeiter!$A$6:$A$205,0))&lt;&gt;"",A3492&gt;INDEX(Mitarbeiter!$D$6:$D$205,MATCH(B3492,Mitarbeiter!$A$6:$A$205,0))),"nach Austritt","ok")))))))</f>
        <v/>
      </c>
    </row>
    <row r="3493">
      <c r="A3493" s="26" t="n"/>
      <c r="B3493" s="24" t="n"/>
      <c r="C3493" s="40">
        <f>IF(B3493="","",IFERROR(INDEX(Mitarbeiter!$B$6:$B$205,MATCH(B3493,Mitarbeiter!$A$6:$A$205,0)),"?"))</f>
        <v/>
      </c>
      <c r="D3493" s="41" t="n"/>
      <c r="E3493" s="42" t="n"/>
      <c r="F3493" s="43" t="n"/>
      <c r="G3493" s="44">
        <f>IF(OR(B3493="",F3493=""),"",IFERROR(F3493*INDEX(Mitarbeiter!$F$6:$F$205,MATCH(B3493,Mitarbeiter!$A$6:$A$205,0)),0))</f>
        <v/>
      </c>
      <c r="H3493" s="8">
        <f>IF(B3493="","",IF(ISNA(MATCH(B3493,Mitarbeiter!$A$6:$A$205,0)),"Pers.-Nr. unbekannt",IF(A3493="","Datum fehlt",IF(AND(D3493&lt;&gt;Einstellungen!$C$4,D3493&lt;&gt;Einstellungen!$C$5),"Objekt fehlt",IF(YEAR(A3493)&lt;&gt;Einstellungen!$C$3,"anderes Jahr",IF(A3493&lt;INDEX(Mitarbeiter!$C$6:$C$205,MATCH(B3493,Mitarbeiter!$A$6:$A$205,0)),"vor Eintritt",IF(AND(INDEX(Mitarbeiter!$D$6:$D$205,MATCH(B3493,Mitarbeiter!$A$6:$A$205,0))&lt;&gt;"",A3493&gt;INDEX(Mitarbeiter!$D$6:$D$205,MATCH(B3493,Mitarbeiter!$A$6:$A$205,0))),"nach Austritt","ok")))))))</f>
        <v/>
      </c>
    </row>
    <row r="3494">
      <c r="A3494" s="26" t="n"/>
      <c r="B3494" s="24" t="n"/>
      <c r="C3494" s="40">
        <f>IF(B3494="","",IFERROR(INDEX(Mitarbeiter!$B$6:$B$205,MATCH(B3494,Mitarbeiter!$A$6:$A$205,0)),"?"))</f>
        <v/>
      </c>
      <c r="D3494" s="41" t="n"/>
      <c r="E3494" s="42" t="n"/>
      <c r="F3494" s="43" t="n"/>
      <c r="G3494" s="44">
        <f>IF(OR(B3494="",F3494=""),"",IFERROR(F3494*INDEX(Mitarbeiter!$F$6:$F$205,MATCH(B3494,Mitarbeiter!$A$6:$A$205,0)),0))</f>
        <v/>
      </c>
      <c r="H3494" s="8">
        <f>IF(B3494="","",IF(ISNA(MATCH(B3494,Mitarbeiter!$A$6:$A$205,0)),"Pers.-Nr. unbekannt",IF(A3494="","Datum fehlt",IF(AND(D3494&lt;&gt;Einstellungen!$C$4,D3494&lt;&gt;Einstellungen!$C$5),"Objekt fehlt",IF(YEAR(A3494)&lt;&gt;Einstellungen!$C$3,"anderes Jahr",IF(A3494&lt;INDEX(Mitarbeiter!$C$6:$C$205,MATCH(B3494,Mitarbeiter!$A$6:$A$205,0)),"vor Eintritt",IF(AND(INDEX(Mitarbeiter!$D$6:$D$205,MATCH(B3494,Mitarbeiter!$A$6:$A$205,0))&lt;&gt;"",A3494&gt;INDEX(Mitarbeiter!$D$6:$D$205,MATCH(B3494,Mitarbeiter!$A$6:$A$205,0))),"nach Austritt","ok")))))))</f>
        <v/>
      </c>
    </row>
    <row r="3495">
      <c r="A3495" s="26" t="n"/>
      <c r="B3495" s="24" t="n"/>
      <c r="C3495" s="40">
        <f>IF(B3495="","",IFERROR(INDEX(Mitarbeiter!$B$6:$B$205,MATCH(B3495,Mitarbeiter!$A$6:$A$205,0)),"?"))</f>
        <v/>
      </c>
      <c r="D3495" s="41" t="n"/>
      <c r="E3495" s="42" t="n"/>
      <c r="F3495" s="43" t="n"/>
      <c r="G3495" s="44">
        <f>IF(OR(B3495="",F3495=""),"",IFERROR(F3495*INDEX(Mitarbeiter!$F$6:$F$205,MATCH(B3495,Mitarbeiter!$A$6:$A$205,0)),0))</f>
        <v/>
      </c>
      <c r="H3495" s="8">
        <f>IF(B3495="","",IF(ISNA(MATCH(B3495,Mitarbeiter!$A$6:$A$205,0)),"Pers.-Nr. unbekannt",IF(A3495="","Datum fehlt",IF(AND(D3495&lt;&gt;Einstellungen!$C$4,D3495&lt;&gt;Einstellungen!$C$5),"Objekt fehlt",IF(YEAR(A3495)&lt;&gt;Einstellungen!$C$3,"anderes Jahr",IF(A3495&lt;INDEX(Mitarbeiter!$C$6:$C$205,MATCH(B3495,Mitarbeiter!$A$6:$A$205,0)),"vor Eintritt",IF(AND(INDEX(Mitarbeiter!$D$6:$D$205,MATCH(B3495,Mitarbeiter!$A$6:$A$205,0))&lt;&gt;"",A3495&gt;INDEX(Mitarbeiter!$D$6:$D$205,MATCH(B3495,Mitarbeiter!$A$6:$A$205,0))),"nach Austritt","ok")))))))</f>
        <v/>
      </c>
    </row>
    <row r="3496">
      <c r="A3496" s="26" t="n"/>
      <c r="B3496" s="24" t="n"/>
      <c r="C3496" s="40">
        <f>IF(B3496="","",IFERROR(INDEX(Mitarbeiter!$B$6:$B$205,MATCH(B3496,Mitarbeiter!$A$6:$A$205,0)),"?"))</f>
        <v/>
      </c>
      <c r="D3496" s="41" t="n"/>
      <c r="E3496" s="42" t="n"/>
      <c r="F3496" s="43" t="n"/>
      <c r="G3496" s="44">
        <f>IF(OR(B3496="",F3496=""),"",IFERROR(F3496*INDEX(Mitarbeiter!$F$6:$F$205,MATCH(B3496,Mitarbeiter!$A$6:$A$205,0)),0))</f>
        <v/>
      </c>
      <c r="H3496" s="8">
        <f>IF(B3496="","",IF(ISNA(MATCH(B3496,Mitarbeiter!$A$6:$A$205,0)),"Pers.-Nr. unbekannt",IF(A3496="","Datum fehlt",IF(AND(D3496&lt;&gt;Einstellungen!$C$4,D3496&lt;&gt;Einstellungen!$C$5),"Objekt fehlt",IF(YEAR(A3496)&lt;&gt;Einstellungen!$C$3,"anderes Jahr",IF(A3496&lt;INDEX(Mitarbeiter!$C$6:$C$205,MATCH(B3496,Mitarbeiter!$A$6:$A$205,0)),"vor Eintritt",IF(AND(INDEX(Mitarbeiter!$D$6:$D$205,MATCH(B3496,Mitarbeiter!$A$6:$A$205,0))&lt;&gt;"",A3496&gt;INDEX(Mitarbeiter!$D$6:$D$205,MATCH(B3496,Mitarbeiter!$A$6:$A$205,0))),"nach Austritt","ok")))))))</f>
        <v/>
      </c>
    </row>
    <row r="3497">
      <c r="A3497" s="26" t="n"/>
      <c r="B3497" s="24" t="n"/>
      <c r="C3497" s="40">
        <f>IF(B3497="","",IFERROR(INDEX(Mitarbeiter!$B$6:$B$205,MATCH(B3497,Mitarbeiter!$A$6:$A$205,0)),"?"))</f>
        <v/>
      </c>
      <c r="D3497" s="41" t="n"/>
      <c r="E3497" s="42" t="n"/>
      <c r="F3497" s="43" t="n"/>
      <c r="G3497" s="44">
        <f>IF(OR(B3497="",F3497=""),"",IFERROR(F3497*INDEX(Mitarbeiter!$F$6:$F$205,MATCH(B3497,Mitarbeiter!$A$6:$A$205,0)),0))</f>
        <v/>
      </c>
      <c r="H3497" s="8">
        <f>IF(B3497="","",IF(ISNA(MATCH(B3497,Mitarbeiter!$A$6:$A$205,0)),"Pers.-Nr. unbekannt",IF(A3497="","Datum fehlt",IF(AND(D3497&lt;&gt;Einstellungen!$C$4,D3497&lt;&gt;Einstellungen!$C$5),"Objekt fehlt",IF(YEAR(A3497)&lt;&gt;Einstellungen!$C$3,"anderes Jahr",IF(A3497&lt;INDEX(Mitarbeiter!$C$6:$C$205,MATCH(B3497,Mitarbeiter!$A$6:$A$205,0)),"vor Eintritt",IF(AND(INDEX(Mitarbeiter!$D$6:$D$205,MATCH(B3497,Mitarbeiter!$A$6:$A$205,0))&lt;&gt;"",A3497&gt;INDEX(Mitarbeiter!$D$6:$D$205,MATCH(B3497,Mitarbeiter!$A$6:$A$205,0))),"nach Austritt","ok")))))))</f>
        <v/>
      </c>
    </row>
    <row r="3498">
      <c r="A3498" s="26" t="n"/>
      <c r="B3498" s="24" t="n"/>
      <c r="C3498" s="40">
        <f>IF(B3498="","",IFERROR(INDEX(Mitarbeiter!$B$6:$B$205,MATCH(B3498,Mitarbeiter!$A$6:$A$205,0)),"?"))</f>
        <v/>
      </c>
      <c r="D3498" s="41" t="n"/>
      <c r="E3498" s="42" t="n"/>
      <c r="F3498" s="43" t="n"/>
      <c r="G3498" s="44">
        <f>IF(OR(B3498="",F3498=""),"",IFERROR(F3498*INDEX(Mitarbeiter!$F$6:$F$205,MATCH(B3498,Mitarbeiter!$A$6:$A$205,0)),0))</f>
        <v/>
      </c>
      <c r="H3498" s="8">
        <f>IF(B3498="","",IF(ISNA(MATCH(B3498,Mitarbeiter!$A$6:$A$205,0)),"Pers.-Nr. unbekannt",IF(A3498="","Datum fehlt",IF(AND(D3498&lt;&gt;Einstellungen!$C$4,D3498&lt;&gt;Einstellungen!$C$5),"Objekt fehlt",IF(YEAR(A3498)&lt;&gt;Einstellungen!$C$3,"anderes Jahr",IF(A3498&lt;INDEX(Mitarbeiter!$C$6:$C$205,MATCH(B3498,Mitarbeiter!$A$6:$A$205,0)),"vor Eintritt",IF(AND(INDEX(Mitarbeiter!$D$6:$D$205,MATCH(B3498,Mitarbeiter!$A$6:$A$205,0))&lt;&gt;"",A3498&gt;INDEX(Mitarbeiter!$D$6:$D$205,MATCH(B3498,Mitarbeiter!$A$6:$A$205,0))),"nach Austritt","ok")))))))</f>
        <v/>
      </c>
    </row>
    <row r="3499">
      <c r="A3499" s="26" t="n"/>
      <c r="B3499" s="24" t="n"/>
      <c r="C3499" s="40">
        <f>IF(B3499="","",IFERROR(INDEX(Mitarbeiter!$B$6:$B$205,MATCH(B3499,Mitarbeiter!$A$6:$A$205,0)),"?"))</f>
        <v/>
      </c>
      <c r="D3499" s="41" t="n"/>
      <c r="E3499" s="42" t="n"/>
      <c r="F3499" s="43" t="n"/>
      <c r="G3499" s="44">
        <f>IF(OR(B3499="",F3499=""),"",IFERROR(F3499*INDEX(Mitarbeiter!$F$6:$F$205,MATCH(B3499,Mitarbeiter!$A$6:$A$205,0)),0))</f>
        <v/>
      </c>
      <c r="H3499" s="8">
        <f>IF(B3499="","",IF(ISNA(MATCH(B3499,Mitarbeiter!$A$6:$A$205,0)),"Pers.-Nr. unbekannt",IF(A3499="","Datum fehlt",IF(AND(D3499&lt;&gt;Einstellungen!$C$4,D3499&lt;&gt;Einstellungen!$C$5),"Objekt fehlt",IF(YEAR(A3499)&lt;&gt;Einstellungen!$C$3,"anderes Jahr",IF(A3499&lt;INDEX(Mitarbeiter!$C$6:$C$205,MATCH(B3499,Mitarbeiter!$A$6:$A$205,0)),"vor Eintritt",IF(AND(INDEX(Mitarbeiter!$D$6:$D$205,MATCH(B3499,Mitarbeiter!$A$6:$A$205,0))&lt;&gt;"",A3499&gt;INDEX(Mitarbeiter!$D$6:$D$205,MATCH(B3499,Mitarbeiter!$A$6:$A$205,0))),"nach Austritt","ok")))))))</f>
        <v/>
      </c>
    </row>
    <row r="3500">
      <c r="A3500" s="26" t="n"/>
      <c r="B3500" s="24" t="n"/>
      <c r="C3500" s="40">
        <f>IF(B3500="","",IFERROR(INDEX(Mitarbeiter!$B$6:$B$205,MATCH(B3500,Mitarbeiter!$A$6:$A$205,0)),"?"))</f>
        <v/>
      </c>
      <c r="D3500" s="41" t="n"/>
      <c r="E3500" s="42" t="n"/>
      <c r="F3500" s="43" t="n"/>
      <c r="G3500" s="44">
        <f>IF(OR(B3500="",F3500=""),"",IFERROR(F3500*INDEX(Mitarbeiter!$F$6:$F$205,MATCH(B3500,Mitarbeiter!$A$6:$A$205,0)),0))</f>
        <v/>
      </c>
      <c r="H3500" s="8">
        <f>IF(B3500="","",IF(ISNA(MATCH(B3500,Mitarbeiter!$A$6:$A$205,0)),"Pers.-Nr. unbekannt",IF(A3500="","Datum fehlt",IF(AND(D3500&lt;&gt;Einstellungen!$C$4,D3500&lt;&gt;Einstellungen!$C$5),"Objekt fehlt",IF(YEAR(A3500)&lt;&gt;Einstellungen!$C$3,"anderes Jahr",IF(A3500&lt;INDEX(Mitarbeiter!$C$6:$C$205,MATCH(B3500,Mitarbeiter!$A$6:$A$205,0)),"vor Eintritt",IF(AND(INDEX(Mitarbeiter!$D$6:$D$205,MATCH(B3500,Mitarbeiter!$A$6:$A$205,0))&lt;&gt;"",A3500&gt;INDEX(Mitarbeiter!$D$6:$D$205,MATCH(B3500,Mitarbeiter!$A$6:$A$205,0))),"nach Austritt","ok")))))))</f>
        <v/>
      </c>
    </row>
    <row r="3501">
      <c r="A3501" s="26" t="n"/>
      <c r="B3501" s="24" t="n"/>
      <c r="C3501" s="40">
        <f>IF(B3501="","",IFERROR(INDEX(Mitarbeiter!$B$6:$B$205,MATCH(B3501,Mitarbeiter!$A$6:$A$205,0)),"?"))</f>
        <v/>
      </c>
      <c r="D3501" s="41" t="n"/>
      <c r="E3501" s="42" t="n"/>
      <c r="F3501" s="43" t="n"/>
      <c r="G3501" s="44">
        <f>IF(OR(B3501="",F3501=""),"",IFERROR(F3501*INDEX(Mitarbeiter!$F$6:$F$205,MATCH(B3501,Mitarbeiter!$A$6:$A$205,0)),0))</f>
        <v/>
      </c>
      <c r="H3501" s="8">
        <f>IF(B3501="","",IF(ISNA(MATCH(B3501,Mitarbeiter!$A$6:$A$205,0)),"Pers.-Nr. unbekannt",IF(A3501="","Datum fehlt",IF(AND(D3501&lt;&gt;Einstellungen!$C$4,D3501&lt;&gt;Einstellungen!$C$5),"Objekt fehlt",IF(YEAR(A3501)&lt;&gt;Einstellungen!$C$3,"anderes Jahr",IF(A3501&lt;INDEX(Mitarbeiter!$C$6:$C$205,MATCH(B3501,Mitarbeiter!$A$6:$A$205,0)),"vor Eintritt",IF(AND(INDEX(Mitarbeiter!$D$6:$D$205,MATCH(B3501,Mitarbeiter!$A$6:$A$205,0))&lt;&gt;"",A3501&gt;INDEX(Mitarbeiter!$D$6:$D$205,MATCH(B3501,Mitarbeiter!$A$6:$A$205,0))),"nach Austritt","ok")))))))</f>
        <v/>
      </c>
    </row>
    <row r="3502">
      <c r="A3502" s="26" t="n"/>
      <c r="B3502" s="24" t="n"/>
      <c r="C3502" s="40">
        <f>IF(B3502="","",IFERROR(INDEX(Mitarbeiter!$B$6:$B$205,MATCH(B3502,Mitarbeiter!$A$6:$A$205,0)),"?"))</f>
        <v/>
      </c>
      <c r="D3502" s="41" t="n"/>
      <c r="E3502" s="42" t="n"/>
      <c r="F3502" s="43" t="n"/>
      <c r="G3502" s="44">
        <f>IF(OR(B3502="",F3502=""),"",IFERROR(F3502*INDEX(Mitarbeiter!$F$6:$F$205,MATCH(B3502,Mitarbeiter!$A$6:$A$205,0)),0))</f>
        <v/>
      </c>
      <c r="H3502" s="8">
        <f>IF(B3502="","",IF(ISNA(MATCH(B3502,Mitarbeiter!$A$6:$A$205,0)),"Pers.-Nr. unbekannt",IF(A3502="","Datum fehlt",IF(AND(D3502&lt;&gt;Einstellungen!$C$4,D3502&lt;&gt;Einstellungen!$C$5),"Objekt fehlt",IF(YEAR(A3502)&lt;&gt;Einstellungen!$C$3,"anderes Jahr",IF(A3502&lt;INDEX(Mitarbeiter!$C$6:$C$205,MATCH(B3502,Mitarbeiter!$A$6:$A$205,0)),"vor Eintritt",IF(AND(INDEX(Mitarbeiter!$D$6:$D$205,MATCH(B3502,Mitarbeiter!$A$6:$A$205,0))&lt;&gt;"",A3502&gt;INDEX(Mitarbeiter!$D$6:$D$205,MATCH(B3502,Mitarbeiter!$A$6:$A$205,0))),"nach Austritt","ok")))))))</f>
        <v/>
      </c>
    </row>
    <row r="3503">
      <c r="A3503" s="26" t="n"/>
      <c r="B3503" s="24" t="n"/>
      <c r="C3503" s="40">
        <f>IF(B3503="","",IFERROR(INDEX(Mitarbeiter!$B$6:$B$205,MATCH(B3503,Mitarbeiter!$A$6:$A$205,0)),"?"))</f>
        <v/>
      </c>
      <c r="D3503" s="41" t="n"/>
      <c r="E3503" s="42" t="n"/>
      <c r="F3503" s="43" t="n"/>
      <c r="G3503" s="44">
        <f>IF(OR(B3503="",F3503=""),"",IFERROR(F3503*INDEX(Mitarbeiter!$F$6:$F$205,MATCH(B3503,Mitarbeiter!$A$6:$A$205,0)),0))</f>
        <v/>
      </c>
      <c r="H3503" s="8">
        <f>IF(B3503="","",IF(ISNA(MATCH(B3503,Mitarbeiter!$A$6:$A$205,0)),"Pers.-Nr. unbekannt",IF(A3503="","Datum fehlt",IF(AND(D3503&lt;&gt;Einstellungen!$C$4,D3503&lt;&gt;Einstellungen!$C$5),"Objekt fehlt",IF(YEAR(A3503)&lt;&gt;Einstellungen!$C$3,"anderes Jahr",IF(A3503&lt;INDEX(Mitarbeiter!$C$6:$C$205,MATCH(B3503,Mitarbeiter!$A$6:$A$205,0)),"vor Eintritt",IF(AND(INDEX(Mitarbeiter!$D$6:$D$205,MATCH(B3503,Mitarbeiter!$A$6:$A$205,0))&lt;&gt;"",A3503&gt;INDEX(Mitarbeiter!$D$6:$D$205,MATCH(B3503,Mitarbeiter!$A$6:$A$205,0))),"nach Austritt","ok")))))))</f>
        <v/>
      </c>
    </row>
    <row r="3504">
      <c r="A3504" s="26" t="n"/>
      <c r="B3504" s="24" t="n"/>
      <c r="C3504" s="40">
        <f>IF(B3504="","",IFERROR(INDEX(Mitarbeiter!$B$6:$B$205,MATCH(B3504,Mitarbeiter!$A$6:$A$205,0)),"?"))</f>
        <v/>
      </c>
      <c r="D3504" s="41" t="n"/>
      <c r="E3504" s="42" t="n"/>
      <c r="F3504" s="43" t="n"/>
      <c r="G3504" s="44">
        <f>IF(OR(B3504="",F3504=""),"",IFERROR(F3504*INDEX(Mitarbeiter!$F$6:$F$205,MATCH(B3504,Mitarbeiter!$A$6:$A$205,0)),0))</f>
        <v/>
      </c>
      <c r="H3504" s="8">
        <f>IF(B3504="","",IF(ISNA(MATCH(B3504,Mitarbeiter!$A$6:$A$205,0)),"Pers.-Nr. unbekannt",IF(A3504="","Datum fehlt",IF(AND(D3504&lt;&gt;Einstellungen!$C$4,D3504&lt;&gt;Einstellungen!$C$5),"Objekt fehlt",IF(YEAR(A3504)&lt;&gt;Einstellungen!$C$3,"anderes Jahr",IF(A3504&lt;INDEX(Mitarbeiter!$C$6:$C$205,MATCH(B3504,Mitarbeiter!$A$6:$A$205,0)),"vor Eintritt",IF(AND(INDEX(Mitarbeiter!$D$6:$D$205,MATCH(B3504,Mitarbeiter!$A$6:$A$205,0))&lt;&gt;"",A3504&gt;INDEX(Mitarbeiter!$D$6:$D$205,MATCH(B3504,Mitarbeiter!$A$6:$A$205,0))),"nach Austritt","ok")))))))</f>
        <v/>
      </c>
    </row>
    <row r="3505">
      <c r="A3505" s="26" t="n"/>
      <c r="B3505" s="24" t="n"/>
      <c r="C3505" s="40">
        <f>IF(B3505="","",IFERROR(INDEX(Mitarbeiter!$B$6:$B$205,MATCH(B3505,Mitarbeiter!$A$6:$A$205,0)),"?"))</f>
        <v/>
      </c>
      <c r="D3505" s="41" t="n"/>
      <c r="E3505" s="42" t="n"/>
      <c r="F3505" s="43" t="n"/>
      <c r="G3505" s="44">
        <f>IF(OR(B3505="",F3505=""),"",IFERROR(F3505*INDEX(Mitarbeiter!$F$6:$F$205,MATCH(B3505,Mitarbeiter!$A$6:$A$205,0)),0))</f>
        <v/>
      </c>
      <c r="H3505" s="8">
        <f>IF(B3505="","",IF(ISNA(MATCH(B3505,Mitarbeiter!$A$6:$A$205,0)),"Pers.-Nr. unbekannt",IF(A3505="","Datum fehlt",IF(AND(D3505&lt;&gt;Einstellungen!$C$4,D3505&lt;&gt;Einstellungen!$C$5),"Objekt fehlt",IF(YEAR(A3505)&lt;&gt;Einstellungen!$C$3,"anderes Jahr",IF(A3505&lt;INDEX(Mitarbeiter!$C$6:$C$205,MATCH(B3505,Mitarbeiter!$A$6:$A$205,0)),"vor Eintritt",IF(AND(INDEX(Mitarbeiter!$D$6:$D$205,MATCH(B3505,Mitarbeiter!$A$6:$A$205,0))&lt;&gt;"",A3505&gt;INDEX(Mitarbeiter!$D$6:$D$205,MATCH(B3505,Mitarbeiter!$A$6:$A$205,0))),"nach Austritt","ok")))))))</f>
        <v/>
      </c>
    </row>
    <row r="3506">
      <c r="A3506" s="26" t="n"/>
      <c r="B3506" s="24" t="n"/>
      <c r="C3506" s="40">
        <f>IF(B3506="","",IFERROR(INDEX(Mitarbeiter!$B$6:$B$205,MATCH(B3506,Mitarbeiter!$A$6:$A$205,0)),"?"))</f>
        <v/>
      </c>
      <c r="D3506" s="41" t="n"/>
      <c r="E3506" s="42" t="n"/>
      <c r="F3506" s="43" t="n"/>
      <c r="G3506" s="44">
        <f>IF(OR(B3506="",F3506=""),"",IFERROR(F3506*INDEX(Mitarbeiter!$F$6:$F$205,MATCH(B3506,Mitarbeiter!$A$6:$A$205,0)),0))</f>
        <v/>
      </c>
      <c r="H3506" s="8">
        <f>IF(B3506="","",IF(ISNA(MATCH(B3506,Mitarbeiter!$A$6:$A$205,0)),"Pers.-Nr. unbekannt",IF(A3506="","Datum fehlt",IF(AND(D3506&lt;&gt;Einstellungen!$C$4,D3506&lt;&gt;Einstellungen!$C$5),"Objekt fehlt",IF(YEAR(A3506)&lt;&gt;Einstellungen!$C$3,"anderes Jahr",IF(A3506&lt;INDEX(Mitarbeiter!$C$6:$C$205,MATCH(B3506,Mitarbeiter!$A$6:$A$205,0)),"vor Eintritt",IF(AND(INDEX(Mitarbeiter!$D$6:$D$205,MATCH(B3506,Mitarbeiter!$A$6:$A$205,0))&lt;&gt;"",A3506&gt;INDEX(Mitarbeiter!$D$6:$D$205,MATCH(B3506,Mitarbeiter!$A$6:$A$205,0))),"nach Austritt","ok")))))))</f>
        <v/>
      </c>
    </row>
    <row r="3507">
      <c r="A3507" s="26" t="n"/>
      <c r="B3507" s="24" t="n"/>
      <c r="C3507" s="40">
        <f>IF(B3507="","",IFERROR(INDEX(Mitarbeiter!$B$6:$B$205,MATCH(B3507,Mitarbeiter!$A$6:$A$205,0)),"?"))</f>
        <v/>
      </c>
      <c r="D3507" s="41" t="n"/>
      <c r="E3507" s="42" t="n"/>
      <c r="F3507" s="43" t="n"/>
      <c r="G3507" s="44">
        <f>IF(OR(B3507="",F3507=""),"",IFERROR(F3507*INDEX(Mitarbeiter!$F$6:$F$205,MATCH(B3507,Mitarbeiter!$A$6:$A$205,0)),0))</f>
        <v/>
      </c>
      <c r="H3507" s="8">
        <f>IF(B3507="","",IF(ISNA(MATCH(B3507,Mitarbeiter!$A$6:$A$205,0)),"Pers.-Nr. unbekannt",IF(A3507="","Datum fehlt",IF(AND(D3507&lt;&gt;Einstellungen!$C$4,D3507&lt;&gt;Einstellungen!$C$5),"Objekt fehlt",IF(YEAR(A3507)&lt;&gt;Einstellungen!$C$3,"anderes Jahr",IF(A3507&lt;INDEX(Mitarbeiter!$C$6:$C$205,MATCH(B3507,Mitarbeiter!$A$6:$A$205,0)),"vor Eintritt",IF(AND(INDEX(Mitarbeiter!$D$6:$D$205,MATCH(B3507,Mitarbeiter!$A$6:$A$205,0))&lt;&gt;"",A3507&gt;INDEX(Mitarbeiter!$D$6:$D$205,MATCH(B3507,Mitarbeiter!$A$6:$A$205,0))),"nach Austritt","ok")))))))</f>
        <v/>
      </c>
    </row>
    <row r="3508">
      <c r="A3508" s="26" t="n"/>
      <c r="B3508" s="24" t="n"/>
      <c r="C3508" s="40">
        <f>IF(B3508="","",IFERROR(INDEX(Mitarbeiter!$B$6:$B$205,MATCH(B3508,Mitarbeiter!$A$6:$A$205,0)),"?"))</f>
        <v/>
      </c>
      <c r="D3508" s="41" t="n"/>
      <c r="E3508" s="42" t="n"/>
      <c r="F3508" s="43" t="n"/>
      <c r="G3508" s="44">
        <f>IF(OR(B3508="",F3508=""),"",IFERROR(F3508*INDEX(Mitarbeiter!$F$6:$F$205,MATCH(B3508,Mitarbeiter!$A$6:$A$205,0)),0))</f>
        <v/>
      </c>
      <c r="H3508" s="8">
        <f>IF(B3508="","",IF(ISNA(MATCH(B3508,Mitarbeiter!$A$6:$A$205,0)),"Pers.-Nr. unbekannt",IF(A3508="","Datum fehlt",IF(AND(D3508&lt;&gt;Einstellungen!$C$4,D3508&lt;&gt;Einstellungen!$C$5),"Objekt fehlt",IF(YEAR(A3508)&lt;&gt;Einstellungen!$C$3,"anderes Jahr",IF(A3508&lt;INDEX(Mitarbeiter!$C$6:$C$205,MATCH(B3508,Mitarbeiter!$A$6:$A$205,0)),"vor Eintritt",IF(AND(INDEX(Mitarbeiter!$D$6:$D$205,MATCH(B3508,Mitarbeiter!$A$6:$A$205,0))&lt;&gt;"",A3508&gt;INDEX(Mitarbeiter!$D$6:$D$205,MATCH(B3508,Mitarbeiter!$A$6:$A$205,0))),"nach Austritt","ok")))))))</f>
        <v/>
      </c>
    </row>
    <row r="3509">
      <c r="A3509" s="26" t="n"/>
      <c r="B3509" s="24" t="n"/>
      <c r="C3509" s="40">
        <f>IF(B3509="","",IFERROR(INDEX(Mitarbeiter!$B$6:$B$205,MATCH(B3509,Mitarbeiter!$A$6:$A$205,0)),"?"))</f>
        <v/>
      </c>
      <c r="D3509" s="41" t="n"/>
      <c r="E3509" s="42" t="n"/>
      <c r="F3509" s="43" t="n"/>
      <c r="G3509" s="44">
        <f>IF(OR(B3509="",F3509=""),"",IFERROR(F3509*INDEX(Mitarbeiter!$F$6:$F$205,MATCH(B3509,Mitarbeiter!$A$6:$A$205,0)),0))</f>
        <v/>
      </c>
      <c r="H3509" s="8">
        <f>IF(B3509="","",IF(ISNA(MATCH(B3509,Mitarbeiter!$A$6:$A$205,0)),"Pers.-Nr. unbekannt",IF(A3509="","Datum fehlt",IF(AND(D3509&lt;&gt;Einstellungen!$C$4,D3509&lt;&gt;Einstellungen!$C$5),"Objekt fehlt",IF(YEAR(A3509)&lt;&gt;Einstellungen!$C$3,"anderes Jahr",IF(A3509&lt;INDEX(Mitarbeiter!$C$6:$C$205,MATCH(B3509,Mitarbeiter!$A$6:$A$205,0)),"vor Eintritt",IF(AND(INDEX(Mitarbeiter!$D$6:$D$205,MATCH(B3509,Mitarbeiter!$A$6:$A$205,0))&lt;&gt;"",A3509&gt;INDEX(Mitarbeiter!$D$6:$D$205,MATCH(B3509,Mitarbeiter!$A$6:$A$205,0))),"nach Austritt","ok")))))))</f>
        <v/>
      </c>
    </row>
    <row r="3510">
      <c r="A3510" s="26" t="n"/>
      <c r="B3510" s="24" t="n"/>
      <c r="C3510" s="40">
        <f>IF(B3510="","",IFERROR(INDEX(Mitarbeiter!$B$6:$B$205,MATCH(B3510,Mitarbeiter!$A$6:$A$205,0)),"?"))</f>
        <v/>
      </c>
      <c r="D3510" s="41" t="n"/>
      <c r="E3510" s="42" t="n"/>
      <c r="F3510" s="43" t="n"/>
      <c r="G3510" s="44">
        <f>IF(OR(B3510="",F3510=""),"",IFERROR(F3510*INDEX(Mitarbeiter!$F$6:$F$205,MATCH(B3510,Mitarbeiter!$A$6:$A$205,0)),0))</f>
        <v/>
      </c>
      <c r="H3510" s="8">
        <f>IF(B3510="","",IF(ISNA(MATCH(B3510,Mitarbeiter!$A$6:$A$205,0)),"Pers.-Nr. unbekannt",IF(A3510="","Datum fehlt",IF(AND(D3510&lt;&gt;Einstellungen!$C$4,D3510&lt;&gt;Einstellungen!$C$5),"Objekt fehlt",IF(YEAR(A3510)&lt;&gt;Einstellungen!$C$3,"anderes Jahr",IF(A3510&lt;INDEX(Mitarbeiter!$C$6:$C$205,MATCH(B3510,Mitarbeiter!$A$6:$A$205,0)),"vor Eintritt",IF(AND(INDEX(Mitarbeiter!$D$6:$D$205,MATCH(B3510,Mitarbeiter!$A$6:$A$205,0))&lt;&gt;"",A3510&gt;INDEX(Mitarbeiter!$D$6:$D$205,MATCH(B3510,Mitarbeiter!$A$6:$A$205,0))),"nach Austritt","ok")))))))</f>
        <v/>
      </c>
    </row>
    <row r="3511">
      <c r="A3511" s="26" t="n"/>
      <c r="B3511" s="24" t="n"/>
      <c r="C3511" s="40">
        <f>IF(B3511="","",IFERROR(INDEX(Mitarbeiter!$B$6:$B$205,MATCH(B3511,Mitarbeiter!$A$6:$A$205,0)),"?"))</f>
        <v/>
      </c>
      <c r="D3511" s="41" t="n"/>
      <c r="E3511" s="42" t="n"/>
      <c r="F3511" s="43" t="n"/>
      <c r="G3511" s="44">
        <f>IF(OR(B3511="",F3511=""),"",IFERROR(F3511*INDEX(Mitarbeiter!$F$6:$F$205,MATCH(B3511,Mitarbeiter!$A$6:$A$205,0)),0))</f>
        <v/>
      </c>
      <c r="H3511" s="8">
        <f>IF(B3511="","",IF(ISNA(MATCH(B3511,Mitarbeiter!$A$6:$A$205,0)),"Pers.-Nr. unbekannt",IF(A3511="","Datum fehlt",IF(AND(D3511&lt;&gt;Einstellungen!$C$4,D3511&lt;&gt;Einstellungen!$C$5),"Objekt fehlt",IF(YEAR(A3511)&lt;&gt;Einstellungen!$C$3,"anderes Jahr",IF(A3511&lt;INDEX(Mitarbeiter!$C$6:$C$205,MATCH(B3511,Mitarbeiter!$A$6:$A$205,0)),"vor Eintritt",IF(AND(INDEX(Mitarbeiter!$D$6:$D$205,MATCH(B3511,Mitarbeiter!$A$6:$A$205,0))&lt;&gt;"",A3511&gt;INDEX(Mitarbeiter!$D$6:$D$205,MATCH(B3511,Mitarbeiter!$A$6:$A$205,0))),"nach Austritt","ok")))))))</f>
        <v/>
      </c>
    </row>
    <row r="3512">
      <c r="A3512" s="26" t="n"/>
      <c r="B3512" s="24" t="n"/>
      <c r="C3512" s="40">
        <f>IF(B3512="","",IFERROR(INDEX(Mitarbeiter!$B$6:$B$205,MATCH(B3512,Mitarbeiter!$A$6:$A$205,0)),"?"))</f>
        <v/>
      </c>
      <c r="D3512" s="41" t="n"/>
      <c r="E3512" s="42" t="n"/>
      <c r="F3512" s="43" t="n"/>
      <c r="G3512" s="44">
        <f>IF(OR(B3512="",F3512=""),"",IFERROR(F3512*INDEX(Mitarbeiter!$F$6:$F$205,MATCH(B3512,Mitarbeiter!$A$6:$A$205,0)),0))</f>
        <v/>
      </c>
      <c r="H3512" s="8">
        <f>IF(B3512="","",IF(ISNA(MATCH(B3512,Mitarbeiter!$A$6:$A$205,0)),"Pers.-Nr. unbekannt",IF(A3512="","Datum fehlt",IF(AND(D3512&lt;&gt;Einstellungen!$C$4,D3512&lt;&gt;Einstellungen!$C$5),"Objekt fehlt",IF(YEAR(A3512)&lt;&gt;Einstellungen!$C$3,"anderes Jahr",IF(A3512&lt;INDEX(Mitarbeiter!$C$6:$C$205,MATCH(B3512,Mitarbeiter!$A$6:$A$205,0)),"vor Eintritt",IF(AND(INDEX(Mitarbeiter!$D$6:$D$205,MATCH(B3512,Mitarbeiter!$A$6:$A$205,0))&lt;&gt;"",A3512&gt;INDEX(Mitarbeiter!$D$6:$D$205,MATCH(B3512,Mitarbeiter!$A$6:$A$205,0))),"nach Austritt","ok")))))))</f>
        <v/>
      </c>
    </row>
    <row r="3513">
      <c r="A3513" s="26" t="n"/>
      <c r="B3513" s="24" t="n"/>
      <c r="C3513" s="40">
        <f>IF(B3513="","",IFERROR(INDEX(Mitarbeiter!$B$6:$B$205,MATCH(B3513,Mitarbeiter!$A$6:$A$205,0)),"?"))</f>
        <v/>
      </c>
      <c r="D3513" s="41" t="n"/>
      <c r="E3513" s="42" t="n"/>
      <c r="F3513" s="43" t="n"/>
      <c r="G3513" s="44">
        <f>IF(OR(B3513="",F3513=""),"",IFERROR(F3513*INDEX(Mitarbeiter!$F$6:$F$205,MATCH(B3513,Mitarbeiter!$A$6:$A$205,0)),0))</f>
        <v/>
      </c>
      <c r="H3513" s="8">
        <f>IF(B3513="","",IF(ISNA(MATCH(B3513,Mitarbeiter!$A$6:$A$205,0)),"Pers.-Nr. unbekannt",IF(A3513="","Datum fehlt",IF(AND(D3513&lt;&gt;Einstellungen!$C$4,D3513&lt;&gt;Einstellungen!$C$5),"Objekt fehlt",IF(YEAR(A3513)&lt;&gt;Einstellungen!$C$3,"anderes Jahr",IF(A3513&lt;INDEX(Mitarbeiter!$C$6:$C$205,MATCH(B3513,Mitarbeiter!$A$6:$A$205,0)),"vor Eintritt",IF(AND(INDEX(Mitarbeiter!$D$6:$D$205,MATCH(B3513,Mitarbeiter!$A$6:$A$205,0))&lt;&gt;"",A3513&gt;INDEX(Mitarbeiter!$D$6:$D$205,MATCH(B3513,Mitarbeiter!$A$6:$A$205,0))),"nach Austritt","ok")))))))</f>
        <v/>
      </c>
    </row>
    <row r="3514">
      <c r="A3514" s="26" t="n"/>
      <c r="B3514" s="24" t="n"/>
      <c r="C3514" s="40">
        <f>IF(B3514="","",IFERROR(INDEX(Mitarbeiter!$B$6:$B$205,MATCH(B3514,Mitarbeiter!$A$6:$A$205,0)),"?"))</f>
        <v/>
      </c>
      <c r="D3514" s="41" t="n"/>
      <c r="E3514" s="42" t="n"/>
      <c r="F3514" s="43" t="n"/>
      <c r="G3514" s="44">
        <f>IF(OR(B3514="",F3514=""),"",IFERROR(F3514*INDEX(Mitarbeiter!$F$6:$F$205,MATCH(B3514,Mitarbeiter!$A$6:$A$205,0)),0))</f>
        <v/>
      </c>
      <c r="H3514" s="8">
        <f>IF(B3514="","",IF(ISNA(MATCH(B3514,Mitarbeiter!$A$6:$A$205,0)),"Pers.-Nr. unbekannt",IF(A3514="","Datum fehlt",IF(AND(D3514&lt;&gt;Einstellungen!$C$4,D3514&lt;&gt;Einstellungen!$C$5),"Objekt fehlt",IF(YEAR(A3514)&lt;&gt;Einstellungen!$C$3,"anderes Jahr",IF(A3514&lt;INDEX(Mitarbeiter!$C$6:$C$205,MATCH(B3514,Mitarbeiter!$A$6:$A$205,0)),"vor Eintritt",IF(AND(INDEX(Mitarbeiter!$D$6:$D$205,MATCH(B3514,Mitarbeiter!$A$6:$A$205,0))&lt;&gt;"",A3514&gt;INDEX(Mitarbeiter!$D$6:$D$205,MATCH(B3514,Mitarbeiter!$A$6:$A$205,0))),"nach Austritt","ok")))))))</f>
        <v/>
      </c>
    </row>
    <row r="3515">
      <c r="A3515" s="26" t="n"/>
      <c r="B3515" s="24" t="n"/>
      <c r="C3515" s="40">
        <f>IF(B3515="","",IFERROR(INDEX(Mitarbeiter!$B$6:$B$205,MATCH(B3515,Mitarbeiter!$A$6:$A$205,0)),"?"))</f>
        <v/>
      </c>
      <c r="D3515" s="41" t="n"/>
      <c r="E3515" s="42" t="n"/>
      <c r="F3515" s="43" t="n"/>
      <c r="G3515" s="44">
        <f>IF(OR(B3515="",F3515=""),"",IFERROR(F3515*INDEX(Mitarbeiter!$F$6:$F$205,MATCH(B3515,Mitarbeiter!$A$6:$A$205,0)),0))</f>
        <v/>
      </c>
      <c r="H3515" s="8">
        <f>IF(B3515="","",IF(ISNA(MATCH(B3515,Mitarbeiter!$A$6:$A$205,0)),"Pers.-Nr. unbekannt",IF(A3515="","Datum fehlt",IF(AND(D3515&lt;&gt;Einstellungen!$C$4,D3515&lt;&gt;Einstellungen!$C$5),"Objekt fehlt",IF(YEAR(A3515)&lt;&gt;Einstellungen!$C$3,"anderes Jahr",IF(A3515&lt;INDEX(Mitarbeiter!$C$6:$C$205,MATCH(B3515,Mitarbeiter!$A$6:$A$205,0)),"vor Eintritt",IF(AND(INDEX(Mitarbeiter!$D$6:$D$205,MATCH(B3515,Mitarbeiter!$A$6:$A$205,0))&lt;&gt;"",A3515&gt;INDEX(Mitarbeiter!$D$6:$D$205,MATCH(B3515,Mitarbeiter!$A$6:$A$205,0))),"nach Austritt","ok")))))))</f>
        <v/>
      </c>
    </row>
    <row r="3516">
      <c r="A3516" s="26" t="n"/>
      <c r="B3516" s="24" t="n"/>
      <c r="C3516" s="40">
        <f>IF(B3516="","",IFERROR(INDEX(Mitarbeiter!$B$6:$B$205,MATCH(B3516,Mitarbeiter!$A$6:$A$205,0)),"?"))</f>
        <v/>
      </c>
      <c r="D3516" s="41" t="n"/>
      <c r="E3516" s="42" t="n"/>
      <c r="F3516" s="43" t="n"/>
      <c r="G3516" s="44">
        <f>IF(OR(B3516="",F3516=""),"",IFERROR(F3516*INDEX(Mitarbeiter!$F$6:$F$205,MATCH(B3516,Mitarbeiter!$A$6:$A$205,0)),0))</f>
        <v/>
      </c>
      <c r="H3516" s="8">
        <f>IF(B3516="","",IF(ISNA(MATCH(B3516,Mitarbeiter!$A$6:$A$205,0)),"Pers.-Nr. unbekannt",IF(A3516="","Datum fehlt",IF(AND(D3516&lt;&gt;Einstellungen!$C$4,D3516&lt;&gt;Einstellungen!$C$5),"Objekt fehlt",IF(YEAR(A3516)&lt;&gt;Einstellungen!$C$3,"anderes Jahr",IF(A3516&lt;INDEX(Mitarbeiter!$C$6:$C$205,MATCH(B3516,Mitarbeiter!$A$6:$A$205,0)),"vor Eintritt",IF(AND(INDEX(Mitarbeiter!$D$6:$D$205,MATCH(B3516,Mitarbeiter!$A$6:$A$205,0))&lt;&gt;"",A3516&gt;INDEX(Mitarbeiter!$D$6:$D$205,MATCH(B3516,Mitarbeiter!$A$6:$A$205,0))),"nach Austritt","ok")))))))</f>
        <v/>
      </c>
    </row>
    <row r="3517">
      <c r="A3517" s="26" t="n"/>
      <c r="B3517" s="24" t="n"/>
      <c r="C3517" s="40">
        <f>IF(B3517="","",IFERROR(INDEX(Mitarbeiter!$B$6:$B$205,MATCH(B3517,Mitarbeiter!$A$6:$A$205,0)),"?"))</f>
        <v/>
      </c>
      <c r="D3517" s="41" t="n"/>
      <c r="E3517" s="42" t="n"/>
      <c r="F3517" s="43" t="n"/>
      <c r="G3517" s="44">
        <f>IF(OR(B3517="",F3517=""),"",IFERROR(F3517*INDEX(Mitarbeiter!$F$6:$F$205,MATCH(B3517,Mitarbeiter!$A$6:$A$205,0)),0))</f>
        <v/>
      </c>
      <c r="H3517" s="8">
        <f>IF(B3517="","",IF(ISNA(MATCH(B3517,Mitarbeiter!$A$6:$A$205,0)),"Pers.-Nr. unbekannt",IF(A3517="","Datum fehlt",IF(AND(D3517&lt;&gt;Einstellungen!$C$4,D3517&lt;&gt;Einstellungen!$C$5),"Objekt fehlt",IF(YEAR(A3517)&lt;&gt;Einstellungen!$C$3,"anderes Jahr",IF(A3517&lt;INDEX(Mitarbeiter!$C$6:$C$205,MATCH(B3517,Mitarbeiter!$A$6:$A$205,0)),"vor Eintritt",IF(AND(INDEX(Mitarbeiter!$D$6:$D$205,MATCH(B3517,Mitarbeiter!$A$6:$A$205,0))&lt;&gt;"",A3517&gt;INDEX(Mitarbeiter!$D$6:$D$205,MATCH(B3517,Mitarbeiter!$A$6:$A$205,0))),"nach Austritt","ok")))))))</f>
        <v/>
      </c>
    </row>
    <row r="3518">
      <c r="A3518" s="26" t="n"/>
      <c r="B3518" s="24" t="n"/>
      <c r="C3518" s="40">
        <f>IF(B3518="","",IFERROR(INDEX(Mitarbeiter!$B$6:$B$205,MATCH(B3518,Mitarbeiter!$A$6:$A$205,0)),"?"))</f>
        <v/>
      </c>
      <c r="D3518" s="41" t="n"/>
      <c r="E3518" s="42" t="n"/>
      <c r="F3518" s="43" t="n"/>
      <c r="G3518" s="44">
        <f>IF(OR(B3518="",F3518=""),"",IFERROR(F3518*INDEX(Mitarbeiter!$F$6:$F$205,MATCH(B3518,Mitarbeiter!$A$6:$A$205,0)),0))</f>
        <v/>
      </c>
      <c r="H3518" s="8">
        <f>IF(B3518="","",IF(ISNA(MATCH(B3518,Mitarbeiter!$A$6:$A$205,0)),"Pers.-Nr. unbekannt",IF(A3518="","Datum fehlt",IF(AND(D3518&lt;&gt;Einstellungen!$C$4,D3518&lt;&gt;Einstellungen!$C$5),"Objekt fehlt",IF(YEAR(A3518)&lt;&gt;Einstellungen!$C$3,"anderes Jahr",IF(A3518&lt;INDEX(Mitarbeiter!$C$6:$C$205,MATCH(B3518,Mitarbeiter!$A$6:$A$205,0)),"vor Eintritt",IF(AND(INDEX(Mitarbeiter!$D$6:$D$205,MATCH(B3518,Mitarbeiter!$A$6:$A$205,0))&lt;&gt;"",A3518&gt;INDEX(Mitarbeiter!$D$6:$D$205,MATCH(B3518,Mitarbeiter!$A$6:$A$205,0))),"nach Austritt","ok")))))))</f>
        <v/>
      </c>
    </row>
    <row r="3519">
      <c r="A3519" s="26" t="n"/>
      <c r="B3519" s="24" t="n"/>
      <c r="C3519" s="40">
        <f>IF(B3519="","",IFERROR(INDEX(Mitarbeiter!$B$6:$B$205,MATCH(B3519,Mitarbeiter!$A$6:$A$205,0)),"?"))</f>
        <v/>
      </c>
      <c r="D3519" s="41" t="n"/>
      <c r="E3519" s="42" t="n"/>
      <c r="F3519" s="43" t="n"/>
      <c r="G3519" s="44">
        <f>IF(OR(B3519="",F3519=""),"",IFERROR(F3519*INDEX(Mitarbeiter!$F$6:$F$205,MATCH(B3519,Mitarbeiter!$A$6:$A$205,0)),0))</f>
        <v/>
      </c>
      <c r="H3519" s="8">
        <f>IF(B3519="","",IF(ISNA(MATCH(B3519,Mitarbeiter!$A$6:$A$205,0)),"Pers.-Nr. unbekannt",IF(A3519="","Datum fehlt",IF(AND(D3519&lt;&gt;Einstellungen!$C$4,D3519&lt;&gt;Einstellungen!$C$5),"Objekt fehlt",IF(YEAR(A3519)&lt;&gt;Einstellungen!$C$3,"anderes Jahr",IF(A3519&lt;INDEX(Mitarbeiter!$C$6:$C$205,MATCH(B3519,Mitarbeiter!$A$6:$A$205,0)),"vor Eintritt",IF(AND(INDEX(Mitarbeiter!$D$6:$D$205,MATCH(B3519,Mitarbeiter!$A$6:$A$205,0))&lt;&gt;"",A3519&gt;INDEX(Mitarbeiter!$D$6:$D$205,MATCH(B3519,Mitarbeiter!$A$6:$A$205,0))),"nach Austritt","ok")))))))</f>
        <v/>
      </c>
    </row>
    <row r="3520">
      <c r="A3520" s="26" t="n"/>
      <c r="B3520" s="24" t="n"/>
      <c r="C3520" s="40">
        <f>IF(B3520="","",IFERROR(INDEX(Mitarbeiter!$B$6:$B$205,MATCH(B3520,Mitarbeiter!$A$6:$A$205,0)),"?"))</f>
        <v/>
      </c>
      <c r="D3520" s="41" t="n"/>
      <c r="E3520" s="42" t="n"/>
      <c r="F3520" s="43" t="n"/>
      <c r="G3520" s="44">
        <f>IF(OR(B3520="",F3520=""),"",IFERROR(F3520*INDEX(Mitarbeiter!$F$6:$F$205,MATCH(B3520,Mitarbeiter!$A$6:$A$205,0)),0))</f>
        <v/>
      </c>
      <c r="H3520" s="8">
        <f>IF(B3520="","",IF(ISNA(MATCH(B3520,Mitarbeiter!$A$6:$A$205,0)),"Pers.-Nr. unbekannt",IF(A3520="","Datum fehlt",IF(AND(D3520&lt;&gt;Einstellungen!$C$4,D3520&lt;&gt;Einstellungen!$C$5),"Objekt fehlt",IF(YEAR(A3520)&lt;&gt;Einstellungen!$C$3,"anderes Jahr",IF(A3520&lt;INDEX(Mitarbeiter!$C$6:$C$205,MATCH(B3520,Mitarbeiter!$A$6:$A$205,0)),"vor Eintritt",IF(AND(INDEX(Mitarbeiter!$D$6:$D$205,MATCH(B3520,Mitarbeiter!$A$6:$A$205,0))&lt;&gt;"",A3520&gt;INDEX(Mitarbeiter!$D$6:$D$205,MATCH(B3520,Mitarbeiter!$A$6:$A$205,0))),"nach Austritt","ok")))))))</f>
        <v/>
      </c>
    </row>
    <row r="3521">
      <c r="A3521" s="26" t="n"/>
      <c r="B3521" s="24" t="n"/>
      <c r="C3521" s="40">
        <f>IF(B3521="","",IFERROR(INDEX(Mitarbeiter!$B$6:$B$205,MATCH(B3521,Mitarbeiter!$A$6:$A$205,0)),"?"))</f>
        <v/>
      </c>
      <c r="D3521" s="41" t="n"/>
      <c r="E3521" s="42" t="n"/>
      <c r="F3521" s="43" t="n"/>
      <c r="G3521" s="44">
        <f>IF(OR(B3521="",F3521=""),"",IFERROR(F3521*INDEX(Mitarbeiter!$F$6:$F$205,MATCH(B3521,Mitarbeiter!$A$6:$A$205,0)),0))</f>
        <v/>
      </c>
      <c r="H3521" s="8">
        <f>IF(B3521="","",IF(ISNA(MATCH(B3521,Mitarbeiter!$A$6:$A$205,0)),"Pers.-Nr. unbekannt",IF(A3521="","Datum fehlt",IF(AND(D3521&lt;&gt;Einstellungen!$C$4,D3521&lt;&gt;Einstellungen!$C$5),"Objekt fehlt",IF(YEAR(A3521)&lt;&gt;Einstellungen!$C$3,"anderes Jahr",IF(A3521&lt;INDEX(Mitarbeiter!$C$6:$C$205,MATCH(B3521,Mitarbeiter!$A$6:$A$205,0)),"vor Eintritt",IF(AND(INDEX(Mitarbeiter!$D$6:$D$205,MATCH(B3521,Mitarbeiter!$A$6:$A$205,0))&lt;&gt;"",A3521&gt;INDEX(Mitarbeiter!$D$6:$D$205,MATCH(B3521,Mitarbeiter!$A$6:$A$205,0))),"nach Austritt","ok")))))))</f>
        <v/>
      </c>
    </row>
    <row r="3522">
      <c r="A3522" s="26" t="n"/>
      <c r="B3522" s="24" t="n"/>
      <c r="C3522" s="40">
        <f>IF(B3522="","",IFERROR(INDEX(Mitarbeiter!$B$6:$B$205,MATCH(B3522,Mitarbeiter!$A$6:$A$205,0)),"?"))</f>
        <v/>
      </c>
      <c r="D3522" s="41" t="n"/>
      <c r="E3522" s="42" t="n"/>
      <c r="F3522" s="43" t="n"/>
      <c r="G3522" s="44">
        <f>IF(OR(B3522="",F3522=""),"",IFERROR(F3522*INDEX(Mitarbeiter!$F$6:$F$205,MATCH(B3522,Mitarbeiter!$A$6:$A$205,0)),0))</f>
        <v/>
      </c>
      <c r="H3522" s="8">
        <f>IF(B3522="","",IF(ISNA(MATCH(B3522,Mitarbeiter!$A$6:$A$205,0)),"Pers.-Nr. unbekannt",IF(A3522="","Datum fehlt",IF(AND(D3522&lt;&gt;Einstellungen!$C$4,D3522&lt;&gt;Einstellungen!$C$5),"Objekt fehlt",IF(YEAR(A3522)&lt;&gt;Einstellungen!$C$3,"anderes Jahr",IF(A3522&lt;INDEX(Mitarbeiter!$C$6:$C$205,MATCH(B3522,Mitarbeiter!$A$6:$A$205,0)),"vor Eintritt",IF(AND(INDEX(Mitarbeiter!$D$6:$D$205,MATCH(B3522,Mitarbeiter!$A$6:$A$205,0))&lt;&gt;"",A3522&gt;INDEX(Mitarbeiter!$D$6:$D$205,MATCH(B3522,Mitarbeiter!$A$6:$A$205,0))),"nach Austritt","ok")))))))</f>
        <v/>
      </c>
    </row>
    <row r="3523">
      <c r="A3523" s="26" t="n"/>
      <c r="B3523" s="24" t="n"/>
      <c r="C3523" s="40">
        <f>IF(B3523="","",IFERROR(INDEX(Mitarbeiter!$B$6:$B$205,MATCH(B3523,Mitarbeiter!$A$6:$A$205,0)),"?"))</f>
        <v/>
      </c>
      <c r="D3523" s="41" t="n"/>
      <c r="E3523" s="42" t="n"/>
      <c r="F3523" s="43" t="n"/>
      <c r="G3523" s="44">
        <f>IF(OR(B3523="",F3523=""),"",IFERROR(F3523*INDEX(Mitarbeiter!$F$6:$F$205,MATCH(B3523,Mitarbeiter!$A$6:$A$205,0)),0))</f>
        <v/>
      </c>
      <c r="H3523" s="8">
        <f>IF(B3523="","",IF(ISNA(MATCH(B3523,Mitarbeiter!$A$6:$A$205,0)),"Pers.-Nr. unbekannt",IF(A3523="","Datum fehlt",IF(AND(D3523&lt;&gt;Einstellungen!$C$4,D3523&lt;&gt;Einstellungen!$C$5),"Objekt fehlt",IF(YEAR(A3523)&lt;&gt;Einstellungen!$C$3,"anderes Jahr",IF(A3523&lt;INDEX(Mitarbeiter!$C$6:$C$205,MATCH(B3523,Mitarbeiter!$A$6:$A$205,0)),"vor Eintritt",IF(AND(INDEX(Mitarbeiter!$D$6:$D$205,MATCH(B3523,Mitarbeiter!$A$6:$A$205,0))&lt;&gt;"",A3523&gt;INDEX(Mitarbeiter!$D$6:$D$205,MATCH(B3523,Mitarbeiter!$A$6:$A$205,0))),"nach Austritt","ok")))))))</f>
        <v/>
      </c>
    </row>
    <row r="3524">
      <c r="A3524" s="26" t="n"/>
      <c r="B3524" s="24" t="n"/>
      <c r="C3524" s="40">
        <f>IF(B3524="","",IFERROR(INDEX(Mitarbeiter!$B$6:$B$205,MATCH(B3524,Mitarbeiter!$A$6:$A$205,0)),"?"))</f>
        <v/>
      </c>
      <c r="D3524" s="41" t="n"/>
      <c r="E3524" s="42" t="n"/>
      <c r="F3524" s="43" t="n"/>
      <c r="G3524" s="44">
        <f>IF(OR(B3524="",F3524=""),"",IFERROR(F3524*INDEX(Mitarbeiter!$F$6:$F$205,MATCH(B3524,Mitarbeiter!$A$6:$A$205,0)),0))</f>
        <v/>
      </c>
      <c r="H3524" s="8">
        <f>IF(B3524="","",IF(ISNA(MATCH(B3524,Mitarbeiter!$A$6:$A$205,0)),"Pers.-Nr. unbekannt",IF(A3524="","Datum fehlt",IF(AND(D3524&lt;&gt;Einstellungen!$C$4,D3524&lt;&gt;Einstellungen!$C$5),"Objekt fehlt",IF(YEAR(A3524)&lt;&gt;Einstellungen!$C$3,"anderes Jahr",IF(A3524&lt;INDEX(Mitarbeiter!$C$6:$C$205,MATCH(B3524,Mitarbeiter!$A$6:$A$205,0)),"vor Eintritt",IF(AND(INDEX(Mitarbeiter!$D$6:$D$205,MATCH(B3524,Mitarbeiter!$A$6:$A$205,0))&lt;&gt;"",A3524&gt;INDEX(Mitarbeiter!$D$6:$D$205,MATCH(B3524,Mitarbeiter!$A$6:$A$205,0))),"nach Austritt","ok")))))))</f>
        <v/>
      </c>
    </row>
    <row r="3525">
      <c r="A3525" s="26" t="n"/>
      <c r="B3525" s="24" t="n"/>
      <c r="C3525" s="40">
        <f>IF(B3525="","",IFERROR(INDEX(Mitarbeiter!$B$6:$B$205,MATCH(B3525,Mitarbeiter!$A$6:$A$205,0)),"?"))</f>
        <v/>
      </c>
      <c r="D3525" s="41" t="n"/>
      <c r="E3525" s="42" t="n"/>
      <c r="F3525" s="43" t="n"/>
      <c r="G3525" s="44">
        <f>IF(OR(B3525="",F3525=""),"",IFERROR(F3525*INDEX(Mitarbeiter!$F$6:$F$205,MATCH(B3525,Mitarbeiter!$A$6:$A$205,0)),0))</f>
        <v/>
      </c>
      <c r="H3525" s="8">
        <f>IF(B3525="","",IF(ISNA(MATCH(B3525,Mitarbeiter!$A$6:$A$205,0)),"Pers.-Nr. unbekannt",IF(A3525="","Datum fehlt",IF(AND(D3525&lt;&gt;Einstellungen!$C$4,D3525&lt;&gt;Einstellungen!$C$5),"Objekt fehlt",IF(YEAR(A3525)&lt;&gt;Einstellungen!$C$3,"anderes Jahr",IF(A3525&lt;INDEX(Mitarbeiter!$C$6:$C$205,MATCH(B3525,Mitarbeiter!$A$6:$A$205,0)),"vor Eintritt",IF(AND(INDEX(Mitarbeiter!$D$6:$D$205,MATCH(B3525,Mitarbeiter!$A$6:$A$205,0))&lt;&gt;"",A3525&gt;INDEX(Mitarbeiter!$D$6:$D$205,MATCH(B3525,Mitarbeiter!$A$6:$A$205,0))),"nach Austritt","ok")))))))</f>
        <v/>
      </c>
    </row>
    <row r="3526">
      <c r="A3526" s="26" t="n"/>
      <c r="B3526" s="24" t="n"/>
      <c r="C3526" s="40">
        <f>IF(B3526="","",IFERROR(INDEX(Mitarbeiter!$B$6:$B$205,MATCH(B3526,Mitarbeiter!$A$6:$A$205,0)),"?"))</f>
        <v/>
      </c>
      <c r="D3526" s="41" t="n"/>
      <c r="E3526" s="42" t="n"/>
      <c r="F3526" s="43" t="n"/>
      <c r="G3526" s="44">
        <f>IF(OR(B3526="",F3526=""),"",IFERROR(F3526*INDEX(Mitarbeiter!$F$6:$F$205,MATCH(B3526,Mitarbeiter!$A$6:$A$205,0)),0))</f>
        <v/>
      </c>
      <c r="H3526" s="8">
        <f>IF(B3526="","",IF(ISNA(MATCH(B3526,Mitarbeiter!$A$6:$A$205,0)),"Pers.-Nr. unbekannt",IF(A3526="","Datum fehlt",IF(AND(D3526&lt;&gt;Einstellungen!$C$4,D3526&lt;&gt;Einstellungen!$C$5),"Objekt fehlt",IF(YEAR(A3526)&lt;&gt;Einstellungen!$C$3,"anderes Jahr",IF(A3526&lt;INDEX(Mitarbeiter!$C$6:$C$205,MATCH(B3526,Mitarbeiter!$A$6:$A$205,0)),"vor Eintritt",IF(AND(INDEX(Mitarbeiter!$D$6:$D$205,MATCH(B3526,Mitarbeiter!$A$6:$A$205,0))&lt;&gt;"",A3526&gt;INDEX(Mitarbeiter!$D$6:$D$205,MATCH(B3526,Mitarbeiter!$A$6:$A$205,0))),"nach Austritt","ok")))))))</f>
        <v/>
      </c>
    </row>
    <row r="3527">
      <c r="A3527" s="26" t="n"/>
      <c r="B3527" s="24" t="n"/>
      <c r="C3527" s="40">
        <f>IF(B3527="","",IFERROR(INDEX(Mitarbeiter!$B$6:$B$205,MATCH(B3527,Mitarbeiter!$A$6:$A$205,0)),"?"))</f>
        <v/>
      </c>
      <c r="D3527" s="41" t="n"/>
      <c r="E3527" s="42" t="n"/>
      <c r="F3527" s="43" t="n"/>
      <c r="G3527" s="44">
        <f>IF(OR(B3527="",F3527=""),"",IFERROR(F3527*INDEX(Mitarbeiter!$F$6:$F$205,MATCH(B3527,Mitarbeiter!$A$6:$A$205,0)),0))</f>
        <v/>
      </c>
      <c r="H3527" s="8">
        <f>IF(B3527="","",IF(ISNA(MATCH(B3527,Mitarbeiter!$A$6:$A$205,0)),"Pers.-Nr. unbekannt",IF(A3527="","Datum fehlt",IF(AND(D3527&lt;&gt;Einstellungen!$C$4,D3527&lt;&gt;Einstellungen!$C$5),"Objekt fehlt",IF(YEAR(A3527)&lt;&gt;Einstellungen!$C$3,"anderes Jahr",IF(A3527&lt;INDEX(Mitarbeiter!$C$6:$C$205,MATCH(B3527,Mitarbeiter!$A$6:$A$205,0)),"vor Eintritt",IF(AND(INDEX(Mitarbeiter!$D$6:$D$205,MATCH(B3527,Mitarbeiter!$A$6:$A$205,0))&lt;&gt;"",A3527&gt;INDEX(Mitarbeiter!$D$6:$D$205,MATCH(B3527,Mitarbeiter!$A$6:$A$205,0))),"nach Austritt","ok")))))))</f>
        <v/>
      </c>
    </row>
    <row r="3528">
      <c r="A3528" s="26" t="n"/>
      <c r="B3528" s="24" t="n"/>
      <c r="C3528" s="40">
        <f>IF(B3528="","",IFERROR(INDEX(Mitarbeiter!$B$6:$B$205,MATCH(B3528,Mitarbeiter!$A$6:$A$205,0)),"?"))</f>
        <v/>
      </c>
      <c r="D3528" s="41" t="n"/>
      <c r="E3528" s="42" t="n"/>
      <c r="F3528" s="43" t="n"/>
      <c r="G3528" s="44">
        <f>IF(OR(B3528="",F3528=""),"",IFERROR(F3528*INDEX(Mitarbeiter!$F$6:$F$205,MATCH(B3528,Mitarbeiter!$A$6:$A$205,0)),0))</f>
        <v/>
      </c>
      <c r="H3528" s="8">
        <f>IF(B3528="","",IF(ISNA(MATCH(B3528,Mitarbeiter!$A$6:$A$205,0)),"Pers.-Nr. unbekannt",IF(A3528="","Datum fehlt",IF(AND(D3528&lt;&gt;Einstellungen!$C$4,D3528&lt;&gt;Einstellungen!$C$5),"Objekt fehlt",IF(YEAR(A3528)&lt;&gt;Einstellungen!$C$3,"anderes Jahr",IF(A3528&lt;INDEX(Mitarbeiter!$C$6:$C$205,MATCH(B3528,Mitarbeiter!$A$6:$A$205,0)),"vor Eintritt",IF(AND(INDEX(Mitarbeiter!$D$6:$D$205,MATCH(B3528,Mitarbeiter!$A$6:$A$205,0))&lt;&gt;"",A3528&gt;INDEX(Mitarbeiter!$D$6:$D$205,MATCH(B3528,Mitarbeiter!$A$6:$A$205,0))),"nach Austritt","ok")))))))</f>
        <v/>
      </c>
    </row>
    <row r="3529">
      <c r="A3529" s="26" t="n"/>
      <c r="B3529" s="24" t="n"/>
      <c r="C3529" s="40">
        <f>IF(B3529="","",IFERROR(INDEX(Mitarbeiter!$B$6:$B$205,MATCH(B3529,Mitarbeiter!$A$6:$A$205,0)),"?"))</f>
        <v/>
      </c>
      <c r="D3529" s="41" t="n"/>
      <c r="E3529" s="42" t="n"/>
      <c r="F3529" s="43" t="n"/>
      <c r="G3529" s="44">
        <f>IF(OR(B3529="",F3529=""),"",IFERROR(F3529*INDEX(Mitarbeiter!$F$6:$F$205,MATCH(B3529,Mitarbeiter!$A$6:$A$205,0)),0))</f>
        <v/>
      </c>
      <c r="H3529" s="8">
        <f>IF(B3529="","",IF(ISNA(MATCH(B3529,Mitarbeiter!$A$6:$A$205,0)),"Pers.-Nr. unbekannt",IF(A3529="","Datum fehlt",IF(AND(D3529&lt;&gt;Einstellungen!$C$4,D3529&lt;&gt;Einstellungen!$C$5),"Objekt fehlt",IF(YEAR(A3529)&lt;&gt;Einstellungen!$C$3,"anderes Jahr",IF(A3529&lt;INDEX(Mitarbeiter!$C$6:$C$205,MATCH(B3529,Mitarbeiter!$A$6:$A$205,0)),"vor Eintritt",IF(AND(INDEX(Mitarbeiter!$D$6:$D$205,MATCH(B3529,Mitarbeiter!$A$6:$A$205,0))&lt;&gt;"",A3529&gt;INDEX(Mitarbeiter!$D$6:$D$205,MATCH(B3529,Mitarbeiter!$A$6:$A$205,0))),"nach Austritt","ok")))))))</f>
        <v/>
      </c>
    </row>
    <row r="3530">
      <c r="A3530" s="26" t="n"/>
      <c r="B3530" s="24" t="n"/>
      <c r="C3530" s="40">
        <f>IF(B3530="","",IFERROR(INDEX(Mitarbeiter!$B$6:$B$205,MATCH(B3530,Mitarbeiter!$A$6:$A$205,0)),"?"))</f>
        <v/>
      </c>
      <c r="D3530" s="41" t="n"/>
      <c r="E3530" s="42" t="n"/>
      <c r="F3530" s="43" t="n"/>
      <c r="G3530" s="44">
        <f>IF(OR(B3530="",F3530=""),"",IFERROR(F3530*INDEX(Mitarbeiter!$F$6:$F$205,MATCH(B3530,Mitarbeiter!$A$6:$A$205,0)),0))</f>
        <v/>
      </c>
      <c r="H3530" s="8">
        <f>IF(B3530="","",IF(ISNA(MATCH(B3530,Mitarbeiter!$A$6:$A$205,0)),"Pers.-Nr. unbekannt",IF(A3530="","Datum fehlt",IF(AND(D3530&lt;&gt;Einstellungen!$C$4,D3530&lt;&gt;Einstellungen!$C$5),"Objekt fehlt",IF(YEAR(A3530)&lt;&gt;Einstellungen!$C$3,"anderes Jahr",IF(A3530&lt;INDEX(Mitarbeiter!$C$6:$C$205,MATCH(B3530,Mitarbeiter!$A$6:$A$205,0)),"vor Eintritt",IF(AND(INDEX(Mitarbeiter!$D$6:$D$205,MATCH(B3530,Mitarbeiter!$A$6:$A$205,0))&lt;&gt;"",A3530&gt;INDEX(Mitarbeiter!$D$6:$D$205,MATCH(B3530,Mitarbeiter!$A$6:$A$205,0))),"nach Austritt","ok")))))))</f>
        <v/>
      </c>
    </row>
    <row r="3531">
      <c r="A3531" s="26" t="n"/>
      <c r="B3531" s="24" t="n"/>
      <c r="C3531" s="40">
        <f>IF(B3531="","",IFERROR(INDEX(Mitarbeiter!$B$6:$B$205,MATCH(B3531,Mitarbeiter!$A$6:$A$205,0)),"?"))</f>
        <v/>
      </c>
      <c r="D3531" s="41" t="n"/>
      <c r="E3531" s="42" t="n"/>
      <c r="F3531" s="43" t="n"/>
      <c r="G3531" s="44">
        <f>IF(OR(B3531="",F3531=""),"",IFERROR(F3531*INDEX(Mitarbeiter!$F$6:$F$205,MATCH(B3531,Mitarbeiter!$A$6:$A$205,0)),0))</f>
        <v/>
      </c>
      <c r="H3531" s="8">
        <f>IF(B3531="","",IF(ISNA(MATCH(B3531,Mitarbeiter!$A$6:$A$205,0)),"Pers.-Nr. unbekannt",IF(A3531="","Datum fehlt",IF(AND(D3531&lt;&gt;Einstellungen!$C$4,D3531&lt;&gt;Einstellungen!$C$5),"Objekt fehlt",IF(YEAR(A3531)&lt;&gt;Einstellungen!$C$3,"anderes Jahr",IF(A3531&lt;INDEX(Mitarbeiter!$C$6:$C$205,MATCH(B3531,Mitarbeiter!$A$6:$A$205,0)),"vor Eintritt",IF(AND(INDEX(Mitarbeiter!$D$6:$D$205,MATCH(B3531,Mitarbeiter!$A$6:$A$205,0))&lt;&gt;"",A3531&gt;INDEX(Mitarbeiter!$D$6:$D$205,MATCH(B3531,Mitarbeiter!$A$6:$A$205,0))),"nach Austritt","ok")))))))</f>
        <v/>
      </c>
    </row>
    <row r="3532">
      <c r="A3532" s="26" t="n"/>
      <c r="B3532" s="24" t="n"/>
      <c r="C3532" s="40">
        <f>IF(B3532="","",IFERROR(INDEX(Mitarbeiter!$B$6:$B$205,MATCH(B3532,Mitarbeiter!$A$6:$A$205,0)),"?"))</f>
        <v/>
      </c>
      <c r="D3532" s="41" t="n"/>
      <c r="E3532" s="42" t="n"/>
      <c r="F3532" s="43" t="n"/>
      <c r="G3532" s="44">
        <f>IF(OR(B3532="",F3532=""),"",IFERROR(F3532*INDEX(Mitarbeiter!$F$6:$F$205,MATCH(B3532,Mitarbeiter!$A$6:$A$205,0)),0))</f>
        <v/>
      </c>
      <c r="H3532" s="8">
        <f>IF(B3532="","",IF(ISNA(MATCH(B3532,Mitarbeiter!$A$6:$A$205,0)),"Pers.-Nr. unbekannt",IF(A3532="","Datum fehlt",IF(AND(D3532&lt;&gt;Einstellungen!$C$4,D3532&lt;&gt;Einstellungen!$C$5),"Objekt fehlt",IF(YEAR(A3532)&lt;&gt;Einstellungen!$C$3,"anderes Jahr",IF(A3532&lt;INDEX(Mitarbeiter!$C$6:$C$205,MATCH(B3532,Mitarbeiter!$A$6:$A$205,0)),"vor Eintritt",IF(AND(INDEX(Mitarbeiter!$D$6:$D$205,MATCH(B3532,Mitarbeiter!$A$6:$A$205,0))&lt;&gt;"",A3532&gt;INDEX(Mitarbeiter!$D$6:$D$205,MATCH(B3532,Mitarbeiter!$A$6:$A$205,0))),"nach Austritt","ok")))))))</f>
        <v/>
      </c>
    </row>
    <row r="3533">
      <c r="A3533" s="26" t="n"/>
      <c r="B3533" s="24" t="n"/>
      <c r="C3533" s="40">
        <f>IF(B3533="","",IFERROR(INDEX(Mitarbeiter!$B$6:$B$205,MATCH(B3533,Mitarbeiter!$A$6:$A$205,0)),"?"))</f>
        <v/>
      </c>
      <c r="D3533" s="41" t="n"/>
      <c r="E3533" s="42" t="n"/>
      <c r="F3533" s="43" t="n"/>
      <c r="G3533" s="44">
        <f>IF(OR(B3533="",F3533=""),"",IFERROR(F3533*INDEX(Mitarbeiter!$F$6:$F$205,MATCH(B3533,Mitarbeiter!$A$6:$A$205,0)),0))</f>
        <v/>
      </c>
      <c r="H3533" s="8">
        <f>IF(B3533="","",IF(ISNA(MATCH(B3533,Mitarbeiter!$A$6:$A$205,0)),"Pers.-Nr. unbekannt",IF(A3533="","Datum fehlt",IF(AND(D3533&lt;&gt;Einstellungen!$C$4,D3533&lt;&gt;Einstellungen!$C$5),"Objekt fehlt",IF(YEAR(A3533)&lt;&gt;Einstellungen!$C$3,"anderes Jahr",IF(A3533&lt;INDEX(Mitarbeiter!$C$6:$C$205,MATCH(B3533,Mitarbeiter!$A$6:$A$205,0)),"vor Eintritt",IF(AND(INDEX(Mitarbeiter!$D$6:$D$205,MATCH(B3533,Mitarbeiter!$A$6:$A$205,0))&lt;&gt;"",A3533&gt;INDEX(Mitarbeiter!$D$6:$D$205,MATCH(B3533,Mitarbeiter!$A$6:$A$205,0))),"nach Austritt","ok")))))))</f>
        <v/>
      </c>
    </row>
    <row r="3534">
      <c r="A3534" s="26" t="n"/>
      <c r="B3534" s="24" t="n"/>
      <c r="C3534" s="40">
        <f>IF(B3534="","",IFERROR(INDEX(Mitarbeiter!$B$6:$B$205,MATCH(B3534,Mitarbeiter!$A$6:$A$205,0)),"?"))</f>
        <v/>
      </c>
      <c r="D3534" s="41" t="n"/>
      <c r="E3534" s="42" t="n"/>
      <c r="F3534" s="43" t="n"/>
      <c r="G3534" s="44">
        <f>IF(OR(B3534="",F3534=""),"",IFERROR(F3534*INDEX(Mitarbeiter!$F$6:$F$205,MATCH(B3534,Mitarbeiter!$A$6:$A$205,0)),0))</f>
        <v/>
      </c>
      <c r="H3534" s="8">
        <f>IF(B3534="","",IF(ISNA(MATCH(B3534,Mitarbeiter!$A$6:$A$205,0)),"Pers.-Nr. unbekannt",IF(A3534="","Datum fehlt",IF(AND(D3534&lt;&gt;Einstellungen!$C$4,D3534&lt;&gt;Einstellungen!$C$5),"Objekt fehlt",IF(YEAR(A3534)&lt;&gt;Einstellungen!$C$3,"anderes Jahr",IF(A3534&lt;INDEX(Mitarbeiter!$C$6:$C$205,MATCH(B3534,Mitarbeiter!$A$6:$A$205,0)),"vor Eintritt",IF(AND(INDEX(Mitarbeiter!$D$6:$D$205,MATCH(B3534,Mitarbeiter!$A$6:$A$205,0))&lt;&gt;"",A3534&gt;INDEX(Mitarbeiter!$D$6:$D$205,MATCH(B3534,Mitarbeiter!$A$6:$A$205,0))),"nach Austritt","ok")))))))</f>
        <v/>
      </c>
    </row>
    <row r="3535">
      <c r="A3535" s="26" t="n"/>
      <c r="B3535" s="24" t="n"/>
      <c r="C3535" s="40">
        <f>IF(B3535="","",IFERROR(INDEX(Mitarbeiter!$B$6:$B$205,MATCH(B3535,Mitarbeiter!$A$6:$A$205,0)),"?"))</f>
        <v/>
      </c>
      <c r="D3535" s="41" t="n"/>
      <c r="E3535" s="42" t="n"/>
      <c r="F3535" s="43" t="n"/>
      <c r="G3535" s="44">
        <f>IF(OR(B3535="",F3535=""),"",IFERROR(F3535*INDEX(Mitarbeiter!$F$6:$F$205,MATCH(B3535,Mitarbeiter!$A$6:$A$205,0)),0))</f>
        <v/>
      </c>
      <c r="H3535" s="8">
        <f>IF(B3535="","",IF(ISNA(MATCH(B3535,Mitarbeiter!$A$6:$A$205,0)),"Pers.-Nr. unbekannt",IF(A3535="","Datum fehlt",IF(AND(D3535&lt;&gt;Einstellungen!$C$4,D3535&lt;&gt;Einstellungen!$C$5),"Objekt fehlt",IF(YEAR(A3535)&lt;&gt;Einstellungen!$C$3,"anderes Jahr",IF(A3535&lt;INDEX(Mitarbeiter!$C$6:$C$205,MATCH(B3535,Mitarbeiter!$A$6:$A$205,0)),"vor Eintritt",IF(AND(INDEX(Mitarbeiter!$D$6:$D$205,MATCH(B3535,Mitarbeiter!$A$6:$A$205,0))&lt;&gt;"",A3535&gt;INDEX(Mitarbeiter!$D$6:$D$205,MATCH(B3535,Mitarbeiter!$A$6:$A$205,0))),"nach Austritt","ok")))))))</f>
        <v/>
      </c>
    </row>
    <row r="3536">
      <c r="A3536" s="26" t="n"/>
      <c r="B3536" s="24" t="n"/>
      <c r="C3536" s="40">
        <f>IF(B3536="","",IFERROR(INDEX(Mitarbeiter!$B$6:$B$205,MATCH(B3536,Mitarbeiter!$A$6:$A$205,0)),"?"))</f>
        <v/>
      </c>
      <c r="D3536" s="41" t="n"/>
      <c r="E3536" s="42" t="n"/>
      <c r="F3536" s="43" t="n"/>
      <c r="G3536" s="44">
        <f>IF(OR(B3536="",F3536=""),"",IFERROR(F3536*INDEX(Mitarbeiter!$F$6:$F$205,MATCH(B3536,Mitarbeiter!$A$6:$A$205,0)),0))</f>
        <v/>
      </c>
      <c r="H3536" s="8">
        <f>IF(B3536="","",IF(ISNA(MATCH(B3536,Mitarbeiter!$A$6:$A$205,0)),"Pers.-Nr. unbekannt",IF(A3536="","Datum fehlt",IF(AND(D3536&lt;&gt;Einstellungen!$C$4,D3536&lt;&gt;Einstellungen!$C$5),"Objekt fehlt",IF(YEAR(A3536)&lt;&gt;Einstellungen!$C$3,"anderes Jahr",IF(A3536&lt;INDEX(Mitarbeiter!$C$6:$C$205,MATCH(B3536,Mitarbeiter!$A$6:$A$205,0)),"vor Eintritt",IF(AND(INDEX(Mitarbeiter!$D$6:$D$205,MATCH(B3536,Mitarbeiter!$A$6:$A$205,0))&lt;&gt;"",A3536&gt;INDEX(Mitarbeiter!$D$6:$D$205,MATCH(B3536,Mitarbeiter!$A$6:$A$205,0))),"nach Austritt","ok")))))))</f>
        <v/>
      </c>
    </row>
    <row r="3537">
      <c r="A3537" s="26" t="n"/>
      <c r="B3537" s="24" t="n"/>
      <c r="C3537" s="40">
        <f>IF(B3537="","",IFERROR(INDEX(Mitarbeiter!$B$6:$B$205,MATCH(B3537,Mitarbeiter!$A$6:$A$205,0)),"?"))</f>
        <v/>
      </c>
      <c r="D3537" s="41" t="n"/>
      <c r="E3537" s="42" t="n"/>
      <c r="F3537" s="43" t="n"/>
      <c r="G3537" s="44">
        <f>IF(OR(B3537="",F3537=""),"",IFERROR(F3537*INDEX(Mitarbeiter!$F$6:$F$205,MATCH(B3537,Mitarbeiter!$A$6:$A$205,0)),0))</f>
        <v/>
      </c>
      <c r="H3537" s="8">
        <f>IF(B3537="","",IF(ISNA(MATCH(B3537,Mitarbeiter!$A$6:$A$205,0)),"Pers.-Nr. unbekannt",IF(A3537="","Datum fehlt",IF(AND(D3537&lt;&gt;Einstellungen!$C$4,D3537&lt;&gt;Einstellungen!$C$5),"Objekt fehlt",IF(YEAR(A3537)&lt;&gt;Einstellungen!$C$3,"anderes Jahr",IF(A3537&lt;INDEX(Mitarbeiter!$C$6:$C$205,MATCH(B3537,Mitarbeiter!$A$6:$A$205,0)),"vor Eintritt",IF(AND(INDEX(Mitarbeiter!$D$6:$D$205,MATCH(B3537,Mitarbeiter!$A$6:$A$205,0))&lt;&gt;"",A3537&gt;INDEX(Mitarbeiter!$D$6:$D$205,MATCH(B3537,Mitarbeiter!$A$6:$A$205,0))),"nach Austritt","ok")))))))</f>
        <v/>
      </c>
    </row>
    <row r="3538">
      <c r="A3538" s="26" t="n"/>
      <c r="B3538" s="24" t="n"/>
      <c r="C3538" s="40">
        <f>IF(B3538="","",IFERROR(INDEX(Mitarbeiter!$B$6:$B$205,MATCH(B3538,Mitarbeiter!$A$6:$A$205,0)),"?"))</f>
        <v/>
      </c>
      <c r="D3538" s="41" t="n"/>
      <c r="E3538" s="42" t="n"/>
      <c r="F3538" s="43" t="n"/>
      <c r="G3538" s="44">
        <f>IF(OR(B3538="",F3538=""),"",IFERROR(F3538*INDEX(Mitarbeiter!$F$6:$F$205,MATCH(B3538,Mitarbeiter!$A$6:$A$205,0)),0))</f>
        <v/>
      </c>
      <c r="H3538" s="8">
        <f>IF(B3538="","",IF(ISNA(MATCH(B3538,Mitarbeiter!$A$6:$A$205,0)),"Pers.-Nr. unbekannt",IF(A3538="","Datum fehlt",IF(AND(D3538&lt;&gt;Einstellungen!$C$4,D3538&lt;&gt;Einstellungen!$C$5),"Objekt fehlt",IF(YEAR(A3538)&lt;&gt;Einstellungen!$C$3,"anderes Jahr",IF(A3538&lt;INDEX(Mitarbeiter!$C$6:$C$205,MATCH(B3538,Mitarbeiter!$A$6:$A$205,0)),"vor Eintritt",IF(AND(INDEX(Mitarbeiter!$D$6:$D$205,MATCH(B3538,Mitarbeiter!$A$6:$A$205,0))&lt;&gt;"",A3538&gt;INDEX(Mitarbeiter!$D$6:$D$205,MATCH(B3538,Mitarbeiter!$A$6:$A$205,0))),"nach Austritt","ok")))))))</f>
        <v/>
      </c>
    </row>
    <row r="3539">
      <c r="A3539" s="26" t="n"/>
      <c r="B3539" s="24" t="n"/>
      <c r="C3539" s="40">
        <f>IF(B3539="","",IFERROR(INDEX(Mitarbeiter!$B$6:$B$205,MATCH(B3539,Mitarbeiter!$A$6:$A$205,0)),"?"))</f>
        <v/>
      </c>
      <c r="D3539" s="41" t="n"/>
      <c r="E3539" s="42" t="n"/>
      <c r="F3539" s="43" t="n"/>
      <c r="G3539" s="44">
        <f>IF(OR(B3539="",F3539=""),"",IFERROR(F3539*INDEX(Mitarbeiter!$F$6:$F$205,MATCH(B3539,Mitarbeiter!$A$6:$A$205,0)),0))</f>
        <v/>
      </c>
      <c r="H3539" s="8">
        <f>IF(B3539="","",IF(ISNA(MATCH(B3539,Mitarbeiter!$A$6:$A$205,0)),"Pers.-Nr. unbekannt",IF(A3539="","Datum fehlt",IF(AND(D3539&lt;&gt;Einstellungen!$C$4,D3539&lt;&gt;Einstellungen!$C$5),"Objekt fehlt",IF(YEAR(A3539)&lt;&gt;Einstellungen!$C$3,"anderes Jahr",IF(A3539&lt;INDEX(Mitarbeiter!$C$6:$C$205,MATCH(B3539,Mitarbeiter!$A$6:$A$205,0)),"vor Eintritt",IF(AND(INDEX(Mitarbeiter!$D$6:$D$205,MATCH(B3539,Mitarbeiter!$A$6:$A$205,0))&lt;&gt;"",A3539&gt;INDEX(Mitarbeiter!$D$6:$D$205,MATCH(B3539,Mitarbeiter!$A$6:$A$205,0))),"nach Austritt","ok")))))))</f>
        <v/>
      </c>
    </row>
    <row r="3540">
      <c r="A3540" s="26" t="n"/>
      <c r="B3540" s="24" t="n"/>
      <c r="C3540" s="40">
        <f>IF(B3540="","",IFERROR(INDEX(Mitarbeiter!$B$6:$B$205,MATCH(B3540,Mitarbeiter!$A$6:$A$205,0)),"?"))</f>
        <v/>
      </c>
      <c r="D3540" s="41" t="n"/>
      <c r="E3540" s="42" t="n"/>
      <c r="F3540" s="43" t="n"/>
      <c r="G3540" s="44">
        <f>IF(OR(B3540="",F3540=""),"",IFERROR(F3540*INDEX(Mitarbeiter!$F$6:$F$205,MATCH(B3540,Mitarbeiter!$A$6:$A$205,0)),0))</f>
        <v/>
      </c>
      <c r="H3540" s="8">
        <f>IF(B3540="","",IF(ISNA(MATCH(B3540,Mitarbeiter!$A$6:$A$205,0)),"Pers.-Nr. unbekannt",IF(A3540="","Datum fehlt",IF(AND(D3540&lt;&gt;Einstellungen!$C$4,D3540&lt;&gt;Einstellungen!$C$5),"Objekt fehlt",IF(YEAR(A3540)&lt;&gt;Einstellungen!$C$3,"anderes Jahr",IF(A3540&lt;INDEX(Mitarbeiter!$C$6:$C$205,MATCH(B3540,Mitarbeiter!$A$6:$A$205,0)),"vor Eintritt",IF(AND(INDEX(Mitarbeiter!$D$6:$D$205,MATCH(B3540,Mitarbeiter!$A$6:$A$205,0))&lt;&gt;"",A3540&gt;INDEX(Mitarbeiter!$D$6:$D$205,MATCH(B3540,Mitarbeiter!$A$6:$A$205,0))),"nach Austritt","ok")))))))</f>
        <v/>
      </c>
    </row>
    <row r="3541">
      <c r="A3541" s="26" t="n"/>
      <c r="B3541" s="24" t="n"/>
      <c r="C3541" s="40">
        <f>IF(B3541="","",IFERROR(INDEX(Mitarbeiter!$B$6:$B$205,MATCH(B3541,Mitarbeiter!$A$6:$A$205,0)),"?"))</f>
        <v/>
      </c>
      <c r="D3541" s="41" t="n"/>
      <c r="E3541" s="42" t="n"/>
      <c r="F3541" s="43" t="n"/>
      <c r="G3541" s="44">
        <f>IF(OR(B3541="",F3541=""),"",IFERROR(F3541*INDEX(Mitarbeiter!$F$6:$F$205,MATCH(B3541,Mitarbeiter!$A$6:$A$205,0)),0))</f>
        <v/>
      </c>
      <c r="H3541" s="8">
        <f>IF(B3541="","",IF(ISNA(MATCH(B3541,Mitarbeiter!$A$6:$A$205,0)),"Pers.-Nr. unbekannt",IF(A3541="","Datum fehlt",IF(AND(D3541&lt;&gt;Einstellungen!$C$4,D3541&lt;&gt;Einstellungen!$C$5),"Objekt fehlt",IF(YEAR(A3541)&lt;&gt;Einstellungen!$C$3,"anderes Jahr",IF(A3541&lt;INDEX(Mitarbeiter!$C$6:$C$205,MATCH(B3541,Mitarbeiter!$A$6:$A$205,0)),"vor Eintritt",IF(AND(INDEX(Mitarbeiter!$D$6:$D$205,MATCH(B3541,Mitarbeiter!$A$6:$A$205,0))&lt;&gt;"",A3541&gt;INDEX(Mitarbeiter!$D$6:$D$205,MATCH(B3541,Mitarbeiter!$A$6:$A$205,0))),"nach Austritt","ok")))))))</f>
        <v/>
      </c>
    </row>
    <row r="3542">
      <c r="A3542" s="26" t="n"/>
      <c r="B3542" s="24" t="n"/>
      <c r="C3542" s="40">
        <f>IF(B3542="","",IFERROR(INDEX(Mitarbeiter!$B$6:$B$205,MATCH(B3542,Mitarbeiter!$A$6:$A$205,0)),"?"))</f>
        <v/>
      </c>
      <c r="D3542" s="41" t="n"/>
      <c r="E3542" s="42" t="n"/>
      <c r="F3542" s="43" t="n"/>
      <c r="G3542" s="44">
        <f>IF(OR(B3542="",F3542=""),"",IFERROR(F3542*INDEX(Mitarbeiter!$F$6:$F$205,MATCH(B3542,Mitarbeiter!$A$6:$A$205,0)),0))</f>
        <v/>
      </c>
      <c r="H3542" s="8">
        <f>IF(B3542="","",IF(ISNA(MATCH(B3542,Mitarbeiter!$A$6:$A$205,0)),"Pers.-Nr. unbekannt",IF(A3542="","Datum fehlt",IF(AND(D3542&lt;&gt;Einstellungen!$C$4,D3542&lt;&gt;Einstellungen!$C$5),"Objekt fehlt",IF(YEAR(A3542)&lt;&gt;Einstellungen!$C$3,"anderes Jahr",IF(A3542&lt;INDEX(Mitarbeiter!$C$6:$C$205,MATCH(B3542,Mitarbeiter!$A$6:$A$205,0)),"vor Eintritt",IF(AND(INDEX(Mitarbeiter!$D$6:$D$205,MATCH(B3542,Mitarbeiter!$A$6:$A$205,0))&lt;&gt;"",A3542&gt;INDEX(Mitarbeiter!$D$6:$D$205,MATCH(B3542,Mitarbeiter!$A$6:$A$205,0))),"nach Austritt","ok")))))))</f>
        <v/>
      </c>
    </row>
    <row r="3543">
      <c r="A3543" s="26" t="n"/>
      <c r="B3543" s="24" t="n"/>
      <c r="C3543" s="40">
        <f>IF(B3543="","",IFERROR(INDEX(Mitarbeiter!$B$6:$B$205,MATCH(B3543,Mitarbeiter!$A$6:$A$205,0)),"?"))</f>
        <v/>
      </c>
      <c r="D3543" s="41" t="n"/>
      <c r="E3543" s="42" t="n"/>
      <c r="F3543" s="43" t="n"/>
      <c r="G3543" s="44">
        <f>IF(OR(B3543="",F3543=""),"",IFERROR(F3543*INDEX(Mitarbeiter!$F$6:$F$205,MATCH(B3543,Mitarbeiter!$A$6:$A$205,0)),0))</f>
        <v/>
      </c>
      <c r="H3543" s="8">
        <f>IF(B3543="","",IF(ISNA(MATCH(B3543,Mitarbeiter!$A$6:$A$205,0)),"Pers.-Nr. unbekannt",IF(A3543="","Datum fehlt",IF(AND(D3543&lt;&gt;Einstellungen!$C$4,D3543&lt;&gt;Einstellungen!$C$5),"Objekt fehlt",IF(YEAR(A3543)&lt;&gt;Einstellungen!$C$3,"anderes Jahr",IF(A3543&lt;INDEX(Mitarbeiter!$C$6:$C$205,MATCH(B3543,Mitarbeiter!$A$6:$A$205,0)),"vor Eintritt",IF(AND(INDEX(Mitarbeiter!$D$6:$D$205,MATCH(B3543,Mitarbeiter!$A$6:$A$205,0))&lt;&gt;"",A3543&gt;INDEX(Mitarbeiter!$D$6:$D$205,MATCH(B3543,Mitarbeiter!$A$6:$A$205,0))),"nach Austritt","ok")))))))</f>
        <v/>
      </c>
    </row>
    <row r="3544">
      <c r="A3544" s="26" t="n"/>
      <c r="B3544" s="24" t="n"/>
      <c r="C3544" s="40">
        <f>IF(B3544="","",IFERROR(INDEX(Mitarbeiter!$B$6:$B$205,MATCH(B3544,Mitarbeiter!$A$6:$A$205,0)),"?"))</f>
        <v/>
      </c>
      <c r="D3544" s="41" t="n"/>
      <c r="E3544" s="42" t="n"/>
      <c r="F3544" s="43" t="n"/>
      <c r="G3544" s="44">
        <f>IF(OR(B3544="",F3544=""),"",IFERROR(F3544*INDEX(Mitarbeiter!$F$6:$F$205,MATCH(B3544,Mitarbeiter!$A$6:$A$205,0)),0))</f>
        <v/>
      </c>
      <c r="H3544" s="8">
        <f>IF(B3544="","",IF(ISNA(MATCH(B3544,Mitarbeiter!$A$6:$A$205,0)),"Pers.-Nr. unbekannt",IF(A3544="","Datum fehlt",IF(AND(D3544&lt;&gt;Einstellungen!$C$4,D3544&lt;&gt;Einstellungen!$C$5),"Objekt fehlt",IF(YEAR(A3544)&lt;&gt;Einstellungen!$C$3,"anderes Jahr",IF(A3544&lt;INDEX(Mitarbeiter!$C$6:$C$205,MATCH(B3544,Mitarbeiter!$A$6:$A$205,0)),"vor Eintritt",IF(AND(INDEX(Mitarbeiter!$D$6:$D$205,MATCH(B3544,Mitarbeiter!$A$6:$A$205,0))&lt;&gt;"",A3544&gt;INDEX(Mitarbeiter!$D$6:$D$205,MATCH(B3544,Mitarbeiter!$A$6:$A$205,0))),"nach Austritt","ok")))))))</f>
        <v/>
      </c>
    </row>
    <row r="3545">
      <c r="A3545" s="26" t="n"/>
      <c r="B3545" s="24" t="n"/>
      <c r="C3545" s="40">
        <f>IF(B3545="","",IFERROR(INDEX(Mitarbeiter!$B$6:$B$205,MATCH(B3545,Mitarbeiter!$A$6:$A$205,0)),"?"))</f>
        <v/>
      </c>
      <c r="D3545" s="41" t="n"/>
      <c r="E3545" s="42" t="n"/>
      <c r="F3545" s="43" t="n"/>
      <c r="G3545" s="44">
        <f>IF(OR(B3545="",F3545=""),"",IFERROR(F3545*INDEX(Mitarbeiter!$F$6:$F$205,MATCH(B3545,Mitarbeiter!$A$6:$A$205,0)),0))</f>
        <v/>
      </c>
      <c r="H3545" s="8">
        <f>IF(B3545="","",IF(ISNA(MATCH(B3545,Mitarbeiter!$A$6:$A$205,0)),"Pers.-Nr. unbekannt",IF(A3545="","Datum fehlt",IF(AND(D3545&lt;&gt;Einstellungen!$C$4,D3545&lt;&gt;Einstellungen!$C$5),"Objekt fehlt",IF(YEAR(A3545)&lt;&gt;Einstellungen!$C$3,"anderes Jahr",IF(A3545&lt;INDEX(Mitarbeiter!$C$6:$C$205,MATCH(B3545,Mitarbeiter!$A$6:$A$205,0)),"vor Eintritt",IF(AND(INDEX(Mitarbeiter!$D$6:$D$205,MATCH(B3545,Mitarbeiter!$A$6:$A$205,0))&lt;&gt;"",A3545&gt;INDEX(Mitarbeiter!$D$6:$D$205,MATCH(B3545,Mitarbeiter!$A$6:$A$205,0))),"nach Austritt","ok")))))))</f>
        <v/>
      </c>
    </row>
    <row r="3546">
      <c r="A3546" s="26" t="n"/>
      <c r="B3546" s="24" t="n"/>
      <c r="C3546" s="40">
        <f>IF(B3546="","",IFERROR(INDEX(Mitarbeiter!$B$6:$B$205,MATCH(B3546,Mitarbeiter!$A$6:$A$205,0)),"?"))</f>
        <v/>
      </c>
      <c r="D3546" s="41" t="n"/>
      <c r="E3546" s="42" t="n"/>
      <c r="F3546" s="43" t="n"/>
      <c r="G3546" s="44">
        <f>IF(OR(B3546="",F3546=""),"",IFERROR(F3546*INDEX(Mitarbeiter!$F$6:$F$205,MATCH(B3546,Mitarbeiter!$A$6:$A$205,0)),0))</f>
        <v/>
      </c>
      <c r="H3546" s="8">
        <f>IF(B3546="","",IF(ISNA(MATCH(B3546,Mitarbeiter!$A$6:$A$205,0)),"Pers.-Nr. unbekannt",IF(A3546="","Datum fehlt",IF(AND(D3546&lt;&gt;Einstellungen!$C$4,D3546&lt;&gt;Einstellungen!$C$5),"Objekt fehlt",IF(YEAR(A3546)&lt;&gt;Einstellungen!$C$3,"anderes Jahr",IF(A3546&lt;INDEX(Mitarbeiter!$C$6:$C$205,MATCH(B3546,Mitarbeiter!$A$6:$A$205,0)),"vor Eintritt",IF(AND(INDEX(Mitarbeiter!$D$6:$D$205,MATCH(B3546,Mitarbeiter!$A$6:$A$205,0))&lt;&gt;"",A3546&gt;INDEX(Mitarbeiter!$D$6:$D$205,MATCH(B3546,Mitarbeiter!$A$6:$A$205,0))),"nach Austritt","ok")))))))</f>
        <v/>
      </c>
    </row>
    <row r="3547">
      <c r="A3547" s="26" t="n"/>
      <c r="B3547" s="24" t="n"/>
      <c r="C3547" s="40">
        <f>IF(B3547="","",IFERROR(INDEX(Mitarbeiter!$B$6:$B$205,MATCH(B3547,Mitarbeiter!$A$6:$A$205,0)),"?"))</f>
        <v/>
      </c>
      <c r="D3547" s="41" t="n"/>
      <c r="E3547" s="42" t="n"/>
      <c r="F3547" s="43" t="n"/>
      <c r="G3547" s="44">
        <f>IF(OR(B3547="",F3547=""),"",IFERROR(F3547*INDEX(Mitarbeiter!$F$6:$F$205,MATCH(B3547,Mitarbeiter!$A$6:$A$205,0)),0))</f>
        <v/>
      </c>
      <c r="H3547" s="8">
        <f>IF(B3547="","",IF(ISNA(MATCH(B3547,Mitarbeiter!$A$6:$A$205,0)),"Pers.-Nr. unbekannt",IF(A3547="","Datum fehlt",IF(AND(D3547&lt;&gt;Einstellungen!$C$4,D3547&lt;&gt;Einstellungen!$C$5),"Objekt fehlt",IF(YEAR(A3547)&lt;&gt;Einstellungen!$C$3,"anderes Jahr",IF(A3547&lt;INDEX(Mitarbeiter!$C$6:$C$205,MATCH(B3547,Mitarbeiter!$A$6:$A$205,0)),"vor Eintritt",IF(AND(INDEX(Mitarbeiter!$D$6:$D$205,MATCH(B3547,Mitarbeiter!$A$6:$A$205,0))&lt;&gt;"",A3547&gt;INDEX(Mitarbeiter!$D$6:$D$205,MATCH(B3547,Mitarbeiter!$A$6:$A$205,0))),"nach Austritt","ok")))))))</f>
        <v/>
      </c>
    </row>
    <row r="3548">
      <c r="A3548" s="26" t="n"/>
      <c r="B3548" s="24" t="n"/>
      <c r="C3548" s="40">
        <f>IF(B3548="","",IFERROR(INDEX(Mitarbeiter!$B$6:$B$205,MATCH(B3548,Mitarbeiter!$A$6:$A$205,0)),"?"))</f>
        <v/>
      </c>
      <c r="D3548" s="41" t="n"/>
      <c r="E3548" s="42" t="n"/>
      <c r="F3548" s="43" t="n"/>
      <c r="G3548" s="44">
        <f>IF(OR(B3548="",F3548=""),"",IFERROR(F3548*INDEX(Mitarbeiter!$F$6:$F$205,MATCH(B3548,Mitarbeiter!$A$6:$A$205,0)),0))</f>
        <v/>
      </c>
      <c r="H3548" s="8">
        <f>IF(B3548="","",IF(ISNA(MATCH(B3548,Mitarbeiter!$A$6:$A$205,0)),"Pers.-Nr. unbekannt",IF(A3548="","Datum fehlt",IF(AND(D3548&lt;&gt;Einstellungen!$C$4,D3548&lt;&gt;Einstellungen!$C$5),"Objekt fehlt",IF(YEAR(A3548)&lt;&gt;Einstellungen!$C$3,"anderes Jahr",IF(A3548&lt;INDEX(Mitarbeiter!$C$6:$C$205,MATCH(B3548,Mitarbeiter!$A$6:$A$205,0)),"vor Eintritt",IF(AND(INDEX(Mitarbeiter!$D$6:$D$205,MATCH(B3548,Mitarbeiter!$A$6:$A$205,0))&lt;&gt;"",A3548&gt;INDEX(Mitarbeiter!$D$6:$D$205,MATCH(B3548,Mitarbeiter!$A$6:$A$205,0))),"nach Austritt","ok")))))))</f>
        <v/>
      </c>
    </row>
    <row r="3549">
      <c r="A3549" s="26" t="n"/>
      <c r="B3549" s="24" t="n"/>
      <c r="C3549" s="40">
        <f>IF(B3549="","",IFERROR(INDEX(Mitarbeiter!$B$6:$B$205,MATCH(B3549,Mitarbeiter!$A$6:$A$205,0)),"?"))</f>
        <v/>
      </c>
      <c r="D3549" s="41" t="n"/>
      <c r="E3549" s="42" t="n"/>
      <c r="F3549" s="43" t="n"/>
      <c r="G3549" s="44">
        <f>IF(OR(B3549="",F3549=""),"",IFERROR(F3549*INDEX(Mitarbeiter!$F$6:$F$205,MATCH(B3549,Mitarbeiter!$A$6:$A$205,0)),0))</f>
        <v/>
      </c>
      <c r="H3549" s="8">
        <f>IF(B3549="","",IF(ISNA(MATCH(B3549,Mitarbeiter!$A$6:$A$205,0)),"Pers.-Nr. unbekannt",IF(A3549="","Datum fehlt",IF(AND(D3549&lt;&gt;Einstellungen!$C$4,D3549&lt;&gt;Einstellungen!$C$5),"Objekt fehlt",IF(YEAR(A3549)&lt;&gt;Einstellungen!$C$3,"anderes Jahr",IF(A3549&lt;INDEX(Mitarbeiter!$C$6:$C$205,MATCH(B3549,Mitarbeiter!$A$6:$A$205,0)),"vor Eintritt",IF(AND(INDEX(Mitarbeiter!$D$6:$D$205,MATCH(B3549,Mitarbeiter!$A$6:$A$205,0))&lt;&gt;"",A3549&gt;INDEX(Mitarbeiter!$D$6:$D$205,MATCH(B3549,Mitarbeiter!$A$6:$A$205,0))),"nach Austritt","ok")))))))</f>
        <v/>
      </c>
    </row>
    <row r="3550">
      <c r="A3550" s="26" t="n"/>
      <c r="B3550" s="24" t="n"/>
      <c r="C3550" s="40">
        <f>IF(B3550="","",IFERROR(INDEX(Mitarbeiter!$B$6:$B$205,MATCH(B3550,Mitarbeiter!$A$6:$A$205,0)),"?"))</f>
        <v/>
      </c>
      <c r="D3550" s="41" t="n"/>
      <c r="E3550" s="42" t="n"/>
      <c r="F3550" s="43" t="n"/>
      <c r="G3550" s="44">
        <f>IF(OR(B3550="",F3550=""),"",IFERROR(F3550*INDEX(Mitarbeiter!$F$6:$F$205,MATCH(B3550,Mitarbeiter!$A$6:$A$205,0)),0))</f>
        <v/>
      </c>
      <c r="H3550" s="8">
        <f>IF(B3550="","",IF(ISNA(MATCH(B3550,Mitarbeiter!$A$6:$A$205,0)),"Pers.-Nr. unbekannt",IF(A3550="","Datum fehlt",IF(AND(D3550&lt;&gt;Einstellungen!$C$4,D3550&lt;&gt;Einstellungen!$C$5),"Objekt fehlt",IF(YEAR(A3550)&lt;&gt;Einstellungen!$C$3,"anderes Jahr",IF(A3550&lt;INDEX(Mitarbeiter!$C$6:$C$205,MATCH(B3550,Mitarbeiter!$A$6:$A$205,0)),"vor Eintritt",IF(AND(INDEX(Mitarbeiter!$D$6:$D$205,MATCH(B3550,Mitarbeiter!$A$6:$A$205,0))&lt;&gt;"",A3550&gt;INDEX(Mitarbeiter!$D$6:$D$205,MATCH(B3550,Mitarbeiter!$A$6:$A$205,0))),"nach Austritt","ok")))))))</f>
        <v/>
      </c>
    </row>
    <row r="3551">
      <c r="A3551" s="26" t="n"/>
      <c r="B3551" s="24" t="n"/>
      <c r="C3551" s="40">
        <f>IF(B3551="","",IFERROR(INDEX(Mitarbeiter!$B$6:$B$205,MATCH(B3551,Mitarbeiter!$A$6:$A$205,0)),"?"))</f>
        <v/>
      </c>
      <c r="D3551" s="41" t="n"/>
      <c r="E3551" s="42" t="n"/>
      <c r="F3551" s="43" t="n"/>
      <c r="G3551" s="44">
        <f>IF(OR(B3551="",F3551=""),"",IFERROR(F3551*INDEX(Mitarbeiter!$F$6:$F$205,MATCH(B3551,Mitarbeiter!$A$6:$A$205,0)),0))</f>
        <v/>
      </c>
      <c r="H3551" s="8">
        <f>IF(B3551="","",IF(ISNA(MATCH(B3551,Mitarbeiter!$A$6:$A$205,0)),"Pers.-Nr. unbekannt",IF(A3551="","Datum fehlt",IF(AND(D3551&lt;&gt;Einstellungen!$C$4,D3551&lt;&gt;Einstellungen!$C$5),"Objekt fehlt",IF(YEAR(A3551)&lt;&gt;Einstellungen!$C$3,"anderes Jahr",IF(A3551&lt;INDEX(Mitarbeiter!$C$6:$C$205,MATCH(B3551,Mitarbeiter!$A$6:$A$205,0)),"vor Eintritt",IF(AND(INDEX(Mitarbeiter!$D$6:$D$205,MATCH(B3551,Mitarbeiter!$A$6:$A$205,0))&lt;&gt;"",A3551&gt;INDEX(Mitarbeiter!$D$6:$D$205,MATCH(B3551,Mitarbeiter!$A$6:$A$205,0))),"nach Austritt","ok")))))))</f>
        <v/>
      </c>
    </row>
    <row r="3552">
      <c r="A3552" s="26" t="n"/>
      <c r="B3552" s="24" t="n"/>
      <c r="C3552" s="40">
        <f>IF(B3552="","",IFERROR(INDEX(Mitarbeiter!$B$6:$B$205,MATCH(B3552,Mitarbeiter!$A$6:$A$205,0)),"?"))</f>
        <v/>
      </c>
      <c r="D3552" s="41" t="n"/>
      <c r="E3552" s="42" t="n"/>
      <c r="F3552" s="43" t="n"/>
      <c r="G3552" s="44">
        <f>IF(OR(B3552="",F3552=""),"",IFERROR(F3552*INDEX(Mitarbeiter!$F$6:$F$205,MATCH(B3552,Mitarbeiter!$A$6:$A$205,0)),0))</f>
        <v/>
      </c>
      <c r="H3552" s="8">
        <f>IF(B3552="","",IF(ISNA(MATCH(B3552,Mitarbeiter!$A$6:$A$205,0)),"Pers.-Nr. unbekannt",IF(A3552="","Datum fehlt",IF(AND(D3552&lt;&gt;Einstellungen!$C$4,D3552&lt;&gt;Einstellungen!$C$5),"Objekt fehlt",IF(YEAR(A3552)&lt;&gt;Einstellungen!$C$3,"anderes Jahr",IF(A3552&lt;INDEX(Mitarbeiter!$C$6:$C$205,MATCH(B3552,Mitarbeiter!$A$6:$A$205,0)),"vor Eintritt",IF(AND(INDEX(Mitarbeiter!$D$6:$D$205,MATCH(B3552,Mitarbeiter!$A$6:$A$205,0))&lt;&gt;"",A3552&gt;INDEX(Mitarbeiter!$D$6:$D$205,MATCH(B3552,Mitarbeiter!$A$6:$A$205,0))),"nach Austritt","ok")))))))</f>
        <v/>
      </c>
    </row>
    <row r="3553">
      <c r="A3553" s="26" t="n"/>
      <c r="B3553" s="24" t="n"/>
      <c r="C3553" s="40">
        <f>IF(B3553="","",IFERROR(INDEX(Mitarbeiter!$B$6:$B$205,MATCH(B3553,Mitarbeiter!$A$6:$A$205,0)),"?"))</f>
        <v/>
      </c>
      <c r="D3553" s="41" t="n"/>
      <c r="E3553" s="42" t="n"/>
      <c r="F3553" s="43" t="n"/>
      <c r="G3553" s="44">
        <f>IF(OR(B3553="",F3553=""),"",IFERROR(F3553*INDEX(Mitarbeiter!$F$6:$F$205,MATCH(B3553,Mitarbeiter!$A$6:$A$205,0)),0))</f>
        <v/>
      </c>
      <c r="H3553" s="8">
        <f>IF(B3553="","",IF(ISNA(MATCH(B3553,Mitarbeiter!$A$6:$A$205,0)),"Pers.-Nr. unbekannt",IF(A3553="","Datum fehlt",IF(AND(D3553&lt;&gt;Einstellungen!$C$4,D3553&lt;&gt;Einstellungen!$C$5),"Objekt fehlt",IF(YEAR(A3553)&lt;&gt;Einstellungen!$C$3,"anderes Jahr",IF(A3553&lt;INDEX(Mitarbeiter!$C$6:$C$205,MATCH(B3553,Mitarbeiter!$A$6:$A$205,0)),"vor Eintritt",IF(AND(INDEX(Mitarbeiter!$D$6:$D$205,MATCH(B3553,Mitarbeiter!$A$6:$A$205,0))&lt;&gt;"",A3553&gt;INDEX(Mitarbeiter!$D$6:$D$205,MATCH(B3553,Mitarbeiter!$A$6:$A$205,0))),"nach Austritt","ok")))))))</f>
        <v/>
      </c>
    </row>
    <row r="3554">
      <c r="A3554" s="26" t="n"/>
      <c r="B3554" s="24" t="n"/>
      <c r="C3554" s="40">
        <f>IF(B3554="","",IFERROR(INDEX(Mitarbeiter!$B$6:$B$205,MATCH(B3554,Mitarbeiter!$A$6:$A$205,0)),"?"))</f>
        <v/>
      </c>
      <c r="D3554" s="41" t="n"/>
      <c r="E3554" s="42" t="n"/>
      <c r="F3554" s="43" t="n"/>
      <c r="G3554" s="44">
        <f>IF(OR(B3554="",F3554=""),"",IFERROR(F3554*INDEX(Mitarbeiter!$F$6:$F$205,MATCH(B3554,Mitarbeiter!$A$6:$A$205,0)),0))</f>
        <v/>
      </c>
      <c r="H3554" s="8">
        <f>IF(B3554="","",IF(ISNA(MATCH(B3554,Mitarbeiter!$A$6:$A$205,0)),"Pers.-Nr. unbekannt",IF(A3554="","Datum fehlt",IF(AND(D3554&lt;&gt;Einstellungen!$C$4,D3554&lt;&gt;Einstellungen!$C$5),"Objekt fehlt",IF(YEAR(A3554)&lt;&gt;Einstellungen!$C$3,"anderes Jahr",IF(A3554&lt;INDEX(Mitarbeiter!$C$6:$C$205,MATCH(B3554,Mitarbeiter!$A$6:$A$205,0)),"vor Eintritt",IF(AND(INDEX(Mitarbeiter!$D$6:$D$205,MATCH(B3554,Mitarbeiter!$A$6:$A$205,0))&lt;&gt;"",A3554&gt;INDEX(Mitarbeiter!$D$6:$D$205,MATCH(B3554,Mitarbeiter!$A$6:$A$205,0))),"nach Austritt","ok")))))))</f>
        <v/>
      </c>
    </row>
    <row r="3555">
      <c r="A3555" s="26" t="n"/>
      <c r="B3555" s="24" t="n"/>
      <c r="C3555" s="40">
        <f>IF(B3555="","",IFERROR(INDEX(Mitarbeiter!$B$6:$B$205,MATCH(B3555,Mitarbeiter!$A$6:$A$205,0)),"?"))</f>
        <v/>
      </c>
      <c r="D3555" s="41" t="n"/>
      <c r="E3555" s="42" t="n"/>
      <c r="F3555" s="43" t="n"/>
      <c r="G3555" s="44">
        <f>IF(OR(B3555="",F3555=""),"",IFERROR(F3555*INDEX(Mitarbeiter!$F$6:$F$205,MATCH(B3555,Mitarbeiter!$A$6:$A$205,0)),0))</f>
        <v/>
      </c>
      <c r="H3555" s="8">
        <f>IF(B3555="","",IF(ISNA(MATCH(B3555,Mitarbeiter!$A$6:$A$205,0)),"Pers.-Nr. unbekannt",IF(A3555="","Datum fehlt",IF(AND(D3555&lt;&gt;Einstellungen!$C$4,D3555&lt;&gt;Einstellungen!$C$5),"Objekt fehlt",IF(YEAR(A3555)&lt;&gt;Einstellungen!$C$3,"anderes Jahr",IF(A3555&lt;INDEX(Mitarbeiter!$C$6:$C$205,MATCH(B3555,Mitarbeiter!$A$6:$A$205,0)),"vor Eintritt",IF(AND(INDEX(Mitarbeiter!$D$6:$D$205,MATCH(B3555,Mitarbeiter!$A$6:$A$205,0))&lt;&gt;"",A3555&gt;INDEX(Mitarbeiter!$D$6:$D$205,MATCH(B3555,Mitarbeiter!$A$6:$A$205,0))),"nach Austritt","ok")))))))</f>
        <v/>
      </c>
    </row>
    <row r="3556">
      <c r="A3556" s="26" t="n"/>
      <c r="B3556" s="24" t="n"/>
      <c r="C3556" s="40">
        <f>IF(B3556="","",IFERROR(INDEX(Mitarbeiter!$B$6:$B$205,MATCH(B3556,Mitarbeiter!$A$6:$A$205,0)),"?"))</f>
        <v/>
      </c>
      <c r="D3556" s="41" t="n"/>
      <c r="E3556" s="42" t="n"/>
      <c r="F3556" s="43" t="n"/>
      <c r="G3556" s="44">
        <f>IF(OR(B3556="",F3556=""),"",IFERROR(F3556*INDEX(Mitarbeiter!$F$6:$F$205,MATCH(B3556,Mitarbeiter!$A$6:$A$205,0)),0))</f>
        <v/>
      </c>
      <c r="H3556" s="8">
        <f>IF(B3556="","",IF(ISNA(MATCH(B3556,Mitarbeiter!$A$6:$A$205,0)),"Pers.-Nr. unbekannt",IF(A3556="","Datum fehlt",IF(AND(D3556&lt;&gt;Einstellungen!$C$4,D3556&lt;&gt;Einstellungen!$C$5),"Objekt fehlt",IF(YEAR(A3556)&lt;&gt;Einstellungen!$C$3,"anderes Jahr",IF(A3556&lt;INDEX(Mitarbeiter!$C$6:$C$205,MATCH(B3556,Mitarbeiter!$A$6:$A$205,0)),"vor Eintritt",IF(AND(INDEX(Mitarbeiter!$D$6:$D$205,MATCH(B3556,Mitarbeiter!$A$6:$A$205,0))&lt;&gt;"",A3556&gt;INDEX(Mitarbeiter!$D$6:$D$205,MATCH(B3556,Mitarbeiter!$A$6:$A$205,0))),"nach Austritt","ok")))))))</f>
        <v/>
      </c>
    </row>
    <row r="3557">
      <c r="A3557" s="26" t="n"/>
      <c r="B3557" s="24" t="n"/>
      <c r="C3557" s="40">
        <f>IF(B3557="","",IFERROR(INDEX(Mitarbeiter!$B$6:$B$205,MATCH(B3557,Mitarbeiter!$A$6:$A$205,0)),"?"))</f>
        <v/>
      </c>
      <c r="D3557" s="41" t="n"/>
      <c r="E3557" s="42" t="n"/>
      <c r="F3557" s="43" t="n"/>
      <c r="G3557" s="44">
        <f>IF(OR(B3557="",F3557=""),"",IFERROR(F3557*INDEX(Mitarbeiter!$F$6:$F$205,MATCH(B3557,Mitarbeiter!$A$6:$A$205,0)),0))</f>
        <v/>
      </c>
      <c r="H3557" s="8">
        <f>IF(B3557="","",IF(ISNA(MATCH(B3557,Mitarbeiter!$A$6:$A$205,0)),"Pers.-Nr. unbekannt",IF(A3557="","Datum fehlt",IF(AND(D3557&lt;&gt;Einstellungen!$C$4,D3557&lt;&gt;Einstellungen!$C$5),"Objekt fehlt",IF(YEAR(A3557)&lt;&gt;Einstellungen!$C$3,"anderes Jahr",IF(A3557&lt;INDEX(Mitarbeiter!$C$6:$C$205,MATCH(B3557,Mitarbeiter!$A$6:$A$205,0)),"vor Eintritt",IF(AND(INDEX(Mitarbeiter!$D$6:$D$205,MATCH(B3557,Mitarbeiter!$A$6:$A$205,0))&lt;&gt;"",A3557&gt;INDEX(Mitarbeiter!$D$6:$D$205,MATCH(B3557,Mitarbeiter!$A$6:$A$205,0))),"nach Austritt","ok")))))))</f>
        <v/>
      </c>
    </row>
    <row r="3558">
      <c r="A3558" s="26" t="n"/>
      <c r="B3558" s="24" t="n"/>
      <c r="C3558" s="40">
        <f>IF(B3558="","",IFERROR(INDEX(Mitarbeiter!$B$6:$B$205,MATCH(B3558,Mitarbeiter!$A$6:$A$205,0)),"?"))</f>
        <v/>
      </c>
      <c r="D3558" s="41" t="n"/>
      <c r="E3558" s="42" t="n"/>
      <c r="F3558" s="43" t="n"/>
      <c r="G3558" s="44">
        <f>IF(OR(B3558="",F3558=""),"",IFERROR(F3558*INDEX(Mitarbeiter!$F$6:$F$205,MATCH(B3558,Mitarbeiter!$A$6:$A$205,0)),0))</f>
        <v/>
      </c>
      <c r="H3558" s="8">
        <f>IF(B3558="","",IF(ISNA(MATCH(B3558,Mitarbeiter!$A$6:$A$205,0)),"Pers.-Nr. unbekannt",IF(A3558="","Datum fehlt",IF(AND(D3558&lt;&gt;Einstellungen!$C$4,D3558&lt;&gt;Einstellungen!$C$5),"Objekt fehlt",IF(YEAR(A3558)&lt;&gt;Einstellungen!$C$3,"anderes Jahr",IF(A3558&lt;INDEX(Mitarbeiter!$C$6:$C$205,MATCH(B3558,Mitarbeiter!$A$6:$A$205,0)),"vor Eintritt",IF(AND(INDEX(Mitarbeiter!$D$6:$D$205,MATCH(B3558,Mitarbeiter!$A$6:$A$205,0))&lt;&gt;"",A3558&gt;INDEX(Mitarbeiter!$D$6:$D$205,MATCH(B3558,Mitarbeiter!$A$6:$A$205,0))),"nach Austritt","ok")))))))</f>
        <v/>
      </c>
    </row>
    <row r="3559">
      <c r="A3559" s="26" t="n"/>
      <c r="B3559" s="24" t="n"/>
      <c r="C3559" s="40">
        <f>IF(B3559="","",IFERROR(INDEX(Mitarbeiter!$B$6:$B$205,MATCH(B3559,Mitarbeiter!$A$6:$A$205,0)),"?"))</f>
        <v/>
      </c>
      <c r="D3559" s="41" t="n"/>
      <c r="E3559" s="42" t="n"/>
      <c r="F3559" s="43" t="n"/>
      <c r="G3559" s="44">
        <f>IF(OR(B3559="",F3559=""),"",IFERROR(F3559*INDEX(Mitarbeiter!$F$6:$F$205,MATCH(B3559,Mitarbeiter!$A$6:$A$205,0)),0))</f>
        <v/>
      </c>
      <c r="H3559" s="8">
        <f>IF(B3559="","",IF(ISNA(MATCH(B3559,Mitarbeiter!$A$6:$A$205,0)),"Pers.-Nr. unbekannt",IF(A3559="","Datum fehlt",IF(AND(D3559&lt;&gt;Einstellungen!$C$4,D3559&lt;&gt;Einstellungen!$C$5),"Objekt fehlt",IF(YEAR(A3559)&lt;&gt;Einstellungen!$C$3,"anderes Jahr",IF(A3559&lt;INDEX(Mitarbeiter!$C$6:$C$205,MATCH(B3559,Mitarbeiter!$A$6:$A$205,0)),"vor Eintritt",IF(AND(INDEX(Mitarbeiter!$D$6:$D$205,MATCH(B3559,Mitarbeiter!$A$6:$A$205,0))&lt;&gt;"",A3559&gt;INDEX(Mitarbeiter!$D$6:$D$205,MATCH(B3559,Mitarbeiter!$A$6:$A$205,0))),"nach Austritt","ok")))))))</f>
        <v/>
      </c>
    </row>
    <row r="3560">
      <c r="A3560" s="26" t="n"/>
      <c r="B3560" s="24" t="n"/>
      <c r="C3560" s="40">
        <f>IF(B3560="","",IFERROR(INDEX(Mitarbeiter!$B$6:$B$205,MATCH(B3560,Mitarbeiter!$A$6:$A$205,0)),"?"))</f>
        <v/>
      </c>
      <c r="D3560" s="41" t="n"/>
      <c r="E3560" s="42" t="n"/>
      <c r="F3560" s="43" t="n"/>
      <c r="G3560" s="44">
        <f>IF(OR(B3560="",F3560=""),"",IFERROR(F3560*INDEX(Mitarbeiter!$F$6:$F$205,MATCH(B3560,Mitarbeiter!$A$6:$A$205,0)),0))</f>
        <v/>
      </c>
      <c r="H3560" s="8">
        <f>IF(B3560="","",IF(ISNA(MATCH(B3560,Mitarbeiter!$A$6:$A$205,0)),"Pers.-Nr. unbekannt",IF(A3560="","Datum fehlt",IF(AND(D3560&lt;&gt;Einstellungen!$C$4,D3560&lt;&gt;Einstellungen!$C$5),"Objekt fehlt",IF(YEAR(A3560)&lt;&gt;Einstellungen!$C$3,"anderes Jahr",IF(A3560&lt;INDEX(Mitarbeiter!$C$6:$C$205,MATCH(B3560,Mitarbeiter!$A$6:$A$205,0)),"vor Eintritt",IF(AND(INDEX(Mitarbeiter!$D$6:$D$205,MATCH(B3560,Mitarbeiter!$A$6:$A$205,0))&lt;&gt;"",A3560&gt;INDEX(Mitarbeiter!$D$6:$D$205,MATCH(B3560,Mitarbeiter!$A$6:$A$205,0))),"nach Austritt","ok")))))))</f>
        <v/>
      </c>
    </row>
    <row r="3561">
      <c r="A3561" s="26" t="n"/>
      <c r="B3561" s="24" t="n"/>
      <c r="C3561" s="40">
        <f>IF(B3561="","",IFERROR(INDEX(Mitarbeiter!$B$6:$B$205,MATCH(B3561,Mitarbeiter!$A$6:$A$205,0)),"?"))</f>
        <v/>
      </c>
      <c r="D3561" s="41" t="n"/>
      <c r="E3561" s="42" t="n"/>
      <c r="F3561" s="43" t="n"/>
      <c r="G3561" s="44">
        <f>IF(OR(B3561="",F3561=""),"",IFERROR(F3561*INDEX(Mitarbeiter!$F$6:$F$205,MATCH(B3561,Mitarbeiter!$A$6:$A$205,0)),0))</f>
        <v/>
      </c>
      <c r="H3561" s="8">
        <f>IF(B3561="","",IF(ISNA(MATCH(B3561,Mitarbeiter!$A$6:$A$205,0)),"Pers.-Nr. unbekannt",IF(A3561="","Datum fehlt",IF(AND(D3561&lt;&gt;Einstellungen!$C$4,D3561&lt;&gt;Einstellungen!$C$5),"Objekt fehlt",IF(YEAR(A3561)&lt;&gt;Einstellungen!$C$3,"anderes Jahr",IF(A3561&lt;INDEX(Mitarbeiter!$C$6:$C$205,MATCH(B3561,Mitarbeiter!$A$6:$A$205,0)),"vor Eintritt",IF(AND(INDEX(Mitarbeiter!$D$6:$D$205,MATCH(B3561,Mitarbeiter!$A$6:$A$205,0))&lt;&gt;"",A3561&gt;INDEX(Mitarbeiter!$D$6:$D$205,MATCH(B3561,Mitarbeiter!$A$6:$A$205,0))),"nach Austritt","ok")))))))</f>
        <v/>
      </c>
    </row>
    <row r="3562">
      <c r="A3562" s="26" t="n"/>
      <c r="B3562" s="24" t="n"/>
      <c r="C3562" s="40">
        <f>IF(B3562="","",IFERROR(INDEX(Mitarbeiter!$B$6:$B$205,MATCH(B3562,Mitarbeiter!$A$6:$A$205,0)),"?"))</f>
        <v/>
      </c>
      <c r="D3562" s="41" t="n"/>
      <c r="E3562" s="42" t="n"/>
      <c r="F3562" s="43" t="n"/>
      <c r="G3562" s="44">
        <f>IF(OR(B3562="",F3562=""),"",IFERROR(F3562*INDEX(Mitarbeiter!$F$6:$F$205,MATCH(B3562,Mitarbeiter!$A$6:$A$205,0)),0))</f>
        <v/>
      </c>
      <c r="H3562" s="8">
        <f>IF(B3562="","",IF(ISNA(MATCH(B3562,Mitarbeiter!$A$6:$A$205,0)),"Pers.-Nr. unbekannt",IF(A3562="","Datum fehlt",IF(AND(D3562&lt;&gt;Einstellungen!$C$4,D3562&lt;&gt;Einstellungen!$C$5),"Objekt fehlt",IF(YEAR(A3562)&lt;&gt;Einstellungen!$C$3,"anderes Jahr",IF(A3562&lt;INDEX(Mitarbeiter!$C$6:$C$205,MATCH(B3562,Mitarbeiter!$A$6:$A$205,0)),"vor Eintritt",IF(AND(INDEX(Mitarbeiter!$D$6:$D$205,MATCH(B3562,Mitarbeiter!$A$6:$A$205,0))&lt;&gt;"",A3562&gt;INDEX(Mitarbeiter!$D$6:$D$205,MATCH(B3562,Mitarbeiter!$A$6:$A$205,0))),"nach Austritt","ok")))))))</f>
        <v/>
      </c>
    </row>
    <row r="3563">
      <c r="A3563" s="26" t="n"/>
      <c r="B3563" s="24" t="n"/>
      <c r="C3563" s="40">
        <f>IF(B3563="","",IFERROR(INDEX(Mitarbeiter!$B$6:$B$205,MATCH(B3563,Mitarbeiter!$A$6:$A$205,0)),"?"))</f>
        <v/>
      </c>
      <c r="D3563" s="41" t="n"/>
      <c r="E3563" s="42" t="n"/>
      <c r="F3563" s="43" t="n"/>
      <c r="G3563" s="44">
        <f>IF(OR(B3563="",F3563=""),"",IFERROR(F3563*INDEX(Mitarbeiter!$F$6:$F$205,MATCH(B3563,Mitarbeiter!$A$6:$A$205,0)),0))</f>
        <v/>
      </c>
      <c r="H3563" s="8">
        <f>IF(B3563="","",IF(ISNA(MATCH(B3563,Mitarbeiter!$A$6:$A$205,0)),"Pers.-Nr. unbekannt",IF(A3563="","Datum fehlt",IF(AND(D3563&lt;&gt;Einstellungen!$C$4,D3563&lt;&gt;Einstellungen!$C$5),"Objekt fehlt",IF(YEAR(A3563)&lt;&gt;Einstellungen!$C$3,"anderes Jahr",IF(A3563&lt;INDEX(Mitarbeiter!$C$6:$C$205,MATCH(B3563,Mitarbeiter!$A$6:$A$205,0)),"vor Eintritt",IF(AND(INDEX(Mitarbeiter!$D$6:$D$205,MATCH(B3563,Mitarbeiter!$A$6:$A$205,0))&lt;&gt;"",A3563&gt;INDEX(Mitarbeiter!$D$6:$D$205,MATCH(B3563,Mitarbeiter!$A$6:$A$205,0))),"nach Austritt","ok")))))))</f>
        <v/>
      </c>
    </row>
    <row r="3564">
      <c r="A3564" s="26" t="n"/>
      <c r="B3564" s="24" t="n"/>
      <c r="C3564" s="40">
        <f>IF(B3564="","",IFERROR(INDEX(Mitarbeiter!$B$6:$B$205,MATCH(B3564,Mitarbeiter!$A$6:$A$205,0)),"?"))</f>
        <v/>
      </c>
      <c r="D3564" s="41" t="n"/>
      <c r="E3564" s="42" t="n"/>
      <c r="F3564" s="43" t="n"/>
      <c r="G3564" s="44">
        <f>IF(OR(B3564="",F3564=""),"",IFERROR(F3564*INDEX(Mitarbeiter!$F$6:$F$205,MATCH(B3564,Mitarbeiter!$A$6:$A$205,0)),0))</f>
        <v/>
      </c>
      <c r="H3564" s="8">
        <f>IF(B3564="","",IF(ISNA(MATCH(B3564,Mitarbeiter!$A$6:$A$205,0)),"Pers.-Nr. unbekannt",IF(A3564="","Datum fehlt",IF(AND(D3564&lt;&gt;Einstellungen!$C$4,D3564&lt;&gt;Einstellungen!$C$5),"Objekt fehlt",IF(YEAR(A3564)&lt;&gt;Einstellungen!$C$3,"anderes Jahr",IF(A3564&lt;INDEX(Mitarbeiter!$C$6:$C$205,MATCH(B3564,Mitarbeiter!$A$6:$A$205,0)),"vor Eintritt",IF(AND(INDEX(Mitarbeiter!$D$6:$D$205,MATCH(B3564,Mitarbeiter!$A$6:$A$205,0))&lt;&gt;"",A3564&gt;INDEX(Mitarbeiter!$D$6:$D$205,MATCH(B3564,Mitarbeiter!$A$6:$A$205,0))),"nach Austritt","ok")))))))</f>
        <v/>
      </c>
    </row>
    <row r="3565">
      <c r="A3565" s="26" t="n"/>
      <c r="B3565" s="24" t="n"/>
      <c r="C3565" s="40">
        <f>IF(B3565="","",IFERROR(INDEX(Mitarbeiter!$B$6:$B$205,MATCH(B3565,Mitarbeiter!$A$6:$A$205,0)),"?"))</f>
        <v/>
      </c>
      <c r="D3565" s="41" t="n"/>
      <c r="E3565" s="42" t="n"/>
      <c r="F3565" s="43" t="n"/>
      <c r="G3565" s="44">
        <f>IF(OR(B3565="",F3565=""),"",IFERROR(F3565*INDEX(Mitarbeiter!$F$6:$F$205,MATCH(B3565,Mitarbeiter!$A$6:$A$205,0)),0))</f>
        <v/>
      </c>
      <c r="H3565" s="8">
        <f>IF(B3565="","",IF(ISNA(MATCH(B3565,Mitarbeiter!$A$6:$A$205,0)),"Pers.-Nr. unbekannt",IF(A3565="","Datum fehlt",IF(AND(D3565&lt;&gt;Einstellungen!$C$4,D3565&lt;&gt;Einstellungen!$C$5),"Objekt fehlt",IF(YEAR(A3565)&lt;&gt;Einstellungen!$C$3,"anderes Jahr",IF(A3565&lt;INDEX(Mitarbeiter!$C$6:$C$205,MATCH(B3565,Mitarbeiter!$A$6:$A$205,0)),"vor Eintritt",IF(AND(INDEX(Mitarbeiter!$D$6:$D$205,MATCH(B3565,Mitarbeiter!$A$6:$A$205,0))&lt;&gt;"",A3565&gt;INDEX(Mitarbeiter!$D$6:$D$205,MATCH(B3565,Mitarbeiter!$A$6:$A$205,0))),"nach Austritt","ok")))))))</f>
        <v/>
      </c>
    </row>
    <row r="3566">
      <c r="A3566" s="26" t="n"/>
      <c r="B3566" s="24" t="n"/>
      <c r="C3566" s="40">
        <f>IF(B3566="","",IFERROR(INDEX(Mitarbeiter!$B$6:$B$205,MATCH(B3566,Mitarbeiter!$A$6:$A$205,0)),"?"))</f>
        <v/>
      </c>
      <c r="D3566" s="41" t="n"/>
      <c r="E3566" s="42" t="n"/>
      <c r="F3566" s="43" t="n"/>
      <c r="G3566" s="44">
        <f>IF(OR(B3566="",F3566=""),"",IFERROR(F3566*INDEX(Mitarbeiter!$F$6:$F$205,MATCH(B3566,Mitarbeiter!$A$6:$A$205,0)),0))</f>
        <v/>
      </c>
      <c r="H3566" s="8">
        <f>IF(B3566="","",IF(ISNA(MATCH(B3566,Mitarbeiter!$A$6:$A$205,0)),"Pers.-Nr. unbekannt",IF(A3566="","Datum fehlt",IF(AND(D3566&lt;&gt;Einstellungen!$C$4,D3566&lt;&gt;Einstellungen!$C$5),"Objekt fehlt",IF(YEAR(A3566)&lt;&gt;Einstellungen!$C$3,"anderes Jahr",IF(A3566&lt;INDEX(Mitarbeiter!$C$6:$C$205,MATCH(B3566,Mitarbeiter!$A$6:$A$205,0)),"vor Eintritt",IF(AND(INDEX(Mitarbeiter!$D$6:$D$205,MATCH(B3566,Mitarbeiter!$A$6:$A$205,0))&lt;&gt;"",A3566&gt;INDEX(Mitarbeiter!$D$6:$D$205,MATCH(B3566,Mitarbeiter!$A$6:$A$205,0))),"nach Austritt","ok")))))))</f>
        <v/>
      </c>
    </row>
    <row r="3567">
      <c r="A3567" s="26" t="n"/>
      <c r="B3567" s="24" t="n"/>
      <c r="C3567" s="40">
        <f>IF(B3567="","",IFERROR(INDEX(Mitarbeiter!$B$6:$B$205,MATCH(B3567,Mitarbeiter!$A$6:$A$205,0)),"?"))</f>
        <v/>
      </c>
      <c r="D3567" s="41" t="n"/>
      <c r="E3567" s="42" t="n"/>
      <c r="F3567" s="43" t="n"/>
      <c r="G3567" s="44">
        <f>IF(OR(B3567="",F3567=""),"",IFERROR(F3567*INDEX(Mitarbeiter!$F$6:$F$205,MATCH(B3567,Mitarbeiter!$A$6:$A$205,0)),0))</f>
        <v/>
      </c>
      <c r="H3567" s="8">
        <f>IF(B3567="","",IF(ISNA(MATCH(B3567,Mitarbeiter!$A$6:$A$205,0)),"Pers.-Nr. unbekannt",IF(A3567="","Datum fehlt",IF(AND(D3567&lt;&gt;Einstellungen!$C$4,D3567&lt;&gt;Einstellungen!$C$5),"Objekt fehlt",IF(YEAR(A3567)&lt;&gt;Einstellungen!$C$3,"anderes Jahr",IF(A3567&lt;INDEX(Mitarbeiter!$C$6:$C$205,MATCH(B3567,Mitarbeiter!$A$6:$A$205,0)),"vor Eintritt",IF(AND(INDEX(Mitarbeiter!$D$6:$D$205,MATCH(B3567,Mitarbeiter!$A$6:$A$205,0))&lt;&gt;"",A3567&gt;INDEX(Mitarbeiter!$D$6:$D$205,MATCH(B3567,Mitarbeiter!$A$6:$A$205,0))),"nach Austritt","ok")))))))</f>
        <v/>
      </c>
    </row>
    <row r="3568">
      <c r="A3568" s="26" t="n"/>
      <c r="B3568" s="24" t="n"/>
      <c r="C3568" s="40">
        <f>IF(B3568="","",IFERROR(INDEX(Mitarbeiter!$B$6:$B$205,MATCH(B3568,Mitarbeiter!$A$6:$A$205,0)),"?"))</f>
        <v/>
      </c>
      <c r="D3568" s="41" t="n"/>
      <c r="E3568" s="42" t="n"/>
      <c r="F3568" s="43" t="n"/>
      <c r="G3568" s="44">
        <f>IF(OR(B3568="",F3568=""),"",IFERROR(F3568*INDEX(Mitarbeiter!$F$6:$F$205,MATCH(B3568,Mitarbeiter!$A$6:$A$205,0)),0))</f>
        <v/>
      </c>
      <c r="H3568" s="8">
        <f>IF(B3568="","",IF(ISNA(MATCH(B3568,Mitarbeiter!$A$6:$A$205,0)),"Pers.-Nr. unbekannt",IF(A3568="","Datum fehlt",IF(AND(D3568&lt;&gt;Einstellungen!$C$4,D3568&lt;&gt;Einstellungen!$C$5),"Objekt fehlt",IF(YEAR(A3568)&lt;&gt;Einstellungen!$C$3,"anderes Jahr",IF(A3568&lt;INDEX(Mitarbeiter!$C$6:$C$205,MATCH(B3568,Mitarbeiter!$A$6:$A$205,0)),"vor Eintritt",IF(AND(INDEX(Mitarbeiter!$D$6:$D$205,MATCH(B3568,Mitarbeiter!$A$6:$A$205,0))&lt;&gt;"",A3568&gt;INDEX(Mitarbeiter!$D$6:$D$205,MATCH(B3568,Mitarbeiter!$A$6:$A$205,0))),"nach Austritt","ok")))))))</f>
        <v/>
      </c>
    </row>
    <row r="3569">
      <c r="A3569" s="26" t="n"/>
      <c r="B3569" s="24" t="n"/>
      <c r="C3569" s="40">
        <f>IF(B3569="","",IFERROR(INDEX(Mitarbeiter!$B$6:$B$205,MATCH(B3569,Mitarbeiter!$A$6:$A$205,0)),"?"))</f>
        <v/>
      </c>
      <c r="D3569" s="41" t="n"/>
      <c r="E3569" s="42" t="n"/>
      <c r="F3569" s="43" t="n"/>
      <c r="G3569" s="44">
        <f>IF(OR(B3569="",F3569=""),"",IFERROR(F3569*INDEX(Mitarbeiter!$F$6:$F$205,MATCH(B3569,Mitarbeiter!$A$6:$A$205,0)),0))</f>
        <v/>
      </c>
      <c r="H3569" s="8">
        <f>IF(B3569="","",IF(ISNA(MATCH(B3569,Mitarbeiter!$A$6:$A$205,0)),"Pers.-Nr. unbekannt",IF(A3569="","Datum fehlt",IF(AND(D3569&lt;&gt;Einstellungen!$C$4,D3569&lt;&gt;Einstellungen!$C$5),"Objekt fehlt",IF(YEAR(A3569)&lt;&gt;Einstellungen!$C$3,"anderes Jahr",IF(A3569&lt;INDEX(Mitarbeiter!$C$6:$C$205,MATCH(B3569,Mitarbeiter!$A$6:$A$205,0)),"vor Eintritt",IF(AND(INDEX(Mitarbeiter!$D$6:$D$205,MATCH(B3569,Mitarbeiter!$A$6:$A$205,0))&lt;&gt;"",A3569&gt;INDEX(Mitarbeiter!$D$6:$D$205,MATCH(B3569,Mitarbeiter!$A$6:$A$205,0))),"nach Austritt","ok")))))))</f>
        <v/>
      </c>
    </row>
    <row r="3570">
      <c r="A3570" s="26" t="n"/>
      <c r="B3570" s="24" t="n"/>
      <c r="C3570" s="40">
        <f>IF(B3570="","",IFERROR(INDEX(Mitarbeiter!$B$6:$B$205,MATCH(B3570,Mitarbeiter!$A$6:$A$205,0)),"?"))</f>
        <v/>
      </c>
      <c r="D3570" s="41" t="n"/>
      <c r="E3570" s="42" t="n"/>
      <c r="F3570" s="43" t="n"/>
      <c r="G3570" s="44">
        <f>IF(OR(B3570="",F3570=""),"",IFERROR(F3570*INDEX(Mitarbeiter!$F$6:$F$205,MATCH(B3570,Mitarbeiter!$A$6:$A$205,0)),0))</f>
        <v/>
      </c>
      <c r="H3570" s="8">
        <f>IF(B3570="","",IF(ISNA(MATCH(B3570,Mitarbeiter!$A$6:$A$205,0)),"Pers.-Nr. unbekannt",IF(A3570="","Datum fehlt",IF(AND(D3570&lt;&gt;Einstellungen!$C$4,D3570&lt;&gt;Einstellungen!$C$5),"Objekt fehlt",IF(YEAR(A3570)&lt;&gt;Einstellungen!$C$3,"anderes Jahr",IF(A3570&lt;INDEX(Mitarbeiter!$C$6:$C$205,MATCH(B3570,Mitarbeiter!$A$6:$A$205,0)),"vor Eintritt",IF(AND(INDEX(Mitarbeiter!$D$6:$D$205,MATCH(B3570,Mitarbeiter!$A$6:$A$205,0))&lt;&gt;"",A3570&gt;INDEX(Mitarbeiter!$D$6:$D$205,MATCH(B3570,Mitarbeiter!$A$6:$A$205,0))),"nach Austritt","ok")))))))</f>
        <v/>
      </c>
    </row>
    <row r="3571">
      <c r="A3571" s="26" t="n"/>
      <c r="B3571" s="24" t="n"/>
      <c r="C3571" s="40">
        <f>IF(B3571="","",IFERROR(INDEX(Mitarbeiter!$B$6:$B$205,MATCH(B3571,Mitarbeiter!$A$6:$A$205,0)),"?"))</f>
        <v/>
      </c>
      <c r="D3571" s="41" t="n"/>
      <c r="E3571" s="42" t="n"/>
      <c r="F3571" s="43" t="n"/>
      <c r="G3571" s="44">
        <f>IF(OR(B3571="",F3571=""),"",IFERROR(F3571*INDEX(Mitarbeiter!$F$6:$F$205,MATCH(B3571,Mitarbeiter!$A$6:$A$205,0)),0))</f>
        <v/>
      </c>
      <c r="H3571" s="8">
        <f>IF(B3571="","",IF(ISNA(MATCH(B3571,Mitarbeiter!$A$6:$A$205,0)),"Pers.-Nr. unbekannt",IF(A3571="","Datum fehlt",IF(AND(D3571&lt;&gt;Einstellungen!$C$4,D3571&lt;&gt;Einstellungen!$C$5),"Objekt fehlt",IF(YEAR(A3571)&lt;&gt;Einstellungen!$C$3,"anderes Jahr",IF(A3571&lt;INDEX(Mitarbeiter!$C$6:$C$205,MATCH(B3571,Mitarbeiter!$A$6:$A$205,0)),"vor Eintritt",IF(AND(INDEX(Mitarbeiter!$D$6:$D$205,MATCH(B3571,Mitarbeiter!$A$6:$A$205,0))&lt;&gt;"",A3571&gt;INDEX(Mitarbeiter!$D$6:$D$205,MATCH(B3571,Mitarbeiter!$A$6:$A$205,0))),"nach Austritt","ok")))))))</f>
        <v/>
      </c>
    </row>
    <row r="3572">
      <c r="A3572" s="26" t="n"/>
      <c r="B3572" s="24" t="n"/>
      <c r="C3572" s="40">
        <f>IF(B3572="","",IFERROR(INDEX(Mitarbeiter!$B$6:$B$205,MATCH(B3572,Mitarbeiter!$A$6:$A$205,0)),"?"))</f>
        <v/>
      </c>
      <c r="D3572" s="41" t="n"/>
      <c r="E3572" s="42" t="n"/>
      <c r="F3572" s="43" t="n"/>
      <c r="G3572" s="44">
        <f>IF(OR(B3572="",F3572=""),"",IFERROR(F3572*INDEX(Mitarbeiter!$F$6:$F$205,MATCH(B3572,Mitarbeiter!$A$6:$A$205,0)),0))</f>
        <v/>
      </c>
      <c r="H3572" s="8">
        <f>IF(B3572="","",IF(ISNA(MATCH(B3572,Mitarbeiter!$A$6:$A$205,0)),"Pers.-Nr. unbekannt",IF(A3572="","Datum fehlt",IF(AND(D3572&lt;&gt;Einstellungen!$C$4,D3572&lt;&gt;Einstellungen!$C$5),"Objekt fehlt",IF(YEAR(A3572)&lt;&gt;Einstellungen!$C$3,"anderes Jahr",IF(A3572&lt;INDEX(Mitarbeiter!$C$6:$C$205,MATCH(B3572,Mitarbeiter!$A$6:$A$205,0)),"vor Eintritt",IF(AND(INDEX(Mitarbeiter!$D$6:$D$205,MATCH(B3572,Mitarbeiter!$A$6:$A$205,0))&lt;&gt;"",A3572&gt;INDEX(Mitarbeiter!$D$6:$D$205,MATCH(B3572,Mitarbeiter!$A$6:$A$205,0))),"nach Austritt","ok")))))))</f>
        <v/>
      </c>
    </row>
    <row r="3573">
      <c r="A3573" s="26" t="n"/>
      <c r="B3573" s="24" t="n"/>
      <c r="C3573" s="40">
        <f>IF(B3573="","",IFERROR(INDEX(Mitarbeiter!$B$6:$B$205,MATCH(B3573,Mitarbeiter!$A$6:$A$205,0)),"?"))</f>
        <v/>
      </c>
      <c r="D3573" s="41" t="n"/>
      <c r="E3573" s="42" t="n"/>
      <c r="F3573" s="43" t="n"/>
      <c r="G3573" s="44">
        <f>IF(OR(B3573="",F3573=""),"",IFERROR(F3573*INDEX(Mitarbeiter!$F$6:$F$205,MATCH(B3573,Mitarbeiter!$A$6:$A$205,0)),0))</f>
        <v/>
      </c>
      <c r="H3573" s="8">
        <f>IF(B3573="","",IF(ISNA(MATCH(B3573,Mitarbeiter!$A$6:$A$205,0)),"Pers.-Nr. unbekannt",IF(A3573="","Datum fehlt",IF(AND(D3573&lt;&gt;Einstellungen!$C$4,D3573&lt;&gt;Einstellungen!$C$5),"Objekt fehlt",IF(YEAR(A3573)&lt;&gt;Einstellungen!$C$3,"anderes Jahr",IF(A3573&lt;INDEX(Mitarbeiter!$C$6:$C$205,MATCH(B3573,Mitarbeiter!$A$6:$A$205,0)),"vor Eintritt",IF(AND(INDEX(Mitarbeiter!$D$6:$D$205,MATCH(B3573,Mitarbeiter!$A$6:$A$205,0))&lt;&gt;"",A3573&gt;INDEX(Mitarbeiter!$D$6:$D$205,MATCH(B3573,Mitarbeiter!$A$6:$A$205,0))),"nach Austritt","ok")))))))</f>
        <v/>
      </c>
    </row>
    <row r="3574">
      <c r="A3574" s="26" t="n"/>
      <c r="B3574" s="24" t="n"/>
      <c r="C3574" s="40">
        <f>IF(B3574="","",IFERROR(INDEX(Mitarbeiter!$B$6:$B$205,MATCH(B3574,Mitarbeiter!$A$6:$A$205,0)),"?"))</f>
        <v/>
      </c>
      <c r="D3574" s="41" t="n"/>
      <c r="E3574" s="42" t="n"/>
      <c r="F3574" s="43" t="n"/>
      <c r="G3574" s="44">
        <f>IF(OR(B3574="",F3574=""),"",IFERROR(F3574*INDEX(Mitarbeiter!$F$6:$F$205,MATCH(B3574,Mitarbeiter!$A$6:$A$205,0)),0))</f>
        <v/>
      </c>
      <c r="H3574" s="8">
        <f>IF(B3574="","",IF(ISNA(MATCH(B3574,Mitarbeiter!$A$6:$A$205,0)),"Pers.-Nr. unbekannt",IF(A3574="","Datum fehlt",IF(AND(D3574&lt;&gt;Einstellungen!$C$4,D3574&lt;&gt;Einstellungen!$C$5),"Objekt fehlt",IF(YEAR(A3574)&lt;&gt;Einstellungen!$C$3,"anderes Jahr",IF(A3574&lt;INDEX(Mitarbeiter!$C$6:$C$205,MATCH(B3574,Mitarbeiter!$A$6:$A$205,0)),"vor Eintritt",IF(AND(INDEX(Mitarbeiter!$D$6:$D$205,MATCH(B3574,Mitarbeiter!$A$6:$A$205,0))&lt;&gt;"",A3574&gt;INDEX(Mitarbeiter!$D$6:$D$205,MATCH(B3574,Mitarbeiter!$A$6:$A$205,0))),"nach Austritt","ok")))))))</f>
        <v/>
      </c>
    </row>
    <row r="3575">
      <c r="A3575" s="26" t="n"/>
      <c r="B3575" s="24" t="n"/>
      <c r="C3575" s="40">
        <f>IF(B3575="","",IFERROR(INDEX(Mitarbeiter!$B$6:$B$205,MATCH(B3575,Mitarbeiter!$A$6:$A$205,0)),"?"))</f>
        <v/>
      </c>
      <c r="D3575" s="41" t="n"/>
      <c r="E3575" s="42" t="n"/>
      <c r="F3575" s="43" t="n"/>
      <c r="G3575" s="44">
        <f>IF(OR(B3575="",F3575=""),"",IFERROR(F3575*INDEX(Mitarbeiter!$F$6:$F$205,MATCH(B3575,Mitarbeiter!$A$6:$A$205,0)),0))</f>
        <v/>
      </c>
      <c r="H3575" s="8">
        <f>IF(B3575="","",IF(ISNA(MATCH(B3575,Mitarbeiter!$A$6:$A$205,0)),"Pers.-Nr. unbekannt",IF(A3575="","Datum fehlt",IF(AND(D3575&lt;&gt;Einstellungen!$C$4,D3575&lt;&gt;Einstellungen!$C$5),"Objekt fehlt",IF(YEAR(A3575)&lt;&gt;Einstellungen!$C$3,"anderes Jahr",IF(A3575&lt;INDEX(Mitarbeiter!$C$6:$C$205,MATCH(B3575,Mitarbeiter!$A$6:$A$205,0)),"vor Eintritt",IF(AND(INDEX(Mitarbeiter!$D$6:$D$205,MATCH(B3575,Mitarbeiter!$A$6:$A$205,0))&lt;&gt;"",A3575&gt;INDEX(Mitarbeiter!$D$6:$D$205,MATCH(B3575,Mitarbeiter!$A$6:$A$205,0))),"nach Austritt","ok")))))))</f>
        <v/>
      </c>
    </row>
    <row r="3576">
      <c r="A3576" s="26" t="n"/>
      <c r="B3576" s="24" t="n"/>
      <c r="C3576" s="40">
        <f>IF(B3576="","",IFERROR(INDEX(Mitarbeiter!$B$6:$B$205,MATCH(B3576,Mitarbeiter!$A$6:$A$205,0)),"?"))</f>
        <v/>
      </c>
      <c r="D3576" s="41" t="n"/>
      <c r="E3576" s="42" t="n"/>
      <c r="F3576" s="43" t="n"/>
      <c r="G3576" s="44">
        <f>IF(OR(B3576="",F3576=""),"",IFERROR(F3576*INDEX(Mitarbeiter!$F$6:$F$205,MATCH(B3576,Mitarbeiter!$A$6:$A$205,0)),0))</f>
        <v/>
      </c>
      <c r="H3576" s="8">
        <f>IF(B3576="","",IF(ISNA(MATCH(B3576,Mitarbeiter!$A$6:$A$205,0)),"Pers.-Nr. unbekannt",IF(A3576="","Datum fehlt",IF(AND(D3576&lt;&gt;Einstellungen!$C$4,D3576&lt;&gt;Einstellungen!$C$5),"Objekt fehlt",IF(YEAR(A3576)&lt;&gt;Einstellungen!$C$3,"anderes Jahr",IF(A3576&lt;INDEX(Mitarbeiter!$C$6:$C$205,MATCH(B3576,Mitarbeiter!$A$6:$A$205,0)),"vor Eintritt",IF(AND(INDEX(Mitarbeiter!$D$6:$D$205,MATCH(B3576,Mitarbeiter!$A$6:$A$205,0))&lt;&gt;"",A3576&gt;INDEX(Mitarbeiter!$D$6:$D$205,MATCH(B3576,Mitarbeiter!$A$6:$A$205,0))),"nach Austritt","ok")))))))</f>
        <v/>
      </c>
    </row>
    <row r="3577">
      <c r="A3577" s="26" t="n"/>
      <c r="B3577" s="24" t="n"/>
      <c r="C3577" s="40">
        <f>IF(B3577="","",IFERROR(INDEX(Mitarbeiter!$B$6:$B$205,MATCH(B3577,Mitarbeiter!$A$6:$A$205,0)),"?"))</f>
        <v/>
      </c>
      <c r="D3577" s="41" t="n"/>
      <c r="E3577" s="42" t="n"/>
      <c r="F3577" s="43" t="n"/>
      <c r="G3577" s="44">
        <f>IF(OR(B3577="",F3577=""),"",IFERROR(F3577*INDEX(Mitarbeiter!$F$6:$F$205,MATCH(B3577,Mitarbeiter!$A$6:$A$205,0)),0))</f>
        <v/>
      </c>
      <c r="H3577" s="8">
        <f>IF(B3577="","",IF(ISNA(MATCH(B3577,Mitarbeiter!$A$6:$A$205,0)),"Pers.-Nr. unbekannt",IF(A3577="","Datum fehlt",IF(AND(D3577&lt;&gt;Einstellungen!$C$4,D3577&lt;&gt;Einstellungen!$C$5),"Objekt fehlt",IF(YEAR(A3577)&lt;&gt;Einstellungen!$C$3,"anderes Jahr",IF(A3577&lt;INDEX(Mitarbeiter!$C$6:$C$205,MATCH(B3577,Mitarbeiter!$A$6:$A$205,0)),"vor Eintritt",IF(AND(INDEX(Mitarbeiter!$D$6:$D$205,MATCH(B3577,Mitarbeiter!$A$6:$A$205,0))&lt;&gt;"",A3577&gt;INDEX(Mitarbeiter!$D$6:$D$205,MATCH(B3577,Mitarbeiter!$A$6:$A$205,0))),"nach Austritt","ok")))))))</f>
        <v/>
      </c>
    </row>
    <row r="3578">
      <c r="A3578" s="26" t="n"/>
      <c r="B3578" s="24" t="n"/>
      <c r="C3578" s="40">
        <f>IF(B3578="","",IFERROR(INDEX(Mitarbeiter!$B$6:$B$205,MATCH(B3578,Mitarbeiter!$A$6:$A$205,0)),"?"))</f>
        <v/>
      </c>
      <c r="D3578" s="41" t="n"/>
      <c r="E3578" s="42" t="n"/>
      <c r="F3578" s="43" t="n"/>
      <c r="G3578" s="44">
        <f>IF(OR(B3578="",F3578=""),"",IFERROR(F3578*INDEX(Mitarbeiter!$F$6:$F$205,MATCH(B3578,Mitarbeiter!$A$6:$A$205,0)),0))</f>
        <v/>
      </c>
      <c r="H3578" s="8">
        <f>IF(B3578="","",IF(ISNA(MATCH(B3578,Mitarbeiter!$A$6:$A$205,0)),"Pers.-Nr. unbekannt",IF(A3578="","Datum fehlt",IF(AND(D3578&lt;&gt;Einstellungen!$C$4,D3578&lt;&gt;Einstellungen!$C$5),"Objekt fehlt",IF(YEAR(A3578)&lt;&gt;Einstellungen!$C$3,"anderes Jahr",IF(A3578&lt;INDEX(Mitarbeiter!$C$6:$C$205,MATCH(B3578,Mitarbeiter!$A$6:$A$205,0)),"vor Eintritt",IF(AND(INDEX(Mitarbeiter!$D$6:$D$205,MATCH(B3578,Mitarbeiter!$A$6:$A$205,0))&lt;&gt;"",A3578&gt;INDEX(Mitarbeiter!$D$6:$D$205,MATCH(B3578,Mitarbeiter!$A$6:$A$205,0))),"nach Austritt","ok")))))))</f>
        <v/>
      </c>
    </row>
    <row r="3579">
      <c r="A3579" s="26" t="n"/>
      <c r="B3579" s="24" t="n"/>
      <c r="C3579" s="40">
        <f>IF(B3579="","",IFERROR(INDEX(Mitarbeiter!$B$6:$B$205,MATCH(B3579,Mitarbeiter!$A$6:$A$205,0)),"?"))</f>
        <v/>
      </c>
      <c r="D3579" s="41" t="n"/>
      <c r="E3579" s="42" t="n"/>
      <c r="F3579" s="43" t="n"/>
      <c r="G3579" s="44">
        <f>IF(OR(B3579="",F3579=""),"",IFERROR(F3579*INDEX(Mitarbeiter!$F$6:$F$205,MATCH(B3579,Mitarbeiter!$A$6:$A$205,0)),0))</f>
        <v/>
      </c>
      <c r="H3579" s="8">
        <f>IF(B3579="","",IF(ISNA(MATCH(B3579,Mitarbeiter!$A$6:$A$205,0)),"Pers.-Nr. unbekannt",IF(A3579="","Datum fehlt",IF(AND(D3579&lt;&gt;Einstellungen!$C$4,D3579&lt;&gt;Einstellungen!$C$5),"Objekt fehlt",IF(YEAR(A3579)&lt;&gt;Einstellungen!$C$3,"anderes Jahr",IF(A3579&lt;INDEX(Mitarbeiter!$C$6:$C$205,MATCH(B3579,Mitarbeiter!$A$6:$A$205,0)),"vor Eintritt",IF(AND(INDEX(Mitarbeiter!$D$6:$D$205,MATCH(B3579,Mitarbeiter!$A$6:$A$205,0))&lt;&gt;"",A3579&gt;INDEX(Mitarbeiter!$D$6:$D$205,MATCH(B3579,Mitarbeiter!$A$6:$A$205,0))),"nach Austritt","ok")))))))</f>
        <v/>
      </c>
    </row>
    <row r="3580">
      <c r="A3580" s="26" t="n"/>
      <c r="B3580" s="24" t="n"/>
      <c r="C3580" s="40">
        <f>IF(B3580="","",IFERROR(INDEX(Mitarbeiter!$B$6:$B$205,MATCH(B3580,Mitarbeiter!$A$6:$A$205,0)),"?"))</f>
        <v/>
      </c>
      <c r="D3580" s="41" t="n"/>
      <c r="E3580" s="42" t="n"/>
      <c r="F3580" s="43" t="n"/>
      <c r="G3580" s="44">
        <f>IF(OR(B3580="",F3580=""),"",IFERROR(F3580*INDEX(Mitarbeiter!$F$6:$F$205,MATCH(B3580,Mitarbeiter!$A$6:$A$205,0)),0))</f>
        <v/>
      </c>
      <c r="H3580" s="8">
        <f>IF(B3580="","",IF(ISNA(MATCH(B3580,Mitarbeiter!$A$6:$A$205,0)),"Pers.-Nr. unbekannt",IF(A3580="","Datum fehlt",IF(AND(D3580&lt;&gt;Einstellungen!$C$4,D3580&lt;&gt;Einstellungen!$C$5),"Objekt fehlt",IF(YEAR(A3580)&lt;&gt;Einstellungen!$C$3,"anderes Jahr",IF(A3580&lt;INDEX(Mitarbeiter!$C$6:$C$205,MATCH(B3580,Mitarbeiter!$A$6:$A$205,0)),"vor Eintritt",IF(AND(INDEX(Mitarbeiter!$D$6:$D$205,MATCH(B3580,Mitarbeiter!$A$6:$A$205,0))&lt;&gt;"",A3580&gt;INDEX(Mitarbeiter!$D$6:$D$205,MATCH(B3580,Mitarbeiter!$A$6:$A$205,0))),"nach Austritt","ok")))))))</f>
        <v/>
      </c>
    </row>
    <row r="3581">
      <c r="A3581" s="26" t="n"/>
      <c r="B3581" s="24" t="n"/>
      <c r="C3581" s="40">
        <f>IF(B3581="","",IFERROR(INDEX(Mitarbeiter!$B$6:$B$205,MATCH(B3581,Mitarbeiter!$A$6:$A$205,0)),"?"))</f>
        <v/>
      </c>
      <c r="D3581" s="41" t="n"/>
      <c r="E3581" s="42" t="n"/>
      <c r="F3581" s="43" t="n"/>
      <c r="G3581" s="44">
        <f>IF(OR(B3581="",F3581=""),"",IFERROR(F3581*INDEX(Mitarbeiter!$F$6:$F$205,MATCH(B3581,Mitarbeiter!$A$6:$A$205,0)),0))</f>
        <v/>
      </c>
      <c r="H3581" s="8">
        <f>IF(B3581="","",IF(ISNA(MATCH(B3581,Mitarbeiter!$A$6:$A$205,0)),"Pers.-Nr. unbekannt",IF(A3581="","Datum fehlt",IF(AND(D3581&lt;&gt;Einstellungen!$C$4,D3581&lt;&gt;Einstellungen!$C$5),"Objekt fehlt",IF(YEAR(A3581)&lt;&gt;Einstellungen!$C$3,"anderes Jahr",IF(A3581&lt;INDEX(Mitarbeiter!$C$6:$C$205,MATCH(B3581,Mitarbeiter!$A$6:$A$205,0)),"vor Eintritt",IF(AND(INDEX(Mitarbeiter!$D$6:$D$205,MATCH(B3581,Mitarbeiter!$A$6:$A$205,0))&lt;&gt;"",A3581&gt;INDEX(Mitarbeiter!$D$6:$D$205,MATCH(B3581,Mitarbeiter!$A$6:$A$205,0))),"nach Austritt","ok")))))))</f>
        <v/>
      </c>
    </row>
    <row r="3582">
      <c r="A3582" s="26" t="n"/>
      <c r="B3582" s="24" t="n"/>
      <c r="C3582" s="40">
        <f>IF(B3582="","",IFERROR(INDEX(Mitarbeiter!$B$6:$B$205,MATCH(B3582,Mitarbeiter!$A$6:$A$205,0)),"?"))</f>
        <v/>
      </c>
      <c r="D3582" s="41" t="n"/>
      <c r="E3582" s="42" t="n"/>
      <c r="F3582" s="43" t="n"/>
      <c r="G3582" s="44">
        <f>IF(OR(B3582="",F3582=""),"",IFERROR(F3582*INDEX(Mitarbeiter!$F$6:$F$205,MATCH(B3582,Mitarbeiter!$A$6:$A$205,0)),0))</f>
        <v/>
      </c>
      <c r="H3582" s="8">
        <f>IF(B3582="","",IF(ISNA(MATCH(B3582,Mitarbeiter!$A$6:$A$205,0)),"Pers.-Nr. unbekannt",IF(A3582="","Datum fehlt",IF(AND(D3582&lt;&gt;Einstellungen!$C$4,D3582&lt;&gt;Einstellungen!$C$5),"Objekt fehlt",IF(YEAR(A3582)&lt;&gt;Einstellungen!$C$3,"anderes Jahr",IF(A3582&lt;INDEX(Mitarbeiter!$C$6:$C$205,MATCH(B3582,Mitarbeiter!$A$6:$A$205,0)),"vor Eintritt",IF(AND(INDEX(Mitarbeiter!$D$6:$D$205,MATCH(B3582,Mitarbeiter!$A$6:$A$205,0))&lt;&gt;"",A3582&gt;INDEX(Mitarbeiter!$D$6:$D$205,MATCH(B3582,Mitarbeiter!$A$6:$A$205,0))),"nach Austritt","ok")))))))</f>
        <v/>
      </c>
    </row>
    <row r="3583">
      <c r="A3583" s="26" t="n"/>
      <c r="B3583" s="24" t="n"/>
      <c r="C3583" s="40">
        <f>IF(B3583="","",IFERROR(INDEX(Mitarbeiter!$B$6:$B$205,MATCH(B3583,Mitarbeiter!$A$6:$A$205,0)),"?"))</f>
        <v/>
      </c>
      <c r="D3583" s="41" t="n"/>
      <c r="E3583" s="42" t="n"/>
      <c r="F3583" s="43" t="n"/>
      <c r="G3583" s="44">
        <f>IF(OR(B3583="",F3583=""),"",IFERROR(F3583*INDEX(Mitarbeiter!$F$6:$F$205,MATCH(B3583,Mitarbeiter!$A$6:$A$205,0)),0))</f>
        <v/>
      </c>
      <c r="H3583" s="8">
        <f>IF(B3583="","",IF(ISNA(MATCH(B3583,Mitarbeiter!$A$6:$A$205,0)),"Pers.-Nr. unbekannt",IF(A3583="","Datum fehlt",IF(AND(D3583&lt;&gt;Einstellungen!$C$4,D3583&lt;&gt;Einstellungen!$C$5),"Objekt fehlt",IF(YEAR(A3583)&lt;&gt;Einstellungen!$C$3,"anderes Jahr",IF(A3583&lt;INDEX(Mitarbeiter!$C$6:$C$205,MATCH(B3583,Mitarbeiter!$A$6:$A$205,0)),"vor Eintritt",IF(AND(INDEX(Mitarbeiter!$D$6:$D$205,MATCH(B3583,Mitarbeiter!$A$6:$A$205,0))&lt;&gt;"",A3583&gt;INDEX(Mitarbeiter!$D$6:$D$205,MATCH(B3583,Mitarbeiter!$A$6:$A$205,0))),"nach Austritt","ok")))))))</f>
        <v/>
      </c>
    </row>
    <row r="3584">
      <c r="A3584" s="26" t="n"/>
      <c r="B3584" s="24" t="n"/>
      <c r="C3584" s="40">
        <f>IF(B3584="","",IFERROR(INDEX(Mitarbeiter!$B$6:$B$205,MATCH(B3584,Mitarbeiter!$A$6:$A$205,0)),"?"))</f>
        <v/>
      </c>
      <c r="D3584" s="41" t="n"/>
      <c r="E3584" s="42" t="n"/>
      <c r="F3584" s="43" t="n"/>
      <c r="G3584" s="44">
        <f>IF(OR(B3584="",F3584=""),"",IFERROR(F3584*INDEX(Mitarbeiter!$F$6:$F$205,MATCH(B3584,Mitarbeiter!$A$6:$A$205,0)),0))</f>
        <v/>
      </c>
      <c r="H3584" s="8">
        <f>IF(B3584="","",IF(ISNA(MATCH(B3584,Mitarbeiter!$A$6:$A$205,0)),"Pers.-Nr. unbekannt",IF(A3584="","Datum fehlt",IF(AND(D3584&lt;&gt;Einstellungen!$C$4,D3584&lt;&gt;Einstellungen!$C$5),"Objekt fehlt",IF(YEAR(A3584)&lt;&gt;Einstellungen!$C$3,"anderes Jahr",IF(A3584&lt;INDEX(Mitarbeiter!$C$6:$C$205,MATCH(B3584,Mitarbeiter!$A$6:$A$205,0)),"vor Eintritt",IF(AND(INDEX(Mitarbeiter!$D$6:$D$205,MATCH(B3584,Mitarbeiter!$A$6:$A$205,0))&lt;&gt;"",A3584&gt;INDEX(Mitarbeiter!$D$6:$D$205,MATCH(B3584,Mitarbeiter!$A$6:$A$205,0))),"nach Austritt","ok")))))))</f>
        <v/>
      </c>
    </row>
    <row r="3585">
      <c r="A3585" s="26" t="n"/>
      <c r="B3585" s="24" t="n"/>
      <c r="C3585" s="40">
        <f>IF(B3585="","",IFERROR(INDEX(Mitarbeiter!$B$6:$B$205,MATCH(B3585,Mitarbeiter!$A$6:$A$205,0)),"?"))</f>
        <v/>
      </c>
      <c r="D3585" s="41" t="n"/>
      <c r="E3585" s="42" t="n"/>
      <c r="F3585" s="43" t="n"/>
      <c r="G3585" s="44">
        <f>IF(OR(B3585="",F3585=""),"",IFERROR(F3585*INDEX(Mitarbeiter!$F$6:$F$205,MATCH(B3585,Mitarbeiter!$A$6:$A$205,0)),0))</f>
        <v/>
      </c>
      <c r="H3585" s="8">
        <f>IF(B3585="","",IF(ISNA(MATCH(B3585,Mitarbeiter!$A$6:$A$205,0)),"Pers.-Nr. unbekannt",IF(A3585="","Datum fehlt",IF(AND(D3585&lt;&gt;Einstellungen!$C$4,D3585&lt;&gt;Einstellungen!$C$5),"Objekt fehlt",IF(YEAR(A3585)&lt;&gt;Einstellungen!$C$3,"anderes Jahr",IF(A3585&lt;INDEX(Mitarbeiter!$C$6:$C$205,MATCH(B3585,Mitarbeiter!$A$6:$A$205,0)),"vor Eintritt",IF(AND(INDEX(Mitarbeiter!$D$6:$D$205,MATCH(B3585,Mitarbeiter!$A$6:$A$205,0))&lt;&gt;"",A3585&gt;INDEX(Mitarbeiter!$D$6:$D$205,MATCH(B3585,Mitarbeiter!$A$6:$A$205,0))),"nach Austritt","ok")))))))</f>
        <v/>
      </c>
    </row>
    <row r="3586">
      <c r="A3586" s="26" t="n"/>
      <c r="B3586" s="24" t="n"/>
      <c r="C3586" s="40">
        <f>IF(B3586="","",IFERROR(INDEX(Mitarbeiter!$B$6:$B$205,MATCH(B3586,Mitarbeiter!$A$6:$A$205,0)),"?"))</f>
        <v/>
      </c>
      <c r="D3586" s="41" t="n"/>
      <c r="E3586" s="42" t="n"/>
      <c r="F3586" s="43" t="n"/>
      <c r="G3586" s="44">
        <f>IF(OR(B3586="",F3586=""),"",IFERROR(F3586*INDEX(Mitarbeiter!$F$6:$F$205,MATCH(B3586,Mitarbeiter!$A$6:$A$205,0)),0))</f>
        <v/>
      </c>
      <c r="H3586" s="8">
        <f>IF(B3586="","",IF(ISNA(MATCH(B3586,Mitarbeiter!$A$6:$A$205,0)),"Pers.-Nr. unbekannt",IF(A3586="","Datum fehlt",IF(AND(D3586&lt;&gt;Einstellungen!$C$4,D3586&lt;&gt;Einstellungen!$C$5),"Objekt fehlt",IF(YEAR(A3586)&lt;&gt;Einstellungen!$C$3,"anderes Jahr",IF(A3586&lt;INDEX(Mitarbeiter!$C$6:$C$205,MATCH(B3586,Mitarbeiter!$A$6:$A$205,0)),"vor Eintritt",IF(AND(INDEX(Mitarbeiter!$D$6:$D$205,MATCH(B3586,Mitarbeiter!$A$6:$A$205,0))&lt;&gt;"",A3586&gt;INDEX(Mitarbeiter!$D$6:$D$205,MATCH(B3586,Mitarbeiter!$A$6:$A$205,0))),"nach Austritt","ok")))))))</f>
        <v/>
      </c>
    </row>
    <row r="3587">
      <c r="A3587" s="26" t="n"/>
      <c r="B3587" s="24" t="n"/>
      <c r="C3587" s="40">
        <f>IF(B3587="","",IFERROR(INDEX(Mitarbeiter!$B$6:$B$205,MATCH(B3587,Mitarbeiter!$A$6:$A$205,0)),"?"))</f>
        <v/>
      </c>
      <c r="D3587" s="41" t="n"/>
      <c r="E3587" s="42" t="n"/>
      <c r="F3587" s="43" t="n"/>
      <c r="G3587" s="44">
        <f>IF(OR(B3587="",F3587=""),"",IFERROR(F3587*INDEX(Mitarbeiter!$F$6:$F$205,MATCH(B3587,Mitarbeiter!$A$6:$A$205,0)),0))</f>
        <v/>
      </c>
      <c r="H3587" s="8">
        <f>IF(B3587="","",IF(ISNA(MATCH(B3587,Mitarbeiter!$A$6:$A$205,0)),"Pers.-Nr. unbekannt",IF(A3587="","Datum fehlt",IF(AND(D3587&lt;&gt;Einstellungen!$C$4,D3587&lt;&gt;Einstellungen!$C$5),"Objekt fehlt",IF(YEAR(A3587)&lt;&gt;Einstellungen!$C$3,"anderes Jahr",IF(A3587&lt;INDEX(Mitarbeiter!$C$6:$C$205,MATCH(B3587,Mitarbeiter!$A$6:$A$205,0)),"vor Eintritt",IF(AND(INDEX(Mitarbeiter!$D$6:$D$205,MATCH(B3587,Mitarbeiter!$A$6:$A$205,0))&lt;&gt;"",A3587&gt;INDEX(Mitarbeiter!$D$6:$D$205,MATCH(B3587,Mitarbeiter!$A$6:$A$205,0))),"nach Austritt","ok")))))))</f>
        <v/>
      </c>
    </row>
    <row r="3588">
      <c r="A3588" s="26" t="n"/>
      <c r="B3588" s="24" t="n"/>
      <c r="C3588" s="40">
        <f>IF(B3588="","",IFERROR(INDEX(Mitarbeiter!$B$6:$B$205,MATCH(B3588,Mitarbeiter!$A$6:$A$205,0)),"?"))</f>
        <v/>
      </c>
      <c r="D3588" s="41" t="n"/>
      <c r="E3588" s="42" t="n"/>
      <c r="F3588" s="43" t="n"/>
      <c r="G3588" s="44">
        <f>IF(OR(B3588="",F3588=""),"",IFERROR(F3588*INDEX(Mitarbeiter!$F$6:$F$205,MATCH(B3588,Mitarbeiter!$A$6:$A$205,0)),0))</f>
        <v/>
      </c>
      <c r="H3588" s="8">
        <f>IF(B3588="","",IF(ISNA(MATCH(B3588,Mitarbeiter!$A$6:$A$205,0)),"Pers.-Nr. unbekannt",IF(A3588="","Datum fehlt",IF(AND(D3588&lt;&gt;Einstellungen!$C$4,D3588&lt;&gt;Einstellungen!$C$5),"Objekt fehlt",IF(YEAR(A3588)&lt;&gt;Einstellungen!$C$3,"anderes Jahr",IF(A3588&lt;INDEX(Mitarbeiter!$C$6:$C$205,MATCH(B3588,Mitarbeiter!$A$6:$A$205,0)),"vor Eintritt",IF(AND(INDEX(Mitarbeiter!$D$6:$D$205,MATCH(B3588,Mitarbeiter!$A$6:$A$205,0))&lt;&gt;"",A3588&gt;INDEX(Mitarbeiter!$D$6:$D$205,MATCH(B3588,Mitarbeiter!$A$6:$A$205,0))),"nach Austritt","ok")))))))</f>
        <v/>
      </c>
    </row>
    <row r="3589">
      <c r="A3589" s="26" t="n"/>
      <c r="B3589" s="24" t="n"/>
      <c r="C3589" s="40">
        <f>IF(B3589="","",IFERROR(INDEX(Mitarbeiter!$B$6:$B$205,MATCH(B3589,Mitarbeiter!$A$6:$A$205,0)),"?"))</f>
        <v/>
      </c>
      <c r="D3589" s="41" t="n"/>
      <c r="E3589" s="42" t="n"/>
      <c r="F3589" s="43" t="n"/>
      <c r="G3589" s="44">
        <f>IF(OR(B3589="",F3589=""),"",IFERROR(F3589*INDEX(Mitarbeiter!$F$6:$F$205,MATCH(B3589,Mitarbeiter!$A$6:$A$205,0)),0))</f>
        <v/>
      </c>
      <c r="H3589" s="8">
        <f>IF(B3589="","",IF(ISNA(MATCH(B3589,Mitarbeiter!$A$6:$A$205,0)),"Pers.-Nr. unbekannt",IF(A3589="","Datum fehlt",IF(AND(D3589&lt;&gt;Einstellungen!$C$4,D3589&lt;&gt;Einstellungen!$C$5),"Objekt fehlt",IF(YEAR(A3589)&lt;&gt;Einstellungen!$C$3,"anderes Jahr",IF(A3589&lt;INDEX(Mitarbeiter!$C$6:$C$205,MATCH(B3589,Mitarbeiter!$A$6:$A$205,0)),"vor Eintritt",IF(AND(INDEX(Mitarbeiter!$D$6:$D$205,MATCH(B3589,Mitarbeiter!$A$6:$A$205,0))&lt;&gt;"",A3589&gt;INDEX(Mitarbeiter!$D$6:$D$205,MATCH(B3589,Mitarbeiter!$A$6:$A$205,0))),"nach Austritt","ok")))))))</f>
        <v/>
      </c>
    </row>
    <row r="3590">
      <c r="A3590" s="26" t="n"/>
      <c r="B3590" s="24" t="n"/>
      <c r="C3590" s="40">
        <f>IF(B3590="","",IFERROR(INDEX(Mitarbeiter!$B$6:$B$205,MATCH(B3590,Mitarbeiter!$A$6:$A$205,0)),"?"))</f>
        <v/>
      </c>
      <c r="D3590" s="41" t="n"/>
      <c r="E3590" s="42" t="n"/>
      <c r="F3590" s="43" t="n"/>
      <c r="G3590" s="44">
        <f>IF(OR(B3590="",F3590=""),"",IFERROR(F3590*INDEX(Mitarbeiter!$F$6:$F$205,MATCH(B3590,Mitarbeiter!$A$6:$A$205,0)),0))</f>
        <v/>
      </c>
      <c r="H3590" s="8">
        <f>IF(B3590="","",IF(ISNA(MATCH(B3590,Mitarbeiter!$A$6:$A$205,0)),"Pers.-Nr. unbekannt",IF(A3590="","Datum fehlt",IF(AND(D3590&lt;&gt;Einstellungen!$C$4,D3590&lt;&gt;Einstellungen!$C$5),"Objekt fehlt",IF(YEAR(A3590)&lt;&gt;Einstellungen!$C$3,"anderes Jahr",IF(A3590&lt;INDEX(Mitarbeiter!$C$6:$C$205,MATCH(B3590,Mitarbeiter!$A$6:$A$205,0)),"vor Eintritt",IF(AND(INDEX(Mitarbeiter!$D$6:$D$205,MATCH(B3590,Mitarbeiter!$A$6:$A$205,0))&lt;&gt;"",A3590&gt;INDEX(Mitarbeiter!$D$6:$D$205,MATCH(B3590,Mitarbeiter!$A$6:$A$205,0))),"nach Austritt","ok")))))))</f>
        <v/>
      </c>
    </row>
    <row r="3591">
      <c r="A3591" s="26" t="n"/>
      <c r="B3591" s="24" t="n"/>
      <c r="C3591" s="40">
        <f>IF(B3591="","",IFERROR(INDEX(Mitarbeiter!$B$6:$B$205,MATCH(B3591,Mitarbeiter!$A$6:$A$205,0)),"?"))</f>
        <v/>
      </c>
      <c r="D3591" s="41" t="n"/>
      <c r="E3591" s="42" t="n"/>
      <c r="F3591" s="43" t="n"/>
      <c r="G3591" s="44">
        <f>IF(OR(B3591="",F3591=""),"",IFERROR(F3591*INDEX(Mitarbeiter!$F$6:$F$205,MATCH(B3591,Mitarbeiter!$A$6:$A$205,0)),0))</f>
        <v/>
      </c>
      <c r="H3591" s="8">
        <f>IF(B3591="","",IF(ISNA(MATCH(B3591,Mitarbeiter!$A$6:$A$205,0)),"Pers.-Nr. unbekannt",IF(A3591="","Datum fehlt",IF(AND(D3591&lt;&gt;Einstellungen!$C$4,D3591&lt;&gt;Einstellungen!$C$5),"Objekt fehlt",IF(YEAR(A3591)&lt;&gt;Einstellungen!$C$3,"anderes Jahr",IF(A3591&lt;INDEX(Mitarbeiter!$C$6:$C$205,MATCH(B3591,Mitarbeiter!$A$6:$A$205,0)),"vor Eintritt",IF(AND(INDEX(Mitarbeiter!$D$6:$D$205,MATCH(B3591,Mitarbeiter!$A$6:$A$205,0))&lt;&gt;"",A3591&gt;INDEX(Mitarbeiter!$D$6:$D$205,MATCH(B3591,Mitarbeiter!$A$6:$A$205,0))),"nach Austritt","ok")))))))</f>
        <v/>
      </c>
    </row>
    <row r="3592">
      <c r="A3592" s="26" t="n"/>
      <c r="B3592" s="24" t="n"/>
      <c r="C3592" s="40">
        <f>IF(B3592="","",IFERROR(INDEX(Mitarbeiter!$B$6:$B$205,MATCH(B3592,Mitarbeiter!$A$6:$A$205,0)),"?"))</f>
        <v/>
      </c>
      <c r="D3592" s="41" t="n"/>
      <c r="E3592" s="42" t="n"/>
      <c r="F3592" s="43" t="n"/>
      <c r="G3592" s="44">
        <f>IF(OR(B3592="",F3592=""),"",IFERROR(F3592*INDEX(Mitarbeiter!$F$6:$F$205,MATCH(B3592,Mitarbeiter!$A$6:$A$205,0)),0))</f>
        <v/>
      </c>
      <c r="H3592" s="8">
        <f>IF(B3592="","",IF(ISNA(MATCH(B3592,Mitarbeiter!$A$6:$A$205,0)),"Pers.-Nr. unbekannt",IF(A3592="","Datum fehlt",IF(AND(D3592&lt;&gt;Einstellungen!$C$4,D3592&lt;&gt;Einstellungen!$C$5),"Objekt fehlt",IF(YEAR(A3592)&lt;&gt;Einstellungen!$C$3,"anderes Jahr",IF(A3592&lt;INDEX(Mitarbeiter!$C$6:$C$205,MATCH(B3592,Mitarbeiter!$A$6:$A$205,0)),"vor Eintritt",IF(AND(INDEX(Mitarbeiter!$D$6:$D$205,MATCH(B3592,Mitarbeiter!$A$6:$A$205,0))&lt;&gt;"",A3592&gt;INDEX(Mitarbeiter!$D$6:$D$205,MATCH(B3592,Mitarbeiter!$A$6:$A$205,0))),"nach Austritt","ok")))))))</f>
        <v/>
      </c>
    </row>
    <row r="3593">
      <c r="A3593" s="26" t="n"/>
      <c r="B3593" s="24" t="n"/>
      <c r="C3593" s="40">
        <f>IF(B3593="","",IFERROR(INDEX(Mitarbeiter!$B$6:$B$205,MATCH(B3593,Mitarbeiter!$A$6:$A$205,0)),"?"))</f>
        <v/>
      </c>
      <c r="D3593" s="41" t="n"/>
      <c r="E3593" s="42" t="n"/>
      <c r="F3593" s="43" t="n"/>
      <c r="G3593" s="44">
        <f>IF(OR(B3593="",F3593=""),"",IFERROR(F3593*INDEX(Mitarbeiter!$F$6:$F$205,MATCH(B3593,Mitarbeiter!$A$6:$A$205,0)),0))</f>
        <v/>
      </c>
      <c r="H3593" s="8">
        <f>IF(B3593="","",IF(ISNA(MATCH(B3593,Mitarbeiter!$A$6:$A$205,0)),"Pers.-Nr. unbekannt",IF(A3593="","Datum fehlt",IF(AND(D3593&lt;&gt;Einstellungen!$C$4,D3593&lt;&gt;Einstellungen!$C$5),"Objekt fehlt",IF(YEAR(A3593)&lt;&gt;Einstellungen!$C$3,"anderes Jahr",IF(A3593&lt;INDEX(Mitarbeiter!$C$6:$C$205,MATCH(B3593,Mitarbeiter!$A$6:$A$205,0)),"vor Eintritt",IF(AND(INDEX(Mitarbeiter!$D$6:$D$205,MATCH(B3593,Mitarbeiter!$A$6:$A$205,0))&lt;&gt;"",A3593&gt;INDEX(Mitarbeiter!$D$6:$D$205,MATCH(B3593,Mitarbeiter!$A$6:$A$205,0))),"nach Austritt","ok")))))))</f>
        <v/>
      </c>
    </row>
    <row r="3594">
      <c r="A3594" s="26" t="n"/>
      <c r="B3594" s="24" t="n"/>
      <c r="C3594" s="40">
        <f>IF(B3594="","",IFERROR(INDEX(Mitarbeiter!$B$6:$B$205,MATCH(B3594,Mitarbeiter!$A$6:$A$205,0)),"?"))</f>
        <v/>
      </c>
      <c r="D3594" s="41" t="n"/>
      <c r="E3594" s="42" t="n"/>
      <c r="F3594" s="43" t="n"/>
      <c r="G3594" s="44">
        <f>IF(OR(B3594="",F3594=""),"",IFERROR(F3594*INDEX(Mitarbeiter!$F$6:$F$205,MATCH(B3594,Mitarbeiter!$A$6:$A$205,0)),0))</f>
        <v/>
      </c>
      <c r="H3594" s="8">
        <f>IF(B3594="","",IF(ISNA(MATCH(B3594,Mitarbeiter!$A$6:$A$205,0)),"Pers.-Nr. unbekannt",IF(A3594="","Datum fehlt",IF(AND(D3594&lt;&gt;Einstellungen!$C$4,D3594&lt;&gt;Einstellungen!$C$5),"Objekt fehlt",IF(YEAR(A3594)&lt;&gt;Einstellungen!$C$3,"anderes Jahr",IF(A3594&lt;INDEX(Mitarbeiter!$C$6:$C$205,MATCH(B3594,Mitarbeiter!$A$6:$A$205,0)),"vor Eintritt",IF(AND(INDEX(Mitarbeiter!$D$6:$D$205,MATCH(B3594,Mitarbeiter!$A$6:$A$205,0))&lt;&gt;"",A3594&gt;INDEX(Mitarbeiter!$D$6:$D$205,MATCH(B3594,Mitarbeiter!$A$6:$A$205,0))),"nach Austritt","ok")))))))</f>
        <v/>
      </c>
    </row>
    <row r="3595">
      <c r="A3595" s="26" t="n"/>
      <c r="B3595" s="24" t="n"/>
      <c r="C3595" s="40">
        <f>IF(B3595="","",IFERROR(INDEX(Mitarbeiter!$B$6:$B$205,MATCH(B3595,Mitarbeiter!$A$6:$A$205,0)),"?"))</f>
        <v/>
      </c>
      <c r="D3595" s="41" t="n"/>
      <c r="E3595" s="42" t="n"/>
      <c r="F3595" s="43" t="n"/>
      <c r="G3595" s="44">
        <f>IF(OR(B3595="",F3595=""),"",IFERROR(F3595*INDEX(Mitarbeiter!$F$6:$F$205,MATCH(B3595,Mitarbeiter!$A$6:$A$205,0)),0))</f>
        <v/>
      </c>
      <c r="H3595" s="8">
        <f>IF(B3595="","",IF(ISNA(MATCH(B3595,Mitarbeiter!$A$6:$A$205,0)),"Pers.-Nr. unbekannt",IF(A3595="","Datum fehlt",IF(AND(D3595&lt;&gt;Einstellungen!$C$4,D3595&lt;&gt;Einstellungen!$C$5),"Objekt fehlt",IF(YEAR(A3595)&lt;&gt;Einstellungen!$C$3,"anderes Jahr",IF(A3595&lt;INDEX(Mitarbeiter!$C$6:$C$205,MATCH(B3595,Mitarbeiter!$A$6:$A$205,0)),"vor Eintritt",IF(AND(INDEX(Mitarbeiter!$D$6:$D$205,MATCH(B3595,Mitarbeiter!$A$6:$A$205,0))&lt;&gt;"",A3595&gt;INDEX(Mitarbeiter!$D$6:$D$205,MATCH(B3595,Mitarbeiter!$A$6:$A$205,0))),"nach Austritt","ok")))))))</f>
        <v/>
      </c>
    </row>
    <row r="3596">
      <c r="A3596" s="26" t="n"/>
      <c r="B3596" s="24" t="n"/>
      <c r="C3596" s="40">
        <f>IF(B3596="","",IFERROR(INDEX(Mitarbeiter!$B$6:$B$205,MATCH(B3596,Mitarbeiter!$A$6:$A$205,0)),"?"))</f>
        <v/>
      </c>
      <c r="D3596" s="41" t="n"/>
      <c r="E3596" s="42" t="n"/>
      <c r="F3596" s="43" t="n"/>
      <c r="G3596" s="44">
        <f>IF(OR(B3596="",F3596=""),"",IFERROR(F3596*INDEX(Mitarbeiter!$F$6:$F$205,MATCH(B3596,Mitarbeiter!$A$6:$A$205,0)),0))</f>
        <v/>
      </c>
      <c r="H3596" s="8">
        <f>IF(B3596="","",IF(ISNA(MATCH(B3596,Mitarbeiter!$A$6:$A$205,0)),"Pers.-Nr. unbekannt",IF(A3596="","Datum fehlt",IF(AND(D3596&lt;&gt;Einstellungen!$C$4,D3596&lt;&gt;Einstellungen!$C$5),"Objekt fehlt",IF(YEAR(A3596)&lt;&gt;Einstellungen!$C$3,"anderes Jahr",IF(A3596&lt;INDEX(Mitarbeiter!$C$6:$C$205,MATCH(B3596,Mitarbeiter!$A$6:$A$205,0)),"vor Eintritt",IF(AND(INDEX(Mitarbeiter!$D$6:$D$205,MATCH(B3596,Mitarbeiter!$A$6:$A$205,0))&lt;&gt;"",A3596&gt;INDEX(Mitarbeiter!$D$6:$D$205,MATCH(B3596,Mitarbeiter!$A$6:$A$205,0))),"nach Austritt","ok")))))))</f>
        <v/>
      </c>
    </row>
    <row r="3597">
      <c r="A3597" s="26" t="n"/>
      <c r="B3597" s="24" t="n"/>
      <c r="C3597" s="40">
        <f>IF(B3597="","",IFERROR(INDEX(Mitarbeiter!$B$6:$B$205,MATCH(B3597,Mitarbeiter!$A$6:$A$205,0)),"?"))</f>
        <v/>
      </c>
      <c r="D3597" s="41" t="n"/>
      <c r="E3597" s="42" t="n"/>
      <c r="F3597" s="43" t="n"/>
      <c r="G3597" s="44">
        <f>IF(OR(B3597="",F3597=""),"",IFERROR(F3597*INDEX(Mitarbeiter!$F$6:$F$205,MATCH(B3597,Mitarbeiter!$A$6:$A$205,0)),0))</f>
        <v/>
      </c>
      <c r="H3597" s="8">
        <f>IF(B3597="","",IF(ISNA(MATCH(B3597,Mitarbeiter!$A$6:$A$205,0)),"Pers.-Nr. unbekannt",IF(A3597="","Datum fehlt",IF(AND(D3597&lt;&gt;Einstellungen!$C$4,D3597&lt;&gt;Einstellungen!$C$5),"Objekt fehlt",IF(YEAR(A3597)&lt;&gt;Einstellungen!$C$3,"anderes Jahr",IF(A3597&lt;INDEX(Mitarbeiter!$C$6:$C$205,MATCH(B3597,Mitarbeiter!$A$6:$A$205,0)),"vor Eintritt",IF(AND(INDEX(Mitarbeiter!$D$6:$D$205,MATCH(B3597,Mitarbeiter!$A$6:$A$205,0))&lt;&gt;"",A3597&gt;INDEX(Mitarbeiter!$D$6:$D$205,MATCH(B3597,Mitarbeiter!$A$6:$A$205,0))),"nach Austritt","ok")))))))</f>
        <v/>
      </c>
    </row>
    <row r="3598">
      <c r="A3598" s="26" t="n"/>
      <c r="B3598" s="24" t="n"/>
      <c r="C3598" s="40">
        <f>IF(B3598="","",IFERROR(INDEX(Mitarbeiter!$B$6:$B$205,MATCH(B3598,Mitarbeiter!$A$6:$A$205,0)),"?"))</f>
        <v/>
      </c>
      <c r="D3598" s="41" t="n"/>
      <c r="E3598" s="42" t="n"/>
      <c r="F3598" s="43" t="n"/>
      <c r="G3598" s="44">
        <f>IF(OR(B3598="",F3598=""),"",IFERROR(F3598*INDEX(Mitarbeiter!$F$6:$F$205,MATCH(B3598,Mitarbeiter!$A$6:$A$205,0)),0))</f>
        <v/>
      </c>
      <c r="H3598" s="8">
        <f>IF(B3598="","",IF(ISNA(MATCH(B3598,Mitarbeiter!$A$6:$A$205,0)),"Pers.-Nr. unbekannt",IF(A3598="","Datum fehlt",IF(AND(D3598&lt;&gt;Einstellungen!$C$4,D3598&lt;&gt;Einstellungen!$C$5),"Objekt fehlt",IF(YEAR(A3598)&lt;&gt;Einstellungen!$C$3,"anderes Jahr",IF(A3598&lt;INDEX(Mitarbeiter!$C$6:$C$205,MATCH(B3598,Mitarbeiter!$A$6:$A$205,0)),"vor Eintritt",IF(AND(INDEX(Mitarbeiter!$D$6:$D$205,MATCH(B3598,Mitarbeiter!$A$6:$A$205,0))&lt;&gt;"",A3598&gt;INDEX(Mitarbeiter!$D$6:$D$205,MATCH(B3598,Mitarbeiter!$A$6:$A$205,0))),"nach Austritt","ok")))))))</f>
        <v/>
      </c>
    </row>
    <row r="3599">
      <c r="A3599" s="26" t="n"/>
      <c r="B3599" s="24" t="n"/>
      <c r="C3599" s="40">
        <f>IF(B3599="","",IFERROR(INDEX(Mitarbeiter!$B$6:$B$205,MATCH(B3599,Mitarbeiter!$A$6:$A$205,0)),"?"))</f>
        <v/>
      </c>
      <c r="D3599" s="41" t="n"/>
      <c r="E3599" s="42" t="n"/>
      <c r="F3599" s="43" t="n"/>
      <c r="G3599" s="44">
        <f>IF(OR(B3599="",F3599=""),"",IFERROR(F3599*INDEX(Mitarbeiter!$F$6:$F$205,MATCH(B3599,Mitarbeiter!$A$6:$A$205,0)),0))</f>
        <v/>
      </c>
      <c r="H3599" s="8">
        <f>IF(B3599="","",IF(ISNA(MATCH(B3599,Mitarbeiter!$A$6:$A$205,0)),"Pers.-Nr. unbekannt",IF(A3599="","Datum fehlt",IF(AND(D3599&lt;&gt;Einstellungen!$C$4,D3599&lt;&gt;Einstellungen!$C$5),"Objekt fehlt",IF(YEAR(A3599)&lt;&gt;Einstellungen!$C$3,"anderes Jahr",IF(A3599&lt;INDEX(Mitarbeiter!$C$6:$C$205,MATCH(B3599,Mitarbeiter!$A$6:$A$205,0)),"vor Eintritt",IF(AND(INDEX(Mitarbeiter!$D$6:$D$205,MATCH(B3599,Mitarbeiter!$A$6:$A$205,0))&lt;&gt;"",A3599&gt;INDEX(Mitarbeiter!$D$6:$D$205,MATCH(B3599,Mitarbeiter!$A$6:$A$205,0))),"nach Austritt","ok")))))))</f>
        <v/>
      </c>
    </row>
    <row r="3600">
      <c r="A3600" s="26" t="n"/>
      <c r="B3600" s="24" t="n"/>
      <c r="C3600" s="40">
        <f>IF(B3600="","",IFERROR(INDEX(Mitarbeiter!$B$6:$B$205,MATCH(B3600,Mitarbeiter!$A$6:$A$205,0)),"?"))</f>
        <v/>
      </c>
      <c r="D3600" s="41" t="n"/>
      <c r="E3600" s="42" t="n"/>
      <c r="F3600" s="43" t="n"/>
      <c r="G3600" s="44">
        <f>IF(OR(B3600="",F3600=""),"",IFERROR(F3600*INDEX(Mitarbeiter!$F$6:$F$205,MATCH(B3600,Mitarbeiter!$A$6:$A$205,0)),0))</f>
        <v/>
      </c>
      <c r="H3600" s="8">
        <f>IF(B3600="","",IF(ISNA(MATCH(B3600,Mitarbeiter!$A$6:$A$205,0)),"Pers.-Nr. unbekannt",IF(A3600="","Datum fehlt",IF(AND(D3600&lt;&gt;Einstellungen!$C$4,D3600&lt;&gt;Einstellungen!$C$5),"Objekt fehlt",IF(YEAR(A3600)&lt;&gt;Einstellungen!$C$3,"anderes Jahr",IF(A3600&lt;INDEX(Mitarbeiter!$C$6:$C$205,MATCH(B3600,Mitarbeiter!$A$6:$A$205,0)),"vor Eintritt",IF(AND(INDEX(Mitarbeiter!$D$6:$D$205,MATCH(B3600,Mitarbeiter!$A$6:$A$205,0))&lt;&gt;"",A3600&gt;INDEX(Mitarbeiter!$D$6:$D$205,MATCH(B3600,Mitarbeiter!$A$6:$A$205,0))),"nach Austritt","ok")))))))</f>
        <v/>
      </c>
    </row>
    <row r="3601">
      <c r="A3601" s="26" t="n"/>
      <c r="B3601" s="24" t="n"/>
      <c r="C3601" s="40">
        <f>IF(B3601="","",IFERROR(INDEX(Mitarbeiter!$B$6:$B$205,MATCH(B3601,Mitarbeiter!$A$6:$A$205,0)),"?"))</f>
        <v/>
      </c>
      <c r="D3601" s="41" t="n"/>
      <c r="E3601" s="42" t="n"/>
      <c r="F3601" s="43" t="n"/>
      <c r="G3601" s="44">
        <f>IF(OR(B3601="",F3601=""),"",IFERROR(F3601*INDEX(Mitarbeiter!$F$6:$F$205,MATCH(B3601,Mitarbeiter!$A$6:$A$205,0)),0))</f>
        <v/>
      </c>
      <c r="H3601" s="8">
        <f>IF(B3601="","",IF(ISNA(MATCH(B3601,Mitarbeiter!$A$6:$A$205,0)),"Pers.-Nr. unbekannt",IF(A3601="","Datum fehlt",IF(AND(D3601&lt;&gt;Einstellungen!$C$4,D3601&lt;&gt;Einstellungen!$C$5),"Objekt fehlt",IF(YEAR(A3601)&lt;&gt;Einstellungen!$C$3,"anderes Jahr",IF(A3601&lt;INDEX(Mitarbeiter!$C$6:$C$205,MATCH(B3601,Mitarbeiter!$A$6:$A$205,0)),"vor Eintritt",IF(AND(INDEX(Mitarbeiter!$D$6:$D$205,MATCH(B3601,Mitarbeiter!$A$6:$A$205,0))&lt;&gt;"",A3601&gt;INDEX(Mitarbeiter!$D$6:$D$205,MATCH(B3601,Mitarbeiter!$A$6:$A$205,0))),"nach Austritt","ok")))))))</f>
        <v/>
      </c>
    </row>
    <row r="3602">
      <c r="A3602" s="26" t="n"/>
      <c r="B3602" s="24" t="n"/>
      <c r="C3602" s="40">
        <f>IF(B3602="","",IFERROR(INDEX(Mitarbeiter!$B$6:$B$205,MATCH(B3602,Mitarbeiter!$A$6:$A$205,0)),"?"))</f>
        <v/>
      </c>
      <c r="D3602" s="41" t="n"/>
      <c r="E3602" s="42" t="n"/>
      <c r="F3602" s="43" t="n"/>
      <c r="G3602" s="44">
        <f>IF(OR(B3602="",F3602=""),"",IFERROR(F3602*INDEX(Mitarbeiter!$F$6:$F$205,MATCH(B3602,Mitarbeiter!$A$6:$A$205,0)),0))</f>
        <v/>
      </c>
      <c r="H3602" s="8">
        <f>IF(B3602="","",IF(ISNA(MATCH(B3602,Mitarbeiter!$A$6:$A$205,0)),"Pers.-Nr. unbekannt",IF(A3602="","Datum fehlt",IF(AND(D3602&lt;&gt;Einstellungen!$C$4,D3602&lt;&gt;Einstellungen!$C$5),"Objekt fehlt",IF(YEAR(A3602)&lt;&gt;Einstellungen!$C$3,"anderes Jahr",IF(A3602&lt;INDEX(Mitarbeiter!$C$6:$C$205,MATCH(B3602,Mitarbeiter!$A$6:$A$205,0)),"vor Eintritt",IF(AND(INDEX(Mitarbeiter!$D$6:$D$205,MATCH(B3602,Mitarbeiter!$A$6:$A$205,0))&lt;&gt;"",A3602&gt;INDEX(Mitarbeiter!$D$6:$D$205,MATCH(B3602,Mitarbeiter!$A$6:$A$205,0))),"nach Austritt","ok")))))))</f>
        <v/>
      </c>
    </row>
    <row r="3603">
      <c r="A3603" s="26" t="n"/>
      <c r="B3603" s="24" t="n"/>
      <c r="C3603" s="40">
        <f>IF(B3603="","",IFERROR(INDEX(Mitarbeiter!$B$6:$B$205,MATCH(B3603,Mitarbeiter!$A$6:$A$205,0)),"?"))</f>
        <v/>
      </c>
      <c r="D3603" s="41" t="n"/>
      <c r="E3603" s="42" t="n"/>
      <c r="F3603" s="43" t="n"/>
      <c r="G3603" s="44">
        <f>IF(OR(B3603="",F3603=""),"",IFERROR(F3603*INDEX(Mitarbeiter!$F$6:$F$205,MATCH(B3603,Mitarbeiter!$A$6:$A$205,0)),0))</f>
        <v/>
      </c>
      <c r="H3603" s="8">
        <f>IF(B3603="","",IF(ISNA(MATCH(B3603,Mitarbeiter!$A$6:$A$205,0)),"Pers.-Nr. unbekannt",IF(A3603="","Datum fehlt",IF(AND(D3603&lt;&gt;Einstellungen!$C$4,D3603&lt;&gt;Einstellungen!$C$5),"Objekt fehlt",IF(YEAR(A3603)&lt;&gt;Einstellungen!$C$3,"anderes Jahr",IF(A3603&lt;INDEX(Mitarbeiter!$C$6:$C$205,MATCH(B3603,Mitarbeiter!$A$6:$A$205,0)),"vor Eintritt",IF(AND(INDEX(Mitarbeiter!$D$6:$D$205,MATCH(B3603,Mitarbeiter!$A$6:$A$205,0))&lt;&gt;"",A3603&gt;INDEX(Mitarbeiter!$D$6:$D$205,MATCH(B3603,Mitarbeiter!$A$6:$A$205,0))),"nach Austritt","ok")))))))</f>
        <v/>
      </c>
    </row>
    <row r="3604">
      <c r="A3604" s="26" t="n"/>
      <c r="B3604" s="24" t="n"/>
      <c r="C3604" s="40">
        <f>IF(B3604="","",IFERROR(INDEX(Mitarbeiter!$B$6:$B$205,MATCH(B3604,Mitarbeiter!$A$6:$A$205,0)),"?"))</f>
        <v/>
      </c>
      <c r="D3604" s="41" t="n"/>
      <c r="E3604" s="42" t="n"/>
      <c r="F3604" s="43" t="n"/>
      <c r="G3604" s="44">
        <f>IF(OR(B3604="",F3604=""),"",IFERROR(F3604*INDEX(Mitarbeiter!$F$6:$F$205,MATCH(B3604,Mitarbeiter!$A$6:$A$205,0)),0))</f>
        <v/>
      </c>
      <c r="H3604" s="8">
        <f>IF(B3604="","",IF(ISNA(MATCH(B3604,Mitarbeiter!$A$6:$A$205,0)),"Pers.-Nr. unbekannt",IF(A3604="","Datum fehlt",IF(AND(D3604&lt;&gt;Einstellungen!$C$4,D3604&lt;&gt;Einstellungen!$C$5),"Objekt fehlt",IF(YEAR(A3604)&lt;&gt;Einstellungen!$C$3,"anderes Jahr",IF(A3604&lt;INDEX(Mitarbeiter!$C$6:$C$205,MATCH(B3604,Mitarbeiter!$A$6:$A$205,0)),"vor Eintritt",IF(AND(INDEX(Mitarbeiter!$D$6:$D$205,MATCH(B3604,Mitarbeiter!$A$6:$A$205,0))&lt;&gt;"",A3604&gt;INDEX(Mitarbeiter!$D$6:$D$205,MATCH(B3604,Mitarbeiter!$A$6:$A$205,0))),"nach Austritt","ok")))))))</f>
        <v/>
      </c>
    </row>
    <row r="3605">
      <c r="A3605" s="26" t="n"/>
      <c r="B3605" s="24" t="n"/>
      <c r="C3605" s="40">
        <f>IF(B3605="","",IFERROR(INDEX(Mitarbeiter!$B$6:$B$205,MATCH(B3605,Mitarbeiter!$A$6:$A$205,0)),"?"))</f>
        <v/>
      </c>
      <c r="D3605" s="41" t="n"/>
      <c r="E3605" s="42" t="n"/>
      <c r="F3605" s="43" t="n"/>
      <c r="G3605" s="44">
        <f>IF(OR(B3605="",F3605=""),"",IFERROR(F3605*INDEX(Mitarbeiter!$F$6:$F$205,MATCH(B3605,Mitarbeiter!$A$6:$A$205,0)),0))</f>
        <v/>
      </c>
      <c r="H3605" s="8">
        <f>IF(B3605="","",IF(ISNA(MATCH(B3605,Mitarbeiter!$A$6:$A$205,0)),"Pers.-Nr. unbekannt",IF(A3605="","Datum fehlt",IF(AND(D3605&lt;&gt;Einstellungen!$C$4,D3605&lt;&gt;Einstellungen!$C$5),"Objekt fehlt",IF(YEAR(A3605)&lt;&gt;Einstellungen!$C$3,"anderes Jahr",IF(A3605&lt;INDEX(Mitarbeiter!$C$6:$C$205,MATCH(B3605,Mitarbeiter!$A$6:$A$205,0)),"vor Eintritt",IF(AND(INDEX(Mitarbeiter!$D$6:$D$205,MATCH(B3605,Mitarbeiter!$A$6:$A$205,0))&lt;&gt;"",A3605&gt;INDEX(Mitarbeiter!$D$6:$D$205,MATCH(B3605,Mitarbeiter!$A$6:$A$205,0))),"nach Austritt","ok")))))))</f>
        <v/>
      </c>
    </row>
    <row r="3606">
      <c r="A3606" s="26" t="n"/>
      <c r="B3606" s="24" t="n"/>
      <c r="C3606" s="40">
        <f>IF(B3606="","",IFERROR(INDEX(Mitarbeiter!$B$6:$B$205,MATCH(B3606,Mitarbeiter!$A$6:$A$205,0)),"?"))</f>
        <v/>
      </c>
      <c r="D3606" s="41" t="n"/>
      <c r="E3606" s="42" t="n"/>
      <c r="F3606" s="43" t="n"/>
      <c r="G3606" s="44">
        <f>IF(OR(B3606="",F3606=""),"",IFERROR(F3606*INDEX(Mitarbeiter!$F$6:$F$205,MATCH(B3606,Mitarbeiter!$A$6:$A$205,0)),0))</f>
        <v/>
      </c>
      <c r="H3606" s="8">
        <f>IF(B3606="","",IF(ISNA(MATCH(B3606,Mitarbeiter!$A$6:$A$205,0)),"Pers.-Nr. unbekannt",IF(A3606="","Datum fehlt",IF(AND(D3606&lt;&gt;Einstellungen!$C$4,D3606&lt;&gt;Einstellungen!$C$5),"Objekt fehlt",IF(YEAR(A3606)&lt;&gt;Einstellungen!$C$3,"anderes Jahr",IF(A3606&lt;INDEX(Mitarbeiter!$C$6:$C$205,MATCH(B3606,Mitarbeiter!$A$6:$A$205,0)),"vor Eintritt",IF(AND(INDEX(Mitarbeiter!$D$6:$D$205,MATCH(B3606,Mitarbeiter!$A$6:$A$205,0))&lt;&gt;"",A3606&gt;INDEX(Mitarbeiter!$D$6:$D$205,MATCH(B3606,Mitarbeiter!$A$6:$A$205,0))),"nach Austritt","ok")))))))</f>
        <v/>
      </c>
    </row>
    <row r="3607">
      <c r="A3607" s="26" t="n"/>
      <c r="B3607" s="24" t="n"/>
      <c r="C3607" s="40">
        <f>IF(B3607="","",IFERROR(INDEX(Mitarbeiter!$B$6:$B$205,MATCH(B3607,Mitarbeiter!$A$6:$A$205,0)),"?"))</f>
        <v/>
      </c>
      <c r="D3607" s="41" t="n"/>
      <c r="E3607" s="42" t="n"/>
      <c r="F3607" s="43" t="n"/>
      <c r="G3607" s="44">
        <f>IF(OR(B3607="",F3607=""),"",IFERROR(F3607*INDEX(Mitarbeiter!$F$6:$F$205,MATCH(B3607,Mitarbeiter!$A$6:$A$205,0)),0))</f>
        <v/>
      </c>
      <c r="H3607" s="8">
        <f>IF(B3607="","",IF(ISNA(MATCH(B3607,Mitarbeiter!$A$6:$A$205,0)),"Pers.-Nr. unbekannt",IF(A3607="","Datum fehlt",IF(AND(D3607&lt;&gt;Einstellungen!$C$4,D3607&lt;&gt;Einstellungen!$C$5),"Objekt fehlt",IF(YEAR(A3607)&lt;&gt;Einstellungen!$C$3,"anderes Jahr",IF(A3607&lt;INDEX(Mitarbeiter!$C$6:$C$205,MATCH(B3607,Mitarbeiter!$A$6:$A$205,0)),"vor Eintritt",IF(AND(INDEX(Mitarbeiter!$D$6:$D$205,MATCH(B3607,Mitarbeiter!$A$6:$A$205,0))&lt;&gt;"",A3607&gt;INDEX(Mitarbeiter!$D$6:$D$205,MATCH(B3607,Mitarbeiter!$A$6:$A$205,0))),"nach Austritt","ok")))))))</f>
        <v/>
      </c>
    </row>
    <row r="3608">
      <c r="A3608" s="26" t="n"/>
      <c r="B3608" s="24" t="n"/>
      <c r="C3608" s="40">
        <f>IF(B3608="","",IFERROR(INDEX(Mitarbeiter!$B$6:$B$205,MATCH(B3608,Mitarbeiter!$A$6:$A$205,0)),"?"))</f>
        <v/>
      </c>
      <c r="D3608" s="41" t="n"/>
      <c r="E3608" s="42" t="n"/>
      <c r="F3608" s="43" t="n"/>
      <c r="G3608" s="44">
        <f>IF(OR(B3608="",F3608=""),"",IFERROR(F3608*INDEX(Mitarbeiter!$F$6:$F$205,MATCH(B3608,Mitarbeiter!$A$6:$A$205,0)),0))</f>
        <v/>
      </c>
      <c r="H3608" s="8">
        <f>IF(B3608="","",IF(ISNA(MATCH(B3608,Mitarbeiter!$A$6:$A$205,0)),"Pers.-Nr. unbekannt",IF(A3608="","Datum fehlt",IF(AND(D3608&lt;&gt;Einstellungen!$C$4,D3608&lt;&gt;Einstellungen!$C$5),"Objekt fehlt",IF(YEAR(A3608)&lt;&gt;Einstellungen!$C$3,"anderes Jahr",IF(A3608&lt;INDEX(Mitarbeiter!$C$6:$C$205,MATCH(B3608,Mitarbeiter!$A$6:$A$205,0)),"vor Eintritt",IF(AND(INDEX(Mitarbeiter!$D$6:$D$205,MATCH(B3608,Mitarbeiter!$A$6:$A$205,0))&lt;&gt;"",A3608&gt;INDEX(Mitarbeiter!$D$6:$D$205,MATCH(B3608,Mitarbeiter!$A$6:$A$205,0))),"nach Austritt","ok")))))))</f>
        <v/>
      </c>
    </row>
    <row r="3609">
      <c r="A3609" s="26" t="n"/>
      <c r="B3609" s="24" t="n"/>
      <c r="C3609" s="40">
        <f>IF(B3609="","",IFERROR(INDEX(Mitarbeiter!$B$6:$B$205,MATCH(B3609,Mitarbeiter!$A$6:$A$205,0)),"?"))</f>
        <v/>
      </c>
      <c r="D3609" s="41" t="n"/>
      <c r="E3609" s="42" t="n"/>
      <c r="F3609" s="43" t="n"/>
      <c r="G3609" s="44">
        <f>IF(OR(B3609="",F3609=""),"",IFERROR(F3609*INDEX(Mitarbeiter!$F$6:$F$205,MATCH(B3609,Mitarbeiter!$A$6:$A$205,0)),0))</f>
        <v/>
      </c>
      <c r="H3609" s="8">
        <f>IF(B3609="","",IF(ISNA(MATCH(B3609,Mitarbeiter!$A$6:$A$205,0)),"Pers.-Nr. unbekannt",IF(A3609="","Datum fehlt",IF(AND(D3609&lt;&gt;Einstellungen!$C$4,D3609&lt;&gt;Einstellungen!$C$5),"Objekt fehlt",IF(YEAR(A3609)&lt;&gt;Einstellungen!$C$3,"anderes Jahr",IF(A3609&lt;INDEX(Mitarbeiter!$C$6:$C$205,MATCH(B3609,Mitarbeiter!$A$6:$A$205,0)),"vor Eintritt",IF(AND(INDEX(Mitarbeiter!$D$6:$D$205,MATCH(B3609,Mitarbeiter!$A$6:$A$205,0))&lt;&gt;"",A3609&gt;INDEX(Mitarbeiter!$D$6:$D$205,MATCH(B3609,Mitarbeiter!$A$6:$A$205,0))),"nach Austritt","ok")))))))</f>
        <v/>
      </c>
    </row>
    <row r="3610">
      <c r="A3610" s="26" t="n"/>
      <c r="B3610" s="24" t="n"/>
      <c r="C3610" s="40">
        <f>IF(B3610="","",IFERROR(INDEX(Mitarbeiter!$B$6:$B$205,MATCH(B3610,Mitarbeiter!$A$6:$A$205,0)),"?"))</f>
        <v/>
      </c>
      <c r="D3610" s="41" t="n"/>
      <c r="E3610" s="42" t="n"/>
      <c r="F3610" s="43" t="n"/>
      <c r="G3610" s="44">
        <f>IF(OR(B3610="",F3610=""),"",IFERROR(F3610*INDEX(Mitarbeiter!$F$6:$F$205,MATCH(B3610,Mitarbeiter!$A$6:$A$205,0)),0))</f>
        <v/>
      </c>
      <c r="H3610" s="8">
        <f>IF(B3610="","",IF(ISNA(MATCH(B3610,Mitarbeiter!$A$6:$A$205,0)),"Pers.-Nr. unbekannt",IF(A3610="","Datum fehlt",IF(AND(D3610&lt;&gt;Einstellungen!$C$4,D3610&lt;&gt;Einstellungen!$C$5),"Objekt fehlt",IF(YEAR(A3610)&lt;&gt;Einstellungen!$C$3,"anderes Jahr",IF(A3610&lt;INDEX(Mitarbeiter!$C$6:$C$205,MATCH(B3610,Mitarbeiter!$A$6:$A$205,0)),"vor Eintritt",IF(AND(INDEX(Mitarbeiter!$D$6:$D$205,MATCH(B3610,Mitarbeiter!$A$6:$A$205,0))&lt;&gt;"",A3610&gt;INDEX(Mitarbeiter!$D$6:$D$205,MATCH(B3610,Mitarbeiter!$A$6:$A$205,0))),"nach Austritt","ok")))))))</f>
        <v/>
      </c>
    </row>
    <row r="3611">
      <c r="A3611" s="26" t="n"/>
      <c r="B3611" s="24" t="n"/>
      <c r="C3611" s="40">
        <f>IF(B3611="","",IFERROR(INDEX(Mitarbeiter!$B$6:$B$205,MATCH(B3611,Mitarbeiter!$A$6:$A$205,0)),"?"))</f>
        <v/>
      </c>
      <c r="D3611" s="41" t="n"/>
      <c r="E3611" s="42" t="n"/>
      <c r="F3611" s="43" t="n"/>
      <c r="G3611" s="44">
        <f>IF(OR(B3611="",F3611=""),"",IFERROR(F3611*INDEX(Mitarbeiter!$F$6:$F$205,MATCH(B3611,Mitarbeiter!$A$6:$A$205,0)),0))</f>
        <v/>
      </c>
      <c r="H3611" s="8">
        <f>IF(B3611="","",IF(ISNA(MATCH(B3611,Mitarbeiter!$A$6:$A$205,0)),"Pers.-Nr. unbekannt",IF(A3611="","Datum fehlt",IF(AND(D3611&lt;&gt;Einstellungen!$C$4,D3611&lt;&gt;Einstellungen!$C$5),"Objekt fehlt",IF(YEAR(A3611)&lt;&gt;Einstellungen!$C$3,"anderes Jahr",IF(A3611&lt;INDEX(Mitarbeiter!$C$6:$C$205,MATCH(B3611,Mitarbeiter!$A$6:$A$205,0)),"vor Eintritt",IF(AND(INDEX(Mitarbeiter!$D$6:$D$205,MATCH(B3611,Mitarbeiter!$A$6:$A$205,0))&lt;&gt;"",A3611&gt;INDEX(Mitarbeiter!$D$6:$D$205,MATCH(B3611,Mitarbeiter!$A$6:$A$205,0))),"nach Austritt","ok")))))))</f>
        <v/>
      </c>
    </row>
    <row r="3612">
      <c r="A3612" s="26" t="n"/>
      <c r="B3612" s="24" t="n"/>
      <c r="C3612" s="40">
        <f>IF(B3612="","",IFERROR(INDEX(Mitarbeiter!$B$6:$B$205,MATCH(B3612,Mitarbeiter!$A$6:$A$205,0)),"?"))</f>
        <v/>
      </c>
      <c r="D3612" s="41" t="n"/>
      <c r="E3612" s="42" t="n"/>
      <c r="F3612" s="43" t="n"/>
      <c r="G3612" s="44">
        <f>IF(OR(B3612="",F3612=""),"",IFERROR(F3612*INDEX(Mitarbeiter!$F$6:$F$205,MATCH(B3612,Mitarbeiter!$A$6:$A$205,0)),0))</f>
        <v/>
      </c>
      <c r="H3612" s="8">
        <f>IF(B3612="","",IF(ISNA(MATCH(B3612,Mitarbeiter!$A$6:$A$205,0)),"Pers.-Nr. unbekannt",IF(A3612="","Datum fehlt",IF(AND(D3612&lt;&gt;Einstellungen!$C$4,D3612&lt;&gt;Einstellungen!$C$5),"Objekt fehlt",IF(YEAR(A3612)&lt;&gt;Einstellungen!$C$3,"anderes Jahr",IF(A3612&lt;INDEX(Mitarbeiter!$C$6:$C$205,MATCH(B3612,Mitarbeiter!$A$6:$A$205,0)),"vor Eintritt",IF(AND(INDEX(Mitarbeiter!$D$6:$D$205,MATCH(B3612,Mitarbeiter!$A$6:$A$205,0))&lt;&gt;"",A3612&gt;INDEX(Mitarbeiter!$D$6:$D$205,MATCH(B3612,Mitarbeiter!$A$6:$A$205,0))),"nach Austritt","ok")))))))</f>
        <v/>
      </c>
    </row>
    <row r="3613">
      <c r="A3613" s="26" t="n"/>
      <c r="B3613" s="24" t="n"/>
      <c r="C3613" s="40">
        <f>IF(B3613="","",IFERROR(INDEX(Mitarbeiter!$B$6:$B$205,MATCH(B3613,Mitarbeiter!$A$6:$A$205,0)),"?"))</f>
        <v/>
      </c>
      <c r="D3613" s="41" t="n"/>
      <c r="E3613" s="42" t="n"/>
      <c r="F3613" s="43" t="n"/>
      <c r="G3613" s="44">
        <f>IF(OR(B3613="",F3613=""),"",IFERROR(F3613*INDEX(Mitarbeiter!$F$6:$F$205,MATCH(B3613,Mitarbeiter!$A$6:$A$205,0)),0))</f>
        <v/>
      </c>
      <c r="H3613" s="8">
        <f>IF(B3613="","",IF(ISNA(MATCH(B3613,Mitarbeiter!$A$6:$A$205,0)),"Pers.-Nr. unbekannt",IF(A3613="","Datum fehlt",IF(AND(D3613&lt;&gt;Einstellungen!$C$4,D3613&lt;&gt;Einstellungen!$C$5),"Objekt fehlt",IF(YEAR(A3613)&lt;&gt;Einstellungen!$C$3,"anderes Jahr",IF(A3613&lt;INDEX(Mitarbeiter!$C$6:$C$205,MATCH(B3613,Mitarbeiter!$A$6:$A$205,0)),"vor Eintritt",IF(AND(INDEX(Mitarbeiter!$D$6:$D$205,MATCH(B3613,Mitarbeiter!$A$6:$A$205,0))&lt;&gt;"",A3613&gt;INDEX(Mitarbeiter!$D$6:$D$205,MATCH(B3613,Mitarbeiter!$A$6:$A$205,0))),"nach Austritt","ok")))))))</f>
        <v/>
      </c>
    </row>
    <row r="3614">
      <c r="A3614" s="26" t="n"/>
      <c r="B3614" s="24" t="n"/>
      <c r="C3614" s="40">
        <f>IF(B3614="","",IFERROR(INDEX(Mitarbeiter!$B$6:$B$205,MATCH(B3614,Mitarbeiter!$A$6:$A$205,0)),"?"))</f>
        <v/>
      </c>
      <c r="D3614" s="41" t="n"/>
      <c r="E3614" s="42" t="n"/>
      <c r="F3614" s="43" t="n"/>
      <c r="G3614" s="44">
        <f>IF(OR(B3614="",F3614=""),"",IFERROR(F3614*INDEX(Mitarbeiter!$F$6:$F$205,MATCH(B3614,Mitarbeiter!$A$6:$A$205,0)),0))</f>
        <v/>
      </c>
      <c r="H3614" s="8">
        <f>IF(B3614="","",IF(ISNA(MATCH(B3614,Mitarbeiter!$A$6:$A$205,0)),"Pers.-Nr. unbekannt",IF(A3614="","Datum fehlt",IF(AND(D3614&lt;&gt;Einstellungen!$C$4,D3614&lt;&gt;Einstellungen!$C$5),"Objekt fehlt",IF(YEAR(A3614)&lt;&gt;Einstellungen!$C$3,"anderes Jahr",IF(A3614&lt;INDEX(Mitarbeiter!$C$6:$C$205,MATCH(B3614,Mitarbeiter!$A$6:$A$205,0)),"vor Eintritt",IF(AND(INDEX(Mitarbeiter!$D$6:$D$205,MATCH(B3614,Mitarbeiter!$A$6:$A$205,0))&lt;&gt;"",A3614&gt;INDEX(Mitarbeiter!$D$6:$D$205,MATCH(B3614,Mitarbeiter!$A$6:$A$205,0))),"nach Austritt","ok")))))))</f>
        <v/>
      </c>
    </row>
    <row r="3615">
      <c r="A3615" s="26" t="n"/>
      <c r="B3615" s="24" t="n"/>
      <c r="C3615" s="40">
        <f>IF(B3615="","",IFERROR(INDEX(Mitarbeiter!$B$6:$B$205,MATCH(B3615,Mitarbeiter!$A$6:$A$205,0)),"?"))</f>
        <v/>
      </c>
      <c r="D3615" s="41" t="n"/>
      <c r="E3615" s="42" t="n"/>
      <c r="F3615" s="43" t="n"/>
      <c r="G3615" s="44">
        <f>IF(OR(B3615="",F3615=""),"",IFERROR(F3615*INDEX(Mitarbeiter!$F$6:$F$205,MATCH(B3615,Mitarbeiter!$A$6:$A$205,0)),0))</f>
        <v/>
      </c>
      <c r="H3615" s="8">
        <f>IF(B3615="","",IF(ISNA(MATCH(B3615,Mitarbeiter!$A$6:$A$205,0)),"Pers.-Nr. unbekannt",IF(A3615="","Datum fehlt",IF(AND(D3615&lt;&gt;Einstellungen!$C$4,D3615&lt;&gt;Einstellungen!$C$5),"Objekt fehlt",IF(YEAR(A3615)&lt;&gt;Einstellungen!$C$3,"anderes Jahr",IF(A3615&lt;INDEX(Mitarbeiter!$C$6:$C$205,MATCH(B3615,Mitarbeiter!$A$6:$A$205,0)),"vor Eintritt",IF(AND(INDEX(Mitarbeiter!$D$6:$D$205,MATCH(B3615,Mitarbeiter!$A$6:$A$205,0))&lt;&gt;"",A3615&gt;INDEX(Mitarbeiter!$D$6:$D$205,MATCH(B3615,Mitarbeiter!$A$6:$A$205,0))),"nach Austritt","ok")))))))</f>
        <v/>
      </c>
    </row>
    <row r="3616">
      <c r="A3616" s="26" t="n"/>
      <c r="B3616" s="24" t="n"/>
      <c r="C3616" s="40">
        <f>IF(B3616="","",IFERROR(INDEX(Mitarbeiter!$B$6:$B$205,MATCH(B3616,Mitarbeiter!$A$6:$A$205,0)),"?"))</f>
        <v/>
      </c>
      <c r="D3616" s="41" t="n"/>
      <c r="E3616" s="42" t="n"/>
      <c r="F3616" s="43" t="n"/>
      <c r="G3616" s="44">
        <f>IF(OR(B3616="",F3616=""),"",IFERROR(F3616*INDEX(Mitarbeiter!$F$6:$F$205,MATCH(B3616,Mitarbeiter!$A$6:$A$205,0)),0))</f>
        <v/>
      </c>
      <c r="H3616" s="8">
        <f>IF(B3616="","",IF(ISNA(MATCH(B3616,Mitarbeiter!$A$6:$A$205,0)),"Pers.-Nr. unbekannt",IF(A3616="","Datum fehlt",IF(AND(D3616&lt;&gt;Einstellungen!$C$4,D3616&lt;&gt;Einstellungen!$C$5),"Objekt fehlt",IF(YEAR(A3616)&lt;&gt;Einstellungen!$C$3,"anderes Jahr",IF(A3616&lt;INDEX(Mitarbeiter!$C$6:$C$205,MATCH(B3616,Mitarbeiter!$A$6:$A$205,0)),"vor Eintritt",IF(AND(INDEX(Mitarbeiter!$D$6:$D$205,MATCH(B3616,Mitarbeiter!$A$6:$A$205,0))&lt;&gt;"",A3616&gt;INDEX(Mitarbeiter!$D$6:$D$205,MATCH(B3616,Mitarbeiter!$A$6:$A$205,0))),"nach Austritt","ok")))))))</f>
        <v/>
      </c>
    </row>
    <row r="3617">
      <c r="A3617" s="26" t="n"/>
      <c r="B3617" s="24" t="n"/>
      <c r="C3617" s="40">
        <f>IF(B3617="","",IFERROR(INDEX(Mitarbeiter!$B$6:$B$205,MATCH(B3617,Mitarbeiter!$A$6:$A$205,0)),"?"))</f>
        <v/>
      </c>
      <c r="D3617" s="41" t="n"/>
      <c r="E3617" s="42" t="n"/>
      <c r="F3617" s="43" t="n"/>
      <c r="G3617" s="44">
        <f>IF(OR(B3617="",F3617=""),"",IFERROR(F3617*INDEX(Mitarbeiter!$F$6:$F$205,MATCH(B3617,Mitarbeiter!$A$6:$A$205,0)),0))</f>
        <v/>
      </c>
      <c r="H3617" s="8">
        <f>IF(B3617="","",IF(ISNA(MATCH(B3617,Mitarbeiter!$A$6:$A$205,0)),"Pers.-Nr. unbekannt",IF(A3617="","Datum fehlt",IF(AND(D3617&lt;&gt;Einstellungen!$C$4,D3617&lt;&gt;Einstellungen!$C$5),"Objekt fehlt",IF(YEAR(A3617)&lt;&gt;Einstellungen!$C$3,"anderes Jahr",IF(A3617&lt;INDEX(Mitarbeiter!$C$6:$C$205,MATCH(B3617,Mitarbeiter!$A$6:$A$205,0)),"vor Eintritt",IF(AND(INDEX(Mitarbeiter!$D$6:$D$205,MATCH(B3617,Mitarbeiter!$A$6:$A$205,0))&lt;&gt;"",A3617&gt;INDEX(Mitarbeiter!$D$6:$D$205,MATCH(B3617,Mitarbeiter!$A$6:$A$205,0))),"nach Austritt","ok")))))))</f>
        <v/>
      </c>
    </row>
    <row r="3618">
      <c r="A3618" s="26" t="n"/>
      <c r="B3618" s="24" t="n"/>
      <c r="C3618" s="40">
        <f>IF(B3618="","",IFERROR(INDEX(Mitarbeiter!$B$6:$B$205,MATCH(B3618,Mitarbeiter!$A$6:$A$205,0)),"?"))</f>
        <v/>
      </c>
      <c r="D3618" s="41" t="n"/>
      <c r="E3618" s="42" t="n"/>
      <c r="F3618" s="43" t="n"/>
      <c r="G3618" s="44">
        <f>IF(OR(B3618="",F3618=""),"",IFERROR(F3618*INDEX(Mitarbeiter!$F$6:$F$205,MATCH(B3618,Mitarbeiter!$A$6:$A$205,0)),0))</f>
        <v/>
      </c>
      <c r="H3618" s="8">
        <f>IF(B3618="","",IF(ISNA(MATCH(B3618,Mitarbeiter!$A$6:$A$205,0)),"Pers.-Nr. unbekannt",IF(A3618="","Datum fehlt",IF(AND(D3618&lt;&gt;Einstellungen!$C$4,D3618&lt;&gt;Einstellungen!$C$5),"Objekt fehlt",IF(YEAR(A3618)&lt;&gt;Einstellungen!$C$3,"anderes Jahr",IF(A3618&lt;INDEX(Mitarbeiter!$C$6:$C$205,MATCH(B3618,Mitarbeiter!$A$6:$A$205,0)),"vor Eintritt",IF(AND(INDEX(Mitarbeiter!$D$6:$D$205,MATCH(B3618,Mitarbeiter!$A$6:$A$205,0))&lt;&gt;"",A3618&gt;INDEX(Mitarbeiter!$D$6:$D$205,MATCH(B3618,Mitarbeiter!$A$6:$A$205,0))),"nach Austritt","ok")))))))</f>
        <v/>
      </c>
    </row>
    <row r="3619">
      <c r="A3619" s="26" t="n"/>
      <c r="B3619" s="24" t="n"/>
      <c r="C3619" s="40">
        <f>IF(B3619="","",IFERROR(INDEX(Mitarbeiter!$B$6:$B$205,MATCH(B3619,Mitarbeiter!$A$6:$A$205,0)),"?"))</f>
        <v/>
      </c>
      <c r="D3619" s="41" t="n"/>
      <c r="E3619" s="42" t="n"/>
      <c r="F3619" s="43" t="n"/>
      <c r="G3619" s="44">
        <f>IF(OR(B3619="",F3619=""),"",IFERROR(F3619*INDEX(Mitarbeiter!$F$6:$F$205,MATCH(B3619,Mitarbeiter!$A$6:$A$205,0)),0))</f>
        <v/>
      </c>
      <c r="H3619" s="8">
        <f>IF(B3619="","",IF(ISNA(MATCH(B3619,Mitarbeiter!$A$6:$A$205,0)),"Pers.-Nr. unbekannt",IF(A3619="","Datum fehlt",IF(AND(D3619&lt;&gt;Einstellungen!$C$4,D3619&lt;&gt;Einstellungen!$C$5),"Objekt fehlt",IF(YEAR(A3619)&lt;&gt;Einstellungen!$C$3,"anderes Jahr",IF(A3619&lt;INDEX(Mitarbeiter!$C$6:$C$205,MATCH(B3619,Mitarbeiter!$A$6:$A$205,0)),"vor Eintritt",IF(AND(INDEX(Mitarbeiter!$D$6:$D$205,MATCH(B3619,Mitarbeiter!$A$6:$A$205,0))&lt;&gt;"",A3619&gt;INDEX(Mitarbeiter!$D$6:$D$205,MATCH(B3619,Mitarbeiter!$A$6:$A$205,0))),"nach Austritt","ok")))))))</f>
        <v/>
      </c>
    </row>
    <row r="3620">
      <c r="A3620" s="26" t="n"/>
      <c r="B3620" s="24" t="n"/>
      <c r="C3620" s="40">
        <f>IF(B3620="","",IFERROR(INDEX(Mitarbeiter!$B$6:$B$205,MATCH(B3620,Mitarbeiter!$A$6:$A$205,0)),"?"))</f>
        <v/>
      </c>
      <c r="D3620" s="41" t="n"/>
      <c r="E3620" s="42" t="n"/>
      <c r="F3620" s="43" t="n"/>
      <c r="G3620" s="44">
        <f>IF(OR(B3620="",F3620=""),"",IFERROR(F3620*INDEX(Mitarbeiter!$F$6:$F$205,MATCH(B3620,Mitarbeiter!$A$6:$A$205,0)),0))</f>
        <v/>
      </c>
      <c r="H3620" s="8">
        <f>IF(B3620="","",IF(ISNA(MATCH(B3620,Mitarbeiter!$A$6:$A$205,0)),"Pers.-Nr. unbekannt",IF(A3620="","Datum fehlt",IF(AND(D3620&lt;&gt;Einstellungen!$C$4,D3620&lt;&gt;Einstellungen!$C$5),"Objekt fehlt",IF(YEAR(A3620)&lt;&gt;Einstellungen!$C$3,"anderes Jahr",IF(A3620&lt;INDEX(Mitarbeiter!$C$6:$C$205,MATCH(B3620,Mitarbeiter!$A$6:$A$205,0)),"vor Eintritt",IF(AND(INDEX(Mitarbeiter!$D$6:$D$205,MATCH(B3620,Mitarbeiter!$A$6:$A$205,0))&lt;&gt;"",A3620&gt;INDEX(Mitarbeiter!$D$6:$D$205,MATCH(B3620,Mitarbeiter!$A$6:$A$205,0))),"nach Austritt","ok")))))))</f>
        <v/>
      </c>
    </row>
    <row r="3621">
      <c r="A3621" s="26" t="n"/>
      <c r="B3621" s="24" t="n"/>
      <c r="C3621" s="40">
        <f>IF(B3621="","",IFERROR(INDEX(Mitarbeiter!$B$6:$B$205,MATCH(B3621,Mitarbeiter!$A$6:$A$205,0)),"?"))</f>
        <v/>
      </c>
      <c r="D3621" s="41" t="n"/>
      <c r="E3621" s="42" t="n"/>
      <c r="F3621" s="43" t="n"/>
      <c r="G3621" s="44">
        <f>IF(OR(B3621="",F3621=""),"",IFERROR(F3621*INDEX(Mitarbeiter!$F$6:$F$205,MATCH(B3621,Mitarbeiter!$A$6:$A$205,0)),0))</f>
        <v/>
      </c>
      <c r="H3621" s="8">
        <f>IF(B3621="","",IF(ISNA(MATCH(B3621,Mitarbeiter!$A$6:$A$205,0)),"Pers.-Nr. unbekannt",IF(A3621="","Datum fehlt",IF(AND(D3621&lt;&gt;Einstellungen!$C$4,D3621&lt;&gt;Einstellungen!$C$5),"Objekt fehlt",IF(YEAR(A3621)&lt;&gt;Einstellungen!$C$3,"anderes Jahr",IF(A3621&lt;INDEX(Mitarbeiter!$C$6:$C$205,MATCH(B3621,Mitarbeiter!$A$6:$A$205,0)),"vor Eintritt",IF(AND(INDEX(Mitarbeiter!$D$6:$D$205,MATCH(B3621,Mitarbeiter!$A$6:$A$205,0))&lt;&gt;"",A3621&gt;INDEX(Mitarbeiter!$D$6:$D$205,MATCH(B3621,Mitarbeiter!$A$6:$A$205,0))),"nach Austritt","ok")))))))</f>
        <v/>
      </c>
    </row>
    <row r="3622">
      <c r="A3622" s="26" t="n"/>
      <c r="B3622" s="24" t="n"/>
      <c r="C3622" s="40">
        <f>IF(B3622="","",IFERROR(INDEX(Mitarbeiter!$B$6:$B$205,MATCH(B3622,Mitarbeiter!$A$6:$A$205,0)),"?"))</f>
        <v/>
      </c>
      <c r="D3622" s="41" t="n"/>
      <c r="E3622" s="42" t="n"/>
      <c r="F3622" s="43" t="n"/>
      <c r="G3622" s="44">
        <f>IF(OR(B3622="",F3622=""),"",IFERROR(F3622*INDEX(Mitarbeiter!$F$6:$F$205,MATCH(B3622,Mitarbeiter!$A$6:$A$205,0)),0))</f>
        <v/>
      </c>
      <c r="H3622" s="8">
        <f>IF(B3622="","",IF(ISNA(MATCH(B3622,Mitarbeiter!$A$6:$A$205,0)),"Pers.-Nr. unbekannt",IF(A3622="","Datum fehlt",IF(AND(D3622&lt;&gt;Einstellungen!$C$4,D3622&lt;&gt;Einstellungen!$C$5),"Objekt fehlt",IF(YEAR(A3622)&lt;&gt;Einstellungen!$C$3,"anderes Jahr",IF(A3622&lt;INDEX(Mitarbeiter!$C$6:$C$205,MATCH(B3622,Mitarbeiter!$A$6:$A$205,0)),"vor Eintritt",IF(AND(INDEX(Mitarbeiter!$D$6:$D$205,MATCH(B3622,Mitarbeiter!$A$6:$A$205,0))&lt;&gt;"",A3622&gt;INDEX(Mitarbeiter!$D$6:$D$205,MATCH(B3622,Mitarbeiter!$A$6:$A$205,0))),"nach Austritt","ok")))))))</f>
        <v/>
      </c>
    </row>
    <row r="3623">
      <c r="A3623" s="26" t="n"/>
      <c r="B3623" s="24" t="n"/>
      <c r="C3623" s="40">
        <f>IF(B3623="","",IFERROR(INDEX(Mitarbeiter!$B$6:$B$205,MATCH(B3623,Mitarbeiter!$A$6:$A$205,0)),"?"))</f>
        <v/>
      </c>
      <c r="D3623" s="41" t="n"/>
      <c r="E3623" s="42" t="n"/>
      <c r="F3623" s="43" t="n"/>
      <c r="G3623" s="44">
        <f>IF(OR(B3623="",F3623=""),"",IFERROR(F3623*INDEX(Mitarbeiter!$F$6:$F$205,MATCH(B3623,Mitarbeiter!$A$6:$A$205,0)),0))</f>
        <v/>
      </c>
      <c r="H3623" s="8">
        <f>IF(B3623="","",IF(ISNA(MATCH(B3623,Mitarbeiter!$A$6:$A$205,0)),"Pers.-Nr. unbekannt",IF(A3623="","Datum fehlt",IF(AND(D3623&lt;&gt;Einstellungen!$C$4,D3623&lt;&gt;Einstellungen!$C$5),"Objekt fehlt",IF(YEAR(A3623)&lt;&gt;Einstellungen!$C$3,"anderes Jahr",IF(A3623&lt;INDEX(Mitarbeiter!$C$6:$C$205,MATCH(B3623,Mitarbeiter!$A$6:$A$205,0)),"vor Eintritt",IF(AND(INDEX(Mitarbeiter!$D$6:$D$205,MATCH(B3623,Mitarbeiter!$A$6:$A$205,0))&lt;&gt;"",A3623&gt;INDEX(Mitarbeiter!$D$6:$D$205,MATCH(B3623,Mitarbeiter!$A$6:$A$205,0))),"nach Austritt","ok")))))))</f>
        <v/>
      </c>
    </row>
    <row r="3624">
      <c r="A3624" s="26" t="n"/>
      <c r="B3624" s="24" t="n"/>
      <c r="C3624" s="40">
        <f>IF(B3624="","",IFERROR(INDEX(Mitarbeiter!$B$6:$B$205,MATCH(B3624,Mitarbeiter!$A$6:$A$205,0)),"?"))</f>
        <v/>
      </c>
      <c r="D3624" s="41" t="n"/>
      <c r="E3624" s="42" t="n"/>
      <c r="F3624" s="43" t="n"/>
      <c r="G3624" s="44">
        <f>IF(OR(B3624="",F3624=""),"",IFERROR(F3624*INDEX(Mitarbeiter!$F$6:$F$205,MATCH(B3624,Mitarbeiter!$A$6:$A$205,0)),0))</f>
        <v/>
      </c>
      <c r="H3624" s="8">
        <f>IF(B3624="","",IF(ISNA(MATCH(B3624,Mitarbeiter!$A$6:$A$205,0)),"Pers.-Nr. unbekannt",IF(A3624="","Datum fehlt",IF(AND(D3624&lt;&gt;Einstellungen!$C$4,D3624&lt;&gt;Einstellungen!$C$5),"Objekt fehlt",IF(YEAR(A3624)&lt;&gt;Einstellungen!$C$3,"anderes Jahr",IF(A3624&lt;INDEX(Mitarbeiter!$C$6:$C$205,MATCH(B3624,Mitarbeiter!$A$6:$A$205,0)),"vor Eintritt",IF(AND(INDEX(Mitarbeiter!$D$6:$D$205,MATCH(B3624,Mitarbeiter!$A$6:$A$205,0))&lt;&gt;"",A3624&gt;INDEX(Mitarbeiter!$D$6:$D$205,MATCH(B3624,Mitarbeiter!$A$6:$A$205,0))),"nach Austritt","ok")))))))</f>
        <v/>
      </c>
    </row>
    <row r="3625">
      <c r="A3625" s="26" t="n"/>
      <c r="B3625" s="24" t="n"/>
      <c r="C3625" s="40">
        <f>IF(B3625="","",IFERROR(INDEX(Mitarbeiter!$B$6:$B$205,MATCH(B3625,Mitarbeiter!$A$6:$A$205,0)),"?"))</f>
        <v/>
      </c>
      <c r="D3625" s="41" t="n"/>
      <c r="E3625" s="42" t="n"/>
      <c r="F3625" s="43" t="n"/>
      <c r="G3625" s="44">
        <f>IF(OR(B3625="",F3625=""),"",IFERROR(F3625*INDEX(Mitarbeiter!$F$6:$F$205,MATCH(B3625,Mitarbeiter!$A$6:$A$205,0)),0))</f>
        <v/>
      </c>
      <c r="H3625" s="8">
        <f>IF(B3625="","",IF(ISNA(MATCH(B3625,Mitarbeiter!$A$6:$A$205,0)),"Pers.-Nr. unbekannt",IF(A3625="","Datum fehlt",IF(AND(D3625&lt;&gt;Einstellungen!$C$4,D3625&lt;&gt;Einstellungen!$C$5),"Objekt fehlt",IF(YEAR(A3625)&lt;&gt;Einstellungen!$C$3,"anderes Jahr",IF(A3625&lt;INDEX(Mitarbeiter!$C$6:$C$205,MATCH(B3625,Mitarbeiter!$A$6:$A$205,0)),"vor Eintritt",IF(AND(INDEX(Mitarbeiter!$D$6:$D$205,MATCH(B3625,Mitarbeiter!$A$6:$A$205,0))&lt;&gt;"",A3625&gt;INDEX(Mitarbeiter!$D$6:$D$205,MATCH(B3625,Mitarbeiter!$A$6:$A$205,0))),"nach Austritt","ok")))))))</f>
        <v/>
      </c>
    </row>
    <row r="3626">
      <c r="A3626" s="26" t="n"/>
      <c r="B3626" s="24" t="n"/>
      <c r="C3626" s="40">
        <f>IF(B3626="","",IFERROR(INDEX(Mitarbeiter!$B$6:$B$205,MATCH(B3626,Mitarbeiter!$A$6:$A$205,0)),"?"))</f>
        <v/>
      </c>
      <c r="D3626" s="41" t="n"/>
      <c r="E3626" s="42" t="n"/>
      <c r="F3626" s="43" t="n"/>
      <c r="G3626" s="44">
        <f>IF(OR(B3626="",F3626=""),"",IFERROR(F3626*INDEX(Mitarbeiter!$F$6:$F$205,MATCH(B3626,Mitarbeiter!$A$6:$A$205,0)),0))</f>
        <v/>
      </c>
      <c r="H3626" s="8">
        <f>IF(B3626="","",IF(ISNA(MATCH(B3626,Mitarbeiter!$A$6:$A$205,0)),"Pers.-Nr. unbekannt",IF(A3626="","Datum fehlt",IF(AND(D3626&lt;&gt;Einstellungen!$C$4,D3626&lt;&gt;Einstellungen!$C$5),"Objekt fehlt",IF(YEAR(A3626)&lt;&gt;Einstellungen!$C$3,"anderes Jahr",IF(A3626&lt;INDEX(Mitarbeiter!$C$6:$C$205,MATCH(B3626,Mitarbeiter!$A$6:$A$205,0)),"vor Eintritt",IF(AND(INDEX(Mitarbeiter!$D$6:$D$205,MATCH(B3626,Mitarbeiter!$A$6:$A$205,0))&lt;&gt;"",A3626&gt;INDEX(Mitarbeiter!$D$6:$D$205,MATCH(B3626,Mitarbeiter!$A$6:$A$205,0))),"nach Austritt","ok")))))))</f>
        <v/>
      </c>
    </row>
    <row r="3627">
      <c r="A3627" s="26" t="n"/>
      <c r="B3627" s="24" t="n"/>
      <c r="C3627" s="40">
        <f>IF(B3627="","",IFERROR(INDEX(Mitarbeiter!$B$6:$B$205,MATCH(B3627,Mitarbeiter!$A$6:$A$205,0)),"?"))</f>
        <v/>
      </c>
      <c r="D3627" s="41" t="n"/>
      <c r="E3627" s="42" t="n"/>
      <c r="F3627" s="43" t="n"/>
      <c r="G3627" s="44">
        <f>IF(OR(B3627="",F3627=""),"",IFERROR(F3627*INDEX(Mitarbeiter!$F$6:$F$205,MATCH(B3627,Mitarbeiter!$A$6:$A$205,0)),0))</f>
        <v/>
      </c>
      <c r="H3627" s="8">
        <f>IF(B3627="","",IF(ISNA(MATCH(B3627,Mitarbeiter!$A$6:$A$205,0)),"Pers.-Nr. unbekannt",IF(A3627="","Datum fehlt",IF(AND(D3627&lt;&gt;Einstellungen!$C$4,D3627&lt;&gt;Einstellungen!$C$5),"Objekt fehlt",IF(YEAR(A3627)&lt;&gt;Einstellungen!$C$3,"anderes Jahr",IF(A3627&lt;INDEX(Mitarbeiter!$C$6:$C$205,MATCH(B3627,Mitarbeiter!$A$6:$A$205,0)),"vor Eintritt",IF(AND(INDEX(Mitarbeiter!$D$6:$D$205,MATCH(B3627,Mitarbeiter!$A$6:$A$205,0))&lt;&gt;"",A3627&gt;INDEX(Mitarbeiter!$D$6:$D$205,MATCH(B3627,Mitarbeiter!$A$6:$A$205,0))),"nach Austritt","ok")))))))</f>
        <v/>
      </c>
    </row>
    <row r="3628">
      <c r="A3628" s="26" t="n"/>
      <c r="B3628" s="24" t="n"/>
      <c r="C3628" s="40">
        <f>IF(B3628="","",IFERROR(INDEX(Mitarbeiter!$B$6:$B$205,MATCH(B3628,Mitarbeiter!$A$6:$A$205,0)),"?"))</f>
        <v/>
      </c>
      <c r="D3628" s="41" t="n"/>
      <c r="E3628" s="42" t="n"/>
      <c r="F3628" s="43" t="n"/>
      <c r="G3628" s="44">
        <f>IF(OR(B3628="",F3628=""),"",IFERROR(F3628*INDEX(Mitarbeiter!$F$6:$F$205,MATCH(B3628,Mitarbeiter!$A$6:$A$205,0)),0))</f>
        <v/>
      </c>
      <c r="H3628" s="8">
        <f>IF(B3628="","",IF(ISNA(MATCH(B3628,Mitarbeiter!$A$6:$A$205,0)),"Pers.-Nr. unbekannt",IF(A3628="","Datum fehlt",IF(AND(D3628&lt;&gt;Einstellungen!$C$4,D3628&lt;&gt;Einstellungen!$C$5),"Objekt fehlt",IF(YEAR(A3628)&lt;&gt;Einstellungen!$C$3,"anderes Jahr",IF(A3628&lt;INDEX(Mitarbeiter!$C$6:$C$205,MATCH(B3628,Mitarbeiter!$A$6:$A$205,0)),"vor Eintritt",IF(AND(INDEX(Mitarbeiter!$D$6:$D$205,MATCH(B3628,Mitarbeiter!$A$6:$A$205,0))&lt;&gt;"",A3628&gt;INDEX(Mitarbeiter!$D$6:$D$205,MATCH(B3628,Mitarbeiter!$A$6:$A$205,0))),"nach Austritt","ok")))))))</f>
        <v/>
      </c>
    </row>
    <row r="3629">
      <c r="A3629" s="26" t="n"/>
      <c r="B3629" s="24" t="n"/>
      <c r="C3629" s="40">
        <f>IF(B3629="","",IFERROR(INDEX(Mitarbeiter!$B$6:$B$205,MATCH(B3629,Mitarbeiter!$A$6:$A$205,0)),"?"))</f>
        <v/>
      </c>
      <c r="D3629" s="41" t="n"/>
      <c r="E3629" s="42" t="n"/>
      <c r="F3629" s="43" t="n"/>
      <c r="G3629" s="44">
        <f>IF(OR(B3629="",F3629=""),"",IFERROR(F3629*INDEX(Mitarbeiter!$F$6:$F$205,MATCH(B3629,Mitarbeiter!$A$6:$A$205,0)),0))</f>
        <v/>
      </c>
      <c r="H3629" s="8">
        <f>IF(B3629="","",IF(ISNA(MATCH(B3629,Mitarbeiter!$A$6:$A$205,0)),"Pers.-Nr. unbekannt",IF(A3629="","Datum fehlt",IF(AND(D3629&lt;&gt;Einstellungen!$C$4,D3629&lt;&gt;Einstellungen!$C$5),"Objekt fehlt",IF(YEAR(A3629)&lt;&gt;Einstellungen!$C$3,"anderes Jahr",IF(A3629&lt;INDEX(Mitarbeiter!$C$6:$C$205,MATCH(B3629,Mitarbeiter!$A$6:$A$205,0)),"vor Eintritt",IF(AND(INDEX(Mitarbeiter!$D$6:$D$205,MATCH(B3629,Mitarbeiter!$A$6:$A$205,0))&lt;&gt;"",A3629&gt;INDEX(Mitarbeiter!$D$6:$D$205,MATCH(B3629,Mitarbeiter!$A$6:$A$205,0))),"nach Austritt","ok")))))))</f>
        <v/>
      </c>
    </row>
    <row r="3630">
      <c r="A3630" s="26" t="n"/>
      <c r="B3630" s="24" t="n"/>
      <c r="C3630" s="40">
        <f>IF(B3630="","",IFERROR(INDEX(Mitarbeiter!$B$6:$B$205,MATCH(B3630,Mitarbeiter!$A$6:$A$205,0)),"?"))</f>
        <v/>
      </c>
      <c r="D3630" s="41" t="n"/>
      <c r="E3630" s="42" t="n"/>
      <c r="F3630" s="43" t="n"/>
      <c r="G3630" s="44">
        <f>IF(OR(B3630="",F3630=""),"",IFERROR(F3630*INDEX(Mitarbeiter!$F$6:$F$205,MATCH(B3630,Mitarbeiter!$A$6:$A$205,0)),0))</f>
        <v/>
      </c>
      <c r="H3630" s="8">
        <f>IF(B3630="","",IF(ISNA(MATCH(B3630,Mitarbeiter!$A$6:$A$205,0)),"Pers.-Nr. unbekannt",IF(A3630="","Datum fehlt",IF(AND(D3630&lt;&gt;Einstellungen!$C$4,D3630&lt;&gt;Einstellungen!$C$5),"Objekt fehlt",IF(YEAR(A3630)&lt;&gt;Einstellungen!$C$3,"anderes Jahr",IF(A3630&lt;INDEX(Mitarbeiter!$C$6:$C$205,MATCH(B3630,Mitarbeiter!$A$6:$A$205,0)),"vor Eintritt",IF(AND(INDEX(Mitarbeiter!$D$6:$D$205,MATCH(B3630,Mitarbeiter!$A$6:$A$205,0))&lt;&gt;"",A3630&gt;INDEX(Mitarbeiter!$D$6:$D$205,MATCH(B3630,Mitarbeiter!$A$6:$A$205,0))),"nach Austritt","ok")))))))</f>
        <v/>
      </c>
    </row>
    <row r="3631">
      <c r="A3631" s="26" t="n"/>
      <c r="B3631" s="24" t="n"/>
      <c r="C3631" s="40">
        <f>IF(B3631="","",IFERROR(INDEX(Mitarbeiter!$B$6:$B$205,MATCH(B3631,Mitarbeiter!$A$6:$A$205,0)),"?"))</f>
        <v/>
      </c>
      <c r="D3631" s="41" t="n"/>
      <c r="E3631" s="42" t="n"/>
      <c r="F3631" s="43" t="n"/>
      <c r="G3631" s="44">
        <f>IF(OR(B3631="",F3631=""),"",IFERROR(F3631*INDEX(Mitarbeiter!$F$6:$F$205,MATCH(B3631,Mitarbeiter!$A$6:$A$205,0)),0))</f>
        <v/>
      </c>
      <c r="H3631" s="8">
        <f>IF(B3631="","",IF(ISNA(MATCH(B3631,Mitarbeiter!$A$6:$A$205,0)),"Pers.-Nr. unbekannt",IF(A3631="","Datum fehlt",IF(AND(D3631&lt;&gt;Einstellungen!$C$4,D3631&lt;&gt;Einstellungen!$C$5),"Objekt fehlt",IF(YEAR(A3631)&lt;&gt;Einstellungen!$C$3,"anderes Jahr",IF(A3631&lt;INDEX(Mitarbeiter!$C$6:$C$205,MATCH(B3631,Mitarbeiter!$A$6:$A$205,0)),"vor Eintritt",IF(AND(INDEX(Mitarbeiter!$D$6:$D$205,MATCH(B3631,Mitarbeiter!$A$6:$A$205,0))&lt;&gt;"",A3631&gt;INDEX(Mitarbeiter!$D$6:$D$205,MATCH(B3631,Mitarbeiter!$A$6:$A$205,0))),"nach Austritt","ok")))))))</f>
        <v/>
      </c>
    </row>
    <row r="3632">
      <c r="A3632" s="26" t="n"/>
      <c r="B3632" s="24" t="n"/>
      <c r="C3632" s="40">
        <f>IF(B3632="","",IFERROR(INDEX(Mitarbeiter!$B$6:$B$205,MATCH(B3632,Mitarbeiter!$A$6:$A$205,0)),"?"))</f>
        <v/>
      </c>
      <c r="D3632" s="41" t="n"/>
      <c r="E3632" s="42" t="n"/>
      <c r="F3632" s="43" t="n"/>
      <c r="G3632" s="44">
        <f>IF(OR(B3632="",F3632=""),"",IFERROR(F3632*INDEX(Mitarbeiter!$F$6:$F$205,MATCH(B3632,Mitarbeiter!$A$6:$A$205,0)),0))</f>
        <v/>
      </c>
      <c r="H3632" s="8">
        <f>IF(B3632="","",IF(ISNA(MATCH(B3632,Mitarbeiter!$A$6:$A$205,0)),"Pers.-Nr. unbekannt",IF(A3632="","Datum fehlt",IF(AND(D3632&lt;&gt;Einstellungen!$C$4,D3632&lt;&gt;Einstellungen!$C$5),"Objekt fehlt",IF(YEAR(A3632)&lt;&gt;Einstellungen!$C$3,"anderes Jahr",IF(A3632&lt;INDEX(Mitarbeiter!$C$6:$C$205,MATCH(B3632,Mitarbeiter!$A$6:$A$205,0)),"vor Eintritt",IF(AND(INDEX(Mitarbeiter!$D$6:$D$205,MATCH(B3632,Mitarbeiter!$A$6:$A$205,0))&lt;&gt;"",A3632&gt;INDEX(Mitarbeiter!$D$6:$D$205,MATCH(B3632,Mitarbeiter!$A$6:$A$205,0))),"nach Austritt","ok")))))))</f>
        <v/>
      </c>
    </row>
    <row r="3633">
      <c r="A3633" s="26" t="n"/>
      <c r="B3633" s="24" t="n"/>
      <c r="C3633" s="40">
        <f>IF(B3633="","",IFERROR(INDEX(Mitarbeiter!$B$6:$B$205,MATCH(B3633,Mitarbeiter!$A$6:$A$205,0)),"?"))</f>
        <v/>
      </c>
      <c r="D3633" s="41" t="n"/>
      <c r="E3633" s="42" t="n"/>
      <c r="F3633" s="43" t="n"/>
      <c r="G3633" s="44">
        <f>IF(OR(B3633="",F3633=""),"",IFERROR(F3633*INDEX(Mitarbeiter!$F$6:$F$205,MATCH(B3633,Mitarbeiter!$A$6:$A$205,0)),0))</f>
        <v/>
      </c>
      <c r="H3633" s="8">
        <f>IF(B3633="","",IF(ISNA(MATCH(B3633,Mitarbeiter!$A$6:$A$205,0)),"Pers.-Nr. unbekannt",IF(A3633="","Datum fehlt",IF(AND(D3633&lt;&gt;Einstellungen!$C$4,D3633&lt;&gt;Einstellungen!$C$5),"Objekt fehlt",IF(YEAR(A3633)&lt;&gt;Einstellungen!$C$3,"anderes Jahr",IF(A3633&lt;INDEX(Mitarbeiter!$C$6:$C$205,MATCH(B3633,Mitarbeiter!$A$6:$A$205,0)),"vor Eintritt",IF(AND(INDEX(Mitarbeiter!$D$6:$D$205,MATCH(B3633,Mitarbeiter!$A$6:$A$205,0))&lt;&gt;"",A3633&gt;INDEX(Mitarbeiter!$D$6:$D$205,MATCH(B3633,Mitarbeiter!$A$6:$A$205,0))),"nach Austritt","ok")))))))</f>
        <v/>
      </c>
    </row>
    <row r="3634">
      <c r="A3634" s="26" t="n"/>
      <c r="B3634" s="24" t="n"/>
      <c r="C3634" s="40">
        <f>IF(B3634="","",IFERROR(INDEX(Mitarbeiter!$B$6:$B$205,MATCH(B3634,Mitarbeiter!$A$6:$A$205,0)),"?"))</f>
        <v/>
      </c>
      <c r="D3634" s="41" t="n"/>
      <c r="E3634" s="42" t="n"/>
      <c r="F3634" s="43" t="n"/>
      <c r="G3634" s="44">
        <f>IF(OR(B3634="",F3634=""),"",IFERROR(F3634*INDEX(Mitarbeiter!$F$6:$F$205,MATCH(B3634,Mitarbeiter!$A$6:$A$205,0)),0))</f>
        <v/>
      </c>
      <c r="H3634" s="8">
        <f>IF(B3634="","",IF(ISNA(MATCH(B3634,Mitarbeiter!$A$6:$A$205,0)),"Pers.-Nr. unbekannt",IF(A3634="","Datum fehlt",IF(AND(D3634&lt;&gt;Einstellungen!$C$4,D3634&lt;&gt;Einstellungen!$C$5),"Objekt fehlt",IF(YEAR(A3634)&lt;&gt;Einstellungen!$C$3,"anderes Jahr",IF(A3634&lt;INDEX(Mitarbeiter!$C$6:$C$205,MATCH(B3634,Mitarbeiter!$A$6:$A$205,0)),"vor Eintritt",IF(AND(INDEX(Mitarbeiter!$D$6:$D$205,MATCH(B3634,Mitarbeiter!$A$6:$A$205,0))&lt;&gt;"",A3634&gt;INDEX(Mitarbeiter!$D$6:$D$205,MATCH(B3634,Mitarbeiter!$A$6:$A$205,0))),"nach Austritt","ok")))))))</f>
        <v/>
      </c>
    </row>
    <row r="3635">
      <c r="A3635" s="26" t="n"/>
      <c r="B3635" s="24" t="n"/>
      <c r="C3635" s="40">
        <f>IF(B3635="","",IFERROR(INDEX(Mitarbeiter!$B$6:$B$205,MATCH(B3635,Mitarbeiter!$A$6:$A$205,0)),"?"))</f>
        <v/>
      </c>
      <c r="D3635" s="41" t="n"/>
      <c r="E3635" s="42" t="n"/>
      <c r="F3635" s="43" t="n"/>
      <c r="G3635" s="44">
        <f>IF(OR(B3635="",F3635=""),"",IFERROR(F3635*INDEX(Mitarbeiter!$F$6:$F$205,MATCH(B3635,Mitarbeiter!$A$6:$A$205,0)),0))</f>
        <v/>
      </c>
      <c r="H3635" s="8">
        <f>IF(B3635="","",IF(ISNA(MATCH(B3635,Mitarbeiter!$A$6:$A$205,0)),"Pers.-Nr. unbekannt",IF(A3635="","Datum fehlt",IF(AND(D3635&lt;&gt;Einstellungen!$C$4,D3635&lt;&gt;Einstellungen!$C$5),"Objekt fehlt",IF(YEAR(A3635)&lt;&gt;Einstellungen!$C$3,"anderes Jahr",IF(A3635&lt;INDEX(Mitarbeiter!$C$6:$C$205,MATCH(B3635,Mitarbeiter!$A$6:$A$205,0)),"vor Eintritt",IF(AND(INDEX(Mitarbeiter!$D$6:$D$205,MATCH(B3635,Mitarbeiter!$A$6:$A$205,0))&lt;&gt;"",A3635&gt;INDEX(Mitarbeiter!$D$6:$D$205,MATCH(B3635,Mitarbeiter!$A$6:$A$205,0))),"nach Austritt","ok")))))))</f>
        <v/>
      </c>
    </row>
    <row r="3636">
      <c r="A3636" s="26" t="n"/>
      <c r="B3636" s="24" t="n"/>
      <c r="C3636" s="40">
        <f>IF(B3636="","",IFERROR(INDEX(Mitarbeiter!$B$6:$B$205,MATCH(B3636,Mitarbeiter!$A$6:$A$205,0)),"?"))</f>
        <v/>
      </c>
      <c r="D3636" s="41" t="n"/>
      <c r="E3636" s="42" t="n"/>
      <c r="F3636" s="43" t="n"/>
      <c r="G3636" s="44">
        <f>IF(OR(B3636="",F3636=""),"",IFERROR(F3636*INDEX(Mitarbeiter!$F$6:$F$205,MATCH(B3636,Mitarbeiter!$A$6:$A$205,0)),0))</f>
        <v/>
      </c>
      <c r="H3636" s="8">
        <f>IF(B3636="","",IF(ISNA(MATCH(B3636,Mitarbeiter!$A$6:$A$205,0)),"Pers.-Nr. unbekannt",IF(A3636="","Datum fehlt",IF(AND(D3636&lt;&gt;Einstellungen!$C$4,D3636&lt;&gt;Einstellungen!$C$5),"Objekt fehlt",IF(YEAR(A3636)&lt;&gt;Einstellungen!$C$3,"anderes Jahr",IF(A3636&lt;INDEX(Mitarbeiter!$C$6:$C$205,MATCH(B3636,Mitarbeiter!$A$6:$A$205,0)),"vor Eintritt",IF(AND(INDEX(Mitarbeiter!$D$6:$D$205,MATCH(B3636,Mitarbeiter!$A$6:$A$205,0))&lt;&gt;"",A3636&gt;INDEX(Mitarbeiter!$D$6:$D$205,MATCH(B3636,Mitarbeiter!$A$6:$A$205,0))),"nach Austritt","ok")))))))</f>
        <v/>
      </c>
    </row>
    <row r="3637">
      <c r="A3637" s="26" t="n"/>
      <c r="B3637" s="24" t="n"/>
      <c r="C3637" s="40">
        <f>IF(B3637="","",IFERROR(INDEX(Mitarbeiter!$B$6:$B$205,MATCH(B3637,Mitarbeiter!$A$6:$A$205,0)),"?"))</f>
        <v/>
      </c>
      <c r="D3637" s="41" t="n"/>
      <c r="E3637" s="42" t="n"/>
      <c r="F3637" s="43" t="n"/>
      <c r="G3637" s="44">
        <f>IF(OR(B3637="",F3637=""),"",IFERROR(F3637*INDEX(Mitarbeiter!$F$6:$F$205,MATCH(B3637,Mitarbeiter!$A$6:$A$205,0)),0))</f>
        <v/>
      </c>
      <c r="H3637" s="8">
        <f>IF(B3637="","",IF(ISNA(MATCH(B3637,Mitarbeiter!$A$6:$A$205,0)),"Pers.-Nr. unbekannt",IF(A3637="","Datum fehlt",IF(AND(D3637&lt;&gt;Einstellungen!$C$4,D3637&lt;&gt;Einstellungen!$C$5),"Objekt fehlt",IF(YEAR(A3637)&lt;&gt;Einstellungen!$C$3,"anderes Jahr",IF(A3637&lt;INDEX(Mitarbeiter!$C$6:$C$205,MATCH(B3637,Mitarbeiter!$A$6:$A$205,0)),"vor Eintritt",IF(AND(INDEX(Mitarbeiter!$D$6:$D$205,MATCH(B3637,Mitarbeiter!$A$6:$A$205,0))&lt;&gt;"",A3637&gt;INDEX(Mitarbeiter!$D$6:$D$205,MATCH(B3637,Mitarbeiter!$A$6:$A$205,0))),"nach Austritt","ok")))))))</f>
        <v/>
      </c>
    </row>
    <row r="3638">
      <c r="A3638" s="26" t="n"/>
      <c r="B3638" s="24" t="n"/>
      <c r="C3638" s="40">
        <f>IF(B3638="","",IFERROR(INDEX(Mitarbeiter!$B$6:$B$205,MATCH(B3638,Mitarbeiter!$A$6:$A$205,0)),"?"))</f>
        <v/>
      </c>
      <c r="D3638" s="41" t="n"/>
      <c r="E3638" s="42" t="n"/>
      <c r="F3638" s="43" t="n"/>
      <c r="G3638" s="44">
        <f>IF(OR(B3638="",F3638=""),"",IFERROR(F3638*INDEX(Mitarbeiter!$F$6:$F$205,MATCH(B3638,Mitarbeiter!$A$6:$A$205,0)),0))</f>
        <v/>
      </c>
      <c r="H3638" s="8">
        <f>IF(B3638="","",IF(ISNA(MATCH(B3638,Mitarbeiter!$A$6:$A$205,0)),"Pers.-Nr. unbekannt",IF(A3638="","Datum fehlt",IF(AND(D3638&lt;&gt;Einstellungen!$C$4,D3638&lt;&gt;Einstellungen!$C$5),"Objekt fehlt",IF(YEAR(A3638)&lt;&gt;Einstellungen!$C$3,"anderes Jahr",IF(A3638&lt;INDEX(Mitarbeiter!$C$6:$C$205,MATCH(B3638,Mitarbeiter!$A$6:$A$205,0)),"vor Eintritt",IF(AND(INDEX(Mitarbeiter!$D$6:$D$205,MATCH(B3638,Mitarbeiter!$A$6:$A$205,0))&lt;&gt;"",A3638&gt;INDEX(Mitarbeiter!$D$6:$D$205,MATCH(B3638,Mitarbeiter!$A$6:$A$205,0))),"nach Austritt","ok")))))))</f>
        <v/>
      </c>
    </row>
    <row r="3639">
      <c r="A3639" s="26" t="n"/>
      <c r="B3639" s="24" t="n"/>
      <c r="C3639" s="40">
        <f>IF(B3639="","",IFERROR(INDEX(Mitarbeiter!$B$6:$B$205,MATCH(B3639,Mitarbeiter!$A$6:$A$205,0)),"?"))</f>
        <v/>
      </c>
      <c r="D3639" s="41" t="n"/>
      <c r="E3639" s="42" t="n"/>
      <c r="F3639" s="43" t="n"/>
      <c r="G3639" s="44">
        <f>IF(OR(B3639="",F3639=""),"",IFERROR(F3639*INDEX(Mitarbeiter!$F$6:$F$205,MATCH(B3639,Mitarbeiter!$A$6:$A$205,0)),0))</f>
        <v/>
      </c>
      <c r="H3639" s="8">
        <f>IF(B3639="","",IF(ISNA(MATCH(B3639,Mitarbeiter!$A$6:$A$205,0)),"Pers.-Nr. unbekannt",IF(A3639="","Datum fehlt",IF(AND(D3639&lt;&gt;Einstellungen!$C$4,D3639&lt;&gt;Einstellungen!$C$5),"Objekt fehlt",IF(YEAR(A3639)&lt;&gt;Einstellungen!$C$3,"anderes Jahr",IF(A3639&lt;INDEX(Mitarbeiter!$C$6:$C$205,MATCH(B3639,Mitarbeiter!$A$6:$A$205,0)),"vor Eintritt",IF(AND(INDEX(Mitarbeiter!$D$6:$D$205,MATCH(B3639,Mitarbeiter!$A$6:$A$205,0))&lt;&gt;"",A3639&gt;INDEX(Mitarbeiter!$D$6:$D$205,MATCH(B3639,Mitarbeiter!$A$6:$A$205,0))),"nach Austritt","ok")))))))</f>
        <v/>
      </c>
    </row>
    <row r="3640">
      <c r="A3640" s="26" t="n"/>
      <c r="B3640" s="24" t="n"/>
      <c r="C3640" s="40">
        <f>IF(B3640="","",IFERROR(INDEX(Mitarbeiter!$B$6:$B$205,MATCH(B3640,Mitarbeiter!$A$6:$A$205,0)),"?"))</f>
        <v/>
      </c>
      <c r="D3640" s="41" t="n"/>
      <c r="E3640" s="42" t="n"/>
      <c r="F3640" s="43" t="n"/>
      <c r="G3640" s="44">
        <f>IF(OR(B3640="",F3640=""),"",IFERROR(F3640*INDEX(Mitarbeiter!$F$6:$F$205,MATCH(B3640,Mitarbeiter!$A$6:$A$205,0)),0))</f>
        <v/>
      </c>
      <c r="H3640" s="8">
        <f>IF(B3640="","",IF(ISNA(MATCH(B3640,Mitarbeiter!$A$6:$A$205,0)),"Pers.-Nr. unbekannt",IF(A3640="","Datum fehlt",IF(AND(D3640&lt;&gt;Einstellungen!$C$4,D3640&lt;&gt;Einstellungen!$C$5),"Objekt fehlt",IF(YEAR(A3640)&lt;&gt;Einstellungen!$C$3,"anderes Jahr",IF(A3640&lt;INDEX(Mitarbeiter!$C$6:$C$205,MATCH(B3640,Mitarbeiter!$A$6:$A$205,0)),"vor Eintritt",IF(AND(INDEX(Mitarbeiter!$D$6:$D$205,MATCH(B3640,Mitarbeiter!$A$6:$A$205,0))&lt;&gt;"",A3640&gt;INDEX(Mitarbeiter!$D$6:$D$205,MATCH(B3640,Mitarbeiter!$A$6:$A$205,0))),"nach Austritt","ok")))))))</f>
        <v/>
      </c>
    </row>
    <row r="3641">
      <c r="A3641" s="26" t="n"/>
      <c r="B3641" s="24" t="n"/>
      <c r="C3641" s="40">
        <f>IF(B3641="","",IFERROR(INDEX(Mitarbeiter!$B$6:$B$205,MATCH(B3641,Mitarbeiter!$A$6:$A$205,0)),"?"))</f>
        <v/>
      </c>
      <c r="D3641" s="41" t="n"/>
      <c r="E3641" s="42" t="n"/>
      <c r="F3641" s="43" t="n"/>
      <c r="G3641" s="44">
        <f>IF(OR(B3641="",F3641=""),"",IFERROR(F3641*INDEX(Mitarbeiter!$F$6:$F$205,MATCH(B3641,Mitarbeiter!$A$6:$A$205,0)),0))</f>
        <v/>
      </c>
      <c r="H3641" s="8">
        <f>IF(B3641="","",IF(ISNA(MATCH(B3641,Mitarbeiter!$A$6:$A$205,0)),"Pers.-Nr. unbekannt",IF(A3641="","Datum fehlt",IF(AND(D3641&lt;&gt;Einstellungen!$C$4,D3641&lt;&gt;Einstellungen!$C$5),"Objekt fehlt",IF(YEAR(A3641)&lt;&gt;Einstellungen!$C$3,"anderes Jahr",IF(A3641&lt;INDEX(Mitarbeiter!$C$6:$C$205,MATCH(B3641,Mitarbeiter!$A$6:$A$205,0)),"vor Eintritt",IF(AND(INDEX(Mitarbeiter!$D$6:$D$205,MATCH(B3641,Mitarbeiter!$A$6:$A$205,0))&lt;&gt;"",A3641&gt;INDEX(Mitarbeiter!$D$6:$D$205,MATCH(B3641,Mitarbeiter!$A$6:$A$205,0))),"nach Austritt","ok")))))))</f>
        <v/>
      </c>
    </row>
    <row r="3642">
      <c r="A3642" s="26" t="n"/>
      <c r="B3642" s="24" t="n"/>
      <c r="C3642" s="40">
        <f>IF(B3642="","",IFERROR(INDEX(Mitarbeiter!$B$6:$B$205,MATCH(B3642,Mitarbeiter!$A$6:$A$205,0)),"?"))</f>
        <v/>
      </c>
      <c r="D3642" s="41" t="n"/>
      <c r="E3642" s="42" t="n"/>
      <c r="F3642" s="43" t="n"/>
      <c r="G3642" s="44">
        <f>IF(OR(B3642="",F3642=""),"",IFERROR(F3642*INDEX(Mitarbeiter!$F$6:$F$205,MATCH(B3642,Mitarbeiter!$A$6:$A$205,0)),0))</f>
        <v/>
      </c>
      <c r="H3642" s="8">
        <f>IF(B3642="","",IF(ISNA(MATCH(B3642,Mitarbeiter!$A$6:$A$205,0)),"Pers.-Nr. unbekannt",IF(A3642="","Datum fehlt",IF(AND(D3642&lt;&gt;Einstellungen!$C$4,D3642&lt;&gt;Einstellungen!$C$5),"Objekt fehlt",IF(YEAR(A3642)&lt;&gt;Einstellungen!$C$3,"anderes Jahr",IF(A3642&lt;INDEX(Mitarbeiter!$C$6:$C$205,MATCH(B3642,Mitarbeiter!$A$6:$A$205,0)),"vor Eintritt",IF(AND(INDEX(Mitarbeiter!$D$6:$D$205,MATCH(B3642,Mitarbeiter!$A$6:$A$205,0))&lt;&gt;"",A3642&gt;INDEX(Mitarbeiter!$D$6:$D$205,MATCH(B3642,Mitarbeiter!$A$6:$A$205,0))),"nach Austritt","ok")))))))</f>
        <v/>
      </c>
    </row>
    <row r="3643">
      <c r="A3643" s="26" t="n"/>
      <c r="B3643" s="24" t="n"/>
      <c r="C3643" s="40">
        <f>IF(B3643="","",IFERROR(INDEX(Mitarbeiter!$B$6:$B$205,MATCH(B3643,Mitarbeiter!$A$6:$A$205,0)),"?"))</f>
        <v/>
      </c>
      <c r="D3643" s="41" t="n"/>
      <c r="E3643" s="42" t="n"/>
      <c r="F3643" s="43" t="n"/>
      <c r="G3643" s="44">
        <f>IF(OR(B3643="",F3643=""),"",IFERROR(F3643*INDEX(Mitarbeiter!$F$6:$F$205,MATCH(B3643,Mitarbeiter!$A$6:$A$205,0)),0))</f>
        <v/>
      </c>
      <c r="H3643" s="8">
        <f>IF(B3643="","",IF(ISNA(MATCH(B3643,Mitarbeiter!$A$6:$A$205,0)),"Pers.-Nr. unbekannt",IF(A3643="","Datum fehlt",IF(AND(D3643&lt;&gt;Einstellungen!$C$4,D3643&lt;&gt;Einstellungen!$C$5),"Objekt fehlt",IF(YEAR(A3643)&lt;&gt;Einstellungen!$C$3,"anderes Jahr",IF(A3643&lt;INDEX(Mitarbeiter!$C$6:$C$205,MATCH(B3643,Mitarbeiter!$A$6:$A$205,0)),"vor Eintritt",IF(AND(INDEX(Mitarbeiter!$D$6:$D$205,MATCH(B3643,Mitarbeiter!$A$6:$A$205,0))&lt;&gt;"",A3643&gt;INDEX(Mitarbeiter!$D$6:$D$205,MATCH(B3643,Mitarbeiter!$A$6:$A$205,0))),"nach Austritt","ok")))))))</f>
        <v/>
      </c>
    </row>
    <row r="3644">
      <c r="A3644" s="26" t="n"/>
      <c r="B3644" s="24" t="n"/>
      <c r="C3644" s="40">
        <f>IF(B3644="","",IFERROR(INDEX(Mitarbeiter!$B$6:$B$205,MATCH(B3644,Mitarbeiter!$A$6:$A$205,0)),"?"))</f>
        <v/>
      </c>
      <c r="D3644" s="41" t="n"/>
      <c r="E3644" s="42" t="n"/>
      <c r="F3644" s="43" t="n"/>
      <c r="G3644" s="44">
        <f>IF(OR(B3644="",F3644=""),"",IFERROR(F3644*INDEX(Mitarbeiter!$F$6:$F$205,MATCH(B3644,Mitarbeiter!$A$6:$A$205,0)),0))</f>
        <v/>
      </c>
      <c r="H3644" s="8">
        <f>IF(B3644="","",IF(ISNA(MATCH(B3644,Mitarbeiter!$A$6:$A$205,0)),"Pers.-Nr. unbekannt",IF(A3644="","Datum fehlt",IF(AND(D3644&lt;&gt;Einstellungen!$C$4,D3644&lt;&gt;Einstellungen!$C$5),"Objekt fehlt",IF(YEAR(A3644)&lt;&gt;Einstellungen!$C$3,"anderes Jahr",IF(A3644&lt;INDEX(Mitarbeiter!$C$6:$C$205,MATCH(B3644,Mitarbeiter!$A$6:$A$205,0)),"vor Eintritt",IF(AND(INDEX(Mitarbeiter!$D$6:$D$205,MATCH(B3644,Mitarbeiter!$A$6:$A$205,0))&lt;&gt;"",A3644&gt;INDEX(Mitarbeiter!$D$6:$D$205,MATCH(B3644,Mitarbeiter!$A$6:$A$205,0))),"nach Austritt","ok")))))))</f>
        <v/>
      </c>
    </row>
    <row r="3645">
      <c r="A3645" s="26" t="n"/>
      <c r="B3645" s="24" t="n"/>
      <c r="C3645" s="40">
        <f>IF(B3645="","",IFERROR(INDEX(Mitarbeiter!$B$6:$B$205,MATCH(B3645,Mitarbeiter!$A$6:$A$205,0)),"?"))</f>
        <v/>
      </c>
      <c r="D3645" s="41" t="n"/>
      <c r="E3645" s="42" t="n"/>
      <c r="F3645" s="43" t="n"/>
      <c r="G3645" s="44">
        <f>IF(OR(B3645="",F3645=""),"",IFERROR(F3645*INDEX(Mitarbeiter!$F$6:$F$205,MATCH(B3645,Mitarbeiter!$A$6:$A$205,0)),0))</f>
        <v/>
      </c>
      <c r="H3645" s="8">
        <f>IF(B3645="","",IF(ISNA(MATCH(B3645,Mitarbeiter!$A$6:$A$205,0)),"Pers.-Nr. unbekannt",IF(A3645="","Datum fehlt",IF(AND(D3645&lt;&gt;Einstellungen!$C$4,D3645&lt;&gt;Einstellungen!$C$5),"Objekt fehlt",IF(YEAR(A3645)&lt;&gt;Einstellungen!$C$3,"anderes Jahr",IF(A3645&lt;INDEX(Mitarbeiter!$C$6:$C$205,MATCH(B3645,Mitarbeiter!$A$6:$A$205,0)),"vor Eintritt",IF(AND(INDEX(Mitarbeiter!$D$6:$D$205,MATCH(B3645,Mitarbeiter!$A$6:$A$205,0))&lt;&gt;"",A3645&gt;INDEX(Mitarbeiter!$D$6:$D$205,MATCH(B3645,Mitarbeiter!$A$6:$A$205,0))),"nach Austritt","ok")))))))</f>
        <v/>
      </c>
    </row>
    <row r="3646">
      <c r="A3646" s="26" t="n"/>
      <c r="B3646" s="24" t="n"/>
      <c r="C3646" s="40">
        <f>IF(B3646="","",IFERROR(INDEX(Mitarbeiter!$B$6:$B$205,MATCH(B3646,Mitarbeiter!$A$6:$A$205,0)),"?"))</f>
        <v/>
      </c>
      <c r="D3646" s="41" t="n"/>
      <c r="E3646" s="42" t="n"/>
      <c r="F3646" s="43" t="n"/>
      <c r="G3646" s="44">
        <f>IF(OR(B3646="",F3646=""),"",IFERROR(F3646*INDEX(Mitarbeiter!$F$6:$F$205,MATCH(B3646,Mitarbeiter!$A$6:$A$205,0)),0))</f>
        <v/>
      </c>
      <c r="H3646" s="8">
        <f>IF(B3646="","",IF(ISNA(MATCH(B3646,Mitarbeiter!$A$6:$A$205,0)),"Pers.-Nr. unbekannt",IF(A3646="","Datum fehlt",IF(AND(D3646&lt;&gt;Einstellungen!$C$4,D3646&lt;&gt;Einstellungen!$C$5),"Objekt fehlt",IF(YEAR(A3646)&lt;&gt;Einstellungen!$C$3,"anderes Jahr",IF(A3646&lt;INDEX(Mitarbeiter!$C$6:$C$205,MATCH(B3646,Mitarbeiter!$A$6:$A$205,0)),"vor Eintritt",IF(AND(INDEX(Mitarbeiter!$D$6:$D$205,MATCH(B3646,Mitarbeiter!$A$6:$A$205,0))&lt;&gt;"",A3646&gt;INDEX(Mitarbeiter!$D$6:$D$205,MATCH(B3646,Mitarbeiter!$A$6:$A$205,0))),"nach Austritt","ok")))))))</f>
        <v/>
      </c>
    </row>
    <row r="3647">
      <c r="A3647" s="26" t="n"/>
      <c r="B3647" s="24" t="n"/>
      <c r="C3647" s="40">
        <f>IF(B3647="","",IFERROR(INDEX(Mitarbeiter!$B$6:$B$205,MATCH(B3647,Mitarbeiter!$A$6:$A$205,0)),"?"))</f>
        <v/>
      </c>
      <c r="D3647" s="41" t="n"/>
      <c r="E3647" s="42" t="n"/>
      <c r="F3647" s="43" t="n"/>
      <c r="G3647" s="44">
        <f>IF(OR(B3647="",F3647=""),"",IFERROR(F3647*INDEX(Mitarbeiter!$F$6:$F$205,MATCH(B3647,Mitarbeiter!$A$6:$A$205,0)),0))</f>
        <v/>
      </c>
      <c r="H3647" s="8">
        <f>IF(B3647="","",IF(ISNA(MATCH(B3647,Mitarbeiter!$A$6:$A$205,0)),"Pers.-Nr. unbekannt",IF(A3647="","Datum fehlt",IF(AND(D3647&lt;&gt;Einstellungen!$C$4,D3647&lt;&gt;Einstellungen!$C$5),"Objekt fehlt",IF(YEAR(A3647)&lt;&gt;Einstellungen!$C$3,"anderes Jahr",IF(A3647&lt;INDEX(Mitarbeiter!$C$6:$C$205,MATCH(B3647,Mitarbeiter!$A$6:$A$205,0)),"vor Eintritt",IF(AND(INDEX(Mitarbeiter!$D$6:$D$205,MATCH(B3647,Mitarbeiter!$A$6:$A$205,0))&lt;&gt;"",A3647&gt;INDEX(Mitarbeiter!$D$6:$D$205,MATCH(B3647,Mitarbeiter!$A$6:$A$205,0))),"nach Austritt","ok")))))))</f>
        <v/>
      </c>
    </row>
    <row r="3648">
      <c r="A3648" s="26" t="n"/>
      <c r="B3648" s="24" t="n"/>
      <c r="C3648" s="40">
        <f>IF(B3648="","",IFERROR(INDEX(Mitarbeiter!$B$6:$B$205,MATCH(B3648,Mitarbeiter!$A$6:$A$205,0)),"?"))</f>
        <v/>
      </c>
      <c r="D3648" s="41" t="n"/>
      <c r="E3648" s="42" t="n"/>
      <c r="F3648" s="43" t="n"/>
      <c r="G3648" s="44">
        <f>IF(OR(B3648="",F3648=""),"",IFERROR(F3648*INDEX(Mitarbeiter!$F$6:$F$205,MATCH(B3648,Mitarbeiter!$A$6:$A$205,0)),0))</f>
        <v/>
      </c>
      <c r="H3648" s="8">
        <f>IF(B3648="","",IF(ISNA(MATCH(B3648,Mitarbeiter!$A$6:$A$205,0)),"Pers.-Nr. unbekannt",IF(A3648="","Datum fehlt",IF(AND(D3648&lt;&gt;Einstellungen!$C$4,D3648&lt;&gt;Einstellungen!$C$5),"Objekt fehlt",IF(YEAR(A3648)&lt;&gt;Einstellungen!$C$3,"anderes Jahr",IF(A3648&lt;INDEX(Mitarbeiter!$C$6:$C$205,MATCH(B3648,Mitarbeiter!$A$6:$A$205,0)),"vor Eintritt",IF(AND(INDEX(Mitarbeiter!$D$6:$D$205,MATCH(B3648,Mitarbeiter!$A$6:$A$205,0))&lt;&gt;"",A3648&gt;INDEX(Mitarbeiter!$D$6:$D$205,MATCH(B3648,Mitarbeiter!$A$6:$A$205,0))),"nach Austritt","ok")))))))</f>
        <v/>
      </c>
    </row>
    <row r="3649">
      <c r="A3649" s="26" t="n"/>
      <c r="B3649" s="24" t="n"/>
      <c r="C3649" s="40">
        <f>IF(B3649="","",IFERROR(INDEX(Mitarbeiter!$B$6:$B$205,MATCH(B3649,Mitarbeiter!$A$6:$A$205,0)),"?"))</f>
        <v/>
      </c>
      <c r="D3649" s="41" t="n"/>
      <c r="E3649" s="42" t="n"/>
      <c r="F3649" s="43" t="n"/>
      <c r="G3649" s="44">
        <f>IF(OR(B3649="",F3649=""),"",IFERROR(F3649*INDEX(Mitarbeiter!$F$6:$F$205,MATCH(B3649,Mitarbeiter!$A$6:$A$205,0)),0))</f>
        <v/>
      </c>
      <c r="H3649" s="8">
        <f>IF(B3649="","",IF(ISNA(MATCH(B3649,Mitarbeiter!$A$6:$A$205,0)),"Pers.-Nr. unbekannt",IF(A3649="","Datum fehlt",IF(AND(D3649&lt;&gt;Einstellungen!$C$4,D3649&lt;&gt;Einstellungen!$C$5),"Objekt fehlt",IF(YEAR(A3649)&lt;&gt;Einstellungen!$C$3,"anderes Jahr",IF(A3649&lt;INDEX(Mitarbeiter!$C$6:$C$205,MATCH(B3649,Mitarbeiter!$A$6:$A$205,0)),"vor Eintritt",IF(AND(INDEX(Mitarbeiter!$D$6:$D$205,MATCH(B3649,Mitarbeiter!$A$6:$A$205,0))&lt;&gt;"",A3649&gt;INDEX(Mitarbeiter!$D$6:$D$205,MATCH(B3649,Mitarbeiter!$A$6:$A$205,0))),"nach Austritt","ok")))))))</f>
        <v/>
      </c>
    </row>
    <row r="3650">
      <c r="A3650" s="26" t="n"/>
      <c r="B3650" s="24" t="n"/>
      <c r="C3650" s="40">
        <f>IF(B3650="","",IFERROR(INDEX(Mitarbeiter!$B$6:$B$205,MATCH(B3650,Mitarbeiter!$A$6:$A$205,0)),"?"))</f>
        <v/>
      </c>
      <c r="D3650" s="41" t="n"/>
      <c r="E3650" s="42" t="n"/>
      <c r="F3650" s="43" t="n"/>
      <c r="G3650" s="44">
        <f>IF(OR(B3650="",F3650=""),"",IFERROR(F3650*INDEX(Mitarbeiter!$F$6:$F$205,MATCH(B3650,Mitarbeiter!$A$6:$A$205,0)),0))</f>
        <v/>
      </c>
      <c r="H3650" s="8">
        <f>IF(B3650="","",IF(ISNA(MATCH(B3650,Mitarbeiter!$A$6:$A$205,0)),"Pers.-Nr. unbekannt",IF(A3650="","Datum fehlt",IF(AND(D3650&lt;&gt;Einstellungen!$C$4,D3650&lt;&gt;Einstellungen!$C$5),"Objekt fehlt",IF(YEAR(A3650)&lt;&gt;Einstellungen!$C$3,"anderes Jahr",IF(A3650&lt;INDEX(Mitarbeiter!$C$6:$C$205,MATCH(B3650,Mitarbeiter!$A$6:$A$205,0)),"vor Eintritt",IF(AND(INDEX(Mitarbeiter!$D$6:$D$205,MATCH(B3650,Mitarbeiter!$A$6:$A$205,0))&lt;&gt;"",A3650&gt;INDEX(Mitarbeiter!$D$6:$D$205,MATCH(B3650,Mitarbeiter!$A$6:$A$205,0))),"nach Austritt","ok")))))))</f>
        <v/>
      </c>
    </row>
    <row r="3651">
      <c r="A3651" s="26" t="n"/>
      <c r="B3651" s="24" t="n"/>
      <c r="C3651" s="40">
        <f>IF(B3651="","",IFERROR(INDEX(Mitarbeiter!$B$6:$B$205,MATCH(B3651,Mitarbeiter!$A$6:$A$205,0)),"?"))</f>
        <v/>
      </c>
      <c r="D3651" s="41" t="n"/>
      <c r="E3651" s="42" t="n"/>
      <c r="F3651" s="43" t="n"/>
      <c r="G3651" s="44">
        <f>IF(OR(B3651="",F3651=""),"",IFERROR(F3651*INDEX(Mitarbeiter!$F$6:$F$205,MATCH(B3651,Mitarbeiter!$A$6:$A$205,0)),0))</f>
        <v/>
      </c>
      <c r="H3651" s="8">
        <f>IF(B3651="","",IF(ISNA(MATCH(B3651,Mitarbeiter!$A$6:$A$205,0)),"Pers.-Nr. unbekannt",IF(A3651="","Datum fehlt",IF(AND(D3651&lt;&gt;Einstellungen!$C$4,D3651&lt;&gt;Einstellungen!$C$5),"Objekt fehlt",IF(YEAR(A3651)&lt;&gt;Einstellungen!$C$3,"anderes Jahr",IF(A3651&lt;INDEX(Mitarbeiter!$C$6:$C$205,MATCH(B3651,Mitarbeiter!$A$6:$A$205,0)),"vor Eintritt",IF(AND(INDEX(Mitarbeiter!$D$6:$D$205,MATCH(B3651,Mitarbeiter!$A$6:$A$205,0))&lt;&gt;"",A3651&gt;INDEX(Mitarbeiter!$D$6:$D$205,MATCH(B3651,Mitarbeiter!$A$6:$A$205,0))),"nach Austritt","ok")))))))</f>
        <v/>
      </c>
    </row>
    <row r="3652">
      <c r="A3652" s="26" t="n"/>
      <c r="B3652" s="24" t="n"/>
      <c r="C3652" s="40">
        <f>IF(B3652="","",IFERROR(INDEX(Mitarbeiter!$B$6:$B$205,MATCH(B3652,Mitarbeiter!$A$6:$A$205,0)),"?"))</f>
        <v/>
      </c>
      <c r="D3652" s="41" t="n"/>
      <c r="E3652" s="42" t="n"/>
      <c r="F3652" s="43" t="n"/>
      <c r="G3652" s="44">
        <f>IF(OR(B3652="",F3652=""),"",IFERROR(F3652*INDEX(Mitarbeiter!$F$6:$F$205,MATCH(B3652,Mitarbeiter!$A$6:$A$205,0)),0))</f>
        <v/>
      </c>
      <c r="H3652" s="8">
        <f>IF(B3652="","",IF(ISNA(MATCH(B3652,Mitarbeiter!$A$6:$A$205,0)),"Pers.-Nr. unbekannt",IF(A3652="","Datum fehlt",IF(AND(D3652&lt;&gt;Einstellungen!$C$4,D3652&lt;&gt;Einstellungen!$C$5),"Objekt fehlt",IF(YEAR(A3652)&lt;&gt;Einstellungen!$C$3,"anderes Jahr",IF(A3652&lt;INDEX(Mitarbeiter!$C$6:$C$205,MATCH(B3652,Mitarbeiter!$A$6:$A$205,0)),"vor Eintritt",IF(AND(INDEX(Mitarbeiter!$D$6:$D$205,MATCH(B3652,Mitarbeiter!$A$6:$A$205,0))&lt;&gt;"",A3652&gt;INDEX(Mitarbeiter!$D$6:$D$205,MATCH(B3652,Mitarbeiter!$A$6:$A$205,0))),"nach Austritt","ok")))))))</f>
        <v/>
      </c>
    </row>
    <row r="3653">
      <c r="A3653" s="26" t="n"/>
      <c r="B3653" s="24" t="n"/>
      <c r="C3653" s="40">
        <f>IF(B3653="","",IFERROR(INDEX(Mitarbeiter!$B$6:$B$205,MATCH(B3653,Mitarbeiter!$A$6:$A$205,0)),"?"))</f>
        <v/>
      </c>
      <c r="D3653" s="41" t="n"/>
      <c r="E3653" s="42" t="n"/>
      <c r="F3653" s="43" t="n"/>
      <c r="G3653" s="44">
        <f>IF(OR(B3653="",F3653=""),"",IFERROR(F3653*INDEX(Mitarbeiter!$F$6:$F$205,MATCH(B3653,Mitarbeiter!$A$6:$A$205,0)),0))</f>
        <v/>
      </c>
      <c r="H3653" s="8">
        <f>IF(B3653="","",IF(ISNA(MATCH(B3653,Mitarbeiter!$A$6:$A$205,0)),"Pers.-Nr. unbekannt",IF(A3653="","Datum fehlt",IF(AND(D3653&lt;&gt;Einstellungen!$C$4,D3653&lt;&gt;Einstellungen!$C$5),"Objekt fehlt",IF(YEAR(A3653)&lt;&gt;Einstellungen!$C$3,"anderes Jahr",IF(A3653&lt;INDEX(Mitarbeiter!$C$6:$C$205,MATCH(B3653,Mitarbeiter!$A$6:$A$205,0)),"vor Eintritt",IF(AND(INDEX(Mitarbeiter!$D$6:$D$205,MATCH(B3653,Mitarbeiter!$A$6:$A$205,0))&lt;&gt;"",A3653&gt;INDEX(Mitarbeiter!$D$6:$D$205,MATCH(B3653,Mitarbeiter!$A$6:$A$205,0))),"nach Austritt","ok")))))))</f>
        <v/>
      </c>
    </row>
    <row r="3654">
      <c r="A3654" s="26" t="n"/>
      <c r="B3654" s="24" t="n"/>
      <c r="C3654" s="40">
        <f>IF(B3654="","",IFERROR(INDEX(Mitarbeiter!$B$6:$B$205,MATCH(B3654,Mitarbeiter!$A$6:$A$205,0)),"?"))</f>
        <v/>
      </c>
      <c r="D3654" s="41" t="n"/>
      <c r="E3654" s="42" t="n"/>
      <c r="F3654" s="43" t="n"/>
      <c r="G3654" s="44">
        <f>IF(OR(B3654="",F3654=""),"",IFERROR(F3654*INDEX(Mitarbeiter!$F$6:$F$205,MATCH(B3654,Mitarbeiter!$A$6:$A$205,0)),0))</f>
        <v/>
      </c>
      <c r="H3654" s="8">
        <f>IF(B3654="","",IF(ISNA(MATCH(B3654,Mitarbeiter!$A$6:$A$205,0)),"Pers.-Nr. unbekannt",IF(A3654="","Datum fehlt",IF(AND(D3654&lt;&gt;Einstellungen!$C$4,D3654&lt;&gt;Einstellungen!$C$5),"Objekt fehlt",IF(YEAR(A3654)&lt;&gt;Einstellungen!$C$3,"anderes Jahr",IF(A3654&lt;INDEX(Mitarbeiter!$C$6:$C$205,MATCH(B3654,Mitarbeiter!$A$6:$A$205,0)),"vor Eintritt",IF(AND(INDEX(Mitarbeiter!$D$6:$D$205,MATCH(B3654,Mitarbeiter!$A$6:$A$205,0))&lt;&gt;"",A3654&gt;INDEX(Mitarbeiter!$D$6:$D$205,MATCH(B3654,Mitarbeiter!$A$6:$A$205,0))),"nach Austritt","ok")))))))</f>
        <v/>
      </c>
    </row>
    <row r="3655">
      <c r="A3655" s="26" t="n"/>
      <c r="B3655" s="24" t="n"/>
      <c r="C3655" s="40">
        <f>IF(B3655="","",IFERROR(INDEX(Mitarbeiter!$B$6:$B$205,MATCH(B3655,Mitarbeiter!$A$6:$A$205,0)),"?"))</f>
        <v/>
      </c>
      <c r="D3655" s="41" t="n"/>
      <c r="E3655" s="42" t="n"/>
      <c r="F3655" s="43" t="n"/>
      <c r="G3655" s="44">
        <f>IF(OR(B3655="",F3655=""),"",IFERROR(F3655*INDEX(Mitarbeiter!$F$6:$F$205,MATCH(B3655,Mitarbeiter!$A$6:$A$205,0)),0))</f>
        <v/>
      </c>
      <c r="H3655" s="8">
        <f>IF(B3655="","",IF(ISNA(MATCH(B3655,Mitarbeiter!$A$6:$A$205,0)),"Pers.-Nr. unbekannt",IF(A3655="","Datum fehlt",IF(AND(D3655&lt;&gt;Einstellungen!$C$4,D3655&lt;&gt;Einstellungen!$C$5),"Objekt fehlt",IF(YEAR(A3655)&lt;&gt;Einstellungen!$C$3,"anderes Jahr",IF(A3655&lt;INDEX(Mitarbeiter!$C$6:$C$205,MATCH(B3655,Mitarbeiter!$A$6:$A$205,0)),"vor Eintritt",IF(AND(INDEX(Mitarbeiter!$D$6:$D$205,MATCH(B3655,Mitarbeiter!$A$6:$A$205,0))&lt;&gt;"",A3655&gt;INDEX(Mitarbeiter!$D$6:$D$205,MATCH(B3655,Mitarbeiter!$A$6:$A$205,0))),"nach Austritt","ok")))))))</f>
        <v/>
      </c>
    </row>
    <row r="3656">
      <c r="A3656" s="26" t="n"/>
      <c r="B3656" s="24" t="n"/>
      <c r="C3656" s="40">
        <f>IF(B3656="","",IFERROR(INDEX(Mitarbeiter!$B$6:$B$205,MATCH(B3656,Mitarbeiter!$A$6:$A$205,0)),"?"))</f>
        <v/>
      </c>
      <c r="D3656" s="41" t="n"/>
      <c r="E3656" s="42" t="n"/>
      <c r="F3656" s="43" t="n"/>
      <c r="G3656" s="44">
        <f>IF(OR(B3656="",F3656=""),"",IFERROR(F3656*INDEX(Mitarbeiter!$F$6:$F$205,MATCH(B3656,Mitarbeiter!$A$6:$A$205,0)),0))</f>
        <v/>
      </c>
      <c r="H3656" s="8">
        <f>IF(B3656="","",IF(ISNA(MATCH(B3656,Mitarbeiter!$A$6:$A$205,0)),"Pers.-Nr. unbekannt",IF(A3656="","Datum fehlt",IF(AND(D3656&lt;&gt;Einstellungen!$C$4,D3656&lt;&gt;Einstellungen!$C$5),"Objekt fehlt",IF(YEAR(A3656)&lt;&gt;Einstellungen!$C$3,"anderes Jahr",IF(A3656&lt;INDEX(Mitarbeiter!$C$6:$C$205,MATCH(B3656,Mitarbeiter!$A$6:$A$205,0)),"vor Eintritt",IF(AND(INDEX(Mitarbeiter!$D$6:$D$205,MATCH(B3656,Mitarbeiter!$A$6:$A$205,0))&lt;&gt;"",A3656&gt;INDEX(Mitarbeiter!$D$6:$D$205,MATCH(B3656,Mitarbeiter!$A$6:$A$205,0))),"nach Austritt","ok")))))))</f>
        <v/>
      </c>
    </row>
    <row r="3657">
      <c r="A3657" s="26" t="n"/>
      <c r="B3657" s="24" t="n"/>
      <c r="C3657" s="40">
        <f>IF(B3657="","",IFERROR(INDEX(Mitarbeiter!$B$6:$B$205,MATCH(B3657,Mitarbeiter!$A$6:$A$205,0)),"?"))</f>
        <v/>
      </c>
      <c r="D3657" s="41" t="n"/>
      <c r="E3657" s="42" t="n"/>
      <c r="F3657" s="43" t="n"/>
      <c r="G3657" s="44">
        <f>IF(OR(B3657="",F3657=""),"",IFERROR(F3657*INDEX(Mitarbeiter!$F$6:$F$205,MATCH(B3657,Mitarbeiter!$A$6:$A$205,0)),0))</f>
        <v/>
      </c>
      <c r="H3657" s="8">
        <f>IF(B3657="","",IF(ISNA(MATCH(B3657,Mitarbeiter!$A$6:$A$205,0)),"Pers.-Nr. unbekannt",IF(A3657="","Datum fehlt",IF(AND(D3657&lt;&gt;Einstellungen!$C$4,D3657&lt;&gt;Einstellungen!$C$5),"Objekt fehlt",IF(YEAR(A3657)&lt;&gt;Einstellungen!$C$3,"anderes Jahr",IF(A3657&lt;INDEX(Mitarbeiter!$C$6:$C$205,MATCH(B3657,Mitarbeiter!$A$6:$A$205,0)),"vor Eintritt",IF(AND(INDEX(Mitarbeiter!$D$6:$D$205,MATCH(B3657,Mitarbeiter!$A$6:$A$205,0))&lt;&gt;"",A3657&gt;INDEX(Mitarbeiter!$D$6:$D$205,MATCH(B3657,Mitarbeiter!$A$6:$A$205,0))),"nach Austritt","ok")))))))</f>
        <v/>
      </c>
    </row>
    <row r="3658">
      <c r="A3658" s="26" t="n"/>
      <c r="B3658" s="24" t="n"/>
      <c r="C3658" s="40">
        <f>IF(B3658="","",IFERROR(INDEX(Mitarbeiter!$B$6:$B$205,MATCH(B3658,Mitarbeiter!$A$6:$A$205,0)),"?"))</f>
        <v/>
      </c>
      <c r="D3658" s="41" t="n"/>
      <c r="E3658" s="42" t="n"/>
      <c r="F3658" s="43" t="n"/>
      <c r="G3658" s="44">
        <f>IF(OR(B3658="",F3658=""),"",IFERROR(F3658*INDEX(Mitarbeiter!$F$6:$F$205,MATCH(B3658,Mitarbeiter!$A$6:$A$205,0)),0))</f>
        <v/>
      </c>
      <c r="H3658" s="8">
        <f>IF(B3658="","",IF(ISNA(MATCH(B3658,Mitarbeiter!$A$6:$A$205,0)),"Pers.-Nr. unbekannt",IF(A3658="","Datum fehlt",IF(AND(D3658&lt;&gt;Einstellungen!$C$4,D3658&lt;&gt;Einstellungen!$C$5),"Objekt fehlt",IF(YEAR(A3658)&lt;&gt;Einstellungen!$C$3,"anderes Jahr",IF(A3658&lt;INDEX(Mitarbeiter!$C$6:$C$205,MATCH(B3658,Mitarbeiter!$A$6:$A$205,0)),"vor Eintritt",IF(AND(INDEX(Mitarbeiter!$D$6:$D$205,MATCH(B3658,Mitarbeiter!$A$6:$A$205,0))&lt;&gt;"",A3658&gt;INDEX(Mitarbeiter!$D$6:$D$205,MATCH(B3658,Mitarbeiter!$A$6:$A$205,0))),"nach Austritt","ok")))))))</f>
        <v/>
      </c>
    </row>
    <row r="3659">
      <c r="A3659" s="26" t="n"/>
      <c r="B3659" s="24" t="n"/>
      <c r="C3659" s="40">
        <f>IF(B3659="","",IFERROR(INDEX(Mitarbeiter!$B$6:$B$205,MATCH(B3659,Mitarbeiter!$A$6:$A$205,0)),"?"))</f>
        <v/>
      </c>
      <c r="D3659" s="41" t="n"/>
      <c r="E3659" s="42" t="n"/>
      <c r="F3659" s="43" t="n"/>
      <c r="G3659" s="44">
        <f>IF(OR(B3659="",F3659=""),"",IFERROR(F3659*INDEX(Mitarbeiter!$F$6:$F$205,MATCH(B3659,Mitarbeiter!$A$6:$A$205,0)),0))</f>
        <v/>
      </c>
      <c r="H3659" s="8">
        <f>IF(B3659="","",IF(ISNA(MATCH(B3659,Mitarbeiter!$A$6:$A$205,0)),"Pers.-Nr. unbekannt",IF(A3659="","Datum fehlt",IF(AND(D3659&lt;&gt;Einstellungen!$C$4,D3659&lt;&gt;Einstellungen!$C$5),"Objekt fehlt",IF(YEAR(A3659)&lt;&gt;Einstellungen!$C$3,"anderes Jahr",IF(A3659&lt;INDEX(Mitarbeiter!$C$6:$C$205,MATCH(B3659,Mitarbeiter!$A$6:$A$205,0)),"vor Eintritt",IF(AND(INDEX(Mitarbeiter!$D$6:$D$205,MATCH(B3659,Mitarbeiter!$A$6:$A$205,0))&lt;&gt;"",A3659&gt;INDEX(Mitarbeiter!$D$6:$D$205,MATCH(B3659,Mitarbeiter!$A$6:$A$205,0))),"nach Austritt","ok")))))))</f>
        <v/>
      </c>
    </row>
    <row r="3660">
      <c r="A3660" s="26" t="n"/>
      <c r="B3660" s="24" t="n"/>
      <c r="C3660" s="40">
        <f>IF(B3660="","",IFERROR(INDEX(Mitarbeiter!$B$6:$B$205,MATCH(B3660,Mitarbeiter!$A$6:$A$205,0)),"?"))</f>
        <v/>
      </c>
      <c r="D3660" s="41" t="n"/>
      <c r="E3660" s="42" t="n"/>
      <c r="F3660" s="43" t="n"/>
      <c r="G3660" s="44">
        <f>IF(OR(B3660="",F3660=""),"",IFERROR(F3660*INDEX(Mitarbeiter!$F$6:$F$205,MATCH(B3660,Mitarbeiter!$A$6:$A$205,0)),0))</f>
        <v/>
      </c>
      <c r="H3660" s="8">
        <f>IF(B3660="","",IF(ISNA(MATCH(B3660,Mitarbeiter!$A$6:$A$205,0)),"Pers.-Nr. unbekannt",IF(A3660="","Datum fehlt",IF(AND(D3660&lt;&gt;Einstellungen!$C$4,D3660&lt;&gt;Einstellungen!$C$5),"Objekt fehlt",IF(YEAR(A3660)&lt;&gt;Einstellungen!$C$3,"anderes Jahr",IF(A3660&lt;INDEX(Mitarbeiter!$C$6:$C$205,MATCH(B3660,Mitarbeiter!$A$6:$A$205,0)),"vor Eintritt",IF(AND(INDEX(Mitarbeiter!$D$6:$D$205,MATCH(B3660,Mitarbeiter!$A$6:$A$205,0))&lt;&gt;"",A3660&gt;INDEX(Mitarbeiter!$D$6:$D$205,MATCH(B3660,Mitarbeiter!$A$6:$A$205,0))),"nach Austritt","ok")))))))</f>
        <v/>
      </c>
    </row>
    <row r="3661">
      <c r="A3661" s="26" t="n"/>
      <c r="B3661" s="24" t="n"/>
      <c r="C3661" s="40">
        <f>IF(B3661="","",IFERROR(INDEX(Mitarbeiter!$B$6:$B$205,MATCH(B3661,Mitarbeiter!$A$6:$A$205,0)),"?"))</f>
        <v/>
      </c>
      <c r="D3661" s="41" t="n"/>
      <c r="E3661" s="42" t="n"/>
      <c r="F3661" s="43" t="n"/>
      <c r="G3661" s="44">
        <f>IF(OR(B3661="",F3661=""),"",IFERROR(F3661*INDEX(Mitarbeiter!$F$6:$F$205,MATCH(B3661,Mitarbeiter!$A$6:$A$205,0)),0))</f>
        <v/>
      </c>
      <c r="H3661" s="8">
        <f>IF(B3661="","",IF(ISNA(MATCH(B3661,Mitarbeiter!$A$6:$A$205,0)),"Pers.-Nr. unbekannt",IF(A3661="","Datum fehlt",IF(AND(D3661&lt;&gt;Einstellungen!$C$4,D3661&lt;&gt;Einstellungen!$C$5),"Objekt fehlt",IF(YEAR(A3661)&lt;&gt;Einstellungen!$C$3,"anderes Jahr",IF(A3661&lt;INDEX(Mitarbeiter!$C$6:$C$205,MATCH(B3661,Mitarbeiter!$A$6:$A$205,0)),"vor Eintritt",IF(AND(INDEX(Mitarbeiter!$D$6:$D$205,MATCH(B3661,Mitarbeiter!$A$6:$A$205,0))&lt;&gt;"",A3661&gt;INDEX(Mitarbeiter!$D$6:$D$205,MATCH(B3661,Mitarbeiter!$A$6:$A$205,0))),"nach Austritt","ok")))))))</f>
        <v/>
      </c>
    </row>
    <row r="3662">
      <c r="A3662" s="26" t="n"/>
      <c r="B3662" s="24" t="n"/>
      <c r="C3662" s="40">
        <f>IF(B3662="","",IFERROR(INDEX(Mitarbeiter!$B$6:$B$205,MATCH(B3662,Mitarbeiter!$A$6:$A$205,0)),"?"))</f>
        <v/>
      </c>
      <c r="D3662" s="41" t="n"/>
      <c r="E3662" s="42" t="n"/>
      <c r="F3662" s="43" t="n"/>
      <c r="G3662" s="44">
        <f>IF(OR(B3662="",F3662=""),"",IFERROR(F3662*INDEX(Mitarbeiter!$F$6:$F$205,MATCH(B3662,Mitarbeiter!$A$6:$A$205,0)),0))</f>
        <v/>
      </c>
      <c r="H3662" s="8">
        <f>IF(B3662="","",IF(ISNA(MATCH(B3662,Mitarbeiter!$A$6:$A$205,0)),"Pers.-Nr. unbekannt",IF(A3662="","Datum fehlt",IF(AND(D3662&lt;&gt;Einstellungen!$C$4,D3662&lt;&gt;Einstellungen!$C$5),"Objekt fehlt",IF(YEAR(A3662)&lt;&gt;Einstellungen!$C$3,"anderes Jahr",IF(A3662&lt;INDEX(Mitarbeiter!$C$6:$C$205,MATCH(B3662,Mitarbeiter!$A$6:$A$205,0)),"vor Eintritt",IF(AND(INDEX(Mitarbeiter!$D$6:$D$205,MATCH(B3662,Mitarbeiter!$A$6:$A$205,0))&lt;&gt;"",A3662&gt;INDEX(Mitarbeiter!$D$6:$D$205,MATCH(B3662,Mitarbeiter!$A$6:$A$205,0))),"nach Austritt","ok")))))))</f>
        <v/>
      </c>
    </row>
    <row r="3663">
      <c r="A3663" s="26" t="n"/>
      <c r="B3663" s="24" t="n"/>
      <c r="C3663" s="40">
        <f>IF(B3663="","",IFERROR(INDEX(Mitarbeiter!$B$6:$B$205,MATCH(B3663,Mitarbeiter!$A$6:$A$205,0)),"?"))</f>
        <v/>
      </c>
      <c r="D3663" s="41" t="n"/>
      <c r="E3663" s="42" t="n"/>
      <c r="F3663" s="43" t="n"/>
      <c r="G3663" s="44">
        <f>IF(OR(B3663="",F3663=""),"",IFERROR(F3663*INDEX(Mitarbeiter!$F$6:$F$205,MATCH(B3663,Mitarbeiter!$A$6:$A$205,0)),0))</f>
        <v/>
      </c>
      <c r="H3663" s="8">
        <f>IF(B3663="","",IF(ISNA(MATCH(B3663,Mitarbeiter!$A$6:$A$205,0)),"Pers.-Nr. unbekannt",IF(A3663="","Datum fehlt",IF(AND(D3663&lt;&gt;Einstellungen!$C$4,D3663&lt;&gt;Einstellungen!$C$5),"Objekt fehlt",IF(YEAR(A3663)&lt;&gt;Einstellungen!$C$3,"anderes Jahr",IF(A3663&lt;INDEX(Mitarbeiter!$C$6:$C$205,MATCH(B3663,Mitarbeiter!$A$6:$A$205,0)),"vor Eintritt",IF(AND(INDEX(Mitarbeiter!$D$6:$D$205,MATCH(B3663,Mitarbeiter!$A$6:$A$205,0))&lt;&gt;"",A3663&gt;INDEX(Mitarbeiter!$D$6:$D$205,MATCH(B3663,Mitarbeiter!$A$6:$A$205,0))),"nach Austritt","ok")))))))</f>
        <v/>
      </c>
    </row>
    <row r="3664">
      <c r="A3664" s="26" t="n"/>
      <c r="B3664" s="24" t="n"/>
      <c r="C3664" s="40">
        <f>IF(B3664="","",IFERROR(INDEX(Mitarbeiter!$B$6:$B$205,MATCH(B3664,Mitarbeiter!$A$6:$A$205,0)),"?"))</f>
        <v/>
      </c>
      <c r="D3664" s="41" t="n"/>
      <c r="E3664" s="42" t="n"/>
      <c r="F3664" s="43" t="n"/>
      <c r="G3664" s="44">
        <f>IF(OR(B3664="",F3664=""),"",IFERROR(F3664*INDEX(Mitarbeiter!$F$6:$F$205,MATCH(B3664,Mitarbeiter!$A$6:$A$205,0)),0))</f>
        <v/>
      </c>
      <c r="H3664" s="8">
        <f>IF(B3664="","",IF(ISNA(MATCH(B3664,Mitarbeiter!$A$6:$A$205,0)),"Pers.-Nr. unbekannt",IF(A3664="","Datum fehlt",IF(AND(D3664&lt;&gt;Einstellungen!$C$4,D3664&lt;&gt;Einstellungen!$C$5),"Objekt fehlt",IF(YEAR(A3664)&lt;&gt;Einstellungen!$C$3,"anderes Jahr",IF(A3664&lt;INDEX(Mitarbeiter!$C$6:$C$205,MATCH(B3664,Mitarbeiter!$A$6:$A$205,0)),"vor Eintritt",IF(AND(INDEX(Mitarbeiter!$D$6:$D$205,MATCH(B3664,Mitarbeiter!$A$6:$A$205,0))&lt;&gt;"",A3664&gt;INDEX(Mitarbeiter!$D$6:$D$205,MATCH(B3664,Mitarbeiter!$A$6:$A$205,0))),"nach Austritt","ok")))))))</f>
        <v/>
      </c>
    </row>
    <row r="3665">
      <c r="A3665" s="26" t="n"/>
      <c r="B3665" s="24" t="n"/>
      <c r="C3665" s="40">
        <f>IF(B3665="","",IFERROR(INDEX(Mitarbeiter!$B$6:$B$205,MATCH(B3665,Mitarbeiter!$A$6:$A$205,0)),"?"))</f>
        <v/>
      </c>
      <c r="D3665" s="41" t="n"/>
      <c r="E3665" s="42" t="n"/>
      <c r="F3665" s="43" t="n"/>
      <c r="G3665" s="44">
        <f>IF(OR(B3665="",F3665=""),"",IFERROR(F3665*INDEX(Mitarbeiter!$F$6:$F$205,MATCH(B3665,Mitarbeiter!$A$6:$A$205,0)),0))</f>
        <v/>
      </c>
      <c r="H3665" s="8">
        <f>IF(B3665="","",IF(ISNA(MATCH(B3665,Mitarbeiter!$A$6:$A$205,0)),"Pers.-Nr. unbekannt",IF(A3665="","Datum fehlt",IF(AND(D3665&lt;&gt;Einstellungen!$C$4,D3665&lt;&gt;Einstellungen!$C$5),"Objekt fehlt",IF(YEAR(A3665)&lt;&gt;Einstellungen!$C$3,"anderes Jahr",IF(A3665&lt;INDEX(Mitarbeiter!$C$6:$C$205,MATCH(B3665,Mitarbeiter!$A$6:$A$205,0)),"vor Eintritt",IF(AND(INDEX(Mitarbeiter!$D$6:$D$205,MATCH(B3665,Mitarbeiter!$A$6:$A$205,0))&lt;&gt;"",A3665&gt;INDEX(Mitarbeiter!$D$6:$D$205,MATCH(B3665,Mitarbeiter!$A$6:$A$205,0))),"nach Austritt","ok")))))))</f>
        <v/>
      </c>
    </row>
    <row r="3666">
      <c r="A3666" s="26" t="n"/>
      <c r="B3666" s="24" t="n"/>
      <c r="C3666" s="40">
        <f>IF(B3666="","",IFERROR(INDEX(Mitarbeiter!$B$6:$B$205,MATCH(B3666,Mitarbeiter!$A$6:$A$205,0)),"?"))</f>
        <v/>
      </c>
      <c r="D3666" s="41" t="n"/>
      <c r="E3666" s="42" t="n"/>
      <c r="F3666" s="43" t="n"/>
      <c r="G3666" s="44">
        <f>IF(OR(B3666="",F3666=""),"",IFERROR(F3666*INDEX(Mitarbeiter!$F$6:$F$205,MATCH(B3666,Mitarbeiter!$A$6:$A$205,0)),0))</f>
        <v/>
      </c>
      <c r="H3666" s="8">
        <f>IF(B3666="","",IF(ISNA(MATCH(B3666,Mitarbeiter!$A$6:$A$205,0)),"Pers.-Nr. unbekannt",IF(A3666="","Datum fehlt",IF(AND(D3666&lt;&gt;Einstellungen!$C$4,D3666&lt;&gt;Einstellungen!$C$5),"Objekt fehlt",IF(YEAR(A3666)&lt;&gt;Einstellungen!$C$3,"anderes Jahr",IF(A3666&lt;INDEX(Mitarbeiter!$C$6:$C$205,MATCH(B3666,Mitarbeiter!$A$6:$A$205,0)),"vor Eintritt",IF(AND(INDEX(Mitarbeiter!$D$6:$D$205,MATCH(B3666,Mitarbeiter!$A$6:$A$205,0))&lt;&gt;"",A3666&gt;INDEX(Mitarbeiter!$D$6:$D$205,MATCH(B3666,Mitarbeiter!$A$6:$A$205,0))),"nach Austritt","ok")))))))</f>
        <v/>
      </c>
    </row>
    <row r="3667">
      <c r="A3667" s="26" t="n"/>
      <c r="B3667" s="24" t="n"/>
      <c r="C3667" s="40">
        <f>IF(B3667="","",IFERROR(INDEX(Mitarbeiter!$B$6:$B$205,MATCH(B3667,Mitarbeiter!$A$6:$A$205,0)),"?"))</f>
        <v/>
      </c>
      <c r="D3667" s="41" t="n"/>
      <c r="E3667" s="42" t="n"/>
      <c r="F3667" s="43" t="n"/>
      <c r="G3667" s="44">
        <f>IF(OR(B3667="",F3667=""),"",IFERROR(F3667*INDEX(Mitarbeiter!$F$6:$F$205,MATCH(B3667,Mitarbeiter!$A$6:$A$205,0)),0))</f>
        <v/>
      </c>
      <c r="H3667" s="8">
        <f>IF(B3667="","",IF(ISNA(MATCH(B3667,Mitarbeiter!$A$6:$A$205,0)),"Pers.-Nr. unbekannt",IF(A3667="","Datum fehlt",IF(AND(D3667&lt;&gt;Einstellungen!$C$4,D3667&lt;&gt;Einstellungen!$C$5),"Objekt fehlt",IF(YEAR(A3667)&lt;&gt;Einstellungen!$C$3,"anderes Jahr",IF(A3667&lt;INDEX(Mitarbeiter!$C$6:$C$205,MATCH(B3667,Mitarbeiter!$A$6:$A$205,0)),"vor Eintritt",IF(AND(INDEX(Mitarbeiter!$D$6:$D$205,MATCH(B3667,Mitarbeiter!$A$6:$A$205,0))&lt;&gt;"",A3667&gt;INDEX(Mitarbeiter!$D$6:$D$205,MATCH(B3667,Mitarbeiter!$A$6:$A$205,0))),"nach Austritt","ok")))))))</f>
        <v/>
      </c>
    </row>
    <row r="3668">
      <c r="A3668" s="26" t="n"/>
      <c r="B3668" s="24" t="n"/>
      <c r="C3668" s="40">
        <f>IF(B3668="","",IFERROR(INDEX(Mitarbeiter!$B$6:$B$205,MATCH(B3668,Mitarbeiter!$A$6:$A$205,0)),"?"))</f>
        <v/>
      </c>
      <c r="D3668" s="41" t="n"/>
      <c r="E3668" s="42" t="n"/>
      <c r="F3668" s="43" t="n"/>
      <c r="G3668" s="44">
        <f>IF(OR(B3668="",F3668=""),"",IFERROR(F3668*INDEX(Mitarbeiter!$F$6:$F$205,MATCH(B3668,Mitarbeiter!$A$6:$A$205,0)),0))</f>
        <v/>
      </c>
      <c r="H3668" s="8">
        <f>IF(B3668="","",IF(ISNA(MATCH(B3668,Mitarbeiter!$A$6:$A$205,0)),"Pers.-Nr. unbekannt",IF(A3668="","Datum fehlt",IF(AND(D3668&lt;&gt;Einstellungen!$C$4,D3668&lt;&gt;Einstellungen!$C$5),"Objekt fehlt",IF(YEAR(A3668)&lt;&gt;Einstellungen!$C$3,"anderes Jahr",IF(A3668&lt;INDEX(Mitarbeiter!$C$6:$C$205,MATCH(B3668,Mitarbeiter!$A$6:$A$205,0)),"vor Eintritt",IF(AND(INDEX(Mitarbeiter!$D$6:$D$205,MATCH(B3668,Mitarbeiter!$A$6:$A$205,0))&lt;&gt;"",A3668&gt;INDEX(Mitarbeiter!$D$6:$D$205,MATCH(B3668,Mitarbeiter!$A$6:$A$205,0))),"nach Austritt","ok")))))))</f>
        <v/>
      </c>
    </row>
    <row r="3669">
      <c r="A3669" s="26" t="n"/>
      <c r="B3669" s="24" t="n"/>
      <c r="C3669" s="40">
        <f>IF(B3669="","",IFERROR(INDEX(Mitarbeiter!$B$6:$B$205,MATCH(B3669,Mitarbeiter!$A$6:$A$205,0)),"?"))</f>
        <v/>
      </c>
      <c r="D3669" s="41" t="n"/>
      <c r="E3669" s="42" t="n"/>
      <c r="F3669" s="43" t="n"/>
      <c r="G3669" s="44">
        <f>IF(OR(B3669="",F3669=""),"",IFERROR(F3669*INDEX(Mitarbeiter!$F$6:$F$205,MATCH(B3669,Mitarbeiter!$A$6:$A$205,0)),0))</f>
        <v/>
      </c>
      <c r="H3669" s="8">
        <f>IF(B3669="","",IF(ISNA(MATCH(B3669,Mitarbeiter!$A$6:$A$205,0)),"Pers.-Nr. unbekannt",IF(A3669="","Datum fehlt",IF(AND(D3669&lt;&gt;Einstellungen!$C$4,D3669&lt;&gt;Einstellungen!$C$5),"Objekt fehlt",IF(YEAR(A3669)&lt;&gt;Einstellungen!$C$3,"anderes Jahr",IF(A3669&lt;INDEX(Mitarbeiter!$C$6:$C$205,MATCH(B3669,Mitarbeiter!$A$6:$A$205,0)),"vor Eintritt",IF(AND(INDEX(Mitarbeiter!$D$6:$D$205,MATCH(B3669,Mitarbeiter!$A$6:$A$205,0))&lt;&gt;"",A3669&gt;INDEX(Mitarbeiter!$D$6:$D$205,MATCH(B3669,Mitarbeiter!$A$6:$A$205,0))),"nach Austritt","ok")))))))</f>
        <v/>
      </c>
    </row>
    <row r="3670">
      <c r="A3670" s="26" t="n"/>
      <c r="B3670" s="24" t="n"/>
      <c r="C3670" s="40">
        <f>IF(B3670="","",IFERROR(INDEX(Mitarbeiter!$B$6:$B$205,MATCH(B3670,Mitarbeiter!$A$6:$A$205,0)),"?"))</f>
        <v/>
      </c>
      <c r="D3670" s="41" t="n"/>
      <c r="E3670" s="42" t="n"/>
      <c r="F3670" s="43" t="n"/>
      <c r="G3670" s="44">
        <f>IF(OR(B3670="",F3670=""),"",IFERROR(F3670*INDEX(Mitarbeiter!$F$6:$F$205,MATCH(B3670,Mitarbeiter!$A$6:$A$205,0)),0))</f>
        <v/>
      </c>
      <c r="H3670" s="8">
        <f>IF(B3670="","",IF(ISNA(MATCH(B3670,Mitarbeiter!$A$6:$A$205,0)),"Pers.-Nr. unbekannt",IF(A3670="","Datum fehlt",IF(AND(D3670&lt;&gt;Einstellungen!$C$4,D3670&lt;&gt;Einstellungen!$C$5),"Objekt fehlt",IF(YEAR(A3670)&lt;&gt;Einstellungen!$C$3,"anderes Jahr",IF(A3670&lt;INDEX(Mitarbeiter!$C$6:$C$205,MATCH(B3670,Mitarbeiter!$A$6:$A$205,0)),"vor Eintritt",IF(AND(INDEX(Mitarbeiter!$D$6:$D$205,MATCH(B3670,Mitarbeiter!$A$6:$A$205,0))&lt;&gt;"",A3670&gt;INDEX(Mitarbeiter!$D$6:$D$205,MATCH(B3670,Mitarbeiter!$A$6:$A$205,0))),"nach Austritt","ok")))))))</f>
        <v/>
      </c>
    </row>
    <row r="3671">
      <c r="A3671" s="26" t="n"/>
      <c r="B3671" s="24" t="n"/>
      <c r="C3671" s="40">
        <f>IF(B3671="","",IFERROR(INDEX(Mitarbeiter!$B$6:$B$205,MATCH(B3671,Mitarbeiter!$A$6:$A$205,0)),"?"))</f>
        <v/>
      </c>
      <c r="D3671" s="41" t="n"/>
      <c r="E3671" s="42" t="n"/>
      <c r="F3671" s="43" t="n"/>
      <c r="G3671" s="44">
        <f>IF(OR(B3671="",F3671=""),"",IFERROR(F3671*INDEX(Mitarbeiter!$F$6:$F$205,MATCH(B3671,Mitarbeiter!$A$6:$A$205,0)),0))</f>
        <v/>
      </c>
      <c r="H3671" s="8">
        <f>IF(B3671="","",IF(ISNA(MATCH(B3671,Mitarbeiter!$A$6:$A$205,0)),"Pers.-Nr. unbekannt",IF(A3671="","Datum fehlt",IF(AND(D3671&lt;&gt;Einstellungen!$C$4,D3671&lt;&gt;Einstellungen!$C$5),"Objekt fehlt",IF(YEAR(A3671)&lt;&gt;Einstellungen!$C$3,"anderes Jahr",IF(A3671&lt;INDEX(Mitarbeiter!$C$6:$C$205,MATCH(B3671,Mitarbeiter!$A$6:$A$205,0)),"vor Eintritt",IF(AND(INDEX(Mitarbeiter!$D$6:$D$205,MATCH(B3671,Mitarbeiter!$A$6:$A$205,0))&lt;&gt;"",A3671&gt;INDEX(Mitarbeiter!$D$6:$D$205,MATCH(B3671,Mitarbeiter!$A$6:$A$205,0))),"nach Austritt","ok")))))))</f>
        <v/>
      </c>
    </row>
    <row r="3672">
      <c r="A3672" s="26" t="n"/>
      <c r="B3672" s="24" t="n"/>
      <c r="C3672" s="40">
        <f>IF(B3672="","",IFERROR(INDEX(Mitarbeiter!$B$6:$B$205,MATCH(B3672,Mitarbeiter!$A$6:$A$205,0)),"?"))</f>
        <v/>
      </c>
      <c r="D3672" s="41" t="n"/>
      <c r="E3672" s="42" t="n"/>
      <c r="F3672" s="43" t="n"/>
      <c r="G3672" s="44">
        <f>IF(OR(B3672="",F3672=""),"",IFERROR(F3672*INDEX(Mitarbeiter!$F$6:$F$205,MATCH(B3672,Mitarbeiter!$A$6:$A$205,0)),0))</f>
        <v/>
      </c>
      <c r="H3672" s="8">
        <f>IF(B3672="","",IF(ISNA(MATCH(B3672,Mitarbeiter!$A$6:$A$205,0)),"Pers.-Nr. unbekannt",IF(A3672="","Datum fehlt",IF(AND(D3672&lt;&gt;Einstellungen!$C$4,D3672&lt;&gt;Einstellungen!$C$5),"Objekt fehlt",IF(YEAR(A3672)&lt;&gt;Einstellungen!$C$3,"anderes Jahr",IF(A3672&lt;INDEX(Mitarbeiter!$C$6:$C$205,MATCH(B3672,Mitarbeiter!$A$6:$A$205,0)),"vor Eintritt",IF(AND(INDEX(Mitarbeiter!$D$6:$D$205,MATCH(B3672,Mitarbeiter!$A$6:$A$205,0))&lt;&gt;"",A3672&gt;INDEX(Mitarbeiter!$D$6:$D$205,MATCH(B3672,Mitarbeiter!$A$6:$A$205,0))),"nach Austritt","ok")))))))</f>
        <v/>
      </c>
    </row>
    <row r="3673">
      <c r="A3673" s="26" t="n"/>
      <c r="B3673" s="24" t="n"/>
      <c r="C3673" s="40">
        <f>IF(B3673="","",IFERROR(INDEX(Mitarbeiter!$B$6:$B$205,MATCH(B3673,Mitarbeiter!$A$6:$A$205,0)),"?"))</f>
        <v/>
      </c>
      <c r="D3673" s="41" t="n"/>
      <c r="E3673" s="42" t="n"/>
      <c r="F3673" s="43" t="n"/>
      <c r="G3673" s="44">
        <f>IF(OR(B3673="",F3673=""),"",IFERROR(F3673*INDEX(Mitarbeiter!$F$6:$F$205,MATCH(B3673,Mitarbeiter!$A$6:$A$205,0)),0))</f>
        <v/>
      </c>
      <c r="H3673" s="8">
        <f>IF(B3673="","",IF(ISNA(MATCH(B3673,Mitarbeiter!$A$6:$A$205,0)),"Pers.-Nr. unbekannt",IF(A3673="","Datum fehlt",IF(AND(D3673&lt;&gt;Einstellungen!$C$4,D3673&lt;&gt;Einstellungen!$C$5),"Objekt fehlt",IF(YEAR(A3673)&lt;&gt;Einstellungen!$C$3,"anderes Jahr",IF(A3673&lt;INDEX(Mitarbeiter!$C$6:$C$205,MATCH(B3673,Mitarbeiter!$A$6:$A$205,0)),"vor Eintritt",IF(AND(INDEX(Mitarbeiter!$D$6:$D$205,MATCH(B3673,Mitarbeiter!$A$6:$A$205,0))&lt;&gt;"",A3673&gt;INDEX(Mitarbeiter!$D$6:$D$205,MATCH(B3673,Mitarbeiter!$A$6:$A$205,0))),"nach Austritt","ok")))))))</f>
        <v/>
      </c>
    </row>
    <row r="3674">
      <c r="A3674" s="26" t="n"/>
      <c r="B3674" s="24" t="n"/>
      <c r="C3674" s="40">
        <f>IF(B3674="","",IFERROR(INDEX(Mitarbeiter!$B$6:$B$205,MATCH(B3674,Mitarbeiter!$A$6:$A$205,0)),"?"))</f>
        <v/>
      </c>
      <c r="D3674" s="41" t="n"/>
      <c r="E3674" s="42" t="n"/>
      <c r="F3674" s="43" t="n"/>
      <c r="G3674" s="44">
        <f>IF(OR(B3674="",F3674=""),"",IFERROR(F3674*INDEX(Mitarbeiter!$F$6:$F$205,MATCH(B3674,Mitarbeiter!$A$6:$A$205,0)),0))</f>
        <v/>
      </c>
      <c r="H3674" s="8">
        <f>IF(B3674="","",IF(ISNA(MATCH(B3674,Mitarbeiter!$A$6:$A$205,0)),"Pers.-Nr. unbekannt",IF(A3674="","Datum fehlt",IF(AND(D3674&lt;&gt;Einstellungen!$C$4,D3674&lt;&gt;Einstellungen!$C$5),"Objekt fehlt",IF(YEAR(A3674)&lt;&gt;Einstellungen!$C$3,"anderes Jahr",IF(A3674&lt;INDEX(Mitarbeiter!$C$6:$C$205,MATCH(B3674,Mitarbeiter!$A$6:$A$205,0)),"vor Eintritt",IF(AND(INDEX(Mitarbeiter!$D$6:$D$205,MATCH(B3674,Mitarbeiter!$A$6:$A$205,0))&lt;&gt;"",A3674&gt;INDEX(Mitarbeiter!$D$6:$D$205,MATCH(B3674,Mitarbeiter!$A$6:$A$205,0))),"nach Austritt","ok")))))))</f>
        <v/>
      </c>
    </row>
    <row r="3675">
      <c r="A3675" s="26" t="n"/>
      <c r="B3675" s="24" t="n"/>
      <c r="C3675" s="40">
        <f>IF(B3675="","",IFERROR(INDEX(Mitarbeiter!$B$6:$B$205,MATCH(B3675,Mitarbeiter!$A$6:$A$205,0)),"?"))</f>
        <v/>
      </c>
      <c r="D3675" s="41" t="n"/>
      <c r="E3675" s="42" t="n"/>
      <c r="F3675" s="43" t="n"/>
      <c r="G3675" s="44">
        <f>IF(OR(B3675="",F3675=""),"",IFERROR(F3675*INDEX(Mitarbeiter!$F$6:$F$205,MATCH(B3675,Mitarbeiter!$A$6:$A$205,0)),0))</f>
        <v/>
      </c>
      <c r="H3675" s="8">
        <f>IF(B3675="","",IF(ISNA(MATCH(B3675,Mitarbeiter!$A$6:$A$205,0)),"Pers.-Nr. unbekannt",IF(A3675="","Datum fehlt",IF(AND(D3675&lt;&gt;Einstellungen!$C$4,D3675&lt;&gt;Einstellungen!$C$5),"Objekt fehlt",IF(YEAR(A3675)&lt;&gt;Einstellungen!$C$3,"anderes Jahr",IF(A3675&lt;INDEX(Mitarbeiter!$C$6:$C$205,MATCH(B3675,Mitarbeiter!$A$6:$A$205,0)),"vor Eintritt",IF(AND(INDEX(Mitarbeiter!$D$6:$D$205,MATCH(B3675,Mitarbeiter!$A$6:$A$205,0))&lt;&gt;"",A3675&gt;INDEX(Mitarbeiter!$D$6:$D$205,MATCH(B3675,Mitarbeiter!$A$6:$A$205,0))),"nach Austritt","ok")))))))</f>
        <v/>
      </c>
    </row>
    <row r="3676">
      <c r="A3676" s="26" t="n"/>
      <c r="B3676" s="24" t="n"/>
      <c r="C3676" s="40">
        <f>IF(B3676="","",IFERROR(INDEX(Mitarbeiter!$B$6:$B$205,MATCH(B3676,Mitarbeiter!$A$6:$A$205,0)),"?"))</f>
        <v/>
      </c>
      <c r="D3676" s="41" t="n"/>
      <c r="E3676" s="42" t="n"/>
      <c r="F3676" s="43" t="n"/>
      <c r="G3676" s="44">
        <f>IF(OR(B3676="",F3676=""),"",IFERROR(F3676*INDEX(Mitarbeiter!$F$6:$F$205,MATCH(B3676,Mitarbeiter!$A$6:$A$205,0)),0))</f>
        <v/>
      </c>
      <c r="H3676" s="8">
        <f>IF(B3676="","",IF(ISNA(MATCH(B3676,Mitarbeiter!$A$6:$A$205,0)),"Pers.-Nr. unbekannt",IF(A3676="","Datum fehlt",IF(AND(D3676&lt;&gt;Einstellungen!$C$4,D3676&lt;&gt;Einstellungen!$C$5),"Objekt fehlt",IF(YEAR(A3676)&lt;&gt;Einstellungen!$C$3,"anderes Jahr",IF(A3676&lt;INDEX(Mitarbeiter!$C$6:$C$205,MATCH(B3676,Mitarbeiter!$A$6:$A$205,0)),"vor Eintritt",IF(AND(INDEX(Mitarbeiter!$D$6:$D$205,MATCH(B3676,Mitarbeiter!$A$6:$A$205,0))&lt;&gt;"",A3676&gt;INDEX(Mitarbeiter!$D$6:$D$205,MATCH(B3676,Mitarbeiter!$A$6:$A$205,0))),"nach Austritt","ok")))))))</f>
        <v/>
      </c>
    </row>
    <row r="3677">
      <c r="A3677" s="26" t="n"/>
      <c r="B3677" s="24" t="n"/>
      <c r="C3677" s="40">
        <f>IF(B3677="","",IFERROR(INDEX(Mitarbeiter!$B$6:$B$205,MATCH(B3677,Mitarbeiter!$A$6:$A$205,0)),"?"))</f>
        <v/>
      </c>
      <c r="D3677" s="41" t="n"/>
      <c r="E3677" s="42" t="n"/>
      <c r="F3677" s="43" t="n"/>
      <c r="G3677" s="44">
        <f>IF(OR(B3677="",F3677=""),"",IFERROR(F3677*INDEX(Mitarbeiter!$F$6:$F$205,MATCH(B3677,Mitarbeiter!$A$6:$A$205,0)),0))</f>
        <v/>
      </c>
      <c r="H3677" s="8">
        <f>IF(B3677="","",IF(ISNA(MATCH(B3677,Mitarbeiter!$A$6:$A$205,0)),"Pers.-Nr. unbekannt",IF(A3677="","Datum fehlt",IF(AND(D3677&lt;&gt;Einstellungen!$C$4,D3677&lt;&gt;Einstellungen!$C$5),"Objekt fehlt",IF(YEAR(A3677)&lt;&gt;Einstellungen!$C$3,"anderes Jahr",IF(A3677&lt;INDEX(Mitarbeiter!$C$6:$C$205,MATCH(B3677,Mitarbeiter!$A$6:$A$205,0)),"vor Eintritt",IF(AND(INDEX(Mitarbeiter!$D$6:$D$205,MATCH(B3677,Mitarbeiter!$A$6:$A$205,0))&lt;&gt;"",A3677&gt;INDEX(Mitarbeiter!$D$6:$D$205,MATCH(B3677,Mitarbeiter!$A$6:$A$205,0))),"nach Austritt","ok")))))))</f>
        <v/>
      </c>
    </row>
    <row r="3678">
      <c r="A3678" s="26" t="n"/>
      <c r="B3678" s="24" t="n"/>
      <c r="C3678" s="40">
        <f>IF(B3678="","",IFERROR(INDEX(Mitarbeiter!$B$6:$B$205,MATCH(B3678,Mitarbeiter!$A$6:$A$205,0)),"?"))</f>
        <v/>
      </c>
      <c r="D3678" s="41" t="n"/>
      <c r="E3678" s="42" t="n"/>
      <c r="F3678" s="43" t="n"/>
      <c r="G3678" s="44">
        <f>IF(OR(B3678="",F3678=""),"",IFERROR(F3678*INDEX(Mitarbeiter!$F$6:$F$205,MATCH(B3678,Mitarbeiter!$A$6:$A$205,0)),0))</f>
        <v/>
      </c>
      <c r="H3678" s="8">
        <f>IF(B3678="","",IF(ISNA(MATCH(B3678,Mitarbeiter!$A$6:$A$205,0)),"Pers.-Nr. unbekannt",IF(A3678="","Datum fehlt",IF(AND(D3678&lt;&gt;Einstellungen!$C$4,D3678&lt;&gt;Einstellungen!$C$5),"Objekt fehlt",IF(YEAR(A3678)&lt;&gt;Einstellungen!$C$3,"anderes Jahr",IF(A3678&lt;INDEX(Mitarbeiter!$C$6:$C$205,MATCH(B3678,Mitarbeiter!$A$6:$A$205,0)),"vor Eintritt",IF(AND(INDEX(Mitarbeiter!$D$6:$D$205,MATCH(B3678,Mitarbeiter!$A$6:$A$205,0))&lt;&gt;"",A3678&gt;INDEX(Mitarbeiter!$D$6:$D$205,MATCH(B3678,Mitarbeiter!$A$6:$A$205,0))),"nach Austritt","ok")))))))</f>
        <v/>
      </c>
    </row>
    <row r="3679">
      <c r="A3679" s="26" t="n"/>
      <c r="B3679" s="24" t="n"/>
      <c r="C3679" s="40">
        <f>IF(B3679="","",IFERROR(INDEX(Mitarbeiter!$B$6:$B$205,MATCH(B3679,Mitarbeiter!$A$6:$A$205,0)),"?"))</f>
        <v/>
      </c>
      <c r="D3679" s="41" t="n"/>
      <c r="E3679" s="42" t="n"/>
      <c r="F3679" s="43" t="n"/>
      <c r="G3679" s="44">
        <f>IF(OR(B3679="",F3679=""),"",IFERROR(F3679*INDEX(Mitarbeiter!$F$6:$F$205,MATCH(B3679,Mitarbeiter!$A$6:$A$205,0)),0))</f>
        <v/>
      </c>
      <c r="H3679" s="8">
        <f>IF(B3679="","",IF(ISNA(MATCH(B3679,Mitarbeiter!$A$6:$A$205,0)),"Pers.-Nr. unbekannt",IF(A3679="","Datum fehlt",IF(AND(D3679&lt;&gt;Einstellungen!$C$4,D3679&lt;&gt;Einstellungen!$C$5),"Objekt fehlt",IF(YEAR(A3679)&lt;&gt;Einstellungen!$C$3,"anderes Jahr",IF(A3679&lt;INDEX(Mitarbeiter!$C$6:$C$205,MATCH(B3679,Mitarbeiter!$A$6:$A$205,0)),"vor Eintritt",IF(AND(INDEX(Mitarbeiter!$D$6:$D$205,MATCH(B3679,Mitarbeiter!$A$6:$A$205,0))&lt;&gt;"",A3679&gt;INDEX(Mitarbeiter!$D$6:$D$205,MATCH(B3679,Mitarbeiter!$A$6:$A$205,0))),"nach Austritt","ok")))))))</f>
        <v/>
      </c>
    </row>
    <row r="3680">
      <c r="A3680" s="26" t="n"/>
      <c r="B3680" s="24" t="n"/>
      <c r="C3680" s="40">
        <f>IF(B3680="","",IFERROR(INDEX(Mitarbeiter!$B$6:$B$205,MATCH(B3680,Mitarbeiter!$A$6:$A$205,0)),"?"))</f>
        <v/>
      </c>
      <c r="D3680" s="41" t="n"/>
      <c r="E3680" s="42" t="n"/>
      <c r="F3680" s="43" t="n"/>
      <c r="G3680" s="44">
        <f>IF(OR(B3680="",F3680=""),"",IFERROR(F3680*INDEX(Mitarbeiter!$F$6:$F$205,MATCH(B3680,Mitarbeiter!$A$6:$A$205,0)),0))</f>
        <v/>
      </c>
      <c r="H3680" s="8">
        <f>IF(B3680="","",IF(ISNA(MATCH(B3680,Mitarbeiter!$A$6:$A$205,0)),"Pers.-Nr. unbekannt",IF(A3680="","Datum fehlt",IF(AND(D3680&lt;&gt;Einstellungen!$C$4,D3680&lt;&gt;Einstellungen!$C$5),"Objekt fehlt",IF(YEAR(A3680)&lt;&gt;Einstellungen!$C$3,"anderes Jahr",IF(A3680&lt;INDEX(Mitarbeiter!$C$6:$C$205,MATCH(B3680,Mitarbeiter!$A$6:$A$205,0)),"vor Eintritt",IF(AND(INDEX(Mitarbeiter!$D$6:$D$205,MATCH(B3680,Mitarbeiter!$A$6:$A$205,0))&lt;&gt;"",A3680&gt;INDEX(Mitarbeiter!$D$6:$D$205,MATCH(B3680,Mitarbeiter!$A$6:$A$205,0))),"nach Austritt","ok")))))))</f>
        <v/>
      </c>
    </row>
    <row r="3681">
      <c r="A3681" s="26" t="n"/>
      <c r="B3681" s="24" t="n"/>
      <c r="C3681" s="40">
        <f>IF(B3681="","",IFERROR(INDEX(Mitarbeiter!$B$6:$B$205,MATCH(B3681,Mitarbeiter!$A$6:$A$205,0)),"?"))</f>
        <v/>
      </c>
      <c r="D3681" s="41" t="n"/>
      <c r="E3681" s="42" t="n"/>
      <c r="F3681" s="43" t="n"/>
      <c r="G3681" s="44">
        <f>IF(OR(B3681="",F3681=""),"",IFERROR(F3681*INDEX(Mitarbeiter!$F$6:$F$205,MATCH(B3681,Mitarbeiter!$A$6:$A$205,0)),0))</f>
        <v/>
      </c>
      <c r="H3681" s="8">
        <f>IF(B3681="","",IF(ISNA(MATCH(B3681,Mitarbeiter!$A$6:$A$205,0)),"Pers.-Nr. unbekannt",IF(A3681="","Datum fehlt",IF(AND(D3681&lt;&gt;Einstellungen!$C$4,D3681&lt;&gt;Einstellungen!$C$5),"Objekt fehlt",IF(YEAR(A3681)&lt;&gt;Einstellungen!$C$3,"anderes Jahr",IF(A3681&lt;INDEX(Mitarbeiter!$C$6:$C$205,MATCH(B3681,Mitarbeiter!$A$6:$A$205,0)),"vor Eintritt",IF(AND(INDEX(Mitarbeiter!$D$6:$D$205,MATCH(B3681,Mitarbeiter!$A$6:$A$205,0))&lt;&gt;"",A3681&gt;INDEX(Mitarbeiter!$D$6:$D$205,MATCH(B3681,Mitarbeiter!$A$6:$A$205,0))),"nach Austritt","ok")))))))</f>
        <v/>
      </c>
    </row>
    <row r="3682">
      <c r="A3682" s="26" t="n"/>
      <c r="B3682" s="24" t="n"/>
      <c r="C3682" s="40">
        <f>IF(B3682="","",IFERROR(INDEX(Mitarbeiter!$B$6:$B$205,MATCH(B3682,Mitarbeiter!$A$6:$A$205,0)),"?"))</f>
        <v/>
      </c>
      <c r="D3682" s="41" t="n"/>
      <c r="E3682" s="42" t="n"/>
      <c r="F3682" s="43" t="n"/>
      <c r="G3682" s="44">
        <f>IF(OR(B3682="",F3682=""),"",IFERROR(F3682*INDEX(Mitarbeiter!$F$6:$F$205,MATCH(B3682,Mitarbeiter!$A$6:$A$205,0)),0))</f>
        <v/>
      </c>
      <c r="H3682" s="8">
        <f>IF(B3682="","",IF(ISNA(MATCH(B3682,Mitarbeiter!$A$6:$A$205,0)),"Pers.-Nr. unbekannt",IF(A3682="","Datum fehlt",IF(AND(D3682&lt;&gt;Einstellungen!$C$4,D3682&lt;&gt;Einstellungen!$C$5),"Objekt fehlt",IF(YEAR(A3682)&lt;&gt;Einstellungen!$C$3,"anderes Jahr",IF(A3682&lt;INDEX(Mitarbeiter!$C$6:$C$205,MATCH(B3682,Mitarbeiter!$A$6:$A$205,0)),"vor Eintritt",IF(AND(INDEX(Mitarbeiter!$D$6:$D$205,MATCH(B3682,Mitarbeiter!$A$6:$A$205,0))&lt;&gt;"",A3682&gt;INDEX(Mitarbeiter!$D$6:$D$205,MATCH(B3682,Mitarbeiter!$A$6:$A$205,0))),"nach Austritt","ok")))))))</f>
        <v/>
      </c>
    </row>
    <row r="3683">
      <c r="A3683" s="26" t="n"/>
      <c r="B3683" s="24" t="n"/>
      <c r="C3683" s="40">
        <f>IF(B3683="","",IFERROR(INDEX(Mitarbeiter!$B$6:$B$205,MATCH(B3683,Mitarbeiter!$A$6:$A$205,0)),"?"))</f>
        <v/>
      </c>
      <c r="D3683" s="41" t="n"/>
      <c r="E3683" s="42" t="n"/>
      <c r="F3683" s="43" t="n"/>
      <c r="G3683" s="44">
        <f>IF(OR(B3683="",F3683=""),"",IFERROR(F3683*INDEX(Mitarbeiter!$F$6:$F$205,MATCH(B3683,Mitarbeiter!$A$6:$A$205,0)),0))</f>
        <v/>
      </c>
      <c r="H3683" s="8">
        <f>IF(B3683="","",IF(ISNA(MATCH(B3683,Mitarbeiter!$A$6:$A$205,0)),"Pers.-Nr. unbekannt",IF(A3683="","Datum fehlt",IF(AND(D3683&lt;&gt;Einstellungen!$C$4,D3683&lt;&gt;Einstellungen!$C$5),"Objekt fehlt",IF(YEAR(A3683)&lt;&gt;Einstellungen!$C$3,"anderes Jahr",IF(A3683&lt;INDEX(Mitarbeiter!$C$6:$C$205,MATCH(B3683,Mitarbeiter!$A$6:$A$205,0)),"vor Eintritt",IF(AND(INDEX(Mitarbeiter!$D$6:$D$205,MATCH(B3683,Mitarbeiter!$A$6:$A$205,0))&lt;&gt;"",A3683&gt;INDEX(Mitarbeiter!$D$6:$D$205,MATCH(B3683,Mitarbeiter!$A$6:$A$205,0))),"nach Austritt","ok")))))))</f>
        <v/>
      </c>
    </row>
    <row r="3684">
      <c r="A3684" s="26" t="n"/>
      <c r="B3684" s="24" t="n"/>
      <c r="C3684" s="40">
        <f>IF(B3684="","",IFERROR(INDEX(Mitarbeiter!$B$6:$B$205,MATCH(B3684,Mitarbeiter!$A$6:$A$205,0)),"?"))</f>
        <v/>
      </c>
      <c r="D3684" s="41" t="n"/>
      <c r="E3684" s="42" t="n"/>
      <c r="F3684" s="43" t="n"/>
      <c r="G3684" s="44">
        <f>IF(OR(B3684="",F3684=""),"",IFERROR(F3684*INDEX(Mitarbeiter!$F$6:$F$205,MATCH(B3684,Mitarbeiter!$A$6:$A$205,0)),0))</f>
        <v/>
      </c>
      <c r="H3684" s="8">
        <f>IF(B3684="","",IF(ISNA(MATCH(B3684,Mitarbeiter!$A$6:$A$205,0)),"Pers.-Nr. unbekannt",IF(A3684="","Datum fehlt",IF(AND(D3684&lt;&gt;Einstellungen!$C$4,D3684&lt;&gt;Einstellungen!$C$5),"Objekt fehlt",IF(YEAR(A3684)&lt;&gt;Einstellungen!$C$3,"anderes Jahr",IF(A3684&lt;INDEX(Mitarbeiter!$C$6:$C$205,MATCH(B3684,Mitarbeiter!$A$6:$A$205,0)),"vor Eintritt",IF(AND(INDEX(Mitarbeiter!$D$6:$D$205,MATCH(B3684,Mitarbeiter!$A$6:$A$205,0))&lt;&gt;"",A3684&gt;INDEX(Mitarbeiter!$D$6:$D$205,MATCH(B3684,Mitarbeiter!$A$6:$A$205,0))),"nach Austritt","ok")))))))</f>
        <v/>
      </c>
    </row>
    <row r="3685">
      <c r="A3685" s="26" t="n"/>
      <c r="B3685" s="24" t="n"/>
      <c r="C3685" s="40">
        <f>IF(B3685="","",IFERROR(INDEX(Mitarbeiter!$B$6:$B$205,MATCH(B3685,Mitarbeiter!$A$6:$A$205,0)),"?"))</f>
        <v/>
      </c>
      <c r="D3685" s="41" t="n"/>
      <c r="E3685" s="42" t="n"/>
      <c r="F3685" s="43" t="n"/>
      <c r="G3685" s="44">
        <f>IF(OR(B3685="",F3685=""),"",IFERROR(F3685*INDEX(Mitarbeiter!$F$6:$F$205,MATCH(B3685,Mitarbeiter!$A$6:$A$205,0)),0))</f>
        <v/>
      </c>
      <c r="H3685" s="8">
        <f>IF(B3685="","",IF(ISNA(MATCH(B3685,Mitarbeiter!$A$6:$A$205,0)),"Pers.-Nr. unbekannt",IF(A3685="","Datum fehlt",IF(AND(D3685&lt;&gt;Einstellungen!$C$4,D3685&lt;&gt;Einstellungen!$C$5),"Objekt fehlt",IF(YEAR(A3685)&lt;&gt;Einstellungen!$C$3,"anderes Jahr",IF(A3685&lt;INDEX(Mitarbeiter!$C$6:$C$205,MATCH(B3685,Mitarbeiter!$A$6:$A$205,0)),"vor Eintritt",IF(AND(INDEX(Mitarbeiter!$D$6:$D$205,MATCH(B3685,Mitarbeiter!$A$6:$A$205,0))&lt;&gt;"",A3685&gt;INDEX(Mitarbeiter!$D$6:$D$205,MATCH(B3685,Mitarbeiter!$A$6:$A$205,0))),"nach Austritt","ok")))))))</f>
        <v/>
      </c>
    </row>
    <row r="3686">
      <c r="A3686" s="26" t="n"/>
      <c r="B3686" s="24" t="n"/>
      <c r="C3686" s="40">
        <f>IF(B3686="","",IFERROR(INDEX(Mitarbeiter!$B$6:$B$205,MATCH(B3686,Mitarbeiter!$A$6:$A$205,0)),"?"))</f>
        <v/>
      </c>
      <c r="D3686" s="41" t="n"/>
      <c r="E3686" s="42" t="n"/>
      <c r="F3686" s="43" t="n"/>
      <c r="G3686" s="44">
        <f>IF(OR(B3686="",F3686=""),"",IFERROR(F3686*INDEX(Mitarbeiter!$F$6:$F$205,MATCH(B3686,Mitarbeiter!$A$6:$A$205,0)),0))</f>
        <v/>
      </c>
      <c r="H3686" s="8">
        <f>IF(B3686="","",IF(ISNA(MATCH(B3686,Mitarbeiter!$A$6:$A$205,0)),"Pers.-Nr. unbekannt",IF(A3686="","Datum fehlt",IF(AND(D3686&lt;&gt;Einstellungen!$C$4,D3686&lt;&gt;Einstellungen!$C$5),"Objekt fehlt",IF(YEAR(A3686)&lt;&gt;Einstellungen!$C$3,"anderes Jahr",IF(A3686&lt;INDEX(Mitarbeiter!$C$6:$C$205,MATCH(B3686,Mitarbeiter!$A$6:$A$205,0)),"vor Eintritt",IF(AND(INDEX(Mitarbeiter!$D$6:$D$205,MATCH(B3686,Mitarbeiter!$A$6:$A$205,0))&lt;&gt;"",A3686&gt;INDEX(Mitarbeiter!$D$6:$D$205,MATCH(B3686,Mitarbeiter!$A$6:$A$205,0))),"nach Austritt","ok")))))))</f>
        <v/>
      </c>
    </row>
    <row r="3687">
      <c r="A3687" s="26" t="n"/>
      <c r="B3687" s="24" t="n"/>
      <c r="C3687" s="40">
        <f>IF(B3687="","",IFERROR(INDEX(Mitarbeiter!$B$6:$B$205,MATCH(B3687,Mitarbeiter!$A$6:$A$205,0)),"?"))</f>
        <v/>
      </c>
      <c r="D3687" s="41" t="n"/>
      <c r="E3687" s="42" t="n"/>
      <c r="F3687" s="43" t="n"/>
      <c r="G3687" s="44">
        <f>IF(OR(B3687="",F3687=""),"",IFERROR(F3687*INDEX(Mitarbeiter!$F$6:$F$205,MATCH(B3687,Mitarbeiter!$A$6:$A$205,0)),0))</f>
        <v/>
      </c>
      <c r="H3687" s="8">
        <f>IF(B3687="","",IF(ISNA(MATCH(B3687,Mitarbeiter!$A$6:$A$205,0)),"Pers.-Nr. unbekannt",IF(A3687="","Datum fehlt",IF(AND(D3687&lt;&gt;Einstellungen!$C$4,D3687&lt;&gt;Einstellungen!$C$5),"Objekt fehlt",IF(YEAR(A3687)&lt;&gt;Einstellungen!$C$3,"anderes Jahr",IF(A3687&lt;INDEX(Mitarbeiter!$C$6:$C$205,MATCH(B3687,Mitarbeiter!$A$6:$A$205,0)),"vor Eintritt",IF(AND(INDEX(Mitarbeiter!$D$6:$D$205,MATCH(B3687,Mitarbeiter!$A$6:$A$205,0))&lt;&gt;"",A3687&gt;INDEX(Mitarbeiter!$D$6:$D$205,MATCH(B3687,Mitarbeiter!$A$6:$A$205,0))),"nach Austritt","ok")))))))</f>
        <v/>
      </c>
    </row>
    <row r="3688">
      <c r="A3688" s="26" t="n"/>
      <c r="B3688" s="24" t="n"/>
      <c r="C3688" s="40">
        <f>IF(B3688="","",IFERROR(INDEX(Mitarbeiter!$B$6:$B$205,MATCH(B3688,Mitarbeiter!$A$6:$A$205,0)),"?"))</f>
        <v/>
      </c>
      <c r="D3688" s="41" t="n"/>
      <c r="E3688" s="42" t="n"/>
      <c r="F3688" s="43" t="n"/>
      <c r="G3688" s="44">
        <f>IF(OR(B3688="",F3688=""),"",IFERROR(F3688*INDEX(Mitarbeiter!$F$6:$F$205,MATCH(B3688,Mitarbeiter!$A$6:$A$205,0)),0))</f>
        <v/>
      </c>
      <c r="H3688" s="8">
        <f>IF(B3688="","",IF(ISNA(MATCH(B3688,Mitarbeiter!$A$6:$A$205,0)),"Pers.-Nr. unbekannt",IF(A3688="","Datum fehlt",IF(AND(D3688&lt;&gt;Einstellungen!$C$4,D3688&lt;&gt;Einstellungen!$C$5),"Objekt fehlt",IF(YEAR(A3688)&lt;&gt;Einstellungen!$C$3,"anderes Jahr",IF(A3688&lt;INDEX(Mitarbeiter!$C$6:$C$205,MATCH(B3688,Mitarbeiter!$A$6:$A$205,0)),"vor Eintritt",IF(AND(INDEX(Mitarbeiter!$D$6:$D$205,MATCH(B3688,Mitarbeiter!$A$6:$A$205,0))&lt;&gt;"",A3688&gt;INDEX(Mitarbeiter!$D$6:$D$205,MATCH(B3688,Mitarbeiter!$A$6:$A$205,0))),"nach Austritt","ok")))))))</f>
        <v/>
      </c>
    </row>
    <row r="3689">
      <c r="A3689" s="26" t="n"/>
      <c r="B3689" s="24" t="n"/>
      <c r="C3689" s="40">
        <f>IF(B3689="","",IFERROR(INDEX(Mitarbeiter!$B$6:$B$205,MATCH(B3689,Mitarbeiter!$A$6:$A$205,0)),"?"))</f>
        <v/>
      </c>
      <c r="D3689" s="41" t="n"/>
      <c r="E3689" s="42" t="n"/>
      <c r="F3689" s="43" t="n"/>
      <c r="G3689" s="44">
        <f>IF(OR(B3689="",F3689=""),"",IFERROR(F3689*INDEX(Mitarbeiter!$F$6:$F$205,MATCH(B3689,Mitarbeiter!$A$6:$A$205,0)),0))</f>
        <v/>
      </c>
      <c r="H3689" s="8">
        <f>IF(B3689="","",IF(ISNA(MATCH(B3689,Mitarbeiter!$A$6:$A$205,0)),"Pers.-Nr. unbekannt",IF(A3689="","Datum fehlt",IF(AND(D3689&lt;&gt;Einstellungen!$C$4,D3689&lt;&gt;Einstellungen!$C$5),"Objekt fehlt",IF(YEAR(A3689)&lt;&gt;Einstellungen!$C$3,"anderes Jahr",IF(A3689&lt;INDEX(Mitarbeiter!$C$6:$C$205,MATCH(B3689,Mitarbeiter!$A$6:$A$205,0)),"vor Eintritt",IF(AND(INDEX(Mitarbeiter!$D$6:$D$205,MATCH(B3689,Mitarbeiter!$A$6:$A$205,0))&lt;&gt;"",A3689&gt;INDEX(Mitarbeiter!$D$6:$D$205,MATCH(B3689,Mitarbeiter!$A$6:$A$205,0))),"nach Austritt","ok")))))))</f>
        <v/>
      </c>
    </row>
    <row r="3690">
      <c r="A3690" s="26" t="n"/>
      <c r="B3690" s="24" t="n"/>
      <c r="C3690" s="40">
        <f>IF(B3690="","",IFERROR(INDEX(Mitarbeiter!$B$6:$B$205,MATCH(B3690,Mitarbeiter!$A$6:$A$205,0)),"?"))</f>
        <v/>
      </c>
      <c r="D3690" s="41" t="n"/>
      <c r="E3690" s="42" t="n"/>
      <c r="F3690" s="43" t="n"/>
      <c r="G3690" s="44">
        <f>IF(OR(B3690="",F3690=""),"",IFERROR(F3690*INDEX(Mitarbeiter!$F$6:$F$205,MATCH(B3690,Mitarbeiter!$A$6:$A$205,0)),0))</f>
        <v/>
      </c>
      <c r="H3690" s="8">
        <f>IF(B3690="","",IF(ISNA(MATCH(B3690,Mitarbeiter!$A$6:$A$205,0)),"Pers.-Nr. unbekannt",IF(A3690="","Datum fehlt",IF(AND(D3690&lt;&gt;Einstellungen!$C$4,D3690&lt;&gt;Einstellungen!$C$5),"Objekt fehlt",IF(YEAR(A3690)&lt;&gt;Einstellungen!$C$3,"anderes Jahr",IF(A3690&lt;INDEX(Mitarbeiter!$C$6:$C$205,MATCH(B3690,Mitarbeiter!$A$6:$A$205,0)),"vor Eintritt",IF(AND(INDEX(Mitarbeiter!$D$6:$D$205,MATCH(B3690,Mitarbeiter!$A$6:$A$205,0))&lt;&gt;"",A3690&gt;INDEX(Mitarbeiter!$D$6:$D$205,MATCH(B3690,Mitarbeiter!$A$6:$A$205,0))),"nach Austritt","ok")))))))</f>
        <v/>
      </c>
    </row>
    <row r="3691">
      <c r="A3691" s="26" t="n"/>
      <c r="B3691" s="24" t="n"/>
      <c r="C3691" s="40">
        <f>IF(B3691="","",IFERROR(INDEX(Mitarbeiter!$B$6:$B$205,MATCH(B3691,Mitarbeiter!$A$6:$A$205,0)),"?"))</f>
        <v/>
      </c>
      <c r="D3691" s="41" t="n"/>
      <c r="E3691" s="42" t="n"/>
      <c r="F3691" s="43" t="n"/>
      <c r="G3691" s="44">
        <f>IF(OR(B3691="",F3691=""),"",IFERROR(F3691*INDEX(Mitarbeiter!$F$6:$F$205,MATCH(B3691,Mitarbeiter!$A$6:$A$205,0)),0))</f>
        <v/>
      </c>
      <c r="H3691" s="8">
        <f>IF(B3691="","",IF(ISNA(MATCH(B3691,Mitarbeiter!$A$6:$A$205,0)),"Pers.-Nr. unbekannt",IF(A3691="","Datum fehlt",IF(AND(D3691&lt;&gt;Einstellungen!$C$4,D3691&lt;&gt;Einstellungen!$C$5),"Objekt fehlt",IF(YEAR(A3691)&lt;&gt;Einstellungen!$C$3,"anderes Jahr",IF(A3691&lt;INDEX(Mitarbeiter!$C$6:$C$205,MATCH(B3691,Mitarbeiter!$A$6:$A$205,0)),"vor Eintritt",IF(AND(INDEX(Mitarbeiter!$D$6:$D$205,MATCH(B3691,Mitarbeiter!$A$6:$A$205,0))&lt;&gt;"",A3691&gt;INDEX(Mitarbeiter!$D$6:$D$205,MATCH(B3691,Mitarbeiter!$A$6:$A$205,0))),"nach Austritt","ok")))))))</f>
        <v/>
      </c>
    </row>
    <row r="3692">
      <c r="A3692" s="26" t="n"/>
      <c r="B3692" s="24" t="n"/>
      <c r="C3692" s="40">
        <f>IF(B3692="","",IFERROR(INDEX(Mitarbeiter!$B$6:$B$205,MATCH(B3692,Mitarbeiter!$A$6:$A$205,0)),"?"))</f>
        <v/>
      </c>
      <c r="D3692" s="41" t="n"/>
      <c r="E3692" s="42" t="n"/>
      <c r="F3692" s="43" t="n"/>
      <c r="G3692" s="44">
        <f>IF(OR(B3692="",F3692=""),"",IFERROR(F3692*INDEX(Mitarbeiter!$F$6:$F$205,MATCH(B3692,Mitarbeiter!$A$6:$A$205,0)),0))</f>
        <v/>
      </c>
      <c r="H3692" s="8">
        <f>IF(B3692="","",IF(ISNA(MATCH(B3692,Mitarbeiter!$A$6:$A$205,0)),"Pers.-Nr. unbekannt",IF(A3692="","Datum fehlt",IF(AND(D3692&lt;&gt;Einstellungen!$C$4,D3692&lt;&gt;Einstellungen!$C$5),"Objekt fehlt",IF(YEAR(A3692)&lt;&gt;Einstellungen!$C$3,"anderes Jahr",IF(A3692&lt;INDEX(Mitarbeiter!$C$6:$C$205,MATCH(B3692,Mitarbeiter!$A$6:$A$205,0)),"vor Eintritt",IF(AND(INDEX(Mitarbeiter!$D$6:$D$205,MATCH(B3692,Mitarbeiter!$A$6:$A$205,0))&lt;&gt;"",A3692&gt;INDEX(Mitarbeiter!$D$6:$D$205,MATCH(B3692,Mitarbeiter!$A$6:$A$205,0))),"nach Austritt","ok")))))))</f>
        <v/>
      </c>
    </row>
    <row r="3693">
      <c r="A3693" s="26" t="n"/>
      <c r="B3693" s="24" t="n"/>
      <c r="C3693" s="40">
        <f>IF(B3693="","",IFERROR(INDEX(Mitarbeiter!$B$6:$B$205,MATCH(B3693,Mitarbeiter!$A$6:$A$205,0)),"?"))</f>
        <v/>
      </c>
      <c r="D3693" s="41" t="n"/>
      <c r="E3693" s="42" t="n"/>
      <c r="F3693" s="43" t="n"/>
      <c r="G3693" s="44">
        <f>IF(OR(B3693="",F3693=""),"",IFERROR(F3693*INDEX(Mitarbeiter!$F$6:$F$205,MATCH(B3693,Mitarbeiter!$A$6:$A$205,0)),0))</f>
        <v/>
      </c>
      <c r="H3693" s="8">
        <f>IF(B3693="","",IF(ISNA(MATCH(B3693,Mitarbeiter!$A$6:$A$205,0)),"Pers.-Nr. unbekannt",IF(A3693="","Datum fehlt",IF(AND(D3693&lt;&gt;Einstellungen!$C$4,D3693&lt;&gt;Einstellungen!$C$5),"Objekt fehlt",IF(YEAR(A3693)&lt;&gt;Einstellungen!$C$3,"anderes Jahr",IF(A3693&lt;INDEX(Mitarbeiter!$C$6:$C$205,MATCH(B3693,Mitarbeiter!$A$6:$A$205,0)),"vor Eintritt",IF(AND(INDEX(Mitarbeiter!$D$6:$D$205,MATCH(B3693,Mitarbeiter!$A$6:$A$205,0))&lt;&gt;"",A3693&gt;INDEX(Mitarbeiter!$D$6:$D$205,MATCH(B3693,Mitarbeiter!$A$6:$A$205,0))),"nach Austritt","ok")))))))</f>
        <v/>
      </c>
    </row>
    <row r="3694">
      <c r="A3694" s="26" t="n"/>
      <c r="B3694" s="24" t="n"/>
      <c r="C3694" s="40">
        <f>IF(B3694="","",IFERROR(INDEX(Mitarbeiter!$B$6:$B$205,MATCH(B3694,Mitarbeiter!$A$6:$A$205,0)),"?"))</f>
        <v/>
      </c>
      <c r="D3694" s="41" t="n"/>
      <c r="E3694" s="42" t="n"/>
      <c r="F3694" s="43" t="n"/>
      <c r="G3694" s="44">
        <f>IF(OR(B3694="",F3694=""),"",IFERROR(F3694*INDEX(Mitarbeiter!$F$6:$F$205,MATCH(B3694,Mitarbeiter!$A$6:$A$205,0)),0))</f>
        <v/>
      </c>
      <c r="H3694" s="8">
        <f>IF(B3694="","",IF(ISNA(MATCH(B3694,Mitarbeiter!$A$6:$A$205,0)),"Pers.-Nr. unbekannt",IF(A3694="","Datum fehlt",IF(AND(D3694&lt;&gt;Einstellungen!$C$4,D3694&lt;&gt;Einstellungen!$C$5),"Objekt fehlt",IF(YEAR(A3694)&lt;&gt;Einstellungen!$C$3,"anderes Jahr",IF(A3694&lt;INDEX(Mitarbeiter!$C$6:$C$205,MATCH(B3694,Mitarbeiter!$A$6:$A$205,0)),"vor Eintritt",IF(AND(INDEX(Mitarbeiter!$D$6:$D$205,MATCH(B3694,Mitarbeiter!$A$6:$A$205,0))&lt;&gt;"",A3694&gt;INDEX(Mitarbeiter!$D$6:$D$205,MATCH(B3694,Mitarbeiter!$A$6:$A$205,0))),"nach Austritt","ok")))))))</f>
        <v/>
      </c>
    </row>
    <row r="3695">
      <c r="A3695" s="26" t="n"/>
      <c r="B3695" s="24" t="n"/>
      <c r="C3695" s="40">
        <f>IF(B3695="","",IFERROR(INDEX(Mitarbeiter!$B$6:$B$205,MATCH(B3695,Mitarbeiter!$A$6:$A$205,0)),"?"))</f>
        <v/>
      </c>
      <c r="D3695" s="41" t="n"/>
      <c r="E3695" s="42" t="n"/>
      <c r="F3695" s="43" t="n"/>
      <c r="G3695" s="44">
        <f>IF(OR(B3695="",F3695=""),"",IFERROR(F3695*INDEX(Mitarbeiter!$F$6:$F$205,MATCH(B3695,Mitarbeiter!$A$6:$A$205,0)),0))</f>
        <v/>
      </c>
      <c r="H3695" s="8">
        <f>IF(B3695="","",IF(ISNA(MATCH(B3695,Mitarbeiter!$A$6:$A$205,0)),"Pers.-Nr. unbekannt",IF(A3695="","Datum fehlt",IF(AND(D3695&lt;&gt;Einstellungen!$C$4,D3695&lt;&gt;Einstellungen!$C$5),"Objekt fehlt",IF(YEAR(A3695)&lt;&gt;Einstellungen!$C$3,"anderes Jahr",IF(A3695&lt;INDEX(Mitarbeiter!$C$6:$C$205,MATCH(B3695,Mitarbeiter!$A$6:$A$205,0)),"vor Eintritt",IF(AND(INDEX(Mitarbeiter!$D$6:$D$205,MATCH(B3695,Mitarbeiter!$A$6:$A$205,0))&lt;&gt;"",A3695&gt;INDEX(Mitarbeiter!$D$6:$D$205,MATCH(B3695,Mitarbeiter!$A$6:$A$205,0))),"nach Austritt","ok")))))))</f>
        <v/>
      </c>
    </row>
    <row r="3696">
      <c r="A3696" s="26" t="n"/>
      <c r="B3696" s="24" t="n"/>
      <c r="C3696" s="40">
        <f>IF(B3696="","",IFERROR(INDEX(Mitarbeiter!$B$6:$B$205,MATCH(B3696,Mitarbeiter!$A$6:$A$205,0)),"?"))</f>
        <v/>
      </c>
      <c r="D3696" s="41" t="n"/>
      <c r="E3696" s="42" t="n"/>
      <c r="F3696" s="43" t="n"/>
      <c r="G3696" s="44">
        <f>IF(OR(B3696="",F3696=""),"",IFERROR(F3696*INDEX(Mitarbeiter!$F$6:$F$205,MATCH(B3696,Mitarbeiter!$A$6:$A$205,0)),0))</f>
        <v/>
      </c>
      <c r="H3696" s="8">
        <f>IF(B3696="","",IF(ISNA(MATCH(B3696,Mitarbeiter!$A$6:$A$205,0)),"Pers.-Nr. unbekannt",IF(A3696="","Datum fehlt",IF(AND(D3696&lt;&gt;Einstellungen!$C$4,D3696&lt;&gt;Einstellungen!$C$5),"Objekt fehlt",IF(YEAR(A3696)&lt;&gt;Einstellungen!$C$3,"anderes Jahr",IF(A3696&lt;INDEX(Mitarbeiter!$C$6:$C$205,MATCH(B3696,Mitarbeiter!$A$6:$A$205,0)),"vor Eintritt",IF(AND(INDEX(Mitarbeiter!$D$6:$D$205,MATCH(B3696,Mitarbeiter!$A$6:$A$205,0))&lt;&gt;"",A3696&gt;INDEX(Mitarbeiter!$D$6:$D$205,MATCH(B3696,Mitarbeiter!$A$6:$A$205,0))),"nach Austritt","ok")))))))</f>
        <v/>
      </c>
    </row>
    <row r="3697">
      <c r="A3697" s="26" t="n"/>
      <c r="B3697" s="24" t="n"/>
      <c r="C3697" s="40">
        <f>IF(B3697="","",IFERROR(INDEX(Mitarbeiter!$B$6:$B$205,MATCH(B3697,Mitarbeiter!$A$6:$A$205,0)),"?"))</f>
        <v/>
      </c>
      <c r="D3697" s="41" t="n"/>
      <c r="E3697" s="42" t="n"/>
      <c r="F3697" s="43" t="n"/>
      <c r="G3697" s="44">
        <f>IF(OR(B3697="",F3697=""),"",IFERROR(F3697*INDEX(Mitarbeiter!$F$6:$F$205,MATCH(B3697,Mitarbeiter!$A$6:$A$205,0)),0))</f>
        <v/>
      </c>
      <c r="H3697" s="8">
        <f>IF(B3697="","",IF(ISNA(MATCH(B3697,Mitarbeiter!$A$6:$A$205,0)),"Pers.-Nr. unbekannt",IF(A3697="","Datum fehlt",IF(AND(D3697&lt;&gt;Einstellungen!$C$4,D3697&lt;&gt;Einstellungen!$C$5),"Objekt fehlt",IF(YEAR(A3697)&lt;&gt;Einstellungen!$C$3,"anderes Jahr",IF(A3697&lt;INDEX(Mitarbeiter!$C$6:$C$205,MATCH(B3697,Mitarbeiter!$A$6:$A$205,0)),"vor Eintritt",IF(AND(INDEX(Mitarbeiter!$D$6:$D$205,MATCH(B3697,Mitarbeiter!$A$6:$A$205,0))&lt;&gt;"",A3697&gt;INDEX(Mitarbeiter!$D$6:$D$205,MATCH(B3697,Mitarbeiter!$A$6:$A$205,0))),"nach Austritt","ok")))))))</f>
        <v/>
      </c>
    </row>
    <row r="3698">
      <c r="A3698" s="26" t="n"/>
      <c r="B3698" s="24" t="n"/>
      <c r="C3698" s="40">
        <f>IF(B3698="","",IFERROR(INDEX(Mitarbeiter!$B$6:$B$205,MATCH(B3698,Mitarbeiter!$A$6:$A$205,0)),"?"))</f>
        <v/>
      </c>
      <c r="D3698" s="41" t="n"/>
      <c r="E3698" s="42" t="n"/>
      <c r="F3698" s="43" t="n"/>
      <c r="G3698" s="44">
        <f>IF(OR(B3698="",F3698=""),"",IFERROR(F3698*INDEX(Mitarbeiter!$F$6:$F$205,MATCH(B3698,Mitarbeiter!$A$6:$A$205,0)),0))</f>
        <v/>
      </c>
      <c r="H3698" s="8">
        <f>IF(B3698="","",IF(ISNA(MATCH(B3698,Mitarbeiter!$A$6:$A$205,0)),"Pers.-Nr. unbekannt",IF(A3698="","Datum fehlt",IF(AND(D3698&lt;&gt;Einstellungen!$C$4,D3698&lt;&gt;Einstellungen!$C$5),"Objekt fehlt",IF(YEAR(A3698)&lt;&gt;Einstellungen!$C$3,"anderes Jahr",IF(A3698&lt;INDEX(Mitarbeiter!$C$6:$C$205,MATCH(B3698,Mitarbeiter!$A$6:$A$205,0)),"vor Eintritt",IF(AND(INDEX(Mitarbeiter!$D$6:$D$205,MATCH(B3698,Mitarbeiter!$A$6:$A$205,0))&lt;&gt;"",A3698&gt;INDEX(Mitarbeiter!$D$6:$D$205,MATCH(B3698,Mitarbeiter!$A$6:$A$205,0))),"nach Austritt","ok")))))))</f>
        <v/>
      </c>
    </row>
    <row r="3699">
      <c r="A3699" s="26" t="n"/>
      <c r="B3699" s="24" t="n"/>
      <c r="C3699" s="40">
        <f>IF(B3699="","",IFERROR(INDEX(Mitarbeiter!$B$6:$B$205,MATCH(B3699,Mitarbeiter!$A$6:$A$205,0)),"?"))</f>
        <v/>
      </c>
      <c r="D3699" s="41" t="n"/>
      <c r="E3699" s="42" t="n"/>
      <c r="F3699" s="43" t="n"/>
      <c r="G3699" s="44">
        <f>IF(OR(B3699="",F3699=""),"",IFERROR(F3699*INDEX(Mitarbeiter!$F$6:$F$205,MATCH(B3699,Mitarbeiter!$A$6:$A$205,0)),0))</f>
        <v/>
      </c>
      <c r="H3699" s="8">
        <f>IF(B3699="","",IF(ISNA(MATCH(B3699,Mitarbeiter!$A$6:$A$205,0)),"Pers.-Nr. unbekannt",IF(A3699="","Datum fehlt",IF(AND(D3699&lt;&gt;Einstellungen!$C$4,D3699&lt;&gt;Einstellungen!$C$5),"Objekt fehlt",IF(YEAR(A3699)&lt;&gt;Einstellungen!$C$3,"anderes Jahr",IF(A3699&lt;INDEX(Mitarbeiter!$C$6:$C$205,MATCH(B3699,Mitarbeiter!$A$6:$A$205,0)),"vor Eintritt",IF(AND(INDEX(Mitarbeiter!$D$6:$D$205,MATCH(B3699,Mitarbeiter!$A$6:$A$205,0))&lt;&gt;"",A3699&gt;INDEX(Mitarbeiter!$D$6:$D$205,MATCH(B3699,Mitarbeiter!$A$6:$A$205,0))),"nach Austritt","ok")))))))</f>
        <v/>
      </c>
    </row>
    <row r="3700">
      <c r="A3700" s="26" t="n"/>
      <c r="B3700" s="24" t="n"/>
      <c r="C3700" s="40">
        <f>IF(B3700="","",IFERROR(INDEX(Mitarbeiter!$B$6:$B$205,MATCH(B3700,Mitarbeiter!$A$6:$A$205,0)),"?"))</f>
        <v/>
      </c>
      <c r="D3700" s="41" t="n"/>
      <c r="E3700" s="42" t="n"/>
      <c r="F3700" s="43" t="n"/>
      <c r="G3700" s="44">
        <f>IF(OR(B3700="",F3700=""),"",IFERROR(F3700*INDEX(Mitarbeiter!$F$6:$F$205,MATCH(B3700,Mitarbeiter!$A$6:$A$205,0)),0))</f>
        <v/>
      </c>
      <c r="H3700" s="8">
        <f>IF(B3700="","",IF(ISNA(MATCH(B3700,Mitarbeiter!$A$6:$A$205,0)),"Pers.-Nr. unbekannt",IF(A3700="","Datum fehlt",IF(AND(D3700&lt;&gt;Einstellungen!$C$4,D3700&lt;&gt;Einstellungen!$C$5),"Objekt fehlt",IF(YEAR(A3700)&lt;&gt;Einstellungen!$C$3,"anderes Jahr",IF(A3700&lt;INDEX(Mitarbeiter!$C$6:$C$205,MATCH(B3700,Mitarbeiter!$A$6:$A$205,0)),"vor Eintritt",IF(AND(INDEX(Mitarbeiter!$D$6:$D$205,MATCH(B3700,Mitarbeiter!$A$6:$A$205,0))&lt;&gt;"",A3700&gt;INDEX(Mitarbeiter!$D$6:$D$205,MATCH(B3700,Mitarbeiter!$A$6:$A$205,0))),"nach Austritt","ok")))))))</f>
        <v/>
      </c>
    </row>
    <row r="3701">
      <c r="A3701" s="26" t="n"/>
      <c r="B3701" s="24" t="n"/>
      <c r="C3701" s="40">
        <f>IF(B3701="","",IFERROR(INDEX(Mitarbeiter!$B$6:$B$205,MATCH(B3701,Mitarbeiter!$A$6:$A$205,0)),"?"))</f>
        <v/>
      </c>
      <c r="D3701" s="41" t="n"/>
      <c r="E3701" s="42" t="n"/>
      <c r="F3701" s="43" t="n"/>
      <c r="G3701" s="44">
        <f>IF(OR(B3701="",F3701=""),"",IFERROR(F3701*INDEX(Mitarbeiter!$F$6:$F$205,MATCH(B3701,Mitarbeiter!$A$6:$A$205,0)),0))</f>
        <v/>
      </c>
      <c r="H3701" s="8">
        <f>IF(B3701="","",IF(ISNA(MATCH(B3701,Mitarbeiter!$A$6:$A$205,0)),"Pers.-Nr. unbekannt",IF(A3701="","Datum fehlt",IF(AND(D3701&lt;&gt;Einstellungen!$C$4,D3701&lt;&gt;Einstellungen!$C$5),"Objekt fehlt",IF(YEAR(A3701)&lt;&gt;Einstellungen!$C$3,"anderes Jahr",IF(A3701&lt;INDEX(Mitarbeiter!$C$6:$C$205,MATCH(B3701,Mitarbeiter!$A$6:$A$205,0)),"vor Eintritt",IF(AND(INDEX(Mitarbeiter!$D$6:$D$205,MATCH(B3701,Mitarbeiter!$A$6:$A$205,0))&lt;&gt;"",A3701&gt;INDEX(Mitarbeiter!$D$6:$D$205,MATCH(B3701,Mitarbeiter!$A$6:$A$205,0))),"nach Austritt","ok")))))))</f>
        <v/>
      </c>
    </row>
    <row r="3702">
      <c r="A3702" s="26" t="n"/>
      <c r="B3702" s="24" t="n"/>
      <c r="C3702" s="40">
        <f>IF(B3702="","",IFERROR(INDEX(Mitarbeiter!$B$6:$B$205,MATCH(B3702,Mitarbeiter!$A$6:$A$205,0)),"?"))</f>
        <v/>
      </c>
      <c r="D3702" s="41" t="n"/>
      <c r="E3702" s="42" t="n"/>
      <c r="F3702" s="43" t="n"/>
      <c r="G3702" s="44">
        <f>IF(OR(B3702="",F3702=""),"",IFERROR(F3702*INDEX(Mitarbeiter!$F$6:$F$205,MATCH(B3702,Mitarbeiter!$A$6:$A$205,0)),0))</f>
        <v/>
      </c>
      <c r="H3702" s="8">
        <f>IF(B3702="","",IF(ISNA(MATCH(B3702,Mitarbeiter!$A$6:$A$205,0)),"Pers.-Nr. unbekannt",IF(A3702="","Datum fehlt",IF(AND(D3702&lt;&gt;Einstellungen!$C$4,D3702&lt;&gt;Einstellungen!$C$5),"Objekt fehlt",IF(YEAR(A3702)&lt;&gt;Einstellungen!$C$3,"anderes Jahr",IF(A3702&lt;INDEX(Mitarbeiter!$C$6:$C$205,MATCH(B3702,Mitarbeiter!$A$6:$A$205,0)),"vor Eintritt",IF(AND(INDEX(Mitarbeiter!$D$6:$D$205,MATCH(B3702,Mitarbeiter!$A$6:$A$205,0))&lt;&gt;"",A3702&gt;INDEX(Mitarbeiter!$D$6:$D$205,MATCH(B3702,Mitarbeiter!$A$6:$A$205,0))),"nach Austritt","ok")))))))</f>
        <v/>
      </c>
    </row>
    <row r="3703">
      <c r="A3703" s="26" t="n"/>
      <c r="B3703" s="24" t="n"/>
      <c r="C3703" s="40">
        <f>IF(B3703="","",IFERROR(INDEX(Mitarbeiter!$B$6:$B$205,MATCH(B3703,Mitarbeiter!$A$6:$A$205,0)),"?"))</f>
        <v/>
      </c>
      <c r="D3703" s="41" t="n"/>
      <c r="E3703" s="42" t="n"/>
      <c r="F3703" s="43" t="n"/>
      <c r="G3703" s="44">
        <f>IF(OR(B3703="",F3703=""),"",IFERROR(F3703*INDEX(Mitarbeiter!$F$6:$F$205,MATCH(B3703,Mitarbeiter!$A$6:$A$205,0)),0))</f>
        <v/>
      </c>
      <c r="H3703" s="8">
        <f>IF(B3703="","",IF(ISNA(MATCH(B3703,Mitarbeiter!$A$6:$A$205,0)),"Pers.-Nr. unbekannt",IF(A3703="","Datum fehlt",IF(AND(D3703&lt;&gt;Einstellungen!$C$4,D3703&lt;&gt;Einstellungen!$C$5),"Objekt fehlt",IF(YEAR(A3703)&lt;&gt;Einstellungen!$C$3,"anderes Jahr",IF(A3703&lt;INDEX(Mitarbeiter!$C$6:$C$205,MATCH(B3703,Mitarbeiter!$A$6:$A$205,0)),"vor Eintritt",IF(AND(INDEX(Mitarbeiter!$D$6:$D$205,MATCH(B3703,Mitarbeiter!$A$6:$A$205,0))&lt;&gt;"",A3703&gt;INDEX(Mitarbeiter!$D$6:$D$205,MATCH(B3703,Mitarbeiter!$A$6:$A$205,0))),"nach Austritt","ok")))))))</f>
        <v/>
      </c>
    </row>
    <row r="3704">
      <c r="A3704" s="26" t="n"/>
      <c r="B3704" s="24" t="n"/>
      <c r="C3704" s="40">
        <f>IF(B3704="","",IFERROR(INDEX(Mitarbeiter!$B$6:$B$205,MATCH(B3704,Mitarbeiter!$A$6:$A$205,0)),"?"))</f>
        <v/>
      </c>
      <c r="D3704" s="41" t="n"/>
      <c r="E3704" s="42" t="n"/>
      <c r="F3704" s="43" t="n"/>
      <c r="G3704" s="44">
        <f>IF(OR(B3704="",F3704=""),"",IFERROR(F3704*INDEX(Mitarbeiter!$F$6:$F$205,MATCH(B3704,Mitarbeiter!$A$6:$A$205,0)),0))</f>
        <v/>
      </c>
      <c r="H3704" s="8">
        <f>IF(B3704="","",IF(ISNA(MATCH(B3704,Mitarbeiter!$A$6:$A$205,0)),"Pers.-Nr. unbekannt",IF(A3704="","Datum fehlt",IF(AND(D3704&lt;&gt;Einstellungen!$C$4,D3704&lt;&gt;Einstellungen!$C$5),"Objekt fehlt",IF(YEAR(A3704)&lt;&gt;Einstellungen!$C$3,"anderes Jahr",IF(A3704&lt;INDEX(Mitarbeiter!$C$6:$C$205,MATCH(B3704,Mitarbeiter!$A$6:$A$205,0)),"vor Eintritt",IF(AND(INDEX(Mitarbeiter!$D$6:$D$205,MATCH(B3704,Mitarbeiter!$A$6:$A$205,0))&lt;&gt;"",A3704&gt;INDEX(Mitarbeiter!$D$6:$D$205,MATCH(B3704,Mitarbeiter!$A$6:$A$205,0))),"nach Austritt","ok")))))))</f>
        <v/>
      </c>
    </row>
    <row r="3705">
      <c r="A3705" s="26" t="n"/>
      <c r="B3705" s="24" t="n"/>
      <c r="C3705" s="40">
        <f>IF(B3705="","",IFERROR(INDEX(Mitarbeiter!$B$6:$B$205,MATCH(B3705,Mitarbeiter!$A$6:$A$205,0)),"?"))</f>
        <v/>
      </c>
      <c r="D3705" s="41" t="n"/>
      <c r="E3705" s="42" t="n"/>
      <c r="F3705" s="43" t="n"/>
      <c r="G3705" s="44">
        <f>IF(OR(B3705="",F3705=""),"",IFERROR(F3705*INDEX(Mitarbeiter!$F$6:$F$205,MATCH(B3705,Mitarbeiter!$A$6:$A$205,0)),0))</f>
        <v/>
      </c>
      <c r="H3705" s="8">
        <f>IF(B3705="","",IF(ISNA(MATCH(B3705,Mitarbeiter!$A$6:$A$205,0)),"Pers.-Nr. unbekannt",IF(A3705="","Datum fehlt",IF(AND(D3705&lt;&gt;Einstellungen!$C$4,D3705&lt;&gt;Einstellungen!$C$5),"Objekt fehlt",IF(YEAR(A3705)&lt;&gt;Einstellungen!$C$3,"anderes Jahr",IF(A3705&lt;INDEX(Mitarbeiter!$C$6:$C$205,MATCH(B3705,Mitarbeiter!$A$6:$A$205,0)),"vor Eintritt",IF(AND(INDEX(Mitarbeiter!$D$6:$D$205,MATCH(B3705,Mitarbeiter!$A$6:$A$205,0))&lt;&gt;"",A3705&gt;INDEX(Mitarbeiter!$D$6:$D$205,MATCH(B3705,Mitarbeiter!$A$6:$A$205,0))),"nach Austritt","ok")))))))</f>
        <v/>
      </c>
    </row>
    <row r="3706">
      <c r="A3706" s="26" t="n"/>
      <c r="B3706" s="24" t="n"/>
      <c r="C3706" s="40">
        <f>IF(B3706="","",IFERROR(INDEX(Mitarbeiter!$B$6:$B$205,MATCH(B3706,Mitarbeiter!$A$6:$A$205,0)),"?"))</f>
        <v/>
      </c>
      <c r="D3706" s="41" t="n"/>
      <c r="E3706" s="42" t="n"/>
      <c r="F3706" s="43" t="n"/>
      <c r="G3706" s="44">
        <f>IF(OR(B3706="",F3706=""),"",IFERROR(F3706*INDEX(Mitarbeiter!$F$6:$F$205,MATCH(B3706,Mitarbeiter!$A$6:$A$205,0)),0))</f>
        <v/>
      </c>
      <c r="H3706" s="8">
        <f>IF(B3706="","",IF(ISNA(MATCH(B3706,Mitarbeiter!$A$6:$A$205,0)),"Pers.-Nr. unbekannt",IF(A3706="","Datum fehlt",IF(AND(D3706&lt;&gt;Einstellungen!$C$4,D3706&lt;&gt;Einstellungen!$C$5),"Objekt fehlt",IF(YEAR(A3706)&lt;&gt;Einstellungen!$C$3,"anderes Jahr",IF(A3706&lt;INDEX(Mitarbeiter!$C$6:$C$205,MATCH(B3706,Mitarbeiter!$A$6:$A$205,0)),"vor Eintritt",IF(AND(INDEX(Mitarbeiter!$D$6:$D$205,MATCH(B3706,Mitarbeiter!$A$6:$A$205,0))&lt;&gt;"",A3706&gt;INDEX(Mitarbeiter!$D$6:$D$205,MATCH(B3706,Mitarbeiter!$A$6:$A$205,0))),"nach Austritt","ok")))))))</f>
        <v/>
      </c>
    </row>
    <row r="3707">
      <c r="A3707" s="26" t="n"/>
      <c r="B3707" s="24" t="n"/>
      <c r="C3707" s="40">
        <f>IF(B3707="","",IFERROR(INDEX(Mitarbeiter!$B$6:$B$205,MATCH(B3707,Mitarbeiter!$A$6:$A$205,0)),"?"))</f>
        <v/>
      </c>
      <c r="D3707" s="41" t="n"/>
      <c r="E3707" s="42" t="n"/>
      <c r="F3707" s="43" t="n"/>
      <c r="G3707" s="44">
        <f>IF(OR(B3707="",F3707=""),"",IFERROR(F3707*INDEX(Mitarbeiter!$F$6:$F$205,MATCH(B3707,Mitarbeiter!$A$6:$A$205,0)),0))</f>
        <v/>
      </c>
      <c r="H3707" s="8">
        <f>IF(B3707="","",IF(ISNA(MATCH(B3707,Mitarbeiter!$A$6:$A$205,0)),"Pers.-Nr. unbekannt",IF(A3707="","Datum fehlt",IF(AND(D3707&lt;&gt;Einstellungen!$C$4,D3707&lt;&gt;Einstellungen!$C$5),"Objekt fehlt",IF(YEAR(A3707)&lt;&gt;Einstellungen!$C$3,"anderes Jahr",IF(A3707&lt;INDEX(Mitarbeiter!$C$6:$C$205,MATCH(B3707,Mitarbeiter!$A$6:$A$205,0)),"vor Eintritt",IF(AND(INDEX(Mitarbeiter!$D$6:$D$205,MATCH(B3707,Mitarbeiter!$A$6:$A$205,0))&lt;&gt;"",A3707&gt;INDEX(Mitarbeiter!$D$6:$D$205,MATCH(B3707,Mitarbeiter!$A$6:$A$205,0))),"nach Austritt","ok")))))))</f>
        <v/>
      </c>
    </row>
    <row r="3708">
      <c r="A3708" s="26" t="n"/>
      <c r="B3708" s="24" t="n"/>
      <c r="C3708" s="40">
        <f>IF(B3708="","",IFERROR(INDEX(Mitarbeiter!$B$6:$B$205,MATCH(B3708,Mitarbeiter!$A$6:$A$205,0)),"?"))</f>
        <v/>
      </c>
      <c r="D3708" s="41" t="n"/>
      <c r="E3708" s="42" t="n"/>
      <c r="F3708" s="43" t="n"/>
      <c r="G3708" s="44">
        <f>IF(OR(B3708="",F3708=""),"",IFERROR(F3708*INDEX(Mitarbeiter!$F$6:$F$205,MATCH(B3708,Mitarbeiter!$A$6:$A$205,0)),0))</f>
        <v/>
      </c>
      <c r="H3708" s="8">
        <f>IF(B3708="","",IF(ISNA(MATCH(B3708,Mitarbeiter!$A$6:$A$205,0)),"Pers.-Nr. unbekannt",IF(A3708="","Datum fehlt",IF(AND(D3708&lt;&gt;Einstellungen!$C$4,D3708&lt;&gt;Einstellungen!$C$5),"Objekt fehlt",IF(YEAR(A3708)&lt;&gt;Einstellungen!$C$3,"anderes Jahr",IF(A3708&lt;INDEX(Mitarbeiter!$C$6:$C$205,MATCH(B3708,Mitarbeiter!$A$6:$A$205,0)),"vor Eintritt",IF(AND(INDEX(Mitarbeiter!$D$6:$D$205,MATCH(B3708,Mitarbeiter!$A$6:$A$205,0))&lt;&gt;"",A3708&gt;INDEX(Mitarbeiter!$D$6:$D$205,MATCH(B3708,Mitarbeiter!$A$6:$A$205,0))),"nach Austritt","ok")))))))</f>
        <v/>
      </c>
    </row>
    <row r="3709">
      <c r="A3709" s="26" t="n"/>
      <c r="B3709" s="24" t="n"/>
      <c r="C3709" s="40">
        <f>IF(B3709="","",IFERROR(INDEX(Mitarbeiter!$B$6:$B$205,MATCH(B3709,Mitarbeiter!$A$6:$A$205,0)),"?"))</f>
        <v/>
      </c>
      <c r="D3709" s="41" t="n"/>
      <c r="E3709" s="42" t="n"/>
      <c r="F3709" s="43" t="n"/>
      <c r="G3709" s="44">
        <f>IF(OR(B3709="",F3709=""),"",IFERROR(F3709*INDEX(Mitarbeiter!$F$6:$F$205,MATCH(B3709,Mitarbeiter!$A$6:$A$205,0)),0))</f>
        <v/>
      </c>
      <c r="H3709" s="8">
        <f>IF(B3709="","",IF(ISNA(MATCH(B3709,Mitarbeiter!$A$6:$A$205,0)),"Pers.-Nr. unbekannt",IF(A3709="","Datum fehlt",IF(AND(D3709&lt;&gt;Einstellungen!$C$4,D3709&lt;&gt;Einstellungen!$C$5),"Objekt fehlt",IF(YEAR(A3709)&lt;&gt;Einstellungen!$C$3,"anderes Jahr",IF(A3709&lt;INDEX(Mitarbeiter!$C$6:$C$205,MATCH(B3709,Mitarbeiter!$A$6:$A$205,0)),"vor Eintritt",IF(AND(INDEX(Mitarbeiter!$D$6:$D$205,MATCH(B3709,Mitarbeiter!$A$6:$A$205,0))&lt;&gt;"",A3709&gt;INDEX(Mitarbeiter!$D$6:$D$205,MATCH(B3709,Mitarbeiter!$A$6:$A$205,0))),"nach Austritt","ok")))))))</f>
        <v/>
      </c>
    </row>
    <row r="3710">
      <c r="A3710" s="26" t="n"/>
      <c r="B3710" s="24" t="n"/>
      <c r="C3710" s="40">
        <f>IF(B3710="","",IFERROR(INDEX(Mitarbeiter!$B$6:$B$205,MATCH(B3710,Mitarbeiter!$A$6:$A$205,0)),"?"))</f>
        <v/>
      </c>
      <c r="D3710" s="41" t="n"/>
      <c r="E3710" s="42" t="n"/>
      <c r="F3710" s="43" t="n"/>
      <c r="G3710" s="44">
        <f>IF(OR(B3710="",F3710=""),"",IFERROR(F3710*INDEX(Mitarbeiter!$F$6:$F$205,MATCH(B3710,Mitarbeiter!$A$6:$A$205,0)),0))</f>
        <v/>
      </c>
      <c r="H3710" s="8">
        <f>IF(B3710="","",IF(ISNA(MATCH(B3710,Mitarbeiter!$A$6:$A$205,0)),"Pers.-Nr. unbekannt",IF(A3710="","Datum fehlt",IF(AND(D3710&lt;&gt;Einstellungen!$C$4,D3710&lt;&gt;Einstellungen!$C$5),"Objekt fehlt",IF(YEAR(A3710)&lt;&gt;Einstellungen!$C$3,"anderes Jahr",IF(A3710&lt;INDEX(Mitarbeiter!$C$6:$C$205,MATCH(B3710,Mitarbeiter!$A$6:$A$205,0)),"vor Eintritt",IF(AND(INDEX(Mitarbeiter!$D$6:$D$205,MATCH(B3710,Mitarbeiter!$A$6:$A$205,0))&lt;&gt;"",A3710&gt;INDEX(Mitarbeiter!$D$6:$D$205,MATCH(B3710,Mitarbeiter!$A$6:$A$205,0))),"nach Austritt","ok")))))))</f>
        <v/>
      </c>
    </row>
    <row r="3711">
      <c r="A3711" s="26" t="n"/>
      <c r="B3711" s="24" t="n"/>
      <c r="C3711" s="40">
        <f>IF(B3711="","",IFERROR(INDEX(Mitarbeiter!$B$6:$B$205,MATCH(B3711,Mitarbeiter!$A$6:$A$205,0)),"?"))</f>
        <v/>
      </c>
      <c r="D3711" s="41" t="n"/>
      <c r="E3711" s="42" t="n"/>
      <c r="F3711" s="43" t="n"/>
      <c r="G3711" s="44">
        <f>IF(OR(B3711="",F3711=""),"",IFERROR(F3711*INDEX(Mitarbeiter!$F$6:$F$205,MATCH(B3711,Mitarbeiter!$A$6:$A$205,0)),0))</f>
        <v/>
      </c>
      <c r="H3711" s="8">
        <f>IF(B3711="","",IF(ISNA(MATCH(B3711,Mitarbeiter!$A$6:$A$205,0)),"Pers.-Nr. unbekannt",IF(A3711="","Datum fehlt",IF(AND(D3711&lt;&gt;Einstellungen!$C$4,D3711&lt;&gt;Einstellungen!$C$5),"Objekt fehlt",IF(YEAR(A3711)&lt;&gt;Einstellungen!$C$3,"anderes Jahr",IF(A3711&lt;INDEX(Mitarbeiter!$C$6:$C$205,MATCH(B3711,Mitarbeiter!$A$6:$A$205,0)),"vor Eintritt",IF(AND(INDEX(Mitarbeiter!$D$6:$D$205,MATCH(B3711,Mitarbeiter!$A$6:$A$205,0))&lt;&gt;"",A3711&gt;INDEX(Mitarbeiter!$D$6:$D$205,MATCH(B3711,Mitarbeiter!$A$6:$A$205,0))),"nach Austritt","ok")))))))</f>
        <v/>
      </c>
    </row>
    <row r="3712">
      <c r="A3712" s="26" t="n"/>
      <c r="B3712" s="24" t="n"/>
      <c r="C3712" s="40">
        <f>IF(B3712="","",IFERROR(INDEX(Mitarbeiter!$B$6:$B$205,MATCH(B3712,Mitarbeiter!$A$6:$A$205,0)),"?"))</f>
        <v/>
      </c>
      <c r="D3712" s="41" t="n"/>
      <c r="E3712" s="42" t="n"/>
      <c r="F3712" s="43" t="n"/>
      <c r="G3712" s="44">
        <f>IF(OR(B3712="",F3712=""),"",IFERROR(F3712*INDEX(Mitarbeiter!$F$6:$F$205,MATCH(B3712,Mitarbeiter!$A$6:$A$205,0)),0))</f>
        <v/>
      </c>
      <c r="H3712" s="8">
        <f>IF(B3712="","",IF(ISNA(MATCH(B3712,Mitarbeiter!$A$6:$A$205,0)),"Pers.-Nr. unbekannt",IF(A3712="","Datum fehlt",IF(AND(D3712&lt;&gt;Einstellungen!$C$4,D3712&lt;&gt;Einstellungen!$C$5),"Objekt fehlt",IF(YEAR(A3712)&lt;&gt;Einstellungen!$C$3,"anderes Jahr",IF(A3712&lt;INDEX(Mitarbeiter!$C$6:$C$205,MATCH(B3712,Mitarbeiter!$A$6:$A$205,0)),"vor Eintritt",IF(AND(INDEX(Mitarbeiter!$D$6:$D$205,MATCH(B3712,Mitarbeiter!$A$6:$A$205,0))&lt;&gt;"",A3712&gt;INDEX(Mitarbeiter!$D$6:$D$205,MATCH(B3712,Mitarbeiter!$A$6:$A$205,0))),"nach Austritt","ok")))))))</f>
        <v/>
      </c>
    </row>
    <row r="3713">
      <c r="A3713" s="26" t="n"/>
      <c r="B3713" s="24" t="n"/>
      <c r="C3713" s="40">
        <f>IF(B3713="","",IFERROR(INDEX(Mitarbeiter!$B$6:$B$205,MATCH(B3713,Mitarbeiter!$A$6:$A$205,0)),"?"))</f>
        <v/>
      </c>
      <c r="D3713" s="41" t="n"/>
      <c r="E3713" s="42" t="n"/>
      <c r="F3713" s="43" t="n"/>
      <c r="G3713" s="44">
        <f>IF(OR(B3713="",F3713=""),"",IFERROR(F3713*INDEX(Mitarbeiter!$F$6:$F$205,MATCH(B3713,Mitarbeiter!$A$6:$A$205,0)),0))</f>
        <v/>
      </c>
      <c r="H3713" s="8">
        <f>IF(B3713="","",IF(ISNA(MATCH(B3713,Mitarbeiter!$A$6:$A$205,0)),"Pers.-Nr. unbekannt",IF(A3713="","Datum fehlt",IF(AND(D3713&lt;&gt;Einstellungen!$C$4,D3713&lt;&gt;Einstellungen!$C$5),"Objekt fehlt",IF(YEAR(A3713)&lt;&gt;Einstellungen!$C$3,"anderes Jahr",IF(A3713&lt;INDEX(Mitarbeiter!$C$6:$C$205,MATCH(B3713,Mitarbeiter!$A$6:$A$205,0)),"vor Eintritt",IF(AND(INDEX(Mitarbeiter!$D$6:$D$205,MATCH(B3713,Mitarbeiter!$A$6:$A$205,0))&lt;&gt;"",A3713&gt;INDEX(Mitarbeiter!$D$6:$D$205,MATCH(B3713,Mitarbeiter!$A$6:$A$205,0))),"nach Austritt","ok")))))))</f>
        <v/>
      </c>
    </row>
    <row r="3714">
      <c r="A3714" s="26" t="n"/>
      <c r="B3714" s="24" t="n"/>
      <c r="C3714" s="40">
        <f>IF(B3714="","",IFERROR(INDEX(Mitarbeiter!$B$6:$B$205,MATCH(B3714,Mitarbeiter!$A$6:$A$205,0)),"?"))</f>
        <v/>
      </c>
      <c r="D3714" s="41" t="n"/>
      <c r="E3714" s="42" t="n"/>
      <c r="F3714" s="43" t="n"/>
      <c r="G3714" s="44">
        <f>IF(OR(B3714="",F3714=""),"",IFERROR(F3714*INDEX(Mitarbeiter!$F$6:$F$205,MATCH(B3714,Mitarbeiter!$A$6:$A$205,0)),0))</f>
        <v/>
      </c>
      <c r="H3714" s="8">
        <f>IF(B3714="","",IF(ISNA(MATCH(B3714,Mitarbeiter!$A$6:$A$205,0)),"Pers.-Nr. unbekannt",IF(A3714="","Datum fehlt",IF(AND(D3714&lt;&gt;Einstellungen!$C$4,D3714&lt;&gt;Einstellungen!$C$5),"Objekt fehlt",IF(YEAR(A3714)&lt;&gt;Einstellungen!$C$3,"anderes Jahr",IF(A3714&lt;INDEX(Mitarbeiter!$C$6:$C$205,MATCH(B3714,Mitarbeiter!$A$6:$A$205,0)),"vor Eintritt",IF(AND(INDEX(Mitarbeiter!$D$6:$D$205,MATCH(B3714,Mitarbeiter!$A$6:$A$205,0))&lt;&gt;"",A3714&gt;INDEX(Mitarbeiter!$D$6:$D$205,MATCH(B3714,Mitarbeiter!$A$6:$A$205,0))),"nach Austritt","ok")))))))</f>
        <v/>
      </c>
    </row>
    <row r="3715">
      <c r="A3715" s="26" t="n"/>
      <c r="B3715" s="24" t="n"/>
      <c r="C3715" s="40">
        <f>IF(B3715="","",IFERROR(INDEX(Mitarbeiter!$B$6:$B$205,MATCH(B3715,Mitarbeiter!$A$6:$A$205,0)),"?"))</f>
        <v/>
      </c>
      <c r="D3715" s="41" t="n"/>
      <c r="E3715" s="42" t="n"/>
      <c r="F3715" s="43" t="n"/>
      <c r="G3715" s="44">
        <f>IF(OR(B3715="",F3715=""),"",IFERROR(F3715*INDEX(Mitarbeiter!$F$6:$F$205,MATCH(B3715,Mitarbeiter!$A$6:$A$205,0)),0))</f>
        <v/>
      </c>
      <c r="H3715" s="8">
        <f>IF(B3715="","",IF(ISNA(MATCH(B3715,Mitarbeiter!$A$6:$A$205,0)),"Pers.-Nr. unbekannt",IF(A3715="","Datum fehlt",IF(AND(D3715&lt;&gt;Einstellungen!$C$4,D3715&lt;&gt;Einstellungen!$C$5),"Objekt fehlt",IF(YEAR(A3715)&lt;&gt;Einstellungen!$C$3,"anderes Jahr",IF(A3715&lt;INDEX(Mitarbeiter!$C$6:$C$205,MATCH(B3715,Mitarbeiter!$A$6:$A$205,0)),"vor Eintritt",IF(AND(INDEX(Mitarbeiter!$D$6:$D$205,MATCH(B3715,Mitarbeiter!$A$6:$A$205,0))&lt;&gt;"",A3715&gt;INDEX(Mitarbeiter!$D$6:$D$205,MATCH(B3715,Mitarbeiter!$A$6:$A$205,0))),"nach Austritt","ok")))))))</f>
        <v/>
      </c>
    </row>
    <row r="3716">
      <c r="A3716" s="26" t="n"/>
      <c r="B3716" s="24" t="n"/>
      <c r="C3716" s="40">
        <f>IF(B3716="","",IFERROR(INDEX(Mitarbeiter!$B$6:$B$205,MATCH(B3716,Mitarbeiter!$A$6:$A$205,0)),"?"))</f>
        <v/>
      </c>
      <c r="D3716" s="41" t="n"/>
      <c r="E3716" s="42" t="n"/>
      <c r="F3716" s="43" t="n"/>
      <c r="G3716" s="44">
        <f>IF(OR(B3716="",F3716=""),"",IFERROR(F3716*INDEX(Mitarbeiter!$F$6:$F$205,MATCH(B3716,Mitarbeiter!$A$6:$A$205,0)),0))</f>
        <v/>
      </c>
      <c r="H3716" s="8">
        <f>IF(B3716="","",IF(ISNA(MATCH(B3716,Mitarbeiter!$A$6:$A$205,0)),"Pers.-Nr. unbekannt",IF(A3716="","Datum fehlt",IF(AND(D3716&lt;&gt;Einstellungen!$C$4,D3716&lt;&gt;Einstellungen!$C$5),"Objekt fehlt",IF(YEAR(A3716)&lt;&gt;Einstellungen!$C$3,"anderes Jahr",IF(A3716&lt;INDEX(Mitarbeiter!$C$6:$C$205,MATCH(B3716,Mitarbeiter!$A$6:$A$205,0)),"vor Eintritt",IF(AND(INDEX(Mitarbeiter!$D$6:$D$205,MATCH(B3716,Mitarbeiter!$A$6:$A$205,0))&lt;&gt;"",A3716&gt;INDEX(Mitarbeiter!$D$6:$D$205,MATCH(B3716,Mitarbeiter!$A$6:$A$205,0))),"nach Austritt","ok")))))))</f>
        <v/>
      </c>
    </row>
    <row r="3717">
      <c r="A3717" s="26" t="n"/>
      <c r="B3717" s="24" t="n"/>
      <c r="C3717" s="40">
        <f>IF(B3717="","",IFERROR(INDEX(Mitarbeiter!$B$6:$B$205,MATCH(B3717,Mitarbeiter!$A$6:$A$205,0)),"?"))</f>
        <v/>
      </c>
      <c r="D3717" s="41" t="n"/>
      <c r="E3717" s="42" t="n"/>
      <c r="F3717" s="43" t="n"/>
      <c r="G3717" s="44">
        <f>IF(OR(B3717="",F3717=""),"",IFERROR(F3717*INDEX(Mitarbeiter!$F$6:$F$205,MATCH(B3717,Mitarbeiter!$A$6:$A$205,0)),0))</f>
        <v/>
      </c>
      <c r="H3717" s="8">
        <f>IF(B3717="","",IF(ISNA(MATCH(B3717,Mitarbeiter!$A$6:$A$205,0)),"Pers.-Nr. unbekannt",IF(A3717="","Datum fehlt",IF(AND(D3717&lt;&gt;Einstellungen!$C$4,D3717&lt;&gt;Einstellungen!$C$5),"Objekt fehlt",IF(YEAR(A3717)&lt;&gt;Einstellungen!$C$3,"anderes Jahr",IF(A3717&lt;INDEX(Mitarbeiter!$C$6:$C$205,MATCH(B3717,Mitarbeiter!$A$6:$A$205,0)),"vor Eintritt",IF(AND(INDEX(Mitarbeiter!$D$6:$D$205,MATCH(B3717,Mitarbeiter!$A$6:$A$205,0))&lt;&gt;"",A3717&gt;INDEX(Mitarbeiter!$D$6:$D$205,MATCH(B3717,Mitarbeiter!$A$6:$A$205,0))),"nach Austritt","ok")))))))</f>
        <v/>
      </c>
    </row>
    <row r="3718">
      <c r="A3718" s="26" t="n"/>
      <c r="B3718" s="24" t="n"/>
      <c r="C3718" s="40">
        <f>IF(B3718="","",IFERROR(INDEX(Mitarbeiter!$B$6:$B$205,MATCH(B3718,Mitarbeiter!$A$6:$A$205,0)),"?"))</f>
        <v/>
      </c>
      <c r="D3718" s="41" t="n"/>
      <c r="E3718" s="42" t="n"/>
      <c r="F3718" s="43" t="n"/>
      <c r="G3718" s="44">
        <f>IF(OR(B3718="",F3718=""),"",IFERROR(F3718*INDEX(Mitarbeiter!$F$6:$F$205,MATCH(B3718,Mitarbeiter!$A$6:$A$205,0)),0))</f>
        <v/>
      </c>
      <c r="H3718" s="8">
        <f>IF(B3718="","",IF(ISNA(MATCH(B3718,Mitarbeiter!$A$6:$A$205,0)),"Pers.-Nr. unbekannt",IF(A3718="","Datum fehlt",IF(AND(D3718&lt;&gt;Einstellungen!$C$4,D3718&lt;&gt;Einstellungen!$C$5),"Objekt fehlt",IF(YEAR(A3718)&lt;&gt;Einstellungen!$C$3,"anderes Jahr",IF(A3718&lt;INDEX(Mitarbeiter!$C$6:$C$205,MATCH(B3718,Mitarbeiter!$A$6:$A$205,0)),"vor Eintritt",IF(AND(INDEX(Mitarbeiter!$D$6:$D$205,MATCH(B3718,Mitarbeiter!$A$6:$A$205,0))&lt;&gt;"",A3718&gt;INDEX(Mitarbeiter!$D$6:$D$205,MATCH(B3718,Mitarbeiter!$A$6:$A$205,0))),"nach Austritt","ok")))))))</f>
        <v/>
      </c>
    </row>
    <row r="3719">
      <c r="A3719" s="26" t="n"/>
      <c r="B3719" s="24" t="n"/>
      <c r="C3719" s="40">
        <f>IF(B3719="","",IFERROR(INDEX(Mitarbeiter!$B$6:$B$205,MATCH(B3719,Mitarbeiter!$A$6:$A$205,0)),"?"))</f>
        <v/>
      </c>
      <c r="D3719" s="41" t="n"/>
      <c r="E3719" s="42" t="n"/>
      <c r="F3719" s="43" t="n"/>
      <c r="G3719" s="44">
        <f>IF(OR(B3719="",F3719=""),"",IFERROR(F3719*INDEX(Mitarbeiter!$F$6:$F$205,MATCH(B3719,Mitarbeiter!$A$6:$A$205,0)),0))</f>
        <v/>
      </c>
      <c r="H3719" s="8">
        <f>IF(B3719="","",IF(ISNA(MATCH(B3719,Mitarbeiter!$A$6:$A$205,0)),"Pers.-Nr. unbekannt",IF(A3719="","Datum fehlt",IF(AND(D3719&lt;&gt;Einstellungen!$C$4,D3719&lt;&gt;Einstellungen!$C$5),"Objekt fehlt",IF(YEAR(A3719)&lt;&gt;Einstellungen!$C$3,"anderes Jahr",IF(A3719&lt;INDEX(Mitarbeiter!$C$6:$C$205,MATCH(B3719,Mitarbeiter!$A$6:$A$205,0)),"vor Eintritt",IF(AND(INDEX(Mitarbeiter!$D$6:$D$205,MATCH(B3719,Mitarbeiter!$A$6:$A$205,0))&lt;&gt;"",A3719&gt;INDEX(Mitarbeiter!$D$6:$D$205,MATCH(B3719,Mitarbeiter!$A$6:$A$205,0))),"nach Austritt","ok")))))))</f>
        <v/>
      </c>
    </row>
    <row r="3720">
      <c r="A3720" s="26" t="n"/>
      <c r="B3720" s="24" t="n"/>
      <c r="C3720" s="40">
        <f>IF(B3720="","",IFERROR(INDEX(Mitarbeiter!$B$6:$B$205,MATCH(B3720,Mitarbeiter!$A$6:$A$205,0)),"?"))</f>
        <v/>
      </c>
      <c r="D3720" s="41" t="n"/>
      <c r="E3720" s="42" t="n"/>
      <c r="F3720" s="43" t="n"/>
      <c r="G3720" s="44">
        <f>IF(OR(B3720="",F3720=""),"",IFERROR(F3720*INDEX(Mitarbeiter!$F$6:$F$205,MATCH(B3720,Mitarbeiter!$A$6:$A$205,0)),0))</f>
        <v/>
      </c>
      <c r="H3720" s="8">
        <f>IF(B3720="","",IF(ISNA(MATCH(B3720,Mitarbeiter!$A$6:$A$205,0)),"Pers.-Nr. unbekannt",IF(A3720="","Datum fehlt",IF(AND(D3720&lt;&gt;Einstellungen!$C$4,D3720&lt;&gt;Einstellungen!$C$5),"Objekt fehlt",IF(YEAR(A3720)&lt;&gt;Einstellungen!$C$3,"anderes Jahr",IF(A3720&lt;INDEX(Mitarbeiter!$C$6:$C$205,MATCH(B3720,Mitarbeiter!$A$6:$A$205,0)),"vor Eintritt",IF(AND(INDEX(Mitarbeiter!$D$6:$D$205,MATCH(B3720,Mitarbeiter!$A$6:$A$205,0))&lt;&gt;"",A3720&gt;INDEX(Mitarbeiter!$D$6:$D$205,MATCH(B3720,Mitarbeiter!$A$6:$A$205,0))),"nach Austritt","ok")))))))</f>
        <v/>
      </c>
    </row>
    <row r="3721">
      <c r="A3721" s="26" t="n"/>
      <c r="B3721" s="24" t="n"/>
      <c r="C3721" s="40">
        <f>IF(B3721="","",IFERROR(INDEX(Mitarbeiter!$B$6:$B$205,MATCH(B3721,Mitarbeiter!$A$6:$A$205,0)),"?"))</f>
        <v/>
      </c>
      <c r="D3721" s="41" t="n"/>
      <c r="E3721" s="42" t="n"/>
      <c r="F3721" s="43" t="n"/>
      <c r="G3721" s="44">
        <f>IF(OR(B3721="",F3721=""),"",IFERROR(F3721*INDEX(Mitarbeiter!$F$6:$F$205,MATCH(B3721,Mitarbeiter!$A$6:$A$205,0)),0))</f>
        <v/>
      </c>
      <c r="H3721" s="8">
        <f>IF(B3721="","",IF(ISNA(MATCH(B3721,Mitarbeiter!$A$6:$A$205,0)),"Pers.-Nr. unbekannt",IF(A3721="","Datum fehlt",IF(AND(D3721&lt;&gt;Einstellungen!$C$4,D3721&lt;&gt;Einstellungen!$C$5),"Objekt fehlt",IF(YEAR(A3721)&lt;&gt;Einstellungen!$C$3,"anderes Jahr",IF(A3721&lt;INDEX(Mitarbeiter!$C$6:$C$205,MATCH(B3721,Mitarbeiter!$A$6:$A$205,0)),"vor Eintritt",IF(AND(INDEX(Mitarbeiter!$D$6:$D$205,MATCH(B3721,Mitarbeiter!$A$6:$A$205,0))&lt;&gt;"",A3721&gt;INDEX(Mitarbeiter!$D$6:$D$205,MATCH(B3721,Mitarbeiter!$A$6:$A$205,0))),"nach Austritt","ok")))))))</f>
        <v/>
      </c>
    </row>
    <row r="3722">
      <c r="A3722" s="26" t="n"/>
      <c r="B3722" s="24" t="n"/>
      <c r="C3722" s="40">
        <f>IF(B3722="","",IFERROR(INDEX(Mitarbeiter!$B$6:$B$205,MATCH(B3722,Mitarbeiter!$A$6:$A$205,0)),"?"))</f>
        <v/>
      </c>
      <c r="D3722" s="41" t="n"/>
      <c r="E3722" s="42" t="n"/>
      <c r="F3722" s="43" t="n"/>
      <c r="G3722" s="44">
        <f>IF(OR(B3722="",F3722=""),"",IFERROR(F3722*INDEX(Mitarbeiter!$F$6:$F$205,MATCH(B3722,Mitarbeiter!$A$6:$A$205,0)),0))</f>
        <v/>
      </c>
      <c r="H3722" s="8">
        <f>IF(B3722="","",IF(ISNA(MATCH(B3722,Mitarbeiter!$A$6:$A$205,0)),"Pers.-Nr. unbekannt",IF(A3722="","Datum fehlt",IF(AND(D3722&lt;&gt;Einstellungen!$C$4,D3722&lt;&gt;Einstellungen!$C$5),"Objekt fehlt",IF(YEAR(A3722)&lt;&gt;Einstellungen!$C$3,"anderes Jahr",IF(A3722&lt;INDEX(Mitarbeiter!$C$6:$C$205,MATCH(B3722,Mitarbeiter!$A$6:$A$205,0)),"vor Eintritt",IF(AND(INDEX(Mitarbeiter!$D$6:$D$205,MATCH(B3722,Mitarbeiter!$A$6:$A$205,0))&lt;&gt;"",A3722&gt;INDEX(Mitarbeiter!$D$6:$D$205,MATCH(B3722,Mitarbeiter!$A$6:$A$205,0))),"nach Austritt","ok")))))))</f>
        <v/>
      </c>
    </row>
    <row r="3723">
      <c r="A3723" s="26" t="n"/>
      <c r="B3723" s="24" t="n"/>
      <c r="C3723" s="40">
        <f>IF(B3723="","",IFERROR(INDEX(Mitarbeiter!$B$6:$B$205,MATCH(B3723,Mitarbeiter!$A$6:$A$205,0)),"?"))</f>
        <v/>
      </c>
      <c r="D3723" s="41" t="n"/>
      <c r="E3723" s="42" t="n"/>
      <c r="F3723" s="43" t="n"/>
      <c r="G3723" s="44">
        <f>IF(OR(B3723="",F3723=""),"",IFERROR(F3723*INDEX(Mitarbeiter!$F$6:$F$205,MATCH(B3723,Mitarbeiter!$A$6:$A$205,0)),0))</f>
        <v/>
      </c>
      <c r="H3723" s="8">
        <f>IF(B3723="","",IF(ISNA(MATCH(B3723,Mitarbeiter!$A$6:$A$205,0)),"Pers.-Nr. unbekannt",IF(A3723="","Datum fehlt",IF(AND(D3723&lt;&gt;Einstellungen!$C$4,D3723&lt;&gt;Einstellungen!$C$5),"Objekt fehlt",IF(YEAR(A3723)&lt;&gt;Einstellungen!$C$3,"anderes Jahr",IF(A3723&lt;INDEX(Mitarbeiter!$C$6:$C$205,MATCH(B3723,Mitarbeiter!$A$6:$A$205,0)),"vor Eintritt",IF(AND(INDEX(Mitarbeiter!$D$6:$D$205,MATCH(B3723,Mitarbeiter!$A$6:$A$205,0))&lt;&gt;"",A3723&gt;INDEX(Mitarbeiter!$D$6:$D$205,MATCH(B3723,Mitarbeiter!$A$6:$A$205,0))),"nach Austritt","ok")))))))</f>
        <v/>
      </c>
    </row>
    <row r="3724">
      <c r="A3724" s="26" t="n"/>
      <c r="B3724" s="24" t="n"/>
      <c r="C3724" s="40">
        <f>IF(B3724="","",IFERROR(INDEX(Mitarbeiter!$B$6:$B$205,MATCH(B3724,Mitarbeiter!$A$6:$A$205,0)),"?"))</f>
        <v/>
      </c>
      <c r="D3724" s="41" t="n"/>
      <c r="E3724" s="42" t="n"/>
      <c r="F3724" s="43" t="n"/>
      <c r="G3724" s="44">
        <f>IF(OR(B3724="",F3724=""),"",IFERROR(F3724*INDEX(Mitarbeiter!$F$6:$F$205,MATCH(B3724,Mitarbeiter!$A$6:$A$205,0)),0))</f>
        <v/>
      </c>
      <c r="H3724" s="8">
        <f>IF(B3724="","",IF(ISNA(MATCH(B3724,Mitarbeiter!$A$6:$A$205,0)),"Pers.-Nr. unbekannt",IF(A3724="","Datum fehlt",IF(AND(D3724&lt;&gt;Einstellungen!$C$4,D3724&lt;&gt;Einstellungen!$C$5),"Objekt fehlt",IF(YEAR(A3724)&lt;&gt;Einstellungen!$C$3,"anderes Jahr",IF(A3724&lt;INDEX(Mitarbeiter!$C$6:$C$205,MATCH(B3724,Mitarbeiter!$A$6:$A$205,0)),"vor Eintritt",IF(AND(INDEX(Mitarbeiter!$D$6:$D$205,MATCH(B3724,Mitarbeiter!$A$6:$A$205,0))&lt;&gt;"",A3724&gt;INDEX(Mitarbeiter!$D$6:$D$205,MATCH(B3724,Mitarbeiter!$A$6:$A$205,0))),"nach Austritt","ok")))))))</f>
        <v/>
      </c>
    </row>
    <row r="3725">
      <c r="A3725" s="26" t="n"/>
      <c r="B3725" s="24" t="n"/>
      <c r="C3725" s="40">
        <f>IF(B3725="","",IFERROR(INDEX(Mitarbeiter!$B$6:$B$205,MATCH(B3725,Mitarbeiter!$A$6:$A$205,0)),"?"))</f>
        <v/>
      </c>
      <c r="D3725" s="41" t="n"/>
      <c r="E3725" s="42" t="n"/>
      <c r="F3725" s="43" t="n"/>
      <c r="G3725" s="44">
        <f>IF(OR(B3725="",F3725=""),"",IFERROR(F3725*INDEX(Mitarbeiter!$F$6:$F$205,MATCH(B3725,Mitarbeiter!$A$6:$A$205,0)),0))</f>
        <v/>
      </c>
      <c r="H3725" s="8">
        <f>IF(B3725="","",IF(ISNA(MATCH(B3725,Mitarbeiter!$A$6:$A$205,0)),"Pers.-Nr. unbekannt",IF(A3725="","Datum fehlt",IF(AND(D3725&lt;&gt;Einstellungen!$C$4,D3725&lt;&gt;Einstellungen!$C$5),"Objekt fehlt",IF(YEAR(A3725)&lt;&gt;Einstellungen!$C$3,"anderes Jahr",IF(A3725&lt;INDEX(Mitarbeiter!$C$6:$C$205,MATCH(B3725,Mitarbeiter!$A$6:$A$205,0)),"vor Eintritt",IF(AND(INDEX(Mitarbeiter!$D$6:$D$205,MATCH(B3725,Mitarbeiter!$A$6:$A$205,0))&lt;&gt;"",A3725&gt;INDEX(Mitarbeiter!$D$6:$D$205,MATCH(B3725,Mitarbeiter!$A$6:$A$205,0))),"nach Austritt","ok")))))))</f>
        <v/>
      </c>
    </row>
    <row r="3726">
      <c r="A3726" s="26" t="n"/>
      <c r="B3726" s="24" t="n"/>
      <c r="C3726" s="40">
        <f>IF(B3726="","",IFERROR(INDEX(Mitarbeiter!$B$6:$B$205,MATCH(B3726,Mitarbeiter!$A$6:$A$205,0)),"?"))</f>
        <v/>
      </c>
      <c r="D3726" s="41" t="n"/>
      <c r="E3726" s="42" t="n"/>
      <c r="F3726" s="43" t="n"/>
      <c r="G3726" s="44">
        <f>IF(OR(B3726="",F3726=""),"",IFERROR(F3726*INDEX(Mitarbeiter!$F$6:$F$205,MATCH(B3726,Mitarbeiter!$A$6:$A$205,0)),0))</f>
        <v/>
      </c>
      <c r="H3726" s="8">
        <f>IF(B3726="","",IF(ISNA(MATCH(B3726,Mitarbeiter!$A$6:$A$205,0)),"Pers.-Nr. unbekannt",IF(A3726="","Datum fehlt",IF(AND(D3726&lt;&gt;Einstellungen!$C$4,D3726&lt;&gt;Einstellungen!$C$5),"Objekt fehlt",IF(YEAR(A3726)&lt;&gt;Einstellungen!$C$3,"anderes Jahr",IF(A3726&lt;INDEX(Mitarbeiter!$C$6:$C$205,MATCH(B3726,Mitarbeiter!$A$6:$A$205,0)),"vor Eintritt",IF(AND(INDEX(Mitarbeiter!$D$6:$D$205,MATCH(B3726,Mitarbeiter!$A$6:$A$205,0))&lt;&gt;"",A3726&gt;INDEX(Mitarbeiter!$D$6:$D$205,MATCH(B3726,Mitarbeiter!$A$6:$A$205,0))),"nach Austritt","ok")))))))</f>
        <v/>
      </c>
    </row>
    <row r="3727">
      <c r="A3727" s="26" t="n"/>
      <c r="B3727" s="24" t="n"/>
      <c r="C3727" s="40">
        <f>IF(B3727="","",IFERROR(INDEX(Mitarbeiter!$B$6:$B$205,MATCH(B3727,Mitarbeiter!$A$6:$A$205,0)),"?"))</f>
        <v/>
      </c>
      <c r="D3727" s="41" t="n"/>
      <c r="E3727" s="42" t="n"/>
      <c r="F3727" s="43" t="n"/>
      <c r="G3727" s="44">
        <f>IF(OR(B3727="",F3727=""),"",IFERROR(F3727*INDEX(Mitarbeiter!$F$6:$F$205,MATCH(B3727,Mitarbeiter!$A$6:$A$205,0)),0))</f>
        <v/>
      </c>
      <c r="H3727" s="8">
        <f>IF(B3727="","",IF(ISNA(MATCH(B3727,Mitarbeiter!$A$6:$A$205,0)),"Pers.-Nr. unbekannt",IF(A3727="","Datum fehlt",IF(AND(D3727&lt;&gt;Einstellungen!$C$4,D3727&lt;&gt;Einstellungen!$C$5),"Objekt fehlt",IF(YEAR(A3727)&lt;&gt;Einstellungen!$C$3,"anderes Jahr",IF(A3727&lt;INDEX(Mitarbeiter!$C$6:$C$205,MATCH(B3727,Mitarbeiter!$A$6:$A$205,0)),"vor Eintritt",IF(AND(INDEX(Mitarbeiter!$D$6:$D$205,MATCH(B3727,Mitarbeiter!$A$6:$A$205,0))&lt;&gt;"",A3727&gt;INDEX(Mitarbeiter!$D$6:$D$205,MATCH(B3727,Mitarbeiter!$A$6:$A$205,0))),"nach Austritt","ok")))))))</f>
        <v/>
      </c>
    </row>
    <row r="3728">
      <c r="A3728" s="26" t="n"/>
      <c r="B3728" s="24" t="n"/>
      <c r="C3728" s="40">
        <f>IF(B3728="","",IFERROR(INDEX(Mitarbeiter!$B$6:$B$205,MATCH(B3728,Mitarbeiter!$A$6:$A$205,0)),"?"))</f>
        <v/>
      </c>
      <c r="D3728" s="41" t="n"/>
      <c r="E3728" s="42" t="n"/>
      <c r="F3728" s="43" t="n"/>
      <c r="G3728" s="44">
        <f>IF(OR(B3728="",F3728=""),"",IFERROR(F3728*INDEX(Mitarbeiter!$F$6:$F$205,MATCH(B3728,Mitarbeiter!$A$6:$A$205,0)),0))</f>
        <v/>
      </c>
      <c r="H3728" s="8">
        <f>IF(B3728="","",IF(ISNA(MATCH(B3728,Mitarbeiter!$A$6:$A$205,0)),"Pers.-Nr. unbekannt",IF(A3728="","Datum fehlt",IF(AND(D3728&lt;&gt;Einstellungen!$C$4,D3728&lt;&gt;Einstellungen!$C$5),"Objekt fehlt",IF(YEAR(A3728)&lt;&gt;Einstellungen!$C$3,"anderes Jahr",IF(A3728&lt;INDEX(Mitarbeiter!$C$6:$C$205,MATCH(B3728,Mitarbeiter!$A$6:$A$205,0)),"vor Eintritt",IF(AND(INDEX(Mitarbeiter!$D$6:$D$205,MATCH(B3728,Mitarbeiter!$A$6:$A$205,0))&lt;&gt;"",A3728&gt;INDEX(Mitarbeiter!$D$6:$D$205,MATCH(B3728,Mitarbeiter!$A$6:$A$205,0))),"nach Austritt","ok")))))))</f>
        <v/>
      </c>
    </row>
    <row r="3729">
      <c r="A3729" s="26" t="n"/>
      <c r="B3729" s="24" t="n"/>
      <c r="C3729" s="40">
        <f>IF(B3729="","",IFERROR(INDEX(Mitarbeiter!$B$6:$B$205,MATCH(B3729,Mitarbeiter!$A$6:$A$205,0)),"?"))</f>
        <v/>
      </c>
      <c r="D3729" s="41" t="n"/>
      <c r="E3729" s="42" t="n"/>
      <c r="F3729" s="43" t="n"/>
      <c r="G3729" s="44">
        <f>IF(OR(B3729="",F3729=""),"",IFERROR(F3729*INDEX(Mitarbeiter!$F$6:$F$205,MATCH(B3729,Mitarbeiter!$A$6:$A$205,0)),0))</f>
        <v/>
      </c>
      <c r="H3729" s="8">
        <f>IF(B3729="","",IF(ISNA(MATCH(B3729,Mitarbeiter!$A$6:$A$205,0)),"Pers.-Nr. unbekannt",IF(A3729="","Datum fehlt",IF(AND(D3729&lt;&gt;Einstellungen!$C$4,D3729&lt;&gt;Einstellungen!$C$5),"Objekt fehlt",IF(YEAR(A3729)&lt;&gt;Einstellungen!$C$3,"anderes Jahr",IF(A3729&lt;INDEX(Mitarbeiter!$C$6:$C$205,MATCH(B3729,Mitarbeiter!$A$6:$A$205,0)),"vor Eintritt",IF(AND(INDEX(Mitarbeiter!$D$6:$D$205,MATCH(B3729,Mitarbeiter!$A$6:$A$205,0))&lt;&gt;"",A3729&gt;INDEX(Mitarbeiter!$D$6:$D$205,MATCH(B3729,Mitarbeiter!$A$6:$A$205,0))),"nach Austritt","ok")))))))</f>
        <v/>
      </c>
    </row>
    <row r="3730">
      <c r="A3730" s="26" t="n"/>
      <c r="B3730" s="24" t="n"/>
      <c r="C3730" s="40">
        <f>IF(B3730="","",IFERROR(INDEX(Mitarbeiter!$B$6:$B$205,MATCH(B3730,Mitarbeiter!$A$6:$A$205,0)),"?"))</f>
        <v/>
      </c>
      <c r="D3730" s="41" t="n"/>
      <c r="E3730" s="42" t="n"/>
      <c r="F3730" s="43" t="n"/>
      <c r="G3730" s="44">
        <f>IF(OR(B3730="",F3730=""),"",IFERROR(F3730*INDEX(Mitarbeiter!$F$6:$F$205,MATCH(B3730,Mitarbeiter!$A$6:$A$205,0)),0))</f>
        <v/>
      </c>
      <c r="H3730" s="8">
        <f>IF(B3730="","",IF(ISNA(MATCH(B3730,Mitarbeiter!$A$6:$A$205,0)),"Pers.-Nr. unbekannt",IF(A3730="","Datum fehlt",IF(AND(D3730&lt;&gt;Einstellungen!$C$4,D3730&lt;&gt;Einstellungen!$C$5),"Objekt fehlt",IF(YEAR(A3730)&lt;&gt;Einstellungen!$C$3,"anderes Jahr",IF(A3730&lt;INDEX(Mitarbeiter!$C$6:$C$205,MATCH(B3730,Mitarbeiter!$A$6:$A$205,0)),"vor Eintritt",IF(AND(INDEX(Mitarbeiter!$D$6:$D$205,MATCH(B3730,Mitarbeiter!$A$6:$A$205,0))&lt;&gt;"",A3730&gt;INDEX(Mitarbeiter!$D$6:$D$205,MATCH(B3730,Mitarbeiter!$A$6:$A$205,0))),"nach Austritt","ok")))))))</f>
        <v/>
      </c>
    </row>
    <row r="3731">
      <c r="A3731" s="26" t="n"/>
      <c r="B3731" s="24" t="n"/>
      <c r="C3731" s="40">
        <f>IF(B3731="","",IFERROR(INDEX(Mitarbeiter!$B$6:$B$205,MATCH(B3731,Mitarbeiter!$A$6:$A$205,0)),"?"))</f>
        <v/>
      </c>
      <c r="D3731" s="41" t="n"/>
      <c r="E3731" s="42" t="n"/>
      <c r="F3731" s="43" t="n"/>
      <c r="G3731" s="44">
        <f>IF(OR(B3731="",F3731=""),"",IFERROR(F3731*INDEX(Mitarbeiter!$F$6:$F$205,MATCH(B3731,Mitarbeiter!$A$6:$A$205,0)),0))</f>
        <v/>
      </c>
      <c r="H3731" s="8">
        <f>IF(B3731="","",IF(ISNA(MATCH(B3731,Mitarbeiter!$A$6:$A$205,0)),"Pers.-Nr. unbekannt",IF(A3731="","Datum fehlt",IF(AND(D3731&lt;&gt;Einstellungen!$C$4,D3731&lt;&gt;Einstellungen!$C$5),"Objekt fehlt",IF(YEAR(A3731)&lt;&gt;Einstellungen!$C$3,"anderes Jahr",IF(A3731&lt;INDEX(Mitarbeiter!$C$6:$C$205,MATCH(B3731,Mitarbeiter!$A$6:$A$205,0)),"vor Eintritt",IF(AND(INDEX(Mitarbeiter!$D$6:$D$205,MATCH(B3731,Mitarbeiter!$A$6:$A$205,0))&lt;&gt;"",A3731&gt;INDEX(Mitarbeiter!$D$6:$D$205,MATCH(B3731,Mitarbeiter!$A$6:$A$205,0))),"nach Austritt","ok")))))))</f>
        <v/>
      </c>
    </row>
    <row r="3732">
      <c r="A3732" s="26" t="n"/>
      <c r="B3732" s="24" t="n"/>
      <c r="C3732" s="40">
        <f>IF(B3732="","",IFERROR(INDEX(Mitarbeiter!$B$6:$B$205,MATCH(B3732,Mitarbeiter!$A$6:$A$205,0)),"?"))</f>
        <v/>
      </c>
      <c r="D3732" s="41" t="n"/>
      <c r="E3732" s="42" t="n"/>
      <c r="F3732" s="43" t="n"/>
      <c r="G3732" s="44">
        <f>IF(OR(B3732="",F3732=""),"",IFERROR(F3732*INDEX(Mitarbeiter!$F$6:$F$205,MATCH(B3732,Mitarbeiter!$A$6:$A$205,0)),0))</f>
        <v/>
      </c>
      <c r="H3732" s="8">
        <f>IF(B3732="","",IF(ISNA(MATCH(B3732,Mitarbeiter!$A$6:$A$205,0)),"Pers.-Nr. unbekannt",IF(A3732="","Datum fehlt",IF(AND(D3732&lt;&gt;Einstellungen!$C$4,D3732&lt;&gt;Einstellungen!$C$5),"Objekt fehlt",IF(YEAR(A3732)&lt;&gt;Einstellungen!$C$3,"anderes Jahr",IF(A3732&lt;INDEX(Mitarbeiter!$C$6:$C$205,MATCH(B3732,Mitarbeiter!$A$6:$A$205,0)),"vor Eintritt",IF(AND(INDEX(Mitarbeiter!$D$6:$D$205,MATCH(B3732,Mitarbeiter!$A$6:$A$205,0))&lt;&gt;"",A3732&gt;INDEX(Mitarbeiter!$D$6:$D$205,MATCH(B3732,Mitarbeiter!$A$6:$A$205,0))),"nach Austritt","ok")))))))</f>
        <v/>
      </c>
    </row>
    <row r="3733">
      <c r="A3733" s="26" t="n"/>
      <c r="B3733" s="24" t="n"/>
      <c r="C3733" s="40">
        <f>IF(B3733="","",IFERROR(INDEX(Mitarbeiter!$B$6:$B$205,MATCH(B3733,Mitarbeiter!$A$6:$A$205,0)),"?"))</f>
        <v/>
      </c>
      <c r="D3733" s="41" t="n"/>
      <c r="E3733" s="42" t="n"/>
      <c r="F3733" s="43" t="n"/>
      <c r="G3733" s="44">
        <f>IF(OR(B3733="",F3733=""),"",IFERROR(F3733*INDEX(Mitarbeiter!$F$6:$F$205,MATCH(B3733,Mitarbeiter!$A$6:$A$205,0)),0))</f>
        <v/>
      </c>
      <c r="H3733" s="8">
        <f>IF(B3733="","",IF(ISNA(MATCH(B3733,Mitarbeiter!$A$6:$A$205,0)),"Pers.-Nr. unbekannt",IF(A3733="","Datum fehlt",IF(AND(D3733&lt;&gt;Einstellungen!$C$4,D3733&lt;&gt;Einstellungen!$C$5),"Objekt fehlt",IF(YEAR(A3733)&lt;&gt;Einstellungen!$C$3,"anderes Jahr",IF(A3733&lt;INDEX(Mitarbeiter!$C$6:$C$205,MATCH(B3733,Mitarbeiter!$A$6:$A$205,0)),"vor Eintritt",IF(AND(INDEX(Mitarbeiter!$D$6:$D$205,MATCH(B3733,Mitarbeiter!$A$6:$A$205,0))&lt;&gt;"",A3733&gt;INDEX(Mitarbeiter!$D$6:$D$205,MATCH(B3733,Mitarbeiter!$A$6:$A$205,0))),"nach Austritt","ok")))))))</f>
        <v/>
      </c>
    </row>
    <row r="3734">
      <c r="A3734" s="26" t="n"/>
      <c r="B3734" s="24" t="n"/>
      <c r="C3734" s="40">
        <f>IF(B3734="","",IFERROR(INDEX(Mitarbeiter!$B$6:$B$205,MATCH(B3734,Mitarbeiter!$A$6:$A$205,0)),"?"))</f>
        <v/>
      </c>
      <c r="D3734" s="41" t="n"/>
      <c r="E3734" s="42" t="n"/>
      <c r="F3734" s="43" t="n"/>
      <c r="G3734" s="44">
        <f>IF(OR(B3734="",F3734=""),"",IFERROR(F3734*INDEX(Mitarbeiter!$F$6:$F$205,MATCH(B3734,Mitarbeiter!$A$6:$A$205,0)),0))</f>
        <v/>
      </c>
      <c r="H3734" s="8">
        <f>IF(B3734="","",IF(ISNA(MATCH(B3734,Mitarbeiter!$A$6:$A$205,0)),"Pers.-Nr. unbekannt",IF(A3734="","Datum fehlt",IF(AND(D3734&lt;&gt;Einstellungen!$C$4,D3734&lt;&gt;Einstellungen!$C$5),"Objekt fehlt",IF(YEAR(A3734)&lt;&gt;Einstellungen!$C$3,"anderes Jahr",IF(A3734&lt;INDEX(Mitarbeiter!$C$6:$C$205,MATCH(B3734,Mitarbeiter!$A$6:$A$205,0)),"vor Eintritt",IF(AND(INDEX(Mitarbeiter!$D$6:$D$205,MATCH(B3734,Mitarbeiter!$A$6:$A$205,0))&lt;&gt;"",A3734&gt;INDEX(Mitarbeiter!$D$6:$D$205,MATCH(B3734,Mitarbeiter!$A$6:$A$205,0))),"nach Austritt","ok")))))))</f>
        <v/>
      </c>
    </row>
    <row r="3735">
      <c r="A3735" s="26" t="n"/>
      <c r="B3735" s="24" t="n"/>
      <c r="C3735" s="40">
        <f>IF(B3735="","",IFERROR(INDEX(Mitarbeiter!$B$6:$B$205,MATCH(B3735,Mitarbeiter!$A$6:$A$205,0)),"?"))</f>
        <v/>
      </c>
      <c r="D3735" s="41" t="n"/>
      <c r="E3735" s="42" t="n"/>
      <c r="F3735" s="43" t="n"/>
      <c r="G3735" s="44">
        <f>IF(OR(B3735="",F3735=""),"",IFERROR(F3735*INDEX(Mitarbeiter!$F$6:$F$205,MATCH(B3735,Mitarbeiter!$A$6:$A$205,0)),0))</f>
        <v/>
      </c>
      <c r="H3735" s="8">
        <f>IF(B3735="","",IF(ISNA(MATCH(B3735,Mitarbeiter!$A$6:$A$205,0)),"Pers.-Nr. unbekannt",IF(A3735="","Datum fehlt",IF(AND(D3735&lt;&gt;Einstellungen!$C$4,D3735&lt;&gt;Einstellungen!$C$5),"Objekt fehlt",IF(YEAR(A3735)&lt;&gt;Einstellungen!$C$3,"anderes Jahr",IF(A3735&lt;INDEX(Mitarbeiter!$C$6:$C$205,MATCH(B3735,Mitarbeiter!$A$6:$A$205,0)),"vor Eintritt",IF(AND(INDEX(Mitarbeiter!$D$6:$D$205,MATCH(B3735,Mitarbeiter!$A$6:$A$205,0))&lt;&gt;"",A3735&gt;INDEX(Mitarbeiter!$D$6:$D$205,MATCH(B3735,Mitarbeiter!$A$6:$A$205,0))),"nach Austritt","ok")))))))</f>
        <v/>
      </c>
    </row>
    <row r="3736">
      <c r="A3736" s="26" t="n"/>
      <c r="B3736" s="24" t="n"/>
      <c r="C3736" s="40">
        <f>IF(B3736="","",IFERROR(INDEX(Mitarbeiter!$B$6:$B$205,MATCH(B3736,Mitarbeiter!$A$6:$A$205,0)),"?"))</f>
        <v/>
      </c>
      <c r="D3736" s="41" t="n"/>
      <c r="E3736" s="42" t="n"/>
      <c r="F3736" s="43" t="n"/>
      <c r="G3736" s="44">
        <f>IF(OR(B3736="",F3736=""),"",IFERROR(F3736*INDEX(Mitarbeiter!$F$6:$F$205,MATCH(B3736,Mitarbeiter!$A$6:$A$205,0)),0))</f>
        <v/>
      </c>
      <c r="H3736" s="8">
        <f>IF(B3736="","",IF(ISNA(MATCH(B3736,Mitarbeiter!$A$6:$A$205,0)),"Pers.-Nr. unbekannt",IF(A3736="","Datum fehlt",IF(AND(D3736&lt;&gt;Einstellungen!$C$4,D3736&lt;&gt;Einstellungen!$C$5),"Objekt fehlt",IF(YEAR(A3736)&lt;&gt;Einstellungen!$C$3,"anderes Jahr",IF(A3736&lt;INDEX(Mitarbeiter!$C$6:$C$205,MATCH(B3736,Mitarbeiter!$A$6:$A$205,0)),"vor Eintritt",IF(AND(INDEX(Mitarbeiter!$D$6:$D$205,MATCH(B3736,Mitarbeiter!$A$6:$A$205,0))&lt;&gt;"",A3736&gt;INDEX(Mitarbeiter!$D$6:$D$205,MATCH(B3736,Mitarbeiter!$A$6:$A$205,0))),"nach Austritt","ok")))))))</f>
        <v/>
      </c>
    </row>
    <row r="3737">
      <c r="A3737" s="26" t="n"/>
      <c r="B3737" s="24" t="n"/>
      <c r="C3737" s="40">
        <f>IF(B3737="","",IFERROR(INDEX(Mitarbeiter!$B$6:$B$205,MATCH(B3737,Mitarbeiter!$A$6:$A$205,0)),"?"))</f>
        <v/>
      </c>
      <c r="D3737" s="41" t="n"/>
      <c r="E3737" s="42" t="n"/>
      <c r="F3737" s="43" t="n"/>
      <c r="G3737" s="44">
        <f>IF(OR(B3737="",F3737=""),"",IFERROR(F3737*INDEX(Mitarbeiter!$F$6:$F$205,MATCH(B3737,Mitarbeiter!$A$6:$A$205,0)),0))</f>
        <v/>
      </c>
      <c r="H3737" s="8">
        <f>IF(B3737="","",IF(ISNA(MATCH(B3737,Mitarbeiter!$A$6:$A$205,0)),"Pers.-Nr. unbekannt",IF(A3737="","Datum fehlt",IF(AND(D3737&lt;&gt;Einstellungen!$C$4,D3737&lt;&gt;Einstellungen!$C$5),"Objekt fehlt",IF(YEAR(A3737)&lt;&gt;Einstellungen!$C$3,"anderes Jahr",IF(A3737&lt;INDEX(Mitarbeiter!$C$6:$C$205,MATCH(B3737,Mitarbeiter!$A$6:$A$205,0)),"vor Eintritt",IF(AND(INDEX(Mitarbeiter!$D$6:$D$205,MATCH(B3737,Mitarbeiter!$A$6:$A$205,0))&lt;&gt;"",A3737&gt;INDEX(Mitarbeiter!$D$6:$D$205,MATCH(B3737,Mitarbeiter!$A$6:$A$205,0))),"nach Austritt","ok")))))))</f>
        <v/>
      </c>
    </row>
    <row r="3738">
      <c r="A3738" s="26" t="n"/>
      <c r="B3738" s="24" t="n"/>
      <c r="C3738" s="40">
        <f>IF(B3738="","",IFERROR(INDEX(Mitarbeiter!$B$6:$B$205,MATCH(B3738,Mitarbeiter!$A$6:$A$205,0)),"?"))</f>
        <v/>
      </c>
      <c r="D3738" s="41" t="n"/>
      <c r="E3738" s="42" t="n"/>
      <c r="F3738" s="43" t="n"/>
      <c r="G3738" s="44">
        <f>IF(OR(B3738="",F3738=""),"",IFERROR(F3738*INDEX(Mitarbeiter!$F$6:$F$205,MATCH(B3738,Mitarbeiter!$A$6:$A$205,0)),0))</f>
        <v/>
      </c>
      <c r="H3738" s="8">
        <f>IF(B3738="","",IF(ISNA(MATCH(B3738,Mitarbeiter!$A$6:$A$205,0)),"Pers.-Nr. unbekannt",IF(A3738="","Datum fehlt",IF(AND(D3738&lt;&gt;Einstellungen!$C$4,D3738&lt;&gt;Einstellungen!$C$5),"Objekt fehlt",IF(YEAR(A3738)&lt;&gt;Einstellungen!$C$3,"anderes Jahr",IF(A3738&lt;INDEX(Mitarbeiter!$C$6:$C$205,MATCH(B3738,Mitarbeiter!$A$6:$A$205,0)),"vor Eintritt",IF(AND(INDEX(Mitarbeiter!$D$6:$D$205,MATCH(B3738,Mitarbeiter!$A$6:$A$205,0))&lt;&gt;"",A3738&gt;INDEX(Mitarbeiter!$D$6:$D$205,MATCH(B3738,Mitarbeiter!$A$6:$A$205,0))),"nach Austritt","ok")))))))</f>
        <v/>
      </c>
    </row>
    <row r="3739">
      <c r="A3739" s="26" t="n"/>
      <c r="B3739" s="24" t="n"/>
      <c r="C3739" s="40">
        <f>IF(B3739="","",IFERROR(INDEX(Mitarbeiter!$B$6:$B$205,MATCH(B3739,Mitarbeiter!$A$6:$A$205,0)),"?"))</f>
        <v/>
      </c>
      <c r="D3739" s="41" t="n"/>
      <c r="E3739" s="42" t="n"/>
      <c r="F3739" s="43" t="n"/>
      <c r="G3739" s="44">
        <f>IF(OR(B3739="",F3739=""),"",IFERROR(F3739*INDEX(Mitarbeiter!$F$6:$F$205,MATCH(B3739,Mitarbeiter!$A$6:$A$205,0)),0))</f>
        <v/>
      </c>
      <c r="H3739" s="8">
        <f>IF(B3739="","",IF(ISNA(MATCH(B3739,Mitarbeiter!$A$6:$A$205,0)),"Pers.-Nr. unbekannt",IF(A3739="","Datum fehlt",IF(AND(D3739&lt;&gt;Einstellungen!$C$4,D3739&lt;&gt;Einstellungen!$C$5),"Objekt fehlt",IF(YEAR(A3739)&lt;&gt;Einstellungen!$C$3,"anderes Jahr",IF(A3739&lt;INDEX(Mitarbeiter!$C$6:$C$205,MATCH(B3739,Mitarbeiter!$A$6:$A$205,0)),"vor Eintritt",IF(AND(INDEX(Mitarbeiter!$D$6:$D$205,MATCH(B3739,Mitarbeiter!$A$6:$A$205,0))&lt;&gt;"",A3739&gt;INDEX(Mitarbeiter!$D$6:$D$205,MATCH(B3739,Mitarbeiter!$A$6:$A$205,0))),"nach Austritt","ok")))))))</f>
        <v/>
      </c>
    </row>
    <row r="3740">
      <c r="A3740" s="26" t="n"/>
      <c r="B3740" s="24" t="n"/>
      <c r="C3740" s="40">
        <f>IF(B3740="","",IFERROR(INDEX(Mitarbeiter!$B$6:$B$205,MATCH(B3740,Mitarbeiter!$A$6:$A$205,0)),"?"))</f>
        <v/>
      </c>
      <c r="D3740" s="41" t="n"/>
      <c r="E3740" s="42" t="n"/>
      <c r="F3740" s="43" t="n"/>
      <c r="G3740" s="44">
        <f>IF(OR(B3740="",F3740=""),"",IFERROR(F3740*INDEX(Mitarbeiter!$F$6:$F$205,MATCH(B3740,Mitarbeiter!$A$6:$A$205,0)),0))</f>
        <v/>
      </c>
      <c r="H3740" s="8">
        <f>IF(B3740="","",IF(ISNA(MATCH(B3740,Mitarbeiter!$A$6:$A$205,0)),"Pers.-Nr. unbekannt",IF(A3740="","Datum fehlt",IF(AND(D3740&lt;&gt;Einstellungen!$C$4,D3740&lt;&gt;Einstellungen!$C$5),"Objekt fehlt",IF(YEAR(A3740)&lt;&gt;Einstellungen!$C$3,"anderes Jahr",IF(A3740&lt;INDEX(Mitarbeiter!$C$6:$C$205,MATCH(B3740,Mitarbeiter!$A$6:$A$205,0)),"vor Eintritt",IF(AND(INDEX(Mitarbeiter!$D$6:$D$205,MATCH(B3740,Mitarbeiter!$A$6:$A$205,0))&lt;&gt;"",A3740&gt;INDEX(Mitarbeiter!$D$6:$D$205,MATCH(B3740,Mitarbeiter!$A$6:$A$205,0))),"nach Austritt","ok")))))))</f>
        <v/>
      </c>
    </row>
    <row r="3741">
      <c r="A3741" s="26" t="n"/>
      <c r="B3741" s="24" t="n"/>
      <c r="C3741" s="40">
        <f>IF(B3741="","",IFERROR(INDEX(Mitarbeiter!$B$6:$B$205,MATCH(B3741,Mitarbeiter!$A$6:$A$205,0)),"?"))</f>
        <v/>
      </c>
      <c r="D3741" s="41" t="n"/>
      <c r="E3741" s="42" t="n"/>
      <c r="F3741" s="43" t="n"/>
      <c r="G3741" s="44">
        <f>IF(OR(B3741="",F3741=""),"",IFERROR(F3741*INDEX(Mitarbeiter!$F$6:$F$205,MATCH(B3741,Mitarbeiter!$A$6:$A$205,0)),0))</f>
        <v/>
      </c>
      <c r="H3741" s="8">
        <f>IF(B3741="","",IF(ISNA(MATCH(B3741,Mitarbeiter!$A$6:$A$205,0)),"Pers.-Nr. unbekannt",IF(A3741="","Datum fehlt",IF(AND(D3741&lt;&gt;Einstellungen!$C$4,D3741&lt;&gt;Einstellungen!$C$5),"Objekt fehlt",IF(YEAR(A3741)&lt;&gt;Einstellungen!$C$3,"anderes Jahr",IF(A3741&lt;INDEX(Mitarbeiter!$C$6:$C$205,MATCH(B3741,Mitarbeiter!$A$6:$A$205,0)),"vor Eintritt",IF(AND(INDEX(Mitarbeiter!$D$6:$D$205,MATCH(B3741,Mitarbeiter!$A$6:$A$205,0))&lt;&gt;"",A3741&gt;INDEX(Mitarbeiter!$D$6:$D$205,MATCH(B3741,Mitarbeiter!$A$6:$A$205,0))),"nach Austritt","ok")))))))</f>
        <v/>
      </c>
    </row>
    <row r="3742">
      <c r="A3742" s="26" t="n"/>
      <c r="B3742" s="24" t="n"/>
      <c r="C3742" s="40">
        <f>IF(B3742="","",IFERROR(INDEX(Mitarbeiter!$B$6:$B$205,MATCH(B3742,Mitarbeiter!$A$6:$A$205,0)),"?"))</f>
        <v/>
      </c>
      <c r="D3742" s="41" t="n"/>
      <c r="E3742" s="42" t="n"/>
      <c r="F3742" s="43" t="n"/>
      <c r="G3742" s="44">
        <f>IF(OR(B3742="",F3742=""),"",IFERROR(F3742*INDEX(Mitarbeiter!$F$6:$F$205,MATCH(B3742,Mitarbeiter!$A$6:$A$205,0)),0))</f>
        <v/>
      </c>
      <c r="H3742" s="8">
        <f>IF(B3742="","",IF(ISNA(MATCH(B3742,Mitarbeiter!$A$6:$A$205,0)),"Pers.-Nr. unbekannt",IF(A3742="","Datum fehlt",IF(AND(D3742&lt;&gt;Einstellungen!$C$4,D3742&lt;&gt;Einstellungen!$C$5),"Objekt fehlt",IF(YEAR(A3742)&lt;&gt;Einstellungen!$C$3,"anderes Jahr",IF(A3742&lt;INDEX(Mitarbeiter!$C$6:$C$205,MATCH(B3742,Mitarbeiter!$A$6:$A$205,0)),"vor Eintritt",IF(AND(INDEX(Mitarbeiter!$D$6:$D$205,MATCH(B3742,Mitarbeiter!$A$6:$A$205,0))&lt;&gt;"",A3742&gt;INDEX(Mitarbeiter!$D$6:$D$205,MATCH(B3742,Mitarbeiter!$A$6:$A$205,0))),"nach Austritt","ok")))))))</f>
        <v/>
      </c>
    </row>
    <row r="3743">
      <c r="A3743" s="26" t="n"/>
      <c r="B3743" s="24" t="n"/>
      <c r="C3743" s="40">
        <f>IF(B3743="","",IFERROR(INDEX(Mitarbeiter!$B$6:$B$205,MATCH(B3743,Mitarbeiter!$A$6:$A$205,0)),"?"))</f>
        <v/>
      </c>
      <c r="D3743" s="41" t="n"/>
      <c r="E3743" s="42" t="n"/>
      <c r="F3743" s="43" t="n"/>
      <c r="G3743" s="44">
        <f>IF(OR(B3743="",F3743=""),"",IFERROR(F3743*INDEX(Mitarbeiter!$F$6:$F$205,MATCH(B3743,Mitarbeiter!$A$6:$A$205,0)),0))</f>
        <v/>
      </c>
      <c r="H3743" s="8">
        <f>IF(B3743="","",IF(ISNA(MATCH(B3743,Mitarbeiter!$A$6:$A$205,0)),"Pers.-Nr. unbekannt",IF(A3743="","Datum fehlt",IF(AND(D3743&lt;&gt;Einstellungen!$C$4,D3743&lt;&gt;Einstellungen!$C$5),"Objekt fehlt",IF(YEAR(A3743)&lt;&gt;Einstellungen!$C$3,"anderes Jahr",IF(A3743&lt;INDEX(Mitarbeiter!$C$6:$C$205,MATCH(B3743,Mitarbeiter!$A$6:$A$205,0)),"vor Eintritt",IF(AND(INDEX(Mitarbeiter!$D$6:$D$205,MATCH(B3743,Mitarbeiter!$A$6:$A$205,0))&lt;&gt;"",A3743&gt;INDEX(Mitarbeiter!$D$6:$D$205,MATCH(B3743,Mitarbeiter!$A$6:$A$205,0))),"nach Austritt","ok")))))))</f>
        <v/>
      </c>
    </row>
    <row r="3744">
      <c r="A3744" s="26" t="n"/>
      <c r="B3744" s="24" t="n"/>
      <c r="C3744" s="40">
        <f>IF(B3744="","",IFERROR(INDEX(Mitarbeiter!$B$6:$B$205,MATCH(B3744,Mitarbeiter!$A$6:$A$205,0)),"?"))</f>
        <v/>
      </c>
      <c r="D3744" s="41" t="n"/>
      <c r="E3744" s="42" t="n"/>
      <c r="F3744" s="43" t="n"/>
      <c r="G3744" s="44">
        <f>IF(OR(B3744="",F3744=""),"",IFERROR(F3744*INDEX(Mitarbeiter!$F$6:$F$205,MATCH(B3744,Mitarbeiter!$A$6:$A$205,0)),0))</f>
        <v/>
      </c>
      <c r="H3744" s="8">
        <f>IF(B3744="","",IF(ISNA(MATCH(B3744,Mitarbeiter!$A$6:$A$205,0)),"Pers.-Nr. unbekannt",IF(A3744="","Datum fehlt",IF(AND(D3744&lt;&gt;Einstellungen!$C$4,D3744&lt;&gt;Einstellungen!$C$5),"Objekt fehlt",IF(YEAR(A3744)&lt;&gt;Einstellungen!$C$3,"anderes Jahr",IF(A3744&lt;INDEX(Mitarbeiter!$C$6:$C$205,MATCH(B3744,Mitarbeiter!$A$6:$A$205,0)),"vor Eintritt",IF(AND(INDEX(Mitarbeiter!$D$6:$D$205,MATCH(B3744,Mitarbeiter!$A$6:$A$205,0))&lt;&gt;"",A3744&gt;INDEX(Mitarbeiter!$D$6:$D$205,MATCH(B3744,Mitarbeiter!$A$6:$A$205,0))),"nach Austritt","ok")))))))</f>
        <v/>
      </c>
    </row>
    <row r="3745">
      <c r="A3745" s="26" t="n"/>
      <c r="B3745" s="24" t="n"/>
      <c r="C3745" s="40">
        <f>IF(B3745="","",IFERROR(INDEX(Mitarbeiter!$B$6:$B$205,MATCH(B3745,Mitarbeiter!$A$6:$A$205,0)),"?"))</f>
        <v/>
      </c>
      <c r="D3745" s="41" t="n"/>
      <c r="E3745" s="42" t="n"/>
      <c r="F3745" s="43" t="n"/>
      <c r="G3745" s="44">
        <f>IF(OR(B3745="",F3745=""),"",IFERROR(F3745*INDEX(Mitarbeiter!$F$6:$F$205,MATCH(B3745,Mitarbeiter!$A$6:$A$205,0)),0))</f>
        <v/>
      </c>
      <c r="H3745" s="8">
        <f>IF(B3745="","",IF(ISNA(MATCH(B3745,Mitarbeiter!$A$6:$A$205,0)),"Pers.-Nr. unbekannt",IF(A3745="","Datum fehlt",IF(AND(D3745&lt;&gt;Einstellungen!$C$4,D3745&lt;&gt;Einstellungen!$C$5),"Objekt fehlt",IF(YEAR(A3745)&lt;&gt;Einstellungen!$C$3,"anderes Jahr",IF(A3745&lt;INDEX(Mitarbeiter!$C$6:$C$205,MATCH(B3745,Mitarbeiter!$A$6:$A$205,0)),"vor Eintritt",IF(AND(INDEX(Mitarbeiter!$D$6:$D$205,MATCH(B3745,Mitarbeiter!$A$6:$A$205,0))&lt;&gt;"",A3745&gt;INDEX(Mitarbeiter!$D$6:$D$205,MATCH(B3745,Mitarbeiter!$A$6:$A$205,0))),"nach Austritt","ok")))))))</f>
        <v/>
      </c>
    </row>
    <row r="3746">
      <c r="A3746" s="26" t="n"/>
      <c r="B3746" s="24" t="n"/>
      <c r="C3746" s="40">
        <f>IF(B3746="","",IFERROR(INDEX(Mitarbeiter!$B$6:$B$205,MATCH(B3746,Mitarbeiter!$A$6:$A$205,0)),"?"))</f>
        <v/>
      </c>
      <c r="D3746" s="41" t="n"/>
      <c r="E3746" s="42" t="n"/>
      <c r="F3746" s="43" t="n"/>
      <c r="G3746" s="44">
        <f>IF(OR(B3746="",F3746=""),"",IFERROR(F3746*INDEX(Mitarbeiter!$F$6:$F$205,MATCH(B3746,Mitarbeiter!$A$6:$A$205,0)),0))</f>
        <v/>
      </c>
      <c r="H3746" s="8">
        <f>IF(B3746="","",IF(ISNA(MATCH(B3746,Mitarbeiter!$A$6:$A$205,0)),"Pers.-Nr. unbekannt",IF(A3746="","Datum fehlt",IF(AND(D3746&lt;&gt;Einstellungen!$C$4,D3746&lt;&gt;Einstellungen!$C$5),"Objekt fehlt",IF(YEAR(A3746)&lt;&gt;Einstellungen!$C$3,"anderes Jahr",IF(A3746&lt;INDEX(Mitarbeiter!$C$6:$C$205,MATCH(B3746,Mitarbeiter!$A$6:$A$205,0)),"vor Eintritt",IF(AND(INDEX(Mitarbeiter!$D$6:$D$205,MATCH(B3746,Mitarbeiter!$A$6:$A$205,0))&lt;&gt;"",A3746&gt;INDEX(Mitarbeiter!$D$6:$D$205,MATCH(B3746,Mitarbeiter!$A$6:$A$205,0))),"nach Austritt","ok")))))))</f>
        <v/>
      </c>
    </row>
    <row r="3747">
      <c r="A3747" s="26" t="n"/>
      <c r="B3747" s="24" t="n"/>
      <c r="C3747" s="40">
        <f>IF(B3747="","",IFERROR(INDEX(Mitarbeiter!$B$6:$B$205,MATCH(B3747,Mitarbeiter!$A$6:$A$205,0)),"?"))</f>
        <v/>
      </c>
      <c r="D3747" s="41" t="n"/>
      <c r="E3747" s="42" t="n"/>
      <c r="F3747" s="43" t="n"/>
      <c r="G3747" s="44">
        <f>IF(OR(B3747="",F3747=""),"",IFERROR(F3747*INDEX(Mitarbeiter!$F$6:$F$205,MATCH(B3747,Mitarbeiter!$A$6:$A$205,0)),0))</f>
        <v/>
      </c>
      <c r="H3747" s="8">
        <f>IF(B3747="","",IF(ISNA(MATCH(B3747,Mitarbeiter!$A$6:$A$205,0)),"Pers.-Nr. unbekannt",IF(A3747="","Datum fehlt",IF(AND(D3747&lt;&gt;Einstellungen!$C$4,D3747&lt;&gt;Einstellungen!$C$5),"Objekt fehlt",IF(YEAR(A3747)&lt;&gt;Einstellungen!$C$3,"anderes Jahr",IF(A3747&lt;INDEX(Mitarbeiter!$C$6:$C$205,MATCH(B3747,Mitarbeiter!$A$6:$A$205,0)),"vor Eintritt",IF(AND(INDEX(Mitarbeiter!$D$6:$D$205,MATCH(B3747,Mitarbeiter!$A$6:$A$205,0))&lt;&gt;"",A3747&gt;INDEX(Mitarbeiter!$D$6:$D$205,MATCH(B3747,Mitarbeiter!$A$6:$A$205,0))),"nach Austritt","ok")))))))</f>
        <v/>
      </c>
    </row>
    <row r="3748">
      <c r="A3748" s="26" t="n"/>
      <c r="B3748" s="24" t="n"/>
      <c r="C3748" s="40">
        <f>IF(B3748="","",IFERROR(INDEX(Mitarbeiter!$B$6:$B$205,MATCH(B3748,Mitarbeiter!$A$6:$A$205,0)),"?"))</f>
        <v/>
      </c>
      <c r="D3748" s="41" t="n"/>
      <c r="E3748" s="42" t="n"/>
      <c r="F3748" s="43" t="n"/>
      <c r="G3748" s="44">
        <f>IF(OR(B3748="",F3748=""),"",IFERROR(F3748*INDEX(Mitarbeiter!$F$6:$F$205,MATCH(B3748,Mitarbeiter!$A$6:$A$205,0)),0))</f>
        <v/>
      </c>
      <c r="H3748" s="8">
        <f>IF(B3748="","",IF(ISNA(MATCH(B3748,Mitarbeiter!$A$6:$A$205,0)),"Pers.-Nr. unbekannt",IF(A3748="","Datum fehlt",IF(AND(D3748&lt;&gt;Einstellungen!$C$4,D3748&lt;&gt;Einstellungen!$C$5),"Objekt fehlt",IF(YEAR(A3748)&lt;&gt;Einstellungen!$C$3,"anderes Jahr",IF(A3748&lt;INDEX(Mitarbeiter!$C$6:$C$205,MATCH(B3748,Mitarbeiter!$A$6:$A$205,0)),"vor Eintritt",IF(AND(INDEX(Mitarbeiter!$D$6:$D$205,MATCH(B3748,Mitarbeiter!$A$6:$A$205,0))&lt;&gt;"",A3748&gt;INDEX(Mitarbeiter!$D$6:$D$205,MATCH(B3748,Mitarbeiter!$A$6:$A$205,0))),"nach Austritt","ok")))))))</f>
        <v/>
      </c>
    </row>
    <row r="3749">
      <c r="A3749" s="26" t="n"/>
      <c r="B3749" s="24" t="n"/>
      <c r="C3749" s="40">
        <f>IF(B3749="","",IFERROR(INDEX(Mitarbeiter!$B$6:$B$205,MATCH(B3749,Mitarbeiter!$A$6:$A$205,0)),"?"))</f>
        <v/>
      </c>
      <c r="D3749" s="41" t="n"/>
      <c r="E3749" s="42" t="n"/>
      <c r="F3749" s="43" t="n"/>
      <c r="G3749" s="44">
        <f>IF(OR(B3749="",F3749=""),"",IFERROR(F3749*INDEX(Mitarbeiter!$F$6:$F$205,MATCH(B3749,Mitarbeiter!$A$6:$A$205,0)),0))</f>
        <v/>
      </c>
      <c r="H3749" s="8">
        <f>IF(B3749="","",IF(ISNA(MATCH(B3749,Mitarbeiter!$A$6:$A$205,0)),"Pers.-Nr. unbekannt",IF(A3749="","Datum fehlt",IF(AND(D3749&lt;&gt;Einstellungen!$C$4,D3749&lt;&gt;Einstellungen!$C$5),"Objekt fehlt",IF(YEAR(A3749)&lt;&gt;Einstellungen!$C$3,"anderes Jahr",IF(A3749&lt;INDEX(Mitarbeiter!$C$6:$C$205,MATCH(B3749,Mitarbeiter!$A$6:$A$205,0)),"vor Eintritt",IF(AND(INDEX(Mitarbeiter!$D$6:$D$205,MATCH(B3749,Mitarbeiter!$A$6:$A$205,0))&lt;&gt;"",A3749&gt;INDEX(Mitarbeiter!$D$6:$D$205,MATCH(B3749,Mitarbeiter!$A$6:$A$205,0))),"nach Austritt","ok")))))))</f>
        <v/>
      </c>
    </row>
    <row r="3750">
      <c r="A3750" s="26" t="n"/>
      <c r="B3750" s="24" t="n"/>
      <c r="C3750" s="40">
        <f>IF(B3750="","",IFERROR(INDEX(Mitarbeiter!$B$6:$B$205,MATCH(B3750,Mitarbeiter!$A$6:$A$205,0)),"?"))</f>
        <v/>
      </c>
      <c r="D3750" s="41" t="n"/>
      <c r="E3750" s="42" t="n"/>
      <c r="F3750" s="43" t="n"/>
      <c r="G3750" s="44">
        <f>IF(OR(B3750="",F3750=""),"",IFERROR(F3750*INDEX(Mitarbeiter!$F$6:$F$205,MATCH(B3750,Mitarbeiter!$A$6:$A$205,0)),0))</f>
        <v/>
      </c>
      <c r="H3750" s="8">
        <f>IF(B3750="","",IF(ISNA(MATCH(B3750,Mitarbeiter!$A$6:$A$205,0)),"Pers.-Nr. unbekannt",IF(A3750="","Datum fehlt",IF(AND(D3750&lt;&gt;Einstellungen!$C$4,D3750&lt;&gt;Einstellungen!$C$5),"Objekt fehlt",IF(YEAR(A3750)&lt;&gt;Einstellungen!$C$3,"anderes Jahr",IF(A3750&lt;INDEX(Mitarbeiter!$C$6:$C$205,MATCH(B3750,Mitarbeiter!$A$6:$A$205,0)),"vor Eintritt",IF(AND(INDEX(Mitarbeiter!$D$6:$D$205,MATCH(B3750,Mitarbeiter!$A$6:$A$205,0))&lt;&gt;"",A3750&gt;INDEX(Mitarbeiter!$D$6:$D$205,MATCH(B3750,Mitarbeiter!$A$6:$A$205,0))),"nach Austritt","ok")))))))</f>
        <v/>
      </c>
    </row>
    <row r="3751">
      <c r="A3751" s="26" t="n"/>
      <c r="B3751" s="24" t="n"/>
      <c r="C3751" s="40">
        <f>IF(B3751="","",IFERROR(INDEX(Mitarbeiter!$B$6:$B$205,MATCH(B3751,Mitarbeiter!$A$6:$A$205,0)),"?"))</f>
        <v/>
      </c>
      <c r="D3751" s="41" t="n"/>
      <c r="E3751" s="42" t="n"/>
      <c r="F3751" s="43" t="n"/>
      <c r="G3751" s="44">
        <f>IF(OR(B3751="",F3751=""),"",IFERROR(F3751*INDEX(Mitarbeiter!$F$6:$F$205,MATCH(B3751,Mitarbeiter!$A$6:$A$205,0)),0))</f>
        <v/>
      </c>
      <c r="H3751" s="8">
        <f>IF(B3751="","",IF(ISNA(MATCH(B3751,Mitarbeiter!$A$6:$A$205,0)),"Pers.-Nr. unbekannt",IF(A3751="","Datum fehlt",IF(AND(D3751&lt;&gt;Einstellungen!$C$4,D3751&lt;&gt;Einstellungen!$C$5),"Objekt fehlt",IF(YEAR(A3751)&lt;&gt;Einstellungen!$C$3,"anderes Jahr",IF(A3751&lt;INDEX(Mitarbeiter!$C$6:$C$205,MATCH(B3751,Mitarbeiter!$A$6:$A$205,0)),"vor Eintritt",IF(AND(INDEX(Mitarbeiter!$D$6:$D$205,MATCH(B3751,Mitarbeiter!$A$6:$A$205,0))&lt;&gt;"",A3751&gt;INDEX(Mitarbeiter!$D$6:$D$205,MATCH(B3751,Mitarbeiter!$A$6:$A$205,0))),"nach Austritt","ok")))))))</f>
        <v/>
      </c>
    </row>
    <row r="3752">
      <c r="A3752" s="26" t="n"/>
      <c r="B3752" s="24" t="n"/>
      <c r="C3752" s="40">
        <f>IF(B3752="","",IFERROR(INDEX(Mitarbeiter!$B$6:$B$205,MATCH(B3752,Mitarbeiter!$A$6:$A$205,0)),"?"))</f>
        <v/>
      </c>
      <c r="D3752" s="41" t="n"/>
      <c r="E3752" s="42" t="n"/>
      <c r="F3752" s="43" t="n"/>
      <c r="G3752" s="44">
        <f>IF(OR(B3752="",F3752=""),"",IFERROR(F3752*INDEX(Mitarbeiter!$F$6:$F$205,MATCH(B3752,Mitarbeiter!$A$6:$A$205,0)),0))</f>
        <v/>
      </c>
      <c r="H3752" s="8">
        <f>IF(B3752="","",IF(ISNA(MATCH(B3752,Mitarbeiter!$A$6:$A$205,0)),"Pers.-Nr. unbekannt",IF(A3752="","Datum fehlt",IF(AND(D3752&lt;&gt;Einstellungen!$C$4,D3752&lt;&gt;Einstellungen!$C$5),"Objekt fehlt",IF(YEAR(A3752)&lt;&gt;Einstellungen!$C$3,"anderes Jahr",IF(A3752&lt;INDEX(Mitarbeiter!$C$6:$C$205,MATCH(B3752,Mitarbeiter!$A$6:$A$205,0)),"vor Eintritt",IF(AND(INDEX(Mitarbeiter!$D$6:$D$205,MATCH(B3752,Mitarbeiter!$A$6:$A$205,0))&lt;&gt;"",A3752&gt;INDEX(Mitarbeiter!$D$6:$D$205,MATCH(B3752,Mitarbeiter!$A$6:$A$205,0))),"nach Austritt","ok")))))))</f>
        <v/>
      </c>
    </row>
    <row r="3753">
      <c r="A3753" s="26" t="n"/>
      <c r="B3753" s="24" t="n"/>
      <c r="C3753" s="40">
        <f>IF(B3753="","",IFERROR(INDEX(Mitarbeiter!$B$6:$B$205,MATCH(B3753,Mitarbeiter!$A$6:$A$205,0)),"?"))</f>
        <v/>
      </c>
      <c r="D3753" s="41" t="n"/>
      <c r="E3753" s="42" t="n"/>
      <c r="F3753" s="43" t="n"/>
      <c r="G3753" s="44">
        <f>IF(OR(B3753="",F3753=""),"",IFERROR(F3753*INDEX(Mitarbeiter!$F$6:$F$205,MATCH(B3753,Mitarbeiter!$A$6:$A$205,0)),0))</f>
        <v/>
      </c>
      <c r="H3753" s="8">
        <f>IF(B3753="","",IF(ISNA(MATCH(B3753,Mitarbeiter!$A$6:$A$205,0)),"Pers.-Nr. unbekannt",IF(A3753="","Datum fehlt",IF(AND(D3753&lt;&gt;Einstellungen!$C$4,D3753&lt;&gt;Einstellungen!$C$5),"Objekt fehlt",IF(YEAR(A3753)&lt;&gt;Einstellungen!$C$3,"anderes Jahr",IF(A3753&lt;INDEX(Mitarbeiter!$C$6:$C$205,MATCH(B3753,Mitarbeiter!$A$6:$A$205,0)),"vor Eintritt",IF(AND(INDEX(Mitarbeiter!$D$6:$D$205,MATCH(B3753,Mitarbeiter!$A$6:$A$205,0))&lt;&gt;"",A3753&gt;INDEX(Mitarbeiter!$D$6:$D$205,MATCH(B3753,Mitarbeiter!$A$6:$A$205,0))),"nach Austritt","ok")))))))</f>
        <v/>
      </c>
    </row>
    <row r="3754">
      <c r="A3754" s="26" t="n"/>
      <c r="B3754" s="24" t="n"/>
      <c r="C3754" s="40">
        <f>IF(B3754="","",IFERROR(INDEX(Mitarbeiter!$B$6:$B$205,MATCH(B3754,Mitarbeiter!$A$6:$A$205,0)),"?"))</f>
        <v/>
      </c>
      <c r="D3754" s="41" t="n"/>
      <c r="E3754" s="42" t="n"/>
      <c r="F3754" s="43" t="n"/>
      <c r="G3754" s="44">
        <f>IF(OR(B3754="",F3754=""),"",IFERROR(F3754*INDEX(Mitarbeiter!$F$6:$F$205,MATCH(B3754,Mitarbeiter!$A$6:$A$205,0)),0))</f>
        <v/>
      </c>
      <c r="H3754" s="8">
        <f>IF(B3754="","",IF(ISNA(MATCH(B3754,Mitarbeiter!$A$6:$A$205,0)),"Pers.-Nr. unbekannt",IF(A3754="","Datum fehlt",IF(AND(D3754&lt;&gt;Einstellungen!$C$4,D3754&lt;&gt;Einstellungen!$C$5),"Objekt fehlt",IF(YEAR(A3754)&lt;&gt;Einstellungen!$C$3,"anderes Jahr",IF(A3754&lt;INDEX(Mitarbeiter!$C$6:$C$205,MATCH(B3754,Mitarbeiter!$A$6:$A$205,0)),"vor Eintritt",IF(AND(INDEX(Mitarbeiter!$D$6:$D$205,MATCH(B3754,Mitarbeiter!$A$6:$A$205,0))&lt;&gt;"",A3754&gt;INDEX(Mitarbeiter!$D$6:$D$205,MATCH(B3754,Mitarbeiter!$A$6:$A$205,0))),"nach Austritt","ok")))))))</f>
        <v/>
      </c>
    </row>
    <row r="3755">
      <c r="A3755" s="26" t="n"/>
      <c r="B3755" s="24" t="n"/>
      <c r="C3755" s="40">
        <f>IF(B3755="","",IFERROR(INDEX(Mitarbeiter!$B$6:$B$205,MATCH(B3755,Mitarbeiter!$A$6:$A$205,0)),"?"))</f>
        <v/>
      </c>
      <c r="D3755" s="41" t="n"/>
      <c r="E3755" s="42" t="n"/>
      <c r="F3755" s="43" t="n"/>
      <c r="G3755" s="44">
        <f>IF(OR(B3755="",F3755=""),"",IFERROR(F3755*INDEX(Mitarbeiter!$F$6:$F$205,MATCH(B3755,Mitarbeiter!$A$6:$A$205,0)),0))</f>
        <v/>
      </c>
      <c r="H3755" s="8">
        <f>IF(B3755="","",IF(ISNA(MATCH(B3755,Mitarbeiter!$A$6:$A$205,0)),"Pers.-Nr. unbekannt",IF(A3755="","Datum fehlt",IF(AND(D3755&lt;&gt;Einstellungen!$C$4,D3755&lt;&gt;Einstellungen!$C$5),"Objekt fehlt",IF(YEAR(A3755)&lt;&gt;Einstellungen!$C$3,"anderes Jahr",IF(A3755&lt;INDEX(Mitarbeiter!$C$6:$C$205,MATCH(B3755,Mitarbeiter!$A$6:$A$205,0)),"vor Eintritt",IF(AND(INDEX(Mitarbeiter!$D$6:$D$205,MATCH(B3755,Mitarbeiter!$A$6:$A$205,0))&lt;&gt;"",A3755&gt;INDEX(Mitarbeiter!$D$6:$D$205,MATCH(B3755,Mitarbeiter!$A$6:$A$205,0))),"nach Austritt","ok")))))))</f>
        <v/>
      </c>
    </row>
    <row r="3756">
      <c r="A3756" s="26" t="n"/>
      <c r="B3756" s="24" t="n"/>
      <c r="C3756" s="40">
        <f>IF(B3756="","",IFERROR(INDEX(Mitarbeiter!$B$6:$B$205,MATCH(B3756,Mitarbeiter!$A$6:$A$205,0)),"?"))</f>
        <v/>
      </c>
      <c r="D3756" s="41" t="n"/>
      <c r="E3756" s="42" t="n"/>
      <c r="F3756" s="43" t="n"/>
      <c r="G3756" s="44">
        <f>IF(OR(B3756="",F3756=""),"",IFERROR(F3756*INDEX(Mitarbeiter!$F$6:$F$205,MATCH(B3756,Mitarbeiter!$A$6:$A$205,0)),0))</f>
        <v/>
      </c>
      <c r="H3756" s="8">
        <f>IF(B3756="","",IF(ISNA(MATCH(B3756,Mitarbeiter!$A$6:$A$205,0)),"Pers.-Nr. unbekannt",IF(A3756="","Datum fehlt",IF(AND(D3756&lt;&gt;Einstellungen!$C$4,D3756&lt;&gt;Einstellungen!$C$5),"Objekt fehlt",IF(YEAR(A3756)&lt;&gt;Einstellungen!$C$3,"anderes Jahr",IF(A3756&lt;INDEX(Mitarbeiter!$C$6:$C$205,MATCH(B3756,Mitarbeiter!$A$6:$A$205,0)),"vor Eintritt",IF(AND(INDEX(Mitarbeiter!$D$6:$D$205,MATCH(B3756,Mitarbeiter!$A$6:$A$205,0))&lt;&gt;"",A3756&gt;INDEX(Mitarbeiter!$D$6:$D$205,MATCH(B3756,Mitarbeiter!$A$6:$A$205,0))),"nach Austritt","ok")))))))</f>
        <v/>
      </c>
    </row>
    <row r="3757">
      <c r="A3757" s="26" t="n"/>
      <c r="B3757" s="24" t="n"/>
      <c r="C3757" s="40">
        <f>IF(B3757="","",IFERROR(INDEX(Mitarbeiter!$B$6:$B$205,MATCH(B3757,Mitarbeiter!$A$6:$A$205,0)),"?"))</f>
        <v/>
      </c>
      <c r="D3757" s="41" t="n"/>
      <c r="E3757" s="42" t="n"/>
      <c r="F3757" s="43" t="n"/>
      <c r="G3757" s="44">
        <f>IF(OR(B3757="",F3757=""),"",IFERROR(F3757*INDEX(Mitarbeiter!$F$6:$F$205,MATCH(B3757,Mitarbeiter!$A$6:$A$205,0)),0))</f>
        <v/>
      </c>
      <c r="H3757" s="8">
        <f>IF(B3757="","",IF(ISNA(MATCH(B3757,Mitarbeiter!$A$6:$A$205,0)),"Pers.-Nr. unbekannt",IF(A3757="","Datum fehlt",IF(AND(D3757&lt;&gt;Einstellungen!$C$4,D3757&lt;&gt;Einstellungen!$C$5),"Objekt fehlt",IF(YEAR(A3757)&lt;&gt;Einstellungen!$C$3,"anderes Jahr",IF(A3757&lt;INDEX(Mitarbeiter!$C$6:$C$205,MATCH(B3757,Mitarbeiter!$A$6:$A$205,0)),"vor Eintritt",IF(AND(INDEX(Mitarbeiter!$D$6:$D$205,MATCH(B3757,Mitarbeiter!$A$6:$A$205,0))&lt;&gt;"",A3757&gt;INDEX(Mitarbeiter!$D$6:$D$205,MATCH(B3757,Mitarbeiter!$A$6:$A$205,0))),"nach Austritt","ok")))))))</f>
        <v/>
      </c>
    </row>
    <row r="3758">
      <c r="A3758" s="26" t="n"/>
      <c r="B3758" s="24" t="n"/>
      <c r="C3758" s="40">
        <f>IF(B3758="","",IFERROR(INDEX(Mitarbeiter!$B$6:$B$205,MATCH(B3758,Mitarbeiter!$A$6:$A$205,0)),"?"))</f>
        <v/>
      </c>
      <c r="D3758" s="41" t="n"/>
      <c r="E3758" s="42" t="n"/>
      <c r="F3758" s="43" t="n"/>
      <c r="G3758" s="44">
        <f>IF(OR(B3758="",F3758=""),"",IFERROR(F3758*INDEX(Mitarbeiter!$F$6:$F$205,MATCH(B3758,Mitarbeiter!$A$6:$A$205,0)),0))</f>
        <v/>
      </c>
      <c r="H3758" s="8">
        <f>IF(B3758="","",IF(ISNA(MATCH(B3758,Mitarbeiter!$A$6:$A$205,0)),"Pers.-Nr. unbekannt",IF(A3758="","Datum fehlt",IF(AND(D3758&lt;&gt;Einstellungen!$C$4,D3758&lt;&gt;Einstellungen!$C$5),"Objekt fehlt",IF(YEAR(A3758)&lt;&gt;Einstellungen!$C$3,"anderes Jahr",IF(A3758&lt;INDEX(Mitarbeiter!$C$6:$C$205,MATCH(B3758,Mitarbeiter!$A$6:$A$205,0)),"vor Eintritt",IF(AND(INDEX(Mitarbeiter!$D$6:$D$205,MATCH(B3758,Mitarbeiter!$A$6:$A$205,0))&lt;&gt;"",A3758&gt;INDEX(Mitarbeiter!$D$6:$D$205,MATCH(B3758,Mitarbeiter!$A$6:$A$205,0))),"nach Austritt","ok")))))))</f>
        <v/>
      </c>
    </row>
    <row r="3759">
      <c r="A3759" s="26" t="n"/>
      <c r="B3759" s="24" t="n"/>
      <c r="C3759" s="40">
        <f>IF(B3759="","",IFERROR(INDEX(Mitarbeiter!$B$6:$B$205,MATCH(B3759,Mitarbeiter!$A$6:$A$205,0)),"?"))</f>
        <v/>
      </c>
      <c r="D3759" s="41" t="n"/>
      <c r="E3759" s="42" t="n"/>
      <c r="F3759" s="43" t="n"/>
      <c r="G3759" s="44">
        <f>IF(OR(B3759="",F3759=""),"",IFERROR(F3759*INDEX(Mitarbeiter!$F$6:$F$205,MATCH(B3759,Mitarbeiter!$A$6:$A$205,0)),0))</f>
        <v/>
      </c>
      <c r="H3759" s="8">
        <f>IF(B3759="","",IF(ISNA(MATCH(B3759,Mitarbeiter!$A$6:$A$205,0)),"Pers.-Nr. unbekannt",IF(A3759="","Datum fehlt",IF(AND(D3759&lt;&gt;Einstellungen!$C$4,D3759&lt;&gt;Einstellungen!$C$5),"Objekt fehlt",IF(YEAR(A3759)&lt;&gt;Einstellungen!$C$3,"anderes Jahr",IF(A3759&lt;INDEX(Mitarbeiter!$C$6:$C$205,MATCH(B3759,Mitarbeiter!$A$6:$A$205,0)),"vor Eintritt",IF(AND(INDEX(Mitarbeiter!$D$6:$D$205,MATCH(B3759,Mitarbeiter!$A$6:$A$205,0))&lt;&gt;"",A3759&gt;INDEX(Mitarbeiter!$D$6:$D$205,MATCH(B3759,Mitarbeiter!$A$6:$A$205,0))),"nach Austritt","ok")))))))</f>
        <v/>
      </c>
    </row>
    <row r="3760">
      <c r="A3760" s="26" t="n"/>
      <c r="B3760" s="24" t="n"/>
      <c r="C3760" s="40">
        <f>IF(B3760="","",IFERROR(INDEX(Mitarbeiter!$B$6:$B$205,MATCH(B3760,Mitarbeiter!$A$6:$A$205,0)),"?"))</f>
        <v/>
      </c>
      <c r="D3760" s="41" t="n"/>
      <c r="E3760" s="42" t="n"/>
      <c r="F3760" s="43" t="n"/>
      <c r="G3760" s="44">
        <f>IF(OR(B3760="",F3760=""),"",IFERROR(F3760*INDEX(Mitarbeiter!$F$6:$F$205,MATCH(B3760,Mitarbeiter!$A$6:$A$205,0)),0))</f>
        <v/>
      </c>
      <c r="H3760" s="8">
        <f>IF(B3760="","",IF(ISNA(MATCH(B3760,Mitarbeiter!$A$6:$A$205,0)),"Pers.-Nr. unbekannt",IF(A3760="","Datum fehlt",IF(AND(D3760&lt;&gt;Einstellungen!$C$4,D3760&lt;&gt;Einstellungen!$C$5),"Objekt fehlt",IF(YEAR(A3760)&lt;&gt;Einstellungen!$C$3,"anderes Jahr",IF(A3760&lt;INDEX(Mitarbeiter!$C$6:$C$205,MATCH(B3760,Mitarbeiter!$A$6:$A$205,0)),"vor Eintritt",IF(AND(INDEX(Mitarbeiter!$D$6:$D$205,MATCH(B3760,Mitarbeiter!$A$6:$A$205,0))&lt;&gt;"",A3760&gt;INDEX(Mitarbeiter!$D$6:$D$205,MATCH(B3760,Mitarbeiter!$A$6:$A$205,0))),"nach Austritt","ok")))))))</f>
        <v/>
      </c>
    </row>
    <row r="3761">
      <c r="A3761" s="26" t="n"/>
      <c r="B3761" s="24" t="n"/>
      <c r="C3761" s="40">
        <f>IF(B3761="","",IFERROR(INDEX(Mitarbeiter!$B$6:$B$205,MATCH(B3761,Mitarbeiter!$A$6:$A$205,0)),"?"))</f>
        <v/>
      </c>
      <c r="D3761" s="41" t="n"/>
      <c r="E3761" s="42" t="n"/>
      <c r="F3761" s="43" t="n"/>
      <c r="G3761" s="44">
        <f>IF(OR(B3761="",F3761=""),"",IFERROR(F3761*INDEX(Mitarbeiter!$F$6:$F$205,MATCH(B3761,Mitarbeiter!$A$6:$A$205,0)),0))</f>
        <v/>
      </c>
      <c r="H3761" s="8">
        <f>IF(B3761="","",IF(ISNA(MATCH(B3761,Mitarbeiter!$A$6:$A$205,0)),"Pers.-Nr. unbekannt",IF(A3761="","Datum fehlt",IF(AND(D3761&lt;&gt;Einstellungen!$C$4,D3761&lt;&gt;Einstellungen!$C$5),"Objekt fehlt",IF(YEAR(A3761)&lt;&gt;Einstellungen!$C$3,"anderes Jahr",IF(A3761&lt;INDEX(Mitarbeiter!$C$6:$C$205,MATCH(B3761,Mitarbeiter!$A$6:$A$205,0)),"vor Eintritt",IF(AND(INDEX(Mitarbeiter!$D$6:$D$205,MATCH(B3761,Mitarbeiter!$A$6:$A$205,0))&lt;&gt;"",A3761&gt;INDEX(Mitarbeiter!$D$6:$D$205,MATCH(B3761,Mitarbeiter!$A$6:$A$205,0))),"nach Austritt","ok")))))))</f>
        <v/>
      </c>
    </row>
    <row r="3762">
      <c r="A3762" s="26" t="n"/>
      <c r="B3762" s="24" t="n"/>
      <c r="C3762" s="40">
        <f>IF(B3762="","",IFERROR(INDEX(Mitarbeiter!$B$6:$B$205,MATCH(B3762,Mitarbeiter!$A$6:$A$205,0)),"?"))</f>
        <v/>
      </c>
      <c r="D3762" s="41" t="n"/>
      <c r="E3762" s="42" t="n"/>
      <c r="F3762" s="43" t="n"/>
      <c r="G3762" s="44">
        <f>IF(OR(B3762="",F3762=""),"",IFERROR(F3762*INDEX(Mitarbeiter!$F$6:$F$205,MATCH(B3762,Mitarbeiter!$A$6:$A$205,0)),0))</f>
        <v/>
      </c>
      <c r="H3762" s="8">
        <f>IF(B3762="","",IF(ISNA(MATCH(B3762,Mitarbeiter!$A$6:$A$205,0)),"Pers.-Nr. unbekannt",IF(A3762="","Datum fehlt",IF(AND(D3762&lt;&gt;Einstellungen!$C$4,D3762&lt;&gt;Einstellungen!$C$5),"Objekt fehlt",IF(YEAR(A3762)&lt;&gt;Einstellungen!$C$3,"anderes Jahr",IF(A3762&lt;INDEX(Mitarbeiter!$C$6:$C$205,MATCH(B3762,Mitarbeiter!$A$6:$A$205,0)),"vor Eintritt",IF(AND(INDEX(Mitarbeiter!$D$6:$D$205,MATCH(B3762,Mitarbeiter!$A$6:$A$205,0))&lt;&gt;"",A3762&gt;INDEX(Mitarbeiter!$D$6:$D$205,MATCH(B3762,Mitarbeiter!$A$6:$A$205,0))),"nach Austritt","ok")))))))</f>
        <v/>
      </c>
    </row>
    <row r="3763">
      <c r="A3763" s="26" t="n"/>
      <c r="B3763" s="24" t="n"/>
      <c r="C3763" s="40">
        <f>IF(B3763="","",IFERROR(INDEX(Mitarbeiter!$B$6:$B$205,MATCH(B3763,Mitarbeiter!$A$6:$A$205,0)),"?"))</f>
        <v/>
      </c>
      <c r="D3763" s="41" t="n"/>
      <c r="E3763" s="42" t="n"/>
      <c r="F3763" s="43" t="n"/>
      <c r="G3763" s="44">
        <f>IF(OR(B3763="",F3763=""),"",IFERROR(F3763*INDEX(Mitarbeiter!$F$6:$F$205,MATCH(B3763,Mitarbeiter!$A$6:$A$205,0)),0))</f>
        <v/>
      </c>
      <c r="H3763" s="8">
        <f>IF(B3763="","",IF(ISNA(MATCH(B3763,Mitarbeiter!$A$6:$A$205,0)),"Pers.-Nr. unbekannt",IF(A3763="","Datum fehlt",IF(AND(D3763&lt;&gt;Einstellungen!$C$4,D3763&lt;&gt;Einstellungen!$C$5),"Objekt fehlt",IF(YEAR(A3763)&lt;&gt;Einstellungen!$C$3,"anderes Jahr",IF(A3763&lt;INDEX(Mitarbeiter!$C$6:$C$205,MATCH(B3763,Mitarbeiter!$A$6:$A$205,0)),"vor Eintritt",IF(AND(INDEX(Mitarbeiter!$D$6:$D$205,MATCH(B3763,Mitarbeiter!$A$6:$A$205,0))&lt;&gt;"",A3763&gt;INDEX(Mitarbeiter!$D$6:$D$205,MATCH(B3763,Mitarbeiter!$A$6:$A$205,0))),"nach Austritt","ok")))))))</f>
        <v/>
      </c>
    </row>
    <row r="3764">
      <c r="A3764" s="26" t="n"/>
      <c r="B3764" s="24" t="n"/>
      <c r="C3764" s="40">
        <f>IF(B3764="","",IFERROR(INDEX(Mitarbeiter!$B$6:$B$205,MATCH(B3764,Mitarbeiter!$A$6:$A$205,0)),"?"))</f>
        <v/>
      </c>
      <c r="D3764" s="41" t="n"/>
      <c r="E3764" s="42" t="n"/>
      <c r="F3764" s="43" t="n"/>
      <c r="G3764" s="44">
        <f>IF(OR(B3764="",F3764=""),"",IFERROR(F3764*INDEX(Mitarbeiter!$F$6:$F$205,MATCH(B3764,Mitarbeiter!$A$6:$A$205,0)),0))</f>
        <v/>
      </c>
      <c r="H3764" s="8">
        <f>IF(B3764="","",IF(ISNA(MATCH(B3764,Mitarbeiter!$A$6:$A$205,0)),"Pers.-Nr. unbekannt",IF(A3764="","Datum fehlt",IF(AND(D3764&lt;&gt;Einstellungen!$C$4,D3764&lt;&gt;Einstellungen!$C$5),"Objekt fehlt",IF(YEAR(A3764)&lt;&gt;Einstellungen!$C$3,"anderes Jahr",IF(A3764&lt;INDEX(Mitarbeiter!$C$6:$C$205,MATCH(B3764,Mitarbeiter!$A$6:$A$205,0)),"vor Eintritt",IF(AND(INDEX(Mitarbeiter!$D$6:$D$205,MATCH(B3764,Mitarbeiter!$A$6:$A$205,0))&lt;&gt;"",A3764&gt;INDEX(Mitarbeiter!$D$6:$D$205,MATCH(B3764,Mitarbeiter!$A$6:$A$205,0))),"nach Austritt","ok")))))))</f>
        <v/>
      </c>
    </row>
    <row r="3765">
      <c r="A3765" s="26" t="n"/>
      <c r="B3765" s="24" t="n"/>
      <c r="C3765" s="40">
        <f>IF(B3765="","",IFERROR(INDEX(Mitarbeiter!$B$6:$B$205,MATCH(B3765,Mitarbeiter!$A$6:$A$205,0)),"?"))</f>
        <v/>
      </c>
      <c r="D3765" s="41" t="n"/>
      <c r="E3765" s="42" t="n"/>
      <c r="F3765" s="43" t="n"/>
      <c r="G3765" s="44">
        <f>IF(OR(B3765="",F3765=""),"",IFERROR(F3765*INDEX(Mitarbeiter!$F$6:$F$205,MATCH(B3765,Mitarbeiter!$A$6:$A$205,0)),0))</f>
        <v/>
      </c>
      <c r="H3765" s="8">
        <f>IF(B3765="","",IF(ISNA(MATCH(B3765,Mitarbeiter!$A$6:$A$205,0)),"Pers.-Nr. unbekannt",IF(A3765="","Datum fehlt",IF(AND(D3765&lt;&gt;Einstellungen!$C$4,D3765&lt;&gt;Einstellungen!$C$5),"Objekt fehlt",IF(YEAR(A3765)&lt;&gt;Einstellungen!$C$3,"anderes Jahr",IF(A3765&lt;INDEX(Mitarbeiter!$C$6:$C$205,MATCH(B3765,Mitarbeiter!$A$6:$A$205,0)),"vor Eintritt",IF(AND(INDEX(Mitarbeiter!$D$6:$D$205,MATCH(B3765,Mitarbeiter!$A$6:$A$205,0))&lt;&gt;"",A3765&gt;INDEX(Mitarbeiter!$D$6:$D$205,MATCH(B3765,Mitarbeiter!$A$6:$A$205,0))),"nach Austritt","ok")))))))</f>
        <v/>
      </c>
    </row>
    <row r="3766">
      <c r="A3766" s="26" t="n"/>
      <c r="B3766" s="24" t="n"/>
      <c r="C3766" s="40">
        <f>IF(B3766="","",IFERROR(INDEX(Mitarbeiter!$B$6:$B$205,MATCH(B3766,Mitarbeiter!$A$6:$A$205,0)),"?"))</f>
        <v/>
      </c>
      <c r="D3766" s="41" t="n"/>
      <c r="E3766" s="42" t="n"/>
      <c r="F3766" s="43" t="n"/>
      <c r="G3766" s="44">
        <f>IF(OR(B3766="",F3766=""),"",IFERROR(F3766*INDEX(Mitarbeiter!$F$6:$F$205,MATCH(B3766,Mitarbeiter!$A$6:$A$205,0)),0))</f>
        <v/>
      </c>
      <c r="H3766" s="8">
        <f>IF(B3766="","",IF(ISNA(MATCH(B3766,Mitarbeiter!$A$6:$A$205,0)),"Pers.-Nr. unbekannt",IF(A3766="","Datum fehlt",IF(AND(D3766&lt;&gt;Einstellungen!$C$4,D3766&lt;&gt;Einstellungen!$C$5),"Objekt fehlt",IF(YEAR(A3766)&lt;&gt;Einstellungen!$C$3,"anderes Jahr",IF(A3766&lt;INDEX(Mitarbeiter!$C$6:$C$205,MATCH(B3766,Mitarbeiter!$A$6:$A$205,0)),"vor Eintritt",IF(AND(INDEX(Mitarbeiter!$D$6:$D$205,MATCH(B3766,Mitarbeiter!$A$6:$A$205,0))&lt;&gt;"",A3766&gt;INDEX(Mitarbeiter!$D$6:$D$205,MATCH(B3766,Mitarbeiter!$A$6:$A$205,0))),"nach Austritt","ok")))))))</f>
        <v/>
      </c>
    </row>
    <row r="3767">
      <c r="A3767" s="26" t="n"/>
      <c r="B3767" s="24" t="n"/>
      <c r="C3767" s="40">
        <f>IF(B3767="","",IFERROR(INDEX(Mitarbeiter!$B$6:$B$205,MATCH(B3767,Mitarbeiter!$A$6:$A$205,0)),"?"))</f>
        <v/>
      </c>
      <c r="D3767" s="41" t="n"/>
      <c r="E3767" s="42" t="n"/>
      <c r="F3767" s="43" t="n"/>
      <c r="G3767" s="44">
        <f>IF(OR(B3767="",F3767=""),"",IFERROR(F3767*INDEX(Mitarbeiter!$F$6:$F$205,MATCH(B3767,Mitarbeiter!$A$6:$A$205,0)),0))</f>
        <v/>
      </c>
      <c r="H3767" s="8">
        <f>IF(B3767="","",IF(ISNA(MATCH(B3767,Mitarbeiter!$A$6:$A$205,0)),"Pers.-Nr. unbekannt",IF(A3767="","Datum fehlt",IF(AND(D3767&lt;&gt;Einstellungen!$C$4,D3767&lt;&gt;Einstellungen!$C$5),"Objekt fehlt",IF(YEAR(A3767)&lt;&gt;Einstellungen!$C$3,"anderes Jahr",IF(A3767&lt;INDEX(Mitarbeiter!$C$6:$C$205,MATCH(B3767,Mitarbeiter!$A$6:$A$205,0)),"vor Eintritt",IF(AND(INDEX(Mitarbeiter!$D$6:$D$205,MATCH(B3767,Mitarbeiter!$A$6:$A$205,0))&lt;&gt;"",A3767&gt;INDEX(Mitarbeiter!$D$6:$D$205,MATCH(B3767,Mitarbeiter!$A$6:$A$205,0))),"nach Austritt","ok")))))))</f>
        <v/>
      </c>
    </row>
    <row r="3768">
      <c r="A3768" s="26" t="n"/>
      <c r="B3768" s="24" t="n"/>
      <c r="C3768" s="40">
        <f>IF(B3768="","",IFERROR(INDEX(Mitarbeiter!$B$6:$B$205,MATCH(B3768,Mitarbeiter!$A$6:$A$205,0)),"?"))</f>
        <v/>
      </c>
      <c r="D3768" s="41" t="n"/>
      <c r="E3768" s="42" t="n"/>
      <c r="F3768" s="43" t="n"/>
      <c r="G3768" s="44">
        <f>IF(OR(B3768="",F3768=""),"",IFERROR(F3768*INDEX(Mitarbeiter!$F$6:$F$205,MATCH(B3768,Mitarbeiter!$A$6:$A$205,0)),0))</f>
        <v/>
      </c>
      <c r="H3768" s="8">
        <f>IF(B3768="","",IF(ISNA(MATCH(B3768,Mitarbeiter!$A$6:$A$205,0)),"Pers.-Nr. unbekannt",IF(A3768="","Datum fehlt",IF(AND(D3768&lt;&gt;Einstellungen!$C$4,D3768&lt;&gt;Einstellungen!$C$5),"Objekt fehlt",IF(YEAR(A3768)&lt;&gt;Einstellungen!$C$3,"anderes Jahr",IF(A3768&lt;INDEX(Mitarbeiter!$C$6:$C$205,MATCH(B3768,Mitarbeiter!$A$6:$A$205,0)),"vor Eintritt",IF(AND(INDEX(Mitarbeiter!$D$6:$D$205,MATCH(B3768,Mitarbeiter!$A$6:$A$205,0))&lt;&gt;"",A3768&gt;INDEX(Mitarbeiter!$D$6:$D$205,MATCH(B3768,Mitarbeiter!$A$6:$A$205,0))),"nach Austritt","ok")))))))</f>
        <v/>
      </c>
    </row>
    <row r="3769">
      <c r="A3769" s="26" t="n"/>
      <c r="B3769" s="24" t="n"/>
      <c r="C3769" s="40">
        <f>IF(B3769="","",IFERROR(INDEX(Mitarbeiter!$B$6:$B$205,MATCH(B3769,Mitarbeiter!$A$6:$A$205,0)),"?"))</f>
        <v/>
      </c>
      <c r="D3769" s="41" t="n"/>
      <c r="E3769" s="42" t="n"/>
      <c r="F3769" s="43" t="n"/>
      <c r="G3769" s="44">
        <f>IF(OR(B3769="",F3769=""),"",IFERROR(F3769*INDEX(Mitarbeiter!$F$6:$F$205,MATCH(B3769,Mitarbeiter!$A$6:$A$205,0)),0))</f>
        <v/>
      </c>
      <c r="H3769" s="8">
        <f>IF(B3769="","",IF(ISNA(MATCH(B3769,Mitarbeiter!$A$6:$A$205,0)),"Pers.-Nr. unbekannt",IF(A3769="","Datum fehlt",IF(AND(D3769&lt;&gt;Einstellungen!$C$4,D3769&lt;&gt;Einstellungen!$C$5),"Objekt fehlt",IF(YEAR(A3769)&lt;&gt;Einstellungen!$C$3,"anderes Jahr",IF(A3769&lt;INDEX(Mitarbeiter!$C$6:$C$205,MATCH(B3769,Mitarbeiter!$A$6:$A$205,0)),"vor Eintritt",IF(AND(INDEX(Mitarbeiter!$D$6:$D$205,MATCH(B3769,Mitarbeiter!$A$6:$A$205,0))&lt;&gt;"",A3769&gt;INDEX(Mitarbeiter!$D$6:$D$205,MATCH(B3769,Mitarbeiter!$A$6:$A$205,0))),"nach Austritt","ok")))))))</f>
        <v/>
      </c>
    </row>
    <row r="3770">
      <c r="A3770" s="26" t="n"/>
      <c r="B3770" s="24" t="n"/>
      <c r="C3770" s="40">
        <f>IF(B3770="","",IFERROR(INDEX(Mitarbeiter!$B$6:$B$205,MATCH(B3770,Mitarbeiter!$A$6:$A$205,0)),"?"))</f>
        <v/>
      </c>
      <c r="D3770" s="41" t="n"/>
      <c r="E3770" s="42" t="n"/>
      <c r="F3770" s="43" t="n"/>
      <c r="G3770" s="44">
        <f>IF(OR(B3770="",F3770=""),"",IFERROR(F3770*INDEX(Mitarbeiter!$F$6:$F$205,MATCH(B3770,Mitarbeiter!$A$6:$A$205,0)),0))</f>
        <v/>
      </c>
      <c r="H3770" s="8">
        <f>IF(B3770="","",IF(ISNA(MATCH(B3770,Mitarbeiter!$A$6:$A$205,0)),"Pers.-Nr. unbekannt",IF(A3770="","Datum fehlt",IF(AND(D3770&lt;&gt;Einstellungen!$C$4,D3770&lt;&gt;Einstellungen!$C$5),"Objekt fehlt",IF(YEAR(A3770)&lt;&gt;Einstellungen!$C$3,"anderes Jahr",IF(A3770&lt;INDEX(Mitarbeiter!$C$6:$C$205,MATCH(B3770,Mitarbeiter!$A$6:$A$205,0)),"vor Eintritt",IF(AND(INDEX(Mitarbeiter!$D$6:$D$205,MATCH(B3770,Mitarbeiter!$A$6:$A$205,0))&lt;&gt;"",A3770&gt;INDEX(Mitarbeiter!$D$6:$D$205,MATCH(B3770,Mitarbeiter!$A$6:$A$205,0))),"nach Austritt","ok")))))))</f>
        <v/>
      </c>
    </row>
    <row r="3771">
      <c r="A3771" s="26" t="n"/>
      <c r="B3771" s="24" t="n"/>
      <c r="C3771" s="40">
        <f>IF(B3771="","",IFERROR(INDEX(Mitarbeiter!$B$6:$B$205,MATCH(B3771,Mitarbeiter!$A$6:$A$205,0)),"?"))</f>
        <v/>
      </c>
      <c r="D3771" s="41" t="n"/>
      <c r="E3771" s="42" t="n"/>
      <c r="F3771" s="43" t="n"/>
      <c r="G3771" s="44">
        <f>IF(OR(B3771="",F3771=""),"",IFERROR(F3771*INDEX(Mitarbeiter!$F$6:$F$205,MATCH(B3771,Mitarbeiter!$A$6:$A$205,0)),0))</f>
        <v/>
      </c>
      <c r="H3771" s="8">
        <f>IF(B3771="","",IF(ISNA(MATCH(B3771,Mitarbeiter!$A$6:$A$205,0)),"Pers.-Nr. unbekannt",IF(A3771="","Datum fehlt",IF(AND(D3771&lt;&gt;Einstellungen!$C$4,D3771&lt;&gt;Einstellungen!$C$5),"Objekt fehlt",IF(YEAR(A3771)&lt;&gt;Einstellungen!$C$3,"anderes Jahr",IF(A3771&lt;INDEX(Mitarbeiter!$C$6:$C$205,MATCH(B3771,Mitarbeiter!$A$6:$A$205,0)),"vor Eintritt",IF(AND(INDEX(Mitarbeiter!$D$6:$D$205,MATCH(B3771,Mitarbeiter!$A$6:$A$205,0))&lt;&gt;"",A3771&gt;INDEX(Mitarbeiter!$D$6:$D$205,MATCH(B3771,Mitarbeiter!$A$6:$A$205,0))),"nach Austritt","ok")))))))</f>
        <v/>
      </c>
    </row>
    <row r="3772">
      <c r="A3772" s="26" t="n"/>
      <c r="B3772" s="24" t="n"/>
      <c r="C3772" s="40">
        <f>IF(B3772="","",IFERROR(INDEX(Mitarbeiter!$B$6:$B$205,MATCH(B3772,Mitarbeiter!$A$6:$A$205,0)),"?"))</f>
        <v/>
      </c>
      <c r="D3772" s="41" t="n"/>
      <c r="E3772" s="42" t="n"/>
      <c r="F3772" s="43" t="n"/>
      <c r="G3772" s="44">
        <f>IF(OR(B3772="",F3772=""),"",IFERROR(F3772*INDEX(Mitarbeiter!$F$6:$F$205,MATCH(B3772,Mitarbeiter!$A$6:$A$205,0)),0))</f>
        <v/>
      </c>
      <c r="H3772" s="8">
        <f>IF(B3772="","",IF(ISNA(MATCH(B3772,Mitarbeiter!$A$6:$A$205,0)),"Pers.-Nr. unbekannt",IF(A3772="","Datum fehlt",IF(AND(D3772&lt;&gt;Einstellungen!$C$4,D3772&lt;&gt;Einstellungen!$C$5),"Objekt fehlt",IF(YEAR(A3772)&lt;&gt;Einstellungen!$C$3,"anderes Jahr",IF(A3772&lt;INDEX(Mitarbeiter!$C$6:$C$205,MATCH(B3772,Mitarbeiter!$A$6:$A$205,0)),"vor Eintritt",IF(AND(INDEX(Mitarbeiter!$D$6:$D$205,MATCH(B3772,Mitarbeiter!$A$6:$A$205,0))&lt;&gt;"",A3772&gt;INDEX(Mitarbeiter!$D$6:$D$205,MATCH(B3772,Mitarbeiter!$A$6:$A$205,0))),"nach Austritt","ok")))))))</f>
        <v/>
      </c>
    </row>
    <row r="3773">
      <c r="A3773" s="26" t="n"/>
      <c r="B3773" s="24" t="n"/>
      <c r="C3773" s="40">
        <f>IF(B3773="","",IFERROR(INDEX(Mitarbeiter!$B$6:$B$205,MATCH(B3773,Mitarbeiter!$A$6:$A$205,0)),"?"))</f>
        <v/>
      </c>
      <c r="D3773" s="41" t="n"/>
      <c r="E3773" s="42" t="n"/>
      <c r="F3773" s="43" t="n"/>
      <c r="G3773" s="44">
        <f>IF(OR(B3773="",F3773=""),"",IFERROR(F3773*INDEX(Mitarbeiter!$F$6:$F$205,MATCH(B3773,Mitarbeiter!$A$6:$A$205,0)),0))</f>
        <v/>
      </c>
      <c r="H3773" s="8">
        <f>IF(B3773="","",IF(ISNA(MATCH(B3773,Mitarbeiter!$A$6:$A$205,0)),"Pers.-Nr. unbekannt",IF(A3773="","Datum fehlt",IF(AND(D3773&lt;&gt;Einstellungen!$C$4,D3773&lt;&gt;Einstellungen!$C$5),"Objekt fehlt",IF(YEAR(A3773)&lt;&gt;Einstellungen!$C$3,"anderes Jahr",IF(A3773&lt;INDEX(Mitarbeiter!$C$6:$C$205,MATCH(B3773,Mitarbeiter!$A$6:$A$205,0)),"vor Eintritt",IF(AND(INDEX(Mitarbeiter!$D$6:$D$205,MATCH(B3773,Mitarbeiter!$A$6:$A$205,0))&lt;&gt;"",A3773&gt;INDEX(Mitarbeiter!$D$6:$D$205,MATCH(B3773,Mitarbeiter!$A$6:$A$205,0))),"nach Austritt","ok")))))))</f>
        <v/>
      </c>
    </row>
    <row r="3774">
      <c r="A3774" s="26" t="n"/>
      <c r="B3774" s="24" t="n"/>
      <c r="C3774" s="40">
        <f>IF(B3774="","",IFERROR(INDEX(Mitarbeiter!$B$6:$B$205,MATCH(B3774,Mitarbeiter!$A$6:$A$205,0)),"?"))</f>
        <v/>
      </c>
      <c r="D3774" s="41" t="n"/>
      <c r="E3774" s="42" t="n"/>
      <c r="F3774" s="43" t="n"/>
      <c r="G3774" s="44">
        <f>IF(OR(B3774="",F3774=""),"",IFERROR(F3774*INDEX(Mitarbeiter!$F$6:$F$205,MATCH(B3774,Mitarbeiter!$A$6:$A$205,0)),0))</f>
        <v/>
      </c>
      <c r="H3774" s="8">
        <f>IF(B3774="","",IF(ISNA(MATCH(B3774,Mitarbeiter!$A$6:$A$205,0)),"Pers.-Nr. unbekannt",IF(A3774="","Datum fehlt",IF(AND(D3774&lt;&gt;Einstellungen!$C$4,D3774&lt;&gt;Einstellungen!$C$5),"Objekt fehlt",IF(YEAR(A3774)&lt;&gt;Einstellungen!$C$3,"anderes Jahr",IF(A3774&lt;INDEX(Mitarbeiter!$C$6:$C$205,MATCH(B3774,Mitarbeiter!$A$6:$A$205,0)),"vor Eintritt",IF(AND(INDEX(Mitarbeiter!$D$6:$D$205,MATCH(B3774,Mitarbeiter!$A$6:$A$205,0))&lt;&gt;"",A3774&gt;INDEX(Mitarbeiter!$D$6:$D$205,MATCH(B3774,Mitarbeiter!$A$6:$A$205,0))),"nach Austritt","ok")))))))</f>
        <v/>
      </c>
    </row>
    <row r="3775">
      <c r="A3775" s="26" t="n"/>
      <c r="B3775" s="24" t="n"/>
      <c r="C3775" s="40">
        <f>IF(B3775="","",IFERROR(INDEX(Mitarbeiter!$B$6:$B$205,MATCH(B3775,Mitarbeiter!$A$6:$A$205,0)),"?"))</f>
        <v/>
      </c>
      <c r="D3775" s="41" t="n"/>
      <c r="E3775" s="42" t="n"/>
      <c r="F3775" s="43" t="n"/>
      <c r="G3775" s="44">
        <f>IF(OR(B3775="",F3775=""),"",IFERROR(F3775*INDEX(Mitarbeiter!$F$6:$F$205,MATCH(B3775,Mitarbeiter!$A$6:$A$205,0)),0))</f>
        <v/>
      </c>
      <c r="H3775" s="8">
        <f>IF(B3775="","",IF(ISNA(MATCH(B3775,Mitarbeiter!$A$6:$A$205,0)),"Pers.-Nr. unbekannt",IF(A3775="","Datum fehlt",IF(AND(D3775&lt;&gt;Einstellungen!$C$4,D3775&lt;&gt;Einstellungen!$C$5),"Objekt fehlt",IF(YEAR(A3775)&lt;&gt;Einstellungen!$C$3,"anderes Jahr",IF(A3775&lt;INDEX(Mitarbeiter!$C$6:$C$205,MATCH(B3775,Mitarbeiter!$A$6:$A$205,0)),"vor Eintritt",IF(AND(INDEX(Mitarbeiter!$D$6:$D$205,MATCH(B3775,Mitarbeiter!$A$6:$A$205,0))&lt;&gt;"",A3775&gt;INDEX(Mitarbeiter!$D$6:$D$205,MATCH(B3775,Mitarbeiter!$A$6:$A$205,0))),"nach Austritt","ok")))))))</f>
        <v/>
      </c>
    </row>
    <row r="3776">
      <c r="A3776" s="26" t="n"/>
      <c r="B3776" s="24" t="n"/>
      <c r="C3776" s="40">
        <f>IF(B3776="","",IFERROR(INDEX(Mitarbeiter!$B$6:$B$205,MATCH(B3776,Mitarbeiter!$A$6:$A$205,0)),"?"))</f>
        <v/>
      </c>
      <c r="D3776" s="41" t="n"/>
      <c r="E3776" s="42" t="n"/>
      <c r="F3776" s="43" t="n"/>
      <c r="G3776" s="44">
        <f>IF(OR(B3776="",F3776=""),"",IFERROR(F3776*INDEX(Mitarbeiter!$F$6:$F$205,MATCH(B3776,Mitarbeiter!$A$6:$A$205,0)),0))</f>
        <v/>
      </c>
      <c r="H3776" s="8">
        <f>IF(B3776="","",IF(ISNA(MATCH(B3776,Mitarbeiter!$A$6:$A$205,0)),"Pers.-Nr. unbekannt",IF(A3776="","Datum fehlt",IF(AND(D3776&lt;&gt;Einstellungen!$C$4,D3776&lt;&gt;Einstellungen!$C$5),"Objekt fehlt",IF(YEAR(A3776)&lt;&gt;Einstellungen!$C$3,"anderes Jahr",IF(A3776&lt;INDEX(Mitarbeiter!$C$6:$C$205,MATCH(B3776,Mitarbeiter!$A$6:$A$205,0)),"vor Eintritt",IF(AND(INDEX(Mitarbeiter!$D$6:$D$205,MATCH(B3776,Mitarbeiter!$A$6:$A$205,0))&lt;&gt;"",A3776&gt;INDEX(Mitarbeiter!$D$6:$D$205,MATCH(B3776,Mitarbeiter!$A$6:$A$205,0))),"nach Austritt","ok")))))))</f>
        <v/>
      </c>
    </row>
    <row r="3777">
      <c r="A3777" s="26" t="n"/>
      <c r="B3777" s="24" t="n"/>
      <c r="C3777" s="40">
        <f>IF(B3777="","",IFERROR(INDEX(Mitarbeiter!$B$6:$B$205,MATCH(B3777,Mitarbeiter!$A$6:$A$205,0)),"?"))</f>
        <v/>
      </c>
      <c r="D3777" s="41" t="n"/>
      <c r="E3777" s="42" t="n"/>
      <c r="F3777" s="43" t="n"/>
      <c r="G3777" s="44">
        <f>IF(OR(B3777="",F3777=""),"",IFERROR(F3777*INDEX(Mitarbeiter!$F$6:$F$205,MATCH(B3777,Mitarbeiter!$A$6:$A$205,0)),0))</f>
        <v/>
      </c>
      <c r="H3777" s="8">
        <f>IF(B3777="","",IF(ISNA(MATCH(B3777,Mitarbeiter!$A$6:$A$205,0)),"Pers.-Nr. unbekannt",IF(A3777="","Datum fehlt",IF(AND(D3777&lt;&gt;Einstellungen!$C$4,D3777&lt;&gt;Einstellungen!$C$5),"Objekt fehlt",IF(YEAR(A3777)&lt;&gt;Einstellungen!$C$3,"anderes Jahr",IF(A3777&lt;INDEX(Mitarbeiter!$C$6:$C$205,MATCH(B3777,Mitarbeiter!$A$6:$A$205,0)),"vor Eintritt",IF(AND(INDEX(Mitarbeiter!$D$6:$D$205,MATCH(B3777,Mitarbeiter!$A$6:$A$205,0))&lt;&gt;"",A3777&gt;INDEX(Mitarbeiter!$D$6:$D$205,MATCH(B3777,Mitarbeiter!$A$6:$A$205,0))),"nach Austritt","ok")))))))</f>
        <v/>
      </c>
    </row>
    <row r="3778">
      <c r="A3778" s="26" t="n"/>
      <c r="B3778" s="24" t="n"/>
      <c r="C3778" s="40">
        <f>IF(B3778="","",IFERROR(INDEX(Mitarbeiter!$B$6:$B$205,MATCH(B3778,Mitarbeiter!$A$6:$A$205,0)),"?"))</f>
        <v/>
      </c>
      <c r="D3778" s="41" t="n"/>
      <c r="E3778" s="42" t="n"/>
      <c r="F3778" s="43" t="n"/>
      <c r="G3778" s="44">
        <f>IF(OR(B3778="",F3778=""),"",IFERROR(F3778*INDEX(Mitarbeiter!$F$6:$F$205,MATCH(B3778,Mitarbeiter!$A$6:$A$205,0)),0))</f>
        <v/>
      </c>
      <c r="H3778" s="8">
        <f>IF(B3778="","",IF(ISNA(MATCH(B3778,Mitarbeiter!$A$6:$A$205,0)),"Pers.-Nr. unbekannt",IF(A3778="","Datum fehlt",IF(AND(D3778&lt;&gt;Einstellungen!$C$4,D3778&lt;&gt;Einstellungen!$C$5),"Objekt fehlt",IF(YEAR(A3778)&lt;&gt;Einstellungen!$C$3,"anderes Jahr",IF(A3778&lt;INDEX(Mitarbeiter!$C$6:$C$205,MATCH(B3778,Mitarbeiter!$A$6:$A$205,0)),"vor Eintritt",IF(AND(INDEX(Mitarbeiter!$D$6:$D$205,MATCH(B3778,Mitarbeiter!$A$6:$A$205,0))&lt;&gt;"",A3778&gt;INDEX(Mitarbeiter!$D$6:$D$205,MATCH(B3778,Mitarbeiter!$A$6:$A$205,0))),"nach Austritt","ok")))))))</f>
        <v/>
      </c>
    </row>
    <row r="3779">
      <c r="A3779" s="26" t="n"/>
      <c r="B3779" s="24" t="n"/>
      <c r="C3779" s="40">
        <f>IF(B3779="","",IFERROR(INDEX(Mitarbeiter!$B$6:$B$205,MATCH(B3779,Mitarbeiter!$A$6:$A$205,0)),"?"))</f>
        <v/>
      </c>
      <c r="D3779" s="41" t="n"/>
      <c r="E3779" s="42" t="n"/>
      <c r="F3779" s="43" t="n"/>
      <c r="G3779" s="44">
        <f>IF(OR(B3779="",F3779=""),"",IFERROR(F3779*INDEX(Mitarbeiter!$F$6:$F$205,MATCH(B3779,Mitarbeiter!$A$6:$A$205,0)),0))</f>
        <v/>
      </c>
      <c r="H3779" s="8">
        <f>IF(B3779="","",IF(ISNA(MATCH(B3779,Mitarbeiter!$A$6:$A$205,0)),"Pers.-Nr. unbekannt",IF(A3779="","Datum fehlt",IF(AND(D3779&lt;&gt;Einstellungen!$C$4,D3779&lt;&gt;Einstellungen!$C$5),"Objekt fehlt",IF(YEAR(A3779)&lt;&gt;Einstellungen!$C$3,"anderes Jahr",IF(A3779&lt;INDEX(Mitarbeiter!$C$6:$C$205,MATCH(B3779,Mitarbeiter!$A$6:$A$205,0)),"vor Eintritt",IF(AND(INDEX(Mitarbeiter!$D$6:$D$205,MATCH(B3779,Mitarbeiter!$A$6:$A$205,0))&lt;&gt;"",A3779&gt;INDEX(Mitarbeiter!$D$6:$D$205,MATCH(B3779,Mitarbeiter!$A$6:$A$205,0))),"nach Austritt","ok")))))))</f>
        <v/>
      </c>
    </row>
    <row r="3780">
      <c r="A3780" s="26" t="n"/>
      <c r="B3780" s="24" t="n"/>
      <c r="C3780" s="40">
        <f>IF(B3780="","",IFERROR(INDEX(Mitarbeiter!$B$6:$B$205,MATCH(B3780,Mitarbeiter!$A$6:$A$205,0)),"?"))</f>
        <v/>
      </c>
      <c r="D3780" s="41" t="n"/>
      <c r="E3780" s="42" t="n"/>
      <c r="F3780" s="43" t="n"/>
      <c r="G3780" s="44">
        <f>IF(OR(B3780="",F3780=""),"",IFERROR(F3780*INDEX(Mitarbeiter!$F$6:$F$205,MATCH(B3780,Mitarbeiter!$A$6:$A$205,0)),0))</f>
        <v/>
      </c>
      <c r="H3780" s="8">
        <f>IF(B3780="","",IF(ISNA(MATCH(B3780,Mitarbeiter!$A$6:$A$205,0)),"Pers.-Nr. unbekannt",IF(A3780="","Datum fehlt",IF(AND(D3780&lt;&gt;Einstellungen!$C$4,D3780&lt;&gt;Einstellungen!$C$5),"Objekt fehlt",IF(YEAR(A3780)&lt;&gt;Einstellungen!$C$3,"anderes Jahr",IF(A3780&lt;INDEX(Mitarbeiter!$C$6:$C$205,MATCH(B3780,Mitarbeiter!$A$6:$A$205,0)),"vor Eintritt",IF(AND(INDEX(Mitarbeiter!$D$6:$D$205,MATCH(B3780,Mitarbeiter!$A$6:$A$205,0))&lt;&gt;"",A3780&gt;INDEX(Mitarbeiter!$D$6:$D$205,MATCH(B3780,Mitarbeiter!$A$6:$A$205,0))),"nach Austritt","ok")))))))</f>
        <v/>
      </c>
    </row>
    <row r="3781">
      <c r="A3781" s="26" t="n"/>
      <c r="B3781" s="24" t="n"/>
      <c r="C3781" s="40">
        <f>IF(B3781="","",IFERROR(INDEX(Mitarbeiter!$B$6:$B$205,MATCH(B3781,Mitarbeiter!$A$6:$A$205,0)),"?"))</f>
        <v/>
      </c>
      <c r="D3781" s="41" t="n"/>
      <c r="E3781" s="42" t="n"/>
      <c r="F3781" s="43" t="n"/>
      <c r="G3781" s="44">
        <f>IF(OR(B3781="",F3781=""),"",IFERROR(F3781*INDEX(Mitarbeiter!$F$6:$F$205,MATCH(B3781,Mitarbeiter!$A$6:$A$205,0)),0))</f>
        <v/>
      </c>
      <c r="H3781" s="8">
        <f>IF(B3781="","",IF(ISNA(MATCH(B3781,Mitarbeiter!$A$6:$A$205,0)),"Pers.-Nr. unbekannt",IF(A3781="","Datum fehlt",IF(AND(D3781&lt;&gt;Einstellungen!$C$4,D3781&lt;&gt;Einstellungen!$C$5),"Objekt fehlt",IF(YEAR(A3781)&lt;&gt;Einstellungen!$C$3,"anderes Jahr",IF(A3781&lt;INDEX(Mitarbeiter!$C$6:$C$205,MATCH(B3781,Mitarbeiter!$A$6:$A$205,0)),"vor Eintritt",IF(AND(INDEX(Mitarbeiter!$D$6:$D$205,MATCH(B3781,Mitarbeiter!$A$6:$A$205,0))&lt;&gt;"",A3781&gt;INDEX(Mitarbeiter!$D$6:$D$205,MATCH(B3781,Mitarbeiter!$A$6:$A$205,0))),"nach Austritt","ok")))))))</f>
        <v/>
      </c>
    </row>
    <row r="3782">
      <c r="A3782" s="26" t="n"/>
      <c r="B3782" s="24" t="n"/>
      <c r="C3782" s="40">
        <f>IF(B3782="","",IFERROR(INDEX(Mitarbeiter!$B$6:$B$205,MATCH(B3782,Mitarbeiter!$A$6:$A$205,0)),"?"))</f>
        <v/>
      </c>
      <c r="D3782" s="41" t="n"/>
      <c r="E3782" s="42" t="n"/>
      <c r="F3782" s="43" t="n"/>
      <c r="G3782" s="44">
        <f>IF(OR(B3782="",F3782=""),"",IFERROR(F3782*INDEX(Mitarbeiter!$F$6:$F$205,MATCH(B3782,Mitarbeiter!$A$6:$A$205,0)),0))</f>
        <v/>
      </c>
      <c r="H3782" s="8">
        <f>IF(B3782="","",IF(ISNA(MATCH(B3782,Mitarbeiter!$A$6:$A$205,0)),"Pers.-Nr. unbekannt",IF(A3782="","Datum fehlt",IF(AND(D3782&lt;&gt;Einstellungen!$C$4,D3782&lt;&gt;Einstellungen!$C$5),"Objekt fehlt",IF(YEAR(A3782)&lt;&gt;Einstellungen!$C$3,"anderes Jahr",IF(A3782&lt;INDEX(Mitarbeiter!$C$6:$C$205,MATCH(B3782,Mitarbeiter!$A$6:$A$205,0)),"vor Eintritt",IF(AND(INDEX(Mitarbeiter!$D$6:$D$205,MATCH(B3782,Mitarbeiter!$A$6:$A$205,0))&lt;&gt;"",A3782&gt;INDEX(Mitarbeiter!$D$6:$D$205,MATCH(B3782,Mitarbeiter!$A$6:$A$205,0))),"nach Austritt","ok")))))))</f>
        <v/>
      </c>
    </row>
    <row r="3783">
      <c r="A3783" s="26" t="n"/>
      <c r="B3783" s="24" t="n"/>
      <c r="C3783" s="40">
        <f>IF(B3783="","",IFERROR(INDEX(Mitarbeiter!$B$6:$B$205,MATCH(B3783,Mitarbeiter!$A$6:$A$205,0)),"?"))</f>
        <v/>
      </c>
      <c r="D3783" s="41" t="n"/>
      <c r="E3783" s="42" t="n"/>
      <c r="F3783" s="43" t="n"/>
      <c r="G3783" s="44">
        <f>IF(OR(B3783="",F3783=""),"",IFERROR(F3783*INDEX(Mitarbeiter!$F$6:$F$205,MATCH(B3783,Mitarbeiter!$A$6:$A$205,0)),0))</f>
        <v/>
      </c>
      <c r="H3783" s="8">
        <f>IF(B3783="","",IF(ISNA(MATCH(B3783,Mitarbeiter!$A$6:$A$205,0)),"Pers.-Nr. unbekannt",IF(A3783="","Datum fehlt",IF(AND(D3783&lt;&gt;Einstellungen!$C$4,D3783&lt;&gt;Einstellungen!$C$5),"Objekt fehlt",IF(YEAR(A3783)&lt;&gt;Einstellungen!$C$3,"anderes Jahr",IF(A3783&lt;INDEX(Mitarbeiter!$C$6:$C$205,MATCH(B3783,Mitarbeiter!$A$6:$A$205,0)),"vor Eintritt",IF(AND(INDEX(Mitarbeiter!$D$6:$D$205,MATCH(B3783,Mitarbeiter!$A$6:$A$205,0))&lt;&gt;"",A3783&gt;INDEX(Mitarbeiter!$D$6:$D$205,MATCH(B3783,Mitarbeiter!$A$6:$A$205,0))),"nach Austritt","ok")))))))</f>
        <v/>
      </c>
    </row>
    <row r="3784">
      <c r="A3784" s="26" t="n"/>
      <c r="B3784" s="24" t="n"/>
      <c r="C3784" s="40">
        <f>IF(B3784="","",IFERROR(INDEX(Mitarbeiter!$B$6:$B$205,MATCH(B3784,Mitarbeiter!$A$6:$A$205,0)),"?"))</f>
        <v/>
      </c>
      <c r="D3784" s="41" t="n"/>
      <c r="E3784" s="42" t="n"/>
      <c r="F3784" s="43" t="n"/>
      <c r="G3784" s="44">
        <f>IF(OR(B3784="",F3784=""),"",IFERROR(F3784*INDEX(Mitarbeiter!$F$6:$F$205,MATCH(B3784,Mitarbeiter!$A$6:$A$205,0)),0))</f>
        <v/>
      </c>
      <c r="H3784" s="8">
        <f>IF(B3784="","",IF(ISNA(MATCH(B3784,Mitarbeiter!$A$6:$A$205,0)),"Pers.-Nr. unbekannt",IF(A3784="","Datum fehlt",IF(AND(D3784&lt;&gt;Einstellungen!$C$4,D3784&lt;&gt;Einstellungen!$C$5),"Objekt fehlt",IF(YEAR(A3784)&lt;&gt;Einstellungen!$C$3,"anderes Jahr",IF(A3784&lt;INDEX(Mitarbeiter!$C$6:$C$205,MATCH(B3784,Mitarbeiter!$A$6:$A$205,0)),"vor Eintritt",IF(AND(INDEX(Mitarbeiter!$D$6:$D$205,MATCH(B3784,Mitarbeiter!$A$6:$A$205,0))&lt;&gt;"",A3784&gt;INDEX(Mitarbeiter!$D$6:$D$205,MATCH(B3784,Mitarbeiter!$A$6:$A$205,0))),"nach Austritt","ok")))))))</f>
        <v/>
      </c>
    </row>
    <row r="3785">
      <c r="A3785" s="26" t="n"/>
      <c r="B3785" s="24" t="n"/>
      <c r="C3785" s="40">
        <f>IF(B3785="","",IFERROR(INDEX(Mitarbeiter!$B$6:$B$205,MATCH(B3785,Mitarbeiter!$A$6:$A$205,0)),"?"))</f>
        <v/>
      </c>
      <c r="D3785" s="41" t="n"/>
      <c r="E3785" s="42" t="n"/>
      <c r="F3785" s="43" t="n"/>
      <c r="G3785" s="44">
        <f>IF(OR(B3785="",F3785=""),"",IFERROR(F3785*INDEX(Mitarbeiter!$F$6:$F$205,MATCH(B3785,Mitarbeiter!$A$6:$A$205,0)),0))</f>
        <v/>
      </c>
      <c r="H3785" s="8">
        <f>IF(B3785="","",IF(ISNA(MATCH(B3785,Mitarbeiter!$A$6:$A$205,0)),"Pers.-Nr. unbekannt",IF(A3785="","Datum fehlt",IF(AND(D3785&lt;&gt;Einstellungen!$C$4,D3785&lt;&gt;Einstellungen!$C$5),"Objekt fehlt",IF(YEAR(A3785)&lt;&gt;Einstellungen!$C$3,"anderes Jahr",IF(A3785&lt;INDEX(Mitarbeiter!$C$6:$C$205,MATCH(B3785,Mitarbeiter!$A$6:$A$205,0)),"vor Eintritt",IF(AND(INDEX(Mitarbeiter!$D$6:$D$205,MATCH(B3785,Mitarbeiter!$A$6:$A$205,0))&lt;&gt;"",A3785&gt;INDEX(Mitarbeiter!$D$6:$D$205,MATCH(B3785,Mitarbeiter!$A$6:$A$205,0))),"nach Austritt","ok")))))))</f>
        <v/>
      </c>
    </row>
    <row r="3786">
      <c r="A3786" s="26" t="n"/>
      <c r="B3786" s="24" t="n"/>
      <c r="C3786" s="40">
        <f>IF(B3786="","",IFERROR(INDEX(Mitarbeiter!$B$6:$B$205,MATCH(B3786,Mitarbeiter!$A$6:$A$205,0)),"?"))</f>
        <v/>
      </c>
      <c r="D3786" s="41" t="n"/>
      <c r="E3786" s="42" t="n"/>
      <c r="F3786" s="43" t="n"/>
      <c r="G3786" s="44">
        <f>IF(OR(B3786="",F3786=""),"",IFERROR(F3786*INDEX(Mitarbeiter!$F$6:$F$205,MATCH(B3786,Mitarbeiter!$A$6:$A$205,0)),0))</f>
        <v/>
      </c>
      <c r="H3786" s="8">
        <f>IF(B3786="","",IF(ISNA(MATCH(B3786,Mitarbeiter!$A$6:$A$205,0)),"Pers.-Nr. unbekannt",IF(A3786="","Datum fehlt",IF(AND(D3786&lt;&gt;Einstellungen!$C$4,D3786&lt;&gt;Einstellungen!$C$5),"Objekt fehlt",IF(YEAR(A3786)&lt;&gt;Einstellungen!$C$3,"anderes Jahr",IF(A3786&lt;INDEX(Mitarbeiter!$C$6:$C$205,MATCH(B3786,Mitarbeiter!$A$6:$A$205,0)),"vor Eintritt",IF(AND(INDEX(Mitarbeiter!$D$6:$D$205,MATCH(B3786,Mitarbeiter!$A$6:$A$205,0))&lt;&gt;"",A3786&gt;INDEX(Mitarbeiter!$D$6:$D$205,MATCH(B3786,Mitarbeiter!$A$6:$A$205,0))),"nach Austritt","ok")))))))</f>
        <v/>
      </c>
    </row>
    <row r="3787">
      <c r="A3787" s="26" t="n"/>
      <c r="B3787" s="24" t="n"/>
      <c r="C3787" s="40">
        <f>IF(B3787="","",IFERROR(INDEX(Mitarbeiter!$B$6:$B$205,MATCH(B3787,Mitarbeiter!$A$6:$A$205,0)),"?"))</f>
        <v/>
      </c>
      <c r="D3787" s="41" t="n"/>
      <c r="E3787" s="42" t="n"/>
      <c r="F3787" s="43" t="n"/>
      <c r="G3787" s="44">
        <f>IF(OR(B3787="",F3787=""),"",IFERROR(F3787*INDEX(Mitarbeiter!$F$6:$F$205,MATCH(B3787,Mitarbeiter!$A$6:$A$205,0)),0))</f>
        <v/>
      </c>
      <c r="H3787" s="8">
        <f>IF(B3787="","",IF(ISNA(MATCH(B3787,Mitarbeiter!$A$6:$A$205,0)),"Pers.-Nr. unbekannt",IF(A3787="","Datum fehlt",IF(AND(D3787&lt;&gt;Einstellungen!$C$4,D3787&lt;&gt;Einstellungen!$C$5),"Objekt fehlt",IF(YEAR(A3787)&lt;&gt;Einstellungen!$C$3,"anderes Jahr",IF(A3787&lt;INDEX(Mitarbeiter!$C$6:$C$205,MATCH(B3787,Mitarbeiter!$A$6:$A$205,0)),"vor Eintritt",IF(AND(INDEX(Mitarbeiter!$D$6:$D$205,MATCH(B3787,Mitarbeiter!$A$6:$A$205,0))&lt;&gt;"",A3787&gt;INDEX(Mitarbeiter!$D$6:$D$205,MATCH(B3787,Mitarbeiter!$A$6:$A$205,0))),"nach Austritt","ok")))))))</f>
        <v/>
      </c>
    </row>
    <row r="3788">
      <c r="A3788" s="26" t="n"/>
      <c r="B3788" s="24" t="n"/>
      <c r="C3788" s="40">
        <f>IF(B3788="","",IFERROR(INDEX(Mitarbeiter!$B$6:$B$205,MATCH(B3788,Mitarbeiter!$A$6:$A$205,0)),"?"))</f>
        <v/>
      </c>
      <c r="D3788" s="41" t="n"/>
      <c r="E3788" s="42" t="n"/>
      <c r="F3788" s="43" t="n"/>
      <c r="G3788" s="44">
        <f>IF(OR(B3788="",F3788=""),"",IFERROR(F3788*INDEX(Mitarbeiter!$F$6:$F$205,MATCH(B3788,Mitarbeiter!$A$6:$A$205,0)),0))</f>
        <v/>
      </c>
      <c r="H3788" s="8">
        <f>IF(B3788="","",IF(ISNA(MATCH(B3788,Mitarbeiter!$A$6:$A$205,0)),"Pers.-Nr. unbekannt",IF(A3788="","Datum fehlt",IF(AND(D3788&lt;&gt;Einstellungen!$C$4,D3788&lt;&gt;Einstellungen!$C$5),"Objekt fehlt",IF(YEAR(A3788)&lt;&gt;Einstellungen!$C$3,"anderes Jahr",IF(A3788&lt;INDEX(Mitarbeiter!$C$6:$C$205,MATCH(B3788,Mitarbeiter!$A$6:$A$205,0)),"vor Eintritt",IF(AND(INDEX(Mitarbeiter!$D$6:$D$205,MATCH(B3788,Mitarbeiter!$A$6:$A$205,0))&lt;&gt;"",A3788&gt;INDEX(Mitarbeiter!$D$6:$D$205,MATCH(B3788,Mitarbeiter!$A$6:$A$205,0))),"nach Austritt","ok")))))))</f>
        <v/>
      </c>
    </row>
    <row r="3789">
      <c r="A3789" s="26" t="n"/>
      <c r="B3789" s="24" t="n"/>
      <c r="C3789" s="40">
        <f>IF(B3789="","",IFERROR(INDEX(Mitarbeiter!$B$6:$B$205,MATCH(B3789,Mitarbeiter!$A$6:$A$205,0)),"?"))</f>
        <v/>
      </c>
      <c r="D3789" s="41" t="n"/>
      <c r="E3789" s="42" t="n"/>
      <c r="F3789" s="43" t="n"/>
      <c r="G3789" s="44">
        <f>IF(OR(B3789="",F3789=""),"",IFERROR(F3789*INDEX(Mitarbeiter!$F$6:$F$205,MATCH(B3789,Mitarbeiter!$A$6:$A$205,0)),0))</f>
        <v/>
      </c>
      <c r="H3789" s="8">
        <f>IF(B3789="","",IF(ISNA(MATCH(B3789,Mitarbeiter!$A$6:$A$205,0)),"Pers.-Nr. unbekannt",IF(A3789="","Datum fehlt",IF(AND(D3789&lt;&gt;Einstellungen!$C$4,D3789&lt;&gt;Einstellungen!$C$5),"Objekt fehlt",IF(YEAR(A3789)&lt;&gt;Einstellungen!$C$3,"anderes Jahr",IF(A3789&lt;INDEX(Mitarbeiter!$C$6:$C$205,MATCH(B3789,Mitarbeiter!$A$6:$A$205,0)),"vor Eintritt",IF(AND(INDEX(Mitarbeiter!$D$6:$D$205,MATCH(B3789,Mitarbeiter!$A$6:$A$205,0))&lt;&gt;"",A3789&gt;INDEX(Mitarbeiter!$D$6:$D$205,MATCH(B3789,Mitarbeiter!$A$6:$A$205,0))),"nach Austritt","ok")))))))</f>
        <v/>
      </c>
    </row>
    <row r="3790">
      <c r="A3790" s="26" t="n"/>
      <c r="B3790" s="24" t="n"/>
      <c r="C3790" s="40">
        <f>IF(B3790="","",IFERROR(INDEX(Mitarbeiter!$B$6:$B$205,MATCH(B3790,Mitarbeiter!$A$6:$A$205,0)),"?"))</f>
        <v/>
      </c>
      <c r="D3790" s="41" t="n"/>
      <c r="E3790" s="42" t="n"/>
      <c r="F3790" s="43" t="n"/>
      <c r="G3790" s="44">
        <f>IF(OR(B3790="",F3790=""),"",IFERROR(F3790*INDEX(Mitarbeiter!$F$6:$F$205,MATCH(B3790,Mitarbeiter!$A$6:$A$205,0)),0))</f>
        <v/>
      </c>
      <c r="H3790" s="8">
        <f>IF(B3790="","",IF(ISNA(MATCH(B3790,Mitarbeiter!$A$6:$A$205,0)),"Pers.-Nr. unbekannt",IF(A3790="","Datum fehlt",IF(AND(D3790&lt;&gt;Einstellungen!$C$4,D3790&lt;&gt;Einstellungen!$C$5),"Objekt fehlt",IF(YEAR(A3790)&lt;&gt;Einstellungen!$C$3,"anderes Jahr",IF(A3790&lt;INDEX(Mitarbeiter!$C$6:$C$205,MATCH(B3790,Mitarbeiter!$A$6:$A$205,0)),"vor Eintritt",IF(AND(INDEX(Mitarbeiter!$D$6:$D$205,MATCH(B3790,Mitarbeiter!$A$6:$A$205,0))&lt;&gt;"",A3790&gt;INDEX(Mitarbeiter!$D$6:$D$205,MATCH(B3790,Mitarbeiter!$A$6:$A$205,0))),"nach Austritt","ok")))))))</f>
        <v/>
      </c>
    </row>
    <row r="3791">
      <c r="A3791" s="26" t="n"/>
      <c r="B3791" s="24" t="n"/>
      <c r="C3791" s="40">
        <f>IF(B3791="","",IFERROR(INDEX(Mitarbeiter!$B$6:$B$205,MATCH(B3791,Mitarbeiter!$A$6:$A$205,0)),"?"))</f>
        <v/>
      </c>
      <c r="D3791" s="41" t="n"/>
      <c r="E3791" s="42" t="n"/>
      <c r="F3791" s="43" t="n"/>
      <c r="G3791" s="44">
        <f>IF(OR(B3791="",F3791=""),"",IFERROR(F3791*INDEX(Mitarbeiter!$F$6:$F$205,MATCH(B3791,Mitarbeiter!$A$6:$A$205,0)),0))</f>
        <v/>
      </c>
      <c r="H3791" s="8">
        <f>IF(B3791="","",IF(ISNA(MATCH(B3791,Mitarbeiter!$A$6:$A$205,0)),"Pers.-Nr. unbekannt",IF(A3791="","Datum fehlt",IF(AND(D3791&lt;&gt;Einstellungen!$C$4,D3791&lt;&gt;Einstellungen!$C$5),"Objekt fehlt",IF(YEAR(A3791)&lt;&gt;Einstellungen!$C$3,"anderes Jahr",IF(A3791&lt;INDEX(Mitarbeiter!$C$6:$C$205,MATCH(B3791,Mitarbeiter!$A$6:$A$205,0)),"vor Eintritt",IF(AND(INDEX(Mitarbeiter!$D$6:$D$205,MATCH(B3791,Mitarbeiter!$A$6:$A$205,0))&lt;&gt;"",A3791&gt;INDEX(Mitarbeiter!$D$6:$D$205,MATCH(B3791,Mitarbeiter!$A$6:$A$205,0))),"nach Austritt","ok")))))))</f>
        <v/>
      </c>
    </row>
    <row r="3792">
      <c r="A3792" s="26" t="n"/>
      <c r="B3792" s="24" t="n"/>
      <c r="C3792" s="40">
        <f>IF(B3792="","",IFERROR(INDEX(Mitarbeiter!$B$6:$B$205,MATCH(B3792,Mitarbeiter!$A$6:$A$205,0)),"?"))</f>
        <v/>
      </c>
      <c r="D3792" s="41" t="n"/>
      <c r="E3792" s="42" t="n"/>
      <c r="F3792" s="43" t="n"/>
      <c r="G3792" s="44">
        <f>IF(OR(B3792="",F3792=""),"",IFERROR(F3792*INDEX(Mitarbeiter!$F$6:$F$205,MATCH(B3792,Mitarbeiter!$A$6:$A$205,0)),0))</f>
        <v/>
      </c>
      <c r="H3792" s="8">
        <f>IF(B3792="","",IF(ISNA(MATCH(B3792,Mitarbeiter!$A$6:$A$205,0)),"Pers.-Nr. unbekannt",IF(A3792="","Datum fehlt",IF(AND(D3792&lt;&gt;Einstellungen!$C$4,D3792&lt;&gt;Einstellungen!$C$5),"Objekt fehlt",IF(YEAR(A3792)&lt;&gt;Einstellungen!$C$3,"anderes Jahr",IF(A3792&lt;INDEX(Mitarbeiter!$C$6:$C$205,MATCH(B3792,Mitarbeiter!$A$6:$A$205,0)),"vor Eintritt",IF(AND(INDEX(Mitarbeiter!$D$6:$D$205,MATCH(B3792,Mitarbeiter!$A$6:$A$205,0))&lt;&gt;"",A3792&gt;INDEX(Mitarbeiter!$D$6:$D$205,MATCH(B3792,Mitarbeiter!$A$6:$A$205,0))),"nach Austritt","ok")))))))</f>
        <v/>
      </c>
    </row>
    <row r="3793">
      <c r="A3793" s="26" t="n"/>
      <c r="B3793" s="24" t="n"/>
      <c r="C3793" s="40">
        <f>IF(B3793="","",IFERROR(INDEX(Mitarbeiter!$B$6:$B$205,MATCH(B3793,Mitarbeiter!$A$6:$A$205,0)),"?"))</f>
        <v/>
      </c>
      <c r="D3793" s="41" t="n"/>
      <c r="E3793" s="42" t="n"/>
      <c r="F3793" s="43" t="n"/>
      <c r="G3793" s="44">
        <f>IF(OR(B3793="",F3793=""),"",IFERROR(F3793*INDEX(Mitarbeiter!$F$6:$F$205,MATCH(B3793,Mitarbeiter!$A$6:$A$205,0)),0))</f>
        <v/>
      </c>
      <c r="H3793" s="8">
        <f>IF(B3793="","",IF(ISNA(MATCH(B3793,Mitarbeiter!$A$6:$A$205,0)),"Pers.-Nr. unbekannt",IF(A3793="","Datum fehlt",IF(AND(D3793&lt;&gt;Einstellungen!$C$4,D3793&lt;&gt;Einstellungen!$C$5),"Objekt fehlt",IF(YEAR(A3793)&lt;&gt;Einstellungen!$C$3,"anderes Jahr",IF(A3793&lt;INDEX(Mitarbeiter!$C$6:$C$205,MATCH(B3793,Mitarbeiter!$A$6:$A$205,0)),"vor Eintritt",IF(AND(INDEX(Mitarbeiter!$D$6:$D$205,MATCH(B3793,Mitarbeiter!$A$6:$A$205,0))&lt;&gt;"",A3793&gt;INDEX(Mitarbeiter!$D$6:$D$205,MATCH(B3793,Mitarbeiter!$A$6:$A$205,0))),"nach Austritt","ok")))))))</f>
        <v/>
      </c>
    </row>
    <row r="3794">
      <c r="A3794" s="26" t="n"/>
      <c r="B3794" s="24" t="n"/>
      <c r="C3794" s="40">
        <f>IF(B3794="","",IFERROR(INDEX(Mitarbeiter!$B$6:$B$205,MATCH(B3794,Mitarbeiter!$A$6:$A$205,0)),"?"))</f>
        <v/>
      </c>
      <c r="D3794" s="41" t="n"/>
      <c r="E3794" s="42" t="n"/>
      <c r="F3794" s="43" t="n"/>
      <c r="G3794" s="44">
        <f>IF(OR(B3794="",F3794=""),"",IFERROR(F3794*INDEX(Mitarbeiter!$F$6:$F$205,MATCH(B3794,Mitarbeiter!$A$6:$A$205,0)),0))</f>
        <v/>
      </c>
      <c r="H3794" s="8">
        <f>IF(B3794="","",IF(ISNA(MATCH(B3794,Mitarbeiter!$A$6:$A$205,0)),"Pers.-Nr. unbekannt",IF(A3794="","Datum fehlt",IF(AND(D3794&lt;&gt;Einstellungen!$C$4,D3794&lt;&gt;Einstellungen!$C$5),"Objekt fehlt",IF(YEAR(A3794)&lt;&gt;Einstellungen!$C$3,"anderes Jahr",IF(A3794&lt;INDEX(Mitarbeiter!$C$6:$C$205,MATCH(B3794,Mitarbeiter!$A$6:$A$205,0)),"vor Eintritt",IF(AND(INDEX(Mitarbeiter!$D$6:$D$205,MATCH(B3794,Mitarbeiter!$A$6:$A$205,0))&lt;&gt;"",A3794&gt;INDEX(Mitarbeiter!$D$6:$D$205,MATCH(B3794,Mitarbeiter!$A$6:$A$205,0))),"nach Austritt","ok")))))))</f>
        <v/>
      </c>
    </row>
    <row r="3795">
      <c r="A3795" s="26" t="n"/>
      <c r="B3795" s="24" t="n"/>
      <c r="C3795" s="40">
        <f>IF(B3795="","",IFERROR(INDEX(Mitarbeiter!$B$6:$B$205,MATCH(B3795,Mitarbeiter!$A$6:$A$205,0)),"?"))</f>
        <v/>
      </c>
      <c r="D3795" s="41" t="n"/>
      <c r="E3795" s="42" t="n"/>
      <c r="F3795" s="43" t="n"/>
      <c r="G3795" s="44">
        <f>IF(OR(B3795="",F3795=""),"",IFERROR(F3795*INDEX(Mitarbeiter!$F$6:$F$205,MATCH(B3795,Mitarbeiter!$A$6:$A$205,0)),0))</f>
        <v/>
      </c>
      <c r="H3795" s="8">
        <f>IF(B3795="","",IF(ISNA(MATCH(B3795,Mitarbeiter!$A$6:$A$205,0)),"Pers.-Nr. unbekannt",IF(A3795="","Datum fehlt",IF(AND(D3795&lt;&gt;Einstellungen!$C$4,D3795&lt;&gt;Einstellungen!$C$5),"Objekt fehlt",IF(YEAR(A3795)&lt;&gt;Einstellungen!$C$3,"anderes Jahr",IF(A3795&lt;INDEX(Mitarbeiter!$C$6:$C$205,MATCH(B3795,Mitarbeiter!$A$6:$A$205,0)),"vor Eintritt",IF(AND(INDEX(Mitarbeiter!$D$6:$D$205,MATCH(B3795,Mitarbeiter!$A$6:$A$205,0))&lt;&gt;"",A3795&gt;INDEX(Mitarbeiter!$D$6:$D$205,MATCH(B3795,Mitarbeiter!$A$6:$A$205,0))),"nach Austritt","ok")))))))</f>
        <v/>
      </c>
    </row>
    <row r="3796">
      <c r="A3796" s="26" t="n"/>
      <c r="B3796" s="24" t="n"/>
      <c r="C3796" s="40">
        <f>IF(B3796="","",IFERROR(INDEX(Mitarbeiter!$B$6:$B$205,MATCH(B3796,Mitarbeiter!$A$6:$A$205,0)),"?"))</f>
        <v/>
      </c>
      <c r="D3796" s="41" t="n"/>
      <c r="E3796" s="42" t="n"/>
      <c r="F3796" s="43" t="n"/>
      <c r="G3796" s="44">
        <f>IF(OR(B3796="",F3796=""),"",IFERROR(F3796*INDEX(Mitarbeiter!$F$6:$F$205,MATCH(B3796,Mitarbeiter!$A$6:$A$205,0)),0))</f>
        <v/>
      </c>
      <c r="H3796" s="8">
        <f>IF(B3796="","",IF(ISNA(MATCH(B3796,Mitarbeiter!$A$6:$A$205,0)),"Pers.-Nr. unbekannt",IF(A3796="","Datum fehlt",IF(AND(D3796&lt;&gt;Einstellungen!$C$4,D3796&lt;&gt;Einstellungen!$C$5),"Objekt fehlt",IF(YEAR(A3796)&lt;&gt;Einstellungen!$C$3,"anderes Jahr",IF(A3796&lt;INDEX(Mitarbeiter!$C$6:$C$205,MATCH(B3796,Mitarbeiter!$A$6:$A$205,0)),"vor Eintritt",IF(AND(INDEX(Mitarbeiter!$D$6:$D$205,MATCH(B3796,Mitarbeiter!$A$6:$A$205,0))&lt;&gt;"",A3796&gt;INDEX(Mitarbeiter!$D$6:$D$205,MATCH(B3796,Mitarbeiter!$A$6:$A$205,0))),"nach Austritt","ok")))))))</f>
        <v/>
      </c>
    </row>
    <row r="3797">
      <c r="A3797" s="26" t="n"/>
      <c r="B3797" s="24" t="n"/>
      <c r="C3797" s="40">
        <f>IF(B3797="","",IFERROR(INDEX(Mitarbeiter!$B$6:$B$205,MATCH(B3797,Mitarbeiter!$A$6:$A$205,0)),"?"))</f>
        <v/>
      </c>
      <c r="D3797" s="41" t="n"/>
      <c r="E3797" s="42" t="n"/>
      <c r="F3797" s="43" t="n"/>
      <c r="G3797" s="44">
        <f>IF(OR(B3797="",F3797=""),"",IFERROR(F3797*INDEX(Mitarbeiter!$F$6:$F$205,MATCH(B3797,Mitarbeiter!$A$6:$A$205,0)),0))</f>
        <v/>
      </c>
      <c r="H3797" s="8">
        <f>IF(B3797="","",IF(ISNA(MATCH(B3797,Mitarbeiter!$A$6:$A$205,0)),"Pers.-Nr. unbekannt",IF(A3797="","Datum fehlt",IF(AND(D3797&lt;&gt;Einstellungen!$C$4,D3797&lt;&gt;Einstellungen!$C$5),"Objekt fehlt",IF(YEAR(A3797)&lt;&gt;Einstellungen!$C$3,"anderes Jahr",IF(A3797&lt;INDEX(Mitarbeiter!$C$6:$C$205,MATCH(B3797,Mitarbeiter!$A$6:$A$205,0)),"vor Eintritt",IF(AND(INDEX(Mitarbeiter!$D$6:$D$205,MATCH(B3797,Mitarbeiter!$A$6:$A$205,0))&lt;&gt;"",A3797&gt;INDEX(Mitarbeiter!$D$6:$D$205,MATCH(B3797,Mitarbeiter!$A$6:$A$205,0))),"nach Austritt","ok")))))))</f>
        <v/>
      </c>
    </row>
    <row r="3798">
      <c r="A3798" s="26" t="n"/>
      <c r="B3798" s="24" t="n"/>
      <c r="C3798" s="40">
        <f>IF(B3798="","",IFERROR(INDEX(Mitarbeiter!$B$6:$B$205,MATCH(B3798,Mitarbeiter!$A$6:$A$205,0)),"?"))</f>
        <v/>
      </c>
      <c r="D3798" s="41" t="n"/>
      <c r="E3798" s="42" t="n"/>
      <c r="F3798" s="43" t="n"/>
      <c r="G3798" s="44">
        <f>IF(OR(B3798="",F3798=""),"",IFERROR(F3798*INDEX(Mitarbeiter!$F$6:$F$205,MATCH(B3798,Mitarbeiter!$A$6:$A$205,0)),0))</f>
        <v/>
      </c>
      <c r="H3798" s="8">
        <f>IF(B3798="","",IF(ISNA(MATCH(B3798,Mitarbeiter!$A$6:$A$205,0)),"Pers.-Nr. unbekannt",IF(A3798="","Datum fehlt",IF(AND(D3798&lt;&gt;Einstellungen!$C$4,D3798&lt;&gt;Einstellungen!$C$5),"Objekt fehlt",IF(YEAR(A3798)&lt;&gt;Einstellungen!$C$3,"anderes Jahr",IF(A3798&lt;INDEX(Mitarbeiter!$C$6:$C$205,MATCH(B3798,Mitarbeiter!$A$6:$A$205,0)),"vor Eintritt",IF(AND(INDEX(Mitarbeiter!$D$6:$D$205,MATCH(B3798,Mitarbeiter!$A$6:$A$205,0))&lt;&gt;"",A3798&gt;INDEX(Mitarbeiter!$D$6:$D$205,MATCH(B3798,Mitarbeiter!$A$6:$A$205,0))),"nach Austritt","ok")))))))</f>
        <v/>
      </c>
    </row>
    <row r="3799">
      <c r="A3799" s="26" t="n"/>
      <c r="B3799" s="24" t="n"/>
      <c r="C3799" s="40">
        <f>IF(B3799="","",IFERROR(INDEX(Mitarbeiter!$B$6:$B$205,MATCH(B3799,Mitarbeiter!$A$6:$A$205,0)),"?"))</f>
        <v/>
      </c>
      <c r="D3799" s="41" t="n"/>
      <c r="E3799" s="42" t="n"/>
      <c r="F3799" s="43" t="n"/>
      <c r="G3799" s="44">
        <f>IF(OR(B3799="",F3799=""),"",IFERROR(F3799*INDEX(Mitarbeiter!$F$6:$F$205,MATCH(B3799,Mitarbeiter!$A$6:$A$205,0)),0))</f>
        <v/>
      </c>
      <c r="H3799" s="8">
        <f>IF(B3799="","",IF(ISNA(MATCH(B3799,Mitarbeiter!$A$6:$A$205,0)),"Pers.-Nr. unbekannt",IF(A3799="","Datum fehlt",IF(AND(D3799&lt;&gt;Einstellungen!$C$4,D3799&lt;&gt;Einstellungen!$C$5),"Objekt fehlt",IF(YEAR(A3799)&lt;&gt;Einstellungen!$C$3,"anderes Jahr",IF(A3799&lt;INDEX(Mitarbeiter!$C$6:$C$205,MATCH(B3799,Mitarbeiter!$A$6:$A$205,0)),"vor Eintritt",IF(AND(INDEX(Mitarbeiter!$D$6:$D$205,MATCH(B3799,Mitarbeiter!$A$6:$A$205,0))&lt;&gt;"",A3799&gt;INDEX(Mitarbeiter!$D$6:$D$205,MATCH(B3799,Mitarbeiter!$A$6:$A$205,0))),"nach Austritt","ok")))))))</f>
        <v/>
      </c>
    </row>
    <row r="3800">
      <c r="A3800" s="26" t="n"/>
      <c r="B3800" s="24" t="n"/>
      <c r="C3800" s="40">
        <f>IF(B3800="","",IFERROR(INDEX(Mitarbeiter!$B$6:$B$205,MATCH(B3800,Mitarbeiter!$A$6:$A$205,0)),"?"))</f>
        <v/>
      </c>
      <c r="D3800" s="41" t="n"/>
      <c r="E3800" s="42" t="n"/>
      <c r="F3800" s="43" t="n"/>
      <c r="G3800" s="44">
        <f>IF(OR(B3800="",F3800=""),"",IFERROR(F3800*INDEX(Mitarbeiter!$F$6:$F$205,MATCH(B3800,Mitarbeiter!$A$6:$A$205,0)),0))</f>
        <v/>
      </c>
      <c r="H3800" s="8">
        <f>IF(B3800="","",IF(ISNA(MATCH(B3800,Mitarbeiter!$A$6:$A$205,0)),"Pers.-Nr. unbekannt",IF(A3800="","Datum fehlt",IF(AND(D3800&lt;&gt;Einstellungen!$C$4,D3800&lt;&gt;Einstellungen!$C$5),"Objekt fehlt",IF(YEAR(A3800)&lt;&gt;Einstellungen!$C$3,"anderes Jahr",IF(A3800&lt;INDEX(Mitarbeiter!$C$6:$C$205,MATCH(B3800,Mitarbeiter!$A$6:$A$205,0)),"vor Eintritt",IF(AND(INDEX(Mitarbeiter!$D$6:$D$205,MATCH(B3800,Mitarbeiter!$A$6:$A$205,0))&lt;&gt;"",A3800&gt;INDEX(Mitarbeiter!$D$6:$D$205,MATCH(B3800,Mitarbeiter!$A$6:$A$205,0))),"nach Austritt","ok")))))))</f>
        <v/>
      </c>
    </row>
    <row r="3801">
      <c r="A3801" s="26" t="n"/>
      <c r="B3801" s="24" t="n"/>
      <c r="C3801" s="40">
        <f>IF(B3801="","",IFERROR(INDEX(Mitarbeiter!$B$6:$B$205,MATCH(B3801,Mitarbeiter!$A$6:$A$205,0)),"?"))</f>
        <v/>
      </c>
      <c r="D3801" s="41" t="n"/>
      <c r="E3801" s="42" t="n"/>
      <c r="F3801" s="43" t="n"/>
      <c r="G3801" s="44">
        <f>IF(OR(B3801="",F3801=""),"",IFERROR(F3801*INDEX(Mitarbeiter!$F$6:$F$205,MATCH(B3801,Mitarbeiter!$A$6:$A$205,0)),0))</f>
        <v/>
      </c>
      <c r="H3801" s="8">
        <f>IF(B3801="","",IF(ISNA(MATCH(B3801,Mitarbeiter!$A$6:$A$205,0)),"Pers.-Nr. unbekannt",IF(A3801="","Datum fehlt",IF(AND(D3801&lt;&gt;Einstellungen!$C$4,D3801&lt;&gt;Einstellungen!$C$5),"Objekt fehlt",IF(YEAR(A3801)&lt;&gt;Einstellungen!$C$3,"anderes Jahr",IF(A3801&lt;INDEX(Mitarbeiter!$C$6:$C$205,MATCH(B3801,Mitarbeiter!$A$6:$A$205,0)),"vor Eintritt",IF(AND(INDEX(Mitarbeiter!$D$6:$D$205,MATCH(B3801,Mitarbeiter!$A$6:$A$205,0))&lt;&gt;"",A3801&gt;INDEX(Mitarbeiter!$D$6:$D$205,MATCH(B3801,Mitarbeiter!$A$6:$A$205,0))),"nach Austritt","ok")))))))</f>
        <v/>
      </c>
    </row>
    <row r="3802">
      <c r="A3802" s="26" t="n"/>
      <c r="B3802" s="24" t="n"/>
      <c r="C3802" s="40">
        <f>IF(B3802="","",IFERROR(INDEX(Mitarbeiter!$B$6:$B$205,MATCH(B3802,Mitarbeiter!$A$6:$A$205,0)),"?"))</f>
        <v/>
      </c>
      <c r="D3802" s="41" t="n"/>
      <c r="E3802" s="42" t="n"/>
      <c r="F3802" s="43" t="n"/>
      <c r="G3802" s="44">
        <f>IF(OR(B3802="",F3802=""),"",IFERROR(F3802*INDEX(Mitarbeiter!$F$6:$F$205,MATCH(B3802,Mitarbeiter!$A$6:$A$205,0)),0))</f>
        <v/>
      </c>
      <c r="H3802" s="8">
        <f>IF(B3802="","",IF(ISNA(MATCH(B3802,Mitarbeiter!$A$6:$A$205,0)),"Pers.-Nr. unbekannt",IF(A3802="","Datum fehlt",IF(AND(D3802&lt;&gt;Einstellungen!$C$4,D3802&lt;&gt;Einstellungen!$C$5),"Objekt fehlt",IF(YEAR(A3802)&lt;&gt;Einstellungen!$C$3,"anderes Jahr",IF(A3802&lt;INDEX(Mitarbeiter!$C$6:$C$205,MATCH(B3802,Mitarbeiter!$A$6:$A$205,0)),"vor Eintritt",IF(AND(INDEX(Mitarbeiter!$D$6:$D$205,MATCH(B3802,Mitarbeiter!$A$6:$A$205,0))&lt;&gt;"",A3802&gt;INDEX(Mitarbeiter!$D$6:$D$205,MATCH(B3802,Mitarbeiter!$A$6:$A$205,0))),"nach Austritt","ok")))))))</f>
        <v/>
      </c>
    </row>
    <row r="3803">
      <c r="A3803" s="26" t="n"/>
      <c r="B3803" s="24" t="n"/>
      <c r="C3803" s="40">
        <f>IF(B3803="","",IFERROR(INDEX(Mitarbeiter!$B$6:$B$205,MATCH(B3803,Mitarbeiter!$A$6:$A$205,0)),"?"))</f>
        <v/>
      </c>
      <c r="D3803" s="41" t="n"/>
      <c r="E3803" s="42" t="n"/>
      <c r="F3803" s="43" t="n"/>
      <c r="G3803" s="44">
        <f>IF(OR(B3803="",F3803=""),"",IFERROR(F3803*INDEX(Mitarbeiter!$F$6:$F$205,MATCH(B3803,Mitarbeiter!$A$6:$A$205,0)),0))</f>
        <v/>
      </c>
      <c r="H3803" s="8">
        <f>IF(B3803="","",IF(ISNA(MATCH(B3803,Mitarbeiter!$A$6:$A$205,0)),"Pers.-Nr. unbekannt",IF(A3803="","Datum fehlt",IF(AND(D3803&lt;&gt;Einstellungen!$C$4,D3803&lt;&gt;Einstellungen!$C$5),"Objekt fehlt",IF(YEAR(A3803)&lt;&gt;Einstellungen!$C$3,"anderes Jahr",IF(A3803&lt;INDEX(Mitarbeiter!$C$6:$C$205,MATCH(B3803,Mitarbeiter!$A$6:$A$205,0)),"vor Eintritt",IF(AND(INDEX(Mitarbeiter!$D$6:$D$205,MATCH(B3803,Mitarbeiter!$A$6:$A$205,0))&lt;&gt;"",A3803&gt;INDEX(Mitarbeiter!$D$6:$D$205,MATCH(B3803,Mitarbeiter!$A$6:$A$205,0))),"nach Austritt","ok")))))))</f>
        <v/>
      </c>
    </row>
    <row r="3804">
      <c r="A3804" s="26" t="n"/>
      <c r="B3804" s="24" t="n"/>
      <c r="C3804" s="40">
        <f>IF(B3804="","",IFERROR(INDEX(Mitarbeiter!$B$6:$B$205,MATCH(B3804,Mitarbeiter!$A$6:$A$205,0)),"?"))</f>
        <v/>
      </c>
      <c r="D3804" s="41" t="n"/>
      <c r="E3804" s="42" t="n"/>
      <c r="F3804" s="43" t="n"/>
      <c r="G3804" s="44">
        <f>IF(OR(B3804="",F3804=""),"",IFERROR(F3804*INDEX(Mitarbeiter!$F$6:$F$205,MATCH(B3804,Mitarbeiter!$A$6:$A$205,0)),0))</f>
        <v/>
      </c>
      <c r="H3804" s="8">
        <f>IF(B3804="","",IF(ISNA(MATCH(B3804,Mitarbeiter!$A$6:$A$205,0)),"Pers.-Nr. unbekannt",IF(A3804="","Datum fehlt",IF(AND(D3804&lt;&gt;Einstellungen!$C$4,D3804&lt;&gt;Einstellungen!$C$5),"Objekt fehlt",IF(YEAR(A3804)&lt;&gt;Einstellungen!$C$3,"anderes Jahr",IF(A3804&lt;INDEX(Mitarbeiter!$C$6:$C$205,MATCH(B3804,Mitarbeiter!$A$6:$A$205,0)),"vor Eintritt",IF(AND(INDEX(Mitarbeiter!$D$6:$D$205,MATCH(B3804,Mitarbeiter!$A$6:$A$205,0))&lt;&gt;"",A3804&gt;INDEX(Mitarbeiter!$D$6:$D$205,MATCH(B3804,Mitarbeiter!$A$6:$A$205,0))),"nach Austritt","ok")))))))</f>
        <v/>
      </c>
    </row>
    <row r="3805">
      <c r="A3805" s="26" t="n"/>
      <c r="B3805" s="24" t="n"/>
      <c r="C3805" s="40">
        <f>IF(B3805="","",IFERROR(INDEX(Mitarbeiter!$B$6:$B$205,MATCH(B3805,Mitarbeiter!$A$6:$A$205,0)),"?"))</f>
        <v/>
      </c>
      <c r="D3805" s="41" t="n"/>
      <c r="E3805" s="42" t="n"/>
      <c r="F3805" s="43" t="n"/>
      <c r="G3805" s="44">
        <f>IF(OR(B3805="",F3805=""),"",IFERROR(F3805*INDEX(Mitarbeiter!$F$6:$F$205,MATCH(B3805,Mitarbeiter!$A$6:$A$205,0)),0))</f>
        <v/>
      </c>
      <c r="H3805" s="8">
        <f>IF(B3805="","",IF(ISNA(MATCH(B3805,Mitarbeiter!$A$6:$A$205,0)),"Pers.-Nr. unbekannt",IF(A3805="","Datum fehlt",IF(AND(D3805&lt;&gt;Einstellungen!$C$4,D3805&lt;&gt;Einstellungen!$C$5),"Objekt fehlt",IF(YEAR(A3805)&lt;&gt;Einstellungen!$C$3,"anderes Jahr",IF(A3805&lt;INDEX(Mitarbeiter!$C$6:$C$205,MATCH(B3805,Mitarbeiter!$A$6:$A$205,0)),"vor Eintritt",IF(AND(INDEX(Mitarbeiter!$D$6:$D$205,MATCH(B3805,Mitarbeiter!$A$6:$A$205,0))&lt;&gt;"",A3805&gt;INDEX(Mitarbeiter!$D$6:$D$205,MATCH(B3805,Mitarbeiter!$A$6:$A$205,0))),"nach Austritt","ok")))))))</f>
        <v/>
      </c>
    </row>
    <row r="3806">
      <c r="A3806" s="26" t="n"/>
      <c r="B3806" s="24" t="n"/>
      <c r="C3806" s="40">
        <f>IF(B3806="","",IFERROR(INDEX(Mitarbeiter!$B$6:$B$205,MATCH(B3806,Mitarbeiter!$A$6:$A$205,0)),"?"))</f>
        <v/>
      </c>
      <c r="D3806" s="41" t="n"/>
      <c r="E3806" s="42" t="n"/>
      <c r="F3806" s="43" t="n"/>
      <c r="G3806" s="44">
        <f>IF(OR(B3806="",F3806=""),"",IFERROR(F3806*INDEX(Mitarbeiter!$F$6:$F$205,MATCH(B3806,Mitarbeiter!$A$6:$A$205,0)),0))</f>
        <v/>
      </c>
      <c r="H3806" s="8">
        <f>IF(B3806="","",IF(ISNA(MATCH(B3806,Mitarbeiter!$A$6:$A$205,0)),"Pers.-Nr. unbekannt",IF(A3806="","Datum fehlt",IF(AND(D3806&lt;&gt;Einstellungen!$C$4,D3806&lt;&gt;Einstellungen!$C$5),"Objekt fehlt",IF(YEAR(A3806)&lt;&gt;Einstellungen!$C$3,"anderes Jahr",IF(A3806&lt;INDEX(Mitarbeiter!$C$6:$C$205,MATCH(B3806,Mitarbeiter!$A$6:$A$205,0)),"vor Eintritt",IF(AND(INDEX(Mitarbeiter!$D$6:$D$205,MATCH(B3806,Mitarbeiter!$A$6:$A$205,0))&lt;&gt;"",A3806&gt;INDEX(Mitarbeiter!$D$6:$D$205,MATCH(B3806,Mitarbeiter!$A$6:$A$205,0))),"nach Austritt","ok")))))))</f>
        <v/>
      </c>
    </row>
    <row r="3807">
      <c r="A3807" s="26" t="n"/>
      <c r="B3807" s="24" t="n"/>
      <c r="C3807" s="40">
        <f>IF(B3807="","",IFERROR(INDEX(Mitarbeiter!$B$6:$B$205,MATCH(B3807,Mitarbeiter!$A$6:$A$205,0)),"?"))</f>
        <v/>
      </c>
      <c r="D3807" s="41" t="n"/>
      <c r="E3807" s="42" t="n"/>
      <c r="F3807" s="43" t="n"/>
      <c r="G3807" s="44">
        <f>IF(OR(B3807="",F3807=""),"",IFERROR(F3807*INDEX(Mitarbeiter!$F$6:$F$205,MATCH(B3807,Mitarbeiter!$A$6:$A$205,0)),0))</f>
        <v/>
      </c>
      <c r="H3807" s="8">
        <f>IF(B3807="","",IF(ISNA(MATCH(B3807,Mitarbeiter!$A$6:$A$205,0)),"Pers.-Nr. unbekannt",IF(A3807="","Datum fehlt",IF(AND(D3807&lt;&gt;Einstellungen!$C$4,D3807&lt;&gt;Einstellungen!$C$5),"Objekt fehlt",IF(YEAR(A3807)&lt;&gt;Einstellungen!$C$3,"anderes Jahr",IF(A3807&lt;INDEX(Mitarbeiter!$C$6:$C$205,MATCH(B3807,Mitarbeiter!$A$6:$A$205,0)),"vor Eintritt",IF(AND(INDEX(Mitarbeiter!$D$6:$D$205,MATCH(B3807,Mitarbeiter!$A$6:$A$205,0))&lt;&gt;"",A3807&gt;INDEX(Mitarbeiter!$D$6:$D$205,MATCH(B3807,Mitarbeiter!$A$6:$A$205,0))),"nach Austritt","ok")))))))</f>
        <v/>
      </c>
    </row>
    <row r="3808">
      <c r="A3808" s="26" t="n"/>
      <c r="B3808" s="24" t="n"/>
      <c r="C3808" s="40">
        <f>IF(B3808="","",IFERROR(INDEX(Mitarbeiter!$B$6:$B$205,MATCH(B3808,Mitarbeiter!$A$6:$A$205,0)),"?"))</f>
        <v/>
      </c>
      <c r="D3808" s="41" t="n"/>
      <c r="E3808" s="42" t="n"/>
      <c r="F3808" s="43" t="n"/>
      <c r="G3808" s="44">
        <f>IF(OR(B3808="",F3808=""),"",IFERROR(F3808*INDEX(Mitarbeiter!$F$6:$F$205,MATCH(B3808,Mitarbeiter!$A$6:$A$205,0)),0))</f>
        <v/>
      </c>
      <c r="H3808" s="8">
        <f>IF(B3808="","",IF(ISNA(MATCH(B3808,Mitarbeiter!$A$6:$A$205,0)),"Pers.-Nr. unbekannt",IF(A3808="","Datum fehlt",IF(AND(D3808&lt;&gt;Einstellungen!$C$4,D3808&lt;&gt;Einstellungen!$C$5),"Objekt fehlt",IF(YEAR(A3808)&lt;&gt;Einstellungen!$C$3,"anderes Jahr",IF(A3808&lt;INDEX(Mitarbeiter!$C$6:$C$205,MATCH(B3808,Mitarbeiter!$A$6:$A$205,0)),"vor Eintritt",IF(AND(INDEX(Mitarbeiter!$D$6:$D$205,MATCH(B3808,Mitarbeiter!$A$6:$A$205,0))&lt;&gt;"",A3808&gt;INDEX(Mitarbeiter!$D$6:$D$205,MATCH(B3808,Mitarbeiter!$A$6:$A$205,0))),"nach Austritt","ok")))))))</f>
        <v/>
      </c>
    </row>
    <row r="3809">
      <c r="A3809" s="26" t="n"/>
      <c r="B3809" s="24" t="n"/>
      <c r="C3809" s="40">
        <f>IF(B3809="","",IFERROR(INDEX(Mitarbeiter!$B$6:$B$205,MATCH(B3809,Mitarbeiter!$A$6:$A$205,0)),"?"))</f>
        <v/>
      </c>
      <c r="D3809" s="41" t="n"/>
      <c r="E3809" s="42" t="n"/>
      <c r="F3809" s="43" t="n"/>
      <c r="G3809" s="44">
        <f>IF(OR(B3809="",F3809=""),"",IFERROR(F3809*INDEX(Mitarbeiter!$F$6:$F$205,MATCH(B3809,Mitarbeiter!$A$6:$A$205,0)),0))</f>
        <v/>
      </c>
      <c r="H3809" s="8">
        <f>IF(B3809="","",IF(ISNA(MATCH(B3809,Mitarbeiter!$A$6:$A$205,0)),"Pers.-Nr. unbekannt",IF(A3809="","Datum fehlt",IF(AND(D3809&lt;&gt;Einstellungen!$C$4,D3809&lt;&gt;Einstellungen!$C$5),"Objekt fehlt",IF(YEAR(A3809)&lt;&gt;Einstellungen!$C$3,"anderes Jahr",IF(A3809&lt;INDEX(Mitarbeiter!$C$6:$C$205,MATCH(B3809,Mitarbeiter!$A$6:$A$205,0)),"vor Eintritt",IF(AND(INDEX(Mitarbeiter!$D$6:$D$205,MATCH(B3809,Mitarbeiter!$A$6:$A$205,0))&lt;&gt;"",A3809&gt;INDEX(Mitarbeiter!$D$6:$D$205,MATCH(B3809,Mitarbeiter!$A$6:$A$205,0))),"nach Austritt","ok")))))))</f>
        <v/>
      </c>
    </row>
    <row r="3810">
      <c r="A3810" s="26" t="n"/>
      <c r="B3810" s="24" t="n"/>
      <c r="C3810" s="40">
        <f>IF(B3810="","",IFERROR(INDEX(Mitarbeiter!$B$6:$B$205,MATCH(B3810,Mitarbeiter!$A$6:$A$205,0)),"?"))</f>
        <v/>
      </c>
      <c r="D3810" s="41" t="n"/>
      <c r="E3810" s="42" t="n"/>
      <c r="F3810" s="43" t="n"/>
      <c r="G3810" s="44">
        <f>IF(OR(B3810="",F3810=""),"",IFERROR(F3810*INDEX(Mitarbeiter!$F$6:$F$205,MATCH(B3810,Mitarbeiter!$A$6:$A$205,0)),0))</f>
        <v/>
      </c>
      <c r="H3810" s="8">
        <f>IF(B3810="","",IF(ISNA(MATCH(B3810,Mitarbeiter!$A$6:$A$205,0)),"Pers.-Nr. unbekannt",IF(A3810="","Datum fehlt",IF(AND(D3810&lt;&gt;Einstellungen!$C$4,D3810&lt;&gt;Einstellungen!$C$5),"Objekt fehlt",IF(YEAR(A3810)&lt;&gt;Einstellungen!$C$3,"anderes Jahr",IF(A3810&lt;INDEX(Mitarbeiter!$C$6:$C$205,MATCH(B3810,Mitarbeiter!$A$6:$A$205,0)),"vor Eintritt",IF(AND(INDEX(Mitarbeiter!$D$6:$D$205,MATCH(B3810,Mitarbeiter!$A$6:$A$205,0))&lt;&gt;"",A3810&gt;INDEX(Mitarbeiter!$D$6:$D$205,MATCH(B3810,Mitarbeiter!$A$6:$A$205,0))),"nach Austritt","ok")))))))</f>
        <v/>
      </c>
    </row>
    <row r="3811">
      <c r="A3811" s="26" t="n"/>
      <c r="B3811" s="24" t="n"/>
      <c r="C3811" s="40">
        <f>IF(B3811="","",IFERROR(INDEX(Mitarbeiter!$B$6:$B$205,MATCH(B3811,Mitarbeiter!$A$6:$A$205,0)),"?"))</f>
        <v/>
      </c>
      <c r="D3811" s="41" t="n"/>
      <c r="E3811" s="42" t="n"/>
      <c r="F3811" s="43" t="n"/>
      <c r="G3811" s="44">
        <f>IF(OR(B3811="",F3811=""),"",IFERROR(F3811*INDEX(Mitarbeiter!$F$6:$F$205,MATCH(B3811,Mitarbeiter!$A$6:$A$205,0)),0))</f>
        <v/>
      </c>
      <c r="H3811" s="8">
        <f>IF(B3811="","",IF(ISNA(MATCH(B3811,Mitarbeiter!$A$6:$A$205,0)),"Pers.-Nr. unbekannt",IF(A3811="","Datum fehlt",IF(AND(D3811&lt;&gt;Einstellungen!$C$4,D3811&lt;&gt;Einstellungen!$C$5),"Objekt fehlt",IF(YEAR(A3811)&lt;&gt;Einstellungen!$C$3,"anderes Jahr",IF(A3811&lt;INDEX(Mitarbeiter!$C$6:$C$205,MATCH(B3811,Mitarbeiter!$A$6:$A$205,0)),"vor Eintritt",IF(AND(INDEX(Mitarbeiter!$D$6:$D$205,MATCH(B3811,Mitarbeiter!$A$6:$A$205,0))&lt;&gt;"",A3811&gt;INDEX(Mitarbeiter!$D$6:$D$205,MATCH(B3811,Mitarbeiter!$A$6:$A$205,0))),"nach Austritt","ok")))))))</f>
        <v/>
      </c>
    </row>
    <row r="3812">
      <c r="A3812" s="26" t="n"/>
      <c r="B3812" s="24" t="n"/>
      <c r="C3812" s="40">
        <f>IF(B3812="","",IFERROR(INDEX(Mitarbeiter!$B$6:$B$205,MATCH(B3812,Mitarbeiter!$A$6:$A$205,0)),"?"))</f>
        <v/>
      </c>
      <c r="D3812" s="41" t="n"/>
      <c r="E3812" s="42" t="n"/>
      <c r="F3812" s="43" t="n"/>
      <c r="G3812" s="44">
        <f>IF(OR(B3812="",F3812=""),"",IFERROR(F3812*INDEX(Mitarbeiter!$F$6:$F$205,MATCH(B3812,Mitarbeiter!$A$6:$A$205,0)),0))</f>
        <v/>
      </c>
      <c r="H3812" s="8">
        <f>IF(B3812="","",IF(ISNA(MATCH(B3812,Mitarbeiter!$A$6:$A$205,0)),"Pers.-Nr. unbekannt",IF(A3812="","Datum fehlt",IF(AND(D3812&lt;&gt;Einstellungen!$C$4,D3812&lt;&gt;Einstellungen!$C$5),"Objekt fehlt",IF(YEAR(A3812)&lt;&gt;Einstellungen!$C$3,"anderes Jahr",IF(A3812&lt;INDEX(Mitarbeiter!$C$6:$C$205,MATCH(B3812,Mitarbeiter!$A$6:$A$205,0)),"vor Eintritt",IF(AND(INDEX(Mitarbeiter!$D$6:$D$205,MATCH(B3812,Mitarbeiter!$A$6:$A$205,0))&lt;&gt;"",A3812&gt;INDEX(Mitarbeiter!$D$6:$D$205,MATCH(B3812,Mitarbeiter!$A$6:$A$205,0))),"nach Austritt","ok")))))))</f>
        <v/>
      </c>
    </row>
    <row r="3813">
      <c r="A3813" s="26" t="n"/>
      <c r="B3813" s="24" t="n"/>
      <c r="C3813" s="40">
        <f>IF(B3813="","",IFERROR(INDEX(Mitarbeiter!$B$6:$B$205,MATCH(B3813,Mitarbeiter!$A$6:$A$205,0)),"?"))</f>
        <v/>
      </c>
      <c r="D3813" s="41" t="n"/>
      <c r="E3813" s="42" t="n"/>
      <c r="F3813" s="43" t="n"/>
      <c r="G3813" s="44">
        <f>IF(OR(B3813="",F3813=""),"",IFERROR(F3813*INDEX(Mitarbeiter!$F$6:$F$205,MATCH(B3813,Mitarbeiter!$A$6:$A$205,0)),0))</f>
        <v/>
      </c>
      <c r="H3813" s="8">
        <f>IF(B3813="","",IF(ISNA(MATCH(B3813,Mitarbeiter!$A$6:$A$205,0)),"Pers.-Nr. unbekannt",IF(A3813="","Datum fehlt",IF(AND(D3813&lt;&gt;Einstellungen!$C$4,D3813&lt;&gt;Einstellungen!$C$5),"Objekt fehlt",IF(YEAR(A3813)&lt;&gt;Einstellungen!$C$3,"anderes Jahr",IF(A3813&lt;INDEX(Mitarbeiter!$C$6:$C$205,MATCH(B3813,Mitarbeiter!$A$6:$A$205,0)),"vor Eintritt",IF(AND(INDEX(Mitarbeiter!$D$6:$D$205,MATCH(B3813,Mitarbeiter!$A$6:$A$205,0))&lt;&gt;"",A3813&gt;INDEX(Mitarbeiter!$D$6:$D$205,MATCH(B3813,Mitarbeiter!$A$6:$A$205,0))),"nach Austritt","ok")))))))</f>
        <v/>
      </c>
    </row>
    <row r="3814">
      <c r="A3814" s="26" t="n"/>
      <c r="B3814" s="24" t="n"/>
      <c r="C3814" s="40">
        <f>IF(B3814="","",IFERROR(INDEX(Mitarbeiter!$B$6:$B$205,MATCH(B3814,Mitarbeiter!$A$6:$A$205,0)),"?"))</f>
        <v/>
      </c>
      <c r="D3814" s="41" t="n"/>
      <c r="E3814" s="42" t="n"/>
      <c r="F3814" s="43" t="n"/>
      <c r="G3814" s="44">
        <f>IF(OR(B3814="",F3814=""),"",IFERROR(F3814*INDEX(Mitarbeiter!$F$6:$F$205,MATCH(B3814,Mitarbeiter!$A$6:$A$205,0)),0))</f>
        <v/>
      </c>
      <c r="H3814" s="8">
        <f>IF(B3814="","",IF(ISNA(MATCH(B3814,Mitarbeiter!$A$6:$A$205,0)),"Pers.-Nr. unbekannt",IF(A3814="","Datum fehlt",IF(AND(D3814&lt;&gt;Einstellungen!$C$4,D3814&lt;&gt;Einstellungen!$C$5),"Objekt fehlt",IF(YEAR(A3814)&lt;&gt;Einstellungen!$C$3,"anderes Jahr",IF(A3814&lt;INDEX(Mitarbeiter!$C$6:$C$205,MATCH(B3814,Mitarbeiter!$A$6:$A$205,0)),"vor Eintritt",IF(AND(INDEX(Mitarbeiter!$D$6:$D$205,MATCH(B3814,Mitarbeiter!$A$6:$A$205,0))&lt;&gt;"",A3814&gt;INDEX(Mitarbeiter!$D$6:$D$205,MATCH(B3814,Mitarbeiter!$A$6:$A$205,0))),"nach Austritt","ok")))))))</f>
        <v/>
      </c>
    </row>
    <row r="3815">
      <c r="A3815" s="26" t="n"/>
      <c r="B3815" s="24" t="n"/>
      <c r="C3815" s="40">
        <f>IF(B3815="","",IFERROR(INDEX(Mitarbeiter!$B$6:$B$205,MATCH(B3815,Mitarbeiter!$A$6:$A$205,0)),"?"))</f>
        <v/>
      </c>
      <c r="D3815" s="41" t="n"/>
      <c r="E3815" s="42" t="n"/>
      <c r="F3815" s="43" t="n"/>
      <c r="G3815" s="44">
        <f>IF(OR(B3815="",F3815=""),"",IFERROR(F3815*INDEX(Mitarbeiter!$F$6:$F$205,MATCH(B3815,Mitarbeiter!$A$6:$A$205,0)),0))</f>
        <v/>
      </c>
      <c r="H3815" s="8">
        <f>IF(B3815="","",IF(ISNA(MATCH(B3815,Mitarbeiter!$A$6:$A$205,0)),"Pers.-Nr. unbekannt",IF(A3815="","Datum fehlt",IF(AND(D3815&lt;&gt;Einstellungen!$C$4,D3815&lt;&gt;Einstellungen!$C$5),"Objekt fehlt",IF(YEAR(A3815)&lt;&gt;Einstellungen!$C$3,"anderes Jahr",IF(A3815&lt;INDEX(Mitarbeiter!$C$6:$C$205,MATCH(B3815,Mitarbeiter!$A$6:$A$205,0)),"vor Eintritt",IF(AND(INDEX(Mitarbeiter!$D$6:$D$205,MATCH(B3815,Mitarbeiter!$A$6:$A$205,0))&lt;&gt;"",A3815&gt;INDEX(Mitarbeiter!$D$6:$D$205,MATCH(B3815,Mitarbeiter!$A$6:$A$205,0))),"nach Austritt","ok")))))))</f>
        <v/>
      </c>
    </row>
    <row r="3816">
      <c r="A3816" s="26" t="n"/>
      <c r="B3816" s="24" t="n"/>
      <c r="C3816" s="40">
        <f>IF(B3816="","",IFERROR(INDEX(Mitarbeiter!$B$6:$B$205,MATCH(B3816,Mitarbeiter!$A$6:$A$205,0)),"?"))</f>
        <v/>
      </c>
      <c r="D3816" s="41" t="n"/>
      <c r="E3816" s="42" t="n"/>
      <c r="F3816" s="43" t="n"/>
      <c r="G3816" s="44">
        <f>IF(OR(B3816="",F3816=""),"",IFERROR(F3816*INDEX(Mitarbeiter!$F$6:$F$205,MATCH(B3816,Mitarbeiter!$A$6:$A$205,0)),0))</f>
        <v/>
      </c>
      <c r="H3816" s="8">
        <f>IF(B3816="","",IF(ISNA(MATCH(B3816,Mitarbeiter!$A$6:$A$205,0)),"Pers.-Nr. unbekannt",IF(A3816="","Datum fehlt",IF(AND(D3816&lt;&gt;Einstellungen!$C$4,D3816&lt;&gt;Einstellungen!$C$5),"Objekt fehlt",IF(YEAR(A3816)&lt;&gt;Einstellungen!$C$3,"anderes Jahr",IF(A3816&lt;INDEX(Mitarbeiter!$C$6:$C$205,MATCH(B3816,Mitarbeiter!$A$6:$A$205,0)),"vor Eintritt",IF(AND(INDEX(Mitarbeiter!$D$6:$D$205,MATCH(B3816,Mitarbeiter!$A$6:$A$205,0))&lt;&gt;"",A3816&gt;INDEX(Mitarbeiter!$D$6:$D$205,MATCH(B3816,Mitarbeiter!$A$6:$A$205,0))),"nach Austritt","ok")))))))</f>
        <v/>
      </c>
    </row>
    <row r="3817">
      <c r="A3817" s="26" t="n"/>
      <c r="B3817" s="24" t="n"/>
      <c r="C3817" s="40">
        <f>IF(B3817="","",IFERROR(INDEX(Mitarbeiter!$B$6:$B$205,MATCH(B3817,Mitarbeiter!$A$6:$A$205,0)),"?"))</f>
        <v/>
      </c>
      <c r="D3817" s="41" t="n"/>
      <c r="E3817" s="42" t="n"/>
      <c r="F3817" s="43" t="n"/>
      <c r="G3817" s="44">
        <f>IF(OR(B3817="",F3817=""),"",IFERROR(F3817*INDEX(Mitarbeiter!$F$6:$F$205,MATCH(B3817,Mitarbeiter!$A$6:$A$205,0)),0))</f>
        <v/>
      </c>
      <c r="H3817" s="8">
        <f>IF(B3817="","",IF(ISNA(MATCH(B3817,Mitarbeiter!$A$6:$A$205,0)),"Pers.-Nr. unbekannt",IF(A3817="","Datum fehlt",IF(AND(D3817&lt;&gt;Einstellungen!$C$4,D3817&lt;&gt;Einstellungen!$C$5),"Objekt fehlt",IF(YEAR(A3817)&lt;&gt;Einstellungen!$C$3,"anderes Jahr",IF(A3817&lt;INDEX(Mitarbeiter!$C$6:$C$205,MATCH(B3817,Mitarbeiter!$A$6:$A$205,0)),"vor Eintritt",IF(AND(INDEX(Mitarbeiter!$D$6:$D$205,MATCH(B3817,Mitarbeiter!$A$6:$A$205,0))&lt;&gt;"",A3817&gt;INDEX(Mitarbeiter!$D$6:$D$205,MATCH(B3817,Mitarbeiter!$A$6:$A$205,0))),"nach Austritt","ok")))))))</f>
        <v/>
      </c>
    </row>
    <row r="3818">
      <c r="A3818" s="26" t="n"/>
      <c r="B3818" s="24" t="n"/>
      <c r="C3818" s="40">
        <f>IF(B3818="","",IFERROR(INDEX(Mitarbeiter!$B$6:$B$205,MATCH(B3818,Mitarbeiter!$A$6:$A$205,0)),"?"))</f>
        <v/>
      </c>
      <c r="D3818" s="41" t="n"/>
      <c r="E3818" s="42" t="n"/>
      <c r="F3818" s="43" t="n"/>
      <c r="G3818" s="44">
        <f>IF(OR(B3818="",F3818=""),"",IFERROR(F3818*INDEX(Mitarbeiter!$F$6:$F$205,MATCH(B3818,Mitarbeiter!$A$6:$A$205,0)),0))</f>
        <v/>
      </c>
      <c r="H3818" s="8">
        <f>IF(B3818="","",IF(ISNA(MATCH(B3818,Mitarbeiter!$A$6:$A$205,0)),"Pers.-Nr. unbekannt",IF(A3818="","Datum fehlt",IF(AND(D3818&lt;&gt;Einstellungen!$C$4,D3818&lt;&gt;Einstellungen!$C$5),"Objekt fehlt",IF(YEAR(A3818)&lt;&gt;Einstellungen!$C$3,"anderes Jahr",IF(A3818&lt;INDEX(Mitarbeiter!$C$6:$C$205,MATCH(B3818,Mitarbeiter!$A$6:$A$205,0)),"vor Eintritt",IF(AND(INDEX(Mitarbeiter!$D$6:$D$205,MATCH(B3818,Mitarbeiter!$A$6:$A$205,0))&lt;&gt;"",A3818&gt;INDEX(Mitarbeiter!$D$6:$D$205,MATCH(B3818,Mitarbeiter!$A$6:$A$205,0))),"nach Austritt","ok")))))))</f>
        <v/>
      </c>
    </row>
    <row r="3819">
      <c r="A3819" s="26" t="n"/>
      <c r="B3819" s="24" t="n"/>
      <c r="C3819" s="40">
        <f>IF(B3819="","",IFERROR(INDEX(Mitarbeiter!$B$6:$B$205,MATCH(B3819,Mitarbeiter!$A$6:$A$205,0)),"?"))</f>
        <v/>
      </c>
      <c r="D3819" s="41" t="n"/>
      <c r="E3819" s="42" t="n"/>
      <c r="F3819" s="43" t="n"/>
      <c r="G3819" s="44">
        <f>IF(OR(B3819="",F3819=""),"",IFERROR(F3819*INDEX(Mitarbeiter!$F$6:$F$205,MATCH(B3819,Mitarbeiter!$A$6:$A$205,0)),0))</f>
        <v/>
      </c>
      <c r="H3819" s="8">
        <f>IF(B3819="","",IF(ISNA(MATCH(B3819,Mitarbeiter!$A$6:$A$205,0)),"Pers.-Nr. unbekannt",IF(A3819="","Datum fehlt",IF(AND(D3819&lt;&gt;Einstellungen!$C$4,D3819&lt;&gt;Einstellungen!$C$5),"Objekt fehlt",IF(YEAR(A3819)&lt;&gt;Einstellungen!$C$3,"anderes Jahr",IF(A3819&lt;INDEX(Mitarbeiter!$C$6:$C$205,MATCH(B3819,Mitarbeiter!$A$6:$A$205,0)),"vor Eintritt",IF(AND(INDEX(Mitarbeiter!$D$6:$D$205,MATCH(B3819,Mitarbeiter!$A$6:$A$205,0))&lt;&gt;"",A3819&gt;INDEX(Mitarbeiter!$D$6:$D$205,MATCH(B3819,Mitarbeiter!$A$6:$A$205,0))),"nach Austritt","ok")))))))</f>
        <v/>
      </c>
    </row>
    <row r="3820">
      <c r="A3820" s="26" t="n"/>
      <c r="B3820" s="24" t="n"/>
      <c r="C3820" s="40">
        <f>IF(B3820="","",IFERROR(INDEX(Mitarbeiter!$B$6:$B$205,MATCH(B3820,Mitarbeiter!$A$6:$A$205,0)),"?"))</f>
        <v/>
      </c>
      <c r="D3820" s="41" t="n"/>
      <c r="E3820" s="42" t="n"/>
      <c r="F3820" s="43" t="n"/>
      <c r="G3820" s="44">
        <f>IF(OR(B3820="",F3820=""),"",IFERROR(F3820*INDEX(Mitarbeiter!$F$6:$F$205,MATCH(B3820,Mitarbeiter!$A$6:$A$205,0)),0))</f>
        <v/>
      </c>
      <c r="H3820" s="8">
        <f>IF(B3820="","",IF(ISNA(MATCH(B3820,Mitarbeiter!$A$6:$A$205,0)),"Pers.-Nr. unbekannt",IF(A3820="","Datum fehlt",IF(AND(D3820&lt;&gt;Einstellungen!$C$4,D3820&lt;&gt;Einstellungen!$C$5),"Objekt fehlt",IF(YEAR(A3820)&lt;&gt;Einstellungen!$C$3,"anderes Jahr",IF(A3820&lt;INDEX(Mitarbeiter!$C$6:$C$205,MATCH(B3820,Mitarbeiter!$A$6:$A$205,0)),"vor Eintritt",IF(AND(INDEX(Mitarbeiter!$D$6:$D$205,MATCH(B3820,Mitarbeiter!$A$6:$A$205,0))&lt;&gt;"",A3820&gt;INDEX(Mitarbeiter!$D$6:$D$205,MATCH(B3820,Mitarbeiter!$A$6:$A$205,0))),"nach Austritt","ok")))))))</f>
        <v/>
      </c>
    </row>
    <row r="3821">
      <c r="A3821" s="26" t="n"/>
      <c r="B3821" s="24" t="n"/>
      <c r="C3821" s="40">
        <f>IF(B3821="","",IFERROR(INDEX(Mitarbeiter!$B$6:$B$205,MATCH(B3821,Mitarbeiter!$A$6:$A$205,0)),"?"))</f>
        <v/>
      </c>
      <c r="D3821" s="41" t="n"/>
      <c r="E3821" s="42" t="n"/>
      <c r="F3821" s="43" t="n"/>
      <c r="G3821" s="44">
        <f>IF(OR(B3821="",F3821=""),"",IFERROR(F3821*INDEX(Mitarbeiter!$F$6:$F$205,MATCH(B3821,Mitarbeiter!$A$6:$A$205,0)),0))</f>
        <v/>
      </c>
      <c r="H3821" s="8">
        <f>IF(B3821="","",IF(ISNA(MATCH(B3821,Mitarbeiter!$A$6:$A$205,0)),"Pers.-Nr. unbekannt",IF(A3821="","Datum fehlt",IF(AND(D3821&lt;&gt;Einstellungen!$C$4,D3821&lt;&gt;Einstellungen!$C$5),"Objekt fehlt",IF(YEAR(A3821)&lt;&gt;Einstellungen!$C$3,"anderes Jahr",IF(A3821&lt;INDEX(Mitarbeiter!$C$6:$C$205,MATCH(B3821,Mitarbeiter!$A$6:$A$205,0)),"vor Eintritt",IF(AND(INDEX(Mitarbeiter!$D$6:$D$205,MATCH(B3821,Mitarbeiter!$A$6:$A$205,0))&lt;&gt;"",A3821&gt;INDEX(Mitarbeiter!$D$6:$D$205,MATCH(B3821,Mitarbeiter!$A$6:$A$205,0))),"nach Austritt","ok")))))))</f>
        <v/>
      </c>
    </row>
    <row r="3822">
      <c r="A3822" s="26" t="n"/>
      <c r="B3822" s="24" t="n"/>
      <c r="C3822" s="40">
        <f>IF(B3822="","",IFERROR(INDEX(Mitarbeiter!$B$6:$B$205,MATCH(B3822,Mitarbeiter!$A$6:$A$205,0)),"?"))</f>
        <v/>
      </c>
      <c r="D3822" s="41" t="n"/>
      <c r="E3822" s="42" t="n"/>
      <c r="F3822" s="43" t="n"/>
      <c r="G3822" s="44">
        <f>IF(OR(B3822="",F3822=""),"",IFERROR(F3822*INDEX(Mitarbeiter!$F$6:$F$205,MATCH(B3822,Mitarbeiter!$A$6:$A$205,0)),0))</f>
        <v/>
      </c>
      <c r="H3822" s="8">
        <f>IF(B3822="","",IF(ISNA(MATCH(B3822,Mitarbeiter!$A$6:$A$205,0)),"Pers.-Nr. unbekannt",IF(A3822="","Datum fehlt",IF(AND(D3822&lt;&gt;Einstellungen!$C$4,D3822&lt;&gt;Einstellungen!$C$5),"Objekt fehlt",IF(YEAR(A3822)&lt;&gt;Einstellungen!$C$3,"anderes Jahr",IF(A3822&lt;INDEX(Mitarbeiter!$C$6:$C$205,MATCH(B3822,Mitarbeiter!$A$6:$A$205,0)),"vor Eintritt",IF(AND(INDEX(Mitarbeiter!$D$6:$D$205,MATCH(B3822,Mitarbeiter!$A$6:$A$205,0))&lt;&gt;"",A3822&gt;INDEX(Mitarbeiter!$D$6:$D$205,MATCH(B3822,Mitarbeiter!$A$6:$A$205,0))),"nach Austritt","ok")))))))</f>
        <v/>
      </c>
    </row>
    <row r="3823">
      <c r="A3823" s="26" t="n"/>
      <c r="B3823" s="24" t="n"/>
      <c r="C3823" s="40">
        <f>IF(B3823="","",IFERROR(INDEX(Mitarbeiter!$B$6:$B$205,MATCH(B3823,Mitarbeiter!$A$6:$A$205,0)),"?"))</f>
        <v/>
      </c>
      <c r="D3823" s="41" t="n"/>
      <c r="E3823" s="42" t="n"/>
      <c r="F3823" s="43" t="n"/>
      <c r="G3823" s="44">
        <f>IF(OR(B3823="",F3823=""),"",IFERROR(F3823*INDEX(Mitarbeiter!$F$6:$F$205,MATCH(B3823,Mitarbeiter!$A$6:$A$205,0)),0))</f>
        <v/>
      </c>
      <c r="H3823" s="8">
        <f>IF(B3823="","",IF(ISNA(MATCH(B3823,Mitarbeiter!$A$6:$A$205,0)),"Pers.-Nr. unbekannt",IF(A3823="","Datum fehlt",IF(AND(D3823&lt;&gt;Einstellungen!$C$4,D3823&lt;&gt;Einstellungen!$C$5),"Objekt fehlt",IF(YEAR(A3823)&lt;&gt;Einstellungen!$C$3,"anderes Jahr",IF(A3823&lt;INDEX(Mitarbeiter!$C$6:$C$205,MATCH(B3823,Mitarbeiter!$A$6:$A$205,0)),"vor Eintritt",IF(AND(INDEX(Mitarbeiter!$D$6:$D$205,MATCH(B3823,Mitarbeiter!$A$6:$A$205,0))&lt;&gt;"",A3823&gt;INDEX(Mitarbeiter!$D$6:$D$205,MATCH(B3823,Mitarbeiter!$A$6:$A$205,0))),"nach Austritt","ok")))))))</f>
        <v/>
      </c>
    </row>
    <row r="3824">
      <c r="A3824" s="26" t="n"/>
      <c r="B3824" s="24" t="n"/>
      <c r="C3824" s="40">
        <f>IF(B3824="","",IFERROR(INDEX(Mitarbeiter!$B$6:$B$205,MATCH(B3824,Mitarbeiter!$A$6:$A$205,0)),"?"))</f>
        <v/>
      </c>
      <c r="D3824" s="41" t="n"/>
      <c r="E3824" s="42" t="n"/>
      <c r="F3824" s="43" t="n"/>
      <c r="G3824" s="44">
        <f>IF(OR(B3824="",F3824=""),"",IFERROR(F3824*INDEX(Mitarbeiter!$F$6:$F$205,MATCH(B3824,Mitarbeiter!$A$6:$A$205,0)),0))</f>
        <v/>
      </c>
      <c r="H3824" s="8">
        <f>IF(B3824="","",IF(ISNA(MATCH(B3824,Mitarbeiter!$A$6:$A$205,0)),"Pers.-Nr. unbekannt",IF(A3824="","Datum fehlt",IF(AND(D3824&lt;&gt;Einstellungen!$C$4,D3824&lt;&gt;Einstellungen!$C$5),"Objekt fehlt",IF(YEAR(A3824)&lt;&gt;Einstellungen!$C$3,"anderes Jahr",IF(A3824&lt;INDEX(Mitarbeiter!$C$6:$C$205,MATCH(B3824,Mitarbeiter!$A$6:$A$205,0)),"vor Eintritt",IF(AND(INDEX(Mitarbeiter!$D$6:$D$205,MATCH(B3824,Mitarbeiter!$A$6:$A$205,0))&lt;&gt;"",A3824&gt;INDEX(Mitarbeiter!$D$6:$D$205,MATCH(B3824,Mitarbeiter!$A$6:$A$205,0))),"nach Austritt","ok")))))))</f>
        <v/>
      </c>
    </row>
    <row r="3825">
      <c r="A3825" s="26" t="n"/>
      <c r="B3825" s="24" t="n"/>
      <c r="C3825" s="40">
        <f>IF(B3825="","",IFERROR(INDEX(Mitarbeiter!$B$6:$B$205,MATCH(B3825,Mitarbeiter!$A$6:$A$205,0)),"?"))</f>
        <v/>
      </c>
      <c r="D3825" s="41" t="n"/>
      <c r="E3825" s="42" t="n"/>
      <c r="F3825" s="43" t="n"/>
      <c r="G3825" s="44">
        <f>IF(OR(B3825="",F3825=""),"",IFERROR(F3825*INDEX(Mitarbeiter!$F$6:$F$205,MATCH(B3825,Mitarbeiter!$A$6:$A$205,0)),0))</f>
        <v/>
      </c>
      <c r="H3825" s="8">
        <f>IF(B3825="","",IF(ISNA(MATCH(B3825,Mitarbeiter!$A$6:$A$205,0)),"Pers.-Nr. unbekannt",IF(A3825="","Datum fehlt",IF(AND(D3825&lt;&gt;Einstellungen!$C$4,D3825&lt;&gt;Einstellungen!$C$5),"Objekt fehlt",IF(YEAR(A3825)&lt;&gt;Einstellungen!$C$3,"anderes Jahr",IF(A3825&lt;INDEX(Mitarbeiter!$C$6:$C$205,MATCH(B3825,Mitarbeiter!$A$6:$A$205,0)),"vor Eintritt",IF(AND(INDEX(Mitarbeiter!$D$6:$D$205,MATCH(B3825,Mitarbeiter!$A$6:$A$205,0))&lt;&gt;"",A3825&gt;INDEX(Mitarbeiter!$D$6:$D$205,MATCH(B3825,Mitarbeiter!$A$6:$A$205,0))),"nach Austritt","ok")))))))</f>
        <v/>
      </c>
    </row>
    <row r="3826">
      <c r="A3826" s="26" t="n"/>
      <c r="B3826" s="24" t="n"/>
      <c r="C3826" s="40">
        <f>IF(B3826="","",IFERROR(INDEX(Mitarbeiter!$B$6:$B$205,MATCH(B3826,Mitarbeiter!$A$6:$A$205,0)),"?"))</f>
        <v/>
      </c>
      <c r="D3826" s="41" t="n"/>
      <c r="E3826" s="42" t="n"/>
      <c r="F3826" s="43" t="n"/>
      <c r="G3826" s="44">
        <f>IF(OR(B3826="",F3826=""),"",IFERROR(F3826*INDEX(Mitarbeiter!$F$6:$F$205,MATCH(B3826,Mitarbeiter!$A$6:$A$205,0)),0))</f>
        <v/>
      </c>
      <c r="H3826" s="8">
        <f>IF(B3826="","",IF(ISNA(MATCH(B3826,Mitarbeiter!$A$6:$A$205,0)),"Pers.-Nr. unbekannt",IF(A3826="","Datum fehlt",IF(AND(D3826&lt;&gt;Einstellungen!$C$4,D3826&lt;&gt;Einstellungen!$C$5),"Objekt fehlt",IF(YEAR(A3826)&lt;&gt;Einstellungen!$C$3,"anderes Jahr",IF(A3826&lt;INDEX(Mitarbeiter!$C$6:$C$205,MATCH(B3826,Mitarbeiter!$A$6:$A$205,0)),"vor Eintritt",IF(AND(INDEX(Mitarbeiter!$D$6:$D$205,MATCH(B3826,Mitarbeiter!$A$6:$A$205,0))&lt;&gt;"",A3826&gt;INDEX(Mitarbeiter!$D$6:$D$205,MATCH(B3826,Mitarbeiter!$A$6:$A$205,0))),"nach Austritt","ok")))))))</f>
        <v/>
      </c>
    </row>
    <row r="3827">
      <c r="A3827" s="26" t="n"/>
      <c r="B3827" s="24" t="n"/>
      <c r="C3827" s="40">
        <f>IF(B3827="","",IFERROR(INDEX(Mitarbeiter!$B$6:$B$205,MATCH(B3827,Mitarbeiter!$A$6:$A$205,0)),"?"))</f>
        <v/>
      </c>
      <c r="D3827" s="41" t="n"/>
      <c r="E3827" s="42" t="n"/>
      <c r="F3827" s="43" t="n"/>
      <c r="G3827" s="44">
        <f>IF(OR(B3827="",F3827=""),"",IFERROR(F3827*INDEX(Mitarbeiter!$F$6:$F$205,MATCH(B3827,Mitarbeiter!$A$6:$A$205,0)),0))</f>
        <v/>
      </c>
      <c r="H3827" s="8">
        <f>IF(B3827="","",IF(ISNA(MATCH(B3827,Mitarbeiter!$A$6:$A$205,0)),"Pers.-Nr. unbekannt",IF(A3827="","Datum fehlt",IF(AND(D3827&lt;&gt;Einstellungen!$C$4,D3827&lt;&gt;Einstellungen!$C$5),"Objekt fehlt",IF(YEAR(A3827)&lt;&gt;Einstellungen!$C$3,"anderes Jahr",IF(A3827&lt;INDEX(Mitarbeiter!$C$6:$C$205,MATCH(B3827,Mitarbeiter!$A$6:$A$205,0)),"vor Eintritt",IF(AND(INDEX(Mitarbeiter!$D$6:$D$205,MATCH(B3827,Mitarbeiter!$A$6:$A$205,0))&lt;&gt;"",A3827&gt;INDEX(Mitarbeiter!$D$6:$D$205,MATCH(B3827,Mitarbeiter!$A$6:$A$205,0))),"nach Austritt","ok")))))))</f>
        <v/>
      </c>
    </row>
    <row r="3828">
      <c r="A3828" s="26" t="n"/>
      <c r="B3828" s="24" t="n"/>
      <c r="C3828" s="40">
        <f>IF(B3828="","",IFERROR(INDEX(Mitarbeiter!$B$6:$B$205,MATCH(B3828,Mitarbeiter!$A$6:$A$205,0)),"?"))</f>
        <v/>
      </c>
      <c r="D3828" s="41" t="n"/>
      <c r="E3828" s="42" t="n"/>
      <c r="F3828" s="43" t="n"/>
      <c r="G3828" s="44">
        <f>IF(OR(B3828="",F3828=""),"",IFERROR(F3828*INDEX(Mitarbeiter!$F$6:$F$205,MATCH(B3828,Mitarbeiter!$A$6:$A$205,0)),0))</f>
        <v/>
      </c>
      <c r="H3828" s="8">
        <f>IF(B3828="","",IF(ISNA(MATCH(B3828,Mitarbeiter!$A$6:$A$205,0)),"Pers.-Nr. unbekannt",IF(A3828="","Datum fehlt",IF(AND(D3828&lt;&gt;Einstellungen!$C$4,D3828&lt;&gt;Einstellungen!$C$5),"Objekt fehlt",IF(YEAR(A3828)&lt;&gt;Einstellungen!$C$3,"anderes Jahr",IF(A3828&lt;INDEX(Mitarbeiter!$C$6:$C$205,MATCH(B3828,Mitarbeiter!$A$6:$A$205,0)),"vor Eintritt",IF(AND(INDEX(Mitarbeiter!$D$6:$D$205,MATCH(B3828,Mitarbeiter!$A$6:$A$205,0))&lt;&gt;"",A3828&gt;INDEX(Mitarbeiter!$D$6:$D$205,MATCH(B3828,Mitarbeiter!$A$6:$A$205,0))),"nach Austritt","ok")))))))</f>
        <v/>
      </c>
    </row>
    <row r="3829">
      <c r="A3829" s="26" t="n"/>
      <c r="B3829" s="24" t="n"/>
      <c r="C3829" s="40">
        <f>IF(B3829="","",IFERROR(INDEX(Mitarbeiter!$B$6:$B$205,MATCH(B3829,Mitarbeiter!$A$6:$A$205,0)),"?"))</f>
        <v/>
      </c>
      <c r="D3829" s="41" t="n"/>
      <c r="E3829" s="42" t="n"/>
      <c r="F3829" s="43" t="n"/>
      <c r="G3829" s="44">
        <f>IF(OR(B3829="",F3829=""),"",IFERROR(F3829*INDEX(Mitarbeiter!$F$6:$F$205,MATCH(B3829,Mitarbeiter!$A$6:$A$205,0)),0))</f>
        <v/>
      </c>
      <c r="H3829" s="8">
        <f>IF(B3829="","",IF(ISNA(MATCH(B3829,Mitarbeiter!$A$6:$A$205,0)),"Pers.-Nr. unbekannt",IF(A3829="","Datum fehlt",IF(AND(D3829&lt;&gt;Einstellungen!$C$4,D3829&lt;&gt;Einstellungen!$C$5),"Objekt fehlt",IF(YEAR(A3829)&lt;&gt;Einstellungen!$C$3,"anderes Jahr",IF(A3829&lt;INDEX(Mitarbeiter!$C$6:$C$205,MATCH(B3829,Mitarbeiter!$A$6:$A$205,0)),"vor Eintritt",IF(AND(INDEX(Mitarbeiter!$D$6:$D$205,MATCH(B3829,Mitarbeiter!$A$6:$A$205,0))&lt;&gt;"",A3829&gt;INDEX(Mitarbeiter!$D$6:$D$205,MATCH(B3829,Mitarbeiter!$A$6:$A$205,0))),"nach Austritt","ok")))))))</f>
        <v/>
      </c>
    </row>
    <row r="3830">
      <c r="A3830" s="26" t="n"/>
      <c r="B3830" s="24" t="n"/>
      <c r="C3830" s="40">
        <f>IF(B3830="","",IFERROR(INDEX(Mitarbeiter!$B$6:$B$205,MATCH(B3830,Mitarbeiter!$A$6:$A$205,0)),"?"))</f>
        <v/>
      </c>
      <c r="D3830" s="41" t="n"/>
      <c r="E3830" s="42" t="n"/>
      <c r="F3830" s="43" t="n"/>
      <c r="G3830" s="44">
        <f>IF(OR(B3830="",F3830=""),"",IFERROR(F3830*INDEX(Mitarbeiter!$F$6:$F$205,MATCH(B3830,Mitarbeiter!$A$6:$A$205,0)),0))</f>
        <v/>
      </c>
      <c r="H3830" s="8">
        <f>IF(B3830="","",IF(ISNA(MATCH(B3830,Mitarbeiter!$A$6:$A$205,0)),"Pers.-Nr. unbekannt",IF(A3830="","Datum fehlt",IF(AND(D3830&lt;&gt;Einstellungen!$C$4,D3830&lt;&gt;Einstellungen!$C$5),"Objekt fehlt",IF(YEAR(A3830)&lt;&gt;Einstellungen!$C$3,"anderes Jahr",IF(A3830&lt;INDEX(Mitarbeiter!$C$6:$C$205,MATCH(B3830,Mitarbeiter!$A$6:$A$205,0)),"vor Eintritt",IF(AND(INDEX(Mitarbeiter!$D$6:$D$205,MATCH(B3830,Mitarbeiter!$A$6:$A$205,0))&lt;&gt;"",A3830&gt;INDEX(Mitarbeiter!$D$6:$D$205,MATCH(B3830,Mitarbeiter!$A$6:$A$205,0))),"nach Austritt","ok")))))))</f>
        <v/>
      </c>
    </row>
    <row r="3831">
      <c r="A3831" s="26" t="n"/>
      <c r="B3831" s="24" t="n"/>
      <c r="C3831" s="40">
        <f>IF(B3831="","",IFERROR(INDEX(Mitarbeiter!$B$6:$B$205,MATCH(B3831,Mitarbeiter!$A$6:$A$205,0)),"?"))</f>
        <v/>
      </c>
      <c r="D3831" s="41" t="n"/>
      <c r="E3831" s="42" t="n"/>
      <c r="F3831" s="43" t="n"/>
      <c r="G3831" s="44">
        <f>IF(OR(B3831="",F3831=""),"",IFERROR(F3831*INDEX(Mitarbeiter!$F$6:$F$205,MATCH(B3831,Mitarbeiter!$A$6:$A$205,0)),0))</f>
        <v/>
      </c>
      <c r="H3831" s="8">
        <f>IF(B3831="","",IF(ISNA(MATCH(B3831,Mitarbeiter!$A$6:$A$205,0)),"Pers.-Nr. unbekannt",IF(A3831="","Datum fehlt",IF(AND(D3831&lt;&gt;Einstellungen!$C$4,D3831&lt;&gt;Einstellungen!$C$5),"Objekt fehlt",IF(YEAR(A3831)&lt;&gt;Einstellungen!$C$3,"anderes Jahr",IF(A3831&lt;INDEX(Mitarbeiter!$C$6:$C$205,MATCH(B3831,Mitarbeiter!$A$6:$A$205,0)),"vor Eintritt",IF(AND(INDEX(Mitarbeiter!$D$6:$D$205,MATCH(B3831,Mitarbeiter!$A$6:$A$205,0))&lt;&gt;"",A3831&gt;INDEX(Mitarbeiter!$D$6:$D$205,MATCH(B3831,Mitarbeiter!$A$6:$A$205,0))),"nach Austritt","ok")))))))</f>
        <v/>
      </c>
    </row>
    <row r="3832">
      <c r="A3832" s="26" t="n"/>
      <c r="B3832" s="24" t="n"/>
      <c r="C3832" s="40">
        <f>IF(B3832="","",IFERROR(INDEX(Mitarbeiter!$B$6:$B$205,MATCH(B3832,Mitarbeiter!$A$6:$A$205,0)),"?"))</f>
        <v/>
      </c>
      <c r="D3832" s="41" t="n"/>
      <c r="E3832" s="42" t="n"/>
      <c r="F3832" s="43" t="n"/>
      <c r="G3832" s="44">
        <f>IF(OR(B3832="",F3832=""),"",IFERROR(F3832*INDEX(Mitarbeiter!$F$6:$F$205,MATCH(B3832,Mitarbeiter!$A$6:$A$205,0)),0))</f>
        <v/>
      </c>
      <c r="H3832" s="8">
        <f>IF(B3832="","",IF(ISNA(MATCH(B3832,Mitarbeiter!$A$6:$A$205,0)),"Pers.-Nr. unbekannt",IF(A3832="","Datum fehlt",IF(AND(D3832&lt;&gt;Einstellungen!$C$4,D3832&lt;&gt;Einstellungen!$C$5),"Objekt fehlt",IF(YEAR(A3832)&lt;&gt;Einstellungen!$C$3,"anderes Jahr",IF(A3832&lt;INDEX(Mitarbeiter!$C$6:$C$205,MATCH(B3832,Mitarbeiter!$A$6:$A$205,0)),"vor Eintritt",IF(AND(INDEX(Mitarbeiter!$D$6:$D$205,MATCH(B3832,Mitarbeiter!$A$6:$A$205,0))&lt;&gt;"",A3832&gt;INDEX(Mitarbeiter!$D$6:$D$205,MATCH(B3832,Mitarbeiter!$A$6:$A$205,0))),"nach Austritt","ok")))))))</f>
        <v/>
      </c>
    </row>
    <row r="3833">
      <c r="A3833" s="26" t="n"/>
      <c r="B3833" s="24" t="n"/>
      <c r="C3833" s="40">
        <f>IF(B3833="","",IFERROR(INDEX(Mitarbeiter!$B$6:$B$205,MATCH(B3833,Mitarbeiter!$A$6:$A$205,0)),"?"))</f>
        <v/>
      </c>
      <c r="D3833" s="41" t="n"/>
      <c r="E3833" s="42" t="n"/>
      <c r="F3833" s="43" t="n"/>
      <c r="G3833" s="44">
        <f>IF(OR(B3833="",F3833=""),"",IFERROR(F3833*INDEX(Mitarbeiter!$F$6:$F$205,MATCH(B3833,Mitarbeiter!$A$6:$A$205,0)),0))</f>
        <v/>
      </c>
      <c r="H3833" s="8">
        <f>IF(B3833="","",IF(ISNA(MATCH(B3833,Mitarbeiter!$A$6:$A$205,0)),"Pers.-Nr. unbekannt",IF(A3833="","Datum fehlt",IF(AND(D3833&lt;&gt;Einstellungen!$C$4,D3833&lt;&gt;Einstellungen!$C$5),"Objekt fehlt",IF(YEAR(A3833)&lt;&gt;Einstellungen!$C$3,"anderes Jahr",IF(A3833&lt;INDEX(Mitarbeiter!$C$6:$C$205,MATCH(B3833,Mitarbeiter!$A$6:$A$205,0)),"vor Eintritt",IF(AND(INDEX(Mitarbeiter!$D$6:$D$205,MATCH(B3833,Mitarbeiter!$A$6:$A$205,0))&lt;&gt;"",A3833&gt;INDEX(Mitarbeiter!$D$6:$D$205,MATCH(B3833,Mitarbeiter!$A$6:$A$205,0))),"nach Austritt","ok")))))))</f>
        <v/>
      </c>
    </row>
    <row r="3834">
      <c r="A3834" s="26" t="n"/>
      <c r="B3834" s="24" t="n"/>
      <c r="C3834" s="40">
        <f>IF(B3834="","",IFERROR(INDEX(Mitarbeiter!$B$6:$B$205,MATCH(B3834,Mitarbeiter!$A$6:$A$205,0)),"?"))</f>
        <v/>
      </c>
      <c r="D3834" s="41" t="n"/>
      <c r="E3834" s="42" t="n"/>
      <c r="F3834" s="43" t="n"/>
      <c r="G3834" s="44">
        <f>IF(OR(B3834="",F3834=""),"",IFERROR(F3834*INDEX(Mitarbeiter!$F$6:$F$205,MATCH(B3834,Mitarbeiter!$A$6:$A$205,0)),0))</f>
        <v/>
      </c>
      <c r="H3834" s="8">
        <f>IF(B3834="","",IF(ISNA(MATCH(B3834,Mitarbeiter!$A$6:$A$205,0)),"Pers.-Nr. unbekannt",IF(A3834="","Datum fehlt",IF(AND(D3834&lt;&gt;Einstellungen!$C$4,D3834&lt;&gt;Einstellungen!$C$5),"Objekt fehlt",IF(YEAR(A3834)&lt;&gt;Einstellungen!$C$3,"anderes Jahr",IF(A3834&lt;INDEX(Mitarbeiter!$C$6:$C$205,MATCH(B3834,Mitarbeiter!$A$6:$A$205,0)),"vor Eintritt",IF(AND(INDEX(Mitarbeiter!$D$6:$D$205,MATCH(B3834,Mitarbeiter!$A$6:$A$205,0))&lt;&gt;"",A3834&gt;INDEX(Mitarbeiter!$D$6:$D$205,MATCH(B3834,Mitarbeiter!$A$6:$A$205,0))),"nach Austritt","ok")))))))</f>
        <v/>
      </c>
    </row>
    <row r="3835">
      <c r="A3835" s="26" t="n"/>
      <c r="B3835" s="24" t="n"/>
      <c r="C3835" s="40">
        <f>IF(B3835="","",IFERROR(INDEX(Mitarbeiter!$B$6:$B$205,MATCH(B3835,Mitarbeiter!$A$6:$A$205,0)),"?"))</f>
        <v/>
      </c>
      <c r="D3835" s="41" t="n"/>
      <c r="E3835" s="42" t="n"/>
      <c r="F3835" s="43" t="n"/>
      <c r="G3835" s="44">
        <f>IF(OR(B3835="",F3835=""),"",IFERROR(F3835*INDEX(Mitarbeiter!$F$6:$F$205,MATCH(B3835,Mitarbeiter!$A$6:$A$205,0)),0))</f>
        <v/>
      </c>
      <c r="H3835" s="8">
        <f>IF(B3835="","",IF(ISNA(MATCH(B3835,Mitarbeiter!$A$6:$A$205,0)),"Pers.-Nr. unbekannt",IF(A3835="","Datum fehlt",IF(AND(D3835&lt;&gt;Einstellungen!$C$4,D3835&lt;&gt;Einstellungen!$C$5),"Objekt fehlt",IF(YEAR(A3835)&lt;&gt;Einstellungen!$C$3,"anderes Jahr",IF(A3835&lt;INDEX(Mitarbeiter!$C$6:$C$205,MATCH(B3835,Mitarbeiter!$A$6:$A$205,0)),"vor Eintritt",IF(AND(INDEX(Mitarbeiter!$D$6:$D$205,MATCH(B3835,Mitarbeiter!$A$6:$A$205,0))&lt;&gt;"",A3835&gt;INDEX(Mitarbeiter!$D$6:$D$205,MATCH(B3835,Mitarbeiter!$A$6:$A$205,0))),"nach Austritt","ok")))))))</f>
        <v/>
      </c>
    </row>
    <row r="3836">
      <c r="A3836" s="26" t="n"/>
      <c r="B3836" s="24" t="n"/>
      <c r="C3836" s="40">
        <f>IF(B3836="","",IFERROR(INDEX(Mitarbeiter!$B$6:$B$205,MATCH(B3836,Mitarbeiter!$A$6:$A$205,0)),"?"))</f>
        <v/>
      </c>
      <c r="D3836" s="41" t="n"/>
      <c r="E3836" s="42" t="n"/>
      <c r="F3836" s="43" t="n"/>
      <c r="G3836" s="44">
        <f>IF(OR(B3836="",F3836=""),"",IFERROR(F3836*INDEX(Mitarbeiter!$F$6:$F$205,MATCH(B3836,Mitarbeiter!$A$6:$A$205,0)),0))</f>
        <v/>
      </c>
      <c r="H3836" s="8">
        <f>IF(B3836="","",IF(ISNA(MATCH(B3836,Mitarbeiter!$A$6:$A$205,0)),"Pers.-Nr. unbekannt",IF(A3836="","Datum fehlt",IF(AND(D3836&lt;&gt;Einstellungen!$C$4,D3836&lt;&gt;Einstellungen!$C$5),"Objekt fehlt",IF(YEAR(A3836)&lt;&gt;Einstellungen!$C$3,"anderes Jahr",IF(A3836&lt;INDEX(Mitarbeiter!$C$6:$C$205,MATCH(B3836,Mitarbeiter!$A$6:$A$205,0)),"vor Eintritt",IF(AND(INDEX(Mitarbeiter!$D$6:$D$205,MATCH(B3836,Mitarbeiter!$A$6:$A$205,0))&lt;&gt;"",A3836&gt;INDEX(Mitarbeiter!$D$6:$D$205,MATCH(B3836,Mitarbeiter!$A$6:$A$205,0))),"nach Austritt","ok")))))))</f>
        <v/>
      </c>
    </row>
    <row r="3837">
      <c r="A3837" s="26" t="n"/>
      <c r="B3837" s="24" t="n"/>
      <c r="C3837" s="40">
        <f>IF(B3837="","",IFERROR(INDEX(Mitarbeiter!$B$6:$B$205,MATCH(B3837,Mitarbeiter!$A$6:$A$205,0)),"?"))</f>
        <v/>
      </c>
      <c r="D3837" s="41" t="n"/>
      <c r="E3837" s="42" t="n"/>
      <c r="F3837" s="43" t="n"/>
      <c r="G3837" s="44">
        <f>IF(OR(B3837="",F3837=""),"",IFERROR(F3837*INDEX(Mitarbeiter!$F$6:$F$205,MATCH(B3837,Mitarbeiter!$A$6:$A$205,0)),0))</f>
        <v/>
      </c>
      <c r="H3837" s="8">
        <f>IF(B3837="","",IF(ISNA(MATCH(B3837,Mitarbeiter!$A$6:$A$205,0)),"Pers.-Nr. unbekannt",IF(A3837="","Datum fehlt",IF(AND(D3837&lt;&gt;Einstellungen!$C$4,D3837&lt;&gt;Einstellungen!$C$5),"Objekt fehlt",IF(YEAR(A3837)&lt;&gt;Einstellungen!$C$3,"anderes Jahr",IF(A3837&lt;INDEX(Mitarbeiter!$C$6:$C$205,MATCH(B3837,Mitarbeiter!$A$6:$A$205,0)),"vor Eintritt",IF(AND(INDEX(Mitarbeiter!$D$6:$D$205,MATCH(B3837,Mitarbeiter!$A$6:$A$205,0))&lt;&gt;"",A3837&gt;INDEX(Mitarbeiter!$D$6:$D$205,MATCH(B3837,Mitarbeiter!$A$6:$A$205,0))),"nach Austritt","ok")))))))</f>
        <v/>
      </c>
    </row>
    <row r="3838">
      <c r="A3838" s="26" t="n"/>
      <c r="B3838" s="24" t="n"/>
      <c r="C3838" s="40">
        <f>IF(B3838="","",IFERROR(INDEX(Mitarbeiter!$B$6:$B$205,MATCH(B3838,Mitarbeiter!$A$6:$A$205,0)),"?"))</f>
        <v/>
      </c>
      <c r="D3838" s="41" t="n"/>
      <c r="E3838" s="42" t="n"/>
      <c r="F3838" s="43" t="n"/>
      <c r="G3838" s="44">
        <f>IF(OR(B3838="",F3838=""),"",IFERROR(F3838*INDEX(Mitarbeiter!$F$6:$F$205,MATCH(B3838,Mitarbeiter!$A$6:$A$205,0)),0))</f>
        <v/>
      </c>
      <c r="H3838" s="8">
        <f>IF(B3838="","",IF(ISNA(MATCH(B3838,Mitarbeiter!$A$6:$A$205,0)),"Pers.-Nr. unbekannt",IF(A3838="","Datum fehlt",IF(AND(D3838&lt;&gt;Einstellungen!$C$4,D3838&lt;&gt;Einstellungen!$C$5),"Objekt fehlt",IF(YEAR(A3838)&lt;&gt;Einstellungen!$C$3,"anderes Jahr",IF(A3838&lt;INDEX(Mitarbeiter!$C$6:$C$205,MATCH(B3838,Mitarbeiter!$A$6:$A$205,0)),"vor Eintritt",IF(AND(INDEX(Mitarbeiter!$D$6:$D$205,MATCH(B3838,Mitarbeiter!$A$6:$A$205,0))&lt;&gt;"",A3838&gt;INDEX(Mitarbeiter!$D$6:$D$205,MATCH(B3838,Mitarbeiter!$A$6:$A$205,0))),"nach Austritt","ok")))))))</f>
        <v/>
      </c>
    </row>
    <row r="3839">
      <c r="A3839" s="26" t="n"/>
      <c r="B3839" s="24" t="n"/>
      <c r="C3839" s="40">
        <f>IF(B3839="","",IFERROR(INDEX(Mitarbeiter!$B$6:$B$205,MATCH(B3839,Mitarbeiter!$A$6:$A$205,0)),"?"))</f>
        <v/>
      </c>
      <c r="D3839" s="41" t="n"/>
      <c r="E3839" s="42" t="n"/>
      <c r="F3839" s="43" t="n"/>
      <c r="G3839" s="44">
        <f>IF(OR(B3839="",F3839=""),"",IFERROR(F3839*INDEX(Mitarbeiter!$F$6:$F$205,MATCH(B3839,Mitarbeiter!$A$6:$A$205,0)),0))</f>
        <v/>
      </c>
      <c r="H3839" s="8">
        <f>IF(B3839="","",IF(ISNA(MATCH(B3839,Mitarbeiter!$A$6:$A$205,0)),"Pers.-Nr. unbekannt",IF(A3839="","Datum fehlt",IF(AND(D3839&lt;&gt;Einstellungen!$C$4,D3839&lt;&gt;Einstellungen!$C$5),"Objekt fehlt",IF(YEAR(A3839)&lt;&gt;Einstellungen!$C$3,"anderes Jahr",IF(A3839&lt;INDEX(Mitarbeiter!$C$6:$C$205,MATCH(B3839,Mitarbeiter!$A$6:$A$205,0)),"vor Eintritt",IF(AND(INDEX(Mitarbeiter!$D$6:$D$205,MATCH(B3839,Mitarbeiter!$A$6:$A$205,0))&lt;&gt;"",A3839&gt;INDEX(Mitarbeiter!$D$6:$D$205,MATCH(B3839,Mitarbeiter!$A$6:$A$205,0))),"nach Austritt","ok")))))))</f>
        <v/>
      </c>
    </row>
    <row r="3840">
      <c r="A3840" s="26" t="n"/>
      <c r="B3840" s="24" t="n"/>
      <c r="C3840" s="40">
        <f>IF(B3840="","",IFERROR(INDEX(Mitarbeiter!$B$6:$B$205,MATCH(B3840,Mitarbeiter!$A$6:$A$205,0)),"?"))</f>
        <v/>
      </c>
      <c r="D3840" s="41" t="n"/>
      <c r="E3840" s="42" t="n"/>
      <c r="F3840" s="43" t="n"/>
      <c r="G3840" s="44">
        <f>IF(OR(B3840="",F3840=""),"",IFERROR(F3840*INDEX(Mitarbeiter!$F$6:$F$205,MATCH(B3840,Mitarbeiter!$A$6:$A$205,0)),0))</f>
        <v/>
      </c>
      <c r="H3840" s="8">
        <f>IF(B3840="","",IF(ISNA(MATCH(B3840,Mitarbeiter!$A$6:$A$205,0)),"Pers.-Nr. unbekannt",IF(A3840="","Datum fehlt",IF(AND(D3840&lt;&gt;Einstellungen!$C$4,D3840&lt;&gt;Einstellungen!$C$5),"Objekt fehlt",IF(YEAR(A3840)&lt;&gt;Einstellungen!$C$3,"anderes Jahr",IF(A3840&lt;INDEX(Mitarbeiter!$C$6:$C$205,MATCH(B3840,Mitarbeiter!$A$6:$A$205,0)),"vor Eintritt",IF(AND(INDEX(Mitarbeiter!$D$6:$D$205,MATCH(B3840,Mitarbeiter!$A$6:$A$205,0))&lt;&gt;"",A3840&gt;INDEX(Mitarbeiter!$D$6:$D$205,MATCH(B3840,Mitarbeiter!$A$6:$A$205,0))),"nach Austritt","ok")))))))</f>
        <v/>
      </c>
    </row>
    <row r="3841">
      <c r="A3841" s="26" t="n"/>
      <c r="B3841" s="24" t="n"/>
      <c r="C3841" s="40">
        <f>IF(B3841="","",IFERROR(INDEX(Mitarbeiter!$B$6:$B$205,MATCH(B3841,Mitarbeiter!$A$6:$A$205,0)),"?"))</f>
        <v/>
      </c>
      <c r="D3841" s="41" t="n"/>
      <c r="E3841" s="42" t="n"/>
      <c r="F3841" s="43" t="n"/>
      <c r="G3841" s="44">
        <f>IF(OR(B3841="",F3841=""),"",IFERROR(F3841*INDEX(Mitarbeiter!$F$6:$F$205,MATCH(B3841,Mitarbeiter!$A$6:$A$205,0)),0))</f>
        <v/>
      </c>
      <c r="H3841" s="8">
        <f>IF(B3841="","",IF(ISNA(MATCH(B3841,Mitarbeiter!$A$6:$A$205,0)),"Pers.-Nr. unbekannt",IF(A3841="","Datum fehlt",IF(AND(D3841&lt;&gt;Einstellungen!$C$4,D3841&lt;&gt;Einstellungen!$C$5),"Objekt fehlt",IF(YEAR(A3841)&lt;&gt;Einstellungen!$C$3,"anderes Jahr",IF(A3841&lt;INDEX(Mitarbeiter!$C$6:$C$205,MATCH(B3841,Mitarbeiter!$A$6:$A$205,0)),"vor Eintritt",IF(AND(INDEX(Mitarbeiter!$D$6:$D$205,MATCH(B3841,Mitarbeiter!$A$6:$A$205,0))&lt;&gt;"",A3841&gt;INDEX(Mitarbeiter!$D$6:$D$205,MATCH(B3841,Mitarbeiter!$A$6:$A$205,0))),"nach Austritt","ok")))))))</f>
        <v/>
      </c>
    </row>
    <row r="3842">
      <c r="A3842" s="26" t="n"/>
      <c r="B3842" s="24" t="n"/>
      <c r="C3842" s="40">
        <f>IF(B3842="","",IFERROR(INDEX(Mitarbeiter!$B$6:$B$205,MATCH(B3842,Mitarbeiter!$A$6:$A$205,0)),"?"))</f>
        <v/>
      </c>
      <c r="D3842" s="41" t="n"/>
      <c r="E3842" s="42" t="n"/>
      <c r="F3842" s="43" t="n"/>
      <c r="G3842" s="44">
        <f>IF(OR(B3842="",F3842=""),"",IFERROR(F3842*INDEX(Mitarbeiter!$F$6:$F$205,MATCH(B3842,Mitarbeiter!$A$6:$A$205,0)),0))</f>
        <v/>
      </c>
      <c r="H3842" s="8">
        <f>IF(B3842="","",IF(ISNA(MATCH(B3842,Mitarbeiter!$A$6:$A$205,0)),"Pers.-Nr. unbekannt",IF(A3842="","Datum fehlt",IF(AND(D3842&lt;&gt;Einstellungen!$C$4,D3842&lt;&gt;Einstellungen!$C$5),"Objekt fehlt",IF(YEAR(A3842)&lt;&gt;Einstellungen!$C$3,"anderes Jahr",IF(A3842&lt;INDEX(Mitarbeiter!$C$6:$C$205,MATCH(B3842,Mitarbeiter!$A$6:$A$205,0)),"vor Eintritt",IF(AND(INDEX(Mitarbeiter!$D$6:$D$205,MATCH(B3842,Mitarbeiter!$A$6:$A$205,0))&lt;&gt;"",A3842&gt;INDEX(Mitarbeiter!$D$6:$D$205,MATCH(B3842,Mitarbeiter!$A$6:$A$205,0))),"nach Austritt","ok")))))))</f>
        <v/>
      </c>
    </row>
    <row r="3843">
      <c r="A3843" s="26" t="n"/>
      <c r="B3843" s="24" t="n"/>
      <c r="C3843" s="40">
        <f>IF(B3843="","",IFERROR(INDEX(Mitarbeiter!$B$6:$B$205,MATCH(B3843,Mitarbeiter!$A$6:$A$205,0)),"?"))</f>
        <v/>
      </c>
      <c r="D3843" s="41" t="n"/>
      <c r="E3843" s="42" t="n"/>
      <c r="F3843" s="43" t="n"/>
      <c r="G3843" s="44">
        <f>IF(OR(B3843="",F3843=""),"",IFERROR(F3843*INDEX(Mitarbeiter!$F$6:$F$205,MATCH(B3843,Mitarbeiter!$A$6:$A$205,0)),0))</f>
        <v/>
      </c>
      <c r="H3843" s="8">
        <f>IF(B3843="","",IF(ISNA(MATCH(B3843,Mitarbeiter!$A$6:$A$205,0)),"Pers.-Nr. unbekannt",IF(A3843="","Datum fehlt",IF(AND(D3843&lt;&gt;Einstellungen!$C$4,D3843&lt;&gt;Einstellungen!$C$5),"Objekt fehlt",IF(YEAR(A3843)&lt;&gt;Einstellungen!$C$3,"anderes Jahr",IF(A3843&lt;INDEX(Mitarbeiter!$C$6:$C$205,MATCH(B3843,Mitarbeiter!$A$6:$A$205,0)),"vor Eintritt",IF(AND(INDEX(Mitarbeiter!$D$6:$D$205,MATCH(B3843,Mitarbeiter!$A$6:$A$205,0))&lt;&gt;"",A3843&gt;INDEX(Mitarbeiter!$D$6:$D$205,MATCH(B3843,Mitarbeiter!$A$6:$A$205,0))),"nach Austritt","ok")))))))</f>
        <v/>
      </c>
    </row>
    <row r="3844">
      <c r="A3844" s="26" t="n"/>
      <c r="B3844" s="24" t="n"/>
      <c r="C3844" s="40">
        <f>IF(B3844="","",IFERROR(INDEX(Mitarbeiter!$B$6:$B$205,MATCH(B3844,Mitarbeiter!$A$6:$A$205,0)),"?"))</f>
        <v/>
      </c>
      <c r="D3844" s="41" t="n"/>
      <c r="E3844" s="42" t="n"/>
      <c r="F3844" s="43" t="n"/>
      <c r="G3844" s="44">
        <f>IF(OR(B3844="",F3844=""),"",IFERROR(F3844*INDEX(Mitarbeiter!$F$6:$F$205,MATCH(B3844,Mitarbeiter!$A$6:$A$205,0)),0))</f>
        <v/>
      </c>
      <c r="H3844" s="8">
        <f>IF(B3844="","",IF(ISNA(MATCH(B3844,Mitarbeiter!$A$6:$A$205,0)),"Pers.-Nr. unbekannt",IF(A3844="","Datum fehlt",IF(AND(D3844&lt;&gt;Einstellungen!$C$4,D3844&lt;&gt;Einstellungen!$C$5),"Objekt fehlt",IF(YEAR(A3844)&lt;&gt;Einstellungen!$C$3,"anderes Jahr",IF(A3844&lt;INDEX(Mitarbeiter!$C$6:$C$205,MATCH(B3844,Mitarbeiter!$A$6:$A$205,0)),"vor Eintritt",IF(AND(INDEX(Mitarbeiter!$D$6:$D$205,MATCH(B3844,Mitarbeiter!$A$6:$A$205,0))&lt;&gt;"",A3844&gt;INDEX(Mitarbeiter!$D$6:$D$205,MATCH(B3844,Mitarbeiter!$A$6:$A$205,0))),"nach Austritt","ok")))))))</f>
        <v/>
      </c>
    </row>
    <row r="3845">
      <c r="A3845" s="26" t="n"/>
      <c r="B3845" s="24" t="n"/>
      <c r="C3845" s="40">
        <f>IF(B3845="","",IFERROR(INDEX(Mitarbeiter!$B$6:$B$205,MATCH(B3845,Mitarbeiter!$A$6:$A$205,0)),"?"))</f>
        <v/>
      </c>
      <c r="D3845" s="41" t="n"/>
      <c r="E3845" s="42" t="n"/>
      <c r="F3845" s="43" t="n"/>
      <c r="G3845" s="44">
        <f>IF(OR(B3845="",F3845=""),"",IFERROR(F3845*INDEX(Mitarbeiter!$F$6:$F$205,MATCH(B3845,Mitarbeiter!$A$6:$A$205,0)),0))</f>
        <v/>
      </c>
      <c r="H3845" s="8">
        <f>IF(B3845="","",IF(ISNA(MATCH(B3845,Mitarbeiter!$A$6:$A$205,0)),"Pers.-Nr. unbekannt",IF(A3845="","Datum fehlt",IF(AND(D3845&lt;&gt;Einstellungen!$C$4,D3845&lt;&gt;Einstellungen!$C$5),"Objekt fehlt",IF(YEAR(A3845)&lt;&gt;Einstellungen!$C$3,"anderes Jahr",IF(A3845&lt;INDEX(Mitarbeiter!$C$6:$C$205,MATCH(B3845,Mitarbeiter!$A$6:$A$205,0)),"vor Eintritt",IF(AND(INDEX(Mitarbeiter!$D$6:$D$205,MATCH(B3845,Mitarbeiter!$A$6:$A$205,0))&lt;&gt;"",A3845&gt;INDEX(Mitarbeiter!$D$6:$D$205,MATCH(B3845,Mitarbeiter!$A$6:$A$205,0))),"nach Austritt","ok")))))))</f>
        <v/>
      </c>
    </row>
    <row r="3846">
      <c r="A3846" s="26" t="n"/>
      <c r="B3846" s="24" t="n"/>
      <c r="C3846" s="40">
        <f>IF(B3846="","",IFERROR(INDEX(Mitarbeiter!$B$6:$B$205,MATCH(B3846,Mitarbeiter!$A$6:$A$205,0)),"?"))</f>
        <v/>
      </c>
      <c r="D3846" s="41" t="n"/>
      <c r="E3846" s="42" t="n"/>
      <c r="F3846" s="43" t="n"/>
      <c r="G3846" s="44">
        <f>IF(OR(B3846="",F3846=""),"",IFERROR(F3846*INDEX(Mitarbeiter!$F$6:$F$205,MATCH(B3846,Mitarbeiter!$A$6:$A$205,0)),0))</f>
        <v/>
      </c>
      <c r="H3846" s="8">
        <f>IF(B3846="","",IF(ISNA(MATCH(B3846,Mitarbeiter!$A$6:$A$205,0)),"Pers.-Nr. unbekannt",IF(A3846="","Datum fehlt",IF(AND(D3846&lt;&gt;Einstellungen!$C$4,D3846&lt;&gt;Einstellungen!$C$5),"Objekt fehlt",IF(YEAR(A3846)&lt;&gt;Einstellungen!$C$3,"anderes Jahr",IF(A3846&lt;INDEX(Mitarbeiter!$C$6:$C$205,MATCH(B3846,Mitarbeiter!$A$6:$A$205,0)),"vor Eintritt",IF(AND(INDEX(Mitarbeiter!$D$6:$D$205,MATCH(B3846,Mitarbeiter!$A$6:$A$205,0))&lt;&gt;"",A3846&gt;INDEX(Mitarbeiter!$D$6:$D$205,MATCH(B3846,Mitarbeiter!$A$6:$A$205,0))),"nach Austritt","ok")))))))</f>
        <v/>
      </c>
    </row>
    <row r="3847">
      <c r="A3847" s="26" t="n"/>
      <c r="B3847" s="24" t="n"/>
      <c r="C3847" s="40">
        <f>IF(B3847="","",IFERROR(INDEX(Mitarbeiter!$B$6:$B$205,MATCH(B3847,Mitarbeiter!$A$6:$A$205,0)),"?"))</f>
        <v/>
      </c>
      <c r="D3847" s="41" t="n"/>
      <c r="E3847" s="42" t="n"/>
      <c r="F3847" s="43" t="n"/>
      <c r="G3847" s="44">
        <f>IF(OR(B3847="",F3847=""),"",IFERROR(F3847*INDEX(Mitarbeiter!$F$6:$F$205,MATCH(B3847,Mitarbeiter!$A$6:$A$205,0)),0))</f>
        <v/>
      </c>
      <c r="H3847" s="8">
        <f>IF(B3847="","",IF(ISNA(MATCH(B3847,Mitarbeiter!$A$6:$A$205,0)),"Pers.-Nr. unbekannt",IF(A3847="","Datum fehlt",IF(AND(D3847&lt;&gt;Einstellungen!$C$4,D3847&lt;&gt;Einstellungen!$C$5),"Objekt fehlt",IF(YEAR(A3847)&lt;&gt;Einstellungen!$C$3,"anderes Jahr",IF(A3847&lt;INDEX(Mitarbeiter!$C$6:$C$205,MATCH(B3847,Mitarbeiter!$A$6:$A$205,0)),"vor Eintritt",IF(AND(INDEX(Mitarbeiter!$D$6:$D$205,MATCH(B3847,Mitarbeiter!$A$6:$A$205,0))&lt;&gt;"",A3847&gt;INDEX(Mitarbeiter!$D$6:$D$205,MATCH(B3847,Mitarbeiter!$A$6:$A$205,0))),"nach Austritt","ok")))))))</f>
        <v/>
      </c>
    </row>
    <row r="3848">
      <c r="A3848" s="26" t="n"/>
      <c r="B3848" s="24" t="n"/>
      <c r="C3848" s="40">
        <f>IF(B3848="","",IFERROR(INDEX(Mitarbeiter!$B$6:$B$205,MATCH(B3848,Mitarbeiter!$A$6:$A$205,0)),"?"))</f>
        <v/>
      </c>
      <c r="D3848" s="41" t="n"/>
      <c r="E3848" s="42" t="n"/>
      <c r="F3848" s="43" t="n"/>
      <c r="G3848" s="44">
        <f>IF(OR(B3848="",F3848=""),"",IFERROR(F3848*INDEX(Mitarbeiter!$F$6:$F$205,MATCH(B3848,Mitarbeiter!$A$6:$A$205,0)),0))</f>
        <v/>
      </c>
      <c r="H3848" s="8">
        <f>IF(B3848="","",IF(ISNA(MATCH(B3848,Mitarbeiter!$A$6:$A$205,0)),"Pers.-Nr. unbekannt",IF(A3848="","Datum fehlt",IF(AND(D3848&lt;&gt;Einstellungen!$C$4,D3848&lt;&gt;Einstellungen!$C$5),"Objekt fehlt",IF(YEAR(A3848)&lt;&gt;Einstellungen!$C$3,"anderes Jahr",IF(A3848&lt;INDEX(Mitarbeiter!$C$6:$C$205,MATCH(B3848,Mitarbeiter!$A$6:$A$205,0)),"vor Eintritt",IF(AND(INDEX(Mitarbeiter!$D$6:$D$205,MATCH(B3848,Mitarbeiter!$A$6:$A$205,0))&lt;&gt;"",A3848&gt;INDEX(Mitarbeiter!$D$6:$D$205,MATCH(B3848,Mitarbeiter!$A$6:$A$205,0))),"nach Austritt","ok")))))))</f>
        <v/>
      </c>
    </row>
    <row r="3849">
      <c r="A3849" s="26" t="n"/>
      <c r="B3849" s="24" t="n"/>
      <c r="C3849" s="40">
        <f>IF(B3849="","",IFERROR(INDEX(Mitarbeiter!$B$6:$B$205,MATCH(B3849,Mitarbeiter!$A$6:$A$205,0)),"?"))</f>
        <v/>
      </c>
      <c r="D3849" s="41" t="n"/>
      <c r="E3849" s="42" t="n"/>
      <c r="F3849" s="43" t="n"/>
      <c r="G3849" s="44">
        <f>IF(OR(B3849="",F3849=""),"",IFERROR(F3849*INDEX(Mitarbeiter!$F$6:$F$205,MATCH(B3849,Mitarbeiter!$A$6:$A$205,0)),0))</f>
        <v/>
      </c>
      <c r="H3849" s="8">
        <f>IF(B3849="","",IF(ISNA(MATCH(B3849,Mitarbeiter!$A$6:$A$205,0)),"Pers.-Nr. unbekannt",IF(A3849="","Datum fehlt",IF(AND(D3849&lt;&gt;Einstellungen!$C$4,D3849&lt;&gt;Einstellungen!$C$5),"Objekt fehlt",IF(YEAR(A3849)&lt;&gt;Einstellungen!$C$3,"anderes Jahr",IF(A3849&lt;INDEX(Mitarbeiter!$C$6:$C$205,MATCH(B3849,Mitarbeiter!$A$6:$A$205,0)),"vor Eintritt",IF(AND(INDEX(Mitarbeiter!$D$6:$D$205,MATCH(B3849,Mitarbeiter!$A$6:$A$205,0))&lt;&gt;"",A3849&gt;INDEX(Mitarbeiter!$D$6:$D$205,MATCH(B3849,Mitarbeiter!$A$6:$A$205,0))),"nach Austritt","ok")))))))</f>
        <v/>
      </c>
    </row>
    <row r="3850">
      <c r="A3850" s="26" t="n"/>
      <c r="B3850" s="24" t="n"/>
      <c r="C3850" s="40">
        <f>IF(B3850="","",IFERROR(INDEX(Mitarbeiter!$B$6:$B$205,MATCH(B3850,Mitarbeiter!$A$6:$A$205,0)),"?"))</f>
        <v/>
      </c>
      <c r="D3850" s="41" t="n"/>
      <c r="E3850" s="42" t="n"/>
      <c r="F3850" s="43" t="n"/>
      <c r="G3850" s="44">
        <f>IF(OR(B3850="",F3850=""),"",IFERROR(F3850*INDEX(Mitarbeiter!$F$6:$F$205,MATCH(B3850,Mitarbeiter!$A$6:$A$205,0)),0))</f>
        <v/>
      </c>
      <c r="H3850" s="8">
        <f>IF(B3850="","",IF(ISNA(MATCH(B3850,Mitarbeiter!$A$6:$A$205,0)),"Pers.-Nr. unbekannt",IF(A3850="","Datum fehlt",IF(AND(D3850&lt;&gt;Einstellungen!$C$4,D3850&lt;&gt;Einstellungen!$C$5),"Objekt fehlt",IF(YEAR(A3850)&lt;&gt;Einstellungen!$C$3,"anderes Jahr",IF(A3850&lt;INDEX(Mitarbeiter!$C$6:$C$205,MATCH(B3850,Mitarbeiter!$A$6:$A$205,0)),"vor Eintritt",IF(AND(INDEX(Mitarbeiter!$D$6:$D$205,MATCH(B3850,Mitarbeiter!$A$6:$A$205,0))&lt;&gt;"",A3850&gt;INDEX(Mitarbeiter!$D$6:$D$205,MATCH(B3850,Mitarbeiter!$A$6:$A$205,0))),"nach Austritt","ok")))))))</f>
        <v/>
      </c>
    </row>
    <row r="3851">
      <c r="A3851" s="26" t="n"/>
      <c r="B3851" s="24" t="n"/>
      <c r="C3851" s="40">
        <f>IF(B3851="","",IFERROR(INDEX(Mitarbeiter!$B$6:$B$205,MATCH(B3851,Mitarbeiter!$A$6:$A$205,0)),"?"))</f>
        <v/>
      </c>
      <c r="D3851" s="41" t="n"/>
      <c r="E3851" s="42" t="n"/>
      <c r="F3851" s="43" t="n"/>
      <c r="G3851" s="44">
        <f>IF(OR(B3851="",F3851=""),"",IFERROR(F3851*INDEX(Mitarbeiter!$F$6:$F$205,MATCH(B3851,Mitarbeiter!$A$6:$A$205,0)),0))</f>
        <v/>
      </c>
      <c r="H3851" s="8">
        <f>IF(B3851="","",IF(ISNA(MATCH(B3851,Mitarbeiter!$A$6:$A$205,0)),"Pers.-Nr. unbekannt",IF(A3851="","Datum fehlt",IF(AND(D3851&lt;&gt;Einstellungen!$C$4,D3851&lt;&gt;Einstellungen!$C$5),"Objekt fehlt",IF(YEAR(A3851)&lt;&gt;Einstellungen!$C$3,"anderes Jahr",IF(A3851&lt;INDEX(Mitarbeiter!$C$6:$C$205,MATCH(B3851,Mitarbeiter!$A$6:$A$205,0)),"vor Eintritt",IF(AND(INDEX(Mitarbeiter!$D$6:$D$205,MATCH(B3851,Mitarbeiter!$A$6:$A$205,0))&lt;&gt;"",A3851&gt;INDEX(Mitarbeiter!$D$6:$D$205,MATCH(B3851,Mitarbeiter!$A$6:$A$205,0))),"nach Austritt","ok")))))))</f>
        <v/>
      </c>
    </row>
    <row r="3852">
      <c r="A3852" s="26" t="n"/>
      <c r="B3852" s="24" t="n"/>
      <c r="C3852" s="40">
        <f>IF(B3852="","",IFERROR(INDEX(Mitarbeiter!$B$6:$B$205,MATCH(B3852,Mitarbeiter!$A$6:$A$205,0)),"?"))</f>
        <v/>
      </c>
      <c r="D3852" s="41" t="n"/>
      <c r="E3852" s="42" t="n"/>
      <c r="F3852" s="43" t="n"/>
      <c r="G3852" s="44">
        <f>IF(OR(B3852="",F3852=""),"",IFERROR(F3852*INDEX(Mitarbeiter!$F$6:$F$205,MATCH(B3852,Mitarbeiter!$A$6:$A$205,0)),0))</f>
        <v/>
      </c>
      <c r="H3852" s="8">
        <f>IF(B3852="","",IF(ISNA(MATCH(B3852,Mitarbeiter!$A$6:$A$205,0)),"Pers.-Nr. unbekannt",IF(A3852="","Datum fehlt",IF(AND(D3852&lt;&gt;Einstellungen!$C$4,D3852&lt;&gt;Einstellungen!$C$5),"Objekt fehlt",IF(YEAR(A3852)&lt;&gt;Einstellungen!$C$3,"anderes Jahr",IF(A3852&lt;INDEX(Mitarbeiter!$C$6:$C$205,MATCH(B3852,Mitarbeiter!$A$6:$A$205,0)),"vor Eintritt",IF(AND(INDEX(Mitarbeiter!$D$6:$D$205,MATCH(B3852,Mitarbeiter!$A$6:$A$205,0))&lt;&gt;"",A3852&gt;INDEX(Mitarbeiter!$D$6:$D$205,MATCH(B3852,Mitarbeiter!$A$6:$A$205,0))),"nach Austritt","ok")))))))</f>
        <v/>
      </c>
    </row>
    <row r="3853">
      <c r="A3853" s="26" t="n"/>
      <c r="B3853" s="24" t="n"/>
      <c r="C3853" s="40">
        <f>IF(B3853="","",IFERROR(INDEX(Mitarbeiter!$B$6:$B$205,MATCH(B3853,Mitarbeiter!$A$6:$A$205,0)),"?"))</f>
        <v/>
      </c>
      <c r="D3853" s="41" t="n"/>
      <c r="E3853" s="42" t="n"/>
      <c r="F3853" s="43" t="n"/>
      <c r="G3853" s="44">
        <f>IF(OR(B3853="",F3853=""),"",IFERROR(F3853*INDEX(Mitarbeiter!$F$6:$F$205,MATCH(B3853,Mitarbeiter!$A$6:$A$205,0)),0))</f>
        <v/>
      </c>
      <c r="H3853" s="8">
        <f>IF(B3853="","",IF(ISNA(MATCH(B3853,Mitarbeiter!$A$6:$A$205,0)),"Pers.-Nr. unbekannt",IF(A3853="","Datum fehlt",IF(AND(D3853&lt;&gt;Einstellungen!$C$4,D3853&lt;&gt;Einstellungen!$C$5),"Objekt fehlt",IF(YEAR(A3853)&lt;&gt;Einstellungen!$C$3,"anderes Jahr",IF(A3853&lt;INDEX(Mitarbeiter!$C$6:$C$205,MATCH(B3853,Mitarbeiter!$A$6:$A$205,0)),"vor Eintritt",IF(AND(INDEX(Mitarbeiter!$D$6:$D$205,MATCH(B3853,Mitarbeiter!$A$6:$A$205,0))&lt;&gt;"",A3853&gt;INDEX(Mitarbeiter!$D$6:$D$205,MATCH(B3853,Mitarbeiter!$A$6:$A$205,0))),"nach Austritt","ok")))))))</f>
        <v/>
      </c>
    </row>
    <row r="3854">
      <c r="A3854" s="26" t="n"/>
      <c r="B3854" s="24" t="n"/>
      <c r="C3854" s="40">
        <f>IF(B3854="","",IFERROR(INDEX(Mitarbeiter!$B$6:$B$205,MATCH(B3854,Mitarbeiter!$A$6:$A$205,0)),"?"))</f>
        <v/>
      </c>
      <c r="D3854" s="41" t="n"/>
      <c r="E3854" s="42" t="n"/>
      <c r="F3854" s="43" t="n"/>
      <c r="G3854" s="44">
        <f>IF(OR(B3854="",F3854=""),"",IFERROR(F3854*INDEX(Mitarbeiter!$F$6:$F$205,MATCH(B3854,Mitarbeiter!$A$6:$A$205,0)),0))</f>
        <v/>
      </c>
      <c r="H3854" s="8">
        <f>IF(B3854="","",IF(ISNA(MATCH(B3854,Mitarbeiter!$A$6:$A$205,0)),"Pers.-Nr. unbekannt",IF(A3854="","Datum fehlt",IF(AND(D3854&lt;&gt;Einstellungen!$C$4,D3854&lt;&gt;Einstellungen!$C$5),"Objekt fehlt",IF(YEAR(A3854)&lt;&gt;Einstellungen!$C$3,"anderes Jahr",IF(A3854&lt;INDEX(Mitarbeiter!$C$6:$C$205,MATCH(B3854,Mitarbeiter!$A$6:$A$205,0)),"vor Eintritt",IF(AND(INDEX(Mitarbeiter!$D$6:$D$205,MATCH(B3854,Mitarbeiter!$A$6:$A$205,0))&lt;&gt;"",A3854&gt;INDEX(Mitarbeiter!$D$6:$D$205,MATCH(B3854,Mitarbeiter!$A$6:$A$205,0))),"nach Austritt","ok")))))))</f>
        <v/>
      </c>
    </row>
    <row r="3855">
      <c r="A3855" s="26" t="n"/>
      <c r="B3855" s="24" t="n"/>
      <c r="C3855" s="40">
        <f>IF(B3855="","",IFERROR(INDEX(Mitarbeiter!$B$6:$B$205,MATCH(B3855,Mitarbeiter!$A$6:$A$205,0)),"?"))</f>
        <v/>
      </c>
      <c r="D3855" s="41" t="n"/>
      <c r="E3855" s="42" t="n"/>
      <c r="F3855" s="43" t="n"/>
      <c r="G3855" s="44">
        <f>IF(OR(B3855="",F3855=""),"",IFERROR(F3855*INDEX(Mitarbeiter!$F$6:$F$205,MATCH(B3855,Mitarbeiter!$A$6:$A$205,0)),0))</f>
        <v/>
      </c>
      <c r="H3855" s="8">
        <f>IF(B3855="","",IF(ISNA(MATCH(B3855,Mitarbeiter!$A$6:$A$205,0)),"Pers.-Nr. unbekannt",IF(A3855="","Datum fehlt",IF(AND(D3855&lt;&gt;Einstellungen!$C$4,D3855&lt;&gt;Einstellungen!$C$5),"Objekt fehlt",IF(YEAR(A3855)&lt;&gt;Einstellungen!$C$3,"anderes Jahr",IF(A3855&lt;INDEX(Mitarbeiter!$C$6:$C$205,MATCH(B3855,Mitarbeiter!$A$6:$A$205,0)),"vor Eintritt",IF(AND(INDEX(Mitarbeiter!$D$6:$D$205,MATCH(B3855,Mitarbeiter!$A$6:$A$205,0))&lt;&gt;"",A3855&gt;INDEX(Mitarbeiter!$D$6:$D$205,MATCH(B3855,Mitarbeiter!$A$6:$A$205,0))),"nach Austritt","ok")))))))</f>
        <v/>
      </c>
    </row>
    <row r="3856">
      <c r="A3856" s="26" t="n"/>
      <c r="B3856" s="24" t="n"/>
      <c r="C3856" s="40">
        <f>IF(B3856="","",IFERROR(INDEX(Mitarbeiter!$B$6:$B$205,MATCH(B3856,Mitarbeiter!$A$6:$A$205,0)),"?"))</f>
        <v/>
      </c>
      <c r="D3856" s="41" t="n"/>
      <c r="E3856" s="42" t="n"/>
      <c r="F3856" s="43" t="n"/>
      <c r="G3856" s="44">
        <f>IF(OR(B3856="",F3856=""),"",IFERROR(F3856*INDEX(Mitarbeiter!$F$6:$F$205,MATCH(B3856,Mitarbeiter!$A$6:$A$205,0)),0))</f>
        <v/>
      </c>
      <c r="H3856" s="8">
        <f>IF(B3856="","",IF(ISNA(MATCH(B3856,Mitarbeiter!$A$6:$A$205,0)),"Pers.-Nr. unbekannt",IF(A3856="","Datum fehlt",IF(AND(D3856&lt;&gt;Einstellungen!$C$4,D3856&lt;&gt;Einstellungen!$C$5),"Objekt fehlt",IF(YEAR(A3856)&lt;&gt;Einstellungen!$C$3,"anderes Jahr",IF(A3856&lt;INDEX(Mitarbeiter!$C$6:$C$205,MATCH(B3856,Mitarbeiter!$A$6:$A$205,0)),"vor Eintritt",IF(AND(INDEX(Mitarbeiter!$D$6:$D$205,MATCH(B3856,Mitarbeiter!$A$6:$A$205,0))&lt;&gt;"",A3856&gt;INDEX(Mitarbeiter!$D$6:$D$205,MATCH(B3856,Mitarbeiter!$A$6:$A$205,0))),"nach Austritt","ok")))))))</f>
        <v/>
      </c>
    </row>
    <row r="3857">
      <c r="A3857" s="26" t="n"/>
      <c r="B3857" s="24" t="n"/>
      <c r="C3857" s="40">
        <f>IF(B3857="","",IFERROR(INDEX(Mitarbeiter!$B$6:$B$205,MATCH(B3857,Mitarbeiter!$A$6:$A$205,0)),"?"))</f>
        <v/>
      </c>
      <c r="D3857" s="41" t="n"/>
      <c r="E3857" s="42" t="n"/>
      <c r="F3857" s="43" t="n"/>
      <c r="G3857" s="44">
        <f>IF(OR(B3857="",F3857=""),"",IFERROR(F3857*INDEX(Mitarbeiter!$F$6:$F$205,MATCH(B3857,Mitarbeiter!$A$6:$A$205,0)),0))</f>
        <v/>
      </c>
      <c r="H3857" s="8">
        <f>IF(B3857="","",IF(ISNA(MATCH(B3857,Mitarbeiter!$A$6:$A$205,0)),"Pers.-Nr. unbekannt",IF(A3857="","Datum fehlt",IF(AND(D3857&lt;&gt;Einstellungen!$C$4,D3857&lt;&gt;Einstellungen!$C$5),"Objekt fehlt",IF(YEAR(A3857)&lt;&gt;Einstellungen!$C$3,"anderes Jahr",IF(A3857&lt;INDEX(Mitarbeiter!$C$6:$C$205,MATCH(B3857,Mitarbeiter!$A$6:$A$205,0)),"vor Eintritt",IF(AND(INDEX(Mitarbeiter!$D$6:$D$205,MATCH(B3857,Mitarbeiter!$A$6:$A$205,0))&lt;&gt;"",A3857&gt;INDEX(Mitarbeiter!$D$6:$D$205,MATCH(B3857,Mitarbeiter!$A$6:$A$205,0))),"nach Austritt","ok")))))))</f>
        <v/>
      </c>
    </row>
    <row r="3858">
      <c r="A3858" s="26" t="n"/>
      <c r="B3858" s="24" t="n"/>
      <c r="C3858" s="40">
        <f>IF(B3858="","",IFERROR(INDEX(Mitarbeiter!$B$6:$B$205,MATCH(B3858,Mitarbeiter!$A$6:$A$205,0)),"?"))</f>
        <v/>
      </c>
      <c r="D3858" s="41" t="n"/>
      <c r="E3858" s="42" t="n"/>
      <c r="F3858" s="43" t="n"/>
      <c r="G3858" s="44">
        <f>IF(OR(B3858="",F3858=""),"",IFERROR(F3858*INDEX(Mitarbeiter!$F$6:$F$205,MATCH(B3858,Mitarbeiter!$A$6:$A$205,0)),0))</f>
        <v/>
      </c>
      <c r="H3858" s="8">
        <f>IF(B3858="","",IF(ISNA(MATCH(B3858,Mitarbeiter!$A$6:$A$205,0)),"Pers.-Nr. unbekannt",IF(A3858="","Datum fehlt",IF(AND(D3858&lt;&gt;Einstellungen!$C$4,D3858&lt;&gt;Einstellungen!$C$5),"Objekt fehlt",IF(YEAR(A3858)&lt;&gt;Einstellungen!$C$3,"anderes Jahr",IF(A3858&lt;INDEX(Mitarbeiter!$C$6:$C$205,MATCH(B3858,Mitarbeiter!$A$6:$A$205,0)),"vor Eintritt",IF(AND(INDEX(Mitarbeiter!$D$6:$D$205,MATCH(B3858,Mitarbeiter!$A$6:$A$205,0))&lt;&gt;"",A3858&gt;INDEX(Mitarbeiter!$D$6:$D$205,MATCH(B3858,Mitarbeiter!$A$6:$A$205,0))),"nach Austritt","ok")))))))</f>
        <v/>
      </c>
    </row>
    <row r="3859">
      <c r="A3859" s="26" t="n"/>
      <c r="B3859" s="24" t="n"/>
      <c r="C3859" s="40">
        <f>IF(B3859="","",IFERROR(INDEX(Mitarbeiter!$B$6:$B$205,MATCH(B3859,Mitarbeiter!$A$6:$A$205,0)),"?"))</f>
        <v/>
      </c>
      <c r="D3859" s="41" t="n"/>
      <c r="E3859" s="42" t="n"/>
      <c r="F3859" s="43" t="n"/>
      <c r="G3859" s="44">
        <f>IF(OR(B3859="",F3859=""),"",IFERROR(F3859*INDEX(Mitarbeiter!$F$6:$F$205,MATCH(B3859,Mitarbeiter!$A$6:$A$205,0)),0))</f>
        <v/>
      </c>
      <c r="H3859" s="8">
        <f>IF(B3859="","",IF(ISNA(MATCH(B3859,Mitarbeiter!$A$6:$A$205,0)),"Pers.-Nr. unbekannt",IF(A3859="","Datum fehlt",IF(AND(D3859&lt;&gt;Einstellungen!$C$4,D3859&lt;&gt;Einstellungen!$C$5),"Objekt fehlt",IF(YEAR(A3859)&lt;&gt;Einstellungen!$C$3,"anderes Jahr",IF(A3859&lt;INDEX(Mitarbeiter!$C$6:$C$205,MATCH(B3859,Mitarbeiter!$A$6:$A$205,0)),"vor Eintritt",IF(AND(INDEX(Mitarbeiter!$D$6:$D$205,MATCH(B3859,Mitarbeiter!$A$6:$A$205,0))&lt;&gt;"",A3859&gt;INDEX(Mitarbeiter!$D$6:$D$205,MATCH(B3859,Mitarbeiter!$A$6:$A$205,0))),"nach Austritt","ok")))))))</f>
        <v/>
      </c>
    </row>
    <row r="3860">
      <c r="A3860" s="26" t="n"/>
      <c r="B3860" s="24" t="n"/>
      <c r="C3860" s="40">
        <f>IF(B3860="","",IFERROR(INDEX(Mitarbeiter!$B$6:$B$205,MATCH(B3860,Mitarbeiter!$A$6:$A$205,0)),"?"))</f>
        <v/>
      </c>
      <c r="D3860" s="41" t="n"/>
      <c r="E3860" s="42" t="n"/>
      <c r="F3860" s="43" t="n"/>
      <c r="G3860" s="44">
        <f>IF(OR(B3860="",F3860=""),"",IFERROR(F3860*INDEX(Mitarbeiter!$F$6:$F$205,MATCH(B3860,Mitarbeiter!$A$6:$A$205,0)),0))</f>
        <v/>
      </c>
      <c r="H3860" s="8">
        <f>IF(B3860="","",IF(ISNA(MATCH(B3860,Mitarbeiter!$A$6:$A$205,0)),"Pers.-Nr. unbekannt",IF(A3860="","Datum fehlt",IF(AND(D3860&lt;&gt;Einstellungen!$C$4,D3860&lt;&gt;Einstellungen!$C$5),"Objekt fehlt",IF(YEAR(A3860)&lt;&gt;Einstellungen!$C$3,"anderes Jahr",IF(A3860&lt;INDEX(Mitarbeiter!$C$6:$C$205,MATCH(B3860,Mitarbeiter!$A$6:$A$205,0)),"vor Eintritt",IF(AND(INDEX(Mitarbeiter!$D$6:$D$205,MATCH(B3860,Mitarbeiter!$A$6:$A$205,0))&lt;&gt;"",A3860&gt;INDEX(Mitarbeiter!$D$6:$D$205,MATCH(B3860,Mitarbeiter!$A$6:$A$205,0))),"nach Austritt","ok")))))))</f>
        <v/>
      </c>
    </row>
    <row r="3861">
      <c r="A3861" s="26" t="n"/>
      <c r="B3861" s="24" t="n"/>
      <c r="C3861" s="40">
        <f>IF(B3861="","",IFERROR(INDEX(Mitarbeiter!$B$6:$B$205,MATCH(B3861,Mitarbeiter!$A$6:$A$205,0)),"?"))</f>
        <v/>
      </c>
      <c r="D3861" s="41" t="n"/>
      <c r="E3861" s="42" t="n"/>
      <c r="F3861" s="43" t="n"/>
      <c r="G3861" s="44">
        <f>IF(OR(B3861="",F3861=""),"",IFERROR(F3861*INDEX(Mitarbeiter!$F$6:$F$205,MATCH(B3861,Mitarbeiter!$A$6:$A$205,0)),0))</f>
        <v/>
      </c>
      <c r="H3861" s="8">
        <f>IF(B3861="","",IF(ISNA(MATCH(B3861,Mitarbeiter!$A$6:$A$205,0)),"Pers.-Nr. unbekannt",IF(A3861="","Datum fehlt",IF(AND(D3861&lt;&gt;Einstellungen!$C$4,D3861&lt;&gt;Einstellungen!$C$5),"Objekt fehlt",IF(YEAR(A3861)&lt;&gt;Einstellungen!$C$3,"anderes Jahr",IF(A3861&lt;INDEX(Mitarbeiter!$C$6:$C$205,MATCH(B3861,Mitarbeiter!$A$6:$A$205,0)),"vor Eintritt",IF(AND(INDEX(Mitarbeiter!$D$6:$D$205,MATCH(B3861,Mitarbeiter!$A$6:$A$205,0))&lt;&gt;"",A3861&gt;INDEX(Mitarbeiter!$D$6:$D$205,MATCH(B3861,Mitarbeiter!$A$6:$A$205,0))),"nach Austritt","ok")))))))</f>
        <v/>
      </c>
    </row>
    <row r="3862">
      <c r="A3862" s="26" t="n"/>
      <c r="B3862" s="24" t="n"/>
      <c r="C3862" s="40">
        <f>IF(B3862="","",IFERROR(INDEX(Mitarbeiter!$B$6:$B$205,MATCH(B3862,Mitarbeiter!$A$6:$A$205,0)),"?"))</f>
        <v/>
      </c>
      <c r="D3862" s="41" t="n"/>
      <c r="E3862" s="42" t="n"/>
      <c r="F3862" s="43" t="n"/>
      <c r="G3862" s="44">
        <f>IF(OR(B3862="",F3862=""),"",IFERROR(F3862*INDEX(Mitarbeiter!$F$6:$F$205,MATCH(B3862,Mitarbeiter!$A$6:$A$205,0)),0))</f>
        <v/>
      </c>
      <c r="H3862" s="8">
        <f>IF(B3862="","",IF(ISNA(MATCH(B3862,Mitarbeiter!$A$6:$A$205,0)),"Pers.-Nr. unbekannt",IF(A3862="","Datum fehlt",IF(AND(D3862&lt;&gt;Einstellungen!$C$4,D3862&lt;&gt;Einstellungen!$C$5),"Objekt fehlt",IF(YEAR(A3862)&lt;&gt;Einstellungen!$C$3,"anderes Jahr",IF(A3862&lt;INDEX(Mitarbeiter!$C$6:$C$205,MATCH(B3862,Mitarbeiter!$A$6:$A$205,0)),"vor Eintritt",IF(AND(INDEX(Mitarbeiter!$D$6:$D$205,MATCH(B3862,Mitarbeiter!$A$6:$A$205,0))&lt;&gt;"",A3862&gt;INDEX(Mitarbeiter!$D$6:$D$205,MATCH(B3862,Mitarbeiter!$A$6:$A$205,0))),"nach Austritt","ok")))))))</f>
        <v/>
      </c>
    </row>
    <row r="3863">
      <c r="A3863" s="26" t="n"/>
      <c r="B3863" s="24" t="n"/>
      <c r="C3863" s="40">
        <f>IF(B3863="","",IFERROR(INDEX(Mitarbeiter!$B$6:$B$205,MATCH(B3863,Mitarbeiter!$A$6:$A$205,0)),"?"))</f>
        <v/>
      </c>
      <c r="D3863" s="41" t="n"/>
      <c r="E3863" s="42" t="n"/>
      <c r="F3863" s="43" t="n"/>
      <c r="G3863" s="44">
        <f>IF(OR(B3863="",F3863=""),"",IFERROR(F3863*INDEX(Mitarbeiter!$F$6:$F$205,MATCH(B3863,Mitarbeiter!$A$6:$A$205,0)),0))</f>
        <v/>
      </c>
      <c r="H3863" s="8">
        <f>IF(B3863="","",IF(ISNA(MATCH(B3863,Mitarbeiter!$A$6:$A$205,0)),"Pers.-Nr. unbekannt",IF(A3863="","Datum fehlt",IF(AND(D3863&lt;&gt;Einstellungen!$C$4,D3863&lt;&gt;Einstellungen!$C$5),"Objekt fehlt",IF(YEAR(A3863)&lt;&gt;Einstellungen!$C$3,"anderes Jahr",IF(A3863&lt;INDEX(Mitarbeiter!$C$6:$C$205,MATCH(B3863,Mitarbeiter!$A$6:$A$205,0)),"vor Eintritt",IF(AND(INDEX(Mitarbeiter!$D$6:$D$205,MATCH(B3863,Mitarbeiter!$A$6:$A$205,0))&lt;&gt;"",A3863&gt;INDEX(Mitarbeiter!$D$6:$D$205,MATCH(B3863,Mitarbeiter!$A$6:$A$205,0))),"nach Austritt","ok")))))))</f>
        <v/>
      </c>
    </row>
    <row r="3864">
      <c r="A3864" s="26" t="n"/>
      <c r="B3864" s="24" t="n"/>
      <c r="C3864" s="40">
        <f>IF(B3864="","",IFERROR(INDEX(Mitarbeiter!$B$6:$B$205,MATCH(B3864,Mitarbeiter!$A$6:$A$205,0)),"?"))</f>
        <v/>
      </c>
      <c r="D3864" s="41" t="n"/>
      <c r="E3864" s="42" t="n"/>
      <c r="F3864" s="43" t="n"/>
      <c r="G3864" s="44">
        <f>IF(OR(B3864="",F3864=""),"",IFERROR(F3864*INDEX(Mitarbeiter!$F$6:$F$205,MATCH(B3864,Mitarbeiter!$A$6:$A$205,0)),0))</f>
        <v/>
      </c>
      <c r="H3864" s="8">
        <f>IF(B3864="","",IF(ISNA(MATCH(B3864,Mitarbeiter!$A$6:$A$205,0)),"Pers.-Nr. unbekannt",IF(A3864="","Datum fehlt",IF(AND(D3864&lt;&gt;Einstellungen!$C$4,D3864&lt;&gt;Einstellungen!$C$5),"Objekt fehlt",IF(YEAR(A3864)&lt;&gt;Einstellungen!$C$3,"anderes Jahr",IF(A3864&lt;INDEX(Mitarbeiter!$C$6:$C$205,MATCH(B3864,Mitarbeiter!$A$6:$A$205,0)),"vor Eintritt",IF(AND(INDEX(Mitarbeiter!$D$6:$D$205,MATCH(B3864,Mitarbeiter!$A$6:$A$205,0))&lt;&gt;"",A3864&gt;INDEX(Mitarbeiter!$D$6:$D$205,MATCH(B3864,Mitarbeiter!$A$6:$A$205,0))),"nach Austritt","ok")))))))</f>
        <v/>
      </c>
    </row>
    <row r="3865">
      <c r="A3865" s="26" t="n"/>
      <c r="B3865" s="24" t="n"/>
      <c r="C3865" s="40">
        <f>IF(B3865="","",IFERROR(INDEX(Mitarbeiter!$B$6:$B$205,MATCH(B3865,Mitarbeiter!$A$6:$A$205,0)),"?"))</f>
        <v/>
      </c>
      <c r="D3865" s="41" t="n"/>
      <c r="E3865" s="42" t="n"/>
      <c r="F3865" s="43" t="n"/>
      <c r="G3865" s="44">
        <f>IF(OR(B3865="",F3865=""),"",IFERROR(F3865*INDEX(Mitarbeiter!$F$6:$F$205,MATCH(B3865,Mitarbeiter!$A$6:$A$205,0)),0))</f>
        <v/>
      </c>
      <c r="H3865" s="8">
        <f>IF(B3865="","",IF(ISNA(MATCH(B3865,Mitarbeiter!$A$6:$A$205,0)),"Pers.-Nr. unbekannt",IF(A3865="","Datum fehlt",IF(AND(D3865&lt;&gt;Einstellungen!$C$4,D3865&lt;&gt;Einstellungen!$C$5),"Objekt fehlt",IF(YEAR(A3865)&lt;&gt;Einstellungen!$C$3,"anderes Jahr",IF(A3865&lt;INDEX(Mitarbeiter!$C$6:$C$205,MATCH(B3865,Mitarbeiter!$A$6:$A$205,0)),"vor Eintritt",IF(AND(INDEX(Mitarbeiter!$D$6:$D$205,MATCH(B3865,Mitarbeiter!$A$6:$A$205,0))&lt;&gt;"",A3865&gt;INDEX(Mitarbeiter!$D$6:$D$205,MATCH(B3865,Mitarbeiter!$A$6:$A$205,0))),"nach Austritt","ok")))))))</f>
        <v/>
      </c>
    </row>
    <row r="3866">
      <c r="A3866" s="26" t="n"/>
      <c r="B3866" s="24" t="n"/>
      <c r="C3866" s="40">
        <f>IF(B3866="","",IFERROR(INDEX(Mitarbeiter!$B$6:$B$205,MATCH(B3866,Mitarbeiter!$A$6:$A$205,0)),"?"))</f>
        <v/>
      </c>
      <c r="D3866" s="41" t="n"/>
      <c r="E3866" s="42" t="n"/>
      <c r="F3866" s="43" t="n"/>
      <c r="G3866" s="44">
        <f>IF(OR(B3866="",F3866=""),"",IFERROR(F3866*INDEX(Mitarbeiter!$F$6:$F$205,MATCH(B3866,Mitarbeiter!$A$6:$A$205,0)),0))</f>
        <v/>
      </c>
      <c r="H3866" s="8">
        <f>IF(B3866="","",IF(ISNA(MATCH(B3866,Mitarbeiter!$A$6:$A$205,0)),"Pers.-Nr. unbekannt",IF(A3866="","Datum fehlt",IF(AND(D3866&lt;&gt;Einstellungen!$C$4,D3866&lt;&gt;Einstellungen!$C$5),"Objekt fehlt",IF(YEAR(A3866)&lt;&gt;Einstellungen!$C$3,"anderes Jahr",IF(A3866&lt;INDEX(Mitarbeiter!$C$6:$C$205,MATCH(B3866,Mitarbeiter!$A$6:$A$205,0)),"vor Eintritt",IF(AND(INDEX(Mitarbeiter!$D$6:$D$205,MATCH(B3866,Mitarbeiter!$A$6:$A$205,0))&lt;&gt;"",A3866&gt;INDEX(Mitarbeiter!$D$6:$D$205,MATCH(B3866,Mitarbeiter!$A$6:$A$205,0))),"nach Austritt","ok")))))))</f>
        <v/>
      </c>
    </row>
    <row r="3867">
      <c r="A3867" s="26" t="n"/>
      <c r="B3867" s="24" t="n"/>
      <c r="C3867" s="40">
        <f>IF(B3867="","",IFERROR(INDEX(Mitarbeiter!$B$6:$B$205,MATCH(B3867,Mitarbeiter!$A$6:$A$205,0)),"?"))</f>
        <v/>
      </c>
      <c r="D3867" s="41" t="n"/>
      <c r="E3867" s="42" t="n"/>
      <c r="F3867" s="43" t="n"/>
      <c r="G3867" s="44">
        <f>IF(OR(B3867="",F3867=""),"",IFERROR(F3867*INDEX(Mitarbeiter!$F$6:$F$205,MATCH(B3867,Mitarbeiter!$A$6:$A$205,0)),0))</f>
        <v/>
      </c>
      <c r="H3867" s="8">
        <f>IF(B3867="","",IF(ISNA(MATCH(B3867,Mitarbeiter!$A$6:$A$205,0)),"Pers.-Nr. unbekannt",IF(A3867="","Datum fehlt",IF(AND(D3867&lt;&gt;Einstellungen!$C$4,D3867&lt;&gt;Einstellungen!$C$5),"Objekt fehlt",IF(YEAR(A3867)&lt;&gt;Einstellungen!$C$3,"anderes Jahr",IF(A3867&lt;INDEX(Mitarbeiter!$C$6:$C$205,MATCH(B3867,Mitarbeiter!$A$6:$A$205,0)),"vor Eintritt",IF(AND(INDEX(Mitarbeiter!$D$6:$D$205,MATCH(B3867,Mitarbeiter!$A$6:$A$205,0))&lt;&gt;"",A3867&gt;INDEX(Mitarbeiter!$D$6:$D$205,MATCH(B3867,Mitarbeiter!$A$6:$A$205,0))),"nach Austritt","ok")))))))</f>
        <v/>
      </c>
    </row>
    <row r="3868">
      <c r="A3868" s="26" t="n"/>
      <c r="B3868" s="24" t="n"/>
      <c r="C3868" s="40">
        <f>IF(B3868="","",IFERROR(INDEX(Mitarbeiter!$B$6:$B$205,MATCH(B3868,Mitarbeiter!$A$6:$A$205,0)),"?"))</f>
        <v/>
      </c>
      <c r="D3868" s="41" t="n"/>
      <c r="E3868" s="42" t="n"/>
      <c r="F3868" s="43" t="n"/>
      <c r="G3868" s="44">
        <f>IF(OR(B3868="",F3868=""),"",IFERROR(F3868*INDEX(Mitarbeiter!$F$6:$F$205,MATCH(B3868,Mitarbeiter!$A$6:$A$205,0)),0))</f>
        <v/>
      </c>
      <c r="H3868" s="8">
        <f>IF(B3868="","",IF(ISNA(MATCH(B3868,Mitarbeiter!$A$6:$A$205,0)),"Pers.-Nr. unbekannt",IF(A3868="","Datum fehlt",IF(AND(D3868&lt;&gt;Einstellungen!$C$4,D3868&lt;&gt;Einstellungen!$C$5),"Objekt fehlt",IF(YEAR(A3868)&lt;&gt;Einstellungen!$C$3,"anderes Jahr",IF(A3868&lt;INDEX(Mitarbeiter!$C$6:$C$205,MATCH(B3868,Mitarbeiter!$A$6:$A$205,0)),"vor Eintritt",IF(AND(INDEX(Mitarbeiter!$D$6:$D$205,MATCH(B3868,Mitarbeiter!$A$6:$A$205,0))&lt;&gt;"",A3868&gt;INDEX(Mitarbeiter!$D$6:$D$205,MATCH(B3868,Mitarbeiter!$A$6:$A$205,0))),"nach Austritt","ok")))))))</f>
        <v/>
      </c>
    </row>
    <row r="3869">
      <c r="A3869" s="26" t="n"/>
      <c r="B3869" s="24" t="n"/>
      <c r="C3869" s="40">
        <f>IF(B3869="","",IFERROR(INDEX(Mitarbeiter!$B$6:$B$205,MATCH(B3869,Mitarbeiter!$A$6:$A$205,0)),"?"))</f>
        <v/>
      </c>
      <c r="D3869" s="41" t="n"/>
      <c r="E3869" s="42" t="n"/>
      <c r="F3869" s="43" t="n"/>
      <c r="G3869" s="44">
        <f>IF(OR(B3869="",F3869=""),"",IFERROR(F3869*INDEX(Mitarbeiter!$F$6:$F$205,MATCH(B3869,Mitarbeiter!$A$6:$A$205,0)),0))</f>
        <v/>
      </c>
      <c r="H3869" s="8">
        <f>IF(B3869="","",IF(ISNA(MATCH(B3869,Mitarbeiter!$A$6:$A$205,0)),"Pers.-Nr. unbekannt",IF(A3869="","Datum fehlt",IF(AND(D3869&lt;&gt;Einstellungen!$C$4,D3869&lt;&gt;Einstellungen!$C$5),"Objekt fehlt",IF(YEAR(A3869)&lt;&gt;Einstellungen!$C$3,"anderes Jahr",IF(A3869&lt;INDEX(Mitarbeiter!$C$6:$C$205,MATCH(B3869,Mitarbeiter!$A$6:$A$205,0)),"vor Eintritt",IF(AND(INDEX(Mitarbeiter!$D$6:$D$205,MATCH(B3869,Mitarbeiter!$A$6:$A$205,0))&lt;&gt;"",A3869&gt;INDEX(Mitarbeiter!$D$6:$D$205,MATCH(B3869,Mitarbeiter!$A$6:$A$205,0))),"nach Austritt","ok")))))))</f>
        <v/>
      </c>
    </row>
    <row r="3870">
      <c r="A3870" s="26" t="n"/>
      <c r="B3870" s="24" t="n"/>
      <c r="C3870" s="40">
        <f>IF(B3870="","",IFERROR(INDEX(Mitarbeiter!$B$6:$B$205,MATCH(B3870,Mitarbeiter!$A$6:$A$205,0)),"?"))</f>
        <v/>
      </c>
      <c r="D3870" s="41" t="n"/>
      <c r="E3870" s="42" t="n"/>
      <c r="F3870" s="43" t="n"/>
      <c r="G3870" s="44">
        <f>IF(OR(B3870="",F3870=""),"",IFERROR(F3870*INDEX(Mitarbeiter!$F$6:$F$205,MATCH(B3870,Mitarbeiter!$A$6:$A$205,0)),0))</f>
        <v/>
      </c>
      <c r="H3870" s="8">
        <f>IF(B3870="","",IF(ISNA(MATCH(B3870,Mitarbeiter!$A$6:$A$205,0)),"Pers.-Nr. unbekannt",IF(A3870="","Datum fehlt",IF(AND(D3870&lt;&gt;Einstellungen!$C$4,D3870&lt;&gt;Einstellungen!$C$5),"Objekt fehlt",IF(YEAR(A3870)&lt;&gt;Einstellungen!$C$3,"anderes Jahr",IF(A3870&lt;INDEX(Mitarbeiter!$C$6:$C$205,MATCH(B3870,Mitarbeiter!$A$6:$A$205,0)),"vor Eintritt",IF(AND(INDEX(Mitarbeiter!$D$6:$D$205,MATCH(B3870,Mitarbeiter!$A$6:$A$205,0))&lt;&gt;"",A3870&gt;INDEX(Mitarbeiter!$D$6:$D$205,MATCH(B3870,Mitarbeiter!$A$6:$A$205,0))),"nach Austritt","ok")))))))</f>
        <v/>
      </c>
    </row>
    <row r="3871">
      <c r="A3871" s="26" t="n"/>
      <c r="B3871" s="24" t="n"/>
      <c r="C3871" s="40">
        <f>IF(B3871="","",IFERROR(INDEX(Mitarbeiter!$B$6:$B$205,MATCH(B3871,Mitarbeiter!$A$6:$A$205,0)),"?"))</f>
        <v/>
      </c>
      <c r="D3871" s="41" t="n"/>
      <c r="E3871" s="42" t="n"/>
      <c r="F3871" s="43" t="n"/>
      <c r="G3871" s="44">
        <f>IF(OR(B3871="",F3871=""),"",IFERROR(F3871*INDEX(Mitarbeiter!$F$6:$F$205,MATCH(B3871,Mitarbeiter!$A$6:$A$205,0)),0))</f>
        <v/>
      </c>
      <c r="H3871" s="8">
        <f>IF(B3871="","",IF(ISNA(MATCH(B3871,Mitarbeiter!$A$6:$A$205,0)),"Pers.-Nr. unbekannt",IF(A3871="","Datum fehlt",IF(AND(D3871&lt;&gt;Einstellungen!$C$4,D3871&lt;&gt;Einstellungen!$C$5),"Objekt fehlt",IF(YEAR(A3871)&lt;&gt;Einstellungen!$C$3,"anderes Jahr",IF(A3871&lt;INDEX(Mitarbeiter!$C$6:$C$205,MATCH(B3871,Mitarbeiter!$A$6:$A$205,0)),"vor Eintritt",IF(AND(INDEX(Mitarbeiter!$D$6:$D$205,MATCH(B3871,Mitarbeiter!$A$6:$A$205,0))&lt;&gt;"",A3871&gt;INDEX(Mitarbeiter!$D$6:$D$205,MATCH(B3871,Mitarbeiter!$A$6:$A$205,0))),"nach Austritt","ok")))))))</f>
        <v/>
      </c>
    </row>
    <row r="3872">
      <c r="A3872" s="26" t="n"/>
      <c r="B3872" s="24" t="n"/>
      <c r="C3872" s="40">
        <f>IF(B3872="","",IFERROR(INDEX(Mitarbeiter!$B$6:$B$205,MATCH(B3872,Mitarbeiter!$A$6:$A$205,0)),"?"))</f>
        <v/>
      </c>
      <c r="D3872" s="41" t="n"/>
      <c r="E3872" s="42" t="n"/>
      <c r="F3872" s="43" t="n"/>
      <c r="G3872" s="44">
        <f>IF(OR(B3872="",F3872=""),"",IFERROR(F3872*INDEX(Mitarbeiter!$F$6:$F$205,MATCH(B3872,Mitarbeiter!$A$6:$A$205,0)),0))</f>
        <v/>
      </c>
      <c r="H3872" s="8">
        <f>IF(B3872="","",IF(ISNA(MATCH(B3872,Mitarbeiter!$A$6:$A$205,0)),"Pers.-Nr. unbekannt",IF(A3872="","Datum fehlt",IF(AND(D3872&lt;&gt;Einstellungen!$C$4,D3872&lt;&gt;Einstellungen!$C$5),"Objekt fehlt",IF(YEAR(A3872)&lt;&gt;Einstellungen!$C$3,"anderes Jahr",IF(A3872&lt;INDEX(Mitarbeiter!$C$6:$C$205,MATCH(B3872,Mitarbeiter!$A$6:$A$205,0)),"vor Eintritt",IF(AND(INDEX(Mitarbeiter!$D$6:$D$205,MATCH(B3872,Mitarbeiter!$A$6:$A$205,0))&lt;&gt;"",A3872&gt;INDEX(Mitarbeiter!$D$6:$D$205,MATCH(B3872,Mitarbeiter!$A$6:$A$205,0))),"nach Austritt","ok")))))))</f>
        <v/>
      </c>
    </row>
    <row r="3873">
      <c r="A3873" s="26" t="n"/>
      <c r="B3873" s="24" t="n"/>
      <c r="C3873" s="40">
        <f>IF(B3873="","",IFERROR(INDEX(Mitarbeiter!$B$6:$B$205,MATCH(B3873,Mitarbeiter!$A$6:$A$205,0)),"?"))</f>
        <v/>
      </c>
      <c r="D3873" s="41" t="n"/>
      <c r="E3873" s="42" t="n"/>
      <c r="F3873" s="43" t="n"/>
      <c r="G3873" s="44">
        <f>IF(OR(B3873="",F3873=""),"",IFERROR(F3873*INDEX(Mitarbeiter!$F$6:$F$205,MATCH(B3873,Mitarbeiter!$A$6:$A$205,0)),0))</f>
        <v/>
      </c>
      <c r="H3873" s="8">
        <f>IF(B3873="","",IF(ISNA(MATCH(B3873,Mitarbeiter!$A$6:$A$205,0)),"Pers.-Nr. unbekannt",IF(A3873="","Datum fehlt",IF(AND(D3873&lt;&gt;Einstellungen!$C$4,D3873&lt;&gt;Einstellungen!$C$5),"Objekt fehlt",IF(YEAR(A3873)&lt;&gt;Einstellungen!$C$3,"anderes Jahr",IF(A3873&lt;INDEX(Mitarbeiter!$C$6:$C$205,MATCH(B3873,Mitarbeiter!$A$6:$A$205,0)),"vor Eintritt",IF(AND(INDEX(Mitarbeiter!$D$6:$D$205,MATCH(B3873,Mitarbeiter!$A$6:$A$205,0))&lt;&gt;"",A3873&gt;INDEX(Mitarbeiter!$D$6:$D$205,MATCH(B3873,Mitarbeiter!$A$6:$A$205,0))),"nach Austritt","ok")))))))</f>
        <v/>
      </c>
    </row>
    <row r="3874">
      <c r="A3874" s="26" t="n"/>
      <c r="B3874" s="24" t="n"/>
      <c r="C3874" s="40">
        <f>IF(B3874="","",IFERROR(INDEX(Mitarbeiter!$B$6:$B$205,MATCH(B3874,Mitarbeiter!$A$6:$A$205,0)),"?"))</f>
        <v/>
      </c>
      <c r="D3874" s="41" t="n"/>
      <c r="E3874" s="42" t="n"/>
      <c r="F3874" s="43" t="n"/>
      <c r="G3874" s="44">
        <f>IF(OR(B3874="",F3874=""),"",IFERROR(F3874*INDEX(Mitarbeiter!$F$6:$F$205,MATCH(B3874,Mitarbeiter!$A$6:$A$205,0)),0))</f>
        <v/>
      </c>
      <c r="H3874" s="8">
        <f>IF(B3874="","",IF(ISNA(MATCH(B3874,Mitarbeiter!$A$6:$A$205,0)),"Pers.-Nr. unbekannt",IF(A3874="","Datum fehlt",IF(AND(D3874&lt;&gt;Einstellungen!$C$4,D3874&lt;&gt;Einstellungen!$C$5),"Objekt fehlt",IF(YEAR(A3874)&lt;&gt;Einstellungen!$C$3,"anderes Jahr",IF(A3874&lt;INDEX(Mitarbeiter!$C$6:$C$205,MATCH(B3874,Mitarbeiter!$A$6:$A$205,0)),"vor Eintritt",IF(AND(INDEX(Mitarbeiter!$D$6:$D$205,MATCH(B3874,Mitarbeiter!$A$6:$A$205,0))&lt;&gt;"",A3874&gt;INDEX(Mitarbeiter!$D$6:$D$205,MATCH(B3874,Mitarbeiter!$A$6:$A$205,0))),"nach Austritt","ok")))))))</f>
        <v/>
      </c>
    </row>
    <row r="3875">
      <c r="A3875" s="26" t="n"/>
      <c r="B3875" s="24" t="n"/>
      <c r="C3875" s="40">
        <f>IF(B3875="","",IFERROR(INDEX(Mitarbeiter!$B$6:$B$205,MATCH(B3875,Mitarbeiter!$A$6:$A$205,0)),"?"))</f>
        <v/>
      </c>
      <c r="D3875" s="41" t="n"/>
      <c r="E3875" s="42" t="n"/>
      <c r="F3875" s="43" t="n"/>
      <c r="G3875" s="44">
        <f>IF(OR(B3875="",F3875=""),"",IFERROR(F3875*INDEX(Mitarbeiter!$F$6:$F$205,MATCH(B3875,Mitarbeiter!$A$6:$A$205,0)),0))</f>
        <v/>
      </c>
      <c r="H3875" s="8">
        <f>IF(B3875="","",IF(ISNA(MATCH(B3875,Mitarbeiter!$A$6:$A$205,0)),"Pers.-Nr. unbekannt",IF(A3875="","Datum fehlt",IF(AND(D3875&lt;&gt;Einstellungen!$C$4,D3875&lt;&gt;Einstellungen!$C$5),"Objekt fehlt",IF(YEAR(A3875)&lt;&gt;Einstellungen!$C$3,"anderes Jahr",IF(A3875&lt;INDEX(Mitarbeiter!$C$6:$C$205,MATCH(B3875,Mitarbeiter!$A$6:$A$205,0)),"vor Eintritt",IF(AND(INDEX(Mitarbeiter!$D$6:$D$205,MATCH(B3875,Mitarbeiter!$A$6:$A$205,0))&lt;&gt;"",A3875&gt;INDEX(Mitarbeiter!$D$6:$D$205,MATCH(B3875,Mitarbeiter!$A$6:$A$205,0))),"nach Austritt","ok")))))))</f>
        <v/>
      </c>
    </row>
    <row r="3876">
      <c r="A3876" s="26" t="n"/>
      <c r="B3876" s="24" t="n"/>
      <c r="C3876" s="40">
        <f>IF(B3876="","",IFERROR(INDEX(Mitarbeiter!$B$6:$B$205,MATCH(B3876,Mitarbeiter!$A$6:$A$205,0)),"?"))</f>
        <v/>
      </c>
      <c r="D3876" s="41" t="n"/>
      <c r="E3876" s="42" t="n"/>
      <c r="F3876" s="43" t="n"/>
      <c r="G3876" s="44">
        <f>IF(OR(B3876="",F3876=""),"",IFERROR(F3876*INDEX(Mitarbeiter!$F$6:$F$205,MATCH(B3876,Mitarbeiter!$A$6:$A$205,0)),0))</f>
        <v/>
      </c>
      <c r="H3876" s="8">
        <f>IF(B3876="","",IF(ISNA(MATCH(B3876,Mitarbeiter!$A$6:$A$205,0)),"Pers.-Nr. unbekannt",IF(A3876="","Datum fehlt",IF(AND(D3876&lt;&gt;Einstellungen!$C$4,D3876&lt;&gt;Einstellungen!$C$5),"Objekt fehlt",IF(YEAR(A3876)&lt;&gt;Einstellungen!$C$3,"anderes Jahr",IF(A3876&lt;INDEX(Mitarbeiter!$C$6:$C$205,MATCH(B3876,Mitarbeiter!$A$6:$A$205,0)),"vor Eintritt",IF(AND(INDEX(Mitarbeiter!$D$6:$D$205,MATCH(B3876,Mitarbeiter!$A$6:$A$205,0))&lt;&gt;"",A3876&gt;INDEX(Mitarbeiter!$D$6:$D$205,MATCH(B3876,Mitarbeiter!$A$6:$A$205,0))),"nach Austritt","ok")))))))</f>
        <v/>
      </c>
    </row>
    <row r="3877">
      <c r="A3877" s="26" t="n"/>
      <c r="B3877" s="24" t="n"/>
      <c r="C3877" s="40">
        <f>IF(B3877="","",IFERROR(INDEX(Mitarbeiter!$B$6:$B$205,MATCH(B3877,Mitarbeiter!$A$6:$A$205,0)),"?"))</f>
        <v/>
      </c>
      <c r="D3877" s="41" t="n"/>
      <c r="E3877" s="42" t="n"/>
      <c r="F3877" s="43" t="n"/>
      <c r="G3877" s="44">
        <f>IF(OR(B3877="",F3877=""),"",IFERROR(F3877*INDEX(Mitarbeiter!$F$6:$F$205,MATCH(B3877,Mitarbeiter!$A$6:$A$205,0)),0))</f>
        <v/>
      </c>
      <c r="H3877" s="8">
        <f>IF(B3877="","",IF(ISNA(MATCH(B3877,Mitarbeiter!$A$6:$A$205,0)),"Pers.-Nr. unbekannt",IF(A3877="","Datum fehlt",IF(AND(D3877&lt;&gt;Einstellungen!$C$4,D3877&lt;&gt;Einstellungen!$C$5),"Objekt fehlt",IF(YEAR(A3877)&lt;&gt;Einstellungen!$C$3,"anderes Jahr",IF(A3877&lt;INDEX(Mitarbeiter!$C$6:$C$205,MATCH(B3877,Mitarbeiter!$A$6:$A$205,0)),"vor Eintritt",IF(AND(INDEX(Mitarbeiter!$D$6:$D$205,MATCH(B3877,Mitarbeiter!$A$6:$A$205,0))&lt;&gt;"",A3877&gt;INDEX(Mitarbeiter!$D$6:$D$205,MATCH(B3877,Mitarbeiter!$A$6:$A$205,0))),"nach Austritt","ok")))))))</f>
        <v/>
      </c>
    </row>
    <row r="3878">
      <c r="A3878" s="26" t="n"/>
      <c r="B3878" s="24" t="n"/>
      <c r="C3878" s="40">
        <f>IF(B3878="","",IFERROR(INDEX(Mitarbeiter!$B$6:$B$205,MATCH(B3878,Mitarbeiter!$A$6:$A$205,0)),"?"))</f>
        <v/>
      </c>
      <c r="D3878" s="41" t="n"/>
      <c r="E3878" s="42" t="n"/>
      <c r="F3878" s="43" t="n"/>
      <c r="G3878" s="44">
        <f>IF(OR(B3878="",F3878=""),"",IFERROR(F3878*INDEX(Mitarbeiter!$F$6:$F$205,MATCH(B3878,Mitarbeiter!$A$6:$A$205,0)),0))</f>
        <v/>
      </c>
      <c r="H3878" s="8">
        <f>IF(B3878="","",IF(ISNA(MATCH(B3878,Mitarbeiter!$A$6:$A$205,0)),"Pers.-Nr. unbekannt",IF(A3878="","Datum fehlt",IF(AND(D3878&lt;&gt;Einstellungen!$C$4,D3878&lt;&gt;Einstellungen!$C$5),"Objekt fehlt",IF(YEAR(A3878)&lt;&gt;Einstellungen!$C$3,"anderes Jahr",IF(A3878&lt;INDEX(Mitarbeiter!$C$6:$C$205,MATCH(B3878,Mitarbeiter!$A$6:$A$205,0)),"vor Eintritt",IF(AND(INDEX(Mitarbeiter!$D$6:$D$205,MATCH(B3878,Mitarbeiter!$A$6:$A$205,0))&lt;&gt;"",A3878&gt;INDEX(Mitarbeiter!$D$6:$D$205,MATCH(B3878,Mitarbeiter!$A$6:$A$205,0))),"nach Austritt","ok")))))))</f>
        <v/>
      </c>
    </row>
    <row r="3879">
      <c r="A3879" s="26" t="n"/>
      <c r="B3879" s="24" t="n"/>
      <c r="C3879" s="40">
        <f>IF(B3879="","",IFERROR(INDEX(Mitarbeiter!$B$6:$B$205,MATCH(B3879,Mitarbeiter!$A$6:$A$205,0)),"?"))</f>
        <v/>
      </c>
      <c r="D3879" s="41" t="n"/>
      <c r="E3879" s="42" t="n"/>
      <c r="F3879" s="43" t="n"/>
      <c r="G3879" s="44">
        <f>IF(OR(B3879="",F3879=""),"",IFERROR(F3879*INDEX(Mitarbeiter!$F$6:$F$205,MATCH(B3879,Mitarbeiter!$A$6:$A$205,0)),0))</f>
        <v/>
      </c>
      <c r="H3879" s="8">
        <f>IF(B3879="","",IF(ISNA(MATCH(B3879,Mitarbeiter!$A$6:$A$205,0)),"Pers.-Nr. unbekannt",IF(A3879="","Datum fehlt",IF(AND(D3879&lt;&gt;Einstellungen!$C$4,D3879&lt;&gt;Einstellungen!$C$5),"Objekt fehlt",IF(YEAR(A3879)&lt;&gt;Einstellungen!$C$3,"anderes Jahr",IF(A3879&lt;INDEX(Mitarbeiter!$C$6:$C$205,MATCH(B3879,Mitarbeiter!$A$6:$A$205,0)),"vor Eintritt",IF(AND(INDEX(Mitarbeiter!$D$6:$D$205,MATCH(B3879,Mitarbeiter!$A$6:$A$205,0))&lt;&gt;"",A3879&gt;INDEX(Mitarbeiter!$D$6:$D$205,MATCH(B3879,Mitarbeiter!$A$6:$A$205,0))),"nach Austritt","ok")))))))</f>
        <v/>
      </c>
    </row>
    <row r="3880">
      <c r="A3880" s="26" t="n"/>
      <c r="B3880" s="24" t="n"/>
      <c r="C3880" s="40">
        <f>IF(B3880="","",IFERROR(INDEX(Mitarbeiter!$B$6:$B$205,MATCH(B3880,Mitarbeiter!$A$6:$A$205,0)),"?"))</f>
        <v/>
      </c>
      <c r="D3880" s="41" t="n"/>
      <c r="E3880" s="42" t="n"/>
      <c r="F3880" s="43" t="n"/>
      <c r="G3880" s="44">
        <f>IF(OR(B3880="",F3880=""),"",IFERROR(F3880*INDEX(Mitarbeiter!$F$6:$F$205,MATCH(B3880,Mitarbeiter!$A$6:$A$205,0)),0))</f>
        <v/>
      </c>
      <c r="H3880" s="8">
        <f>IF(B3880="","",IF(ISNA(MATCH(B3880,Mitarbeiter!$A$6:$A$205,0)),"Pers.-Nr. unbekannt",IF(A3880="","Datum fehlt",IF(AND(D3880&lt;&gt;Einstellungen!$C$4,D3880&lt;&gt;Einstellungen!$C$5),"Objekt fehlt",IF(YEAR(A3880)&lt;&gt;Einstellungen!$C$3,"anderes Jahr",IF(A3880&lt;INDEX(Mitarbeiter!$C$6:$C$205,MATCH(B3880,Mitarbeiter!$A$6:$A$205,0)),"vor Eintritt",IF(AND(INDEX(Mitarbeiter!$D$6:$D$205,MATCH(B3880,Mitarbeiter!$A$6:$A$205,0))&lt;&gt;"",A3880&gt;INDEX(Mitarbeiter!$D$6:$D$205,MATCH(B3880,Mitarbeiter!$A$6:$A$205,0))),"nach Austritt","ok")))))))</f>
        <v/>
      </c>
    </row>
    <row r="3881">
      <c r="A3881" s="26" t="n"/>
      <c r="B3881" s="24" t="n"/>
      <c r="C3881" s="40">
        <f>IF(B3881="","",IFERROR(INDEX(Mitarbeiter!$B$6:$B$205,MATCH(B3881,Mitarbeiter!$A$6:$A$205,0)),"?"))</f>
        <v/>
      </c>
      <c r="D3881" s="41" t="n"/>
      <c r="E3881" s="42" t="n"/>
      <c r="F3881" s="43" t="n"/>
      <c r="G3881" s="44">
        <f>IF(OR(B3881="",F3881=""),"",IFERROR(F3881*INDEX(Mitarbeiter!$F$6:$F$205,MATCH(B3881,Mitarbeiter!$A$6:$A$205,0)),0))</f>
        <v/>
      </c>
      <c r="H3881" s="8">
        <f>IF(B3881="","",IF(ISNA(MATCH(B3881,Mitarbeiter!$A$6:$A$205,0)),"Pers.-Nr. unbekannt",IF(A3881="","Datum fehlt",IF(AND(D3881&lt;&gt;Einstellungen!$C$4,D3881&lt;&gt;Einstellungen!$C$5),"Objekt fehlt",IF(YEAR(A3881)&lt;&gt;Einstellungen!$C$3,"anderes Jahr",IF(A3881&lt;INDEX(Mitarbeiter!$C$6:$C$205,MATCH(B3881,Mitarbeiter!$A$6:$A$205,0)),"vor Eintritt",IF(AND(INDEX(Mitarbeiter!$D$6:$D$205,MATCH(B3881,Mitarbeiter!$A$6:$A$205,0))&lt;&gt;"",A3881&gt;INDEX(Mitarbeiter!$D$6:$D$205,MATCH(B3881,Mitarbeiter!$A$6:$A$205,0))),"nach Austritt","ok")))))))</f>
        <v/>
      </c>
    </row>
    <row r="3882">
      <c r="A3882" s="26" t="n"/>
      <c r="B3882" s="24" t="n"/>
      <c r="C3882" s="40">
        <f>IF(B3882="","",IFERROR(INDEX(Mitarbeiter!$B$6:$B$205,MATCH(B3882,Mitarbeiter!$A$6:$A$205,0)),"?"))</f>
        <v/>
      </c>
      <c r="D3882" s="41" t="n"/>
      <c r="E3882" s="42" t="n"/>
      <c r="F3882" s="43" t="n"/>
      <c r="G3882" s="44">
        <f>IF(OR(B3882="",F3882=""),"",IFERROR(F3882*INDEX(Mitarbeiter!$F$6:$F$205,MATCH(B3882,Mitarbeiter!$A$6:$A$205,0)),0))</f>
        <v/>
      </c>
      <c r="H3882" s="8">
        <f>IF(B3882="","",IF(ISNA(MATCH(B3882,Mitarbeiter!$A$6:$A$205,0)),"Pers.-Nr. unbekannt",IF(A3882="","Datum fehlt",IF(AND(D3882&lt;&gt;Einstellungen!$C$4,D3882&lt;&gt;Einstellungen!$C$5),"Objekt fehlt",IF(YEAR(A3882)&lt;&gt;Einstellungen!$C$3,"anderes Jahr",IF(A3882&lt;INDEX(Mitarbeiter!$C$6:$C$205,MATCH(B3882,Mitarbeiter!$A$6:$A$205,0)),"vor Eintritt",IF(AND(INDEX(Mitarbeiter!$D$6:$D$205,MATCH(B3882,Mitarbeiter!$A$6:$A$205,0))&lt;&gt;"",A3882&gt;INDEX(Mitarbeiter!$D$6:$D$205,MATCH(B3882,Mitarbeiter!$A$6:$A$205,0))),"nach Austritt","ok")))))))</f>
        <v/>
      </c>
    </row>
    <row r="3883">
      <c r="A3883" s="26" t="n"/>
      <c r="B3883" s="24" t="n"/>
      <c r="C3883" s="40">
        <f>IF(B3883="","",IFERROR(INDEX(Mitarbeiter!$B$6:$B$205,MATCH(B3883,Mitarbeiter!$A$6:$A$205,0)),"?"))</f>
        <v/>
      </c>
      <c r="D3883" s="41" t="n"/>
      <c r="E3883" s="42" t="n"/>
      <c r="F3883" s="43" t="n"/>
      <c r="G3883" s="44">
        <f>IF(OR(B3883="",F3883=""),"",IFERROR(F3883*INDEX(Mitarbeiter!$F$6:$F$205,MATCH(B3883,Mitarbeiter!$A$6:$A$205,0)),0))</f>
        <v/>
      </c>
      <c r="H3883" s="8">
        <f>IF(B3883="","",IF(ISNA(MATCH(B3883,Mitarbeiter!$A$6:$A$205,0)),"Pers.-Nr. unbekannt",IF(A3883="","Datum fehlt",IF(AND(D3883&lt;&gt;Einstellungen!$C$4,D3883&lt;&gt;Einstellungen!$C$5),"Objekt fehlt",IF(YEAR(A3883)&lt;&gt;Einstellungen!$C$3,"anderes Jahr",IF(A3883&lt;INDEX(Mitarbeiter!$C$6:$C$205,MATCH(B3883,Mitarbeiter!$A$6:$A$205,0)),"vor Eintritt",IF(AND(INDEX(Mitarbeiter!$D$6:$D$205,MATCH(B3883,Mitarbeiter!$A$6:$A$205,0))&lt;&gt;"",A3883&gt;INDEX(Mitarbeiter!$D$6:$D$205,MATCH(B3883,Mitarbeiter!$A$6:$A$205,0))),"nach Austritt","ok")))))))</f>
        <v/>
      </c>
    </row>
    <row r="3884">
      <c r="A3884" s="26" t="n"/>
      <c r="B3884" s="24" t="n"/>
      <c r="C3884" s="40">
        <f>IF(B3884="","",IFERROR(INDEX(Mitarbeiter!$B$6:$B$205,MATCH(B3884,Mitarbeiter!$A$6:$A$205,0)),"?"))</f>
        <v/>
      </c>
      <c r="D3884" s="41" t="n"/>
      <c r="E3884" s="42" t="n"/>
      <c r="F3884" s="43" t="n"/>
      <c r="G3884" s="44">
        <f>IF(OR(B3884="",F3884=""),"",IFERROR(F3884*INDEX(Mitarbeiter!$F$6:$F$205,MATCH(B3884,Mitarbeiter!$A$6:$A$205,0)),0))</f>
        <v/>
      </c>
      <c r="H3884" s="8">
        <f>IF(B3884="","",IF(ISNA(MATCH(B3884,Mitarbeiter!$A$6:$A$205,0)),"Pers.-Nr. unbekannt",IF(A3884="","Datum fehlt",IF(AND(D3884&lt;&gt;Einstellungen!$C$4,D3884&lt;&gt;Einstellungen!$C$5),"Objekt fehlt",IF(YEAR(A3884)&lt;&gt;Einstellungen!$C$3,"anderes Jahr",IF(A3884&lt;INDEX(Mitarbeiter!$C$6:$C$205,MATCH(B3884,Mitarbeiter!$A$6:$A$205,0)),"vor Eintritt",IF(AND(INDEX(Mitarbeiter!$D$6:$D$205,MATCH(B3884,Mitarbeiter!$A$6:$A$205,0))&lt;&gt;"",A3884&gt;INDEX(Mitarbeiter!$D$6:$D$205,MATCH(B3884,Mitarbeiter!$A$6:$A$205,0))),"nach Austritt","ok")))))))</f>
        <v/>
      </c>
    </row>
    <row r="3885">
      <c r="A3885" s="26" t="n"/>
      <c r="B3885" s="24" t="n"/>
      <c r="C3885" s="40">
        <f>IF(B3885="","",IFERROR(INDEX(Mitarbeiter!$B$6:$B$205,MATCH(B3885,Mitarbeiter!$A$6:$A$205,0)),"?"))</f>
        <v/>
      </c>
      <c r="D3885" s="41" t="n"/>
      <c r="E3885" s="42" t="n"/>
      <c r="F3885" s="43" t="n"/>
      <c r="G3885" s="44">
        <f>IF(OR(B3885="",F3885=""),"",IFERROR(F3885*INDEX(Mitarbeiter!$F$6:$F$205,MATCH(B3885,Mitarbeiter!$A$6:$A$205,0)),0))</f>
        <v/>
      </c>
      <c r="H3885" s="8">
        <f>IF(B3885="","",IF(ISNA(MATCH(B3885,Mitarbeiter!$A$6:$A$205,0)),"Pers.-Nr. unbekannt",IF(A3885="","Datum fehlt",IF(AND(D3885&lt;&gt;Einstellungen!$C$4,D3885&lt;&gt;Einstellungen!$C$5),"Objekt fehlt",IF(YEAR(A3885)&lt;&gt;Einstellungen!$C$3,"anderes Jahr",IF(A3885&lt;INDEX(Mitarbeiter!$C$6:$C$205,MATCH(B3885,Mitarbeiter!$A$6:$A$205,0)),"vor Eintritt",IF(AND(INDEX(Mitarbeiter!$D$6:$D$205,MATCH(B3885,Mitarbeiter!$A$6:$A$205,0))&lt;&gt;"",A3885&gt;INDEX(Mitarbeiter!$D$6:$D$205,MATCH(B3885,Mitarbeiter!$A$6:$A$205,0))),"nach Austritt","ok")))))))</f>
        <v/>
      </c>
    </row>
    <row r="3886">
      <c r="A3886" s="26" t="n"/>
      <c r="B3886" s="24" t="n"/>
      <c r="C3886" s="40">
        <f>IF(B3886="","",IFERROR(INDEX(Mitarbeiter!$B$6:$B$205,MATCH(B3886,Mitarbeiter!$A$6:$A$205,0)),"?"))</f>
        <v/>
      </c>
      <c r="D3886" s="41" t="n"/>
      <c r="E3886" s="42" t="n"/>
      <c r="F3886" s="43" t="n"/>
      <c r="G3886" s="44">
        <f>IF(OR(B3886="",F3886=""),"",IFERROR(F3886*INDEX(Mitarbeiter!$F$6:$F$205,MATCH(B3886,Mitarbeiter!$A$6:$A$205,0)),0))</f>
        <v/>
      </c>
      <c r="H3886" s="8">
        <f>IF(B3886="","",IF(ISNA(MATCH(B3886,Mitarbeiter!$A$6:$A$205,0)),"Pers.-Nr. unbekannt",IF(A3886="","Datum fehlt",IF(AND(D3886&lt;&gt;Einstellungen!$C$4,D3886&lt;&gt;Einstellungen!$C$5),"Objekt fehlt",IF(YEAR(A3886)&lt;&gt;Einstellungen!$C$3,"anderes Jahr",IF(A3886&lt;INDEX(Mitarbeiter!$C$6:$C$205,MATCH(B3886,Mitarbeiter!$A$6:$A$205,0)),"vor Eintritt",IF(AND(INDEX(Mitarbeiter!$D$6:$D$205,MATCH(B3886,Mitarbeiter!$A$6:$A$205,0))&lt;&gt;"",A3886&gt;INDEX(Mitarbeiter!$D$6:$D$205,MATCH(B3886,Mitarbeiter!$A$6:$A$205,0))),"nach Austritt","ok")))))))</f>
        <v/>
      </c>
    </row>
    <row r="3887">
      <c r="A3887" s="26" t="n"/>
      <c r="B3887" s="24" t="n"/>
      <c r="C3887" s="40">
        <f>IF(B3887="","",IFERROR(INDEX(Mitarbeiter!$B$6:$B$205,MATCH(B3887,Mitarbeiter!$A$6:$A$205,0)),"?"))</f>
        <v/>
      </c>
      <c r="D3887" s="41" t="n"/>
      <c r="E3887" s="42" t="n"/>
      <c r="F3887" s="43" t="n"/>
      <c r="G3887" s="44">
        <f>IF(OR(B3887="",F3887=""),"",IFERROR(F3887*INDEX(Mitarbeiter!$F$6:$F$205,MATCH(B3887,Mitarbeiter!$A$6:$A$205,0)),0))</f>
        <v/>
      </c>
      <c r="H3887" s="8">
        <f>IF(B3887="","",IF(ISNA(MATCH(B3887,Mitarbeiter!$A$6:$A$205,0)),"Pers.-Nr. unbekannt",IF(A3887="","Datum fehlt",IF(AND(D3887&lt;&gt;Einstellungen!$C$4,D3887&lt;&gt;Einstellungen!$C$5),"Objekt fehlt",IF(YEAR(A3887)&lt;&gt;Einstellungen!$C$3,"anderes Jahr",IF(A3887&lt;INDEX(Mitarbeiter!$C$6:$C$205,MATCH(B3887,Mitarbeiter!$A$6:$A$205,0)),"vor Eintritt",IF(AND(INDEX(Mitarbeiter!$D$6:$D$205,MATCH(B3887,Mitarbeiter!$A$6:$A$205,0))&lt;&gt;"",A3887&gt;INDEX(Mitarbeiter!$D$6:$D$205,MATCH(B3887,Mitarbeiter!$A$6:$A$205,0))),"nach Austritt","ok")))))))</f>
        <v/>
      </c>
    </row>
    <row r="3888">
      <c r="A3888" s="26" t="n"/>
      <c r="B3888" s="24" t="n"/>
      <c r="C3888" s="40">
        <f>IF(B3888="","",IFERROR(INDEX(Mitarbeiter!$B$6:$B$205,MATCH(B3888,Mitarbeiter!$A$6:$A$205,0)),"?"))</f>
        <v/>
      </c>
      <c r="D3888" s="41" t="n"/>
      <c r="E3888" s="42" t="n"/>
      <c r="F3888" s="43" t="n"/>
      <c r="G3888" s="44">
        <f>IF(OR(B3888="",F3888=""),"",IFERROR(F3888*INDEX(Mitarbeiter!$F$6:$F$205,MATCH(B3888,Mitarbeiter!$A$6:$A$205,0)),0))</f>
        <v/>
      </c>
      <c r="H3888" s="8">
        <f>IF(B3888="","",IF(ISNA(MATCH(B3888,Mitarbeiter!$A$6:$A$205,0)),"Pers.-Nr. unbekannt",IF(A3888="","Datum fehlt",IF(AND(D3888&lt;&gt;Einstellungen!$C$4,D3888&lt;&gt;Einstellungen!$C$5),"Objekt fehlt",IF(YEAR(A3888)&lt;&gt;Einstellungen!$C$3,"anderes Jahr",IF(A3888&lt;INDEX(Mitarbeiter!$C$6:$C$205,MATCH(B3888,Mitarbeiter!$A$6:$A$205,0)),"vor Eintritt",IF(AND(INDEX(Mitarbeiter!$D$6:$D$205,MATCH(B3888,Mitarbeiter!$A$6:$A$205,0))&lt;&gt;"",A3888&gt;INDEX(Mitarbeiter!$D$6:$D$205,MATCH(B3888,Mitarbeiter!$A$6:$A$205,0))),"nach Austritt","ok")))))))</f>
        <v/>
      </c>
    </row>
    <row r="3889">
      <c r="A3889" s="26" t="n"/>
      <c r="B3889" s="24" t="n"/>
      <c r="C3889" s="40">
        <f>IF(B3889="","",IFERROR(INDEX(Mitarbeiter!$B$6:$B$205,MATCH(B3889,Mitarbeiter!$A$6:$A$205,0)),"?"))</f>
        <v/>
      </c>
      <c r="D3889" s="41" t="n"/>
      <c r="E3889" s="42" t="n"/>
      <c r="F3889" s="43" t="n"/>
      <c r="G3889" s="44">
        <f>IF(OR(B3889="",F3889=""),"",IFERROR(F3889*INDEX(Mitarbeiter!$F$6:$F$205,MATCH(B3889,Mitarbeiter!$A$6:$A$205,0)),0))</f>
        <v/>
      </c>
      <c r="H3889" s="8">
        <f>IF(B3889="","",IF(ISNA(MATCH(B3889,Mitarbeiter!$A$6:$A$205,0)),"Pers.-Nr. unbekannt",IF(A3889="","Datum fehlt",IF(AND(D3889&lt;&gt;Einstellungen!$C$4,D3889&lt;&gt;Einstellungen!$C$5),"Objekt fehlt",IF(YEAR(A3889)&lt;&gt;Einstellungen!$C$3,"anderes Jahr",IF(A3889&lt;INDEX(Mitarbeiter!$C$6:$C$205,MATCH(B3889,Mitarbeiter!$A$6:$A$205,0)),"vor Eintritt",IF(AND(INDEX(Mitarbeiter!$D$6:$D$205,MATCH(B3889,Mitarbeiter!$A$6:$A$205,0))&lt;&gt;"",A3889&gt;INDEX(Mitarbeiter!$D$6:$D$205,MATCH(B3889,Mitarbeiter!$A$6:$A$205,0))),"nach Austritt","ok")))))))</f>
        <v/>
      </c>
    </row>
    <row r="3890">
      <c r="A3890" s="26" t="n"/>
      <c r="B3890" s="24" t="n"/>
      <c r="C3890" s="40">
        <f>IF(B3890="","",IFERROR(INDEX(Mitarbeiter!$B$6:$B$205,MATCH(B3890,Mitarbeiter!$A$6:$A$205,0)),"?"))</f>
        <v/>
      </c>
      <c r="D3890" s="41" t="n"/>
      <c r="E3890" s="42" t="n"/>
      <c r="F3890" s="43" t="n"/>
      <c r="G3890" s="44">
        <f>IF(OR(B3890="",F3890=""),"",IFERROR(F3890*INDEX(Mitarbeiter!$F$6:$F$205,MATCH(B3890,Mitarbeiter!$A$6:$A$205,0)),0))</f>
        <v/>
      </c>
      <c r="H3890" s="8">
        <f>IF(B3890="","",IF(ISNA(MATCH(B3890,Mitarbeiter!$A$6:$A$205,0)),"Pers.-Nr. unbekannt",IF(A3890="","Datum fehlt",IF(AND(D3890&lt;&gt;Einstellungen!$C$4,D3890&lt;&gt;Einstellungen!$C$5),"Objekt fehlt",IF(YEAR(A3890)&lt;&gt;Einstellungen!$C$3,"anderes Jahr",IF(A3890&lt;INDEX(Mitarbeiter!$C$6:$C$205,MATCH(B3890,Mitarbeiter!$A$6:$A$205,0)),"vor Eintritt",IF(AND(INDEX(Mitarbeiter!$D$6:$D$205,MATCH(B3890,Mitarbeiter!$A$6:$A$205,0))&lt;&gt;"",A3890&gt;INDEX(Mitarbeiter!$D$6:$D$205,MATCH(B3890,Mitarbeiter!$A$6:$A$205,0))),"nach Austritt","ok")))))))</f>
        <v/>
      </c>
    </row>
    <row r="3891">
      <c r="A3891" s="26" t="n"/>
      <c r="B3891" s="24" t="n"/>
      <c r="C3891" s="40">
        <f>IF(B3891="","",IFERROR(INDEX(Mitarbeiter!$B$6:$B$205,MATCH(B3891,Mitarbeiter!$A$6:$A$205,0)),"?"))</f>
        <v/>
      </c>
      <c r="D3891" s="41" t="n"/>
      <c r="E3891" s="42" t="n"/>
      <c r="F3891" s="43" t="n"/>
      <c r="G3891" s="44">
        <f>IF(OR(B3891="",F3891=""),"",IFERROR(F3891*INDEX(Mitarbeiter!$F$6:$F$205,MATCH(B3891,Mitarbeiter!$A$6:$A$205,0)),0))</f>
        <v/>
      </c>
      <c r="H3891" s="8">
        <f>IF(B3891="","",IF(ISNA(MATCH(B3891,Mitarbeiter!$A$6:$A$205,0)),"Pers.-Nr. unbekannt",IF(A3891="","Datum fehlt",IF(AND(D3891&lt;&gt;Einstellungen!$C$4,D3891&lt;&gt;Einstellungen!$C$5),"Objekt fehlt",IF(YEAR(A3891)&lt;&gt;Einstellungen!$C$3,"anderes Jahr",IF(A3891&lt;INDEX(Mitarbeiter!$C$6:$C$205,MATCH(B3891,Mitarbeiter!$A$6:$A$205,0)),"vor Eintritt",IF(AND(INDEX(Mitarbeiter!$D$6:$D$205,MATCH(B3891,Mitarbeiter!$A$6:$A$205,0))&lt;&gt;"",A3891&gt;INDEX(Mitarbeiter!$D$6:$D$205,MATCH(B3891,Mitarbeiter!$A$6:$A$205,0))),"nach Austritt","ok")))))))</f>
        <v/>
      </c>
    </row>
    <row r="3892">
      <c r="A3892" s="26" t="n"/>
      <c r="B3892" s="24" t="n"/>
      <c r="C3892" s="40">
        <f>IF(B3892="","",IFERROR(INDEX(Mitarbeiter!$B$6:$B$205,MATCH(B3892,Mitarbeiter!$A$6:$A$205,0)),"?"))</f>
        <v/>
      </c>
      <c r="D3892" s="41" t="n"/>
      <c r="E3892" s="42" t="n"/>
      <c r="F3892" s="43" t="n"/>
      <c r="G3892" s="44">
        <f>IF(OR(B3892="",F3892=""),"",IFERROR(F3892*INDEX(Mitarbeiter!$F$6:$F$205,MATCH(B3892,Mitarbeiter!$A$6:$A$205,0)),0))</f>
        <v/>
      </c>
      <c r="H3892" s="8">
        <f>IF(B3892="","",IF(ISNA(MATCH(B3892,Mitarbeiter!$A$6:$A$205,0)),"Pers.-Nr. unbekannt",IF(A3892="","Datum fehlt",IF(AND(D3892&lt;&gt;Einstellungen!$C$4,D3892&lt;&gt;Einstellungen!$C$5),"Objekt fehlt",IF(YEAR(A3892)&lt;&gt;Einstellungen!$C$3,"anderes Jahr",IF(A3892&lt;INDEX(Mitarbeiter!$C$6:$C$205,MATCH(B3892,Mitarbeiter!$A$6:$A$205,0)),"vor Eintritt",IF(AND(INDEX(Mitarbeiter!$D$6:$D$205,MATCH(B3892,Mitarbeiter!$A$6:$A$205,0))&lt;&gt;"",A3892&gt;INDEX(Mitarbeiter!$D$6:$D$205,MATCH(B3892,Mitarbeiter!$A$6:$A$205,0))),"nach Austritt","ok")))))))</f>
        <v/>
      </c>
    </row>
    <row r="3893">
      <c r="A3893" s="26" t="n"/>
      <c r="B3893" s="24" t="n"/>
      <c r="C3893" s="40">
        <f>IF(B3893="","",IFERROR(INDEX(Mitarbeiter!$B$6:$B$205,MATCH(B3893,Mitarbeiter!$A$6:$A$205,0)),"?"))</f>
        <v/>
      </c>
      <c r="D3893" s="41" t="n"/>
      <c r="E3893" s="42" t="n"/>
      <c r="F3893" s="43" t="n"/>
      <c r="G3893" s="44">
        <f>IF(OR(B3893="",F3893=""),"",IFERROR(F3893*INDEX(Mitarbeiter!$F$6:$F$205,MATCH(B3893,Mitarbeiter!$A$6:$A$205,0)),0))</f>
        <v/>
      </c>
      <c r="H3893" s="8">
        <f>IF(B3893="","",IF(ISNA(MATCH(B3893,Mitarbeiter!$A$6:$A$205,0)),"Pers.-Nr. unbekannt",IF(A3893="","Datum fehlt",IF(AND(D3893&lt;&gt;Einstellungen!$C$4,D3893&lt;&gt;Einstellungen!$C$5),"Objekt fehlt",IF(YEAR(A3893)&lt;&gt;Einstellungen!$C$3,"anderes Jahr",IF(A3893&lt;INDEX(Mitarbeiter!$C$6:$C$205,MATCH(B3893,Mitarbeiter!$A$6:$A$205,0)),"vor Eintritt",IF(AND(INDEX(Mitarbeiter!$D$6:$D$205,MATCH(B3893,Mitarbeiter!$A$6:$A$205,0))&lt;&gt;"",A3893&gt;INDEX(Mitarbeiter!$D$6:$D$205,MATCH(B3893,Mitarbeiter!$A$6:$A$205,0))),"nach Austritt","ok")))))))</f>
        <v/>
      </c>
    </row>
    <row r="3894">
      <c r="A3894" s="26" t="n"/>
      <c r="B3894" s="24" t="n"/>
      <c r="C3894" s="40">
        <f>IF(B3894="","",IFERROR(INDEX(Mitarbeiter!$B$6:$B$205,MATCH(B3894,Mitarbeiter!$A$6:$A$205,0)),"?"))</f>
        <v/>
      </c>
      <c r="D3894" s="41" t="n"/>
      <c r="E3894" s="42" t="n"/>
      <c r="F3894" s="43" t="n"/>
      <c r="G3894" s="44">
        <f>IF(OR(B3894="",F3894=""),"",IFERROR(F3894*INDEX(Mitarbeiter!$F$6:$F$205,MATCH(B3894,Mitarbeiter!$A$6:$A$205,0)),0))</f>
        <v/>
      </c>
      <c r="H3894" s="8">
        <f>IF(B3894="","",IF(ISNA(MATCH(B3894,Mitarbeiter!$A$6:$A$205,0)),"Pers.-Nr. unbekannt",IF(A3894="","Datum fehlt",IF(AND(D3894&lt;&gt;Einstellungen!$C$4,D3894&lt;&gt;Einstellungen!$C$5),"Objekt fehlt",IF(YEAR(A3894)&lt;&gt;Einstellungen!$C$3,"anderes Jahr",IF(A3894&lt;INDEX(Mitarbeiter!$C$6:$C$205,MATCH(B3894,Mitarbeiter!$A$6:$A$205,0)),"vor Eintritt",IF(AND(INDEX(Mitarbeiter!$D$6:$D$205,MATCH(B3894,Mitarbeiter!$A$6:$A$205,0))&lt;&gt;"",A3894&gt;INDEX(Mitarbeiter!$D$6:$D$205,MATCH(B3894,Mitarbeiter!$A$6:$A$205,0))),"nach Austritt","ok")))))))</f>
        <v/>
      </c>
    </row>
    <row r="3895">
      <c r="A3895" s="26" t="n"/>
      <c r="B3895" s="24" t="n"/>
      <c r="C3895" s="40">
        <f>IF(B3895="","",IFERROR(INDEX(Mitarbeiter!$B$6:$B$205,MATCH(B3895,Mitarbeiter!$A$6:$A$205,0)),"?"))</f>
        <v/>
      </c>
      <c r="D3895" s="41" t="n"/>
      <c r="E3895" s="42" t="n"/>
      <c r="F3895" s="43" t="n"/>
      <c r="G3895" s="44">
        <f>IF(OR(B3895="",F3895=""),"",IFERROR(F3895*INDEX(Mitarbeiter!$F$6:$F$205,MATCH(B3895,Mitarbeiter!$A$6:$A$205,0)),0))</f>
        <v/>
      </c>
      <c r="H3895" s="8">
        <f>IF(B3895="","",IF(ISNA(MATCH(B3895,Mitarbeiter!$A$6:$A$205,0)),"Pers.-Nr. unbekannt",IF(A3895="","Datum fehlt",IF(AND(D3895&lt;&gt;Einstellungen!$C$4,D3895&lt;&gt;Einstellungen!$C$5),"Objekt fehlt",IF(YEAR(A3895)&lt;&gt;Einstellungen!$C$3,"anderes Jahr",IF(A3895&lt;INDEX(Mitarbeiter!$C$6:$C$205,MATCH(B3895,Mitarbeiter!$A$6:$A$205,0)),"vor Eintritt",IF(AND(INDEX(Mitarbeiter!$D$6:$D$205,MATCH(B3895,Mitarbeiter!$A$6:$A$205,0))&lt;&gt;"",A3895&gt;INDEX(Mitarbeiter!$D$6:$D$205,MATCH(B3895,Mitarbeiter!$A$6:$A$205,0))),"nach Austritt","ok")))))))</f>
        <v/>
      </c>
    </row>
    <row r="3896">
      <c r="A3896" s="26" t="n"/>
      <c r="B3896" s="24" t="n"/>
      <c r="C3896" s="40">
        <f>IF(B3896="","",IFERROR(INDEX(Mitarbeiter!$B$6:$B$205,MATCH(B3896,Mitarbeiter!$A$6:$A$205,0)),"?"))</f>
        <v/>
      </c>
      <c r="D3896" s="41" t="n"/>
      <c r="E3896" s="42" t="n"/>
      <c r="F3896" s="43" t="n"/>
      <c r="G3896" s="44">
        <f>IF(OR(B3896="",F3896=""),"",IFERROR(F3896*INDEX(Mitarbeiter!$F$6:$F$205,MATCH(B3896,Mitarbeiter!$A$6:$A$205,0)),0))</f>
        <v/>
      </c>
      <c r="H3896" s="8">
        <f>IF(B3896="","",IF(ISNA(MATCH(B3896,Mitarbeiter!$A$6:$A$205,0)),"Pers.-Nr. unbekannt",IF(A3896="","Datum fehlt",IF(AND(D3896&lt;&gt;Einstellungen!$C$4,D3896&lt;&gt;Einstellungen!$C$5),"Objekt fehlt",IF(YEAR(A3896)&lt;&gt;Einstellungen!$C$3,"anderes Jahr",IF(A3896&lt;INDEX(Mitarbeiter!$C$6:$C$205,MATCH(B3896,Mitarbeiter!$A$6:$A$205,0)),"vor Eintritt",IF(AND(INDEX(Mitarbeiter!$D$6:$D$205,MATCH(B3896,Mitarbeiter!$A$6:$A$205,0))&lt;&gt;"",A3896&gt;INDEX(Mitarbeiter!$D$6:$D$205,MATCH(B3896,Mitarbeiter!$A$6:$A$205,0))),"nach Austritt","ok")))))))</f>
        <v/>
      </c>
    </row>
    <row r="3897">
      <c r="A3897" s="26" t="n"/>
      <c r="B3897" s="24" t="n"/>
      <c r="C3897" s="40">
        <f>IF(B3897="","",IFERROR(INDEX(Mitarbeiter!$B$6:$B$205,MATCH(B3897,Mitarbeiter!$A$6:$A$205,0)),"?"))</f>
        <v/>
      </c>
      <c r="D3897" s="41" t="n"/>
      <c r="E3897" s="42" t="n"/>
      <c r="F3897" s="43" t="n"/>
      <c r="G3897" s="44">
        <f>IF(OR(B3897="",F3897=""),"",IFERROR(F3897*INDEX(Mitarbeiter!$F$6:$F$205,MATCH(B3897,Mitarbeiter!$A$6:$A$205,0)),0))</f>
        <v/>
      </c>
      <c r="H3897" s="8">
        <f>IF(B3897="","",IF(ISNA(MATCH(B3897,Mitarbeiter!$A$6:$A$205,0)),"Pers.-Nr. unbekannt",IF(A3897="","Datum fehlt",IF(AND(D3897&lt;&gt;Einstellungen!$C$4,D3897&lt;&gt;Einstellungen!$C$5),"Objekt fehlt",IF(YEAR(A3897)&lt;&gt;Einstellungen!$C$3,"anderes Jahr",IF(A3897&lt;INDEX(Mitarbeiter!$C$6:$C$205,MATCH(B3897,Mitarbeiter!$A$6:$A$205,0)),"vor Eintritt",IF(AND(INDEX(Mitarbeiter!$D$6:$D$205,MATCH(B3897,Mitarbeiter!$A$6:$A$205,0))&lt;&gt;"",A3897&gt;INDEX(Mitarbeiter!$D$6:$D$205,MATCH(B3897,Mitarbeiter!$A$6:$A$205,0))),"nach Austritt","ok")))))))</f>
        <v/>
      </c>
    </row>
    <row r="3898">
      <c r="A3898" s="26" t="n"/>
      <c r="B3898" s="24" t="n"/>
      <c r="C3898" s="40">
        <f>IF(B3898="","",IFERROR(INDEX(Mitarbeiter!$B$6:$B$205,MATCH(B3898,Mitarbeiter!$A$6:$A$205,0)),"?"))</f>
        <v/>
      </c>
      <c r="D3898" s="41" t="n"/>
      <c r="E3898" s="42" t="n"/>
      <c r="F3898" s="43" t="n"/>
      <c r="G3898" s="44">
        <f>IF(OR(B3898="",F3898=""),"",IFERROR(F3898*INDEX(Mitarbeiter!$F$6:$F$205,MATCH(B3898,Mitarbeiter!$A$6:$A$205,0)),0))</f>
        <v/>
      </c>
      <c r="H3898" s="8">
        <f>IF(B3898="","",IF(ISNA(MATCH(B3898,Mitarbeiter!$A$6:$A$205,0)),"Pers.-Nr. unbekannt",IF(A3898="","Datum fehlt",IF(AND(D3898&lt;&gt;Einstellungen!$C$4,D3898&lt;&gt;Einstellungen!$C$5),"Objekt fehlt",IF(YEAR(A3898)&lt;&gt;Einstellungen!$C$3,"anderes Jahr",IF(A3898&lt;INDEX(Mitarbeiter!$C$6:$C$205,MATCH(B3898,Mitarbeiter!$A$6:$A$205,0)),"vor Eintritt",IF(AND(INDEX(Mitarbeiter!$D$6:$D$205,MATCH(B3898,Mitarbeiter!$A$6:$A$205,0))&lt;&gt;"",A3898&gt;INDEX(Mitarbeiter!$D$6:$D$205,MATCH(B3898,Mitarbeiter!$A$6:$A$205,0))),"nach Austritt","ok")))))))</f>
        <v/>
      </c>
    </row>
    <row r="3899">
      <c r="A3899" s="26" t="n"/>
      <c r="B3899" s="24" t="n"/>
      <c r="C3899" s="40">
        <f>IF(B3899="","",IFERROR(INDEX(Mitarbeiter!$B$6:$B$205,MATCH(B3899,Mitarbeiter!$A$6:$A$205,0)),"?"))</f>
        <v/>
      </c>
      <c r="D3899" s="41" t="n"/>
      <c r="E3899" s="42" t="n"/>
      <c r="F3899" s="43" t="n"/>
      <c r="G3899" s="44">
        <f>IF(OR(B3899="",F3899=""),"",IFERROR(F3899*INDEX(Mitarbeiter!$F$6:$F$205,MATCH(B3899,Mitarbeiter!$A$6:$A$205,0)),0))</f>
        <v/>
      </c>
      <c r="H3899" s="8">
        <f>IF(B3899="","",IF(ISNA(MATCH(B3899,Mitarbeiter!$A$6:$A$205,0)),"Pers.-Nr. unbekannt",IF(A3899="","Datum fehlt",IF(AND(D3899&lt;&gt;Einstellungen!$C$4,D3899&lt;&gt;Einstellungen!$C$5),"Objekt fehlt",IF(YEAR(A3899)&lt;&gt;Einstellungen!$C$3,"anderes Jahr",IF(A3899&lt;INDEX(Mitarbeiter!$C$6:$C$205,MATCH(B3899,Mitarbeiter!$A$6:$A$205,0)),"vor Eintritt",IF(AND(INDEX(Mitarbeiter!$D$6:$D$205,MATCH(B3899,Mitarbeiter!$A$6:$A$205,0))&lt;&gt;"",A3899&gt;INDEX(Mitarbeiter!$D$6:$D$205,MATCH(B3899,Mitarbeiter!$A$6:$A$205,0))),"nach Austritt","ok")))))))</f>
        <v/>
      </c>
    </row>
    <row r="3900">
      <c r="A3900" s="26" t="n"/>
      <c r="B3900" s="24" t="n"/>
      <c r="C3900" s="40">
        <f>IF(B3900="","",IFERROR(INDEX(Mitarbeiter!$B$6:$B$205,MATCH(B3900,Mitarbeiter!$A$6:$A$205,0)),"?"))</f>
        <v/>
      </c>
      <c r="D3900" s="41" t="n"/>
      <c r="E3900" s="42" t="n"/>
      <c r="F3900" s="43" t="n"/>
      <c r="G3900" s="44">
        <f>IF(OR(B3900="",F3900=""),"",IFERROR(F3900*INDEX(Mitarbeiter!$F$6:$F$205,MATCH(B3900,Mitarbeiter!$A$6:$A$205,0)),0))</f>
        <v/>
      </c>
      <c r="H3900" s="8">
        <f>IF(B3900="","",IF(ISNA(MATCH(B3900,Mitarbeiter!$A$6:$A$205,0)),"Pers.-Nr. unbekannt",IF(A3900="","Datum fehlt",IF(AND(D3900&lt;&gt;Einstellungen!$C$4,D3900&lt;&gt;Einstellungen!$C$5),"Objekt fehlt",IF(YEAR(A3900)&lt;&gt;Einstellungen!$C$3,"anderes Jahr",IF(A3900&lt;INDEX(Mitarbeiter!$C$6:$C$205,MATCH(B3900,Mitarbeiter!$A$6:$A$205,0)),"vor Eintritt",IF(AND(INDEX(Mitarbeiter!$D$6:$D$205,MATCH(B3900,Mitarbeiter!$A$6:$A$205,0))&lt;&gt;"",A3900&gt;INDEX(Mitarbeiter!$D$6:$D$205,MATCH(B3900,Mitarbeiter!$A$6:$A$205,0))),"nach Austritt","ok")))))))</f>
        <v/>
      </c>
    </row>
    <row r="3901">
      <c r="A3901" s="26" t="n"/>
      <c r="B3901" s="24" t="n"/>
      <c r="C3901" s="40">
        <f>IF(B3901="","",IFERROR(INDEX(Mitarbeiter!$B$6:$B$205,MATCH(B3901,Mitarbeiter!$A$6:$A$205,0)),"?"))</f>
        <v/>
      </c>
      <c r="D3901" s="41" t="n"/>
      <c r="E3901" s="42" t="n"/>
      <c r="F3901" s="43" t="n"/>
      <c r="G3901" s="44">
        <f>IF(OR(B3901="",F3901=""),"",IFERROR(F3901*INDEX(Mitarbeiter!$F$6:$F$205,MATCH(B3901,Mitarbeiter!$A$6:$A$205,0)),0))</f>
        <v/>
      </c>
      <c r="H3901" s="8">
        <f>IF(B3901="","",IF(ISNA(MATCH(B3901,Mitarbeiter!$A$6:$A$205,0)),"Pers.-Nr. unbekannt",IF(A3901="","Datum fehlt",IF(AND(D3901&lt;&gt;Einstellungen!$C$4,D3901&lt;&gt;Einstellungen!$C$5),"Objekt fehlt",IF(YEAR(A3901)&lt;&gt;Einstellungen!$C$3,"anderes Jahr",IF(A3901&lt;INDEX(Mitarbeiter!$C$6:$C$205,MATCH(B3901,Mitarbeiter!$A$6:$A$205,0)),"vor Eintritt",IF(AND(INDEX(Mitarbeiter!$D$6:$D$205,MATCH(B3901,Mitarbeiter!$A$6:$A$205,0))&lt;&gt;"",A3901&gt;INDEX(Mitarbeiter!$D$6:$D$205,MATCH(B3901,Mitarbeiter!$A$6:$A$205,0))),"nach Austritt","ok")))))))</f>
        <v/>
      </c>
    </row>
    <row r="3902">
      <c r="A3902" s="26" t="n"/>
      <c r="B3902" s="24" t="n"/>
      <c r="C3902" s="40">
        <f>IF(B3902="","",IFERROR(INDEX(Mitarbeiter!$B$6:$B$205,MATCH(B3902,Mitarbeiter!$A$6:$A$205,0)),"?"))</f>
        <v/>
      </c>
      <c r="D3902" s="41" t="n"/>
      <c r="E3902" s="42" t="n"/>
      <c r="F3902" s="43" t="n"/>
      <c r="G3902" s="44">
        <f>IF(OR(B3902="",F3902=""),"",IFERROR(F3902*INDEX(Mitarbeiter!$F$6:$F$205,MATCH(B3902,Mitarbeiter!$A$6:$A$205,0)),0))</f>
        <v/>
      </c>
      <c r="H3902" s="8">
        <f>IF(B3902="","",IF(ISNA(MATCH(B3902,Mitarbeiter!$A$6:$A$205,0)),"Pers.-Nr. unbekannt",IF(A3902="","Datum fehlt",IF(AND(D3902&lt;&gt;Einstellungen!$C$4,D3902&lt;&gt;Einstellungen!$C$5),"Objekt fehlt",IF(YEAR(A3902)&lt;&gt;Einstellungen!$C$3,"anderes Jahr",IF(A3902&lt;INDEX(Mitarbeiter!$C$6:$C$205,MATCH(B3902,Mitarbeiter!$A$6:$A$205,0)),"vor Eintritt",IF(AND(INDEX(Mitarbeiter!$D$6:$D$205,MATCH(B3902,Mitarbeiter!$A$6:$A$205,0))&lt;&gt;"",A3902&gt;INDEX(Mitarbeiter!$D$6:$D$205,MATCH(B3902,Mitarbeiter!$A$6:$A$205,0))),"nach Austritt","ok")))))))</f>
        <v/>
      </c>
    </row>
    <row r="3903">
      <c r="A3903" s="26" t="n"/>
      <c r="B3903" s="24" t="n"/>
      <c r="C3903" s="40">
        <f>IF(B3903="","",IFERROR(INDEX(Mitarbeiter!$B$6:$B$205,MATCH(B3903,Mitarbeiter!$A$6:$A$205,0)),"?"))</f>
        <v/>
      </c>
      <c r="D3903" s="41" t="n"/>
      <c r="E3903" s="42" t="n"/>
      <c r="F3903" s="43" t="n"/>
      <c r="G3903" s="44">
        <f>IF(OR(B3903="",F3903=""),"",IFERROR(F3903*INDEX(Mitarbeiter!$F$6:$F$205,MATCH(B3903,Mitarbeiter!$A$6:$A$205,0)),0))</f>
        <v/>
      </c>
      <c r="H3903" s="8">
        <f>IF(B3903="","",IF(ISNA(MATCH(B3903,Mitarbeiter!$A$6:$A$205,0)),"Pers.-Nr. unbekannt",IF(A3903="","Datum fehlt",IF(AND(D3903&lt;&gt;Einstellungen!$C$4,D3903&lt;&gt;Einstellungen!$C$5),"Objekt fehlt",IF(YEAR(A3903)&lt;&gt;Einstellungen!$C$3,"anderes Jahr",IF(A3903&lt;INDEX(Mitarbeiter!$C$6:$C$205,MATCH(B3903,Mitarbeiter!$A$6:$A$205,0)),"vor Eintritt",IF(AND(INDEX(Mitarbeiter!$D$6:$D$205,MATCH(B3903,Mitarbeiter!$A$6:$A$205,0))&lt;&gt;"",A3903&gt;INDEX(Mitarbeiter!$D$6:$D$205,MATCH(B3903,Mitarbeiter!$A$6:$A$205,0))),"nach Austritt","ok")))))))</f>
        <v/>
      </c>
    </row>
    <row r="3904">
      <c r="A3904" s="26" t="n"/>
      <c r="B3904" s="24" t="n"/>
      <c r="C3904" s="40">
        <f>IF(B3904="","",IFERROR(INDEX(Mitarbeiter!$B$6:$B$205,MATCH(B3904,Mitarbeiter!$A$6:$A$205,0)),"?"))</f>
        <v/>
      </c>
      <c r="D3904" s="41" t="n"/>
      <c r="E3904" s="42" t="n"/>
      <c r="F3904" s="43" t="n"/>
      <c r="G3904" s="44">
        <f>IF(OR(B3904="",F3904=""),"",IFERROR(F3904*INDEX(Mitarbeiter!$F$6:$F$205,MATCH(B3904,Mitarbeiter!$A$6:$A$205,0)),0))</f>
        <v/>
      </c>
      <c r="H3904" s="8">
        <f>IF(B3904="","",IF(ISNA(MATCH(B3904,Mitarbeiter!$A$6:$A$205,0)),"Pers.-Nr. unbekannt",IF(A3904="","Datum fehlt",IF(AND(D3904&lt;&gt;Einstellungen!$C$4,D3904&lt;&gt;Einstellungen!$C$5),"Objekt fehlt",IF(YEAR(A3904)&lt;&gt;Einstellungen!$C$3,"anderes Jahr",IF(A3904&lt;INDEX(Mitarbeiter!$C$6:$C$205,MATCH(B3904,Mitarbeiter!$A$6:$A$205,0)),"vor Eintritt",IF(AND(INDEX(Mitarbeiter!$D$6:$D$205,MATCH(B3904,Mitarbeiter!$A$6:$A$205,0))&lt;&gt;"",A3904&gt;INDEX(Mitarbeiter!$D$6:$D$205,MATCH(B3904,Mitarbeiter!$A$6:$A$205,0))),"nach Austritt","ok")))))))</f>
        <v/>
      </c>
    </row>
    <row r="3905">
      <c r="A3905" s="26" t="n"/>
      <c r="B3905" s="24" t="n"/>
      <c r="C3905" s="40">
        <f>IF(B3905="","",IFERROR(INDEX(Mitarbeiter!$B$6:$B$205,MATCH(B3905,Mitarbeiter!$A$6:$A$205,0)),"?"))</f>
        <v/>
      </c>
      <c r="D3905" s="41" t="n"/>
      <c r="E3905" s="42" t="n"/>
      <c r="F3905" s="43" t="n"/>
      <c r="G3905" s="44">
        <f>IF(OR(B3905="",F3905=""),"",IFERROR(F3905*INDEX(Mitarbeiter!$F$6:$F$205,MATCH(B3905,Mitarbeiter!$A$6:$A$205,0)),0))</f>
        <v/>
      </c>
      <c r="H3905" s="8">
        <f>IF(B3905="","",IF(ISNA(MATCH(B3905,Mitarbeiter!$A$6:$A$205,0)),"Pers.-Nr. unbekannt",IF(A3905="","Datum fehlt",IF(AND(D3905&lt;&gt;Einstellungen!$C$4,D3905&lt;&gt;Einstellungen!$C$5),"Objekt fehlt",IF(YEAR(A3905)&lt;&gt;Einstellungen!$C$3,"anderes Jahr",IF(A3905&lt;INDEX(Mitarbeiter!$C$6:$C$205,MATCH(B3905,Mitarbeiter!$A$6:$A$205,0)),"vor Eintritt",IF(AND(INDEX(Mitarbeiter!$D$6:$D$205,MATCH(B3905,Mitarbeiter!$A$6:$A$205,0))&lt;&gt;"",A3905&gt;INDEX(Mitarbeiter!$D$6:$D$205,MATCH(B3905,Mitarbeiter!$A$6:$A$205,0))),"nach Austritt","ok")))))))</f>
        <v/>
      </c>
    </row>
    <row r="3906">
      <c r="A3906" s="26" t="n"/>
      <c r="B3906" s="24" t="n"/>
      <c r="C3906" s="40">
        <f>IF(B3906="","",IFERROR(INDEX(Mitarbeiter!$B$6:$B$205,MATCH(B3906,Mitarbeiter!$A$6:$A$205,0)),"?"))</f>
        <v/>
      </c>
      <c r="D3906" s="41" t="n"/>
      <c r="E3906" s="42" t="n"/>
      <c r="F3906" s="43" t="n"/>
      <c r="G3906" s="44">
        <f>IF(OR(B3906="",F3906=""),"",IFERROR(F3906*INDEX(Mitarbeiter!$F$6:$F$205,MATCH(B3906,Mitarbeiter!$A$6:$A$205,0)),0))</f>
        <v/>
      </c>
      <c r="H3906" s="8">
        <f>IF(B3906="","",IF(ISNA(MATCH(B3906,Mitarbeiter!$A$6:$A$205,0)),"Pers.-Nr. unbekannt",IF(A3906="","Datum fehlt",IF(AND(D3906&lt;&gt;Einstellungen!$C$4,D3906&lt;&gt;Einstellungen!$C$5),"Objekt fehlt",IF(YEAR(A3906)&lt;&gt;Einstellungen!$C$3,"anderes Jahr",IF(A3906&lt;INDEX(Mitarbeiter!$C$6:$C$205,MATCH(B3906,Mitarbeiter!$A$6:$A$205,0)),"vor Eintritt",IF(AND(INDEX(Mitarbeiter!$D$6:$D$205,MATCH(B3906,Mitarbeiter!$A$6:$A$205,0))&lt;&gt;"",A3906&gt;INDEX(Mitarbeiter!$D$6:$D$205,MATCH(B3906,Mitarbeiter!$A$6:$A$205,0))),"nach Austritt","ok")))))))</f>
        <v/>
      </c>
    </row>
    <row r="3907">
      <c r="A3907" s="26" t="n"/>
      <c r="B3907" s="24" t="n"/>
      <c r="C3907" s="40">
        <f>IF(B3907="","",IFERROR(INDEX(Mitarbeiter!$B$6:$B$205,MATCH(B3907,Mitarbeiter!$A$6:$A$205,0)),"?"))</f>
        <v/>
      </c>
      <c r="D3907" s="41" t="n"/>
      <c r="E3907" s="42" t="n"/>
      <c r="F3907" s="43" t="n"/>
      <c r="G3907" s="44">
        <f>IF(OR(B3907="",F3907=""),"",IFERROR(F3907*INDEX(Mitarbeiter!$F$6:$F$205,MATCH(B3907,Mitarbeiter!$A$6:$A$205,0)),0))</f>
        <v/>
      </c>
      <c r="H3907" s="8">
        <f>IF(B3907="","",IF(ISNA(MATCH(B3907,Mitarbeiter!$A$6:$A$205,0)),"Pers.-Nr. unbekannt",IF(A3907="","Datum fehlt",IF(AND(D3907&lt;&gt;Einstellungen!$C$4,D3907&lt;&gt;Einstellungen!$C$5),"Objekt fehlt",IF(YEAR(A3907)&lt;&gt;Einstellungen!$C$3,"anderes Jahr",IF(A3907&lt;INDEX(Mitarbeiter!$C$6:$C$205,MATCH(B3907,Mitarbeiter!$A$6:$A$205,0)),"vor Eintritt",IF(AND(INDEX(Mitarbeiter!$D$6:$D$205,MATCH(B3907,Mitarbeiter!$A$6:$A$205,0))&lt;&gt;"",A3907&gt;INDEX(Mitarbeiter!$D$6:$D$205,MATCH(B3907,Mitarbeiter!$A$6:$A$205,0))),"nach Austritt","ok")))))))</f>
        <v/>
      </c>
    </row>
    <row r="3908">
      <c r="A3908" s="26" t="n"/>
      <c r="B3908" s="24" t="n"/>
      <c r="C3908" s="40">
        <f>IF(B3908="","",IFERROR(INDEX(Mitarbeiter!$B$6:$B$205,MATCH(B3908,Mitarbeiter!$A$6:$A$205,0)),"?"))</f>
        <v/>
      </c>
      <c r="D3908" s="41" t="n"/>
      <c r="E3908" s="42" t="n"/>
      <c r="F3908" s="43" t="n"/>
      <c r="G3908" s="44">
        <f>IF(OR(B3908="",F3908=""),"",IFERROR(F3908*INDEX(Mitarbeiter!$F$6:$F$205,MATCH(B3908,Mitarbeiter!$A$6:$A$205,0)),0))</f>
        <v/>
      </c>
      <c r="H3908" s="8">
        <f>IF(B3908="","",IF(ISNA(MATCH(B3908,Mitarbeiter!$A$6:$A$205,0)),"Pers.-Nr. unbekannt",IF(A3908="","Datum fehlt",IF(AND(D3908&lt;&gt;Einstellungen!$C$4,D3908&lt;&gt;Einstellungen!$C$5),"Objekt fehlt",IF(YEAR(A3908)&lt;&gt;Einstellungen!$C$3,"anderes Jahr",IF(A3908&lt;INDEX(Mitarbeiter!$C$6:$C$205,MATCH(B3908,Mitarbeiter!$A$6:$A$205,0)),"vor Eintritt",IF(AND(INDEX(Mitarbeiter!$D$6:$D$205,MATCH(B3908,Mitarbeiter!$A$6:$A$205,0))&lt;&gt;"",A3908&gt;INDEX(Mitarbeiter!$D$6:$D$205,MATCH(B3908,Mitarbeiter!$A$6:$A$205,0))),"nach Austritt","ok")))))))</f>
        <v/>
      </c>
    </row>
    <row r="3909">
      <c r="A3909" s="26" t="n"/>
      <c r="B3909" s="24" t="n"/>
      <c r="C3909" s="40">
        <f>IF(B3909="","",IFERROR(INDEX(Mitarbeiter!$B$6:$B$205,MATCH(B3909,Mitarbeiter!$A$6:$A$205,0)),"?"))</f>
        <v/>
      </c>
      <c r="D3909" s="41" t="n"/>
      <c r="E3909" s="42" t="n"/>
      <c r="F3909" s="43" t="n"/>
      <c r="G3909" s="44">
        <f>IF(OR(B3909="",F3909=""),"",IFERROR(F3909*INDEX(Mitarbeiter!$F$6:$F$205,MATCH(B3909,Mitarbeiter!$A$6:$A$205,0)),0))</f>
        <v/>
      </c>
      <c r="H3909" s="8">
        <f>IF(B3909="","",IF(ISNA(MATCH(B3909,Mitarbeiter!$A$6:$A$205,0)),"Pers.-Nr. unbekannt",IF(A3909="","Datum fehlt",IF(AND(D3909&lt;&gt;Einstellungen!$C$4,D3909&lt;&gt;Einstellungen!$C$5),"Objekt fehlt",IF(YEAR(A3909)&lt;&gt;Einstellungen!$C$3,"anderes Jahr",IF(A3909&lt;INDEX(Mitarbeiter!$C$6:$C$205,MATCH(B3909,Mitarbeiter!$A$6:$A$205,0)),"vor Eintritt",IF(AND(INDEX(Mitarbeiter!$D$6:$D$205,MATCH(B3909,Mitarbeiter!$A$6:$A$205,0))&lt;&gt;"",A3909&gt;INDEX(Mitarbeiter!$D$6:$D$205,MATCH(B3909,Mitarbeiter!$A$6:$A$205,0))),"nach Austritt","ok")))))))</f>
        <v/>
      </c>
    </row>
    <row r="3910">
      <c r="A3910" s="26" t="n"/>
      <c r="B3910" s="24" t="n"/>
      <c r="C3910" s="40">
        <f>IF(B3910="","",IFERROR(INDEX(Mitarbeiter!$B$6:$B$205,MATCH(B3910,Mitarbeiter!$A$6:$A$205,0)),"?"))</f>
        <v/>
      </c>
      <c r="D3910" s="41" t="n"/>
      <c r="E3910" s="42" t="n"/>
      <c r="F3910" s="43" t="n"/>
      <c r="G3910" s="44">
        <f>IF(OR(B3910="",F3910=""),"",IFERROR(F3910*INDEX(Mitarbeiter!$F$6:$F$205,MATCH(B3910,Mitarbeiter!$A$6:$A$205,0)),0))</f>
        <v/>
      </c>
      <c r="H3910" s="8">
        <f>IF(B3910="","",IF(ISNA(MATCH(B3910,Mitarbeiter!$A$6:$A$205,0)),"Pers.-Nr. unbekannt",IF(A3910="","Datum fehlt",IF(AND(D3910&lt;&gt;Einstellungen!$C$4,D3910&lt;&gt;Einstellungen!$C$5),"Objekt fehlt",IF(YEAR(A3910)&lt;&gt;Einstellungen!$C$3,"anderes Jahr",IF(A3910&lt;INDEX(Mitarbeiter!$C$6:$C$205,MATCH(B3910,Mitarbeiter!$A$6:$A$205,0)),"vor Eintritt",IF(AND(INDEX(Mitarbeiter!$D$6:$D$205,MATCH(B3910,Mitarbeiter!$A$6:$A$205,0))&lt;&gt;"",A3910&gt;INDEX(Mitarbeiter!$D$6:$D$205,MATCH(B3910,Mitarbeiter!$A$6:$A$205,0))),"nach Austritt","ok")))))))</f>
        <v/>
      </c>
    </row>
    <row r="3911">
      <c r="A3911" s="26" t="n"/>
      <c r="B3911" s="24" t="n"/>
      <c r="C3911" s="40">
        <f>IF(B3911="","",IFERROR(INDEX(Mitarbeiter!$B$6:$B$205,MATCH(B3911,Mitarbeiter!$A$6:$A$205,0)),"?"))</f>
        <v/>
      </c>
      <c r="D3911" s="41" t="n"/>
      <c r="E3911" s="42" t="n"/>
      <c r="F3911" s="43" t="n"/>
      <c r="G3911" s="44">
        <f>IF(OR(B3911="",F3911=""),"",IFERROR(F3911*INDEX(Mitarbeiter!$F$6:$F$205,MATCH(B3911,Mitarbeiter!$A$6:$A$205,0)),0))</f>
        <v/>
      </c>
      <c r="H3911" s="8">
        <f>IF(B3911="","",IF(ISNA(MATCH(B3911,Mitarbeiter!$A$6:$A$205,0)),"Pers.-Nr. unbekannt",IF(A3911="","Datum fehlt",IF(AND(D3911&lt;&gt;Einstellungen!$C$4,D3911&lt;&gt;Einstellungen!$C$5),"Objekt fehlt",IF(YEAR(A3911)&lt;&gt;Einstellungen!$C$3,"anderes Jahr",IF(A3911&lt;INDEX(Mitarbeiter!$C$6:$C$205,MATCH(B3911,Mitarbeiter!$A$6:$A$205,0)),"vor Eintritt",IF(AND(INDEX(Mitarbeiter!$D$6:$D$205,MATCH(B3911,Mitarbeiter!$A$6:$A$205,0))&lt;&gt;"",A3911&gt;INDEX(Mitarbeiter!$D$6:$D$205,MATCH(B3911,Mitarbeiter!$A$6:$A$205,0))),"nach Austritt","ok")))))))</f>
        <v/>
      </c>
    </row>
    <row r="3912">
      <c r="A3912" s="26" t="n"/>
      <c r="B3912" s="24" t="n"/>
      <c r="C3912" s="40">
        <f>IF(B3912="","",IFERROR(INDEX(Mitarbeiter!$B$6:$B$205,MATCH(B3912,Mitarbeiter!$A$6:$A$205,0)),"?"))</f>
        <v/>
      </c>
      <c r="D3912" s="41" t="n"/>
      <c r="E3912" s="42" t="n"/>
      <c r="F3912" s="43" t="n"/>
      <c r="G3912" s="44">
        <f>IF(OR(B3912="",F3912=""),"",IFERROR(F3912*INDEX(Mitarbeiter!$F$6:$F$205,MATCH(B3912,Mitarbeiter!$A$6:$A$205,0)),0))</f>
        <v/>
      </c>
      <c r="H3912" s="8">
        <f>IF(B3912="","",IF(ISNA(MATCH(B3912,Mitarbeiter!$A$6:$A$205,0)),"Pers.-Nr. unbekannt",IF(A3912="","Datum fehlt",IF(AND(D3912&lt;&gt;Einstellungen!$C$4,D3912&lt;&gt;Einstellungen!$C$5),"Objekt fehlt",IF(YEAR(A3912)&lt;&gt;Einstellungen!$C$3,"anderes Jahr",IF(A3912&lt;INDEX(Mitarbeiter!$C$6:$C$205,MATCH(B3912,Mitarbeiter!$A$6:$A$205,0)),"vor Eintritt",IF(AND(INDEX(Mitarbeiter!$D$6:$D$205,MATCH(B3912,Mitarbeiter!$A$6:$A$205,0))&lt;&gt;"",A3912&gt;INDEX(Mitarbeiter!$D$6:$D$205,MATCH(B3912,Mitarbeiter!$A$6:$A$205,0))),"nach Austritt","ok")))))))</f>
        <v/>
      </c>
    </row>
    <row r="3913">
      <c r="A3913" s="26" t="n"/>
      <c r="B3913" s="24" t="n"/>
      <c r="C3913" s="40">
        <f>IF(B3913="","",IFERROR(INDEX(Mitarbeiter!$B$6:$B$205,MATCH(B3913,Mitarbeiter!$A$6:$A$205,0)),"?"))</f>
        <v/>
      </c>
      <c r="D3913" s="41" t="n"/>
      <c r="E3913" s="42" t="n"/>
      <c r="F3913" s="43" t="n"/>
      <c r="G3913" s="44">
        <f>IF(OR(B3913="",F3913=""),"",IFERROR(F3913*INDEX(Mitarbeiter!$F$6:$F$205,MATCH(B3913,Mitarbeiter!$A$6:$A$205,0)),0))</f>
        <v/>
      </c>
      <c r="H3913" s="8">
        <f>IF(B3913="","",IF(ISNA(MATCH(B3913,Mitarbeiter!$A$6:$A$205,0)),"Pers.-Nr. unbekannt",IF(A3913="","Datum fehlt",IF(AND(D3913&lt;&gt;Einstellungen!$C$4,D3913&lt;&gt;Einstellungen!$C$5),"Objekt fehlt",IF(YEAR(A3913)&lt;&gt;Einstellungen!$C$3,"anderes Jahr",IF(A3913&lt;INDEX(Mitarbeiter!$C$6:$C$205,MATCH(B3913,Mitarbeiter!$A$6:$A$205,0)),"vor Eintritt",IF(AND(INDEX(Mitarbeiter!$D$6:$D$205,MATCH(B3913,Mitarbeiter!$A$6:$A$205,0))&lt;&gt;"",A3913&gt;INDEX(Mitarbeiter!$D$6:$D$205,MATCH(B3913,Mitarbeiter!$A$6:$A$205,0))),"nach Austritt","ok")))))))</f>
        <v/>
      </c>
    </row>
    <row r="3914">
      <c r="A3914" s="26" t="n"/>
      <c r="B3914" s="24" t="n"/>
      <c r="C3914" s="40">
        <f>IF(B3914="","",IFERROR(INDEX(Mitarbeiter!$B$6:$B$205,MATCH(B3914,Mitarbeiter!$A$6:$A$205,0)),"?"))</f>
        <v/>
      </c>
      <c r="D3914" s="41" t="n"/>
      <c r="E3914" s="42" t="n"/>
      <c r="F3914" s="43" t="n"/>
      <c r="G3914" s="44">
        <f>IF(OR(B3914="",F3914=""),"",IFERROR(F3914*INDEX(Mitarbeiter!$F$6:$F$205,MATCH(B3914,Mitarbeiter!$A$6:$A$205,0)),0))</f>
        <v/>
      </c>
      <c r="H3914" s="8">
        <f>IF(B3914="","",IF(ISNA(MATCH(B3914,Mitarbeiter!$A$6:$A$205,0)),"Pers.-Nr. unbekannt",IF(A3914="","Datum fehlt",IF(AND(D3914&lt;&gt;Einstellungen!$C$4,D3914&lt;&gt;Einstellungen!$C$5),"Objekt fehlt",IF(YEAR(A3914)&lt;&gt;Einstellungen!$C$3,"anderes Jahr",IF(A3914&lt;INDEX(Mitarbeiter!$C$6:$C$205,MATCH(B3914,Mitarbeiter!$A$6:$A$205,0)),"vor Eintritt",IF(AND(INDEX(Mitarbeiter!$D$6:$D$205,MATCH(B3914,Mitarbeiter!$A$6:$A$205,0))&lt;&gt;"",A3914&gt;INDEX(Mitarbeiter!$D$6:$D$205,MATCH(B3914,Mitarbeiter!$A$6:$A$205,0))),"nach Austritt","ok")))))))</f>
        <v/>
      </c>
    </row>
    <row r="3915">
      <c r="A3915" s="26" t="n"/>
      <c r="B3915" s="24" t="n"/>
      <c r="C3915" s="40">
        <f>IF(B3915="","",IFERROR(INDEX(Mitarbeiter!$B$6:$B$205,MATCH(B3915,Mitarbeiter!$A$6:$A$205,0)),"?"))</f>
        <v/>
      </c>
      <c r="D3915" s="41" t="n"/>
      <c r="E3915" s="42" t="n"/>
      <c r="F3915" s="43" t="n"/>
      <c r="G3915" s="44">
        <f>IF(OR(B3915="",F3915=""),"",IFERROR(F3915*INDEX(Mitarbeiter!$F$6:$F$205,MATCH(B3915,Mitarbeiter!$A$6:$A$205,0)),0))</f>
        <v/>
      </c>
      <c r="H3915" s="8">
        <f>IF(B3915="","",IF(ISNA(MATCH(B3915,Mitarbeiter!$A$6:$A$205,0)),"Pers.-Nr. unbekannt",IF(A3915="","Datum fehlt",IF(AND(D3915&lt;&gt;Einstellungen!$C$4,D3915&lt;&gt;Einstellungen!$C$5),"Objekt fehlt",IF(YEAR(A3915)&lt;&gt;Einstellungen!$C$3,"anderes Jahr",IF(A3915&lt;INDEX(Mitarbeiter!$C$6:$C$205,MATCH(B3915,Mitarbeiter!$A$6:$A$205,0)),"vor Eintritt",IF(AND(INDEX(Mitarbeiter!$D$6:$D$205,MATCH(B3915,Mitarbeiter!$A$6:$A$205,0))&lt;&gt;"",A3915&gt;INDEX(Mitarbeiter!$D$6:$D$205,MATCH(B3915,Mitarbeiter!$A$6:$A$205,0))),"nach Austritt","ok")))))))</f>
        <v/>
      </c>
    </row>
    <row r="3916">
      <c r="A3916" s="26" t="n"/>
      <c r="B3916" s="24" t="n"/>
      <c r="C3916" s="40">
        <f>IF(B3916="","",IFERROR(INDEX(Mitarbeiter!$B$6:$B$205,MATCH(B3916,Mitarbeiter!$A$6:$A$205,0)),"?"))</f>
        <v/>
      </c>
      <c r="D3916" s="41" t="n"/>
      <c r="E3916" s="42" t="n"/>
      <c r="F3916" s="43" t="n"/>
      <c r="G3916" s="44">
        <f>IF(OR(B3916="",F3916=""),"",IFERROR(F3916*INDEX(Mitarbeiter!$F$6:$F$205,MATCH(B3916,Mitarbeiter!$A$6:$A$205,0)),0))</f>
        <v/>
      </c>
      <c r="H3916" s="8">
        <f>IF(B3916="","",IF(ISNA(MATCH(B3916,Mitarbeiter!$A$6:$A$205,0)),"Pers.-Nr. unbekannt",IF(A3916="","Datum fehlt",IF(AND(D3916&lt;&gt;Einstellungen!$C$4,D3916&lt;&gt;Einstellungen!$C$5),"Objekt fehlt",IF(YEAR(A3916)&lt;&gt;Einstellungen!$C$3,"anderes Jahr",IF(A3916&lt;INDEX(Mitarbeiter!$C$6:$C$205,MATCH(B3916,Mitarbeiter!$A$6:$A$205,0)),"vor Eintritt",IF(AND(INDEX(Mitarbeiter!$D$6:$D$205,MATCH(B3916,Mitarbeiter!$A$6:$A$205,0))&lt;&gt;"",A3916&gt;INDEX(Mitarbeiter!$D$6:$D$205,MATCH(B3916,Mitarbeiter!$A$6:$A$205,0))),"nach Austritt","ok")))))))</f>
        <v/>
      </c>
    </row>
    <row r="3917">
      <c r="A3917" s="26" t="n"/>
      <c r="B3917" s="24" t="n"/>
      <c r="C3917" s="40">
        <f>IF(B3917="","",IFERROR(INDEX(Mitarbeiter!$B$6:$B$205,MATCH(B3917,Mitarbeiter!$A$6:$A$205,0)),"?"))</f>
        <v/>
      </c>
      <c r="D3917" s="41" t="n"/>
      <c r="E3917" s="42" t="n"/>
      <c r="F3917" s="43" t="n"/>
      <c r="G3917" s="44">
        <f>IF(OR(B3917="",F3917=""),"",IFERROR(F3917*INDEX(Mitarbeiter!$F$6:$F$205,MATCH(B3917,Mitarbeiter!$A$6:$A$205,0)),0))</f>
        <v/>
      </c>
      <c r="H3917" s="8">
        <f>IF(B3917="","",IF(ISNA(MATCH(B3917,Mitarbeiter!$A$6:$A$205,0)),"Pers.-Nr. unbekannt",IF(A3917="","Datum fehlt",IF(AND(D3917&lt;&gt;Einstellungen!$C$4,D3917&lt;&gt;Einstellungen!$C$5),"Objekt fehlt",IF(YEAR(A3917)&lt;&gt;Einstellungen!$C$3,"anderes Jahr",IF(A3917&lt;INDEX(Mitarbeiter!$C$6:$C$205,MATCH(B3917,Mitarbeiter!$A$6:$A$205,0)),"vor Eintritt",IF(AND(INDEX(Mitarbeiter!$D$6:$D$205,MATCH(B3917,Mitarbeiter!$A$6:$A$205,0))&lt;&gt;"",A3917&gt;INDEX(Mitarbeiter!$D$6:$D$205,MATCH(B3917,Mitarbeiter!$A$6:$A$205,0))),"nach Austritt","ok")))))))</f>
        <v/>
      </c>
    </row>
    <row r="3918">
      <c r="A3918" s="26" t="n"/>
      <c r="B3918" s="24" t="n"/>
      <c r="C3918" s="40">
        <f>IF(B3918="","",IFERROR(INDEX(Mitarbeiter!$B$6:$B$205,MATCH(B3918,Mitarbeiter!$A$6:$A$205,0)),"?"))</f>
        <v/>
      </c>
      <c r="D3918" s="41" t="n"/>
      <c r="E3918" s="42" t="n"/>
      <c r="F3918" s="43" t="n"/>
      <c r="G3918" s="44">
        <f>IF(OR(B3918="",F3918=""),"",IFERROR(F3918*INDEX(Mitarbeiter!$F$6:$F$205,MATCH(B3918,Mitarbeiter!$A$6:$A$205,0)),0))</f>
        <v/>
      </c>
      <c r="H3918" s="8">
        <f>IF(B3918="","",IF(ISNA(MATCH(B3918,Mitarbeiter!$A$6:$A$205,0)),"Pers.-Nr. unbekannt",IF(A3918="","Datum fehlt",IF(AND(D3918&lt;&gt;Einstellungen!$C$4,D3918&lt;&gt;Einstellungen!$C$5),"Objekt fehlt",IF(YEAR(A3918)&lt;&gt;Einstellungen!$C$3,"anderes Jahr",IF(A3918&lt;INDEX(Mitarbeiter!$C$6:$C$205,MATCH(B3918,Mitarbeiter!$A$6:$A$205,0)),"vor Eintritt",IF(AND(INDEX(Mitarbeiter!$D$6:$D$205,MATCH(B3918,Mitarbeiter!$A$6:$A$205,0))&lt;&gt;"",A3918&gt;INDEX(Mitarbeiter!$D$6:$D$205,MATCH(B3918,Mitarbeiter!$A$6:$A$205,0))),"nach Austritt","ok")))))))</f>
        <v/>
      </c>
    </row>
    <row r="3919">
      <c r="A3919" s="26" t="n"/>
      <c r="B3919" s="24" t="n"/>
      <c r="C3919" s="40">
        <f>IF(B3919="","",IFERROR(INDEX(Mitarbeiter!$B$6:$B$205,MATCH(B3919,Mitarbeiter!$A$6:$A$205,0)),"?"))</f>
        <v/>
      </c>
      <c r="D3919" s="41" t="n"/>
      <c r="E3919" s="42" t="n"/>
      <c r="F3919" s="43" t="n"/>
      <c r="G3919" s="44">
        <f>IF(OR(B3919="",F3919=""),"",IFERROR(F3919*INDEX(Mitarbeiter!$F$6:$F$205,MATCH(B3919,Mitarbeiter!$A$6:$A$205,0)),0))</f>
        <v/>
      </c>
      <c r="H3919" s="8">
        <f>IF(B3919="","",IF(ISNA(MATCH(B3919,Mitarbeiter!$A$6:$A$205,0)),"Pers.-Nr. unbekannt",IF(A3919="","Datum fehlt",IF(AND(D3919&lt;&gt;Einstellungen!$C$4,D3919&lt;&gt;Einstellungen!$C$5),"Objekt fehlt",IF(YEAR(A3919)&lt;&gt;Einstellungen!$C$3,"anderes Jahr",IF(A3919&lt;INDEX(Mitarbeiter!$C$6:$C$205,MATCH(B3919,Mitarbeiter!$A$6:$A$205,0)),"vor Eintritt",IF(AND(INDEX(Mitarbeiter!$D$6:$D$205,MATCH(B3919,Mitarbeiter!$A$6:$A$205,0))&lt;&gt;"",A3919&gt;INDEX(Mitarbeiter!$D$6:$D$205,MATCH(B3919,Mitarbeiter!$A$6:$A$205,0))),"nach Austritt","ok")))))))</f>
        <v/>
      </c>
    </row>
    <row r="3920">
      <c r="A3920" s="26" t="n"/>
      <c r="B3920" s="24" t="n"/>
      <c r="C3920" s="40">
        <f>IF(B3920="","",IFERROR(INDEX(Mitarbeiter!$B$6:$B$205,MATCH(B3920,Mitarbeiter!$A$6:$A$205,0)),"?"))</f>
        <v/>
      </c>
      <c r="D3920" s="41" t="n"/>
      <c r="E3920" s="42" t="n"/>
      <c r="F3920" s="43" t="n"/>
      <c r="G3920" s="44">
        <f>IF(OR(B3920="",F3920=""),"",IFERROR(F3920*INDEX(Mitarbeiter!$F$6:$F$205,MATCH(B3920,Mitarbeiter!$A$6:$A$205,0)),0))</f>
        <v/>
      </c>
      <c r="H3920" s="8">
        <f>IF(B3920="","",IF(ISNA(MATCH(B3920,Mitarbeiter!$A$6:$A$205,0)),"Pers.-Nr. unbekannt",IF(A3920="","Datum fehlt",IF(AND(D3920&lt;&gt;Einstellungen!$C$4,D3920&lt;&gt;Einstellungen!$C$5),"Objekt fehlt",IF(YEAR(A3920)&lt;&gt;Einstellungen!$C$3,"anderes Jahr",IF(A3920&lt;INDEX(Mitarbeiter!$C$6:$C$205,MATCH(B3920,Mitarbeiter!$A$6:$A$205,0)),"vor Eintritt",IF(AND(INDEX(Mitarbeiter!$D$6:$D$205,MATCH(B3920,Mitarbeiter!$A$6:$A$205,0))&lt;&gt;"",A3920&gt;INDEX(Mitarbeiter!$D$6:$D$205,MATCH(B3920,Mitarbeiter!$A$6:$A$205,0))),"nach Austritt","ok")))))))</f>
        <v/>
      </c>
    </row>
    <row r="3921">
      <c r="A3921" s="26" t="n"/>
      <c r="B3921" s="24" t="n"/>
      <c r="C3921" s="40">
        <f>IF(B3921="","",IFERROR(INDEX(Mitarbeiter!$B$6:$B$205,MATCH(B3921,Mitarbeiter!$A$6:$A$205,0)),"?"))</f>
        <v/>
      </c>
      <c r="D3921" s="41" t="n"/>
      <c r="E3921" s="42" t="n"/>
      <c r="F3921" s="43" t="n"/>
      <c r="G3921" s="44">
        <f>IF(OR(B3921="",F3921=""),"",IFERROR(F3921*INDEX(Mitarbeiter!$F$6:$F$205,MATCH(B3921,Mitarbeiter!$A$6:$A$205,0)),0))</f>
        <v/>
      </c>
      <c r="H3921" s="8">
        <f>IF(B3921="","",IF(ISNA(MATCH(B3921,Mitarbeiter!$A$6:$A$205,0)),"Pers.-Nr. unbekannt",IF(A3921="","Datum fehlt",IF(AND(D3921&lt;&gt;Einstellungen!$C$4,D3921&lt;&gt;Einstellungen!$C$5),"Objekt fehlt",IF(YEAR(A3921)&lt;&gt;Einstellungen!$C$3,"anderes Jahr",IF(A3921&lt;INDEX(Mitarbeiter!$C$6:$C$205,MATCH(B3921,Mitarbeiter!$A$6:$A$205,0)),"vor Eintritt",IF(AND(INDEX(Mitarbeiter!$D$6:$D$205,MATCH(B3921,Mitarbeiter!$A$6:$A$205,0))&lt;&gt;"",A3921&gt;INDEX(Mitarbeiter!$D$6:$D$205,MATCH(B3921,Mitarbeiter!$A$6:$A$205,0))),"nach Austritt","ok")))))))</f>
        <v/>
      </c>
    </row>
    <row r="3922">
      <c r="A3922" s="26" t="n"/>
      <c r="B3922" s="24" t="n"/>
      <c r="C3922" s="40">
        <f>IF(B3922="","",IFERROR(INDEX(Mitarbeiter!$B$6:$B$205,MATCH(B3922,Mitarbeiter!$A$6:$A$205,0)),"?"))</f>
        <v/>
      </c>
      <c r="D3922" s="41" t="n"/>
      <c r="E3922" s="42" t="n"/>
      <c r="F3922" s="43" t="n"/>
      <c r="G3922" s="44">
        <f>IF(OR(B3922="",F3922=""),"",IFERROR(F3922*INDEX(Mitarbeiter!$F$6:$F$205,MATCH(B3922,Mitarbeiter!$A$6:$A$205,0)),0))</f>
        <v/>
      </c>
      <c r="H3922" s="8">
        <f>IF(B3922="","",IF(ISNA(MATCH(B3922,Mitarbeiter!$A$6:$A$205,0)),"Pers.-Nr. unbekannt",IF(A3922="","Datum fehlt",IF(AND(D3922&lt;&gt;Einstellungen!$C$4,D3922&lt;&gt;Einstellungen!$C$5),"Objekt fehlt",IF(YEAR(A3922)&lt;&gt;Einstellungen!$C$3,"anderes Jahr",IF(A3922&lt;INDEX(Mitarbeiter!$C$6:$C$205,MATCH(B3922,Mitarbeiter!$A$6:$A$205,0)),"vor Eintritt",IF(AND(INDEX(Mitarbeiter!$D$6:$D$205,MATCH(B3922,Mitarbeiter!$A$6:$A$205,0))&lt;&gt;"",A3922&gt;INDEX(Mitarbeiter!$D$6:$D$205,MATCH(B3922,Mitarbeiter!$A$6:$A$205,0))),"nach Austritt","ok")))))))</f>
        <v/>
      </c>
    </row>
    <row r="3923">
      <c r="A3923" s="26" t="n"/>
      <c r="B3923" s="24" t="n"/>
      <c r="C3923" s="40">
        <f>IF(B3923="","",IFERROR(INDEX(Mitarbeiter!$B$6:$B$205,MATCH(B3923,Mitarbeiter!$A$6:$A$205,0)),"?"))</f>
        <v/>
      </c>
      <c r="D3923" s="41" t="n"/>
      <c r="E3923" s="42" t="n"/>
      <c r="F3923" s="43" t="n"/>
      <c r="G3923" s="44">
        <f>IF(OR(B3923="",F3923=""),"",IFERROR(F3923*INDEX(Mitarbeiter!$F$6:$F$205,MATCH(B3923,Mitarbeiter!$A$6:$A$205,0)),0))</f>
        <v/>
      </c>
      <c r="H3923" s="8">
        <f>IF(B3923="","",IF(ISNA(MATCH(B3923,Mitarbeiter!$A$6:$A$205,0)),"Pers.-Nr. unbekannt",IF(A3923="","Datum fehlt",IF(AND(D3923&lt;&gt;Einstellungen!$C$4,D3923&lt;&gt;Einstellungen!$C$5),"Objekt fehlt",IF(YEAR(A3923)&lt;&gt;Einstellungen!$C$3,"anderes Jahr",IF(A3923&lt;INDEX(Mitarbeiter!$C$6:$C$205,MATCH(B3923,Mitarbeiter!$A$6:$A$205,0)),"vor Eintritt",IF(AND(INDEX(Mitarbeiter!$D$6:$D$205,MATCH(B3923,Mitarbeiter!$A$6:$A$205,0))&lt;&gt;"",A3923&gt;INDEX(Mitarbeiter!$D$6:$D$205,MATCH(B3923,Mitarbeiter!$A$6:$A$205,0))),"nach Austritt","ok")))))))</f>
        <v/>
      </c>
    </row>
    <row r="3924">
      <c r="A3924" s="26" t="n"/>
      <c r="B3924" s="24" t="n"/>
      <c r="C3924" s="40">
        <f>IF(B3924="","",IFERROR(INDEX(Mitarbeiter!$B$6:$B$205,MATCH(B3924,Mitarbeiter!$A$6:$A$205,0)),"?"))</f>
        <v/>
      </c>
      <c r="D3924" s="41" t="n"/>
      <c r="E3924" s="42" t="n"/>
      <c r="F3924" s="43" t="n"/>
      <c r="G3924" s="44">
        <f>IF(OR(B3924="",F3924=""),"",IFERROR(F3924*INDEX(Mitarbeiter!$F$6:$F$205,MATCH(B3924,Mitarbeiter!$A$6:$A$205,0)),0))</f>
        <v/>
      </c>
      <c r="H3924" s="8">
        <f>IF(B3924="","",IF(ISNA(MATCH(B3924,Mitarbeiter!$A$6:$A$205,0)),"Pers.-Nr. unbekannt",IF(A3924="","Datum fehlt",IF(AND(D3924&lt;&gt;Einstellungen!$C$4,D3924&lt;&gt;Einstellungen!$C$5),"Objekt fehlt",IF(YEAR(A3924)&lt;&gt;Einstellungen!$C$3,"anderes Jahr",IF(A3924&lt;INDEX(Mitarbeiter!$C$6:$C$205,MATCH(B3924,Mitarbeiter!$A$6:$A$205,0)),"vor Eintritt",IF(AND(INDEX(Mitarbeiter!$D$6:$D$205,MATCH(B3924,Mitarbeiter!$A$6:$A$205,0))&lt;&gt;"",A3924&gt;INDEX(Mitarbeiter!$D$6:$D$205,MATCH(B3924,Mitarbeiter!$A$6:$A$205,0))),"nach Austritt","ok")))))))</f>
        <v/>
      </c>
    </row>
    <row r="3925">
      <c r="A3925" s="26" t="n"/>
      <c r="B3925" s="24" t="n"/>
      <c r="C3925" s="40">
        <f>IF(B3925="","",IFERROR(INDEX(Mitarbeiter!$B$6:$B$205,MATCH(B3925,Mitarbeiter!$A$6:$A$205,0)),"?"))</f>
        <v/>
      </c>
      <c r="D3925" s="41" t="n"/>
      <c r="E3925" s="42" t="n"/>
      <c r="F3925" s="43" t="n"/>
      <c r="G3925" s="44">
        <f>IF(OR(B3925="",F3925=""),"",IFERROR(F3925*INDEX(Mitarbeiter!$F$6:$F$205,MATCH(B3925,Mitarbeiter!$A$6:$A$205,0)),0))</f>
        <v/>
      </c>
      <c r="H3925" s="8">
        <f>IF(B3925="","",IF(ISNA(MATCH(B3925,Mitarbeiter!$A$6:$A$205,0)),"Pers.-Nr. unbekannt",IF(A3925="","Datum fehlt",IF(AND(D3925&lt;&gt;Einstellungen!$C$4,D3925&lt;&gt;Einstellungen!$C$5),"Objekt fehlt",IF(YEAR(A3925)&lt;&gt;Einstellungen!$C$3,"anderes Jahr",IF(A3925&lt;INDEX(Mitarbeiter!$C$6:$C$205,MATCH(B3925,Mitarbeiter!$A$6:$A$205,0)),"vor Eintritt",IF(AND(INDEX(Mitarbeiter!$D$6:$D$205,MATCH(B3925,Mitarbeiter!$A$6:$A$205,0))&lt;&gt;"",A3925&gt;INDEX(Mitarbeiter!$D$6:$D$205,MATCH(B3925,Mitarbeiter!$A$6:$A$205,0))),"nach Austritt","ok")))))))</f>
        <v/>
      </c>
    </row>
    <row r="3926">
      <c r="A3926" s="26" t="n"/>
      <c r="B3926" s="24" t="n"/>
      <c r="C3926" s="40">
        <f>IF(B3926="","",IFERROR(INDEX(Mitarbeiter!$B$6:$B$205,MATCH(B3926,Mitarbeiter!$A$6:$A$205,0)),"?"))</f>
        <v/>
      </c>
      <c r="D3926" s="41" t="n"/>
      <c r="E3926" s="42" t="n"/>
      <c r="F3926" s="43" t="n"/>
      <c r="G3926" s="44">
        <f>IF(OR(B3926="",F3926=""),"",IFERROR(F3926*INDEX(Mitarbeiter!$F$6:$F$205,MATCH(B3926,Mitarbeiter!$A$6:$A$205,0)),0))</f>
        <v/>
      </c>
      <c r="H3926" s="8">
        <f>IF(B3926="","",IF(ISNA(MATCH(B3926,Mitarbeiter!$A$6:$A$205,0)),"Pers.-Nr. unbekannt",IF(A3926="","Datum fehlt",IF(AND(D3926&lt;&gt;Einstellungen!$C$4,D3926&lt;&gt;Einstellungen!$C$5),"Objekt fehlt",IF(YEAR(A3926)&lt;&gt;Einstellungen!$C$3,"anderes Jahr",IF(A3926&lt;INDEX(Mitarbeiter!$C$6:$C$205,MATCH(B3926,Mitarbeiter!$A$6:$A$205,0)),"vor Eintritt",IF(AND(INDEX(Mitarbeiter!$D$6:$D$205,MATCH(B3926,Mitarbeiter!$A$6:$A$205,0))&lt;&gt;"",A3926&gt;INDEX(Mitarbeiter!$D$6:$D$205,MATCH(B3926,Mitarbeiter!$A$6:$A$205,0))),"nach Austritt","ok")))))))</f>
        <v/>
      </c>
    </row>
    <row r="3927">
      <c r="A3927" s="26" t="n"/>
      <c r="B3927" s="24" t="n"/>
      <c r="C3927" s="40">
        <f>IF(B3927="","",IFERROR(INDEX(Mitarbeiter!$B$6:$B$205,MATCH(B3927,Mitarbeiter!$A$6:$A$205,0)),"?"))</f>
        <v/>
      </c>
      <c r="D3927" s="41" t="n"/>
      <c r="E3927" s="42" t="n"/>
      <c r="F3927" s="43" t="n"/>
      <c r="G3927" s="44">
        <f>IF(OR(B3927="",F3927=""),"",IFERROR(F3927*INDEX(Mitarbeiter!$F$6:$F$205,MATCH(B3927,Mitarbeiter!$A$6:$A$205,0)),0))</f>
        <v/>
      </c>
      <c r="H3927" s="8">
        <f>IF(B3927="","",IF(ISNA(MATCH(B3927,Mitarbeiter!$A$6:$A$205,0)),"Pers.-Nr. unbekannt",IF(A3927="","Datum fehlt",IF(AND(D3927&lt;&gt;Einstellungen!$C$4,D3927&lt;&gt;Einstellungen!$C$5),"Objekt fehlt",IF(YEAR(A3927)&lt;&gt;Einstellungen!$C$3,"anderes Jahr",IF(A3927&lt;INDEX(Mitarbeiter!$C$6:$C$205,MATCH(B3927,Mitarbeiter!$A$6:$A$205,0)),"vor Eintritt",IF(AND(INDEX(Mitarbeiter!$D$6:$D$205,MATCH(B3927,Mitarbeiter!$A$6:$A$205,0))&lt;&gt;"",A3927&gt;INDEX(Mitarbeiter!$D$6:$D$205,MATCH(B3927,Mitarbeiter!$A$6:$A$205,0))),"nach Austritt","ok")))))))</f>
        <v/>
      </c>
    </row>
    <row r="3928">
      <c r="A3928" s="26" t="n"/>
      <c r="B3928" s="24" t="n"/>
      <c r="C3928" s="40">
        <f>IF(B3928="","",IFERROR(INDEX(Mitarbeiter!$B$6:$B$205,MATCH(B3928,Mitarbeiter!$A$6:$A$205,0)),"?"))</f>
        <v/>
      </c>
      <c r="D3928" s="41" t="n"/>
      <c r="E3928" s="42" t="n"/>
      <c r="F3928" s="43" t="n"/>
      <c r="G3928" s="44">
        <f>IF(OR(B3928="",F3928=""),"",IFERROR(F3928*INDEX(Mitarbeiter!$F$6:$F$205,MATCH(B3928,Mitarbeiter!$A$6:$A$205,0)),0))</f>
        <v/>
      </c>
      <c r="H3928" s="8">
        <f>IF(B3928="","",IF(ISNA(MATCH(B3928,Mitarbeiter!$A$6:$A$205,0)),"Pers.-Nr. unbekannt",IF(A3928="","Datum fehlt",IF(AND(D3928&lt;&gt;Einstellungen!$C$4,D3928&lt;&gt;Einstellungen!$C$5),"Objekt fehlt",IF(YEAR(A3928)&lt;&gt;Einstellungen!$C$3,"anderes Jahr",IF(A3928&lt;INDEX(Mitarbeiter!$C$6:$C$205,MATCH(B3928,Mitarbeiter!$A$6:$A$205,0)),"vor Eintritt",IF(AND(INDEX(Mitarbeiter!$D$6:$D$205,MATCH(B3928,Mitarbeiter!$A$6:$A$205,0))&lt;&gt;"",A3928&gt;INDEX(Mitarbeiter!$D$6:$D$205,MATCH(B3928,Mitarbeiter!$A$6:$A$205,0))),"nach Austritt","ok")))))))</f>
        <v/>
      </c>
    </row>
    <row r="3929">
      <c r="A3929" s="26" t="n"/>
      <c r="B3929" s="24" t="n"/>
      <c r="C3929" s="40">
        <f>IF(B3929="","",IFERROR(INDEX(Mitarbeiter!$B$6:$B$205,MATCH(B3929,Mitarbeiter!$A$6:$A$205,0)),"?"))</f>
        <v/>
      </c>
      <c r="D3929" s="41" t="n"/>
      <c r="E3929" s="42" t="n"/>
      <c r="F3929" s="43" t="n"/>
      <c r="G3929" s="44">
        <f>IF(OR(B3929="",F3929=""),"",IFERROR(F3929*INDEX(Mitarbeiter!$F$6:$F$205,MATCH(B3929,Mitarbeiter!$A$6:$A$205,0)),0))</f>
        <v/>
      </c>
      <c r="H3929" s="8">
        <f>IF(B3929="","",IF(ISNA(MATCH(B3929,Mitarbeiter!$A$6:$A$205,0)),"Pers.-Nr. unbekannt",IF(A3929="","Datum fehlt",IF(AND(D3929&lt;&gt;Einstellungen!$C$4,D3929&lt;&gt;Einstellungen!$C$5),"Objekt fehlt",IF(YEAR(A3929)&lt;&gt;Einstellungen!$C$3,"anderes Jahr",IF(A3929&lt;INDEX(Mitarbeiter!$C$6:$C$205,MATCH(B3929,Mitarbeiter!$A$6:$A$205,0)),"vor Eintritt",IF(AND(INDEX(Mitarbeiter!$D$6:$D$205,MATCH(B3929,Mitarbeiter!$A$6:$A$205,0))&lt;&gt;"",A3929&gt;INDEX(Mitarbeiter!$D$6:$D$205,MATCH(B3929,Mitarbeiter!$A$6:$A$205,0))),"nach Austritt","ok")))))))</f>
        <v/>
      </c>
    </row>
    <row r="3930">
      <c r="A3930" s="26" t="n"/>
      <c r="B3930" s="24" t="n"/>
      <c r="C3930" s="40">
        <f>IF(B3930="","",IFERROR(INDEX(Mitarbeiter!$B$6:$B$205,MATCH(B3930,Mitarbeiter!$A$6:$A$205,0)),"?"))</f>
        <v/>
      </c>
      <c r="D3930" s="41" t="n"/>
      <c r="E3930" s="42" t="n"/>
      <c r="F3930" s="43" t="n"/>
      <c r="G3930" s="44">
        <f>IF(OR(B3930="",F3930=""),"",IFERROR(F3930*INDEX(Mitarbeiter!$F$6:$F$205,MATCH(B3930,Mitarbeiter!$A$6:$A$205,0)),0))</f>
        <v/>
      </c>
      <c r="H3930" s="8">
        <f>IF(B3930="","",IF(ISNA(MATCH(B3930,Mitarbeiter!$A$6:$A$205,0)),"Pers.-Nr. unbekannt",IF(A3930="","Datum fehlt",IF(AND(D3930&lt;&gt;Einstellungen!$C$4,D3930&lt;&gt;Einstellungen!$C$5),"Objekt fehlt",IF(YEAR(A3930)&lt;&gt;Einstellungen!$C$3,"anderes Jahr",IF(A3930&lt;INDEX(Mitarbeiter!$C$6:$C$205,MATCH(B3930,Mitarbeiter!$A$6:$A$205,0)),"vor Eintritt",IF(AND(INDEX(Mitarbeiter!$D$6:$D$205,MATCH(B3930,Mitarbeiter!$A$6:$A$205,0))&lt;&gt;"",A3930&gt;INDEX(Mitarbeiter!$D$6:$D$205,MATCH(B3930,Mitarbeiter!$A$6:$A$205,0))),"nach Austritt","ok")))))))</f>
        <v/>
      </c>
    </row>
    <row r="3931">
      <c r="A3931" s="26" t="n"/>
      <c r="B3931" s="24" t="n"/>
      <c r="C3931" s="40">
        <f>IF(B3931="","",IFERROR(INDEX(Mitarbeiter!$B$6:$B$205,MATCH(B3931,Mitarbeiter!$A$6:$A$205,0)),"?"))</f>
        <v/>
      </c>
      <c r="D3931" s="41" t="n"/>
      <c r="E3931" s="42" t="n"/>
      <c r="F3931" s="43" t="n"/>
      <c r="G3931" s="44">
        <f>IF(OR(B3931="",F3931=""),"",IFERROR(F3931*INDEX(Mitarbeiter!$F$6:$F$205,MATCH(B3931,Mitarbeiter!$A$6:$A$205,0)),0))</f>
        <v/>
      </c>
      <c r="H3931" s="8">
        <f>IF(B3931="","",IF(ISNA(MATCH(B3931,Mitarbeiter!$A$6:$A$205,0)),"Pers.-Nr. unbekannt",IF(A3931="","Datum fehlt",IF(AND(D3931&lt;&gt;Einstellungen!$C$4,D3931&lt;&gt;Einstellungen!$C$5),"Objekt fehlt",IF(YEAR(A3931)&lt;&gt;Einstellungen!$C$3,"anderes Jahr",IF(A3931&lt;INDEX(Mitarbeiter!$C$6:$C$205,MATCH(B3931,Mitarbeiter!$A$6:$A$205,0)),"vor Eintritt",IF(AND(INDEX(Mitarbeiter!$D$6:$D$205,MATCH(B3931,Mitarbeiter!$A$6:$A$205,0))&lt;&gt;"",A3931&gt;INDEX(Mitarbeiter!$D$6:$D$205,MATCH(B3931,Mitarbeiter!$A$6:$A$205,0))),"nach Austritt","ok")))))))</f>
        <v/>
      </c>
    </row>
    <row r="3932">
      <c r="A3932" s="26" t="n"/>
      <c r="B3932" s="24" t="n"/>
      <c r="C3932" s="40">
        <f>IF(B3932="","",IFERROR(INDEX(Mitarbeiter!$B$6:$B$205,MATCH(B3932,Mitarbeiter!$A$6:$A$205,0)),"?"))</f>
        <v/>
      </c>
      <c r="D3932" s="41" t="n"/>
      <c r="E3932" s="42" t="n"/>
      <c r="F3932" s="43" t="n"/>
      <c r="G3932" s="44">
        <f>IF(OR(B3932="",F3932=""),"",IFERROR(F3932*INDEX(Mitarbeiter!$F$6:$F$205,MATCH(B3932,Mitarbeiter!$A$6:$A$205,0)),0))</f>
        <v/>
      </c>
      <c r="H3932" s="8">
        <f>IF(B3932="","",IF(ISNA(MATCH(B3932,Mitarbeiter!$A$6:$A$205,0)),"Pers.-Nr. unbekannt",IF(A3932="","Datum fehlt",IF(AND(D3932&lt;&gt;Einstellungen!$C$4,D3932&lt;&gt;Einstellungen!$C$5),"Objekt fehlt",IF(YEAR(A3932)&lt;&gt;Einstellungen!$C$3,"anderes Jahr",IF(A3932&lt;INDEX(Mitarbeiter!$C$6:$C$205,MATCH(B3932,Mitarbeiter!$A$6:$A$205,0)),"vor Eintritt",IF(AND(INDEX(Mitarbeiter!$D$6:$D$205,MATCH(B3932,Mitarbeiter!$A$6:$A$205,0))&lt;&gt;"",A3932&gt;INDEX(Mitarbeiter!$D$6:$D$205,MATCH(B3932,Mitarbeiter!$A$6:$A$205,0))),"nach Austritt","ok")))))))</f>
        <v/>
      </c>
    </row>
    <row r="3933">
      <c r="A3933" s="26" t="n"/>
      <c r="B3933" s="24" t="n"/>
      <c r="C3933" s="40">
        <f>IF(B3933="","",IFERROR(INDEX(Mitarbeiter!$B$6:$B$205,MATCH(B3933,Mitarbeiter!$A$6:$A$205,0)),"?"))</f>
        <v/>
      </c>
      <c r="D3933" s="41" t="n"/>
      <c r="E3933" s="42" t="n"/>
      <c r="F3933" s="43" t="n"/>
      <c r="G3933" s="44">
        <f>IF(OR(B3933="",F3933=""),"",IFERROR(F3933*INDEX(Mitarbeiter!$F$6:$F$205,MATCH(B3933,Mitarbeiter!$A$6:$A$205,0)),0))</f>
        <v/>
      </c>
      <c r="H3933" s="8">
        <f>IF(B3933="","",IF(ISNA(MATCH(B3933,Mitarbeiter!$A$6:$A$205,0)),"Pers.-Nr. unbekannt",IF(A3933="","Datum fehlt",IF(AND(D3933&lt;&gt;Einstellungen!$C$4,D3933&lt;&gt;Einstellungen!$C$5),"Objekt fehlt",IF(YEAR(A3933)&lt;&gt;Einstellungen!$C$3,"anderes Jahr",IF(A3933&lt;INDEX(Mitarbeiter!$C$6:$C$205,MATCH(B3933,Mitarbeiter!$A$6:$A$205,0)),"vor Eintritt",IF(AND(INDEX(Mitarbeiter!$D$6:$D$205,MATCH(B3933,Mitarbeiter!$A$6:$A$205,0))&lt;&gt;"",A3933&gt;INDEX(Mitarbeiter!$D$6:$D$205,MATCH(B3933,Mitarbeiter!$A$6:$A$205,0))),"nach Austritt","ok")))))))</f>
        <v/>
      </c>
    </row>
    <row r="3934">
      <c r="A3934" s="26" t="n"/>
      <c r="B3934" s="24" t="n"/>
      <c r="C3934" s="40">
        <f>IF(B3934="","",IFERROR(INDEX(Mitarbeiter!$B$6:$B$205,MATCH(B3934,Mitarbeiter!$A$6:$A$205,0)),"?"))</f>
        <v/>
      </c>
      <c r="D3934" s="41" t="n"/>
      <c r="E3934" s="42" t="n"/>
      <c r="F3934" s="43" t="n"/>
      <c r="G3934" s="44">
        <f>IF(OR(B3934="",F3934=""),"",IFERROR(F3934*INDEX(Mitarbeiter!$F$6:$F$205,MATCH(B3934,Mitarbeiter!$A$6:$A$205,0)),0))</f>
        <v/>
      </c>
      <c r="H3934" s="8">
        <f>IF(B3934="","",IF(ISNA(MATCH(B3934,Mitarbeiter!$A$6:$A$205,0)),"Pers.-Nr. unbekannt",IF(A3934="","Datum fehlt",IF(AND(D3934&lt;&gt;Einstellungen!$C$4,D3934&lt;&gt;Einstellungen!$C$5),"Objekt fehlt",IF(YEAR(A3934)&lt;&gt;Einstellungen!$C$3,"anderes Jahr",IF(A3934&lt;INDEX(Mitarbeiter!$C$6:$C$205,MATCH(B3934,Mitarbeiter!$A$6:$A$205,0)),"vor Eintritt",IF(AND(INDEX(Mitarbeiter!$D$6:$D$205,MATCH(B3934,Mitarbeiter!$A$6:$A$205,0))&lt;&gt;"",A3934&gt;INDEX(Mitarbeiter!$D$6:$D$205,MATCH(B3934,Mitarbeiter!$A$6:$A$205,0))),"nach Austritt","ok")))))))</f>
        <v/>
      </c>
    </row>
    <row r="3935">
      <c r="A3935" s="26" t="n"/>
      <c r="B3935" s="24" t="n"/>
      <c r="C3935" s="40">
        <f>IF(B3935="","",IFERROR(INDEX(Mitarbeiter!$B$6:$B$205,MATCH(B3935,Mitarbeiter!$A$6:$A$205,0)),"?"))</f>
        <v/>
      </c>
      <c r="D3935" s="41" t="n"/>
      <c r="E3935" s="42" t="n"/>
      <c r="F3935" s="43" t="n"/>
      <c r="G3935" s="44">
        <f>IF(OR(B3935="",F3935=""),"",IFERROR(F3935*INDEX(Mitarbeiter!$F$6:$F$205,MATCH(B3935,Mitarbeiter!$A$6:$A$205,0)),0))</f>
        <v/>
      </c>
      <c r="H3935" s="8">
        <f>IF(B3935="","",IF(ISNA(MATCH(B3935,Mitarbeiter!$A$6:$A$205,0)),"Pers.-Nr. unbekannt",IF(A3935="","Datum fehlt",IF(AND(D3935&lt;&gt;Einstellungen!$C$4,D3935&lt;&gt;Einstellungen!$C$5),"Objekt fehlt",IF(YEAR(A3935)&lt;&gt;Einstellungen!$C$3,"anderes Jahr",IF(A3935&lt;INDEX(Mitarbeiter!$C$6:$C$205,MATCH(B3935,Mitarbeiter!$A$6:$A$205,0)),"vor Eintritt",IF(AND(INDEX(Mitarbeiter!$D$6:$D$205,MATCH(B3935,Mitarbeiter!$A$6:$A$205,0))&lt;&gt;"",A3935&gt;INDEX(Mitarbeiter!$D$6:$D$205,MATCH(B3935,Mitarbeiter!$A$6:$A$205,0))),"nach Austritt","ok")))))))</f>
        <v/>
      </c>
    </row>
    <row r="3936">
      <c r="A3936" s="26" t="n"/>
      <c r="B3936" s="24" t="n"/>
      <c r="C3936" s="40">
        <f>IF(B3936="","",IFERROR(INDEX(Mitarbeiter!$B$6:$B$205,MATCH(B3936,Mitarbeiter!$A$6:$A$205,0)),"?"))</f>
        <v/>
      </c>
      <c r="D3936" s="41" t="n"/>
      <c r="E3936" s="42" t="n"/>
      <c r="F3936" s="43" t="n"/>
      <c r="G3936" s="44">
        <f>IF(OR(B3936="",F3936=""),"",IFERROR(F3936*INDEX(Mitarbeiter!$F$6:$F$205,MATCH(B3936,Mitarbeiter!$A$6:$A$205,0)),0))</f>
        <v/>
      </c>
      <c r="H3936" s="8">
        <f>IF(B3936="","",IF(ISNA(MATCH(B3936,Mitarbeiter!$A$6:$A$205,0)),"Pers.-Nr. unbekannt",IF(A3936="","Datum fehlt",IF(AND(D3936&lt;&gt;Einstellungen!$C$4,D3936&lt;&gt;Einstellungen!$C$5),"Objekt fehlt",IF(YEAR(A3936)&lt;&gt;Einstellungen!$C$3,"anderes Jahr",IF(A3936&lt;INDEX(Mitarbeiter!$C$6:$C$205,MATCH(B3936,Mitarbeiter!$A$6:$A$205,0)),"vor Eintritt",IF(AND(INDEX(Mitarbeiter!$D$6:$D$205,MATCH(B3936,Mitarbeiter!$A$6:$A$205,0))&lt;&gt;"",A3936&gt;INDEX(Mitarbeiter!$D$6:$D$205,MATCH(B3936,Mitarbeiter!$A$6:$A$205,0))),"nach Austritt","ok")))))))</f>
        <v/>
      </c>
    </row>
    <row r="3937">
      <c r="A3937" s="26" t="n"/>
      <c r="B3937" s="24" t="n"/>
      <c r="C3937" s="40">
        <f>IF(B3937="","",IFERROR(INDEX(Mitarbeiter!$B$6:$B$205,MATCH(B3937,Mitarbeiter!$A$6:$A$205,0)),"?"))</f>
        <v/>
      </c>
      <c r="D3937" s="41" t="n"/>
      <c r="E3937" s="42" t="n"/>
      <c r="F3937" s="43" t="n"/>
      <c r="G3937" s="44">
        <f>IF(OR(B3937="",F3937=""),"",IFERROR(F3937*INDEX(Mitarbeiter!$F$6:$F$205,MATCH(B3937,Mitarbeiter!$A$6:$A$205,0)),0))</f>
        <v/>
      </c>
      <c r="H3937" s="8">
        <f>IF(B3937="","",IF(ISNA(MATCH(B3937,Mitarbeiter!$A$6:$A$205,0)),"Pers.-Nr. unbekannt",IF(A3937="","Datum fehlt",IF(AND(D3937&lt;&gt;Einstellungen!$C$4,D3937&lt;&gt;Einstellungen!$C$5),"Objekt fehlt",IF(YEAR(A3937)&lt;&gt;Einstellungen!$C$3,"anderes Jahr",IF(A3937&lt;INDEX(Mitarbeiter!$C$6:$C$205,MATCH(B3937,Mitarbeiter!$A$6:$A$205,0)),"vor Eintritt",IF(AND(INDEX(Mitarbeiter!$D$6:$D$205,MATCH(B3937,Mitarbeiter!$A$6:$A$205,0))&lt;&gt;"",A3937&gt;INDEX(Mitarbeiter!$D$6:$D$205,MATCH(B3937,Mitarbeiter!$A$6:$A$205,0))),"nach Austritt","ok")))))))</f>
        <v/>
      </c>
    </row>
    <row r="3938">
      <c r="A3938" s="26" t="n"/>
      <c r="B3938" s="24" t="n"/>
      <c r="C3938" s="40">
        <f>IF(B3938="","",IFERROR(INDEX(Mitarbeiter!$B$6:$B$205,MATCH(B3938,Mitarbeiter!$A$6:$A$205,0)),"?"))</f>
        <v/>
      </c>
      <c r="D3938" s="41" t="n"/>
      <c r="E3938" s="42" t="n"/>
      <c r="F3938" s="43" t="n"/>
      <c r="G3938" s="44">
        <f>IF(OR(B3938="",F3938=""),"",IFERROR(F3938*INDEX(Mitarbeiter!$F$6:$F$205,MATCH(B3938,Mitarbeiter!$A$6:$A$205,0)),0))</f>
        <v/>
      </c>
      <c r="H3938" s="8">
        <f>IF(B3938="","",IF(ISNA(MATCH(B3938,Mitarbeiter!$A$6:$A$205,0)),"Pers.-Nr. unbekannt",IF(A3938="","Datum fehlt",IF(AND(D3938&lt;&gt;Einstellungen!$C$4,D3938&lt;&gt;Einstellungen!$C$5),"Objekt fehlt",IF(YEAR(A3938)&lt;&gt;Einstellungen!$C$3,"anderes Jahr",IF(A3938&lt;INDEX(Mitarbeiter!$C$6:$C$205,MATCH(B3938,Mitarbeiter!$A$6:$A$205,0)),"vor Eintritt",IF(AND(INDEX(Mitarbeiter!$D$6:$D$205,MATCH(B3938,Mitarbeiter!$A$6:$A$205,0))&lt;&gt;"",A3938&gt;INDEX(Mitarbeiter!$D$6:$D$205,MATCH(B3938,Mitarbeiter!$A$6:$A$205,0))),"nach Austritt","ok")))))))</f>
        <v/>
      </c>
    </row>
    <row r="3939">
      <c r="A3939" s="26" t="n"/>
      <c r="B3939" s="24" t="n"/>
      <c r="C3939" s="40">
        <f>IF(B3939="","",IFERROR(INDEX(Mitarbeiter!$B$6:$B$205,MATCH(B3939,Mitarbeiter!$A$6:$A$205,0)),"?"))</f>
        <v/>
      </c>
      <c r="D3939" s="41" t="n"/>
      <c r="E3939" s="42" t="n"/>
      <c r="F3939" s="43" t="n"/>
      <c r="G3939" s="44">
        <f>IF(OR(B3939="",F3939=""),"",IFERROR(F3939*INDEX(Mitarbeiter!$F$6:$F$205,MATCH(B3939,Mitarbeiter!$A$6:$A$205,0)),0))</f>
        <v/>
      </c>
      <c r="H3939" s="8">
        <f>IF(B3939="","",IF(ISNA(MATCH(B3939,Mitarbeiter!$A$6:$A$205,0)),"Pers.-Nr. unbekannt",IF(A3939="","Datum fehlt",IF(AND(D3939&lt;&gt;Einstellungen!$C$4,D3939&lt;&gt;Einstellungen!$C$5),"Objekt fehlt",IF(YEAR(A3939)&lt;&gt;Einstellungen!$C$3,"anderes Jahr",IF(A3939&lt;INDEX(Mitarbeiter!$C$6:$C$205,MATCH(B3939,Mitarbeiter!$A$6:$A$205,0)),"vor Eintritt",IF(AND(INDEX(Mitarbeiter!$D$6:$D$205,MATCH(B3939,Mitarbeiter!$A$6:$A$205,0))&lt;&gt;"",A3939&gt;INDEX(Mitarbeiter!$D$6:$D$205,MATCH(B3939,Mitarbeiter!$A$6:$A$205,0))),"nach Austritt","ok")))))))</f>
        <v/>
      </c>
    </row>
    <row r="3940">
      <c r="A3940" s="26" t="n"/>
      <c r="B3940" s="24" t="n"/>
      <c r="C3940" s="40">
        <f>IF(B3940="","",IFERROR(INDEX(Mitarbeiter!$B$6:$B$205,MATCH(B3940,Mitarbeiter!$A$6:$A$205,0)),"?"))</f>
        <v/>
      </c>
      <c r="D3940" s="41" t="n"/>
      <c r="E3940" s="42" t="n"/>
      <c r="F3940" s="43" t="n"/>
      <c r="G3940" s="44">
        <f>IF(OR(B3940="",F3940=""),"",IFERROR(F3940*INDEX(Mitarbeiter!$F$6:$F$205,MATCH(B3940,Mitarbeiter!$A$6:$A$205,0)),0))</f>
        <v/>
      </c>
      <c r="H3940" s="8">
        <f>IF(B3940="","",IF(ISNA(MATCH(B3940,Mitarbeiter!$A$6:$A$205,0)),"Pers.-Nr. unbekannt",IF(A3940="","Datum fehlt",IF(AND(D3940&lt;&gt;Einstellungen!$C$4,D3940&lt;&gt;Einstellungen!$C$5),"Objekt fehlt",IF(YEAR(A3940)&lt;&gt;Einstellungen!$C$3,"anderes Jahr",IF(A3940&lt;INDEX(Mitarbeiter!$C$6:$C$205,MATCH(B3940,Mitarbeiter!$A$6:$A$205,0)),"vor Eintritt",IF(AND(INDEX(Mitarbeiter!$D$6:$D$205,MATCH(B3940,Mitarbeiter!$A$6:$A$205,0))&lt;&gt;"",A3940&gt;INDEX(Mitarbeiter!$D$6:$D$205,MATCH(B3940,Mitarbeiter!$A$6:$A$205,0))),"nach Austritt","ok")))))))</f>
        <v/>
      </c>
    </row>
    <row r="3941">
      <c r="A3941" s="26" t="n"/>
      <c r="B3941" s="24" t="n"/>
      <c r="C3941" s="40">
        <f>IF(B3941="","",IFERROR(INDEX(Mitarbeiter!$B$6:$B$205,MATCH(B3941,Mitarbeiter!$A$6:$A$205,0)),"?"))</f>
        <v/>
      </c>
      <c r="D3941" s="41" t="n"/>
      <c r="E3941" s="42" t="n"/>
      <c r="F3941" s="43" t="n"/>
      <c r="G3941" s="44">
        <f>IF(OR(B3941="",F3941=""),"",IFERROR(F3941*INDEX(Mitarbeiter!$F$6:$F$205,MATCH(B3941,Mitarbeiter!$A$6:$A$205,0)),0))</f>
        <v/>
      </c>
      <c r="H3941" s="8">
        <f>IF(B3941="","",IF(ISNA(MATCH(B3941,Mitarbeiter!$A$6:$A$205,0)),"Pers.-Nr. unbekannt",IF(A3941="","Datum fehlt",IF(AND(D3941&lt;&gt;Einstellungen!$C$4,D3941&lt;&gt;Einstellungen!$C$5),"Objekt fehlt",IF(YEAR(A3941)&lt;&gt;Einstellungen!$C$3,"anderes Jahr",IF(A3941&lt;INDEX(Mitarbeiter!$C$6:$C$205,MATCH(B3941,Mitarbeiter!$A$6:$A$205,0)),"vor Eintritt",IF(AND(INDEX(Mitarbeiter!$D$6:$D$205,MATCH(B3941,Mitarbeiter!$A$6:$A$205,0))&lt;&gt;"",A3941&gt;INDEX(Mitarbeiter!$D$6:$D$205,MATCH(B3941,Mitarbeiter!$A$6:$A$205,0))),"nach Austritt","ok")))))))</f>
        <v/>
      </c>
    </row>
    <row r="3942">
      <c r="A3942" s="26" t="n"/>
      <c r="B3942" s="24" t="n"/>
      <c r="C3942" s="40">
        <f>IF(B3942="","",IFERROR(INDEX(Mitarbeiter!$B$6:$B$205,MATCH(B3942,Mitarbeiter!$A$6:$A$205,0)),"?"))</f>
        <v/>
      </c>
      <c r="D3942" s="41" t="n"/>
      <c r="E3942" s="42" t="n"/>
      <c r="F3942" s="43" t="n"/>
      <c r="G3942" s="44">
        <f>IF(OR(B3942="",F3942=""),"",IFERROR(F3942*INDEX(Mitarbeiter!$F$6:$F$205,MATCH(B3942,Mitarbeiter!$A$6:$A$205,0)),0))</f>
        <v/>
      </c>
      <c r="H3942" s="8">
        <f>IF(B3942="","",IF(ISNA(MATCH(B3942,Mitarbeiter!$A$6:$A$205,0)),"Pers.-Nr. unbekannt",IF(A3942="","Datum fehlt",IF(AND(D3942&lt;&gt;Einstellungen!$C$4,D3942&lt;&gt;Einstellungen!$C$5),"Objekt fehlt",IF(YEAR(A3942)&lt;&gt;Einstellungen!$C$3,"anderes Jahr",IF(A3942&lt;INDEX(Mitarbeiter!$C$6:$C$205,MATCH(B3942,Mitarbeiter!$A$6:$A$205,0)),"vor Eintritt",IF(AND(INDEX(Mitarbeiter!$D$6:$D$205,MATCH(B3942,Mitarbeiter!$A$6:$A$205,0))&lt;&gt;"",A3942&gt;INDEX(Mitarbeiter!$D$6:$D$205,MATCH(B3942,Mitarbeiter!$A$6:$A$205,0))),"nach Austritt","ok")))))))</f>
        <v/>
      </c>
    </row>
    <row r="3943">
      <c r="A3943" s="26" t="n"/>
      <c r="B3943" s="24" t="n"/>
      <c r="C3943" s="40">
        <f>IF(B3943="","",IFERROR(INDEX(Mitarbeiter!$B$6:$B$205,MATCH(B3943,Mitarbeiter!$A$6:$A$205,0)),"?"))</f>
        <v/>
      </c>
      <c r="D3943" s="41" t="n"/>
      <c r="E3943" s="42" t="n"/>
      <c r="F3943" s="43" t="n"/>
      <c r="G3943" s="44">
        <f>IF(OR(B3943="",F3943=""),"",IFERROR(F3943*INDEX(Mitarbeiter!$F$6:$F$205,MATCH(B3943,Mitarbeiter!$A$6:$A$205,0)),0))</f>
        <v/>
      </c>
      <c r="H3943" s="8">
        <f>IF(B3943="","",IF(ISNA(MATCH(B3943,Mitarbeiter!$A$6:$A$205,0)),"Pers.-Nr. unbekannt",IF(A3943="","Datum fehlt",IF(AND(D3943&lt;&gt;Einstellungen!$C$4,D3943&lt;&gt;Einstellungen!$C$5),"Objekt fehlt",IF(YEAR(A3943)&lt;&gt;Einstellungen!$C$3,"anderes Jahr",IF(A3943&lt;INDEX(Mitarbeiter!$C$6:$C$205,MATCH(B3943,Mitarbeiter!$A$6:$A$205,0)),"vor Eintritt",IF(AND(INDEX(Mitarbeiter!$D$6:$D$205,MATCH(B3943,Mitarbeiter!$A$6:$A$205,0))&lt;&gt;"",A3943&gt;INDEX(Mitarbeiter!$D$6:$D$205,MATCH(B3943,Mitarbeiter!$A$6:$A$205,0))),"nach Austritt","ok")))))))</f>
        <v/>
      </c>
    </row>
    <row r="3944">
      <c r="A3944" s="26" t="n"/>
      <c r="B3944" s="24" t="n"/>
      <c r="C3944" s="40">
        <f>IF(B3944="","",IFERROR(INDEX(Mitarbeiter!$B$6:$B$205,MATCH(B3944,Mitarbeiter!$A$6:$A$205,0)),"?"))</f>
        <v/>
      </c>
      <c r="D3944" s="41" t="n"/>
      <c r="E3944" s="42" t="n"/>
      <c r="F3944" s="43" t="n"/>
      <c r="G3944" s="44">
        <f>IF(OR(B3944="",F3944=""),"",IFERROR(F3944*INDEX(Mitarbeiter!$F$6:$F$205,MATCH(B3944,Mitarbeiter!$A$6:$A$205,0)),0))</f>
        <v/>
      </c>
      <c r="H3944" s="8">
        <f>IF(B3944="","",IF(ISNA(MATCH(B3944,Mitarbeiter!$A$6:$A$205,0)),"Pers.-Nr. unbekannt",IF(A3944="","Datum fehlt",IF(AND(D3944&lt;&gt;Einstellungen!$C$4,D3944&lt;&gt;Einstellungen!$C$5),"Objekt fehlt",IF(YEAR(A3944)&lt;&gt;Einstellungen!$C$3,"anderes Jahr",IF(A3944&lt;INDEX(Mitarbeiter!$C$6:$C$205,MATCH(B3944,Mitarbeiter!$A$6:$A$205,0)),"vor Eintritt",IF(AND(INDEX(Mitarbeiter!$D$6:$D$205,MATCH(B3944,Mitarbeiter!$A$6:$A$205,0))&lt;&gt;"",A3944&gt;INDEX(Mitarbeiter!$D$6:$D$205,MATCH(B3944,Mitarbeiter!$A$6:$A$205,0))),"nach Austritt","ok")))))))</f>
        <v/>
      </c>
    </row>
    <row r="3945">
      <c r="A3945" s="26" t="n"/>
      <c r="B3945" s="24" t="n"/>
      <c r="C3945" s="40">
        <f>IF(B3945="","",IFERROR(INDEX(Mitarbeiter!$B$6:$B$205,MATCH(B3945,Mitarbeiter!$A$6:$A$205,0)),"?"))</f>
        <v/>
      </c>
      <c r="D3945" s="41" t="n"/>
      <c r="E3945" s="42" t="n"/>
      <c r="F3945" s="43" t="n"/>
      <c r="G3945" s="44">
        <f>IF(OR(B3945="",F3945=""),"",IFERROR(F3945*INDEX(Mitarbeiter!$F$6:$F$205,MATCH(B3945,Mitarbeiter!$A$6:$A$205,0)),0))</f>
        <v/>
      </c>
      <c r="H3945" s="8">
        <f>IF(B3945="","",IF(ISNA(MATCH(B3945,Mitarbeiter!$A$6:$A$205,0)),"Pers.-Nr. unbekannt",IF(A3945="","Datum fehlt",IF(AND(D3945&lt;&gt;Einstellungen!$C$4,D3945&lt;&gt;Einstellungen!$C$5),"Objekt fehlt",IF(YEAR(A3945)&lt;&gt;Einstellungen!$C$3,"anderes Jahr",IF(A3945&lt;INDEX(Mitarbeiter!$C$6:$C$205,MATCH(B3945,Mitarbeiter!$A$6:$A$205,0)),"vor Eintritt",IF(AND(INDEX(Mitarbeiter!$D$6:$D$205,MATCH(B3945,Mitarbeiter!$A$6:$A$205,0))&lt;&gt;"",A3945&gt;INDEX(Mitarbeiter!$D$6:$D$205,MATCH(B3945,Mitarbeiter!$A$6:$A$205,0))),"nach Austritt","ok")))))))</f>
        <v/>
      </c>
    </row>
    <row r="3946">
      <c r="A3946" s="26" t="n"/>
      <c r="B3946" s="24" t="n"/>
      <c r="C3946" s="40">
        <f>IF(B3946="","",IFERROR(INDEX(Mitarbeiter!$B$6:$B$205,MATCH(B3946,Mitarbeiter!$A$6:$A$205,0)),"?"))</f>
        <v/>
      </c>
      <c r="D3946" s="41" t="n"/>
      <c r="E3946" s="42" t="n"/>
      <c r="F3946" s="43" t="n"/>
      <c r="G3946" s="44">
        <f>IF(OR(B3946="",F3946=""),"",IFERROR(F3946*INDEX(Mitarbeiter!$F$6:$F$205,MATCH(B3946,Mitarbeiter!$A$6:$A$205,0)),0))</f>
        <v/>
      </c>
      <c r="H3946" s="8">
        <f>IF(B3946="","",IF(ISNA(MATCH(B3946,Mitarbeiter!$A$6:$A$205,0)),"Pers.-Nr. unbekannt",IF(A3946="","Datum fehlt",IF(AND(D3946&lt;&gt;Einstellungen!$C$4,D3946&lt;&gt;Einstellungen!$C$5),"Objekt fehlt",IF(YEAR(A3946)&lt;&gt;Einstellungen!$C$3,"anderes Jahr",IF(A3946&lt;INDEX(Mitarbeiter!$C$6:$C$205,MATCH(B3946,Mitarbeiter!$A$6:$A$205,0)),"vor Eintritt",IF(AND(INDEX(Mitarbeiter!$D$6:$D$205,MATCH(B3946,Mitarbeiter!$A$6:$A$205,0))&lt;&gt;"",A3946&gt;INDEX(Mitarbeiter!$D$6:$D$205,MATCH(B3946,Mitarbeiter!$A$6:$A$205,0))),"nach Austritt","ok")))))))</f>
        <v/>
      </c>
    </row>
    <row r="3947">
      <c r="A3947" s="26" t="n"/>
      <c r="B3947" s="24" t="n"/>
      <c r="C3947" s="40">
        <f>IF(B3947="","",IFERROR(INDEX(Mitarbeiter!$B$6:$B$205,MATCH(B3947,Mitarbeiter!$A$6:$A$205,0)),"?"))</f>
        <v/>
      </c>
      <c r="D3947" s="41" t="n"/>
      <c r="E3947" s="42" t="n"/>
      <c r="F3947" s="43" t="n"/>
      <c r="G3947" s="44">
        <f>IF(OR(B3947="",F3947=""),"",IFERROR(F3947*INDEX(Mitarbeiter!$F$6:$F$205,MATCH(B3947,Mitarbeiter!$A$6:$A$205,0)),0))</f>
        <v/>
      </c>
      <c r="H3947" s="8">
        <f>IF(B3947="","",IF(ISNA(MATCH(B3947,Mitarbeiter!$A$6:$A$205,0)),"Pers.-Nr. unbekannt",IF(A3947="","Datum fehlt",IF(AND(D3947&lt;&gt;Einstellungen!$C$4,D3947&lt;&gt;Einstellungen!$C$5),"Objekt fehlt",IF(YEAR(A3947)&lt;&gt;Einstellungen!$C$3,"anderes Jahr",IF(A3947&lt;INDEX(Mitarbeiter!$C$6:$C$205,MATCH(B3947,Mitarbeiter!$A$6:$A$205,0)),"vor Eintritt",IF(AND(INDEX(Mitarbeiter!$D$6:$D$205,MATCH(B3947,Mitarbeiter!$A$6:$A$205,0))&lt;&gt;"",A3947&gt;INDEX(Mitarbeiter!$D$6:$D$205,MATCH(B3947,Mitarbeiter!$A$6:$A$205,0))),"nach Austritt","ok")))))))</f>
        <v/>
      </c>
    </row>
    <row r="3948">
      <c r="A3948" s="26" t="n"/>
      <c r="B3948" s="24" t="n"/>
      <c r="C3948" s="40">
        <f>IF(B3948="","",IFERROR(INDEX(Mitarbeiter!$B$6:$B$205,MATCH(B3948,Mitarbeiter!$A$6:$A$205,0)),"?"))</f>
        <v/>
      </c>
      <c r="D3948" s="41" t="n"/>
      <c r="E3948" s="42" t="n"/>
      <c r="F3948" s="43" t="n"/>
      <c r="G3948" s="44">
        <f>IF(OR(B3948="",F3948=""),"",IFERROR(F3948*INDEX(Mitarbeiter!$F$6:$F$205,MATCH(B3948,Mitarbeiter!$A$6:$A$205,0)),0))</f>
        <v/>
      </c>
      <c r="H3948" s="8">
        <f>IF(B3948="","",IF(ISNA(MATCH(B3948,Mitarbeiter!$A$6:$A$205,0)),"Pers.-Nr. unbekannt",IF(A3948="","Datum fehlt",IF(AND(D3948&lt;&gt;Einstellungen!$C$4,D3948&lt;&gt;Einstellungen!$C$5),"Objekt fehlt",IF(YEAR(A3948)&lt;&gt;Einstellungen!$C$3,"anderes Jahr",IF(A3948&lt;INDEX(Mitarbeiter!$C$6:$C$205,MATCH(B3948,Mitarbeiter!$A$6:$A$205,0)),"vor Eintritt",IF(AND(INDEX(Mitarbeiter!$D$6:$D$205,MATCH(B3948,Mitarbeiter!$A$6:$A$205,0))&lt;&gt;"",A3948&gt;INDEX(Mitarbeiter!$D$6:$D$205,MATCH(B3948,Mitarbeiter!$A$6:$A$205,0))),"nach Austritt","ok")))))))</f>
        <v/>
      </c>
    </row>
    <row r="3949">
      <c r="A3949" s="26" t="n"/>
      <c r="B3949" s="24" t="n"/>
      <c r="C3949" s="40">
        <f>IF(B3949="","",IFERROR(INDEX(Mitarbeiter!$B$6:$B$205,MATCH(B3949,Mitarbeiter!$A$6:$A$205,0)),"?"))</f>
        <v/>
      </c>
      <c r="D3949" s="41" t="n"/>
      <c r="E3949" s="42" t="n"/>
      <c r="F3949" s="43" t="n"/>
      <c r="G3949" s="44">
        <f>IF(OR(B3949="",F3949=""),"",IFERROR(F3949*INDEX(Mitarbeiter!$F$6:$F$205,MATCH(B3949,Mitarbeiter!$A$6:$A$205,0)),0))</f>
        <v/>
      </c>
      <c r="H3949" s="8">
        <f>IF(B3949="","",IF(ISNA(MATCH(B3949,Mitarbeiter!$A$6:$A$205,0)),"Pers.-Nr. unbekannt",IF(A3949="","Datum fehlt",IF(AND(D3949&lt;&gt;Einstellungen!$C$4,D3949&lt;&gt;Einstellungen!$C$5),"Objekt fehlt",IF(YEAR(A3949)&lt;&gt;Einstellungen!$C$3,"anderes Jahr",IF(A3949&lt;INDEX(Mitarbeiter!$C$6:$C$205,MATCH(B3949,Mitarbeiter!$A$6:$A$205,0)),"vor Eintritt",IF(AND(INDEX(Mitarbeiter!$D$6:$D$205,MATCH(B3949,Mitarbeiter!$A$6:$A$205,0))&lt;&gt;"",A3949&gt;INDEX(Mitarbeiter!$D$6:$D$205,MATCH(B3949,Mitarbeiter!$A$6:$A$205,0))),"nach Austritt","ok")))))))</f>
        <v/>
      </c>
    </row>
    <row r="3950">
      <c r="A3950" s="26" t="n"/>
      <c r="B3950" s="24" t="n"/>
      <c r="C3950" s="40">
        <f>IF(B3950="","",IFERROR(INDEX(Mitarbeiter!$B$6:$B$205,MATCH(B3950,Mitarbeiter!$A$6:$A$205,0)),"?"))</f>
        <v/>
      </c>
      <c r="D3950" s="41" t="n"/>
      <c r="E3950" s="42" t="n"/>
      <c r="F3950" s="43" t="n"/>
      <c r="G3950" s="44">
        <f>IF(OR(B3950="",F3950=""),"",IFERROR(F3950*INDEX(Mitarbeiter!$F$6:$F$205,MATCH(B3950,Mitarbeiter!$A$6:$A$205,0)),0))</f>
        <v/>
      </c>
      <c r="H3950" s="8">
        <f>IF(B3950="","",IF(ISNA(MATCH(B3950,Mitarbeiter!$A$6:$A$205,0)),"Pers.-Nr. unbekannt",IF(A3950="","Datum fehlt",IF(AND(D3950&lt;&gt;Einstellungen!$C$4,D3950&lt;&gt;Einstellungen!$C$5),"Objekt fehlt",IF(YEAR(A3950)&lt;&gt;Einstellungen!$C$3,"anderes Jahr",IF(A3950&lt;INDEX(Mitarbeiter!$C$6:$C$205,MATCH(B3950,Mitarbeiter!$A$6:$A$205,0)),"vor Eintritt",IF(AND(INDEX(Mitarbeiter!$D$6:$D$205,MATCH(B3950,Mitarbeiter!$A$6:$A$205,0))&lt;&gt;"",A3950&gt;INDEX(Mitarbeiter!$D$6:$D$205,MATCH(B3950,Mitarbeiter!$A$6:$A$205,0))),"nach Austritt","ok")))))))</f>
        <v/>
      </c>
    </row>
    <row r="3951">
      <c r="A3951" s="26" t="n"/>
      <c r="B3951" s="24" t="n"/>
      <c r="C3951" s="40">
        <f>IF(B3951="","",IFERROR(INDEX(Mitarbeiter!$B$6:$B$205,MATCH(B3951,Mitarbeiter!$A$6:$A$205,0)),"?"))</f>
        <v/>
      </c>
      <c r="D3951" s="41" t="n"/>
      <c r="E3951" s="42" t="n"/>
      <c r="F3951" s="43" t="n"/>
      <c r="G3951" s="44">
        <f>IF(OR(B3951="",F3951=""),"",IFERROR(F3951*INDEX(Mitarbeiter!$F$6:$F$205,MATCH(B3951,Mitarbeiter!$A$6:$A$205,0)),0))</f>
        <v/>
      </c>
      <c r="H3951" s="8">
        <f>IF(B3951="","",IF(ISNA(MATCH(B3951,Mitarbeiter!$A$6:$A$205,0)),"Pers.-Nr. unbekannt",IF(A3951="","Datum fehlt",IF(AND(D3951&lt;&gt;Einstellungen!$C$4,D3951&lt;&gt;Einstellungen!$C$5),"Objekt fehlt",IF(YEAR(A3951)&lt;&gt;Einstellungen!$C$3,"anderes Jahr",IF(A3951&lt;INDEX(Mitarbeiter!$C$6:$C$205,MATCH(B3951,Mitarbeiter!$A$6:$A$205,0)),"vor Eintritt",IF(AND(INDEX(Mitarbeiter!$D$6:$D$205,MATCH(B3951,Mitarbeiter!$A$6:$A$205,0))&lt;&gt;"",A3951&gt;INDEX(Mitarbeiter!$D$6:$D$205,MATCH(B3951,Mitarbeiter!$A$6:$A$205,0))),"nach Austritt","ok")))))))</f>
        <v/>
      </c>
    </row>
    <row r="3952">
      <c r="A3952" s="26" t="n"/>
      <c r="B3952" s="24" t="n"/>
      <c r="C3952" s="40">
        <f>IF(B3952="","",IFERROR(INDEX(Mitarbeiter!$B$6:$B$205,MATCH(B3952,Mitarbeiter!$A$6:$A$205,0)),"?"))</f>
        <v/>
      </c>
      <c r="D3952" s="41" t="n"/>
      <c r="E3952" s="42" t="n"/>
      <c r="F3952" s="43" t="n"/>
      <c r="G3952" s="44">
        <f>IF(OR(B3952="",F3952=""),"",IFERROR(F3952*INDEX(Mitarbeiter!$F$6:$F$205,MATCH(B3952,Mitarbeiter!$A$6:$A$205,0)),0))</f>
        <v/>
      </c>
      <c r="H3952" s="8">
        <f>IF(B3952="","",IF(ISNA(MATCH(B3952,Mitarbeiter!$A$6:$A$205,0)),"Pers.-Nr. unbekannt",IF(A3952="","Datum fehlt",IF(AND(D3952&lt;&gt;Einstellungen!$C$4,D3952&lt;&gt;Einstellungen!$C$5),"Objekt fehlt",IF(YEAR(A3952)&lt;&gt;Einstellungen!$C$3,"anderes Jahr",IF(A3952&lt;INDEX(Mitarbeiter!$C$6:$C$205,MATCH(B3952,Mitarbeiter!$A$6:$A$205,0)),"vor Eintritt",IF(AND(INDEX(Mitarbeiter!$D$6:$D$205,MATCH(B3952,Mitarbeiter!$A$6:$A$205,0))&lt;&gt;"",A3952&gt;INDEX(Mitarbeiter!$D$6:$D$205,MATCH(B3952,Mitarbeiter!$A$6:$A$205,0))),"nach Austritt","ok")))))))</f>
        <v/>
      </c>
    </row>
    <row r="3953">
      <c r="A3953" s="26" t="n"/>
      <c r="B3953" s="24" t="n"/>
      <c r="C3953" s="40">
        <f>IF(B3953="","",IFERROR(INDEX(Mitarbeiter!$B$6:$B$205,MATCH(B3953,Mitarbeiter!$A$6:$A$205,0)),"?"))</f>
        <v/>
      </c>
      <c r="D3953" s="41" t="n"/>
      <c r="E3953" s="42" t="n"/>
      <c r="F3953" s="43" t="n"/>
      <c r="G3953" s="44">
        <f>IF(OR(B3953="",F3953=""),"",IFERROR(F3953*INDEX(Mitarbeiter!$F$6:$F$205,MATCH(B3953,Mitarbeiter!$A$6:$A$205,0)),0))</f>
        <v/>
      </c>
      <c r="H3953" s="8">
        <f>IF(B3953="","",IF(ISNA(MATCH(B3953,Mitarbeiter!$A$6:$A$205,0)),"Pers.-Nr. unbekannt",IF(A3953="","Datum fehlt",IF(AND(D3953&lt;&gt;Einstellungen!$C$4,D3953&lt;&gt;Einstellungen!$C$5),"Objekt fehlt",IF(YEAR(A3953)&lt;&gt;Einstellungen!$C$3,"anderes Jahr",IF(A3953&lt;INDEX(Mitarbeiter!$C$6:$C$205,MATCH(B3953,Mitarbeiter!$A$6:$A$205,0)),"vor Eintritt",IF(AND(INDEX(Mitarbeiter!$D$6:$D$205,MATCH(B3953,Mitarbeiter!$A$6:$A$205,0))&lt;&gt;"",A3953&gt;INDEX(Mitarbeiter!$D$6:$D$205,MATCH(B3953,Mitarbeiter!$A$6:$A$205,0))),"nach Austritt","ok")))))))</f>
        <v/>
      </c>
    </row>
    <row r="3954">
      <c r="A3954" s="26" t="n"/>
      <c r="B3954" s="24" t="n"/>
      <c r="C3954" s="40">
        <f>IF(B3954="","",IFERROR(INDEX(Mitarbeiter!$B$6:$B$205,MATCH(B3954,Mitarbeiter!$A$6:$A$205,0)),"?"))</f>
        <v/>
      </c>
      <c r="D3954" s="41" t="n"/>
      <c r="E3954" s="42" t="n"/>
      <c r="F3954" s="43" t="n"/>
      <c r="G3954" s="44">
        <f>IF(OR(B3954="",F3954=""),"",IFERROR(F3954*INDEX(Mitarbeiter!$F$6:$F$205,MATCH(B3954,Mitarbeiter!$A$6:$A$205,0)),0))</f>
        <v/>
      </c>
      <c r="H3954" s="8">
        <f>IF(B3954="","",IF(ISNA(MATCH(B3954,Mitarbeiter!$A$6:$A$205,0)),"Pers.-Nr. unbekannt",IF(A3954="","Datum fehlt",IF(AND(D3954&lt;&gt;Einstellungen!$C$4,D3954&lt;&gt;Einstellungen!$C$5),"Objekt fehlt",IF(YEAR(A3954)&lt;&gt;Einstellungen!$C$3,"anderes Jahr",IF(A3954&lt;INDEX(Mitarbeiter!$C$6:$C$205,MATCH(B3954,Mitarbeiter!$A$6:$A$205,0)),"vor Eintritt",IF(AND(INDEX(Mitarbeiter!$D$6:$D$205,MATCH(B3954,Mitarbeiter!$A$6:$A$205,0))&lt;&gt;"",A3954&gt;INDEX(Mitarbeiter!$D$6:$D$205,MATCH(B3954,Mitarbeiter!$A$6:$A$205,0))),"nach Austritt","ok")))))))</f>
        <v/>
      </c>
    </row>
    <row r="3955">
      <c r="A3955" s="26" t="n"/>
      <c r="B3955" s="24" t="n"/>
      <c r="C3955" s="40">
        <f>IF(B3955="","",IFERROR(INDEX(Mitarbeiter!$B$6:$B$205,MATCH(B3955,Mitarbeiter!$A$6:$A$205,0)),"?"))</f>
        <v/>
      </c>
      <c r="D3955" s="41" t="n"/>
      <c r="E3955" s="42" t="n"/>
      <c r="F3955" s="43" t="n"/>
      <c r="G3955" s="44">
        <f>IF(OR(B3955="",F3955=""),"",IFERROR(F3955*INDEX(Mitarbeiter!$F$6:$F$205,MATCH(B3955,Mitarbeiter!$A$6:$A$205,0)),0))</f>
        <v/>
      </c>
      <c r="H3955" s="8">
        <f>IF(B3955="","",IF(ISNA(MATCH(B3955,Mitarbeiter!$A$6:$A$205,0)),"Pers.-Nr. unbekannt",IF(A3955="","Datum fehlt",IF(AND(D3955&lt;&gt;Einstellungen!$C$4,D3955&lt;&gt;Einstellungen!$C$5),"Objekt fehlt",IF(YEAR(A3955)&lt;&gt;Einstellungen!$C$3,"anderes Jahr",IF(A3955&lt;INDEX(Mitarbeiter!$C$6:$C$205,MATCH(B3955,Mitarbeiter!$A$6:$A$205,0)),"vor Eintritt",IF(AND(INDEX(Mitarbeiter!$D$6:$D$205,MATCH(B3955,Mitarbeiter!$A$6:$A$205,0))&lt;&gt;"",A3955&gt;INDEX(Mitarbeiter!$D$6:$D$205,MATCH(B3955,Mitarbeiter!$A$6:$A$205,0))),"nach Austritt","ok")))))))</f>
        <v/>
      </c>
    </row>
    <row r="3956">
      <c r="A3956" s="26" t="n"/>
      <c r="B3956" s="24" t="n"/>
      <c r="C3956" s="40">
        <f>IF(B3956="","",IFERROR(INDEX(Mitarbeiter!$B$6:$B$205,MATCH(B3956,Mitarbeiter!$A$6:$A$205,0)),"?"))</f>
        <v/>
      </c>
      <c r="D3956" s="41" t="n"/>
      <c r="E3956" s="42" t="n"/>
      <c r="F3956" s="43" t="n"/>
      <c r="G3956" s="44">
        <f>IF(OR(B3956="",F3956=""),"",IFERROR(F3956*INDEX(Mitarbeiter!$F$6:$F$205,MATCH(B3956,Mitarbeiter!$A$6:$A$205,0)),0))</f>
        <v/>
      </c>
      <c r="H3956" s="8">
        <f>IF(B3956="","",IF(ISNA(MATCH(B3956,Mitarbeiter!$A$6:$A$205,0)),"Pers.-Nr. unbekannt",IF(A3956="","Datum fehlt",IF(AND(D3956&lt;&gt;Einstellungen!$C$4,D3956&lt;&gt;Einstellungen!$C$5),"Objekt fehlt",IF(YEAR(A3956)&lt;&gt;Einstellungen!$C$3,"anderes Jahr",IF(A3956&lt;INDEX(Mitarbeiter!$C$6:$C$205,MATCH(B3956,Mitarbeiter!$A$6:$A$205,0)),"vor Eintritt",IF(AND(INDEX(Mitarbeiter!$D$6:$D$205,MATCH(B3956,Mitarbeiter!$A$6:$A$205,0))&lt;&gt;"",A3956&gt;INDEX(Mitarbeiter!$D$6:$D$205,MATCH(B3956,Mitarbeiter!$A$6:$A$205,0))),"nach Austritt","ok")))))))</f>
        <v/>
      </c>
    </row>
    <row r="3957">
      <c r="A3957" s="26" t="n"/>
      <c r="B3957" s="24" t="n"/>
      <c r="C3957" s="40">
        <f>IF(B3957="","",IFERROR(INDEX(Mitarbeiter!$B$6:$B$205,MATCH(B3957,Mitarbeiter!$A$6:$A$205,0)),"?"))</f>
        <v/>
      </c>
      <c r="D3957" s="41" t="n"/>
      <c r="E3957" s="42" t="n"/>
      <c r="F3957" s="43" t="n"/>
      <c r="G3957" s="44">
        <f>IF(OR(B3957="",F3957=""),"",IFERROR(F3957*INDEX(Mitarbeiter!$F$6:$F$205,MATCH(B3957,Mitarbeiter!$A$6:$A$205,0)),0))</f>
        <v/>
      </c>
      <c r="H3957" s="8">
        <f>IF(B3957="","",IF(ISNA(MATCH(B3957,Mitarbeiter!$A$6:$A$205,0)),"Pers.-Nr. unbekannt",IF(A3957="","Datum fehlt",IF(AND(D3957&lt;&gt;Einstellungen!$C$4,D3957&lt;&gt;Einstellungen!$C$5),"Objekt fehlt",IF(YEAR(A3957)&lt;&gt;Einstellungen!$C$3,"anderes Jahr",IF(A3957&lt;INDEX(Mitarbeiter!$C$6:$C$205,MATCH(B3957,Mitarbeiter!$A$6:$A$205,0)),"vor Eintritt",IF(AND(INDEX(Mitarbeiter!$D$6:$D$205,MATCH(B3957,Mitarbeiter!$A$6:$A$205,0))&lt;&gt;"",A3957&gt;INDEX(Mitarbeiter!$D$6:$D$205,MATCH(B3957,Mitarbeiter!$A$6:$A$205,0))),"nach Austritt","ok")))))))</f>
        <v/>
      </c>
    </row>
    <row r="3958">
      <c r="A3958" s="26" t="n"/>
      <c r="B3958" s="24" t="n"/>
      <c r="C3958" s="40">
        <f>IF(B3958="","",IFERROR(INDEX(Mitarbeiter!$B$6:$B$205,MATCH(B3958,Mitarbeiter!$A$6:$A$205,0)),"?"))</f>
        <v/>
      </c>
      <c r="D3958" s="41" t="n"/>
      <c r="E3958" s="42" t="n"/>
      <c r="F3958" s="43" t="n"/>
      <c r="G3958" s="44">
        <f>IF(OR(B3958="",F3958=""),"",IFERROR(F3958*INDEX(Mitarbeiter!$F$6:$F$205,MATCH(B3958,Mitarbeiter!$A$6:$A$205,0)),0))</f>
        <v/>
      </c>
      <c r="H3958" s="8">
        <f>IF(B3958="","",IF(ISNA(MATCH(B3958,Mitarbeiter!$A$6:$A$205,0)),"Pers.-Nr. unbekannt",IF(A3958="","Datum fehlt",IF(AND(D3958&lt;&gt;Einstellungen!$C$4,D3958&lt;&gt;Einstellungen!$C$5),"Objekt fehlt",IF(YEAR(A3958)&lt;&gt;Einstellungen!$C$3,"anderes Jahr",IF(A3958&lt;INDEX(Mitarbeiter!$C$6:$C$205,MATCH(B3958,Mitarbeiter!$A$6:$A$205,0)),"vor Eintritt",IF(AND(INDEX(Mitarbeiter!$D$6:$D$205,MATCH(B3958,Mitarbeiter!$A$6:$A$205,0))&lt;&gt;"",A3958&gt;INDEX(Mitarbeiter!$D$6:$D$205,MATCH(B3958,Mitarbeiter!$A$6:$A$205,0))),"nach Austritt","ok")))))))</f>
        <v/>
      </c>
    </row>
    <row r="3959">
      <c r="A3959" s="26" t="n"/>
      <c r="B3959" s="24" t="n"/>
      <c r="C3959" s="40">
        <f>IF(B3959="","",IFERROR(INDEX(Mitarbeiter!$B$6:$B$205,MATCH(B3959,Mitarbeiter!$A$6:$A$205,0)),"?"))</f>
        <v/>
      </c>
      <c r="D3959" s="41" t="n"/>
      <c r="E3959" s="42" t="n"/>
      <c r="F3959" s="43" t="n"/>
      <c r="G3959" s="44">
        <f>IF(OR(B3959="",F3959=""),"",IFERROR(F3959*INDEX(Mitarbeiter!$F$6:$F$205,MATCH(B3959,Mitarbeiter!$A$6:$A$205,0)),0))</f>
        <v/>
      </c>
      <c r="H3959" s="8">
        <f>IF(B3959="","",IF(ISNA(MATCH(B3959,Mitarbeiter!$A$6:$A$205,0)),"Pers.-Nr. unbekannt",IF(A3959="","Datum fehlt",IF(AND(D3959&lt;&gt;Einstellungen!$C$4,D3959&lt;&gt;Einstellungen!$C$5),"Objekt fehlt",IF(YEAR(A3959)&lt;&gt;Einstellungen!$C$3,"anderes Jahr",IF(A3959&lt;INDEX(Mitarbeiter!$C$6:$C$205,MATCH(B3959,Mitarbeiter!$A$6:$A$205,0)),"vor Eintritt",IF(AND(INDEX(Mitarbeiter!$D$6:$D$205,MATCH(B3959,Mitarbeiter!$A$6:$A$205,0))&lt;&gt;"",A3959&gt;INDEX(Mitarbeiter!$D$6:$D$205,MATCH(B3959,Mitarbeiter!$A$6:$A$205,0))),"nach Austritt","ok")))))))</f>
        <v/>
      </c>
    </row>
    <row r="3960">
      <c r="A3960" s="26" t="n"/>
      <c r="B3960" s="24" t="n"/>
      <c r="C3960" s="40">
        <f>IF(B3960="","",IFERROR(INDEX(Mitarbeiter!$B$6:$B$205,MATCH(B3960,Mitarbeiter!$A$6:$A$205,0)),"?"))</f>
        <v/>
      </c>
      <c r="D3960" s="41" t="n"/>
      <c r="E3960" s="42" t="n"/>
      <c r="F3960" s="43" t="n"/>
      <c r="G3960" s="44">
        <f>IF(OR(B3960="",F3960=""),"",IFERROR(F3960*INDEX(Mitarbeiter!$F$6:$F$205,MATCH(B3960,Mitarbeiter!$A$6:$A$205,0)),0))</f>
        <v/>
      </c>
      <c r="H3960" s="8">
        <f>IF(B3960="","",IF(ISNA(MATCH(B3960,Mitarbeiter!$A$6:$A$205,0)),"Pers.-Nr. unbekannt",IF(A3960="","Datum fehlt",IF(AND(D3960&lt;&gt;Einstellungen!$C$4,D3960&lt;&gt;Einstellungen!$C$5),"Objekt fehlt",IF(YEAR(A3960)&lt;&gt;Einstellungen!$C$3,"anderes Jahr",IF(A3960&lt;INDEX(Mitarbeiter!$C$6:$C$205,MATCH(B3960,Mitarbeiter!$A$6:$A$205,0)),"vor Eintritt",IF(AND(INDEX(Mitarbeiter!$D$6:$D$205,MATCH(B3960,Mitarbeiter!$A$6:$A$205,0))&lt;&gt;"",A3960&gt;INDEX(Mitarbeiter!$D$6:$D$205,MATCH(B3960,Mitarbeiter!$A$6:$A$205,0))),"nach Austritt","ok")))))))</f>
        <v/>
      </c>
    </row>
    <row r="3961">
      <c r="A3961" s="26" t="n"/>
      <c r="B3961" s="24" t="n"/>
      <c r="C3961" s="40">
        <f>IF(B3961="","",IFERROR(INDEX(Mitarbeiter!$B$6:$B$205,MATCH(B3961,Mitarbeiter!$A$6:$A$205,0)),"?"))</f>
        <v/>
      </c>
      <c r="D3961" s="41" t="n"/>
      <c r="E3961" s="42" t="n"/>
      <c r="F3961" s="43" t="n"/>
      <c r="G3961" s="44">
        <f>IF(OR(B3961="",F3961=""),"",IFERROR(F3961*INDEX(Mitarbeiter!$F$6:$F$205,MATCH(B3961,Mitarbeiter!$A$6:$A$205,0)),0))</f>
        <v/>
      </c>
      <c r="H3961" s="8">
        <f>IF(B3961="","",IF(ISNA(MATCH(B3961,Mitarbeiter!$A$6:$A$205,0)),"Pers.-Nr. unbekannt",IF(A3961="","Datum fehlt",IF(AND(D3961&lt;&gt;Einstellungen!$C$4,D3961&lt;&gt;Einstellungen!$C$5),"Objekt fehlt",IF(YEAR(A3961)&lt;&gt;Einstellungen!$C$3,"anderes Jahr",IF(A3961&lt;INDEX(Mitarbeiter!$C$6:$C$205,MATCH(B3961,Mitarbeiter!$A$6:$A$205,0)),"vor Eintritt",IF(AND(INDEX(Mitarbeiter!$D$6:$D$205,MATCH(B3961,Mitarbeiter!$A$6:$A$205,0))&lt;&gt;"",A3961&gt;INDEX(Mitarbeiter!$D$6:$D$205,MATCH(B3961,Mitarbeiter!$A$6:$A$205,0))),"nach Austritt","ok")))))))</f>
        <v/>
      </c>
    </row>
    <row r="3962">
      <c r="A3962" s="26" t="n"/>
      <c r="B3962" s="24" t="n"/>
      <c r="C3962" s="40">
        <f>IF(B3962="","",IFERROR(INDEX(Mitarbeiter!$B$6:$B$205,MATCH(B3962,Mitarbeiter!$A$6:$A$205,0)),"?"))</f>
        <v/>
      </c>
      <c r="D3962" s="41" t="n"/>
      <c r="E3962" s="42" t="n"/>
      <c r="F3962" s="43" t="n"/>
      <c r="G3962" s="44">
        <f>IF(OR(B3962="",F3962=""),"",IFERROR(F3962*INDEX(Mitarbeiter!$F$6:$F$205,MATCH(B3962,Mitarbeiter!$A$6:$A$205,0)),0))</f>
        <v/>
      </c>
      <c r="H3962" s="8">
        <f>IF(B3962="","",IF(ISNA(MATCH(B3962,Mitarbeiter!$A$6:$A$205,0)),"Pers.-Nr. unbekannt",IF(A3962="","Datum fehlt",IF(AND(D3962&lt;&gt;Einstellungen!$C$4,D3962&lt;&gt;Einstellungen!$C$5),"Objekt fehlt",IF(YEAR(A3962)&lt;&gt;Einstellungen!$C$3,"anderes Jahr",IF(A3962&lt;INDEX(Mitarbeiter!$C$6:$C$205,MATCH(B3962,Mitarbeiter!$A$6:$A$205,0)),"vor Eintritt",IF(AND(INDEX(Mitarbeiter!$D$6:$D$205,MATCH(B3962,Mitarbeiter!$A$6:$A$205,0))&lt;&gt;"",A3962&gt;INDEX(Mitarbeiter!$D$6:$D$205,MATCH(B3962,Mitarbeiter!$A$6:$A$205,0))),"nach Austritt","ok")))))))</f>
        <v/>
      </c>
    </row>
    <row r="3963">
      <c r="A3963" s="26" t="n"/>
      <c r="B3963" s="24" t="n"/>
      <c r="C3963" s="40">
        <f>IF(B3963="","",IFERROR(INDEX(Mitarbeiter!$B$6:$B$205,MATCH(B3963,Mitarbeiter!$A$6:$A$205,0)),"?"))</f>
        <v/>
      </c>
      <c r="D3963" s="41" t="n"/>
      <c r="E3963" s="42" t="n"/>
      <c r="F3963" s="43" t="n"/>
      <c r="G3963" s="44">
        <f>IF(OR(B3963="",F3963=""),"",IFERROR(F3963*INDEX(Mitarbeiter!$F$6:$F$205,MATCH(B3963,Mitarbeiter!$A$6:$A$205,0)),0))</f>
        <v/>
      </c>
      <c r="H3963" s="8">
        <f>IF(B3963="","",IF(ISNA(MATCH(B3963,Mitarbeiter!$A$6:$A$205,0)),"Pers.-Nr. unbekannt",IF(A3963="","Datum fehlt",IF(AND(D3963&lt;&gt;Einstellungen!$C$4,D3963&lt;&gt;Einstellungen!$C$5),"Objekt fehlt",IF(YEAR(A3963)&lt;&gt;Einstellungen!$C$3,"anderes Jahr",IF(A3963&lt;INDEX(Mitarbeiter!$C$6:$C$205,MATCH(B3963,Mitarbeiter!$A$6:$A$205,0)),"vor Eintritt",IF(AND(INDEX(Mitarbeiter!$D$6:$D$205,MATCH(B3963,Mitarbeiter!$A$6:$A$205,0))&lt;&gt;"",A3963&gt;INDEX(Mitarbeiter!$D$6:$D$205,MATCH(B3963,Mitarbeiter!$A$6:$A$205,0))),"nach Austritt","ok")))))))</f>
        <v/>
      </c>
    </row>
    <row r="3964">
      <c r="A3964" s="26" t="n"/>
      <c r="B3964" s="24" t="n"/>
      <c r="C3964" s="40">
        <f>IF(B3964="","",IFERROR(INDEX(Mitarbeiter!$B$6:$B$205,MATCH(B3964,Mitarbeiter!$A$6:$A$205,0)),"?"))</f>
        <v/>
      </c>
      <c r="D3964" s="41" t="n"/>
      <c r="E3964" s="42" t="n"/>
      <c r="F3964" s="43" t="n"/>
      <c r="G3964" s="44">
        <f>IF(OR(B3964="",F3964=""),"",IFERROR(F3964*INDEX(Mitarbeiter!$F$6:$F$205,MATCH(B3964,Mitarbeiter!$A$6:$A$205,0)),0))</f>
        <v/>
      </c>
      <c r="H3964" s="8">
        <f>IF(B3964="","",IF(ISNA(MATCH(B3964,Mitarbeiter!$A$6:$A$205,0)),"Pers.-Nr. unbekannt",IF(A3964="","Datum fehlt",IF(AND(D3964&lt;&gt;Einstellungen!$C$4,D3964&lt;&gt;Einstellungen!$C$5),"Objekt fehlt",IF(YEAR(A3964)&lt;&gt;Einstellungen!$C$3,"anderes Jahr",IF(A3964&lt;INDEX(Mitarbeiter!$C$6:$C$205,MATCH(B3964,Mitarbeiter!$A$6:$A$205,0)),"vor Eintritt",IF(AND(INDEX(Mitarbeiter!$D$6:$D$205,MATCH(B3964,Mitarbeiter!$A$6:$A$205,0))&lt;&gt;"",A3964&gt;INDEX(Mitarbeiter!$D$6:$D$205,MATCH(B3964,Mitarbeiter!$A$6:$A$205,0))),"nach Austritt","ok")))))))</f>
        <v/>
      </c>
    </row>
    <row r="3965">
      <c r="A3965" s="26" t="n"/>
      <c r="B3965" s="24" t="n"/>
      <c r="C3965" s="40">
        <f>IF(B3965="","",IFERROR(INDEX(Mitarbeiter!$B$6:$B$205,MATCH(B3965,Mitarbeiter!$A$6:$A$205,0)),"?"))</f>
        <v/>
      </c>
      <c r="D3965" s="41" t="n"/>
      <c r="E3965" s="42" t="n"/>
      <c r="F3965" s="43" t="n"/>
      <c r="G3965" s="44">
        <f>IF(OR(B3965="",F3965=""),"",IFERROR(F3965*INDEX(Mitarbeiter!$F$6:$F$205,MATCH(B3965,Mitarbeiter!$A$6:$A$205,0)),0))</f>
        <v/>
      </c>
      <c r="H3965" s="8">
        <f>IF(B3965="","",IF(ISNA(MATCH(B3965,Mitarbeiter!$A$6:$A$205,0)),"Pers.-Nr. unbekannt",IF(A3965="","Datum fehlt",IF(AND(D3965&lt;&gt;Einstellungen!$C$4,D3965&lt;&gt;Einstellungen!$C$5),"Objekt fehlt",IF(YEAR(A3965)&lt;&gt;Einstellungen!$C$3,"anderes Jahr",IF(A3965&lt;INDEX(Mitarbeiter!$C$6:$C$205,MATCH(B3965,Mitarbeiter!$A$6:$A$205,0)),"vor Eintritt",IF(AND(INDEX(Mitarbeiter!$D$6:$D$205,MATCH(B3965,Mitarbeiter!$A$6:$A$205,0))&lt;&gt;"",A3965&gt;INDEX(Mitarbeiter!$D$6:$D$205,MATCH(B3965,Mitarbeiter!$A$6:$A$205,0))),"nach Austritt","ok")))))))</f>
        <v/>
      </c>
    </row>
    <row r="3966">
      <c r="A3966" s="26" t="n"/>
      <c r="B3966" s="24" t="n"/>
      <c r="C3966" s="40">
        <f>IF(B3966="","",IFERROR(INDEX(Mitarbeiter!$B$6:$B$205,MATCH(B3966,Mitarbeiter!$A$6:$A$205,0)),"?"))</f>
        <v/>
      </c>
      <c r="D3966" s="41" t="n"/>
      <c r="E3966" s="42" t="n"/>
      <c r="F3966" s="43" t="n"/>
      <c r="G3966" s="44">
        <f>IF(OR(B3966="",F3966=""),"",IFERROR(F3966*INDEX(Mitarbeiter!$F$6:$F$205,MATCH(B3966,Mitarbeiter!$A$6:$A$205,0)),0))</f>
        <v/>
      </c>
      <c r="H3966" s="8">
        <f>IF(B3966="","",IF(ISNA(MATCH(B3966,Mitarbeiter!$A$6:$A$205,0)),"Pers.-Nr. unbekannt",IF(A3966="","Datum fehlt",IF(AND(D3966&lt;&gt;Einstellungen!$C$4,D3966&lt;&gt;Einstellungen!$C$5),"Objekt fehlt",IF(YEAR(A3966)&lt;&gt;Einstellungen!$C$3,"anderes Jahr",IF(A3966&lt;INDEX(Mitarbeiter!$C$6:$C$205,MATCH(B3966,Mitarbeiter!$A$6:$A$205,0)),"vor Eintritt",IF(AND(INDEX(Mitarbeiter!$D$6:$D$205,MATCH(B3966,Mitarbeiter!$A$6:$A$205,0))&lt;&gt;"",A3966&gt;INDEX(Mitarbeiter!$D$6:$D$205,MATCH(B3966,Mitarbeiter!$A$6:$A$205,0))),"nach Austritt","ok")))))))</f>
        <v/>
      </c>
    </row>
    <row r="3967">
      <c r="A3967" s="26" t="n"/>
      <c r="B3967" s="24" t="n"/>
      <c r="C3967" s="40">
        <f>IF(B3967="","",IFERROR(INDEX(Mitarbeiter!$B$6:$B$205,MATCH(B3967,Mitarbeiter!$A$6:$A$205,0)),"?"))</f>
        <v/>
      </c>
      <c r="D3967" s="41" t="n"/>
      <c r="E3967" s="42" t="n"/>
      <c r="F3967" s="43" t="n"/>
      <c r="G3967" s="44">
        <f>IF(OR(B3967="",F3967=""),"",IFERROR(F3967*INDEX(Mitarbeiter!$F$6:$F$205,MATCH(B3967,Mitarbeiter!$A$6:$A$205,0)),0))</f>
        <v/>
      </c>
      <c r="H3967" s="8">
        <f>IF(B3967="","",IF(ISNA(MATCH(B3967,Mitarbeiter!$A$6:$A$205,0)),"Pers.-Nr. unbekannt",IF(A3967="","Datum fehlt",IF(AND(D3967&lt;&gt;Einstellungen!$C$4,D3967&lt;&gt;Einstellungen!$C$5),"Objekt fehlt",IF(YEAR(A3967)&lt;&gt;Einstellungen!$C$3,"anderes Jahr",IF(A3967&lt;INDEX(Mitarbeiter!$C$6:$C$205,MATCH(B3967,Mitarbeiter!$A$6:$A$205,0)),"vor Eintritt",IF(AND(INDEX(Mitarbeiter!$D$6:$D$205,MATCH(B3967,Mitarbeiter!$A$6:$A$205,0))&lt;&gt;"",A3967&gt;INDEX(Mitarbeiter!$D$6:$D$205,MATCH(B3967,Mitarbeiter!$A$6:$A$205,0))),"nach Austritt","ok")))))))</f>
        <v/>
      </c>
    </row>
    <row r="3968">
      <c r="A3968" s="26" t="n"/>
      <c r="B3968" s="24" t="n"/>
      <c r="C3968" s="40">
        <f>IF(B3968="","",IFERROR(INDEX(Mitarbeiter!$B$6:$B$205,MATCH(B3968,Mitarbeiter!$A$6:$A$205,0)),"?"))</f>
        <v/>
      </c>
      <c r="D3968" s="41" t="n"/>
      <c r="E3968" s="42" t="n"/>
      <c r="F3968" s="43" t="n"/>
      <c r="G3968" s="44">
        <f>IF(OR(B3968="",F3968=""),"",IFERROR(F3968*INDEX(Mitarbeiter!$F$6:$F$205,MATCH(B3968,Mitarbeiter!$A$6:$A$205,0)),0))</f>
        <v/>
      </c>
      <c r="H3968" s="8">
        <f>IF(B3968="","",IF(ISNA(MATCH(B3968,Mitarbeiter!$A$6:$A$205,0)),"Pers.-Nr. unbekannt",IF(A3968="","Datum fehlt",IF(AND(D3968&lt;&gt;Einstellungen!$C$4,D3968&lt;&gt;Einstellungen!$C$5),"Objekt fehlt",IF(YEAR(A3968)&lt;&gt;Einstellungen!$C$3,"anderes Jahr",IF(A3968&lt;INDEX(Mitarbeiter!$C$6:$C$205,MATCH(B3968,Mitarbeiter!$A$6:$A$205,0)),"vor Eintritt",IF(AND(INDEX(Mitarbeiter!$D$6:$D$205,MATCH(B3968,Mitarbeiter!$A$6:$A$205,0))&lt;&gt;"",A3968&gt;INDEX(Mitarbeiter!$D$6:$D$205,MATCH(B3968,Mitarbeiter!$A$6:$A$205,0))),"nach Austritt","ok")))))))</f>
        <v/>
      </c>
    </row>
    <row r="3969">
      <c r="A3969" s="26" t="n"/>
      <c r="B3969" s="24" t="n"/>
      <c r="C3969" s="40">
        <f>IF(B3969="","",IFERROR(INDEX(Mitarbeiter!$B$6:$B$205,MATCH(B3969,Mitarbeiter!$A$6:$A$205,0)),"?"))</f>
        <v/>
      </c>
      <c r="D3969" s="41" t="n"/>
      <c r="E3969" s="42" t="n"/>
      <c r="F3969" s="43" t="n"/>
      <c r="G3969" s="44">
        <f>IF(OR(B3969="",F3969=""),"",IFERROR(F3969*INDEX(Mitarbeiter!$F$6:$F$205,MATCH(B3969,Mitarbeiter!$A$6:$A$205,0)),0))</f>
        <v/>
      </c>
      <c r="H3969" s="8">
        <f>IF(B3969="","",IF(ISNA(MATCH(B3969,Mitarbeiter!$A$6:$A$205,0)),"Pers.-Nr. unbekannt",IF(A3969="","Datum fehlt",IF(AND(D3969&lt;&gt;Einstellungen!$C$4,D3969&lt;&gt;Einstellungen!$C$5),"Objekt fehlt",IF(YEAR(A3969)&lt;&gt;Einstellungen!$C$3,"anderes Jahr",IF(A3969&lt;INDEX(Mitarbeiter!$C$6:$C$205,MATCH(B3969,Mitarbeiter!$A$6:$A$205,0)),"vor Eintritt",IF(AND(INDEX(Mitarbeiter!$D$6:$D$205,MATCH(B3969,Mitarbeiter!$A$6:$A$205,0))&lt;&gt;"",A3969&gt;INDEX(Mitarbeiter!$D$6:$D$205,MATCH(B3969,Mitarbeiter!$A$6:$A$205,0))),"nach Austritt","ok")))))))</f>
        <v/>
      </c>
    </row>
    <row r="3970">
      <c r="A3970" s="26" t="n"/>
      <c r="B3970" s="24" t="n"/>
      <c r="C3970" s="40">
        <f>IF(B3970="","",IFERROR(INDEX(Mitarbeiter!$B$6:$B$205,MATCH(B3970,Mitarbeiter!$A$6:$A$205,0)),"?"))</f>
        <v/>
      </c>
      <c r="D3970" s="41" t="n"/>
      <c r="E3970" s="42" t="n"/>
      <c r="F3970" s="43" t="n"/>
      <c r="G3970" s="44">
        <f>IF(OR(B3970="",F3970=""),"",IFERROR(F3970*INDEX(Mitarbeiter!$F$6:$F$205,MATCH(B3970,Mitarbeiter!$A$6:$A$205,0)),0))</f>
        <v/>
      </c>
      <c r="H3970" s="8">
        <f>IF(B3970="","",IF(ISNA(MATCH(B3970,Mitarbeiter!$A$6:$A$205,0)),"Pers.-Nr. unbekannt",IF(A3970="","Datum fehlt",IF(AND(D3970&lt;&gt;Einstellungen!$C$4,D3970&lt;&gt;Einstellungen!$C$5),"Objekt fehlt",IF(YEAR(A3970)&lt;&gt;Einstellungen!$C$3,"anderes Jahr",IF(A3970&lt;INDEX(Mitarbeiter!$C$6:$C$205,MATCH(B3970,Mitarbeiter!$A$6:$A$205,0)),"vor Eintritt",IF(AND(INDEX(Mitarbeiter!$D$6:$D$205,MATCH(B3970,Mitarbeiter!$A$6:$A$205,0))&lt;&gt;"",A3970&gt;INDEX(Mitarbeiter!$D$6:$D$205,MATCH(B3970,Mitarbeiter!$A$6:$A$205,0))),"nach Austritt","ok")))))))</f>
        <v/>
      </c>
    </row>
    <row r="3971">
      <c r="A3971" s="26" t="n"/>
      <c r="B3971" s="24" t="n"/>
      <c r="C3971" s="40">
        <f>IF(B3971="","",IFERROR(INDEX(Mitarbeiter!$B$6:$B$205,MATCH(B3971,Mitarbeiter!$A$6:$A$205,0)),"?"))</f>
        <v/>
      </c>
      <c r="D3971" s="41" t="n"/>
      <c r="E3971" s="42" t="n"/>
      <c r="F3971" s="43" t="n"/>
      <c r="G3971" s="44">
        <f>IF(OR(B3971="",F3971=""),"",IFERROR(F3971*INDEX(Mitarbeiter!$F$6:$F$205,MATCH(B3971,Mitarbeiter!$A$6:$A$205,0)),0))</f>
        <v/>
      </c>
      <c r="H3971" s="8">
        <f>IF(B3971="","",IF(ISNA(MATCH(B3971,Mitarbeiter!$A$6:$A$205,0)),"Pers.-Nr. unbekannt",IF(A3971="","Datum fehlt",IF(AND(D3971&lt;&gt;Einstellungen!$C$4,D3971&lt;&gt;Einstellungen!$C$5),"Objekt fehlt",IF(YEAR(A3971)&lt;&gt;Einstellungen!$C$3,"anderes Jahr",IF(A3971&lt;INDEX(Mitarbeiter!$C$6:$C$205,MATCH(B3971,Mitarbeiter!$A$6:$A$205,0)),"vor Eintritt",IF(AND(INDEX(Mitarbeiter!$D$6:$D$205,MATCH(B3971,Mitarbeiter!$A$6:$A$205,0))&lt;&gt;"",A3971&gt;INDEX(Mitarbeiter!$D$6:$D$205,MATCH(B3971,Mitarbeiter!$A$6:$A$205,0))),"nach Austritt","ok")))))))</f>
        <v/>
      </c>
    </row>
    <row r="3972">
      <c r="A3972" s="26" t="n"/>
      <c r="B3972" s="24" t="n"/>
      <c r="C3972" s="40">
        <f>IF(B3972="","",IFERROR(INDEX(Mitarbeiter!$B$6:$B$205,MATCH(B3972,Mitarbeiter!$A$6:$A$205,0)),"?"))</f>
        <v/>
      </c>
      <c r="D3972" s="41" t="n"/>
      <c r="E3972" s="42" t="n"/>
      <c r="F3972" s="43" t="n"/>
      <c r="G3972" s="44">
        <f>IF(OR(B3972="",F3972=""),"",IFERROR(F3972*INDEX(Mitarbeiter!$F$6:$F$205,MATCH(B3972,Mitarbeiter!$A$6:$A$205,0)),0))</f>
        <v/>
      </c>
      <c r="H3972" s="8">
        <f>IF(B3972="","",IF(ISNA(MATCH(B3972,Mitarbeiter!$A$6:$A$205,0)),"Pers.-Nr. unbekannt",IF(A3972="","Datum fehlt",IF(AND(D3972&lt;&gt;Einstellungen!$C$4,D3972&lt;&gt;Einstellungen!$C$5),"Objekt fehlt",IF(YEAR(A3972)&lt;&gt;Einstellungen!$C$3,"anderes Jahr",IF(A3972&lt;INDEX(Mitarbeiter!$C$6:$C$205,MATCH(B3972,Mitarbeiter!$A$6:$A$205,0)),"vor Eintritt",IF(AND(INDEX(Mitarbeiter!$D$6:$D$205,MATCH(B3972,Mitarbeiter!$A$6:$A$205,0))&lt;&gt;"",A3972&gt;INDEX(Mitarbeiter!$D$6:$D$205,MATCH(B3972,Mitarbeiter!$A$6:$A$205,0))),"nach Austritt","ok")))))))</f>
        <v/>
      </c>
    </row>
    <row r="3973">
      <c r="A3973" s="26" t="n"/>
      <c r="B3973" s="24" t="n"/>
      <c r="C3973" s="40">
        <f>IF(B3973="","",IFERROR(INDEX(Mitarbeiter!$B$6:$B$205,MATCH(B3973,Mitarbeiter!$A$6:$A$205,0)),"?"))</f>
        <v/>
      </c>
      <c r="D3973" s="41" t="n"/>
      <c r="E3973" s="42" t="n"/>
      <c r="F3973" s="43" t="n"/>
      <c r="G3973" s="44">
        <f>IF(OR(B3973="",F3973=""),"",IFERROR(F3973*INDEX(Mitarbeiter!$F$6:$F$205,MATCH(B3973,Mitarbeiter!$A$6:$A$205,0)),0))</f>
        <v/>
      </c>
      <c r="H3973" s="8">
        <f>IF(B3973="","",IF(ISNA(MATCH(B3973,Mitarbeiter!$A$6:$A$205,0)),"Pers.-Nr. unbekannt",IF(A3973="","Datum fehlt",IF(AND(D3973&lt;&gt;Einstellungen!$C$4,D3973&lt;&gt;Einstellungen!$C$5),"Objekt fehlt",IF(YEAR(A3973)&lt;&gt;Einstellungen!$C$3,"anderes Jahr",IF(A3973&lt;INDEX(Mitarbeiter!$C$6:$C$205,MATCH(B3973,Mitarbeiter!$A$6:$A$205,0)),"vor Eintritt",IF(AND(INDEX(Mitarbeiter!$D$6:$D$205,MATCH(B3973,Mitarbeiter!$A$6:$A$205,0))&lt;&gt;"",A3973&gt;INDEX(Mitarbeiter!$D$6:$D$205,MATCH(B3973,Mitarbeiter!$A$6:$A$205,0))),"nach Austritt","ok")))))))</f>
        <v/>
      </c>
    </row>
    <row r="3974">
      <c r="A3974" s="26" t="n"/>
      <c r="B3974" s="24" t="n"/>
      <c r="C3974" s="40">
        <f>IF(B3974="","",IFERROR(INDEX(Mitarbeiter!$B$6:$B$205,MATCH(B3974,Mitarbeiter!$A$6:$A$205,0)),"?"))</f>
        <v/>
      </c>
      <c r="D3974" s="41" t="n"/>
      <c r="E3974" s="42" t="n"/>
      <c r="F3974" s="43" t="n"/>
      <c r="G3974" s="44">
        <f>IF(OR(B3974="",F3974=""),"",IFERROR(F3974*INDEX(Mitarbeiter!$F$6:$F$205,MATCH(B3974,Mitarbeiter!$A$6:$A$205,0)),0))</f>
        <v/>
      </c>
      <c r="H3974" s="8">
        <f>IF(B3974="","",IF(ISNA(MATCH(B3974,Mitarbeiter!$A$6:$A$205,0)),"Pers.-Nr. unbekannt",IF(A3974="","Datum fehlt",IF(AND(D3974&lt;&gt;Einstellungen!$C$4,D3974&lt;&gt;Einstellungen!$C$5),"Objekt fehlt",IF(YEAR(A3974)&lt;&gt;Einstellungen!$C$3,"anderes Jahr",IF(A3974&lt;INDEX(Mitarbeiter!$C$6:$C$205,MATCH(B3974,Mitarbeiter!$A$6:$A$205,0)),"vor Eintritt",IF(AND(INDEX(Mitarbeiter!$D$6:$D$205,MATCH(B3974,Mitarbeiter!$A$6:$A$205,0))&lt;&gt;"",A3974&gt;INDEX(Mitarbeiter!$D$6:$D$205,MATCH(B3974,Mitarbeiter!$A$6:$A$205,0))),"nach Austritt","ok")))))))</f>
        <v/>
      </c>
    </row>
    <row r="3975">
      <c r="A3975" s="26" t="n"/>
      <c r="B3975" s="24" t="n"/>
      <c r="C3975" s="40">
        <f>IF(B3975="","",IFERROR(INDEX(Mitarbeiter!$B$6:$B$205,MATCH(B3975,Mitarbeiter!$A$6:$A$205,0)),"?"))</f>
        <v/>
      </c>
      <c r="D3975" s="41" t="n"/>
      <c r="E3975" s="42" t="n"/>
      <c r="F3975" s="43" t="n"/>
      <c r="G3975" s="44">
        <f>IF(OR(B3975="",F3975=""),"",IFERROR(F3975*INDEX(Mitarbeiter!$F$6:$F$205,MATCH(B3975,Mitarbeiter!$A$6:$A$205,0)),0))</f>
        <v/>
      </c>
      <c r="H3975" s="8">
        <f>IF(B3975="","",IF(ISNA(MATCH(B3975,Mitarbeiter!$A$6:$A$205,0)),"Pers.-Nr. unbekannt",IF(A3975="","Datum fehlt",IF(AND(D3975&lt;&gt;Einstellungen!$C$4,D3975&lt;&gt;Einstellungen!$C$5),"Objekt fehlt",IF(YEAR(A3975)&lt;&gt;Einstellungen!$C$3,"anderes Jahr",IF(A3975&lt;INDEX(Mitarbeiter!$C$6:$C$205,MATCH(B3975,Mitarbeiter!$A$6:$A$205,0)),"vor Eintritt",IF(AND(INDEX(Mitarbeiter!$D$6:$D$205,MATCH(B3975,Mitarbeiter!$A$6:$A$205,0))&lt;&gt;"",A3975&gt;INDEX(Mitarbeiter!$D$6:$D$205,MATCH(B3975,Mitarbeiter!$A$6:$A$205,0))),"nach Austritt","ok")))))))</f>
        <v/>
      </c>
    </row>
    <row r="3976">
      <c r="A3976" s="26" t="n"/>
      <c r="B3976" s="24" t="n"/>
      <c r="C3976" s="40">
        <f>IF(B3976="","",IFERROR(INDEX(Mitarbeiter!$B$6:$B$205,MATCH(B3976,Mitarbeiter!$A$6:$A$205,0)),"?"))</f>
        <v/>
      </c>
      <c r="D3976" s="41" t="n"/>
      <c r="E3976" s="42" t="n"/>
      <c r="F3976" s="43" t="n"/>
      <c r="G3976" s="44">
        <f>IF(OR(B3976="",F3976=""),"",IFERROR(F3976*INDEX(Mitarbeiter!$F$6:$F$205,MATCH(B3976,Mitarbeiter!$A$6:$A$205,0)),0))</f>
        <v/>
      </c>
      <c r="H3976" s="8">
        <f>IF(B3976="","",IF(ISNA(MATCH(B3976,Mitarbeiter!$A$6:$A$205,0)),"Pers.-Nr. unbekannt",IF(A3976="","Datum fehlt",IF(AND(D3976&lt;&gt;Einstellungen!$C$4,D3976&lt;&gt;Einstellungen!$C$5),"Objekt fehlt",IF(YEAR(A3976)&lt;&gt;Einstellungen!$C$3,"anderes Jahr",IF(A3976&lt;INDEX(Mitarbeiter!$C$6:$C$205,MATCH(B3976,Mitarbeiter!$A$6:$A$205,0)),"vor Eintritt",IF(AND(INDEX(Mitarbeiter!$D$6:$D$205,MATCH(B3976,Mitarbeiter!$A$6:$A$205,0))&lt;&gt;"",A3976&gt;INDEX(Mitarbeiter!$D$6:$D$205,MATCH(B3976,Mitarbeiter!$A$6:$A$205,0))),"nach Austritt","ok")))))))</f>
        <v/>
      </c>
    </row>
    <row r="3977">
      <c r="A3977" s="26" t="n"/>
      <c r="B3977" s="24" t="n"/>
      <c r="C3977" s="40">
        <f>IF(B3977="","",IFERROR(INDEX(Mitarbeiter!$B$6:$B$205,MATCH(B3977,Mitarbeiter!$A$6:$A$205,0)),"?"))</f>
        <v/>
      </c>
      <c r="D3977" s="41" t="n"/>
      <c r="E3977" s="42" t="n"/>
      <c r="F3977" s="43" t="n"/>
      <c r="G3977" s="44">
        <f>IF(OR(B3977="",F3977=""),"",IFERROR(F3977*INDEX(Mitarbeiter!$F$6:$F$205,MATCH(B3977,Mitarbeiter!$A$6:$A$205,0)),0))</f>
        <v/>
      </c>
      <c r="H3977" s="8">
        <f>IF(B3977="","",IF(ISNA(MATCH(B3977,Mitarbeiter!$A$6:$A$205,0)),"Pers.-Nr. unbekannt",IF(A3977="","Datum fehlt",IF(AND(D3977&lt;&gt;Einstellungen!$C$4,D3977&lt;&gt;Einstellungen!$C$5),"Objekt fehlt",IF(YEAR(A3977)&lt;&gt;Einstellungen!$C$3,"anderes Jahr",IF(A3977&lt;INDEX(Mitarbeiter!$C$6:$C$205,MATCH(B3977,Mitarbeiter!$A$6:$A$205,0)),"vor Eintritt",IF(AND(INDEX(Mitarbeiter!$D$6:$D$205,MATCH(B3977,Mitarbeiter!$A$6:$A$205,0))&lt;&gt;"",A3977&gt;INDEX(Mitarbeiter!$D$6:$D$205,MATCH(B3977,Mitarbeiter!$A$6:$A$205,0))),"nach Austritt","ok")))))))</f>
        <v/>
      </c>
    </row>
    <row r="3978">
      <c r="A3978" s="26" t="n"/>
      <c r="B3978" s="24" t="n"/>
      <c r="C3978" s="40">
        <f>IF(B3978="","",IFERROR(INDEX(Mitarbeiter!$B$6:$B$205,MATCH(B3978,Mitarbeiter!$A$6:$A$205,0)),"?"))</f>
        <v/>
      </c>
      <c r="D3978" s="41" t="n"/>
      <c r="E3978" s="42" t="n"/>
      <c r="F3978" s="43" t="n"/>
      <c r="G3978" s="44">
        <f>IF(OR(B3978="",F3978=""),"",IFERROR(F3978*INDEX(Mitarbeiter!$F$6:$F$205,MATCH(B3978,Mitarbeiter!$A$6:$A$205,0)),0))</f>
        <v/>
      </c>
      <c r="H3978" s="8">
        <f>IF(B3978="","",IF(ISNA(MATCH(B3978,Mitarbeiter!$A$6:$A$205,0)),"Pers.-Nr. unbekannt",IF(A3978="","Datum fehlt",IF(AND(D3978&lt;&gt;Einstellungen!$C$4,D3978&lt;&gt;Einstellungen!$C$5),"Objekt fehlt",IF(YEAR(A3978)&lt;&gt;Einstellungen!$C$3,"anderes Jahr",IF(A3978&lt;INDEX(Mitarbeiter!$C$6:$C$205,MATCH(B3978,Mitarbeiter!$A$6:$A$205,0)),"vor Eintritt",IF(AND(INDEX(Mitarbeiter!$D$6:$D$205,MATCH(B3978,Mitarbeiter!$A$6:$A$205,0))&lt;&gt;"",A3978&gt;INDEX(Mitarbeiter!$D$6:$D$205,MATCH(B3978,Mitarbeiter!$A$6:$A$205,0))),"nach Austritt","ok")))))))</f>
        <v/>
      </c>
    </row>
    <row r="3979">
      <c r="A3979" s="26" t="n"/>
      <c r="B3979" s="24" t="n"/>
      <c r="C3979" s="40">
        <f>IF(B3979="","",IFERROR(INDEX(Mitarbeiter!$B$6:$B$205,MATCH(B3979,Mitarbeiter!$A$6:$A$205,0)),"?"))</f>
        <v/>
      </c>
      <c r="D3979" s="41" t="n"/>
      <c r="E3979" s="42" t="n"/>
      <c r="F3979" s="43" t="n"/>
      <c r="G3979" s="44">
        <f>IF(OR(B3979="",F3979=""),"",IFERROR(F3979*INDEX(Mitarbeiter!$F$6:$F$205,MATCH(B3979,Mitarbeiter!$A$6:$A$205,0)),0))</f>
        <v/>
      </c>
      <c r="H3979" s="8">
        <f>IF(B3979="","",IF(ISNA(MATCH(B3979,Mitarbeiter!$A$6:$A$205,0)),"Pers.-Nr. unbekannt",IF(A3979="","Datum fehlt",IF(AND(D3979&lt;&gt;Einstellungen!$C$4,D3979&lt;&gt;Einstellungen!$C$5),"Objekt fehlt",IF(YEAR(A3979)&lt;&gt;Einstellungen!$C$3,"anderes Jahr",IF(A3979&lt;INDEX(Mitarbeiter!$C$6:$C$205,MATCH(B3979,Mitarbeiter!$A$6:$A$205,0)),"vor Eintritt",IF(AND(INDEX(Mitarbeiter!$D$6:$D$205,MATCH(B3979,Mitarbeiter!$A$6:$A$205,0))&lt;&gt;"",A3979&gt;INDEX(Mitarbeiter!$D$6:$D$205,MATCH(B3979,Mitarbeiter!$A$6:$A$205,0))),"nach Austritt","ok")))))))</f>
        <v/>
      </c>
    </row>
    <row r="3980">
      <c r="A3980" s="26" t="n"/>
      <c r="B3980" s="24" t="n"/>
      <c r="C3980" s="40">
        <f>IF(B3980="","",IFERROR(INDEX(Mitarbeiter!$B$6:$B$205,MATCH(B3980,Mitarbeiter!$A$6:$A$205,0)),"?"))</f>
        <v/>
      </c>
      <c r="D3980" s="41" t="n"/>
      <c r="E3980" s="42" t="n"/>
      <c r="F3980" s="43" t="n"/>
      <c r="G3980" s="44">
        <f>IF(OR(B3980="",F3980=""),"",IFERROR(F3980*INDEX(Mitarbeiter!$F$6:$F$205,MATCH(B3980,Mitarbeiter!$A$6:$A$205,0)),0))</f>
        <v/>
      </c>
      <c r="H3980" s="8">
        <f>IF(B3980="","",IF(ISNA(MATCH(B3980,Mitarbeiter!$A$6:$A$205,0)),"Pers.-Nr. unbekannt",IF(A3980="","Datum fehlt",IF(AND(D3980&lt;&gt;Einstellungen!$C$4,D3980&lt;&gt;Einstellungen!$C$5),"Objekt fehlt",IF(YEAR(A3980)&lt;&gt;Einstellungen!$C$3,"anderes Jahr",IF(A3980&lt;INDEX(Mitarbeiter!$C$6:$C$205,MATCH(B3980,Mitarbeiter!$A$6:$A$205,0)),"vor Eintritt",IF(AND(INDEX(Mitarbeiter!$D$6:$D$205,MATCH(B3980,Mitarbeiter!$A$6:$A$205,0))&lt;&gt;"",A3980&gt;INDEX(Mitarbeiter!$D$6:$D$205,MATCH(B3980,Mitarbeiter!$A$6:$A$205,0))),"nach Austritt","ok")))))))</f>
        <v/>
      </c>
    </row>
    <row r="3981">
      <c r="A3981" s="26" t="n"/>
      <c r="B3981" s="24" t="n"/>
      <c r="C3981" s="40">
        <f>IF(B3981="","",IFERROR(INDEX(Mitarbeiter!$B$6:$B$205,MATCH(B3981,Mitarbeiter!$A$6:$A$205,0)),"?"))</f>
        <v/>
      </c>
      <c r="D3981" s="41" t="n"/>
      <c r="E3981" s="42" t="n"/>
      <c r="F3981" s="43" t="n"/>
      <c r="G3981" s="44">
        <f>IF(OR(B3981="",F3981=""),"",IFERROR(F3981*INDEX(Mitarbeiter!$F$6:$F$205,MATCH(B3981,Mitarbeiter!$A$6:$A$205,0)),0))</f>
        <v/>
      </c>
      <c r="H3981" s="8">
        <f>IF(B3981="","",IF(ISNA(MATCH(B3981,Mitarbeiter!$A$6:$A$205,0)),"Pers.-Nr. unbekannt",IF(A3981="","Datum fehlt",IF(AND(D3981&lt;&gt;Einstellungen!$C$4,D3981&lt;&gt;Einstellungen!$C$5),"Objekt fehlt",IF(YEAR(A3981)&lt;&gt;Einstellungen!$C$3,"anderes Jahr",IF(A3981&lt;INDEX(Mitarbeiter!$C$6:$C$205,MATCH(B3981,Mitarbeiter!$A$6:$A$205,0)),"vor Eintritt",IF(AND(INDEX(Mitarbeiter!$D$6:$D$205,MATCH(B3981,Mitarbeiter!$A$6:$A$205,0))&lt;&gt;"",A3981&gt;INDEX(Mitarbeiter!$D$6:$D$205,MATCH(B3981,Mitarbeiter!$A$6:$A$205,0))),"nach Austritt","ok")))))))</f>
        <v/>
      </c>
    </row>
    <row r="3982">
      <c r="A3982" s="26" t="n"/>
      <c r="B3982" s="24" t="n"/>
      <c r="C3982" s="40">
        <f>IF(B3982="","",IFERROR(INDEX(Mitarbeiter!$B$6:$B$205,MATCH(B3982,Mitarbeiter!$A$6:$A$205,0)),"?"))</f>
        <v/>
      </c>
      <c r="D3982" s="41" t="n"/>
      <c r="E3982" s="42" t="n"/>
      <c r="F3982" s="43" t="n"/>
      <c r="G3982" s="44">
        <f>IF(OR(B3982="",F3982=""),"",IFERROR(F3982*INDEX(Mitarbeiter!$F$6:$F$205,MATCH(B3982,Mitarbeiter!$A$6:$A$205,0)),0))</f>
        <v/>
      </c>
      <c r="H3982" s="8">
        <f>IF(B3982="","",IF(ISNA(MATCH(B3982,Mitarbeiter!$A$6:$A$205,0)),"Pers.-Nr. unbekannt",IF(A3982="","Datum fehlt",IF(AND(D3982&lt;&gt;Einstellungen!$C$4,D3982&lt;&gt;Einstellungen!$C$5),"Objekt fehlt",IF(YEAR(A3982)&lt;&gt;Einstellungen!$C$3,"anderes Jahr",IF(A3982&lt;INDEX(Mitarbeiter!$C$6:$C$205,MATCH(B3982,Mitarbeiter!$A$6:$A$205,0)),"vor Eintritt",IF(AND(INDEX(Mitarbeiter!$D$6:$D$205,MATCH(B3982,Mitarbeiter!$A$6:$A$205,0))&lt;&gt;"",A3982&gt;INDEX(Mitarbeiter!$D$6:$D$205,MATCH(B3982,Mitarbeiter!$A$6:$A$205,0))),"nach Austritt","ok")))))))</f>
        <v/>
      </c>
    </row>
    <row r="3983">
      <c r="A3983" s="26" t="n"/>
      <c r="B3983" s="24" t="n"/>
      <c r="C3983" s="40">
        <f>IF(B3983="","",IFERROR(INDEX(Mitarbeiter!$B$6:$B$205,MATCH(B3983,Mitarbeiter!$A$6:$A$205,0)),"?"))</f>
        <v/>
      </c>
      <c r="D3983" s="41" t="n"/>
      <c r="E3983" s="42" t="n"/>
      <c r="F3983" s="43" t="n"/>
      <c r="G3983" s="44">
        <f>IF(OR(B3983="",F3983=""),"",IFERROR(F3983*INDEX(Mitarbeiter!$F$6:$F$205,MATCH(B3983,Mitarbeiter!$A$6:$A$205,0)),0))</f>
        <v/>
      </c>
      <c r="H3983" s="8">
        <f>IF(B3983="","",IF(ISNA(MATCH(B3983,Mitarbeiter!$A$6:$A$205,0)),"Pers.-Nr. unbekannt",IF(A3983="","Datum fehlt",IF(AND(D3983&lt;&gt;Einstellungen!$C$4,D3983&lt;&gt;Einstellungen!$C$5),"Objekt fehlt",IF(YEAR(A3983)&lt;&gt;Einstellungen!$C$3,"anderes Jahr",IF(A3983&lt;INDEX(Mitarbeiter!$C$6:$C$205,MATCH(B3983,Mitarbeiter!$A$6:$A$205,0)),"vor Eintritt",IF(AND(INDEX(Mitarbeiter!$D$6:$D$205,MATCH(B3983,Mitarbeiter!$A$6:$A$205,0))&lt;&gt;"",A3983&gt;INDEX(Mitarbeiter!$D$6:$D$205,MATCH(B3983,Mitarbeiter!$A$6:$A$205,0))),"nach Austritt","ok")))))))</f>
        <v/>
      </c>
    </row>
    <row r="3984">
      <c r="A3984" s="26" t="n"/>
      <c r="B3984" s="24" t="n"/>
      <c r="C3984" s="40">
        <f>IF(B3984="","",IFERROR(INDEX(Mitarbeiter!$B$6:$B$205,MATCH(B3984,Mitarbeiter!$A$6:$A$205,0)),"?"))</f>
        <v/>
      </c>
      <c r="D3984" s="41" t="n"/>
      <c r="E3984" s="42" t="n"/>
      <c r="F3984" s="43" t="n"/>
      <c r="G3984" s="44">
        <f>IF(OR(B3984="",F3984=""),"",IFERROR(F3984*INDEX(Mitarbeiter!$F$6:$F$205,MATCH(B3984,Mitarbeiter!$A$6:$A$205,0)),0))</f>
        <v/>
      </c>
      <c r="H3984" s="8">
        <f>IF(B3984="","",IF(ISNA(MATCH(B3984,Mitarbeiter!$A$6:$A$205,0)),"Pers.-Nr. unbekannt",IF(A3984="","Datum fehlt",IF(AND(D3984&lt;&gt;Einstellungen!$C$4,D3984&lt;&gt;Einstellungen!$C$5),"Objekt fehlt",IF(YEAR(A3984)&lt;&gt;Einstellungen!$C$3,"anderes Jahr",IF(A3984&lt;INDEX(Mitarbeiter!$C$6:$C$205,MATCH(B3984,Mitarbeiter!$A$6:$A$205,0)),"vor Eintritt",IF(AND(INDEX(Mitarbeiter!$D$6:$D$205,MATCH(B3984,Mitarbeiter!$A$6:$A$205,0))&lt;&gt;"",A3984&gt;INDEX(Mitarbeiter!$D$6:$D$205,MATCH(B3984,Mitarbeiter!$A$6:$A$205,0))),"nach Austritt","ok")))))))</f>
        <v/>
      </c>
    </row>
    <row r="3985">
      <c r="A3985" s="26" t="n"/>
      <c r="B3985" s="24" t="n"/>
      <c r="C3985" s="40">
        <f>IF(B3985="","",IFERROR(INDEX(Mitarbeiter!$B$6:$B$205,MATCH(B3985,Mitarbeiter!$A$6:$A$205,0)),"?"))</f>
        <v/>
      </c>
      <c r="D3985" s="41" t="n"/>
      <c r="E3985" s="42" t="n"/>
      <c r="F3985" s="43" t="n"/>
      <c r="G3985" s="44">
        <f>IF(OR(B3985="",F3985=""),"",IFERROR(F3985*INDEX(Mitarbeiter!$F$6:$F$205,MATCH(B3985,Mitarbeiter!$A$6:$A$205,0)),0))</f>
        <v/>
      </c>
      <c r="H3985" s="8">
        <f>IF(B3985="","",IF(ISNA(MATCH(B3985,Mitarbeiter!$A$6:$A$205,0)),"Pers.-Nr. unbekannt",IF(A3985="","Datum fehlt",IF(AND(D3985&lt;&gt;Einstellungen!$C$4,D3985&lt;&gt;Einstellungen!$C$5),"Objekt fehlt",IF(YEAR(A3985)&lt;&gt;Einstellungen!$C$3,"anderes Jahr",IF(A3985&lt;INDEX(Mitarbeiter!$C$6:$C$205,MATCH(B3985,Mitarbeiter!$A$6:$A$205,0)),"vor Eintritt",IF(AND(INDEX(Mitarbeiter!$D$6:$D$205,MATCH(B3985,Mitarbeiter!$A$6:$A$205,0))&lt;&gt;"",A3985&gt;INDEX(Mitarbeiter!$D$6:$D$205,MATCH(B3985,Mitarbeiter!$A$6:$A$205,0))),"nach Austritt","ok")))))))</f>
        <v/>
      </c>
    </row>
    <row r="3986">
      <c r="A3986" s="26" t="n"/>
      <c r="B3986" s="24" t="n"/>
      <c r="C3986" s="40">
        <f>IF(B3986="","",IFERROR(INDEX(Mitarbeiter!$B$6:$B$205,MATCH(B3986,Mitarbeiter!$A$6:$A$205,0)),"?"))</f>
        <v/>
      </c>
      <c r="D3986" s="41" t="n"/>
      <c r="E3986" s="42" t="n"/>
      <c r="F3986" s="43" t="n"/>
      <c r="G3986" s="44">
        <f>IF(OR(B3986="",F3986=""),"",IFERROR(F3986*INDEX(Mitarbeiter!$F$6:$F$205,MATCH(B3986,Mitarbeiter!$A$6:$A$205,0)),0))</f>
        <v/>
      </c>
      <c r="H3986" s="8">
        <f>IF(B3986="","",IF(ISNA(MATCH(B3986,Mitarbeiter!$A$6:$A$205,0)),"Pers.-Nr. unbekannt",IF(A3986="","Datum fehlt",IF(AND(D3986&lt;&gt;Einstellungen!$C$4,D3986&lt;&gt;Einstellungen!$C$5),"Objekt fehlt",IF(YEAR(A3986)&lt;&gt;Einstellungen!$C$3,"anderes Jahr",IF(A3986&lt;INDEX(Mitarbeiter!$C$6:$C$205,MATCH(B3986,Mitarbeiter!$A$6:$A$205,0)),"vor Eintritt",IF(AND(INDEX(Mitarbeiter!$D$6:$D$205,MATCH(B3986,Mitarbeiter!$A$6:$A$205,0))&lt;&gt;"",A3986&gt;INDEX(Mitarbeiter!$D$6:$D$205,MATCH(B3986,Mitarbeiter!$A$6:$A$205,0))),"nach Austritt","ok")))))))</f>
        <v/>
      </c>
    </row>
    <row r="3987">
      <c r="A3987" s="26" t="n"/>
      <c r="B3987" s="24" t="n"/>
      <c r="C3987" s="40">
        <f>IF(B3987="","",IFERROR(INDEX(Mitarbeiter!$B$6:$B$205,MATCH(B3987,Mitarbeiter!$A$6:$A$205,0)),"?"))</f>
        <v/>
      </c>
      <c r="D3987" s="41" t="n"/>
      <c r="E3987" s="42" t="n"/>
      <c r="F3987" s="43" t="n"/>
      <c r="G3987" s="44">
        <f>IF(OR(B3987="",F3987=""),"",IFERROR(F3987*INDEX(Mitarbeiter!$F$6:$F$205,MATCH(B3987,Mitarbeiter!$A$6:$A$205,0)),0))</f>
        <v/>
      </c>
      <c r="H3987" s="8">
        <f>IF(B3987="","",IF(ISNA(MATCH(B3987,Mitarbeiter!$A$6:$A$205,0)),"Pers.-Nr. unbekannt",IF(A3987="","Datum fehlt",IF(AND(D3987&lt;&gt;Einstellungen!$C$4,D3987&lt;&gt;Einstellungen!$C$5),"Objekt fehlt",IF(YEAR(A3987)&lt;&gt;Einstellungen!$C$3,"anderes Jahr",IF(A3987&lt;INDEX(Mitarbeiter!$C$6:$C$205,MATCH(B3987,Mitarbeiter!$A$6:$A$205,0)),"vor Eintritt",IF(AND(INDEX(Mitarbeiter!$D$6:$D$205,MATCH(B3987,Mitarbeiter!$A$6:$A$205,0))&lt;&gt;"",A3987&gt;INDEX(Mitarbeiter!$D$6:$D$205,MATCH(B3987,Mitarbeiter!$A$6:$A$205,0))),"nach Austritt","ok")))))))</f>
        <v/>
      </c>
    </row>
    <row r="3988">
      <c r="A3988" s="26" t="n"/>
      <c r="B3988" s="24" t="n"/>
      <c r="C3988" s="40">
        <f>IF(B3988="","",IFERROR(INDEX(Mitarbeiter!$B$6:$B$205,MATCH(B3988,Mitarbeiter!$A$6:$A$205,0)),"?"))</f>
        <v/>
      </c>
      <c r="D3988" s="41" t="n"/>
      <c r="E3988" s="42" t="n"/>
      <c r="F3988" s="43" t="n"/>
      <c r="G3988" s="44">
        <f>IF(OR(B3988="",F3988=""),"",IFERROR(F3988*INDEX(Mitarbeiter!$F$6:$F$205,MATCH(B3988,Mitarbeiter!$A$6:$A$205,0)),0))</f>
        <v/>
      </c>
      <c r="H3988" s="8">
        <f>IF(B3988="","",IF(ISNA(MATCH(B3988,Mitarbeiter!$A$6:$A$205,0)),"Pers.-Nr. unbekannt",IF(A3988="","Datum fehlt",IF(AND(D3988&lt;&gt;Einstellungen!$C$4,D3988&lt;&gt;Einstellungen!$C$5),"Objekt fehlt",IF(YEAR(A3988)&lt;&gt;Einstellungen!$C$3,"anderes Jahr",IF(A3988&lt;INDEX(Mitarbeiter!$C$6:$C$205,MATCH(B3988,Mitarbeiter!$A$6:$A$205,0)),"vor Eintritt",IF(AND(INDEX(Mitarbeiter!$D$6:$D$205,MATCH(B3988,Mitarbeiter!$A$6:$A$205,0))&lt;&gt;"",A3988&gt;INDEX(Mitarbeiter!$D$6:$D$205,MATCH(B3988,Mitarbeiter!$A$6:$A$205,0))),"nach Austritt","ok")))))))</f>
        <v/>
      </c>
    </row>
    <row r="3989">
      <c r="A3989" s="26" t="n"/>
      <c r="B3989" s="24" t="n"/>
      <c r="C3989" s="40">
        <f>IF(B3989="","",IFERROR(INDEX(Mitarbeiter!$B$6:$B$205,MATCH(B3989,Mitarbeiter!$A$6:$A$205,0)),"?"))</f>
        <v/>
      </c>
      <c r="D3989" s="41" t="n"/>
      <c r="E3989" s="42" t="n"/>
      <c r="F3989" s="43" t="n"/>
      <c r="G3989" s="44">
        <f>IF(OR(B3989="",F3989=""),"",IFERROR(F3989*INDEX(Mitarbeiter!$F$6:$F$205,MATCH(B3989,Mitarbeiter!$A$6:$A$205,0)),0))</f>
        <v/>
      </c>
      <c r="H3989" s="8">
        <f>IF(B3989="","",IF(ISNA(MATCH(B3989,Mitarbeiter!$A$6:$A$205,0)),"Pers.-Nr. unbekannt",IF(A3989="","Datum fehlt",IF(AND(D3989&lt;&gt;Einstellungen!$C$4,D3989&lt;&gt;Einstellungen!$C$5),"Objekt fehlt",IF(YEAR(A3989)&lt;&gt;Einstellungen!$C$3,"anderes Jahr",IF(A3989&lt;INDEX(Mitarbeiter!$C$6:$C$205,MATCH(B3989,Mitarbeiter!$A$6:$A$205,0)),"vor Eintritt",IF(AND(INDEX(Mitarbeiter!$D$6:$D$205,MATCH(B3989,Mitarbeiter!$A$6:$A$205,0))&lt;&gt;"",A3989&gt;INDEX(Mitarbeiter!$D$6:$D$205,MATCH(B3989,Mitarbeiter!$A$6:$A$205,0))),"nach Austritt","ok")))))))</f>
        <v/>
      </c>
    </row>
    <row r="3990">
      <c r="A3990" s="26" t="n"/>
      <c r="B3990" s="24" t="n"/>
      <c r="C3990" s="40">
        <f>IF(B3990="","",IFERROR(INDEX(Mitarbeiter!$B$6:$B$205,MATCH(B3990,Mitarbeiter!$A$6:$A$205,0)),"?"))</f>
        <v/>
      </c>
      <c r="D3990" s="41" t="n"/>
      <c r="E3990" s="42" t="n"/>
      <c r="F3990" s="43" t="n"/>
      <c r="G3990" s="44">
        <f>IF(OR(B3990="",F3990=""),"",IFERROR(F3990*INDEX(Mitarbeiter!$F$6:$F$205,MATCH(B3990,Mitarbeiter!$A$6:$A$205,0)),0))</f>
        <v/>
      </c>
      <c r="H3990" s="8">
        <f>IF(B3990="","",IF(ISNA(MATCH(B3990,Mitarbeiter!$A$6:$A$205,0)),"Pers.-Nr. unbekannt",IF(A3990="","Datum fehlt",IF(AND(D3990&lt;&gt;Einstellungen!$C$4,D3990&lt;&gt;Einstellungen!$C$5),"Objekt fehlt",IF(YEAR(A3990)&lt;&gt;Einstellungen!$C$3,"anderes Jahr",IF(A3990&lt;INDEX(Mitarbeiter!$C$6:$C$205,MATCH(B3990,Mitarbeiter!$A$6:$A$205,0)),"vor Eintritt",IF(AND(INDEX(Mitarbeiter!$D$6:$D$205,MATCH(B3990,Mitarbeiter!$A$6:$A$205,0))&lt;&gt;"",A3990&gt;INDEX(Mitarbeiter!$D$6:$D$205,MATCH(B3990,Mitarbeiter!$A$6:$A$205,0))),"nach Austritt","ok")))))))</f>
        <v/>
      </c>
    </row>
    <row r="3991">
      <c r="A3991" s="26" t="n"/>
      <c r="B3991" s="24" t="n"/>
      <c r="C3991" s="40">
        <f>IF(B3991="","",IFERROR(INDEX(Mitarbeiter!$B$6:$B$205,MATCH(B3991,Mitarbeiter!$A$6:$A$205,0)),"?"))</f>
        <v/>
      </c>
      <c r="D3991" s="41" t="n"/>
      <c r="E3991" s="42" t="n"/>
      <c r="F3991" s="43" t="n"/>
      <c r="G3991" s="44">
        <f>IF(OR(B3991="",F3991=""),"",IFERROR(F3991*INDEX(Mitarbeiter!$F$6:$F$205,MATCH(B3991,Mitarbeiter!$A$6:$A$205,0)),0))</f>
        <v/>
      </c>
      <c r="H3991" s="8">
        <f>IF(B3991="","",IF(ISNA(MATCH(B3991,Mitarbeiter!$A$6:$A$205,0)),"Pers.-Nr. unbekannt",IF(A3991="","Datum fehlt",IF(AND(D3991&lt;&gt;Einstellungen!$C$4,D3991&lt;&gt;Einstellungen!$C$5),"Objekt fehlt",IF(YEAR(A3991)&lt;&gt;Einstellungen!$C$3,"anderes Jahr",IF(A3991&lt;INDEX(Mitarbeiter!$C$6:$C$205,MATCH(B3991,Mitarbeiter!$A$6:$A$205,0)),"vor Eintritt",IF(AND(INDEX(Mitarbeiter!$D$6:$D$205,MATCH(B3991,Mitarbeiter!$A$6:$A$205,0))&lt;&gt;"",A3991&gt;INDEX(Mitarbeiter!$D$6:$D$205,MATCH(B3991,Mitarbeiter!$A$6:$A$205,0))),"nach Austritt","ok")))))))</f>
        <v/>
      </c>
    </row>
    <row r="3992">
      <c r="A3992" s="26" t="n"/>
      <c r="B3992" s="24" t="n"/>
      <c r="C3992" s="40">
        <f>IF(B3992="","",IFERROR(INDEX(Mitarbeiter!$B$6:$B$205,MATCH(B3992,Mitarbeiter!$A$6:$A$205,0)),"?"))</f>
        <v/>
      </c>
      <c r="D3992" s="41" t="n"/>
      <c r="E3992" s="42" t="n"/>
      <c r="F3992" s="43" t="n"/>
      <c r="G3992" s="44">
        <f>IF(OR(B3992="",F3992=""),"",IFERROR(F3992*INDEX(Mitarbeiter!$F$6:$F$205,MATCH(B3992,Mitarbeiter!$A$6:$A$205,0)),0))</f>
        <v/>
      </c>
      <c r="H3992" s="8">
        <f>IF(B3992="","",IF(ISNA(MATCH(B3992,Mitarbeiter!$A$6:$A$205,0)),"Pers.-Nr. unbekannt",IF(A3992="","Datum fehlt",IF(AND(D3992&lt;&gt;Einstellungen!$C$4,D3992&lt;&gt;Einstellungen!$C$5),"Objekt fehlt",IF(YEAR(A3992)&lt;&gt;Einstellungen!$C$3,"anderes Jahr",IF(A3992&lt;INDEX(Mitarbeiter!$C$6:$C$205,MATCH(B3992,Mitarbeiter!$A$6:$A$205,0)),"vor Eintritt",IF(AND(INDEX(Mitarbeiter!$D$6:$D$205,MATCH(B3992,Mitarbeiter!$A$6:$A$205,0))&lt;&gt;"",A3992&gt;INDEX(Mitarbeiter!$D$6:$D$205,MATCH(B3992,Mitarbeiter!$A$6:$A$205,0))),"nach Austritt","ok")))))))</f>
        <v/>
      </c>
    </row>
    <row r="3993">
      <c r="A3993" s="26" t="n"/>
      <c r="B3993" s="24" t="n"/>
      <c r="C3993" s="40">
        <f>IF(B3993="","",IFERROR(INDEX(Mitarbeiter!$B$6:$B$205,MATCH(B3993,Mitarbeiter!$A$6:$A$205,0)),"?"))</f>
        <v/>
      </c>
      <c r="D3993" s="41" t="n"/>
      <c r="E3993" s="42" t="n"/>
      <c r="F3993" s="43" t="n"/>
      <c r="G3993" s="44">
        <f>IF(OR(B3993="",F3993=""),"",IFERROR(F3993*INDEX(Mitarbeiter!$F$6:$F$205,MATCH(B3993,Mitarbeiter!$A$6:$A$205,0)),0))</f>
        <v/>
      </c>
      <c r="H3993" s="8">
        <f>IF(B3993="","",IF(ISNA(MATCH(B3993,Mitarbeiter!$A$6:$A$205,0)),"Pers.-Nr. unbekannt",IF(A3993="","Datum fehlt",IF(AND(D3993&lt;&gt;Einstellungen!$C$4,D3993&lt;&gt;Einstellungen!$C$5),"Objekt fehlt",IF(YEAR(A3993)&lt;&gt;Einstellungen!$C$3,"anderes Jahr",IF(A3993&lt;INDEX(Mitarbeiter!$C$6:$C$205,MATCH(B3993,Mitarbeiter!$A$6:$A$205,0)),"vor Eintritt",IF(AND(INDEX(Mitarbeiter!$D$6:$D$205,MATCH(B3993,Mitarbeiter!$A$6:$A$205,0))&lt;&gt;"",A3993&gt;INDEX(Mitarbeiter!$D$6:$D$205,MATCH(B3993,Mitarbeiter!$A$6:$A$205,0))),"nach Austritt","ok")))))))</f>
        <v/>
      </c>
    </row>
    <row r="3994">
      <c r="A3994" s="26" t="n"/>
      <c r="B3994" s="24" t="n"/>
      <c r="C3994" s="40">
        <f>IF(B3994="","",IFERROR(INDEX(Mitarbeiter!$B$6:$B$205,MATCH(B3994,Mitarbeiter!$A$6:$A$205,0)),"?"))</f>
        <v/>
      </c>
      <c r="D3994" s="41" t="n"/>
      <c r="E3994" s="42" t="n"/>
      <c r="F3994" s="43" t="n"/>
      <c r="G3994" s="44">
        <f>IF(OR(B3994="",F3994=""),"",IFERROR(F3994*INDEX(Mitarbeiter!$F$6:$F$205,MATCH(B3994,Mitarbeiter!$A$6:$A$205,0)),0))</f>
        <v/>
      </c>
      <c r="H3994" s="8">
        <f>IF(B3994="","",IF(ISNA(MATCH(B3994,Mitarbeiter!$A$6:$A$205,0)),"Pers.-Nr. unbekannt",IF(A3994="","Datum fehlt",IF(AND(D3994&lt;&gt;Einstellungen!$C$4,D3994&lt;&gt;Einstellungen!$C$5),"Objekt fehlt",IF(YEAR(A3994)&lt;&gt;Einstellungen!$C$3,"anderes Jahr",IF(A3994&lt;INDEX(Mitarbeiter!$C$6:$C$205,MATCH(B3994,Mitarbeiter!$A$6:$A$205,0)),"vor Eintritt",IF(AND(INDEX(Mitarbeiter!$D$6:$D$205,MATCH(B3994,Mitarbeiter!$A$6:$A$205,0))&lt;&gt;"",A3994&gt;INDEX(Mitarbeiter!$D$6:$D$205,MATCH(B3994,Mitarbeiter!$A$6:$A$205,0))),"nach Austritt","ok")))))))</f>
        <v/>
      </c>
    </row>
    <row r="3995">
      <c r="A3995" s="26" t="n"/>
      <c r="B3995" s="24" t="n"/>
      <c r="C3995" s="40">
        <f>IF(B3995="","",IFERROR(INDEX(Mitarbeiter!$B$6:$B$205,MATCH(B3995,Mitarbeiter!$A$6:$A$205,0)),"?"))</f>
        <v/>
      </c>
      <c r="D3995" s="41" t="n"/>
      <c r="E3995" s="42" t="n"/>
      <c r="F3995" s="43" t="n"/>
      <c r="G3995" s="44">
        <f>IF(OR(B3995="",F3995=""),"",IFERROR(F3995*INDEX(Mitarbeiter!$F$6:$F$205,MATCH(B3995,Mitarbeiter!$A$6:$A$205,0)),0))</f>
        <v/>
      </c>
      <c r="H3995" s="8">
        <f>IF(B3995="","",IF(ISNA(MATCH(B3995,Mitarbeiter!$A$6:$A$205,0)),"Pers.-Nr. unbekannt",IF(A3995="","Datum fehlt",IF(AND(D3995&lt;&gt;Einstellungen!$C$4,D3995&lt;&gt;Einstellungen!$C$5),"Objekt fehlt",IF(YEAR(A3995)&lt;&gt;Einstellungen!$C$3,"anderes Jahr",IF(A3995&lt;INDEX(Mitarbeiter!$C$6:$C$205,MATCH(B3995,Mitarbeiter!$A$6:$A$205,0)),"vor Eintritt",IF(AND(INDEX(Mitarbeiter!$D$6:$D$205,MATCH(B3995,Mitarbeiter!$A$6:$A$205,0))&lt;&gt;"",A3995&gt;INDEX(Mitarbeiter!$D$6:$D$205,MATCH(B3995,Mitarbeiter!$A$6:$A$205,0))),"nach Austritt","ok")))))))</f>
        <v/>
      </c>
    </row>
    <row r="3996">
      <c r="A3996" s="26" t="n"/>
      <c r="B3996" s="24" t="n"/>
      <c r="C3996" s="40">
        <f>IF(B3996="","",IFERROR(INDEX(Mitarbeiter!$B$6:$B$205,MATCH(B3996,Mitarbeiter!$A$6:$A$205,0)),"?"))</f>
        <v/>
      </c>
      <c r="D3996" s="41" t="n"/>
      <c r="E3996" s="42" t="n"/>
      <c r="F3996" s="43" t="n"/>
      <c r="G3996" s="44">
        <f>IF(OR(B3996="",F3996=""),"",IFERROR(F3996*INDEX(Mitarbeiter!$F$6:$F$205,MATCH(B3996,Mitarbeiter!$A$6:$A$205,0)),0))</f>
        <v/>
      </c>
      <c r="H3996" s="8">
        <f>IF(B3996="","",IF(ISNA(MATCH(B3996,Mitarbeiter!$A$6:$A$205,0)),"Pers.-Nr. unbekannt",IF(A3996="","Datum fehlt",IF(AND(D3996&lt;&gt;Einstellungen!$C$4,D3996&lt;&gt;Einstellungen!$C$5),"Objekt fehlt",IF(YEAR(A3996)&lt;&gt;Einstellungen!$C$3,"anderes Jahr",IF(A3996&lt;INDEX(Mitarbeiter!$C$6:$C$205,MATCH(B3996,Mitarbeiter!$A$6:$A$205,0)),"vor Eintritt",IF(AND(INDEX(Mitarbeiter!$D$6:$D$205,MATCH(B3996,Mitarbeiter!$A$6:$A$205,0))&lt;&gt;"",A3996&gt;INDEX(Mitarbeiter!$D$6:$D$205,MATCH(B3996,Mitarbeiter!$A$6:$A$205,0))),"nach Austritt","ok")))))))</f>
        <v/>
      </c>
    </row>
    <row r="3997">
      <c r="A3997" s="26" t="n"/>
      <c r="B3997" s="24" t="n"/>
      <c r="C3997" s="40">
        <f>IF(B3997="","",IFERROR(INDEX(Mitarbeiter!$B$6:$B$205,MATCH(B3997,Mitarbeiter!$A$6:$A$205,0)),"?"))</f>
        <v/>
      </c>
      <c r="D3997" s="41" t="n"/>
      <c r="E3997" s="42" t="n"/>
      <c r="F3997" s="43" t="n"/>
      <c r="G3997" s="44">
        <f>IF(OR(B3997="",F3997=""),"",IFERROR(F3997*INDEX(Mitarbeiter!$F$6:$F$205,MATCH(B3997,Mitarbeiter!$A$6:$A$205,0)),0))</f>
        <v/>
      </c>
      <c r="H3997" s="8">
        <f>IF(B3997="","",IF(ISNA(MATCH(B3997,Mitarbeiter!$A$6:$A$205,0)),"Pers.-Nr. unbekannt",IF(A3997="","Datum fehlt",IF(AND(D3997&lt;&gt;Einstellungen!$C$4,D3997&lt;&gt;Einstellungen!$C$5),"Objekt fehlt",IF(YEAR(A3997)&lt;&gt;Einstellungen!$C$3,"anderes Jahr",IF(A3997&lt;INDEX(Mitarbeiter!$C$6:$C$205,MATCH(B3997,Mitarbeiter!$A$6:$A$205,0)),"vor Eintritt",IF(AND(INDEX(Mitarbeiter!$D$6:$D$205,MATCH(B3997,Mitarbeiter!$A$6:$A$205,0))&lt;&gt;"",A3997&gt;INDEX(Mitarbeiter!$D$6:$D$205,MATCH(B3997,Mitarbeiter!$A$6:$A$205,0))),"nach Austritt","ok")))))))</f>
        <v/>
      </c>
    </row>
    <row r="3998">
      <c r="A3998" s="26" t="n"/>
      <c r="B3998" s="24" t="n"/>
      <c r="C3998" s="40">
        <f>IF(B3998="","",IFERROR(INDEX(Mitarbeiter!$B$6:$B$205,MATCH(B3998,Mitarbeiter!$A$6:$A$205,0)),"?"))</f>
        <v/>
      </c>
      <c r="D3998" s="41" t="n"/>
      <c r="E3998" s="42" t="n"/>
      <c r="F3998" s="43" t="n"/>
      <c r="G3998" s="44">
        <f>IF(OR(B3998="",F3998=""),"",IFERROR(F3998*INDEX(Mitarbeiter!$F$6:$F$205,MATCH(B3998,Mitarbeiter!$A$6:$A$205,0)),0))</f>
        <v/>
      </c>
      <c r="H3998" s="8">
        <f>IF(B3998="","",IF(ISNA(MATCH(B3998,Mitarbeiter!$A$6:$A$205,0)),"Pers.-Nr. unbekannt",IF(A3998="","Datum fehlt",IF(AND(D3998&lt;&gt;Einstellungen!$C$4,D3998&lt;&gt;Einstellungen!$C$5),"Objekt fehlt",IF(YEAR(A3998)&lt;&gt;Einstellungen!$C$3,"anderes Jahr",IF(A3998&lt;INDEX(Mitarbeiter!$C$6:$C$205,MATCH(B3998,Mitarbeiter!$A$6:$A$205,0)),"vor Eintritt",IF(AND(INDEX(Mitarbeiter!$D$6:$D$205,MATCH(B3998,Mitarbeiter!$A$6:$A$205,0))&lt;&gt;"",A3998&gt;INDEX(Mitarbeiter!$D$6:$D$205,MATCH(B3998,Mitarbeiter!$A$6:$A$205,0))),"nach Austritt","ok")))))))</f>
        <v/>
      </c>
    </row>
    <row r="3999">
      <c r="A3999" s="26" t="n"/>
      <c r="B3999" s="24" t="n"/>
      <c r="C3999" s="40">
        <f>IF(B3999="","",IFERROR(INDEX(Mitarbeiter!$B$6:$B$205,MATCH(B3999,Mitarbeiter!$A$6:$A$205,0)),"?"))</f>
        <v/>
      </c>
      <c r="D3999" s="41" t="n"/>
      <c r="E3999" s="42" t="n"/>
      <c r="F3999" s="43" t="n"/>
      <c r="G3999" s="44">
        <f>IF(OR(B3999="",F3999=""),"",IFERROR(F3999*INDEX(Mitarbeiter!$F$6:$F$205,MATCH(B3999,Mitarbeiter!$A$6:$A$205,0)),0))</f>
        <v/>
      </c>
      <c r="H3999" s="8">
        <f>IF(B3999="","",IF(ISNA(MATCH(B3999,Mitarbeiter!$A$6:$A$205,0)),"Pers.-Nr. unbekannt",IF(A3999="","Datum fehlt",IF(AND(D3999&lt;&gt;Einstellungen!$C$4,D3999&lt;&gt;Einstellungen!$C$5),"Objekt fehlt",IF(YEAR(A3999)&lt;&gt;Einstellungen!$C$3,"anderes Jahr",IF(A3999&lt;INDEX(Mitarbeiter!$C$6:$C$205,MATCH(B3999,Mitarbeiter!$A$6:$A$205,0)),"vor Eintritt",IF(AND(INDEX(Mitarbeiter!$D$6:$D$205,MATCH(B3999,Mitarbeiter!$A$6:$A$205,0))&lt;&gt;"",A3999&gt;INDEX(Mitarbeiter!$D$6:$D$205,MATCH(B3999,Mitarbeiter!$A$6:$A$205,0))),"nach Austritt","ok")))))))</f>
        <v/>
      </c>
    </row>
    <row r="4000">
      <c r="A4000" s="26" t="n"/>
      <c r="B4000" s="24" t="n"/>
      <c r="C4000" s="40">
        <f>IF(B4000="","",IFERROR(INDEX(Mitarbeiter!$B$6:$B$205,MATCH(B4000,Mitarbeiter!$A$6:$A$205,0)),"?"))</f>
        <v/>
      </c>
      <c r="D4000" s="41" t="n"/>
      <c r="E4000" s="42" t="n"/>
      <c r="F4000" s="43" t="n"/>
      <c r="G4000" s="44">
        <f>IF(OR(B4000="",F4000=""),"",IFERROR(F4000*INDEX(Mitarbeiter!$F$6:$F$205,MATCH(B4000,Mitarbeiter!$A$6:$A$205,0)),0))</f>
        <v/>
      </c>
      <c r="H4000" s="8">
        <f>IF(B4000="","",IF(ISNA(MATCH(B4000,Mitarbeiter!$A$6:$A$205,0)),"Pers.-Nr. unbekannt",IF(A4000="","Datum fehlt",IF(AND(D4000&lt;&gt;Einstellungen!$C$4,D4000&lt;&gt;Einstellungen!$C$5),"Objekt fehlt",IF(YEAR(A4000)&lt;&gt;Einstellungen!$C$3,"anderes Jahr",IF(A4000&lt;INDEX(Mitarbeiter!$C$6:$C$205,MATCH(B4000,Mitarbeiter!$A$6:$A$205,0)),"vor Eintritt",IF(AND(INDEX(Mitarbeiter!$D$6:$D$205,MATCH(B4000,Mitarbeiter!$A$6:$A$205,0))&lt;&gt;"",A4000&gt;INDEX(Mitarbeiter!$D$6:$D$205,MATCH(B4000,Mitarbeiter!$A$6:$A$205,0))),"nach Austritt","ok")))))))</f>
        <v/>
      </c>
    </row>
    <row r="4001">
      <c r="A4001" s="26" t="n"/>
      <c r="B4001" s="24" t="n"/>
      <c r="C4001" s="40">
        <f>IF(B4001="","",IFERROR(INDEX(Mitarbeiter!$B$6:$B$205,MATCH(B4001,Mitarbeiter!$A$6:$A$205,0)),"?"))</f>
        <v/>
      </c>
      <c r="D4001" s="41" t="n"/>
      <c r="E4001" s="42" t="n"/>
      <c r="F4001" s="43" t="n"/>
      <c r="G4001" s="44">
        <f>IF(OR(B4001="",F4001=""),"",IFERROR(F4001*INDEX(Mitarbeiter!$F$6:$F$205,MATCH(B4001,Mitarbeiter!$A$6:$A$205,0)),0))</f>
        <v/>
      </c>
      <c r="H4001" s="8">
        <f>IF(B4001="","",IF(ISNA(MATCH(B4001,Mitarbeiter!$A$6:$A$205,0)),"Pers.-Nr. unbekannt",IF(A4001="","Datum fehlt",IF(AND(D4001&lt;&gt;Einstellungen!$C$4,D4001&lt;&gt;Einstellungen!$C$5),"Objekt fehlt",IF(YEAR(A4001)&lt;&gt;Einstellungen!$C$3,"anderes Jahr",IF(A4001&lt;INDEX(Mitarbeiter!$C$6:$C$205,MATCH(B4001,Mitarbeiter!$A$6:$A$205,0)),"vor Eintritt",IF(AND(INDEX(Mitarbeiter!$D$6:$D$205,MATCH(B4001,Mitarbeiter!$A$6:$A$205,0))&lt;&gt;"",A4001&gt;INDEX(Mitarbeiter!$D$6:$D$205,MATCH(B4001,Mitarbeiter!$A$6:$A$205,0))),"nach Austritt","ok")))))))</f>
        <v/>
      </c>
    </row>
    <row r="4002">
      <c r="A4002" s="26" t="n"/>
      <c r="B4002" s="24" t="n"/>
      <c r="C4002" s="40">
        <f>IF(B4002="","",IFERROR(INDEX(Mitarbeiter!$B$6:$B$205,MATCH(B4002,Mitarbeiter!$A$6:$A$205,0)),"?"))</f>
        <v/>
      </c>
      <c r="D4002" s="41" t="n"/>
      <c r="E4002" s="42" t="n"/>
      <c r="F4002" s="43" t="n"/>
      <c r="G4002" s="44">
        <f>IF(OR(B4002="",F4002=""),"",IFERROR(F4002*INDEX(Mitarbeiter!$F$6:$F$205,MATCH(B4002,Mitarbeiter!$A$6:$A$205,0)),0))</f>
        <v/>
      </c>
      <c r="H4002" s="8">
        <f>IF(B4002="","",IF(ISNA(MATCH(B4002,Mitarbeiter!$A$6:$A$205,0)),"Pers.-Nr. unbekannt",IF(A4002="","Datum fehlt",IF(AND(D4002&lt;&gt;Einstellungen!$C$4,D4002&lt;&gt;Einstellungen!$C$5),"Objekt fehlt",IF(YEAR(A4002)&lt;&gt;Einstellungen!$C$3,"anderes Jahr",IF(A4002&lt;INDEX(Mitarbeiter!$C$6:$C$205,MATCH(B4002,Mitarbeiter!$A$6:$A$205,0)),"vor Eintritt",IF(AND(INDEX(Mitarbeiter!$D$6:$D$205,MATCH(B4002,Mitarbeiter!$A$6:$A$205,0))&lt;&gt;"",A4002&gt;INDEX(Mitarbeiter!$D$6:$D$205,MATCH(B4002,Mitarbeiter!$A$6:$A$205,0))),"nach Austritt","ok")))))))</f>
        <v/>
      </c>
    </row>
    <row r="4003">
      <c r="A4003" s="26" t="n"/>
      <c r="B4003" s="24" t="n"/>
      <c r="C4003" s="40">
        <f>IF(B4003="","",IFERROR(INDEX(Mitarbeiter!$B$6:$B$205,MATCH(B4003,Mitarbeiter!$A$6:$A$205,0)),"?"))</f>
        <v/>
      </c>
      <c r="D4003" s="41" t="n"/>
      <c r="E4003" s="42" t="n"/>
      <c r="F4003" s="43" t="n"/>
      <c r="G4003" s="44">
        <f>IF(OR(B4003="",F4003=""),"",IFERROR(F4003*INDEX(Mitarbeiter!$F$6:$F$205,MATCH(B4003,Mitarbeiter!$A$6:$A$205,0)),0))</f>
        <v/>
      </c>
      <c r="H4003" s="8">
        <f>IF(B4003="","",IF(ISNA(MATCH(B4003,Mitarbeiter!$A$6:$A$205,0)),"Pers.-Nr. unbekannt",IF(A4003="","Datum fehlt",IF(AND(D4003&lt;&gt;Einstellungen!$C$4,D4003&lt;&gt;Einstellungen!$C$5),"Objekt fehlt",IF(YEAR(A4003)&lt;&gt;Einstellungen!$C$3,"anderes Jahr",IF(A4003&lt;INDEX(Mitarbeiter!$C$6:$C$205,MATCH(B4003,Mitarbeiter!$A$6:$A$205,0)),"vor Eintritt",IF(AND(INDEX(Mitarbeiter!$D$6:$D$205,MATCH(B4003,Mitarbeiter!$A$6:$A$205,0))&lt;&gt;"",A4003&gt;INDEX(Mitarbeiter!$D$6:$D$205,MATCH(B4003,Mitarbeiter!$A$6:$A$205,0))),"nach Austritt","ok")))))))</f>
        <v/>
      </c>
    </row>
    <row r="4004">
      <c r="A4004" s="26" t="n"/>
      <c r="B4004" s="24" t="n"/>
      <c r="C4004" s="40">
        <f>IF(B4004="","",IFERROR(INDEX(Mitarbeiter!$B$6:$B$205,MATCH(B4004,Mitarbeiter!$A$6:$A$205,0)),"?"))</f>
        <v/>
      </c>
      <c r="D4004" s="41" t="n"/>
      <c r="E4004" s="42" t="n"/>
      <c r="F4004" s="43" t="n"/>
      <c r="G4004" s="44">
        <f>IF(OR(B4004="",F4004=""),"",IFERROR(F4004*INDEX(Mitarbeiter!$F$6:$F$205,MATCH(B4004,Mitarbeiter!$A$6:$A$205,0)),0))</f>
        <v/>
      </c>
      <c r="H4004" s="8">
        <f>IF(B4004="","",IF(ISNA(MATCH(B4004,Mitarbeiter!$A$6:$A$205,0)),"Pers.-Nr. unbekannt",IF(A4004="","Datum fehlt",IF(AND(D4004&lt;&gt;Einstellungen!$C$4,D4004&lt;&gt;Einstellungen!$C$5),"Objekt fehlt",IF(YEAR(A4004)&lt;&gt;Einstellungen!$C$3,"anderes Jahr",IF(A4004&lt;INDEX(Mitarbeiter!$C$6:$C$205,MATCH(B4004,Mitarbeiter!$A$6:$A$205,0)),"vor Eintritt",IF(AND(INDEX(Mitarbeiter!$D$6:$D$205,MATCH(B4004,Mitarbeiter!$A$6:$A$205,0))&lt;&gt;"",A4004&gt;INDEX(Mitarbeiter!$D$6:$D$205,MATCH(B4004,Mitarbeiter!$A$6:$A$205,0))),"nach Austritt","ok")))))))</f>
        <v/>
      </c>
    </row>
    <row r="4005">
      <c r="A4005" s="26" t="n"/>
      <c r="B4005" s="24" t="n"/>
      <c r="C4005" s="40">
        <f>IF(B4005="","",IFERROR(INDEX(Mitarbeiter!$B$6:$B$205,MATCH(B4005,Mitarbeiter!$A$6:$A$205,0)),"?"))</f>
        <v/>
      </c>
      <c r="D4005" s="41" t="n"/>
      <c r="E4005" s="42" t="n"/>
      <c r="F4005" s="43" t="n"/>
      <c r="G4005" s="44">
        <f>IF(OR(B4005="",F4005=""),"",IFERROR(F4005*INDEX(Mitarbeiter!$F$6:$F$205,MATCH(B4005,Mitarbeiter!$A$6:$A$205,0)),0))</f>
        <v/>
      </c>
      <c r="H4005" s="8">
        <f>IF(B4005="","",IF(ISNA(MATCH(B4005,Mitarbeiter!$A$6:$A$205,0)),"Pers.-Nr. unbekannt",IF(A4005="","Datum fehlt",IF(AND(D4005&lt;&gt;Einstellungen!$C$4,D4005&lt;&gt;Einstellungen!$C$5),"Objekt fehlt",IF(YEAR(A4005)&lt;&gt;Einstellungen!$C$3,"anderes Jahr",IF(A4005&lt;INDEX(Mitarbeiter!$C$6:$C$205,MATCH(B4005,Mitarbeiter!$A$6:$A$205,0)),"vor Eintritt",IF(AND(INDEX(Mitarbeiter!$D$6:$D$205,MATCH(B4005,Mitarbeiter!$A$6:$A$205,0))&lt;&gt;"",A4005&gt;INDEX(Mitarbeiter!$D$6:$D$205,MATCH(B4005,Mitarbeiter!$A$6:$A$205,0))),"nach Austritt","ok")))))))</f>
        <v/>
      </c>
    </row>
    <row r="4006">
      <c r="A4006" s="26" t="n"/>
      <c r="B4006" s="24" t="n"/>
      <c r="C4006" s="40">
        <f>IF(B4006="","",IFERROR(INDEX(Mitarbeiter!$B$6:$B$205,MATCH(B4006,Mitarbeiter!$A$6:$A$205,0)),"?"))</f>
        <v/>
      </c>
      <c r="D4006" s="41" t="n"/>
      <c r="E4006" s="42" t="n"/>
      <c r="F4006" s="43" t="n"/>
      <c r="G4006" s="44">
        <f>IF(OR(B4006="",F4006=""),"",IFERROR(F4006*INDEX(Mitarbeiter!$F$6:$F$205,MATCH(B4006,Mitarbeiter!$A$6:$A$205,0)),0))</f>
        <v/>
      </c>
      <c r="H4006" s="8">
        <f>IF(B4006="","",IF(ISNA(MATCH(B4006,Mitarbeiter!$A$6:$A$205,0)),"Pers.-Nr. unbekannt",IF(A4006="","Datum fehlt",IF(AND(D4006&lt;&gt;Einstellungen!$C$4,D4006&lt;&gt;Einstellungen!$C$5),"Objekt fehlt",IF(YEAR(A4006)&lt;&gt;Einstellungen!$C$3,"anderes Jahr",IF(A4006&lt;INDEX(Mitarbeiter!$C$6:$C$205,MATCH(B4006,Mitarbeiter!$A$6:$A$205,0)),"vor Eintritt",IF(AND(INDEX(Mitarbeiter!$D$6:$D$205,MATCH(B4006,Mitarbeiter!$A$6:$A$205,0))&lt;&gt;"",A4006&gt;INDEX(Mitarbeiter!$D$6:$D$205,MATCH(B4006,Mitarbeiter!$A$6:$A$205,0))),"nach Austritt","ok")))))))</f>
        <v/>
      </c>
    </row>
    <row r="4007">
      <c r="A4007" s="26" t="n"/>
      <c r="B4007" s="24" t="n"/>
      <c r="C4007" s="40">
        <f>IF(B4007="","",IFERROR(INDEX(Mitarbeiter!$B$6:$B$205,MATCH(B4007,Mitarbeiter!$A$6:$A$205,0)),"?"))</f>
        <v/>
      </c>
      <c r="D4007" s="41" t="n"/>
      <c r="E4007" s="42" t="n"/>
      <c r="F4007" s="43" t="n"/>
      <c r="G4007" s="44">
        <f>IF(OR(B4007="",F4007=""),"",IFERROR(F4007*INDEX(Mitarbeiter!$F$6:$F$205,MATCH(B4007,Mitarbeiter!$A$6:$A$205,0)),0))</f>
        <v/>
      </c>
      <c r="H4007" s="8">
        <f>IF(B4007="","",IF(ISNA(MATCH(B4007,Mitarbeiter!$A$6:$A$205,0)),"Pers.-Nr. unbekannt",IF(A4007="","Datum fehlt",IF(AND(D4007&lt;&gt;Einstellungen!$C$4,D4007&lt;&gt;Einstellungen!$C$5),"Objekt fehlt",IF(YEAR(A4007)&lt;&gt;Einstellungen!$C$3,"anderes Jahr",IF(A4007&lt;INDEX(Mitarbeiter!$C$6:$C$205,MATCH(B4007,Mitarbeiter!$A$6:$A$205,0)),"vor Eintritt",IF(AND(INDEX(Mitarbeiter!$D$6:$D$205,MATCH(B4007,Mitarbeiter!$A$6:$A$205,0))&lt;&gt;"",A4007&gt;INDEX(Mitarbeiter!$D$6:$D$205,MATCH(B4007,Mitarbeiter!$A$6:$A$205,0))),"nach Austritt","ok")))))))</f>
        <v/>
      </c>
    </row>
    <row r="4008">
      <c r="A4008" s="26" t="n"/>
      <c r="B4008" s="24" t="n"/>
      <c r="C4008" s="40">
        <f>IF(B4008="","",IFERROR(INDEX(Mitarbeiter!$B$6:$B$205,MATCH(B4008,Mitarbeiter!$A$6:$A$205,0)),"?"))</f>
        <v/>
      </c>
      <c r="D4008" s="41" t="n"/>
      <c r="E4008" s="42" t="n"/>
      <c r="F4008" s="43" t="n"/>
      <c r="G4008" s="44">
        <f>IF(OR(B4008="",F4008=""),"",IFERROR(F4008*INDEX(Mitarbeiter!$F$6:$F$205,MATCH(B4008,Mitarbeiter!$A$6:$A$205,0)),0))</f>
        <v/>
      </c>
      <c r="H4008" s="8">
        <f>IF(B4008="","",IF(ISNA(MATCH(B4008,Mitarbeiter!$A$6:$A$205,0)),"Pers.-Nr. unbekannt",IF(A4008="","Datum fehlt",IF(AND(D4008&lt;&gt;Einstellungen!$C$4,D4008&lt;&gt;Einstellungen!$C$5),"Objekt fehlt",IF(YEAR(A4008)&lt;&gt;Einstellungen!$C$3,"anderes Jahr",IF(A4008&lt;INDEX(Mitarbeiter!$C$6:$C$205,MATCH(B4008,Mitarbeiter!$A$6:$A$205,0)),"vor Eintritt",IF(AND(INDEX(Mitarbeiter!$D$6:$D$205,MATCH(B4008,Mitarbeiter!$A$6:$A$205,0))&lt;&gt;"",A4008&gt;INDEX(Mitarbeiter!$D$6:$D$205,MATCH(B4008,Mitarbeiter!$A$6:$A$205,0))),"nach Austritt","ok")))))))</f>
        <v/>
      </c>
    </row>
    <row r="4009">
      <c r="A4009" s="26" t="n"/>
      <c r="B4009" s="24" t="n"/>
      <c r="C4009" s="40">
        <f>IF(B4009="","",IFERROR(INDEX(Mitarbeiter!$B$6:$B$205,MATCH(B4009,Mitarbeiter!$A$6:$A$205,0)),"?"))</f>
        <v/>
      </c>
      <c r="D4009" s="41" t="n"/>
      <c r="E4009" s="42" t="n"/>
      <c r="F4009" s="43" t="n"/>
      <c r="G4009" s="44">
        <f>IF(OR(B4009="",F4009=""),"",IFERROR(F4009*INDEX(Mitarbeiter!$F$6:$F$205,MATCH(B4009,Mitarbeiter!$A$6:$A$205,0)),0))</f>
        <v/>
      </c>
      <c r="H4009" s="8">
        <f>IF(B4009="","",IF(ISNA(MATCH(B4009,Mitarbeiter!$A$6:$A$205,0)),"Pers.-Nr. unbekannt",IF(A4009="","Datum fehlt",IF(AND(D4009&lt;&gt;Einstellungen!$C$4,D4009&lt;&gt;Einstellungen!$C$5),"Objekt fehlt",IF(YEAR(A4009)&lt;&gt;Einstellungen!$C$3,"anderes Jahr",IF(A4009&lt;INDEX(Mitarbeiter!$C$6:$C$205,MATCH(B4009,Mitarbeiter!$A$6:$A$205,0)),"vor Eintritt",IF(AND(INDEX(Mitarbeiter!$D$6:$D$205,MATCH(B4009,Mitarbeiter!$A$6:$A$205,0))&lt;&gt;"",A4009&gt;INDEX(Mitarbeiter!$D$6:$D$205,MATCH(B4009,Mitarbeiter!$A$6:$A$205,0))),"nach Austritt","ok")))))))</f>
        <v/>
      </c>
    </row>
    <row r="4010">
      <c r="A4010" s="26" t="n"/>
      <c r="B4010" s="24" t="n"/>
      <c r="C4010" s="40">
        <f>IF(B4010="","",IFERROR(INDEX(Mitarbeiter!$B$6:$B$205,MATCH(B4010,Mitarbeiter!$A$6:$A$205,0)),"?"))</f>
        <v/>
      </c>
      <c r="D4010" s="41" t="n"/>
      <c r="E4010" s="42" t="n"/>
      <c r="F4010" s="43" t="n"/>
      <c r="G4010" s="44">
        <f>IF(OR(B4010="",F4010=""),"",IFERROR(F4010*INDEX(Mitarbeiter!$F$6:$F$205,MATCH(B4010,Mitarbeiter!$A$6:$A$205,0)),0))</f>
        <v/>
      </c>
      <c r="H4010" s="8">
        <f>IF(B4010="","",IF(ISNA(MATCH(B4010,Mitarbeiter!$A$6:$A$205,0)),"Pers.-Nr. unbekannt",IF(A4010="","Datum fehlt",IF(AND(D4010&lt;&gt;Einstellungen!$C$4,D4010&lt;&gt;Einstellungen!$C$5),"Objekt fehlt",IF(YEAR(A4010)&lt;&gt;Einstellungen!$C$3,"anderes Jahr",IF(A4010&lt;INDEX(Mitarbeiter!$C$6:$C$205,MATCH(B4010,Mitarbeiter!$A$6:$A$205,0)),"vor Eintritt",IF(AND(INDEX(Mitarbeiter!$D$6:$D$205,MATCH(B4010,Mitarbeiter!$A$6:$A$205,0))&lt;&gt;"",A4010&gt;INDEX(Mitarbeiter!$D$6:$D$205,MATCH(B4010,Mitarbeiter!$A$6:$A$205,0))),"nach Austritt","ok")))))))</f>
        <v/>
      </c>
    </row>
    <row r="4011">
      <c r="A4011" s="26" t="n"/>
      <c r="B4011" s="24" t="n"/>
      <c r="C4011" s="40">
        <f>IF(B4011="","",IFERROR(INDEX(Mitarbeiter!$B$6:$B$205,MATCH(B4011,Mitarbeiter!$A$6:$A$205,0)),"?"))</f>
        <v/>
      </c>
      <c r="D4011" s="41" t="n"/>
      <c r="E4011" s="42" t="n"/>
      <c r="F4011" s="43" t="n"/>
      <c r="G4011" s="44">
        <f>IF(OR(B4011="",F4011=""),"",IFERROR(F4011*INDEX(Mitarbeiter!$F$6:$F$205,MATCH(B4011,Mitarbeiter!$A$6:$A$205,0)),0))</f>
        <v/>
      </c>
      <c r="H4011" s="8">
        <f>IF(B4011="","",IF(ISNA(MATCH(B4011,Mitarbeiter!$A$6:$A$205,0)),"Pers.-Nr. unbekannt",IF(A4011="","Datum fehlt",IF(AND(D4011&lt;&gt;Einstellungen!$C$4,D4011&lt;&gt;Einstellungen!$C$5),"Objekt fehlt",IF(YEAR(A4011)&lt;&gt;Einstellungen!$C$3,"anderes Jahr",IF(A4011&lt;INDEX(Mitarbeiter!$C$6:$C$205,MATCH(B4011,Mitarbeiter!$A$6:$A$205,0)),"vor Eintritt",IF(AND(INDEX(Mitarbeiter!$D$6:$D$205,MATCH(B4011,Mitarbeiter!$A$6:$A$205,0))&lt;&gt;"",A4011&gt;INDEX(Mitarbeiter!$D$6:$D$205,MATCH(B4011,Mitarbeiter!$A$6:$A$205,0))),"nach Austritt","ok")))))))</f>
        <v/>
      </c>
    </row>
    <row r="4012">
      <c r="A4012" s="26" t="n"/>
      <c r="B4012" s="24" t="n"/>
      <c r="C4012" s="40">
        <f>IF(B4012="","",IFERROR(INDEX(Mitarbeiter!$B$6:$B$205,MATCH(B4012,Mitarbeiter!$A$6:$A$205,0)),"?"))</f>
        <v/>
      </c>
      <c r="D4012" s="41" t="n"/>
      <c r="E4012" s="42" t="n"/>
      <c r="F4012" s="43" t="n"/>
      <c r="G4012" s="44">
        <f>IF(OR(B4012="",F4012=""),"",IFERROR(F4012*INDEX(Mitarbeiter!$F$6:$F$205,MATCH(B4012,Mitarbeiter!$A$6:$A$205,0)),0))</f>
        <v/>
      </c>
      <c r="H4012" s="8">
        <f>IF(B4012="","",IF(ISNA(MATCH(B4012,Mitarbeiter!$A$6:$A$205,0)),"Pers.-Nr. unbekannt",IF(A4012="","Datum fehlt",IF(AND(D4012&lt;&gt;Einstellungen!$C$4,D4012&lt;&gt;Einstellungen!$C$5),"Objekt fehlt",IF(YEAR(A4012)&lt;&gt;Einstellungen!$C$3,"anderes Jahr",IF(A4012&lt;INDEX(Mitarbeiter!$C$6:$C$205,MATCH(B4012,Mitarbeiter!$A$6:$A$205,0)),"vor Eintritt",IF(AND(INDEX(Mitarbeiter!$D$6:$D$205,MATCH(B4012,Mitarbeiter!$A$6:$A$205,0))&lt;&gt;"",A4012&gt;INDEX(Mitarbeiter!$D$6:$D$205,MATCH(B4012,Mitarbeiter!$A$6:$A$205,0))),"nach Austritt","ok")))))))</f>
        <v/>
      </c>
    </row>
    <row r="4013">
      <c r="A4013" s="26" t="n"/>
      <c r="B4013" s="24" t="n"/>
      <c r="C4013" s="40">
        <f>IF(B4013="","",IFERROR(INDEX(Mitarbeiter!$B$6:$B$205,MATCH(B4013,Mitarbeiter!$A$6:$A$205,0)),"?"))</f>
        <v/>
      </c>
      <c r="D4013" s="41" t="n"/>
      <c r="E4013" s="42" t="n"/>
      <c r="F4013" s="43" t="n"/>
      <c r="G4013" s="44">
        <f>IF(OR(B4013="",F4013=""),"",IFERROR(F4013*INDEX(Mitarbeiter!$F$6:$F$205,MATCH(B4013,Mitarbeiter!$A$6:$A$205,0)),0))</f>
        <v/>
      </c>
      <c r="H4013" s="8">
        <f>IF(B4013="","",IF(ISNA(MATCH(B4013,Mitarbeiter!$A$6:$A$205,0)),"Pers.-Nr. unbekannt",IF(A4013="","Datum fehlt",IF(AND(D4013&lt;&gt;Einstellungen!$C$4,D4013&lt;&gt;Einstellungen!$C$5),"Objekt fehlt",IF(YEAR(A4013)&lt;&gt;Einstellungen!$C$3,"anderes Jahr",IF(A4013&lt;INDEX(Mitarbeiter!$C$6:$C$205,MATCH(B4013,Mitarbeiter!$A$6:$A$205,0)),"vor Eintritt",IF(AND(INDEX(Mitarbeiter!$D$6:$D$205,MATCH(B4013,Mitarbeiter!$A$6:$A$205,0))&lt;&gt;"",A4013&gt;INDEX(Mitarbeiter!$D$6:$D$205,MATCH(B4013,Mitarbeiter!$A$6:$A$205,0))),"nach Austritt","ok")))))))</f>
        <v/>
      </c>
    </row>
    <row r="4014">
      <c r="A4014" s="26" t="n"/>
      <c r="B4014" s="24" t="n"/>
      <c r="C4014" s="40">
        <f>IF(B4014="","",IFERROR(INDEX(Mitarbeiter!$B$6:$B$205,MATCH(B4014,Mitarbeiter!$A$6:$A$205,0)),"?"))</f>
        <v/>
      </c>
      <c r="D4014" s="41" t="n"/>
      <c r="E4014" s="42" t="n"/>
      <c r="F4014" s="43" t="n"/>
      <c r="G4014" s="44">
        <f>IF(OR(B4014="",F4014=""),"",IFERROR(F4014*INDEX(Mitarbeiter!$F$6:$F$205,MATCH(B4014,Mitarbeiter!$A$6:$A$205,0)),0))</f>
        <v/>
      </c>
      <c r="H4014" s="8">
        <f>IF(B4014="","",IF(ISNA(MATCH(B4014,Mitarbeiter!$A$6:$A$205,0)),"Pers.-Nr. unbekannt",IF(A4014="","Datum fehlt",IF(AND(D4014&lt;&gt;Einstellungen!$C$4,D4014&lt;&gt;Einstellungen!$C$5),"Objekt fehlt",IF(YEAR(A4014)&lt;&gt;Einstellungen!$C$3,"anderes Jahr",IF(A4014&lt;INDEX(Mitarbeiter!$C$6:$C$205,MATCH(B4014,Mitarbeiter!$A$6:$A$205,0)),"vor Eintritt",IF(AND(INDEX(Mitarbeiter!$D$6:$D$205,MATCH(B4014,Mitarbeiter!$A$6:$A$205,0))&lt;&gt;"",A4014&gt;INDEX(Mitarbeiter!$D$6:$D$205,MATCH(B4014,Mitarbeiter!$A$6:$A$205,0))),"nach Austritt","ok")))))))</f>
        <v/>
      </c>
    </row>
    <row r="4015">
      <c r="A4015" s="26" t="n"/>
      <c r="B4015" s="24" t="n"/>
      <c r="C4015" s="40">
        <f>IF(B4015="","",IFERROR(INDEX(Mitarbeiter!$B$6:$B$205,MATCH(B4015,Mitarbeiter!$A$6:$A$205,0)),"?"))</f>
        <v/>
      </c>
      <c r="D4015" s="41" t="n"/>
      <c r="E4015" s="42" t="n"/>
      <c r="F4015" s="43" t="n"/>
      <c r="G4015" s="44">
        <f>IF(OR(B4015="",F4015=""),"",IFERROR(F4015*INDEX(Mitarbeiter!$F$6:$F$205,MATCH(B4015,Mitarbeiter!$A$6:$A$205,0)),0))</f>
        <v/>
      </c>
      <c r="H4015" s="8">
        <f>IF(B4015="","",IF(ISNA(MATCH(B4015,Mitarbeiter!$A$6:$A$205,0)),"Pers.-Nr. unbekannt",IF(A4015="","Datum fehlt",IF(AND(D4015&lt;&gt;Einstellungen!$C$4,D4015&lt;&gt;Einstellungen!$C$5),"Objekt fehlt",IF(YEAR(A4015)&lt;&gt;Einstellungen!$C$3,"anderes Jahr",IF(A4015&lt;INDEX(Mitarbeiter!$C$6:$C$205,MATCH(B4015,Mitarbeiter!$A$6:$A$205,0)),"vor Eintritt",IF(AND(INDEX(Mitarbeiter!$D$6:$D$205,MATCH(B4015,Mitarbeiter!$A$6:$A$205,0))&lt;&gt;"",A4015&gt;INDEX(Mitarbeiter!$D$6:$D$205,MATCH(B4015,Mitarbeiter!$A$6:$A$205,0))),"nach Austritt","ok")))))))</f>
        <v/>
      </c>
    </row>
    <row r="4016">
      <c r="A4016" s="26" t="n"/>
      <c r="B4016" s="24" t="n"/>
      <c r="C4016" s="40">
        <f>IF(B4016="","",IFERROR(INDEX(Mitarbeiter!$B$6:$B$205,MATCH(B4016,Mitarbeiter!$A$6:$A$205,0)),"?"))</f>
        <v/>
      </c>
      <c r="D4016" s="41" t="n"/>
      <c r="E4016" s="42" t="n"/>
      <c r="F4016" s="43" t="n"/>
      <c r="G4016" s="44">
        <f>IF(OR(B4016="",F4016=""),"",IFERROR(F4016*INDEX(Mitarbeiter!$F$6:$F$205,MATCH(B4016,Mitarbeiter!$A$6:$A$205,0)),0))</f>
        <v/>
      </c>
      <c r="H4016" s="8">
        <f>IF(B4016="","",IF(ISNA(MATCH(B4016,Mitarbeiter!$A$6:$A$205,0)),"Pers.-Nr. unbekannt",IF(A4016="","Datum fehlt",IF(AND(D4016&lt;&gt;Einstellungen!$C$4,D4016&lt;&gt;Einstellungen!$C$5),"Objekt fehlt",IF(YEAR(A4016)&lt;&gt;Einstellungen!$C$3,"anderes Jahr",IF(A4016&lt;INDEX(Mitarbeiter!$C$6:$C$205,MATCH(B4016,Mitarbeiter!$A$6:$A$205,0)),"vor Eintritt",IF(AND(INDEX(Mitarbeiter!$D$6:$D$205,MATCH(B4016,Mitarbeiter!$A$6:$A$205,0))&lt;&gt;"",A4016&gt;INDEX(Mitarbeiter!$D$6:$D$205,MATCH(B4016,Mitarbeiter!$A$6:$A$205,0))),"nach Austritt","ok")))))))</f>
        <v/>
      </c>
    </row>
    <row r="4017">
      <c r="A4017" s="26" t="n"/>
      <c r="B4017" s="24" t="n"/>
      <c r="C4017" s="40">
        <f>IF(B4017="","",IFERROR(INDEX(Mitarbeiter!$B$6:$B$205,MATCH(B4017,Mitarbeiter!$A$6:$A$205,0)),"?"))</f>
        <v/>
      </c>
      <c r="D4017" s="41" t="n"/>
      <c r="E4017" s="42" t="n"/>
      <c r="F4017" s="43" t="n"/>
      <c r="G4017" s="44">
        <f>IF(OR(B4017="",F4017=""),"",IFERROR(F4017*INDEX(Mitarbeiter!$F$6:$F$205,MATCH(B4017,Mitarbeiter!$A$6:$A$205,0)),0))</f>
        <v/>
      </c>
      <c r="H4017" s="8">
        <f>IF(B4017="","",IF(ISNA(MATCH(B4017,Mitarbeiter!$A$6:$A$205,0)),"Pers.-Nr. unbekannt",IF(A4017="","Datum fehlt",IF(AND(D4017&lt;&gt;Einstellungen!$C$4,D4017&lt;&gt;Einstellungen!$C$5),"Objekt fehlt",IF(YEAR(A4017)&lt;&gt;Einstellungen!$C$3,"anderes Jahr",IF(A4017&lt;INDEX(Mitarbeiter!$C$6:$C$205,MATCH(B4017,Mitarbeiter!$A$6:$A$205,0)),"vor Eintritt",IF(AND(INDEX(Mitarbeiter!$D$6:$D$205,MATCH(B4017,Mitarbeiter!$A$6:$A$205,0))&lt;&gt;"",A4017&gt;INDEX(Mitarbeiter!$D$6:$D$205,MATCH(B4017,Mitarbeiter!$A$6:$A$205,0))),"nach Austritt","ok")))))))</f>
        <v/>
      </c>
    </row>
    <row r="4018">
      <c r="A4018" s="26" t="n"/>
      <c r="B4018" s="24" t="n"/>
      <c r="C4018" s="40">
        <f>IF(B4018="","",IFERROR(INDEX(Mitarbeiter!$B$6:$B$205,MATCH(B4018,Mitarbeiter!$A$6:$A$205,0)),"?"))</f>
        <v/>
      </c>
      <c r="D4018" s="41" t="n"/>
      <c r="E4018" s="42" t="n"/>
      <c r="F4018" s="43" t="n"/>
      <c r="G4018" s="44">
        <f>IF(OR(B4018="",F4018=""),"",IFERROR(F4018*INDEX(Mitarbeiter!$F$6:$F$205,MATCH(B4018,Mitarbeiter!$A$6:$A$205,0)),0))</f>
        <v/>
      </c>
      <c r="H4018" s="8">
        <f>IF(B4018="","",IF(ISNA(MATCH(B4018,Mitarbeiter!$A$6:$A$205,0)),"Pers.-Nr. unbekannt",IF(A4018="","Datum fehlt",IF(AND(D4018&lt;&gt;Einstellungen!$C$4,D4018&lt;&gt;Einstellungen!$C$5),"Objekt fehlt",IF(YEAR(A4018)&lt;&gt;Einstellungen!$C$3,"anderes Jahr",IF(A4018&lt;INDEX(Mitarbeiter!$C$6:$C$205,MATCH(B4018,Mitarbeiter!$A$6:$A$205,0)),"vor Eintritt",IF(AND(INDEX(Mitarbeiter!$D$6:$D$205,MATCH(B4018,Mitarbeiter!$A$6:$A$205,0))&lt;&gt;"",A4018&gt;INDEX(Mitarbeiter!$D$6:$D$205,MATCH(B4018,Mitarbeiter!$A$6:$A$205,0))),"nach Austritt","ok")))))))</f>
        <v/>
      </c>
    </row>
    <row r="4019">
      <c r="A4019" s="26" t="n"/>
      <c r="B4019" s="24" t="n"/>
      <c r="C4019" s="40">
        <f>IF(B4019="","",IFERROR(INDEX(Mitarbeiter!$B$6:$B$205,MATCH(B4019,Mitarbeiter!$A$6:$A$205,0)),"?"))</f>
        <v/>
      </c>
      <c r="D4019" s="41" t="n"/>
      <c r="E4019" s="42" t="n"/>
      <c r="F4019" s="43" t="n"/>
      <c r="G4019" s="44">
        <f>IF(OR(B4019="",F4019=""),"",IFERROR(F4019*INDEX(Mitarbeiter!$F$6:$F$205,MATCH(B4019,Mitarbeiter!$A$6:$A$205,0)),0))</f>
        <v/>
      </c>
      <c r="H4019" s="8">
        <f>IF(B4019="","",IF(ISNA(MATCH(B4019,Mitarbeiter!$A$6:$A$205,0)),"Pers.-Nr. unbekannt",IF(A4019="","Datum fehlt",IF(AND(D4019&lt;&gt;Einstellungen!$C$4,D4019&lt;&gt;Einstellungen!$C$5),"Objekt fehlt",IF(YEAR(A4019)&lt;&gt;Einstellungen!$C$3,"anderes Jahr",IF(A4019&lt;INDEX(Mitarbeiter!$C$6:$C$205,MATCH(B4019,Mitarbeiter!$A$6:$A$205,0)),"vor Eintritt",IF(AND(INDEX(Mitarbeiter!$D$6:$D$205,MATCH(B4019,Mitarbeiter!$A$6:$A$205,0))&lt;&gt;"",A4019&gt;INDEX(Mitarbeiter!$D$6:$D$205,MATCH(B4019,Mitarbeiter!$A$6:$A$205,0))),"nach Austritt","ok")))))))</f>
        <v/>
      </c>
    </row>
    <row r="4020">
      <c r="A4020" s="26" t="n"/>
      <c r="B4020" s="24" t="n"/>
      <c r="C4020" s="40">
        <f>IF(B4020="","",IFERROR(INDEX(Mitarbeiter!$B$6:$B$205,MATCH(B4020,Mitarbeiter!$A$6:$A$205,0)),"?"))</f>
        <v/>
      </c>
      <c r="D4020" s="41" t="n"/>
      <c r="E4020" s="42" t="n"/>
      <c r="F4020" s="43" t="n"/>
      <c r="G4020" s="44">
        <f>IF(OR(B4020="",F4020=""),"",IFERROR(F4020*INDEX(Mitarbeiter!$F$6:$F$205,MATCH(B4020,Mitarbeiter!$A$6:$A$205,0)),0))</f>
        <v/>
      </c>
      <c r="H4020" s="8">
        <f>IF(B4020="","",IF(ISNA(MATCH(B4020,Mitarbeiter!$A$6:$A$205,0)),"Pers.-Nr. unbekannt",IF(A4020="","Datum fehlt",IF(AND(D4020&lt;&gt;Einstellungen!$C$4,D4020&lt;&gt;Einstellungen!$C$5),"Objekt fehlt",IF(YEAR(A4020)&lt;&gt;Einstellungen!$C$3,"anderes Jahr",IF(A4020&lt;INDEX(Mitarbeiter!$C$6:$C$205,MATCH(B4020,Mitarbeiter!$A$6:$A$205,0)),"vor Eintritt",IF(AND(INDEX(Mitarbeiter!$D$6:$D$205,MATCH(B4020,Mitarbeiter!$A$6:$A$205,0))&lt;&gt;"",A4020&gt;INDEX(Mitarbeiter!$D$6:$D$205,MATCH(B4020,Mitarbeiter!$A$6:$A$205,0))),"nach Austritt","ok")))))))</f>
        <v/>
      </c>
    </row>
    <row r="4021">
      <c r="A4021" s="26" t="n"/>
      <c r="B4021" s="24" t="n"/>
      <c r="C4021" s="40">
        <f>IF(B4021="","",IFERROR(INDEX(Mitarbeiter!$B$6:$B$205,MATCH(B4021,Mitarbeiter!$A$6:$A$205,0)),"?"))</f>
        <v/>
      </c>
      <c r="D4021" s="41" t="n"/>
      <c r="E4021" s="42" t="n"/>
      <c r="F4021" s="43" t="n"/>
      <c r="G4021" s="44">
        <f>IF(OR(B4021="",F4021=""),"",IFERROR(F4021*INDEX(Mitarbeiter!$F$6:$F$205,MATCH(B4021,Mitarbeiter!$A$6:$A$205,0)),0))</f>
        <v/>
      </c>
      <c r="H4021" s="8">
        <f>IF(B4021="","",IF(ISNA(MATCH(B4021,Mitarbeiter!$A$6:$A$205,0)),"Pers.-Nr. unbekannt",IF(A4021="","Datum fehlt",IF(AND(D4021&lt;&gt;Einstellungen!$C$4,D4021&lt;&gt;Einstellungen!$C$5),"Objekt fehlt",IF(YEAR(A4021)&lt;&gt;Einstellungen!$C$3,"anderes Jahr",IF(A4021&lt;INDEX(Mitarbeiter!$C$6:$C$205,MATCH(B4021,Mitarbeiter!$A$6:$A$205,0)),"vor Eintritt",IF(AND(INDEX(Mitarbeiter!$D$6:$D$205,MATCH(B4021,Mitarbeiter!$A$6:$A$205,0))&lt;&gt;"",A4021&gt;INDEX(Mitarbeiter!$D$6:$D$205,MATCH(B4021,Mitarbeiter!$A$6:$A$205,0))),"nach Austritt","ok")))))))</f>
        <v/>
      </c>
    </row>
    <row r="4022">
      <c r="A4022" s="26" t="n"/>
      <c r="B4022" s="24" t="n"/>
      <c r="C4022" s="40">
        <f>IF(B4022="","",IFERROR(INDEX(Mitarbeiter!$B$6:$B$205,MATCH(B4022,Mitarbeiter!$A$6:$A$205,0)),"?"))</f>
        <v/>
      </c>
      <c r="D4022" s="41" t="n"/>
      <c r="E4022" s="42" t="n"/>
      <c r="F4022" s="43" t="n"/>
      <c r="G4022" s="44">
        <f>IF(OR(B4022="",F4022=""),"",IFERROR(F4022*INDEX(Mitarbeiter!$F$6:$F$205,MATCH(B4022,Mitarbeiter!$A$6:$A$205,0)),0))</f>
        <v/>
      </c>
      <c r="H4022" s="8">
        <f>IF(B4022="","",IF(ISNA(MATCH(B4022,Mitarbeiter!$A$6:$A$205,0)),"Pers.-Nr. unbekannt",IF(A4022="","Datum fehlt",IF(AND(D4022&lt;&gt;Einstellungen!$C$4,D4022&lt;&gt;Einstellungen!$C$5),"Objekt fehlt",IF(YEAR(A4022)&lt;&gt;Einstellungen!$C$3,"anderes Jahr",IF(A4022&lt;INDEX(Mitarbeiter!$C$6:$C$205,MATCH(B4022,Mitarbeiter!$A$6:$A$205,0)),"vor Eintritt",IF(AND(INDEX(Mitarbeiter!$D$6:$D$205,MATCH(B4022,Mitarbeiter!$A$6:$A$205,0))&lt;&gt;"",A4022&gt;INDEX(Mitarbeiter!$D$6:$D$205,MATCH(B4022,Mitarbeiter!$A$6:$A$205,0))),"nach Austritt","ok")))))))</f>
        <v/>
      </c>
    </row>
    <row r="4023">
      <c r="A4023" s="26" t="n"/>
      <c r="B4023" s="24" t="n"/>
      <c r="C4023" s="40">
        <f>IF(B4023="","",IFERROR(INDEX(Mitarbeiter!$B$6:$B$205,MATCH(B4023,Mitarbeiter!$A$6:$A$205,0)),"?"))</f>
        <v/>
      </c>
      <c r="D4023" s="41" t="n"/>
      <c r="E4023" s="42" t="n"/>
      <c r="F4023" s="43" t="n"/>
      <c r="G4023" s="44">
        <f>IF(OR(B4023="",F4023=""),"",IFERROR(F4023*INDEX(Mitarbeiter!$F$6:$F$205,MATCH(B4023,Mitarbeiter!$A$6:$A$205,0)),0))</f>
        <v/>
      </c>
      <c r="H4023" s="8">
        <f>IF(B4023="","",IF(ISNA(MATCH(B4023,Mitarbeiter!$A$6:$A$205,0)),"Pers.-Nr. unbekannt",IF(A4023="","Datum fehlt",IF(AND(D4023&lt;&gt;Einstellungen!$C$4,D4023&lt;&gt;Einstellungen!$C$5),"Objekt fehlt",IF(YEAR(A4023)&lt;&gt;Einstellungen!$C$3,"anderes Jahr",IF(A4023&lt;INDEX(Mitarbeiter!$C$6:$C$205,MATCH(B4023,Mitarbeiter!$A$6:$A$205,0)),"vor Eintritt",IF(AND(INDEX(Mitarbeiter!$D$6:$D$205,MATCH(B4023,Mitarbeiter!$A$6:$A$205,0))&lt;&gt;"",A4023&gt;INDEX(Mitarbeiter!$D$6:$D$205,MATCH(B4023,Mitarbeiter!$A$6:$A$205,0))),"nach Austritt","ok")))))))</f>
        <v/>
      </c>
    </row>
    <row r="4024">
      <c r="A4024" s="26" t="n"/>
      <c r="B4024" s="24" t="n"/>
      <c r="C4024" s="40">
        <f>IF(B4024="","",IFERROR(INDEX(Mitarbeiter!$B$6:$B$205,MATCH(B4024,Mitarbeiter!$A$6:$A$205,0)),"?"))</f>
        <v/>
      </c>
      <c r="D4024" s="41" t="n"/>
      <c r="E4024" s="42" t="n"/>
      <c r="F4024" s="43" t="n"/>
      <c r="G4024" s="44">
        <f>IF(OR(B4024="",F4024=""),"",IFERROR(F4024*INDEX(Mitarbeiter!$F$6:$F$205,MATCH(B4024,Mitarbeiter!$A$6:$A$205,0)),0))</f>
        <v/>
      </c>
      <c r="H4024" s="8">
        <f>IF(B4024="","",IF(ISNA(MATCH(B4024,Mitarbeiter!$A$6:$A$205,0)),"Pers.-Nr. unbekannt",IF(A4024="","Datum fehlt",IF(AND(D4024&lt;&gt;Einstellungen!$C$4,D4024&lt;&gt;Einstellungen!$C$5),"Objekt fehlt",IF(YEAR(A4024)&lt;&gt;Einstellungen!$C$3,"anderes Jahr",IF(A4024&lt;INDEX(Mitarbeiter!$C$6:$C$205,MATCH(B4024,Mitarbeiter!$A$6:$A$205,0)),"vor Eintritt",IF(AND(INDEX(Mitarbeiter!$D$6:$D$205,MATCH(B4024,Mitarbeiter!$A$6:$A$205,0))&lt;&gt;"",A4024&gt;INDEX(Mitarbeiter!$D$6:$D$205,MATCH(B4024,Mitarbeiter!$A$6:$A$205,0))),"nach Austritt","ok")))))))</f>
        <v/>
      </c>
    </row>
    <row r="4025">
      <c r="A4025" s="26" t="n"/>
      <c r="B4025" s="24" t="n"/>
      <c r="C4025" s="40">
        <f>IF(B4025="","",IFERROR(INDEX(Mitarbeiter!$B$6:$B$205,MATCH(B4025,Mitarbeiter!$A$6:$A$205,0)),"?"))</f>
        <v/>
      </c>
      <c r="D4025" s="41" t="n"/>
      <c r="E4025" s="42" t="n"/>
      <c r="F4025" s="43" t="n"/>
      <c r="G4025" s="44">
        <f>IF(OR(B4025="",F4025=""),"",IFERROR(F4025*INDEX(Mitarbeiter!$F$6:$F$205,MATCH(B4025,Mitarbeiter!$A$6:$A$205,0)),0))</f>
        <v/>
      </c>
      <c r="H4025" s="8">
        <f>IF(B4025="","",IF(ISNA(MATCH(B4025,Mitarbeiter!$A$6:$A$205,0)),"Pers.-Nr. unbekannt",IF(A4025="","Datum fehlt",IF(AND(D4025&lt;&gt;Einstellungen!$C$4,D4025&lt;&gt;Einstellungen!$C$5),"Objekt fehlt",IF(YEAR(A4025)&lt;&gt;Einstellungen!$C$3,"anderes Jahr",IF(A4025&lt;INDEX(Mitarbeiter!$C$6:$C$205,MATCH(B4025,Mitarbeiter!$A$6:$A$205,0)),"vor Eintritt",IF(AND(INDEX(Mitarbeiter!$D$6:$D$205,MATCH(B4025,Mitarbeiter!$A$6:$A$205,0))&lt;&gt;"",A4025&gt;INDEX(Mitarbeiter!$D$6:$D$205,MATCH(B4025,Mitarbeiter!$A$6:$A$205,0))),"nach Austritt","ok")))))))</f>
        <v/>
      </c>
    </row>
    <row r="4026">
      <c r="A4026" s="26" t="n"/>
      <c r="B4026" s="24" t="n"/>
      <c r="C4026" s="40">
        <f>IF(B4026="","",IFERROR(INDEX(Mitarbeiter!$B$6:$B$205,MATCH(B4026,Mitarbeiter!$A$6:$A$205,0)),"?"))</f>
        <v/>
      </c>
      <c r="D4026" s="41" t="n"/>
      <c r="E4026" s="42" t="n"/>
      <c r="F4026" s="43" t="n"/>
      <c r="G4026" s="44">
        <f>IF(OR(B4026="",F4026=""),"",IFERROR(F4026*INDEX(Mitarbeiter!$F$6:$F$205,MATCH(B4026,Mitarbeiter!$A$6:$A$205,0)),0))</f>
        <v/>
      </c>
      <c r="H4026" s="8">
        <f>IF(B4026="","",IF(ISNA(MATCH(B4026,Mitarbeiter!$A$6:$A$205,0)),"Pers.-Nr. unbekannt",IF(A4026="","Datum fehlt",IF(AND(D4026&lt;&gt;Einstellungen!$C$4,D4026&lt;&gt;Einstellungen!$C$5),"Objekt fehlt",IF(YEAR(A4026)&lt;&gt;Einstellungen!$C$3,"anderes Jahr",IF(A4026&lt;INDEX(Mitarbeiter!$C$6:$C$205,MATCH(B4026,Mitarbeiter!$A$6:$A$205,0)),"vor Eintritt",IF(AND(INDEX(Mitarbeiter!$D$6:$D$205,MATCH(B4026,Mitarbeiter!$A$6:$A$205,0))&lt;&gt;"",A4026&gt;INDEX(Mitarbeiter!$D$6:$D$205,MATCH(B4026,Mitarbeiter!$A$6:$A$205,0))),"nach Austritt","ok")))))))</f>
        <v/>
      </c>
    </row>
    <row r="4027">
      <c r="A4027" s="26" t="n"/>
      <c r="B4027" s="24" t="n"/>
      <c r="C4027" s="40">
        <f>IF(B4027="","",IFERROR(INDEX(Mitarbeiter!$B$6:$B$205,MATCH(B4027,Mitarbeiter!$A$6:$A$205,0)),"?"))</f>
        <v/>
      </c>
      <c r="D4027" s="41" t="n"/>
      <c r="E4027" s="42" t="n"/>
      <c r="F4027" s="43" t="n"/>
      <c r="G4027" s="44">
        <f>IF(OR(B4027="",F4027=""),"",IFERROR(F4027*INDEX(Mitarbeiter!$F$6:$F$205,MATCH(B4027,Mitarbeiter!$A$6:$A$205,0)),0))</f>
        <v/>
      </c>
      <c r="H4027" s="8">
        <f>IF(B4027="","",IF(ISNA(MATCH(B4027,Mitarbeiter!$A$6:$A$205,0)),"Pers.-Nr. unbekannt",IF(A4027="","Datum fehlt",IF(AND(D4027&lt;&gt;Einstellungen!$C$4,D4027&lt;&gt;Einstellungen!$C$5),"Objekt fehlt",IF(YEAR(A4027)&lt;&gt;Einstellungen!$C$3,"anderes Jahr",IF(A4027&lt;INDEX(Mitarbeiter!$C$6:$C$205,MATCH(B4027,Mitarbeiter!$A$6:$A$205,0)),"vor Eintritt",IF(AND(INDEX(Mitarbeiter!$D$6:$D$205,MATCH(B4027,Mitarbeiter!$A$6:$A$205,0))&lt;&gt;"",A4027&gt;INDEX(Mitarbeiter!$D$6:$D$205,MATCH(B4027,Mitarbeiter!$A$6:$A$205,0))),"nach Austritt","ok")))))))</f>
        <v/>
      </c>
    </row>
    <row r="4028">
      <c r="A4028" s="26" t="n"/>
      <c r="B4028" s="24" t="n"/>
      <c r="C4028" s="40">
        <f>IF(B4028="","",IFERROR(INDEX(Mitarbeiter!$B$6:$B$205,MATCH(B4028,Mitarbeiter!$A$6:$A$205,0)),"?"))</f>
        <v/>
      </c>
      <c r="D4028" s="41" t="n"/>
      <c r="E4028" s="42" t="n"/>
      <c r="F4028" s="43" t="n"/>
      <c r="G4028" s="44">
        <f>IF(OR(B4028="",F4028=""),"",IFERROR(F4028*INDEX(Mitarbeiter!$F$6:$F$205,MATCH(B4028,Mitarbeiter!$A$6:$A$205,0)),0))</f>
        <v/>
      </c>
      <c r="H4028" s="8">
        <f>IF(B4028="","",IF(ISNA(MATCH(B4028,Mitarbeiter!$A$6:$A$205,0)),"Pers.-Nr. unbekannt",IF(A4028="","Datum fehlt",IF(AND(D4028&lt;&gt;Einstellungen!$C$4,D4028&lt;&gt;Einstellungen!$C$5),"Objekt fehlt",IF(YEAR(A4028)&lt;&gt;Einstellungen!$C$3,"anderes Jahr",IF(A4028&lt;INDEX(Mitarbeiter!$C$6:$C$205,MATCH(B4028,Mitarbeiter!$A$6:$A$205,0)),"vor Eintritt",IF(AND(INDEX(Mitarbeiter!$D$6:$D$205,MATCH(B4028,Mitarbeiter!$A$6:$A$205,0))&lt;&gt;"",A4028&gt;INDEX(Mitarbeiter!$D$6:$D$205,MATCH(B4028,Mitarbeiter!$A$6:$A$205,0))),"nach Austritt","ok")))))))</f>
        <v/>
      </c>
    </row>
    <row r="4029">
      <c r="A4029" s="26" t="n"/>
      <c r="B4029" s="24" t="n"/>
      <c r="C4029" s="40">
        <f>IF(B4029="","",IFERROR(INDEX(Mitarbeiter!$B$6:$B$205,MATCH(B4029,Mitarbeiter!$A$6:$A$205,0)),"?"))</f>
        <v/>
      </c>
      <c r="D4029" s="41" t="n"/>
      <c r="E4029" s="42" t="n"/>
      <c r="F4029" s="43" t="n"/>
      <c r="G4029" s="44">
        <f>IF(OR(B4029="",F4029=""),"",IFERROR(F4029*INDEX(Mitarbeiter!$F$6:$F$205,MATCH(B4029,Mitarbeiter!$A$6:$A$205,0)),0))</f>
        <v/>
      </c>
      <c r="H4029" s="8">
        <f>IF(B4029="","",IF(ISNA(MATCH(B4029,Mitarbeiter!$A$6:$A$205,0)),"Pers.-Nr. unbekannt",IF(A4029="","Datum fehlt",IF(AND(D4029&lt;&gt;Einstellungen!$C$4,D4029&lt;&gt;Einstellungen!$C$5),"Objekt fehlt",IF(YEAR(A4029)&lt;&gt;Einstellungen!$C$3,"anderes Jahr",IF(A4029&lt;INDEX(Mitarbeiter!$C$6:$C$205,MATCH(B4029,Mitarbeiter!$A$6:$A$205,0)),"vor Eintritt",IF(AND(INDEX(Mitarbeiter!$D$6:$D$205,MATCH(B4029,Mitarbeiter!$A$6:$A$205,0))&lt;&gt;"",A4029&gt;INDEX(Mitarbeiter!$D$6:$D$205,MATCH(B4029,Mitarbeiter!$A$6:$A$205,0))),"nach Austritt","ok")))))))</f>
        <v/>
      </c>
    </row>
    <row r="4030">
      <c r="A4030" s="26" t="n"/>
      <c r="B4030" s="24" t="n"/>
      <c r="C4030" s="40">
        <f>IF(B4030="","",IFERROR(INDEX(Mitarbeiter!$B$6:$B$205,MATCH(B4030,Mitarbeiter!$A$6:$A$205,0)),"?"))</f>
        <v/>
      </c>
      <c r="D4030" s="41" t="n"/>
      <c r="E4030" s="42" t="n"/>
      <c r="F4030" s="43" t="n"/>
      <c r="G4030" s="44">
        <f>IF(OR(B4030="",F4030=""),"",IFERROR(F4030*INDEX(Mitarbeiter!$F$6:$F$205,MATCH(B4030,Mitarbeiter!$A$6:$A$205,0)),0))</f>
        <v/>
      </c>
      <c r="H4030" s="8">
        <f>IF(B4030="","",IF(ISNA(MATCH(B4030,Mitarbeiter!$A$6:$A$205,0)),"Pers.-Nr. unbekannt",IF(A4030="","Datum fehlt",IF(AND(D4030&lt;&gt;Einstellungen!$C$4,D4030&lt;&gt;Einstellungen!$C$5),"Objekt fehlt",IF(YEAR(A4030)&lt;&gt;Einstellungen!$C$3,"anderes Jahr",IF(A4030&lt;INDEX(Mitarbeiter!$C$6:$C$205,MATCH(B4030,Mitarbeiter!$A$6:$A$205,0)),"vor Eintritt",IF(AND(INDEX(Mitarbeiter!$D$6:$D$205,MATCH(B4030,Mitarbeiter!$A$6:$A$205,0))&lt;&gt;"",A4030&gt;INDEX(Mitarbeiter!$D$6:$D$205,MATCH(B4030,Mitarbeiter!$A$6:$A$205,0))),"nach Austritt","ok")))))))</f>
        <v/>
      </c>
    </row>
    <row r="4031">
      <c r="A4031" s="26" t="n"/>
      <c r="B4031" s="24" t="n"/>
      <c r="C4031" s="40">
        <f>IF(B4031="","",IFERROR(INDEX(Mitarbeiter!$B$6:$B$205,MATCH(B4031,Mitarbeiter!$A$6:$A$205,0)),"?"))</f>
        <v/>
      </c>
      <c r="D4031" s="41" t="n"/>
      <c r="E4031" s="42" t="n"/>
      <c r="F4031" s="43" t="n"/>
      <c r="G4031" s="44">
        <f>IF(OR(B4031="",F4031=""),"",IFERROR(F4031*INDEX(Mitarbeiter!$F$6:$F$205,MATCH(B4031,Mitarbeiter!$A$6:$A$205,0)),0))</f>
        <v/>
      </c>
      <c r="H4031" s="8">
        <f>IF(B4031="","",IF(ISNA(MATCH(B4031,Mitarbeiter!$A$6:$A$205,0)),"Pers.-Nr. unbekannt",IF(A4031="","Datum fehlt",IF(AND(D4031&lt;&gt;Einstellungen!$C$4,D4031&lt;&gt;Einstellungen!$C$5),"Objekt fehlt",IF(YEAR(A4031)&lt;&gt;Einstellungen!$C$3,"anderes Jahr",IF(A4031&lt;INDEX(Mitarbeiter!$C$6:$C$205,MATCH(B4031,Mitarbeiter!$A$6:$A$205,0)),"vor Eintritt",IF(AND(INDEX(Mitarbeiter!$D$6:$D$205,MATCH(B4031,Mitarbeiter!$A$6:$A$205,0))&lt;&gt;"",A4031&gt;INDEX(Mitarbeiter!$D$6:$D$205,MATCH(B4031,Mitarbeiter!$A$6:$A$205,0))),"nach Austritt","ok")))))))</f>
        <v/>
      </c>
    </row>
    <row r="4032">
      <c r="A4032" s="26" t="n"/>
      <c r="B4032" s="24" t="n"/>
      <c r="C4032" s="40">
        <f>IF(B4032="","",IFERROR(INDEX(Mitarbeiter!$B$6:$B$205,MATCH(B4032,Mitarbeiter!$A$6:$A$205,0)),"?"))</f>
        <v/>
      </c>
      <c r="D4032" s="41" t="n"/>
      <c r="E4032" s="42" t="n"/>
      <c r="F4032" s="43" t="n"/>
      <c r="G4032" s="44">
        <f>IF(OR(B4032="",F4032=""),"",IFERROR(F4032*INDEX(Mitarbeiter!$F$6:$F$205,MATCH(B4032,Mitarbeiter!$A$6:$A$205,0)),0))</f>
        <v/>
      </c>
      <c r="H4032" s="8">
        <f>IF(B4032="","",IF(ISNA(MATCH(B4032,Mitarbeiter!$A$6:$A$205,0)),"Pers.-Nr. unbekannt",IF(A4032="","Datum fehlt",IF(AND(D4032&lt;&gt;Einstellungen!$C$4,D4032&lt;&gt;Einstellungen!$C$5),"Objekt fehlt",IF(YEAR(A4032)&lt;&gt;Einstellungen!$C$3,"anderes Jahr",IF(A4032&lt;INDEX(Mitarbeiter!$C$6:$C$205,MATCH(B4032,Mitarbeiter!$A$6:$A$205,0)),"vor Eintritt",IF(AND(INDEX(Mitarbeiter!$D$6:$D$205,MATCH(B4032,Mitarbeiter!$A$6:$A$205,0))&lt;&gt;"",A4032&gt;INDEX(Mitarbeiter!$D$6:$D$205,MATCH(B4032,Mitarbeiter!$A$6:$A$205,0))),"nach Austritt","ok")))))))</f>
        <v/>
      </c>
    </row>
    <row r="4033">
      <c r="A4033" s="26" t="n"/>
      <c r="B4033" s="24" t="n"/>
      <c r="C4033" s="40">
        <f>IF(B4033="","",IFERROR(INDEX(Mitarbeiter!$B$6:$B$205,MATCH(B4033,Mitarbeiter!$A$6:$A$205,0)),"?"))</f>
        <v/>
      </c>
      <c r="D4033" s="41" t="n"/>
      <c r="E4033" s="42" t="n"/>
      <c r="F4033" s="43" t="n"/>
      <c r="G4033" s="44">
        <f>IF(OR(B4033="",F4033=""),"",IFERROR(F4033*INDEX(Mitarbeiter!$F$6:$F$205,MATCH(B4033,Mitarbeiter!$A$6:$A$205,0)),0))</f>
        <v/>
      </c>
      <c r="H4033" s="8">
        <f>IF(B4033="","",IF(ISNA(MATCH(B4033,Mitarbeiter!$A$6:$A$205,0)),"Pers.-Nr. unbekannt",IF(A4033="","Datum fehlt",IF(AND(D4033&lt;&gt;Einstellungen!$C$4,D4033&lt;&gt;Einstellungen!$C$5),"Objekt fehlt",IF(YEAR(A4033)&lt;&gt;Einstellungen!$C$3,"anderes Jahr",IF(A4033&lt;INDEX(Mitarbeiter!$C$6:$C$205,MATCH(B4033,Mitarbeiter!$A$6:$A$205,0)),"vor Eintritt",IF(AND(INDEX(Mitarbeiter!$D$6:$D$205,MATCH(B4033,Mitarbeiter!$A$6:$A$205,0))&lt;&gt;"",A4033&gt;INDEX(Mitarbeiter!$D$6:$D$205,MATCH(B4033,Mitarbeiter!$A$6:$A$205,0))),"nach Austritt","ok")))))))</f>
        <v/>
      </c>
    </row>
    <row r="4034">
      <c r="A4034" s="26" t="n"/>
      <c r="B4034" s="24" t="n"/>
      <c r="C4034" s="40">
        <f>IF(B4034="","",IFERROR(INDEX(Mitarbeiter!$B$6:$B$205,MATCH(B4034,Mitarbeiter!$A$6:$A$205,0)),"?"))</f>
        <v/>
      </c>
      <c r="D4034" s="41" t="n"/>
      <c r="E4034" s="42" t="n"/>
      <c r="F4034" s="43" t="n"/>
      <c r="G4034" s="44">
        <f>IF(OR(B4034="",F4034=""),"",IFERROR(F4034*INDEX(Mitarbeiter!$F$6:$F$205,MATCH(B4034,Mitarbeiter!$A$6:$A$205,0)),0))</f>
        <v/>
      </c>
      <c r="H4034" s="8">
        <f>IF(B4034="","",IF(ISNA(MATCH(B4034,Mitarbeiter!$A$6:$A$205,0)),"Pers.-Nr. unbekannt",IF(A4034="","Datum fehlt",IF(AND(D4034&lt;&gt;Einstellungen!$C$4,D4034&lt;&gt;Einstellungen!$C$5),"Objekt fehlt",IF(YEAR(A4034)&lt;&gt;Einstellungen!$C$3,"anderes Jahr",IF(A4034&lt;INDEX(Mitarbeiter!$C$6:$C$205,MATCH(B4034,Mitarbeiter!$A$6:$A$205,0)),"vor Eintritt",IF(AND(INDEX(Mitarbeiter!$D$6:$D$205,MATCH(B4034,Mitarbeiter!$A$6:$A$205,0))&lt;&gt;"",A4034&gt;INDEX(Mitarbeiter!$D$6:$D$205,MATCH(B4034,Mitarbeiter!$A$6:$A$205,0))),"nach Austritt","ok")))))))</f>
        <v/>
      </c>
    </row>
    <row r="4035">
      <c r="A4035" s="26" t="n"/>
      <c r="B4035" s="24" t="n"/>
      <c r="C4035" s="40">
        <f>IF(B4035="","",IFERROR(INDEX(Mitarbeiter!$B$6:$B$205,MATCH(B4035,Mitarbeiter!$A$6:$A$205,0)),"?"))</f>
        <v/>
      </c>
      <c r="D4035" s="41" t="n"/>
      <c r="E4035" s="42" t="n"/>
      <c r="F4035" s="43" t="n"/>
      <c r="G4035" s="44">
        <f>IF(OR(B4035="",F4035=""),"",IFERROR(F4035*INDEX(Mitarbeiter!$F$6:$F$205,MATCH(B4035,Mitarbeiter!$A$6:$A$205,0)),0))</f>
        <v/>
      </c>
      <c r="H4035" s="8">
        <f>IF(B4035="","",IF(ISNA(MATCH(B4035,Mitarbeiter!$A$6:$A$205,0)),"Pers.-Nr. unbekannt",IF(A4035="","Datum fehlt",IF(AND(D4035&lt;&gt;Einstellungen!$C$4,D4035&lt;&gt;Einstellungen!$C$5),"Objekt fehlt",IF(YEAR(A4035)&lt;&gt;Einstellungen!$C$3,"anderes Jahr",IF(A4035&lt;INDEX(Mitarbeiter!$C$6:$C$205,MATCH(B4035,Mitarbeiter!$A$6:$A$205,0)),"vor Eintritt",IF(AND(INDEX(Mitarbeiter!$D$6:$D$205,MATCH(B4035,Mitarbeiter!$A$6:$A$205,0))&lt;&gt;"",A4035&gt;INDEX(Mitarbeiter!$D$6:$D$205,MATCH(B4035,Mitarbeiter!$A$6:$A$205,0))),"nach Austritt","ok")))))))</f>
        <v/>
      </c>
    </row>
    <row r="4036">
      <c r="A4036" s="26" t="n"/>
      <c r="B4036" s="24" t="n"/>
      <c r="C4036" s="40">
        <f>IF(B4036="","",IFERROR(INDEX(Mitarbeiter!$B$6:$B$205,MATCH(B4036,Mitarbeiter!$A$6:$A$205,0)),"?"))</f>
        <v/>
      </c>
      <c r="D4036" s="41" t="n"/>
      <c r="E4036" s="42" t="n"/>
      <c r="F4036" s="43" t="n"/>
      <c r="G4036" s="44">
        <f>IF(OR(B4036="",F4036=""),"",IFERROR(F4036*INDEX(Mitarbeiter!$F$6:$F$205,MATCH(B4036,Mitarbeiter!$A$6:$A$205,0)),0))</f>
        <v/>
      </c>
      <c r="H4036" s="8">
        <f>IF(B4036="","",IF(ISNA(MATCH(B4036,Mitarbeiter!$A$6:$A$205,0)),"Pers.-Nr. unbekannt",IF(A4036="","Datum fehlt",IF(AND(D4036&lt;&gt;Einstellungen!$C$4,D4036&lt;&gt;Einstellungen!$C$5),"Objekt fehlt",IF(YEAR(A4036)&lt;&gt;Einstellungen!$C$3,"anderes Jahr",IF(A4036&lt;INDEX(Mitarbeiter!$C$6:$C$205,MATCH(B4036,Mitarbeiter!$A$6:$A$205,0)),"vor Eintritt",IF(AND(INDEX(Mitarbeiter!$D$6:$D$205,MATCH(B4036,Mitarbeiter!$A$6:$A$205,0))&lt;&gt;"",A4036&gt;INDEX(Mitarbeiter!$D$6:$D$205,MATCH(B4036,Mitarbeiter!$A$6:$A$205,0))),"nach Austritt","ok")))))))</f>
        <v/>
      </c>
    </row>
    <row r="4037">
      <c r="A4037" s="26" t="n"/>
      <c r="B4037" s="24" t="n"/>
      <c r="C4037" s="40">
        <f>IF(B4037="","",IFERROR(INDEX(Mitarbeiter!$B$6:$B$205,MATCH(B4037,Mitarbeiter!$A$6:$A$205,0)),"?"))</f>
        <v/>
      </c>
      <c r="D4037" s="41" t="n"/>
      <c r="E4037" s="42" t="n"/>
      <c r="F4037" s="43" t="n"/>
      <c r="G4037" s="44">
        <f>IF(OR(B4037="",F4037=""),"",IFERROR(F4037*INDEX(Mitarbeiter!$F$6:$F$205,MATCH(B4037,Mitarbeiter!$A$6:$A$205,0)),0))</f>
        <v/>
      </c>
      <c r="H4037" s="8">
        <f>IF(B4037="","",IF(ISNA(MATCH(B4037,Mitarbeiter!$A$6:$A$205,0)),"Pers.-Nr. unbekannt",IF(A4037="","Datum fehlt",IF(AND(D4037&lt;&gt;Einstellungen!$C$4,D4037&lt;&gt;Einstellungen!$C$5),"Objekt fehlt",IF(YEAR(A4037)&lt;&gt;Einstellungen!$C$3,"anderes Jahr",IF(A4037&lt;INDEX(Mitarbeiter!$C$6:$C$205,MATCH(B4037,Mitarbeiter!$A$6:$A$205,0)),"vor Eintritt",IF(AND(INDEX(Mitarbeiter!$D$6:$D$205,MATCH(B4037,Mitarbeiter!$A$6:$A$205,0))&lt;&gt;"",A4037&gt;INDEX(Mitarbeiter!$D$6:$D$205,MATCH(B4037,Mitarbeiter!$A$6:$A$205,0))),"nach Austritt","ok")))))))</f>
        <v/>
      </c>
    </row>
    <row r="4038">
      <c r="A4038" s="26" t="n"/>
      <c r="B4038" s="24" t="n"/>
      <c r="C4038" s="40">
        <f>IF(B4038="","",IFERROR(INDEX(Mitarbeiter!$B$6:$B$205,MATCH(B4038,Mitarbeiter!$A$6:$A$205,0)),"?"))</f>
        <v/>
      </c>
      <c r="D4038" s="41" t="n"/>
      <c r="E4038" s="42" t="n"/>
      <c r="F4038" s="43" t="n"/>
      <c r="G4038" s="44">
        <f>IF(OR(B4038="",F4038=""),"",IFERROR(F4038*INDEX(Mitarbeiter!$F$6:$F$205,MATCH(B4038,Mitarbeiter!$A$6:$A$205,0)),0))</f>
        <v/>
      </c>
      <c r="H4038" s="8">
        <f>IF(B4038="","",IF(ISNA(MATCH(B4038,Mitarbeiter!$A$6:$A$205,0)),"Pers.-Nr. unbekannt",IF(A4038="","Datum fehlt",IF(AND(D4038&lt;&gt;Einstellungen!$C$4,D4038&lt;&gt;Einstellungen!$C$5),"Objekt fehlt",IF(YEAR(A4038)&lt;&gt;Einstellungen!$C$3,"anderes Jahr",IF(A4038&lt;INDEX(Mitarbeiter!$C$6:$C$205,MATCH(B4038,Mitarbeiter!$A$6:$A$205,0)),"vor Eintritt",IF(AND(INDEX(Mitarbeiter!$D$6:$D$205,MATCH(B4038,Mitarbeiter!$A$6:$A$205,0))&lt;&gt;"",A4038&gt;INDEX(Mitarbeiter!$D$6:$D$205,MATCH(B4038,Mitarbeiter!$A$6:$A$205,0))),"nach Austritt","ok")))))))</f>
        <v/>
      </c>
    </row>
    <row r="4039">
      <c r="A4039" s="26" t="n"/>
      <c r="B4039" s="24" t="n"/>
      <c r="C4039" s="40">
        <f>IF(B4039="","",IFERROR(INDEX(Mitarbeiter!$B$6:$B$205,MATCH(B4039,Mitarbeiter!$A$6:$A$205,0)),"?"))</f>
        <v/>
      </c>
      <c r="D4039" s="41" t="n"/>
      <c r="E4039" s="42" t="n"/>
      <c r="F4039" s="43" t="n"/>
      <c r="G4039" s="44">
        <f>IF(OR(B4039="",F4039=""),"",IFERROR(F4039*INDEX(Mitarbeiter!$F$6:$F$205,MATCH(B4039,Mitarbeiter!$A$6:$A$205,0)),0))</f>
        <v/>
      </c>
      <c r="H4039" s="8">
        <f>IF(B4039="","",IF(ISNA(MATCH(B4039,Mitarbeiter!$A$6:$A$205,0)),"Pers.-Nr. unbekannt",IF(A4039="","Datum fehlt",IF(AND(D4039&lt;&gt;Einstellungen!$C$4,D4039&lt;&gt;Einstellungen!$C$5),"Objekt fehlt",IF(YEAR(A4039)&lt;&gt;Einstellungen!$C$3,"anderes Jahr",IF(A4039&lt;INDEX(Mitarbeiter!$C$6:$C$205,MATCH(B4039,Mitarbeiter!$A$6:$A$205,0)),"vor Eintritt",IF(AND(INDEX(Mitarbeiter!$D$6:$D$205,MATCH(B4039,Mitarbeiter!$A$6:$A$205,0))&lt;&gt;"",A4039&gt;INDEX(Mitarbeiter!$D$6:$D$205,MATCH(B4039,Mitarbeiter!$A$6:$A$205,0))),"nach Austritt","ok")))))))</f>
        <v/>
      </c>
    </row>
    <row r="4040">
      <c r="A4040" s="26" t="n"/>
      <c r="B4040" s="24" t="n"/>
      <c r="C4040" s="40">
        <f>IF(B4040="","",IFERROR(INDEX(Mitarbeiter!$B$6:$B$205,MATCH(B4040,Mitarbeiter!$A$6:$A$205,0)),"?"))</f>
        <v/>
      </c>
      <c r="D4040" s="41" t="n"/>
      <c r="E4040" s="42" t="n"/>
      <c r="F4040" s="43" t="n"/>
      <c r="G4040" s="44">
        <f>IF(OR(B4040="",F4040=""),"",IFERROR(F4040*INDEX(Mitarbeiter!$F$6:$F$205,MATCH(B4040,Mitarbeiter!$A$6:$A$205,0)),0))</f>
        <v/>
      </c>
      <c r="H4040" s="8">
        <f>IF(B4040="","",IF(ISNA(MATCH(B4040,Mitarbeiter!$A$6:$A$205,0)),"Pers.-Nr. unbekannt",IF(A4040="","Datum fehlt",IF(AND(D4040&lt;&gt;Einstellungen!$C$4,D4040&lt;&gt;Einstellungen!$C$5),"Objekt fehlt",IF(YEAR(A4040)&lt;&gt;Einstellungen!$C$3,"anderes Jahr",IF(A4040&lt;INDEX(Mitarbeiter!$C$6:$C$205,MATCH(B4040,Mitarbeiter!$A$6:$A$205,0)),"vor Eintritt",IF(AND(INDEX(Mitarbeiter!$D$6:$D$205,MATCH(B4040,Mitarbeiter!$A$6:$A$205,0))&lt;&gt;"",A4040&gt;INDEX(Mitarbeiter!$D$6:$D$205,MATCH(B4040,Mitarbeiter!$A$6:$A$205,0))),"nach Austritt","ok")))))))</f>
        <v/>
      </c>
    </row>
    <row r="4041">
      <c r="A4041" s="26" t="n"/>
      <c r="B4041" s="24" t="n"/>
      <c r="C4041" s="40">
        <f>IF(B4041="","",IFERROR(INDEX(Mitarbeiter!$B$6:$B$205,MATCH(B4041,Mitarbeiter!$A$6:$A$205,0)),"?"))</f>
        <v/>
      </c>
      <c r="D4041" s="41" t="n"/>
      <c r="E4041" s="42" t="n"/>
      <c r="F4041" s="43" t="n"/>
      <c r="G4041" s="44">
        <f>IF(OR(B4041="",F4041=""),"",IFERROR(F4041*INDEX(Mitarbeiter!$F$6:$F$205,MATCH(B4041,Mitarbeiter!$A$6:$A$205,0)),0))</f>
        <v/>
      </c>
      <c r="H4041" s="8">
        <f>IF(B4041="","",IF(ISNA(MATCH(B4041,Mitarbeiter!$A$6:$A$205,0)),"Pers.-Nr. unbekannt",IF(A4041="","Datum fehlt",IF(AND(D4041&lt;&gt;Einstellungen!$C$4,D4041&lt;&gt;Einstellungen!$C$5),"Objekt fehlt",IF(YEAR(A4041)&lt;&gt;Einstellungen!$C$3,"anderes Jahr",IF(A4041&lt;INDEX(Mitarbeiter!$C$6:$C$205,MATCH(B4041,Mitarbeiter!$A$6:$A$205,0)),"vor Eintritt",IF(AND(INDEX(Mitarbeiter!$D$6:$D$205,MATCH(B4041,Mitarbeiter!$A$6:$A$205,0))&lt;&gt;"",A4041&gt;INDEX(Mitarbeiter!$D$6:$D$205,MATCH(B4041,Mitarbeiter!$A$6:$A$205,0))),"nach Austritt","ok")))))))</f>
        <v/>
      </c>
    </row>
    <row r="4042">
      <c r="A4042" s="26" t="n"/>
      <c r="B4042" s="24" t="n"/>
      <c r="C4042" s="40">
        <f>IF(B4042="","",IFERROR(INDEX(Mitarbeiter!$B$6:$B$205,MATCH(B4042,Mitarbeiter!$A$6:$A$205,0)),"?"))</f>
        <v/>
      </c>
      <c r="D4042" s="41" t="n"/>
      <c r="E4042" s="42" t="n"/>
      <c r="F4042" s="43" t="n"/>
      <c r="G4042" s="44">
        <f>IF(OR(B4042="",F4042=""),"",IFERROR(F4042*INDEX(Mitarbeiter!$F$6:$F$205,MATCH(B4042,Mitarbeiter!$A$6:$A$205,0)),0))</f>
        <v/>
      </c>
      <c r="H4042" s="8">
        <f>IF(B4042="","",IF(ISNA(MATCH(B4042,Mitarbeiter!$A$6:$A$205,0)),"Pers.-Nr. unbekannt",IF(A4042="","Datum fehlt",IF(AND(D4042&lt;&gt;Einstellungen!$C$4,D4042&lt;&gt;Einstellungen!$C$5),"Objekt fehlt",IF(YEAR(A4042)&lt;&gt;Einstellungen!$C$3,"anderes Jahr",IF(A4042&lt;INDEX(Mitarbeiter!$C$6:$C$205,MATCH(B4042,Mitarbeiter!$A$6:$A$205,0)),"vor Eintritt",IF(AND(INDEX(Mitarbeiter!$D$6:$D$205,MATCH(B4042,Mitarbeiter!$A$6:$A$205,0))&lt;&gt;"",A4042&gt;INDEX(Mitarbeiter!$D$6:$D$205,MATCH(B4042,Mitarbeiter!$A$6:$A$205,0))),"nach Austritt","ok")))))))</f>
        <v/>
      </c>
    </row>
    <row r="4043">
      <c r="A4043" s="26" t="n"/>
      <c r="B4043" s="24" t="n"/>
      <c r="C4043" s="40">
        <f>IF(B4043="","",IFERROR(INDEX(Mitarbeiter!$B$6:$B$205,MATCH(B4043,Mitarbeiter!$A$6:$A$205,0)),"?"))</f>
        <v/>
      </c>
      <c r="D4043" s="41" t="n"/>
      <c r="E4043" s="42" t="n"/>
      <c r="F4043" s="43" t="n"/>
      <c r="G4043" s="44">
        <f>IF(OR(B4043="",F4043=""),"",IFERROR(F4043*INDEX(Mitarbeiter!$F$6:$F$205,MATCH(B4043,Mitarbeiter!$A$6:$A$205,0)),0))</f>
        <v/>
      </c>
      <c r="H4043" s="8">
        <f>IF(B4043="","",IF(ISNA(MATCH(B4043,Mitarbeiter!$A$6:$A$205,0)),"Pers.-Nr. unbekannt",IF(A4043="","Datum fehlt",IF(AND(D4043&lt;&gt;Einstellungen!$C$4,D4043&lt;&gt;Einstellungen!$C$5),"Objekt fehlt",IF(YEAR(A4043)&lt;&gt;Einstellungen!$C$3,"anderes Jahr",IF(A4043&lt;INDEX(Mitarbeiter!$C$6:$C$205,MATCH(B4043,Mitarbeiter!$A$6:$A$205,0)),"vor Eintritt",IF(AND(INDEX(Mitarbeiter!$D$6:$D$205,MATCH(B4043,Mitarbeiter!$A$6:$A$205,0))&lt;&gt;"",A4043&gt;INDEX(Mitarbeiter!$D$6:$D$205,MATCH(B4043,Mitarbeiter!$A$6:$A$205,0))),"nach Austritt","ok")))))))</f>
        <v/>
      </c>
    </row>
    <row r="4044">
      <c r="A4044" s="26" t="n"/>
      <c r="B4044" s="24" t="n"/>
      <c r="C4044" s="40">
        <f>IF(B4044="","",IFERROR(INDEX(Mitarbeiter!$B$6:$B$205,MATCH(B4044,Mitarbeiter!$A$6:$A$205,0)),"?"))</f>
        <v/>
      </c>
      <c r="D4044" s="41" t="n"/>
      <c r="E4044" s="42" t="n"/>
      <c r="F4044" s="43" t="n"/>
      <c r="G4044" s="44">
        <f>IF(OR(B4044="",F4044=""),"",IFERROR(F4044*INDEX(Mitarbeiter!$F$6:$F$205,MATCH(B4044,Mitarbeiter!$A$6:$A$205,0)),0))</f>
        <v/>
      </c>
      <c r="H4044" s="8">
        <f>IF(B4044="","",IF(ISNA(MATCH(B4044,Mitarbeiter!$A$6:$A$205,0)),"Pers.-Nr. unbekannt",IF(A4044="","Datum fehlt",IF(AND(D4044&lt;&gt;Einstellungen!$C$4,D4044&lt;&gt;Einstellungen!$C$5),"Objekt fehlt",IF(YEAR(A4044)&lt;&gt;Einstellungen!$C$3,"anderes Jahr",IF(A4044&lt;INDEX(Mitarbeiter!$C$6:$C$205,MATCH(B4044,Mitarbeiter!$A$6:$A$205,0)),"vor Eintritt",IF(AND(INDEX(Mitarbeiter!$D$6:$D$205,MATCH(B4044,Mitarbeiter!$A$6:$A$205,0))&lt;&gt;"",A4044&gt;INDEX(Mitarbeiter!$D$6:$D$205,MATCH(B4044,Mitarbeiter!$A$6:$A$205,0))),"nach Austritt","ok")))))))</f>
        <v/>
      </c>
    </row>
    <row r="4045">
      <c r="A4045" s="26" t="n"/>
      <c r="B4045" s="24" t="n"/>
      <c r="C4045" s="40">
        <f>IF(B4045="","",IFERROR(INDEX(Mitarbeiter!$B$6:$B$205,MATCH(B4045,Mitarbeiter!$A$6:$A$205,0)),"?"))</f>
        <v/>
      </c>
      <c r="D4045" s="41" t="n"/>
      <c r="E4045" s="42" t="n"/>
      <c r="F4045" s="43" t="n"/>
      <c r="G4045" s="44">
        <f>IF(OR(B4045="",F4045=""),"",IFERROR(F4045*INDEX(Mitarbeiter!$F$6:$F$205,MATCH(B4045,Mitarbeiter!$A$6:$A$205,0)),0))</f>
        <v/>
      </c>
      <c r="H4045" s="8">
        <f>IF(B4045="","",IF(ISNA(MATCH(B4045,Mitarbeiter!$A$6:$A$205,0)),"Pers.-Nr. unbekannt",IF(A4045="","Datum fehlt",IF(AND(D4045&lt;&gt;Einstellungen!$C$4,D4045&lt;&gt;Einstellungen!$C$5),"Objekt fehlt",IF(YEAR(A4045)&lt;&gt;Einstellungen!$C$3,"anderes Jahr",IF(A4045&lt;INDEX(Mitarbeiter!$C$6:$C$205,MATCH(B4045,Mitarbeiter!$A$6:$A$205,0)),"vor Eintritt",IF(AND(INDEX(Mitarbeiter!$D$6:$D$205,MATCH(B4045,Mitarbeiter!$A$6:$A$205,0))&lt;&gt;"",A4045&gt;INDEX(Mitarbeiter!$D$6:$D$205,MATCH(B4045,Mitarbeiter!$A$6:$A$205,0))),"nach Austritt","ok")))))))</f>
        <v/>
      </c>
    </row>
    <row r="4046">
      <c r="A4046" s="26" t="n"/>
      <c r="B4046" s="24" t="n"/>
      <c r="C4046" s="40">
        <f>IF(B4046="","",IFERROR(INDEX(Mitarbeiter!$B$6:$B$205,MATCH(B4046,Mitarbeiter!$A$6:$A$205,0)),"?"))</f>
        <v/>
      </c>
      <c r="D4046" s="41" t="n"/>
      <c r="E4046" s="42" t="n"/>
      <c r="F4046" s="43" t="n"/>
      <c r="G4046" s="44">
        <f>IF(OR(B4046="",F4046=""),"",IFERROR(F4046*INDEX(Mitarbeiter!$F$6:$F$205,MATCH(B4046,Mitarbeiter!$A$6:$A$205,0)),0))</f>
        <v/>
      </c>
      <c r="H4046" s="8">
        <f>IF(B4046="","",IF(ISNA(MATCH(B4046,Mitarbeiter!$A$6:$A$205,0)),"Pers.-Nr. unbekannt",IF(A4046="","Datum fehlt",IF(AND(D4046&lt;&gt;Einstellungen!$C$4,D4046&lt;&gt;Einstellungen!$C$5),"Objekt fehlt",IF(YEAR(A4046)&lt;&gt;Einstellungen!$C$3,"anderes Jahr",IF(A4046&lt;INDEX(Mitarbeiter!$C$6:$C$205,MATCH(B4046,Mitarbeiter!$A$6:$A$205,0)),"vor Eintritt",IF(AND(INDEX(Mitarbeiter!$D$6:$D$205,MATCH(B4046,Mitarbeiter!$A$6:$A$205,0))&lt;&gt;"",A4046&gt;INDEX(Mitarbeiter!$D$6:$D$205,MATCH(B4046,Mitarbeiter!$A$6:$A$205,0))),"nach Austritt","ok")))))))</f>
        <v/>
      </c>
    </row>
    <row r="4047">
      <c r="A4047" s="26" t="n"/>
      <c r="B4047" s="24" t="n"/>
      <c r="C4047" s="40">
        <f>IF(B4047="","",IFERROR(INDEX(Mitarbeiter!$B$6:$B$205,MATCH(B4047,Mitarbeiter!$A$6:$A$205,0)),"?"))</f>
        <v/>
      </c>
      <c r="D4047" s="41" t="n"/>
      <c r="E4047" s="42" t="n"/>
      <c r="F4047" s="43" t="n"/>
      <c r="G4047" s="44">
        <f>IF(OR(B4047="",F4047=""),"",IFERROR(F4047*INDEX(Mitarbeiter!$F$6:$F$205,MATCH(B4047,Mitarbeiter!$A$6:$A$205,0)),0))</f>
        <v/>
      </c>
      <c r="H4047" s="8">
        <f>IF(B4047="","",IF(ISNA(MATCH(B4047,Mitarbeiter!$A$6:$A$205,0)),"Pers.-Nr. unbekannt",IF(A4047="","Datum fehlt",IF(AND(D4047&lt;&gt;Einstellungen!$C$4,D4047&lt;&gt;Einstellungen!$C$5),"Objekt fehlt",IF(YEAR(A4047)&lt;&gt;Einstellungen!$C$3,"anderes Jahr",IF(A4047&lt;INDEX(Mitarbeiter!$C$6:$C$205,MATCH(B4047,Mitarbeiter!$A$6:$A$205,0)),"vor Eintritt",IF(AND(INDEX(Mitarbeiter!$D$6:$D$205,MATCH(B4047,Mitarbeiter!$A$6:$A$205,0))&lt;&gt;"",A4047&gt;INDEX(Mitarbeiter!$D$6:$D$205,MATCH(B4047,Mitarbeiter!$A$6:$A$205,0))),"nach Austritt","ok")))))))</f>
        <v/>
      </c>
    </row>
    <row r="4048">
      <c r="A4048" s="26" t="n"/>
      <c r="B4048" s="24" t="n"/>
      <c r="C4048" s="40">
        <f>IF(B4048="","",IFERROR(INDEX(Mitarbeiter!$B$6:$B$205,MATCH(B4048,Mitarbeiter!$A$6:$A$205,0)),"?"))</f>
        <v/>
      </c>
      <c r="D4048" s="41" t="n"/>
      <c r="E4048" s="42" t="n"/>
      <c r="F4048" s="43" t="n"/>
      <c r="G4048" s="44">
        <f>IF(OR(B4048="",F4048=""),"",IFERROR(F4048*INDEX(Mitarbeiter!$F$6:$F$205,MATCH(B4048,Mitarbeiter!$A$6:$A$205,0)),0))</f>
        <v/>
      </c>
      <c r="H4048" s="8">
        <f>IF(B4048="","",IF(ISNA(MATCH(B4048,Mitarbeiter!$A$6:$A$205,0)),"Pers.-Nr. unbekannt",IF(A4048="","Datum fehlt",IF(AND(D4048&lt;&gt;Einstellungen!$C$4,D4048&lt;&gt;Einstellungen!$C$5),"Objekt fehlt",IF(YEAR(A4048)&lt;&gt;Einstellungen!$C$3,"anderes Jahr",IF(A4048&lt;INDEX(Mitarbeiter!$C$6:$C$205,MATCH(B4048,Mitarbeiter!$A$6:$A$205,0)),"vor Eintritt",IF(AND(INDEX(Mitarbeiter!$D$6:$D$205,MATCH(B4048,Mitarbeiter!$A$6:$A$205,0))&lt;&gt;"",A4048&gt;INDEX(Mitarbeiter!$D$6:$D$205,MATCH(B4048,Mitarbeiter!$A$6:$A$205,0))),"nach Austritt","ok")))))))</f>
        <v/>
      </c>
    </row>
    <row r="4049">
      <c r="A4049" s="26" t="n"/>
      <c r="B4049" s="24" t="n"/>
      <c r="C4049" s="40">
        <f>IF(B4049="","",IFERROR(INDEX(Mitarbeiter!$B$6:$B$205,MATCH(B4049,Mitarbeiter!$A$6:$A$205,0)),"?"))</f>
        <v/>
      </c>
      <c r="D4049" s="41" t="n"/>
      <c r="E4049" s="42" t="n"/>
      <c r="F4049" s="43" t="n"/>
      <c r="G4049" s="44">
        <f>IF(OR(B4049="",F4049=""),"",IFERROR(F4049*INDEX(Mitarbeiter!$F$6:$F$205,MATCH(B4049,Mitarbeiter!$A$6:$A$205,0)),0))</f>
        <v/>
      </c>
      <c r="H4049" s="8">
        <f>IF(B4049="","",IF(ISNA(MATCH(B4049,Mitarbeiter!$A$6:$A$205,0)),"Pers.-Nr. unbekannt",IF(A4049="","Datum fehlt",IF(AND(D4049&lt;&gt;Einstellungen!$C$4,D4049&lt;&gt;Einstellungen!$C$5),"Objekt fehlt",IF(YEAR(A4049)&lt;&gt;Einstellungen!$C$3,"anderes Jahr",IF(A4049&lt;INDEX(Mitarbeiter!$C$6:$C$205,MATCH(B4049,Mitarbeiter!$A$6:$A$205,0)),"vor Eintritt",IF(AND(INDEX(Mitarbeiter!$D$6:$D$205,MATCH(B4049,Mitarbeiter!$A$6:$A$205,0))&lt;&gt;"",A4049&gt;INDEX(Mitarbeiter!$D$6:$D$205,MATCH(B4049,Mitarbeiter!$A$6:$A$205,0))),"nach Austritt","ok")))))))</f>
        <v/>
      </c>
    </row>
    <row r="4050">
      <c r="A4050" s="26" t="n"/>
      <c r="B4050" s="24" t="n"/>
      <c r="C4050" s="40">
        <f>IF(B4050="","",IFERROR(INDEX(Mitarbeiter!$B$6:$B$205,MATCH(B4050,Mitarbeiter!$A$6:$A$205,0)),"?"))</f>
        <v/>
      </c>
      <c r="D4050" s="41" t="n"/>
      <c r="E4050" s="42" t="n"/>
      <c r="F4050" s="43" t="n"/>
      <c r="G4050" s="44">
        <f>IF(OR(B4050="",F4050=""),"",IFERROR(F4050*INDEX(Mitarbeiter!$F$6:$F$205,MATCH(B4050,Mitarbeiter!$A$6:$A$205,0)),0))</f>
        <v/>
      </c>
      <c r="H4050" s="8">
        <f>IF(B4050="","",IF(ISNA(MATCH(B4050,Mitarbeiter!$A$6:$A$205,0)),"Pers.-Nr. unbekannt",IF(A4050="","Datum fehlt",IF(AND(D4050&lt;&gt;Einstellungen!$C$4,D4050&lt;&gt;Einstellungen!$C$5),"Objekt fehlt",IF(YEAR(A4050)&lt;&gt;Einstellungen!$C$3,"anderes Jahr",IF(A4050&lt;INDEX(Mitarbeiter!$C$6:$C$205,MATCH(B4050,Mitarbeiter!$A$6:$A$205,0)),"vor Eintritt",IF(AND(INDEX(Mitarbeiter!$D$6:$D$205,MATCH(B4050,Mitarbeiter!$A$6:$A$205,0))&lt;&gt;"",A4050&gt;INDEX(Mitarbeiter!$D$6:$D$205,MATCH(B4050,Mitarbeiter!$A$6:$A$205,0))),"nach Austritt","ok")))))))</f>
        <v/>
      </c>
    </row>
    <row r="4051">
      <c r="A4051" s="26" t="n"/>
      <c r="B4051" s="24" t="n"/>
      <c r="C4051" s="40">
        <f>IF(B4051="","",IFERROR(INDEX(Mitarbeiter!$B$6:$B$205,MATCH(B4051,Mitarbeiter!$A$6:$A$205,0)),"?"))</f>
        <v/>
      </c>
      <c r="D4051" s="41" t="n"/>
      <c r="E4051" s="42" t="n"/>
      <c r="F4051" s="43" t="n"/>
      <c r="G4051" s="44">
        <f>IF(OR(B4051="",F4051=""),"",IFERROR(F4051*INDEX(Mitarbeiter!$F$6:$F$205,MATCH(B4051,Mitarbeiter!$A$6:$A$205,0)),0))</f>
        <v/>
      </c>
      <c r="H4051" s="8">
        <f>IF(B4051="","",IF(ISNA(MATCH(B4051,Mitarbeiter!$A$6:$A$205,0)),"Pers.-Nr. unbekannt",IF(A4051="","Datum fehlt",IF(AND(D4051&lt;&gt;Einstellungen!$C$4,D4051&lt;&gt;Einstellungen!$C$5),"Objekt fehlt",IF(YEAR(A4051)&lt;&gt;Einstellungen!$C$3,"anderes Jahr",IF(A4051&lt;INDEX(Mitarbeiter!$C$6:$C$205,MATCH(B4051,Mitarbeiter!$A$6:$A$205,0)),"vor Eintritt",IF(AND(INDEX(Mitarbeiter!$D$6:$D$205,MATCH(B4051,Mitarbeiter!$A$6:$A$205,0))&lt;&gt;"",A4051&gt;INDEX(Mitarbeiter!$D$6:$D$205,MATCH(B4051,Mitarbeiter!$A$6:$A$205,0))),"nach Austritt","ok")))))))</f>
        <v/>
      </c>
    </row>
    <row r="4052">
      <c r="A4052" s="26" t="n"/>
      <c r="B4052" s="24" t="n"/>
      <c r="C4052" s="40">
        <f>IF(B4052="","",IFERROR(INDEX(Mitarbeiter!$B$6:$B$205,MATCH(B4052,Mitarbeiter!$A$6:$A$205,0)),"?"))</f>
        <v/>
      </c>
      <c r="D4052" s="41" t="n"/>
      <c r="E4052" s="42" t="n"/>
      <c r="F4052" s="43" t="n"/>
      <c r="G4052" s="44">
        <f>IF(OR(B4052="",F4052=""),"",IFERROR(F4052*INDEX(Mitarbeiter!$F$6:$F$205,MATCH(B4052,Mitarbeiter!$A$6:$A$205,0)),0))</f>
        <v/>
      </c>
      <c r="H4052" s="8">
        <f>IF(B4052="","",IF(ISNA(MATCH(B4052,Mitarbeiter!$A$6:$A$205,0)),"Pers.-Nr. unbekannt",IF(A4052="","Datum fehlt",IF(AND(D4052&lt;&gt;Einstellungen!$C$4,D4052&lt;&gt;Einstellungen!$C$5),"Objekt fehlt",IF(YEAR(A4052)&lt;&gt;Einstellungen!$C$3,"anderes Jahr",IF(A4052&lt;INDEX(Mitarbeiter!$C$6:$C$205,MATCH(B4052,Mitarbeiter!$A$6:$A$205,0)),"vor Eintritt",IF(AND(INDEX(Mitarbeiter!$D$6:$D$205,MATCH(B4052,Mitarbeiter!$A$6:$A$205,0))&lt;&gt;"",A4052&gt;INDEX(Mitarbeiter!$D$6:$D$205,MATCH(B4052,Mitarbeiter!$A$6:$A$205,0))),"nach Austritt","ok")))))))</f>
        <v/>
      </c>
    </row>
    <row r="4053">
      <c r="A4053" s="26" t="n"/>
      <c r="B4053" s="24" t="n"/>
      <c r="C4053" s="40">
        <f>IF(B4053="","",IFERROR(INDEX(Mitarbeiter!$B$6:$B$205,MATCH(B4053,Mitarbeiter!$A$6:$A$205,0)),"?"))</f>
        <v/>
      </c>
      <c r="D4053" s="41" t="n"/>
      <c r="E4053" s="42" t="n"/>
      <c r="F4053" s="43" t="n"/>
      <c r="G4053" s="44">
        <f>IF(OR(B4053="",F4053=""),"",IFERROR(F4053*INDEX(Mitarbeiter!$F$6:$F$205,MATCH(B4053,Mitarbeiter!$A$6:$A$205,0)),0))</f>
        <v/>
      </c>
      <c r="H4053" s="8">
        <f>IF(B4053="","",IF(ISNA(MATCH(B4053,Mitarbeiter!$A$6:$A$205,0)),"Pers.-Nr. unbekannt",IF(A4053="","Datum fehlt",IF(AND(D4053&lt;&gt;Einstellungen!$C$4,D4053&lt;&gt;Einstellungen!$C$5),"Objekt fehlt",IF(YEAR(A4053)&lt;&gt;Einstellungen!$C$3,"anderes Jahr",IF(A4053&lt;INDEX(Mitarbeiter!$C$6:$C$205,MATCH(B4053,Mitarbeiter!$A$6:$A$205,0)),"vor Eintritt",IF(AND(INDEX(Mitarbeiter!$D$6:$D$205,MATCH(B4053,Mitarbeiter!$A$6:$A$205,0))&lt;&gt;"",A4053&gt;INDEX(Mitarbeiter!$D$6:$D$205,MATCH(B4053,Mitarbeiter!$A$6:$A$205,0))),"nach Austritt","ok")))))))</f>
        <v/>
      </c>
    </row>
    <row r="4054">
      <c r="A4054" s="26" t="n"/>
      <c r="B4054" s="24" t="n"/>
      <c r="C4054" s="40">
        <f>IF(B4054="","",IFERROR(INDEX(Mitarbeiter!$B$6:$B$205,MATCH(B4054,Mitarbeiter!$A$6:$A$205,0)),"?"))</f>
        <v/>
      </c>
      <c r="D4054" s="41" t="n"/>
      <c r="E4054" s="42" t="n"/>
      <c r="F4054" s="43" t="n"/>
      <c r="G4054" s="44">
        <f>IF(OR(B4054="",F4054=""),"",IFERROR(F4054*INDEX(Mitarbeiter!$F$6:$F$205,MATCH(B4054,Mitarbeiter!$A$6:$A$205,0)),0))</f>
        <v/>
      </c>
      <c r="H4054" s="8">
        <f>IF(B4054="","",IF(ISNA(MATCH(B4054,Mitarbeiter!$A$6:$A$205,0)),"Pers.-Nr. unbekannt",IF(A4054="","Datum fehlt",IF(AND(D4054&lt;&gt;Einstellungen!$C$4,D4054&lt;&gt;Einstellungen!$C$5),"Objekt fehlt",IF(YEAR(A4054)&lt;&gt;Einstellungen!$C$3,"anderes Jahr",IF(A4054&lt;INDEX(Mitarbeiter!$C$6:$C$205,MATCH(B4054,Mitarbeiter!$A$6:$A$205,0)),"vor Eintritt",IF(AND(INDEX(Mitarbeiter!$D$6:$D$205,MATCH(B4054,Mitarbeiter!$A$6:$A$205,0))&lt;&gt;"",A4054&gt;INDEX(Mitarbeiter!$D$6:$D$205,MATCH(B4054,Mitarbeiter!$A$6:$A$205,0))),"nach Austritt","ok")))))))</f>
        <v/>
      </c>
    </row>
    <row r="4055">
      <c r="A4055" s="26" t="n"/>
      <c r="B4055" s="24" t="n"/>
      <c r="C4055" s="40">
        <f>IF(B4055="","",IFERROR(INDEX(Mitarbeiter!$B$6:$B$205,MATCH(B4055,Mitarbeiter!$A$6:$A$205,0)),"?"))</f>
        <v/>
      </c>
      <c r="D4055" s="41" t="n"/>
      <c r="E4055" s="42" t="n"/>
      <c r="F4055" s="43" t="n"/>
      <c r="G4055" s="44">
        <f>IF(OR(B4055="",F4055=""),"",IFERROR(F4055*INDEX(Mitarbeiter!$F$6:$F$205,MATCH(B4055,Mitarbeiter!$A$6:$A$205,0)),0))</f>
        <v/>
      </c>
      <c r="H4055" s="8">
        <f>IF(B4055="","",IF(ISNA(MATCH(B4055,Mitarbeiter!$A$6:$A$205,0)),"Pers.-Nr. unbekannt",IF(A4055="","Datum fehlt",IF(AND(D4055&lt;&gt;Einstellungen!$C$4,D4055&lt;&gt;Einstellungen!$C$5),"Objekt fehlt",IF(YEAR(A4055)&lt;&gt;Einstellungen!$C$3,"anderes Jahr",IF(A4055&lt;INDEX(Mitarbeiter!$C$6:$C$205,MATCH(B4055,Mitarbeiter!$A$6:$A$205,0)),"vor Eintritt",IF(AND(INDEX(Mitarbeiter!$D$6:$D$205,MATCH(B4055,Mitarbeiter!$A$6:$A$205,0))&lt;&gt;"",A4055&gt;INDEX(Mitarbeiter!$D$6:$D$205,MATCH(B4055,Mitarbeiter!$A$6:$A$205,0))),"nach Austritt","ok")))))))</f>
        <v/>
      </c>
    </row>
    <row r="4056">
      <c r="A4056" s="26" t="n"/>
      <c r="B4056" s="24" t="n"/>
      <c r="C4056" s="40">
        <f>IF(B4056="","",IFERROR(INDEX(Mitarbeiter!$B$6:$B$205,MATCH(B4056,Mitarbeiter!$A$6:$A$205,0)),"?"))</f>
        <v/>
      </c>
      <c r="D4056" s="41" t="n"/>
      <c r="E4056" s="42" t="n"/>
      <c r="F4056" s="43" t="n"/>
      <c r="G4056" s="44">
        <f>IF(OR(B4056="",F4056=""),"",IFERROR(F4056*INDEX(Mitarbeiter!$F$6:$F$205,MATCH(B4056,Mitarbeiter!$A$6:$A$205,0)),0))</f>
        <v/>
      </c>
      <c r="H4056" s="8">
        <f>IF(B4056="","",IF(ISNA(MATCH(B4056,Mitarbeiter!$A$6:$A$205,0)),"Pers.-Nr. unbekannt",IF(A4056="","Datum fehlt",IF(AND(D4056&lt;&gt;Einstellungen!$C$4,D4056&lt;&gt;Einstellungen!$C$5),"Objekt fehlt",IF(YEAR(A4056)&lt;&gt;Einstellungen!$C$3,"anderes Jahr",IF(A4056&lt;INDEX(Mitarbeiter!$C$6:$C$205,MATCH(B4056,Mitarbeiter!$A$6:$A$205,0)),"vor Eintritt",IF(AND(INDEX(Mitarbeiter!$D$6:$D$205,MATCH(B4056,Mitarbeiter!$A$6:$A$205,0))&lt;&gt;"",A4056&gt;INDEX(Mitarbeiter!$D$6:$D$205,MATCH(B4056,Mitarbeiter!$A$6:$A$205,0))),"nach Austritt","ok")))))))</f>
        <v/>
      </c>
    </row>
    <row r="4057">
      <c r="A4057" s="26" t="n"/>
      <c r="B4057" s="24" t="n"/>
      <c r="C4057" s="40">
        <f>IF(B4057="","",IFERROR(INDEX(Mitarbeiter!$B$6:$B$205,MATCH(B4057,Mitarbeiter!$A$6:$A$205,0)),"?"))</f>
        <v/>
      </c>
      <c r="D4057" s="41" t="n"/>
      <c r="E4057" s="42" t="n"/>
      <c r="F4057" s="43" t="n"/>
      <c r="G4057" s="44">
        <f>IF(OR(B4057="",F4057=""),"",IFERROR(F4057*INDEX(Mitarbeiter!$F$6:$F$205,MATCH(B4057,Mitarbeiter!$A$6:$A$205,0)),0))</f>
        <v/>
      </c>
      <c r="H4057" s="8">
        <f>IF(B4057="","",IF(ISNA(MATCH(B4057,Mitarbeiter!$A$6:$A$205,0)),"Pers.-Nr. unbekannt",IF(A4057="","Datum fehlt",IF(AND(D4057&lt;&gt;Einstellungen!$C$4,D4057&lt;&gt;Einstellungen!$C$5),"Objekt fehlt",IF(YEAR(A4057)&lt;&gt;Einstellungen!$C$3,"anderes Jahr",IF(A4057&lt;INDEX(Mitarbeiter!$C$6:$C$205,MATCH(B4057,Mitarbeiter!$A$6:$A$205,0)),"vor Eintritt",IF(AND(INDEX(Mitarbeiter!$D$6:$D$205,MATCH(B4057,Mitarbeiter!$A$6:$A$205,0))&lt;&gt;"",A4057&gt;INDEX(Mitarbeiter!$D$6:$D$205,MATCH(B4057,Mitarbeiter!$A$6:$A$205,0))),"nach Austritt","ok")))))))</f>
        <v/>
      </c>
    </row>
    <row r="4058">
      <c r="A4058" s="26" t="n"/>
      <c r="B4058" s="24" t="n"/>
      <c r="C4058" s="40">
        <f>IF(B4058="","",IFERROR(INDEX(Mitarbeiter!$B$6:$B$205,MATCH(B4058,Mitarbeiter!$A$6:$A$205,0)),"?"))</f>
        <v/>
      </c>
      <c r="D4058" s="41" t="n"/>
      <c r="E4058" s="42" t="n"/>
      <c r="F4058" s="43" t="n"/>
      <c r="G4058" s="44">
        <f>IF(OR(B4058="",F4058=""),"",IFERROR(F4058*INDEX(Mitarbeiter!$F$6:$F$205,MATCH(B4058,Mitarbeiter!$A$6:$A$205,0)),0))</f>
        <v/>
      </c>
      <c r="H4058" s="8">
        <f>IF(B4058="","",IF(ISNA(MATCH(B4058,Mitarbeiter!$A$6:$A$205,0)),"Pers.-Nr. unbekannt",IF(A4058="","Datum fehlt",IF(AND(D4058&lt;&gt;Einstellungen!$C$4,D4058&lt;&gt;Einstellungen!$C$5),"Objekt fehlt",IF(YEAR(A4058)&lt;&gt;Einstellungen!$C$3,"anderes Jahr",IF(A4058&lt;INDEX(Mitarbeiter!$C$6:$C$205,MATCH(B4058,Mitarbeiter!$A$6:$A$205,0)),"vor Eintritt",IF(AND(INDEX(Mitarbeiter!$D$6:$D$205,MATCH(B4058,Mitarbeiter!$A$6:$A$205,0))&lt;&gt;"",A4058&gt;INDEX(Mitarbeiter!$D$6:$D$205,MATCH(B4058,Mitarbeiter!$A$6:$A$205,0))),"nach Austritt","ok")))))))</f>
        <v/>
      </c>
    </row>
    <row r="4059">
      <c r="A4059" s="26" t="n"/>
      <c r="B4059" s="24" t="n"/>
      <c r="C4059" s="40">
        <f>IF(B4059="","",IFERROR(INDEX(Mitarbeiter!$B$6:$B$205,MATCH(B4059,Mitarbeiter!$A$6:$A$205,0)),"?"))</f>
        <v/>
      </c>
      <c r="D4059" s="41" t="n"/>
      <c r="E4059" s="42" t="n"/>
      <c r="F4059" s="43" t="n"/>
      <c r="G4059" s="44">
        <f>IF(OR(B4059="",F4059=""),"",IFERROR(F4059*INDEX(Mitarbeiter!$F$6:$F$205,MATCH(B4059,Mitarbeiter!$A$6:$A$205,0)),0))</f>
        <v/>
      </c>
      <c r="H4059" s="8">
        <f>IF(B4059="","",IF(ISNA(MATCH(B4059,Mitarbeiter!$A$6:$A$205,0)),"Pers.-Nr. unbekannt",IF(A4059="","Datum fehlt",IF(AND(D4059&lt;&gt;Einstellungen!$C$4,D4059&lt;&gt;Einstellungen!$C$5),"Objekt fehlt",IF(YEAR(A4059)&lt;&gt;Einstellungen!$C$3,"anderes Jahr",IF(A4059&lt;INDEX(Mitarbeiter!$C$6:$C$205,MATCH(B4059,Mitarbeiter!$A$6:$A$205,0)),"vor Eintritt",IF(AND(INDEX(Mitarbeiter!$D$6:$D$205,MATCH(B4059,Mitarbeiter!$A$6:$A$205,0))&lt;&gt;"",A4059&gt;INDEX(Mitarbeiter!$D$6:$D$205,MATCH(B4059,Mitarbeiter!$A$6:$A$205,0))),"nach Austritt","ok")))))))</f>
        <v/>
      </c>
    </row>
    <row r="4060">
      <c r="A4060" s="26" t="n"/>
      <c r="B4060" s="24" t="n"/>
      <c r="C4060" s="40">
        <f>IF(B4060="","",IFERROR(INDEX(Mitarbeiter!$B$6:$B$205,MATCH(B4060,Mitarbeiter!$A$6:$A$205,0)),"?"))</f>
        <v/>
      </c>
      <c r="D4060" s="41" t="n"/>
      <c r="E4060" s="42" t="n"/>
      <c r="F4060" s="43" t="n"/>
      <c r="G4060" s="44">
        <f>IF(OR(B4060="",F4060=""),"",IFERROR(F4060*INDEX(Mitarbeiter!$F$6:$F$205,MATCH(B4060,Mitarbeiter!$A$6:$A$205,0)),0))</f>
        <v/>
      </c>
      <c r="H4060" s="8">
        <f>IF(B4060="","",IF(ISNA(MATCH(B4060,Mitarbeiter!$A$6:$A$205,0)),"Pers.-Nr. unbekannt",IF(A4060="","Datum fehlt",IF(AND(D4060&lt;&gt;Einstellungen!$C$4,D4060&lt;&gt;Einstellungen!$C$5),"Objekt fehlt",IF(YEAR(A4060)&lt;&gt;Einstellungen!$C$3,"anderes Jahr",IF(A4060&lt;INDEX(Mitarbeiter!$C$6:$C$205,MATCH(B4060,Mitarbeiter!$A$6:$A$205,0)),"vor Eintritt",IF(AND(INDEX(Mitarbeiter!$D$6:$D$205,MATCH(B4060,Mitarbeiter!$A$6:$A$205,0))&lt;&gt;"",A4060&gt;INDEX(Mitarbeiter!$D$6:$D$205,MATCH(B4060,Mitarbeiter!$A$6:$A$205,0))),"nach Austritt","ok")))))))</f>
        <v/>
      </c>
    </row>
    <row r="4061">
      <c r="A4061" s="26" t="n"/>
      <c r="B4061" s="24" t="n"/>
      <c r="C4061" s="40">
        <f>IF(B4061="","",IFERROR(INDEX(Mitarbeiter!$B$6:$B$205,MATCH(B4061,Mitarbeiter!$A$6:$A$205,0)),"?"))</f>
        <v/>
      </c>
      <c r="D4061" s="41" t="n"/>
      <c r="E4061" s="42" t="n"/>
      <c r="F4061" s="43" t="n"/>
      <c r="G4061" s="44">
        <f>IF(OR(B4061="",F4061=""),"",IFERROR(F4061*INDEX(Mitarbeiter!$F$6:$F$205,MATCH(B4061,Mitarbeiter!$A$6:$A$205,0)),0))</f>
        <v/>
      </c>
      <c r="H4061" s="8">
        <f>IF(B4061="","",IF(ISNA(MATCH(B4061,Mitarbeiter!$A$6:$A$205,0)),"Pers.-Nr. unbekannt",IF(A4061="","Datum fehlt",IF(AND(D4061&lt;&gt;Einstellungen!$C$4,D4061&lt;&gt;Einstellungen!$C$5),"Objekt fehlt",IF(YEAR(A4061)&lt;&gt;Einstellungen!$C$3,"anderes Jahr",IF(A4061&lt;INDEX(Mitarbeiter!$C$6:$C$205,MATCH(B4061,Mitarbeiter!$A$6:$A$205,0)),"vor Eintritt",IF(AND(INDEX(Mitarbeiter!$D$6:$D$205,MATCH(B4061,Mitarbeiter!$A$6:$A$205,0))&lt;&gt;"",A4061&gt;INDEX(Mitarbeiter!$D$6:$D$205,MATCH(B4061,Mitarbeiter!$A$6:$A$205,0))),"nach Austritt","ok")))))))</f>
        <v/>
      </c>
    </row>
    <row r="4062">
      <c r="A4062" s="26" t="n"/>
      <c r="B4062" s="24" t="n"/>
      <c r="C4062" s="40">
        <f>IF(B4062="","",IFERROR(INDEX(Mitarbeiter!$B$6:$B$205,MATCH(B4062,Mitarbeiter!$A$6:$A$205,0)),"?"))</f>
        <v/>
      </c>
      <c r="D4062" s="41" t="n"/>
      <c r="E4062" s="42" t="n"/>
      <c r="F4062" s="43" t="n"/>
      <c r="G4062" s="44">
        <f>IF(OR(B4062="",F4062=""),"",IFERROR(F4062*INDEX(Mitarbeiter!$F$6:$F$205,MATCH(B4062,Mitarbeiter!$A$6:$A$205,0)),0))</f>
        <v/>
      </c>
      <c r="H4062" s="8">
        <f>IF(B4062="","",IF(ISNA(MATCH(B4062,Mitarbeiter!$A$6:$A$205,0)),"Pers.-Nr. unbekannt",IF(A4062="","Datum fehlt",IF(AND(D4062&lt;&gt;Einstellungen!$C$4,D4062&lt;&gt;Einstellungen!$C$5),"Objekt fehlt",IF(YEAR(A4062)&lt;&gt;Einstellungen!$C$3,"anderes Jahr",IF(A4062&lt;INDEX(Mitarbeiter!$C$6:$C$205,MATCH(B4062,Mitarbeiter!$A$6:$A$205,0)),"vor Eintritt",IF(AND(INDEX(Mitarbeiter!$D$6:$D$205,MATCH(B4062,Mitarbeiter!$A$6:$A$205,0))&lt;&gt;"",A4062&gt;INDEX(Mitarbeiter!$D$6:$D$205,MATCH(B4062,Mitarbeiter!$A$6:$A$205,0))),"nach Austritt","ok")))))))</f>
        <v/>
      </c>
    </row>
    <row r="4063">
      <c r="A4063" s="26" t="n"/>
      <c r="B4063" s="24" t="n"/>
      <c r="C4063" s="40">
        <f>IF(B4063="","",IFERROR(INDEX(Mitarbeiter!$B$6:$B$205,MATCH(B4063,Mitarbeiter!$A$6:$A$205,0)),"?"))</f>
        <v/>
      </c>
      <c r="D4063" s="41" t="n"/>
      <c r="E4063" s="42" t="n"/>
      <c r="F4063" s="43" t="n"/>
      <c r="G4063" s="44">
        <f>IF(OR(B4063="",F4063=""),"",IFERROR(F4063*INDEX(Mitarbeiter!$F$6:$F$205,MATCH(B4063,Mitarbeiter!$A$6:$A$205,0)),0))</f>
        <v/>
      </c>
      <c r="H4063" s="8">
        <f>IF(B4063="","",IF(ISNA(MATCH(B4063,Mitarbeiter!$A$6:$A$205,0)),"Pers.-Nr. unbekannt",IF(A4063="","Datum fehlt",IF(AND(D4063&lt;&gt;Einstellungen!$C$4,D4063&lt;&gt;Einstellungen!$C$5),"Objekt fehlt",IF(YEAR(A4063)&lt;&gt;Einstellungen!$C$3,"anderes Jahr",IF(A4063&lt;INDEX(Mitarbeiter!$C$6:$C$205,MATCH(B4063,Mitarbeiter!$A$6:$A$205,0)),"vor Eintritt",IF(AND(INDEX(Mitarbeiter!$D$6:$D$205,MATCH(B4063,Mitarbeiter!$A$6:$A$205,0))&lt;&gt;"",A4063&gt;INDEX(Mitarbeiter!$D$6:$D$205,MATCH(B4063,Mitarbeiter!$A$6:$A$205,0))),"nach Austritt","ok")))))))</f>
        <v/>
      </c>
    </row>
    <row r="4064">
      <c r="A4064" s="26" t="n"/>
      <c r="B4064" s="24" t="n"/>
      <c r="C4064" s="40">
        <f>IF(B4064="","",IFERROR(INDEX(Mitarbeiter!$B$6:$B$205,MATCH(B4064,Mitarbeiter!$A$6:$A$205,0)),"?"))</f>
        <v/>
      </c>
      <c r="D4064" s="41" t="n"/>
      <c r="E4064" s="42" t="n"/>
      <c r="F4064" s="43" t="n"/>
      <c r="G4064" s="44">
        <f>IF(OR(B4064="",F4064=""),"",IFERROR(F4064*INDEX(Mitarbeiter!$F$6:$F$205,MATCH(B4064,Mitarbeiter!$A$6:$A$205,0)),0))</f>
        <v/>
      </c>
      <c r="H4064" s="8">
        <f>IF(B4064="","",IF(ISNA(MATCH(B4064,Mitarbeiter!$A$6:$A$205,0)),"Pers.-Nr. unbekannt",IF(A4064="","Datum fehlt",IF(AND(D4064&lt;&gt;Einstellungen!$C$4,D4064&lt;&gt;Einstellungen!$C$5),"Objekt fehlt",IF(YEAR(A4064)&lt;&gt;Einstellungen!$C$3,"anderes Jahr",IF(A4064&lt;INDEX(Mitarbeiter!$C$6:$C$205,MATCH(B4064,Mitarbeiter!$A$6:$A$205,0)),"vor Eintritt",IF(AND(INDEX(Mitarbeiter!$D$6:$D$205,MATCH(B4064,Mitarbeiter!$A$6:$A$205,0))&lt;&gt;"",A4064&gt;INDEX(Mitarbeiter!$D$6:$D$205,MATCH(B4064,Mitarbeiter!$A$6:$A$205,0))),"nach Austritt","ok")))))))</f>
        <v/>
      </c>
    </row>
    <row r="4065">
      <c r="A4065" s="26" t="n"/>
      <c r="B4065" s="24" t="n"/>
      <c r="C4065" s="40">
        <f>IF(B4065="","",IFERROR(INDEX(Mitarbeiter!$B$6:$B$205,MATCH(B4065,Mitarbeiter!$A$6:$A$205,0)),"?"))</f>
        <v/>
      </c>
      <c r="D4065" s="41" t="n"/>
      <c r="E4065" s="42" t="n"/>
      <c r="F4065" s="43" t="n"/>
      <c r="G4065" s="44">
        <f>IF(OR(B4065="",F4065=""),"",IFERROR(F4065*INDEX(Mitarbeiter!$F$6:$F$205,MATCH(B4065,Mitarbeiter!$A$6:$A$205,0)),0))</f>
        <v/>
      </c>
      <c r="H4065" s="8">
        <f>IF(B4065="","",IF(ISNA(MATCH(B4065,Mitarbeiter!$A$6:$A$205,0)),"Pers.-Nr. unbekannt",IF(A4065="","Datum fehlt",IF(AND(D4065&lt;&gt;Einstellungen!$C$4,D4065&lt;&gt;Einstellungen!$C$5),"Objekt fehlt",IF(YEAR(A4065)&lt;&gt;Einstellungen!$C$3,"anderes Jahr",IF(A4065&lt;INDEX(Mitarbeiter!$C$6:$C$205,MATCH(B4065,Mitarbeiter!$A$6:$A$205,0)),"vor Eintritt",IF(AND(INDEX(Mitarbeiter!$D$6:$D$205,MATCH(B4065,Mitarbeiter!$A$6:$A$205,0))&lt;&gt;"",A4065&gt;INDEX(Mitarbeiter!$D$6:$D$205,MATCH(B4065,Mitarbeiter!$A$6:$A$205,0))),"nach Austritt","ok")))))))</f>
        <v/>
      </c>
    </row>
    <row r="4066">
      <c r="A4066" s="26" t="n"/>
      <c r="B4066" s="24" t="n"/>
      <c r="C4066" s="40">
        <f>IF(B4066="","",IFERROR(INDEX(Mitarbeiter!$B$6:$B$205,MATCH(B4066,Mitarbeiter!$A$6:$A$205,0)),"?"))</f>
        <v/>
      </c>
      <c r="D4066" s="41" t="n"/>
      <c r="E4066" s="42" t="n"/>
      <c r="F4066" s="43" t="n"/>
      <c r="G4066" s="44">
        <f>IF(OR(B4066="",F4066=""),"",IFERROR(F4066*INDEX(Mitarbeiter!$F$6:$F$205,MATCH(B4066,Mitarbeiter!$A$6:$A$205,0)),0))</f>
        <v/>
      </c>
      <c r="H4066" s="8">
        <f>IF(B4066="","",IF(ISNA(MATCH(B4066,Mitarbeiter!$A$6:$A$205,0)),"Pers.-Nr. unbekannt",IF(A4066="","Datum fehlt",IF(AND(D4066&lt;&gt;Einstellungen!$C$4,D4066&lt;&gt;Einstellungen!$C$5),"Objekt fehlt",IF(YEAR(A4066)&lt;&gt;Einstellungen!$C$3,"anderes Jahr",IF(A4066&lt;INDEX(Mitarbeiter!$C$6:$C$205,MATCH(B4066,Mitarbeiter!$A$6:$A$205,0)),"vor Eintritt",IF(AND(INDEX(Mitarbeiter!$D$6:$D$205,MATCH(B4066,Mitarbeiter!$A$6:$A$205,0))&lt;&gt;"",A4066&gt;INDEX(Mitarbeiter!$D$6:$D$205,MATCH(B4066,Mitarbeiter!$A$6:$A$205,0))),"nach Austritt","ok")))))))</f>
        <v/>
      </c>
    </row>
    <row r="4067">
      <c r="A4067" s="26" t="n"/>
      <c r="B4067" s="24" t="n"/>
      <c r="C4067" s="40">
        <f>IF(B4067="","",IFERROR(INDEX(Mitarbeiter!$B$6:$B$205,MATCH(B4067,Mitarbeiter!$A$6:$A$205,0)),"?"))</f>
        <v/>
      </c>
      <c r="D4067" s="41" t="n"/>
      <c r="E4067" s="42" t="n"/>
      <c r="F4067" s="43" t="n"/>
      <c r="G4067" s="44">
        <f>IF(OR(B4067="",F4067=""),"",IFERROR(F4067*INDEX(Mitarbeiter!$F$6:$F$205,MATCH(B4067,Mitarbeiter!$A$6:$A$205,0)),0))</f>
        <v/>
      </c>
      <c r="H4067" s="8">
        <f>IF(B4067="","",IF(ISNA(MATCH(B4067,Mitarbeiter!$A$6:$A$205,0)),"Pers.-Nr. unbekannt",IF(A4067="","Datum fehlt",IF(AND(D4067&lt;&gt;Einstellungen!$C$4,D4067&lt;&gt;Einstellungen!$C$5),"Objekt fehlt",IF(YEAR(A4067)&lt;&gt;Einstellungen!$C$3,"anderes Jahr",IF(A4067&lt;INDEX(Mitarbeiter!$C$6:$C$205,MATCH(B4067,Mitarbeiter!$A$6:$A$205,0)),"vor Eintritt",IF(AND(INDEX(Mitarbeiter!$D$6:$D$205,MATCH(B4067,Mitarbeiter!$A$6:$A$205,0))&lt;&gt;"",A4067&gt;INDEX(Mitarbeiter!$D$6:$D$205,MATCH(B4067,Mitarbeiter!$A$6:$A$205,0))),"nach Austritt","ok")))))))</f>
        <v/>
      </c>
    </row>
    <row r="4068">
      <c r="A4068" s="26" t="n"/>
      <c r="B4068" s="24" t="n"/>
      <c r="C4068" s="40">
        <f>IF(B4068="","",IFERROR(INDEX(Mitarbeiter!$B$6:$B$205,MATCH(B4068,Mitarbeiter!$A$6:$A$205,0)),"?"))</f>
        <v/>
      </c>
      <c r="D4068" s="41" t="n"/>
      <c r="E4068" s="42" t="n"/>
      <c r="F4068" s="43" t="n"/>
      <c r="G4068" s="44">
        <f>IF(OR(B4068="",F4068=""),"",IFERROR(F4068*INDEX(Mitarbeiter!$F$6:$F$205,MATCH(B4068,Mitarbeiter!$A$6:$A$205,0)),0))</f>
        <v/>
      </c>
      <c r="H4068" s="8">
        <f>IF(B4068="","",IF(ISNA(MATCH(B4068,Mitarbeiter!$A$6:$A$205,0)),"Pers.-Nr. unbekannt",IF(A4068="","Datum fehlt",IF(AND(D4068&lt;&gt;Einstellungen!$C$4,D4068&lt;&gt;Einstellungen!$C$5),"Objekt fehlt",IF(YEAR(A4068)&lt;&gt;Einstellungen!$C$3,"anderes Jahr",IF(A4068&lt;INDEX(Mitarbeiter!$C$6:$C$205,MATCH(B4068,Mitarbeiter!$A$6:$A$205,0)),"vor Eintritt",IF(AND(INDEX(Mitarbeiter!$D$6:$D$205,MATCH(B4068,Mitarbeiter!$A$6:$A$205,0))&lt;&gt;"",A4068&gt;INDEX(Mitarbeiter!$D$6:$D$205,MATCH(B4068,Mitarbeiter!$A$6:$A$205,0))),"nach Austritt","ok")))))))</f>
        <v/>
      </c>
    </row>
    <row r="4069">
      <c r="A4069" s="26" t="n"/>
      <c r="B4069" s="24" t="n"/>
      <c r="C4069" s="40">
        <f>IF(B4069="","",IFERROR(INDEX(Mitarbeiter!$B$6:$B$205,MATCH(B4069,Mitarbeiter!$A$6:$A$205,0)),"?"))</f>
        <v/>
      </c>
      <c r="D4069" s="41" t="n"/>
      <c r="E4069" s="42" t="n"/>
      <c r="F4069" s="43" t="n"/>
      <c r="G4069" s="44">
        <f>IF(OR(B4069="",F4069=""),"",IFERROR(F4069*INDEX(Mitarbeiter!$F$6:$F$205,MATCH(B4069,Mitarbeiter!$A$6:$A$205,0)),0))</f>
        <v/>
      </c>
      <c r="H4069" s="8">
        <f>IF(B4069="","",IF(ISNA(MATCH(B4069,Mitarbeiter!$A$6:$A$205,0)),"Pers.-Nr. unbekannt",IF(A4069="","Datum fehlt",IF(AND(D4069&lt;&gt;Einstellungen!$C$4,D4069&lt;&gt;Einstellungen!$C$5),"Objekt fehlt",IF(YEAR(A4069)&lt;&gt;Einstellungen!$C$3,"anderes Jahr",IF(A4069&lt;INDEX(Mitarbeiter!$C$6:$C$205,MATCH(B4069,Mitarbeiter!$A$6:$A$205,0)),"vor Eintritt",IF(AND(INDEX(Mitarbeiter!$D$6:$D$205,MATCH(B4069,Mitarbeiter!$A$6:$A$205,0))&lt;&gt;"",A4069&gt;INDEX(Mitarbeiter!$D$6:$D$205,MATCH(B4069,Mitarbeiter!$A$6:$A$205,0))),"nach Austritt","ok")))))))</f>
        <v/>
      </c>
    </row>
    <row r="4070">
      <c r="A4070" s="26" t="n"/>
      <c r="B4070" s="24" t="n"/>
      <c r="C4070" s="40">
        <f>IF(B4070="","",IFERROR(INDEX(Mitarbeiter!$B$6:$B$205,MATCH(B4070,Mitarbeiter!$A$6:$A$205,0)),"?"))</f>
        <v/>
      </c>
      <c r="D4070" s="41" t="n"/>
      <c r="E4070" s="42" t="n"/>
      <c r="F4070" s="43" t="n"/>
      <c r="G4070" s="44">
        <f>IF(OR(B4070="",F4070=""),"",IFERROR(F4070*INDEX(Mitarbeiter!$F$6:$F$205,MATCH(B4070,Mitarbeiter!$A$6:$A$205,0)),0))</f>
        <v/>
      </c>
      <c r="H4070" s="8">
        <f>IF(B4070="","",IF(ISNA(MATCH(B4070,Mitarbeiter!$A$6:$A$205,0)),"Pers.-Nr. unbekannt",IF(A4070="","Datum fehlt",IF(AND(D4070&lt;&gt;Einstellungen!$C$4,D4070&lt;&gt;Einstellungen!$C$5),"Objekt fehlt",IF(YEAR(A4070)&lt;&gt;Einstellungen!$C$3,"anderes Jahr",IF(A4070&lt;INDEX(Mitarbeiter!$C$6:$C$205,MATCH(B4070,Mitarbeiter!$A$6:$A$205,0)),"vor Eintritt",IF(AND(INDEX(Mitarbeiter!$D$6:$D$205,MATCH(B4070,Mitarbeiter!$A$6:$A$205,0))&lt;&gt;"",A4070&gt;INDEX(Mitarbeiter!$D$6:$D$205,MATCH(B4070,Mitarbeiter!$A$6:$A$205,0))),"nach Austritt","ok")))))))</f>
        <v/>
      </c>
    </row>
    <row r="4071">
      <c r="A4071" s="26" t="n"/>
      <c r="B4071" s="24" t="n"/>
      <c r="C4071" s="40">
        <f>IF(B4071="","",IFERROR(INDEX(Mitarbeiter!$B$6:$B$205,MATCH(B4071,Mitarbeiter!$A$6:$A$205,0)),"?"))</f>
        <v/>
      </c>
      <c r="D4071" s="41" t="n"/>
      <c r="E4071" s="42" t="n"/>
      <c r="F4071" s="43" t="n"/>
      <c r="G4071" s="44">
        <f>IF(OR(B4071="",F4071=""),"",IFERROR(F4071*INDEX(Mitarbeiter!$F$6:$F$205,MATCH(B4071,Mitarbeiter!$A$6:$A$205,0)),0))</f>
        <v/>
      </c>
      <c r="H4071" s="8">
        <f>IF(B4071="","",IF(ISNA(MATCH(B4071,Mitarbeiter!$A$6:$A$205,0)),"Pers.-Nr. unbekannt",IF(A4071="","Datum fehlt",IF(AND(D4071&lt;&gt;Einstellungen!$C$4,D4071&lt;&gt;Einstellungen!$C$5),"Objekt fehlt",IF(YEAR(A4071)&lt;&gt;Einstellungen!$C$3,"anderes Jahr",IF(A4071&lt;INDEX(Mitarbeiter!$C$6:$C$205,MATCH(B4071,Mitarbeiter!$A$6:$A$205,0)),"vor Eintritt",IF(AND(INDEX(Mitarbeiter!$D$6:$D$205,MATCH(B4071,Mitarbeiter!$A$6:$A$205,0))&lt;&gt;"",A4071&gt;INDEX(Mitarbeiter!$D$6:$D$205,MATCH(B4071,Mitarbeiter!$A$6:$A$205,0))),"nach Austritt","ok")))))))</f>
        <v/>
      </c>
    </row>
    <row r="4072">
      <c r="A4072" s="26" t="n"/>
      <c r="B4072" s="24" t="n"/>
      <c r="C4072" s="40">
        <f>IF(B4072="","",IFERROR(INDEX(Mitarbeiter!$B$6:$B$205,MATCH(B4072,Mitarbeiter!$A$6:$A$205,0)),"?"))</f>
        <v/>
      </c>
      <c r="D4072" s="41" t="n"/>
      <c r="E4072" s="42" t="n"/>
      <c r="F4072" s="43" t="n"/>
      <c r="G4072" s="44">
        <f>IF(OR(B4072="",F4072=""),"",IFERROR(F4072*INDEX(Mitarbeiter!$F$6:$F$205,MATCH(B4072,Mitarbeiter!$A$6:$A$205,0)),0))</f>
        <v/>
      </c>
      <c r="H4072" s="8">
        <f>IF(B4072="","",IF(ISNA(MATCH(B4072,Mitarbeiter!$A$6:$A$205,0)),"Pers.-Nr. unbekannt",IF(A4072="","Datum fehlt",IF(AND(D4072&lt;&gt;Einstellungen!$C$4,D4072&lt;&gt;Einstellungen!$C$5),"Objekt fehlt",IF(YEAR(A4072)&lt;&gt;Einstellungen!$C$3,"anderes Jahr",IF(A4072&lt;INDEX(Mitarbeiter!$C$6:$C$205,MATCH(B4072,Mitarbeiter!$A$6:$A$205,0)),"vor Eintritt",IF(AND(INDEX(Mitarbeiter!$D$6:$D$205,MATCH(B4072,Mitarbeiter!$A$6:$A$205,0))&lt;&gt;"",A4072&gt;INDEX(Mitarbeiter!$D$6:$D$205,MATCH(B4072,Mitarbeiter!$A$6:$A$205,0))),"nach Austritt","ok")))))))</f>
        <v/>
      </c>
    </row>
    <row r="4073">
      <c r="A4073" s="26" t="n"/>
      <c r="B4073" s="24" t="n"/>
      <c r="C4073" s="40">
        <f>IF(B4073="","",IFERROR(INDEX(Mitarbeiter!$B$6:$B$205,MATCH(B4073,Mitarbeiter!$A$6:$A$205,0)),"?"))</f>
        <v/>
      </c>
      <c r="D4073" s="41" t="n"/>
      <c r="E4073" s="42" t="n"/>
      <c r="F4073" s="43" t="n"/>
      <c r="G4073" s="44">
        <f>IF(OR(B4073="",F4073=""),"",IFERROR(F4073*INDEX(Mitarbeiter!$F$6:$F$205,MATCH(B4073,Mitarbeiter!$A$6:$A$205,0)),0))</f>
        <v/>
      </c>
      <c r="H4073" s="8">
        <f>IF(B4073="","",IF(ISNA(MATCH(B4073,Mitarbeiter!$A$6:$A$205,0)),"Pers.-Nr. unbekannt",IF(A4073="","Datum fehlt",IF(AND(D4073&lt;&gt;Einstellungen!$C$4,D4073&lt;&gt;Einstellungen!$C$5),"Objekt fehlt",IF(YEAR(A4073)&lt;&gt;Einstellungen!$C$3,"anderes Jahr",IF(A4073&lt;INDEX(Mitarbeiter!$C$6:$C$205,MATCH(B4073,Mitarbeiter!$A$6:$A$205,0)),"vor Eintritt",IF(AND(INDEX(Mitarbeiter!$D$6:$D$205,MATCH(B4073,Mitarbeiter!$A$6:$A$205,0))&lt;&gt;"",A4073&gt;INDEX(Mitarbeiter!$D$6:$D$205,MATCH(B4073,Mitarbeiter!$A$6:$A$205,0))),"nach Austritt","ok")))))))</f>
        <v/>
      </c>
    </row>
    <row r="4074">
      <c r="A4074" s="26" t="n"/>
      <c r="B4074" s="24" t="n"/>
      <c r="C4074" s="40">
        <f>IF(B4074="","",IFERROR(INDEX(Mitarbeiter!$B$6:$B$205,MATCH(B4074,Mitarbeiter!$A$6:$A$205,0)),"?"))</f>
        <v/>
      </c>
      <c r="D4074" s="41" t="n"/>
      <c r="E4074" s="42" t="n"/>
      <c r="F4074" s="43" t="n"/>
      <c r="G4074" s="44">
        <f>IF(OR(B4074="",F4074=""),"",IFERROR(F4074*INDEX(Mitarbeiter!$F$6:$F$205,MATCH(B4074,Mitarbeiter!$A$6:$A$205,0)),0))</f>
        <v/>
      </c>
      <c r="H4074" s="8">
        <f>IF(B4074="","",IF(ISNA(MATCH(B4074,Mitarbeiter!$A$6:$A$205,0)),"Pers.-Nr. unbekannt",IF(A4074="","Datum fehlt",IF(AND(D4074&lt;&gt;Einstellungen!$C$4,D4074&lt;&gt;Einstellungen!$C$5),"Objekt fehlt",IF(YEAR(A4074)&lt;&gt;Einstellungen!$C$3,"anderes Jahr",IF(A4074&lt;INDEX(Mitarbeiter!$C$6:$C$205,MATCH(B4074,Mitarbeiter!$A$6:$A$205,0)),"vor Eintritt",IF(AND(INDEX(Mitarbeiter!$D$6:$D$205,MATCH(B4074,Mitarbeiter!$A$6:$A$205,0))&lt;&gt;"",A4074&gt;INDEX(Mitarbeiter!$D$6:$D$205,MATCH(B4074,Mitarbeiter!$A$6:$A$205,0))),"nach Austritt","ok")))))))</f>
        <v/>
      </c>
    </row>
    <row r="4075">
      <c r="A4075" s="26" t="n"/>
      <c r="B4075" s="24" t="n"/>
      <c r="C4075" s="40">
        <f>IF(B4075="","",IFERROR(INDEX(Mitarbeiter!$B$6:$B$205,MATCH(B4075,Mitarbeiter!$A$6:$A$205,0)),"?"))</f>
        <v/>
      </c>
      <c r="D4075" s="41" t="n"/>
      <c r="E4075" s="42" t="n"/>
      <c r="F4075" s="43" t="n"/>
      <c r="G4075" s="44">
        <f>IF(OR(B4075="",F4075=""),"",IFERROR(F4075*INDEX(Mitarbeiter!$F$6:$F$205,MATCH(B4075,Mitarbeiter!$A$6:$A$205,0)),0))</f>
        <v/>
      </c>
      <c r="H4075" s="8">
        <f>IF(B4075="","",IF(ISNA(MATCH(B4075,Mitarbeiter!$A$6:$A$205,0)),"Pers.-Nr. unbekannt",IF(A4075="","Datum fehlt",IF(AND(D4075&lt;&gt;Einstellungen!$C$4,D4075&lt;&gt;Einstellungen!$C$5),"Objekt fehlt",IF(YEAR(A4075)&lt;&gt;Einstellungen!$C$3,"anderes Jahr",IF(A4075&lt;INDEX(Mitarbeiter!$C$6:$C$205,MATCH(B4075,Mitarbeiter!$A$6:$A$205,0)),"vor Eintritt",IF(AND(INDEX(Mitarbeiter!$D$6:$D$205,MATCH(B4075,Mitarbeiter!$A$6:$A$205,0))&lt;&gt;"",A4075&gt;INDEX(Mitarbeiter!$D$6:$D$205,MATCH(B4075,Mitarbeiter!$A$6:$A$205,0))),"nach Austritt","ok")))))))</f>
        <v/>
      </c>
    </row>
    <row r="4076">
      <c r="A4076" s="26" t="n"/>
      <c r="B4076" s="24" t="n"/>
      <c r="C4076" s="40">
        <f>IF(B4076="","",IFERROR(INDEX(Mitarbeiter!$B$6:$B$205,MATCH(B4076,Mitarbeiter!$A$6:$A$205,0)),"?"))</f>
        <v/>
      </c>
      <c r="D4076" s="41" t="n"/>
      <c r="E4076" s="42" t="n"/>
      <c r="F4076" s="43" t="n"/>
      <c r="G4076" s="44">
        <f>IF(OR(B4076="",F4076=""),"",IFERROR(F4076*INDEX(Mitarbeiter!$F$6:$F$205,MATCH(B4076,Mitarbeiter!$A$6:$A$205,0)),0))</f>
        <v/>
      </c>
      <c r="H4076" s="8">
        <f>IF(B4076="","",IF(ISNA(MATCH(B4076,Mitarbeiter!$A$6:$A$205,0)),"Pers.-Nr. unbekannt",IF(A4076="","Datum fehlt",IF(AND(D4076&lt;&gt;Einstellungen!$C$4,D4076&lt;&gt;Einstellungen!$C$5),"Objekt fehlt",IF(YEAR(A4076)&lt;&gt;Einstellungen!$C$3,"anderes Jahr",IF(A4076&lt;INDEX(Mitarbeiter!$C$6:$C$205,MATCH(B4076,Mitarbeiter!$A$6:$A$205,0)),"vor Eintritt",IF(AND(INDEX(Mitarbeiter!$D$6:$D$205,MATCH(B4076,Mitarbeiter!$A$6:$A$205,0))&lt;&gt;"",A4076&gt;INDEX(Mitarbeiter!$D$6:$D$205,MATCH(B4076,Mitarbeiter!$A$6:$A$205,0))),"nach Austritt","ok")))))))</f>
        <v/>
      </c>
    </row>
    <row r="4077">
      <c r="A4077" s="26" t="n"/>
      <c r="B4077" s="24" t="n"/>
      <c r="C4077" s="40">
        <f>IF(B4077="","",IFERROR(INDEX(Mitarbeiter!$B$6:$B$205,MATCH(B4077,Mitarbeiter!$A$6:$A$205,0)),"?"))</f>
        <v/>
      </c>
      <c r="D4077" s="41" t="n"/>
      <c r="E4077" s="42" t="n"/>
      <c r="F4077" s="43" t="n"/>
      <c r="G4077" s="44">
        <f>IF(OR(B4077="",F4077=""),"",IFERROR(F4077*INDEX(Mitarbeiter!$F$6:$F$205,MATCH(B4077,Mitarbeiter!$A$6:$A$205,0)),0))</f>
        <v/>
      </c>
      <c r="H4077" s="8">
        <f>IF(B4077="","",IF(ISNA(MATCH(B4077,Mitarbeiter!$A$6:$A$205,0)),"Pers.-Nr. unbekannt",IF(A4077="","Datum fehlt",IF(AND(D4077&lt;&gt;Einstellungen!$C$4,D4077&lt;&gt;Einstellungen!$C$5),"Objekt fehlt",IF(YEAR(A4077)&lt;&gt;Einstellungen!$C$3,"anderes Jahr",IF(A4077&lt;INDEX(Mitarbeiter!$C$6:$C$205,MATCH(B4077,Mitarbeiter!$A$6:$A$205,0)),"vor Eintritt",IF(AND(INDEX(Mitarbeiter!$D$6:$D$205,MATCH(B4077,Mitarbeiter!$A$6:$A$205,0))&lt;&gt;"",A4077&gt;INDEX(Mitarbeiter!$D$6:$D$205,MATCH(B4077,Mitarbeiter!$A$6:$A$205,0))),"nach Austritt","ok")))))))</f>
        <v/>
      </c>
    </row>
    <row r="4078">
      <c r="A4078" s="26" t="n"/>
      <c r="B4078" s="24" t="n"/>
      <c r="C4078" s="40">
        <f>IF(B4078="","",IFERROR(INDEX(Mitarbeiter!$B$6:$B$205,MATCH(B4078,Mitarbeiter!$A$6:$A$205,0)),"?"))</f>
        <v/>
      </c>
      <c r="D4078" s="41" t="n"/>
      <c r="E4078" s="42" t="n"/>
      <c r="F4078" s="43" t="n"/>
      <c r="G4078" s="44">
        <f>IF(OR(B4078="",F4078=""),"",IFERROR(F4078*INDEX(Mitarbeiter!$F$6:$F$205,MATCH(B4078,Mitarbeiter!$A$6:$A$205,0)),0))</f>
        <v/>
      </c>
      <c r="H4078" s="8">
        <f>IF(B4078="","",IF(ISNA(MATCH(B4078,Mitarbeiter!$A$6:$A$205,0)),"Pers.-Nr. unbekannt",IF(A4078="","Datum fehlt",IF(AND(D4078&lt;&gt;Einstellungen!$C$4,D4078&lt;&gt;Einstellungen!$C$5),"Objekt fehlt",IF(YEAR(A4078)&lt;&gt;Einstellungen!$C$3,"anderes Jahr",IF(A4078&lt;INDEX(Mitarbeiter!$C$6:$C$205,MATCH(B4078,Mitarbeiter!$A$6:$A$205,0)),"vor Eintritt",IF(AND(INDEX(Mitarbeiter!$D$6:$D$205,MATCH(B4078,Mitarbeiter!$A$6:$A$205,0))&lt;&gt;"",A4078&gt;INDEX(Mitarbeiter!$D$6:$D$205,MATCH(B4078,Mitarbeiter!$A$6:$A$205,0))),"nach Austritt","ok")))))))</f>
        <v/>
      </c>
    </row>
    <row r="4079">
      <c r="A4079" s="26" t="n"/>
      <c r="B4079" s="24" t="n"/>
      <c r="C4079" s="40">
        <f>IF(B4079="","",IFERROR(INDEX(Mitarbeiter!$B$6:$B$205,MATCH(B4079,Mitarbeiter!$A$6:$A$205,0)),"?"))</f>
        <v/>
      </c>
      <c r="D4079" s="41" t="n"/>
      <c r="E4079" s="42" t="n"/>
      <c r="F4079" s="43" t="n"/>
      <c r="G4079" s="44">
        <f>IF(OR(B4079="",F4079=""),"",IFERROR(F4079*INDEX(Mitarbeiter!$F$6:$F$205,MATCH(B4079,Mitarbeiter!$A$6:$A$205,0)),0))</f>
        <v/>
      </c>
      <c r="H4079" s="8">
        <f>IF(B4079="","",IF(ISNA(MATCH(B4079,Mitarbeiter!$A$6:$A$205,0)),"Pers.-Nr. unbekannt",IF(A4079="","Datum fehlt",IF(AND(D4079&lt;&gt;Einstellungen!$C$4,D4079&lt;&gt;Einstellungen!$C$5),"Objekt fehlt",IF(YEAR(A4079)&lt;&gt;Einstellungen!$C$3,"anderes Jahr",IF(A4079&lt;INDEX(Mitarbeiter!$C$6:$C$205,MATCH(B4079,Mitarbeiter!$A$6:$A$205,0)),"vor Eintritt",IF(AND(INDEX(Mitarbeiter!$D$6:$D$205,MATCH(B4079,Mitarbeiter!$A$6:$A$205,0))&lt;&gt;"",A4079&gt;INDEX(Mitarbeiter!$D$6:$D$205,MATCH(B4079,Mitarbeiter!$A$6:$A$205,0))),"nach Austritt","ok")))))))</f>
        <v/>
      </c>
    </row>
    <row r="4080">
      <c r="A4080" s="26" t="n"/>
      <c r="B4080" s="24" t="n"/>
      <c r="C4080" s="40">
        <f>IF(B4080="","",IFERROR(INDEX(Mitarbeiter!$B$6:$B$205,MATCH(B4080,Mitarbeiter!$A$6:$A$205,0)),"?"))</f>
        <v/>
      </c>
      <c r="D4080" s="41" t="n"/>
      <c r="E4080" s="42" t="n"/>
      <c r="F4080" s="43" t="n"/>
      <c r="G4080" s="44">
        <f>IF(OR(B4080="",F4080=""),"",IFERROR(F4080*INDEX(Mitarbeiter!$F$6:$F$205,MATCH(B4080,Mitarbeiter!$A$6:$A$205,0)),0))</f>
        <v/>
      </c>
      <c r="H4080" s="8">
        <f>IF(B4080="","",IF(ISNA(MATCH(B4080,Mitarbeiter!$A$6:$A$205,0)),"Pers.-Nr. unbekannt",IF(A4080="","Datum fehlt",IF(AND(D4080&lt;&gt;Einstellungen!$C$4,D4080&lt;&gt;Einstellungen!$C$5),"Objekt fehlt",IF(YEAR(A4080)&lt;&gt;Einstellungen!$C$3,"anderes Jahr",IF(A4080&lt;INDEX(Mitarbeiter!$C$6:$C$205,MATCH(B4080,Mitarbeiter!$A$6:$A$205,0)),"vor Eintritt",IF(AND(INDEX(Mitarbeiter!$D$6:$D$205,MATCH(B4080,Mitarbeiter!$A$6:$A$205,0))&lt;&gt;"",A4080&gt;INDEX(Mitarbeiter!$D$6:$D$205,MATCH(B4080,Mitarbeiter!$A$6:$A$205,0))),"nach Austritt","ok")))))))</f>
        <v/>
      </c>
    </row>
    <row r="4081">
      <c r="A4081" s="26" t="n"/>
      <c r="B4081" s="24" t="n"/>
      <c r="C4081" s="40">
        <f>IF(B4081="","",IFERROR(INDEX(Mitarbeiter!$B$6:$B$205,MATCH(B4081,Mitarbeiter!$A$6:$A$205,0)),"?"))</f>
        <v/>
      </c>
      <c r="D4081" s="41" t="n"/>
      <c r="E4081" s="42" t="n"/>
      <c r="F4081" s="43" t="n"/>
      <c r="G4081" s="44">
        <f>IF(OR(B4081="",F4081=""),"",IFERROR(F4081*INDEX(Mitarbeiter!$F$6:$F$205,MATCH(B4081,Mitarbeiter!$A$6:$A$205,0)),0))</f>
        <v/>
      </c>
      <c r="H4081" s="8">
        <f>IF(B4081="","",IF(ISNA(MATCH(B4081,Mitarbeiter!$A$6:$A$205,0)),"Pers.-Nr. unbekannt",IF(A4081="","Datum fehlt",IF(AND(D4081&lt;&gt;Einstellungen!$C$4,D4081&lt;&gt;Einstellungen!$C$5),"Objekt fehlt",IF(YEAR(A4081)&lt;&gt;Einstellungen!$C$3,"anderes Jahr",IF(A4081&lt;INDEX(Mitarbeiter!$C$6:$C$205,MATCH(B4081,Mitarbeiter!$A$6:$A$205,0)),"vor Eintritt",IF(AND(INDEX(Mitarbeiter!$D$6:$D$205,MATCH(B4081,Mitarbeiter!$A$6:$A$205,0))&lt;&gt;"",A4081&gt;INDEX(Mitarbeiter!$D$6:$D$205,MATCH(B4081,Mitarbeiter!$A$6:$A$205,0))),"nach Austritt","ok")))))))</f>
        <v/>
      </c>
    </row>
    <row r="4082">
      <c r="A4082" s="26" t="n"/>
      <c r="B4082" s="24" t="n"/>
      <c r="C4082" s="40">
        <f>IF(B4082="","",IFERROR(INDEX(Mitarbeiter!$B$6:$B$205,MATCH(B4082,Mitarbeiter!$A$6:$A$205,0)),"?"))</f>
        <v/>
      </c>
      <c r="D4082" s="41" t="n"/>
      <c r="E4082" s="42" t="n"/>
      <c r="F4082" s="43" t="n"/>
      <c r="G4082" s="44">
        <f>IF(OR(B4082="",F4082=""),"",IFERROR(F4082*INDEX(Mitarbeiter!$F$6:$F$205,MATCH(B4082,Mitarbeiter!$A$6:$A$205,0)),0))</f>
        <v/>
      </c>
      <c r="H4082" s="8">
        <f>IF(B4082="","",IF(ISNA(MATCH(B4082,Mitarbeiter!$A$6:$A$205,0)),"Pers.-Nr. unbekannt",IF(A4082="","Datum fehlt",IF(AND(D4082&lt;&gt;Einstellungen!$C$4,D4082&lt;&gt;Einstellungen!$C$5),"Objekt fehlt",IF(YEAR(A4082)&lt;&gt;Einstellungen!$C$3,"anderes Jahr",IF(A4082&lt;INDEX(Mitarbeiter!$C$6:$C$205,MATCH(B4082,Mitarbeiter!$A$6:$A$205,0)),"vor Eintritt",IF(AND(INDEX(Mitarbeiter!$D$6:$D$205,MATCH(B4082,Mitarbeiter!$A$6:$A$205,0))&lt;&gt;"",A4082&gt;INDEX(Mitarbeiter!$D$6:$D$205,MATCH(B4082,Mitarbeiter!$A$6:$A$205,0))),"nach Austritt","ok")))))))</f>
        <v/>
      </c>
    </row>
    <row r="4083">
      <c r="A4083" s="26" t="n"/>
      <c r="B4083" s="24" t="n"/>
      <c r="C4083" s="40">
        <f>IF(B4083="","",IFERROR(INDEX(Mitarbeiter!$B$6:$B$205,MATCH(B4083,Mitarbeiter!$A$6:$A$205,0)),"?"))</f>
        <v/>
      </c>
      <c r="D4083" s="41" t="n"/>
      <c r="E4083" s="42" t="n"/>
      <c r="F4083" s="43" t="n"/>
      <c r="G4083" s="44">
        <f>IF(OR(B4083="",F4083=""),"",IFERROR(F4083*INDEX(Mitarbeiter!$F$6:$F$205,MATCH(B4083,Mitarbeiter!$A$6:$A$205,0)),0))</f>
        <v/>
      </c>
      <c r="H4083" s="8">
        <f>IF(B4083="","",IF(ISNA(MATCH(B4083,Mitarbeiter!$A$6:$A$205,0)),"Pers.-Nr. unbekannt",IF(A4083="","Datum fehlt",IF(AND(D4083&lt;&gt;Einstellungen!$C$4,D4083&lt;&gt;Einstellungen!$C$5),"Objekt fehlt",IF(YEAR(A4083)&lt;&gt;Einstellungen!$C$3,"anderes Jahr",IF(A4083&lt;INDEX(Mitarbeiter!$C$6:$C$205,MATCH(B4083,Mitarbeiter!$A$6:$A$205,0)),"vor Eintritt",IF(AND(INDEX(Mitarbeiter!$D$6:$D$205,MATCH(B4083,Mitarbeiter!$A$6:$A$205,0))&lt;&gt;"",A4083&gt;INDEX(Mitarbeiter!$D$6:$D$205,MATCH(B4083,Mitarbeiter!$A$6:$A$205,0))),"nach Austritt","ok")))))))</f>
        <v/>
      </c>
    </row>
    <row r="4084">
      <c r="A4084" s="26" t="n"/>
      <c r="B4084" s="24" t="n"/>
      <c r="C4084" s="40">
        <f>IF(B4084="","",IFERROR(INDEX(Mitarbeiter!$B$6:$B$205,MATCH(B4084,Mitarbeiter!$A$6:$A$205,0)),"?"))</f>
        <v/>
      </c>
      <c r="D4084" s="41" t="n"/>
      <c r="E4084" s="42" t="n"/>
      <c r="F4084" s="43" t="n"/>
      <c r="G4084" s="44">
        <f>IF(OR(B4084="",F4084=""),"",IFERROR(F4084*INDEX(Mitarbeiter!$F$6:$F$205,MATCH(B4084,Mitarbeiter!$A$6:$A$205,0)),0))</f>
        <v/>
      </c>
      <c r="H4084" s="8">
        <f>IF(B4084="","",IF(ISNA(MATCH(B4084,Mitarbeiter!$A$6:$A$205,0)),"Pers.-Nr. unbekannt",IF(A4084="","Datum fehlt",IF(AND(D4084&lt;&gt;Einstellungen!$C$4,D4084&lt;&gt;Einstellungen!$C$5),"Objekt fehlt",IF(YEAR(A4084)&lt;&gt;Einstellungen!$C$3,"anderes Jahr",IF(A4084&lt;INDEX(Mitarbeiter!$C$6:$C$205,MATCH(B4084,Mitarbeiter!$A$6:$A$205,0)),"vor Eintritt",IF(AND(INDEX(Mitarbeiter!$D$6:$D$205,MATCH(B4084,Mitarbeiter!$A$6:$A$205,0))&lt;&gt;"",A4084&gt;INDEX(Mitarbeiter!$D$6:$D$205,MATCH(B4084,Mitarbeiter!$A$6:$A$205,0))),"nach Austritt","ok")))))))</f>
        <v/>
      </c>
    </row>
    <row r="4085">
      <c r="A4085" s="26" t="n"/>
      <c r="B4085" s="24" t="n"/>
      <c r="C4085" s="40">
        <f>IF(B4085="","",IFERROR(INDEX(Mitarbeiter!$B$6:$B$205,MATCH(B4085,Mitarbeiter!$A$6:$A$205,0)),"?"))</f>
        <v/>
      </c>
      <c r="D4085" s="41" t="n"/>
      <c r="E4085" s="42" t="n"/>
      <c r="F4085" s="43" t="n"/>
      <c r="G4085" s="44">
        <f>IF(OR(B4085="",F4085=""),"",IFERROR(F4085*INDEX(Mitarbeiter!$F$6:$F$205,MATCH(B4085,Mitarbeiter!$A$6:$A$205,0)),0))</f>
        <v/>
      </c>
      <c r="H4085" s="8">
        <f>IF(B4085="","",IF(ISNA(MATCH(B4085,Mitarbeiter!$A$6:$A$205,0)),"Pers.-Nr. unbekannt",IF(A4085="","Datum fehlt",IF(AND(D4085&lt;&gt;Einstellungen!$C$4,D4085&lt;&gt;Einstellungen!$C$5),"Objekt fehlt",IF(YEAR(A4085)&lt;&gt;Einstellungen!$C$3,"anderes Jahr",IF(A4085&lt;INDEX(Mitarbeiter!$C$6:$C$205,MATCH(B4085,Mitarbeiter!$A$6:$A$205,0)),"vor Eintritt",IF(AND(INDEX(Mitarbeiter!$D$6:$D$205,MATCH(B4085,Mitarbeiter!$A$6:$A$205,0))&lt;&gt;"",A4085&gt;INDEX(Mitarbeiter!$D$6:$D$205,MATCH(B4085,Mitarbeiter!$A$6:$A$205,0))),"nach Austritt","ok")))))))</f>
        <v/>
      </c>
    </row>
    <row r="4086">
      <c r="A4086" s="26" t="n"/>
      <c r="B4086" s="24" t="n"/>
      <c r="C4086" s="40">
        <f>IF(B4086="","",IFERROR(INDEX(Mitarbeiter!$B$6:$B$205,MATCH(B4086,Mitarbeiter!$A$6:$A$205,0)),"?"))</f>
        <v/>
      </c>
      <c r="D4086" s="41" t="n"/>
      <c r="E4086" s="42" t="n"/>
      <c r="F4086" s="43" t="n"/>
      <c r="G4086" s="44">
        <f>IF(OR(B4086="",F4086=""),"",IFERROR(F4086*INDEX(Mitarbeiter!$F$6:$F$205,MATCH(B4086,Mitarbeiter!$A$6:$A$205,0)),0))</f>
        <v/>
      </c>
      <c r="H4086" s="8">
        <f>IF(B4086="","",IF(ISNA(MATCH(B4086,Mitarbeiter!$A$6:$A$205,0)),"Pers.-Nr. unbekannt",IF(A4086="","Datum fehlt",IF(AND(D4086&lt;&gt;Einstellungen!$C$4,D4086&lt;&gt;Einstellungen!$C$5),"Objekt fehlt",IF(YEAR(A4086)&lt;&gt;Einstellungen!$C$3,"anderes Jahr",IF(A4086&lt;INDEX(Mitarbeiter!$C$6:$C$205,MATCH(B4086,Mitarbeiter!$A$6:$A$205,0)),"vor Eintritt",IF(AND(INDEX(Mitarbeiter!$D$6:$D$205,MATCH(B4086,Mitarbeiter!$A$6:$A$205,0))&lt;&gt;"",A4086&gt;INDEX(Mitarbeiter!$D$6:$D$205,MATCH(B4086,Mitarbeiter!$A$6:$A$205,0))),"nach Austritt","ok")))))))</f>
        <v/>
      </c>
    </row>
    <row r="4087">
      <c r="A4087" s="26" t="n"/>
      <c r="B4087" s="24" t="n"/>
      <c r="C4087" s="40">
        <f>IF(B4087="","",IFERROR(INDEX(Mitarbeiter!$B$6:$B$205,MATCH(B4087,Mitarbeiter!$A$6:$A$205,0)),"?"))</f>
        <v/>
      </c>
      <c r="D4087" s="41" t="n"/>
      <c r="E4087" s="42" t="n"/>
      <c r="F4087" s="43" t="n"/>
      <c r="G4087" s="44">
        <f>IF(OR(B4087="",F4087=""),"",IFERROR(F4087*INDEX(Mitarbeiter!$F$6:$F$205,MATCH(B4087,Mitarbeiter!$A$6:$A$205,0)),0))</f>
        <v/>
      </c>
      <c r="H4087" s="8">
        <f>IF(B4087="","",IF(ISNA(MATCH(B4087,Mitarbeiter!$A$6:$A$205,0)),"Pers.-Nr. unbekannt",IF(A4087="","Datum fehlt",IF(AND(D4087&lt;&gt;Einstellungen!$C$4,D4087&lt;&gt;Einstellungen!$C$5),"Objekt fehlt",IF(YEAR(A4087)&lt;&gt;Einstellungen!$C$3,"anderes Jahr",IF(A4087&lt;INDEX(Mitarbeiter!$C$6:$C$205,MATCH(B4087,Mitarbeiter!$A$6:$A$205,0)),"vor Eintritt",IF(AND(INDEX(Mitarbeiter!$D$6:$D$205,MATCH(B4087,Mitarbeiter!$A$6:$A$205,0))&lt;&gt;"",A4087&gt;INDEX(Mitarbeiter!$D$6:$D$205,MATCH(B4087,Mitarbeiter!$A$6:$A$205,0))),"nach Austritt","ok")))))))</f>
        <v/>
      </c>
    </row>
    <row r="4088">
      <c r="A4088" s="26" t="n"/>
      <c r="B4088" s="24" t="n"/>
      <c r="C4088" s="40">
        <f>IF(B4088="","",IFERROR(INDEX(Mitarbeiter!$B$6:$B$205,MATCH(B4088,Mitarbeiter!$A$6:$A$205,0)),"?"))</f>
        <v/>
      </c>
      <c r="D4088" s="41" t="n"/>
      <c r="E4088" s="42" t="n"/>
      <c r="F4088" s="43" t="n"/>
      <c r="G4088" s="44">
        <f>IF(OR(B4088="",F4088=""),"",IFERROR(F4088*INDEX(Mitarbeiter!$F$6:$F$205,MATCH(B4088,Mitarbeiter!$A$6:$A$205,0)),0))</f>
        <v/>
      </c>
      <c r="H4088" s="8">
        <f>IF(B4088="","",IF(ISNA(MATCH(B4088,Mitarbeiter!$A$6:$A$205,0)),"Pers.-Nr. unbekannt",IF(A4088="","Datum fehlt",IF(AND(D4088&lt;&gt;Einstellungen!$C$4,D4088&lt;&gt;Einstellungen!$C$5),"Objekt fehlt",IF(YEAR(A4088)&lt;&gt;Einstellungen!$C$3,"anderes Jahr",IF(A4088&lt;INDEX(Mitarbeiter!$C$6:$C$205,MATCH(B4088,Mitarbeiter!$A$6:$A$205,0)),"vor Eintritt",IF(AND(INDEX(Mitarbeiter!$D$6:$D$205,MATCH(B4088,Mitarbeiter!$A$6:$A$205,0))&lt;&gt;"",A4088&gt;INDEX(Mitarbeiter!$D$6:$D$205,MATCH(B4088,Mitarbeiter!$A$6:$A$205,0))),"nach Austritt","ok")))))))</f>
        <v/>
      </c>
    </row>
    <row r="4089">
      <c r="A4089" s="26" t="n"/>
      <c r="B4089" s="24" t="n"/>
      <c r="C4089" s="40">
        <f>IF(B4089="","",IFERROR(INDEX(Mitarbeiter!$B$6:$B$205,MATCH(B4089,Mitarbeiter!$A$6:$A$205,0)),"?"))</f>
        <v/>
      </c>
      <c r="D4089" s="41" t="n"/>
      <c r="E4089" s="42" t="n"/>
      <c r="F4089" s="43" t="n"/>
      <c r="G4089" s="44">
        <f>IF(OR(B4089="",F4089=""),"",IFERROR(F4089*INDEX(Mitarbeiter!$F$6:$F$205,MATCH(B4089,Mitarbeiter!$A$6:$A$205,0)),0))</f>
        <v/>
      </c>
      <c r="H4089" s="8">
        <f>IF(B4089="","",IF(ISNA(MATCH(B4089,Mitarbeiter!$A$6:$A$205,0)),"Pers.-Nr. unbekannt",IF(A4089="","Datum fehlt",IF(AND(D4089&lt;&gt;Einstellungen!$C$4,D4089&lt;&gt;Einstellungen!$C$5),"Objekt fehlt",IF(YEAR(A4089)&lt;&gt;Einstellungen!$C$3,"anderes Jahr",IF(A4089&lt;INDEX(Mitarbeiter!$C$6:$C$205,MATCH(B4089,Mitarbeiter!$A$6:$A$205,0)),"vor Eintritt",IF(AND(INDEX(Mitarbeiter!$D$6:$D$205,MATCH(B4089,Mitarbeiter!$A$6:$A$205,0))&lt;&gt;"",A4089&gt;INDEX(Mitarbeiter!$D$6:$D$205,MATCH(B4089,Mitarbeiter!$A$6:$A$205,0))),"nach Austritt","ok")))))))</f>
        <v/>
      </c>
    </row>
    <row r="4090">
      <c r="A4090" s="26" t="n"/>
      <c r="B4090" s="24" t="n"/>
      <c r="C4090" s="40">
        <f>IF(B4090="","",IFERROR(INDEX(Mitarbeiter!$B$6:$B$205,MATCH(B4090,Mitarbeiter!$A$6:$A$205,0)),"?"))</f>
        <v/>
      </c>
      <c r="D4090" s="41" t="n"/>
      <c r="E4090" s="42" t="n"/>
      <c r="F4090" s="43" t="n"/>
      <c r="G4090" s="44">
        <f>IF(OR(B4090="",F4090=""),"",IFERROR(F4090*INDEX(Mitarbeiter!$F$6:$F$205,MATCH(B4090,Mitarbeiter!$A$6:$A$205,0)),0))</f>
        <v/>
      </c>
      <c r="H4090" s="8">
        <f>IF(B4090="","",IF(ISNA(MATCH(B4090,Mitarbeiter!$A$6:$A$205,0)),"Pers.-Nr. unbekannt",IF(A4090="","Datum fehlt",IF(AND(D4090&lt;&gt;Einstellungen!$C$4,D4090&lt;&gt;Einstellungen!$C$5),"Objekt fehlt",IF(YEAR(A4090)&lt;&gt;Einstellungen!$C$3,"anderes Jahr",IF(A4090&lt;INDEX(Mitarbeiter!$C$6:$C$205,MATCH(B4090,Mitarbeiter!$A$6:$A$205,0)),"vor Eintritt",IF(AND(INDEX(Mitarbeiter!$D$6:$D$205,MATCH(B4090,Mitarbeiter!$A$6:$A$205,0))&lt;&gt;"",A4090&gt;INDEX(Mitarbeiter!$D$6:$D$205,MATCH(B4090,Mitarbeiter!$A$6:$A$205,0))),"nach Austritt","ok")))))))</f>
        <v/>
      </c>
    </row>
    <row r="4091">
      <c r="A4091" s="26" t="n"/>
      <c r="B4091" s="24" t="n"/>
      <c r="C4091" s="40">
        <f>IF(B4091="","",IFERROR(INDEX(Mitarbeiter!$B$6:$B$205,MATCH(B4091,Mitarbeiter!$A$6:$A$205,0)),"?"))</f>
        <v/>
      </c>
      <c r="D4091" s="41" t="n"/>
      <c r="E4091" s="42" t="n"/>
      <c r="F4091" s="43" t="n"/>
      <c r="G4091" s="44">
        <f>IF(OR(B4091="",F4091=""),"",IFERROR(F4091*INDEX(Mitarbeiter!$F$6:$F$205,MATCH(B4091,Mitarbeiter!$A$6:$A$205,0)),0))</f>
        <v/>
      </c>
      <c r="H4091" s="8">
        <f>IF(B4091="","",IF(ISNA(MATCH(B4091,Mitarbeiter!$A$6:$A$205,0)),"Pers.-Nr. unbekannt",IF(A4091="","Datum fehlt",IF(AND(D4091&lt;&gt;Einstellungen!$C$4,D4091&lt;&gt;Einstellungen!$C$5),"Objekt fehlt",IF(YEAR(A4091)&lt;&gt;Einstellungen!$C$3,"anderes Jahr",IF(A4091&lt;INDEX(Mitarbeiter!$C$6:$C$205,MATCH(B4091,Mitarbeiter!$A$6:$A$205,0)),"vor Eintritt",IF(AND(INDEX(Mitarbeiter!$D$6:$D$205,MATCH(B4091,Mitarbeiter!$A$6:$A$205,0))&lt;&gt;"",A4091&gt;INDEX(Mitarbeiter!$D$6:$D$205,MATCH(B4091,Mitarbeiter!$A$6:$A$205,0))),"nach Austritt","ok")))))))</f>
        <v/>
      </c>
    </row>
    <row r="4092">
      <c r="A4092" s="26" t="n"/>
      <c r="B4092" s="24" t="n"/>
      <c r="C4092" s="40">
        <f>IF(B4092="","",IFERROR(INDEX(Mitarbeiter!$B$6:$B$205,MATCH(B4092,Mitarbeiter!$A$6:$A$205,0)),"?"))</f>
        <v/>
      </c>
      <c r="D4092" s="41" t="n"/>
      <c r="E4092" s="42" t="n"/>
      <c r="F4092" s="43" t="n"/>
      <c r="G4092" s="44">
        <f>IF(OR(B4092="",F4092=""),"",IFERROR(F4092*INDEX(Mitarbeiter!$F$6:$F$205,MATCH(B4092,Mitarbeiter!$A$6:$A$205,0)),0))</f>
        <v/>
      </c>
      <c r="H4092" s="8">
        <f>IF(B4092="","",IF(ISNA(MATCH(B4092,Mitarbeiter!$A$6:$A$205,0)),"Pers.-Nr. unbekannt",IF(A4092="","Datum fehlt",IF(AND(D4092&lt;&gt;Einstellungen!$C$4,D4092&lt;&gt;Einstellungen!$C$5),"Objekt fehlt",IF(YEAR(A4092)&lt;&gt;Einstellungen!$C$3,"anderes Jahr",IF(A4092&lt;INDEX(Mitarbeiter!$C$6:$C$205,MATCH(B4092,Mitarbeiter!$A$6:$A$205,0)),"vor Eintritt",IF(AND(INDEX(Mitarbeiter!$D$6:$D$205,MATCH(B4092,Mitarbeiter!$A$6:$A$205,0))&lt;&gt;"",A4092&gt;INDEX(Mitarbeiter!$D$6:$D$205,MATCH(B4092,Mitarbeiter!$A$6:$A$205,0))),"nach Austritt","ok")))))))</f>
        <v/>
      </c>
    </row>
    <row r="4093">
      <c r="A4093" s="26" t="n"/>
      <c r="B4093" s="24" t="n"/>
      <c r="C4093" s="40">
        <f>IF(B4093="","",IFERROR(INDEX(Mitarbeiter!$B$6:$B$205,MATCH(B4093,Mitarbeiter!$A$6:$A$205,0)),"?"))</f>
        <v/>
      </c>
      <c r="D4093" s="41" t="n"/>
      <c r="E4093" s="42" t="n"/>
      <c r="F4093" s="43" t="n"/>
      <c r="G4093" s="44">
        <f>IF(OR(B4093="",F4093=""),"",IFERROR(F4093*INDEX(Mitarbeiter!$F$6:$F$205,MATCH(B4093,Mitarbeiter!$A$6:$A$205,0)),0))</f>
        <v/>
      </c>
      <c r="H4093" s="8">
        <f>IF(B4093="","",IF(ISNA(MATCH(B4093,Mitarbeiter!$A$6:$A$205,0)),"Pers.-Nr. unbekannt",IF(A4093="","Datum fehlt",IF(AND(D4093&lt;&gt;Einstellungen!$C$4,D4093&lt;&gt;Einstellungen!$C$5),"Objekt fehlt",IF(YEAR(A4093)&lt;&gt;Einstellungen!$C$3,"anderes Jahr",IF(A4093&lt;INDEX(Mitarbeiter!$C$6:$C$205,MATCH(B4093,Mitarbeiter!$A$6:$A$205,0)),"vor Eintritt",IF(AND(INDEX(Mitarbeiter!$D$6:$D$205,MATCH(B4093,Mitarbeiter!$A$6:$A$205,0))&lt;&gt;"",A4093&gt;INDEX(Mitarbeiter!$D$6:$D$205,MATCH(B4093,Mitarbeiter!$A$6:$A$205,0))),"nach Austritt","ok")))))))</f>
        <v/>
      </c>
    </row>
    <row r="4094">
      <c r="A4094" s="26" t="n"/>
      <c r="B4094" s="24" t="n"/>
      <c r="C4094" s="40">
        <f>IF(B4094="","",IFERROR(INDEX(Mitarbeiter!$B$6:$B$205,MATCH(B4094,Mitarbeiter!$A$6:$A$205,0)),"?"))</f>
        <v/>
      </c>
      <c r="D4094" s="41" t="n"/>
      <c r="E4094" s="42" t="n"/>
      <c r="F4094" s="43" t="n"/>
      <c r="G4094" s="44">
        <f>IF(OR(B4094="",F4094=""),"",IFERROR(F4094*INDEX(Mitarbeiter!$F$6:$F$205,MATCH(B4094,Mitarbeiter!$A$6:$A$205,0)),0))</f>
        <v/>
      </c>
      <c r="H4094" s="8">
        <f>IF(B4094="","",IF(ISNA(MATCH(B4094,Mitarbeiter!$A$6:$A$205,0)),"Pers.-Nr. unbekannt",IF(A4094="","Datum fehlt",IF(AND(D4094&lt;&gt;Einstellungen!$C$4,D4094&lt;&gt;Einstellungen!$C$5),"Objekt fehlt",IF(YEAR(A4094)&lt;&gt;Einstellungen!$C$3,"anderes Jahr",IF(A4094&lt;INDEX(Mitarbeiter!$C$6:$C$205,MATCH(B4094,Mitarbeiter!$A$6:$A$205,0)),"vor Eintritt",IF(AND(INDEX(Mitarbeiter!$D$6:$D$205,MATCH(B4094,Mitarbeiter!$A$6:$A$205,0))&lt;&gt;"",A4094&gt;INDEX(Mitarbeiter!$D$6:$D$205,MATCH(B4094,Mitarbeiter!$A$6:$A$205,0))),"nach Austritt","ok")))))))</f>
        <v/>
      </c>
    </row>
    <row r="4095">
      <c r="A4095" s="26" t="n"/>
      <c r="B4095" s="24" t="n"/>
      <c r="C4095" s="40">
        <f>IF(B4095="","",IFERROR(INDEX(Mitarbeiter!$B$6:$B$205,MATCH(B4095,Mitarbeiter!$A$6:$A$205,0)),"?"))</f>
        <v/>
      </c>
      <c r="D4095" s="41" t="n"/>
      <c r="E4095" s="42" t="n"/>
      <c r="F4095" s="43" t="n"/>
      <c r="G4095" s="44">
        <f>IF(OR(B4095="",F4095=""),"",IFERROR(F4095*INDEX(Mitarbeiter!$F$6:$F$205,MATCH(B4095,Mitarbeiter!$A$6:$A$205,0)),0))</f>
        <v/>
      </c>
      <c r="H4095" s="8">
        <f>IF(B4095="","",IF(ISNA(MATCH(B4095,Mitarbeiter!$A$6:$A$205,0)),"Pers.-Nr. unbekannt",IF(A4095="","Datum fehlt",IF(AND(D4095&lt;&gt;Einstellungen!$C$4,D4095&lt;&gt;Einstellungen!$C$5),"Objekt fehlt",IF(YEAR(A4095)&lt;&gt;Einstellungen!$C$3,"anderes Jahr",IF(A4095&lt;INDEX(Mitarbeiter!$C$6:$C$205,MATCH(B4095,Mitarbeiter!$A$6:$A$205,0)),"vor Eintritt",IF(AND(INDEX(Mitarbeiter!$D$6:$D$205,MATCH(B4095,Mitarbeiter!$A$6:$A$205,0))&lt;&gt;"",A4095&gt;INDEX(Mitarbeiter!$D$6:$D$205,MATCH(B4095,Mitarbeiter!$A$6:$A$205,0))),"nach Austritt","ok")))))))</f>
        <v/>
      </c>
    </row>
    <row r="4096">
      <c r="A4096" s="26" t="n"/>
      <c r="B4096" s="24" t="n"/>
      <c r="C4096" s="40">
        <f>IF(B4096="","",IFERROR(INDEX(Mitarbeiter!$B$6:$B$205,MATCH(B4096,Mitarbeiter!$A$6:$A$205,0)),"?"))</f>
        <v/>
      </c>
      <c r="D4096" s="41" t="n"/>
      <c r="E4096" s="42" t="n"/>
      <c r="F4096" s="43" t="n"/>
      <c r="G4096" s="44">
        <f>IF(OR(B4096="",F4096=""),"",IFERROR(F4096*INDEX(Mitarbeiter!$F$6:$F$205,MATCH(B4096,Mitarbeiter!$A$6:$A$205,0)),0))</f>
        <v/>
      </c>
      <c r="H4096" s="8">
        <f>IF(B4096="","",IF(ISNA(MATCH(B4096,Mitarbeiter!$A$6:$A$205,0)),"Pers.-Nr. unbekannt",IF(A4096="","Datum fehlt",IF(AND(D4096&lt;&gt;Einstellungen!$C$4,D4096&lt;&gt;Einstellungen!$C$5),"Objekt fehlt",IF(YEAR(A4096)&lt;&gt;Einstellungen!$C$3,"anderes Jahr",IF(A4096&lt;INDEX(Mitarbeiter!$C$6:$C$205,MATCH(B4096,Mitarbeiter!$A$6:$A$205,0)),"vor Eintritt",IF(AND(INDEX(Mitarbeiter!$D$6:$D$205,MATCH(B4096,Mitarbeiter!$A$6:$A$205,0))&lt;&gt;"",A4096&gt;INDEX(Mitarbeiter!$D$6:$D$205,MATCH(B4096,Mitarbeiter!$A$6:$A$205,0))),"nach Austritt","ok")))))))</f>
        <v/>
      </c>
    </row>
    <row r="4097">
      <c r="A4097" s="26" t="n"/>
      <c r="B4097" s="24" t="n"/>
      <c r="C4097" s="40">
        <f>IF(B4097="","",IFERROR(INDEX(Mitarbeiter!$B$6:$B$205,MATCH(B4097,Mitarbeiter!$A$6:$A$205,0)),"?"))</f>
        <v/>
      </c>
      <c r="D4097" s="41" t="n"/>
      <c r="E4097" s="42" t="n"/>
      <c r="F4097" s="43" t="n"/>
      <c r="G4097" s="44">
        <f>IF(OR(B4097="",F4097=""),"",IFERROR(F4097*INDEX(Mitarbeiter!$F$6:$F$205,MATCH(B4097,Mitarbeiter!$A$6:$A$205,0)),0))</f>
        <v/>
      </c>
      <c r="H4097" s="8">
        <f>IF(B4097="","",IF(ISNA(MATCH(B4097,Mitarbeiter!$A$6:$A$205,0)),"Pers.-Nr. unbekannt",IF(A4097="","Datum fehlt",IF(AND(D4097&lt;&gt;Einstellungen!$C$4,D4097&lt;&gt;Einstellungen!$C$5),"Objekt fehlt",IF(YEAR(A4097)&lt;&gt;Einstellungen!$C$3,"anderes Jahr",IF(A4097&lt;INDEX(Mitarbeiter!$C$6:$C$205,MATCH(B4097,Mitarbeiter!$A$6:$A$205,0)),"vor Eintritt",IF(AND(INDEX(Mitarbeiter!$D$6:$D$205,MATCH(B4097,Mitarbeiter!$A$6:$A$205,0))&lt;&gt;"",A4097&gt;INDEX(Mitarbeiter!$D$6:$D$205,MATCH(B4097,Mitarbeiter!$A$6:$A$205,0))),"nach Austritt","ok")))))))</f>
        <v/>
      </c>
    </row>
    <row r="4098">
      <c r="A4098" s="26" t="n"/>
      <c r="B4098" s="24" t="n"/>
      <c r="C4098" s="40">
        <f>IF(B4098="","",IFERROR(INDEX(Mitarbeiter!$B$6:$B$205,MATCH(B4098,Mitarbeiter!$A$6:$A$205,0)),"?"))</f>
        <v/>
      </c>
      <c r="D4098" s="41" t="n"/>
      <c r="E4098" s="42" t="n"/>
      <c r="F4098" s="43" t="n"/>
      <c r="G4098" s="44">
        <f>IF(OR(B4098="",F4098=""),"",IFERROR(F4098*INDEX(Mitarbeiter!$F$6:$F$205,MATCH(B4098,Mitarbeiter!$A$6:$A$205,0)),0))</f>
        <v/>
      </c>
      <c r="H4098" s="8">
        <f>IF(B4098="","",IF(ISNA(MATCH(B4098,Mitarbeiter!$A$6:$A$205,0)),"Pers.-Nr. unbekannt",IF(A4098="","Datum fehlt",IF(AND(D4098&lt;&gt;Einstellungen!$C$4,D4098&lt;&gt;Einstellungen!$C$5),"Objekt fehlt",IF(YEAR(A4098)&lt;&gt;Einstellungen!$C$3,"anderes Jahr",IF(A4098&lt;INDEX(Mitarbeiter!$C$6:$C$205,MATCH(B4098,Mitarbeiter!$A$6:$A$205,0)),"vor Eintritt",IF(AND(INDEX(Mitarbeiter!$D$6:$D$205,MATCH(B4098,Mitarbeiter!$A$6:$A$205,0))&lt;&gt;"",A4098&gt;INDEX(Mitarbeiter!$D$6:$D$205,MATCH(B4098,Mitarbeiter!$A$6:$A$205,0))),"nach Austritt","ok")))))))</f>
        <v/>
      </c>
    </row>
    <row r="4099">
      <c r="A4099" s="26" t="n"/>
      <c r="B4099" s="24" t="n"/>
      <c r="C4099" s="40">
        <f>IF(B4099="","",IFERROR(INDEX(Mitarbeiter!$B$6:$B$205,MATCH(B4099,Mitarbeiter!$A$6:$A$205,0)),"?"))</f>
        <v/>
      </c>
      <c r="D4099" s="41" t="n"/>
      <c r="E4099" s="42" t="n"/>
      <c r="F4099" s="43" t="n"/>
      <c r="G4099" s="44">
        <f>IF(OR(B4099="",F4099=""),"",IFERROR(F4099*INDEX(Mitarbeiter!$F$6:$F$205,MATCH(B4099,Mitarbeiter!$A$6:$A$205,0)),0))</f>
        <v/>
      </c>
      <c r="H4099" s="8">
        <f>IF(B4099="","",IF(ISNA(MATCH(B4099,Mitarbeiter!$A$6:$A$205,0)),"Pers.-Nr. unbekannt",IF(A4099="","Datum fehlt",IF(AND(D4099&lt;&gt;Einstellungen!$C$4,D4099&lt;&gt;Einstellungen!$C$5),"Objekt fehlt",IF(YEAR(A4099)&lt;&gt;Einstellungen!$C$3,"anderes Jahr",IF(A4099&lt;INDEX(Mitarbeiter!$C$6:$C$205,MATCH(B4099,Mitarbeiter!$A$6:$A$205,0)),"vor Eintritt",IF(AND(INDEX(Mitarbeiter!$D$6:$D$205,MATCH(B4099,Mitarbeiter!$A$6:$A$205,0))&lt;&gt;"",A4099&gt;INDEX(Mitarbeiter!$D$6:$D$205,MATCH(B4099,Mitarbeiter!$A$6:$A$205,0))),"nach Austritt","ok")))))))</f>
        <v/>
      </c>
    </row>
    <row r="4100">
      <c r="A4100" s="26" t="n"/>
      <c r="B4100" s="24" t="n"/>
      <c r="C4100" s="40">
        <f>IF(B4100="","",IFERROR(INDEX(Mitarbeiter!$B$6:$B$205,MATCH(B4100,Mitarbeiter!$A$6:$A$205,0)),"?"))</f>
        <v/>
      </c>
      <c r="D4100" s="41" t="n"/>
      <c r="E4100" s="42" t="n"/>
      <c r="F4100" s="43" t="n"/>
      <c r="G4100" s="44">
        <f>IF(OR(B4100="",F4100=""),"",IFERROR(F4100*INDEX(Mitarbeiter!$F$6:$F$205,MATCH(B4100,Mitarbeiter!$A$6:$A$205,0)),0))</f>
        <v/>
      </c>
      <c r="H4100" s="8">
        <f>IF(B4100="","",IF(ISNA(MATCH(B4100,Mitarbeiter!$A$6:$A$205,0)),"Pers.-Nr. unbekannt",IF(A4100="","Datum fehlt",IF(AND(D4100&lt;&gt;Einstellungen!$C$4,D4100&lt;&gt;Einstellungen!$C$5),"Objekt fehlt",IF(YEAR(A4100)&lt;&gt;Einstellungen!$C$3,"anderes Jahr",IF(A4100&lt;INDEX(Mitarbeiter!$C$6:$C$205,MATCH(B4100,Mitarbeiter!$A$6:$A$205,0)),"vor Eintritt",IF(AND(INDEX(Mitarbeiter!$D$6:$D$205,MATCH(B4100,Mitarbeiter!$A$6:$A$205,0))&lt;&gt;"",A4100&gt;INDEX(Mitarbeiter!$D$6:$D$205,MATCH(B4100,Mitarbeiter!$A$6:$A$205,0))),"nach Austritt","ok")))))))</f>
        <v/>
      </c>
    </row>
    <row r="4101">
      <c r="A4101" s="26" t="n"/>
      <c r="B4101" s="24" t="n"/>
      <c r="C4101" s="40">
        <f>IF(B4101="","",IFERROR(INDEX(Mitarbeiter!$B$6:$B$205,MATCH(B4101,Mitarbeiter!$A$6:$A$205,0)),"?"))</f>
        <v/>
      </c>
      <c r="D4101" s="41" t="n"/>
      <c r="E4101" s="42" t="n"/>
      <c r="F4101" s="43" t="n"/>
      <c r="G4101" s="44">
        <f>IF(OR(B4101="",F4101=""),"",IFERROR(F4101*INDEX(Mitarbeiter!$F$6:$F$205,MATCH(B4101,Mitarbeiter!$A$6:$A$205,0)),0))</f>
        <v/>
      </c>
      <c r="H4101" s="8">
        <f>IF(B4101="","",IF(ISNA(MATCH(B4101,Mitarbeiter!$A$6:$A$205,0)),"Pers.-Nr. unbekannt",IF(A4101="","Datum fehlt",IF(AND(D4101&lt;&gt;Einstellungen!$C$4,D4101&lt;&gt;Einstellungen!$C$5),"Objekt fehlt",IF(YEAR(A4101)&lt;&gt;Einstellungen!$C$3,"anderes Jahr",IF(A4101&lt;INDEX(Mitarbeiter!$C$6:$C$205,MATCH(B4101,Mitarbeiter!$A$6:$A$205,0)),"vor Eintritt",IF(AND(INDEX(Mitarbeiter!$D$6:$D$205,MATCH(B4101,Mitarbeiter!$A$6:$A$205,0))&lt;&gt;"",A4101&gt;INDEX(Mitarbeiter!$D$6:$D$205,MATCH(B4101,Mitarbeiter!$A$6:$A$205,0))),"nach Austritt","ok")))))))</f>
        <v/>
      </c>
    </row>
    <row r="4102">
      <c r="A4102" s="26" t="n"/>
      <c r="B4102" s="24" t="n"/>
      <c r="C4102" s="40">
        <f>IF(B4102="","",IFERROR(INDEX(Mitarbeiter!$B$6:$B$205,MATCH(B4102,Mitarbeiter!$A$6:$A$205,0)),"?"))</f>
        <v/>
      </c>
      <c r="D4102" s="41" t="n"/>
      <c r="E4102" s="42" t="n"/>
      <c r="F4102" s="43" t="n"/>
      <c r="G4102" s="44">
        <f>IF(OR(B4102="",F4102=""),"",IFERROR(F4102*INDEX(Mitarbeiter!$F$6:$F$205,MATCH(B4102,Mitarbeiter!$A$6:$A$205,0)),0))</f>
        <v/>
      </c>
      <c r="H4102" s="8">
        <f>IF(B4102="","",IF(ISNA(MATCH(B4102,Mitarbeiter!$A$6:$A$205,0)),"Pers.-Nr. unbekannt",IF(A4102="","Datum fehlt",IF(AND(D4102&lt;&gt;Einstellungen!$C$4,D4102&lt;&gt;Einstellungen!$C$5),"Objekt fehlt",IF(YEAR(A4102)&lt;&gt;Einstellungen!$C$3,"anderes Jahr",IF(A4102&lt;INDEX(Mitarbeiter!$C$6:$C$205,MATCH(B4102,Mitarbeiter!$A$6:$A$205,0)),"vor Eintritt",IF(AND(INDEX(Mitarbeiter!$D$6:$D$205,MATCH(B4102,Mitarbeiter!$A$6:$A$205,0))&lt;&gt;"",A4102&gt;INDEX(Mitarbeiter!$D$6:$D$205,MATCH(B4102,Mitarbeiter!$A$6:$A$205,0))),"nach Austritt","ok")))))))</f>
        <v/>
      </c>
    </row>
    <row r="4103">
      <c r="A4103" s="26" t="n"/>
      <c r="B4103" s="24" t="n"/>
      <c r="C4103" s="40">
        <f>IF(B4103="","",IFERROR(INDEX(Mitarbeiter!$B$6:$B$205,MATCH(B4103,Mitarbeiter!$A$6:$A$205,0)),"?"))</f>
        <v/>
      </c>
      <c r="D4103" s="41" t="n"/>
      <c r="E4103" s="42" t="n"/>
      <c r="F4103" s="43" t="n"/>
      <c r="G4103" s="44">
        <f>IF(OR(B4103="",F4103=""),"",IFERROR(F4103*INDEX(Mitarbeiter!$F$6:$F$205,MATCH(B4103,Mitarbeiter!$A$6:$A$205,0)),0))</f>
        <v/>
      </c>
      <c r="H4103" s="8">
        <f>IF(B4103="","",IF(ISNA(MATCH(B4103,Mitarbeiter!$A$6:$A$205,0)),"Pers.-Nr. unbekannt",IF(A4103="","Datum fehlt",IF(AND(D4103&lt;&gt;Einstellungen!$C$4,D4103&lt;&gt;Einstellungen!$C$5),"Objekt fehlt",IF(YEAR(A4103)&lt;&gt;Einstellungen!$C$3,"anderes Jahr",IF(A4103&lt;INDEX(Mitarbeiter!$C$6:$C$205,MATCH(B4103,Mitarbeiter!$A$6:$A$205,0)),"vor Eintritt",IF(AND(INDEX(Mitarbeiter!$D$6:$D$205,MATCH(B4103,Mitarbeiter!$A$6:$A$205,0))&lt;&gt;"",A4103&gt;INDEX(Mitarbeiter!$D$6:$D$205,MATCH(B4103,Mitarbeiter!$A$6:$A$205,0))),"nach Austritt","ok")))))))</f>
        <v/>
      </c>
    </row>
    <row r="4104">
      <c r="A4104" s="26" t="n"/>
      <c r="B4104" s="24" t="n"/>
      <c r="C4104" s="40">
        <f>IF(B4104="","",IFERROR(INDEX(Mitarbeiter!$B$6:$B$205,MATCH(B4104,Mitarbeiter!$A$6:$A$205,0)),"?"))</f>
        <v/>
      </c>
      <c r="D4104" s="41" t="n"/>
      <c r="E4104" s="42" t="n"/>
      <c r="F4104" s="43" t="n"/>
      <c r="G4104" s="44">
        <f>IF(OR(B4104="",F4104=""),"",IFERROR(F4104*INDEX(Mitarbeiter!$F$6:$F$205,MATCH(B4104,Mitarbeiter!$A$6:$A$205,0)),0))</f>
        <v/>
      </c>
      <c r="H4104" s="8">
        <f>IF(B4104="","",IF(ISNA(MATCH(B4104,Mitarbeiter!$A$6:$A$205,0)),"Pers.-Nr. unbekannt",IF(A4104="","Datum fehlt",IF(AND(D4104&lt;&gt;Einstellungen!$C$4,D4104&lt;&gt;Einstellungen!$C$5),"Objekt fehlt",IF(YEAR(A4104)&lt;&gt;Einstellungen!$C$3,"anderes Jahr",IF(A4104&lt;INDEX(Mitarbeiter!$C$6:$C$205,MATCH(B4104,Mitarbeiter!$A$6:$A$205,0)),"vor Eintritt",IF(AND(INDEX(Mitarbeiter!$D$6:$D$205,MATCH(B4104,Mitarbeiter!$A$6:$A$205,0))&lt;&gt;"",A4104&gt;INDEX(Mitarbeiter!$D$6:$D$205,MATCH(B4104,Mitarbeiter!$A$6:$A$205,0))),"nach Austritt","ok")))))))</f>
        <v/>
      </c>
    </row>
    <row r="4105">
      <c r="A4105" s="26" t="n"/>
      <c r="B4105" s="24" t="n"/>
      <c r="C4105" s="40">
        <f>IF(B4105="","",IFERROR(INDEX(Mitarbeiter!$B$6:$B$205,MATCH(B4105,Mitarbeiter!$A$6:$A$205,0)),"?"))</f>
        <v/>
      </c>
      <c r="D4105" s="41" t="n"/>
      <c r="E4105" s="42" t="n"/>
      <c r="F4105" s="43" t="n"/>
      <c r="G4105" s="44">
        <f>IF(OR(B4105="",F4105=""),"",IFERROR(F4105*INDEX(Mitarbeiter!$F$6:$F$205,MATCH(B4105,Mitarbeiter!$A$6:$A$205,0)),0))</f>
        <v/>
      </c>
      <c r="H4105" s="8">
        <f>IF(B4105="","",IF(ISNA(MATCH(B4105,Mitarbeiter!$A$6:$A$205,0)),"Pers.-Nr. unbekannt",IF(A4105="","Datum fehlt",IF(AND(D4105&lt;&gt;Einstellungen!$C$4,D4105&lt;&gt;Einstellungen!$C$5),"Objekt fehlt",IF(YEAR(A4105)&lt;&gt;Einstellungen!$C$3,"anderes Jahr",IF(A4105&lt;INDEX(Mitarbeiter!$C$6:$C$205,MATCH(B4105,Mitarbeiter!$A$6:$A$205,0)),"vor Eintritt",IF(AND(INDEX(Mitarbeiter!$D$6:$D$205,MATCH(B4105,Mitarbeiter!$A$6:$A$205,0))&lt;&gt;"",A4105&gt;INDEX(Mitarbeiter!$D$6:$D$205,MATCH(B4105,Mitarbeiter!$A$6:$A$205,0))),"nach Austritt","ok")))))))</f>
        <v/>
      </c>
    </row>
    <row r="4106">
      <c r="A4106" s="26" t="n"/>
      <c r="B4106" s="24" t="n"/>
      <c r="C4106" s="40">
        <f>IF(B4106="","",IFERROR(INDEX(Mitarbeiter!$B$6:$B$205,MATCH(B4106,Mitarbeiter!$A$6:$A$205,0)),"?"))</f>
        <v/>
      </c>
      <c r="D4106" s="41" t="n"/>
      <c r="E4106" s="42" t="n"/>
      <c r="F4106" s="43" t="n"/>
      <c r="G4106" s="44">
        <f>IF(OR(B4106="",F4106=""),"",IFERROR(F4106*INDEX(Mitarbeiter!$F$6:$F$205,MATCH(B4106,Mitarbeiter!$A$6:$A$205,0)),0))</f>
        <v/>
      </c>
      <c r="H4106" s="8">
        <f>IF(B4106="","",IF(ISNA(MATCH(B4106,Mitarbeiter!$A$6:$A$205,0)),"Pers.-Nr. unbekannt",IF(A4106="","Datum fehlt",IF(AND(D4106&lt;&gt;Einstellungen!$C$4,D4106&lt;&gt;Einstellungen!$C$5),"Objekt fehlt",IF(YEAR(A4106)&lt;&gt;Einstellungen!$C$3,"anderes Jahr",IF(A4106&lt;INDEX(Mitarbeiter!$C$6:$C$205,MATCH(B4106,Mitarbeiter!$A$6:$A$205,0)),"vor Eintritt",IF(AND(INDEX(Mitarbeiter!$D$6:$D$205,MATCH(B4106,Mitarbeiter!$A$6:$A$205,0))&lt;&gt;"",A4106&gt;INDEX(Mitarbeiter!$D$6:$D$205,MATCH(B4106,Mitarbeiter!$A$6:$A$205,0))),"nach Austritt","ok")))))))</f>
        <v/>
      </c>
    </row>
    <row r="4107">
      <c r="A4107" s="26" t="n"/>
      <c r="B4107" s="24" t="n"/>
      <c r="C4107" s="40">
        <f>IF(B4107="","",IFERROR(INDEX(Mitarbeiter!$B$6:$B$205,MATCH(B4107,Mitarbeiter!$A$6:$A$205,0)),"?"))</f>
        <v/>
      </c>
      <c r="D4107" s="41" t="n"/>
      <c r="E4107" s="42" t="n"/>
      <c r="F4107" s="43" t="n"/>
      <c r="G4107" s="44">
        <f>IF(OR(B4107="",F4107=""),"",IFERROR(F4107*INDEX(Mitarbeiter!$F$6:$F$205,MATCH(B4107,Mitarbeiter!$A$6:$A$205,0)),0))</f>
        <v/>
      </c>
      <c r="H4107" s="8">
        <f>IF(B4107="","",IF(ISNA(MATCH(B4107,Mitarbeiter!$A$6:$A$205,0)),"Pers.-Nr. unbekannt",IF(A4107="","Datum fehlt",IF(AND(D4107&lt;&gt;Einstellungen!$C$4,D4107&lt;&gt;Einstellungen!$C$5),"Objekt fehlt",IF(YEAR(A4107)&lt;&gt;Einstellungen!$C$3,"anderes Jahr",IF(A4107&lt;INDEX(Mitarbeiter!$C$6:$C$205,MATCH(B4107,Mitarbeiter!$A$6:$A$205,0)),"vor Eintritt",IF(AND(INDEX(Mitarbeiter!$D$6:$D$205,MATCH(B4107,Mitarbeiter!$A$6:$A$205,0))&lt;&gt;"",A4107&gt;INDEX(Mitarbeiter!$D$6:$D$205,MATCH(B4107,Mitarbeiter!$A$6:$A$205,0))),"nach Austritt","ok")))))))</f>
        <v/>
      </c>
    </row>
    <row r="4108">
      <c r="A4108" s="26" t="n"/>
      <c r="B4108" s="24" t="n"/>
      <c r="C4108" s="40">
        <f>IF(B4108="","",IFERROR(INDEX(Mitarbeiter!$B$6:$B$205,MATCH(B4108,Mitarbeiter!$A$6:$A$205,0)),"?"))</f>
        <v/>
      </c>
      <c r="D4108" s="41" t="n"/>
      <c r="E4108" s="42" t="n"/>
      <c r="F4108" s="43" t="n"/>
      <c r="G4108" s="44">
        <f>IF(OR(B4108="",F4108=""),"",IFERROR(F4108*INDEX(Mitarbeiter!$F$6:$F$205,MATCH(B4108,Mitarbeiter!$A$6:$A$205,0)),0))</f>
        <v/>
      </c>
      <c r="H4108" s="8">
        <f>IF(B4108="","",IF(ISNA(MATCH(B4108,Mitarbeiter!$A$6:$A$205,0)),"Pers.-Nr. unbekannt",IF(A4108="","Datum fehlt",IF(AND(D4108&lt;&gt;Einstellungen!$C$4,D4108&lt;&gt;Einstellungen!$C$5),"Objekt fehlt",IF(YEAR(A4108)&lt;&gt;Einstellungen!$C$3,"anderes Jahr",IF(A4108&lt;INDEX(Mitarbeiter!$C$6:$C$205,MATCH(B4108,Mitarbeiter!$A$6:$A$205,0)),"vor Eintritt",IF(AND(INDEX(Mitarbeiter!$D$6:$D$205,MATCH(B4108,Mitarbeiter!$A$6:$A$205,0))&lt;&gt;"",A4108&gt;INDEX(Mitarbeiter!$D$6:$D$205,MATCH(B4108,Mitarbeiter!$A$6:$A$205,0))),"nach Austritt","ok")))))))</f>
        <v/>
      </c>
    </row>
    <row r="4109">
      <c r="A4109" s="26" t="n"/>
      <c r="B4109" s="24" t="n"/>
      <c r="C4109" s="40">
        <f>IF(B4109="","",IFERROR(INDEX(Mitarbeiter!$B$6:$B$205,MATCH(B4109,Mitarbeiter!$A$6:$A$205,0)),"?"))</f>
        <v/>
      </c>
      <c r="D4109" s="41" t="n"/>
      <c r="E4109" s="42" t="n"/>
      <c r="F4109" s="43" t="n"/>
      <c r="G4109" s="44">
        <f>IF(OR(B4109="",F4109=""),"",IFERROR(F4109*INDEX(Mitarbeiter!$F$6:$F$205,MATCH(B4109,Mitarbeiter!$A$6:$A$205,0)),0))</f>
        <v/>
      </c>
      <c r="H4109" s="8">
        <f>IF(B4109="","",IF(ISNA(MATCH(B4109,Mitarbeiter!$A$6:$A$205,0)),"Pers.-Nr. unbekannt",IF(A4109="","Datum fehlt",IF(AND(D4109&lt;&gt;Einstellungen!$C$4,D4109&lt;&gt;Einstellungen!$C$5),"Objekt fehlt",IF(YEAR(A4109)&lt;&gt;Einstellungen!$C$3,"anderes Jahr",IF(A4109&lt;INDEX(Mitarbeiter!$C$6:$C$205,MATCH(B4109,Mitarbeiter!$A$6:$A$205,0)),"vor Eintritt",IF(AND(INDEX(Mitarbeiter!$D$6:$D$205,MATCH(B4109,Mitarbeiter!$A$6:$A$205,0))&lt;&gt;"",A4109&gt;INDEX(Mitarbeiter!$D$6:$D$205,MATCH(B4109,Mitarbeiter!$A$6:$A$205,0))),"nach Austritt","ok")))))))</f>
        <v/>
      </c>
    </row>
    <row r="4110">
      <c r="A4110" s="26" t="n"/>
      <c r="B4110" s="24" t="n"/>
      <c r="C4110" s="40">
        <f>IF(B4110="","",IFERROR(INDEX(Mitarbeiter!$B$6:$B$205,MATCH(B4110,Mitarbeiter!$A$6:$A$205,0)),"?"))</f>
        <v/>
      </c>
      <c r="D4110" s="41" t="n"/>
      <c r="E4110" s="42" t="n"/>
      <c r="F4110" s="43" t="n"/>
      <c r="G4110" s="44">
        <f>IF(OR(B4110="",F4110=""),"",IFERROR(F4110*INDEX(Mitarbeiter!$F$6:$F$205,MATCH(B4110,Mitarbeiter!$A$6:$A$205,0)),0))</f>
        <v/>
      </c>
      <c r="H4110" s="8">
        <f>IF(B4110="","",IF(ISNA(MATCH(B4110,Mitarbeiter!$A$6:$A$205,0)),"Pers.-Nr. unbekannt",IF(A4110="","Datum fehlt",IF(AND(D4110&lt;&gt;Einstellungen!$C$4,D4110&lt;&gt;Einstellungen!$C$5),"Objekt fehlt",IF(YEAR(A4110)&lt;&gt;Einstellungen!$C$3,"anderes Jahr",IF(A4110&lt;INDEX(Mitarbeiter!$C$6:$C$205,MATCH(B4110,Mitarbeiter!$A$6:$A$205,0)),"vor Eintritt",IF(AND(INDEX(Mitarbeiter!$D$6:$D$205,MATCH(B4110,Mitarbeiter!$A$6:$A$205,0))&lt;&gt;"",A4110&gt;INDEX(Mitarbeiter!$D$6:$D$205,MATCH(B4110,Mitarbeiter!$A$6:$A$205,0))),"nach Austritt","ok")))))))</f>
        <v/>
      </c>
    </row>
    <row r="4111">
      <c r="A4111" s="26" t="n"/>
      <c r="B4111" s="24" t="n"/>
      <c r="C4111" s="40">
        <f>IF(B4111="","",IFERROR(INDEX(Mitarbeiter!$B$6:$B$205,MATCH(B4111,Mitarbeiter!$A$6:$A$205,0)),"?"))</f>
        <v/>
      </c>
      <c r="D4111" s="41" t="n"/>
      <c r="E4111" s="42" t="n"/>
      <c r="F4111" s="43" t="n"/>
      <c r="G4111" s="44">
        <f>IF(OR(B4111="",F4111=""),"",IFERROR(F4111*INDEX(Mitarbeiter!$F$6:$F$205,MATCH(B4111,Mitarbeiter!$A$6:$A$205,0)),0))</f>
        <v/>
      </c>
      <c r="H4111" s="8">
        <f>IF(B4111="","",IF(ISNA(MATCH(B4111,Mitarbeiter!$A$6:$A$205,0)),"Pers.-Nr. unbekannt",IF(A4111="","Datum fehlt",IF(AND(D4111&lt;&gt;Einstellungen!$C$4,D4111&lt;&gt;Einstellungen!$C$5),"Objekt fehlt",IF(YEAR(A4111)&lt;&gt;Einstellungen!$C$3,"anderes Jahr",IF(A4111&lt;INDEX(Mitarbeiter!$C$6:$C$205,MATCH(B4111,Mitarbeiter!$A$6:$A$205,0)),"vor Eintritt",IF(AND(INDEX(Mitarbeiter!$D$6:$D$205,MATCH(B4111,Mitarbeiter!$A$6:$A$205,0))&lt;&gt;"",A4111&gt;INDEX(Mitarbeiter!$D$6:$D$205,MATCH(B4111,Mitarbeiter!$A$6:$A$205,0))),"nach Austritt","ok")))))))</f>
        <v/>
      </c>
    </row>
    <row r="4112">
      <c r="A4112" s="26" t="n"/>
      <c r="B4112" s="24" t="n"/>
      <c r="C4112" s="40">
        <f>IF(B4112="","",IFERROR(INDEX(Mitarbeiter!$B$6:$B$205,MATCH(B4112,Mitarbeiter!$A$6:$A$205,0)),"?"))</f>
        <v/>
      </c>
      <c r="D4112" s="41" t="n"/>
      <c r="E4112" s="42" t="n"/>
      <c r="F4112" s="43" t="n"/>
      <c r="G4112" s="44">
        <f>IF(OR(B4112="",F4112=""),"",IFERROR(F4112*INDEX(Mitarbeiter!$F$6:$F$205,MATCH(B4112,Mitarbeiter!$A$6:$A$205,0)),0))</f>
        <v/>
      </c>
      <c r="H4112" s="8">
        <f>IF(B4112="","",IF(ISNA(MATCH(B4112,Mitarbeiter!$A$6:$A$205,0)),"Pers.-Nr. unbekannt",IF(A4112="","Datum fehlt",IF(AND(D4112&lt;&gt;Einstellungen!$C$4,D4112&lt;&gt;Einstellungen!$C$5),"Objekt fehlt",IF(YEAR(A4112)&lt;&gt;Einstellungen!$C$3,"anderes Jahr",IF(A4112&lt;INDEX(Mitarbeiter!$C$6:$C$205,MATCH(B4112,Mitarbeiter!$A$6:$A$205,0)),"vor Eintritt",IF(AND(INDEX(Mitarbeiter!$D$6:$D$205,MATCH(B4112,Mitarbeiter!$A$6:$A$205,0))&lt;&gt;"",A4112&gt;INDEX(Mitarbeiter!$D$6:$D$205,MATCH(B4112,Mitarbeiter!$A$6:$A$205,0))),"nach Austritt","ok")))))))</f>
        <v/>
      </c>
    </row>
    <row r="4113">
      <c r="A4113" s="26" t="n"/>
      <c r="B4113" s="24" t="n"/>
      <c r="C4113" s="40">
        <f>IF(B4113="","",IFERROR(INDEX(Mitarbeiter!$B$6:$B$205,MATCH(B4113,Mitarbeiter!$A$6:$A$205,0)),"?"))</f>
        <v/>
      </c>
      <c r="D4113" s="41" t="n"/>
      <c r="E4113" s="42" t="n"/>
      <c r="F4113" s="43" t="n"/>
      <c r="G4113" s="44">
        <f>IF(OR(B4113="",F4113=""),"",IFERROR(F4113*INDEX(Mitarbeiter!$F$6:$F$205,MATCH(B4113,Mitarbeiter!$A$6:$A$205,0)),0))</f>
        <v/>
      </c>
      <c r="H4113" s="8">
        <f>IF(B4113="","",IF(ISNA(MATCH(B4113,Mitarbeiter!$A$6:$A$205,0)),"Pers.-Nr. unbekannt",IF(A4113="","Datum fehlt",IF(AND(D4113&lt;&gt;Einstellungen!$C$4,D4113&lt;&gt;Einstellungen!$C$5),"Objekt fehlt",IF(YEAR(A4113)&lt;&gt;Einstellungen!$C$3,"anderes Jahr",IF(A4113&lt;INDEX(Mitarbeiter!$C$6:$C$205,MATCH(B4113,Mitarbeiter!$A$6:$A$205,0)),"vor Eintritt",IF(AND(INDEX(Mitarbeiter!$D$6:$D$205,MATCH(B4113,Mitarbeiter!$A$6:$A$205,0))&lt;&gt;"",A4113&gt;INDEX(Mitarbeiter!$D$6:$D$205,MATCH(B4113,Mitarbeiter!$A$6:$A$205,0))),"nach Austritt","ok")))))))</f>
        <v/>
      </c>
    </row>
    <row r="4114">
      <c r="A4114" s="26" t="n"/>
      <c r="B4114" s="24" t="n"/>
      <c r="C4114" s="40">
        <f>IF(B4114="","",IFERROR(INDEX(Mitarbeiter!$B$6:$B$205,MATCH(B4114,Mitarbeiter!$A$6:$A$205,0)),"?"))</f>
        <v/>
      </c>
      <c r="D4114" s="41" t="n"/>
      <c r="E4114" s="42" t="n"/>
      <c r="F4114" s="43" t="n"/>
      <c r="G4114" s="44">
        <f>IF(OR(B4114="",F4114=""),"",IFERROR(F4114*INDEX(Mitarbeiter!$F$6:$F$205,MATCH(B4114,Mitarbeiter!$A$6:$A$205,0)),0))</f>
        <v/>
      </c>
      <c r="H4114" s="8">
        <f>IF(B4114="","",IF(ISNA(MATCH(B4114,Mitarbeiter!$A$6:$A$205,0)),"Pers.-Nr. unbekannt",IF(A4114="","Datum fehlt",IF(AND(D4114&lt;&gt;Einstellungen!$C$4,D4114&lt;&gt;Einstellungen!$C$5),"Objekt fehlt",IF(YEAR(A4114)&lt;&gt;Einstellungen!$C$3,"anderes Jahr",IF(A4114&lt;INDEX(Mitarbeiter!$C$6:$C$205,MATCH(B4114,Mitarbeiter!$A$6:$A$205,0)),"vor Eintritt",IF(AND(INDEX(Mitarbeiter!$D$6:$D$205,MATCH(B4114,Mitarbeiter!$A$6:$A$205,0))&lt;&gt;"",A4114&gt;INDEX(Mitarbeiter!$D$6:$D$205,MATCH(B4114,Mitarbeiter!$A$6:$A$205,0))),"nach Austritt","ok")))))))</f>
        <v/>
      </c>
    </row>
    <row r="4115">
      <c r="A4115" s="26" t="n"/>
      <c r="B4115" s="24" t="n"/>
      <c r="C4115" s="40">
        <f>IF(B4115="","",IFERROR(INDEX(Mitarbeiter!$B$6:$B$205,MATCH(B4115,Mitarbeiter!$A$6:$A$205,0)),"?"))</f>
        <v/>
      </c>
      <c r="D4115" s="41" t="n"/>
      <c r="E4115" s="42" t="n"/>
      <c r="F4115" s="43" t="n"/>
      <c r="G4115" s="44">
        <f>IF(OR(B4115="",F4115=""),"",IFERROR(F4115*INDEX(Mitarbeiter!$F$6:$F$205,MATCH(B4115,Mitarbeiter!$A$6:$A$205,0)),0))</f>
        <v/>
      </c>
      <c r="H4115" s="8">
        <f>IF(B4115="","",IF(ISNA(MATCH(B4115,Mitarbeiter!$A$6:$A$205,0)),"Pers.-Nr. unbekannt",IF(A4115="","Datum fehlt",IF(AND(D4115&lt;&gt;Einstellungen!$C$4,D4115&lt;&gt;Einstellungen!$C$5),"Objekt fehlt",IF(YEAR(A4115)&lt;&gt;Einstellungen!$C$3,"anderes Jahr",IF(A4115&lt;INDEX(Mitarbeiter!$C$6:$C$205,MATCH(B4115,Mitarbeiter!$A$6:$A$205,0)),"vor Eintritt",IF(AND(INDEX(Mitarbeiter!$D$6:$D$205,MATCH(B4115,Mitarbeiter!$A$6:$A$205,0))&lt;&gt;"",A4115&gt;INDEX(Mitarbeiter!$D$6:$D$205,MATCH(B4115,Mitarbeiter!$A$6:$A$205,0))),"nach Austritt","ok")))))))</f>
        <v/>
      </c>
    </row>
    <row r="4116">
      <c r="A4116" s="26" t="n"/>
      <c r="B4116" s="24" t="n"/>
      <c r="C4116" s="40">
        <f>IF(B4116="","",IFERROR(INDEX(Mitarbeiter!$B$6:$B$205,MATCH(B4116,Mitarbeiter!$A$6:$A$205,0)),"?"))</f>
        <v/>
      </c>
      <c r="D4116" s="41" t="n"/>
      <c r="E4116" s="42" t="n"/>
      <c r="F4116" s="43" t="n"/>
      <c r="G4116" s="44">
        <f>IF(OR(B4116="",F4116=""),"",IFERROR(F4116*INDEX(Mitarbeiter!$F$6:$F$205,MATCH(B4116,Mitarbeiter!$A$6:$A$205,0)),0))</f>
        <v/>
      </c>
      <c r="H4116" s="8">
        <f>IF(B4116="","",IF(ISNA(MATCH(B4116,Mitarbeiter!$A$6:$A$205,0)),"Pers.-Nr. unbekannt",IF(A4116="","Datum fehlt",IF(AND(D4116&lt;&gt;Einstellungen!$C$4,D4116&lt;&gt;Einstellungen!$C$5),"Objekt fehlt",IF(YEAR(A4116)&lt;&gt;Einstellungen!$C$3,"anderes Jahr",IF(A4116&lt;INDEX(Mitarbeiter!$C$6:$C$205,MATCH(B4116,Mitarbeiter!$A$6:$A$205,0)),"vor Eintritt",IF(AND(INDEX(Mitarbeiter!$D$6:$D$205,MATCH(B4116,Mitarbeiter!$A$6:$A$205,0))&lt;&gt;"",A4116&gt;INDEX(Mitarbeiter!$D$6:$D$205,MATCH(B4116,Mitarbeiter!$A$6:$A$205,0))),"nach Austritt","ok")))))))</f>
        <v/>
      </c>
    </row>
    <row r="4117">
      <c r="A4117" s="26" t="n"/>
      <c r="B4117" s="24" t="n"/>
      <c r="C4117" s="40">
        <f>IF(B4117="","",IFERROR(INDEX(Mitarbeiter!$B$6:$B$205,MATCH(B4117,Mitarbeiter!$A$6:$A$205,0)),"?"))</f>
        <v/>
      </c>
      <c r="D4117" s="41" t="n"/>
      <c r="E4117" s="42" t="n"/>
      <c r="F4117" s="43" t="n"/>
      <c r="G4117" s="44">
        <f>IF(OR(B4117="",F4117=""),"",IFERROR(F4117*INDEX(Mitarbeiter!$F$6:$F$205,MATCH(B4117,Mitarbeiter!$A$6:$A$205,0)),0))</f>
        <v/>
      </c>
      <c r="H4117" s="8">
        <f>IF(B4117="","",IF(ISNA(MATCH(B4117,Mitarbeiter!$A$6:$A$205,0)),"Pers.-Nr. unbekannt",IF(A4117="","Datum fehlt",IF(AND(D4117&lt;&gt;Einstellungen!$C$4,D4117&lt;&gt;Einstellungen!$C$5),"Objekt fehlt",IF(YEAR(A4117)&lt;&gt;Einstellungen!$C$3,"anderes Jahr",IF(A4117&lt;INDEX(Mitarbeiter!$C$6:$C$205,MATCH(B4117,Mitarbeiter!$A$6:$A$205,0)),"vor Eintritt",IF(AND(INDEX(Mitarbeiter!$D$6:$D$205,MATCH(B4117,Mitarbeiter!$A$6:$A$205,0))&lt;&gt;"",A4117&gt;INDEX(Mitarbeiter!$D$6:$D$205,MATCH(B4117,Mitarbeiter!$A$6:$A$205,0))),"nach Austritt","ok")))))))</f>
        <v/>
      </c>
    </row>
    <row r="4118">
      <c r="A4118" s="26" t="n"/>
      <c r="B4118" s="24" t="n"/>
      <c r="C4118" s="40">
        <f>IF(B4118="","",IFERROR(INDEX(Mitarbeiter!$B$6:$B$205,MATCH(B4118,Mitarbeiter!$A$6:$A$205,0)),"?"))</f>
        <v/>
      </c>
      <c r="D4118" s="41" t="n"/>
      <c r="E4118" s="42" t="n"/>
      <c r="F4118" s="43" t="n"/>
      <c r="G4118" s="44">
        <f>IF(OR(B4118="",F4118=""),"",IFERROR(F4118*INDEX(Mitarbeiter!$F$6:$F$205,MATCH(B4118,Mitarbeiter!$A$6:$A$205,0)),0))</f>
        <v/>
      </c>
      <c r="H4118" s="8">
        <f>IF(B4118="","",IF(ISNA(MATCH(B4118,Mitarbeiter!$A$6:$A$205,0)),"Pers.-Nr. unbekannt",IF(A4118="","Datum fehlt",IF(AND(D4118&lt;&gt;Einstellungen!$C$4,D4118&lt;&gt;Einstellungen!$C$5),"Objekt fehlt",IF(YEAR(A4118)&lt;&gt;Einstellungen!$C$3,"anderes Jahr",IF(A4118&lt;INDEX(Mitarbeiter!$C$6:$C$205,MATCH(B4118,Mitarbeiter!$A$6:$A$205,0)),"vor Eintritt",IF(AND(INDEX(Mitarbeiter!$D$6:$D$205,MATCH(B4118,Mitarbeiter!$A$6:$A$205,0))&lt;&gt;"",A4118&gt;INDEX(Mitarbeiter!$D$6:$D$205,MATCH(B4118,Mitarbeiter!$A$6:$A$205,0))),"nach Austritt","ok")))))))</f>
        <v/>
      </c>
    </row>
    <row r="4119">
      <c r="A4119" s="26" t="n"/>
      <c r="B4119" s="24" t="n"/>
      <c r="C4119" s="40">
        <f>IF(B4119="","",IFERROR(INDEX(Mitarbeiter!$B$6:$B$205,MATCH(B4119,Mitarbeiter!$A$6:$A$205,0)),"?"))</f>
        <v/>
      </c>
      <c r="D4119" s="41" t="n"/>
      <c r="E4119" s="42" t="n"/>
      <c r="F4119" s="43" t="n"/>
      <c r="G4119" s="44">
        <f>IF(OR(B4119="",F4119=""),"",IFERROR(F4119*INDEX(Mitarbeiter!$F$6:$F$205,MATCH(B4119,Mitarbeiter!$A$6:$A$205,0)),0))</f>
        <v/>
      </c>
      <c r="H4119" s="8">
        <f>IF(B4119="","",IF(ISNA(MATCH(B4119,Mitarbeiter!$A$6:$A$205,0)),"Pers.-Nr. unbekannt",IF(A4119="","Datum fehlt",IF(AND(D4119&lt;&gt;Einstellungen!$C$4,D4119&lt;&gt;Einstellungen!$C$5),"Objekt fehlt",IF(YEAR(A4119)&lt;&gt;Einstellungen!$C$3,"anderes Jahr",IF(A4119&lt;INDEX(Mitarbeiter!$C$6:$C$205,MATCH(B4119,Mitarbeiter!$A$6:$A$205,0)),"vor Eintritt",IF(AND(INDEX(Mitarbeiter!$D$6:$D$205,MATCH(B4119,Mitarbeiter!$A$6:$A$205,0))&lt;&gt;"",A4119&gt;INDEX(Mitarbeiter!$D$6:$D$205,MATCH(B4119,Mitarbeiter!$A$6:$A$205,0))),"nach Austritt","ok")))))))</f>
        <v/>
      </c>
    </row>
    <row r="4120">
      <c r="A4120" s="26" t="n"/>
      <c r="B4120" s="24" t="n"/>
      <c r="C4120" s="40">
        <f>IF(B4120="","",IFERROR(INDEX(Mitarbeiter!$B$6:$B$205,MATCH(B4120,Mitarbeiter!$A$6:$A$205,0)),"?"))</f>
        <v/>
      </c>
      <c r="D4120" s="41" t="n"/>
      <c r="E4120" s="42" t="n"/>
      <c r="F4120" s="43" t="n"/>
      <c r="G4120" s="44">
        <f>IF(OR(B4120="",F4120=""),"",IFERROR(F4120*INDEX(Mitarbeiter!$F$6:$F$205,MATCH(B4120,Mitarbeiter!$A$6:$A$205,0)),0))</f>
        <v/>
      </c>
      <c r="H4120" s="8">
        <f>IF(B4120="","",IF(ISNA(MATCH(B4120,Mitarbeiter!$A$6:$A$205,0)),"Pers.-Nr. unbekannt",IF(A4120="","Datum fehlt",IF(AND(D4120&lt;&gt;Einstellungen!$C$4,D4120&lt;&gt;Einstellungen!$C$5),"Objekt fehlt",IF(YEAR(A4120)&lt;&gt;Einstellungen!$C$3,"anderes Jahr",IF(A4120&lt;INDEX(Mitarbeiter!$C$6:$C$205,MATCH(B4120,Mitarbeiter!$A$6:$A$205,0)),"vor Eintritt",IF(AND(INDEX(Mitarbeiter!$D$6:$D$205,MATCH(B4120,Mitarbeiter!$A$6:$A$205,0))&lt;&gt;"",A4120&gt;INDEX(Mitarbeiter!$D$6:$D$205,MATCH(B4120,Mitarbeiter!$A$6:$A$205,0))),"nach Austritt","ok")))))))</f>
        <v/>
      </c>
    </row>
    <row r="4121">
      <c r="A4121" s="26" t="n"/>
      <c r="B4121" s="24" t="n"/>
      <c r="C4121" s="40">
        <f>IF(B4121="","",IFERROR(INDEX(Mitarbeiter!$B$6:$B$205,MATCH(B4121,Mitarbeiter!$A$6:$A$205,0)),"?"))</f>
        <v/>
      </c>
      <c r="D4121" s="41" t="n"/>
      <c r="E4121" s="42" t="n"/>
      <c r="F4121" s="43" t="n"/>
      <c r="G4121" s="44">
        <f>IF(OR(B4121="",F4121=""),"",IFERROR(F4121*INDEX(Mitarbeiter!$F$6:$F$205,MATCH(B4121,Mitarbeiter!$A$6:$A$205,0)),0))</f>
        <v/>
      </c>
      <c r="H4121" s="8">
        <f>IF(B4121="","",IF(ISNA(MATCH(B4121,Mitarbeiter!$A$6:$A$205,0)),"Pers.-Nr. unbekannt",IF(A4121="","Datum fehlt",IF(AND(D4121&lt;&gt;Einstellungen!$C$4,D4121&lt;&gt;Einstellungen!$C$5),"Objekt fehlt",IF(YEAR(A4121)&lt;&gt;Einstellungen!$C$3,"anderes Jahr",IF(A4121&lt;INDEX(Mitarbeiter!$C$6:$C$205,MATCH(B4121,Mitarbeiter!$A$6:$A$205,0)),"vor Eintritt",IF(AND(INDEX(Mitarbeiter!$D$6:$D$205,MATCH(B4121,Mitarbeiter!$A$6:$A$205,0))&lt;&gt;"",A4121&gt;INDEX(Mitarbeiter!$D$6:$D$205,MATCH(B4121,Mitarbeiter!$A$6:$A$205,0))),"nach Austritt","ok")))))))</f>
        <v/>
      </c>
    </row>
    <row r="4122">
      <c r="A4122" s="26" t="n"/>
      <c r="B4122" s="24" t="n"/>
      <c r="C4122" s="40">
        <f>IF(B4122="","",IFERROR(INDEX(Mitarbeiter!$B$6:$B$205,MATCH(B4122,Mitarbeiter!$A$6:$A$205,0)),"?"))</f>
        <v/>
      </c>
      <c r="D4122" s="41" t="n"/>
      <c r="E4122" s="42" t="n"/>
      <c r="F4122" s="43" t="n"/>
      <c r="G4122" s="44">
        <f>IF(OR(B4122="",F4122=""),"",IFERROR(F4122*INDEX(Mitarbeiter!$F$6:$F$205,MATCH(B4122,Mitarbeiter!$A$6:$A$205,0)),0))</f>
        <v/>
      </c>
      <c r="H4122" s="8">
        <f>IF(B4122="","",IF(ISNA(MATCH(B4122,Mitarbeiter!$A$6:$A$205,0)),"Pers.-Nr. unbekannt",IF(A4122="","Datum fehlt",IF(AND(D4122&lt;&gt;Einstellungen!$C$4,D4122&lt;&gt;Einstellungen!$C$5),"Objekt fehlt",IF(YEAR(A4122)&lt;&gt;Einstellungen!$C$3,"anderes Jahr",IF(A4122&lt;INDEX(Mitarbeiter!$C$6:$C$205,MATCH(B4122,Mitarbeiter!$A$6:$A$205,0)),"vor Eintritt",IF(AND(INDEX(Mitarbeiter!$D$6:$D$205,MATCH(B4122,Mitarbeiter!$A$6:$A$205,0))&lt;&gt;"",A4122&gt;INDEX(Mitarbeiter!$D$6:$D$205,MATCH(B4122,Mitarbeiter!$A$6:$A$205,0))),"nach Austritt","ok")))))))</f>
        <v/>
      </c>
    </row>
    <row r="4123">
      <c r="A4123" s="26" t="n"/>
      <c r="B4123" s="24" t="n"/>
      <c r="C4123" s="40">
        <f>IF(B4123="","",IFERROR(INDEX(Mitarbeiter!$B$6:$B$205,MATCH(B4123,Mitarbeiter!$A$6:$A$205,0)),"?"))</f>
        <v/>
      </c>
      <c r="D4123" s="41" t="n"/>
      <c r="E4123" s="42" t="n"/>
      <c r="F4123" s="43" t="n"/>
      <c r="G4123" s="44">
        <f>IF(OR(B4123="",F4123=""),"",IFERROR(F4123*INDEX(Mitarbeiter!$F$6:$F$205,MATCH(B4123,Mitarbeiter!$A$6:$A$205,0)),0))</f>
        <v/>
      </c>
      <c r="H4123" s="8">
        <f>IF(B4123="","",IF(ISNA(MATCH(B4123,Mitarbeiter!$A$6:$A$205,0)),"Pers.-Nr. unbekannt",IF(A4123="","Datum fehlt",IF(AND(D4123&lt;&gt;Einstellungen!$C$4,D4123&lt;&gt;Einstellungen!$C$5),"Objekt fehlt",IF(YEAR(A4123)&lt;&gt;Einstellungen!$C$3,"anderes Jahr",IF(A4123&lt;INDEX(Mitarbeiter!$C$6:$C$205,MATCH(B4123,Mitarbeiter!$A$6:$A$205,0)),"vor Eintritt",IF(AND(INDEX(Mitarbeiter!$D$6:$D$205,MATCH(B4123,Mitarbeiter!$A$6:$A$205,0))&lt;&gt;"",A4123&gt;INDEX(Mitarbeiter!$D$6:$D$205,MATCH(B4123,Mitarbeiter!$A$6:$A$205,0))),"nach Austritt","ok")))))))</f>
        <v/>
      </c>
    </row>
    <row r="4124">
      <c r="A4124" s="26" t="n"/>
      <c r="B4124" s="24" t="n"/>
      <c r="C4124" s="40">
        <f>IF(B4124="","",IFERROR(INDEX(Mitarbeiter!$B$6:$B$205,MATCH(B4124,Mitarbeiter!$A$6:$A$205,0)),"?"))</f>
        <v/>
      </c>
      <c r="D4124" s="41" t="n"/>
      <c r="E4124" s="42" t="n"/>
      <c r="F4124" s="43" t="n"/>
      <c r="G4124" s="44">
        <f>IF(OR(B4124="",F4124=""),"",IFERROR(F4124*INDEX(Mitarbeiter!$F$6:$F$205,MATCH(B4124,Mitarbeiter!$A$6:$A$205,0)),0))</f>
        <v/>
      </c>
      <c r="H4124" s="8">
        <f>IF(B4124="","",IF(ISNA(MATCH(B4124,Mitarbeiter!$A$6:$A$205,0)),"Pers.-Nr. unbekannt",IF(A4124="","Datum fehlt",IF(AND(D4124&lt;&gt;Einstellungen!$C$4,D4124&lt;&gt;Einstellungen!$C$5),"Objekt fehlt",IF(YEAR(A4124)&lt;&gt;Einstellungen!$C$3,"anderes Jahr",IF(A4124&lt;INDEX(Mitarbeiter!$C$6:$C$205,MATCH(B4124,Mitarbeiter!$A$6:$A$205,0)),"vor Eintritt",IF(AND(INDEX(Mitarbeiter!$D$6:$D$205,MATCH(B4124,Mitarbeiter!$A$6:$A$205,0))&lt;&gt;"",A4124&gt;INDEX(Mitarbeiter!$D$6:$D$205,MATCH(B4124,Mitarbeiter!$A$6:$A$205,0))),"nach Austritt","ok")))))))</f>
        <v/>
      </c>
    </row>
    <row r="4125">
      <c r="A4125" s="26" t="n"/>
      <c r="B4125" s="24" t="n"/>
      <c r="C4125" s="40">
        <f>IF(B4125="","",IFERROR(INDEX(Mitarbeiter!$B$6:$B$205,MATCH(B4125,Mitarbeiter!$A$6:$A$205,0)),"?"))</f>
        <v/>
      </c>
      <c r="D4125" s="41" t="n"/>
      <c r="E4125" s="42" t="n"/>
      <c r="F4125" s="43" t="n"/>
      <c r="G4125" s="44">
        <f>IF(OR(B4125="",F4125=""),"",IFERROR(F4125*INDEX(Mitarbeiter!$F$6:$F$205,MATCH(B4125,Mitarbeiter!$A$6:$A$205,0)),0))</f>
        <v/>
      </c>
      <c r="H4125" s="8">
        <f>IF(B4125="","",IF(ISNA(MATCH(B4125,Mitarbeiter!$A$6:$A$205,0)),"Pers.-Nr. unbekannt",IF(A4125="","Datum fehlt",IF(AND(D4125&lt;&gt;Einstellungen!$C$4,D4125&lt;&gt;Einstellungen!$C$5),"Objekt fehlt",IF(YEAR(A4125)&lt;&gt;Einstellungen!$C$3,"anderes Jahr",IF(A4125&lt;INDEX(Mitarbeiter!$C$6:$C$205,MATCH(B4125,Mitarbeiter!$A$6:$A$205,0)),"vor Eintritt",IF(AND(INDEX(Mitarbeiter!$D$6:$D$205,MATCH(B4125,Mitarbeiter!$A$6:$A$205,0))&lt;&gt;"",A4125&gt;INDEX(Mitarbeiter!$D$6:$D$205,MATCH(B4125,Mitarbeiter!$A$6:$A$205,0))),"nach Austritt","ok")))))))</f>
        <v/>
      </c>
    </row>
    <row r="4126">
      <c r="A4126" s="26" t="n"/>
      <c r="B4126" s="24" t="n"/>
      <c r="C4126" s="40">
        <f>IF(B4126="","",IFERROR(INDEX(Mitarbeiter!$B$6:$B$205,MATCH(B4126,Mitarbeiter!$A$6:$A$205,0)),"?"))</f>
        <v/>
      </c>
      <c r="D4126" s="41" t="n"/>
      <c r="E4126" s="42" t="n"/>
      <c r="F4126" s="43" t="n"/>
      <c r="G4126" s="44">
        <f>IF(OR(B4126="",F4126=""),"",IFERROR(F4126*INDEX(Mitarbeiter!$F$6:$F$205,MATCH(B4126,Mitarbeiter!$A$6:$A$205,0)),0))</f>
        <v/>
      </c>
      <c r="H4126" s="8">
        <f>IF(B4126="","",IF(ISNA(MATCH(B4126,Mitarbeiter!$A$6:$A$205,0)),"Pers.-Nr. unbekannt",IF(A4126="","Datum fehlt",IF(AND(D4126&lt;&gt;Einstellungen!$C$4,D4126&lt;&gt;Einstellungen!$C$5),"Objekt fehlt",IF(YEAR(A4126)&lt;&gt;Einstellungen!$C$3,"anderes Jahr",IF(A4126&lt;INDEX(Mitarbeiter!$C$6:$C$205,MATCH(B4126,Mitarbeiter!$A$6:$A$205,0)),"vor Eintritt",IF(AND(INDEX(Mitarbeiter!$D$6:$D$205,MATCH(B4126,Mitarbeiter!$A$6:$A$205,0))&lt;&gt;"",A4126&gt;INDEX(Mitarbeiter!$D$6:$D$205,MATCH(B4126,Mitarbeiter!$A$6:$A$205,0))),"nach Austritt","ok")))))))</f>
        <v/>
      </c>
    </row>
    <row r="4127">
      <c r="A4127" s="26" t="n"/>
      <c r="B4127" s="24" t="n"/>
      <c r="C4127" s="40">
        <f>IF(B4127="","",IFERROR(INDEX(Mitarbeiter!$B$6:$B$205,MATCH(B4127,Mitarbeiter!$A$6:$A$205,0)),"?"))</f>
        <v/>
      </c>
      <c r="D4127" s="41" t="n"/>
      <c r="E4127" s="42" t="n"/>
      <c r="F4127" s="43" t="n"/>
      <c r="G4127" s="44">
        <f>IF(OR(B4127="",F4127=""),"",IFERROR(F4127*INDEX(Mitarbeiter!$F$6:$F$205,MATCH(B4127,Mitarbeiter!$A$6:$A$205,0)),0))</f>
        <v/>
      </c>
      <c r="H4127" s="8">
        <f>IF(B4127="","",IF(ISNA(MATCH(B4127,Mitarbeiter!$A$6:$A$205,0)),"Pers.-Nr. unbekannt",IF(A4127="","Datum fehlt",IF(AND(D4127&lt;&gt;Einstellungen!$C$4,D4127&lt;&gt;Einstellungen!$C$5),"Objekt fehlt",IF(YEAR(A4127)&lt;&gt;Einstellungen!$C$3,"anderes Jahr",IF(A4127&lt;INDEX(Mitarbeiter!$C$6:$C$205,MATCH(B4127,Mitarbeiter!$A$6:$A$205,0)),"vor Eintritt",IF(AND(INDEX(Mitarbeiter!$D$6:$D$205,MATCH(B4127,Mitarbeiter!$A$6:$A$205,0))&lt;&gt;"",A4127&gt;INDEX(Mitarbeiter!$D$6:$D$205,MATCH(B4127,Mitarbeiter!$A$6:$A$205,0))),"nach Austritt","ok")))))))</f>
        <v/>
      </c>
    </row>
    <row r="4128">
      <c r="A4128" s="26" t="n"/>
      <c r="B4128" s="24" t="n"/>
      <c r="C4128" s="40">
        <f>IF(B4128="","",IFERROR(INDEX(Mitarbeiter!$B$6:$B$205,MATCH(B4128,Mitarbeiter!$A$6:$A$205,0)),"?"))</f>
        <v/>
      </c>
      <c r="D4128" s="41" t="n"/>
      <c r="E4128" s="42" t="n"/>
      <c r="F4128" s="43" t="n"/>
      <c r="G4128" s="44">
        <f>IF(OR(B4128="",F4128=""),"",IFERROR(F4128*INDEX(Mitarbeiter!$F$6:$F$205,MATCH(B4128,Mitarbeiter!$A$6:$A$205,0)),0))</f>
        <v/>
      </c>
      <c r="H4128" s="8">
        <f>IF(B4128="","",IF(ISNA(MATCH(B4128,Mitarbeiter!$A$6:$A$205,0)),"Pers.-Nr. unbekannt",IF(A4128="","Datum fehlt",IF(AND(D4128&lt;&gt;Einstellungen!$C$4,D4128&lt;&gt;Einstellungen!$C$5),"Objekt fehlt",IF(YEAR(A4128)&lt;&gt;Einstellungen!$C$3,"anderes Jahr",IF(A4128&lt;INDEX(Mitarbeiter!$C$6:$C$205,MATCH(B4128,Mitarbeiter!$A$6:$A$205,0)),"vor Eintritt",IF(AND(INDEX(Mitarbeiter!$D$6:$D$205,MATCH(B4128,Mitarbeiter!$A$6:$A$205,0))&lt;&gt;"",A4128&gt;INDEX(Mitarbeiter!$D$6:$D$205,MATCH(B4128,Mitarbeiter!$A$6:$A$205,0))),"nach Austritt","ok")))))))</f>
        <v/>
      </c>
    </row>
    <row r="4129">
      <c r="A4129" s="26" t="n"/>
      <c r="B4129" s="24" t="n"/>
      <c r="C4129" s="40">
        <f>IF(B4129="","",IFERROR(INDEX(Mitarbeiter!$B$6:$B$205,MATCH(B4129,Mitarbeiter!$A$6:$A$205,0)),"?"))</f>
        <v/>
      </c>
      <c r="D4129" s="41" t="n"/>
      <c r="E4129" s="42" t="n"/>
      <c r="F4129" s="43" t="n"/>
      <c r="G4129" s="44">
        <f>IF(OR(B4129="",F4129=""),"",IFERROR(F4129*INDEX(Mitarbeiter!$F$6:$F$205,MATCH(B4129,Mitarbeiter!$A$6:$A$205,0)),0))</f>
        <v/>
      </c>
      <c r="H4129" s="8">
        <f>IF(B4129="","",IF(ISNA(MATCH(B4129,Mitarbeiter!$A$6:$A$205,0)),"Pers.-Nr. unbekannt",IF(A4129="","Datum fehlt",IF(AND(D4129&lt;&gt;Einstellungen!$C$4,D4129&lt;&gt;Einstellungen!$C$5),"Objekt fehlt",IF(YEAR(A4129)&lt;&gt;Einstellungen!$C$3,"anderes Jahr",IF(A4129&lt;INDEX(Mitarbeiter!$C$6:$C$205,MATCH(B4129,Mitarbeiter!$A$6:$A$205,0)),"vor Eintritt",IF(AND(INDEX(Mitarbeiter!$D$6:$D$205,MATCH(B4129,Mitarbeiter!$A$6:$A$205,0))&lt;&gt;"",A4129&gt;INDEX(Mitarbeiter!$D$6:$D$205,MATCH(B4129,Mitarbeiter!$A$6:$A$205,0))),"nach Austritt","ok")))))))</f>
        <v/>
      </c>
    </row>
    <row r="4130">
      <c r="A4130" s="26" t="n"/>
      <c r="B4130" s="24" t="n"/>
      <c r="C4130" s="40">
        <f>IF(B4130="","",IFERROR(INDEX(Mitarbeiter!$B$6:$B$205,MATCH(B4130,Mitarbeiter!$A$6:$A$205,0)),"?"))</f>
        <v/>
      </c>
      <c r="D4130" s="41" t="n"/>
      <c r="E4130" s="42" t="n"/>
      <c r="F4130" s="43" t="n"/>
      <c r="G4130" s="44">
        <f>IF(OR(B4130="",F4130=""),"",IFERROR(F4130*INDEX(Mitarbeiter!$F$6:$F$205,MATCH(B4130,Mitarbeiter!$A$6:$A$205,0)),0))</f>
        <v/>
      </c>
      <c r="H4130" s="8">
        <f>IF(B4130="","",IF(ISNA(MATCH(B4130,Mitarbeiter!$A$6:$A$205,0)),"Pers.-Nr. unbekannt",IF(A4130="","Datum fehlt",IF(AND(D4130&lt;&gt;Einstellungen!$C$4,D4130&lt;&gt;Einstellungen!$C$5),"Objekt fehlt",IF(YEAR(A4130)&lt;&gt;Einstellungen!$C$3,"anderes Jahr",IF(A4130&lt;INDEX(Mitarbeiter!$C$6:$C$205,MATCH(B4130,Mitarbeiter!$A$6:$A$205,0)),"vor Eintritt",IF(AND(INDEX(Mitarbeiter!$D$6:$D$205,MATCH(B4130,Mitarbeiter!$A$6:$A$205,0))&lt;&gt;"",A4130&gt;INDEX(Mitarbeiter!$D$6:$D$205,MATCH(B4130,Mitarbeiter!$A$6:$A$205,0))),"nach Austritt","ok")))))))</f>
        <v/>
      </c>
    </row>
    <row r="4131">
      <c r="A4131" s="26" t="n"/>
      <c r="B4131" s="24" t="n"/>
      <c r="C4131" s="40">
        <f>IF(B4131="","",IFERROR(INDEX(Mitarbeiter!$B$6:$B$205,MATCH(B4131,Mitarbeiter!$A$6:$A$205,0)),"?"))</f>
        <v/>
      </c>
      <c r="D4131" s="41" t="n"/>
      <c r="E4131" s="42" t="n"/>
      <c r="F4131" s="43" t="n"/>
      <c r="G4131" s="44">
        <f>IF(OR(B4131="",F4131=""),"",IFERROR(F4131*INDEX(Mitarbeiter!$F$6:$F$205,MATCH(B4131,Mitarbeiter!$A$6:$A$205,0)),0))</f>
        <v/>
      </c>
      <c r="H4131" s="8">
        <f>IF(B4131="","",IF(ISNA(MATCH(B4131,Mitarbeiter!$A$6:$A$205,0)),"Pers.-Nr. unbekannt",IF(A4131="","Datum fehlt",IF(AND(D4131&lt;&gt;Einstellungen!$C$4,D4131&lt;&gt;Einstellungen!$C$5),"Objekt fehlt",IF(YEAR(A4131)&lt;&gt;Einstellungen!$C$3,"anderes Jahr",IF(A4131&lt;INDEX(Mitarbeiter!$C$6:$C$205,MATCH(B4131,Mitarbeiter!$A$6:$A$205,0)),"vor Eintritt",IF(AND(INDEX(Mitarbeiter!$D$6:$D$205,MATCH(B4131,Mitarbeiter!$A$6:$A$205,0))&lt;&gt;"",A4131&gt;INDEX(Mitarbeiter!$D$6:$D$205,MATCH(B4131,Mitarbeiter!$A$6:$A$205,0))),"nach Austritt","ok")))))))</f>
        <v/>
      </c>
    </row>
    <row r="4132">
      <c r="A4132" s="26" t="n"/>
      <c r="B4132" s="24" t="n"/>
      <c r="C4132" s="40">
        <f>IF(B4132="","",IFERROR(INDEX(Mitarbeiter!$B$6:$B$205,MATCH(B4132,Mitarbeiter!$A$6:$A$205,0)),"?"))</f>
        <v/>
      </c>
      <c r="D4132" s="41" t="n"/>
      <c r="E4132" s="42" t="n"/>
      <c r="F4132" s="43" t="n"/>
      <c r="G4132" s="44">
        <f>IF(OR(B4132="",F4132=""),"",IFERROR(F4132*INDEX(Mitarbeiter!$F$6:$F$205,MATCH(B4132,Mitarbeiter!$A$6:$A$205,0)),0))</f>
        <v/>
      </c>
      <c r="H4132" s="8">
        <f>IF(B4132="","",IF(ISNA(MATCH(B4132,Mitarbeiter!$A$6:$A$205,0)),"Pers.-Nr. unbekannt",IF(A4132="","Datum fehlt",IF(AND(D4132&lt;&gt;Einstellungen!$C$4,D4132&lt;&gt;Einstellungen!$C$5),"Objekt fehlt",IF(YEAR(A4132)&lt;&gt;Einstellungen!$C$3,"anderes Jahr",IF(A4132&lt;INDEX(Mitarbeiter!$C$6:$C$205,MATCH(B4132,Mitarbeiter!$A$6:$A$205,0)),"vor Eintritt",IF(AND(INDEX(Mitarbeiter!$D$6:$D$205,MATCH(B4132,Mitarbeiter!$A$6:$A$205,0))&lt;&gt;"",A4132&gt;INDEX(Mitarbeiter!$D$6:$D$205,MATCH(B4132,Mitarbeiter!$A$6:$A$205,0))),"nach Austritt","ok")))))))</f>
        <v/>
      </c>
    </row>
    <row r="4133">
      <c r="A4133" s="26" t="n"/>
      <c r="B4133" s="24" t="n"/>
      <c r="C4133" s="40">
        <f>IF(B4133="","",IFERROR(INDEX(Mitarbeiter!$B$6:$B$205,MATCH(B4133,Mitarbeiter!$A$6:$A$205,0)),"?"))</f>
        <v/>
      </c>
      <c r="D4133" s="41" t="n"/>
      <c r="E4133" s="42" t="n"/>
      <c r="F4133" s="43" t="n"/>
      <c r="G4133" s="44">
        <f>IF(OR(B4133="",F4133=""),"",IFERROR(F4133*INDEX(Mitarbeiter!$F$6:$F$205,MATCH(B4133,Mitarbeiter!$A$6:$A$205,0)),0))</f>
        <v/>
      </c>
      <c r="H4133" s="8">
        <f>IF(B4133="","",IF(ISNA(MATCH(B4133,Mitarbeiter!$A$6:$A$205,0)),"Pers.-Nr. unbekannt",IF(A4133="","Datum fehlt",IF(AND(D4133&lt;&gt;Einstellungen!$C$4,D4133&lt;&gt;Einstellungen!$C$5),"Objekt fehlt",IF(YEAR(A4133)&lt;&gt;Einstellungen!$C$3,"anderes Jahr",IF(A4133&lt;INDEX(Mitarbeiter!$C$6:$C$205,MATCH(B4133,Mitarbeiter!$A$6:$A$205,0)),"vor Eintritt",IF(AND(INDEX(Mitarbeiter!$D$6:$D$205,MATCH(B4133,Mitarbeiter!$A$6:$A$205,0))&lt;&gt;"",A4133&gt;INDEX(Mitarbeiter!$D$6:$D$205,MATCH(B4133,Mitarbeiter!$A$6:$A$205,0))),"nach Austritt","ok")))))))</f>
        <v/>
      </c>
    </row>
    <row r="4134">
      <c r="A4134" s="26" t="n"/>
      <c r="B4134" s="24" t="n"/>
      <c r="C4134" s="40">
        <f>IF(B4134="","",IFERROR(INDEX(Mitarbeiter!$B$6:$B$205,MATCH(B4134,Mitarbeiter!$A$6:$A$205,0)),"?"))</f>
        <v/>
      </c>
      <c r="D4134" s="41" t="n"/>
      <c r="E4134" s="42" t="n"/>
      <c r="F4134" s="43" t="n"/>
      <c r="G4134" s="44">
        <f>IF(OR(B4134="",F4134=""),"",IFERROR(F4134*INDEX(Mitarbeiter!$F$6:$F$205,MATCH(B4134,Mitarbeiter!$A$6:$A$205,0)),0))</f>
        <v/>
      </c>
      <c r="H4134" s="8">
        <f>IF(B4134="","",IF(ISNA(MATCH(B4134,Mitarbeiter!$A$6:$A$205,0)),"Pers.-Nr. unbekannt",IF(A4134="","Datum fehlt",IF(AND(D4134&lt;&gt;Einstellungen!$C$4,D4134&lt;&gt;Einstellungen!$C$5),"Objekt fehlt",IF(YEAR(A4134)&lt;&gt;Einstellungen!$C$3,"anderes Jahr",IF(A4134&lt;INDEX(Mitarbeiter!$C$6:$C$205,MATCH(B4134,Mitarbeiter!$A$6:$A$205,0)),"vor Eintritt",IF(AND(INDEX(Mitarbeiter!$D$6:$D$205,MATCH(B4134,Mitarbeiter!$A$6:$A$205,0))&lt;&gt;"",A4134&gt;INDEX(Mitarbeiter!$D$6:$D$205,MATCH(B4134,Mitarbeiter!$A$6:$A$205,0))),"nach Austritt","ok")))))))</f>
        <v/>
      </c>
    </row>
    <row r="4135">
      <c r="A4135" s="26" t="n"/>
      <c r="B4135" s="24" t="n"/>
      <c r="C4135" s="40">
        <f>IF(B4135="","",IFERROR(INDEX(Mitarbeiter!$B$6:$B$205,MATCH(B4135,Mitarbeiter!$A$6:$A$205,0)),"?"))</f>
        <v/>
      </c>
      <c r="D4135" s="41" t="n"/>
      <c r="E4135" s="42" t="n"/>
      <c r="F4135" s="43" t="n"/>
      <c r="G4135" s="44">
        <f>IF(OR(B4135="",F4135=""),"",IFERROR(F4135*INDEX(Mitarbeiter!$F$6:$F$205,MATCH(B4135,Mitarbeiter!$A$6:$A$205,0)),0))</f>
        <v/>
      </c>
      <c r="H4135" s="8">
        <f>IF(B4135="","",IF(ISNA(MATCH(B4135,Mitarbeiter!$A$6:$A$205,0)),"Pers.-Nr. unbekannt",IF(A4135="","Datum fehlt",IF(AND(D4135&lt;&gt;Einstellungen!$C$4,D4135&lt;&gt;Einstellungen!$C$5),"Objekt fehlt",IF(YEAR(A4135)&lt;&gt;Einstellungen!$C$3,"anderes Jahr",IF(A4135&lt;INDEX(Mitarbeiter!$C$6:$C$205,MATCH(B4135,Mitarbeiter!$A$6:$A$205,0)),"vor Eintritt",IF(AND(INDEX(Mitarbeiter!$D$6:$D$205,MATCH(B4135,Mitarbeiter!$A$6:$A$205,0))&lt;&gt;"",A4135&gt;INDEX(Mitarbeiter!$D$6:$D$205,MATCH(B4135,Mitarbeiter!$A$6:$A$205,0))),"nach Austritt","ok")))))))</f>
        <v/>
      </c>
    </row>
    <row r="4136">
      <c r="A4136" s="26" t="n"/>
      <c r="B4136" s="24" t="n"/>
      <c r="C4136" s="40">
        <f>IF(B4136="","",IFERROR(INDEX(Mitarbeiter!$B$6:$B$205,MATCH(B4136,Mitarbeiter!$A$6:$A$205,0)),"?"))</f>
        <v/>
      </c>
      <c r="D4136" s="41" t="n"/>
      <c r="E4136" s="42" t="n"/>
      <c r="F4136" s="43" t="n"/>
      <c r="G4136" s="44">
        <f>IF(OR(B4136="",F4136=""),"",IFERROR(F4136*INDEX(Mitarbeiter!$F$6:$F$205,MATCH(B4136,Mitarbeiter!$A$6:$A$205,0)),0))</f>
        <v/>
      </c>
      <c r="H4136" s="8">
        <f>IF(B4136="","",IF(ISNA(MATCH(B4136,Mitarbeiter!$A$6:$A$205,0)),"Pers.-Nr. unbekannt",IF(A4136="","Datum fehlt",IF(AND(D4136&lt;&gt;Einstellungen!$C$4,D4136&lt;&gt;Einstellungen!$C$5),"Objekt fehlt",IF(YEAR(A4136)&lt;&gt;Einstellungen!$C$3,"anderes Jahr",IF(A4136&lt;INDEX(Mitarbeiter!$C$6:$C$205,MATCH(B4136,Mitarbeiter!$A$6:$A$205,0)),"vor Eintritt",IF(AND(INDEX(Mitarbeiter!$D$6:$D$205,MATCH(B4136,Mitarbeiter!$A$6:$A$205,0))&lt;&gt;"",A4136&gt;INDEX(Mitarbeiter!$D$6:$D$205,MATCH(B4136,Mitarbeiter!$A$6:$A$205,0))),"nach Austritt","ok")))))))</f>
        <v/>
      </c>
    </row>
    <row r="4137">
      <c r="A4137" s="26" t="n"/>
      <c r="B4137" s="24" t="n"/>
      <c r="C4137" s="40">
        <f>IF(B4137="","",IFERROR(INDEX(Mitarbeiter!$B$6:$B$205,MATCH(B4137,Mitarbeiter!$A$6:$A$205,0)),"?"))</f>
        <v/>
      </c>
      <c r="D4137" s="41" t="n"/>
      <c r="E4137" s="42" t="n"/>
      <c r="F4137" s="43" t="n"/>
      <c r="G4137" s="44">
        <f>IF(OR(B4137="",F4137=""),"",IFERROR(F4137*INDEX(Mitarbeiter!$F$6:$F$205,MATCH(B4137,Mitarbeiter!$A$6:$A$205,0)),0))</f>
        <v/>
      </c>
      <c r="H4137" s="8">
        <f>IF(B4137="","",IF(ISNA(MATCH(B4137,Mitarbeiter!$A$6:$A$205,0)),"Pers.-Nr. unbekannt",IF(A4137="","Datum fehlt",IF(AND(D4137&lt;&gt;Einstellungen!$C$4,D4137&lt;&gt;Einstellungen!$C$5),"Objekt fehlt",IF(YEAR(A4137)&lt;&gt;Einstellungen!$C$3,"anderes Jahr",IF(A4137&lt;INDEX(Mitarbeiter!$C$6:$C$205,MATCH(B4137,Mitarbeiter!$A$6:$A$205,0)),"vor Eintritt",IF(AND(INDEX(Mitarbeiter!$D$6:$D$205,MATCH(B4137,Mitarbeiter!$A$6:$A$205,0))&lt;&gt;"",A4137&gt;INDEX(Mitarbeiter!$D$6:$D$205,MATCH(B4137,Mitarbeiter!$A$6:$A$205,0))),"nach Austritt","ok")))))))</f>
        <v/>
      </c>
    </row>
    <row r="4138">
      <c r="A4138" s="26" t="n"/>
      <c r="B4138" s="24" t="n"/>
      <c r="C4138" s="40">
        <f>IF(B4138="","",IFERROR(INDEX(Mitarbeiter!$B$6:$B$205,MATCH(B4138,Mitarbeiter!$A$6:$A$205,0)),"?"))</f>
        <v/>
      </c>
      <c r="D4138" s="41" t="n"/>
      <c r="E4138" s="42" t="n"/>
      <c r="F4138" s="43" t="n"/>
      <c r="G4138" s="44">
        <f>IF(OR(B4138="",F4138=""),"",IFERROR(F4138*INDEX(Mitarbeiter!$F$6:$F$205,MATCH(B4138,Mitarbeiter!$A$6:$A$205,0)),0))</f>
        <v/>
      </c>
      <c r="H4138" s="8">
        <f>IF(B4138="","",IF(ISNA(MATCH(B4138,Mitarbeiter!$A$6:$A$205,0)),"Pers.-Nr. unbekannt",IF(A4138="","Datum fehlt",IF(AND(D4138&lt;&gt;Einstellungen!$C$4,D4138&lt;&gt;Einstellungen!$C$5),"Objekt fehlt",IF(YEAR(A4138)&lt;&gt;Einstellungen!$C$3,"anderes Jahr",IF(A4138&lt;INDEX(Mitarbeiter!$C$6:$C$205,MATCH(B4138,Mitarbeiter!$A$6:$A$205,0)),"vor Eintritt",IF(AND(INDEX(Mitarbeiter!$D$6:$D$205,MATCH(B4138,Mitarbeiter!$A$6:$A$205,0))&lt;&gt;"",A4138&gt;INDEX(Mitarbeiter!$D$6:$D$205,MATCH(B4138,Mitarbeiter!$A$6:$A$205,0))),"nach Austritt","ok")))))))</f>
        <v/>
      </c>
    </row>
    <row r="4139">
      <c r="A4139" s="26" t="n"/>
      <c r="B4139" s="24" t="n"/>
      <c r="C4139" s="40">
        <f>IF(B4139="","",IFERROR(INDEX(Mitarbeiter!$B$6:$B$205,MATCH(B4139,Mitarbeiter!$A$6:$A$205,0)),"?"))</f>
        <v/>
      </c>
      <c r="D4139" s="41" t="n"/>
      <c r="E4139" s="42" t="n"/>
      <c r="F4139" s="43" t="n"/>
      <c r="G4139" s="44">
        <f>IF(OR(B4139="",F4139=""),"",IFERROR(F4139*INDEX(Mitarbeiter!$F$6:$F$205,MATCH(B4139,Mitarbeiter!$A$6:$A$205,0)),0))</f>
        <v/>
      </c>
      <c r="H4139" s="8">
        <f>IF(B4139="","",IF(ISNA(MATCH(B4139,Mitarbeiter!$A$6:$A$205,0)),"Pers.-Nr. unbekannt",IF(A4139="","Datum fehlt",IF(AND(D4139&lt;&gt;Einstellungen!$C$4,D4139&lt;&gt;Einstellungen!$C$5),"Objekt fehlt",IF(YEAR(A4139)&lt;&gt;Einstellungen!$C$3,"anderes Jahr",IF(A4139&lt;INDEX(Mitarbeiter!$C$6:$C$205,MATCH(B4139,Mitarbeiter!$A$6:$A$205,0)),"vor Eintritt",IF(AND(INDEX(Mitarbeiter!$D$6:$D$205,MATCH(B4139,Mitarbeiter!$A$6:$A$205,0))&lt;&gt;"",A4139&gt;INDEX(Mitarbeiter!$D$6:$D$205,MATCH(B4139,Mitarbeiter!$A$6:$A$205,0))),"nach Austritt","ok")))))))</f>
        <v/>
      </c>
    </row>
    <row r="4140">
      <c r="A4140" s="26" t="n"/>
      <c r="B4140" s="24" t="n"/>
      <c r="C4140" s="40">
        <f>IF(B4140="","",IFERROR(INDEX(Mitarbeiter!$B$6:$B$205,MATCH(B4140,Mitarbeiter!$A$6:$A$205,0)),"?"))</f>
        <v/>
      </c>
      <c r="D4140" s="41" t="n"/>
      <c r="E4140" s="42" t="n"/>
      <c r="F4140" s="43" t="n"/>
      <c r="G4140" s="44">
        <f>IF(OR(B4140="",F4140=""),"",IFERROR(F4140*INDEX(Mitarbeiter!$F$6:$F$205,MATCH(B4140,Mitarbeiter!$A$6:$A$205,0)),0))</f>
        <v/>
      </c>
      <c r="H4140" s="8">
        <f>IF(B4140="","",IF(ISNA(MATCH(B4140,Mitarbeiter!$A$6:$A$205,0)),"Pers.-Nr. unbekannt",IF(A4140="","Datum fehlt",IF(AND(D4140&lt;&gt;Einstellungen!$C$4,D4140&lt;&gt;Einstellungen!$C$5),"Objekt fehlt",IF(YEAR(A4140)&lt;&gt;Einstellungen!$C$3,"anderes Jahr",IF(A4140&lt;INDEX(Mitarbeiter!$C$6:$C$205,MATCH(B4140,Mitarbeiter!$A$6:$A$205,0)),"vor Eintritt",IF(AND(INDEX(Mitarbeiter!$D$6:$D$205,MATCH(B4140,Mitarbeiter!$A$6:$A$205,0))&lt;&gt;"",A4140&gt;INDEX(Mitarbeiter!$D$6:$D$205,MATCH(B4140,Mitarbeiter!$A$6:$A$205,0))),"nach Austritt","ok")))))))</f>
        <v/>
      </c>
    </row>
    <row r="4141">
      <c r="A4141" s="26" t="n"/>
      <c r="B4141" s="24" t="n"/>
      <c r="C4141" s="40">
        <f>IF(B4141="","",IFERROR(INDEX(Mitarbeiter!$B$6:$B$205,MATCH(B4141,Mitarbeiter!$A$6:$A$205,0)),"?"))</f>
        <v/>
      </c>
      <c r="D4141" s="41" t="n"/>
      <c r="E4141" s="42" t="n"/>
      <c r="F4141" s="43" t="n"/>
      <c r="G4141" s="44">
        <f>IF(OR(B4141="",F4141=""),"",IFERROR(F4141*INDEX(Mitarbeiter!$F$6:$F$205,MATCH(B4141,Mitarbeiter!$A$6:$A$205,0)),0))</f>
        <v/>
      </c>
      <c r="H4141" s="8">
        <f>IF(B4141="","",IF(ISNA(MATCH(B4141,Mitarbeiter!$A$6:$A$205,0)),"Pers.-Nr. unbekannt",IF(A4141="","Datum fehlt",IF(AND(D4141&lt;&gt;Einstellungen!$C$4,D4141&lt;&gt;Einstellungen!$C$5),"Objekt fehlt",IF(YEAR(A4141)&lt;&gt;Einstellungen!$C$3,"anderes Jahr",IF(A4141&lt;INDEX(Mitarbeiter!$C$6:$C$205,MATCH(B4141,Mitarbeiter!$A$6:$A$205,0)),"vor Eintritt",IF(AND(INDEX(Mitarbeiter!$D$6:$D$205,MATCH(B4141,Mitarbeiter!$A$6:$A$205,0))&lt;&gt;"",A4141&gt;INDEX(Mitarbeiter!$D$6:$D$205,MATCH(B4141,Mitarbeiter!$A$6:$A$205,0))),"nach Austritt","ok")))))))</f>
        <v/>
      </c>
    </row>
    <row r="4142">
      <c r="A4142" s="26" t="n"/>
      <c r="B4142" s="24" t="n"/>
      <c r="C4142" s="40">
        <f>IF(B4142="","",IFERROR(INDEX(Mitarbeiter!$B$6:$B$205,MATCH(B4142,Mitarbeiter!$A$6:$A$205,0)),"?"))</f>
        <v/>
      </c>
      <c r="D4142" s="41" t="n"/>
      <c r="E4142" s="42" t="n"/>
      <c r="F4142" s="43" t="n"/>
      <c r="G4142" s="44">
        <f>IF(OR(B4142="",F4142=""),"",IFERROR(F4142*INDEX(Mitarbeiter!$F$6:$F$205,MATCH(B4142,Mitarbeiter!$A$6:$A$205,0)),0))</f>
        <v/>
      </c>
      <c r="H4142" s="8">
        <f>IF(B4142="","",IF(ISNA(MATCH(B4142,Mitarbeiter!$A$6:$A$205,0)),"Pers.-Nr. unbekannt",IF(A4142="","Datum fehlt",IF(AND(D4142&lt;&gt;Einstellungen!$C$4,D4142&lt;&gt;Einstellungen!$C$5),"Objekt fehlt",IF(YEAR(A4142)&lt;&gt;Einstellungen!$C$3,"anderes Jahr",IF(A4142&lt;INDEX(Mitarbeiter!$C$6:$C$205,MATCH(B4142,Mitarbeiter!$A$6:$A$205,0)),"vor Eintritt",IF(AND(INDEX(Mitarbeiter!$D$6:$D$205,MATCH(B4142,Mitarbeiter!$A$6:$A$205,0))&lt;&gt;"",A4142&gt;INDEX(Mitarbeiter!$D$6:$D$205,MATCH(B4142,Mitarbeiter!$A$6:$A$205,0))),"nach Austritt","ok")))))))</f>
        <v/>
      </c>
    </row>
    <row r="4143">
      <c r="A4143" s="26" t="n"/>
      <c r="B4143" s="24" t="n"/>
      <c r="C4143" s="40">
        <f>IF(B4143="","",IFERROR(INDEX(Mitarbeiter!$B$6:$B$205,MATCH(B4143,Mitarbeiter!$A$6:$A$205,0)),"?"))</f>
        <v/>
      </c>
      <c r="D4143" s="41" t="n"/>
      <c r="E4143" s="42" t="n"/>
      <c r="F4143" s="43" t="n"/>
      <c r="G4143" s="44">
        <f>IF(OR(B4143="",F4143=""),"",IFERROR(F4143*INDEX(Mitarbeiter!$F$6:$F$205,MATCH(B4143,Mitarbeiter!$A$6:$A$205,0)),0))</f>
        <v/>
      </c>
      <c r="H4143" s="8">
        <f>IF(B4143="","",IF(ISNA(MATCH(B4143,Mitarbeiter!$A$6:$A$205,0)),"Pers.-Nr. unbekannt",IF(A4143="","Datum fehlt",IF(AND(D4143&lt;&gt;Einstellungen!$C$4,D4143&lt;&gt;Einstellungen!$C$5),"Objekt fehlt",IF(YEAR(A4143)&lt;&gt;Einstellungen!$C$3,"anderes Jahr",IF(A4143&lt;INDEX(Mitarbeiter!$C$6:$C$205,MATCH(B4143,Mitarbeiter!$A$6:$A$205,0)),"vor Eintritt",IF(AND(INDEX(Mitarbeiter!$D$6:$D$205,MATCH(B4143,Mitarbeiter!$A$6:$A$205,0))&lt;&gt;"",A4143&gt;INDEX(Mitarbeiter!$D$6:$D$205,MATCH(B4143,Mitarbeiter!$A$6:$A$205,0))),"nach Austritt","ok")))))))</f>
        <v/>
      </c>
    </row>
    <row r="4144">
      <c r="A4144" s="26" t="n"/>
      <c r="B4144" s="24" t="n"/>
      <c r="C4144" s="40">
        <f>IF(B4144="","",IFERROR(INDEX(Mitarbeiter!$B$6:$B$205,MATCH(B4144,Mitarbeiter!$A$6:$A$205,0)),"?"))</f>
        <v/>
      </c>
      <c r="D4144" s="41" t="n"/>
      <c r="E4144" s="42" t="n"/>
      <c r="F4144" s="43" t="n"/>
      <c r="G4144" s="44">
        <f>IF(OR(B4144="",F4144=""),"",IFERROR(F4144*INDEX(Mitarbeiter!$F$6:$F$205,MATCH(B4144,Mitarbeiter!$A$6:$A$205,0)),0))</f>
        <v/>
      </c>
      <c r="H4144" s="8">
        <f>IF(B4144="","",IF(ISNA(MATCH(B4144,Mitarbeiter!$A$6:$A$205,0)),"Pers.-Nr. unbekannt",IF(A4144="","Datum fehlt",IF(AND(D4144&lt;&gt;Einstellungen!$C$4,D4144&lt;&gt;Einstellungen!$C$5),"Objekt fehlt",IF(YEAR(A4144)&lt;&gt;Einstellungen!$C$3,"anderes Jahr",IF(A4144&lt;INDEX(Mitarbeiter!$C$6:$C$205,MATCH(B4144,Mitarbeiter!$A$6:$A$205,0)),"vor Eintritt",IF(AND(INDEX(Mitarbeiter!$D$6:$D$205,MATCH(B4144,Mitarbeiter!$A$6:$A$205,0))&lt;&gt;"",A4144&gt;INDEX(Mitarbeiter!$D$6:$D$205,MATCH(B4144,Mitarbeiter!$A$6:$A$205,0))),"nach Austritt","ok")))))))</f>
        <v/>
      </c>
    </row>
    <row r="4145">
      <c r="A4145" s="26" t="n"/>
      <c r="B4145" s="24" t="n"/>
      <c r="C4145" s="40">
        <f>IF(B4145="","",IFERROR(INDEX(Mitarbeiter!$B$6:$B$205,MATCH(B4145,Mitarbeiter!$A$6:$A$205,0)),"?"))</f>
        <v/>
      </c>
      <c r="D4145" s="41" t="n"/>
      <c r="E4145" s="42" t="n"/>
      <c r="F4145" s="43" t="n"/>
      <c r="G4145" s="44">
        <f>IF(OR(B4145="",F4145=""),"",IFERROR(F4145*INDEX(Mitarbeiter!$F$6:$F$205,MATCH(B4145,Mitarbeiter!$A$6:$A$205,0)),0))</f>
        <v/>
      </c>
      <c r="H4145" s="8">
        <f>IF(B4145="","",IF(ISNA(MATCH(B4145,Mitarbeiter!$A$6:$A$205,0)),"Pers.-Nr. unbekannt",IF(A4145="","Datum fehlt",IF(AND(D4145&lt;&gt;Einstellungen!$C$4,D4145&lt;&gt;Einstellungen!$C$5),"Objekt fehlt",IF(YEAR(A4145)&lt;&gt;Einstellungen!$C$3,"anderes Jahr",IF(A4145&lt;INDEX(Mitarbeiter!$C$6:$C$205,MATCH(B4145,Mitarbeiter!$A$6:$A$205,0)),"vor Eintritt",IF(AND(INDEX(Mitarbeiter!$D$6:$D$205,MATCH(B4145,Mitarbeiter!$A$6:$A$205,0))&lt;&gt;"",A4145&gt;INDEX(Mitarbeiter!$D$6:$D$205,MATCH(B4145,Mitarbeiter!$A$6:$A$205,0))),"nach Austritt","ok")))))))</f>
        <v/>
      </c>
    </row>
    <row r="4146">
      <c r="A4146" s="26" t="n"/>
      <c r="B4146" s="24" t="n"/>
      <c r="C4146" s="40">
        <f>IF(B4146="","",IFERROR(INDEX(Mitarbeiter!$B$6:$B$205,MATCH(B4146,Mitarbeiter!$A$6:$A$205,0)),"?"))</f>
        <v/>
      </c>
      <c r="D4146" s="41" t="n"/>
      <c r="E4146" s="42" t="n"/>
      <c r="F4146" s="43" t="n"/>
      <c r="G4146" s="44">
        <f>IF(OR(B4146="",F4146=""),"",IFERROR(F4146*INDEX(Mitarbeiter!$F$6:$F$205,MATCH(B4146,Mitarbeiter!$A$6:$A$205,0)),0))</f>
        <v/>
      </c>
      <c r="H4146" s="8">
        <f>IF(B4146="","",IF(ISNA(MATCH(B4146,Mitarbeiter!$A$6:$A$205,0)),"Pers.-Nr. unbekannt",IF(A4146="","Datum fehlt",IF(AND(D4146&lt;&gt;Einstellungen!$C$4,D4146&lt;&gt;Einstellungen!$C$5),"Objekt fehlt",IF(YEAR(A4146)&lt;&gt;Einstellungen!$C$3,"anderes Jahr",IF(A4146&lt;INDEX(Mitarbeiter!$C$6:$C$205,MATCH(B4146,Mitarbeiter!$A$6:$A$205,0)),"vor Eintritt",IF(AND(INDEX(Mitarbeiter!$D$6:$D$205,MATCH(B4146,Mitarbeiter!$A$6:$A$205,0))&lt;&gt;"",A4146&gt;INDEX(Mitarbeiter!$D$6:$D$205,MATCH(B4146,Mitarbeiter!$A$6:$A$205,0))),"nach Austritt","ok")))))))</f>
        <v/>
      </c>
    </row>
    <row r="4147">
      <c r="A4147" s="26" t="n"/>
      <c r="B4147" s="24" t="n"/>
      <c r="C4147" s="40">
        <f>IF(B4147="","",IFERROR(INDEX(Mitarbeiter!$B$6:$B$205,MATCH(B4147,Mitarbeiter!$A$6:$A$205,0)),"?"))</f>
        <v/>
      </c>
      <c r="D4147" s="41" t="n"/>
      <c r="E4147" s="42" t="n"/>
      <c r="F4147" s="43" t="n"/>
      <c r="G4147" s="44">
        <f>IF(OR(B4147="",F4147=""),"",IFERROR(F4147*INDEX(Mitarbeiter!$F$6:$F$205,MATCH(B4147,Mitarbeiter!$A$6:$A$205,0)),0))</f>
        <v/>
      </c>
      <c r="H4147" s="8">
        <f>IF(B4147="","",IF(ISNA(MATCH(B4147,Mitarbeiter!$A$6:$A$205,0)),"Pers.-Nr. unbekannt",IF(A4147="","Datum fehlt",IF(AND(D4147&lt;&gt;Einstellungen!$C$4,D4147&lt;&gt;Einstellungen!$C$5),"Objekt fehlt",IF(YEAR(A4147)&lt;&gt;Einstellungen!$C$3,"anderes Jahr",IF(A4147&lt;INDEX(Mitarbeiter!$C$6:$C$205,MATCH(B4147,Mitarbeiter!$A$6:$A$205,0)),"vor Eintritt",IF(AND(INDEX(Mitarbeiter!$D$6:$D$205,MATCH(B4147,Mitarbeiter!$A$6:$A$205,0))&lt;&gt;"",A4147&gt;INDEX(Mitarbeiter!$D$6:$D$205,MATCH(B4147,Mitarbeiter!$A$6:$A$205,0))),"nach Austritt","ok")))))))</f>
        <v/>
      </c>
    </row>
    <row r="4148">
      <c r="A4148" s="26" t="n"/>
      <c r="B4148" s="24" t="n"/>
      <c r="C4148" s="40">
        <f>IF(B4148="","",IFERROR(INDEX(Mitarbeiter!$B$6:$B$205,MATCH(B4148,Mitarbeiter!$A$6:$A$205,0)),"?"))</f>
        <v/>
      </c>
      <c r="D4148" s="41" t="n"/>
      <c r="E4148" s="42" t="n"/>
      <c r="F4148" s="43" t="n"/>
      <c r="G4148" s="44">
        <f>IF(OR(B4148="",F4148=""),"",IFERROR(F4148*INDEX(Mitarbeiter!$F$6:$F$205,MATCH(B4148,Mitarbeiter!$A$6:$A$205,0)),0))</f>
        <v/>
      </c>
      <c r="H4148" s="8">
        <f>IF(B4148="","",IF(ISNA(MATCH(B4148,Mitarbeiter!$A$6:$A$205,0)),"Pers.-Nr. unbekannt",IF(A4148="","Datum fehlt",IF(AND(D4148&lt;&gt;Einstellungen!$C$4,D4148&lt;&gt;Einstellungen!$C$5),"Objekt fehlt",IF(YEAR(A4148)&lt;&gt;Einstellungen!$C$3,"anderes Jahr",IF(A4148&lt;INDEX(Mitarbeiter!$C$6:$C$205,MATCH(B4148,Mitarbeiter!$A$6:$A$205,0)),"vor Eintritt",IF(AND(INDEX(Mitarbeiter!$D$6:$D$205,MATCH(B4148,Mitarbeiter!$A$6:$A$205,0))&lt;&gt;"",A4148&gt;INDEX(Mitarbeiter!$D$6:$D$205,MATCH(B4148,Mitarbeiter!$A$6:$A$205,0))),"nach Austritt","ok")))))))</f>
        <v/>
      </c>
    </row>
    <row r="4149">
      <c r="A4149" s="26" t="n"/>
      <c r="B4149" s="24" t="n"/>
      <c r="C4149" s="40">
        <f>IF(B4149="","",IFERROR(INDEX(Mitarbeiter!$B$6:$B$205,MATCH(B4149,Mitarbeiter!$A$6:$A$205,0)),"?"))</f>
        <v/>
      </c>
      <c r="D4149" s="41" t="n"/>
      <c r="E4149" s="42" t="n"/>
      <c r="F4149" s="43" t="n"/>
      <c r="G4149" s="44">
        <f>IF(OR(B4149="",F4149=""),"",IFERROR(F4149*INDEX(Mitarbeiter!$F$6:$F$205,MATCH(B4149,Mitarbeiter!$A$6:$A$205,0)),0))</f>
        <v/>
      </c>
      <c r="H4149" s="8">
        <f>IF(B4149="","",IF(ISNA(MATCH(B4149,Mitarbeiter!$A$6:$A$205,0)),"Pers.-Nr. unbekannt",IF(A4149="","Datum fehlt",IF(AND(D4149&lt;&gt;Einstellungen!$C$4,D4149&lt;&gt;Einstellungen!$C$5),"Objekt fehlt",IF(YEAR(A4149)&lt;&gt;Einstellungen!$C$3,"anderes Jahr",IF(A4149&lt;INDEX(Mitarbeiter!$C$6:$C$205,MATCH(B4149,Mitarbeiter!$A$6:$A$205,0)),"vor Eintritt",IF(AND(INDEX(Mitarbeiter!$D$6:$D$205,MATCH(B4149,Mitarbeiter!$A$6:$A$205,0))&lt;&gt;"",A4149&gt;INDEX(Mitarbeiter!$D$6:$D$205,MATCH(B4149,Mitarbeiter!$A$6:$A$205,0))),"nach Austritt","ok")))))))</f>
        <v/>
      </c>
    </row>
    <row r="4150">
      <c r="A4150" s="26" t="n"/>
      <c r="B4150" s="24" t="n"/>
      <c r="C4150" s="40">
        <f>IF(B4150="","",IFERROR(INDEX(Mitarbeiter!$B$6:$B$205,MATCH(B4150,Mitarbeiter!$A$6:$A$205,0)),"?"))</f>
        <v/>
      </c>
      <c r="D4150" s="41" t="n"/>
      <c r="E4150" s="42" t="n"/>
      <c r="F4150" s="43" t="n"/>
      <c r="G4150" s="44">
        <f>IF(OR(B4150="",F4150=""),"",IFERROR(F4150*INDEX(Mitarbeiter!$F$6:$F$205,MATCH(B4150,Mitarbeiter!$A$6:$A$205,0)),0))</f>
        <v/>
      </c>
      <c r="H4150" s="8">
        <f>IF(B4150="","",IF(ISNA(MATCH(B4150,Mitarbeiter!$A$6:$A$205,0)),"Pers.-Nr. unbekannt",IF(A4150="","Datum fehlt",IF(AND(D4150&lt;&gt;Einstellungen!$C$4,D4150&lt;&gt;Einstellungen!$C$5),"Objekt fehlt",IF(YEAR(A4150)&lt;&gt;Einstellungen!$C$3,"anderes Jahr",IF(A4150&lt;INDEX(Mitarbeiter!$C$6:$C$205,MATCH(B4150,Mitarbeiter!$A$6:$A$205,0)),"vor Eintritt",IF(AND(INDEX(Mitarbeiter!$D$6:$D$205,MATCH(B4150,Mitarbeiter!$A$6:$A$205,0))&lt;&gt;"",A4150&gt;INDEX(Mitarbeiter!$D$6:$D$205,MATCH(B4150,Mitarbeiter!$A$6:$A$205,0))),"nach Austritt","ok")))))))</f>
        <v/>
      </c>
    </row>
    <row r="4151">
      <c r="A4151" s="26" t="n"/>
      <c r="B4151" s="24" t="n"/>
      <c r="C4151" s="40">
        <f>IF(B4151="","",IFERROR(INDEX(Mitarbeiter!$B$6:$B$205,MATCH(B4151,Mitarbeiter!$A$6:$A$205,0)),"?"))</f>
        <v/>
      </c>
      <c r="D4151" s="41" t="n"/>
      <c r="E4151" s="42" t="n"/>
      <c r="F4151" s="43" t="n"/>
      <c r="G4151" s="44">
        <f>IF(OR(B4151="",F4151=""),"",IFERROR(F4151*INDEX(Mitarbeiter!$F$6:$F$205,MATCH(B4151,Mitarbeiter!$A$6:$A$205,0)),0))</f>
        <v/>
      </c>
      <c r="H4151" s="8">
        <f>IF(B4151="","",IF(ISNA(MATCH(B4151,Mitarbeiter!$A$6:$A$205,0)),"Pers.-Nr. unbekannt",IF(A4151="","Datum fehlt",IF(AND(D4151&lt;&gt;Einstellungen!$C$4,D4151&lt;&gt;Einstellungen!$C$5),"Objekt fehlt",IF(YEAR(A4151)&lt;&gt;Einstellungen!$C$3,"anderes Jahr",IF(A4151&lt;INDEX(Mitarbeiter!$C$6:$C$205,MATCH(B4151,Mitarbeiter!$A$6:$A$205,0)),"vor Eintritt",IF(AND(INDEX(Mitarbeiter!$D$6:$D$205,MATCH(B4151,Mitarbeiter!$A$6:$A$205,0))&lt;&gt;"",A4151&gt;INDEX(Mitarbeiter!$D$6:$D$205,MATCH(B4151,Mitarbeiter!$A$6:$A$205,0))),"nach Austritt","ok")))))))</f>
        <v/>
      </c>
    </row>
    <row r="4152">
      <c r="A4152" s="26" t="n"/>
      <c r="B4152" s="24" t="n"/>
      <c r="C4152" s="40">
        <f>IF(B4152="","",IFERROR(INDEX(Mitarbeiter!$B$6:$B$205,MATCH(B4152,Mitarbeiter!$A$6:$A$205,0)),"?"))</f>
        <v/>
      </c>
      <c r="D4152" s="41" t="n"/>
      <c r="E4152" s="42" t="n"/>
      <c r="F4152" s="43" t="n"/>
      <c r="G4152" s="44">
        <f>IF(OR(B4152="",F4152=""),"",IFERROR(F4152*INDEX(Mitarbeiter!$F$6:$F$205,MATCH(B4152,Mitarbeiter!$A$6:$A$205,0)),0))</f>
        <v/>
      </c>
      <c r="H4152" s="8">
        <f>IF(B4152="","",IF(ISNA(MATCH(B4152,Mitarbeiter!$A$6:$A$205,0)),"Pers.-Nr. unbekannt",IF(A4152="","Datum fehlt",IF(AND(D4152&lt;&gt;Einstellungen!$C$4,D4152&lt;&gt;Einstellungen!$C$5),"Objekt fehlt",IF(YEAR(A4152)&lt;&gt;Einstellungen!$C$3,"anderes Jahr",IF(A4152&lt;INDEX(Mitarbeiter!$C$6:$C$205,MATCH(B4152,Mitarbeiter!$A$6:$A$205,0)),"vor Eintritt",IF(AND(INDEX(Mitarbeiter!$D$6:$D$205,MATCH(B4152,Mitarbeiter!$A$6:$A$205,0))&lt;&gt;"",A4152&gt;INDEX(Mitarbeiter!$D$6:$D$205,MATCH(B4152,Mitarbeiter!$A$6:$A$205,0))),"nach Austritt","ok")))))))</f>
        <v/>
      </c>
    </row>
    <row r="4153">
      <c r="A4153" s="26" t="n"/>
      <c r="B4153" s="24" t="n"/>
      <c r="C4153" s="40">
        <f>IF(B4153="","",IFERROR(INDEX(Mitarbeiter!$B$6:$B$205,MATCH(B4153,Mitarbeiter!$A$6:$A$205,0)),"?"))</f>
        <v/>
      </c>
      <c r="D4153" s="41" t="n"/>
      <c r="E4153" s="42" t="n"/>
      <c r="F4153" s="43" t="n"/>
      <c r="G4153" s="44">
        <f>IF(OR(B4153="",F4153=""),"",IFERROR(F4153*INDEX(Mitarbeiter!$F$6:$F$205,MATCH(B4153,Mitarbeiter!$A$6:$A$205,0)),0))</f>
        <v/>
      </c>
      <c r="H4153" s="8">
        <f>IF(B4153="","",IF(ISNA(MATCH(B4153,Mitarbeiter!$A$6:$A$205,0)),"Pers.-Nr. unbekannt",IF(A4153="","Datum fehlt",IF(AND(D4153&lt;&gt;Einstellungen!$C$4,D4153&lt;&gt;Einstellungen!$C$5),"Objekt fehlt",IF(YEAR(A4153)&lt;&gt;Einstellungen!$C$3,"anderes Jahr",IF(A4153&lt;INDEX(Mitarbeiter!$C$6:$C$205,MATCH(B4153,Mitarbeiter!$A$6:$A$205,0)),"vor Eintritt",IF(AND(INDEX(Mitarbeiter!$D$6:$D$205,MATCH(B4153,Mitarbeiter!$A$6:$A$205,0))&lt;&gt;"",A4153&gt;INDEX(Mitarbeiter!$D$6:$D$205,MATCH(B4153,Mitarbeiter!$A$6:$A$205,0))),"nach Austritt","ok")))))))</f>
        <v/>
      </c>
    </row>
    <row r="4154">
      <c r="A4154" s="26" t="n"/>
      <c r="B4154" s="24" t="n"/>
      <c r="C4154" s="40">
        <f>IF(B4154="","",IFERROR(INDEX(Mitarbeiter!$B$6:$B$205,MATCH(B4154,Mitarbeiter!$A$6:$A$205,0)),"?"))</f>
        <v/>
      </c>
      <c r="D4154" s="41" t="n"/>
      <c r="E4154" s="42" t="n"/>
      <c r="F4154" s="43" t="n"/>
      <c r="G4154" s="44">
        <f>IF(OR(B4154="",F4154=""),"",IFERROR(F4154*INDEX(Mitarbeiter!$F$6:$F$205,MATCH(B4154,Mitarbeiter!$A$6:$A$205,0)),0))</f>
        <v/>
      </c>
      <c r="H4154" s="8">
        <f>IF(B4154="","",IF(ISNA(MATCH(B4154,Mitarbeiter!$A$6:$A$205,0)),"Pers.-Nr. unbekannt",IF(A4154="","Datum fehlt",IF(AND(D4154&lt;&gt;Einstellungen!$C$4,D4154&lt;&gt;Einstellungen!$C$5),"Objekt fehlt",IF(YEAR(A4154)&lt;&gt;Einstellungen!$C$3,"anderes Jahr",IF(A4154&lt;INDEX(Mitarbeiter!$C$6:$C$205,MATCH(B4154,Mitarbeiter!$A$6:$A$205,0)),"vor Eintritt",IF(AND(INDEX(Mitarbeiter!$D$6:$D$205,MATCH(B4154,Mitarbeiter!$A$6:$A$205,0))&lt;&gt;"",A4154&gt;INDEX(Mitarbeiter!$D$6:$D$205,MATCH(B4154,Mitarbeiter!$A$6:$A$205,0))),"nach Austritt","ok")))))))</f>
        <v/>
      </c>
    </row>
    <row r="4155">
      <c r="A4155" s="26" t="n"/>
      <c r="B4155" s="24" t="n"/>
      <c r="C4155" s="40">
        <f>IF(B4155="","",IFERROR(INDEX(Mitarbeiter!$B$6:$B$205,MATCH(B4155,Mitarbeiter!$A$6:$A$205,0)),"?"))</f>
        <v/>
      </c>
      <c r="D4155" s="41" t="n"/>
      <c r="E4155" s="42" t="n"/>
      <c r="F4155" s="43" t="n"/>
      <c r="G4155" s="44">
        <f>IF(OR(B4155="",F4155=""),"",IFERROR(F4155*INDEX(Mitarbeiter!$F$6:$F$205,MATCH(B4155,Mitarbeiter!$A$6:$A$205,0)),0))</f>
        <v/>
      </c>
      <c r="H4155" s="8">
        <f>IF(B4155="","",IF(ISNA(MATCH(B4155,Mitarbeiter!$A$6:$A$205,0)),"Pers.-Nr. unbekannt",IF(A4155="","Datum fehlt",IF(AND(D4155&lt;&gt;Einstellungen!$C$4,D4155&lt;&gt;Einstellungen!$C$5),"Objekt fehlt",IF(YEAR(A4155)&lt;&gt;Einstellungen!$C$3,"anderes Jahr",IF(A4155&lt;INDEX(Mitarbeiter!$C$6:$C$205,MATCH(B4155,Mitarbeiter!$A$6:$A$205,0)),"vor Eintritt",IF(AND(INDEX(Mitarbeiter!$D$6:$D$205,MATCH(B4155,Mitarbeiter!$A$6:$A$205,0))&lt;&gt;"",A4155&gt;INDEX(Mitarbeiter!$D$6:$D$205,MATCH(B4155,Mitarbeiter!$A$6:$A$205,0))),"nach Austritt","ok")))))))</f>
        <v/>
      </c>
    </row>
    <row r="4156">
      <c r="A4156" s="26" t="n"/>
      <c r="B4156" s="24" t="n"/>
      <c r="C4156" s="40">
        <f>IF(B4156="","",IFERROR(INDEX(Mitarbeiter!$B$6:$B$205,MATCH(B4156,Mitarbeiter!$A$6:$A$205,0)),"?"))</f>
        <v/>
      </c>
      <c r="D4156" s="41" t="n"/>
      <c r="E4156" s="42" t="n"/>
      <c r="F4156" s="43" t="n"/>
      <c r="G4156" s="44">
        <f>IF(OR(B4156="",F4156=""),"",IFERROR(F4156*INDEX(Mitarbeiter!$F$6:$F$205,MATCH(B4156,Mitarbeiter!$A$6:$A$205,0)),0))</f>
        <v/>
      </c>
      <c r="H4156" s="8">
        <f>IF(B4156="","",IF(ISNA(MATCH(B4156,Mitarbeiter!$A$6:$A$205,0)),"Pers.-Nr. unbekannt",IF(A4156="","Datum fehlt",IF(AND(D4156&lt;&gt;Einstellungen!$C$4,D4156&lt;&gt;Einstellungen!$C$5),"Objekt fehlt",IF(YEAR(A4156)&lt;&gt;Einstellungen!$C$3,"anderes Jahr",IF(A4156&lt;INDEX(Mitarbeiter!$C$6:$C$205,MATCH(B4156,Mitarbeiter!$A$6:$A$205,0)),"vor Eintritt",IF(AND(INDEX(Mitarbeiter!$D$6:$D$205,MATCH(B4156,Mitarbeiter!$A$6:$A$205,0))&lt;&gt;"",A4156&gt;INDEX(Mitarbeiter!$D$6:$D$205,MATCH(B4156,Mitarbeiter!$A$6:$A$205,0))),"nach Austritt","ok")))))))</f>
        <v/>
      </c>
    </row>
    <row r="4157">
      <c r="A4157" s="26" t="n"/>
      <c r="B4157" s="24" t="n"/>
      <c r="C4157" s="40">
        <f>IF(B4157="","",IFERROR(INDEX(Mitarbeiter!$B$6:$B$205,MATCH(B4157,Mitarbeiter!$A$6:$A$205,0)),"?"))</f>
        <v/>
      </c>
      <c r="D4157" s="41" t="n"/>
      <c r="E4157" s="42" t="n"/>
      <c r="F4157" s="43" t="n"/>
      <c r="G4157" s="44">
        <f>IF(OR(B4157="",F4157=""),"",IFERROR(F4157*INDEX(Mitarbeiter!$F$6:$F$205,MATCH(B4157,Mitarbeiter!$A$6:$A$205,0)),0))</f>
        <v/>
      </c>
      <c r="H4157" s="8">
        <f>IF(B4157="","",IF(ISNA(MATCH(B4157,Mitarbeiter!$A$6:$A$205,0)),"Pers.-Nr. unbekannt",IF(A4157="","Datum fehlt",IF(AND(D4157&lt;&gt;Einstellungen!$C$4,D4157&lt;&gt;Einstellungen!$C$5),"Objekt fehlt",IF(YEAR(A4157)&lt;&gt;Einstellungen!$C$3,"anderes Jahr",IF(A4157&lt;INDEX(Mitarbeiter!$C$6:$C$205,MATCH(B4157,Mitarbeiter!$A$6:$A$205,0)),"vor Eintritt",IF(AND(INDEX(Mitarbeiter!$D$6:$D$205,MATCH(B4157,Mitarbeiter!$A$6:$A$205,0))&lt;&gt;"",A4157&gt;INDEX(Mitarbeiter!$D$6:$D$205,MATCH(B4157,Mitarbeiter!$A$6:$A$205,0))),"nach Austritt","ok")))))))</f>
        <v/>
      </c>
    </row>
    <row r="4158">
      <c r="A4158" s="26" t="n"/>
      <c r="B4158" s="24" t="n"/>
      <c r="C4158" s="40">
        <f>IF(B4158="","",IFERROR(INDEX(Mitarbeiter!$B$6:$B$205,MATCH(B4158,Mitarbeiter!$A$6:$A$205,0)),"?"))</f>
        <v/>
      </c>
      <c r="D4158" s="41" t="n"/>
      <c r="E4158" s="42" t="n"/>
      <c r="F4158" s="43" t="n"/>
      <c r="G4158" s="44">
        <f>IF(OR(B4158="",F4158=""),"",IFERROR(F4158*INDEX(Mitarbeiter!$F$6:$F$205,MATCH(B4158,Mitarbeiter!$A$6:$A$205,0)),0))</f>
        <v/>
      </c>
      <c r="H4158" s="8">
        <f>IF(B4158="","",IF(ISNA(MATCH(B4158,Mitarbeiter!$A$6:$A$205,0)),"Pers.-Nr. unbekannt",IF(A4158="","Datum fehlt",IF(AND(D4158&lt;&gt;Einstellungen!$C$4,D4158&lt;&gt;Einstellungen!$C$5),"Objekt fehlt",IF(YEAR(A4158)&lt;&gt;Einstellungen!$C$3,"anderes Jahr",IF(A4158&lt;INDEX(Mitarbeiter!$C$6:$C$205,MATCH(B4158,Mitarbeiter!$A$6:$A$205,0)),"vor Eintritt",IF(AND(INDEX(Mitarbeiter!$D$6:$D$205,MATCH(B4158,Mitarbeiter!$A$6:$A$205,0))&lt;&gt;"",A4158&gt;INDEX(Mitarbeiter!$D$6:$D$205,MATCH(B4158,Mitarbeiter!$A$6:$A$205,0))),"nach Austritt","ok")))))))</f>
        <v/>
      </c>
    </row>
    <row r="4159">
      <c r="A4159" s="26" t="n"/>
      <c r="B4159" s="24" t="n"/>
      <c r="C4159" s="40">
        <f>IF(B4159="","",IFERROR(INDEX(Mitarbeiter!$B$6:$B$205,MATCH(B4159,Mitarbeiter!$A$6:$A$205,0)),"?"))</f>
        <v/>
      </c>
      <c r="D4159" s="41" t="n"/>
      <c r="E4159" s="42" t="n"/>
      <c r="F4159" s="43" t="n"/>
      <c r="G4159" s="44">
        <f>IF(OR(B4159="",F4159=""),"",IFERROR(F4159*INDEX(Mitarbeiter!$F$6:$F$205,MATCH(B4159,Mitarbeiter!$A$6:$A$205,0)),0))</f>
        <v/>
      </c>
      <c r="H4159" s="8">
        <f>IF(B4159="","",IF(ISNA(MATCH(B4159,Mitarbeiter!$A$6:$A$205,0)),"Pers.-Nr. unbekannt",IF(A4159="","Datum fehlt",IF(AND(D4159&lt;&gt;Einstellungen!$C$4,D4159&lt;&gt;Einstellungen!$C$5),"Objekt fehlt",IF(YEAR(A4159)&lt;&gt;Einstellungen!$C$3,"anderes Jahr",IF(A4159&lt;INDEX(Mitarbeiter!$C$6:$C$205,MATCH(B4159,Mitarbeiter!$A$6:$A$205,0)),"vor Eintritt",IF(AND(INDEX(Mitarbeiter!$D$6:$D$205,MATCH(B4159,Mitarbeiter!$A$6:$A$205,0))&lt;&gt;"",A4159&gt;INDEX(Mitarbeiter!$D$6:$D$205,MATCH(B4159,Mitarbeiter!$A$6:$A$205,0))),"nach Austritt","ok")))))))</f>
        <v/>
      </c>
    </row>
    <row r="4160">
      <c r="A4160" s="26" t="n"/>
      <c r="B4160" s="24" t="n"/>
      <c r="C4160" s="40">
        <f>IF(B4160="","",IFERROR(INDEX(Mitarbeiter!$B$6:$B$205,MATCH(B4160,Mitarbeiter!$A$6:$A$205,0)),"?"))</f>
        <v/>
      </c>
      <c r="D4160" s="41" t="n"/>
      <c r="E4160" s="42" t="n"/>
      <c r="F4160" s="43" t="n"/>
      <c r="G4160" s="44">
        <f>IF(OR(B4160="",F4160=""),"",IFERROR(F4160*INDEX(Mitarbeiter!$F$6:$F$205,MATCH(B4160,Mitarbeiter!$A$6:$A$205,0)),0))</f>
        <v/>
      </c>
      <c r="H4160" s="8">
        <f>IF(B4160="","",IF(ISNA(MATCH(B4160,Mitarbeiter!$A$6:$A$205,0)),"Pers.-Nr. unbekannt",IF(A4160="","Datum fehlt",IF(AND(D4160&lt;&gt;Einstellungen!$C$4,D4160&lt;&gt;Einstellungen!$C$5),"Objekt fehlt",IF(YEAR(A4160)&lt;&gt;Einstellungen!$C$3,"anderes Jahr",IF(A4160&lt;INDEX(Mitarbeiter!$C$6:$C$205,MATCH(B4160,Mitarbeiter!$A$6:$A$205,0)),"vor Eintritt",IF(AND(INDEX(Mitarbeiter!$D$6:$D$205,MATCH(B4160,Mitarbeiter!$A$6:$A$205,0))&lt;&gt;"",A4160&gt;INDEX(Mitarbeiter!$D$6:$D$205,MATCH(B4160,Mitarbeiter!$A$6:$A$205,0))),"nach Austritt","ok")))))))</f>
        <v/>
      </c>
    </row>
    <row r="4161">
      <c r="A4161" s="26" t="n"/>
      <c r="B4161" s="24" t="n"/>
      <c r="C4161" s="40">
        <f>IF(B4161="","",IFERROR(INDEX(Mitarbeiter!$B$6:$B$205,MATCH(B4161,Mitarbeiter!$A$6:$A$205,0)),"?"))</f>
        <v/>
      </c>
      <c r="D4161" s="41" t="n"/>
      <c r="E4161" s="42" t="n"/>
      <c r="F4161" s="43" t="n"/>
      <c r="G4161" s="44">
        <f>IF(OR(B4161="",F4161=""),"",IFERROR(F4161*INDEX(Mitarbeiter!$F$6:$F$205,MATCH(B4161,Mitarbeiter!$A$6:$A$205,0)),0))</f>
        <v/>
      </c>
      <c r="H4161" s="8">
        <f>IF(B4161="","",IF(ISNA(MATCH(B4161,Mitarbeiter!$A$6:$A$205,0)),"Pers.-Nr. unbekannt",IF(A4161="","Datum fehlt",IF(AND(D4161&lt;&gt;Einstellungen!$C$4,D4161&lt;&gt;Einstellungen!$C$5),"Objekt fehlt",IF(YEAR(A4161)&lt;&gt;Einstellungen!$C$3,"anderes Jahr",IF(A4161&lt;INDEX(Mitarbeiter!$C$6:$C$205,MATCH(B4161,Mitarbeiter!$A$6:$A$205,0)),"vor Eintritt",IF(AND(INDEX(Mitarbeiter!$D$6:$D$205,MATCH(B4161,Mitarbeiter!$A$6:$A$205,0))&lt;&gt;"",A4161&gt;INDEX(Mitarbeiter!$D$6:$D$205,MATCH(B4161,Mitarbeiter!$A$6:$A$205,0))),"nach Austritt","ok")))))))</f>
        <v/>
      </c>
    </row>
    <row r="4162">
      <c r="A4162" s="26" t="n"/>
      <c r="B4162" s="24" t="n"/>
      <c r="C4162" s="40">
        <f>IF(B4162="","",IFERROR(INDEX(Mitarbeiter!$B$6:$B$205,MATCH(B4162,Mitarbeiter!$A$6:$A$205,0)),"?"))</f>
        <v/>
      </c>
      <c r="D4162" s="41" t="n"/>
      <c r="E4162" s="42" t="n"/>
      <c r="F4162" s="43" t="n"/>
      <c r="G4162" s="44">
        <f>IF(OR(B4162="",F4162=""),"",IFERROR(F4162*INDEX(Mitarbeiter!$F$6:$F$205,MATCH(B4162,Mitarbeiter!$A$6:$A$205,0)),0))</f>
        <v/>
      </c>
      <c r="H4162" s="8">
        <f>IF(B4162="","",IF(ISNA(MATCH(B4162,Mitarbeiter!$A$6:$A$205,0)),"Pers.-Nr. unbekannt",IF(A4162="","Datum fehlt",IF(AND(D4162&lt;&gt;Einstellungen!$C$4,D4162&lt;&gt;Einstellungen!$C$5),"Objekt fehlt",IF(YEAR(A4162)&lt;&gt;Einstellungen!$C$3,"anderes Jahr",IF(A4162&lt;INDEX(Mitarbeiter!$C$6:$C$205,MATCH(B4162,Mitarbeiter!$A$6:$A$205,0)),"vor Eintritt",IF(AND(INDEX(Mitarbeiter!$D$6:$D$205,MATCH(B4162,Mitarbeiter!$A$6:$A$205,0))&lt;&gt;"",A4162&gt;INDEX(Mitarbeiter!$D$6:$D$205,MATCH(B4162,Mitarbeiter!$A$6:$A$205,0))),"nach Austritt","ok")))))))</f>
        <v/>
      </c>
    </row>
    <row r="4163">
      <c r="A4163" s="26" t="n"/>
      <c r="B4163" s="24" t="n"/>
      <c r="C4163" s="40">
        <f>IF(B4163="","",IFERROR(INDEX(Mitarbeiter!$B$6:$B$205,MATCH(B4163,Mitarbeiter!$A$6:$A$205,0)),"?"))</f>
        <v/>
      </c>
      <c r="D4163" s="41" t="n"/>
      <c r="E4163" s="42" t="n"/>
      <c r="F4163" s="43" t="n"/>
      <c r="G4163" s="44">
        <f>IF(OR(B4163="",F4163=""),"",IFERROR(F4163*INDEX(Mitarbeiter!$F$6:$F$205,MATCH(B4163,Mitarbeiter!$A$6:$A$205,0)),0))</f>
        <v/>
      </c>
      <c r="H4163" s="8">
        <f>IF(B4163="","",IF(ISNA(MATCH(B4163,Mitarbeiter!$A$6:$A$205,0)),"Pers.-Nr. unbekannt",IF(A4163="","Datum fehlt",IF(AND(D4163&lt;&gt;Einstellungen!$C$4,D4163&lt;&gt;Einstellungen!$C$5),"Objekt fehlt",IF(YEAR(A4163)&lt;&gt;Einstellungen!$C$3,"anderes Jahr",IF(A4163&lt;INDEX(Mitarbeiter!$C$6:$C$205,MATCH(B4163,Mitarbeiter!$A$6:$A$205,0)),"vor Eintritt",IF(AND(INDEX(Mitarbeiter!$D$6:$D$205,MATCH(B4163,Mitarbeiter!$A$6:$A$205,0))&lt;&gt;"",A4163&gt;INDEX(Mitarbeiter!$D$6:$D$205,MATCH(B4163,Mitarbeiter!$A$6:$A$205,0))),"nach Austritt","ok")))))))</f>
        <v/>
      </c>
    </row>
    <row r="4164">
      <c r="A4164" s="26" t="n"/>
      <c r="B4164" s="24" t="n"/>
      <c r="C4164" s="40">
        <f>IF(B4164="","",IFERROR(INDEX(Mitarbeiter!$B$6:$B$205,MATCH(B4164,Mitarbeiter!$A$6:$A$205,0)),"?"))</f>
        <v/>
      </c>
      <c r="D4164" s="41" t="n"/>
      <c r="E4164" s="42" t="n"/>
      <c r="F4164" s="43" t="n"/>
      <c r="G4164" s="44">
        <f>IF(OR(B4164="",F4164=""),"",IFERROR(F4164*INDEX(Mitarbeiter!$F$6:$F$205,MATCH(B4164,Mitarbeiter!$A$6:$A$205,0)),0))</f>
        <v/>
      </c>
      <c r="H4164" s="8">
        <f>IF(B4164="","",IF(ISNA(MATCH(B4164,Mitarbeiter!$A$6:$A$205,0)),"Pers.-Nr. unbekannt",IF(A4164="","Datum fehlt",IF(AND(D4164&lt;&gt;Einstellungen!$C$4,D4164&lt;&gt;Einstellungen!$C$5),"Objekt fehlt",IF(YEAR(A4164)&lt;&gt;Einstellungen!$C$3,"anderes Jahr",IF(A4164&lt;INDEX(Mitarbeiter!$C$6:$C$205,MATCH(B4164,Mitarbeiter!$A$6:$A$205,0)),"vor Eintritt",IF(AND(INDEX(Mitarbeiter!$D$6:$D$205,MATCH(B4164,Mitarbeiter!$A$6:$A$205,0))&lt;&gt;"",A4164&gt;INDEX(Mitarbeiter!$D$6:$D$205,MATCH(B4164,Mitarbeiter!$A$6:$A$205,0))),"nach Austritt","ok")))))))</f>
        <v/>
      </c>
    </row>
    <row r="4165">
      <c r="A4165" s="26" t="n"/>
      <c r="B4165" s="24" t="n"/>
      <c r="C4165" s="40">
        <f>IF(B4165="","",IFERROR(INDEX(Mitarbeiter!$B$6:$B$205,MATCH(B4165,Mitarbeiter!$A$6:$A$205,0)),"?"))</f>
        <v/>
      </c>
      <c r="D4165" s="41" t="n"/>
      <c r="E4165" s="42" t="n"/>
      <c r="F4165" s="43" t="n"/>
      <c r="G4165" s="44">
        <f>IF(OR(B4165="",F4165=""),"",IFERROR(F4165*INDEX(Mitarbeiter!$F$6:$F$205,MATCH(B4165,Mitarbeiter!$A$6:$A$205,0)),0))</f>
        <v/>
      </c>
      <c r="H4165" s="8">
        <f>IF(B4165="","",IF(ISNA(MATCH(B4165,Mitarbeiter!$A$6:$A$205,0)),"Pers.-Nr. unbekannt",IF(A4165="","Datum fehlt",IF(AND(D4165&lt;&gt;Einstellungen!$C$4,D4165&lt;&gt;Einstellungen!$C$5),"Objekt fehlt",IF(YEAR(A4165)&lt;&gt;Einstellungen!$C$3,"anderes Jahr",IF(A4165&lt;INDEX(Mitarbeiter!$C$6:$C$205,MATCH(B4165,Mitarbeiter!$A$6:$A$205,0)),"vor Eintritt",IF(AND(INDEX(Mitarbeiter!$D$6:$D$205,MATCH(B4165,Mitarbeiter!$A$6:$A$205,0))&lt;&gt;"",A4165&gt;INDEX(Mitarbeiter!$D$6:$D$205,MATCH(B4165,Mitarbeiter!$A$6:$A$205,0))),"nach Austritt","ok")))))))</f>
        <v/>
      </c>
    </row>
    <row r="4166">
      <c r="A4166" s="26" t="n"/>
      <c r="B4166" s="24" t="n"/>
      <c r="C4166" s="40">
        <f>IF(B4166="","",IFERROR(INDEX(Mitarbeiter!$B$6:$B$205,MATCH(B4166,Mitarbeiter!$A$6:$A$205,0)),"?"))</f>
        <v/>
      </c>
      <c r="D4166" s="41" t="n"/>
      <c r="E4166" s="42" t="n"/>
      <c r="F4166" s="43" t="n"/>
      <c r="G4166" s="44">
        <f>IF(OR(B4166="",F4166=""),"",IFERROR(F4166*INDEX(Mitarbeiter!$F$6:$F$205,MATCH(B4166,Mitarbeiter!$A$6:$A$205,0)),0))</f>
        <v/>
      </c>
      <c r="H4166" s="8">
        <f>IF(B4166="","",IF(ISNA(MATCH(B4166,Mitarbeiter!$A$6:$A$205,0)),"Pers.-Nr. unbekannt",IF(A4166="","Datum fehlt",IF(AND(D4166&lt;&gt;Einstellungen!$C$4,D4166&lt;&gt;Einstellungen!$C$5),"Objekt fehlt",IF(YEAR(A4166)&lt;&gt;Einstellungen!$C$3,"anderes Jahr",IF(A4166&lt;INDEX(Mitarbeiter!$C$6:$C$205,MATCH(B4166,Mitarbeiter!$A$6:$A$205,0)),"vor Eintritt",IF(AND(INDEX(Mitarbeiter!$D$6:$D$205,MATCH(B4166,Mitarbeiter!$A$6:$A$205,0))&lt;&gt;"",A4166&gt;INDEX(Mitarbeiter!$D$6:$D$205,MATCH(B4166,Mitarbeiter!$A$6:$A$205,0))),"nach Austritt","ok")))))))</f>
        <v/>
      </c>
    </row>
    <row r="4167">
      <c r="A4167" s="26" t="n"/>
      <c r="B4167" s="24" t="n"/>
      <c r="C4167" s="40">
        <f>IF(B4167="","",IFERROR(INDEX(Mitarbeiter!$B$6:$B$205,MATCH(B4167,Mitarbeiter!$A$6:$A$205,0)),"?"))</f>
        <v/>
      </c>
      <c r="D4167" s="41" t="n"/>
      <c r="E4167" s="42" t="n"/>
      <c r="F4167" s="43" t="n"/>
      <c r="G4167" s="44">
        <f>IF(OR(B4167="",F4167=""),"",IFERROR(F4167*INDEX(Mitarbeiter!$F$6:$F$205,MATCH(B4167,Mitarbeiter!$A$6:$A$205,0)),0))</f>
        <v/>
      </c>
      <c r="H4167" s="8">
        <f>IF(B4167="","",IF(ISNA(MATCH(B4167,Mitarbeiter!$A$6:$A$205,0)),"Pers.-Nr. unbekannt",IF(A4167="","Datum fehlt",IF(AND(D4167&lt;&gt;Einstellungen!$C$4,D4167&lt;&gt;Einstellungen!$C$5),"Objekt fehlt",IF(YEAR(A4167)&lt;&gt;Einstellungen!$C$3,"anderes Jahr",IF(A4167&lt;INDEX(Mitarbeiter!$C$6:$C$205,MATCH(B4167,Mitarbeiter!$A$6:$A$205,0)),"vor Eintritt",IF(AND(INDEX(Mitarbeiter!$D$6:$D$205,MATCH(B4167,Mitarbeiter!$A$6:$A$205,0))&lt;&gt;"",A4167&gt;INDEX(Mitarbeiter!$D$6:$D$205,MATCH(B4167,Mitarbeiter!$A$6:$A$205,0))),"nach Austritt","ok")))))))</f>
        <v/>
      </c>
    </row>
    <row r="4168">
      <c r="A4168" s="26" t="n"/>
      <c r="B4168" s="24" t="n"/>
      <c r="C4168" s="40">
        <f>IF(B4168="","",IFERROR(INDEX(Mitarbeiter!$B$6:$B$205,MATCH(B4168,Mitarbeiter!$A$6:$A$205,0)),"?"))</f>
        <v/>
      </c>
      <c r="D4168" s="41" t="n"/>
      <c r="E4168" s="42" t="n"/>
      <c r="F4168" s="43" t="n"/>
      <c r="G4168" s="44">
        <f>IF(OR(B4168="",F4168=""),"",IFERROR(F4168*INDEX(Mitarbeiter!$F$6:$F$205,MATCH(B4168,Mitarbeiter!$A$6:$A$205,0)),0))</f>
        <v/>
      </c>
      <c r="H4168" s="8">
        <f>IF(B4168="","",IF(ISNA(MATCH(B4168,Mitarbeiter!$A$6:$A$205,0)),"Pers.-Nr. unbekannt",IF(A4168="","Datum fehlt",IF(AND(D4168&lt;&gt;Einstellungen!$C$4,D4168&lt;&gt;Einstellungen!$C$5),"Objekt fehlt",IF(YEAR(A4168)&lt;&gt;Einstellungen!$C$3,"anderes Jahr",IF(A4168&lt;INDEX(Mitarbeiter!$C$6:$C$205,MATCH(B4168,Mitarbeiter!$A$6:$A$205,0)),"vor Eintritt",IF(AND(INDEX(Mitarbeiter!$D$6:$D$205,MATCH(B4168,Mitarbeiter!$A$6:$A$205,0))&lt;&gt;"",A4168&gt;INDEX(Mitarbeiter!$D$6:$D$205,MATCH(B4168,Mitarbeiter!$A$6:$A$205,0))),"nach Austritt","ok")))))))</f>
        <v/>
      </c>
    </row>
    <row r="4169">
      <c r="A4169" s="26" t="n"/>
      <c r="B4169" s="24" t="n"/>
      <c r="C4169" s="40">
        <f>IF(B4169="","",IFERROR(INDEX(Mitarbeiter!$B$6:$B$205,MATCH(B4169,Mitarbeiter!$A$6:$A$205,0)),"?"))</f>
        <v/>
      </c>
      <c r="D4169" s="41" t="n"/>
      <c r="E4169" s="42" t="n"/>
      <c r="F4169" s="43" t="n"/>
      <c r="G4169" s="44">
        <f>IF(OR(B4169="",F4169=""),"",IFERROR(F4169*INDEX(Mitarbeiter!$F$6:$F$205,MATCH(B4169,Mitarbeiter!$A$6:$A$205,0)),0))</f>
        <v/>
      </c>
      <c r="H4169" s="8">
        <f>IF(B4169="","",IF(ISNA(MATCH(B4169,Mitarbeiter!$A$6:$A$205,0)),"Pers.-Nr. unbekannt",IF(A4169="","Datum fehlt",IF(AND(D4169&lt;&gt;Einstellungen!$C$4,D4169&lt;&gt;Einstellungen!$C$5),"Objekt fehlt",IF(YEAR(A4169)&lt;&gt;Einstellungen!$C$3,"anderes Jahr",IF(A4169&lt;INDEX(Mitarbeiter!$C$6:$C$205,MATCH(B4169,Mitarbeiter!$A$6:$A$205,0)),"vor Eintritt",IF(AND(INDEX(Mitarbeiter!$D$6:$D$205,MATCH(B4169,Mitarbeiter!$A$6:$A$205,0))&lt;&gt;"",A4169&gt;INDEX(Mitarbeiter!$D$6:$D$205,MATCH(B4169,Mitarbeiter!$A$6:$A$205,0))),"nach Austritt","ok")))))))</f>
        <v/>
      </c>
    </row>
    <row r="4170">
      <c r="A4170" s="26" t="n"/>
      <c r="B4170" s="24" t="n"/>
      <c r="C4170" s="40">
        <f>IF(B4170="","",IFERROR(INDEX(Mitarbeiter!$B$6:$B$205,MATCH(B4170,Mitarbeiter!$A$6:$A$205,0)),"?"))</f>
        <v/>
      </c>
      <c r="D4170" s="41" t="n"/>
      <c r="E4170" s="42" t="n"/>
      <c r="F4170" s="43" t="n"/>
      <c r="G4170" s="44">
        <f>IF(OR(B4170="",F4170=""),"",IFERROR(F4170*INDEX(Mitarbeiter!$F$6:$F$205,MATCH(B4170,Mitarbeiter!$A$6:$A$205,0)),0))</f>
        <v/>
      </c>
      <c r="H4170" s="8">
        <f>IF(B4170="","",IF(ISNA(MATCH(B4170,Mitarbeiter!$A$6:$A$205,0)),"Pers.-Nr. unbekannt",IF(A4170="","Datum fehlt",IF(AND(D4170&lt;&gt;Einstellungen!$C$4,D4170&lt;&gt;Einstellungen!$C$5),"Objekt fehlt",IF(YEAR(A4170)&lt;&gt;Einstellungen!$C$3,"anderes Jahr",IF(A4170&lt;INDEX(Mitarbeiter!$C$6:$C$205,MATCH(B4170,Mitarbeiter!$A$6:$A$205,0)),"vor Eintritt",IF(AND(INDEX(Mitarbeiter!$D$6:$D$205,MATCH(B4170,Mitarbeiter!$A$6:$A$205,0))&lt;&gt;"",A4170&gt;INDEX(Mitarbeiter!$D$6:$D$205,MATCH(B4170,Mitarbeiter!$A$6:$A$205,0))),"nach Austritt","ok")))))))</f>
        <v/>
      </c>
    </row>
    <row r="4171">
      <c r="A4171" s="26" t="n"/>
      <c r="B4171" s="24" t="n"/>
      <c r="C4171" s="40">
        <f>IF(B4171="","",IFERROR(INDEX(Mitarbeiter!$B$6:$B$205,MATCH(B4171,Mitarbeiter!$A$6:$A$205,0)),"?"))</f>
        <v/>
      </c>
      <c r="D4171" s="41" t="n"/>
      <c r="E4171" s="42" t="n"/>
      <c r="F4171" s="43" t="n"/>
      <c r="G4171" s="44">
        <f>IF(OR(B4171="",F4171=""),"",IFERROR(F4171*INDEX(Mitarbeiter!$F$6:$F$205,MATCH(B4171,Mitarbeiter!$A$6:$A$205,0)),0))</f>
        <v/>
      </c>
      <c r="H4171" s="8">
        <f>IF(B4171="","",IF(ISNA(MATCH(B4171,Mitarbeiter!$A$6:$A$205,0)),"Pers.-Nr. unbekannt",IF(A4171="","Datum fehlt",IF(AND(D4171&lt;&gt;Einstellungen!$C$4,D4171&lt;&gt;Einstellungen!$C$5),"Objekt fehlt",IF(YEAR(A4171)&lt;&gt;Einstellungen!$C$3,"anderes Jahr",IF(A4171&lt;INDEX(Mitarbeiter!$C$6:$C$205,MATCH(B4171,Mitarbeiter!$A$6:$A$205,0)),"vor Eintritt",IF(AND(INDEX(Mitarbeiter!$D$6:$D$205,MATCH(B4171,Mitarbeiter!$A$6:$A$205,0))&lt;&gt;"",A4171&gt;INDEX(Mitarbeiter!$D$6:$D$205,MATCH(B4171,Mitarbeiter!$A$6:$A$205,0))),"nach Austritt","ok")))))))</f>
        <v/>
      </c>
    </row>
    <row r="4172">
      <c r="A4172" s="26" t="n"/>
      <c r="B4172" s="24" t="n"/>
      <c r="C4172" s="40">
        <f>IF(B4172="","",IFERROR(INDEX(Mitarbeiter!$B$6:$B$205,MATCH(B4172,Mitarbeiter!$A$6:$A$205,0)),"?"))</f>
        <v/>
      </c>
      <c r="D4172" s="41" t="n"/>
      <c r="E4172" s="42" t="n"/>
      <c r="F4172" s="43" t="n"/>
      <c r="G4172" s="44">
        <f>IF(OR(B4172="",F4172=""),"",IFERROR(F4172*INDEX(Mitarbeiter!$F$6:$F$205,MATCH(B4172,Mitarbeiter!$A$6:$A$205,0)),0))</f>
        <v/>
      </c>
      <c r="H4172" s="8">
        <f>IF(B4172="","",IF(ISNA(MATCH(B4172,Mitarbeiter!$A$6:$A$205,0)),"Pers.-Nr. unbekannt",IF(A4172="","Datum fehlt",IF(AND(D4172&lt;&gt;Einstellungen!$C$4,D4172&lt;&gt;Einstellungen!$C$5),"Objekt fehlt",IF(YEAR(A4172)&lt;&gt;Einstellungen!$C$3,"anderes Jahr",IF(A4172&lt;INDEX(Mitarbeiter!$C$6:$C$205,MATCH(B4172,Mitarbeiter!$A$6:$A$205,0)),"vor Eintritt",IF(AND(INDEX(Mitarbeiter!$D$6:$D$205,MATCH(B4172,Mitarbeiter!$A$6:$A$205,0))&lt;&gt;"",A4172&gt;INDEX(Mitarbeiter!$D$6:$D$205,MATCH(B4172,Mitarbeiter!$A$6:$A$205,0))),"nach Austritt","ok")))))))</f>
        <v/>
      </c>
    </row>
    <row r="4173">
      <c r="A4173" s="26" t="n"/>
      <c r="B4173" s="24" t="n"/>
      <c r="C4173" s="40">
        <f>IF(B4173="","",IFERROR(INDEX(Mitarbeiter!$B$6:$B$205,MATCH(B4173,Mitarbeiter!$A$6:$A$205,0)),"?"))</f>
        <v/>
      </c>
      <c r="D4173" s="41" t="n"/>
      <c r="E4173" s="42" t="n"/>
      <c r="F4173" s="43" t="n"/>
      <c r="G4173" s="44">
        <f>IF(OR(B4173="",F4173=""),"",IFERROR(F4173*INDEX(Mitarbeiter!$F$6:$F$205,MATCH(B4173,Mitarbeiter!$A$6:$A$205,0)),0))</f>
        <v/>
      </c>
      <c r="H4173" s="8">
        <f>IF(B4173="","",IF(ISNA(MATCH(B4173,Mitarbeiter!$A$6:$A$205,0)),"Pers.-Nr. unbekannt",IF(A4173="","Datum fehlt",IF(AND(D4173&lt;&gt;Einstellungen!$C$4,D4173&lt;&gt;Einstellungen!$C$5),"Objekt fehlt",IF(YEAR(A4173)&lt;&gt;Einstellungen!$C$3,"anderes Jahr",IF(A4173&lt;INDEX(Mitarbeiter!$C$6:$C$205,MATCH(B4173,Mitarbeiter!$A$6:$A$205,0)),"vor Eintritt",IF(AND(INDEX(Mitarbeiter!$D$6:$D$205,MATCH(B4173,Mitarbeiter!$A$6:$A$205,0))&lt;&gt;"",A4173&gt;INDEX(Mitarbeiter!$D$6:$D$205,MATCH(B4173,Mitarbeiter!$A$6:$A$205,0))),"nach Austritt","ok")))))))</f>
        <v/>
      </c>
    </row>
    <row r="4174">
      <c r="A4174" s="26" t="n"/>
      <c r="B4174" s="24" t="n"/>
      <c r="C4174" s="40">
        <f>IF(B4174="","",IFERROR(INDEX(Mitarbeiter!$B$6:$B$205,MATCH(B4174,Mitarbeiter!$A$6:$A$205,0)),"?"))</f>
        <v/>
      </c>
      <c r="D4174" s="41" t="n"/>
      <c r="E4174" s="42" t="n"/>
      <c r="F4174" s="43" t="n"/>
      <c r="G4174" s="44">
        <f>IF(OR(B4174="",F4174=""),"",IFERROR(F4174*INDEX(Mitarbeiter!$F$6:$F$205,MATCH(B4174,Mitarbeiter!$A$6:$A$205,0)),0))</f>
        <v/>
      </c>
      <c r="H4174" s="8">
        <f>IF(B4174="","",IF(ISNA(MATCH(B4174,Mitarbeiter!$A$6:$A$205,0)),"Pers.-Nr. unbekannt",IF(A4174="","Datum fehlt",IF(AND(D4174&lt;&gt;Einstellungen!$C$4,D4174&lt;&gt;Einstellungen!$C$5),"Objekt fehlt",IF(YEAR(A4174)&lt;&gt;Einstellungen!$C$3,"anderes Jahr",IF(A4174&lt;INDEX(Mitarbeiter!$C$6:$C$205,MATCH(B4174,Mitarbeiter!$A$6:$A$205,0)),"vor Eintritt",IF(AND(INDEX(Mitarbeiter!$D$6:$D$205,MATCH(B4174,Mitarbeiter!$A$6:$A$205,0))&lt;&gt;"",A4174&gt;INDEX(Mitarbeiter!$D$6:$D$205,MATCH(B4174,Mitarbeiter!$A$6:$A$205,0))),"nach Austritt","ok")))))))</f>
        <v/>
      </c>
    </row>
    <row r="4175">
      <c r="A4175" s="26" t="n"/>
      <c r="B4175" s="24" t="n"/>
      <c r="C4175" s="40">
        <f>IF(B4175="","",IFERROR(INDEX(Mitarbeiter!$B$6:$B$205,MATCH(B4175,Mitarbeiter!$A$6:$A$205,0)),"?"))</f>
        <v/>
      </c>
      <c r="D4175" s="41" t="n"/>
      <c r="E4175" s="42" t="n"/>
      <c r="F4175" s="43" t="n"/>
      <c r="G4175" s="44">
        <f>IF(OR(B4175="",F4175=""),"",IFERROR(F4175*INDEX(Mitarbeiter!$F$6:$F$205,MATCH(B4175,Mitarbeiter!$A$6:$A$205,0)),0))</f>
        <v/>
      </c>
      <c r="H4175" s="8">
        <f>IF(B4175="","",IF(ISNA(MATCH(B4175,Mitarbeiter!$A$6:$A$205,0)),"Pers.-Nr. unbekannt",IF(A4175="","Datum fehlt",IF(AND(D4175&lt;&gt;Einstellungen!$C$4,D4175&lt;&gt;Einstellungen!$C$5),"Objekt fehlt",IF(YEAR(A4175)&lt;&gt;Einstellungen!$C$3,"anderes Jahr",IF(A4175&lt;INDEX(Mitarbeiter!$C$6:$C$205,MATCH(B4175,Mitarbeiter!$A$6:$A$205,0)),"vor Eintritt",IF(AND(INDEX(Mitarbeiter!$D$6:$D$205,MATCH(B4175,Mitarbeiter!$A$6:$A$205,0))&lt;&gt;"",A4175&gt;INDEX(Mitarbeiter!$D$6:$D$205,MATCH(B4175,Mitarbeiter!$A$6:$A$205,0))),"nach Austritt","ok")))))))</f>
        <v/>
      </c>
    </row>
    <row r="4176">
      <c r="A4176" s="26" t="n"/>
      <c r="B4176" s="24" t="n"/>
      <c r="C4176" s="40">
        <f>IF(B4176="","",IFERROR(INDEX(Mitarbeiter!$B$6:$B$205,MATCH(B4176,Mitarbeiter!$A$6:$A$205,0)),"?"))</f>
        <v/>
      </c>
      <c r="D4176" s="41" t="n"/>
      <c r="E4176" s="42" t="n"/>
      <c r="F4176" s="43" t="n"/>
      <c r="G4176" s="44">
        <f>IF(OR(B4176="",F4176=""),"",IFERROR(F4176*INDEX(Mitarbeiter!$F$6:$F$205,MATCH(B4176,Mitarbeiter!$A$6:$A$205,0)),0))</f>
        <v/>
      </c>
      <c r="H4176" s="8">
        <f>IF(B4176="","",IF(ISNA(MATCH(B4176,Mitarbeiter!$A$6:$A$205,0)),"Pers.-Nr. unbekannt",IF(A4176="","Datum fehlt",IF(AND(D4176&lt;&gt;Einstellungen!$C$4,D4176&lt;&gt;Einstellungen!$C$5),"Objekt fehlt",IF(YEAR(A4176)&lt;&gt;Einstellungen!$C$3,"anderes Jahr",IF(A4176&lt;INDEX(Mitarbeiter!$C$6:$C$205,MATCH(B4176,Mitarbeiter!$A$6:$A$205,0)),"vor Eintritt",IF(AND(INDEX(Mitarbeiter!$D$6:$D$205,MATCH(B4176,Mitarbeiter!$A$6:$A$205,0))&lt;&gt;"",A4176&gt;INDEX(Mitarbeiter!$D$6:$D$205,MATCH(B4176,Mitarbeiter!$A$6:$A$205,0))),"nach Austritt","ok")))))))</f>
        <v/>
      </c>
    </row>
    <row r="4177">
      <c r="A4177" s="26" t="n"/>
      <c r="B4177" s="24" t="n"/>
      <c r="C4177" s="40">
        <f>IF(B4177="","",IFERROR(INDEX(Mitarbeiter!$B$6:$B$205,MATCH(B4177,Mitarbeiter!$A$6:$A$205,0)),"?"))</f>
        <v/>
      </c>
      <c r="D4177" s="41" t="n"/>
      <c r="E4177" s="42" t="n"/>
      <c r="F4177" s="43" t="n"/>
      <c r="G4177" s="44">
        <f>IF(OR(B4177="",F4177=""),"",IFERROR(F4177*INDEX(Mitarbeiter!$F$6:$F$205,MATCH(B4177,Mitarbeiter!$A$6:$A$205,0)),0))</f>
        <v/>
      </c>
      <c r="H4177" s="8">
        <f>IF(B4177="","",IF(ISNA(MATCH(B4177,Mitarbeiter!$A$6:$A$205,0)),"Pers.-Nr. unbekannt",IF(A4177="","Datum fehlt",IF(AND(D4177&lt;&gt;Einstellungen!$C$4,D4177&lt;&gt;Einstellungen!$C$5),"Objekt fehlt",IF(YEAR(A4177)&lt;&gt;Einstellungen!$C$3,"anderes Jahr",IF(A4177&lt;INDEX(Mitarbeiter!$C$6:$C$205,MATCH(B4177,Mitarbeiter!$A$6:$A$205,0)),"vor Eintritt",IF(AND(INDEX(Mitarbeiter!$D$6:$D$205,MATCH(B4177,Mitarbeiter!$A$6:$A$205,0))&lt;&gt;"",A4177&gt;INDEX(Mitarbeiter!$D$6:$D$205,MATCH(B4177,Mitarbeiter!$A$6:$A$205,0))),"nach Austritt","ok")))))))</f>
        <v/>
      </c>
    </row>
    <row r="4178">
      <c r="A4178" s="26" t="n"/>
      <c r="B4178" s="24" t="n"/>
      <c r="C4178" s="40">
        <f>IF(B4178="","",IFERROR(INDEX(Mitarbeiter!$B$6:$B$205,MATCH(B4178,Mitarbeiter!$A$6:$A$205,0)),"?"))</f>
        <v/>
      </c>
      <c r="D4178" s="41" t="n"/>
      <c r="E4178" s="42" t="n"/>
      <c r="F4178" s="43" t="n"/>
      <c r="G4178" s="44">
        <f>IF(OR(B4178="",F4178=""),"",IFERROR(F4178*INDEX(Mitarbeiter!$F$6:$F$205,MATCH(B4178,Mitarbeiter!$A$6:$A$205,0)),0))</f>
        <v/>
      </c>
      <c r="H4178" s="8">
        <f>IF(B4178="","",IF(ISNA(MATCH(B4178,Mitarbeiter!$A$6:$A$205,0)),"Pers.-Nr. unbekannt",IF(A4178="","Datum fehlt",IF(AND(D4178&lt;&gt;Einstellungen!$C$4,D4178&lt;&gt;Einstellungen!$C$5),"Objekt fehlt",IF(YEAR(A4178)&lt;&gt;Einstellungen!$C$3,"anderes Jahr",IF(A4178&lt;INDEX(Mitarbeiter!$C$6:$C$205,MATCH(B4178,Mitarbeiter!$A$6:$A$205,0)),"vor Eintritt",IF(AND(INDEX(Mitarbeiter!$D$6:$D$205,MATCH(B4178,Mitarbeiter!$A$6:$A$205,0))&lt;&gt;"",A4178&gt;INDEX(Mitarbeiter!$D$6:$D$205,MATCH(B4178,Mitarbeiter!$A$6:$A$205,0))),"nach Austritt","ok")))))))</f>
        <v/>
      </c>
    </row>
    <row r="4179">
      <c r="A4179" s="26" t="n"/>
      <c r="B4179" s="24" t="n"/>
      <c r="C4179" s="40">
        <f>IF(B4179="","",IFERROR(INDEX(Mitarbeiter!$B$6:$B$205,MATCH(B4179,Mitarbeiter!$A$6:$A$205,0)),"?"))</f>
        <v/>
      </c>
      <c r="D4179" s="41" t="n"/>
      <c r="E4179" s="42" t="n"/>
      <c r="F4179" s="43" t="n"/>
      <c r="G4179" s="44">
        <f>IF(OR(B4179="",F4179=""),"",IFERROR(F4179*INDEX(Mitarbeiter!$F$6:$F$205,MATCH(B4179,Mitarbeiter!$A$6:$A$205,0)),0))</f>
        <v/>
      </c>
      <c r="H4179" s="8">
        <f>IF(B4179="","",IF(ISNA(MATCH(B4179,Mitarbeiter!$A$6:$A$205,0)),"Pers.-Nr. unbekannt",IF(A4179="","Datum fehlt",IF(AND(D4179&lt;&gt;Einstellungen!$C$4,D4179&lt;&gt;Einstellungen!$C$5),"Objekt fehlt",IF(YEAR(A4179)&lt;&gt;Einstellungen!$C$3,"anderes Jahr",IF(A4179&lt;INDEX(Mitarbeiter!$C$6:$C$205,MATCH(B4179,Mitarbeiter!$A$6:$A$205,0)),"vor Eintritt",IF(AND(INDEX(Mitarbeiter!$D$6:$D$205,MATCH(B4179,Mitarbeiter!$A$6:$A$205,0))&lt;&gt;"",A4179&gt;INDEX(Mitarbeiter!$D$6:$D$205,MATCH(B4179,Mitarbeiter!$A$6:$A$205,0))),"nach Austritt","ok")))))))</f>
        <v/>
      </c>
    </row>
    <row r="4180">
      <c r="A4180" s="26" t="n"/>
      <c r="B4180" s="24" t="n"/>
      <c r="C4180" s="40">
        <f>IF(B4180="","",IFERROR(INDEX(Mitarbeiter!$B$6:$B$205,MATCH(B4180,Mitarbeiter!$A$6:$A$205,0)),"?"))</f>
        <v/>
      </c>
      <c r="D4180" s="41" t="n"/>
      <c r="E4180" s="42" t="n"/>
      <c r="F4180" s="43" t="n"/>
      <c r="G4180" s="44">
        <f>IF(OR(B4180="",F4180=""),"",IFERROR(F4180*INDEX(Mitarbeiter!$F$6:$F$205,MATCH(B4180,Mitarbeiter!$A$6:$A$205,0)),0))</f>
        <v/>
      </c>
      <c r="H4180" s="8">
        <f>IF(B4180="","",IF(ISNA(MATCH(B4180,Mitarbeiter!$A$6:$A$205,0)),"Pers.-Nr. unbekannt",IF(A4180="","Datum fehlt",IF(AND(D4180&lt;&gt;Einstellungen!$C$4,D4180&lt;&gt;Einstellungen!$C$5),"Objekt fehlt",IF(YEAR(A4180)&lt;&gt;Einstellungen!$C$3,"anderes Jahr",IF(A4180&lt;INDEX(Mitarbeiter!$C$6:$C$205,MATCH(B4180,Mitarbeiter!$A$6:$A$205,0)),"vor Eintritt",IF(AND(INDEX(Mitarbeiter!$D$6:$D$205,MATCH(B4180,Mitarbeiter!$A$6:$A$205,0))&lt;&gt;"",A4180&gt;INDEX(Mitarbeiter!$D$6:$D$205,MATCH(B4180,Mitarbeiter!$A$6:$A$205,0))),"nach Austritt","ok")))))))</f>
        <v/>
      </c>
    </row>
    <row r="4181">
      <c r="A4181" s="26" t="n"/>
      <c r="B4181" s="24" t="n"/>
      <c r="C4181" s="40">
        <f>IF(B4181="","",IFERROR(INDEX(Mitarbeiter!$B$6:$B$205,MATCH(B4181,Mitarbeiter!$A$6:$A$205,0)),"?"))</f>
        <v/>
      </c>
      <c r="D4181" s="41" t="n"/>
      <c r="E4181" s="42" t="n"/>
      <c r="F4181" s="43" t="n"/>
      <c r="G4181" s="44">
        <f>IF(OR(B4181="",F4181=""),"",IFERROR(F4181*INDEX(Mitarbeiter!$F$6:$F$205,MATCH(B4181,Mitarbeiter!$A$6:$A$205,0)),0))</f>
        <v/>
      </c>
      <c r="H4181" s="8">
        <f>IF(B4181="","",IF(ISNA(MATCH(B4181,Mitarbeiter!$A$6:$A$205,0)),"Pers.-Nr. unbekannt",IF(A4181="","Datum fehlt",IF(AND(D4181&lt;&gt;Einstellungen!$C$4,D4181&lt;&gt;Einstellungen!$C$5),"Objekt fehlt",IF(YEAR(A4181)&lt;&gt;Einstellungen!$C$3,"anderes Jahr",IF(A4181&lt;INDEX(Mitarbeiter!$C$6:$C$205,MATCH(B4181,Mitarbeiter!$A$6:$A$205,0)),"vor Eintritt",IF(AND(INDEX(Mitarbeiter!$D$6:$D$205,MATCH(B4181,Mitarbeiter!$A$6:$A$205,0))&lt;&gt;"",A4181&gt;INDEX(Mitarbeiter!$D$6:$D$205,MATCH(B4181,Mitarbeiter!$A$6:$A$205,0))),"nach Austritt","ok")))))))</f>
        <v/>
      </c>
    </row>
    <row r="4182">
      <c r="A4182" s="26" t="n"/>
      <c r="B4182" s="24" t="n"/>
      <c r="C4182" s="40">
        <f>IF(B4182="","",IFERROR(INDEX(Mitarbeiter!$B$6:$B$205,MATCH(B4182,Mitarbeiter!$A$6:$A$205,0)),"?"))</f>
        <v/>
      </c>
      <c r="D4182" s="41" t="n"/>
      <c r="E4182" s="42" t="n"/>
      <c r="F4182" s="43" t="n"/>
      <c r="G4182" s="44">
        <f>IF(OR(B4182="",F4182=""),"",IFERROR(F4182*INDEX(Mitarbeiter!$F$6:$F$205,MATCH(B4182,Mitarbeiter!$A$6:$A$205,0)),0))</f>
        <v/>
      </c>
      <c r="H4182" s="8">
        <f>IF(B4182="","",IF(ISNA(MATCH(B4182,Mitarbeiter!$A$6:$A$205,0)),"Pers.-Nr. unbekannt",IF(A4182="","Datum fehlt",IF(AND(D4182&lt;&gt;Einstellungen!$C$4,D4182&lt;&gt;Einstellungen!$C$5),"Objekt fehlt",IF(YEAR(A4182)&lt;&gt;Einstellungen!$C$3,"anderes Jahr",IF(A4182&lt;INDEX(Mitarbeiter!$C$6:$C$205,MATCH(B4182,Mitarbeiter!$A$6:$A$205,0)),"vor Eintritt",IF(AND(INDEX(Mitarbeiter!$D$6:$D$205,MATCH(B4182,Mitarbeiter!$A$6:$A$205,0))&lt;&gt;"",A4182&gt;INDEX(Mitarbeiter!$D$6:$D$205,MATCH(B4182,Mitarbeiter!$A$6:$A$205,0))),"nach Austritt","ok")))))))</f>
        <v/>
      </c>
    </row>
    <row r="4183">
      <c r="A4183" s="26" t="n"/>
      <c r="B4183" s="24" t="n"/>
      <c r="C4183" s="40">
        <f>IF(B4183="","",IFERROR(INDEX(Mitarbeiter!$B$6:$B$205,MATCH(B4183,Mitarbeiter!$A$6:$A$205,0)),"?"))</f>
        <v/>
      </c>
      <c r="D4183" s="41" t="n"/>
      <c r="E4183" s="42" t="n"/>
      <c r="F4183" s="43" t="n"/>
      <c r="G4183" s="44">
        <f>IF(OR(B4183="",F4183=""),"",IFERROR(F4183*INDEX(Mitarbeiter!$F$6:$F$205,MATCH(B4183,Mitarbeiter!$A$6:$A$205,0)),0))</f>
        <v/>
      </c>
      <c r="H4183" s="8">
        <f>IF(B4183="","",IF(ISNA(MATCH(B4183,Mitarbeiter!$A$6:$A$205,0)),"Pers.-Nr. unbekannt",IF(A4183="","Datum fehlt",IF(AND(D4183&lt;&gt;Einstellungen!$C$4,D4183&lt;&gt;Einstellungen!$C$5),"Objekt fehlt",IF(YEAR(A4183)&lt;&gt;Einstellungen!$C$3,"anderes Jahr",IF(A4183&lt;INDEX(Mitarbeiter!$C$6:$C$205,MATCH(B4183,Mitarbeiter!$A$6:$A$205,0)),"vor Eintritt",IF(AND(INDEX(Mitarbeiter!$D$6:$D$205,MATCH(B4183,Mitarbeiter!$A$6:$A$205,0))&lt;&gt;"",A4183&gt;INDEX(Mitarbeiter!$D$6:$D$205,MATCH(B4183,Mitarbeiter!$A$6:$A$205,0))),"nach Austritt","ok")))))))</f>
        <v/>
      </c>
    </row>
    <row r="4184">
      <c r="A4184" s="26" t="n"/>
      <c r="B4184" s="24" t="n"/>
      <c r="C4184" s="40">
        <f>IF(B4184="","",IFERROR(INDEX(Mitarbeiter!$B$6:$B$205,MATCH(B4184,Mitarbeiter!$A$6:$A$205,0)),"?"))</f>
        <v/>
      </c>
      <c r="D4184" s="41" t="n"/>
      <c r="E4184" s="42" t="n"/>
      <c r="F4184" s="43" t="n"/>
      <c r="G4184" s="44">
        <f>IF(OR(B4184="",F4184=""),"",IFERROR(F4184*INDEX(Mitarbeiter!$F$6:$F$205,MATCH(B4184,Mitarbeiter!$A$6:$A$205,0)),0))</f>
        <v/>
      </c>
      <c r="H4184" s="8">
        <f>IF(B4184="","",IF(ISNA(MATCH(B4184,Mitarbeiter!$A$6:$A$205,0)),"Pers.-Nr. unbekannt",IF(A4184="","Datum fehlt",IF(AND(D4184&lt;&gt;Einstellungen!$C$4,D4184&lt;&gt;Einstellungen!$C$5),"Objekt fehlt",IF(YEAR(A4184)&lt;&gt;Einstellungen!$C$3,"anderes Jahr",IF(A4184&lt;INDEX(Mitarbeiter!$C$6:$C$205,MATCH(B4184,Mitarbeiter!$A$6:$A$205,0)),"vor Eintritt",IF(AND(INDEX(Mitarbeiter!$D$6:$D$205,MATCH(B4184,Mitarbeiter!$A$6:$A$205,0))&lt;&gt;"",A4184&gt;INDEX(Mitarbeiter!$D$6:$D$205,MATCH(B4184,Mitarbeiter!$A$6:$A$205,0))),"nach Austritt","ok")))))))</f>
        <v/>
      </c>
    </row>
    <row r="4185">
      <c r="A4185" s="26" t="n"/>
      <c r="B4185" s="24" t="n"/>
      <c r="C4185" s="40">
        <f>IF(B4185="","",IFERROR(INDEX(Mitarbeiter!$B$6:$B$205,MATCH(B4185,Mitarbeiter!$A$6:$A$205,0)),"?"))</f>
        <v/>
      </c>
      <c r="D4185" s="41" t="n"/>
      <c r="E4185" s="42" t="n"/>
      <c r="F4185" s="43" t="n"/>
      <c r="G4185" s="44">
        <f>IF(OR(B4185="",F4185=""),"",IFERROR(F4185*INDEX(Mitarbeiter!$F$6:$F$205,MATCH(B4185,Mitarbeiter!$A$6:$A$205,0)),0))</f>
        <v/>
      </c>
      <c r="H4185" s="8">
        <f>IF(B4185="","",IF(ISNA(MATCH(B4185,Mitarbeiter!$A$6:$A$205,0)),"Pers.-Nr. unbekannt",IF(A4185="","Datum fehlt",IF(AND(D4185&lt;&gt;Einstellungen!$C$4,D4185&lt;&gt;Einstellungen!$C$5),"Objekt fehlt",IF(YEAR(A4185)&lt;&gt;Einstellungen!$C$3,"anderes Jahr",IF(A4185&lt;INDEX(Mitarbeiter!$C$6:$C$205,MATCH(B4185,Mitarbeiter!$A$6:$A$205,0)),"vor Eintritt",IF(AND(INDEX(Mitarbeiter!$D$6:$D$205,MATCH(B4185,Mitarbeiter!$A$6:$A$205,0))&lt;&gt;"",A4185&gt;INDEX(Mitarbeiter!$D$6:$D$205,MATCH(B4185,Mitarbeiter!$A$6:$A$205,0))),"nach Austritt","ok")))))))</f>
        <v/>
      </c>
    </row>
    <row r="4186">
      <c r="A4186" s="26" t="n"/>
      <c r="B4186" s="24" t="n"/>
      <c r="C4186" s="40">
        <f>IF(B4186="","",IFERROR(INDEX(Mitarbeiter!$B$6:$B$205,MATCH(B4186,Mitarbeiter!$A$6:$A$205,0)),"?"))</f>
        <v/>
      </c>
      <c r="D4186" s="41" t="n"/>
      <c r="E4186" s="42" t="n"/>
      <c r="F4186" s="43" t="n"/>
      <c r="G4186" s="44">
        <f>IF(OR(B4186="",F4186=""),"",IFERROR(F4186*INDEX(Mitarbeiter!$F$6:$F$205,MATCH(B4186,Mitarbeiter!$A$6:$A$205,0)),0))</f>
        <v/>
      </c>
      <c r="H4186" s="8">
        <f>IF(B4186="","",IF(ISNA(MATCH(B4186,Mitarbeiter!$A$6:$A$205,0)),"Pers.-Nr. unbekannt",IF(A4186="","Datum fehlt",IF(AND(D4186&lt;&gt;Einstellungen!$C$4,D4186&lt;&gt;Einstellungen!$C$5),"Objekt fehlt",IF(YEAR(A4186)&lt;&gt;Einstellungen!$C$3,"anderes Jahr",IF(A4186&lt;INDEX(Mitarbeiter!$C$6:$C$205,MATCH(B4186,Mitarbeiter!$A$6:$A$205,0)),"vor Eintritt",IF(AND(INDEX(Mitarbeiter!$D$6:$D$205,MATCH(B4186,Mitarbeiter!$A$6:$A$205,0))&lt;&gt;"",A4186&gt;INDEX(Mitarbeiter!$D$6:$D$205,MATCH(B4186,Mitarbeiter!$A$6:$A$205,0))),"nach Austritt","ok")))))))</f>
        <v/>
      </c>
    </row>
    <row r="4187">
      <c r="A4187" s="26" t="n"/>
      <c r="B4187" s="24" t="n"/>
      <c r="C4187" s="40">
        <f>IF(B4187="","",IFERROR(INDEX(Mitarbeiter!$B$6:$B$205,MATCH(B4187,Mitarbeiter!$A$6:$A$205,0)),"?"))</f>
        <v/>
      </c>
      <c r="D4187" s="41" t="n"/>
      <c r="E4187" s="42" t="n"/>
      <c r="F4187" s="43" t="n"/>
      <c r="G4187" s="44">
        <f>IF(OR(B4187="",F4187=""),"",IFERROR(F4187*INDEX(Mitarbeiter!$F$6:$F$205,MATCH(B4187,Mitarbeiter!$A$6:$A$205,0)),0))</f>
        <v/>
      </c>
      <c r="H4187" s="8">
        <f>IF(B4187="","",IF(ISNA(MATCH(B4187,Mitarbeiter!$A$6:$A$205,0)),"Pers.-Nr. unbekannt",IF(A4187="","Datum fehlt",IF(AND(D4187&lt;&gt;Einstellungen!$C$4,D4187&lt;&gt;Einstellungen!$C$5),"Objekt fehlt",IF(YEAR(A4187)&lt;&gt;Einstellungen!$C$3,"anderes Jahr",IF(A4187&lt;INDEX(Mitarbeiter!$C$6:$C$205,MATCH(B4187,Mitarbeiter!$A$6:$A$205,0)),"vor Eintritt",IF(AND(INDEX(Mitarbeiter!$D$6:$D$205,MATCH(B4187,Mitarbeiter!$A$6:$A$205,0))&lt;&gt;"",A4187&gt;INDEX(Mitarbeiter!$D$6:$D$205,MATCH(B4187,Mitarbeiter!$A$6:$A$205,0))),"nach Austritt","ok")))))))</f>
        <v/>
      </c>
    </row>
    <row r="4188">
      <c r="A4188" s="26" t="n"/>
      <c r="B4188" s="24" t="n"/>
      <c r="C4188" s="40">
        <f>IF(B4188="","",IFERROR(INDEX(Mitarbeiter!$B$6:$B$205,MATCH(B4188,Mitarbeiter!$A$6:$A$205,0)),"?"))</f>
        <v/>
      </c>
      <c r="D4188" s="41" t="n"/>
      <c r="E4188" s="42" t="n"/>
      <c r="F4188" s="43" t="n"/>
      <c r="G4188" s="44">
        <f>IF(OR(B4188="",F4188=""),"",IFERROR(F4188*INDEX(Mitarbeiter!$F$6:$F$205,MATCH(B4188,Mitarbeiter!$A$6:$A$205,0)),0))</f>
        <v/>
      </c>
      <c r="H4188" s="8">
        <f>IF(B4188="","",IF(ISNA(MATCH(B4188,Mitarbeiter!$A$6:$A$205,0)),"Pers.-Nr. unbekannt",IF(A4188="","Datum fehlt",IF(AND(D4188&lt;&gt;Einstellungen!$C$4,D4188&lt;&gt;Einstellungen!$C$5),"Objekt fehlt",IF(YEAR(A4188)&lt;&gt;Einstellungen!$C$3,"anderes Jahr",IF(A4188&lt;INDEX(Mitarbeiter!$C$6:$C$205,MATCH(B4188,Mitarbeiter!$A$6:$A$205,0)),"vor Eintritt",IF(AND(INDEX(Mitarbeiter!$D$6:$D$205,MATCH(B4188,Mitarbeiter!$A$6:$A$205,0))&lt;&gt;"",A4188&gt;INDEX(Mitarbeiter!$D$6:$D$205,MATCH(B4188,Mitarbeiter!$A$6:$A$205,0))),"nach Austritt","ok")))))))</f>
        <v/>
      </c>
    </row>
    <row r="4189">
      <c r="A4189" s="26" t="n"/>
      <c r="B4189" s="24" t="n"/>
      <c r="C4189" s="40">
        <f>IF(B4189="","",IFERROR(INDEX(Mitarbeiter!$B$6:$B$205,MATCH(B4189,Mitarbeiter!$A$6:$A$205,0)),"?"))</f>
        <v/>
      </c>
      <c r="D4189" s="41" t="n"/>
      <c r="E4189" s="42" t="n"/>
      <c r="F4189" s="43" t="n"/>
      <c r="G4189" s="44">
        <f>IF(OR(B4189="",F4189=""),"",IFERROR(F4189*INDEX(Mitarbeiter!$F$6:$F$205,MATCH(B4189,Mitarbeiter!$A$6:$A$205,0)),0))</f>
        <v/>
      </c>
      <c r="H4189" s="8">
        <f>IF(B4189="","",IF(ISNA(MATCH(B4189,Mitarbeiter!$A$6:$A$205,0)),"Pers.-Nr. unbekannt",IF(A4189="","Datum fehlt",IF(AND(D4189&lt;&gt;Einstellungen!$C$4,D4189&lt;&gt;Einstellungen!$C$5),"Objekt fehlt",IF(YEAR(A4189)&lt;&gt;Einstellungen!$C$3,"anderes Jahr",IF(A4189&lt;INDEX(Mitarbeiter!$C$6:$C$205,MATCH(B4189,Mitarbeiter!$A$6:$A$205,0)),"vor Eintritt",IF(AND(INDEX(Mitarbeiter!$D$6:$D$205,MATCH(B4189,Mitarbeiter!$A$6:$A$205,0))&lt;&gt;"",A4189&gt;INDEX(Mitarbeiter!$D$6:$D$205,MATCH(B4189,Mitarbeiter!$A$6:$A$205,0))),"nach Austritt","ok")))))))</f>
        <v/>
      </c>
    </row>
    <row r="4190">
      <c r="A4190" s="26" t="n"/>
      <c r="B4190" s="24" t="n"/>
      <c r="C4190" s="40">
        <f>IF(B4190="","",IFERROR(INDEX(Mitarbeiter!$B$6:$B$205,MATCH(B4190,Mitarbeiter!$A$6:$A$205,0)),"?"))</f>
        <v/>
      </c>
      <c r="D4190" s="41" t="n"/>
      <c r="E4190" s="42" t="n"/>
      <c r="F4190" s="43" t="n"/>
      <c r="G4190" s="44">
        <f>IF(OR(B4190="",F4190=""),"",IFERROR(F4190*INDEX(Mitarbeiter!$F$6:$F$205,MATCH(B4190,Mitarbeiter!$A$6:$A$205,0)),0))</f>
        <v/>
      </c>
      <c r="H4190" s="8">
        <f>IF(B4190="","",IF(ISNA(MATCH(B4190,Mitarbeiter!$A$6:$A$205,0)),"Pers.-Nr. unbekannt",IF(A4190="","Datum fehlt",IF(AND(D4190&lt;&gt;Einstellungen!$C$4,D4190&lt;&gt;Einstellungen!$C$5),"Objekt fehlt",IF(YEAR(A4190)&lt;&gt;Einstellungen!$C$3,"anderes Jahr",IF(A4190&lt;INDEX(Mitarbeiter!$C$6:$C$205,MATCH(B4190,Mitarbeiter!$A$6:$A$205,0)),"vor Eintritt",IF(AND(INDEX(Mitarbeiter!$D$6:$D$205,MATCH(B4190,Mitarbeiter!$A$6:$A$205,0))&lt;&gt;"",A4190&gt;INDEX(Mitarbeiter!$D$6:$D$205,MATCH(B4190,Mitarbeiter!$A$6:$A$205,0))),"nach Austritt","ok")))))))</f>
        <v/>
      </c>
    </row>
    <row r="4191">
      <c r="A4191" s="26" t="n"/>
      <c r="B4191" s="24" t="n"/>
      <c r="C4191" s="40">
        <f>IF(B4191="","",IFERROR(INDEX(Mitarbeiter!$B$6:$B$205,MATCH(B4191,Mitarbeiter!$A$6:$A$205,0)),"?"))</f>
        <v/>
      </c>
      <c r="D4191" s="41" t="n"/>
      <c r="E4191" s="42" t="n"/>
      <c r="F4191" s="43" t="n"/>
      <c r="G4191" s="44">
        <f>IF(OR(B4191="",F4191=""),"",IFERROR(F4191*INDEX(Mitarbeiter!$F$6:$F$205,MATCH(B4191,Mitarbeiter!$A$6:$A$205,0)),0))</f>
        <v/>
      </c>
      <c r="H4191" s="8">
        <f>IF(B4191="","",IF(ISNA(MATCH(B4191,Mitarbeiter!$A$6:$A$205,0)),"Pers.-Nr. unbekannt",IF(A4191="","Datum fehlt",IF(AND(D4191&lt;&gt;Einstellungen!$C$4,D4191&lt;&gt;Einstellungen!$C$5),"Objekt fehlt",IF(YEAR(A4191)&lt;&gt;Einstellungen!$C$3,"anderes Jahr",IF(A4191&lt;INDEX(Mitarbeiter!$C$6:$C$205,MATCH(B4191,Mitarbeiter!$A$6:$A$205,0)),"vor Eintritt",IF(AND(INDEX(Mitarbeiter!$D$6:$D$205,MATCH(B4191,Mitarbeiter!$A$6:$A$205,0))&lt;&gt;"",A4191&gt;INDEX(Mitarbeiter!$D$6:$D$205,MATCH(B4191,Mitarbeiter!$A$6:$A$205,0))),"nach Austritt","ok")))))))</f>
        <v/>
      </c>
    </row>
    <row r="4192">
      <c r="A4192" s="26" t="n"/>
      <c r="B4192" s="24" t="n"/>
      <c r="C4192" s="40">
        <f>IF(B4192="","",IFERROR(INDEX(Mitarbeiter!$B$6:$B$205,MATCH(B4192,Mitarbeiter!$A$6:$A$205,0)),"?"))</f>
        <v/>
      </c>
      <c r="D4192" s="41" t="n"/>
      <c r="E4192" s="42" t="n"/>
      <c r="F4192" s="43" t="n"/>
      <c r="G4192" s="44">
        <f>IF(OR(B4192="",F4192=""),"",IFERROR(F4192*INDEX(Mitarbeiter!$F$6:$F$205,MATCH(B4192,Mitarbeiter!$A$6:$A$205,0)),0))</f>
        <v/>
      </c>
      <c r="H4192" s="8">
        <f>IF(B4192="","",IF(ISNA(MATCH(B4192,Mitarbeiter!$A$6:$A$205,0)),"Pers.-Nr. unbekannt",IF(A4192="","Datum fehlt",IF(AND(D4192&lt;&gt;Einstellungen!$C$4,D4192&lt;&gt;Einstellungen!$C$5),"Objekt fehlt",IF(YEAR(A4192)&lt;&gt;Einstellungen!$C$3,"anderes Jahr",IF(A4192&lt;INDEX(Mitarbeiter!$C$6:$C$205,MATCH(B4192,Mitarbeiter!$A$6:$A$205,0)),"vor Eintritt",IF(AND(INDEX(Mitarbeiter!$D$6:$D$205,MATCH(B4192,Mitarbeiter!$A$6:$A$205,0))&lt;&gt;"",A4192&gt;INDEX(Mitarbeiter!$D$6:$D$205,MATCH(B4192,Mitarbeiter!$A$6:$A$205,0))),"nach Austritt","ok")))))))</f>
        <v/>
      </c>
    </row>
    <row r="4193">
      <c r="A4193" s="26" t="n"/>
      <c r="B4193" s="24" t="n"/>
      <c r="C4193" s="40">
        <f>IF(B4193="","",IFERROR(INDEX(Mitarbeiter!$B$6:$B$205,MATCH(B4193,Mitarbeiter!$A$6:$A$205,0)),"?"))</f>
        <v/>
      </c>
      <c r="D4193" s="41" t="n"/>
      <c r="E4193" s="42" t="n"/>
      <c r="F4193" s="43" t="n"/>
      <c r="G4193" s="44">
        <f>IF(OR(B4193="",F4193=""),"",IFERROR(F4193*INDEX(Mitarbeiter!$F$6:$F$205,MATCH(B4193,Mitarbeiter!$A$6:$A$205,0)),0))</f>
        <v/>
      </c>
      <c r="H4193" s="8">
        <f>IF(B4193="","",IF(ISNA(MATCH(B4193,Mitarbeiter!$A$6:$A$205,0)),"Pers.-Nr. unbekannt",IF(A4193="","Datum fehlt",IF(AND(D4193&lt;&gt;Einstellungen!$C$4,D4193&lt;&gt;Einstellungen!$C$5),"Objekt fehlt",IF(YEAR(A4193)&lt;&gt;Einstellungen!$C$3,"anderes Jahr",IF(A4193&lt;INDEX(Mitarbeiter!$C$6:$C$205,MATCH(B4193,Mitarbeiter!$A$6:$A$205,0)),"vor Eintritt",IF(AND(INDEX(Mitarbeiter!$D$6:$D$205,MATCH(B4193,Mitarbeiter!$A$6:$A$205,0))&lt;&gt;"",A4193&gt;INDEX(Mitarbeiter!$D$6:$D$205,MATCH(B4193,Mitarbeiter!$A$6:$A$205,0))),"nach Austritt","ok")))))))</f>
        <v/>
      </c>
    </row>
    <row r="4194">
      <c r="A4194" s="26" t="n"/>
      <c r="B4194" s="24" t="n"/>
      <c r="C4194" s="40">
        <f>IF(B4194="","",IFERROR(INDEX(Mitarbeiter!$B$6:$B$205,MATCH(B4194,Mitarbeiter!$A$6:$A$205,0)),"?"))</f>
        <v/>
      </c>
      <c r="D4194" s="41" t="n"/>
      <c r="E4194" s="42" t="n"/>
      <c r="F4194" s="43" t="n"/>
      <c r="G4194" s="44">
        <f>IF(OR(B4194="",F4194=""),"",IFERROR(F4194*INDEX(Mitarbeiter!$F$6:$F$205,MATCH(B4194,Mitarbeiter!$A$6:$A$205,0)),0))</f>
        <v/>
      </c>
      <c r="H4194" s="8">
        <f>IF(B4194="","",IF(ISNA(MATCH(B4194,Mitarbeiter!$A$6:$A$205,0)),"Pers.-Nr. unbekannt",IF(A4194="","Datum fehlt",IF(AND(D4194&lt;&gt;Einstellungen!$C$4,D4194&lt;&gt;Einstellungen!$C$5),"Objekt fehlt",IF(YEAR(A4194)&lt;&gt;Einstellungen!$C$3,"anderes Jahr",IF(A4194&lt;INDEX(Mitarbeiter!$C$6:$C$205,MATCH(B4194,Mitarbeiter!$A$6:$A$205,0)),"vor Eintritt",IF(AND(INDEX(Mitarbeiter!$D$6:$D$205,MATCH(B4194,Mitarbeiter!$A$6:$A$205,0))&lt;&gt;"",A4194&gt;INDEX(Mitarbeiter!$D$6:$D$205,MATCH(B4194,Mitarbeiter!$A$6:$A$205,0))),"nach Austritt","ok")))))))</f>
        <v/>
      </c>
    </row>
    <row r="4195">
      <c r="A4195" s="26" t="n"/>
      <c r="B4195" s="24" t="n"/>
      <c r="C4195" s="40">
        <f>IF(B4195="","",IFERROR(INDEX(Mitarbeiter!$B$6:$B$205,MATCH(B4195,Mitarbeiter!$A$6:$A$205,0)),"?"))</f>
        <v/>
      </c>
      <c r="D4195" s="41" t="n"/>
      <c r="E4195" s="42" t="n"/>
      <c r="F4195" s="43" t="n"/>
      <c r="G4195" s="44">
        <f>IF(OR(B4195="",F4195=""),"",IFERROR(F4195*INDEX(Mitarbeiter!$F$6:$F$205,MATCH(B4195,Mitarbeiter!$A$6:$A$205,0)),0))</f>
        <v/>
      </c>
      <c r="H4195" s="8">
        <f>IF(B4195="","",IF(ISNA(MATCH(B4195,Mitarbeiter!$A$6:$A$205,0)),"Pers.-Nr. unbekannt",IF(A4195="","Datum fehlt",IF(AND(D4195&lt;&gt;Einstellungen!$C$4,D4195&lt;&gt;Einstellungen!$C$5),"Objekt fehlt",IF(YEAR(A4195)&lt;&gt;Einstellungen!$C$3,"anderes Jahr",IF(A4195&lt;INDEX(Mitarbeiter!$C$6:$C$205,MATCH(B4195,Mitarbeiter!$A$6:$A$205,0)),"vor Eintritt",IF(AND(INDEX(Mitarbeiter!$D$6:$D$205,MATCH(B4195,Mitarbeiter!$A$6:$A$205,0))&lt;&gt;"",A4195&gt;INDEX(Mitarbeiter!$D$6:$D$205,MATCH(B4195,Mitarbeiter!$A$6:$A$205,0))),"nach Austritt","ok")))))))</f>
        <v/>
      </c>
    </row>
    <row r="4196">
      <c r="A4196" s="26" t="n"/>
      <c r="B4196" s="24" t="n"/>
      <c r="C4196" s="40">
        <f>IF(B4196="","",IFERROR(INDEX(Mitarbeiter!$B$6:$B$205,MATCH(B4196,Mitarbeiter!$A$6:$A$205,0)),"?"))</f>
        <v/>
      </c>
      <c r="D4196" s="41" t="n"/>
      <c r="E4196" s="42" t="n"/>
      <c r="F4196" s="43" t="n"/>
      <c r="G4196" s="44">
        <f>IF(OR(B4196="",F4196=""),"",IFERROR(F4196*INDEX(Mitarbeiter!$F$6:$F$205,MATCH(B4196,Mitarbeiter!$A$6:$A$205,0)),0))</f>
        <v/>
      </c>
      <c r="H4196" s="8">
        <f>IF(B4196="","",IF(ISNA(MATCH(B4196,Mitarbeiter!$A$6:$A$205,0)),"Pers.-Nr. unbekannt",IF(A4196="","Datum fehlt",IF(AND(D4196&lt;&gt;Einstellungen!$C$4,D4196&lt;&gt;Einstellungen!$C$5),"Objekt fehlt",IF(YEAR(A4196)&lt;&gt;Einstellungen!$C$3,"anderes Jahr",IF(A4196&lt;INDEX(Mitarbeiter!$C$6:$C$205,MATCH(B4196,Mitarbeiter!$A$6:$A$205,0)),"vor Eintritt",IF(AND(INDEX(Mitarbeiter!$D$6:$D$205,MATCH(B4196,Mitarbeiter!$A$6:$A$205,0))&lt;&gt;"",A4196&gt;INDEX(Mitarbeiter!$D$6:$D$205,MATCH(B4196,Mitarbeiter!$A$6:$A$205,0))),"nach Austritt","ok")))))))</f>
        <v/>
      </c>
    </row>
    <row r="4197">
      <c r="A4197" s="26" t="n"/>
      <c r="B4197" s="24" t="n"/>
      <c r="C4197" s="40">
        <f>IF(B4197="","",IFERROR(INDEX(Mitarbeiter!$B$6:$B$205,MATCH(B4197,Mitarbeiter!$A$6:$A$205,0)),"?"))</f>
        <v/>
      </c>
      <c r="D4197" s="41" t="n"/>
      <c r="E4197" s="42" t="n"/>
      <c r="F4197" s="43" t="n"/>
      <c r="G4197" s="44">
        <f>IF(OR(B4197="",F4197=""),"",IFERROR(F4197*INDEX(Mitarbeiter!$F$6:$F$205,MATCH(B4197,Mitarbeiter!$A$6:$A$205,0)),0))</f>
        <v/>
      </c>
      <c r="H4197" s="8">
        <f>IF(B4197="","",IF(ISNA(MATCH(B4197,Mitarbeiter!$A$6:$A$205,0)),"Pers.-Nr. unbekannt",IF(A4197="","Datum fehlt",IF(AND(D4197&lt;&gt;Einstellungen!$C$4,D4197&lt;&gt;Einstellungen!$C$5),"Objekt fehlt",IF(YEAR(A4197)&lt;&gt;Einstellungen!$C$3,"anderes Jahr",IF(A4197&lt;INDEX(Mitarbeiter!$C$6:$C$205,MATCH(B4197,Mitarbeiter!$A$6:$A$205,0)),"vor Eintritt",IF(AND(INDEX(Mitarbeiter!$D$6:$D$205,MATCH(B4197,Mitarbeiter!$A$6:$A$205,0))&lt;&gt;"",A4197&gt;INDEX(Mitarbeiter!$D$6:$D$205,MATCH(B4197,Mitarbeiter!$A$6:$A$205,0))),"nach Austritt","ok")))))))</f>
        <v/>
      </c>
    </row>
    <row r="4198">
      <c r="A4198" s="26" t="n"/>
      <c r="B4198" s="24" t="n"/>
      <c r="C4198" s="40">
        <f>IF(B4198="","",IFERROR(INDEX(Mitarbeiter!$B$6:$B$205,MATCH(B4198,Mitarbeiter!$A$6:$A$205,0)),"?"))</f>
        <v/>
      </c>
      <c r="D4198" s="41" t="n"/>
      <c r="E4198" s="42" t="n"/>
      <c r="F4198" s="43" t="n"/>
      <c r="G4198" s="44">
        <f>IF(OR(B4198="",F4198=""),"",IFERROR(F4198*INDEX(Mitarbeiter!$F$6:$F$205,MATCH(B4198,Mitarbeiter!$A$6:$A$205,0)),0))</f>
        <v/>
      </c>
      <c r="H4198" s="8">
        <f>IF(B4198="","",IF(ISNA(MATCH(B4198,Mitarbeiter!$A$6:$A$205,0)),"Pers.-Nr. unbekannt",IF(A4198="","Datum fehlt",IF(AND(D4198&lt;&gt;Einstellungen!$C$4,D4198&lt;&gt;Einstellungen!$C$5),"Objekt fehlt",IF(YEAR(A4198)&lt;&gt;Einstellungen!$C$3,"anderes Jahr",IF(A4198&lt;INDEX(Mitarbeiter!$C$6:$C$205,MATCH(B4198,Mitarbeiter!$A$6:$A$205,0)),"vor Eintritt",IF(AND(INDEX(Mitarbeiter!$D$6:$D$205,MATCH(B4198,Mitarbeiter!$A$6:$A$205,0))&lt;&gt;"",A4198&gt;INDEX(Mitarbeiter!$D$6:$D$205,MATCH(B4198,Mitarbeiter!$A$6:$A$205,0))),"nach Austritt","ok")))))))</f>
        <v/>
      </c>
    </row>
    <row r="4199">
      <c r="A4199" s="26" t="n"/>
      <c r="B4199" s="24" t="n"/>
      <c r="C4199" s="40">
        <f>IF(B4199="","",IFERROR(INDEX(Mitarbeiter!$B$6:$B$205,MATCH(B4199,Mitarbeiter!$A$6:$A$205,0)),"?"))</f>
        <v/>
      </c>
      <c r="D4199" s="41" t="n"/>
      <c r="E4199" s="42" t="n"/>
      <c r="F4199" s="43" t="n"/>
      <c r="G4199" s="44">
        <f>IF(OR(B4199="",F4199=""),"",IFERROR(F4199*INDEX(Mitarbeiter!$F$6:$F$205,MATCH(B4199,Mitarbeiter!$A$6:$A$205,0)),0))</f>
        <v/>
      </c>
      <c r="H4199" s="8">
        <f>IF(B4199="","",IF(ISNA(MATCH(B4199,Mitarbeiter!$A$6:$A$205,0)),"Pers.-Nr. unbekannt",IF(A4199="","Datum fehlt",IF(AND(D4199&lt;&gt;Einstellungen!$C$4,D4199&lt;&gt;Einstellungen!$C$5),"Objekt fehlt",IF(YEAR(A4199)&lt;&gt;Einstellungen!$C$3,"anderes Jahr",IF(A4199&lt;INDEX(Mitarbeiter!$C$6:$C$205,MATCH(B4199,Mitarbeiter!$A$6:$A$205,0)),"vor Eintritt",IF(AND(INDEX(Mitarbeiter!$D$6:$D$205,MATCH(B4199,Mitarbeiter!$A$6:$A$205,0))&lt;&gt;"",A4199&gt;INDEX(Mitarbeiter!$D$6:$D$205,MATCH(B4199,Mitarbeiter!$A$6:$A$205,0))),"nach Austritt","ok")))))))</f>
        <v/>
      </c>
    </row>
    <row r="4200">
      <c r="A4200" s="26" t="n"/>
      <c r="B4200" s="24" t="n"/>
      <c r="C4200" s="40">
        <f>IF(B4200="","",IFERROR(INDEX(Mitarbeiter!$B$6:$B$205,MATCH(B4200,Mitarbeiter!$A$6:$A$205,0)),"?"))</f>
        <v/>
      </c>
      <c r="D4200" s="41" t="n"/>
      <c r="E4200" s="42" t="n"/>
      <c r="F4200" s="43" t="n"/>
      <c r="G4200" s="44">
        <f>IF(OR(B4200="",F4200=""),"",IFERROR(F4200*INDEX(Mitarbeiter!$F$6:$F$205,MATCH(B4200,Mitarbeiter!$A$6:$A$205,0)),0))</f>
        <v/>
      </c>
      <c r="H4200" s="8">
        <f>IF(B4200="","",IF(ISNA(MATCH(B4200,Mitarbeiter!$A$6:$A$205,0)),"Pers.-Nr. unbekannt",IF(A4200="","Datum fehlt",IF(AND(D4200&lt;&gt;Einstellungen!$C$4,D4200&lt;&gt;Einstellungen!$C$5),"Objekt fehlt",IF(YEAR(A4200)&lt;&gt;Einstellungen!$C$3,"anderes Jahr",IF(A4200&lt;INDEX(Mitarbeiter!$C$6:$C$205,MATCH(B4200,Mitarbeiter!$A$6:$A$205,0)),"vor Eintritt",IF(AND(INDEX(Mitarbeiter!$D$6:$D$205,MATCH(B4200,Mitarbeiter!$A$6:$A$205,0))&lt;&gt;"",A4200&gt;INDEX(Mitarbeiter!$D$6:$D$205,MATCH(B4200,Mitarbeiter!$A$6:$A$205,0))),"nach Austritt","ok")))))))</f>
        <v/>
      </c>
    </row>
    <row r="4201">
      <c r="A4201" s="26" t="n"/>
      <c r="B4201" s="24" t="n"/>
      <c r="C4201" s="40">
        <f>IF(B4201="","",IFERROR(INDEX(Mitarbeiter!$B$6:$B$205,MATCH(B4201,Mitarbeiter!$A$6:$A$205,0)),"?"))</f>
        <v/>
      </c>
      <c r="D4201" s="41" t="n"/>
      <c r="E4201" s="42" t="n"/>
      <c r="F4201" s="43" t="n"/>
      <c r="G4201" s="44">
        <f>IF(OR(B4201="",F4201=""),"",IFERROR(F4201*INDEX(Mitarbeiter!$F$6:$F$205,MATCH(B4201,Mitarbeiter!$A$6:$A$205,0)),0))</f>
        <v/>
      </c>
      <c r="H4201" s="8">
        <f>IF(B4201="","",IF(ISNA(MATCH(B4201,Mitarbeiter!$A$6:$A$205,0)),"Pers.-Nr. unbekannt",IF(A4201="","Datum fehlt",IF(AND(D4201&lt;&gt;Einstellungen!$C$4,D4201&lt;&gt;Einstellungen!$C$5),"Objekt fehlt",IF(YEAR(A4201)&lt;&gt;Einstellungen!$C$3,"anderes Jahr",IF(A4201&lt;INDEX(Mitarbeiter!$C$6:$C$205,MATCH(B4201,Mitarbeiter!$A$6:$A$205,0)),"vor Eintritt",IF(AND(INDEX(Mitarbeiter!$D$6:$D$205,MATCH(B4201,Mitarbeiter!$A$6:$A$205,0))&lt;&gt;"",A4201&gt;INDEX(Mitarbeiter!$D$6:$D$205,MATCH(B4201,Mitarbeiter!$A$6:$A$205,0))),"nach Austritt","ok")))))))</f>
        <v/>
      </c>
    </row>
    <row r="4202">
      <c r="A4202" s="26" t="n"/>
      <c r="B4202" s="24" t="n"/>
      <c r="C4202" s="40">
        <f>IF(B4202="","",IFERROR(INDEX(Mitarbeiter!$B$6:$B$205,MATCH(B4202,Mitarbeiter!$A$6:$A$205,0)),"?"))</f>
        <v/>
      </c>
      <c r="D4202" s="41" t="n"/>
      <c r="E4202" s="42" t="n"/>
      <c r="F4202" s="43" t="n"/>
      <c r="G4202" s="44">
        <f>IF(OR(B4202="",F4202=""),"",IFERROR(F4202*INDEX(Mitarbeiter!$F$6:$F$205,MATCH(B4202,Mitarbeiter!$A$6:$A$205,0)),0))</f>
        <v/>
      </c>
      <c r="H4202" s="8">
        <f>IF(B4202="","",IF(ISNA(MATCH(B4202,Mitarbeiter!$A$6:$A$205,0)),"Pers.-Nr. unbekannt",IF(A4202="","Datum fehlt",IF(AND(D4202&lt;&gt;Einstellungen!$C$4,D4202&lt;&gt;Einstellungen!$C$5),"Objekt fehlt",IF(YEAR(A4202)&lt;&gt;Einstellungen!$C$3,"anderes Jahr",IF(A4202&lt;INDEX(Mitarbeiter!$C$6:$C$205,MATCH(B4202,Mitarbeiter!$A$6:$A$205,0)),"vor Eintritt",IF(AND(INDEX(Mitarbeiter!$D$6:$D$205,MATCH(B4202,Mitarbeiter!$A$6:$A$205,0))&lt;&gt;"",A4202&gt;INDEX(Mitarbeiter!$D$6:$D$205,MATCH(B4202,Mitarbeiter!$A$6:$A$205,0))),"nach Austritt","ok")))))))</f>
        <v/>
      </c>
    </row>
    <row r="4203">
      <c r="A4203" s="26" t="n"/>
      <c r="B4203" s="24" t="n"/>
      <c r="C4203" s="40">
        <f>IF(B4203="","",IFERROR(INDEX(Mitarbeiter!$B$6:$B$205,MATCH(B4203,Mitarbeiter!$A$6:$A$205,0)),"?"))</f>
        <v/>
      </c>
      <c r="D4203" s="41" t="n"/>
      <c r="E4203" s="42" t="n"/>
      <c r="F4203" s="43" t="n"/>
      <c r="G4203" s="44">
        <f>IF(OR(B4203="",F4203=""),"",IFERROR(F4203*INDEX(Mitarbeiter!$F$6:$F$205,MATCH(B4203,Mitarbeiter!$A$6:$A$205,0)),0))</f>
        <v/>
      </c>
      <c r="H4203" s="8">
        <f>IF(B4203="","",IF(ISNA(MATCH(B4203,Mitarbeiter!$A$6:$A$205,0)),"Pers.-Nr. unbekannt",IF(A4203="","Datum fehlt",IF(AND(D4203&lt;&gt;Einstellungen!$C$4,D4203&lt;&gt;Einstellungen!$C$5),"Objekt fehlt",IF(YEAR(A4203)&lt;&gt;Einstellungen!$C$3,"anderes Jahr",IF(A4203&lt;INDEX(Mitarbeiter!$C$6:$C$205,MATCH(B4203,Mitarbeiter!$A$6:$A$205,0)),"vor Eintritt",IF(AND(INDEX(Mitarbeiter!$D$6:$D$205,MATCH(B4203,Mitarbeiter!$A$6:$A$205,0))&lt;&gt;"",A4203&gt;INDEX(Mitarbeiter!$D$6:$D$205,MATCH(B4203,Mitarbeiter!$A$6:$A$205,0))),"nach Austritt","ok")))))))</f>
        <v/>
      </c>
    </row>
    <row r="4204">
      <c r="A4204" s="26" t="n"/>
      <c r="B4204" s="24" t="n"/>
      <c r="C4204" s="40">
        <f>IF(B4204="","",IFERROR(INDEX(Mitarbeiter!$B$6:$B$205,MATCH(B4204,Mitarbeiter!$A$6:$A$205,0)),"?"))</f>
        <v/>
      </c>
      <c r="D4204" s="41" t="n"/>
      <c r="E4204" s="42" t="n"/>
      <c r="F4204" s="43" t="n"/>
      <c r="G4204" s="44">
        <f>IF(OR(B4204="",F4204=""),"",IFERROR(F4204*INDEX(Mitarbeiter!$F$6:$F$205,MATCH(B4204,Mitarbeiter!$A$6:$A$205,0)),0))</f>
        <v/>
      </c>
      <c r="H4204" s="8">
        <f>IF(B4204="","",IF(ISNA(MATCH(B4204,Mitarbeiter!$A$6:$A$205,0)),"Pers.-Nr. unbekannt",IF(A4204="","Datum fehlt",IF(AND(D4204&lt;&gt;Einstellungen!$C$4,D4204&lt;&gt;Einstellungen!$C$5),"Objekt fehlt",IF(YEAR(A4204)&lt;&gt;Einstellungen!$C$3,"anderes Jahr",IF(A4204&lt;INDEX(Mitarbeiter!$C$6:$C$205,MATCH(B4204,Mitarbeiter!$A$6:$A$205,0)),"vor Eintritt",IF(AND(INDEX(Mitarbeiter!$D$6:$D$205,MATCH(B4204,Mitarbeiter!$A$6:$A$205,0))&lt;&gt;"",A4204&gt;INDEX(Mitarbeiter!$D$6:$D$205,MATCH(B4204,Mitarbeiter!$A$6:$A$205,0))),"nach Austritt","ok")))))))</f>
        <v/>
      </c>
    </row>
    <row r="4205">
      <c r="A4205" s="26" t="n"/>
      <c r="B4205" s="24" t="n"/>
      <c r="C4205" s="40">
        <f>IF(B4205="","",IFERROR(INDEX(Mitarbeiter!$B$6:$B$205,MATCH(B4205,Mitarbeiter!$A$6:$A$205,0)),"?"))</f>
        <v/>
      </c>
      <c r="D4205" s="41" t="n"/>
      <c r="E4205" s="42" t="n"/>
      <c r="F4205" s="43" t="n"/>
      <c r="G4205" s="44">
        <f>IF(OR(B4205="",F4205=""),"",IFERROR(F4205*INDEX(Mitarbeiter!$F$6:$F$205,MATCH(B4205,Mitarbeiter!$A$6:$A$205,0)),0))</f>
        <v/>
      </c>
      <c r="H4205" s="8">
        <f>IF(B4205="","",IF(ISNA(MATCH(B4205,Mitarbeiter!$A$6:$A$205,0)),"Pers.-Nr. unbekannt",IF(A4205="","Datum fehlt",IF(AND(D4205&lt;&gt;Einstellungen!$C$4,D4205&lt;&gt;Einstellungen!$C$5),"Objekt fehlt",IF(YEAR(A4205)&lt;&gt;Einstellungen!$C$3,"anderes Jahr",IF(A4205&lt;INDEX(Mitarbeiter!$C$6:$C$205,MATCH(B4205,Mitarbeiter!$A$6:$A$205,0)),"vor Eintritt",IF(AND(INDEX(Mitarbeiter!$D$6:$D$205,MATCH(B4205,Mitarbeiter!$A$6:$A$205,0))&lt;&gt;"",A4205&gt;INDEX(Mitarbeiter!$D$6:$D$205,MATCH(B4205,Mitarbeiter!$A$6:$A$205,0))),"nach Austritt","ok")))))))</f>
        <v/>
      </c>
    </row>
    <row r="4206">
      <c r="A4206" s="26" t="n"/>
      <c r="B4206" s="24" t="n"/>
      <c r="C4206" s="40">
        <f>IF(B4206="","",IFERROR(INDEX(Mitarbeiter!$B$6:$B$205,MATCH(B4206,Mitarbeiter!$A$6:$A$205,0)),"?"))</f>
        <v/>
      </c>
      <c r="D4206" s="41" t="n"/>
      <c r="E4206" s="42" t="n"/>
      <c r="F4206" s="43" t="n"/>
      <c r="G4206" s="44">
        <f>IF(OR(B4206="",F4206=""),"",IFERROR(F4206*INDEX(Mitarbeiter!$F$6:$F$205,MATCH(B4206,Mitarbeiter!$A$6:$A$205,0)),0))</f>
        <v/>
      </c>
      <c r="H4206" s="8">
        <f>IF(B4206="","",IF(ISNA(MATCH(B4206,Mitarbeiter!$A$6:$A$205,0)),"Pers.-Nr. unbekannt",IF(A4206="","Datum fehlt",IF(AND(D4206&lt;&gt;Einstellungen!$C$4,D4206&lt;&gt;Einstellungen!$C$5),"Objekt fehlt",IF(YEAR(A4206)&lt;&gt;Einstellungen!$C$3,"anderes Jahr",IF(A4206&lt;INDEX(Mitarbeiter!$C$6:$C$205,MATCH(B4206,Mitarbeiter!$A$6:$A$205,0)),"vor Eintritt",IF(AND(INDEX(Mitarbeiter!$D$6:$D$205,MATCH(B4206,Mitarbeiter!$A$6:$A$205,0))&lt;&gt;"",A4206&gt;INDEX(Mitarbeiter!$D$6:$D$205,MATCH(B4206,Mitarbeiter!$A$6:$A$205,0))),"nach Austritt","ok")))))))</f>
        <v/>
      </c>
    </row>
    <row r="4207">
      <c r="A4207" s="26" t="n"/>
      <c r="B4207" s="24" t="n"/>
      <c r="C4207" s="40">
        <f>IF(B4207="","",IFERROR(INDEX(Mitarbeiter!$B$6:$B$205,MATCH(B4207,Mitarbeiter!$A$6:$A$205,0)),"?"))</f>
        <v/>
      </c>
      <c r="D4207" s="41" t="n"/>
      <c r="E4207" s="42" t="n"/>
      <c r="F4207" s="43" t="n"/>
      <c r="G4207" s="44">
        <f>IF(OR(B4207="",F4207=""),"",IFERROR(F4207*INDEX(Mitarbeiter!$F$6:$F$205,MATCH(B4207,Mitarbeiter!$A$6:$A$205,0)),0))</f>
        <v/>
      </c>
      <c r="H4207" s="8">
        <f>IF(B4207="","",IF(ISNA(MATCH(B4207,Mitarbeiter!$A$6:$A$205,0)),"Pers.-Nr. unbekannt",IF(A4207="","Datum fehlt",IF(AND(D4207&lt;&gt;Einstellungen!$C$4,D4207&lt;&gt;Einstellungen!$C$5),"Objekt fehlt",IF(YEAR(A4207)&lt;&gt;Einstellungen!$C$3,"anderes Jahr",IF(A4207&lt;INDEX(Mitarbeiter!$C$6:$C$205,MATCH(B4207,Mitarbeiter!$A$6:$A$205,0)),"vor Eintritt",IF(AND(INDEX(Mitarbeiter!$D$6:$D$205,MATCH(B4207,Mitarbeiter!$A$6:$A$205,0))&lt;&gt;"",A4207&gt;INDEX(Mitarbeiter!$D$6:$D$205,MATCH(B4207,Mitarbeiter!$A$6:$A$205,0))),"nach Austritt","ok")))))))</f>
        <v/>
      </c>
    </row>
    <row r="4208">
      <c r="A4208" s="26" t="n"/>
      <c r="B4208" s="24" t="n"/>
      <c r="C4208" s="40">
        <f>IF(B4208="","",IFERROR(INDEX(Mitarbeiter!$B$6:$B$205,MATCH(B4208,Mitarbeiter!$A$6:$A$205,0)),"?"))</f>
        <v/>
      </c>
      <c r="D4208" s="41" t="n"/>
      <c r="E4208" s="42" t="n"/>
      <c r="F4208" s="43" t="n"/>
      <c r="G4208" s="44">
        <f>IF(OR(B4208="",F4208=""),"",IFERROR(F4208*INDEX(Mitarbeiter!$F$6:$F$205,MATCH(B4208,Mitarbeiter!$A$6:$A$205,0)),0))</f>
        <v/>
      </c>
      <c r="H4208" s="8">
        <f>IF(B4208="","",IF(ISNA(MATCH(B4208,Mitarbeiter!$A$6:$A$205,0)),"Pers.-Nr. unbekannt",IF(A4208="","Datum fehlt",IF(AND(D4208&lt;&gt;Einstellungen!$C$4,D4208&lt;&gt;Einstellungen!$C$5),"Objekt fehlt",IF(YEAR(A4208)&lt;&gt;Einstellungen!$C$3,"anderes Jahr",IF(A4208&lt;INDEX(Mitarbeiter!$C$6:$C$205,MATCH(B4208,Mitarbeiter!$A$6:$A$205,0)),"vor Eintritt",IF(AND(INDEX(Mitarbeiter!$D$6:$D$205,MATCH(B4208,Mitarbeiter!$A$6:$A$205,0))&lt;&gt;"",A4208&gt;INDEX(Mitarbeiter!$D$6:$D$205,MATCH(B4208,Mitarbeiter!$A$6:$A$205,0))),"nach Austritt","ok")))))))</f>
        <v/>
      </c>
    </row>
    <row r="4209">
      <c r="A4209" s="26" t="n"/>
      <c r="B4209" s="24" t="n"/>
      <c r="C4209" s="40">
        <f>IF(B4209="","",IFERROR(INDEX(Mitarbeiter!$B$6:$B$205,MATCH(B4209,Mitarbeiter!$A$6:$A$205,0)),"?"))</f>
        <v/>
      </c>
      <c r="D4209" s="41" t="n"/>
      <c r="E4209" s="42" t="n"/>
      <c r="F4209" s="43" t="n"/>
      <c r="G4209" s="44">
        <f>IF(OR(B4209="",F4209=""),"",IFERROR(F4209*INDEX(Mitarbeiter!$F$6:$F$205,MATCH(B4209,Mitarbeiter!$A$6:$A$205,0)),0))</f>
        <v/>
      </c>
      <c r="H4209" s="8">
        <f>IF(B4209="","",IF(ISNA(MATCH(B4209,Mitarbeiter!$A$6:$A$205,0)),"Pers.-Nr. unbekannt",IF(A4209="","Datum fehlt",IF(AND(D4209&lt;&gt;Einstellungen!$C$4,D4209&lt;&gt;Einstellungen!$C$5),"Objekt fehlt",IF(YEAR(A4209)&lt;&gt;Einstellungen!$C$3,"anderes Jahr",IF(A4209&lt;INDEX(Mitarbeiter!$C$6:$C$205,MATCH(B4209,Mitarbeiter!$A$6:$A$205,0)),"vor Eintritt",IF(AND(INDEX(Mitarbeiter!$D$6:$D$205,MATCH(B4209,Mitarbeiter!$A$6:$A$205,0))&lt;&gt;"",A4209&gt;INDEX(Mitarbeiter!$D$6:$D$205,MATCH(B4209,Mitarbeiter!$A$6:$A$205,0))),"nach Austritt","ok")))))))</f>
        <v/>
      </c>
    </row>
    <row r="4210">
      <c r="A4210" s="26" t="n"/>
      <c r="B4210" s="24" t="n"/>
      <c r="C4210" s="40">
        <f>IF(B4210="","",IFERROR(INDEX(Mitarbeiter!$B$6:$B$205,MATCH(B4210,Mitarbeiter!$A$6:$A$205,0)),"?"))</f>
        <v/>
      </c>
      <c r="D4210" s="41" t="n"/>
      <c r="E4210" s="42" t="n"/>
      <c r="F4210" s="43" t="n"/>
      <c r="G4210" s="44">
        <f>IF(OR(B4210="",F4210=""),"",IFERROR(F4210*INDEX(Mitarbeiter!$F$6:$F$205,MATCH(B4210,Mitarbeiter!$A$6:$A$205,0)),0))</f>
        <v/>
      </c>
      <c r="H4210" s="8">
        <f>IF(B4210="","",IF(ISNA(MATCH(B4210,Mitarbeiter!$A$6:$A$205,0)),"Pers.-Nr. unbekannt",IF(A4210="","Datum fehlt",IF(AND(D4210&lt;&gt;Einstellungen!$C$4,D4210&lt;&gt;Einstellungen!$C$5),"Objekt fehlt",IF(YEAR(A4210)&lt;&gt;Einstellungen!$C$3,"anderes Jahr",IF(A4210&lt;INDEX(Mitarbeiter!$C$6:$C$205,MATCH(B4210,Mitarbeiter!$A$6:$A$205,0)),"vor Eintritt",IF(AND(INDEX(Mitarbeiter!$D$6:$D$205,MATCH(B4210,Mitarbeiter!$A$6:$A$205,0))&lt;&gt;"",A4210&gt;INDEX(Mitarbeiter!$D$6:$D$205,MATCH(B4210,Mitarbeiter!$A$6:$A$205,0))),"nach Austritt","ok")))))))</f>
        <v/>
      </c>
    </row>
    <row r="4211">
      <c r="A4211" s="26" t="n"/>
      <c r="B4211" s="24" t="n"/>
      <c r="C4211" s="40">
        <f>IF(B4211="","",IFERROR(INDEX(Mitarbeiter!$B$6:$B$205,MATCH(B4211,Mitarbeiter!$A$6:$A$205,0)),"?"))</f>
        <v/>
      </c>
      <c r="D4211" s="41" t="n"/>
      <c r="E4211" s="42" t="n"/>
      <c r="F4211" s="43" t="n"/>
      <c r="G4211" s="44">
        <f>IF(OR(B4211="",F4211=""),"",IFERROR(F4211*INDEX(Mitarbeiter!$F$6:$F$205,MATCH(B4211,Mitarbeiter!$A$6:$A$205,0)),0))</f>
        <v/>
      </c>
      <c r="H4211" s="8">
        <f>IF(B4211="","",IF(ISNA(MATCH(B4211,Mitarbeiter!$A$6:$A$205,0)),"Pers.-Nr. unbekannt",IF(A4211="","Datum fehlt",IF(AND(D4211&lt;&gt;Einstellungen!$C$4,D4211&lt;&gt;Einstellungen!$C$5),"Objekt fehlt",IF(YEAR(A4211)&lt;&gt;Einstellungen!$C$3,"anderes Jahr",IF(A4211&lt;INDEX(Mitarbeiter!$C$6:$C$205,MATCH(B4211,Mitarbeiter!$A$6:$A$205,0)),"vor Eintritt",IF(AND(INDEX(Mitarbeiter!$D$6:$D$205,MATCH(B4211,Mitarbeiter!$A$6:$A$205,0))&lt;&gt;"",A4211&gt;INDEX(Mitarbeiter!$D$6:$D$205,MATCH(B4211,Mitarbeiter!$A$6:$A$205,0))),"nach Austritt","ok")))))))</f>
        <v/>
      </c>
    </row>
    <row r="4212">
      <c r="A4212" s="26" t="n"/>
      <c r="B4212" s="24" t="n"/>
      <c r="C4212" s="40">
        <f>IF(B4212="","",IFERROR(INDEX(Mitarbeiter!$B$6:$B$205,MATCH(B4212,Mitarbeiter!$A$6:$A$205,0)),"?"))</f>
        <v/>
      </c>
      <c r="D4212" s="41" t="n"/>
      <c r="E4212" s="42" t="n"/>
      <c r="F4212" s="43" t="n"/>
      <c r="G4212" s="44">
        <f>IF(OR(B4212="",F4212=""),"",IFERROR(F4212*INDEX(Mitarbeiter!$F$6:$F$205,MATCH(B4212,Mitarbeiter!$A$6:$A$205,0)),0))</f>
        <v/>
      </c>
      <c r="H4212" s="8">
        <f>IF(B4212="","",IF(ISNA(MATCH(B4212,Mitarbeiter!$A$6:$A$205,0)),"Pers.-Nr. unbekannt",IF(A4212="","Datum fehlt",IF(AND(D4212&lt;&gt;Einstellungen!$C$4,D4212&lt;&gt;Einstellungen!$C$5),"Objekt fehlt",IF(YEAR(A4212)&lt;&gt;Einstellungen!$C$3,"anderes Jahr",IF(A4212&lt;INDEX(Mitarbeiter!$C$6:$C$205,MATCH(B4212,Mitarbeiter!$A$6:$A$205,0)),"vor Eintritt",IF(AND(INDEX(Mitarbeiter!$D$6:$D$205,MATCH(B4212,Mitarbeiter!$A$6:$A$205,0))&lt;&gt;"",A4212&gt;INDEX(Mitarbeiter!$D$6:$D$205,MATCH(B4212,Mitarbeiter!$A$6:$A$205,0))),"nach Austritt","ok")))))))</f>
        <v/>
      </c>
    </row>
    <row r="4213">
      <c r="A4213" s="26" t="n"/>
      <c r="B4213" s="24" t="n"/>
      <c r="C4213" s="40">
        <f>IF(B4213="","",IFERROR(INDEX(Mitarbeiter!$B$6:$B$205,MATCH(B4213,Mitarbeiter!$A$6:$A$205,0)),"?"))</f>
        <v/>
      </c>
      <c r="D4213" s="41" t="n"/>
      <c r="E4213" s="42" t="n"/>
      <c r="F4213" s="43" t="n"/>
      <c r="G4213" s="44">
        <f>IF(OR(B4213="",F4213=""),"",IFERROR(F4213*INDEX(Mitarbeiter!$F$6:$F$205,MATCH(B4213,Mitarbeiter!$A$6:$A$205,0)),0))</f>
        <v/>
      </c>
      <c r="H4213" s="8">
        <f>IF(B4213="","",IF(ISNA(MATCH(B4213,Mitarbeiter!$A$6:$A$205,0)),"Pers.-Nr. unbekannt",IF(A4213="","Datum fehlt",IF(AND(D4213&lt;&gt;Einstellungen!$C$4,D4213&lt;&gt;Einstellungen!$C$5),"Objekt fehlt",IF(YEAR(A4213)&lt;&gt;Einstellungen!$C$3,"anderes Jahr",IF(A4213&lt;INDEX(Mitarbeiter!$C$6:$C$205,MATCH(B4213,Mitarbeiter!$A$6:$A$205,0)),"vor Eintritt",IF(AND(INDEX(Mitarbeiter!$D$6:$D$205,MATCH(B4213,Mitarbeiter!$A$6:$A$205,0))&lt;&gt;"",A4213&gt;INDEX(Mitarbeiter!$D$6:$D$205,MATCH(B4213,Mitarbeiter!$A$6:$A$205,0))),"nach Austritt","ok")))))))</f>
        <v/>
      </c>
    </row>
    <row r="4214">
      <c r="A4214" s="26" t="n"/>
      <c r="B4214" s="24" t="n"/>
      <c r="C4214" s="40">
        <f>IF(B4214="","",IFERROR(INDEX(Mitarbeiter!$B$6:$B$205,MATCH(B4214,Mitarbeiter!$A$6:$A$205,0)),"?"))</f>
        <v/>
      </c>
      <c r="D4214" s="41" t="n"/>
      <c r="E4214" s="42" t="n"/>
      <c r="F4214" s="43" t="n"/>
      <c r="G4214" s="44">
        <f>IF(OR(B4214="",F4214=""),"",IFERROR(F4214*INDEX(Mitarbeiter!$F$6:$F$205,MATCH(B4214,Mitarbeiter!$A$6:$A$205,0)),0))</f>
        <v/>
      </c>
      <c r="H4214" s="8">
        <f>IF(B4214="","",IF(ISNA(MATCH(B4214,Mitarbeiter!$A$6:$A$205,0)),"Pers.-Nr. unbekannt",IF(A4214="","Datum fehlt",IF(AND(D4214&lt;&gt;Einstellungen!$C$4,D4214&lt;&gt;Einstellungen!$C$5),"Objekt fehlt",IF(YEAR(A4214)&lt;&gt;Einstellungen!$C$3,"anderes Jahr",IF(A4214&lt;INDEX(Mitarbeiter!$C$6:$C$205,MATCH(B4214,Mitarbeiter!$A$6:$A$205,0)),"vor Eintritt",IF(AND(INDEX(Mitarbeiter!$D$6:$D$205,MATCH(B4214,Mitarbeiter!$A$6:$A$205,0))&lt;&gt;"",A4214&gt;INDEX(Mitarbeiter!$D$6:$D$205,MATCH(B4214,Mitarbeiter!$A$6:$A$205,0))),"nach Austritt","ok")))))))</f>
        <v/>
      </c>
    </row>
    <row r="4215">
      <c r="A4215" s="26" t="n"/>
      <c r="B4215" s="24" t="n"/>
      <c r="C4215" s="40">
        <f>IF(B4215="","",IFERROR(INDEX(Mitarbeiter!$B$6:$B$205,MATCH(B4215,Mitarbeiter!$A$6:$A$205,0)),"?"))</f>
        <v/>
      </c>
      <c r="D4215" s="41" t="n"/>
      <c r="E4215" s="42" t="n"/>
      <c r="F4215" s="43" t="n"/>
      <c r="G4215" s="44">
        <f>IF(OR(B4215="",F4215=""),"",IFERROR(F4215*INDEX(Mitarbeiter!$F$6:$F$205,MATCH(B4215,Mitarbeiter!$A$6:$A$205,0)),0))</f>
        <v/>
      </c>
      <c r="H4215" s="8">
        <f>IF(B4215="","",IF(ISNA(MATCH(B4215,Mitarbeiter!$A$6:$A$205,0)),"Pers.-Nr. unbekannt",IF(A4215="","Datum fehlt",IF(AND(D4215&lt;&gt;Einstellungen!$C$4,D4215&lt;&gt;Einstellungen!$C$5),"Objekt fehlt",IF(YEAR(A4215)&lt;&gt;Einstellungen!$C$3,"anderes Jahr",IF(A4215&lt;INDEX(Mitarbeiter!$C$6:$C$205,MATCH(B4215,Mitarbeiter!$A$6:$A$205,0)),"vor Eintritt",IF(AND(INDEX(Mitarbeiter!$D$6:$D$205,MATCH(B4215,Mitarbeiter!$A$6:$A$205,0))&lt;&gt;"",A4215&gt;INDEX(Mitarbeiter!$D$6:$D$205,MATCH(B4215,Mitarbeiter!$A$6:$A$205,0))),"nach Austritt","ok")))))))</f>
        <v/>
      </c>
    </row>
    <row r="4216">
      <c r="A4216" s="26" t="n"/>
      <c r="B4216" s="24" t="n"/>
      <c r="C4216" s="40">
        <f>IF(B4216="","",IFERROR(INDEX(Mitarbeiter!$B$6:$B$205,MATCH(B4216,Mitarbeiter!$A$6:$A$205,0)),"?"))</f>
        <v/>
      </c>
      <c r="D4216" s="41" t="n"/>
      <c r="E4216" s="42" t="n"/>
      <c r="F4216" s="43" t="n"/>
      <c r="G4216" s="44">
        <f>IF(OR(B4216="",F4216=""),"",IFERROR(F4216*INDEX(Mitarbeiter!$F$6:$F$205,MATCH(B4216,Mitarbeiter!$A$6:$A$205,0)),0))</f>
        <v/>
      </c>
      <c r="H4216" s="8">
        <f>IF(B4216="","",IF(ISNA(MATCH(B4216,Mitarbeiter!$A$6:$A$205,0)),"Pers.-Nr. unbekannt",IF(A4216="","Datum fehlt",IF(AND(D4216&lt;&gt;Einstellungen!$C$4,D4216&lt;&gt;Einstellungen!$C$5),"Objekt fehlt",IF(YEAR(A4216)&lt;&gt;Einstellungen!$C$3,"anderes Jahr",IF(A4216&lt;INDEX(Mitarbeiter!$C$6:$C$205,MATCH(B4216,Mitarbeiter!$A$6:$A$205,0)),"vor Eintritt",IF(AND(INDEX(Mitarbeiter!$D$6:$D$205,MATCH(B4216,Mitarbeiter!$A$6:$A$205,0))&lt;&gt;"",A4216&gt;INDEX(Mitarbeiter!$D$6:$D$205,MATCH(B4216,Mitarbeiter!$A$6:$A$205,0))),"nach Austritt","ok")))))))</f>
        <v/>
      </c>
    </row>
    <row r="4217">
      <c r="A4217" s="26" t="n"/>
      <c r="B4217" s="24" t="n"/>
      <c r="C4217" s="40">
        <f>IF(B4217="","",IFERROR(INDEX(Mitarbeiter!$B$6:$B$205,MATCH(B4217,Mitarbeiter!$A$6:$A$205,0)),"?"))</f>
        <v/>
      </c>
      <c r="D4217" s="41" t="n"/>
      <c r="E4217" s="42" t="n"/>
      <c r="F4217" s="43" t="n"/>
      <c r="G4217" s="44">
        <f>IF(OR(B4217="",F4217=""),"",IFERROR(F4217*INDEX(Mitarbeiter!$F$6:$F$205,MATCH(B4217,Mitarbeiter!$A$6:$A$205,0)),0))</f>
        <v/>
      </c>
      <c r="H4217" s="8">
        <f>IF(B4217="","",IF(ISNA(MATCH(B4217,Mitarbeiter!$A$6:$A$205,0)),"Pers.-Nr. unbekannt",IF(A4217="","Datum fehlt",IF(AND(D4217&lt;&gt;Einstellungen!$C$4,D4217&lt;&gt;Einstellungen!$C$5),"Objekt fehlt",IF(YEAR(A4217)&lt;&gt;Einstellungen!$C$3,"anderes Jahr",IF(A4217&lt;INDEX(Mitarbeiter!$C$6:$C$205,MATCH(B4217,Mitarbeiter!$A$6:$A$205,0)),"vor Eintritt",IF(AND(INDEX(Mitarbeiter!$D$6:$D$205,MATCH(B4217,Mitarbeiter!$A$6:$A$205,0))&lt;&gt;"",A4217&gt;INDEX(Mitarbeiter!$D$6:$D$205,MATCH(B4217,Mitarbeiter!$A$6:$A$205,0))),"nach Austritt","ok")))))))</f>
        <v/>
      </c>
    </row>
    <row r="4218">
      <c r="A4218" s="26" t="n"/>
      <c r="B4218" s="24" t="n"/>
      <c r="C4218" s="40">
        <f>IF(B4218="","",IFERROR(INDEX(Mitarbeiter!$B$6:$B$205,MATCH(B4218,Mitarbeiter!$A$6:$A$205,0)),"?"))</f>
        <v/>
      </c>
      <c r="D4218" s="41" t="n"/>
      <c r="E4218" s="42" t="n"/>
      <c r="F4218" s="43" t="n"/>
      <c r="G4218" s="44">
        <f>IF(OR(B4218="",F4218=""),"",IFERROR(F4218*INDEX(Mitarbeiter!$F$6:$F$205,MATCH(B4218,Mitarbeiter!$A$6:$A$205,0)),0))</f>
        <v/>
      </c>
      <c r="H4218" s="8">
        <f>IF(B4218="","",IF(ISNA(MATCH(B4218,Mitarbeiter!$A$6:$A$205,0)),"Pers.-Nr. unbekannt",IF(A4218="","Datum fehlt",IF(AND(D4218&lt;&gt;Einstellungen!$C$4,D4218&lt;&gt;Einstellungen!$C$5),"Objekt fehlt",IF(YEAR(A4218)&lt;&gt;Einstellungen!$C$3,"anderes Jahr",IF(A4218&lt;INDEX(Mitarbeiter!$C$6:$C$205,MATCH(B4218,Mitarbeiter!$A$6:$A$205,0)),"vor Eintritt",IF(AND(INDEX(Mitarbeiter!$D$6:$D$205,MATCH(B4218,Mitarbeiter!$A$6:$A$205,0))&lt;&gt;"",A4218&gt;INDEX(Mitarbeiter!$D$6:$D$205,MATCH(B4218,Mitarbeiter!$A$6:$A$205,0))),"nach Austritt","ok")))))))</f>
        <v/>
      </c>
    </row>
    <row r="4219">
      <c r="A4219" s="26" t="n"/>
      <c r="B4219" s="24" t="n"/>
      <c r="C4219" s="40">
        <f>IF(B4219="","",IFERROR(INDEX(Mitarbeiter!$B$6:$B$205,MATCH(B4219,Mitarbeiter!$A$6:$A$205,0)),"?"))</f>
        <v/>
      </c>
      <c r="D4219" s="41" t="n"/>
      <c r="E4219" s="42" t="n"/>
      <c r="F4219" s="43" t="n"/>
      <c r="G4219" s="44">
        <f>IF(OR(B4219="",F4219=""),"",IFERROR(F4219*INDEX(Mitarbeiter!$F$6:$F$205,MATCH(B4219,Mitarbeiter!$A$6:$A$205,0)),0))</f>
        <v/>
      </c>
      <c r="H4219" s="8">
        <f>IF(B4219="","",IF(ISNA(MATCH(B4219,Mitarbeiter!$A$6:$A$205,0)),"Pers.-Nr. unbekannt",IF(A4219="","Datum fehlt",IF(AND(D4219&lt;&gt;Einstellungen!$C$4,D4219&lt;&gt;Einstellungen!$C$5),"Objekt fehlt",IF(YEAR(A4219)&lt;&gt;Einstellungen!$C$3,"anderes Jahr",IF(A4219&lt;INDEX(Mitarbeiter!$C$6:$C$205,MATCH(B4219,Mitarbeiter!$A$6:$A$205,0)),"vor Eintritt",IF(AND(INDEX(Mitarbeiter!$D$6:$D$205,MATCH(B4219,Mitarbeiter!$A$6:$A$205,0))&lt;&gt;"",A4219&gt;INDEX(Mitarbeiter!$D$6:$D$205,MATCH(B4219,Mitarbeiter!$A$6:$A$205,0))),"nach Austritt","ok")))))))</f>
        <v/>
      </c>
    </row>
    <row r="4220">
      <c r="A4220" s="26" t="n"/>
      <c r="B4220" s="24" t="n"/>
      <c r="C4220" s="40">
        <f>IF(B4220="","",IFERROR(INDEX(Mitarbeiter!$B$6:$B$205,MATCH(B4220,Mitarbeiter!$A$6:$A$205,0)),"?"))</f>
        <v/>
      </c>
      <c r="D4220" s="41" t="n"/>
      <c r="E4220" s="42" t="n"/>
      <c r="F4220" s="43" t="n"/>
      <c r="G4220" s="44">
        <f>IF(OR(B4220="",F4220=""),"",IFERROR(F4220*INDEX(Mitarbeiter!$F$6:$F$205,MATCH(B4220,Mitarbeiter!$A$6:$A$205,0)),0))</f>
        <v/>
      </c>
      <c r="H4220" s="8">
        <f>IF(B4220="","",IF(ISNA(MATCH(B4220,Mitarbeiter!$A$6:$A$205,0)),"Pers.-Nr. unbekannt",IF(A4220="","Datum fehlt",IF(AND(D4220&lt;&gt;Einstellungen!$C$4,D4220&lt;&gt;Einstellungen!$C$5),"Objekt fehlt",IF(YEAR(A4220)&lt;&gt;Einstellungen!$C$3,"anderes Jahr",IF(A4220&lt;INDEX(Mitarbeiter!$C$6:$C$205,MATCH(B4220,Mitarbeiter!$A$6:$A$205,0)),"vor Eintritt",IF(AND(INDEX(Mitarbeiter!$D$6:$D$205,MATCH(B4220,Mitarbeiter!$A$6:$A$205,0))&lt;&gt;"",A4220&gt;INDEX(Mitarbeiter!$D$6:$D$205,MATCH(B4220,Mitarbeiter!$A$6:$A$205,0))),"nach Austritt","ok")))))))</f>
        <v/>
      </c>
    </row>
    <row r="4221">
      <c r="A4221" s="26" t="n"/>
      <c r="B4221" s="24" t="n"/>
      <c r="C4221" s="40">
        <f>IF(B4221="","",IFERROR(INDEX(Mitarbeiter!$B$6:$B$205,MATCH(B4221,Mitarbeiter!$A$6:$A$205,0)),"?"))</f>
        <v/>
      </c>
      <c r="D4221" s="41" t="n"/>
      <c r="E4221" s="42" t="n"/>
      <c r="F4221" s="43" t="n"/>
      <c r="G4221" s="44">
        <f>IF(OR(B4221="",F4221=""),"",IFERROR(F4221*INDEX(Mitarbeiter!$F$6:$F$205,MATCH(B4221,Mitarbeiter!$A$6:$A$205,0)),0))</f>
        <v/>
      </c>
      <c r="H4221" s="8">
        <f>IF(B4221="","",IF(ISNA(MATCH(B4221,Mitarbeiter!$A$6:$A$205,0)),"Pers.-Nr. unbekannt",IF(A4221="","Datum fehlt",IF(AND(D4221&lt;&gt;Einstellungen!$C$4,D4221&lt;&gt;Einstellungen!$C$5),"Objekt fehlt",IF(YEAR(A4221)&lt;&gt;Einstellungen!$C$3,"anderes Jahr",IF(A4221&lt;INDEX(Mitarbeiter!$C$6:$C$205,MATCH(B4221,Mitarbeiter!$A$6:$A$205,0)),"vor Eintritt",IF(AND(INDEX(Mitarbeiter!$D$6:$D$205,MATCH(B4221,Mitarbeiter!$A$6:$A$205,0))&lt;&gt;"",A4221&gt;INDEX(Mitarbeiter!$D$6:$D$205,MATCH(B4221,Mitarbeiter!$A$6:$A$205,0))),"nach Austritt","ok")))))))</f>
        <v/>
      </c>
    </row>
    <row r="4222">
      <c r="A4222" s="26" t="n"/>
      <c r="B4222" s="24" t="n"/>
      <c r="C4222" s="40">
        <f>IF(B4222="","",IFERROR(INDEX(Mitarbeiter!$B$6:$B$205,MATCH(B4222,Mitarbeiter!$A$6:$A$205,0)),"?"))</f>
        <v/>
      </c>
      <c r="D4222" s="41" t="n"/>
      <c r="E4222" s="42" t="n"/>
      <c r="F4222" s="43" t="n"/>
      <c r="G4222" s="44">
        <f>IF(OR(B4222="",F4222=""),"",IFERROR(F4222*INDEX(Mitarbeiter!$F$6:$F$205,MATCH(B4222,Mitarbeiter!$A$6:$A$205,0)),0))</f>
        <v/>
      </c>
      <c r="H4222" s="8">
        <f>IF(B4222="","",IF(ISNA(MATCH(B4222,Mitarbeiter!$A$6:$A$205,0)),"Pers.-Nr. unbekannt",IF(A4222="","Datum fehlt",IF(AND(D4222&lt;&gt;Einstellungen!$C$4,D4222&lt;&gt;Einstellungen!$C$5),"Objekt fehlt",IF(YEAR(A4222)&lt;&gt;Einstellungen!$C$3,"anderes Jahr",IF(A4222&lt;INDEX(Mitarbeiter!$C$6:$C$205,MATCH(B4222,Mitarbeiter!$A$6:$A$205,0)),"vor Eintritt",IF(AND(INDEX(Mitarbeiter!$D$6:$D$205,MATCH(B4222,Mitarbeiter!$A$6:$A$205,0))&lt;&gt;"",A4222&gt;INDEX(Mitarbeiter!$D$6:$D$205,MATCH(B4222,Mitarbeiter!$A$6:$A$205,0))),"nach Austritt","ok")))))))</f>
        <v/>
      </c>
    </row>
    <row r="4223">
      <c r="A4223" s="26" t="n"/>
      <c r="B4223" s="24" t="n"/>
      <c r="C4223" s="40">
        <f>IF(B4223="","",IFERROR(INDEX(Mitarbeiter!$B$6:$B$205,MATCH(B4223,Mitarbeiter!$A$6:$A$205,0)),"?"))</f>
        <v/>
      </c>
      <c r="D4223" s="41" t="n"/>
      <c r="E4223" s="42" t="n"/>
      <c r="F4223" s="43" t="n"/>
      <c r="G4223" s="44">
        <f>IF(OR(B4223="",F4223=""),"",IFERROR(F4223*INDEX(Mitarbeiter!$F$6:$F$205,MATCH(B4223,Mitarbeiter!$A$6:$A$205,0)),0))</f>
        <v/>
      </c>
      <c r="H4223" s="8">
        <f>IF(B4223="","",IF(ISNA(MATCH(B4223,Mitarbeiter!$A$6:$A$205,0)),"Pers.-Nr. unbekannt",IF(A4223="","Datum fehlt",IF(AND(D4223&lt;&gt;Einstellungen!$C$4,D4223&lt;&gt;Einstellungen!$C$5),"Objekt fehlt",IF(YEAR(A4223)&lt;&gt;Einstellungen!$C$3,"anderes Jahr",IF(A4223&lt;INDEX(Mitarbeiter!$C$6:$C$205,MATCH(B4223,Mitarbeiter!$A$6:$A$205,0)),"vor Eintritt",IF(AND(INDEX(Mitarbeiter!$D$6:$D$205,MATCH(B4223,Mitarbeiter!$A$6:$A$205,0))&lt;&gt;"",A4223&gt;INDEX(Mitarbeiter!$D$6:$D$205,MATCH(B4223,Mitarbeiter!$A$6:$A$205,0))),"nach Austritt","ok")))))))</f>
        <v/>
      </c>
    </row>
    <row r="4224">
      <c r="A4224" s="26" t="n"/>
      <c r="B4224" s="24" t="n"/>
      <c r="C4224" s="40">
        <f>IF(B4224="","",IFERROR(INDEX(Mitarbeiter!$B$6:$B$205,MATCH(B4224,Mitarbeiter!$A$6:$A$205,0)),"?"))</f>
        <v/>
      </c>
      <c r="D4224" s="41" t="n"/>
      <c r="E4224" s="42" t="n"/>
      <c r="F4224" s="43" t="n"/>
      <c r="G4224" s="44">
        <f>IF(OR(B4224="",F4224=""),"",IFERROR(F4224*INDEX(Mitarbeiter!$F$6:$F$205,MATCH(B4224,Mitarbeiter!$A$6:$A$205,0)),0))</f>
        <v/>
      </c>
      <c r="H4224" s="8">
        <f>IF(B4224="","",IF(ISNA(MATCH(B4224,Mitarbeiter!$A$6:$A$205,0)),"Pers.-Nr. unbekannt",IF(A4224="","Datum fehlt",IF(AND(D4224&lt;&gt;Einstellungen!$C$4,D4224&lt;&gt;Einstellungen!$C$5),"Objekt fehlt",IF(YEAR(A4224)&lt;&gt;Einstellungen!$C$3,"anderes Jahr",IF(A4224&lt;INDEX(Mitarbeiter!$C$6:$C$205,MATCH(B4224,Mitarbeiter!$A$6:$A$205,0)),"vor Eintritt",IF(AND(INDEX(Mitarbeiter!$D$6:$D$205,MATCH(B4224,Mitarbeiter!$A$6:$A$205,0))&lt;&gt;"",A4224&gt;INDEX(Mitarbeiter!$D$6:$D$205,MATCH(B4224,Mitarbeiter!$A$6:$A$205,0))),"nach Austritt","ok")))))))</f>
        <v/>
      </c>
    </row>
    <row r="4225">
      <c r="A4225" s="26" t="n"/>
      <c r="B4225" s="24" t="n"/>
      <c r="C4225" s="40">
        <f>IF(B4225="","",IFERROR(INDEX(Mitarbeiter!$B$6:$B$205,MATCH(B4225,Mitarbeiter!$A$6:$A$205,0)),"?"))</f>
        <v/>
      </c>
      <c r="D4225" s="41" t="n"/>
      <c r="E4225" s="42" t="n"/>
      <c r="F4225" s="43" t="n"/>
      <c r="G4225" s="44">
        <f>IF(OR(B4225="",F4225=""),"",IFERROR(F4225*INDEX(Mitarbeiter!$F$6:$F$205,MATCH(B4225,Mitarbeiter!$A$6:$A$205,0)),0))</f>
        <v/>
      </c>
      <c r="H4225" s="8">
        <f>IF(B4225="","",IF(ISNA(MATCH(B4225,Mitarbeiter!$A$6:$A$205,0)),"Pers.-Nr. unbekannt",IF(A4225="","Datum fehlt",IF(AND(D4225&lt;&gt;Einstellungen!$C$4,D4225&lt;&gt;Einstellungen!$C$5),"Objekt fehlt",IF(YEAR(A4225)&lt;&gt;Einstellungen!$C$3,"anderes Jahr",IF(A4225&lt;INDEX(Mitarbeiter!$C$6:$C$205,MATCH(B4225,Mitarbeiter!$A$6:$A$205,0)),"vor Eintritt",IF(AND(INDEX(Mitarbeiter!$D$6:$D$205,MATCH(B4225,Mitarbeiter!$A$6:$A$205,0))&lt;&gt;"",A4225&gt;INDEX(Mitarbeiter!$D$6:$D$205,MATCH(B4225,Mitarbeiter!$A$6:$A$205,0))),"nach Austritt","ok")))))))</f>
        <v/>
      </c>
    </row>
    <row r="4226">
      <c r="A4226" s="26" t="n"/>
      <c r="B4226" s="24" t="n"/>
      <c r="C4226" s="40">
        <f>IF(B4226="","",IFERROR(INDEX(Mitarbeiter!$B$6:$B$205,MATCH(B4226,Mitarbeiter!$A$6:$A$205,0)),"?"))</f>
        <v/>
      </c>
      <c r="D4226" s="41" t="n"/>
      <c r="E4226" s="42" t="n"/>
      <c r="F4226" s="43" t="n"/>
      <c r="G4226" s="44">
        <f>IF(OR(B4226="",F4226=""),"",IFERROR(F4226*INDEX(Mitarbeiter!$F$6:$F$205,MATCH(B4226,Mitarbeiter!$A$6:$A$205,0)),0))</f>
        <v/>
      </c>
      <c r="H4226" s="8">
        <f>IF(B4226="","",IF(ISNA(MATCH(B4226,Mitarbeiter!$A$6:$A$205,0)),"Pers.-Nr. unbekannt",IF(A4226="","Datum fehlt",IF(AND(D4226&lt;&gt;Einstellungen!$C$4,D4226&lt;&gt;Einstellungen!$C$5),"Objekt fehlt",IF(YEAR(A4226)&lt;&gt;Einstellungen!$C$3,"anderes Jahr",IF(A4226&lt;INDEX(Mitarbeiter!$C$6:$C$205,MATCH(B4226,Mitarbeiter!$A$6:$A$205,0)),"vor Eintritt",IF(AND(INDEX(Mitarbeiter!$D$6:$D$205,MATCH(B4226,Mitarbeiter!$A$6:$A$205,0))&lt;&gt;"",A4226&gt;INDEX(Mitarbeiter!$D$6:$D$205,MATCH(B4226,Mitarbeiter!$A$6:$A$205,0))),"nach Austritt","ok")))))))</f>
        <v/>
      </c>
    </row>
    <row r="4227">
      <c r="A4227" s="26" t="n"/>
      <c r="B4227" s="24" t="n"/>
      <c r="C4227" s="40">
        <f>IF(B4227="","",IFERROR(INDEX(Mitarbeiter!$B$6:$B$205,MATCH(B4227,Mitarbeiter!$A$6:$A$205,0)),"?"))</f>
        <v/>
      </c>
      <c r="D4227" s="41" t="n"/>
      <c r="E4227" s="42" t="n"/>
      <c r="F4227" s="43" t="n"/>
      <c r="G4227" s="44">
        <f>IF(OR(B4227="",F4227=""),"",IFERROR(F4227*INDEX(Mitarbeiter!$F$6:$F$205,MATCH(B4227,Mitarbeiter!$A$6:$A$205,0)),0))</f>
        <v/>
      </c>
      <c r="H4227" s="8">
        <f>IF(B4227="","",IF(ISNA(MATCH(B4227,Mitarbeiter!$A$6:$A$205,0)),"Pers.-Nr. unbekannt",IF(A4227="","Datum fehlt",IF(AND(D4227&lt;&gt;Einstellungen!$C$4,D4227&lt;&gt;Einstellungen!$C$5),"Objekt fehlt",IF(YEAR(A4227)&lt;&gt;Einstellungen!$C$3,"anderes Jahr",IF(A4227&lt;INDEX(Mitarbeiter!$C$6:$C$205,MATCH(B4227,Mitarbeiter!$A$6:$A$205,0)),"vor Eintritt",IF(AND(INDEX(Mitarbeiter!$D$6:$D$205,MATCH(B4227,Mitarbeiter!$A$6:$A$205,0))&lt;&gt;"",A4227&gt;INDEX(Mitarbeiter!$D$6:$D$205,MATCH(B4227,Mitarbeiter!$A$6:$A$205,0))),"nach Austritt","ok")))))))</f>
        <v/>
      </c>
    </row>
    <row r="4228">
      <c r="A4228" s="26" t="n"/>
      <c r="B4228" s="24" t="n"/>
      <c r="C4228" s="40">
        <f>IF(B4228="","",IFERROR(INDEX(Mitarbeiter!$B$6:$B$205,MATCH(B4228,Mitarbeiter!$A$6:$A$205,0)),"?"))</f>
        <v/>
      </c>
      <c r="D4228" s="41" t="n"/>
      <c r="E4228" s="42" t="n"/>
      <c r="F4228" s="43" t="n"/>
      <c r="G4228" s="44">
        <f>IF(OR(B4228="",F4228=""),"",IFERROR(F4228*INDEX(Mitarbeiter!$F$6:$F$205,MATCH(B4228,Mitarbeiter!$A$6:$A$205,0)),0))</f>
        <v/>
      </c>
      <c r="H4228" s="8">
        <f>IF(B4228="","",IF(ISNA(MATCH(B4228,Mitarbeiter!$A$6:$A$205,0)),"Pers.-Nr. unbekannt",IF(A4228="","Datum fehlt",IF(AND(D4228&lt;&gt;Einstellungen!$C$4,D4228&lt;&gt;Einstellungen!$C$5),"Objekt fehlt",IF(YEAR(A4228)&lt;&gt;Einstellungen!$C$3,"anderes Jahr",IF(A4228&lt;INDEX(Mitarbeiter!$C$6:$C$205,MATCH(B4228,Mitarbeiter!$A$6:$A$205,0)),"vor Eintritt",IF(AND(INDEX(Mitarbeiter!$D$6:$D$205,MATCH(B4228,Mitarbeiter!$A$6:$A$205,0))&lt;&gt;"",A4228&gt;INDEX(Mitarbeiter!$D$6:$D$205,MATCH(B4228,Mitarbeiter!$A$6:$A$205,0))),"nach Austritt","ok")))))))</f>
        <v/>
      </c>
    </row>
    <row r="4229">
      <c r="A4229" s="26" t="n"/>
      <c r="B4229" s="24" t="n"/>
      <c r="C4229" s="40">
        <f>IF(B4229="","",IFERROR(INDEX(Mitarbeiter!$B$6:$B$205,MATCH(B4229,Mitarbeiter!$A$6:$A$205,0)),"?"))</f>
        <v/>
      </c>
      <c r="D4229" s="41" t="n"/>
      <c r="E4229" s="42" t="n"/>
      <c r="F4229" s="43" t="n"/>
      <c r="G4229" s="44">
        <f>IF(OR(B4229="",F4229=""),"",IFERROR(F4229*INDEX(Mitarbeiter!$F$6:$F$205,MATCH(B4229,Mitarbeiter!$A$6:$A$205,0)),0))</f>
        <v/>
      </c>
      <c r="H4229" s="8">
        <f>IF(B4229="","",IF(ISNA(MATCH(B4229,Mitarbeiter!$A$6:$A$205,0)),"Pers.-Nr. unbekannt",IF(A4229="","Datum fehlt",IF(AND(D4229&lt;&gt;Einstellungen!$C$4,D4229&lt;&gt;Einstellungen!$C$5),"Objekt fehlt",IF(YEAR(A4229)&lt;&gt;Einstellungen!$C$3,"anderes Jahr",IF(A4229&lt;INDEX(Mitarbeiter!$C$6:$C$205,MATCH(B4229,Mitarbeiter!$A$6:$A$205,0)),"vor Eintritt",IF(AND(INDEX(Mitarbeiter!$D$6:$D$205,MATCH(B4229,Mitarbeiter!$A$6:$A$205,0))&lt;&gt;"",A4229&gt;INDEX(Mitarbeiter!$D$6:$D$205,MATCH(B4229,Mitarbeiter!$A$6:$A$205,0))),"nach Austritt","ok")))))))</f>
        <v/>
      </c>
    </row>
    <row r="4230">
      <c r="A4230" s="26" t="n"/>
      <c r="B4230" s="24" t="n"/>
      <c r="C4230" s="40">
        <f>IF(B4230="","",IFERROR(INDEX(Mitarbeiter!$B$6:$B$205,MATCH(B4230,Mitarbeiter!$A$6:$A$205,0)),"?"))</f>
        <v/>
      </c>
      <c r="D4230" s="41" t="n"/>
      <c r="E4230" s="42" t="n"/>
      <c r="F4230" s="43" t="n"/>
      <c r="G4230" s="44">
        <f>IF(OR(B4230="",F4230=""),"",IFERROR(F4230*INDEX(Mitarbeiter!$F$6:$F$205,MATCH(B4230,Mitarbeiter!$A$6:$A$205,0)),0))</f>
        <v/>
      </c>
      <c r="H4230" s="8">
        <f>IF(B4230="","",IF(ISNA(MATCH(B4230,Mitarbeiter!$A$6:$A$205,0)),"Pers.-Nr. unbekannt",IF(A4230="","Datum fehlt",IF(AND(D4230&lt;&gt;Einstellungen!$C$4,D4230&lt;&gt;Einstellungen!$C$5),"Objekt fehlt",IF(YEAR(A4230)&lt;&gt;Einstellungen!$C$3,"anderes Jahr",IF(A4230&lt;INDEX(Mitarbeiter!$C$6:$C$205,MATCH(B4230,Mitarbeiter!$A$6:$A$205,0)),"vor Eintritt",IF(AND(INDEX(Mitarbeiter!$D$6:$D$205,MATCH(B4230,Mitarbeiter!$A$6:$A$205,0))&lt;&gt;"",A4230&gt;INDEX(Mitarbeiter!$D$6:$D$205,MATCH(B4230,Mitarbeiter!$A$6:$A$205,0))),"nach Austritt","ok")))))))</f>
        <v/>
      </c>
    </row>
    <row r="4231">
      <c r="A4231" s="26" t="n"/>
      <c r="B4231" s="24" t="n"/>
      <c r="C4231" s="40">
        <f>IF(B4231="","",IFERROR(INDEX(Mitarbeiter!$B$6:$B$205,MATCH(B4231,Mitarbeiter!$A$6:$A$205,0)),"?"))</f>
        <v/>
      </c>
      <c r="D4231" s="41" t="n"/>
      <c r="E4231" s="42" t="n"/>
      <c r="F4231" s="43" t="n"/>
      <c r="G4231" s="44">
        <f>IF(OR(B4231="",F4231=""),"",IFERROR(F4231*INDEX(Mitarbeiter!$F$6:$F$205,MATCH(B4231,Mitarbeiter!$A$6:$A$205,0)),0))</f>
        <v/>
      </c>
      <c r="H4231" s="8">
        <f>IF(B4231="","",IF(ISNA(MATCH(B4231,Mitarbeiter!$A$6:$A$205,0)),"Pers.-Nr. unbekannt",IF(A4231="","Datum fehlt",IF(AND(D4231&lt;&gt;Einstellungen!$C$4,D4231&lt;&gt;Einstellungen!$C$5),"Objekt fehlt",IF(YEAR(A4231)&lt;&gt;Einstellungen!$C$3,"anderes Jahr",IF(A4231&lt;INDEX(Mitarbeiter!$C$6:$C$205,MATCH(B4231,Mitarbeiter!$A$6:$A$205,0)),"vor Eintritt",IF(AND(INDEX(Mitarbeiter!$D$6:$D$205,MATCH(B4231,Mitarbeiter!$A$6:$A$205,0))&lt;&gt;"",A4231&gt;INDEX(Mitarbeiter!$D$6:$D$205,MATCH(B4231,Mitarbeiter!$A$6:$A$205,0))),"nach Austritt","ok")))))))</f>
        <v/>
      </c>
    </row>
    <row r="4232">
      <c r="A4232" s="26" t="n"/>
      <c r="B4232" s="24" t="n"/>
      <c r="C4232" s="40">
        <f>IF(B4232="","",IFERROR(INDEX(Mitarbeiter!$B$6:$B$205,MATCH(B4232,Mitarbeiter!$A$6:$A$205,0)),"?"))</f>
        <v/>
      </c>
      <c r="D4232" s="41" t="n"/>
      <c r="E4232" s="42" t="n"/>
      <c r="F4232" s="43" t="n"/>
      <c r="G4232" s="44">
        <f>IF(OR(B4232="",F4232=""),"",IFERROR(F4232*INDEX(Mitarbeiter!$F$6:$F$205,MATCH(B4232,Mitarbeiter!$A$6:$A$205,0)),0))</f>
        <v/>
      </c>
      <c r="H4232" s="8">
        <f>IF(B4232="","",IF(ISNA(MATCH(B4232,Mitarbeiter!$A$6:$A$205,0)),"Pers.-Nr. unbekannt",IF(A4232="","Datum fehlt",IF(AND(D4232&lt;&gt;Einstellungen!$C$4,D4232&lt;&gt;Einstellungen!$C$5),"Objekt fehlt",IF(YEAR(A4232)&lt;&gt;Einstellungen!$C$3,"anderes Jahr",IF(A4232&lt;INDEX(Mitarbeiter!$C$6:$C$205,MATCH(B4232,Mitarbeiter!$A$6:$A$205,0)),"vor Eintritt",IF(AND(INDEX(Mitarbeiter!$D$6:$D$205,MATCH(B4232,Mitarbeiter!$A$6:$A$205,0))&lt;&gt;"",A4232&gt;INDEX(Mitarbeiter!$D$6:$D$205,MATCH(B4232,Mitarbeiter!$A$6:$A$205,0))),"nach Austritt","ok")))))))</f>
        <v/>
      </c>
    </row>
    <row r="4233">
      <c r="A4233" s="26" t="n"/>
      <c r="B4233" s="24" t="n"/>
      <c r="C4233" s="40">
        <f>IF(B4233="","",IFERROR(INDEX(Mitarbeiter!$B$6:$B$205,MATCH(B4233,Mitarbeiter!$A$6:$A$205,0)),"?"))</f>
        <v/>
      </c>
      <c r="D4233" s="41" t="n"/>
      <c r="E4233" s="42" t="n"/>
      <c r="F4233" s="43" t="n"/>
      <c r="G4233" s="44">
        <f>IF(OR(B4233="",F4233=""),"",IFERROR(F4233*INDEX(Mitarbeiter!$F$6:$F$205,MATCH(B4233,Mitarbeiter!$A$6:$A$205,0)),0))</f>
        <v/>
      </c>
      <c r="H4233" s="8">
        <f>IF(B4233="","",IF(ISNA(MATCH(B4233,Mitarbeiter!$A$6:$A$205,0)),"Pers.-Nr. unbekannt",IF(A4233="","Datum fehlt",IF(AND(D4233&lt;&gt;Einstellungen!$C$4,D4233&lt;&gt;Einstellungen!$C$5),"Objekt fehlt",IF(YEAR(A4233)&lt;&gt;Einstellungen!$C$3,"anderes Jahr",IF(A4233&lt;INDEX(Mitarbeiter!$C$6:$C$205,MATCH(B4233,Mitarbeiter!$A$6:$A$205,0)),"vor Eintritt",IF(AND(INDEX(Mitarbeiter!$D$6:$D$205,MATCH(B4233,Mitarbeiter!$A$6:$A$205,0))&lt;&gt;"",A4233&gt;INDEX(Mitarbeiter!$D$6:$D$205,MATCH(B4233,Mitarbeiter!$A$6:$A$205,0))),"nach Austritt","ok")))))))</f>
        <v/>
      </c>
    </row>
    <row r="4234">
      <c r="A4234" s="26" t="n"/>
      <c r="B4234" s="24" t="n"/>
      <c r="C4234" s="40">
        <f>IF(B4234="","",IFERROR(INDEX(Mitarbeiter!$B$6:$B$205,MATCH(B4234,Mitarbeiter!$A$6:$A$205,0)),"?"))</f>
        <v/>
      </c>
      <c r="D4234" s="41" t="n"/>
      <c r="E4234" s="42" t="n"/>
      <c r="F4234" s="43" t="n"/>
      <c r="G4234" s="44">
        <f>IF(OR(B4234="",F4234=""),"",IFERROR(F4234*INDEX(Mitarbeiter!$F$6:$F$205,MATCH(B4234,Mitarbeiter!$A$6:$A$205,0)),0))</f>
        <v/>
      </c>
      <c r="H4234" s="8">
        <f>IF(B4234="","",IF(ISNA(MATCH(B4234,Mitarbeiter!$A$6:$A$205,0)),"Pers.-Nr. unbekannt",IF(A4234="","Datum fehlt",IF(AND(D4234&lt;&gt;Einstellungen!$C$4,D4234&lt;&gt;Einstellungen!$C$5),"Objekt fehlt",IF(YEAR(A4234)&lt;&gt;Einstellungen!$C$3,"anderes Jahr",IF(A4234&lt;INDEX(Mitarbeiter!$C$6:$C$205,MATCH(B4234,Mitarbeiter!$A$6:$A$205,0)),"vor Eintritt",IF(AND(INDEX(Mitarbeiter!$D$6:$D$205,MATCH(B4234,Mitarbeiter!$A$6:$A$205,0))&lt;&gt;"",A4234&gt;INDEX(Mitarbeiter!$D$6:$D$205,MATCH(B4234,Mitarbeiter!$A$6:$A$205,0))),"nach Austritt","ok")))))))</f>
        <v/>
      </c>
    </row>
    <row r="4235">
      <c r="A4235" s="26" t="n"/>
      <c r="B4235" s="24" t="n"/>
      <c r="C4235" s="40">
        <f>IF(B4235="","",IFERROR(INDEX(Mitarbeiter!$B$6:$B$205,MATCH(B4235,Mitarbeiter!$A$6:$A$205,0)),"?"))</f>
        <v/>
      </c>
      <c r="D4235" s="41" t="n"/>
      <c r="E4235" s="42" t="n"/>
      <c r="F4235" s="43" t="n"/>
      <c r="G4235" s="44">
        <f>IF(OR(B4235="",F4235=""),"",IFERROR(F4235*INDEX(Mitarbeiter!$F$6:$F$205,MATCH(B4235,Mitarbeiter!$A$6:$A$205,0)),0))</f>
        <v/>
      </c>
      <c r="H4235" s="8">
        <f>IF(B4235="","",IF(ISNA(MATCH(B4235,Mitarbeiter!$A$6:$A$205,0)),"Pers.-Nr. unbekannt",IF(A4235="","Datum fehlt",IF(AND(D4235&lt;&gt;Einstellungen!$C$4,D4235&lt;&gt;Einstellungen!$C$5),"Objekt fehlt",IF(YEAR(A4235)&lt;&gt;Einstellungen!$C$3,"anderes Jahr",IF(A4235&lt;INDEX(Mitarbeiter!$C$6:$C$205,MATCH(B4235,Mitarbeiter!$A$6:$A$205,0)),"vor Eintritt",IF(AND(INDEX(Mitarbeiter!$D$6:$D$205,MATCH(B4235,Mitarbeiter!$A$6:$A$205,0))&lt;&gt;"",A4235&gt;INDEX(Mitarbeiter!$D$6:$D$205,MATCH(B4235,Mitarbeiter!$A$6:$A$205,0))),"nach Austritt","ok")))))))</f>
        <v/>
      </c>
    </row>
    <row r="4236">
      <c r="A4236" s="26" t="n"/>
      <c r="B4236" s="24" t="n"/>
      <c r="C4236" s="40">
        <f>IF(B4236="","",IFERROR(INDEX(Mitarbeiter!$B$6:$B$205,MATCH(B4236,Mitarbeiter!$A$6:$A$205,0)),"?"))</f>
        <v/>
      </c>
      <c r="D4236" s="41" t="n"/>
      <c r="E4236" s="42" t="n"/>
      <c r="F4236" s="43" t="n"/>
      <c r="G4236" s="44">
        <f>IF(OR(B4236="",F4236=""),"",IFERROR(F4236*INDEX(Mitarbeiter!$F$6:$F$205,MATCH(B4236,Mitarbeiter!$A$6:$A$205,0)),0))</f>
        <v/>
      </c>
      <c r="H4236" s="8">
        <f>IF(B4236="","",IF(ISNA(MATCH(B4236,Mitarbeiter!$A$6:$A$205,0)),"Pers.-Nr. unbekannt",IF(A4236="","Datum fehlt",IF(AND(D4236&lt;&gt;Einstellungen!$C$4,D4236&lt;&gt;Einstellungen!$C$5),"Objekt fehlt",IF(YEAR(A4236)&lt;&gt;Einstellungen!$C$3,"anderes Jahr",IF(A4236&lt;INDEX(Mitarbeiter!$C$6:$C$205,MATCH(B4236,Mitarbeiter!$A$6:$A$205,0)),"vor Eintritt",IF(AND(INDEX(Mitarbeiter!$D$6:$D$205,MATCH(B4236,Mitarbeiter!$A$6:$A$205,0))&lt;&gt;"",A4236&gt;INDEX(Mitarbeiter!$D$6:$D$205,MATCH(B4236,Mitarbeiter!$A$6:$A$205,0))),"nach Austritt","ok")))))))</f>
        <v/>
      </c>
    </row>
    <row r="4237">
      <c r="A4237" s="26" t="n"/>
      <c r="B4237" s="24" t="n"/>
      <c r="C4237" s="40">
        <f>IF(B4237="","",IFERROR(INDEX(Mitarbeiter!$B$6:$B$205,MATCH(B4237,Mitarbeiter!$A$6:$A$205,0)),"?"))</f>
        <v/>
      </c>
      <c r="D4237" s="41" t="n"/>
      <c r="E4237" s="42" t="n"/>
      <c r="F4237" s="43" t="n"/>
      <c r="G4237" s="44">
        <f>IF(OR(B4237="",F4237=""),"",IFERROR(F4237*INDEX(Mitarbeiter!$F$6:$F$205,MATCH(B4237,Mitarbeiter!$A$6:$A$205,0)),0))</f>
        <v/>
      </c>
      <c r="H4237" s="8">
        <f>IF(B4237="","",IF(ISNA(MATCH(B4237,Mitarbeiter!$A$6:$A$205,0)),"Pers.-Nr. unbekannt",IF(A4237="","Datum fehlt",IF(AND(D4237&lt;&gt;Einstellungen!$C$4,D4237&lt;&gt;Einstellungen!$C$5),"Objekt fehlt",IF(YEAR(A4237)&lt;&gt;Einstellungen!$C$3,"anderes Jahr",IF(A4237&lt;INDEX(Mitarbeiter!$C$6:$C$205,MATCH(B4237,Mitarbeiter!$A$6:$A$205,0)),"vor Eintritt",IF(AND(INDEX(Mitarbeiter!$D$6:$D$205,MATCH(B4237,Mitarbeiter!$A$6:$A$205,0))&lt;&gt;"",A4237&gt;INDEX(Mitarbeiter!$D$6:$D$205,MATCH(B4237,Mitarbeiter!$A$6:$A$205,0))),"nach Austritt","ok")))))))</f>
        <v/>
      </c>
    </row>
    <row r="4238">
      <c r="A4238" s="26" t="n"/>
      <c r="B4238" s="24" t="n"/>
      <c r="C4238" s="40">
        <f>IF(B4238="","",IFERROR(INDEX(Mitarbeiter!$B$6:$B$205,MATCH(B4238,Mitarbeiter!$A$6:$A$205,0)),"?"))</f>
        <v/>
      </c>
      <c r="D4238" s="41" t="n"/>
      <c r="E4238" s="42" t="n"/>
      <c r="F4238" s="43" t="n"/>
      <c r="G4238" s="44">
        <f>IF(OR(B4238="",F4238=""),"",IFERROR(F4238*INDEX(Mitarbeiter!$F$6:$F$205,MATCH(B4238,Mitarbeiter!$A$6:$A$205,0)),0))</f>
        <v/>
      </c>
      <c r="H4238" s="8">
        <f>IF(B4238="","",IF(ISNA(MATCH(B4238,Mitarbeiter!$A$6:$A$205,0)),"Pers.-Nr. unbekannt",IF(A4238="","Datum fehlt",IF(AND(D4238&lt;&gt;Einstellungen!$C$4,D4238&lt;&gt;Einstellungen!$C$5),"Objekt fehlt",IF(YEAR(A4238)&lt;&gt;Einstellungen!$C$3,"anderes Jahr",IF(A4238&lt;INDEX(Mitarbeiter!$C$6:$C$205,MATCH(B4238,Mitarbeiter!$A$6:$A$205,0)),"vor Eintritt",IF(AND(INDEX(Mitarbeiter!$D$6:$D$205,MATCH(B4238,Mitarbeiter!$A$6:$A$205,0))&lt;&gt;"",A4238&gt;INDEX(Mitarbeiter!$D$6:$D$205,MATCH(B4238,Mitarbeiter!$A$6:$A$205,0))),"nach Austritt","ok")))))))</f>
        <v/>
      </c>
    </row>
    <row r="4239">
      <c r="A4239" s="26" t="n"/>
      <c r="B4239" s="24" t="n"/>
      <c r="C4239" s="40">
        <f>IF(B4239="","",IFERROR(INDEX(Mitarbeiter!$B$6:$B$205,MATCH(B4239,Mitarbeiter!$A$6:$A$205,0)),"?"))</f>
        <v/>
      </c>
      <c r="D4239" s="41" t="n"/>
      <c r="E4239" s="42" t="n"/>
      <c r="F4239" s="43" t="n"/>
      <c r="G4239" s="44">
        <f>IF(OR(B4239="",F4239=""),"",IFERROR(F4239*INDEX(Mitarbeiter!$F$6:$F$205,MATCH(B4239,Mitarbeiter!$A$6:$A$205,0)),0))</f>
        <v/>
      </c>
      <c r="H4239" s="8">
        <f>IF(B4239="","",IF(ISNA(MATCH(B4239,Mitarbeiter!$A$6:$A$205,0)),"Pers.-Nr. unbekannt",IF(A4239="","Datum fehlt",IF(AND(D4239&lt;&gt;Einstellungen!$C$4,D4239&lt;&gt;Einstellungen!$C$5),"Objekt fehlt",IF(YEAR(A4239)&lt;&gt;Einstellungen!$C$3,"anderes Jahr",IF(A4239&lt;INDEX(Mitarbeiter!$C$6:$C$205,MATCH(B4239,Mitarbeiter!$A$6:$A$205,0)),"vor Eintritt",IF(AND(INDEX(Mitarbeiter!$D$6:$D$205,MATCH(B4239,Mitarbeiter!$A$6:$A$205,0))&lt;&gt;"",A4239&gt;INDEX(Mitarbeiter!$D$6:$D$205,MATCH(B4239,Mitarbeiter!$A$6:$A$205,0))),"nach Austritt","ok")))))))</f>
        <v/>
      </c>
    </row>
    <row r="4240">
      <c r="A4240" s="26" t="n"/>
      <c r="B4240" s="24" t="n"/>
      <c r="C4240" s="40">
        <f>IF(B4240="","",IFERROR(INDEX(Mitarbeiter!$B$6:$B$205,MATCH(B4240,Mitarbeiter!$A$6:$A$205,0)),"?"))</f>
        <v/>
      </c>
      <c r="D4240" s="41" t="n"/>
      <c r="E4240" s="42" t="n"/>
      <c r="F4240" s="43" t="n"/>
      <c r="G4240" s="44">
        <f>IF(OR(B4240="",F4240=""),"",IFERROR(F4240*INDEX(Mitarbeiter!$F$6:$F$205,MATCH(B4240,Mitarbeiter!$A$6:$A$205,0)),0))</f>
        <v/>
      </c>
      <c r="H4240" s="8">
        <f>IF(B4240="","",IF(ISNA(MATCH(B4240,Mitarbeiter!$A$6:$A$205,0)),"Pers.-Nr. unbekannt",IF(A4240="","Datum fehlt",IF(AND(D4240&lt;&gt;Einstellungen!$C$4,D4240&lt;&gt;Einstellungen!$C$5),"Objekt fehlt",IF(YEAR(A4240)&lt;&gt;Einstellungen!$C$3,"anderes Jahr",IF(A4240&lt;INDEX(Mitarbeiter!$C$6:$C$205,MATCH(B4240,Mitarbeiter!$A$6:$A$205,0)),"vor Eintritt",IF(AND(INDEX(Mitarbeiter!$D$6:$D$205,MATCH(B4240,Mitarbeiter!$A$6:$A$205,0))&lt;&gt;"",A4240&gt;INDEX(Mitarbeiter!$D$6:$D$205,MATCH(B4240,Mitarbeiter!$A$6:$A$205,0))),"nach Austritt","ok")))))))</f>
        <v/>
      </c>
    </row>
    <row r="4241">
      <c r="A4241" s="26" t="n"/>
      <c r="B4241" s="24" t="n"/>
      <c r="C4241" s="40">
        <f>IF(B4241="","",IFERROR(INDEX(Mitarbeiter!$B$6:$B$205,MATCH(B4241,Mitarbeiter!$A$6:$A$205,0)),"?"))</f>
        <v/>
      </c>
      <c r="D4241" s="41" t="n"/>
      <c r="E4241" s="42" t="n"/>
      <c r="F4241" s="43" t="n"/>
      <c r="G4241" s="44">
        <f>IF(OR(B4241="",F4241=""),"",IFERROR(F4241*INDEX(Mitarbeiter!$F$6:$F$205,MATCH(B4241,Mitarbeiter!$A$6:$A$205,0)),0))</f>
        <v/>
      </c>
      <c r="H4241" s="8">
        <f>IF(B4241="","",IF(ISNA(MATCH(B4241,Mitarbeiter!$A$6:$A$205,0)),"Pers.-Nr. unbekannt",IF(A4241="","Datum fehlt",IF(AND(D4241&lt;&gt;Einstellungen!$C$4,D4241&lt;&gt;Einstellungen!$C$5),"Objekt fehlt",IF(YEAR(A4241)&lt;&gt;Einstellungen!$C$3,"anderes Jahr",IF(A4241&lt;INDEX(Mitarbeiter!$C$6:$C$205,MATCH(B4241,Mitarbeiter!$A$6:$A$205,0)),"vor Eintritt",IF(AND(INDEX(Mitarbeiter!$D$6:$D$205,MATCH(B4241,Mitarbeiter!$A$6:$A$205,0))&lt;&gt;"",A4241&gt;INDEX(Mitarbeiter!$D$6:$D$205,MATCH(B4241,Mitarbeiter!$A$6:$A$205,0))),"nach Austritt","ok")))))))</f>
        <v/>
      </c>
    </row>
    <row r="4242">
      <c r="A4242" s="26" t="n"/>
      <c r="B4242" s="24" t="n"/>
      <c r="C4242" s="40">
        <f>IF(B4242="","",IFERROR(INDEX(Mitarbeiter!$B$6:$B$205,MATCH(B4242,Mitarbeiter!$A$6:$A$205,0)),"?"))</f>
        <v/>
      </c>
      <c r="D4242" s="41" t="n"/>
      <c r="E4242" s="42" t="n"/>
      <c r="F4242" s="43" t="n"/>
      <c r="G4242" s="44">
        <f>IF(OR(B4242="",F4242=""),"",IFERROR(F4242*INDEX(Mitarbeiter!$F$6:$F$205,MATCH(B4242,Mitarbeiter!$A$6:$A$205,0)),0))</f>
        <v/>
      </c>
      <c r="H4242" s="8">
        <f>IF(B4242="","",IF(ISNA(MATCH(B4242,Mitarbeiter!$A$6:$A$205,0)),"Pers.-Nr. unbekannt",IF(A4242="","Datum fehlt",IF(AND(D4242&lt;&gt;Einstellungen!$C$4,D4242&lt;&gt;Einstellungen!$C$5),"Objekt fehlt",IF(YEAR(A4242)&lt;&gt;Einstellungen!$C$3,"anderes Jahr",IF(A4242&lt;INDEX(Mitarbeiter!$C$6:$C$205,MATCH(B4242,Mitarbeiter!$A$6:$A$205,0)),"vor Eintritt",IF(AND(INDEX(Mitarbeiter!$D$6:$D$205,MATCH(B4242,Mitarbeiter!$A$6:$A$205,0))&lt;&gt;"",A4242&gt;INDEX(Mitarbeiter!$D$6:$D$205,MATCH(B4242,Mitarbeiter!$A$6:$A$205,0))),"nach Austritt","ok")))))))</f>
        <v/>
      </c>
    </row>
    <row r="4243">
      <c r="A4243" s="26" t="n"/>
      <c r="B4243" s="24" t="n"/>
      <c r="C4243" s="40">
        <f>IF(B4243="","",IFERROR(INDEX(Mitarbeiter!$B$6:$B$205,MATCH(B4243,Mitarbeiter!$A$6:$A$205,0)),"?"))</f>
        <v/>
      </c>
      <c r="D4243" s="41" t="n"/>
      <c r="E4243" s="42" t="n"/>
      <c r="F4243" s="43" t="n"/>
      <c r="G4243" s="44">
        <f>IF(OR(B4243="",F4243=""),"",IFERROR(F4243*INDEX(Mitarbeiter!$F$6:$F$205,MATCH(B4243,Mitarbeiter!$A$6:$A$205,0)),0))</f>
        <v/>
      </c>
      <c r="H4243" s="8">
        <f>IF(B4243="","",IF(ISNA(MATCH(B4243,Mitarbeiter!$A$6:$A$205,0)),"Pers.-Nr. unbekannt",IF(A4243="","Datum fehlt",IF(AND(D4243&lt;&gt;Einstellungen!$C$4,D4243&lt;&gt;Einstellungen!$C$5),"Objekt fehlt",IF(YEAR(A4243)&lt;&gt;Einstellungen!$C$3,"anderes Jahr",IF(A4243&lt;INDEX(Mitarbeiter!$C$6:$C$205,MATCH(B4243,Mitarbeiter!$A$6:$A$205,0)),"vor Eintritt",IF(AND(INDEX(Mitarbeiter!$D$6:$D$205,MATCH(B4243,Mitarbeiter!$A$6:$A$205,0))&lt;&gt;"",A4243&gt;INDEX(Mitarbeiter!$D$6:$D$205,MATCH(B4243,Mitarbeiter!$A$6:$A$205,0))),"nach Austritt","ok")))))))</f>
        <v/>
      </c>
    </row>
    <row r="4244">
      <c r="A4244" s="26" t="n"/>
      <c r="B4244" s="24" t="n"/>
      <c r="C4244" s="40">
        <f>IF(B4244="","",IFERROR(INDEX(Mitarbeiter!$B$6:$B$205,MATCH(B4244,Mitarbeiter!$A$6:$A$205,0)),"?"))</f>
        <v/>
      </c>
      <c r="D4244" s="41" t="n"/>
      <c r="E4244" s="42" t="n"/>
      <c r="F4244" s="43" t="n"/>
      <c r="G4244" s="44">
        <f>IF(OR(B4244="",F4244=""),"",IFERROR(F4244*INDEX(Mitarbeiter!$F$6:$F$205,MATCH(B4244,Mitarbeiter!$A$6:$A$205,0)),0))</f>
        <v/>
      </c>
      <c r="H4244" s="8">
        <f>IF(B4244="","",IF(ISNA(MATCH(B4244,Mitarbeiter!$A$6:$A$205,0)),"Pers.-Nr. unbekannt",IF(A4244="","Datum fehlt",IF(AND(D4244&lt;&gt;Einstellungen!$C$4,D4244&lt;&gt;Einstellungen!$C$5),"Objekt fehlt",IF(YEAR(A4244)&lt;&gt;Einstellungen!$C$3,"anderes Jahr",IF(A4244&lt;INDEX(Mitarbeiter!$C$6:$C$205,MATCH(B4244,Mitarbeiter!$A$6:$A$205,0)),"vor Eintritt",IF(AND(INDEX(Mitarbeiter!$D$6:$D$205,MATCH(B4244,Mitarbeiter!$A$6:$A$205,0))&lt;&gt;"",A4244&gt;INDEX(Mitarbeiter!$D$6:$D$205,MATCH(B4244,Mitarbeiter!$A$6:$A$205,0))),"nach Austritt","ok")))))))</f>
        <v/>
      </c>
    </row>
    <row r="4245">
      <c r="A4245" s="26" t="n"/>
      <c r="B4245" s="24" t="n"/>
      <c r="C4245" s="40">
        <f>IF(B4245="","",IFERROR(INDEX(Mitarbeiter!$B$6:$B$205,MATCH(B4245,Mitarbeiter!$A$6:$A$205,0)),"?"))</f>
        <v/>
      </c>
      <c r="D4245" s="41" t="n"/>
      <c r="E4245" s="42" t="n"/>
      <c r="F4245" s="43" t="n"/>
      <c r="G4245" s="44">
        <f>IF(OR(B4245="",F4245=""),"",IFERROR(F4245*INDEX(Mitarbeiter!$F$6:$F$205,MATCH(B4245,Mitarbeiter!$A$6:$A$205,0)),0))</f>
        <v/>
      </c>
      <c r="H4245" s="8">
        <f>IF(B4245="","",IF(ISNA(MATCH(B4245,Mitarbeiter!$A$6:$A$205,0)),"Pers.-Nr. unbekannt",IF(A4245="","Datum fehlt",IF(AND(D4245&lt;&gt;Einstellungen!$C$4,D4245&lt;&gt;Einstellungen!$C$5),"Objekt fehlt",IF(YEAR(A4245)&lt;&gt;Einstellungen!$C$3,"anderes Jahr",IF(A4245&lt;INDEX(Mitarbeiter!$C$6:$C$205,MATCH(B4245,Mitarbeiter!$A$6:$A$205,0)),"vor Eintritt",IF(AND(INDEX(Mitarbeiter!$D$6:$D$205,MATCH(B4245,Mitarbeiter!$A$6:$A$205,0))&lt;&gt;"",A4245&gt;INDEX(Mitarbeiter!$D$6:$D$205,MATCH(B4245,Mitarbeiter!$A$6:$A$205,0))),"nach Austritt","ok")))))))</f>
        <v/>
      </c>
    </row>
    <row r="4246">
      <c r="A4246" s="26" t="n"/>
      <c r="B4246" s="24" t="n"/>
      <c r="C4246" s="40">
        <f>IF(B4246="","",IFERROR(INDEX(Mitarbeiter!$B$6:$B$205,MATCH(B4246,Mitarbeiter!$A$6:$A$205,0)),"?"))</f>
        <v/>
      </c>
      <c r="D4246" s="41" t="n"/>
      <c r="E4246" s="42" t="n"/>
      <c r="F4246" s="43" t="n"/>
      <c r="G4246" s="44">
        <f>IF(OR(B4246="",F4246=""),"",IFERROR(F4246*INDEX(Mitarbeiter!$F$6:$F$205,MATCH(B4246,Mitarbeiter!$A$6:$A$205,0)),0))</f>
        <v/>
      </c>
      <c r="H4246" s="8">
        <f>IF(B4246="","",IF(ISNA(MATCH(B4246,Mitarbeiter!$A$6:$A$205,0)),"Pers.-Nr. unbekannt",IF(A4246="","Datum fehlt",IF(AND(D4246&lt;&gt;Einstellungen!$C$4,D4246&lt;&gt;Einstellungen!$C$5),"Objekt fehlt",IF(YEAR(A4246)&lt;&gt;Einstellungen!$C$3,"anderes Jahr",IF(A4246&lt;INDEX(Mitarbeiter!$C$6:$C$205,MATCH(B4246,Mitarbeiter!$A$6:$A$205,0)),"vor Eintritt",IF(AND(INDEX(Mitarbeiter!$D$6:$D$205,MATCH(B4246,Mitarbeiter!$A$6:$A$205,0))&lt;&gt;"",A4246&gt;INDEX(Mitarbeiter!$D$6:$D$205,MATCH(B4246,Mitarbeiter!$A$6:$A$205,0))),"nach Austritt","ok")))))))</f>
        <v/>
      </c>
    </row>
    <row r="4247">
      <c r="A4247" s="26" t="n"/>
      <c r="B4247" s="24" t="n"/>
      <c r="C4247" s="40">
        <f>IF(B4247="","",IFERROR(INDEX(Mitarbeiter!$B$6:$B$205,MATCH(B4247,Mitarbeiter!$A$6:$A$205,0)),"?"))</f>
        <v/>
      </c>
      <c r="D4247" s="41" t="n"/>
      <c r="E4247" s="42" t="n"/>
      <c r="F4247" s="43" t="n"/>
      <c r="G4247" s="44">
        <f>IF(OR(B4247="",F4247=""),"",IFERROR(F4247*INDEX(Mitarbeiter!$F$6:$F$205,MATCH(B4247,Mitarbeiter!$A$6:$A$205,0)),0))</f>
        <v/>
      </c>
      <c r="H4247" s="8">
        <f>IF(B4247="","",IF(ISNA(MATCH(B4247,Mitarbeiter!$A$6:$A$205,0)),"Pers.-Nr. unbekannt",IF(A4247="","Datum fehlt",IF(AND(D4247&lt;&gt;Einstellungen!$C$4,D4247&lt;&gt;Einstellungen!$C$5),"Objekt fehlt",IF(YEAR(A4247)&lt;&gt;Einstellungen!$C$3,"anderes Jahr",IF(A4247&lt;INDEX(Mitarbeiter!$C$6:$C$205,MATCH(B4247,Mitarbeiter!$A$6:$A$205,0)),"vor Eintritt",IF(AND(INDEX(Mitarbeiter!$D$6:$D$205,MATCH(B4247,Mitarbeiter!$A$6:$A$205,0))&lt;&gt;"",A4247&gt;INDEX(Mitarbeiter!$D$6:$D$205,MATCH(B4247,Mitarbeiter!$A$6:$A$205,0))),"nach Austritt","ok")))))))</f>
        <v/>
      </c>
    </row>
    <row r="4248">
      <c r="A4248" s="26" t="n"/>
      <c r="B4248" s="24" t="n"/>
      <c r="C4248" s="40">
        <f>IF(B4248="","",IFERROR(INDEX(Mitarbeiter!$B$6:$B$205,MATCH(B4248,Mitarbeiter!$A$6:$A$205,0)),"?"))</f>
        <v/>
      </c>
      <c r="D4248" s="41" t="n"/>
      <c r="E4248" s="42" t="n"/>
      <c r="F4248" s="43" t="n"/>
      <c r="G4248" s="44">
        <f>IF(OR(B4248="",F4248=""),"",IFERROR(F4248*INDEX(Mitarbeiter!$F$6:$F$205,MATCH(B4248,Mitarbeiter!$A$6:$A$205,0)),0))</f>
        <v/>
      </c>
      <c r="H4248" s="8">
        <f>IF(B4248="","",IF(ISNA(MATCH(B4248,Mitarbeiter!$A$6:$A$205,0)),"Pers.-Nr. unbekannt",IF(A4248="","Datum fehlt",IF(AND(D4248&lt;&gt;Einstellungen!$C$4,D4248&lt;&gt;Einstellungen!$C$5),"Objekt fehlt",IF(YEAR(A4248)&lt;&gt;Einstellungen!$C$3,"anderes Jahr",IF(A4248&lt;INDEX(Mitarbeiter!$C$6:$C$205,MATCH(B4248,Mitarbeiter!$A$6:$A$205,0)),"vor Eintritt",IF(AND(INDEX(Mitarbeiter!$D$6:$D$205,MATCH(B4248,Mitarbeiter!$A$6:$A$205,0))&lt;&gt;"",A4248&gt;INDEX(Mitarbeiter!$D$6:$D$205,MATCH(B4248,Mitarbeiter!$A$6:$A$205,0))),"nach Austritt","ok")))))))</f>
        <v/>
      </c>
    </row>
    <row r="4249">
      <c r="A4249" s="26" t="n"/>
      <c r="B4249" s="24" t="n"/>
      <c r="C4249" s="40">
        <f>IF(B4249="","",IFERROR(INDEX(Mitarbeiter!$B$6:$B$205,MATCH(B4249,Mitarbeiter!$A$6:$A$205,0)),"?"))</f>
        <v/>
      </c>
      <c r="D4249" s="41" t="n"/>
      <c r="E4249" s="42" t="n"/>
      <c r="F4249" s="43" t="n"/>
      <c r="G4249" s="44">
        <f>IF(OR(B4249="",F4249=""),"",IFERROR(F4249*INDEX(Mitarbeiter!$F$6:$F$205,MATCH(B4249,Mitarbeiter!$A$6:$A$205,0)),0))</f>
        <v/>
      </c>
      <c r="H4249" s="8">
        <f>IF(B4249="","",IF(ISNA(MATCH(B4249,Mitarbeiter!$A$6:$A$205,0)),"Pers.-Nr. unbekannt",IF(A4249="","Datum fehlt",IF(AND(D4249&lt;&gt;Einstellungen!$C$4,D4249&lt;&gt;Einstellungen!$C$5),"Objekt fehlt",IF(YEAR(A4249)&lt;&gt;Einstellungen!$C$3,"anderes Jahr",IF(A4249&lt;INDEX(Mitarbeiter!$C$6:$C$205,MATCH(B4249,Mitarbeiter!$A$6:$A$205,0)),"vor Eintritt",IF(AND(INDEX(Mitarbeiter!$D$6:$D$205,MATCH(B4249,Mitarbeiter!$A$6:$A$205,0))&lt;&gt;"",A4249&gt;INDEX(Mitarbeiter!$D$6:$D$205,MATCH(B4249,Mitarbeiter!$A$6:$A$205,0))),"nach Austritt","ok")))))))</f>
        <v/>
      </c>
    </row>
    <row r="4250">
      <c r="A4250" s="26" t="n"/>
      <c r="B4250" s="24" t="n"/>
      <c r="C4250" s="40">
        <f>IF(B4250="","",IFERROR(INDEX(Mitarbeiter!$B$6:$B$205,MATCH(B4250,Mitarbeiter!$A$6:$A$205,0)),"?"))</f>
        <v/>
      </c>
      <c r="D4250" s="41" t="n"/>
      <c r="E4250" s="42" t="n"/>
      <c r="F4250" s="43" t="n"/>
      <c r="G4250" s="44">
        <f>IF(OR(B4250="",F4250=""),"",IFERROR(F4250*INDEX(Mitarbeiter!$F$6:$F$205,MATCH(B4250,Mitarbeiter!$A$6:$A$205,0)),0))</f>
        <v/>
      </c>
      <c r="H4250" s="8">
        <f>IF(B4250="","",IF(ISNA(MATCH(B4250,Mitarbeiter!$A$6:$A$205,0)),"Pers.-Nr. unbekannt",IF(A4250="","Datum fehlt",IF(AND(D4250&lt;&gt;Einstellungen!$C$4,D4250&lt;&gt;Einstellungen!$C$5),"Objekt fehlt",IF(YEAR(A4250)&lt;&gt;Einstellungen!$C$3,"anderes Jahr",IF(A4250&lt;INDEX(Mitarbeiter!$C$6:$C$205,MATCH(B4250,Mitarbeiter!$A$6:$A$205,0)),"vor Eintritt",IF(AND(INDEX(Mitarbeiter!$D$6:$D$205,MATCH(B4250,Mitarbeiter!$A$6:$A$205,0))&lt;&gt;"",A4250&gt;INDEX(Mitarbeiter!$D$6:$D$205,MATCH(B4250,Mitarbeiter!$A$6:$A$205,0))),"nach Austritt","ok")))))))</f>
        <v/>
      </c>
    </row>
    <row r="4251">
      <c r="A4251" s="26" t="n"/>
      <c r="B4251" s="24" t="n"/>
      <c r="C4251" s="40">
        <f>IF(B4251="","",IFERROR(INDEX(Mitarbeiter!$B$6:$B$205,MATCH(B4251,Mitarbeiter!$A$6:$A$205,0)),"?"))</f>
        <v/>
      </c>
      <c r="D4251" s="41" t="n"/>
      <c r="E4251" s="42" t="n"/>
      <c r="F4251" s="43" t="n"/>
      <c r="G4251" s="44">
        <f>IF(OR(B4251="",F4251=""),"",IFERROR(F4251*INDEX(Mitarbeiter!$F$6:$F$205,MATCH(B4251,Mitarbeiter!$A$6:$A$205,0)),0))</f>
        <v/>
      </c>
      <c r="H4251" s="8">
        <f>IF(B4251="","",IF(ISNA(MATCH(B4251,Mitarbeiter!$A$6:$A$205,0)),"Pers.-Nr. unbekannt",IF(A4251="","Datum fehlt",IF(AND(D4251&lt;&gt;Einstellungen!$C$4,D4251&lt;&gt;Einstellungen!$C$5),"Objekt fehlt",IF(YEAR(A4251)&lt;&gt;Einstellungen!$C$3,"anderes Jahr",IF(A4251&lt;INDEX(Mitarbeiter!$C$6:$C$205,MATCH(B4251,Mitarbeiter!$A$6:$A$205,0)),"vor Eintritt",IF(AND(INDEX(Mitarbeiter!$D$6:$D$205,MATCH(B4251,Mitarbeiter!$A$6:$A$205,0))&lt;&gt;"",A4251&gt;INDEX(Mitarbeiter!$D$6:$D$205,MATCH(B4251,Mitarbeiter!$A$6:$A$205,0))),"nach Austritt","ok")))))))</f>
        <v/>
      </c>
    </row>
    <row r="4252">
      <c r="A4252" s="26" t="n"/>
      <c r="B4252" s="24" t="n"/>
      <c r="C4252" s="40">
        <f>IF(B4252="","",IFERROR(INDEX(Mitarbeiter!$B$6:$B$205,MATCH(B4252,Mitarbeiter!$A$6:$A$205,0)),"?"))</f>
        <v/>
      </c>
      <c r="D4252" s="41" t="n"/>
      <c r="E4252" s="42" t="n"/>
      <c r="F4252" s="43" t="n"/>
      <c r="G4252" s="44">
        <f>IF(OR(B4252="",F4252=""),"",IFERROR(F4252*INDEX(Mitarbeiter!$F$6:$F$205,MATCH(B4252,Mitarbeiter!$A$6:$A$205,0)),0))</f>
        <v/>
      </c>
      <c r="H4252" s="8">
        <f>IF(B4252="","",IF(ISNA(MATCH(B4252,Mitarbeiter!$A$6:$A$205,0)),"Pers.-Nr. unbekannt",IF(A4252="","Datum fehlt",IF(AND(D4252&lt;&gt;Einstellungen!$C$4,D4252&lt;&gt;Einstellungen!$C$5),"Objekt fehlt",IF(YEAR(A4252)&lt;&gt;Einstellungen!$C$3,"anderes Jahr",IF(A4252&lt;INDEX(Mitarbeiter!$C$6:$C$205,MATCH(B4252,Mitarbeiter!$A$6:$A$205,0)),"vor Eintritt",IF(AND(INDEX(Mitarbeiter!$D$6:$D$205,MATCH(B4252,Mitarbeiter!$A$6:$A$205,0))&lt;&gt;"",A4252&gt;INDEX(Mitarbeiter!$D$6:$D$205,MATCH(B4252,Mitarbeiter!$A$6:$A$205,0))),"nach Austritt","ok")))))))</f>
        <v/>
      </c>
    </row>
    <row r="4253">
      <c r="A4253" s="26" t="n"/>
      <c r="B4253" s="24" t="n"/>
      <c r="C4253" s="40">
        <f>IF(B4253="","",IFERROR(INDEX(Mitarbeiter!$B$6:$B$205,MATCH(B4253,Mitarbeiter!$A$6:$A$205,0)),"?"))</f>
        <v/>
      </c>
      <c r="D4253" s="41" t="n"/>
      <c r="E4253" s="42" t="n"/>
      <c r="F4253" s="43" t="n"/>
      <c r="G4253" s="44">
        <f>IF(OR(B4253="",F4253=""),"",IFERROR(F4253*INDEX(Mitarbeiter!$F$6:$F$205,MATCH(B4253,Mitarbeiter!$A$6:$A$205,0)),0))</f>
        <v/>
      </c>
      <c r="H4253" s="8">
        <f>IF(B4253="","",IF(ISNA(MATCH(B4253,Mitarbeiter!$A$6:$A$205,0)),"Pers.-Nr. unbekannt",IF(A4253="","Datum fehlt",IF(AND(D4253&lt;&gt;Einstellungen!$C$4,D4253&lt;&gt;Einstellungen!$C$5),"Objekt fehlt",IF(YEAR(A4253)&lt;&gt;Einstellungen!$C$3,"anderes Jahr",IF(A4253&lt;INDEX(Mitarbeiter!$C$6:$C$205,MATCH(B4253,Mitarbeiter!$A$6:$A$205,0)),"vor Eintritt",IF(AND(INDEX(Mitarbeiter!$D$6:$D$205,MATCH(B4253,Mitarbeiter!$A$6:$A$205,0))&lt;&gt;"",A4253&gt;INDEX(Mitarbeiter!$D$6:$D$205,MATCH(B4253,Mitarbeiter!$A$6:$A$205,0))),"nach Austritt","ok")))))))</f>
        <v/>
      </c>
    </row>
    <row r="4254">
      <c r="A4254" s="26" t="n"/>
      <c r="B4254" s="24" t="n"/>
      <c r="C4254" s="40">
        <f>IF(B4254="","",IFERROR(INDEX(Mitarbeiter!$B$6:$B$205,MATCH(B4254,Mitarbeiter!$A$6:$A$205,0)),"?"))</f>
        <v/>
      </c>
      <c r="D4254" s="41" t="n"/>
      <c r="E4254" s="42" t="n"/>
      <c r="F4254" s="43" t="n"/>
      <c r="G4254" s="44">
        <f>IF(OR(B4254="",F4254=""),"",IFERROR(F4254*INDEX(Mitarbeiter!$F$6:$F$205,MATCH(B4254,Mitarbeiter!$A$6:$A$205,0)),0))</f>
        <v/>
      </c>
      <c r="H4254" s="8">
        <f>IF(B4254="","",IF(ISNA(MATCH(B4254,Mitarbeiter!$A$6:$A$205,0)),"Pers.-Nr. unbekannt",IF(A4254="","Datum fehlt",IF(AND(D4254&lt;&gt;Einstellungen!$C$4,D4254&lt;&gt;Einstellungen!$C$5),"Objekt fehlt",IF(YEAR(A4254)&lt;&gt;Einstellungen!$C$3,"anderes Jahr",IF(A4254&lt;INDEX(Mitarbeiter!$C$6:$C$205,MATCH(B4254,Mitarbeiter!$A$6:$A$205,0)),"vor Eintritt",IF(AND(INDEX(Mitarbeiter!$D$6:$D$205,MATCH(B4254,Mitarbeiter!$A$6:$A$205,0))&lt;&gt;"",A4254&gt;INDEX(Mitarbeiter!$D$6:$D$205,MATCH(B4254,Mitarbeiter!$A$6:$A$205,0))),"nach Austritt","ok")))))))</f>
        <v/>
      </c>
    </row>
    <row r="4255">
      <c r="A4255" s="26" t="n"/>
      <c r="B4255" s="24" t="n"/>
      <c r="C4255" s="40">
        <f>IF(B4255="","",IFERROR(INDEX(Mitarbeiter!$B$6:$B$205,MATCH(B4255,Mitarbeiter!$A$6:$A$205,0)),"?"))</f>
        <v/>
      </c>
      <c r="D4255" s="41" t="n"/>
      <c r="E4255" s="42" t="n"/>
      <c r="F4255" s="43" t="n"/>
      <c r="G4255" s="44">
        <f>IF(OR(B4255="",F4255=""),"",IFERROR(F4255*INDEX(Mitarbeiter!$F$6:$F$205,MATCH(B4255,Mitarbeiter!$A$6:$A$205,0)),0))</f>
        <v/>
      </c>
      <c r="H4255" s="8">
        <f>IF(B4255="","",IF(ISNA(MATCH(B4255,Mitarbeiter!$A$6:$A$205,0)),"Pers.-Nr. unbekannt",IF(A4255="","Datum fehlt",IF(AND(D4255&lt;&gt;Einstellungen!$C$4,D4255&lt;&gt;Einstellungen!$C$5),"Objekt fehlt",IF(YEAR(A4255)&lt;&gt;Einstellungen!$C$3,"anderes Jahr",IF(A4255&lt;INDEX(Mitarbeiter!$C$6:$C$205,MATCH(B4255,Mitarbeiter!$A$6:$A$205,0)),"vor Eintritt",IF(AND(INDEX(Mitarbeiter!$D$6:$D$205,MATCH(B4255,Mitarbeiter!$A$6:$A$205,0))&lt;&gt;"",A4255&gt;INDEX(Mitarbeiter!$D$6:$D$205,MATCH(B4255,Mitarbeiter!$A$6:$A$205,0))),"nach Austritt","ok")))))))</f>
        <v/>
      </c>
    </row>
    <row r="4256">
      <c r="A4256" s="26" t="n"/>
      <c r="B4256" s="24" t="n"/>
      <c r="C4256" s="40">
        <f>IF(B4256="","",IFERROR(INDEX(Mitarbeiter!$B$6:$B$205,MATCH(B4256,Mitarbeiter!$A$6:$A$205,0)),"?"))</f>
        <v/>
      </c>
      <c r="D4256" s="41" t="n"/>
      <c r="E4256" s="42" t="n"/>
      <c r="F4256" s="43" t="n"/>
      <c r="G4256" s="44">
        <f>IF(OR(B4256="",F4256=""),"",IFERROR(F4256*INDEX(Mitarbeiter!$F$6:$F$205,MATCH(B4256,Mitarbeiter!$A$6:$A$205,0)),0))</f>
        <v/>
      </c>
      <c r="H4256" s="8">
        <f>IF(B4256="","",IF(ISNA(MATCH(B4256,Mitarbeiter!$A$6:$A$205,0)),"Pers.-Nr. unbekannt",IF(A4256="","Datum fehlt",IF(AND(D4256&lt;&gt;Einstellungen!$C$4,D4256&lt;&gt;Einstellungen!$C$5),"Objekt fehlt",IF(YEAR(A4256)&lt;&gt;Einstellungen!$C$3,"anderes Jahr",IF(A4256&lt;INDEX(Mitarbeiter!$C$6:$C$205,MATCH(B4256,Mitarbeiter!$A$6:$A$205,0)),"vor Eintritt",IF(AND(INDEX(Mitarbeiter!$D$6:$D$205,MATCH(B4256,Mitarbeiter!$A$6:$A$205,0))&lt;&gt;"",A4256&gt;INDEX(Mitarbeiter!$D$6:$D$205,MATCH(B4256,Mitarbeiter!$A$6:$A$205,0))),"nach Austritt","ok")))))))</f>
        <v/>
      </c>
    </row>
    <row r="4257">
      <c r="A4257" s="26" t="n"/>
      <c r="B4257" s="24" t="n"/>
      <c r="C4257" s="40">
        <f>IF(B4257="","",IFERROR(INDEX(Mitarbeiter!$B$6:$B$205,MATCH(B4257,Mitarbeiter!$A$6:$A$205,0)),"?"))</f>
        <v/>
      </c>
      <c r="D4257" s="41" t="n"/>
      <c r="E4257" s="42" t="n"/>
      <c r="F4257" s="43" t="n"/>
      <c r="G4257" s="44">
        <f>IF(OR(B4257="",F4257=""),"",IFERROR(F4257*INDEX(Mitarbeiter!$F$6:$F$205,MATCH(B4257,Mitarbeiter!$A$6:$A$205,0)),0))</f>
        <v/>
      </c>
      <c r="H4257" s="8">
        <f>IF(B4257="","",IF(ISNA(MATCH(B4257,Mitarbeiter!$A$6:$A$205,0)),"Pers.-Nr. unbekannt",IF(A4257="","Datum fehlt",IF(AND(D4257&lt;&gt;Einstellungen!$C$4,D4257&lt;&gt;Einstellungen!$C$5),"Objekt fehlt",IF(YEAR(A4257)&lt;&gt;Einstellungen!$C$3,"anderes Jahr",IF(A4257&lt;INDEX(Mitarbeiter!$C$6:$C$205,MATCH(B4257,Mitarbeiter!$A$6:$A$205,0)),"vor Eintritt",IF(AND(INDEX(Mitarbeiter!$D$6:$D$205,MATCH(B4257,Mitarbeiter!$A$6:$A$205,0))&lt;&gt;"",A4257&gt;INDEX(Mitarbeiter!$D$6:$D$205,MATCH(B4257,Mitarbeiter!$A$6:$A$205,0))),"nach Austritt","ok")))))))</f>
        <v/>
      </c>
    </row>
    <row r="4258">
      <c r="A4258" s="26" t="n"/>
      <c r="B4258" s="24" t="n"/>
      <c r="C4258" s="40">
        <f>IF(B4258="","",IFERROR(INDEX(Mitarbeiter!$B$6:$B$205,MATCH(B4258,Mitarbeiter!$A$6:$A$205,0)),"?"))</f>
        <v/>
      </c>
      <c r="D4258" s="41" t="n"/>
      <c r="E4258" s="42" t="n"/>
      <c r="F4258" s="43" t="n"/>
      <c r="G4258" s="44">
        <f>IF(OR(B4258="",F4258=""),"",IFERROR(F4258*INDEX(Mitarbeiter!$F$6:$F$205,MATCH(B4258,Mitarbeiter!$A$6:$A$205,0)),0))</f>
        <v/>
      </c>
      <c r="H4258" s="8">
        <f>IF(B4258="","",IF(ISNA(MATCH(B4258,Mitarbeiter!$A$6:$A$205,0)),"Pers.-Nr. unbekannt",IF(A4258="","Datum fehlt",IF(AND(D4258&lt;&gt;Einstellungen!$C$4,D4258&lt;&gt;Einstellungen!$C$5),"Objekt fehlt",IF(YEAR(A4258)&lt;&gt;Einstellungen!$C$3,"anderes Jahr",IF(A4258&lt;INDEX(Mitarbeiter!$C$6:$C$205,MATCH(B4258,Mitarbeiter!$A$6:$A$205,0)),"vor Eintritt",IF(AND(INDEX(Mitarbeiter!$D$6:$D$205,MATCH(B4258,Mitarbeiter!$A$6:$A$205,0))&lt;&gt;"",A4258&gt;INDEX(Mitarbeiter!$D$6:$D$205,MATCH(B4258,Mitarbeiter!$A$6:$A$205,0))),"nach Austritt","ok")))))))</f>
        <v/>
      </c>
    </row>
    <row r="4259">
      <c r="A4259" s="26" t="n"/>
      <c r="B4259" s="24" t="n"/>
      <c r="C4259" s="40">
        <f>IF(B4259="","",IFERROR(INDEX(Mitarbeiter!$B$6:$B$205,MATCH(B4259,Mitarbeiter!$A$6:$A$205,0)),"?"))</f>
        <v/>
      </c>
      <c r="D4259" s="41" t="n"/>
      <c r="E4259" s="42" t="n"/>
      <c r="F4259" s="43" t="n"/>
      <c r="G4259" s="44">
        <f>IF(OR(B4259="",F4259=""),"",IFERROR(F4259*INDEX(Mitarbeiter!$F$6:$F$205,MATCH(B4259,Mitarbeiter!$A$6:$A$205,0)),0))</f>
        <v/>
      </c>
      <c r="H4259" s="8">
        <f>IF(B4259="","",IF(ISNA(MATCH(B4259,Mitarbeiter!$A$6:$A$205,0)),"Pers.-Nr. unbekannt",IF(A4259="","Datum fehlt",IF(AND(D4259&lt;&gt;Einstellungen!$C$4,D4259&lt;&gt;Einstellungen!$C$5),"Objekt fehlt",IF(YEAR(A4259)&lt;&gt;Einstellungen!$C$3,"anderes Jahr",IF(A4259&lt;INDEX(Mitarbeiter!$C$6:$C$205,MATCH(B4259,Mitarbeiter!$A$6:$A$205,0)),"vor Eintritt",IF(AND(INDEX(Mitarbeiter!$D$6:$D$205,MATCH(B4259,Mitarbeiter!$A$6:$A$205,0))&lt;&gt;"",A4259&gt;INDEX(Mitarbeiter!$D$6:$D$205,MATCH(B4259,Mitarbeiter!$A$6:$A$205,0))),"nach Austritt","ok")))))))</f>
        <v/>
      </c>
    </row>
    <row r="4260">
      <c r="A4260" s="26" t="n"/>
      <c r="B4260" s="24" t="n"/>
      <c r="C4260" s="40">
        <f>IF(B4260="","",IFERROR(INDEX(Mitarbeiter!$B$6:$B$205,MATCH(B4260,Mitarbeiter!$A$6:$A$205,0)),"?"))</f>
        <v/>
      </c>
      <c r="D4260" s="41" t="n"/>
      <c r="E4260" s="42" t="n"/>
      <c r="F4260" s="43" t="n"/>
      <c r="G4260" s="44">
        <f>IF(OR(B4260="",F4260=""),"",IFERROR(F4260*INDEX(Mitarbeiter!$F$6:$F$205,MATCH(B4260,Mitarbeiter!$A$6:$A$205,0)),0))</f>
        <v/>
      </c>
      <c r="H4260" s="8">
        <f>IF(B4260="","",IF(ISNA(MATCH(B4260,Mitarbeiter!$A$6:$A$205,0)),"Pers.-Nr. unbekannt",IF(A4260="","Datum fehlt",IF(AND(D4260&lt;&gt;Einstellungen!$C$4,D4260&lt;&gt;Einstellungen!$C$5),"Objekt fehlt",IF(YEAR(A4260)&lt;&gt;Einstellungen!$C$3,"anderes Jahr",IF(A4260&lt;INDEX(Mitarbeiter!$C$6:$C$205,MATCH(B4260,Mitarbeiter!$A$6:$A$205,0)),"vor Eintritt",IF(AND(INDEX(Mitarbeiter!$D$6:$D$205,MATCH(B4260,Mitarbeiter!$A$6:$A$205,0))&lt;&gt;"",A4260&gt;INDEX(Mitarbeiter!$D$6:$D$205,MATCH(B4260,Mitarbeiter!$A$6:$A$205,0))),"nach Austritt","ok")))))))</f>
        <v/>
      </c>
    </row>
    <row r="4261">
      <c r="A4261" s="26" t="n"/>
      <c r="B4261" s="24" t="n"/>
      <c r="C4261" s="40">
        <f>IF(B4261="","",IFERROR(INDEX(Mitarbeiter!$B$6:$B$205,MATCH(B4261,Mitarbeiter!$A$6:$A$205,0)),"?"))</f>
        <v/>
      </c>
      <c r="D4261" s="41" t="n"/>
      <c r="E4261" s="42" t="n"/>
      <c r="F4261" s="43" t="n"/>
      <c r="G4261" s="44">
        <f>IF(OR(B4261="",F4261=""),"",IFERROR(F4261*INDEX(Mitarbeiter!$F$6:$F$205,MATCH(B4261,Mitarbeiter!$A$6:$A$205,0)),0))</f>
        <v/>
      </c>
      <c r="H4261" s="8">
        <f>IF(B4261="","",IF(ISNA(MATCH(B4261,Mitarbeiter!$A$6:$A$205,0)),"Pers.-Nr. unbekannt",IF(A4261="","Datum fehlt",IF(AND(D4261&lt;&gt;Einstellungen!$C$4,D4261&lt;&gt;Einstellungen!$C$5),"Objekt fehlt",IF(YEAR(A4261)&lt;&gt;Einstellungen!$C$3,"anderes Jahr",IF(A4261&lt;INDEX(Mitarbeiter!$C$6:$C$205,MATCH(B4261,Mitarbeiter!$A$6:$A$205,0)),"vor Eintritt",IF(AND(INDEX(Mitarbeiter!$D$6:$D$205,MATCH(B4261,Mitarbeiter!$A$6:$A$205,0))&lt;&gt;"",A4261&gt;INDEX(Mitarbeiter!$D$6:$D$205,MATCH(B4261,Mitarbeiter!$A$6:$A$205,0))),"nach Austritt","ok")))))))</f>
        <v/>
      </c>
    </row>
    <row r="4262">
      <c r="A4262" s="26" t="n"/>
      <c r="B4262" s="24" t="n"/>
      <c r="C4262" s="40">
        <f>IF(B4262="","",IFERROR(INDEX(Mitarbeiter!$B$6:$B$205,MATCH(B4262,Mitarbeiter!$A$6:$A$205,0)),"?"))</f>
        <v/>
      </c>
      <c r="D4262" s="41" t="n"/>
      <c r="E4262" s="42" t="n"/>
      <c r="F4262" s="43" t="n"/>
      <c r="G4262" s="44">
        <f>IF(OR(B4262="",F4262=""),"",IFERROR(F4262*INDEX(Mitarbeiter!$F$6:$F$205,MATCH(B4262,Mitarbeiter!$A$6:$A$205,0)),0))</f>
        <v/>
      </c>
      <c r="H4262" s="8">
        <f>IF(B4262="","",IF(ISNA(MATCH(B4262,Mitarbeiter!$A$6:$A$205,0)),"Pers.-Nr. unbekannt",IF(A4262="","Datum fehlt",IF(AND(D4262&lt;&gt;Einstellungen!$C$4,D4262&lt;&gt;Einstellungen!$C$5),"Objekt fehlt",IF(YEAR(A4262)&lt;&gt;Einstellungen!$C$3,"anderes Jahr",IF(A4262&lt;INDEX(Mitarbeiter!$C$6:$C$205,MATCH(B4262,Mitarbeiter!$A$6:$A$205,0)),"vor Eintritt",IF(AND(INDEX(Mitarbeiter!$D$6:$D$205,MATCH(B4262,Mitarbeiter!$A$6:$A$205,0))&lt;&gt;"",A4262&gt;INDEX(Mitarbeiter!$D$6:$D$205,MATCH(B4262,Mitarbeiter!$A$6:$A$205,0))),"nach Austritt","ok")))))))</f>
        <v/>
      </c>
    </row>
    <row r="4263">
      <c r="A4263" s="26" t="n"/>
      <c r="B4263" s="24" t="n"/>
      <c r="C4263" s="40">
        <f>IF(B4263="","",IFERROR(INDEX(Mitarbeiter!$B$6:$B$205,MATCH(B4263,Mitarbeiter!$A$6:$A$205,0)),"?"))</f>
        <v/>
      </c>
      <c r="D4263" s="41" t="n"/>
      <c r="E4263" s="42" t="n"/>
      <c r="F4263" s="43" t="n"/>
      <c r="G4263" s="44">
        <f>IF(OR(B4263="",F4263=""),"",IFERROR(F4263*INDEX(Mitarbeiter!$F$6:$F$205,MATCH(B4263,Mitarbeiter!$A$6:$A$205,0)),0))</f>
        <v/>
      </c>
      <c r="H4263" s="8">
        <f>IF(B4263="","",IF(ISNA(MATCH(B4263,Mitarbeiter!$A$6:$A$205,0)),"Pers.-Nr. unbekannt",IF(A4263="","Datum fehlt",IF(AND(D4263&lt;&gt;Einstellungen!$C$4,D4263&lt;&gt;Einstellungen!$C$5),"Objekt fehlt",IF(YEAR(A4263)&lt;&gt;Einstellungen!$C$3,"anderes Jahr",IF(A4263&lt;INDEX(Mitarbeiter!$C$6:$C$205,MATCH(B4263,Mitarbeiter!$A$6:$A$205,0)),"vor Eintritt",IF(AND(INDEX(Mitarbeiter!$D$6:$D$205,MATCH(B4263,Mitarbeiter!$A$6:$A$205,0))&lt;&gt;"",A4263&gt;INDEX(Mitarbeiter!$D$6:$D$205,MATCH(B4263,Mitarbeiter!$A$6:$A$205,0))),"nach Austritt","ok")))))))</f>
        <v/>
      </c>
    </row>
    <row r="4264">
      <c r="A4264" s="26" t="n"/>
      <c r="B4264" s="24" t="n"/>
      <c r="C4264" s="40">
        <f>IF(B4264="","",IFERROR(INDEX(Mitarbeiter!$B$6:$B$205,MATCH(B4264,Mitarbeiter!$A$6:$A$205,0)),"?"))</f>
        <v/>
      </c>
      <c r="D4264" s="41" t="n"/>
      <c r="E4264" s="42" t="n"/>
      <c r="F4264" s="43" t="n"/>
      <c r="G4264" s="44">
        <f>IF(OR(B4264="",F4264=""),"",IFERROR(F4264*INDEX(Mitarbeiter!$F$6:$F$205,MATCH(B4264,Mitarbeiter!$A$6:$A$205,0)),0))</f>
        <v/>
      </c>
      <c r="H4264" s="8">
        <f>IF(B4264="","",IF(ISNA(MATCH(B4264,Mitarbeiter!$A$6:$A$205,0)),"Pers.-Nr. unbekannt",IF(A4264="","Datum fehlt",IF(AND(D4264&lt;&gt;Einstellungen!$C$4,D4264&lt;&gt;Einstellungen!$C$5),"Objekt fehlt",IF(YEAR(A4264)&lt;&gt;Einstellungen!$C$3,"anderes Jahr",IF(A4264&lt;INDEX(Mitarbeiter!$C$6:$C$205,MATCH(B4264,Mitarbeiter!$A$6:$A$205,0)),"vor Eintritt",IF(AND(INDEX(Mitarbeiter!$D$6:$D$205,MATCH(B4264,Mitarbeiter!$A$6:$A$205,0))&lt;&gt;"",A4264&gt;INDEX(Mitarbeiter!$D$6:$D$205,MATCH(B4264,Mitarbeiter!$A$6:$A$205,0))),"nach Austritt","ok")))))))</f>
        <v/>
      </c>
    </row>
    <row r="4265">
      <c r="A4265" s="26" t="n"/>
      <c r="B4265" s="24" t="n"/>
      <c r="C4265" s="40">
        <f>IF(B4265="","",IFERROR(INDEX(Mitarbeiter!$B$6:$B$205,MATCH(B4265,Mitarbeiter!$A$6:$A$205,0)),"?"))</f>
        <v/>
      </c>
      <c r="D4265" s="41" t="n"/>
      <c r="E4265" s="42" t="n"/>
      <c r="F4265" s="43" t="n"/>
      <c r="G4265" s="44">
        <f>IF(OR(B4265="",F4265=""),"",IFERROR(F4265*INDEX(Mitarbeiter!$F$6:$F$205,MATCH(B4265,Mitarbeiter!$A$6:$A$205,0)),0))</f>
        <v/>
      </c>
      <c r="H4265" s="8">
        <f>IF(B4265="","",IF(ISNA(MATCH(B4265,Mitarbeiter!$A$6:$A$205,0)),"Pers.-Nr. unbekannt",IF(A4265="","Datum fehlt",IF(AND(D4265&lt;&gt;Einstellungen!$C$4,D4265&lt;&gt;Einstellungen!$C$5),"Objekt fehlt",IF(YEAR(A4265)&lt;&gt;Einstellungen!$C$3,"anderes Jahr",IF(A4265&lt;INDEX(Mitarbeiter!$C$6:$C$205,MATCH(B4265,Mitarbeiter!$A$6:$A$205,0)),"vor Eintritt",IF(AND(INDEX(Mitarbeiter!$D$6:$D$205,MATCH(B4265,Mitarbeiter!$A$6:$A$205,0))&lt;&gt;"",A4265&gt;INDEX(Mitarbeiter!$D$6:$D$205,MATCH(B4265,Mitarbeiter!$A$6:$A$205,0))),"nach Austritt","ok")))))))</f>
        <v/>
      </c>
    </row>
    <row r="4266">
      <c r="A4266" s="26" t="n"/>
      <c r="B4266" s="24" t="n"/>
      <c r="C4266" s="40">
        <f>IF(B4266="","",IFERROR(INDEX(Mitarbeiter!$B$6:$B$205,MATCH(B4266,Mitarbeiter!$A$6:$A$205,0)),"?"))</f>
        <v/>
      </c>
      <c r="D4266" s="41" t="n"/>
      <c r="E4266" s="42" t="n"/>
      <c r="F4266" s="43" t="n"/>
      <c r="G4266" s="44">
        <f>IF(OR(B4266="",F4266=""),"",IFERROR(F4266*INDEX(Mitarbeiter!$F$6:$F$205,MATCH(B4266,Mitarbeiter!$A$6:$A$205,0)),0))</f>
        <v/>
      </c>
      <c r="H4266" s="8">
        <f>IF(B4266="","",IF(ISNA(MATCH(B4266,Mitarbeiter!$A$6:$A$205,0)),"Pers.-Nr. unbekannt",IF(A4266="","Datum fehlt",IF(AND(D4266&lt;&gt;Einstellungen!$C$4,D4266&lt;&gt;Einstellungen!$C$5),"Objekt fehlt",IF(YEAR(A4266)&lt;&gt;Einstellungen!$C$3,"anderes Jahr",IF(A4266&lt;INDEX(Mitarbeiter!$C$6:$C$205,MATCH(B4266,Mitarbeiter!$A$6:$A$205,0)),"vor Eintritt",IF(AND(INDEX(Mitarbeiter!$D$6:$D$205,MATCH(B4266,Mitarbeiter!$A$6:$A$205,0))&lt;&gt;"",A4266&gt;INDEX(Mitarbeiter!$D$6:$D$205,MATCH(B4266,Mitarbeiter!$A$6:$A$205,0))),"nach Austritt","ok")))))))</f>
        <v/>
      </c>
    </row>
    <row r="4267">
      <c r="A4267" s="26" t="n"/>
      <c r="B4267" s="24" t="n"/>
      <c r="C4267" s="40">
        <f>IF(B4267="","",IFERROR(INDEX(Mitarbeiter!$B$6:$B$205,MATCH(B4267,Mitarbeiter!$A$6:$A$205,0)),"?"))</f>
        <v/>
      </c>
      <c r="D4267" s="41" t="n"/>
      <c r="E4267" s="42" t="n"/>
      <c r="F4267" s="43" t="n"/>
      <c r="G4267" s="44">
        <f>IF(OR(B4267="",F4267=""),"",IFERROR(F4267*INDEX(Mitarbeiter!$F$6:$F$205,MATCH(B4267,Mitarbeiter!$A$6:$A$205,0)),0))</f>
        <v/>
      </c>
      <c r="H4267" s="8">
        <f>IF(B4267="","",IF(ISNA(MATCH(B4267,Mitarbeiter!$A$6:$A$205,0)),"Pers.-Nr. unbekannt",IF(A4267="","Datum fehlt",IF(AND(D4267&lt;&gt;Einstellungen!$C$4,D4267&lt;&gt;Einstellungen!$C$5),"Objekt fehlt",IF(YEAR(A4267)&lt;&gt;Einstellungen!$C$3,"anderes Jahr",IF(A4267&lt;INDEX(Mitarbeiter!$C$6:$C$205,MATCH(B4267,Mitarbeiter!$A$6:$A$205,0)),"vor Eintritt",IF(AND(INDEX(Mitarbeiter!$D$6:$D$205,MATCH(B4267,Mitarbeiter!$A$6:$A$205,0))&lt;&gt;"",A4267&gt;INDEX(Mitarbeiter!$D$6:$D$205,MATCH(B4267,Mitarbeiter!$A$6:$A$205,0))),"nach Austritt","ok")))))))</f>
        <v/>
      </c>
    </row>
    <row r="4268">
      <c r="A4268" s="26" t="n"/>
      <c r="B4268" s="24" t="n"/>
      <c r="C4268" s="40">
        <f>IF(B4268="","",IFERROR(INDEX(Mitarbeiter!$B$6:$B$205,MATCH(B4268,Mitarbeiter!$A$6:$A$205,0)),"?"))</f>
        <v/>
      </c>
      <c r="D4268" s="41" t="n"/>
      <c r="E4268" s="42" t="n"/>
      <c r="F4268" s="43" t="n"/>
      <c r="G4268" s="44">
        <f>IF(OR(B4268="",F4268=""),"",IFERROR(F4268*INDEX(Mitarbeiter!$F$6:$F$205,MATCH(B4268,Mitarbeiter!$A$6:$A$205,0)),0))</f>
        <v/>
      </c>
      <c r="H4268" s="8">
        <f>IF(B4268="","",IF(ISNA(MATCH(B4268,Mitarbeiter!$A$6:$A$205,0)),"Pers.-Nr. unbekannt",IF(A4268="","Datum fehlt",IF(AND(D4268&lt;&gt;Einstellungen!$C$4,D4268&lt;&gt;Einstellungen!$C$5),"Objekt fehlt",IF(YEAR(A4268)&lt;&gt;Einstellungen!$C$3,"anderes Jahr",IF(A4268&lt;INDEX(Mitarbeiter!$C$6:$C$205,MATCH(B4268,Mitarbeiter!$A$6:$A$205,0)),"vor Eintritt",IF(AND(INDEX(Mitarbeiter!$D$6:$D$205,MATCH(B4268,Mitarbeiter!$A$6:$A$205,0))&lt;&gt;"",A4268&gt;INDEX(Mitarbeiter!$D$6:$D$205,MATCH(B4268,Mitarbeiter!$A$6:$A$205,0))),"nach Austritt","ok")))))))</f>
        <v/>
      </c>
    </row>
    <row r="4269">
      <c r="A4269" s="26" t="n"/>
      <c r="B4269" s="24" t="n"/>
      <c r="C4269" s="40">
        <f>IF(B4269="","",IFERROR(INDEX(Mitarbeiter!$B$6:$B$205,MATCH(B4269,Mitarbeiter!$A$6:$A$205,0)),"?"))</f>
        <v/>
      </c>
      <c r="D4269" s="41" t="n"/>
      <c r="E4269" s="42" t="n"/>
      <c r="F4269" s="43" t="n"/>
      <c r="G4269" s="44">
        <f>IF(OR(B4269="",F4269=""),"",IFERROR(F4269*INDEX(Mitarbeiter!$F$6:$F$205,MATCH(B4269,Mitarbeiter!$A$6:$A$205,0)),0))</f>
        <v/>
      </c>
      <c r="H4269" s="8">
        <f>IF(B4269="","",IF(ISNA(MATCH(B4269,Mitarbeiter!$A$6:$A$205,0)),"Pers.-Nr. unbekannt",IF(A4269="","Datum fehlt",IF(AND(D4269&lt;&gt;Einstellungen!$C$4,D4269&lt;&gt;Einstellungen!$C$5),"Objekt fehlt",IF(YEAR(A4269)&lt;&gt;Einstellungen!$C$3,"anderes Jahr",IF(A4269&lt;INDEX(Mitarbeiter!$C$6:$C$205,MATCH(B4269,Mitarbeiter!$A$6:$A$205,0)),"vor Eintritt",IF(AND(INDEX(Mitarbeiter!$D$6:$D$205,MATCH(B4269,Mitarbeiter!$A$6:$A$205,0))&lt;&gt;"",A4269&gt;INDEX(Mitarbeiter!$D$6:$D$205,MATCH(B4269,Mitarbeiter!$A$6:$A$205,0))),"nach Austritt","ok")))))))</f>
        <v/>
      </c>
    </row>
    <row r="4270">
      <c r="A4270" s="26" t="n"/>
      <c r="B4270" s="24" t="n"/>
      <c r="C4270" s="40">
        <f>IF(B4270="","",IFERROR(INDEX(Mitarbeiter!$B$6:$B$205,MATCH(B4270,Mitarbeiter!$A$6:$A$205,0)),"?"))</f>
        <v/>
      </c>
      <c r="D4270" s="41" t="n"/>
      <c r="E4270" s="42" t="n"/>
      <c r="F4270" s="43" t="n"/>
      <c r="G4270" s="44">
        <f>IF(OR(B4270="",F4270=""),"",IFERROR(F4270*INDEX(Mitarbeiter!$F$6:$F$205,MATCH(B4270,Mitarbeiter!$A$6:$A$205,0)),0))</f>
        <v/>
      </c>
      <c r="H4270" s="8">
        <f>IF(B4270="","",IF(ISNA(MATCH(B4270,Mitarbeiter!$A$6:$A$205,0)),"Pers.-Nr. unbekannt",IF(A4270="","Datum fehlt",IF(AND(D4270&lt;&gt;Einstellungen!$C$4,D4270&lt;&gt;Einstellungen!$C$5),"Objekt fehlt",IF(YEAR(A4270)&lt;&gt;Einstellungen!$C$3,"anderes Jahr",IF(A4270&lt;INDEX(Mitarbeiter!$C$6:$C$205,MATCH(B4270,Mitarbeiter!$A$6:$A$205,0)),"vor Eintritt",IF(AND(INDEX(Mitarbeiter!$D$6:$D$205,MATCH(B4270,Mitarbeiter!$A$6:$A$205,0))&lt;&gt;"",A4270&gt;INDEX(Mitarbeiter!$D$6:$D$205,MATCH(B4270,Mitarbeiter!$A$6:$A$205,0))),"nach Austritt","ok")))))))</f>
        <v/>
      </c>
    </row>
    <row r="4271">
      <c r="A4271" s="26" t="n"/>
      <c r="B4271" s="24" t="n"/>
      <c r="C4271" s="40">
        <f>IF(B4271="","",IFERROR(INDEX(Mitarbeiter!$B$6:$B$205,MATCH(B4271,Mitarbeiter!$A$6:$A$205,0)),"?"))</f>
        <v/>
      </c>
      <c r="D4271" s="41" t="n"/>
      <c r="E4271" s="42" t="n"/>
      <c r="F4271" s="43" t="n"/>
      <c r="G4271" s="44">
        <f>IF(OR(B4271="",F4271=""),"",IFERROR(F4271*INDEX(Mitarbeiter!$F$6:$F$205,MATCH(B4271,Mitarbeiter!$A$6:$A$205,0)),0))</f>
        <v/>
      </c>
      <c r="H4271" s="8">
        <f>IF(B4271="","",IF(ISNA(MATCH(B4271,Mitarbeiter!$A$6:$A$205,0)),"Pers.-Nr. unbekannt",IF(A4271="","Datum fehlt",IF(AND(D4271&lt;&gt;Einstellungen!$C$4,D4271&lt;&gt;Einstellungen!$C$5),"Objekt fehlt",IF(YEAR(A4271)&lt;&gt;Einstellungen!$C$3,"anderes Jahr",IF(A4271&lt;INDEX(Mitarbeiter!$C$6:$C$205,MATCH(B4271,Mitarbeiter!$A$6:$A$205,0)),"vor Eintritt",IF(AND(INDEX(Mitarbeiter!$D$6:$D$205,MATCH(B4271,Mitarbeiter!$A$6:$A$205,0))&lt;&gt;"",A4271&gt;INDEX(Mitarbeiter!$D$6:$D$205,MATCH(B4271,Mitarbeiter!$A$6:$A$205,0))),"nach Austritt","ok")))))))</f>
        <v/>
      </c>
    </row>
    <row r="4272">
      <c r="A4272" s="26" t="n"/>
      <c r="B4272" s="24" t="n"/>
      <c r="C4272" s="40">
        <f>IF(B4272="","",IFERROR(INDEX(Mitarbeiter!$B$6:$B$205,MATCH(B4272,Mitarbeiter!$A$6:$A$205,0)),"?"))</f>
        <v/>
      </c>
      <c r="D4272" s="41" t="n"/>
      <c r="E4272" s="42" t="n"/>
      <c r="F4272" s="43" t="n"/>
      <c r="G4272" s="44">
        <f>IF(OR(B4272="",F4272=""),"",IFERROR(F4272*INDEX(Mitarbeiter!$F$6:$F$205,MATCH(B4272,Mitarbeiter!$A$6:$A$205,0)),0))</f>
        <v/>
      </c>
      <c r="H4272" s="8">
        <f>IF(B4272="","",IF(ISNA(MATCH(B4272,Mitarbeiter!$A$6:$A$205,0)),"Pers.-Nr. unbekannt",IF(A4272="","Datum fehlt",IF(AND(D4272&lt;&gt;Einstellungen!$C$4,D4272&lt;&gt;Einstellungen!$C$5),"Objekt fehlt",IF(YEAR(A4272)&lt;&gt;Einstellungen!$C$3,"anderes Jahr",IF(A4272&lt;INDEX(Mitarbeiter!$C$6:$C$205,MATCH(B4272,Mitarbeiter!$A$6:$A$205,0)),"vor Eintritt",IF(AND(INDEX(Mitarbeiter!$D$6:$D$205,MATCH(B4272,Mitarbeiter!$A$6:$A$205,0))&lt;&gt;"",A4272&gt;INDEX(Mitarbeiter!$D$6:$D$205,MATCH(B4272,Mitarbeiter!$A$6:$A$205,0))),"nach Austritt","ok")))))))</f>
        <v/>
      </c>
    </row>
    <row r="4273">
      <c r="A4273" s="26" t="n"/>
      <c r="B4273" s="24" t="n"/>
      <c r="C4273" s="40">
        <f>IF(B4273="","",IFERROR(INDEX(Mitarbeiter!$B$6:$B$205,MATCH(B4273,Mitarbeiter!$A$6:$A$205,0)),"?"))</f>
        <v/>
      </c>
      <c r="D4273" s="41" t="n"/>
      <c r="E4273" s="42" t="n"/>
      <c r="F4273" s="43" t="n"/>
      <c r="G4273" s="44">
        <f>IF(OR(B4273="",F4273=""),"",IFERROR(F4273*INDEX(Mitarbeiter!$F$6:$F$205,MATCH(B4273,Mitarbeiter!$A$6:$A$205,0)),0))</f>
        <v/>
      </c>
      <c r="H4273" s="8">
        <f>IF(B4273="","",IF(ISNA(MATCH(B4273,Mitarbeiter!$A$6:$A$205,0)),"Pers.-Nr. unbekannt",IF(A4273="","Datum fehlt",IF(AND(D4273&lt;&gt;Einstellungen!$C$4,D4273&lt;&gt;Einstellungen!$C$5),"Objekt fehlt",IF(YEAR(A4273)&lt;&gt;Einstellungen!$C$3,"anderes Jahr",IF(A4273&lt;INDEX(Mitarbeiter!$C$6:$C$205,MATCH(B4273,Mitarbeiter!$A$6:$A$205,0)),"vor Eintritt",IF(AND(INDEX(Mitarbeiter!$D$6:$D$205,MATCH(B4273,Mitarbeiter!$A$6:$A$205,0))&lt;&gt;"",A4273&gt;INDEX(Mitarbeiter!$D$6:$D$205,MATCH(B4273,Mitarbeiter!$A$6:$A$205,0))),"nach Austritt","ok")))))))</f>
        <v/>
      </c>
    </row>
    <row r="4274">
      <c r="A4274" s="26" t="n"/>
      <c r="B4274" s="24" t="n"/>
      <c r="C4274" s="40">
        <f>IF(B4274="","",IFERROR(INDEX(Mitarbeiter!$B$6:$B$205,MATCH(B4274,Mitarbeiter!$A$6:$A$205,0)),"?"))</f>
        <v/>
      </c>
      <c r="D4274" s="41" t="n"/>
      <c r="E4274" s="42" t="n"/>
      <c r="F4274" s="43" t="n"/>
      <c r="G4274" s="44">
        <f>IF(OR(B4274="",F4274=""),"",IFERROR(F4274*INDEX(Mitarbeiter!$F$6:$F$205,MATCH(B4274,Mitarbeiter!$A$6:$A$205,0)),0))</f>
        <v/>
      </c>
      <c r="H4274" s="8">
        <f>IF(B4274="","",IF(ISNA(MATCH(B4274,Mitarbeiter!$A$6:$A$205,0)),"Pers.-Nr. unbekannt",IF(A4274="","Datum fehlt",IF(AND(D4274&lt;&gt;Einstellungen!$C$4,D4274&lt;&gt;Einstellungen!$C$5),"Objekt fehlt",IF(YEAR(A4274)&lt;&gt;Einstellungen!$C$3,"anderes Jahr",IF(A4274&lt;INDEX(Mitarbeiter!$C$6:$C$205,MATCH(B4274,Mitarbeiter!$A$6:$A$205,0)),"vor Eintritt",IF(AND(INDEX(Mitarbeiter!$D$6:$D$205,MATCH(B4274,Mitarbeiter!$A$6:$A$205,0))&lt;&gt;"",A4274&gt;INDEX(Mitarbeiter!$D$6:$D$205,MATCH(B4274,Mitarbeiter!$A$6:$A$205,0))),"nach Austritt","ok")))))))</f>
        <v/>
      </c>
    </row>
    <row r="4275">
      <c r="A4275" s="26" t="n"/>
      <c r="B4275" s="24" t="n"/>
      <c r="C4275" s="40">
        <f>IF(B4275="","",IFERROR(INDEX(Mitarbeiter!$B$6:$B$205,MATCH(B4275,Mitarbeiter!$A$6:$A$205,0)),"?"))</f>
        <v/>
      </c>
      <c r="D4275" s="41" t="n"/>
      <c r="E4275" s="42" t="n"/>
      <c r="F4275" s="43" t="n"/>
      <c r="G4275" s="44">
        <f>IF(OR(B4275="",F4275=""),"",IFERROR(F4275*INDEX(Mitarbeiter!$F$6:$F$205,MATCH(B4275,Mitarbeiter!$A$6:$A$205,0)),0))</f>
        <v/>
      </c>
      <c r="H4275" s="8">
        <f>IF(B4275="","",IF(ISNA(MATCH(B4275,Mitarbeiter!$A$6:$A$205,0)),"Pers.-Nr. unbekannt",IF(A4275="","Datum fehlt",IF(AND(D4275&lt;&gt;Einstellungen!$C$4,D4275&lt;&gt;Einstellungen!$C$5),"Objekt fehlt",IF(YEAR(A4275)&lt;&gt;Einstellungen!$C$3,"anderes Jahr",IF(A4275&lt;INDEX(Mitarbeiter!$C$6:$C$205,MATCH(B4275,Mitarbeiter!$A$6:$A$205,0)),"vor Eintritt",IF(AND(INDEX(Mitarbeiter!$D$6:$D$205,MATCH(B4275,Mitarbeiter!$A$6:$A$205,0))&lt;&gt;"",A4275&gt;INDEX(Mitarbeiter!$D$6:$D$205,MATCH(B4275,Mitarbeiter!$A$6:$A$205,0))),"nach Austritt","ok")))))))</f>
        <v/>
      </c>
    </row>
    <row r="4276">
      <c r="A4276" s="26" t="n"/>
      <c r="B4276" s="24" t="n"/>
      <c r="C4276" s="40">
        <f>IF(B4276="","",IFERROR(INDEX(Mitarbeiter!$B$6:$B$205,MATCH(B4276,Mitarbeiter!$A$6:$A$205,0)),"?"))</f>
        <v/>
      </c>
      <c r="D4276" s="41" t="n"/>
      <c r="E4276" s="42" t="n"/>
      <c r="F4276" s="43" t="n"/>
      <c r="G4276" s="44">
        <f>IF(OR(B4276="",F4276=""),"",IFERROR(F4276*INDEX(Mitarbeiter!$F$6:$F$205,MATCH(B4276,Mitarbeiter!$A$6:$A$205,0)),0))</f>
        <v/>
      </c>
      <c r="H4276" s="8">
        <f>IF(B4276="","",IF(ISNA(MATCH(B4276,Mitarbeiter!$A$6:$A$205,0)),"Pers.-Nr. unbekannt",IF(A4276="","Datum fehlt",IF(AND(D4276&lt;&gt;Einstellungen!$C$4,D4276&lt;&gt;Einstellungen!$C$5),"Objekt fehlt",IF(YEAR(A4276)&lt;&gt;Einstellungen!$C$3,"anderes Jahr",IF(A4276&lt;INDEX(Mitarbeiter!$C$6:$C$205,MATCH(B4276,Mitarbeiter!$A$6:$A$205,0)),"vor Eintritt",IF(AND(INDEX(Mitarbeiter!$D$6:$D$205,MATCH(B4276,Mitarbeiter!$A$6:$A$205,0))&lt;&gt;"",A4276&gt;INDEX(Mitarbeiter!$D$6:$D$205,MATCH(B4276,Mitarbeiter!$A$6:$A$205,0))),"nach Austritt","ok")))))))</f>
        <v/>
      </c>
    </row>
    <row r="4277">
      <c r="A4277" s="26" t="n"/>
      <c r="B4277" s="24" t="n"/>
      <c r="C4277" s="40">
        <f>IF(B4277="","",IFERROR(INDEX(Mitarbeiter!$B$6:$B$205,MATCH(B4277,Mitarbeiter!$A$6:$A$205,0)),"?"))</f>
        <v/>
      </c>
      <c r="D4277" s="41" t="n"/>
      <c r="E4277" s="42" t="n"/>
      <c r="F4277" s="43" t="n"/>
      <c r="G4277" s="44">
        <f>IF(OR(B4277="",F4277=""),"",IFERROR(F4277*INDEX(Mitarbeiter!$F$6:$F$205,MATCH(B4277,Mitarbeiter!$A$6:$A$205,0)),0))</f>
        <v/>
      </c>
      <c r="H4277" s="8">
        <f>IF(B4277="","",IF(ISNA(MATCH(B4277,Mitarbeiter!$A$6:$A$205,0)),"Pers.-Nr. unbekannt",IF(A4277="","Datum fehlt",IF(AND(D4277&lt;&gt;Einstellungen!$C$4,D4277&lt;&gt;Einstellungen!$C$5),"Objekt fehlt",IF(YEAR(A4277)&lt;&gt;Einstellungen!$C$3,"anderes Jahr",IF(A4277&lt;INDEX(Mitarbeiter!$C$6:$C$205,MATCH(B4277,Mitarbeiter!$A$6:$A$205,0)),"vor Eintritt",IF(AND(INDEX(Mitarbeiter!$D$6:$D$205,MATCH(B4277,Mitarbeiter!$A$6:$A$205,0))&lt;&gt;"",A4277&gt;INDEX(Mitarbeiter!$D$6:$D$205,MATCH(B4277,Mitarbeiter!$A$6:$A$205,0))),"nach Austritt","ok")))))))</f>
        <v/>
      </c>
    </row>
    <row r="4278">
      <c r="A4278" s="26" t="n"/>
      <c r="B4278" s="24" t="n"/>
      <c r="C4278" s="40">
        <f>IF(B4278="","",IFERROR(INDEX(Mitarbeiter!$B$6:$B$205,MATCH(B4278,Mitarbeiter!$A$6:$A$205,0)),"?"))</f>
        <v/>
      </c>
      <c r="D4278" s="41" t="n"/>
      <c r="E4278" s="42" t="n"/>
      <c r="F4278" s="43" t="n"/>
      <c r="G4278" s="44">
        <f>IF(OR(B4278="",F4278=""),"",IFERROR(F4278*INDEX(Mitarbeiter!$F$6:$F$205,MATCH(B4278,Mitarbeiter!$A$6:$A$205,0)),0))</f>
        <v/>
      </c>
      <c r="H4278" s="8">
        <f>IF(B4278="","",IF(ISNA(MATCH(B4278,Mitarbeiter!$A$6:$A$205,0)),"Pers.-Nr. unbekannt",IF(A4278="","Datum fehlt",IF(AND(D4278&lt;&gt;Einstellungen!$C$4,D4278&lt;&gt;Einstellungen!$C$5),"Objekt fehlt",IF(YEAR(A4278)&lt;&gt;Einstellungen!$C$3,"anderes Jahr",IF(A4278&lt;INDEX(Mitarbeiter!$C$6:$C$205,MATCH(B4278,Mitarbeiter!$A$6:$A$205,0)),"vor Eintritt",IF(AND(INDEX(Mitarbeiter!$D$6:$D$205,MATCH(B4278,Mitarbeiter!$A$6:$A$205,0))&lt;&gt;"",A4278&gt;INDEX(Mitarbeiter!$D$6:$D$205,MATCH(B4278,Mitarbeiter!$A$6:$A$205,0))),"nach Austritt","ok")))))))</f>
        <v/>
      </c>
    </row>
    <row r="4279">
      <c r="A4279" s="26" t="n"/>
      <c r="B4279" s="24" t="n"/>
      <c r="C4279" s="40">
        <f>IF(B4279="","",IFERROR(INDEX(Mitarbeiter!$B$6:$B$205,MATCH(B4279,Mitarbeiter!$A$6:$A$205,0)),"?"))</f>
        <v/>
      </c>
      <c r="D4279" s="41" t="n"/>
      <c r="E4279" s="42" t="n"/>
      <c r="F4279" s="43" t="n"/>
      <c r="G4279" s="44">
        <f>IF(OR(B4279="",F4279=""),"",IFERROR(F4279*INDEX(Mitarbeiter!$F$6:$F$205,MATCH(B4279,Mitarbeiter!$A$6:$A$205,0)),0))</f>
        <v/>
      </c>
      <c r="H4279" s="8">
        <f>IF(B4279="","",IF(ISNA(MATCH(B4279,Mitarbeiter!$A$6:$A$205,0)),"Pers.-Nr. unbekannt",IF(A4279="","Datum fehlt",IF(AND(D4279&lt;&gt;Einstellungen!$C$4,D4279&lt;&gt;Einstellungen!$C$5),"Objekt fehlt",IF(YEAR(A4279)&lt;&gt;Einstellungen!$C$3,"anderes Jahr",IF(A4279&lt;INDEX(Mitarbeiter!$C$6:$C$205,MATCH(B4279,Mitarbeiter!$A$6:$A$205,0)),"vor Eintritt",IF(AND(INDEX(Mitarbeiter!$D$6:$D$205,MATCH(B4279,Mitarbeiter!$A$6:$A$205,0))&lt;&gt;"",A4279&gt;INDEX(Mitarbeiter!$D$6:$D$205,MATCH(B4279,Mitarbeiter!$A$6:$A$205,0))),"nach Austritt","ok")))))))</f>
        <v/>
      </c>
    </row>
    <row r="4280">
      <c r="A4280" s="26" t="n"/>
      <c r="B4280" s="24" t="n"/>
      <c r="C4280" s="40">
        <f>IF(B4280="","",IFERROR(INDEX(Mitarbeiter!$B$6:$B$205,MATCH(B4280,Mitarbeiter!$A$6:$A$205,0)),"?"))</f>
        <v/>
      </c>
      <c r="D4280" s="41" t="n"/>
      <c r="E4280" s="42" t="n"/>
      <c r="F4280" s="43" t="n"/>
      <c r="G4280" s="44">
        <f>IF(OR(B4280="",F4280=""),"",IFERROR(F4280*INDEX(Mitarbeiter!$F$6:$F$205,MATCH(B4280,Mitarbeiter!$A$6:$A$205,0)),0))</f>
        <v/>
      </c>
      <c r="H4280" s="8">
        <f>IF(B4280="","",IF(ISNA(MATCH(B4280,Mitarbeiter!$A$6:$A$205,0)),"Pers.-Nr. unbekannt",IF(A4280="","Datum fehlt",IF(AND(D4280&lt;&gt;Einstellungen!$C$4,D4280&lt;&gt;Einstellungen!$C$5),"Objekt fehlt",IF(YEAR(A4280)&lt;&gt;Einstellungen!$C$3,"anderes Jahr",IF(A4280&lt;INDEX(Mitarbeiter!$C$6:$C$205,MATCH(B4280,Mitarbeiter!$A$6:$A$205,0)),"vor Eintritt",IF(AND(INDEX(Mitarbeiter!$D$6:$D$205,MATCH(B4280,Mitarbeiter!$A$6:$A$205,0))&lt;&gt;"",A4280&gt;INDEX(Mitarbeiter!$D$6:$D$205,MATCH(B4280,Mitarbeiter!$A$6:$A$205,0))),"nach Austritt","ok")))))))</f>
        <v/>
      </c>
    </row>
    <row r="4281">
      <c r="A4281" s="26" t="n"/>
      <c r="B4281" s="24" t="n"/>
      <c r="C4281" s="40">
        <f>IF(B4281="","",IFERROR(INDEX(Mitarbeiter!$B$6:$B$205,MATCH(B4281,Mitarbeiter!$A$6:$A$205,0)),"?"))</f>
        <v/>
      </c>
      <c r="D4281" s="41" t="n"/>
      <c r="E4281" s="42" t="n"/>
      <c r="F4281" s="43" t="n"/>
      <c r="G4281" s="44">
        <f>IF(OR(B4281="",F4281=""),"",IFERROR(F4281*INDEX(Mitarbeiter!$F$6:$F$205,MATCH(B4281,Mitarbeiter!$A$6:$A$205,0)),0))</f>
        <v/>
      </c>
      <c r="H4281" s="8">
        <f>IF(B4281="","",IF(ISNA(MATCH(B4281,Mitarbeiter!$A$6:$A$205,0)),"Pers.-Nr. unbekannt",IF(A4281="","Datum fehlt",IF(AND(D4281&lt;&gt;Einstellungen!$C$4,D4281&lt;&gt;Einstellungen!$C$5),"Objekt fehlt",IF(YEAR(A4281)&lt;&gt;Einstellungen!$C$3,"anderes Jahr",IF(A4281&lt;INDEX(Mitarbeiter!$C$6:$C$205,MATCH(B4281,Mitarbeiter!$A$6:$A$205,0)),"vor Eintritt",IF(AND(INDEX(Mitarbeiter!$D$6:$D$205,MATCH(B4281,Mitarbeiter!$A$6:$A$205,0))&lt;&gt;"",A4281&gt;INDEX(Mitarbeiter!$D$6:$D$205,MATCH(B4281,Mitarbeiter!$A$6:$A$205,0))),"nach Austritt","ok")))))))</f>
        <v/>
      </c>
    </row>
    <row r="4282">
      <c r="A4282" s="26" t="n"/>
      <c r="B4282" s="24" t="n"/>
      <c r="C4282" s="40">
        <f>IF(B4282="","",IFERROR(INDEX(Mitarbeiter!$B$6:$B$205,MATCH(B4282,Mitarbeiter!$A$6:$A$205,0)),"?"))</f>
        <v/>
      </c>
      <c r="D4282" s="41" t="n"/>
      <c r="E4282" s="42" t="n"/>
      <c r="F4282" s="43" t="n"/>
      <c r="G4282" s="44">
        <f>IF(OR(B4282="",F4282=""),"",IFERROR(F4282*INDEX(Mitarbeiter!$F$6:$F$205,MATCH(B4282,Mitarbeiter!$A$6:$A$205,0)),0))</f>
        <v/>
      </c>
      <c r="H4282" s="8">
        <f>IF(B4282="","",IF(ISNA(MATCH(B4282,Mitarbeiter!$A$6:$A$205,0)),"Pers.-Nr. unbekannt",IF(A4282="","Datum fehlt",IF(AND(D4282&lt;&gt;Einstellungen!$C$4,D4282&lt;&gt;Einstellungen!$C$5),"Objekt fehlt",IF(YEAR(A4282)&lt;&gt;Einstellungen!$C$3,"anderes Jahr",IF(A4282&lt;INDEX(Mitarbeiter!$C$6:$C$205,MATCH(B4282,Mitarbeiter!$A$6:$A$205,0)),"vor Eintritt",IF(AND(INDEX(Mitarbeiter!$D$6:$D$205,MATCH(B4282,Mitarbeiter!$A$6:$A$205,0))&lt;&gt;"",A4282&gt;INDEX(Mitarbeiter!$D$6:$D$205,MATCH(B4282,Mitarbeiter!$A$6:$A$205,0))),"nach Austritt","ok")))))))</f>
        <v/>
      </c>
    </row>
    <row r="4283">
      <c r="A4283" s="26" t="n"/>
      <c r="B4283" s="24" t="n"/>
      <c r="C4283" s="40">
        <f>IF(B4283="","",IFERROR(INDEX(Mitarbeiter!$B$6:$B$205,MATCH(B4283,Mitarbeiter!$A$6:$A$205,0)),"?"))</f>
        <v/>
      </c>
      <c r="D4283" s="41" t="n"/>
      <c r="E4283" s="42" t="n"/>
      <c r="F4283" s="43" t="n"/>
      <c r="G4283" s="44">
        <f>IF(OR(B4283="",F4283=""),"",IFERROR(F4283*INDEX(Mitarbeiter!$F$6:$F$205,MATCH(B4283,Mitarbeiter!$A$6:$A$205,0)),0))</f>
        <v/>
      </c>
      <c r="H4283" s="8">
        <f>IF(B4283="","",IF(ISNA(MATCH(B4283,Mitarbeiter!$A$6:$A$205,0)),"Pers.-Nr. unbekannt",IF(A4283="","Datum fehlt",IF(AND(D4283&lt;&gt;Einstellungen!$C$4,D4283&lt;&gt;Einstellungen!$C$5),"Objekt fehlt",IF(YEAR(A4283)&lt;&gt;Einstellungen!$C$3,"anderes Jahr",IF(A4283&lt;INDEX(Mitarbeiter!$C$6:$C$205,MATCH(B4283,Mitarbeiter!$A$6:$A$205,0)),"vor Eintritt",IF(AND(INDEX(Mitarbeiter!$D$6:$D$205,MATCH(B4283,Mitarbeiter!$A$6:$A$205,0))&lt;&gt;"",A4283&gt;INDEX(Mitarbeiter!$D$6:$D$205,MATCH(B4283,Mitarbeiter!$A$6:$A$205,0))),"nach Austritt","ok")))))))</f>
        <v/>
      </c>
    </row>
    <row r="4284">
      <c r="A4284" s="26" t="n"/>
      <c r="B4284" s="24" t="n"/>
      <c r="C4284" s="40">
        <f>IF(B4284="","",IFERROR(INDEX(Mitarbeiter!$B$6:$B$205,MATCH(B4284,Mitarbeiter!$A$6:$A$205,0)),"?"))</f>
        <v/>
      </c>
      <c r="D4284" s="41" t="n"/>
      <c r="E4284" s="42" t="n"/>
      <c r="F4284" s="43" t="n"/>
      <c r="G4284" s="44">
        <f>IF(OR(B4284="",F4284=""),"",IFERROR(F4284*INDEX(Mitarbeiter!$F$6:$F$205,MATCH(B4284,Mitarbeiter!$A$6:$A$205,0)),0))</f>
        <v/>
      </c>
      <c r="H4284" s="8">
        <f>IF(B4284="","",IF(ISNA(MATCH(B4284,Mitarbeiter!$A$6:$A$205,0)),"Pers.-Nr. unbekannt",IF(A4284="","Datum fehlt",IF(AND(D4284&lt;&gt;Einstellungen!$C$4,D4284&lt;&gt;Einstellungen!$C$5),"Objekt fehlt",IF(YEAR(A4284)&lt;&gt;Einstellungen!$C$3,"anderes Jahr",IF(A4284&lt;INDEX(Mitarbeiter!$C$6:$C$205,MATCH(B4284,Mitarbeiter!$A$6:$A$205,0)),"vor Eintritt",IF(AND(INDEX(Mitarbeiter!$D$6:$D$205,MATCH(B4284,Mitarbeiter!$A$6:$A$205,0))&lt;&gt;"",A4284&gt;INDEX(Mitarbeiter!$D$6:$D$205,MATCH(B4284,Mitarbeiter!$A$6:$A$205,0))),"nach Austritt","ok")))))))</f>
        <v/>
      </c>
    </row>
    <row r="4285">
      <c r="A4285" s="26" t="n"/>
      <c r="B4285" s="24" t="n"/>
      <c r="C4285" s="40">
        <f>IF(B4285="","",IFERROR(INDEX(Mitarbeiter!$B$6:$B$205,MATCH(B4285,Mitarbeiter!$A$6:$A$205,0)),"?"))</f>
        <v/>
      </c>
      <c r="D4285" s="41" t="n"/>
      <c r="E4285" s="42" t="n"/>
      <c r="F4285" s="43" t="n"/>
      <c r="G4285" s="44">
        <f>IF(OR(B4285="",F4285=""),"",IFERROR(F4285*INDEX(Mitarbeiter!$F$6:$F$205,MATCH(B4285,Mitarbeiter!$A$6:$A$205,0)),0))</f>
        <v/>
      </c>
      <c r="H4285" s="8">
        <f>IF(B4285="","",IF(ISNA(MATCH(B4285,Mitarbeiter!$A$6:$A$205,0)),"Pers.-Nr. unbekannt",IF(A4285="","Datum fehlt",IF(AND(D4285&lt;&gt;Einstellungen!$C$4,D4285&lt;&gt;Einstellungen!$C$5),"Objekt fehlt",IF(YEAR(A4285)&lt;&gt;Einstellungen!$C$3,"anderes Jahr",IF(A4285&lt;INDEX(Mitarbeiter!$C$6:$C$205,MATCH(B4285,Mitarbeiter!$A$6:$A$205,0)),"vor Eintritt",IF(AND(INDEX(Mitarbeiter!$D$6:$D$205,MATCH(B4285,Mitarbeiter!$A$6:$A$205,0))&lt;&gt;"",A4285&gt;INDEX(Mitarbeiter!$D$6:$D$205,MATCH(B4285,Mitarbeiter!$A$6:$A$205,0))),"nach Austritt","ok")))))))</f>
        <v/>
      </c>
    </row>
    <row r="4286">
      <c r="A4286" s="26" t="n"/>
      <c r="B4286" s="24" t="n"/>
      <c r="C4286" s="40">
        <f>IF(B4286="","",IFERROR(INDEX(Mitarbeiter!$B$6:$B$205,MATCH(B4286,Mitarbeiter!$A$6:$A$205,0)),"?"))</f>
        <v/>
      </c>
      <c r="D4286" s="41" t="n"/>
      <c r="E4286" s="42" t="n"/>
      <c r="F4286" s="43" t="n"/>
      <c r="G4286" s="44">
        <f>IF(OR(B4286="",F4286=""),"",IFERROR(F4286*INDEX(Mitarbeiter!$F$6:$F$205,MATCH(B4286,Mitarbeiter!$A$6:$A$205,0)),0))</f>
        <v/>
      </c>
      <c r="H4286" s="8">
        <f>IF(B4286="","",IF(ISNA(MATCH(B4286,Mitarbeiter!$A$6:$A$205,0)),"Pers.-Nr. unbekannt",IF(A4286="","Datum fehlt",IF(AND(D4286&lt;&gt;Einstellungen!$C$4,D4286&lt;&gt;Einstellungen!$C$5),"Objekt fehlt",IF(YEAR(A4286)&lt;&gt;Einstellungen!$C$3,"anderes Jahr",IF(A4286&lt;INDEX(Mitarbeiter!$C$6:$C$205,MATCH(B4286,Mitarbeiter!$A$6:$A$205,0)),"vor Eintritt",IF(AND(INDEX(Mitarbeiter!$D$6:$D$205,MATCH(B4286,Mitarbeiter!$A$6:$A$205,0))&lt;&gt;"",A4286&gt;INDEX(Mitarbeiter!$D$6:$D$205,MATCH(B4286,Mitarbeiter!$A$6:$A$205,0))),"nach Austritt","ok")))))))</f>
        <v/>
      </c>
    </row>
    <row r="4287">
      <c r="A4287" s="26" t="n"/>
      <c r="B4287" s="24" t="n"/>
      <c r="C4287" s="40">
        <f>IF(B4287="","",IFERROR(INDEX(Mitarbeiter!$B$6:$B$205,MATCH(B4287,Mitarbeiter!$A$6:$A$205,0)),"?"))</f>
        <v/>
      </c>
      <c r="D4287" s="41" t="n"/>
      <c r="E4287" s="42" t="n"/>
      <c r="F4287" s="43" t="n"/>
      <c r="G4287" s="44">
        <f>IF(OR(B4287="",F4287=""),"",IFERROR(F4287*INDEX(Mitarbeiter!$F$6:$F$205,MATCH(B4287,Mitarbeiter!$A$6:$A$205,0)),0))</f>
        <v/>
      </c>
      <c r="H4287" s="8">
        <f>IF(B4287="","",IF(ISNA(MATCH(B4287,Mitarbeiter!$A$6:$A$205,0)),"Pers.-Nr. unbekannt",IF(A4287="","Datum fehlt",IF(AND(D4287&lt;&gt;Einstellungen!$C$4,D4287&lt;&gt;Einstellungen!$C$5),"Objekt fehlt",IF(YEAR(A4287)&lt;&gt;Einstellungen!$C$3,"anderes Jahr",IF(A4287&lt;INDEX(Mitarbeiter!$C$6:$C$205,MATCH(B4287,Mitarbeiter!$A$6:$A$205,0)),"vor Eintritt",IF(AND(INDEX(Mitarbeiter!$D$6:$D$205,MATCH(B4287,Mitarbeiter!$A$6:$A$205,0))&lt;&gt;"",A4287&gt;INDEX(Mitarbeiter!$D$6:$D$205,MATCH(B4287,Mitarbeiter!$A$6:$A$205,0))),"nach Austritt","ok")))))))</f>
        <v/>
      </c>
    </row>
    <row r="4288">
      <c r="A4288" s="26" t="n"/>
      <c r="B4288" s="24" t="n"/>
      <c r="C4288" s="40">
        <f>IF(B4288="","",IFERROR(INDEX(Mitarbeiter!$B$6:$B$205,MATCH(B4288,Mitarbeiter!$A$6:$A$205,0)),"?"))</f>
        <v/>
      </c>
      <c r="D4288" s="41" t="n"/>
      <c r="E4288" s="42" t="n"/>
      <c r="F4288" s="43" t="n"/>
      <c r="G4288" s="44">
        <f>IF(OR(B4288="",F4288=""),"",IFERROR(F4288*INDEX(Mitarbeiter!$F$6:$F$205,MATCH(B4288,Mitarbeiter!$A$6:$A$205,0)),0))</f>
        <v/>
      </c>
      <c r="H4288" s="8">
        <f>IF(B4288="","",IF(ISNA(MATCH(B4288,Mitarbeiter!$A$6:$A$205,0)),"Pers.-Nr. unbekannt",IF(A4288="","Datum fehlt",IF(AND(D4288&lt;&gt;Einstellungen!$C$4,D4288&lt;&gt;Einstellungen!$C$5),"Objekt fehlt",IF(YEAR(A4288)&lt;&gt;Einstellungen!$C$3,"anderes Jahr",IF(A4288&lt;INDEX(Mitarbeiter!$C$6:$C$205,MATCH(B4288,Mitarbeiter!$A$6:$A$205,0)),"vor Eintritt",IF(AND(INDEX(Mitarbeiter!$D$6:$D$205,MATCH(B4288,Mitarbeiter!$A$6:$A$205,0))&lt;&gt;"",A4288&gt;INDEX(Mitarbeiter!$D$6:$D$205,MATCH(B4288,Mitarbeiter!$A$6:$A$205,0))),"nach Austritt","ok")))))))</f>
        <v/>
      </c>
    </row>
    <row r="4289">
      <c r="A4289" s="26" t="n"/>
      <c r="B4289" s="24" t="n"/>
      <c r="C4289" s="40">
        <f>IF(B4289="","",IFERROR(INDEX(Mitarbeiter!$B$6:$B$205,MATCH(B4289,Mitarbeiter!$A$6:$A$205,0)),"?"))</f>
        <v/>
      </c>
      <c r="D4289" s="41" t="n"/>
      <c r="E4289" s="42" t="n"/>
      <c r="F4289" s="43" t="n"/>
      <c r="G4289" s="44">
        <f>IF(OR(B4289="",F4289=""),"",IFERROR(F4289*INDEX(Mitarbeiter!$F$6:$F$205,MATCH(B4289,Mitarbeiter!$A$6:$A$205,0)),0))</f>
        <v/>
      </c>
      <c r="H4289" s="8">
        <f>IF(B4289="","",IF(ISNA(MATCH(B4289,Mitarbeiter!$A$6:$A$205,0)),"Pers.-Nr. unbekannt",IF(A4289="","Datum fehlt",IF(AND(D4289&lt;&gt;Einstellungen!$C$4,D4289&lt;&gt;Einstellungen!$C$5),"Objekt fehlt",IF(YEAR(A4289)&lt;&gt;Einstellungen!$C$3,"anderes Jahr",IF(A4289&lt;INDEX(Mitarbeiter!$C$6:$C$205,MATCH(B4289,Mitarbeiter!$A$6:$A$205,0)),"vor Eintritt",IF(AND(INDEX(Mitarbeiter!$D$6:$D$205,MATCH(B4289,Mitarbeiter!$A$6:$A$205,0))&lt;&gt;"",A4289&gt;INDEX(Mitarbeiter!$D$6:$D$205,MATCH(B4289,Mitarbeiter!$A$6:$A$205,0))),"nach Austritt","ok")))))))</f>
        <v/>
      </c>
    </row>
    <row r="4290">
      <c r="A4290" s="26" t="n"/>
      <c r="B4290" s="24" t="n"/>
      <c r="C4290" s="40">
        <f>IF(B4290="","",IFERROR(INDEX(Mitarbeiter!$B$6:$B$205,MATCH(B4290,Mitarbeiter!$A$6:$A$205,0)),"?"))</f>
        <v/>
      </c>
      <c r="D4290" s="41" t="n"/>
      <c r="E4290" s="42" t="n"/>
      <c r="F4290" s="43" t="n"/>
      <c r="G4290" s="44">
        <f>IF(OR(B4290="",F4290=""),"",IFERROR(F4290*INDEX(Mitarbeiter!$F$6:$F$205,MATCH(B4290,Mitarbeiter!$A$6:$A$205,0)),0))</f>
        <v/>
      </c>
      <c r="H4290" s="8">
        <f>IF(B4290="","",IF(ISNA(MATCH(B4290,Mitarbeiter!$A$6:$A$205,0)),"Pers.-Nr. unbekannt",IF(A4290="","Datum fehlt",IF(AND(D4290&lt;&gt;Einstellungen!$C$4,D4290&lt;&gt;Einstellungen!$C$5),"Objekt fehlt",IF(YEAR(A4290)&lt;&gt;Einstellungen!$C$3,"anderes Jahr",IF(A4290&lt;INDEX(Mitarbeiter!$C$6:$C$205,MATCH(B4290,Mitarbeiter!$A$6:$A$205,0)),"vor Eintritt",IF(AND(INDEX(Mitarbeiter!$D$6:$D$205,MATCH(B4290,Mitarbeiter!$A$6:$A$205,0))&lt;&gt;"",A4290&gt;INDEX(Mitarbeiter!$D$6:$D$205,MATCH(B4290,Mitarbeiter!$A$6:$A$205,0))),"nach Austritt","ok")))))))</f>
        <v/>
      </c>
    </row>
    <row r="4291">
      <c r="A4291" s="26" t="n"/>
      <c r="B4291" s="24" t="n"/>
      <c r="C4291" s="40">
        <f>IF(B4291="","",IFERROR(INDEX(Mitarbeiter!$B$6:$B$205,MATCH(B4291,Mitarbeiter!$A$6:$A$205,0)),"?"))</f>
        <v/>
      </c>
      <c r="D4291" s="41" t="n"/>
      <c r="E4291" s="42" t="n"/>
      <c r="F4291" s="43" t="n"/>
      <c r="G4291" s="44">
        <f>IF(OR(B4291="",F4291=""),"",IFERROR(F4291*INDEX(Mitarbeiter!$F$6:$F$205,MATCH(B4291,Mitarbeiter!$A$6:$A$205,0)),0))</f>
        <v/>
      </c>
      <c r="H4291" s="8">
        <f>IF(B4291="","",IF(ISNA(MATCH(B4291,Mitarbeiter!$A$6:$A$205,0)),"Pers.-Nr. unbekannt",IF(A4291="","Datum fehlt",IF(AND(D4291&lt;&gt;Einstellungen!$C$4,D4291&lt;&gt;Einstellungen!$C$5),"Objekt fehlt",IF(YEAR(A4291)&lt;&gt;Einstellungen!$C$3,"anderes Jahr",IF(A4291&lt;INDEX(Mitarbeiter!$C$6:$C$205,MATCH(B4291,Mitarbeiter!$A$6:$A$205,0)),"vor Eintritt",IF(AND(INDEX(Mitarbeiter!$D$6:$D$205,MATCH(B4291,Mitarbeiter!$A$6:$A$205,0))&lt;&gt;"",A4291&gt;INDEX(Mitarbeiter!$D$6:$D$205,MATCH(B4291,Mitarbeiter!$A$6:$A$205,0))),"nach Austritt","ok")))))))</f>
        <v/>
      </c>
    </row>
    <row r="4292">
      <c r="A4292" s="26" t="n"/>
      <c r="B4292" s="24" t="n"/>
      <c r="C4292" s="40">
        <f>IF(B4292="","",IFERROR(INDEX(Mitarbeiter!$B$6:$B$205,MATCH(B4292,Mitarbeiter!$A$6:$A$205,0)),"?"))</f>
        <v/>
      </c>
      <c r="D4292" s="41" t="n"/>
      <c r="E4292" s="42" t="n"/>
      <c r="F4292" s="43" t="n"/>
      <c r="G4292" s="44">
        <f>IF(OR(B4292="",F4292=""),"",IFERROR(F4292*INDEX(Mitarbeiter!$F$6:$F$205,MATCH(B4292,Mitarbeiter!$A$6:$A$205,0)),0))</f>
        <v/>
      </c>
      <c r="H4292" s="8">
        <f>IF(B4292="","",IF(ISNA(MATCH(B4292,Mitarbeiter!$A$6:$A$205,0)),"Pers.-Nr. unbekannt",IF(A4292="","Datum fehlt",IF(AND(D4292&lt;&gt;Einstellungen!$C$4,D4292&lt;&gt;Einstellungen!$C$5),"Objekt fehlt",IF(YEAR(A4292)&lt;&gt;Einstellungen!$C$3,"anderes Jahr",IF(A4292&lt;INDEX(Mitarbeiter!$C$6:$C$205,MATCH(B4292,Mitarbeiter!$A$6:$A$205,0)),"vor Eintritt",IF(AND(INDEX(Mitarbeiter!$D$6:$D$205,MATCH(B4292,Mitarbeiter!$A$6:$A$205,0))&lt;&gt;"",A4292&gt;INDEX(Mitarbeiter!$D$6:$D$205,MATCH(B4292,Mitarbeiter!$A$6:$A$205,0))),"nach Austritt","ok")))))))</f>
        <v/>
      </c>
    </row>
    <row r="4293">
      <c r="A4293" s="26" t="n"/>
      <c r="B4293" s="24" t="n"/>
      <c r="C4293" s="40">
        <f>IF(B4293="","",IFERROR(INDEX(Mitarbeiter!$B$6:$B$205,MATCH(B4293,Mitarbeiter!$A$6:$A$205,0)),"?"))</f>
        <v/>
      </c>
      <c r="D4293" s="41" t="n"/>
      <c r="E4293" s="42" t="n"/>
      <c r="F4293" s="43" t="n"/>
      <c r="G4293" s="44">
        <f>IF(OR(B4293="",F4293=""),"",IFERROR(F4293*INDEX(Mitarbeiter!$F$6:$F$205,MATCH(B4293,Mitarbeiter!$A$6:$A$205,0)),0))</f>
        <v/>
      </c>
      <c r="H4293" s="8">
        <f>IF(B4293="","",IF(ISNA(MATCH(B4293,Mitarbeiter!$A$6:$A$205,0)),"Pers.-Nr. unbekannt",IF(A4293="","Datum fehlt",IF(AND(D4293&lt;&gt;Einstellungen!$C$4,D4293&lt;&gt;Einstellungen!$C$5),"Objekt fehlt",IF(YEAR(A4293)&lt;&gt;Einstellungen!$C$3,"anderes Jahr",IF(A4293&lt;INDEX(Mitarbeiter!$C$6:$C$205,MATCH(B4293,Mitarbeiter!$A$6:$A$205,0)),"vor Eintritt",IF(AND(INDEX(Mitarbeiter!$D$6:$D$205,MATCH(B4293,Mitarbeiter!$A$6:$A$205,0))&lt;&gt;"",A4293&gt;INDEX(Mitarbeiter!$D$6:$D$205,MATCH(B4293,Mitarbeiter!$A$6:$A$205,0))),"nach Austritt","ok")))))))</f>
        <v/>
      </c>
    </row>
    <row r="4294">
      <c r="A4294" s="26" t="n"/>
      <c r="B4294" s="24" t="n"/>
      <c r="C4294" s="40">
        <f>IF(B4294="","",IFERROR(INDEX(Mitarbeiter!$B$6:$B$205,MATCH(B4294,Mitarbeiter!$A$6:$A$205,0)),"?"))</f>
        <v/>
      </c>
      <c r="D4294" s="41" t="n"/>
      <c r="E4294" s="42" t="n"/>
      <c r="F4294" s="43" t="n"/>
      <c r="G4294" s="44">
        <f>IF(OR(B4294="",F4294=""),"",IFERROR(F4294*INDEX(Mitarbeiter!$F$6:$F$205,MATCH(B4294,Mitarbeiter!$A$6:$A$205,0)),0))</f>
        <v/>
      </c>
      <c r="H4294" s="8">
        <f>IF(B4294="","",IF(ISNA(MATCH(B4294,Mitarbeiter!$A$6:$A$205,0)),"Pers.-Nr. unbekannt",IF(A4294="","Datum fehlt",IF(AND(D4294&lt;&gt;Einstellungen!$C$4,D4294&lt;&gt;Einstellungen!$C$5),"Objekt fehlt",IF(YEAR(A4294)&lt;&gt;Einstellungen!$C$3,"anderes Jahr",IF(A4294&lt;INDEX(Mitarbeiter!$C$6:$C$205,MATCH(B4294,Mitarbeiter!$A$6:$A$205,0)),"vor Eintritt",IF(AND(INDEX(Mitarbeiter!$D$6:$D$205,MATCH(B4294,Mitarbeiter!$A$6:$A$205,0))&lt;&gt;"",A4294&gt;INDEX(Mitarbeiter!$D$6:$D$205,MATCH(B4294,Mitarbeiter!$A$6:$A$205,0))),"nach Austritt","ok")))))))</f>
        <v/>
      </c>
    </row>
    <row r="4295">
      <c r="A4295" s="26" t="n"/>
      <c r="B4295" s="24" t="n"/>
      <c r="C4295" s="40">
        <f>IF(B4295="","",IFERROR(INDEX(Mitarbeiter!$B$6:$B$205,MATCH(B4295,Mitarbeiter!$A$6:$A$205,0)),"?"))</f>
        <v/>
      </c>
      <c r="D4295" s="41" t="n"/>
      <c r="E4295" s="42" t="n"/>
      <c r="F4295" s="43" t="n"/>
      <c r="G4295" s="44">
        <f>IF(OR(B4295="",F4295=""),"",IFERROR(F4295*INDEX(Mitarbeiter!$F$6:$F$205,MATCH(B4295,Mitarbeiter!$A$6:$A$205,0)),0))</f>
        <v/>
      </c>
      <c r="H4295" s="8">
        <f>IF(B4295="","",IF(ISNA(MATCH(B4295,Mitarbeiter!$A$6:$A$205,0)),"Pers.-Nr. unbekannt",IF(A4295="","Datum fehlt",IF(AND(D4295&lt;&gt;Einstellungen!$C$4,D4295&lt;&gt;Einstellungen!$C$5),"Objekt fehlt",IF(YEAR(A4295)&lt;&gt;Einstellungen!$C$3,"anderes Jahr",IF(A4295&lt;INDEX(Mitarbeiter!$C$6:$C$205,MATCH(B4295,Mitarbeiter!$A$6:$A$205,0)),"vor Eintritt",IF(AND(INDEX(Mitarbeiter!$D$6:$D$205,MATCH(B4295,Mitarbeiter!$A$6:$A$205,0))&lt;&gt;"",A4295&gt;INDEX(Mitarbeiter!$D$6:$D$205,MATCH(B4295,Mitarbeiter!$A$6:$A$205,0))),"nach Austritt","ok")))))))</f>
        <v/>
      </c>
    </row>
    <row r="4296">
      <c r="A4296" s="26" t="n"/>
      <c r="B4296" s="24" t="n"/>
      <c r="C4296" s="40">
        <f>IF(B4296="","",IFERROR(INDEX(Mitarbeiter!$B$6:$B$205,MATCH(B4296,Mitarbeiter!$A$6:$A$205,0)),"?"))</f>
        <v/>
      </c>
      <c r="D4296" s="41" t="n"/>
      <c r="E4296" s="42" t="n"/>
      <c r="F4296" s="43" t="n"/>
      <c r="G4296" s="44">
        <f>IF(OR(B4296="",F4296=""),"",IFERROR(F4296*INDEX(Mitarbeiter!$F$6:$F$205,MATCH(B4296,Mitarbeiter!$A$6:$A$205,0)),0))</f>
        <v/>
      </c>
      <c r="H4296" s="8">
        <f>IF(B4296="","",IF(ISNA(MATCH(B4296,Mitarbeiter!$A$6:$A$205,0)),"Pers.-Nr. unbekannt",IF(A4296="","Datum fehlt",IF(AND(D4296&lt;&gt;Einstellungen!$C$4,D4296&lt;&gt;Einstellungen!$C$5),"Objekt fehlt",IF(YEAR(A4296)&lt;&gt;Einstellungen!$C$3,"anderes Jahr",IF(A4296&lt;INDEX(Mitarbeiter!$C$6:$C$205,MATCH(B4296,Mitarbeiter!$A$6:$A$205,0)),"vor Eintritt",IF(AND(INDEX(Mitarbeiter!$D$6:$D$205,MATCH(B4296,Mitarbeiter!$A$6:$A$205,0))&lt;&gt;"",A4296&gt;INDEX(Mitarbeiter!$D$6:$D$205,MATCH(B4296,Mitarbeiter!$A$6:$A$205,0))),"nach Austritt","ok")))))))</f>
        <v/>
      </c>
    </row>
    <row r="4297">
      <c r="A4297" s="26" t="n"/>
      <c r="B4297" s="24" t="n"/>
      <c r="C4297" s="40">
        <f>IF(B4297="","",IFERROR(INDEX(Mitarbeiter!$B$6:$B$205,MATCH(B4297,Mitarbeiter!$A$6:$A$205,0)),"?"))</f>
        <v/>
      </c>
      <c r="D4297" s="41" t="n"/>
      <c r="E4297" s="42" t="n"/>
      <c r="F4297" s="43" t="n"/>
      <c r="G4297" s="44">
        <f>IF(OR(B4297="",F4297=""),"",IFERROR(F4297*INDEX(Mitarbeiter!$F$6:$F$205,MATCH(B4297,Mitarbeiter!$A$6:$A$205,0)),0))</f>
        <v/>
      </c>
      <c r="H4297" s="8">
        <f>IF(B4297="","",IF(ISNA(MATCH(B4297,Mitarbeiter!$A$6:$A$205,0)),"Pers.-Nr. unbekannt",IF(A4297="","Datum fehlt",IF(AND(D4297&lt;&gt;Einstellungen!$C$4,D4297&lt;&gt;Einstellungen!$C$5),"Objekt fehlt",IF(YEAR(A4297)&lt;&gt;Einstellungen!$C$3,"anderes Jahr",IF(A4297&lt;INDEX(Mitarbeiter!$C$6:$C$205,MATCH(B4297,Mitarbeiter!$A$6:$A$205,0)),"vor Eintritt",IF(AND(INDEX(Mitarbeiter!$D$6:$D$205,MATCH(B4297,Mitarbeiter!$A$6:$A$205,0))&lt;&gt;"",A4297&gt;INDEX(Mitarbeiter!$D$6:$D$205,MATCH(B4297,Mitarbeiter!$A$6:$A$205,0))),"nach Austritt","ok")))))))</f>
        <v/>
      </c>
    </row>
    <row r="4298">
      <c r="A4298" s="26" t="n"/>
      <c r="B4298" s="24" t="n"/>
      <c r="C4298" s="40">
        <f>IF(B4298="","",IFERROR(INDEX(Mitarbeiter!$B$6:$B$205,MATCH(B4298,Mitarbeiter!$A$6:$A$205,0)),"?"))</f>
        <v/>
      </c>
      <c r="D4298" s="41" t="n"/>
      <c r="E4298" s="42" t="n"/>
      <c r="F4298" s="43" t="n"/>
      <c r="G4298" s="44">
        <f>IF(OR(B4298="",F4298=""),"",IFERROR(F4298*INDEX(Mitarbeiter!$F$6:$F$205,MATCH(B4298,Mitarbeiter!$A$6:$A$205,0)),0))</f>
        <v/>
      </c>
      <c r="H4298" s="8">
        <f>IF(B4298="","",IF(ISNA(MATCH(B4298,Mitarbeiter!$A$6:$A$205,0)),"Pers.-Nr. unbekannt",IF(A4298="","Datum fehlt",IF(AND(D4298&lt;&gt;Einstellungen!$C$4,D4298&lt;&gt;Einstellungen!$C$5),"Objekt fehlt",IF(YEAR(A4298)&lt;&gt;Einstellungen!$C$3,"anderes Jahr",IF(A4298&lt;INDEX(Mitarbeiter!$C$6:$C$205,MATCH(B4298,Mitarbeiter!$A$6:$A$205,0)),"vor Eintritt",IF(AND(INDEX(Mitarbeiter!$D$6:$D$205,MATCH(B4298,Mitarbeiter!$A$6:$A$205,0))&lt;&gt;"",A4298&gt;INDEX(Mitarbeiter!$D$6:$D$205,MATCH(B4298,Mitarbeiter!$A$6:$A$205,0))),"nach Austritt","ok")))))))</f>
        <v/>
      </c>
    </row>
    <row r="4299">
      <c r="A4299" s="26" t="n"/>
      <c r="B4299" s="24" t="n"/>
      <c r="C4299" s="40">
        <f>IF(B4299="","",IFERROR(INDEX(Mitarbeiter!$B$6:$B$205,MATCH(B4299,Mitarbeiter!$A$6:$A$205,0)),"?"))</f>
        <v/>
      </c>
      <c r="D4299" s="41" t="n"/>
      <c r="E4299" s="42" t="n"/>
      <c r="F4299" s="43" t="n"/>
      <c r="G4299" s="44">
        <f>IF(OR(B4299="",F4299=""),"",IFERROR(F4299*INDEX(Mitarbeiter!$F$6:$F$205,MATCH(B4299,Mitarbeiter!$A$6:$A$205,0)),0))</f>
        <v/>
      </c>
      <c r="H4299" s="8">
        <f>IF(B4299="","",IF(ISNA(MATCH(B4299,Mitarbeiter!$A$6:$A$205,0)),"Pers.-Nr. unbekannt",IF(A4299="","Datum fehlt",IF(AND(D4299&lt;&gt;Einstellungen!$C$4,D4299&lt;&gt;Einstellungen!$C$5),"Objekt fehlt",IF(YEAR(A4299)&lt;&gt;Einstellungen!$C$3,"anderes Jahr",IF(A4299&lt;INDEX(Mitarbeiter!$C$6:$C$205,MATCH(B4299,Mitarbeiter!$A$6:$A$205,0)),"vor Eintritt",IF(AND(INDEX(Mitarbeiter!$D$6:$D$205,MATCH(B4299,Mitarbeiter!$A$6:$A$205,0))&lt;&gt;"",A4299&gt;INDEX(Mitarbeiter!$D$6:$D$205,MATCH(B4299,Mitarbeiter!$A$6:$A$205,0))),"nach Austritt","ok")))))))</f>
        <v/>
      </c>
    </row>
    <row r="4300">
      <c r="A4300" s="26" t="n"/>
      <c r="B4300" s="24" t="n"/>
      <c r="C4300" s="40">
        <f>IF(B4300="","",IFERROR(INDEX(Mitarbeiter!$B$6:$B$205,MATCH(B4300,Mitarbeiter!$A$6:$A$205,0)),"?"))</f>
        <v/>
      </c>
      <c r="D4300" s="41" t="n"/>
      <c r="E4300" s="42" t="n"/>
      <c r="F4300" s="43" t="n"/>
      <c r="G4300" s="44">
        <f>IF(OR(B4300="",F4300=""),"",IFERROR(F4300*INDEX(Mitarbeiter!$F$6:$F$205,MATCH(B4300,Mitarbeiter!$A$6:$A$205,0)),0))</f>
        <v/>
      </c>
      <c r="H4300" s="8">
        <f>IF(B4300="","",IF(ISNA(MATCH(B4300,Mitarbeiter!$A$6:$A$205,0)),"Pers.-Nr. unbekannt",IF(A4300="","Datum fehlt",IF(AND(D4300&lt;&gt;Einstellungen!$C$4,D4300&lt;&gt;Einstellungen!$C$5),"Objekt fehlt",IF(YEAR(A4300)&lt;&gt;Einstellungen!$C$3,"anderes Jahr",IF(A4300&lt;INDEX(Mitarbeiter!$C$6:$C$205,MATCH(B4300,Mitarbeiter!$A$6:$A$205,0)),"vor Eintritt",IF(AND(INDEX(Mitarbeiter!$D$6:$D$205,MATCH(B4300,Mitarbeiter!$A$6:$A$205,0))&lt;&gt;"",A4300&gt;INDEX(Mitarbeiter!$D$6:$D$205,MATCH(B4300,Mitarbeiter!$A$6:$A$205,0))),"nach Austritt","ok")))))))</f>
        <v/>
      </c>
    </row>
    <row r="4301">
      <c r="A4301" s="26" t="n"/>
      <c r="B4301" s="24" t="n"/>
      <c r="C4301" s="40">
        <f>IF(B4301="","",IFERROR(INDEX(Mitarbeiter!$B$6:$B$205,MATCH(B4301,Mitarbeiter!$A$6:$A$205,0)),"?"))</f>
        <v/>
      </c>
      <c r="D4301" s="41" t="n"/>
      <c r="E4301" s="42" t="n"/>
      <c r="F4301" s="43" t="n"/>
      <c r="G4301" s="44">
        <f>IF(OR(B4301="",F4301=""),"",IFERROR(F4301*INDEX(Mitarbeiter!$F$6:$F$205,MATCH(B4301,Mitarbeiter!$A$6:$A$205,0)),0))</f>
        <v/>
      </c>
      <c r="H4301" s="8">
        <f>IF(B4301="","",IF(ISNA(MATCH(B4301,Mitarbeiter!$A$6:$A$205,0)),"Pers.-Nr. unbekannt",IF(A4301="","Datum fehlt",IF(AND(D4301&lt;&gt;Einstellungen!$C$4,D4301&lt;&gt;Einstellungen!$C$5),"Objekt fehlt",IF(YEAR(A4301)&lt;&gt;Einstellungen!$C$3,"anderes Jahr",IF(A4301&lt;INDEX(Mitarbeiter!$C$6:$C$205,MATCH(B4301,Mitarbeiter!$A$6:$A$205,0)),"vor Eintritt",IF(AND(INDEX(Mitarbeiter!$D$6:$D$205,MATCH(B4301,Mitarbeiter!$A$6:$A$205,0))&lt;&gt;"",A4301&gt;INDEX(Mitarbeiter!$D$6:$D$205,MATCH(B4301,Mitarbeiter!$A$6:$A$205,0))),"nach Austritt","ok")))))))</f>
        <v/>
      </c>
    </row>
    <row r="4302">
      <c r="A4302" s="26" t="n"/>
      <c r="B4302" s="24" t="n"/>
      <c r="C4302" s="40">
        <f>IF(B4302="","",IFERROR(INDEX(Mitarbeiter!$B$6:$B$205,MATCH(B4302,Mitarbeiter!$A$6:$A$205,0)),"?"))</f>
        <v/>
      </c>
      <c r="D4302" s="41" t="n"/>
      <c r="E4302" s="42" t="n"/>
      <c r="F4302" s="43" t="n"/>
      <c r="G4302" s="44">
        <f>IF(OR(B4302="",F4302=""),"",IFERROR(F4302*INDEX(Mitarbeiter!$F$6:$F$205,MATCH(B4302,Mitarbeiter!$A$6:$A$205,0)),0))</f>
        <v/>
      </c>
      <c r="H4302" s="8">
        <f>IF(B4302="","",IF(ISNA(MATCH(B4302,Mitarbeiter!$A$6:$A$205,0)),"Pers.-Nr. unbekannt",IF(A4302="","Datum fehlt",IF(AND(D4302&lt;&gt;Einstellungen!$C$4,D4302&lt;&gt;Einstellungen!$C$5),"Objekt fehlt",IF(YEAR(A4302)&lt;&gt;Einstellungen!$C$3,"anderes Jahr",IF(A4302&lt;INDEX(Mitarbeiter!$C$6:$C$205,MATCH(B4302,Mitarbeiter!$A$6:$A$205,0)),"vor Eintritt",IF(AND(INDEX(Mitarbeiter!$D$6:$D$205,MATCH(B4302,Mitarbeiter!$A$6:$A$205,0))&lt;&gt;"",A4302&gt;INDEX(Mitarbeiter!$D$6:$D$205,MATCH(B4302,Mitarbeiter!$A$6:$A$205,0))),"nach Austritt","ok")))))))</f>
        <v/>
      </c>
    </row>
    <row r="4303">
      <c r="A4303" s="26" t="n"/>
      <c r="B4303" s="24" t="n"/>
      <c r="C4303" s="40">
        <f>IF(B4303="","",IFERROR(INDEX(Mitarbeiter!$B$6:$B$205,MATCH(B4303,Mitarbeiter!$A$6:$A$205,0)),"?"))</f>
        <v/>
      </c>
      <c r="D4303" s="41" t="n"/>
      <c r="E4303" s="42" t="n"/>
      <c r="F4303" s="43" t="n"/>
      <c r="G4303" s="44">
        <f>IF(OR(B4303="",F4303=""),"",IFERROR(F4303*INDEX(Mitarbeiter!$F$6:$F$205,MATCH(B4303,Mitarbeiter!$A$6:$A$205,0)),0))</f>
        <v/>
      </c>
      <c r="H4303" s="8">
        <f>IF(B4303="","",IF(ISNA(MATCH(B4303,Mitarbeiter!$A$6:$A$205,0)),"Pers.-Nr. unbekannt",IF(A4303="","Datum fehlt",IF(AND(D4303&lt;&gt;Einstellungen!$C$4,D4303&lt;&gt;Einstellungen!$C$5),"Objekt fehlt",IF(YEAR(A4303)&lt;&gt;Einstellungen!$C$3,"anderes Jahr",IF(A4303&lt;INDEX(Mitarbeiter!$C$6:$C$205,MATCH(B4303,Mitarbeiter!$A$6:$A$205,0)),"vor Eintritt",IF(AND(INDEX(Mitarbeiter!$D$6:$D$205,MATCH(B4303,Mitarbeiter!$A$6:$A$205,0))&lt;&gt;"",A4303&gt;INDEX(Mitarbeiter!$D$6:$D$205,MATCH(B4303,Mitarbeiter!$A$6:$A$205,0))),"nach Austritt","ok")))))))</f>
        <v/>
      </c>
    </row>
    <row r="4304">
      <c r="A4304" s="26" t="n"/>
      <c r="B4304" s="24" t="n"/>
      <c r="C4304" s="40">
        <f>IF(B4304="","",IFERROR(INDEX(Mitarbeiter!$B$6:$B$205,MATCH(B4304,Mitarbeiter!$A$6:$A$205,0)),"?"))</f>
        <v/>
      </c>
      <c r="D4304" s="41" t="n"/>
      <c r="E4304" s="42" t="n"/>
      <c r="F4304" s="43" t="n"/>
      <c r="G4304" s="44">
        <f>IF(OR(B4304="",F4304=""),"",IFERROR(F4304*INDEX(Mitarbeiter!$F$6:$F$205,MATCH(B4304,Mitarbeiter!$A$6:$A$205,0)),0))</f>
        <v/>
      </c>
      <c r="H4304" s="8">
        <f>IF(B4304="","",IF(ISNA(MATCH(B4304,Mitarbeiter!$A$6:$A$205,0)),"Pers.-Nr. unbekannt",IF(A4304="","Datum fehlt",IF(AND(D4304&lt;&gt;Einstellungen!$C$4,D4304&lt;&gt;Einstellungen!$C$5),"Objekt fehlt",IF(YEAR(A4304)&lt;&gt;Einstellungen!$C$3,"anderes Jahr",IF(A4304&lt;INDEX(Mitarbeiter!$C$6:$C$205,MATCH(B4304,Mitarbeiter!$A$6:$A$205,0)),"vor Eintritt",IF(AND(INDEX(Mitarbeiter!$D$6:$D$205,MATCH(B4304,Mitarbeiter!$A$6:$A$205,0))&lt;&gt;"",A4304&gt;INDEX(Mitarbeiter!$D$6:$D$205,MATCH(B4304,Mitarbeiter!$A$6:$A$205,0))),"nach Austritt","ok")))))))</f>
        <v/>
      </c>
    </row>
    <row r="4305">
      <c r="A4305" s="26" t="n"/>
      <c r="B4305" s="24" t="n"/>
      <c r="C4305" s="40">
        <f>IF(B4305="","",IFERROR(INDEX(Mitarbeiter!$B$6:$B$205,MATCH(B4305,Mitarbeiter!$A$6:$A$205,0)),"?"))</f>
        <v/>
      </c>
      <c r="D4305" s="41" t="n"/>
      <c r="E4305" s="42" t="n"/>
      <c r="F4305" s="43" t="n"/>
      <c r="G4305" s="44">
        <f>IF(OR(B4305="",F4305=""),"",IFERROR(F4305*INDEX(Mitarbeiter!$F$6:$F$205,MATCH(B4305,Mitarbeiter!$A$6:$A$205,0)),0))</f>
        <v/>
      </c>
      <c r="H4305" s="8">
        <f>IF(B4305="","",IF(ISNA(MATCH(B4305,Mitarbeiter!$A$6:$A$205,0)),"Pers.-Nr. unbekannt",IF(A4305="","Datum fehlt",IF(AND(D4305&lt;&gt;Einstellungen!$C$4,D4305&lt;&gt;Einstellungen!$C$5),"Objekt fehlt",IF(YEAR(A4305)&lt;&gt;Einstellungen!$C$3,"anderes Jahr",IF(A4305&lt;INDEX(Mitarbeiter!$C$6:$C$205,MATCH(B4305,Mitarbeiter!$A$6:$A$205,0)),"vor Eintritt",IF(AND(INDEX(Mitarbeiter!$D$6:$D$205,MATCH(B4305,Mitarbeiter!$A$6:$A$205,0))&lt;&gt;"",A4305&gt;INDEX(Mitarbeiter!$D$6:$D$205,MATCH(B4305,Mitarbeiter!$A$6:$A$205,0))),"nach Austritt","ok")))))))</f>
        <v/>
      </c>
    </row>
    <row r="4306">
      <c r="A4306" s="26" t="n"/>
      <c r="B4306" s="24" t="n"/>
      <c r="C4306" s="40">
        <f>IF(B4306="","",IFERROR(INDEX(Mitarbeiter!$B$6:$B$205,MATCH(B4306,Mitarbeiter!$A$6:$A$205,0)),"?"))</f>
        <v/>
      </c>
      <c r="D4306" s="41" t="n"/>
      <c r="E4306" s="42" t="n"/>
      <c r="F4306" s="43" t="n"/>
      <c r="G4306" s="44">
        <f>IF(OR(B4306="",F4306=""),"",IFERROR(F4306*INDEX(Mitarbeiter!$F$6:$F$205,MATCH(B4306,Mitarbeiter!$A$6:$A$205,0)),0))</f>
        <v/>
      </c>
      <c r="H4306" s="8">
        <f>IF(B4306="","",IF(ISNA(MATCH(B4306,Mitarbeiter!$A$6:$A$205,0)),"Pers.-Nr. unbekannt",IF(A4306="","Datum fehlt",IF(AND(D4306&lt;&gt;Einstellungen!$C$4,D4306&lt;&gt;Einstellungen!$C$5),"Objekt fehlt",IF(YEAR(A4306)&lt;&gt;Einstellungen!$C$3,"anderes Jahr",IF(A4306&lt;INDEX(Mitarbeiter!$C$6:$C$205,MATCH(B4306,Mitarbeiter!$A$6:$A$205,0)),"vor Eintritt",IF(AND(INDEX(Mitarbeiter!$D$6:$D$205,MATCH(B4306,Mitarbeiter!$A$6:$A$205,0))&lt;&gt;"",A4306&gt;INDEX(Mitarbeiter!$D$6:$D$205,MATCH(B4306,Mitarbeiter!$A$6:$A$205,0))),"nach Austritt","ok")))))))</f>
        <v/>
      </c>
    </row>
    <row r="4307">
      <c r="A4307" s="26" t="n"/>
      <c r="B4307" s="24" t="n"/>
      <c r="C4307" s="40">
        <f>IF(B4307="","",IFERROR(INDEX(Mitarbeiter!$B$6:$B$205,MATCH(B4307,Mitarbeiter!$A$6:$A$205,0)),"?"))</f>
        <v/>
      </c>
      <c r="D4307" s="41" t="n"/>
      <c r="E4307" s="42" t="n"/>
      <c r="F4307" s="43" t="n"/>
      <c r="G4307" s="44">
        <f>IF(OR(B4307="",F4307=""),"",IFERROR(F4307*INDEX(Mitarbeiter!$F$6:$F$205,MATCH(B4307,Mitarbeiter!$A$6:$A$205,0)),0))</f>
        <v/>
      </c>
      <c r="H4307" s="8">
        <f>IF(B4307="","",IF(ISNA(MATCH(B4307,Mitarbeiter!$A$6:$A$205,0)),"Pers.-Nr. unbekannt",IF(A4307="","Datum fehlt",IF(AND(D4307&lt;&gt;Einstellungen!$C$4,D4307&lt;&gt;Einstellungen!$C$5),"Objekt fehlt",IF(YEAR(A4307)&lt;&gt;Einstellungen!$C$3,"anderes Jahr",IF(A4307&lt;INDEX(Mitarbeiter!$C$6:$C$205,MATCH(B4307,Mitarbeiter!$A$6:$A$205,0)),"vor Eintritt",IF(AND(INDEX(Mitarbeiter!$D$6:$D$205,MATCH(B4307,Mitarbeiter!$A$6:$A$205,0))&lt;&gt;"",A4307&gt;INDEX(Mitarbeiter!$D$6:$D$205,MATCH(B4307,Mitarbeiter!$A$6:$A$205,0))),"nach Austritt","ok")))))))</f>
        <v/>
      </c>
    </row>
    <row r="4308">
      <c r="A4308" s="26" t="n"/>
      <c r="B4308" s="24" t="n"/>
      <c r="C4308" s="40">
        <f>IF(B4308="","",IFERROR(INDEX(Mitarbeiter!$B$6:$B$205,MATCH(B4308,Mitarbeiter!$A$6:$A$205,0)),"?"))</f>
        <v/>
      </c>
      <c r="D4308" s="41" t="n"/>
      <c r="E4308" s="42" t="n"/>
      <c r="F4308" s="43" t="n"/>
      <c r="G4308" s="44">
        <f>IF(OR(B4308="",F4308=""),"",IFERROR(F4308*INDEX(Mitarbeiter!$F$6:$F$205,MATCH(B4308,Mitarbeiter!$A$6:$A$205,0)),0))</f>
        <v/>
      </c>
      <c r="H4308" s="8">
        <f>IF(B4308="","",IF(ISNA(MATCH(B4308,Mitarbeiter!$A$6:$A$205,0)),"Pers.-Nr. unbekannt",IF(A4308="","Datum fehlt",IF(AND(D4308&lt;&gt;Einstellungen!$C$4,D4308&lt;&gt;Einstellungen!$C$5),"Objekt fehlt",IF(YEAR(A4308)&lt;&gt;Einstellungen!$C$3,"anderes Jahr",IF(A4308&lt;INDEX(Mitarbeiter!$C$6:$C$205,MATCH(B4308,Mitarbeiter!$A$6:$A$205,0)),"vor Eintritt",IF(AND(INDEX(Mitarbeiter!$D$6:$D$205,MATCH(B4308,Mitarbeiter!$A$6:$A$205,0))&lt;&gt;"",A4308&gt;INDEX(Mitarbeiter!$D$6:$D$205,MATCH(B4308,Mitarbeiter!$A$6:$A$205,0))),"nach Austritt","ok")))))))</f>
        <v/>
      </c>
    </row>
    <row r="4309">
      <c r="A4309" s="26" t="n"/>
      <c r="B4309" s="24" t="n"/>
      <c r="C4309" s="40">
        <f>IF(B4309="","",IFERROR(INDEX(Mitarbeiter!$B$6:$B$205,MATCH(B4309,Mitarbeiter!$A$6:$A$205,0)),"?"))</f>
        <v/>
      </c>
      <c r="D4309" s="41" t="n"/>
      <c r="E4309" s="42" t="n"/>
      <c r="F4309" s="43" t="n"/>
      <c r="G4309" s="44">
        <f>IF(OR(B4309="",F4309=""),"",IFERROR(F4309*INDEX(Mitarbeiter!$F$6:$F$205,MATCH(B4309,Mitarbeiter!$A$6:$A$205,0)),0))</f>
        <v/>
      </c>
      <c r="H4309" s="8">
        <f>IF(B4309="","",IF(ISNA(MATCH(B4309,Mitarbeiter!$A$6:$A$205,0)),"Pers.-Nr. unbekannt",IF(A4309="","Datum fehlt",IF(AND(D4309&lt;&gt;Einstellungen!$C$4,D4309&lt;&gt;Einstellungen!$C$5),"Objekt fehlt",IF(YEAR(A4309)&lt;&gt;Einstellungen!$C$3,"anderes Jahr",IF(A4309&lt;INDEX(Mitarbeiter!$C$6:$C$205,MATCH(B4309,Mitarbeiter!$A$6:$A$205,0)),"vor Eintritt",IF(AND(INDEX(Mitarbeiter!$D$6:$D$205,MATCH(B4309,Mitarbeiter!$A$6:$A$205,0))&lt;&gt;"",A4309&gt;INDEX(Mitarbeiter!$D$6:$D$205,MATCH(B4309,Mitarbeiter!$A$6:$A$205,0))),"nach Austritt","ok")))))))</f>
        <v/>
      </c>
    </row>
    <row r="4310">
      <c r="A4310" s="26" t="n"/>
      <c r="B4310" s="24" t="n"/>
      <c r="C4310" s="40">
        <f>IF(B4310="","",IFERROR(INDEX(Mitarbeiter!$B$6:$B$205,MATCH(B4310,Mitarbeiter!$A$6:$A$205,0)),"?"))</f>
        <v/>
      </c>
      <c r="D4310" s="41" t="n"/>
      <c r="E4310" s="42" t="n"/>
      <c r="F4310" s="43" t="n"/>
      <c r="G4310" s="44">
        <f>IF(OR(B4310="",F4310=""),"",IFERROR(F4310*INDEX(Mitarbeiter!$F$6:$F$205,MATCH(B4310,Mitarbeiter!$A$6:$A$205,0)),0))</f>
        <v/>
      </c>
      <c r="H4310" s="8">
        <f>IF(B4310="","",IF(ISNA(MATCH(B4310,Mitarbeiter!$A$6:$A$205,0)),"Pers.-Nr. unbekannt",IF(A4310="","Datum fehlt",IF(AND(D4310&lt;&gt;Einstellungen!$C$4,D4310&lt;&gt;Einstellungen!$C$5),"Objekt fehlt",IF(YEAR(A4310)&lt;&gt;Einstellungen!$C$3,"anderes Jahr",IF(A4310&lt;INDEX(Mitarbeiter!$C$6:$C$205,MATCH(B4310,Mitarbeiter!$A$6:$A$205,0)),"vor Eintritt",IF(AND(INDEX(Mitarbeiter!$D$6:$D$205,MATCH(B4310,Mitarbeiter!$A$6:$A$205,0))&lt;&gt;"",A4310&gt;INDEX(Mitarbeiter!$D$6:$D$205,MATCH(B4310,Mitarbeiter!$A$6:$A$205,0))),"nach Austritt","ok")))))))</f>
        <v/>
      </c>
    </row>
    <row r="4311">
      <c r="A4311" s="26" t="n"/>
      <c r="B4311" s="24" t="n"/>
      <c r="C4311" s="40">
        <f>IF(B4311="","",IFERROR(INDEX(Mitarbeiter!$B$6:$B$205,MATCH(B4311,Mitarbeiter!$A$6:$A$205,0)),"?"))</f>
        <v/>
      </c>
      <c r="D4311" s="41" t="n"/>
      <c r="E4311" s="42" t="n"/>
      <c r="F4311" s="43" t="n"/>
      <c r="G4311" s="44">
        <f>IF(OR(B4311="",F4311=""),"",IFERROR(F4311*INDEX(Mitarbeiter!$F$6:$F$205,MATCH(B4311,Mitarbeiter!$A$6:$A$205,0)),0))</f>
        <v/>
      </c>
      <c r="H4311" s="8">
        <f>IF(B4311="","",IF(ISNA(MATCH(B4311,Mitarbeiter!$A$6:$A$205,0)),"Pers.-Nr. unbekannt",IF(A4311="","Datum fehlt",IF(AND(D4311&lt;&gt;Einstellungen!$C$4,D4311&lt;&gt;Einstellungen!$C$5),"Objekt fehlt",IF(YEAR(A4311)&lt;&gt;Einstellungen!$C$3,"anderes Jahr",IF(A4311&lt;INDEX(Mitarbeiter!$C$6:$C$205,MATCH(B4311,Mitarbeiter!$A$6:$A$205,0)),"vor Eintritt",IF(AND(INDEX(Mitarbeiter!$D$6:$D$205,MATCH(B4311,Mitarbeiter!$A$6:$A$205,0))&lt;&gt;"",A4311&gt;INDEX(Mitarbeiter!$D$6:$D$205,MATCH(B4311,Mitarbeiter!$A$6:$A$205,0))),"nach Austritt","ok")))))))</f>
        <v/>
      </c>
    </row>
    <row r="4312">
      <c r="A4312" s="26" t="n"/>
      <c r="B4312" s="24" t="n"/>
      <c r="C4312" s="40">
        <f>IF(B4312="","",IFERROR(INDEX(Mitarbeiter!$B$6:$B$205,MATCH(B4312,Mitarbeiter!$A$6:$A$205,0)),"?"))</f>
        <v/>
      </c>
      <c r="D4312" s="41" t="n"/>
      <c r="E4312" s="42" t="n"/>
      <c r="F4312" s="43" t="n"/>
      <c r="G4312" s="44">
        <f>IF(OR(B4312="",F4312=""),"",IFERROR(F4312*INDEX(Mitarbeiter!$F$6:$F$205,MATCH(B4312,Mitarbeiter!$A$6:$A$205,0)),0))</f>
        <v/>
      </c>
      <c r="H4312" s="8">
        <f>IF(B4312="","",IF(ISNA(MATCH(B4312,Mitarbeiter!$A$6:$A$205,0)),"Pers.-Nr. unbekannt",IF(A4312="","Datum fehlt",IF(AND(D4312&lt;&gt;Einstellungen!$C$4,D4312&lt;&gt;Einstellungen!$C$5),"Objekt fehlt",IF(YEAR(A4312)&lt;&gt;Einstellungen!$C$3,"anderes Jahr",IF(A4312&lt;INDEX(Mitarbeiter!$C$6:$C$205,MATCH(B4312,Mitarbeiter!$A$6:$A$205,0)),"vor Eintritt",IF(AND(INDEX(Mitarbeiter!$D$6:$D$205,MATCH(B4312,Mitarbeiter!$A$6:$A$205,0))&lt;&gt;"",A4312&gt;INDEX(Mitarbeiter!$D$6:$D$205,MATCH(B4312,Mitarbeiter!$A$6:$A$205,0))),"nach Austritt","ok")))))))</f>
        <v/>
      </c>
    </row>
    <row r="4313">
      <c r="A4313" s="26" t="n"/>
      <c r="B4313" s="24" t="n"/>
      <c r="C4313" s="40">
        <f>IF(B4313="","",IFERROR(INDEX(Mitarbeiter!$B$6:$B$205,MATCH(B4313,Mitarbeiter!$A$6:$A$205,0)),"?"))</f>
        <v/>
      </c>
      <c r="D4313" s="41" t="n"/>
      <c r="E4313" s="42" t="n"/>
      <c r="F4313" s="43" t="n"/>
      <c r="G4313" s="44">
        <f>IF(OR(B4313="",F4313=""),"",IFERROR(F4313*INDEX(Mitarbeiter!$F$6:$F$205,MATCH(B4313,Mitarbeiter!$A$6:$A$205,0)),0))</f>
        <v/>
      </c>
      <c r="H4313" s="8">
        <f>IF(B4313="","",IF(ISNA(MATCH(B4313,Mitarbeiter!$A$6:$A$205,0)),"Pers.-Nr. unbekannt",IF(A4313="","Datum fehlt",IF(AND(D4313&lt;&gt;Einstellungen!$C$4,D4313&lt;&gt;Einstellungen!$C$5),"Objekt fehlt",IF(YEAR(A4313)&lt;&gt;Einstellungen!$C$3,"anderes Jahr",IF(A4313&lt;INDEX(Mitarbeiter!$C$6:$C$205,MATCH(B4313,Mitarbeiter!$A$6:$A$205,0)),"vor Eintritt",IF(AND(INDEX(Mitarbeiter!$D$6:$D$205,MATCH(B4313,Mitarbeiter!$A$6:$A$205,0))&lt;&gt;"",A4313&gt;INDEX(Mitarbeiter!$D$6:$D$205,MATCH(B4313,Mitarbeiter!$A$6:$A$205,0))),"nach Austritt","ok")))))))</f>
        <v/>
      </c>
    </row>
    <row r="4314">
      <c r="A4314" s="26" t="n"/>
      <c r="B4314" s="24" t="n"/>
      <c r="C4314" s="40">
        <f>IF(B4314="","",IFERROR(INDEX(Mitarbeiter!$B$6:$B$205,MATCH(B4314,Mitarbeiter!$A$6:$A$205,0)),"?"))</f>
        <v/>
      </c>
      <c r="D4314" s="41" t="n"/>
      <c r="E4314" s="42" t="n"/>
      <c r="F4314" s="43" t="n"/>
      <c r="G4314" s="44">
        <f>IF(OR(B4314="",F4314=""),"",IFERROR(F4314*INDEX(Mitarbeiter!$F$6:$F$205,MATCH(B4314,Mitarbeiter!$A$6:$A$205,0)),0))</f>
        <v/>
      </c>
      <c r="H4314" s="8">
        <f>IF(B4314="","",IF(ISNA(MATCH(B4314,Mitarbeiter!$A$6:$A$205,0)),"Pers.-Nr. unbekannt",IF(A4314="","Datum fehlt",IF(AND(D4314&lt;&gt;Einstellungen!$C$4,D4314&lt;&gt;Einstellungen!$C$5),"Objekt fehlt",IF(YEAR(A4314)&lt;&gt;Einstellungen!$C$3,"anderes Jahr",IF(A4314&lt;INDEX(Mitarbeiter!$C$6:$C$205,MATCH(B4314,Mitarbeiter!$A$6:$A$205,0)),"vor Eintritt",IF(AND(INDEX(Mitarbeiter!$D$6:$D$205,MATCH(B4314,Mitarbeiter!$A$6:$A$205,0))&lt;&gt;"",A4314&gt;INDEX(Mitarbeiter!$D$6:$D$205,MATCH(B4314,Mitarbeiter!$A$6:$A$205,0))),"nach Austritt","ok")))))))</f>
        <v/>
      </c>
    </row>
    <row r="4315">
      <c r="A4315" s="26" t="n"/>
      <c r="B4315" s="24" t="n"/>
      <c r="C4315" s="40">
        <f>IF(B4315="","",IFERROR(INDEX(Mitarbeiter!$B$6:$B$205,MATCH(B4315,Mitarbeiter!$A$6:$A$205,0)),"?"))</f>
        <v/>
      </c>
      <c r="D4315" s="41" t="n"/>
      <c r="E4315" s="42" t="n"/>
      <c r="F4315" s="43" t="n"/>
      <c r="G4315" s="44">
        <f>IF(OR(B4315="",F4315=""),"",IFERROR(F4315*INDEX(Mitarbeiter!$F$6:$F$205,MATCH(B4315,Mitarbeiter!$A$6:$A$205,0)),0))</f>
        <v/>
      </c>
      <c r="H4315" s="8">
        <f>IF(B4315="","",IF(ISNA(MATCH(B4315,Mitarbeiter!$A$6:$A$205,0)),"Pers.-Nr. unbekannt",IF(A4315="","Datum fehlt",IF(AND(D4315&lt;&gt;Einstellungen!$C$4,D4315&lt;&gt;Einstellungen!$C$5),"Objekt fehlt",IF(YEAR(A4315)&lt;&gt;Einstellungen!$C$3,"anderes Jahr",IF(A4315&lt;INDEX(Mitarbeiter!$C$6:$C$205,MATCH(B4315,Mitarbeiter!$A$6:$A$205,0)),"vor Eintritt",IF(AND(INDEX(Mitarbeiter!$D$6:$D$205,MATCH(B4315,Mitarbeiter!$A$6:$A$205,0))&lt;&gt;"",A4315&gt;INDEX(Mitarbeiter!$D$6:$D$205,MATCH(B4315,Mitarbeiter!$A$6:$A$205,0))),"nach Austritt","ok")))))))</f>
        <v/>
      </c>
    </row>
    <row r="4316">
      <c r="A4316" s="26" t="n"/>
      <c r="B4316" s="24" t="n"/>
      <c r="C4316" s="40">
        <f>IF(B4316="","",IFERROR(INDEX(Mitarbeiter!$B$6:$B$205,MATCH(B4316,Mitarbeiter!$A$6:$A$205,0)),"?"))</f>
        <v/>
      </c>
      <c r="D4316" s="41" t="n"/>
      <c r="E4316" s="42" t="n"/>
      <c r="F4316" s="43" t="n"/>
      <c r="G4316" s="44">
        <f>IF(OR(B4316="",F4316=""),"",IFERROR(F4316*INDEX(Mitarbeiter!$F$6:$F$205,MATCH(B4316,Mitarbeiter!$A$6:$A$205,0)),0))</f>
        <v/>
      </c>
      <c r="H4316" s="8">
        <f>IF(B4316="","",IF(ISNA(MATCH(B4316,Mitarbeiter!$A$6:$A$205,0)),"Pers.-Nr. unbekannt",IF(A4316="","Datum fehlt",IF(AND(D4316&lt;&gt;Einstellungen!$C$4,D4316&lt;&gt;Einstellungen!$C$5),"Objekt fehlt",IF(YEAR(A4316)&lt;&gt;Einstellungen!$C$3,"anderes Jahr",IF(A4316&lt;INDEX(Mitarbeiter!$C$6:$C$205,MATCH(B4316,Mitarbeiter!$A$6:$A$205,0)),"vor Eintritt",IF(AND(INDEX(Mitarbeiter!$D$6:$D$205,MATCH(B4316,Mitarbeiter!$A$6:$A$205,0))&lt;&gt;"",A4316&gt;INDEX(Mitarbeiter!$D$6:$D$205,MATCH(B4316,Mitarbeiter!$A$6:$A$205,0))),"nach Austritt","ok")))))))</f>
        <v/>
      </c>
    </row>
    <row r="4317">
      <c r="A4317" s="26" t="n"/>
      <c r="B4317" s="24" t="n"/>
      <c r="C4317" s="40">
        <f>IF(B4317="","",IFERROR(INDEX(Mitarbeiter!$B$6:$B$205,MATCH(B4317,Mitarbeiter!$A$6:$A$205,0)),"?"))</f>
        <v/>
      </c>
      <c r="D4317" s="41" t="n"/>
      <c r="E4317" s="42" t="n"/>
      <c r="F4317" s="43" t="n"/>
      <c r="G4317" s="44">
        <f>IF(OR(B4317="",F4317=""),"",IFERROR(F4317*INDEX(Mitarbeiter!$F$6:$F$205,MATCH(B4317,Mitarbeiter!$A$6:$A$205,0)),0))</f>
        <v/>
      </c>
      <c r="H4317" s="8">
        <f>IF(B4317="","",IF(ISNA(MATCH(B4317,Mitarbeiter!$A$6:$A$205,0)),"Pers.-Nr. unbekannt",IF(A4317="","Datum fehlt",IF(AND(D4317&lt;&gt;Einstellungen!$C$4,D4317&lt;&gt;Einstellungen!$C$5),"Objekt fehlt",IF(YEAR(A4317)&lt;&gt;Einstellungen!$C$3,"anderes Jahr",IF(A4317&lt;INDEX(Mitarbeiter!$C$6:$C$205,MATCH(B4317,Mitarbeiter!$A$6:$A$205,0)),"vor Eintritt",IF(AND(INDEX(Mitarbeiter!$D$6:$D$205,MATCH(B4317,Mitarbeiter!$A$6:$A$205,0))&lt;&gt;"",A4317&gt;INDEX(Mitarbeiter!$D$6:$D$205,MATCH(B4317,Mitarbeiter!$A$6:$A$205,0))),"nach Austritt","ok")))))))</f>
        <v/>
      </c>
    </row>
    <row r="4318">
      <c r="A4318" s="26" t="n"/>
      <c r="B4318" s="24" t="n"/>
      <c r="C4318" s="40">
        <f>IF(B4318="","",IFERROR(INDEX(Mitarbeiter!$B$6:$B$205,MATCH(B4318,Mitarbeiter!$A$6:$A$205,0)),"?"))</f>
        <v/>
      </c>
      <c r="D4318" s="41" t="n"/>
      <c r="E4318" s="42" t="n"/>
      <c r="F4318" s="43" t="n"/>
      <c r="G4318" s="44">
        <f>IF(OR(B4318="",F4318=""),"",IFERROR(F4318*INDEX(Mitarbeiter!$F$6:$F$205,MATCH(B4318,Mitarbeiter!$A$6:$A$205,0)),0))</f>
        <v/>
      </c>
      <c r="H4318" s="8">
        <f>IF(B4318="","",IF(ISNA(MATCH(B4318,Mitarbeiter!$A$6:$A$205,0)),"Pers.-Nr. unbekannt",IF(A4318="","Datum fehlt",IF(AND(D4318&lt;&gt;Einstellungen!$C$4,D4318&lt;&gt;Einstellungen!$C$5),"Objekt fehlt",IF(YEAR(A4318)&lt;&gt;Einstellungen!$C$3,"anderes Jahr",IF(A4318&lt;INDEX(Mitarbeiter!$C$6:$C$205,MATCH(B4318,Mitarbeiter!$A$6:$A$205,0)),"vor Eintritt",IF(AND(INDEX(Mitarbeiter!$D$6:$D$205,MATCH(B4318,Mitarbeiter!$A$6:$A$205,0))&lt;&gt;"",A4318&gt;INDEX(Mitarbeiter!$D$6:$D$205,MATCH(B4318,Mitarbeiter!$A$6:$A$205,0))),"nach Austritt","ok")))))))</f>
        <v/>
      </c>
    </row>
    <row r="4319">
      <c r="A4319" s="26" t="n"/>
      <c r="B4319" s="24" t="n"/>
      <c r="C4319" s="40">
        <f>IF(B4319="","",IFERROR(INDEX(Mitarbeiter!$B$6:$B$205,MATCH(B4319,Mitarbeiter!$A$6:$A$205,0)),"?"))</f>
        <v/>
      </c>
      <c r="D4319" s="41" t="n"/>
      <c r="E4319" s="42" t="n"/>
      <c r="F4319" s="43" t="n"/>
      <c r="G4319" s="44">
        <f>IF(OR(B4319="",F4319=""),"",IFERROR(F4319*INDEX(Mitarbeiter!$F$6:$F$205,MATCH(B4319,Mitarbeiter!$A$6:$A$205,0)),0))</f>
        <v/>
      </c>
      <c r="H4319" s="8">
        <f>IF(B4319="","",IF(ISNA(MATCH(B4319,Mitarbeiter!$A$6:$A$205,0)),"Pers.-Nr. unbekannt",IF(A4319="","Datum fehlt",IF(AND(D4319&lt;&gt;Einstellungen!$C$4,D4319&lt;&gt;Einstellungen!$C$5),"Objekt fehlt",IF(YEAR(A4319)&lt;&gt;Einstellungen!$C$3,"anderes Jahr",IF(A4319&lt;INDEX(Mitarbeiter!$C$6:$C$205,MATCH(B4319,Mitarbeiter!$A$6:$A$205,0)),"vor Eintritt",IF(AND(INDEX(Mitarbeiter!$D$6:$D$205,MATCH(B4319,Mitarbeiter!$A$6:$A$205,0))&lt;&gt;"",A4319&gt;INDEX(Mitarbeiter!$D$6:$D$205,MATCH(B4319,Mitarbeiter!$A$6:$A$205,0))),"nach Austritt","ok")))))))</f>
        <v/>
      </c>
    </row>
    <row r="4320">
      <c r="A4320" s="26" t="n"/>
      <c r="B4320" s="24" t="n"/>
      <c r="C4320" s="40">
        <f>IF(B4320="","",IFERROR(INDEX(Mitarbeiter!$B$6:$B$205,MATCH(B4320,Mitarbeiter!$A$6:$A$205,0)),"?"))</f>
        <v/>
      </c>
      <c r="D4320" s="41" t="n"/>
      <c r="E4320" s="42" t="n"/>
      <c r="F4320" s="43" t="n"/>
      <c r="G4320" s="44">
        <f>IF(OR(B4320="",F4320=""),"",IFERROR(F4320*INDEX(Mitarbeiter!$F$6:$F$205,MATCH(B4320,Mitarbeiter!$A$6:$A$205,0)),0))</f>
        <v/>
      </c>
      <c r="H4320" s="8">
        <f>IF(B4320="","",IF(ISNA(MATCH(B4320,Mitarbeiter!$A$6:$A$205,0)),"Pers.-Nr. unbekannt",IF(A4320="","Datum fehlt",IF(AND(D4320&lt;&gt;Einstellungen!$C$4,D4320&lt;&gt;Einstellungen!$C$5),"Objekt fehlt",IF(YEAR(A4320)&lt;&gt;Einstellungen!$C$3,"anderes Jahr",IF(A4320&lt;INDEX(Mitarbeiter!$C$6:$C$205,MATCH(B4320,Mitarbeiter!$A$6:$A$205,0)),"vor Eintritt",IF(AND(INDEX(Mitarbeiter!$D$6:$D$205,MATCH(B4320,Mitarbeiter!$A$6:$A$205,0))&lt;&gt;"",A4320&gt;INDEX(Mitarbeiter!$D$6:$D$205,MATCH(B4320,Mitarbeiter!$A$6:$A$205,0))),"nach Austritt","ok")))))))</f>
        <v/>
      </c>
    </row>
    <row r="4321">
      <c r="A4321" s="26" t="n"/>
      <c r="B4321" s="24" t="n"/>
      <c r="C4321" s="40">
        <f>IF(B4321="","",IFERROR(INDEX(Mitarbeiter!$B$6:$B$205,MATCH(B4321,Mitarbeiter!$A$6:$A$205,0)),"?"))</f>
        <v/>
      </c>
      <c r="D4321" s="41" t="n"/>
      <c r="E4321" s="42" t="n"/>
      <c r="F4321" s="43" t="n"/>
      <c r="G4321" s="44">
        <f>IF(OR(B4321="",F4321=""),"",IFERROR(F4321*INDEX(Mitarbeiter!$F$6:$F$205,MATCH(B4321,Mitarbeiter!$A$6:$A$205,0)),0))</f>
        <v/>
      </c>
      <c r="H4321" s="8">
        <f>IF(B4321="","",IF(ISNA(MATCH(B4321,Mitarbeiter!$A$6:$A$205,0)),"Pers.-Nr. unbekannt",IF(A4321="","Datum fehlt",IF(AND(D4321&lt;&gt;Einstellungen!$C$4,D4321&lt;&gt;Einstellungen!$C$5),"Objekt fehlt",IF(YEAR(A4321)&lt;&gt;Einstellungen!$C$3,"anderes Jahr",IF(A4321&lt;INDEX(Mitarbeiter!$C$6:$C$205,MATCH(B4321,Mitarbeiter!$A$6:$A$205,0)),"vor Eintritt",IF(AND(INDEX(Mitarbeiter!$D$6:$D$205,MATCH(B4321,Mitarbeiter!$A$6:$A$205,0))&lt;&gt;"",A4321&gt;INDEX(Mitarbeiter!$D$6:$D$205,MATCH(B4321,Mitarbeiter!$A$6:$A$205,0))),"nach Austritt","ok")))))))</f>
        <v/>
      </c>
    </row>
    <row r="4322">
      <c r="A4322" s="26" t="n"/>
      <c r="B4322" s="24" t="n"/>
      <c r="C4322" s="40">
        <f>IF(B4322="","",IFERROR(INDEX(Mitarbeiter!$B$6:$B$205,MATCH(B4322,Mitarbeiter!$A$6:$A$205,0)),"?"))</f>
        <v/>
      </c>
      <c r="D4322" s="41" t="n"/>
      <c r="E4322" s="42" t="n"/>
      <c r="F4322" s="43" t="n"/>
      <c r="G4322" s="44">
        <f>IF(OR(B4322="",F4322=""),"",IFERROR(F4322*INDEX(Mitarbeiter!$F$6:$F$205,MATCH(B4322,Mitarbeiter!$A$6:$A$205,0)),0))</f>
        <v/>
      </c>
      <c r="H4322" s="8">
        <f>IF(B4322="","",IF(ISNA(MATCH(B4322,Mitarbeiter!$A$6:$A$205,0)),"Pers.-Nr. unbekannt",IF(A4322="","Datum fehlt",IF(AND(D4322&lt;&gt;Einstellungen!$C$4,D4322&lt;&gt;Einstellungen!$C$5),"Objekt fehlt",IF(YEAR(A4322)&lt;&gt;Einstellungen!$C$3,"anderes Jahr",IF(A4322&lt;INDEX(Mitarbeiter!$C$6:$C$205,MATCH(B4322,Mitarbeiter!$A$6:$A$205,0)),"vor Eintritt",IF(AND(INDEX(Mitarbeiter!$D$6:$D$205,MATCH(B4322,Mitarbeiter!$A$6:$A$205,0))&lt;&gt;"",A4322&gt;INDEX(Mitarbeiter!$D$6:$D$205,MATCH(B4322,Mitarbeiter!$A$6:$A$205,0))),"nach Austritt","ok")))))))</f>
        <v/>
      </c>
    </row>
    <row r="4323">
      <c r="A4323" s="26" t="n"/>
      <c r="B4323" s="24" t="n"/>
      <c r="C4323" s="40">
        <f>IF(B4323="","",IFERROR(INDEX(Mitarbeiter!$B$6:$B$205,MATCH(B4323,Mitarbeiter!$A$6:$A$205,0)),"?"))</f>
        <v/>
      </c>
      <c r="D4323" s="41" t="n"/>
      <c r="E4323" s="42" t="n"/>
      <c r="F4323" s="43" t="n"/>
      <c r="G4323" s="44">
        <f>IF(OR(B4323="",F4323=""),"",IFERROR(F4323*INDEX(Mitarbeiter!$F$6:$F$205,MATCH(B4323,Mitarbeiter!$A$6:$A$205,0)),0))</f>
        <v/>
      </c>
      <c r="H4323" s="8">
        <f>IF(B4323="","",IF(ISNA(MATCH(B4323,Mitarbeiter!$A$6:$A$205,0)),"Pers.-Nr. unbekannt",IF(A4323="","Datum fehlt",IF(AND(D4323&lt;&gt;Einstellungen!$C$4,D4323&lt;&gt;Einstellungen!$C$5),"Objekt fehlt",IF(YEAR(A4323)&lt;&gt;Einstellungen!$C$3,"anderes Jahr",IF(A4323&lt;INDEX(Mitarbeiter!$C$6:$C$205,MATCH(B4323,Mitarbeiter!$A$6:$A$205,0)),"vor Eintritt",IF(AND(INDEX(Mitarbeiter!$D$6:$D$205,MATCH(B4323,Mitarbeiter!$A$6:$A$205,0))&lt;&gt;"",A4323&gt;INDEX(Mitarbeiter!$D$6:$D$205,MATCH(B4323,Mitarbeiter!$A$6:$A$205,0))),"nach Austritt","ok")))))))</f>
        <v/>
      </c>
    </row>
    <row r="4324">
      <c r="A4324" s="26" t="n"/>
      <c r="B4324" s="24" t="n"/>
      <c r="C4324" s="40">
        <f>IF(B4324="","",IFERROR(INDEX(Mitarbeiter!$B$6:$B$205,MATCH(B4324,Mitarbeiter!$A$6:$A$205,0)),"?"))</f>
        <v/>
      </c>
      <c r="D4324" s="41" t="n"/>
      <c r="E4324" s="42" t="n"/>
      <c r="F4324" s="43" t="n"/>
      <c r="G4324" s="44">
        <f>IF(OR(B4324="",F4324=""),"",IFERROR(F4324*INDEX(Mitarbeiter!$F$6:$F$205,MATCH(B4324,Mitarbeiter!$A$6:$A$205,0)),0))</f>
        <v/>
      </c>
      <c r="H4324" s="8">
        <f>IF(B4324="","",IF(ISNA(MATCH(B4324,Mitarbeiter!$A$6:$A$205,0)),"Pers.-Nr. unbekannt",IF(A4324="","Datum fehlt",IF(AND(D4324&lt;&gt;Einstellungen!$C$4,D4324&lt;&gt;Einstellungen!$C$5),"Objekt fehlt",IF(YEAR(A4324)&lt;&gt;Einstellungen!$C$3,"anderes Jahr",IF(A4324&lt;INDEX(Mitarbeiter!$C$6:$C$205,MATCH(B4324,Mitarbeiter!$A$6:$A$205,0)),"vor Eintritt",IF(AND(INDEX(Mitarbeiter!$D$6:$D$205,MATCH(B4324,Mitarbeiter!$A$6:$A$205,0))&lt;&gt;"",A4324&gt;INDEX(Mitarbeiter!$D$6:$D$205,MATCH(B4324,Mitarbeiter!$A$6:$A$205,0))),"nach Austritt","ok")))))))</f>
        <v/>
      </c>
    </row>
    <row r="4325">
      <c r="A4325" s="26" t="n"/>
      <c r="B4325" s="24" t="n"/>
      <c r="C4325" s="40">
        <f>IF(B4325="","",IFERROR(INDEX(Mitarbeiter!$B$6:$B$205,MATCH(B4325,Mitarbeiter!$A$6:$A$205,0)),"?"))</f>
        <v/>
      </c>
      <c r="D4325" s="41" t="n"/>
      <c r="E4325" s="42" t="n"/>
      <c r="F4325" s="43" t="n"/>
      <c r="G4325" s="44">
        <f>IF(OR(B4325="",F4325=""),"",IFERROR(F4325*INDEX(Mitarbeiter!$F$6:$F$205,MATCH(B4325,Mitarbeiter!$A$6:$A$205,0)),0))</f>
        <v/>
      </c>
      <c r="H4325" s="8">
        <f>IF(B4325="","",IF(ISNA(MATCH(B4325,Mitarbeiter!$A$6:$A$205,0)),"Pers.-Nr. unbekannt",IF(A4325="","Datum fehlt",IF(AND(D4325&lt;&gt;Einstellungen!$C$4,D4325&lt;&gt;Einstellungen!$C$5),"Objekt fehlt",IF(YEAR(A4325)&lt;&gt;Einstellungen!$C$3,"anderes Jahr",IF(A4325&lt;INDEX(Mitarbeiter!$C$6:$C$205,MATCH(B4325,Mitarbeiter!$A$6:$A$205,0)),"vor Eintritt",IF(AND(INDEX(Mitarbeiter!$D$6:$D$205,MATCH(B4325,Mitarbeiter!$A$6:$A$205,0))&lt;&gt;"",A4325&gt;INDEX(Mitarbeiter!$D$6:$D$205,MATCH(B4325,Mitarbeiter!$A$6:$A$205,0))),"nach Austritt","ok")))))))</f>
        <v/>
      </c>
    </row>
    <row r="4326">
      <c r="A4326" s="26" t="n"/>
      <c r="B4326" s="24" t="n"/>
      <c r="C4326" s="40">
        <f>IF(B4326="","",IFERROR(INDEX(Mitarbeiter!$B$6:$B$205,MATCH(B4326,Mitarbeiter!$A$6:$A$205,0)),"?"))</f>
        <v/>
      </c>
      <c r="D4326" s="41" t="n"/>
      <c r="E4326" s="42" t="n"/>
      <c r="F4326" s="43" t="n"/>
      <c r="G4326" s="44">
        <f>IF(OR(B4326="",F4326=""),"",IFERROR(F4326*INDEX(Mitarbeiter!$F$6:$F$205,MATCH(B4326,Mitarbeiter!$A$6:$A$205,0)),0))</f>
        <v/>
      </c>
      <c r="H4326" s="8">
        <f>IF(B4326="","",IF(ISNA(MATCH(B4326,Mitarbeiter!$A$6:$A$205,0)),"Pers.-Nr. unbekannt",IF(A4326="","Datum fehlt",IF(AND(D4326&lt;&gt;Einstellungen!$C$4,D4326&lt;&gt;Einstellungen!$C$5),"Objekt fehlt",IF(YEAR(A4326)&lt;&gt;Einstellungen!$C$3,"anderes Jahr",IF(A4326&lt;INDEX(Mitarbeiter!$C$6:$C$205,MATCH(B4326,Mitarbeiter!$A$6:$A$205,0)),"vor Eintritt",IF(AND(INDEX(Mitarbeiter!$D$6:$D$205,MATCH(B4326,Mitarbeiter!$A$6:$A$205,0))&lt;&gt;"",A4326&gt;INDEX(Mitarbeiter!$D$6:$D$205,MATCH(B4326,Mitarbeiter!$A$6:$A$205,0))),"nach Austritt","ok")))))))</f>
        <v/>
      </c>
    </row>
    <row r="4327">
      <c r="A4327" s="26" t="n"/>
      <c r="B4327" s="24" t="n"/>
      <c r="C4327" s="40">
        <f>IF(B4327="","",IFERROR(INDEX(Mitarbeiter!$B$6:$B$205,MATCH(B4327,Mitarbeiter!$A$6:$A$205,0)),"?"))</f>
        <v/>
      </c>
      <c r="D4327" s="41" t="n"/>
      <c r="E4327" s="42" t="n"/>
      <c r="F4327" s="43" t="n"/>
      <c r="G4327" s="44">
        <f>IF(OR(B4327="",F4327=""),"",IFERROR(F4327*INDEX(Mitarbeiter!$F$6:$F$205,MATCH(B4327,Mitarbeiter!$A$6:$A$205,0)),0))</f>
        <v/>
      </c>
      <c r="H4327" s="8">
        <f>IF(B4327="","",IF(ISNA(MATCH(B4327,Mitarbeiter!$A$6:$A$205,0)),"Pers.-Nr. unbekannt",IF(A4327="","Datum fehlt",IF(AND(D4327&lt;&gt;Einstellungen!$C$4,D4327&lt;&gt;Einstellungen!$C$5),"Objekt fehlt",IF(YEAR(A4327)&lt;&gt;Einstellungen!$C$3,"anderes Jahr",IF(A4327&lt;INDEX(Mitarbeiter!$C$6:$C$205,MATCH(B4327,Mitarbeiter!$A$6:$A$205,0)),"vor Eintritt",IF(AND(INDEX(Mitarbeiter!$D$6:$D$205,MATCH(B4327,Mitarbeiter!$A$6:$A$205,0))&lt;&gt;"",A4327&gt;INDEX(Mitarbeiter!$D$6:$D$205,MATCH(B4327,Mitarbeiter!$A$6:$A$205,0))),"nach Austritt","ok")))))))</f>
        <v/>
      </c>
    </row>
    <row r="4328">
      <c r="A4328" s="26" t="n"/>
      <c r="B4328" s="24" t="n"/>
      <c r="C4328" s="40">
        <f>IF(B4328="","",IFERROR(INDEX(Mitarbeiter!$B$6:$B$205,MATCH(B4328,Mitarbeiter!$A$6:$A$205,0)),"?"))</f>
        <v/>
      </c>
      <c r="D4328" s="41" t="n"/>
      <c r="E4328" s="42" t="n"/>
      <c r="F4328" s="43" t="n"/>
      <c r="G4328" s="44">
        <f>IF(OR(B4328="",F4328=""),"",IFERROR(F4328*INDEX(Mitarbeiter!$F$6:$F$205,MATCH(B4328,Mitarbeiter!$A$6:$A$205,0)),0))</f>
        <v/>
      </c>
      <c r="H4328" s="8">
        <f>IF(B4328="","",IF(ISNA(MATCH(B4328,Mitarbeiter!$A$6:$A$205,0)),"Pers.-Nr. unbekannt",IF(A4328="","Datum fehlt",IF(AND(D4328&lt;&gt;Einstellungen!$C$4,D4328&lt;&gt;Einstellungen!$C$5),"Objekt fehlt",IF(YEAR(A4328)&lt;&gt;Einstellungen!$C$3,"anderes Jahr",IF(A4328&lt;INDEX(Mitarbeiter!$C$6:$C$205,MATCH(B4328,Mitarbeiter!$A$6:$A$205,0)),"vor Eintritt",IF(AND(INDEX(Mitarbeiter!$D$6:$D$205,MATCH(B4328,Mitarbeiter!$A$6:$A$205,0))&lt;&gt;"",A4328&gt;INDEX(Mitarbeiter!$D$6:$D$205,MATCH(B4328,Mitarbeiter!$A$6:$A$205,0))),"nach Austritt","ok")))))))</f>
        <v/>
      </c>
    </row>
    <row r="4329">
      <c r="A4329" s="26" t="n"/>
      <c r="B4329" s="24" t="n"/>
      <c r="C4329" s="40">
        <f>IF(B4329="","",IFERROR(INDEX(Mitarbeiter!$B$6:$B$205,MATCH(B4329,Mitarbeiter!$A$6:$A$205,0)),"?"))</f>
        <v/>
      </c>
      <c r="D4329" s="41" t="n"/>
      <c r="E4329" s="42" t="n"/>
      <c r="F4329" s="43" t="n"/>
      <c r="G4329" s="44">
        <f>IF(OR(B4329="",F4329=""),"",IFERROR(F4329*INDEX(Mitarbeiter!$F$6:$F$205,MATCH(B4329,Mitarbeiter!$A$6:$A$205,0)),0))</f>
        <v/>
      </c>
      <c r="H4329" s="8">
        <f>IF(B4329="","",IF(ISNA(MATCH(B4329,Mitarbeiter!$A$6:$A$205,0)),"Pers.-Nr. unbekannt",IF(A4329="","Datum fehlt",IF(AND(D4329&lt;&gt;Einstellungen!$C$4,D4329&lt;&gt;Einstellungen!$C$5),"Objekt fehlt",IF(YEAR(A4329)&lt;&gt;Einstellungen!$C$3,"anderes Jahr",IF(A4329&lt;INDEX(Mitarbeiter!$C$6:$C$205,MATCH(B4329,Mitarbeiter!$A$6:$A$205,0)),"vor Eintritt",IF(AND(INDEX(Mitarbeiter!$D$6:$D$205,MATCH(B4329,Mitarbeiter!$A$6:$A$205,0))&lt;&gt;"",A4329&gt;INDEX(Mitarbeiter!$D$6:$D$205,MATCH(B4329,Mitarbeiter!$A$6:$A$205,0))),"nach Austritt","ok")))))))</f>
        <v/>
      </c>
    </row>
    <row r="4330">
      <c r="A4330" s="26" t="n"/>
      <c r="B4330" s="24" t="n"/>
      <c r="C4330" s="40">
        <f>IF(B4330="","",IFERROR(INDEX(Mitarbeiter!$B$6:$B$205,MATCH(B4330,Mitarbeiter!$A$6:$A$205,0)),"?"))</f>
        <v/>
      </c>
      <c r="D4330" s="41" t="n"/>
      <c r="E4330" s="42" t="n"/>
      <c r="F4330" s="43" t="n"/>
      <c r="G4330" s="44">
        <f>IF(OR(B4330="",F4330=""),"",IFERROR(F4330*INDEX(Mitarbeiter!$F$6:$F$205,MATCH(B4330,Mitarbeiter!$A$6:$A$205,0)),0))</f>
        <v/>
      </c>
      <c r="H4330" s="8">
        <f>IF(B4330="","",IF(ISNA(MATCH(B4330,Mitarbeiter!$A$6:$A$205,0)),"Pers.-Nr. unbekannt",IF(A4330="","Datum fehlt",IF(AND(D4330&lt;&gt;Einstellungen!$C$4,D4330&lt;&gt;Einstellungen!$C$5),"Objekt fehlt",IF(YEAR(A4330)&lt;&gt;Einstellungen!$C$3,"anderes Jahr",IF(A4330&lt;INDEX(Mitarbeiter!$C$6:$C$205,MATCH(B4330,Mitarbeiter!$A$6:$A$205,0)),"vor Eintritt",IF(AND(INDEX(Mitarbeiter!$D$6:$D$205,MATCH(B4330,Mitarbeiter!$A$6:$A$205,0))&lt;&gt;"",A4330&gt;INDEX(Mitarbeiter!$D$6:$D$205,MATCH(B4330,Mitarbeiter!$A$6:$A$205,0))),"nach Austritt","ok")))))))</f>
        <v/>
      </c>
    </row>
    <row r="4331">
      <c r="A4331" s="26" t="n"/>
      <c r="B4331" s="24" t="n"/>
      <c r="C4331" s="40">
        <f>IF(B4331="","",IFERROR(INDEX(Mitarbeiter!$B$6:$B$205,MATCH(B4331,Mitarbeiter!$A$6:$A$205,0)),"?"))</f>
        <v/>
      </c>
      <c r="D4331" s="41" t="n"/>
      <c r="E4331" s="42" t="n"/>
      <c r="F4331" s="43" t="n"/>
      <c r="G4331" s="44">
        <f>IF(OR(B4331="",F4331=""),"",IFERROR(F4331*INDEX(Mitarbeiter!$F$6:$F$205,MATCH(B4331,Mitarbeiter!$A$6:$A$205,0)),0))</f>
        <v/>
      </c>
      <c r="H4331" s="8">
        <f>IF(B4331="","",IF(ISNA(MATCH(B4331,Mitarbeiter!$A$6:$A$205,0)),"Pers.-Nr. unbekannt",IF(A4331="","Datum fehlt",IF(AND(D4331&lt;&gt;Einstellungen!$C$4,D4331&lt;&gt;Einstellungen!$C$5),"Objekt fehlt",IF(YEAR(A4331)&lt;&gt;Einstellungen!$C$3,"anderes Jahr",IF(A4331&lt;INDEX(Mitarbeiter!$C$6:$C$205,MATCH(B4331,Mitarbeiter!$A$6:$A$205,0)),"vor Eintritt",IF(AND(INDEX(Mitarbeiter!$D$6:$D$205,MATCH(B4331,Mitarbeiter!$A$6:$A$205,0))&lt;&gt;"",A4331&gt;INDEX(Mitarbeiter!$D$6:$D$205,MATCH(B4331,Mitarbeiter!$A$6:$A$205,0))),"nach Austritt","ok")))))))</f>
        <v/>
      </c>
    </row>
    <row r="4332">
      <c r="A4332" s="26" t="n"/>
      <c r="B4332" s="24" t="n"/>
      <c r="C4332" s="40">
        <f>IF(B4332="","",IFERROR(INDEX(Mitarbeiter!$B$6:$B$205,MATCH(B4332,Mitarbeiter!$A$6:$A$205,0)),"?"))</f>
        <v/>
      </c>
      <c r="D4332" s="41" t="n"/>
      <c r="E4332" s="42" t="n"/>
      <c r="F4332" s="43" t="n"/>
      <c r="G4332" s="44">
        <f>IF(OR(B4332="",F4332=""),"",IFERROR(F4332*INDEX(Mitarbeiter!$F$6:$F$205,MATCH(B4332,Mitarbeiter!$A$6:$A$205,0)),0))</f>
        <v/>
      </c>
      <c r="H4332" s="8">
        <f>IF(B4332="","",IF(ISNA(MATCH(B4332,Mitarbeiter!$A$6:$A$205,0)),"Pers.-Nr. unbekannt",IF(A4332="","Datum fehlt",IF(AND(D4332&lt;&gt;Einstellungen!$C$4,D4332&lt;&gt;Einstellungen!$C$5),"Objekt fehlt",IF(YEAR(A4332)&lt;&gt;Einstellungen!$C$3,"anderes Jahr",IF(A4332&lt;INDEX(Mitarbeiter!$C$6:$C$205,MATCH(B4332,Mitarbeiter!$A$6:$A$205,0)),"vor Eintritt",IF(AND(INDEX(Mitarbeiter!$D$6:$D$205,MATCH(B4332,Mitarbeiter!$A$6:$A$205,0))&lt;&gt;"",A4332&gt;INDEX(Mitarbeiter!$D$6:$D$205,MATCH(B4332,Mitarbeiter!$A$6:$A$205,0))),"nach Austritt","ok")))))))</f>
        <v/>
      </c>
    </row>
    <row r="4333">
      <c r="A4333" s="26" t="n"/>
      <c r="B4333" s="24" t="n"/>
      <c r="C4333" s="40">
        <f>IF(B4333="","",IFERROR(INDEX(Mitarbeiter!$B$6:$B$205,MATCH(B4333,Mitarbeiter!$A$6:$A$205,0)),"?"))</f>
        <v/>
      </c>
      <c r="D4333" s="41" t="n"/>
      <c r="E4333" s="42" t="n"/>
      <c r="F4333" s="43" t="n"/>
      <c r="G4333" s="44">
        <f>IF(OR(B4333="",F4333=""),"",IFERROR(F4333*INDEX(Mitarbeiter!$F$6:$F$205,MATCH(B4333,Mitarbeiter!$A$6:$A$205,0)),0))</f>
        <v/>
      </c>
      <c r="H4333" s="8">
        <f>IF(B4333="","",IF(ISNA(MATCH(B4333,Mitarbeiter!$A$6:$A$205,0)),"Pers.-Nr. unbekannt",IF(A4333="","Datum fehlt",IF(AND(D4333&lt;&gt;Einstellungen!$C$4,D4333&lt;&gt;Einstellungen!$C$5),"Objekt fehlt",IF(YEAR(A4333)&lt;&gt;Einstellungen!$C$3,"anderes Jahr",IF(A4333&lt;INDEX(Mitarbeiter!$C$6:$C$205,MATCH(B4333,Mitarbeiter!$A$6:$A$205,0)),"vor Eintritt",IF(AND(INDEX(Mitarbeiter!$D$6:$D$205,MATCH(B4333,Mitarbeiter!$A$6:$A$205,0))&lt;&gt;"",A4333&gt;INDEX(Mitarbeiter!$D$6:$D$205,MATCH(B4333,Mitarbeiter!$A$6:$A$205,0))),"nach Austritt","ok")))))))</f>
        <v/>
      </c>
    </row>
    <row r="4334">
      <c r="A4334" s="26" t="n"/>
      <c r="B4334" s="24" t="n"/>
      <c r="C4334" s="40">
        <f>IF(B4334="","",IFERROR(INDEX(Mitarbeiter!$B$6:$B$205,MATCH(B4334,Mitarbeiter!$A$6:$A$205,0)),"?"))</f>
        <v/>
      </c>
      <c r="D4334" s="41" t="n"/>
      <c r="E4334" s="42" t="n"/>
      <c r="F4334" s="43" t="n"/>
      <c r="G4334" s="44">
        <f>IF(OR(B4334="",F4334=""),"",IFERROR(F4334*INDEX(Mitarbeiter!$F$6:$F$205,MATCH(B4334,Mitarbeiter!$A$6:$A$205,0)),0))</f>
        <v/>
      </c>
      <c r="H4334" s="8">
        <f>IF(B4334="","",IF(ISNA(MATCH(B4334,Mitarbeiter!$A$6:$A$205,0)),"Pers.-Nr. unbekannt",IF(A4334="","Datum fehlt",IF(AND(D4334&lt;&gt;Einstellungen!$C$4,D4334&lt;&gt;Einstellungen!$C$5),"Objekt fehlt",IF(YEAR(A4334)&lt;&gt;Einstellungen!$C$3,"anderes Jahr",IF(A4334&lt;INDEX(Mitarbeiter!$C$6:$C$205,MATCH(B4334,Mitarbeiter!$A$6:$A$205,0)),"vor Eintritt",IF(AND(INDEX(Mitarbeiter!$D$6:$D$205,MATCH(B4334,Mitarbeiter!$A$6:$A$205,0))&lt;&gt;"",A4334&gt;INDEX(Mitarbeiter!$D$6:$D$205,MATCH(B4334,Mitarbeiter!$A$6:$A$205,0))),"nach Austritt","ok")))))))</f>
        <v/>
      </c>
    </row>
    <row r="4335">
      <c r="A4335" s="26" t="n"/>
      <c r="B4335" s="24" t="n"/>
      <c r="C4335" s="40">
        <f>IF(B4335="","",IFERROR(INDEX(Mitarbeiter!$B$6:$B$205,MATCH(B4335,Mitarbeiter!$A$6:$A$205,0)),"?"))</f>
        <v/>
      </c>
      <c r="D4335" s="41" t="n"/>
      <c r="E4335" s="42" t="n"/>
      <c r="F4335" s="43" t="n"/>
      <c r="G4335" s="44">
        <f>IF(OR(B4335="",F4335=""),"",IFERROR(F4335*INDEX(Mitarbeiter!$F$6:$F$205,MATCH(B4335,Mitarbeiter!$A$6:$A$205,0)),0))</f>
        <v/>
      </c>
      <c r="H4335" s="8">
        <f>IF(B4335="","",IF(ISNA(MATCH(B4335,Mitarbeiter!$A$6:$A$205,0)),"Pers.-Nr. unbekannt",IF(A4335="","Datum fehlt",IF(AND(D4335&lt;&gt;Einstellungen!$C$4,D4335&lt;&gt;Einstellungen!$C$5),"Objekt fehlt",IF(YEAR(A4335)&lt;&gt;Einstellungen!$C$3,"anderes Jahr",IF(A4335&lt;INDEX(Mitarbeiter!$C$6:$C$205,MATCH(B4335,Mitarbeiter!$A$6:$A$205,0)),"vor Eintritt",IF(AND(INDEX(Mitarbeiter!$D$6:$D$205,MATCH(B4335,Mitarbeiter!$A$6:$A$205,0))&lt;&gt;"",A4335&gt;INDEX(Mitarbeiter!$D$6:$D$205,MATCH(B4335,Mitarbeiter!$A$6:$A$205,0))),"nach Austritt","ok")))))))</f>
        <v/>
      </c>
    </row>
    <row r="4336">
      <c r="A4336" s="26" t="n"/>
      <c r="B4336" s="24" t="n"/>
      <c r="C4336" s="40">
        <f>IF(B4336="","",IFERROR(INDEX(Mitarbeiter!$B$6:$B$205,MATCH(B4336,Mitarbeiter!$A$6:$A$205,0)),"?"))</f>
        <v/>
      </c>
      <c r="D4336" s="41" t="n"/>
      <c r="E4336" s="42" t="n"/>
      <c r="F4336" s="43" t="n"/>
      <c r="G4336" s="44">
        <f>IF(OR(B4336="",F4336=""),"",IFERROR(F4336*INDEX(Mitarbeiter!$F$6:$F$205,MATCH(B4336,Mitarbeiter!$A$6:$A$205,0)),0))</f>
        <v/>
      </c>
      <c r="H4336" s="8">
        <f>IF(B4336="","",IF(ISNA(MATCH(B4336,Mitarbeiter!$A$6:$A$205,0)),"Pers.-Nr. unbekannt",IF(A4336="","Datum fehlt",IF(AND(D4336&lt;&gt;Einstellungen!$C$4,D4336&lt;&gt;Einstellungen!$C$5),"Objekt fehlt",IF(YEAR(A4336)&lt;&gt;Einstellungen!$C$3,"anderes Jahr",IF(A4336&lt;INDEX(Mitarbeiter!$C$6:$C$205,MATCH(B4336,Mitarbeiter!$A$6:$A$205,0)),"vor Eintritt",IF(AND(INDEX(Mitarbeiter!$D$6:$D$205,MATCH(B4336,Mitarbeiter!$A$6:$A$205,0))&lt;&gt;"",A4336&gt;INDEX(Mitarbeiter!$D$6:$D$205,MATCH(B4336,Mitarbeiter!$A$6:$A$205,0))),"nach Austritt","ok")))))))</f>
        <v/>
      </c>
    </row>
    <row r="4337">
      <c r="A4337" s="26" t="n"/>
      <c r="B4337" s="24" t="n"/>
      <c r="C4337" s="40">
        <f>IF(B4337="","",IFERROR(INDEX(Mitarbeiter!$B$6:$B$205,MATCH(B4337,Mitarbeiter!$A$6:$A$205,0)),"?"))</f>
        <v/>
      </c>
      <c r="D4337" s="41" t="n"/>
      <c r="E4337" s="42" t="n"/>
      <c r="F4337" s="43" t="n"/>
      <c r="G4337" s="44">
        <f>IF(OR(B4337="",F4337=""),"",IFERROR(F4337*INDEX(Mitarbeiter!$F$6:$F$205,MATCH(B4337,Mitarbeiter!$A$6:$A$205,0)),0))</f>
        <v/>
      </c>
      <c r="H4337" s="8">
        <f>IF(B4337="","",IF(ISNA(MATCH(B4337,Mitarbeiter!$A$6:$A$205,0)),"Pers.-Nr. unbekannt",IF(A4337="","Datum fehlt",IF(AND(D4337&lt;&gt;Einstellungen!$C$4,D4337&lt;&gt;Einstellungen!$C$5),"Objekt fehlt",IF(YEAR(A4337)&lt;&gt;Einstellungen!$C$3,"anderes Jahr",IF(A4337&lt;INDEX(Mitarbeiter!$C$6:$C$205,MATCH(B4337,Mitarbeiter!$A$6:$A$205,0)),"vor Eintritt",IF(AND(INDEX(Mitarbeiter!$D$6:$D$205,MATCH(B4337,Mitarbeiter!$A$6:$A$205,0))&lt;&gt;"",A4337&gt;INDEX(Mitarbeiter!$D$6:$D$205,MATCH(B4337,Mitarbeiter!$A$6:$A$205,0))),"nach Austritt","ok")))))))</f>
        <v/>
      </c>
    </row>
    <row r="4338">
      <c r="A4338" s="26" t="n"/>
      <c r="B4338" s="24" t="n"/>
      <c r="C4338" s="40">
        <f>IF(B4338="","",IFERROR(INDEX(Mitarbeiter!$B$6:$B$205,MATCH(B4338,Mitarbeiter!$A$6:$A$205,0)),"?"))</f>
        <v/>
      </c>
      <c r="D4338" s="41" t="n"/>
      <c r="E4338" s="42" t="n"/>
      <c r="F4338" s="43" t="n"/>
      <c r="G4338" s="44">
        <f>IF(OR(B4338="",F4338=""),"",IFERROR(F4338*INDEX(Mitarbeiter!$F$6:$F$205,MATCH(B4338,Mitarbeiter!$A$6:$A$205,0)),0))</f>
        <v/>
      </c>
      <c r="H4338" s="8">
        <f>IF(B4338="","",IF(ISNA(MATCH(B4338,Mitarbeiter!$A$6:$A$205,0)),"Pers.-Nr. unbekannt",IF(A4338="","Datum fehlt",IF(AND(D4338&lt;&gt;Einstellungen!$C$4,D4338&lt;&gt;Einstellungen!$C$5),"Objekt fehlt",IF(YEAR(A4338)&lt;&gt;Einstellungen!$C$3,"anderes Jahr",IF(A4338&lt;INDEX(Mitarbeiter!$C$6:$C$205,MATCH(B4338,Mitarbeiter!$A$6:$A$205,0)),"vor Eintritt",IF(AND(INDEX(Mitarbeiter!$D$6:$D$205,MATCH(B4338,Mitarbeiter!$A$6:$A$205,0))&lt;&gt;"",A4338&gt;INDEX(Mitarbeiter!$D$6:$D$205,MATCH(B4338,Mitarbeiter!$A$6:$A$205,0))),"nach Austritt","ok")))))))</f>
        <v/>
      </c>
    </row>
    <row r="4339">
      <c r="A4339" s="26" t="n"/>
      <c r="B4339" s="24" t="n"/>
      <c r="C4339" s="40">
        <f>IF(B4339="","",IFERROR(INDEX(Mitarbeiter!$B$6:$B$205,MATCH(B4339,Mitarbeiter!$A$6:$A$205,0)),"?"))</f>
        <v/>
      </c>
      <c r="D4339" s="41" t="n"/>
      <c r="E4339" s="42" t="n"/>
      <c r="F4339" s="43" t="n"/>
      <c r="G4339" s="44">
        <f>IF(OR(B4339="",F4339=""),"",IFERROR(F4339*INDEX(Mitarbeiter!$F$6:$F$205,MATCH(B4339,Mitarbeiter!$A$6:$A$205,0)),0))</f>
        <v/>
      </c>
      <c r="H4339" s="8">
        <f>IF(B4339="","",IF(ISNA(MATCH(B4339,Mitarbeiter!$A$6:$A$205,0)),"Pers.-Nr. unbekannt",IF(A4339="","Datum fehlt",IF(AND(D4339&lt;&gt;Einstellungen!$C$4,D4339&lt;&gt;Einstellungen!$C$5),"Objekt fehlt",IF(YEAR(A4339)&lt;&gt;Einstellungen!$C$3,"anderes Jahr",IF(A4339&lt;INDEX(Mitarbeiter!$C$6:$C$205,MATCH(B4339,Mitarbeiter!$A$6:$A$205,0)),"vor Eintritt",IF(AND(INDEX(Mitarbeiter!$D$6:$D$205,MATCH(B4339,Mitarbeiter!$A$6:$A$205,0))&lt;&gt;"",A4339&gt;INDEX(Mitarbeiter!$D$6:$D$205,MATCH(B4339,Mitarbeiter!$A$6:$A$205,0))),"nach Austritt","ok")))))))</f>
        <v/>
      </c>
    </row>
    <row r="4340">
      <c r="A4340" s="26" t="n"/>
      <c r="B4340" s="24" t="n"/>
      <c r="C4340" s="40">
        <f>IF(B4340="","",IFERROR(INDEX(Mitarbeiter!$B$6:$B$205,MATCH(B4340,Mitarbeiter!$A$6:$A$205,0)),"?"))</f>
        <v/>
      </c>
      <c r="D4340" s="41" t="n"/>
      <c r="E4340" s="42" t="n"/>
      <c r="F4340" s="43" t="n"/>
      <c r="G4340" s="44">
        <f>IF(OR(B4340="",F4340=""),"",IFERROR(F4340*INDEX(Mitarbeiter!$F$6:$F$205,MATCH(B4340,Mitarbeiter!$A$6:$A$205,0)),0))</f>
        <v/>
      </c>
      <c r="H4340" s="8">
        <f>IF(B4340="","",IF(ISNA(MATCH(B4340,Mitarbeiter!$A$6:$A$205,0)),"Pers.-Nr. unbekannt",IF(A4340="","Datum fehlt",IF(AND(D4340&lt;&gt;Einstellungen!$C$4,D4340&lt;&gt;Einstellungen!$C$5),"Objekt fehlt",IF(YEAR(A4340)&lt;&gt;Einstellungen!$C$3,"anderes Jahr",IF(A4340&lt;INDEX(Mitarbeiter!$C$6:$C$205,MATCH(B4340,Mitarbeiter!$A$6:$A$205,0)),"vor Eintritt",IF(AND(INDEX(Mitarbeiter!$D$6:$D$205,MATCH(B4340,Mitarbeiter!$A$6:$A$205,0))&lt;&gt;"",A4340&gt;INDEX(Mitarbeiter!$D$6:$D$205,MATCH(B4340,Mitarbeiter!$A$6:$A$205,0))),"nach Austritt","ok")))))))</f>
        <v/>
      </c>
    </row>
    <row r="4341">
      <c r="A4341" s="26" t="n"/>
      <c r="B4341" s="24" t="n"/>
      <c r="C4341" s="40">
        <f>IF(B4341="","",IFERROR(INDEX(Mitarbeiter!$B$6:$B$205,MATCH(B4341,Mitarbeiter!$A$6:$A$205,0)),"?"))</f>
        <v/>
      </c>
      <c r="D4341" s="41" t="n"/>
      <c r="E4341" s="42" t="n"/>
      <c r="F4341" s="43" t="n"/>
      <c r="G4341" s="44">
        <f>IF(OR(B4341="",F4341=""),"",IFERROR(F4341*INDEX(Mitarbeiter!$F$6:$F$205,MATCH(B4341,Mitarbeiter!$A$6:$A$205,0)),0))</f>
        <v/>
      </c>
      <c r="H4341" s="8">
        <f>IF(B4341="","",IF(ISNA(MATCH(B4341,Mitarbeiter!$A$6:$A$205,0)),"Pers.-Nr. unbekannt",IF(A4341="","Datum fehlt",IF(AND(D4341&lt;&gt;Einstellungen!$C$4,D4341&lt;&gt;Einstellungen!$C$5),"Objekt fehlt",IF(YEAR(A4341)&lt;&gt;Einstellungen!$C$3,"anderes Jahr",IF(A4341&lt;INDEX(Mitarbeiter!$C$6:$C$205,MATCH(B4341,Mitarbeiter!$A$6:$A$205,0)),"vor Eintritt",IF(AND(INDEX(Mitarbeiter!$D$6:$D$205,MATCH(B4341,Mitarbeiter!$A$6:$A$205,0))&lt;&gt;"",A4341&gt;INDEX(Mitarbeiter!$D$6:$D$205,MATCH(B4341,Mitarbeiter!$A$6:$A$205,0))),"nach Austritt","ok")))))))</f>
        <v/>
      </c>
    </row>
    <row r="4342">
      <c r="A4342" s="26" t="n"/>
      <c r="B4342" s="24" t="n"/>
      <c r="C4342" s="40">
        <f>IF(B4342="","",IFERROR(INDEX(Mitarbeiter!$B$6:$B$205,MATCH(B4342,Mitarbeiter!$A$6:$A$205,0)),"?"))</f>
        <v/>
      </c>
      <c r="D4342" s="41" t="n"/>
      <c r="E4342" s="42" t="n"/>
      <c r="F4342" s="43" t="n"/>
      <c r="G4342" s="44">
        <f>IF(OR(B4342="",F4342=""),"",IFERROR(F4342*INDEX(Mitarbeiter!$F$6:$F$205,MATCH(B4342,Mitarbeiter!$A$6:$A$205,0)),0))</f>
        <v/>
      </c>
      <c r="H4342" s="8">
        <f>IF(B4342="","",IF(ISNA(MATCH(B4342,Mitarbeiter!$A$6:$A$205,0)),"Pers.-Nr. unbekannt",IF(A4342="","Datum fehlt",IF(AND(D4342&lt;&gt;Einstellungen!$C$4,D4342&lt;&gt;Einstellungen!$C$5),"Objekt fehlt",IF(YEAR(A4342)&lt;&gt;Einstellungen!$C$3,"anderes Jahr",IF(A4342&lt;INDEX(Mitarbeiter!$C$6:$C$205,MATCH(B4342,Mitarbeiter!$A$6:$A$205,0)),"vor Eintritt",IF(AND(INDEX(Mitarbeiter!$D$6:$D$205,MATCH(B4342,Mitarbeiter!$A$6:$A$205,0))&lt;&gt;"",A4342&gt;INDEX(Mitarbeiter!$D$6:$D$205,MATCH(B4342,Mitarbeiter!$A$6:$A$205,0))),"nach Austritt","ok")))))))</f>
        <v/>
      </c>
    </row>
    <row r="4343">
      <c r="A4343" s="26" t="n"/>
      <c r="B4343" s="24" t="n"/>
      <c r="C4343" s="40">
        <f>IF(B4343="","",IFERROR(INDEX(Mitarbeiter!$B$6:$B$205,MATCH(B4343,Mitarbeiter!$A$6:$A$205,0)),"?"))</f>
        <v/>
      </c>
      <c r="D4343" s="41" t="n"/>
      <c r="E4343" s="42" t="n"/>
      <c r="F4343" s="43" t="n"/>
      <c r="G4343" s="44">
        <f>IF(OR(B4343="",F4343=""),"",IFERROR(F4343*INDEX(Mitarbeiter!$F$6:$F$205,MATCH(B4343,Mitarbeiter!$A$6:$A$205,0)),0))</f>
        <v/>
      </c>
      <c r="H4343" s="8">
        <f>IF(B4343="","",IF(ISNA(MATCH(B4343,Mitarbeiter!$A$6:$A$205,0)),"Pers.-Nr. unbekannt",IF(A4343="","Datum fehlt",IF(AND(D4343&lt;&gt;Einstellungen!$C$4,D4343&lt;&gt;Einstellungen!$C$5),"Objekt fehlt",IF(YEAR(A4343)&lt;&gt;Einstellungen!$C$3,"anderes Jahr",IF(A4343&lt;INDEX(Mitarbeiter!$C$6:$C$205,MATCH(B4343,Mitarbeiter!$A$6:$A$205,0)),"vor Eintritt",IF(AND(INDEX(Mitarbeiter!$D$6:$D$205,MATCH(B4343,Mitarbeiter!$A$6:$A$205,0))&lt;&gt;"",A4343&gt;INDEX(Mitarbeiter!$D$6:$D$205,MATCH(B4343,Mitarbeiter!$A$6:$A$205,0))),"nach Austritt","ok")))))))</f>
        <v/>
      </c>
    </row>
    <row r="4344">
      <c r="A4344" s="26" t="n"/>
      <c r="B4344" s="24" t="n"/>
      <c r="C4344" s="40">
        <f>IF(B4344="","",IFERROR(INDEX(Mitarbeiter!$B$6:$B$205,MATCH(B4344,Mitarbeiter!$A$6:$A$205,0)),"?"))</f>
        <v/>
      </c>
      <c r="D4344" s="41" t="n"/>
      <c r="E4344" s="42" t="n"/>
      <c r="F4344" s="43" t="n"/>
      <c r="G4344" s="44">
        <f>IF(OR(B4344="",F4344=""),"",IFERROR(F4344*INDEX(Mitarbeiter!$F$6:$F$205,MATCH(B4344,Mitarbeiter!$A$6:$A$205,0)),0))</f>
        <v/>
      </c>
      <c r="H4344" s="8">
        <f>IF(B4344="","",IF(ISNA(MATCH(B4344,Mitarbeiter!$A$6:$A$205,0)),"Pers.-Nr. unbekannt",IF(A4344="","Datum fehlt",IF(AND(D4344&lt;&gt;Einstellungen!$C$4,D4344&lt;&gt;Einstellungen!$C$5),"Objekt fehlt",IF(YEAR(A4344)&lt;&gt;Einstellungen!$C$3,"anderes Jahr",IF(A4344&lt;INDEX(Mitarbeiter!$C$6:$C$205,MATCH(B4344,Mitarbeiter!$A$6:$A$205,0)),"vor Eintritt",IF(AND(INDEX(Mitarbeiter!$D$6:$D$205,MATCH(B4344,Mitarbeiter!$A$6:$A$205,0))&lt;&gt;"",A4344&gt;INDEX(Mitarbeiter!$D$6:$D$205,MATCH(B4344,Mitarbeiter!$A$6:$A$205,0))),"nach Austritt","ok")))))))</f>
        <v/>
      </c>
    </row>
    <row r="4345">
      <c r="A4345" s="26" t="n"/>
      <c r="B4345" s="24" t="n"/>
      <c r="C4345" s="40">
        <f>IF(B4345="","",IFERROR(INDEX(Mitarbeiter!$B$6:$B$205,MATCH(B4345,Mitarbeiter!$A$6:$A$205,0)),"?"))</f>
        <v/>
      </c>
      <c r="D4345" s="41" t="n"/>
      <c r="E4345" s="42" t="n"/>
      <c r="F4345" s="43" t="n"/>
      <c r="G4345" s="44">
        <f>IF(OR(B4345="",F4345=""),"",IFERROR(F4345*INDEX(Mitarbeiter!$F$6:$F$205,MATCH(B4345,Mitarbeiter!$A$6:$A$205,0)),0))</f>
        <v/>
      </c>
      <c r="H4345" s="8">
        <f>IF(B4345="","",IF(ISNA(MATCH(B4345,Mitarbeiter!$A$6:$A$205,0)),"Pers.-Nr. unbekannt",IF(A4345="","Datum fehlt",IF(AND(D4345&lt;&gt;Einstellungen!$C$4,D4345&lt;&gt;Einstellungen!$C$5),"Objekt fehlt",IF(YEAR(A4345)&lt;&gt;Einstellungen!$C$3,"anderes Jahr",IF(A4345&lt;INDEX(Mitarbeiter!$C$6:$C$205,MATCH(B4345,Mitarbeiter!$A$6:$A$205,0)),"vor Eintritt",IF(AND(INDEX(Mitarbeiter!$D$6:$D$205,MATCH(B4345,Mitarbeiter!$A$6:$A$205,0))&lt;&gt;"",A4345&gt;INDEX(Mitarbeiter!$D$6:$D$205,MATCH(B4345,Mitarbeiter!$A$6:$A$205,0))),"nach Austritt","ok")))))))</f>
        <v/>
      </c>
    </row>
    <row r="4346">
      <c r="A4346" s="26" t="n"/>
      <c r="B4346" s="24" t="n"/>
      <c r="C4346" s="40">
        <f>IF(B4346="","",IFERROR(INDEX(Mitarbeiter!$B$6:$B$205,MATCH(B4346,Mitarbeiter!$A$6:$A$205,0)),"?"))</f>
        <v/>
      </c>
      <c r="D4346" s="41" t="n"/>
      <c r="E4346" s="42" t="n"/>
      <c r="F4346" s="43" t="n"/>
      <c r="G4346" s="44">
        <f>IF(OR(B4346="",F4346=""),"",IFERROR(F4346*INDEX(Mitarbeiter!$F$6:$F$205,MATCH(B4346,Mitarbeiter!$A$6:$A$205,0)),0))</f>
        <v/>
      </c>
      <c r="H4346" s="8">
        <f>IF(B4346="","",IF(ISNA(MATCH(B4346,Mitarbeiter!$A$6:$A$205,0)),"Pers.-Nr. unbekannt",IF(A4346="","Datum fehlt",IF(AND(D4346&lt;&gt;Einstellungen!$C$4,D4346&lt;&gt;Einstellungen!$C$5),"Objekt fehlt",IF(YEAR(A4346)&lt;&gt;Einstellungen!$C$3,"anderes Jahr",IF(A4346&lt;INDEX(Mitarbeiter!$C$6:$C$205,MATCH(B4346,Mitarbeiter!$A$6:$A$205,0)),"vor Eintritt",IF(AND(INDEX(Mitarbeiter!$D$6:$D$205,MATCH(B4346,Mitarbeiter!$A$6:$A$205,0))&lt;&gt;"",A4346&gt;INDEX(Mitarbeiter!$D$6:$D$205,MATCH(B4346,Mitarbeiter!$A$6:$A$205,0))),"nach Austritt","ok")))))))</f>
        <v/>
      </c>
    </row>
    <row r="4347">
      <c r="A4347" s="26" t="n"/>
      <c r="B4347" s="24" t="n"/>
      <c r="C4347" s="40">
        <f>IF(B4347="","",IFERROR(INDEX(Mitarbeiter!$B$6:$B$205,MATCH(B4347,Mitarbeiter!$A$6:$A$205,0)),"?"))</f>
        <v/>
      </c>
      <c r="D4347" s="41" t="n"/>
      <c r="E4347" s="42" t="n"/>
      <c r="F4347" s="43" t="n"/>
      <c r="G4347" s="44">
        <f>IF(OR(B4347="",F4347=""),"",IFERROR(F4347*INDEX(Mitarbeiter!$F$6:$F$205,MATCH(B4347,Mitarbeiter!$A$6:$A$205,0)),0))</f>
        <v/>
      </c>
      <c r="H4347" s="8">
        <f>IF(B4347="","",IF(ISNA(MATCH(B4347,Mitarbeiter!$A$6:$A$205,0)),"Pers.-Nr. unbekannt",IF(A4347="","Datum fehlt",IF(AND(D4347&lt;&gt;Einstellungen!$C$4,D4347&lt;&gt;Einstellungen!$C$5),"Objekt fehlt",IF(YEAR(A4347)&lt;&gt;Einstellungen!$C$3,"anderes Jahr",IF(A4347&lt;INDEX(Mitarbeiter!$C$6:$C$205,MATCH(B4347,Mitarbeiter!$A$6:$A$205,0)),"vor Eintritt",IF(AND(INDEX(Mitarbeiter!$D$6:$D$205,MATCH(B4347,Mitarbeiter!$A$6:$A$205,0))&lt;&gt;"",A4347&gt;INDEX(Mitarbeiter!$D$6:$D$205,MATCH(B4347,Mitarbeiter!$A$6:$A$205,0))),"nach Austritt","ok")))))))</f>
        <v/>
      </c>
    </row>
    <row r="4348">
      <c r="A4348" s="26" t="n"/>
      <c r="B4348" s="24" t="n"/>
      <c r="C4348" s="40">
        <f>IF(B4348="","",IFERROR(INDEX(Mitarbeiter!$B$6:$B$205,MATCH(B4348,Mitarbeiter!$A$6:$A$205,0)),"?"))</f>
        <v/>
      </c>
      <c r="D4348" s="41" t="n"/>
      <c r="E4348" s="42" t="n"/>
      <c r="F4348" s="43" t="n"/>
      <c r="G4348" s="44">
        <f>IF(OR(B4348="",F4348=""),"",IFERROR(F4348*INDEX(Mitarbeiter!$F$6:$F$205,MATCH(B4348,Mitarbeiter!$A$6:$A$205,0)),0))</f>
        <v/>
      </c>
      <c r="H4348" s="8">
        <f>IF(B4348="","",IF(ISNA(MATCH(B4348,Mitarbeiter!$A$6:$A$205,0)),"Pers.-Nr. unbekannt",IF(A4348="","Datum fehlt",IF(AND(D4348&lt;&gt;Einstellungen!$C$4,D4348&lt;&gt;Einstellungen!$C$5),"Objekt fehlt",IF(YEAR(A4348)&lt;&gt;Einstellungen!$C$3,"anderes Jahr",IF(A4348&lt;INDEX(Mitarbeiter!$C$6:$C$205,MATCH(B4348,Mitarbeiter!$A$6:$A$205,0)),"vor Eintritt",IF(AND(INDEX(Mitarbeiter!$D$6:$D$205,MATCH(B4348,Mitarbeiter!$A$6:$A$205,0))&lt;&gt;"",A4348&gt;INDEX(Mitarbeiter!$D$6:$D$205,MATCH(B4348,Mitarbeiter!$A$6:$A$205,0))),"nach Austritt","ok")))))))</f>
        <v/>
      </c>
    </row>
    <row r="4349">
      <c r="A4349" s="26" t="n"/>
      <c r="B4349" s="24" t="n"/>
      <c r="C4349" s="40">
        <f>IF(B4349="","",IFERROR(INDEX(Mitarbeiter!$B$6:$B$205,MATCH(B4349,Mitarbeiter!$A$6:$A$205,0)),"?"))</f>
        <v/>
      </c>
      <c r="D4349" s="41" t="n"/>
      <c r="E4349" s="42" t="n"/>
      <c r="F4349" s="43" t="n"/>
      <c r="G4349" s="44">
        <f>IF(OR(B4349="",F4349=""),"",IFERROR(F4349*INDEX(Mitarbeiter!$F$6:$F$205,MATCH(B4349,Mitarbeiter!$A$6:$A$205,0)),0))</f>
        <v/>
      </c>
      <c r="H4349" s="8">
        <f>IF(B4349="","",IF(ISNA(MATCH(B4349,Mitarbeiter!$A$6:$A$205,0)),"Pers.-Nr. unbekannt",IF(A4349="","Datum fehlt",IF(AND(D4349&lt;&gt;Einstellungen!$C$4,D4349&lt;&gt;Einstellungen!$C$5),"Objekt fehlt",IF(YEAR(A4349)&lt;&gt;Einstellungen!$C$3,"anderes Jahr",IF(A4349&lt;INDEX(Mitarbeiter!$C$6:$C$205,MATCH(B4349,Mitarbeiter!$A$6:$A$205,0)),"vor Eintritt",IF(AND(INDEX(Mitarbeiter!$D$6:$D$205,MATCH(B4349,Mitarbeiter!$A$6:$A$205,0))&lt;&gt;"",A4349&gt;INDEX(Mitarbeiter!$D$6:$D$205,MATCH(B4349,Mitarbeiter!$A$6:$A$205,0))),"nach Austritt","ok")))))))</f>
        <v/>
      </c>
    </row>
    <row r="4350">
      <c r="A4350" s="26" t="n"/>
      <c r="B4350" s="24" t="n"/>
      <c r="C4350" s="40">
        <f>IF(B4350="","",IFERROR(INDEX(Mitarbeiter!$B$6:$B$205,MATCH(B4350,Mitarbeiter!$A$6:$A$205,0)),"?"))</f>
        <v/>
      </c>
      <c r="D4350" s="41" t="n"/>
      <c r="E4350" s="42" t="n"/>
      <c r="F4350" s="43" t="n"/>
      <c r="G4350" s="44">
        <f>IF(OR(B4350="",F4350=""),"",IFERROR(F4350*INDEX(Mitarbeiter!$F$6:$F$205,MATCH(B4350,Mitarbeiter!$A$6:$A$205,0)),0))</f>
        <v/>
      </c>
      <c r="H4350" s="8">
        <f>IF(B4350="","",IF(ISNA(MATCH(B4350,Mitarbeiter!$A$6:$A$205,0)),"Pers.-Nr. unbekannt",IF(A4350="","Datum fehlt",IF(AND(D4350&lt;&gt;Einstellungen!$C$4,D4350&lt;&gt;Einstellungen!$C$5),"Objekt fehlt",IF(YEAR(A4350)&lt;&gt;Einstellungen!$C$3,"anderes Jahr",IF(A4350&lt;INDEX(Mitarbeiter!$C$6:$C$205,MATCH(B4350,Mitarbeiter!$A$6:$A$205,0)),"vor Eintritt",IF(AND(INDEX(Mitarbeiter!$D$6:$D$205,MATCH(B4350,Mitarbeiter!$A$6:$A$205,0))&lt;&gt;"",A4350&gt;INDEX(Mitarbeiter!$D$6:$D$205,MATCH(B4350,Mitarbeiter!$A$6:$A$205,0))),"nach Austritt","ok")))))))</f>
        <v/>
      </c>
    </row>
    <row r="4351">
      <c r="A4351" s="26" t="n"/>
      <c r="B4351" s="24" t="n"/>
      <c r="C4351" s="40">
        <f>IF(B4351="","",IFERROR(INDEX(Mitarbeiter!$B$6:$B$205,MATCH(B4351,Mitarbeiter!$A$6:$A$205,0)),"?"))</f>
        <v/>
      </c>
      <c r="D4351" s="41" t="n"/>
      <c r="E4351" s="42" t="n"/>
      <c r="F4351" s="43" t="n"/>
      <c r="G4351" s="44">
        <f>IF(OR(B4351="",F4351=""),"",IFERROR(F4351*INDEX(Mitarbeiter!$F$6:$F$205,MATCH(B4351,Mitarbeiter!$A$6:$A$205,0)),0))</f>
        <v/>
      </c>
      <c r="H4351" s="8">
        <f>IF(B4351="","",IF(ISNA(MATCH(B4351,Mitarbeiter!$A$6:$A$205,0)),"Pers.-Nr. unbekannt",IF(A4351="","Datum fehlt",IF(AND(D4351&lt;&gt;Einstellungen!$C$4,D4351&lt;&gt;Einstellungen!$C$5),"Objekt fehlt",IF(YEAR(A4351)&lt;&gt;Einstellungen!$C$3,"anderes Jahr",IF(A4351&lt;INDEX(Mitarbeiter!$C$6:$C$205,MATCH(B4351,Mitarbeiter!$A$6:$A$205,0)),"vor Eintritt",IF(AND(INDEX(Mitarbeiter!$D$6:$D$205,MATCH(B4351,Mitarbeiter!$A$6:$A$205,0))&lt;&gt;"",A4351&gt;INDEX(Mitarbeiter!$D$6:$D$205,MATCH(B4351,Mitarbeiter!$A$6:$A$205,0))),"nach Austritt","ok")))))))</f>
        <v/>
      </c>
    </row>
    <row r="4352">
      <c r="A4352" s="26" t="n"/>
      <c r="B4352" s="24" t="n"/>
      <c r="C4352" s="40">
        <f>IF(B4352="","",IFERROR(INDEX(Mitarbeiter!$B$6:$B$205,MATCH(B4352,Mitarbeiter!$A$6:$A$205,0)),"?"))</f>
        <v/>
      </c>
      <c r="D4352" s="41" t="n"/>
      <c r="E4352" s="42" t="n"/>
      <c r="F4352" s="43" t="n"/>
      <c r="G4352" s="44">
        <f>IF(OR(B4352="",F4352=""),"",IFERROR(F4352*INDEX(Mitarbeiter!$F$6:$F$205,MATCH(B4352,Mitarbeiter!$A$6:$A$205,0)),0))</f>
        <v/>
      </c>
      <c r="H4352" s="8">
        <f>IF(B4352="","",IF(ISNA(MATCH(B4352,Mitarbeiter!$A$6:$A$205,0)),"Pers.-Nr. unbekannt",IF(A4352="","Datum fehlt",IF(AND(D4352&lt;&gt;Einstellungen!$C$4,D4352&lt;&gt;Einstellungen!$C$5),"Objekt fehlt",IF(YEAR(A4352)&lt;&gt;Einstellungen!$C$3,"anderes Jahr",IF(A4352&lt;INDEX(Mitarbeiter!$C$6:$C$205,MATCH(B4352,Mitarbeiter!$A$6:$A$205,0)),"vor Eintritt",IF(AND(INDEX(Mitarbeiter!$D$6:$D$205,MATCH(B4352,Mitarbeiter!$A$6:$A$205,0))&lt;&gt;"",A4352&gt;INDEX(Mitarbeiter!$D$6:$D$205,MATCH(B4352,Mitarbeiter!$A$6:$A$205,0))),"nach Austritt","ok")))))))</f>
        <v/>
      </c>
    </row>
    <row r="4353">
      <c r="A4353" s="26" t="n"/>
      <c r="B4353" s="24" t="n"/>
      <c r="C4353" s="40">
        <f>IF(B4353="","",IFERROR(INDEX(Mitarbeiter!$B$6:$B$205,MATCH(B4353,Mitarbeiter!$A$6:$A$205,0)),"?"))</f>
        <v/>
      </c>
      <c r="D4353" s="41" t="n"/>
      <c r="E4353" s="42" t="n"/>
      <c r="F4353" s="43" t="n"/>
      <c r="G4353" s="44">
        <f>IF(OR(B4353="",F4353=""),"",IFERROR(F4353*INDEX(Mitarbeiter!$F$6:$F$205,MATCH(B4353,Mitarbeiter!$A$6:$A$205,0)),0))</f>
        <v/>
      </c>
      <c r="H4353" s="8">
        <f>IF(B4353="","",IF(ISNA(MATCH(B4353,Mitarbeiter!$A$6:$A$205,0)),"Pers.-Nr. unbekannt",IF(A4353="","Datum fehlt",IF(AND(D4353&lt;&gt;Einstellungen!$C$4,D4353&lt;&gt;Einstellungen!$C$5),"Objekt fehlt",IF(YEAR(A4353)&lt;&gt;Einstellungen!$C$3,"anderes Jahr",IF(A4353&lt;INDEX(Mitarbeiter!$C$6:$C$205,MATCH(B4353,Mitarbeiter!$A$6:$A$205,0)),"vor Eintritt",IF(AND(INDEX(Mitarbeiter!$D$6:$D$205,MATCH(B4353,Mitarbeiter!$A$6:$A$205,0))&lt;&gt;"",A4353&gt;INDEX(Mitarbeiter!$D$6:$D$205,MATCH(B4353,Mitarbeiter!$A$6:$A$205,0))),"nach Austritt","ok")))))))</f>
        <v/>
      </c>
    </row>
    <row r="4354">
      <c r="A4354" s="26" t="n"/>
      <c r="B4354" s="24" t="n"/>
      <c r="C4354" s="40">
        <f>IF(B4354="","",IFERROR(INDEX(Mitarbeiter!$B$6:$B$205,MATCH(B4354,Mitarbeiter!$A$6:$A$205,0)),"?"))</f>
        <v/>
      </c>
      <c r="D4354" s="41" t="n"/>
      <c r="E4354" s="42" t="n"/>
      <c r="F4354" s="43" t="n"/>
      <c r="G4354" s="44">
        <f>IF(OR(B4354="",F4354=""),"",IFERROR(F4354*INDEX(Mitarbeiter!$F$6:$F$205,MATCH(B4354,Mitarbeiter!$A$6:$A$205,0)),0))</f>
        <v/>
      </c>
      <c r="H4354" s="8">
        <f>IF(B4354="","",IF(ISNA(MATCH(B4354,Mitarbeiter!$A$6:$A$205,0)),"Pers.-Nr. unbekannt",IF(A4354="","Datum fehlt",IF(AND(D4354&lt;&gt;Einstellungen!$C$4,D4354&lt;&gt;Einstellungen!$C$5),"Objekt fehlt",IF(YEAR(A4354)&lt;&gt;Einstellungen!$C$3,"anderes Jahr",IF(A4354&lt;INDEX(Mitarbeiter!$C$6:$C$205,MATCH(B4354,Mitarbeiter!$A$6:$A$205,0)),"vor Eintritt",IF(AND(INDEX(Mitarbeiter!$D$6:$D$205,MATCH(B4354,Mitarbeiter!$A$6:$A$205,0))&lt;&gt;"",A4354&gt;INDEX(Mitarbeiter!$D$6:$D$205,MATCH(B4354,Mitarbeiter!$A$6:$A$205,0))),"nach Austritt","ok")))))))</f>
        <v/>
      </c>
    </row>
    <row r="4355">
      <c r="A4355" s="26" t="n"/>
      <c r="B4355" s="24" t="n"/>
      <c r="C4355" s="40">
        <f>IF(B4355="","",IFERROR(INDEX(Mitarbeiter!$B$6:$B$205,MATCH(B4355,Mitarbeiter!$A$6:$A$205,0)),"?"))</f>
        <v/>
      </c>
      <c r="D4355" s="41" t="n"/>
      <c r="E4355" s="42" t="n"/>
      <c r="F4355" s="43" t="n"/>
      <c r="G4355" s="44">
        <f>IF(OR(B4355="",F4355=""),"",IFERROR(F4355*INDEX(Mitarbeiter!$F$6:$F$205,MATCH(B4355,Mitarbeiter!$A$6:$A$205,0)),0))</f>
        <v/>
      </c>
      <c r="H4355" s="8">
        <f>IF(B4355="","",IF(ISNA(MATCH(B4355,Mitarbeiter!$A$6:$A$205,0)),"Pers.-Nr. unbekannt",IF(A4355="","Datum fehlt",IF(AND(D4355&lt;&gt;Einstellungen!$C$4,D4355&lt;&gt;Einstellungen!$C$5),"Objekt fehlt",IF(YEAR(A4355)&lt;&gt;Einstellungen!$C$3,"anderes Jahr",IF(A4355&lt;INDEX(Mitarbeiter!$C$6:$C$205,MATCH(B4355,Mitarbeiter!$A$6:$A$205,0)),"vor Eintritt",IF(AND(INDEX(Mitarbeiter!$D$6:$D$205,MATCH(B4355,Mitarbeiter!$A$6:$A$205,0))&lt;&gt;"",A4355&gt;INDEX(Mitarbeiter!$D$6:$D$205,MATCH(B4355,Mitarbeiter!$A$6:$A$205,0))),"nach Austritt","ok")))))))</f>
        <v/>
      </c>
    </row>
    <row r="4356">
      <c r="A4356" s="26" t="n"/>
      <c r="B4356" s="24" t="n"/>
      <c r="C4356" s="40">
        <f>IF(B4356="","",IFERROR(INDEX(Mitarbeiter!$B$6:$B$205,MATCH(B4356,Mitarbeiter!$A$6:$A$205,0)),"?"))</f>
        <v/>
      </c>
      <c r="D4356" s="41" t="n"/>
      <c r="E4356" s="42" t="n"/>
      <c r="F4356" s="43" t="n"/>
      <c r="G4356" s="44">
        <f>IF(OR(B4356="",F4356=""),"",IFERROR(F4356*INDEX(Mitarbeiter!$F$6:$F$205,MATCH(B4356,Mitarbeiter!$A$6:$A$205,0)),0))</f>
        <v/>
      </c>
      <c r="H4356" s="8">
        <f>IF(B4356="","",IF(ISNA(MATCH(B4356,Mitarbeiter!$A$6:$A$205,0)),"Pers.-Nr. unbekannt",IF(A4356="","Datum fehlt",IF(AND(D4356&lt;&gt;Einstellungen!$C$4,D4356&lt;&gt;Einstellungen!$C$5),"Objekt fehlt",IF(YEAR(A4356)&lt;&gt;Einstellungen!$C$3,"anderes Jahr",IF(A4356&lt;INDEX(Mitarbeiter!$C$6:$C$205,MATCH(B4356,Mitarbeiter!$A$6:$A$205,0)),"vor Eintritt",IF(AND(INDEX(Mitarbeiter!$D$6:$D$205,MATCH(B4356,Mitarbeiter!$A$6:$A$205,0))&lt;&gt;"",A4356&gt;INDEX(Mitarbeiter!$D$6:$D$205,MATCH(B4356,Mitarbeiter!$A$6:$A$205,0))),"nach Austritt","ok")))))))</f>
        <v/>
      </c>
    </row>
    <row r="4357">
      <c r="A4357" s="26" t="n"/>
      <c r="B4357" s="24" t="n"/>
      <c r="C4357" s="40">
        <f>IF(B4357="","",IFERROR(INDEX(Mitarbeiter!$B$6:$B$205,MATCH(B4357,Mitarbeiter!$A$6:$A$205,0)),"?"))</f>
        <v/>
      </c>
      <c r="D4357" s="41" t="n"/>
      <c r="E4357" s="42" t="n"/>
      <c r="F4357" s="43" t="n"/>
      <c r="G4357" s="44">
        <f>IF(OR(B4357="",F4357=""),"",IFERROR(F4357*INDEX(Mitarbeiter!$F$6:$F$205,MATCH(B4357,Mitarbeiter!$A$6:$A$205,0)),0))</f>
        <v/>
      </c>
      <c r="H4357" s="8">
        <f>IF(B4357="","",IF(ISNA(MATCH(B4357,Mitarbeiter!$A$6:$A$205,0)),"Pers.-Nr. unbekannt",IF(A4357="","Datum fehlt",IF(AND(D4357&lt;&gt;Einstellungen!$C$4,D4357&lt;&gt;Einstellungen!$C$5),"Objekt fehlt",IF(YEAR(A4357)&lt;&gt;Einstellungen!$C$3,"anderes Jahr",IF(A4357&lt;INDEX(Mitarbeiter!$C$6:$C$205,MATCH(B4357,Mitarbeiter!$A$6:$A$205,0)),"vor Eintritt",IF(AND(INDEX(Mitarbeiter!$D$6:$D$205,MATCH(B4357,Mitarbeiter!$A$6:$A$205,0))&lt;&gt;"",A4357&gt;INDEX(Mitarbeiter!$D$6:$D$205,MATCH(B4357,Mitarbeiter!$A$6:$A$205,0))),"nach Austritt","ok")))))))</f>
        <v/>
      </c>
    </row>
    <row r="4358">
      <c r="A4358" s="26" t="n"/>
      <c r="B4358" s="24" t="n"/>
      <c r="C4358" s="40">
        <f>IF(B4358="","",IFERROR(INDEX(Mitarbeiter!$B$6:$B$205,MATCH(B4358,Mitarbeiter!$A$6:$A$205,0)),"?"))</f>
        <v/>
      </c>
      <c r="D4358" s="41" t="n"/>
      <c r="E4358" s="42" t="n"/>
      <c r="F4358" s="43" t="n"/>
      <c r="G4358" s="44">
        <f>IF(OR(B4358="",F4358=""),"",IFERROR(F4358*INDEX(Mitarbeiter!$F$6:$F$205,MATCH(B4358,Mitarbeiter!$A$6:$A$205,0)),0))</f>
        <v/>
      </c>
      <c r="H4358" s="8">
        <f>IF(B4358="","",IF(ISNA(MATCH(B4358,Mitarbeiter!$A$6:$A$205,0)),"Pers.-Nr. unbekannt",IF(A4358="","Datum fehlt",IF(AND(D4358&lt;&gt;Einstellungen!$C$4,D4358&lt;&gt;Einstellungen!$C$5),"Objekt fehlt",IF(YEAR(A4358)&lt;&gt;Einstellungen!$C$3,"anderes Jahr",IF(A4358&lt;INDEX(Mitarbeiter!$C$6:$C$205,MATCH(B4358,Mitarbeiter!$A$6:$A$205,0)),"vor Eintritt",IF(AND(INDEX(Mitarbeiter!$D$6:$D$205,MATCH(B4358,Mitarbeiter!$A$6:$A$205,0))&lt;&gt;"",A4358&gt;INDEX(Mitarbeiter!$D$6:$D$205,MATCH(B4358,Mitarbeiter!$A$6:$A$205,0))),"nach Austritt","ok")))))))</f>
        <v/>
      </c>
    </row>
    <row r="4359">
      <c r="A4359" s="26" t="n"/>
      <c r="B4359" s="24" t="n"/>
      <c r="C4359" s="40">
        <f>IF(B4359="","",IFERROR(INDEX(Mitarbeiter!$B$6:$B$205,MATCH(B4359,Mitarbeiter!$A$6:$A$205,0)),"?"))</f>
        <v/>
      </c>
      <c r="D4359" s="41" t="n"/>
      <c r="E4359" s="42" t="n"/>
      <c r="F4359" s="43" t="n"/>
      <c r="G4359" s="44">
        <f>IF(OR(B4359="",F4359=""),"",IFERROR(F4359*INDEX(Mitarbeiter!$F$6:$F$205,MATCH(B4359,Mitarbeiter!$A$6:$A$205,0)),0))</f>
        <v/>
      </c>
      <c r="H4359" s="8">
        <f>IF(B4359="","",IF(ISNA(MATCH(B4359,Mitarbeiter!$A$6:$A$205,0)),"Pers.-Nr. unbekannt",IF(A4359="","Datum fehlt",IF(AND(D4359&lt;&gt;Einstellungen!$C$4,D4359&lt;&gt;Einstellungen!$C$5),"Objekt fehlt",IF(YEAR(A4359)&lt;&gt;Einstellungen!$C$3,"anderes Jahr",IF(A4359&lt;INDEX(Mitarbeiter!$C$6:$C$205,MATCH(B4359,Mitarbeiter!$A$6:$A$205,0)),"vor Eintritt",IF(AND(INDEX(Mitarbeiter!$D$6:$D$205,MATCH(B4359,Mitarbeiter!$A$6:$A$205,0))&lt;&gt;"",A4359&gt;INDEX(Mitarbeiter!$D$6:$D$205,MATCH(B4359,Mitarbeiter!$A$6:$A$205,0))),"nach Austritt","ok")))))))</f>
        <v/>
      </c>
    </row>
    <row r="4360">
      <c r="A4360" s="26" t="n"/>
      <c r="B4360" s="24" t="n"/>
      <c r="C4360" s="40">
        <f>IF(B4360="","",IFERROR(INDEX(Mitarbeiter!$B$6:$B$205,MATCH(B4360,Mitarbeiter!$A$6:$A$205,0)),"?"))</f>
        <v/>
      </c>
      <c r="D4360" s="41" t="n"/>
      <c r="E4360" s="42" t="n"/>
      <c r="F4360" s="43" t="n"/>
      <c r="G4360" s="44">
        <f>IF(OR(B4360="",F4360=""),"",IFERROR(F4360*INDEX(Mitarbeiter!$F$6:$F$205,MATCH(B4360,Mitarbeiter!$A$6:$A$205,0)),0))</f>
        <v/>
      </c>
      <c r="H4360" s="8">
        <f>IF(B4360="","",IF(ISNA(MATCH(B4360,Mitarbeiter!$A$6:$A$205,0)),"Pers.-Nr. unbekannt",IF(A4360="","Datum fehlt",IF(AND(D4360&lt;&gt;Einstellungen!$C$4,D4360&lt;&gt;Einstellungen!$C$5),"Objekt fehlt",IF(YEAR(A4360)&lt;&gt;Einstellungen!$C$3,"anderes Jahr",IF(A4360&lt;INDEX(Mitarbeiter!$C$6:$C$205,MATCH(B4360,Mitarbeiter!$A$6:$A$205,0)),"vor Eintritt",IF(AND(INDEX(Mitarbeiter!$D$6:$D$205,MATCH(B4360,Mitarbeiter!$A$6:$A$205,0))&lt;&gt;"",A4360&gt;INDEX(Mitarbeiter!$D$6:$D$205,MATCH(B4360,Mitarbeiter!$A$6:$A$205,0))),"nach Austritt","ok")))))))</f>
        <v/>
      </c>
    </row>
    <row r="4361">
      <c r="A4361" s="26" t="n"/>
      <c r="B4361" s="24" t="n"/>
      <c r="C4361" s="40">
        <f>IF(B4361="","",IFERROR(INDEX(Mitarbeiter!$B$6:$B$205,MATCH(B4361,Mitarbeiter!$A$6:$A$205,0)),"?"))</f>
        <v/>
      </c>
      <c r="D4361" s="41" t="n"/>
      <c r="E4361" s="42" t="n"/>
      <c r="F4361" s="43" t="n"/>
      <c r="G4361" s="44">
        <f>IF(OR(B4361="",F4361=""),"",IFERROR(F4361*INDEX(Mitarbeiter!$F$6:$F$205,MATCH(B4361,Mitarbeiter!$A$6:$A$205,0)),0))</f>
        <v/>
      </c>
      <c r="H4361" s="8">
        <f>IF(B4361="","",IF(ISNA(MATCH(B4361,Mitarbeiter!$A$6:$A$205,0)),"Pers.-Nr. unbekannt",IF(A4361="","Datum fehlt",IF(AND(D4361&lt;&gt;Einstellungen!$C$4,D4361&lt;&gt;Einstellungen!$C$5),"Objekt fehlt",IF(YEAR(A4361)&lt;&gt;Einstellungen!$C$3,"anderes Jahr",IF(A4361&lt;INDEX(Mitarbeiter!$C$6:$C$205,MATCH(B4361,Mitarbeiter!$A$6:$A$205,0)),"vor Eintritt",IF(AND(INDEX(Mitarbeiter!$D$6:$D$205,MATCH(B4361,Mitarbeiter!$A$6:$A$205,0))&lt;&gt;"",A4361&gt;INDEX(Mitarbeiter!$D$6:$D$205,MATCH(B4361,Mitarbeiter!$A$6:$A$205,0))),"nach Austritt","ok")))))))</f>
        <v/>
      </c>
    </row>
    <row r="4362">
      <c r="A4362" s="26" t="n"/>
      <c r="B4362" s="24" t="n"/>
      <c r="C4362" s="40">
        <f>IF(B4362="","",IFERROR(INDEX(Mitarbeiter!$B$6:$B$205,MATCH(B4362,Mitarbeiter!$A$6:$A$205,0)),"?"))</f>
        <v/>
      </c>
      <c r="D4362" s="41" t="n"/>
      <c r="E4362" s="42" t="n"/>
      <c r="F4362" s="43" t="n"/>
      <c r="G4362" s="44">
        <f>IF(OR(B4362="",F4362=""),"",IFERROR(F4362*INDEX(Mitarbeiter!$F$6:$F$205,MATCH(B4362,Mitarbeiter!$A$6:$A$205,0)),0))</f>
        <v/>
      </c>
      <c r="H4362" s="8">
        <f>IF(B4362="","",IF(ISNA(MATCH(B4362,Mitarbeiter!$A$6:$A$205,0)),"Pers.-Nr. unbekannt",IF(A4362="","Datum fehlt",IF(AND(D4362&lt;&gt;Einstellungen!$C$4,D4362&lt;&gt;Einstellungen!$C$5),"Objekt fehlt",IF(YEAR(A4362)&lt;&gt;Einstellungen!$C$3,"anderes Jahr",IF(A4362&lt;INDEX(Mitarbeiter!$C$6:$C$205,MATCH(B4362,Mitarbeiter!$A$6:$A$205,0)),"vor Eintritt",IF(AND(INDEX(Mitarbeiter!$D$6:$D$205,MATCH(B4362,Mitarbeiter!$A$6:$A$205,0))&lt;&gt;"",A4362&gt;INDEX(Mitarbeiter!$D$6:$D$205,MATCH(B4362,Mitarbeiter!$A$6:$A$205,0))),"nach Austritt","ok")))))))</f>
        <v/>
      </c>
    </row>
    <row r="4363">
      <c r="A4363" s="26" t="n"/>
      <c r="B4363" s="24" t="n"/>
      <c r="C4363" s="40">
        <f>IF(B4363="","",IFERROR(INDEX(Mitarbeiter!$B$6:$B$205,MATCH(B4363,Mitarbeiter!$A$6:$A$205,0)),"?"))</f>
        <v/>
      </c>
      <c r="D4363" s="41" t="n"/>
      <c r="E4363" s="42" t="n"/>
      <c r="F4363" s="43" t="n"/>
      <c r="G4363" s="44">
        <f>IF(OR(B4363="",F4363=""),"",IFERROR(F4363*INDEX(Mitarbeiter!$F$6:$F$205,MATCH(B4363,Mitarbeiter!$A$6:$A$205,0)),0))</f>
        <v/>
      </c>
      <c r="H4363" s="8">
        <f>IF(B4363="","",IF(ISNA(MATCH(B4363,Mitarbeiter!$A$6:$A$205,0)),"Pers.-Nr. unbekannt",IF(A4363="","Datum fehlt",IF(AND(D4363&lt;&gt;Einstellungen!$C$4,D4363&lt;&gt;Einstellungen!$C$5),"Objekt fehlt",IF(YEAR(A4363)&lt;&gt;Einstellungen!$C$3,"anderes Jahr",IF(A4363&lt;INDEX(Mitarbeiter!$C$6:$C$205,MATCH(B4363,Mitarbeiter!$A$6:$A$205,0)),"vor Eintritt",IF(AND(INDEX(Mitarbeiter!$D$6:$D$205,MATCH(B4363,Mitarbeiter!$A$6:$A$205,0))&lt;&gt;"",A4363&gt;INDEX(Mitarbeiter!$D$6:$D$205,MATCH(B4363,Mitarbeiter!$A$6:$A$205,0))),"nach Austritt","ok")))))))</f>
        <v/>
      </c>
    </row>
    <row r="4364">
      <c r="A4364" s="26" t="n"/>
      <c r="B4364" s="24" t="n"/>
      <c r="C4364" s="40">
        <f>IF(B4364="","",IFERROR(INDEX(Mitarbeiter!$B$6:$B$205,MATCH(B4364,Mitarbeiter!$A$6:$A$205,0)),"?"))</f>
        <v/>
      </c>
      <c r="D4364" s="41" t="n"/>
      <c r="E4364" s="42" t="n"/>
      <c r="F4364" s="43" t="n"/>
      <c r="G4364" s="44">
        <f>IF(OR(B4364="",F4364=""),"",IFERROR(F4364*INDEX(Mitarbeiter!$F$6:$F$205,MATCH(B4364,Mitarbeiter!$A$6:$A$205,0)),0))</f>
        <v/>
      </c>
      <c r="H4364" s="8">
        <f>IF(B4364="","",IF(ISNA(MATCH(B4364,Mitarbeiter!$A$6:$A$205,0)),"Pers.-Nr. unbekannt",IF(A4364="","Datum fehlt",IF(AND(D4364&lt;&gt;Einstellungen!$C$4,D4364&lt;&gt;Einstellungen!$C$5),"Objekt fehlt",IF(YEAR(A4364)&lt;&gt;Einstellungen!$C$3,"anderes Jahr",IF(A4364&lt;INDEX(Mitarbeiter!$C$6:$C$205,MATCH(B4364,Mitarbeiter!$A$6:$A$205,0)),"vor Eintritt",IF(AND(INDEX(Mitarbeiter!$D$6:$D$205,MATCH(B4364,Mitarbeiter!$A$6:$A$205,0))&lt;&gt;"",A4364&gt;INDEX(Mitarbeiter!$D$6:$D$205,MATCH(B4364,Mitarbeiter!$A$6:$A$205,0))),"nach Austritt","ok")))))))</f>
        <v/>
      </c>
    </row>
    <row r="4365">
      <c r="A4365" s="26" t="n"/>
      <c r="B4365" s="24" t="n"/>
      <c r="C4365" s="40">
        <f>IF(B4365="","",IFERROR(INDEX(Mitarbeiter!$B$6:$B$205,MATCH(B4365,Mitarbeiter!$A$6:$A$205,0)),"?"))</f>
        <v/>
      </c>
      <c r="D4365" s="41" t="n"/>
      <c r="E4365" s="42" t="n"/>
      <c r="F4365" s="43" t="n"/>
      <c r="G4365" s="44">
        <f>IF(OR(B4365="",F4365=""),"",IFERROR(F4365*INDEX(Mitarbeiter!$F$6:$F$205,MATCH(B4365,Mitarbeiter!$A$6:$A$205,0)),0))</f>
        <v/>
      </c>
      <c r="H4365" s="8">
        <f>IF(B4365="","",IF(ISNA(MATCH(B4365,Mitarbeiter!$A$6:$A$205,0)),"Pers.-Nr. unbekannt",IF(A4365="","Datum fehlt",IF(AND(D4365&lt;&gt;Einstellungen!$C$4,D4365&lt;&gt;Einstellungen!$C$5),"Objekt fehlt",IF(YEAR(A4365)&lt;&gt;Einstellungen!$C$3,"anderes Jahr",IF(A4365&lt;INDEX(Mitarbeiter!$C$6:$C$205,MATCH(B4365,Mitarbeiter!$A$6:$A$205,0)),"vor Eintritt",IF(AND(INDEX(Mitarbeiter!$D$6:$D$205,MATCH(B4365,Mitarbeiter!$A$6:$A$205,0))&lt;&gt;"",A4365&gt;INDEX(Mitarbeiter!$D$6:$D$205,MATCH(B4365,Mitarbeiter!$A$6:$A$205,0))),"nach Austritt","ok")))))))</f>
        <v/>
      </c>
    </row>
    <row r="4366">
      <c r="A4366" s="26" t="n"/>
      <c r="B4366" s="24" t="n"/>
      <c r="C4366" s="40">
        <f>IF(B4366="","",IFERROR(INDEX(Mitarbeiter!$B$6:$B$205,MATCH(B4366,Mitarbeiter!$A$6:$A$205,0)),"?"))</f>
        <v/>
      </c>
      <c r="D4366" s="41" t="n"/>
      <c r="E4366" s="42" t="n"/>
      <c r="F4366" s="43" t="n"/>
      <c r="G4366" s="44">
        <f>IF(OR(B4366="",F4366=""),"",IFERROR(F4366*INDEX(Mitarbeiter!$F$6:$F$205,MATCH(B4366,Mitarbeiter!$A$6:$A$205,0)),0))</f>
        <v/>
      </c>
      <c r="H4366" s="8">
        <f>IF(B4366="","",IF(ISNA(MATCH(B4366,Mitarbeiter!$A$6:$A$205,0)),"Pers.-Nr. unbekannt",IF(A4366="","Datum fehlt",IF(AND(D4366&lt;&gt;Einstellungen!$C$4,D4366&lt;&gt;Einstellungen!$C$5),"Objekt fehlt",IF(YEAR(A4366)&lt;&gt;Einstellungen!$C$3,"anderes Jahr",IF(A4366&lt;INDEX(Mitarbeiter!$C$6:$C$205,MATCH(B4366,Mitarbeiter!$A$6:$A$205,0)),"vor Eintritt",IF(AND(INDEX(Mitarbeiter!$D$6:$D$205,MATCH(B4366,Mitarbeiter!$A$6:$A$205,0))&lt;&gt;"",A4366&gt;INDEX(Mitarbeiter!$D$6:$D$205,MATCH(B4366,Mitarbeiter!$A$6:$A$205,0))),"nach Austritt","ok")))))))</f>
        <v/>
      </c>
    </row>
    <row r="4367">
      <c r="A4367" s="26" t="n"/>
      <c r="B4367" s="24" t="n"/>
      <c r="C4367" s="40">
        <f>IF(B4367="","",IFERROR(INDEX(Mitarbeiter!$B$6:$B$205,MATCH(B4367,Mitarbeiter!$A$6:$A$205,0)),"?"))</f>
        <v/>
      </c>
      <c r="D4367" s="41" t="n"/>
      <c r="E4367" s="42" t="n"/>
      <c r="F4367" s="43" t="n"/>
      <c r="G4367" s="44">
        <f>IF(OR(B4367="",F4367=""),"",IFERROR(F4367*INDEX(Mitarbeiter!$F$6:$F$205,MATCH(B4367,Mitarbeiter!$A$6:$A$205,0)),0))</f>
        <v/>
      </c>
      <c r="H4367" s="8">
        <f>IF(B4367="","",IF(ISNA(MATCH(B4367,Mitarbeiter!$A$6:$A$205,0)),"Pers.-Nr. unbekannt",IF(A4367="","Datum fehlt",IF(AND(D4367&lt;&gt;Einstellungen!$C$4,D4367&lt;&gt;Einstellungen!$C$5),"Objekt fehlt",IF(YEAR(A4367)&lt;&gt;Einstellungen!$C$3,"anderes Jahr",IF(A4367&lt;INDEX(Mitarbeiter!$C$6:$C$205,MATCH(B4367,Mitarbeiter!$A$6:$A$205,0)),"vor Eintritt",IF(AND(INDEX(Mitarbeiter!$D$6:$D$205,MATCH(B4367,Mitarbeiter!$A$6:$A$205,0))&lt;&gt;"",A4367&gt;INDEX(Mitarbeiter!$D$6:$D$205,MATCH(B4367,Mitarbeiter!$A$6:$A$205,0))),"nach Austritt","ok")))))))</f>
        <v/>
      </c>
    </row>
    <row r="4368">
      <c r="A4368" s="26" t="n"/>
      <c r="B4368" s="24" t="n"/>
      <c r="C4368" s="40">
        <f>IF(B4368="","",IFERROR(INDEX(Mitarbeiter!$B$6:$B$205,MATCH(B4368,Mitarbeiter!$A$6:$A$205,0)),"?"))</f>
        <v/>
      </c>
      <c r="D4368" s="41" t="n"/>
      <c r="E4368" s="42" t="n"/>
      <c r="F4368" s="43" t="n"/>
      <c r="G4368" s="44">
        <f>IF(OR(B4368="",F4368=""),"",IFERROR(F4368*INDEX(Mitarbeiter!$F$6:$F$205,MATCH(B4368,Mitarbeiter!$A$6:$A$205,0)),0))</f>
        <v/>
      </c>
      <c r="H4368" s="8">
        <f>IF(B4368="","",IF(ISNA(MATCH(B4368,Mitarbeiter!$A$6:$A$205,0)),"Pers.-Nr. unbekannt",IF(A4368="","Datum fehlt",IF(AND(D4368&lt;&gt;Einstellungen!$C$4,D4368&lt;&gt;Einstellungen!$C$5),"Objekt fehlt",IF(YEAR(A4368)&lt;&gt;Einstellungen!$C$3,"anderes Jahr",IF(A4368&lt;INDEX(Mitarbeiter!$C$6:$C$205,MATCH(B4368,Mitarbeiter!$A$6:$A$205,0)),"vor Eintritt",IF(AND(INDEX(Mitarbeiter!$D$6:$D$205,MATCH(B4368,Mitarbeiter!$A$6:$A$205,0))&lt;&gt;"",A4368&gt;INDEX(Mitarbeiter!$D$6:$D$205,MATCH(B4368,Mitarbeiter!$A$6:$A$205,0))),"nach Austritt","ok")))))))</f>
        <v/>
      </c>
    </row>
    <row r="4369">
      <c r="A4369" s="26" t="n"/>
      <c r="B4369" s="24" t="n"/>
      <c r="C4369" s="40">
        <f>IF(B4369="","",IFERROR(INDEX(Mitarbeiter!$B$6:$B$205,MATCH(B4369,Mitarbeiter!$A$6:$A$205,0)),"?"))</f>
        <v/>
      </c>
      <c r="D4369" s="41" t="n"/>
      <c r="E4369" s="42" t="n"/>
      <c r="F4369" s="43" t="n"/>
      <c r="G4369" s="44">
        <f>IF(OR(B4369="",F4369=""),"",IFERROR(F4369*INDEX(Mitarbeiter!$F$6:$F$205,MATCH(B4369,Mitarbeiter!$A$6:$A$205,0)),0))</f>
        <v/>
      </c>
      <c r="H4369" s="8">
        <f>IF(B4369="","",IF(ISNA(MATCH(B4369,Mitarbeiter!$A$6:$A$205,0)),"Pers.-Nr. unbekannt",IF(A4369="","Datum fehlt",IF(AND(D4369&lt;&gt;Einstellungen!$C$4,D4369&lt;&gt;Einstellungen!$C$5),"Objekt fehlt",IF(YEAR(A4369)&lt;&gt;Einstellungen!$C$3,"anderes Jahr",IF(A4369&lt;INDEX(Mitarbeiter!$C$6:$C$205,MATCH(B4369,Mitarbeiter!$A$6:$A$205,0)),"vor Eintritt",IF(AND(INDEX(Mitarbeiter!$D$6:$D$205,MATCH(B4369,Mitarbeiter!$A$6:$A$205,0))&lt;&gt;"",A4369&gt;INDEX(Mitarbeiter!$D$6:$D$205,MATCH(B4369,Mitarbeiter!$A$6:$A$205,0))),"nach Austritt","ok")))))))</f>
        <v/>
      </c>
    </row>
    <row r="4370">
      <c r="A4370" s="26" t="n"/>
      <c r="B4370" s="24" t="n"/>
      <c r="C4370" s="40">
        <f>IF(B4370="","",IFERROR(INDEX(Mitarbeiter!$B$6:$B$205,MATCH(B4370,Mitarbeiter!$A$6:$A$205,0)),"?"))</f>
        <v/>
      </c>
      <c r="D4370" s="41" t="n"/>
      <c r="E4370" s="42" t="n"/>
      <c r="F4370" s="43" t="n"/>
      <c r="G4370" s="44">
        <f>IF(OR(B4370="",F4370=""),"",IFERROR(F4370*INDEX(Mitarbeiter!$F$6:$F$205,MATCH(B4370,Mitarbeiter!$A$6:$A$205,0)),0))</f>
        <v/>
      </c>
      <c r="H4370" s="8">
        <f>IF(B4370="","",IF(ISNA(MATCH(B4370,Mitarbeiter!$A$6:$A$205,0)),"Pers.-Nr. unbekannt",IF(A4370="","Datum fehlt",IF(AND(D4370&lt;&gt;Einstellungen!$C$4,D4370&lt;&gt;Einstellungen!$C$5),"Objekt fehlt",IF(YEAR(A4370)&lt;&gt;Einstellungen!$C$3,"anderes Jahr",IF(A4370&lt;INDEX(Mitarbeiter!$C$6:$C$205,MATCH(B4370,Mitarbeiter!$A$6:$A$205,0)),"vor Eintritt",IF(AND(INDEX(Mitarbeiter!$D$6:$D$205,MATCH(B4370,Mitarbeiter!$A$6:$A$205,0))&lt;&gt;"",A4370&gt;INDEX(Mitarbeiter!$D$6:$D$205,MATCH(B4370,Mitarbeiter!$A$6:$A$205,0))),"nach Austritt","ok")))))))</f>
        <v/>
      </c>
    </row>
    <row r="4371">
      <c r="A4371" s="26" t="n"/>
      <c r="B4371" s="24" t="n"/>
      <c r="C4371" s="40">
        <f>IF(B4371="","",IFERROR(INDEX(Mitarbeiter!$B$6:$B$205,MATCH(B4371,Mitarbeiter!$A$6:$A$205,0)),"?"))</f>
        <v/>
      </c>
      <c r="D4371" s="41" t="n"/>
      <c r="E4371" s="42" t="n"/>
      <c r="F4371" s="43" t="n"/>
      <c r="G4371" s="44">
        <f>IF(OR(B4371="",F4371=""),"",IFERROR(F4371*INDEX(Mitarbeiter!$F$6:$F$205,MATCH(B4371,Mitarbeiter!$A$6:$A$205,0)),0))</f>
        <v/>
      </c>
      <c r="H4371" s="8">
        <f>IF(B4371="","",IF(ISNA(MATCH(B4371,Mitarbeiter!$A$6:$A$205,0)),"Pers.-Nr. unbekannt",IF(A4371="","Datum fehlt",IF(AND(D4371&lt;&gt;Einstellungen!$C$4,D4371&lt;&gt;Einstellungen!$C$5),"Objekt fehlt",IF(YEAR(A4371)&lt;&gt;Einstellungen!$C$3,"anderes Jahr",IF(A4371&lt;INDEX(Mitarbeiter!$C$6:$C$205,MATCH(B4371,Mitarbeiter!$A$6:$A$205,0)),"vor Eintritt",IF(AND(INDEX(Mitarbeiter!$D$6:$D$205,MATCH(B4371,Mitarbeiter!$A$6:$A$205,0))&lt;&gt;"",A4371&gt;INDEX(Mitarbeiter!$D$6:$D$205,MATCH(B4371,Mitarbeiter!$A$6:$A$205,0))),"nach Austritt","ok")))))))</f>
        <v/>
      </c>
    </row>
    <row r="4372">
      <c r="A4372" s="26" t="n"/>
      <c r="B4372" s="24" t="n"/>
      <c r="C4372" s="40">
        <f>IF(B4372="","",IFERROR(INDEX(Mitarbeiter!$B$6:$B$205,MATCH(B4372,Mitarbeiter!$A$6:$A$205,0)),"?"))</f>
        <v/>
      </c>
      <c r="D4372" s="41" t="n"/>
      <c r="E4372" s="42" t="n"/>
      <c r="F4372" s="43" t="n"/>
      <c r="G4372" s="44">
        <f>IF(OR(B4372="",F4372=""),"",IFERROR(F4372*INDEX(Mitarbeiter!$F$6:$F$205,MATCH(B4372,Mitarbeiter!$A$6:$A$205,0)),0))</f>
        <v/>
      </c>
      <c r="H4372" s="8">
        <f>IF(B4372="","",IF(ISNA(MATCH(B4372,Mitarbeiter!$A$6:$A$205,0)),"Pers.-Nr. unbekannt",IF(A4372="","Datum fehlt",IF(AND(D4372&lt;&gt;Einstellungen!$C$4,D4372&lt;&gt;Einstellungen!$C$5),"Objekt fehlt",IF(YEAR(A4372)&lt;&gt;Einstellungen!$C$3,"anderes Jahr",IF(A4372&lt;INDEX(Mitarbeiter!$C$6:$C$205,MATCH(B4372,Mitarbeiter!$A$6:$A$205,0)),"vor Eintritt",IF(AND(INDEX(Mitarbeiter!$D$6:$D$205,MATCH(B4372,Mitarbeiter!$A$6:$A$205,0))&lt;&gt;"",A4372&gt;INDEX(Mitarbeiter!$D$6:$D$205,MATCH(B4372,Mitarbeiter!$A$6:$A$205,0))),"nach Austritt","ok")))))))</f>
        <v/>
      </c>
    </row>
    <row r="4373">
      <c r="A4373" s="26" t="n"/>
      <c r="B4373" s="24" t="n"/>
      <c r="C4373" s="40">
        <f>IF(B4373="","",IFERROR(INDEX(Mitarbeiter!$B$6:$B$205,MATCH(B4373,Mitarbeiter!$A$6:$A$205,0)),"?"))</f>
        <v/>
      </c>
      <c r="D4373" s="41" t="n"/>
      <c r="E4373" s="42" t="n"/>
      <c r="F4373" s="43" t="n"/>
      <c r="G4373" s="44">
        <f>IF(OR(B4373="",F4373=""),"",IFERROR(F4373*INDEX(Mitarbeiter!$F$6:$F$205,MATCH(B4373,Mitarbeiter!$A$6:$A$205,0)),0))</f>
        <v/>
      </c>
      <c r="H4373" s="8">
        <f>IF(B4373="","",IF(ISNA(MATCH(B4373,Mitarbeiter!$A$6:$A$205,0)),"Pers.-Nr. unbekannt",IF(A4373="","Datum fehlt",IF(AND(D4373&lt;&gt;Einstellungen!$C$4,D4373&lt;&gt;Einstellungen!$C$5),"Objekt fehlt",IF(YEAR(A4373)&lt;&gt;Einstellungen!$C$3,"anderes Jahr",IF(A4373&lt;INDEX(Mitarbeiter!$C$6:$C$205,MATCH(B4373,Mitarbeiter!$A$6:$A$205,0)),"vor Eintritt",IF(AND(INDEX(Mitarbeiter!$D$6:$D$205,MATCH(B4373,Mitarbeiter!$A$6:$A$205,0))&lt;&gt;"",A4373&gt;INDEX(Mitarbeiter!$D$6:$D$205,MATCH(B4373,Mitarbeiter!$A$6:$A$205,0))),"nach Austritt","ok")))))))</f>
        <v/>
      </c>
    </row>
    <row r="4374">
      <c r="A4374" s="26" t="n"/>
      <c r="B4374" s="24" t="n"/>
      <c r="C4374" s="40">
        <f>IF(B4374="","",IFERROR(INDEX(Mitarbeiter!$B$6:$B$205,MATCH(B4374,Mitarbeiter!$A$6:$A$205,0)),"?"))</f>
        <v/>
      </c>
      <c r="D4374" s="41" t="n"/>
      <c r="E4374" s="42" t="n"/>
      <c r="F4374" s="43" t="n"/>
      <c r="G4374" s="44">
        <f>IF(OR(B4374="",F4374=""),"",IFERROR(F4374*INDEX(Mitarbeiter!$F$6:$F$205,MATCH(B4374,Mitarbeiter!$A$6:$A$205,0)),0))</f>
        <v/>
      </c>
      <c r="H4374" s="8">
        <f>IF(B4374="","",IF(ISNA(MATCH(B4374,Mitarbeiter!$A$6:$A$205,0)),"Pers.-Nr. unbekannt",IF(A4374="","Datum fehlt",IF(AND(D4374&lt;&gt;Einstellungen!$C$4,D4374&lt;&gt;Einstellungen!$C$5),"Objekt fehlt",IF(YEAR(A4374)&lt;&gt;Einstellungen!$C$3,"anderes Jahr",IF(A4374&lt;INDEX(Mitarbeiter!$C$6:$C$205,MATCH(B4374,Mitarbeiter!$A$6:$A$205,0)),"vor Eintritt",IF(AND(INDEX(Mitarbeiter!$D$6:$D$205,MATCH(B4374,Mitarbeiter!$A$6:$A$205,0))&lt;&gt;"",A4374&gt;INDEX(Mitarbeiter!$D$6:$D$205,MATCH(B4374,Mitarbeiter!$A$6:$A$205,0))),"nach Austritt","ok")))))))</f>
        <v/>
      </c>
    </row>
    <row r="4375">
      <c r="A4375" s="26" t="n"/>
      <c r="B4375" s="24" t="n"/>
      <c r="C4375" s="40">
        <f>IF(B4375="","",IFERROR(INDEX(Mitarbeiter!$B$6:$B$205,MATCH(B4375,Mitarbeiter!$A$6:$A$205,0)),"?"))</f>
        <v/>
      </c>
      <c r="D4375" s="41" t="n"/>
      <c r="E4375" s="42" t="n"/>
      <c r="F4375" s="43" t="n"/>
      <c r="G4375" s="44">
        <f>IF(OR(B4375="",F4375=""),"",IFERROR(F4375*INDEX(Mitarbeiter!$F$6:$F$205,MATCH(B4375,Mitarbeiter!$A$6:$A$205,0)),0))</f>
        <v/>
      </c>
      <c r="H4375" s="8">
        <f>IF(B4375="","",IF(ISNA(MATCH(B4375,Mitarbeiter!$A$6:$A$205,0)),"Pers.-Nr. unbekannt",IF(A4375="","Datum fehlt",IF(AND(D4375&lt;&gt;Einstellungen!$C$4,D4375&lt;&gt;Einstellungen!$C$5),"Objekt fehlt",IF(YEAR(A4375)&lt;&gt;Einstellungen!$C$3,"anderes Jahr",IF(A4375&lt;INDEX(Mitarbeiter!$C$6:$C$205,MATCH(B4375,Mitarbeiter!$A$6:$A$205,0)),"vor Eintritt",IF(AND(INDEX(Mitarbeiter!$D$6:$D$205,MATCH(B4375,Mitarbeiter!$A$6:$A$205,0))&lt;&gt;"",A4375&gt;INDEX(Mitarbeiter!$D$6:$D$205,MATCH(B4375,Mitarbeiter!$A$6:$A$205,0))),"nach Austritt","ok")))))))</f>
        <v/>
      </c>
    </row>
    <row r="4376">
      <c r="A4376" s="26" t="n"/>
      <c r="B4376" s="24" t="n"/>
      <c r="C4376" s="40">
        <f>IF(B4376="","",IFERROR(INDEX(Mitarbeiter!$B$6:$B$205,MATCH(B4376,Mitarbeiter!$A$6:$A$205,0)),"?"))</f>
        <v/>
      </c>
      <c r="D4376" s="41" t="n"/>
      <c r="E4376" s="42" t="n"/>
      <c r="F4376" s="43" t="n"/>
      <c r="G4376" s="44">
        <f>IF(OR(B4376="",F4376=""),"",IFERROR(F4376*INDEX(Mitarbeiter!$F$6:$F$205,MATCH(B4376,Mitarbeiter!$A$6:$A$205,0)),0))</f>
        <v/>
      </c>
      <c r="H4376" s="8">
        <f>IF(B4376="","",IF(ISNA(MATCH(B4376,Mitarbeiter!$A$6:$A$205,0)),"Pers.-Nr. unbekannt",IF(A4376="","Datum fehlt",IF(AND(D4376&lt;&gt;Einstellungen!$C$4,D4376&lt;&gt;Einstellungen!$C$5),"Objekt fehlt",IF(YEAR(A4376)&lt;&gt;Einstellungen!$C$3,"anderes Jahr",IF(A4376&lt;INDEX(Mitarbeiter!$C$6:$C$205,MATCH(B4376,Mitarbeiter!$A$6:$A$205,0)),"vor Eintritt",IF(AND(INDEX(Mitarbeiter!$D$6:$D$205,MATCH(B4376,Mitarbeiter!$A$6:$A$205,0))&lt;&gt;"",A4376&gt;INDEX(Mitarbeiter!$D$6:$D$205,MATCH(B4376,Mitarbeiter!$A$6:$A$205,0))),"nach Austritt","ok")))))))</f>
        <v/>
      </c>
    </row>
    <row r="4377">
      <c r="A4377" s="26" t="n"/>
      <c r="B4377" s="24" t="n"/>
      <c r="C4377" s="40">
        <f>IF(B4377="","",IFERROR(INDEX(Mitarbeiter!$B$6:$B$205,MATCH(B4377,Mitarbeiter!$A$6:$A$205,0)),"?"))</f>
        <v/>
      </c>
      <c r="D4377" s="41" t="n"/>
      <c r="E4377" s="42" t="n"/>
      <c r="F4377" s="43" t="n"/>
      <c r="G4377" s="44">
        <f>IF(OR(B4377="",F4377=""),"",IFERROR(F4377*INDEX(Mitarbeiter!$F$6:$F$205,MATCH(B4377,Mitarbeiter!$A$6:$A$205,0)),0))</f>
        <v/>
      </c>
      <c r="H4377" s="8">
        <f>IF(B4377="","",IF(ISNA(MATCH(B4377,Mitarbeiter!$A$6:$A$205,0)),"Pers.-Nr. unbekannt",IF(A4377="","Datum fehlt",IF(AND(D4377&lt;&gt;Einstellungen!$C$4,D4377&lt;&gt;Einstellungen!$C$5),"Objekt fehlt",IF(YEAR(A4377)&lt;&gt;Einstellungen!$C$3,"anderes Jahr",IF(A4377&lt;INDEX(Mitarbeiter!$C$6:$C$205,MATCH(B4377,Mitarbeiter!$A$6:$A$205,0)),"vor Eintritt",IF(AND(INDEX(Mitarbeiter!$D$6:$D$205,MATCH(B4377,Mitarbeiter!$A$6:$A$205,0))&lt;&gt;"",A4377&gt;INDEX(Mitarbeiter!$D$6:$D$205,MATCH(B4377,Mitarbeiter!$A$6:$A$205,0))),"nach Austritt","ok")))))))</f>
        <v/>
      </c>
    </row>
    <row r="4378">
      <c r="A4378" s="26" t="n"/>
      <c r="B4378" s="24" t="n"/>
      <c r="C4378" s="40">
        <f>IF(B4378="","",IFERROR(INDEX(Mitarbeiter!$B$6:$B$205,MATCH(B4378,Mitarbeiter!$A$6:$A$205,0)),"?"))</f>
        <v/>
      </c>
      <c r="D4378" s="41" t="n"/>
      <c r="E4378" s="42" t="n"/>
      <c r="F4378" s="43" t="n"/>
      <c r="G4378" s="44">
        <f>IF(OR(B4378="",F4378=""),"",IFERROR(F4378*INDEX(Mitarbeiter!$F$6:$F$205,MATCH(B4378,Mitarbeiter!$A$6:$A$205,0)),0))</f>
        <v/>
      </c>
      <c r="H4378" s="8">
        <f>IF(B4378="","",IF(ISNA(MATCH(B4378,Mitarbeiter!$A$6:$A$205,0)),"Pers.-Nr. unbekannt",IF(A4378="","Datum fehlt",IF(AND(D4378&lt;&gt;Einstellungen!$C$4,D4378&lt;&gt;Einstellungen!$C$5),"Objekt fehlt",IF(YEAR(A4378)&lt;&gt;Einstellungen!$C$3,"anderes Jahr",IF(A4378&lt;INDEX(Mitarbeiter!$C$6:$C$205,MATCH(B4378,Mitarbeiter!$A$6:$A$205,0)),"vor Eintritt",IF(AND(INDEX(Mitarbeiter!$D$6:$D$205,MATCH(B4378,Mitarbeiter!$A$6:$A$205,0))&lt;&gt;"",A4378&gt;INDEX(Mitarbeiter!$D$6:$D$205,MATCH(B4378,Mitarbeiter!$A$6:$A$205,0))),"nach Austritt","ok")))))))</f>
        <v/>
      </c>
    </row>
    <row r="4379">
      <c r="A4379" s="26" t="n"/>
      <c r="B4379" s="24" t="n"/>
      <c r="C4379" s="40">
        <f>IF(B4379="","",IFERROR(INDEX(Mitarbeiter!$B$6:$B$205,MATCH(B4379,Mitarbeiter!$A$6:$A$205,0)),"?"))</f>
        <v/>
      </c>
      <c r="D4379" s="41" t="n"/>
      <c r="E4379" s="42" t="n"/>
      <c r="F4379" s="43" t="n"/>
      <c r="G4379" s="44">
        <f>IF(OR(B4379="",F4379=""),"",IFERROR(F4379*INDEX(Mitarbeiter!$F$6:$F$205,MATCH(B4379,Mitarbeiter!$A$6:$A$205,0)),0))</f>
        <v/>
      </c>
      <c r="H4379" s="8">
        <f>IF(B4379="","",IF(ISNA(MATCH(B4379,Mitarbeiter!$A$6:$A$205,0)),"Pers.-Nr. unbekannt",IF(A4379="","Datum fehlt",IF(AND(D4379&lt;&gt;Einstellungen!$C$4,D4379&lt;&gt;Einstellungen!$C$5),"Objekt fehlt",IF(YEAR(A4379)&lt;&gt;Einstellungen!$C$3,"anderes Jahr",IF(A4379&lt;INDEX(Mitarbeiter!$C$6:$C$205,MATCH(B4379,Mitarbeiter!$A$6:$A$205,0)),"vor Eintritt",IF(AND(INDEX(Mitarbeiter!$D$6:$D$205,MATCH(B4379,Mitarbeiter!$A$6:$A$205,0))&lt;&gt;"",A4379&gt;INDEX(Mitarbeiter!$D$6:$D$205,MATCH(B4379,Mitarbeiter!$A$6:$A$205,0))),"nach Austritt","ok")))))))</f>
        <v/>
      </c>
    </row>
    <row r="4380">
      <c r="A4380" s="26" t="n"/>
      <c r="B4380" s="24" t="n"/>
      <c r="C4380" s="40">
        <f>IF(B4380="","",IFERROR(INDEX(Mitarbeiter!$B$6:$B$205,MATCH(B4380,Mitarbeiter!$A$6:$A$205,0)),"?"))</f>
        <v/>
      </c>
      <c r="D4380" s="41" t="n"/>
      <c r="E4380" s="42" t="n"/>
      <c r="F4380" s="43" t="n"/>
      <c r="G4380" s="44">
        <f>IF(OR(B4380="",F4380=""),"",IFERROR(F4380*INDEX(Mitarbeiter!$F$6:$F$205,MATCH(B4380,Mitarbeiter!$A$6:$A$205,0)),0))</f>
        <v/>
      </c>
      <c r="H4380" s="8">
        <f>IF(B4380="","",IF(ISNA(MATCH(B4380,Mitarbeiter!$A$6:$A$205,0)),"Pers.-Nr. unbekannt",IF(A4380="","Datum fehlt",IF(AND(D4380&lt;&gt;Einstellungen!$C$4,D4380&lt;&gt;Einstellungen!$C$5),"Objekt fehlt",IF(YEAR(A4380)&lt;&gt;Einstellungen!$C$3,"anderes Jahr",IF(A4380&lt;INDEX(Mitarbeiter!$C$6:$C$205,MATCH(B4380,Mitarbeiter!$A$6:$A$205,0)),"vor Eintritt",IF(AND(INDEX(Mitarbeiter!$D$6:$D$205,MATCH(B4380,Mitarbeiter!$A$6:$A$205,0))&lt;&gt;"",A4380&gt;INDEX(Mitarbeiter!$D$6:$D$205,MATCH(B4380,Mitarbeiter!$A$6:$A$205,0))),"nach Austritt","ok")))))))</f>
        <v/>
      </c>
    </row>
    <row r="4381">
      <c r="A4381" s="26" t="n"/>
      <c r="B4381" s="24" t="n"/>
      <c r="C4381" s="40">
        <f>IF(B4381="","",IFERROR(INDEX(Mitarbeiter!$B$6:$B$205,MATCH(B4381,Mitarbeiter!$A$6:$A$205,0)),"?"))</f>
        <v/>
      </c>
      <c r="D4381" s="41" t="n"/>
      <c r="E4381" s="42" t="n"/>
      <c r="F4381" s="43" t="n"/>
      <c r="G4381" s="44">
        <f>IF(OR(B4381="",F4381=""),"",IFERROR(F4381*INDEX(Mitarbeiter!$F$6:$F$205,MATCH(B4381,Mitarbeiter!$A$6:$A$205,0)),0))</f>
        <v/>
      </c>
      <c r="H4381" s="8">
        <f>IF(B4381="","",IF(ISNA(MATCH(B4381,Mitarbeiter!$A$6:$A$205,0)),"Pers.-Nr. unbekannt",IF(A4381="","Datum fehlt",IF(AND(D4381&lt;&gt;Einstellungen!$C$4,D4381&lt;&gt;Einstellungen!$C$5),"Objekt fehlt",IF(YEAR(A4381)&lt;&gt;Einstellungen!$C$3,"anderes Jahr",IF(A4381&lt;INDEX(Mitarbeiter!$C$6:$C$205,MATCH(B4381,Mitarbeiter!$A$6:$A$205,0)),"vor Eintritt",IF(AND(INDEX(Mitarbeiter!$D$6:$D$205,MATCH(B4381,Mitarbeiter!$A$6:$A$205,0))&lt;&gt;"",A4381&gt;INDEX(Mitarbeiter!$D$6:$D$205,MATCH(B4381,Mitarbeiter!$A$6:$A$205,0))),"nach Austritt","ok")))))))</f>
        <v/>
      </c>
    </row>
    <row r="4382">
      <c r="A4382" s="26" t="n"/>
      <c r="B4382" s="24" t="n"/>
      <c r="C4382" s="40">
        <f>IF(B4382="","",IFERROR(INDEX(Mitarbeiter!$B$6:$B$205,MATCH(B4382,Mitarbeiter!$A$6:$A$205,0)),"?"))</f>
        <v/>
      </c>
      <c r="D4382" s="41" t="n"/>
      <c r="E4382" s="42" t="n"/>
      <c r="F4382" s="43" t="n"/>
      <c r="G4382" s="44">
        <f>IF(OR(B4382="",F4382=""),"",IFERROR(F4382*INDEX(Mitarbeiter!$F$6:$F$205,MATCH(B4382,Mitarbeiter!$A$6:$A$205,0)),0))</f>
        <v/>
      </c>
      <c r="H4382" s="8">
        <f>IF(B4382="","",IF(ISNA(MATCH(B4382,Mitarbeiter!$A$6:$A$205,0)),"Pers.-Nr. unbekannt",IF(A4382="","Datum fehlt",IF(AND(D4382&lt;&gt;Einstellungen!$C$4,D4382&lt;&gt;Einstellungen!$C$5),"Objekt fehlt",IF(YEAR(A4382)&lt;&gt;Einstellungen!$C$3,"anderes Jahr",IF(A4382&lt;INDEX(Mitarbeiter!$C$6:$C$205,MATCH(B4382,Mitarbeiter!$A$6:$A$205,0)),"vor Eintritt",IF(AND(INDEX(Mitarbeiter!$D$6:$D$205,MATCH(B4382,Mitarbeiter!$A$6:$A$205,0))&lt;&gt;"",A4382&gt;INDEX(Mitarbeiter!$D$6:$D$205,MATCH(B4382,Mitarbeiter!$A$6:$A$205,0))),"nach Austritt","ok")))))))</f>
        <v/>
      </c>
    </row>
    <row r="4383">
      <c r="A4383" s="26" t="n"/>
      <c r="B4383" s="24" t="n"/>
      <c r="C4383" s="40">
        <f>IF(B4383="","",IFERROR(INDEX(Mitarbeiter!$B$6:$B$205,MATCH(B4383,Mitarbeiter!$A$6:$A$205,0)),"?"))</f>
        <v/>
      </c>
      <c r="D4383" s="41" t="n"/>
      <c r="E4383" s="42" t="n"/>
      <c r="F4383" s="43" t="n"/>
      <c r="G4383" s="44">
        <f>IF(OR(B4383="",F4383=""),"",IFERROR(F4383*INDEX(Mitarbeiter!$F$6:$F$205,MATCH(B4383,Mitarbeiter!$A$6:$A$205,0)),0))</f>
        <v/>
      </c>
      <c r="H4383" s="8">
        <f>IF(B4383="","",IF(ISNA(MATCH(B4383,Mitarbeiter!$A$6:$A$205,0)),"Pers.-Nr. unbekannt",IF(A4383="","Datum fehlt",IF(AND(D4383&lt;&gt;Einstellungen!$C$4,D4383&lt;&gt;Einstellungen!$C$5),"Objekt fehlt",IF(YEAR(A4383)&lt;&gt;Einstellungen!$C$3,"anderes Jahr",IF(A4383&lt;INDEX(Mitarbeiter!$C$6:$C$205,MATCH(B4383,Mitarbeiter!$A$6:$A$205,0)),"vor Eintritt",IF(AND(INDEX(Mitarbeiter!$D$6:$D$205,MATCH(B4383,Mitarbeiter!$A$6:$A$205,0))&lt;&gt;"",A4383&gt;INDEX(Mitarbeiter!$D$6:$D$205,MATCH(B4383,Mitarbeiter!$A$6:$A$205,0))),"nach Austritt","ok")))))))</f>
        <v/>
      </c>
    </row>
    <row r="4384">
      <c r="A4384" s="26" t="n"/>
      <c r="B4384" s="24" t="n"/>
      <c r="C4384" s="40">
        <f>IF(B4384="","",IFERROR(INDEX(Mitarbeiter!$B$6:$B$205,MATCH(B4384,Mitarbeiter!$A$6:$A$205,0)),"?"))</f>
        <v/>
      </c>
      <c r="D4384" s="41" t="n"/>
      <c r="E4384" s="42" t="n"/>
      <c r="F4384" s="43" t="n"/>
      <c r="G4384" s="44">
        <f>IF(OR(B4384="",F4384=""),"",IFERROR(F4384*INDEX(Mitarbeiter!$F$6:$F$205,MATCH(B4384,Mitarbeiter!$A$6:$A$205,0)),0))</f>
        <v/>
      </c>
      <c r="H4384" s="8">
        <f>IF(B4384="","",IF(ISNA(MATCH(B4384,Mitarbeiter!$A$6:$A$205,0)),"Pers.-Nr. unbekannt",IF(A4384="","Datum fehlt",IF(AND(D4384&lt;&gt;Einstellungen!$C$4,D4384&lt;&gt;Einstellungen!$C$5),"Objekt fehlt",IF(YEAR(A4384)&lt;&gt;Einstellungen!$C$3,"anderes Jahr",IF(A4384&lt;INDEX(Mitarbeiter!$C$6:$C$205,MATCH(B4384,Mitarbeiter!$A$6:$A$205,0)),"vor Eintritt",IF(AND(INDEX(Mitarbeiter!$D$6:$D$205,MATCH(B4384,Mitarbeiter!$A$6:$A$205,0))&lt;&gt;"",A4384&gt;INDEX(Mitarbeiter!$D$6:$D$205,MATCH(B4384,Mitarbeiter!$A$6:$A$205,0))),"nach Austritt","ok")))))))</f>
        <v/>
      </c>
    </row>
    <row r="4385">
      <c r="A4385" s="26" t="n"/>
      <c r="B4385" s="24" t="n"/>
      <c r="C4385" s="40">
        <f>IF(B4385="","",IFERROR(INDEX(Mitarbeiter!$B$6:$B$205,MATCH(B4385,Mitarbeiter!$A$6:$A$205,0)),"?"))</f>
        <v/>
      </c>
      <c r="D4385" s="41" t="n"/>
      <c r="E4385" s="42" t="n"/>
      <c r="F4385" s="43" t="n"/>
      <c r="G4385" s="44">
        <f>IF(OR(B4385="",F4385=""),"",IFERROR(F4385*INDEX(Mitarbeiter!$F$6:$F$205,MATCH(B4385,Mitarbeiter!$A$6:$A$205,0)),0))</f>
        <v/>
      </c>
      <c r="H4385" s="8">
        <f>IF(B4385="","",IF(ISNA(MATCH(B4385,Mitarbeiter!$A$6:$A$205,0)),"Pers.-Nr. unbekannt",IF(A4385="","Datum fehlt",IF(AND(D4385&lt;&gt;Einstellungen!$C$4,D4385&lt;&gt;Einstellungen!$C$5),"Objekt fehlt",IF(YEAR(A4385)&lt;&gt;Einstellungen!$C$3,"anderes Jahr",IF(A4385&lt;INDEX(Mitarbeiter!$C$6:$C$205,MATCH(B4385,Mitarbeiter!$A$6:$A$205,0)),"vor Eintritt",IF(AND(INDEX(Mitarbeiter!$D$6:$D$205,MATCH(B4385,Mitarbeiter!$A$6:$A$205,0))&lt;&gt;"",A4385&gt;INDEX(Mitarbeiter!$D$6:$D$205,MATCH(B4385,Mitarbeiter!$A$6:$A$205,0))),"nach Austritt","ok")))))))</f>
        <v/>
      </c>
    </row>
    <row r="4386">
      <c r="A4386" s="26" t="n"/>
      <c r="B4386" s="24" t="n"/>
      <c r="C4386" s="40">
        <f>IF(B4386="","",IFERROR(INDEX(Mitarbeiter!$B$6:$B$205,MATCH(B4386,Mitarbeiter!$A$6:$A$205,0)),"?"))</f>
        <v/>
      </c>
      <c r="D4386" s="41" t="n"/>
      <c r="E4386" s="42" t="n"/>
      <c r="F4386" s="43" t="n"/>
      <c r="G4386" s="44">
        <f>IF(OR(B4386="",F4386=""),"",IFERROR(F4386*INDEX(Mitarbeiter!$F$6:$F$205,MATCH(B4386,Mitarbeiter!$A$6:$A$205,0)),0))</f>
        <v/>
      </c>
      <c r="H4386" s="8">
        <f>IF(B4386="","",IF(ISNA(MATCH(B4386,Mitarbeiter!$A$6:$A$205,0)),"Pers.-Nr. unbekannt",IF(A4386="","Datum fehlt",IF(AND(D4386&lt;&gt;Einstellungen!$C$4,D4386&lt;&gt;Einstellungen!$C$5),"Objekt fehlt",IF(YEAR(A4386)&lt;&gt;Einstellungen!$C$3,"anderes Jahr",IF(A4386&lt;INDEX(Mitarbeiter!$C$6:$C$205,MATCH(B4386,Mitarbeiter!$A$6:$A$205,0)),"vor Eintritt",IF(AND(INDEX(Mitarbeiter!$D$6:$D$205,MATCH(B4386,Mitarbeiter!$A$6:$A$205,0))&lt;&gt;"",A4386&gt;INDEX(Mitarbeiter!$D$6:$D$205,MATCH(B4386,Mitarbeiter!$A$6:$A$205,0))),"nach Austritt","ok")))))))</f>
        <v/>
      </c>
    </row>
    <row r="4387">
      <c r="A4387" s="26" t="n"/>
      <c r="B4387" s="24" t="n"/>
      <c r="C4387" s="40">
        <f>IF(B4387="","",IFERROR(INDEX(Mitarbeiter!$B$6:$B$205,MATCH(B4387,Mitarbeiter!$A$6:$A$205,0)),"?"))</f>
        <v/>
      </c>
      <c r="D4387" s="41" t="n"/>
      <c r="E4387" s="42" t="n"/>
      <c r="F4387" s="43" t="n"/>
      <c r="G4387" s="44">
        <f>IF(OR(B4387="",F4387=""),"",IFERROR(F4387*INDEX(Mitarbeiter!$F$6:$F$205,MATCH(B4387,Mitarbeiter!$A$6:$A$205,0)),0))</f>
        <v/>
      </c>
      <c r="H4387" s="8">
        <f>IF(B4387="","",IF(ISNA(MATCH(B4387,Mitarbeiter!$A$6:$A$205,0)),"Pers.-Nr. unbekannt",IF(A4387="","Datum fehlt",IF(AND(D4387&lt;&gt;Einstellungen!$C$4,D4387&lt;&gt;Einstellungen!$C$5),"Objekt fehlt",IF(YEAR(A4387)&lt;&gt;Einstellungen!$C$3,"anderes Jahr",IF(A4387&lt;INDEX(Mitarbeiter!$C$6:$C$205,MATCH(B4387,Mitarbeiter!$A$6:$A$205,0)),"vor Eintritt",IF(AND(INDEX(Mitarbeiter!$D$6:$D$205,MATCH(B4387,Mitarbeiter!$A$6:$A$205,0))&lt;&gt;"",A4387&gt;INDEX(Mitarbeiter!$D$6:$D$205,MATCH(B4387,Mitarbeiter!$A$6:$A$205,0))),"nach Austritt","ok")))))))</f>
        <v/>
      </c>
    </row>
    <row r="4388">
      <c r="A4388" s="26" t="n"/>
      <c r="B4388" s="24" t="n"/>
      <c r="C4388" s="40">
        <f>IF(B4388="","",IFERROR(INDEX(Mitarbeiter!$B$6:$B$205,MATCH(B4388,Mitarbeiter!$A$6:$A$205,0)),"?"))</f>
        <v/>
      </c>
      <c r="D4388" s="41" t="n"/>
      <c r="E4388" s="42" t="n"/>
      <c r="F4388" s="43" t="n"/>
      <c r="G4388" s="44">
        <f>IF(OR(B4388="",F4388=""),"",IFERROR(F4388*INDEX(Mitarbeiter!$F$6:$F$205,MATCH(B4388,Mitarbeiter!$A$6:$A$205,0)),0))</f>
        <v/>
      </c>
      <c r="H4388" s="8">
        <f>IF(B4388="","",IF(ISNA(MATCH(B4388,Mitarbeiter!$A$6:$A$205,0)),"Pers.-Nr. unbekannt",IF(A4388="","Datum fehlt",IF(AND(D4388&lt;&gt;Einstellungen!$C$4,D4388&lt;&gt;Einstellungen!$C$5),"Objekt fehlt",IF(YEAR(A4388)&lt;&gt;Einstellungen!$C$3,"anderes Jahr",IF(A4388&lt;INDEX(Mitarbeiter!$C$6:$C$205,MATCH(B4388,Mitarbeiter!$A$6:$A$205,0)),"vor Eintritt",IF(AND(INDEX(Mitarbeiter!$D$6:$D$205,MATCH(B4388,Mitarbeiter!$A$6:$A$205,0))&lt;&gt;"",A4388&gt;INDEX(Mitarbeiter!$D$6:$D$205,MATCH(B4388,Mitarbeiter!$A$6:$A$205,0))),"nach Austritt","ok")))))))</f>
        <v/>
      </c>
    </row>
    <row r="4389">
      <c r="A4389" s="26" t="n"/>
      <c r="B4389" s="24" t="n"/>
      <c r="C4389" s="40">
        <f>IF(B4389="","",IFERROR(INDEX(Mitarbeiter!$B$6:$B$205,MATCH(B4389,Mitarbeiter!$A$6:$A$205,0)),"?"))</f>
        <v/>
      </c>
      <c r="D4389" s="41" t="n"/>
      <c r="E4389" s="42" t="n"/>
      <c r="F4389" s="43" t="n"/>
      <c r="G4389" s="44">
        <f>IF(OR(B4389="",F4389=""),"",IFERROR(F4389*INDEX(Mitarbeiter!$F$6:$F$205,MATCH(B4389,Mitarbeiter!$A$6:$A$205,0)),0))</f>
        <v/>
      </c>
      <c r="H4389" s="8">
        <f>IF(B4389="","",IF(ISNA(MATCH(B4389,Mitarbeiter!$A$6:$A$205,0)),"Pers.-Nr. unbekannt",IF(A4389="","Datum fehlt",IF(AND(D4389&lt;&gt;Einstellungen!$C$4,D4389&lt;&gt;Einstellungen!$C$5),"Objekt fehlt",IF(YEAR(A4389)&lt;&gt;Einstellungen!$C$3,"anderes Jahr",IF(A4389&lt;INDEX(Mitarbeiter!$C$6:$C$205,MATCH(B4389,Mitarbeiter!$A$6:$A$205,0)),"vor Eintritt",IF(AND(INDEX(Mitarbeiter!$D$6:$D$205,MATCH(B4389,Mitarbeiter!$A$6:$A$205,0))&lt;&gt;"",A4389&gt;INDEX(Mitarbeiter!$D$6:$D$205,MATCH(B4389,Mitarbeiter!$A$6:$A$205,0))),"nach Austritt","ok")))))))</f>
        <v/>
      </c>
    </row>
    <row r="4390">
      <c r="A4390" s="26" t="n"/>
      <c r="B4390" s="24" t="n"/>
      <c r="C4390" s="40">
        <f>IF(B4390="","",IFERROR(INDEX(Mitarbeiter!$B$6:$B$205,MATCH(B4390,Mitarbeiter!$A$6:$A$205,0)),"?"))</f>
        <v/>
      </c>
      <c r="D4390" s="41" t="n"/>
      <c r="E4390" s="42" t="n"/>
      <c r="F4390" s="43" t="n"/>
      <c r="G4390" s="44">
        <f>IF(OR(B4390="",F4390=""),"",IFERROR(F4390*INDEX(Mitarbeiter!$F$6:$F$205,MATCH(B4390,Mitarbeiter!$A$6:$A$205,0)),0))</f>
        <v/>
      </c>
      <c r="H4390" s="8">
        <f>IF(B4390="","",IF(ISNA(MATCH(B4390,Mitarbeiter!$A$6:$A$205,0)),"Pers.-Nr. unbekannt",IF(A4390="","Datum fehlt",IF(AND(D4390&lt;&gt;Einstellungen!$C$4,D4390&lt;&gt;Einstellungen!$C$5),"Objekt fehlt",IF(YEAR(A4390)&lt;&gt;Einstellungen!$C$3,"anderes Jahr",IF(A4390&lt;INDEX(Mitarbeiter!$C$6:$C$205,MATCH(B4390,Mitarbeiter!$A$6:$A$205,0)),"vor Eintritt",IF(AND(INDEX(Mitarbeiter!$D$6:$D$205,MATCH(B4390,Mitarbeiter!$A$6:$A$205,0))&lt;&gt;"",A4390&gt;INDEX(Mitarbeiter!$D$6:$D$205,MATCH(B4390,Mitarbeiter!$A$6:$A$205,0))),"nach Austritt","ok")))))))</f>
        <v/>
      </c>
    </row>
    <row r="4391">
      <c r="A4391" s="26" t="n"/>
      <c r="B4391" s="24" t="n"/>
      <c r="C4391" s="40">
        <f>IF(B4391="","",IFERROR(INDEX(Mitarbeiter!$B$6:$B$205,MATCH(B4391,Mitarbeiter!$A$6:$A$205,0)),"?"))</f>
        <v/>
      </c>
      <c r="D4391" s="41" t="n"/>
      <c r="E4391" s="42" t="n"/>
      <c r="F4391" s="43" t="n"/>
      <c r="G4391" s="44">
        <f>IF(OR(B4391="",F4391=""),"",IFERROR(F4391*INDEX(Mitarbeiter!$F$6:$F$205,MATCH(B4391,Mitarbeiter!$A$6:$A$205,0)),0))</f>
        <v/>
      </c>
      <c r="H4391" s="8">
        <f>IF(B4391="","",IF(ISNA(MATCH(B4391,Mitarbeiter!$A$6:$A$205,0)),"Pers.-Nr. unbekannt",IF(A4391="","Datum fehlt",IF(AND(D4391&lt;&gt;Einstellungen!$C$4,D4391&lt;&gt;Einstellungen!$C$5),"Objekt fehlt",IF(YEAR(A4391)&lt;&gt;Einstellungen!$C$3,"anderes Jahr",IF(A4391&lt;INDEX(Mitarbeiter!$C$6:$C$205,MATCH(B4391,Mitarbeiter!$A$6:$A$205,0)),"vor Eintritt",IF(AND(INDEX(Mitarbeiter!$D$6:$D$205,MATCH(B4391,Mitarbeiter!$A$6:$A$205,0))&lt;&gt;"",A4391&gt;INDEX(Mitarbeiter!$D$6:$D$205,MATCH(B4391,Mitarbeiter!$A$6:$A$205,0))),"nach Austritt","ok")))))))</f>
        <v/>
      </c>
    </row>
    <row r="4392">
      <c r="A4392" s="26" t="n"/>
      <c r="B4392" s="24" t="n"/>
      <c r="C4392" s="40">
        <f>IF(B4392="","",IFERROR(INDEX(Mitarbeiter!$B$6:$B$205,MATCH(B4392,Mitarbeiter!$A$6:$A$205,0)),"?"))</f>
        <v/>
      </c>
      <c r="D4392" s="41" t="n"/>
      <c r="E4392" s="42" t="n"/>
      <c r="F4392" s="43" t="n"/>
      <c r="G4392" s="44">
        <f>IF(OR(B4392="",F4392=""),"",IFERROR(F4392*INDEX(Mitarbeiter!$F$6:$F$205,MATCH(B4392,Mitarbeiter!$A$6:$A$205,0)),0))</f>
        <v/>
      </c>
      <c r="H4392" s="8">
        <f>IF(B4392="","",IF(ISNA(MATCH(B4392,Mitarbeiter!$A$6:$A$205,0)),"Pers.-Nr. unbekannt",IF(A4392="","Datum fehlt",IF(AND(D4392&lt;&gt;Einstellungen!$C$4,D4392&lt;&gt;Einstellungen!$C$5),"Objekt fehlt",IF(YEAR(A4392)&lt;&gt;Einstellungen!$C$3,"anderes Jahr",IF(A4392&lt;INDEX(Mitarbeiter!$C$6:$C$205,MATCH(B4392,Mitarbeiter!$A$6:$A$205,0)),"vor Eintritt",IF(AND(INDEX(Mitarbeiter!$D$6:$D$205,MATCH(B4392,Mitarbeiter!$A$6:$A$205,0))&lt;&gt;"",A4392&gt;INDEX(Mitarbeiter!$D$6:$D$205,MATCH(B4392,Mitarbeiter!$A$6:$A$205,0))),"nach Austritt","ok")))))))</f>
        <v/>
      </c>
    </row>
    <row r="4393">
      <c r="A4393" s="26" t="n"/>
      <c r="B4393" s="24" t="n"/>
      <c r="C4393" s="40">
        <f>IF(B4393="","",IFERROR(INDEX(Mitarbeiter!$B$6:$B$205,MATCH(B4393,Mitarbeiter!$A$6:$A$205,0)),"?"))</f>
        <v/>
      </c>
      <c r="D4393" s="41" t="n"/>
      <c r="E4393" s="42" t="n"/>
      <c r="F4393" s="43" t="n"/>
      <c r="G4393" s="44">
        <f>IF(OR(B4393="",F4393=""),"",IFERROR(F4393*INDEX(Mitarbeiter!$F$6:$F$205,MATCH(B4393,Mitarbeiter!$A$6:$A$205,0)),0))</f>
        <v/>
      </c>
      <c r="H4393" s="8">
        <f>IF(B4393="","",IF(ISNA(MATCH(B4393,Mitarbeiter!$A$6:$A$205,0)),"Pers.-Nr. unbekannt",IF(A4393="","Datum fehlt",IF(AND(D4393&lt;&gt;Einstellungen!$C$4,D4393&lt;&gt;Einstellungen!$C$5),"Objekt fehlt",IF(YEAR(A4393)&lt;&gt;Einstellungen!$C$3,"anderes Jahr",IF(A4393&lt;INDEX(Mitarbeiter!$C$6:$C$205,MATCH(B4393,Mitarbeiter!$A$6:$A$205,0)),"vor Eintritt",IF(AND(INDEX(Mitarbeiter!$D$6:$D$205,MATCH(B4393,Mitarbeiter!$A$6:$A$205,0))&lt;&gt;"",A4393&gt;INDEX(Mitarbeiter!$D$6:$D$205,MATCH(B4393,Mitarbeiter!$A$6:$A$205,0))),"nach Austritt","ok")))))))</f>
        <v/>
      </c>
    </row>
    <row r="4394">
      <c r="A4394" s="26" t="n"/>
      <c r="B4394" s="24" t="n"/>
      <c r="C4394" s="40">
        <f>IF(B4394="","",IFERROR(INDEX(Mitarbeiter!$B$6:$B$205,MATCH(B4394,Mitarbeiter!$A$6:$A$205,0)),"?"))</f>
        <v/>
      </c>
      <c r="D4394" s="41" t="n"/>
      <c r="E4394" s="42" t="n"/>
      <c r="F4394" s="43" t="n"/>
      <c r="G4394" s="44">
        <f>IF(OR(B4394="",F4394=""),"",IFERROR(F4394*INDEX(Mitarbeiter!$F$6:$F$205,MATCH(B4394,Mitarbeiter!$A$6:$A$205,0)),0))</f>
        <v/>
      </c>
      <c r="H4394" s="8">
        <f>IF(B4394="","",IF(ISNA(MATCH(B4394,Mitarbeiter!$A$6:$A$205,0)),"Pers.-Nr. unbekannt",IF(A4394="","Datum fehlt",IF(AND(D4394&lt;&gt;Einstellungen!$C$4,D4394&lt;&gt;Einstellungen!$C$5),"Objekt fehlt",IF(YEAR(A4394)&lt;&gt;Einstellungen!$C$3,"anderes Jahr",IF(A4394&lt;INDEX(Mitarbeiter!$C$6:$C$205,MATCH(B4394,Mitarbeiter!$A$6:$A$205,0)),"vor Eintritt",IF(AND(INDEX(Mitarbeiter!$D$6:$D$205,MATCH(B4394,Mitarbeiter!$A$6:$A$205,0))&lt;&gt;"",A4394&gt;INDEX(Mitarbeiter!$D$6:$D$205,MATCH(B4394,Mitarbeiter!$A$6:$A$205,0))),"nach Austritt","ok")))))))</f>
        <v/>
      </c>
    </row>
    <row r="4395">
      <c r="A4395" s="26" t="n"/>
      <c r="B4395" s="24" t="n"/>
      <c r="C4395" s="40">
        <f>IF(B4395="","",IFERROR(INDEX(Mitarbeiter!$B$6:$B$205,MATCH(B4395,Mitarbeiter!$A$6:$A$205,0)),"?"))</f>
        <v/>
      </c>
      <c r="D4395" s="41" t="n"/>
      <c r="E4395" s="42" t="n"/>
      <c r="F4395" s="43" t="n"/>
      <c r="G4395" s="44">
        <f>IF(OR(B4395="",F4395=""),"",IFERROR(F4395*INDEX(Mitarbeiter!$F$6:$F$205,MATCH(B4395,Mitarbeiter!$A$6:$A$205,0)),0))</f>
        <v/>
      </c>
      <c r="H4395" s="8">
        <f>IF(B4395="","",IF(ISNA(MATCH(B4395,Mitarbeiter!$A$6:$A$205,0)),"Pers.-Nr. unbekannt",IF(A4395="","Datum fehlt",IF(AND(D4395&lt;&gt;Einstellungen!$C$4,D4395&lt;&gt;Einstellungen!$C$5),"Objekt fehlt",IF(YEAR(A4395)&lt;&gt;Einstellungen!$C$3,"anderes Jahr",IF(A4395&lt;INDEX(Mitarbeiter!$C$6:$C$205,MATCH(B4395,Mitarbeiter!$A$6:$A$205,0)),"vor Eintritt",IF(AND(INDEX(Mitarbeiter!$D$6:$D$205,MATCH(B4395,Mitarbeiter!$A$6:$A$205,0))&lt;&gt;"",A4395&gt;INDEX(Mitarbeiter!$D$6:$D$205,MATCH(B4395,Mitarbeiter!$A$6:$A$205,0))),"nach Austritt","ok")))))))</f>
        <v/>
      </c>
    </row>
    <row r="4396">
      <c r="A4396" s="26" t="n"/>
      <c r="B4396" s="24" t="n"/>
      <c r="C4396" s="40">
        <f>IF(B4396="","",IFERROR(INDEX(Mitarbeiter!$B$6:$B$205,MATCH(B4396,Mitarbeiter!$A$6:$A$205,0)),"?"))</f>
        <v/>
      </c>
      <c r="D4396" s="41" t="n"/>
      <c r="E4396" s="42" t="n"/>
      <c r="F4396" s="43" t="n"/>
      <c r="G4396" s="44">
        <f>IF(OR(B4396="",F4396=""),"",IFERROR(F4396*INDEX(Mitarbeiter!$F$6:$F$205,MATCH(B4396,Mitarbeiter!$A$6:$A$205,0)),0))</f>
        <v/>
      </c>
      <c r="H4396" s="8">
        <f>IF(B4396="","",IF(ISNA(MATCH(B4396,Mitarbeiter!$A$6:$A$205,0)),"Pers.-Nr. unbekannt",IF(A4396="","Datum fehlt",IF(AND(D4396&lt;&gt;Einstellungen!$C$4,D4396&lt;&gt;Einstellungen!$C$5),"Objekt fehlt",IF(YEAR(A4396)&lt;&gt;Einstellungen!$C$3,"anderes Jahr",IF(A4396&lt;INDEX(Mitarbeiter!$C$6:$C$205,MATCH(B4396,Mitarbeiter!$A$6:$A$205,0)),"vor Eintritt",IF(AND(INDEX(Mitarbeiter!$D$6:$D$205,MATCH(B4396,Mitarbeiter!$A$6:$A$205,0))&lt;&gt;"",A4396&gt;INDEX(Mitarbeiter!$D$6:$D$205,MATCH(B4396,Mitarbeiter!$A$6:$A$205,0))),"nach Austritt","ok")))))))</f>
        <v/>
      </c>
    </row>
    <row r="4397">
      <c r="A4397" s="26" t="n"/>
      <c r="B4397" s="24" t="n"/>
      <c r="C4397" s="40">
        <f>IF(B4397="","",IFERROR(INDEX(Mitarbeiter!$B$6:$B$205,MATCH(B4397,Mitarbeiter!$A$6:$A$205,0)),"?"))</f>
        <v/>
      </c>
      <c r="D4397" s="41" t="n"/>
      <c r="E4397" s="42" t="n"/>
      <c r="F4397" s="43" t="n"/>
      <c r="G4397" s="44">
        <f>IF(OR(B4397="",F4397=""),"",IFERROR(F4397*INDEX(Mitarbeiter!$F$6:$F$205,MATCH(B4397,Mitarbeiter!$A$6:$A$205,0)),0))</f>
        <v/>
      </c>
      <c r="H4397" s="8">
        <f>IF(B4397="","",IF(ISNA(MATCH(B4397,Mitarbeiter!$A$6:$A$205,0)),"Pers.-Nr. unbekannt",IF(A4397="","Datum fehlt",IF(AND(D4397&lt;&gt;Einstellungen!$C$4,D4397&lt;&gt;Einstellungen!$C$5),"Objekt fehlt",IF(YEAR(A4397)&lt;&gt;Einstellungen!$C$3,"anderes Jahr",IF(A4397&lt;INDEX(Mitarbeiter!$C$6:$C$205,MATCH(B4397,Mitarbeiter!$A$6:$A$205,0)),"vor Eintritt",IF(AND(INDEX(Mitarbeiter!$D$6:$D$205,MATCH(B4397,Mitarbeiter!$A$6:$A$205,0))&lt;&gt;"",A4397&gt;INDEX(Mitarbeiter!$D$6:$D$205,MATCH(B4397,Mitarbeiter!$A$6:$A$205,0))),"nach Austritt","ok")))))))</f>
        <v/>
      </c>
    </row>
    <row r="4398">
      <c r="A4398" s="26" t="n"/>
      <c r="B4398" s="24" t="n"/>
      <c r="C4398" s="40">
        <f>IF(B4398="","",IFERROR(INDEX(Mitarbeiter!$B$6:$B$205,MATCH(B4398,Mitarbeiter!$A$6:$A$205,0)),"?"))</f>
        <v/>
      </c>
      <c r="D4398" s="41" t="n"/>
      <c r="E4398" s="42" t="n"/>
      <c r="F4398" s="43" t="n"/>
      <c r="G4398" s="44">
        <f>IF(OR(B4398="",F4398=""),"",IFERROR(F4398*INDEX(Mitarbeiter!$F$6:$F$205,MATCH(B4398,Mitarbeiter!$A$6:$A$205,0)),0))</f>
        <v/>
      </c>
      <c r="H4398" s="8">
        <f>IF(B4398="","",IF(ISNA(MATCH(B4398,Mitarbeiter!$A$6:$A$205,0)),"Pers.-Nr. unbekannt",IF(A4398="","Datum fehlt",IF(AND(D4398&lt;&gt;Einstellungen!$C$4,D4398&lt;&gt;Einstellungen!$C$5),"Objekt fehlt",IF(YEAR(A4398)&lt;&gt;Einstellungen!$C$3,"anderes Jahr",IF(A4398&lt;INDEX(Mitarbeiter!$C$6:$C$205,MATCH(B4398,Mitarbeiter!$A$6:$A$205,0)),"vor Eintritt",IF(AND(INDEX(Mitarbeiter!$D$6:$D$205,MATCH(B4398,Mitarbeiter!$A$6:$A$205,0))&lt;&gt;"",A4398&gt;INDEX(Mitarbeiter!$D$6:$D$205,MATCH(B4398,Mitarbeiter!$A$6:$A$205,0))),"nach Austritt","ok")))))))</f>
        <v/>
      </c>
    </row>
    <row r="4399">
      <c r="A4399" s="26" t="n"/>
      <c r="B4399" s="24" t="n"/>
      <c r="C4399" s="40">
        <f>IF(B4399="","",IFERROR(INDEX(Mitarbeiter!$B$6:$B$205,MATCH(B4399,Mitarbeiter!$A$6:$A$205,0)),"?"))</f>
        <v/>
      </c>
      <c r="D4399" s="41" t="n"/>
      <c r="E4399" s="42" t="n"/>
      <c r="F4399" s="43" t="n"/>
      <c r="G4399" s="44">
        <f>IF(OR(B4399="",F4399=""),"",IFERROR(F4399*INDEX(Mitarbeiter!$F$6:$F$205,MATCH(B4399,Mitarbeiter!$A$6:$A$205,0)),0))</f>
        <v/>
      </c>
      <c r="H4399" s="8">
        <f>IF(B4399="","",IF(ISNA(MATCH(B4399,Mitarbeiter!$A$6:$A$205,0)),"Pers.-Nr. unbekannt",IF(A4399="","Datum fehlt",IF(AND(D4399&lt;&gt;Einstellungen!$C$4,D4399&lt;&gt;Einstellungen!$C$5),"Objekt fehlt",IF(YEAR(A4399)&lt;&gt;Einstellungen!$C$3,"anderes Jahr",IF(A4399&lt;INDEX(Mitarbeiter!$C$6:$C$205,MATCH(B4399,Mitarbeiter!$A$6:$A$205,0)),"vor Eintritt",IF(AND(INDEX(Mitarbeiter!$D$6:$D$205,MATCH(B4399,Mitarbeiter!$A$6:$A$205,0))&lt;&gt;"",A4399&gt;INDEX(Mitarbeiter!$D$6:$D$205,MATCH(B4399,Mitarbeiter!$A$6:$A$205,0))),"nach Austritt","ok")))))))</f>
        <v/>
      </c>
    </row>
    <row r="4400">
      <c r="A4400" s="26" t="n"/>
      <c r="B4400" s="24" t="n"/>
      <c r="C4400" s="40">
        <f>IF(B4400="","",IFERROR(INDEX(Mitarbeiter!$B$6:$B$205,MATCH(B4400,Mitarbeiter!$A$6:$A$205,0)),"?"))</f>
        <v/>
      </c>
      <c r="D4400" s="41" t="n"/>
      <c r="E4400" s="42" t="n"/>
      <c r="F4400" s="43" t="n"/>
      <c r="G4400" s="44">
        <f>IF(OR(B4400="",F4400=""),"",IFERROR(F4400*INDEX(Mitarbeiter!$F$6:$F$205,MATCH(B4400,Mitarbeiter!$A$6:$A$205,0)),0))</f>
        <v/>
      </c>
      <c r="H4400" s="8">
        <f>IF(B4400="","",IF(ISNA(MATCH(B4400,Mitarbeiter!$A$6:$A$205,0)),"Pers.-Nr. unbekannt",IF(A4400="","Datum fehlt",IF(AND(D4400&lt;&gt;Einstellungen!$C$4,D4400&lt;&gt;Einstellungen!$C$5),"Objekt fehlt",IF(YEAR(A4400)&lt;&gt;Einstellungen!$C$3,"anderes Jahr",IF(A4400&lt;INDEX(Mitarbeiter!$C$6:$C$205,MATCH(B4400,Mitarbeiter!$A$6:$A$205,0)),"vor Eintritt",IF(AND(INDEX(Mitarbeiter!$D$6:$D$205,MATCH(B4400,Mitarbeiter!$A$6:$A$205,0))&lt;&gt;"",A4400&gt;INDEX(Mitarbeiter!$D$6:$D$205,MATCH(B4400,Mitarbeiter!$A$6:$A$205,0))),"nach Austritt","ok")))))))</f>
        <v/>
      </c>
    </row>
    <row r="4401">
      <c r="A4401" s="26" t="n"/>
      <c r="B4401" s="24" t="n"/>
      <c r="C4401" s="40">
        <f>IF(B4401="","",IFERROR(INDEX(Mitarbeiter!$B$6:$B$205,MATCH(B4401,Mitarbeiter!$A$6:$A$205,0)),"?"))</f>
        <v/>
      </c>
      <c r="D4401" s="41" t="n"/>
      <c r="E4401" s="42" t="n"/>
      <c r="F4401" s="43" t="n"/>
      <c r="G4401" s="44">
        <f>IF(OR(B4401="",F4401=""),"",IFERROR(F4401*INDEX(Mitarbeiter!$F$6:$F$205,MATCH(B4401,Mitarbeiter!$A$6:$A$205,0)),0))</f>
        <v/>
      </c>
      <c r="H4401" s="8">
        <f>IF(B4401="","",IF(ISNA(MATCH(B4401,Mitarbeiter!$A$6:$A$205,0)),"Pers.-Nr. unbekannt",IF(A4401="","Datum fehlt",IF(AND(D4401&lt;&gt;Einstellungen!$C$4,D4401&lt;&gt;Einstellungen!$C$5),"Objekt fehlt",IF(YEAR(A4401)&lt;&gt;Einstellungen!$C$3,"anderes Jahr",IF(A4401&lt;INDEX(Mitarbeiter!$C$6:$C$205,MATCH(B4401,Mitarbeiter!$A$6:$A$205,0)),"vor Eintritt",IF(AND(INDEX(Mitarbeiter!$D$6:$D$205,MATCH(B4401,Mitarbeiter!$A$6:$A$205,0))&lt;&gt;"",A4401&gt;INDEX(Mitarbeiter!$D$6:$D$205,MATCH(B4401,Mitarbeiter!$A$6:$A$205,0))),"nach Austritt","ok")))))))</f>
        <v/>
      </c>
    </row>
    <row r="4402">
      <c r="A4402" s="26" t="n"/>
      <c r="B4402" s="24" t="n"/>
      <c r="C4402" s="40">
        <f>IF(B4402="","",IFERROR(INDEX(Mitarbeiter!$B$6:$B$205,MATCH(B4402,Mitarbeiter!$A$6:$A$205,0)),"?"))</f>
        <v/>
      </c>
      <c r="D4402" s="41" t="n"/>
      <c r="E4402" s="42" t="n"/>
      <c r="F4402" s="43" t="n"/>
      <c r="G4402" s="44">
        <f>IF(OR(B4402="",F4402=""),"",IFERROR(F4402*INDEX(Mitarbeiter!$F$6:$F$205,MATCH(B4402,Mitarbeiter!$A$6:$A$205,0)),0))</f>
        <v/>
      </c>
      <c r="H4402" s="8">
        <f>IF(B4402="","",IF(ISNA(MATCH(B4402,Mitarbeiter!$A$6:$A$205,0)),"Pers.-Nr. unbekannt",IF(A4402="","Datum fehlt",IF(AND(D4402&lt;&gt;Einstellungen!$C$4,D4402&lt;&gt;Einstellungen!$C$5),"Objekt fehlt",IF(YEAR(A4402)&lt;&gt;Einstellungen!$C$3,"anderes Jahr",IF(A4402&lt;INDEX(Mitarbeiter!$C$6:$C$205,MATCH(B4402,Mitarbeiter!$A$6:$A$205,0)),"vor Eintritt",IF(AND(INDEX(Mitarbeiter!$D$6:$D$205,MATCH(B4402,Mitarbeiter!$A$6:$A$205,0))&lt;&gt;"",A4402&gt;INDEX(Mitarbeiter!$D$6:$D$205,MATCH(B4402,Mitarbeiter!$A$6:$A$205,0))),"nach Austritt","ok")))))))</f>
        <v/>
      </c>
    </row>
    <row r="4403">
      <c r="A4403" s="26" t="n"/>
      <c r="B4403" s="24" t="n"/>
      <c r="C4403" s="40">
        <f>IF(B4403="","",IFERROR(INDEX(Mitarbeiter!$B$6:$B$205,MATCH(B4403,Mitarbeiter!$A$6:$A$205,0)),"?"))</f>
        <v/>
      </c>
      <c r="D4403" s="41" t="n"/>
      <c r="E4403" s="42" t="n"/>
      <c r="F4403" s="43" t="n"/>
      <c r="G4403" s="44">
        <f>IF(OR(B4403="",F4403=""),"",IFERROR(F4403*INDEX(Mitarbeiter!$F$6:$F$205,MATCH(B4403,Mitarbeiter!$A$6:$A$205,0)),0))</f>
        <v/>
      </c>
      <c r="H4403" s="8">
        <f>IF(B4403="","",IF(ISNA(MATCH(B4403,Mitarbeiter!$A$6:$A$205,0)),"Pers.-Nr. unbekannt",IF(A4403="","Datum fehlt",IF(AND(D4403&lt;&gt;Einstellungen!$C$4,D4403&lt;&gt;Einstellungen!$C$5),"Objekt fehlt",IF(YEAR(A4403)&lt;&gt;Einstellungen!$C$3,"anderes Jahr",IF(A4403&lt;INDEX(Mitarbeiter!$C$6:$C$205,MATCH(B4403,Mitarbeiter!$A$6:$A$205,0)),"vor Eintritt",IF(AND(INDEX(Mitarbeiter!$D$6:$D$205,MATCH(B4403,Mitarbeiter!$A$6:$A$205,0))&lt;&gt;"",A4403&gt;INDEX(Mitarbeiter!$D$6:$D$205,MATCH(B4403,Mitarbeiter!$A$6:$A$205,0))),"nach Austritt","ok")))))))</f>
        <v/>
      </c>
    </row>
    <row r="4404">
      <c r="A4404" s="26" t="n"/>
      <c r="B4404" s="24" t="n"/>
      <c r="C4404" s="40">
        <f>IF(B4404="","",IFERROR(INDEX(Mitarbeiter!$B$6:$B$205,MATCH(B4404,Mitarbeiter!$A$6:$A$205,0)),"?"))</f>
        <v/>
      </c>
      <c r="D4404" s="41" t="n"/>
      <c r="E4404" s="42" t="n"/>
      <c r="F4404" s="43" t="n"/>
      <c r="G4404" s="44">
        <f>IF(OR(B4404="",F4404=""),"",IFERROR(F4404*INDEX(Mitarbeiter!$F$6:$F$205,MATCH(B4404,Mitarbeiter!$A$6:$A$205,0)),0))</f>
        <v/>
      </c>
      <c r="H4404" s="8">
        <f>IF(B4404="","",IF(ISNA(MATCH(B4404,Mitarbeiter!$A$6:$A$205,0)),"Pers.-Nr. unbekannt",IF(A4404="","Datum fehlt",IF(AND(D4404&lt;&gt;Einstellungen!$C$4,D4404&lt;&gt;Einstellungen!$C$5),"Objekt fehlt",IF(YEAR(A4404)&lt;&gt;Einstellungen!$C$3,"anderes Jahr",IF(A4404&lt;INDEX(Mitarbeiter!$C$6:$C$205,MATCH(B4404,Mitarbeiter!$A$6:$A$205,0)),"vor Eintritt",IF(AND(INDEX(Mitarbeiter!$D$6:$D$205,MATCH(B4404,Mitarbeiter!$A$6:$A$205,0))&lt;&gt;"",A4404&gt;INDEX(Mitarbeiter!$D$6:$D$205,MATCH(B4404,Mitarbeiter!$A$6:$A$205,0))),"nach Austritt","ok")))))))</f>
        <v/>
      </c>
    </row>
    <row r="4405">
      <c r="A4405" s="26" t="n"/>
      <c r="B4405" s="24" t="n"/>
      <c r="C4405" s="40">
        <f>IF(B4405="","",IFERROR(INDEX(Mitarbeiter!$B$6:$B$205,MATCH(B4405,Mitarbeiter!$A$6:$A$205,0)),"?"))</f>
        <v/>
      </c>
      <c r="D4405" s="41" t="n"/>
      <c r="E4405" s="42" t="n"/>
      <c r="F4405" s="43" t="n"/>
      <c r="G4405" s="44">
        <f>IF(OR(B4405="",F4405=""),"",IFERROR(F4405*INDEX(Mitarbeiter!$F$6:$F$205,MATCH(B4405,Mitarbeiter!$A$6:$A$205,0)),0))</f>
        <v/>
      </c>
      <c r="H4405" s="8">
        <f>IF(B4405="","",IF(ISNA(MATCH(B4405,Mitarbeiter!$A$6:$A$205,0)),"Pers.-Nr. unbekannt",IF(A4405="","Datum fehlt",IF(AND(D4405&lt;&gt;Einstellungen!$C$4,D4405&lt;&gt;Einstellungen!$C$5),"Objekt fehlt",IF(YEAR(A4405)&lt;&gt;Einstellungen!$C$3,"anderes Jahr",IF(A4405&lt;INDEX(Mitarbeiter!$C$6:$C$205,MATCH(B4405,Mitarbeiter!$A$6:$A$205,0)),"vor Eintritt",IF(AND(INDEX(Mitarbeiter!$D$6:$D$205,MATCH(B4405,Mitarbeiter!$A$6:$A$205,0))&lt;&gt;"",A4405&gt;INDEX(Mitarbeiter!$D$6:$D$205,MATCH(B4405,Mitarbeiter!$A$6:$A$205,0))),"nach Austritt","ok")))))))</f>
        <v/>
      </c>
    </row>
    <row r="4406">
      <c r="A4406" s="26" t="n"/>
      <c r="B4406" s="24" t="n"/>
      <c r="C4406" s="40">
        <f>IF(B4406="","",IFERROR(INDEX(Mitarbeiter!$B$6:$B$205,MATCH(B4406,Mitarbeiter!$A$6:$A$205,0)),"?"))</f>
        <v/>
      </c>
      <c r="D4406" s="41" t="n"/>
      <c r="E4406" s="42" t="n"/>
      <c r="F4406" s="43" t="n"/>
      <c r="G4406" s="44">
        <f>IF(OR(B4406="",F4406=""),"",IFERROR(F4406*INDEX(Mitarbeiter!$F$6:$F$205,MATCH(B4406,Mitarbeiter!$A$6:$A$205,0)),0))</f>
        <v/>
      </c>
      <c r="H4406" s="8">
        <f>IF(B4406="","",IF(ISNA(MATCH(B4406,Mitarbeiter!$A$6:$A$205,0)),"Pers.-Nr. unbekannt",IF(A4406="","Datum fehlt",IF(AND(D4406&lt;&gt;Einstellungen!$C$4,D4406&lt;&gt;Einstellungen!$C$5),"Objekt fehlt",IF(YEAR(A4406)&lt;&gt;Einstellungen!$C$3,"anderes Jahr",IF(A4406&lt;INDEX(Mitarbeiter!$C$6:$C$205,MATCH(B4406,Mitarbeiter!$A$6:$A$205,0)),"vor Eintritt",IF(AND(INDEX(Mitarbeiter!$D$6:$D$205,MATCH(B4406,Mitarbeiter!$A$6:$A$205,0))&lt;&gt;"",A4406&gt;INDEX(Mitarbeiter!$D$6:$D$205,MATCH(B4406,Mitarbeiter!$A$6:$A$205,0))),"nach Austritt","ok")))))))</f>
        <v/>
      </c>
    </row>
    <row r="4407">
      <c r="A4407" s="26" t="n"/>
      <c r="B4407" s="24" t="n"/>
      <c r="C4407" s="40">
        <f>IF(B4407="","",IFERROR(INDEX(Mitarbeiter!$B$6:$B$205,MATCH(B4407,Mitarbeiter!$A$6:$A$205,0)),"?"))</f>
        <v/>
      </c>
      <c r="D4407" s="41" t="n"/>
      <c r="E4407" s="42" t="n"/>
      <c r="F4407" s="43" t="n"/>
      <c r="G4407" s="44">
        <f>IF(OR(B4407="",F4407=""),"",IFERROR(F4407*INDEX(Mitarbeiter!$F$6:$F$205,MATCH(B4407,Mitarbeiter!$A$6:$A$205,0)),0))</f>
        <v/>
      </c>
      <c r="H4407" s="8">
        <f>IF(B4407="","",IF(ISNA(MATCH(B4407,Mitarbeiter!$A$6:$A$205,0)),"Pers.-Nr. unbekannt",IF(A4407="","Datum fehlt",IF(AND(D4407&lt;&gt;Einstellungen!$C$4,D4407&lt;&gt;Einstellungen!$C$5),"Objekt fehlt",IF(YEAR(A4407)&lt;&gt;Einstellungen!$C$3,"anderes Jahr",IF(A4407&lt;INDEX(Mitarbeiter!$C$6:$C$205,MATCH(B4407,Mitarbeiter!$A$6:$A$205,0)),"vor Eintritt",IF(AND(INDEX(Mitarbeiter!$D$6:$D$205,MATCH(B4407,Mitarbeiter!$A$6:$A$205,0))&lt;&gt;"",A4407&gt;INDEX(Mitarbeiter!$D$6:$D$205,MATCH(B4407,Mitarbeiter!$A$6:$A$205,0))),"nach Austritt","ok")))))))</f>
        <v/>
      </c>
    </row>
    <row r="4408">
      <c r="A4408" s="26" t="n"/>
      <c r="B4408" s="24" t="n"/>
      <c r="C4408" s="40">
        <f>IF(B4408="","",IFERROR(INDEX(Mitarbeiter!$B$6:$B$205,MATCH(B4408,Mitarbeiter!$A$6:$A$205,0)),"?"))</f>
        <v/>
      </c>
      <c r="D4408" s="41" t="n"/>
      <c r="E4408" s="42" t="n"/>
      <c r="F4408" s="43" t="n"/>
      <c r="G4408" s="44">
        <f>IF(OR(B4408="",F4408=""),"",IFERROR(F4408*INDEX(Mitarbeiter!$F$6:$F$205,MATCH(B4408,Mitarbeiter!$A$6:$A$205,0)),0))</f>
        <v/>
      </c>
      <c r="H4408" s="8">
        <f>IF(B4408="","",IF(ISNA(MATCH(B4408,Mitarbeiter!$A$6:$A$205,0)),"Pers.-Nr. unbekannt",IF(A4408="","Datum fehlt",IF(AND(D4408&lt;&gt;Einstellungen!$C$4,D4408&lt;&gt;Einstellungen!$C$5),"Objekt fehlt",IF(YEAR(A4408)&lt;&gt;Einstellungen!$C$3,"anderes Jahr",IF(A4408&lt;INDEX(Mitarbeiter!$C$6:$C$205,MATCH(B4408,Mitarbeiter!$A$6:$A$205,0)),"vor Eintritt",IF(AND(INDEX(Mitarbeiter!$D$6:$D$205,MATCH(B4408,Mitarbeiter!$A$6:$A$205,0))&lt;&gt;"",A4408&gt;INDEX(Mitarbeiter!$D$6:$D$205,MATCH(B4408,Mitarbeiter!$A$6:$A$205,0))),"nach Austritt","ok")))))))</f>
        <v/>
      </c>
    </row>
    <row r="4409">
      <c r="A4409" s="26" t="n"/>
      <c r="B4409" s="24" t="n"/>
      <c r="C4409" s="40">
        <f>IF(B4409="","",IFERROR(INDEX(Mitarbeiter!$B$6:$B$205,MATCH(B4409,Mitarbeiter!$A$6:$A$205,0)),"?"))</f>
        <v/>
      </c>
      <c r="D4409" s="41" t="n"/>
      <c r="E4409" s="42" t="n"/>
      <c r="F4409" s="43" t="n"/>
      <c r="G4409" s="44">
        <f>IF(OR(B4409="",F4409=""),"",IFERROR(F4409*INDEX(Mitarbeiter!$F$6:$F$205,MATCH(B4409,Mitarbeiter!$A$6:$A$205,0)),0))</f>
        <v/>
      </c>
      <c r="H4409" s="8">
        <f>IF(B4409="","",IF(ISNA(MATCH(B4409,Mitarbeiter!$A$6:$A$205,0)),"Pers.-Nr. unbekannt",IF(A4409="","Datum fehlt",IF(AND(D4409&lt;&gt;Einstellungen!$C$4,D4409&lt;&gt;Einstellungen!$C$5),"Objekt fehlt",IF(YEAR(A4409)&lt;&gt;Einstellungen!$C$3,"anderes Jahr",IF(A4409&lt;INDEX(Mitarbeiter!$C$6:$C$205,MATCH(B4409,Mitarbeiter!$A$6:$A$205,0)),"vor Eintritt",IF(AND(INDEX(Mitarbeiter!$D$6:$D$205,MATCH(B4409,Mitarbeiter!$A$6:$A$205,0))&lt;&gt;"",A4409&gt;INDEX(Mitarbeiter!$D$6:$D$205,MATCH(B4409,Mitarbeiter!$A$6:$A$205,0))),"nach Austritt","ok")))))))</f>
        <v/>
      </c>
    </row>
    <row r="4410">
      <c r="A4410" s="26" t="n"/>
      <c r="B4410" s="24" t="n"/>
      <c r="C4410" s="40">
        <f>IF(B4410="","",IFERROR(INDEX(Mitarbeiter!$B$6:$B$205,MATCH(B4410,Mitarbeiter!$A$6:$A$205,0)),"?"))</f>
        <v/>
      </c>
      <c r="D4410" s="41" t="n"/>
      <c r="E4410" s="42" t="n"/>
      <c r="F4410" s="43" t="n"/>
      <c r="G4410" s="44">
        <f>IF(OR(B4410="",F4410=""),"",IFERROR(F4410*INDEX(Mitarbeiter!$F$6:$F$205,MATCH(B4410,Mitarbeiter!$A$6:$A$205,0)),0))</f>
        <v/>
      </c>
      <c r="H4410" s="8">
        <f>IF(B4410="","",IF(ISNA(MATCH(B4410,Mitarbeiter!$A$6:$A$205,0)),"Pers.-Nr. unbekannt",IF(A4410="","Datum fehlt",IF(AND(D4410&lt;&gt;Einstellungen!$C$4,D4410&lt;&gt;Einstellungen!$C$5),"Objekt fehlt",IF(YEAR(A4410)&lt;&gt;Einstellungen!$C$3,"anderes Jahr",IF(A4410&lt;INDEX(Mitarbeiter!$C$6:$C$205,MATCH(B4410,Mitarbeiter!$A$6:$A$205,0)),"vor Eintritt",IF(AND(INDEX(Mitarbeiter!$D$6:$D$205,MATCH(B4410,Mitarbeiter!$A$6:$A$205,0))&lt;&gt;"",A4410&gt;INDEX(Mitarbeiter!$D$6:$D$205,MATCH(B4410,Mitarbeiter!$A$6:$A$205,0))),"nach Austritt","ok")))))))</f>
        <v/>
      </c>
    </row>
    <row r="4411">
      <c r="A4411" s="26" t="n"/>
      <c r="B4411" s="24" t="n"/>
      <c r="C4411" s="40">
        <f>IF(B4411="","",IFERROR(INDEX(Mitarbeiter!$B$6:$B$205,MATCH(B4411,Mitarbeiter!$A$6:$A$205,0)),"?"))</f>
        <v/>
      </c>
      <c r="D4411" s="41" t="n"/>
      <c r="E4411" s="42" t="n"/>
      <c r="F4411" s="43" t="n"/>
      <c r="G4411" s="44">
        <f>IF(OR(B4411="",F4411=""),"",IFERROR(F4411*INDEX(Mitarbeiter!$F$6:$F$205,MATCH(B4411,Mitarbeiter!$A$6:$A$205,0)),0))</f>
        <v/>
      </c>
      <c r="H4411" s="8">
        <f>IF(B4411="","",IF(ISNA(MATCH(B4411,Mitarbeiter!$A$6:$A$205,0)),"Pers.-Nr. unbekannt",IF(A4411="","Datum fehlt",IF(AND(D4411&lt;&gt;Einstellungen!$C$4,D4411&lt;&gt;Einstellungen!$C$5),"Objekt fehlt",IF(YEAR(A4411)&lt;&gt;Einstellungen!$C$3,"anderes Jahr",IF(A4411&lt;INDEX(Mitarbeiter!$C$6:$C$205,MATCH(B4411,Mitarbeiter!$A$6:$A$205,0)),"vor Eintritt",IF(AND(INDEX(Mitarbeiter!$D$6:$D$205,MATCH(B4411,Mitarbeiter!$A$6:$A$205,0))&lt;&gt;"",A4411&gt;INDEX(Mitarbeiter!$D$6:$D$205,MATCH(B4411,Mitarbeiter!$A$6:$A$205,0))),"nach Austritt","ok")))))))</f>
        <v/>
      </c>
    </row>
    <row r="4412">
      <c r="A4412" s="26" t="n"/>
      <c r="B4412" s="24" t="n"/>
      <c r="C4412" s="40">
        <f>IF(B4412="","",IFERROR(INDEX(Mitarbeiter!$B$6:$B$205,MATCH(B4412,Mitarbeiter!$A$6:$A$205,0)),"?"))</f>
        <v/>
      </c>
      <c r="D4412" s="41" t="n"/>
      <c r="E4412" s="42" t="n"/>
      <c r="F4412" s="43" t="n"/>
      <c r="G4412" s="44">
        <f>IF(OR(B4412="",F4412=""),"",IFERROR(F4412*INDEX(Mitarbeiter!$F$6:$F$205,MATCH(B4412,Mitarbeiter!$A$6:$A$205,0)),0))</f>
        <v/>
      </c>
      <c r="H4412" s="8">
        <f>IF(B4412="","",IF(ISNA(MATCH(B4412,Mitarbeiter!$A$6:$A$205,0)),"Pers.-Nr. unbekannt",IF(A4412="","Datum fehlt",IF(AND(D4412&lt;&gt;Einstellungen!$C$4,D4412&lt;&gt;Einstellungen!$C$5),"Objekt fehlt",IF(YEAR(A4412)&lt;&gt;Einstellungen!$C$3,"anderes Jahr",IF(A4412&lt;INDEX(Mitarbeiter!$C$6:$C$205,MATCH(B4412,Mitarbeiter!$A$6:$A$205,0)),"vor Eintritt",IF(AND(INDEX(Mitarbeiter!$D$6:$D$205,MATCH(B4412,Mitarbeiter!$A$6:$A$205,0))&lt;&gt;"",A4412&gt;INDEX(Mitarbeiter!$D$6:$D$205,MATCH(B4412,Mitarbeiter!$A$6:$A$205,0))),"nach Austritt","ok")))))))</f>
        <v/>
      </c>
    </row>
    <row r="4413">
      <c r="A4413" s="26" t="n"/>
      <c r="B4413" s="24" t="n"/>
      <c r="C4413" s="40">
        <f>IF(B4413="","",IFERROR(INDEX(Mitarbeiter!$B$6:$B$205,MATCH(B4413,Mitarbeiter!$A$6:$A$205,0)),"?"))</f>
        <v/>
      </c>
      <c r="D4413" s="41" t="n"/>
      <c r="E4413" s="42" t="n"/>
      <c r="F4413" s="43" t="n"/>
      <c r="G4413" s="44">
        <f>IF(OR(B4413="",F4413=""),"",IFERROR(F4413*INDEX(Mitarbeiter!$F$6:$F$205,MATCH(B4413,Mitarbeiter!$A$6:$A$205,0)),0))</f>
        <v/>
      </c>
      <c r="H4413" s="8">
        <f>IF(B4413="","",IF(ISNA(MATCH(B4413,Mitarbeiter!$A$6:$A$205,0)),"Pers.-Nr. unbekannt",IF(A4413="","Datum fehlt",IF(AND(D4413&lt;&gt;Einstellungen!$C$4,D4413&lt;&gt;Einstellungen!$C$5),"Objekt fehlt",IF(YEAR(A4413)&lt;&gt;Einstellungen!$C$3,"anderes Jahr",IF(A4413&lt;INDEX(Mitarbeiter!$C$6:$C$205,MATCH(B4413,Mitarbeiter!$A$6:$A$205,0)),"vor Eintritt",IF(AND(INDEX(Mitarbeiter!$D$6:$D$205,MATCH(B4413,Mitarbeiter!$A$6:$A$205,0))&lt;&gt;"",A4413&gt;INDEX(Mitarbeiter!$D$6:$D$205,MATCH(B4413,Mitarbeiter!$A$6:$A$205,0))),"nach Austritt","ok")))))))</f>
        <v/>
      </c>
    </row>
    <row r="4414">
      <c r="A4414" s="26" t="n"/>
      <c r="B4414" s="24" t="n"/>
      <c r="C4414" s="40">
        <f>IF(B4414="","",IFERROR(INDEX(Mitarbeiter!$B$6:$B$205,MATCH(B4414,Mitarbeiter!$A$6:$A$205,0)),"?"))</f>
        <v/>
      </c>
      <c r="D4414" s="41" t="n"/>
      <c r="E4414" s="42" t="n"/>
      <c r="F4414" s="43" t="n"/>
      <c r="G4414" s="44">
        <f>IF(OR(B4414="",F4414=""),"",IFERROR(F4414*INDEX(Mitarbeiter!$F$6:$F$205,MATCH(B4414,Mitarbeiter!$A$6:$A$205,0)),0))</f>
        <v/>
      </c>
      <c r="H4414" s="8">
        <f>IF(B4414="","",IF(ISNA(MATCH(B4414,Mitarbeiter!$A$6:$A$205,0)),"Pers.-Nr. unbekannt",IF(A4414="","Datum fehlt",IF(AND(D4414&lt;&gt;Einstellungen!$C$4,D4414&lt;&gt;Einstellungen!$C$5),"Objekt fehlt",IF(YEAR(A4414)&lt;&gt;Einstellungen!$C$3,"anderes Jahr",IF(A4414&lt;INDEX(Mitarbeiter!$C$6:$C$205,MATCH(B4414,Mitarbeiter!$A$6:$A$205,0)),"vor Eintritt",IF(AND(INDEX(Mitarbeiter!$D$6:$D$205,MATCH(B4414,Mitarbeiter!$A$6:$A$205,0))&lt;&gt;"",A4414&gt;INDEX(Mitarbeiter!$D$6:$D$205,MATCH(B4414,Mitarbeiter!$A$6:$A$205,0))),"nach Austritt","ok")))))))</f>
        <v/>
      </c>
    </row>
    <row r="4415">
      <c r="A4415" s="26" t="n"/>
      <c r="B4415" s="24" t="n"/>
      <c r="C4415" s="40">
        <f>IF(B4415="","",IFERROR(INDEX(Mitarbeiter!$B$6:$B$205,MATCH(B4415,Mitarbeiter!$A$6:$A$205,0)),"?"))</f>
        <v/>
      </c>
      <c r="D4415" s="41" t="n"/>
      <c r="E4415" s="42" t="n"/>
      <c r="F4415" s="43" t="n"/>
      <c r="G4415" s="44">
        <f>IF(OR(B4415="",F4415=""),"",IFERROR(F4415*INDEX(Mitarbeiter!$F$6:$F$205,MATCH(B4415,Mitarbeiter!$A$6:$A$205,0)),0))</f>
        <v/>
      </c>
      <c r="H4415" s="8">
        <f>IF(B4415="","",IF(ISNA(MATCH(B4415,Mitarbeiter!$A$6:$A$205,0)),"Pers.-Nr. unbekannt",IF(A4415="","Datum fehlt",IF(AND(D4415&lt;&gt;Einstellungen!$C$4,D4415&lt;&gt;Einstellungen!$C$5),"Objekt fehlt",IF(YEAR(A4415)&lt;&gt;Einstellungen!$C$3,"anderes Jahr",IF(A4415&lt;INDEX(Mitarbeiter!$C$6:$C$205,MATCH(B4415,Mitarbeiter!$A$6:$A$205,0)),"vor Eintritt",IF(AND(INDEX(Mitarbeiter!$D$6:$D$205,MATCH(B4415,Mitarbeiter!$A$6:$A$205,0))&lt;&gt;"",A4415&gt;INDEX(Mitarbeiter!$D$6:$D$205,MATCH(B4415,Mitarbeiter!$A$6:$A$205,0))),"nach Austritt","ok")))))))</f>
        <v/>
      </c>
    </row>
    <row r="4416">
      <c r="A4416" s="26" t="n"/>
      <c r="B4416" s="24" t="n"/>
      <c r="C4416" s="40">
        <f>IF(B4416="","",IFERROR(INDEX(Mitarbeiter!$B$6:$B$205,MATCH(B4416,Mitarbeiter!$A$6:$A$205,0)),"?"))</f>
        <v/>
      </c>
      <c r="D4416" s="41" t="n"/>
      <c r="E4416" s="42" t="n"/>
      <c r="F4416" s="43" t="n"/>
      <c r="G4416" s="44">
        <f>IF(OR(B4416="",F4416=""),"",IFERROR(F4416*INDEX(Mitarbeiter!$F$6:$F$205,MATCH(B4416,Mitarbeiter!$A$6:$A$205,0)),0))</f>
        <v/>
      </c>
      <c r="H4416" s="8">
        <f>IF(B4416="","",IF(ISNA(MATCH(B4416,Mitarbeiter!$A$6:$A$205,0)),"Pers.-Nr. unbekannt",IF(A4416="","Datum fehlt",IF(AND(D4416&lt;&gt;Einstellungen!$C$4,D4416&lt;&gt;Einstellungen!$C$5),"Objekt fehlt",IF(YEAR(A4416)&lt;&gt;Einstellungen!$C$3,"anderes Jahr",IF(A4416&lt;INDEX(Mitarbeiter!$C$6:$C$205,MATCH(B4416,Mitarbeiter!$A$6:$A$205,0)),"vor Eintritt",IF(AND(INDEX(Mitarbeiter!$D$6:$D$205,MATCH(B4416,Mitarbeiter!$A$6:$A$205,0))&lt;&gt;"",A4416&gt;INDEX(Mitarbeiter!$D$6:$D$205,MATCH(B4416,Mitarbeiter!$A$6:$A$205,0))),"nach Austritt","ok")))))))</f>
        <v/>
      </c>
    </row>
    <row r="4417">
      <c r="A4417" s="26" t="n"/>
      <c r="B4417" s="24" t="n"/>
      <c r="C4417" s="40">
        <f>IF(B4417="","",IFERROR(INDEX(Mitarbeiter!$B$6:$B$205,MATCH(B4417,Mitarbeiter!$A$6:$A$205,0)),"?"))</f>
        <v/>
      </c>
      <c r="D4417" s="41" t="n"/>
      <c r="E4417" s="42" t="n"/>
      <c r="F4417" s="43" t="n"/>
      <c r="G4417" s="44">
        <f>IF(OR(B4417="",F4417=""),"",IFERROR(F4417*INDEX(Mitarbeiter!$F$6:$F$205,MATCH(B4417,Mitarbeiter!$A$6:$A$205,0)),0))</f>
        <v/>
      </c>
      <c r="H4417" s="8">
        <f>IF(B4417="","",IF(ISNA(MATCH(B4417,Mitarbeiter!$A$6:$A$205,0)),"Pers.-Nr. unbekannt",IF(A4417="","Datum fehlt",IF(AND(D4417&lt;&gt;Einstellungen!$C$4,D4417&lt;&gt;Einstellungen!$C$5),"Objekt fehlt",IF(YEAR(A4417)&lt;&gt;Einstellungen!$C$3,"anderes Jahr",IF(A4417&lt;INDEX(Mitarbeiter!$C$6:$C$205,MATCH(B4417,Mitarbeiter!$A$6:$A$205,0)),"vor Eintritt",IF(AND(INDEX(Mitarbeiter!$D$6:$D$205,MATCH(B4417,Mitarbeiter!$A$6:$A$205,0))&lt;&gt;"",A4417&gt;INDEX(Mitarbeiter!$D$6:$D$205,MATCH(B4417,Mitarbeiter!$A$6:$A$205,0))),"nach Austritt","ok")))))))</f>
        <v/>
      </c>
    </row>
    <row r="4418">
      <c r="A4418" s="26" t="n"/>
      <c r="B4418" s="24" t="n"/>
      <c r="C4418" s="40">
        <f>IF(B4418="","",IFERROR(INDEX(Mitarbeiter!$B$6:$B$205,MATCH(B4418,Mitarbeiter!$A$6:$A$205,0)),"?"))</f>
        <v/>
      </c>
      <c r="D4418" s="41" t="n"/>
      <c r="E4418" s="42" t="n"/>
      <c r="F4418" s="43" t="n"/>
      <c r="G4418" s="44">
        <f>IF(OR(B4418="",F4418=""),"",IFERROR(F4418*INDEX(Mitarbeiter!$F$6:$F$205,MATCH(B4418,Mitarbeiter!$A$6:$A$205,0)),0))</f>
        <v/>
      </c>
      <c r="H4418" s="8">
        <f>IF(B4418="","",IF(ISNA(MATCH(B4418,Mitarbeiter!$A$6:$A$205,0)),"Pers.-Nr. unbekannt",IF(A4418="","Datum fehlt",IF(AND(D4418&lt;&gt;Einstellungen!$C$4,D4418&lt;&gt;Einstellungen!$C$5),"Objekt fehlt",IF(YEAR(A4418)&lt;&gt;Einstellungen!$C$3,"anderes Jahr",IF(A4418&lt;INDEX(Mitarbeiter!$C$6:$C$205,MATCH(B4418,Mitarbeiter!$A$6:$A$205,0)),"vor Eintritt",IF(AND(INDEX(Mitarbeiter!$D$6:$D$205,MATCH(B4418,Mitarbeiter!$A$6:$A$205,0))&lt;&gt;"",A4418&gt;INDEX(Mitarbeiter!$D$6:$D$205,MATCH(B4418,Mitarbeiter!$A$6:$A$205,0))),"nach Austritt","ok")))))))</f>
        <v/>
      </c>
    </row>
    <row r="4419">
      <c r="A4419" s="26" t="n"/>
      <c r="B4419" s="24" t="n"/>
      <c r="C4419" s="40">
        <f>IF(B4419="","",IFERROR(INDEX(Mitarbeiter!$B$6:$B$205,MATCH(B4419,Mitarbeiter!$A$6:$A$205,0)),"?"))</f>
        <v/>
      </c>
      <c r="D4419" s="41" t="n"/>
      <c r="E4419" s="42" t="n"/>
      <c r="F4419" s="43" t="n"/>
      <c r="G4419" s="44">
        <f>IF(OR(B4419="",F4419=""),"",IFERROR(F4419*INDEX(Mitarbeiter!$F$6:$F$205,MATCH(B4419,Mitarbeiter!$A$6:$A$205,0)),0))</f>
        <v/>
      </c>
      <c r="H4419" s="8">
        <f>IF(B4419="","",IF(ISNA(MATCH(B4419,Mitarbeiter!$A$6:$A$205,0)),"Pers.-Nr. unbekannt",IF(A4419="","Datum fehlt",IF(AND(D4419&lt;&gt;Einstellungen!$C$4,D4419&lt;&gt;Einstellungen!$C$5),"Objekt fehlt",IF(YEAR(A4419)&lt;&gt;Einstellungen!$C$3,"anderes Jahr",IF(A4419&lt;INDEX(Mitarbeiter!$C$6:$C$205,MATCH(B4419,Mitarbeiter!$A$6:$A$205,0)),"vor Eintritt",IF(AND(INDEX(Mitarbeiter!$D$6:$D$205,MATCH(B4419,Mitarbeiter!$A$6:$A$205,0))&lt;&gt;"",A4419&gt;INDEX(Mitarbeiter!$D$6:$D$205,MATCH(B4419,Mitarbeiter!$A$6:$A$205,0))),"nach Austritt","ok")))))))</f>
        <v/>
      </c>
    </row>
    <row r="4420">
      <c r="A4420" s="26" t="n"/>
      <c r="B4420" s="24" t="n"/>
      <c r="C4420" s="40">
        <f>IF(B4420="","",IFERROR(INDEX(Mitarbeiter!$B$6:$B$205,MATCH(B4420,Mitarbeiter!$A$6:$A$205,0)),"?"))</f>
        <v/>
      </c>
      <c r="D4420" s="41" t="n"/>
      <c r="E4420" s="42" t="n"/>
      <c r="F4420" s="43" t="n"/>
      <c r="G4420" s="44">
        <f>IF(OR(B4420="",F4420=""),"",IFERROR(F4420*INDEX(Mitarbeiter!$F$6:$F$205,MATCH(B4420,Mitarbeiter!$A$6:$A$205,0)),0))</f>
        <v/>
      </c>
      <c r="H4420" s="8">
        <f>IF(B4420="","",IF(ISNA(MATCH(B4420,Mitarbeiter!$A$6:$A$205,0)),"Pers.-Nr. unbekannt",IF(A4420="","Datum fehlt",IF(AND(D4420&lt;&gt;Einstellungen!$C$4,D4420&lt;&gt;Einstellungen!$C$5),"Objekt fehlt",IF(YEAR(A4420)&lt;&gt;Einstellungen!$C$3,"anderes Jahr",IF(A4420&lt;INDEX(Mitarbeiter!$C$6:$C$205,MATCH(B4420,Mitarbeiter!$A$6:$A$205,0)),"vor Eintritt",IF(AND(INDEX(Mitarbeiter!$D$6:$D$205,MATCH(B4420,Mitarbeiter!$A$6:$A$205,0))&lt;&gt;"",A4420&gt;INDEX(Mitarbeiter!$D$6:$D$205,MATCH(B4420,Mitarbeiter!$A$6:$A$205,0))),"nach Austritt","ok")))))))</f>
        <v/>
      </c>
    </row>
    <row r="4421">
      <c r="A4421" s="26" t="n"/>
      <c r="B4421" s="24" t="n"/>
      <c r="C4421" s="40">
        <f>IF(B4421="","",IFERROR(INDEX(Mitarbeiter!$B$6:$B$205,MATCH(B4421,Mitarbeiter!$A$6:$A$205,0)),"?"))</f>
        <v/>
      </c>
      <c r="D4421" s="41" t="n"/>
      <c r="E4421" s="42" t="n"/>
      <c r="F4421" s="43" t="n"/>
      <c r="G4421" s="44">
        <f>IF(OR(B4421="",F4421=""),"",IFERROR(F4421*INDEX(Mitarbeiter!$F$6:$F$205,MATCH(B4421,Mitarbeiter!$A$6:$A$205,0)),0))</f>
        <v/>
      </c>
      <c r="H4421" s="8">
        <f>IF(B4421="","",IF(ISNA(MATCH(B4421,Mitarbeiter!$A$6:$A$205,0)),"Pers.-Nr. unbekannt",IF(A4421="","Datum fehlt",IF(AND(D4421&lt;&gt;Einstellungen!$C$4,D4421&lt;&gt;Einstellungen!$C$5),"Objekt fehlt",IF(YEAR(A4421)&lt;&gt;Einstellungen!$C$3,"anderes Jahr",IF(A4421&lt;INDEX(Mitarbeiter!$C$6:$C$205,MATCH(B4421,Mitarbeiter!$A$6:$A$205,0)),"vor Eintritt",IF(AND(INDEX(Mitarbeiter!$D$6:$D$205,MATCH(B4421,Mitarbeiter!$A$6:$A$205,0))&lt;&gt;"",A4421&gt;INDEX(Mitarbeiter!$D$6:$D$205,MATCH(B4421,Mitarbeiter!$A$6:$A$205,0))),"nach Austritt","ok")))))))</f>
        <v/>
      </c>
    </row>
    <row r="4422">
      <c r="A4422" s="26" t="n"/>
      <c r="B4422" s="24" t="n"/>
      <c r="C4422" s="40">
        <f>IF(B4422="","",IFERROR(INDEX(Mitarbeiter!$B$6:$B$205,MATCH(B4422,Mitarbeiter!$A$6:$A$205,0)),"?"))</f>
        <v/>
      </c>
      <c r="D4422" s="41" t="n"/>
      <c r="E4422" s="42" t="n"/>
      <c r="F4422" s="43" t="n"/>
      <c r="G4422" s="44">
        <f>IF(OR(B4422="",F4422=""),"",IFERROR(F4422*INDEX(Mitarbeiter!$F$6:$F$205,MATCH(B4422,Mitarbeiter!$A$6:$A$205,0)),0))</f>
        <v/>
      </c>
      <c r="H4422" s="8">
        <f>IF(B4422="","",IF(ISNA(MATCH(B4422,Mitarbeiter!$A$6:$A$205,0)),"Pers.-Nr. unbekannt",IF(A4422="","Datum fehlt",IF(AND(D4422&lt;&gt;Einstellungen!$C$4,D4422&lt;&gt;Einstellungen!$C$5),"Objekt fehlt",IF(YEAR(A4422)&lt;&gt;Einstellungen!$C$3,"anderes Jahr",IF(A4422&lt;INDEX(Mitarbeiter!$C$6:$C$205,MATCH(B4422,Mitarbeiter!$A$6:$A$205,0)),"vor Eintritt",IF(AND(INDEX(Mitarbeiter!$D$6:$D$205,MATCH(B4422,Mitarbeiter!$A$6:$A$205,0))&lt;&gt;"",A4422&gt;INDEX(Mitarbeiter!$D$6:$D$205,MATCH(B4422,Mitarbeiter!$A$6:$A$205,0))),"nach Austritt","ok")))))))</f>
        <v/>
      </c>
    </row>
    <row r="4423">
      <c r="A4423" s="26" t="n"/>
      <c r="B4423" s="24" t="n"/>
      <c r="C4423" s="40">
        <f>IF(B4423="","",IFERROR(INDEX(Mitarbeiter!$B$6:$B$205,MATCH(B4423,Mitarbeiter!$A$6:$A$205,0)),"?"))</f>
        <v/>
      </c>
      <c r="D4423" s="41" t="n"/>
      <c r="E4423" s="42" t="n"/>
      <c r="F4423" s="43" t="n"/>
      <c r="G4423" s="44">
        <f>IF(OR(B4423="",F4423=""),"",IFERROR(F4423*INDEX(Mitarbeiter!$F$6:$F$205,MATCH(B4423,Mitarbeiter!$A$6:$A$205,0)),0))</f>
        <v/>
      </c>
      <c r="H4423" s="8">
        <f>IF(B4423="","",IF(ISNA(MATCH(B4423,Mitarbeiter!$A$6:$A$205,0)),"Pers.-Nr. unbekannt",IF(A4423="","Datum fehlt",IF(AND(D4423&lt;&gt;Einstellungen!$C$4,D4423&lt;&gt;Einstellungen!$C$5),"Objekt fehlt",IF(YEAR(A4423)&lt;&gt;Einstellungen!$C$3,"anderes Jahr",IF(A4423&lt;INDEX(Mitarbeiter!$C$6:$C$205,MATCH(B4423,Mitarbeiter!$A$6:$A$205,0)),"vor Eintritt",IF(AND(INDEX(Mitarbeiter!$D$6:$D$205,MATCH(B4423,Mitarbeiter!$A$6:$A$205,0))&lt;&gt;"",A4423&gt;INDEX(Mitarbeiter!$D$6:$D$205,MATCH(B4423,Mitarbeiter!$A$6:$A$205,0))),"nach Austritt","ok")))))))</f>
        <v/>
      </c>
    </row>
    <row r="4424">
      <c r="A4424" s="26" t="n"/>
      <c r="B4424" s="24" t="n"/>
      <c r="C4424" s="40">
        <f>IF(B4424="","",IFERROR(INDEX(Mitarbeiter!$B$6:$B$205,MATCH(B4424,Mitarbeiter!$A$6:$A$205,0)),"?"))</f>
        <v/>
      </c>
      <c r="D4424" s="41" t="n"/>
      <c r="E4424" s="42" t="n"/>
      <c r="F4424" s="43" t="n"/>
      <c r="G4424" s="44">
        <f>IF(OR(B4424="",F4424=""),"",IFERROR(F4424*INDEX(Mitarbeiter!$F$6:$F$205,MATCH(B4424,Mitarbeiter!$A$6:$A$205,0)),0))</f>
        <v/>
      </c>
      <c r="H4424" s="8">
        <f>IF(B4424="","",IF(ISNA(MATCH(B4424,Mitarbeiter!$A$6:$A$205,0)),"Pers.-Nr. unbekannt",IF(A4424="","Datum fehlt",IF(AND(D4424&lt;&gt;Einstellungen!$C$4,D4424&lt;&gt;Einstellungen!$C$5),"Objekt fehlt",IF(YEAR(A4424)&lt;&gt;Einstellungen!$C$3,"anderes Jahr",IF(A4424&lt;INDEX(Mitarbeiter!$C$6:$C$205,MATCH(B4424,Mitarbeiter!$A$6:$A$205,0)),"vor Eintritt",IF(AND(INDEX(Mitarbeiter!$D$6:$D$205,MATCH(B4424,Mitarbeiter!$A$6:$A$205,0))&lt;&gt;"",A4424&gt;INDEX(Mitarbeiter!$D$6:$D$205,MATCH(B4424,Mitarbeiter!$A$6:$A$205,0))),"nach Austritt","ok")))))))</f>
        <v/>
      </c>
    </row>
    <row r="4425">
      <c r="A4425" s="26" t="n"/>
      <c r="B4425" s="24" t="n"/>
      <c r="C4425" s="40">
        <f>IF(B4425="","",IFERROR(INDEX(Mitarbeiter!$B$6:$B$205,MATCH(B4425,Mitarbeiter!$A$6:$A$205,0)),"?"))</f>
        <v/>
      </c>
      <c r="D4425" s="41" t="n"/>
      <c r="E4425" s="42" t="n"/>
      <c r="F4425" s="43" t="n"/>
      <c r="G4425" s="44">
        <f>IF(OR(B4425="",F4425=""),"",IFERROR(F4425*INDEX(Mitarbeiter!$F$6:$F$205,MATCH(B4425,Mitarbeiter!$A$6:$A$205,0)),0))</f>
        <v/>
      </c>
      <c r="H4425" s="8">
        <f>IF(B4425="","",IF(ISNA(MATCH(B4425,Mitarbeiter!$A$6:$A$205,0)),"Pers.-Nr. unbekannt",IF(A4425="","Datum fehlt",IF(AND(D4425&lt;&gt;Einstellungen!$C$4,D4425&lt;&gt;Einstellungen!$C$5),"Objekt fehlt",IF(YEAR(A4425)&lt;&gt;Einstellungen!$C$3,"anderes Jahr",IF(A4425&lt;INDEX(Mitarbeiter!$C$6:$C$205,MATCH(B4425,Mitarbeiter!$A$6:$A$205,0)),"vor Eintritt",IF(AND(INDEX(Mitarbeiter!$D$6:$D$205,MATCH(B4425,Mitarbeiter!$A$6:$A$205,0))&lt;&gt;"",A4425&gt;INDEX(Mitarbeiter!$D$6:$D$205,MATCH(B4425,Mitarbeiter!$A$6:$A$205,0))),"nach Austritt","ok")))))))</f>
        <v/>
      </c>
    </row>
    <row r="4426">
      <c r="A4426" s="26" t="n"/>
      <c r="B4426" s="24" t="n"/>
      <c r="C4426" s="40">
        <f>IF(B4426="","",IFERROR(INDEX(Mitarbeiter!$B$6:$B$205,MATCH(B4426,Mitarbeiter!$A$6:$A$205,0)),"?"))</f>
        <v/>
      </c>
      <c r="D4426" s="41" t="n"/>
      <c r="E4426" s="42" t="n"/>
      <c r="F4426" s="43" t="n"/>
      <c r="G4426" s="44">
        <f>IF(OR(B4426="",F4426=""),"",IFERROR(F4426*INDEX(Mitarbeiter!$F$6:$F$205,MATCH(B4426,Mitarbeiter!$A$6:$A$205,0)),0))</f>
        <v/>
      </c>
      <c r="H4426" s="8">
        <f>IF(B4426="","",IF(ISNA(MATCH(B4426,Mitarbeiter!$A$6:$A$205,0)),"Pers.-Nr. unbekannt",IF(A4426="","Datum fehlt",IF(AND(D4426&lt;&gt;Einstellungen!$C$4,D4426&lt;&gt;Einstellungen!$C$5),"Objekt fehlt",IF(YEAR(A4426)&lt;&gt;Einstellungen!$C$3,"anderes Jahr",IF(A4426&lt;INDEX(Mitarbeiter!$C$6:$C$205,MATCH(B4426,Mitarbeiter!$A$6:$A$205,0)),"vor Eintritt",IF(AND(INDEX(Mitarbeiter!$D$6:$D$205,MATCH(B4426,Mitarbeiter!$A$6:$A$205,0))&lt;&gt;"",A4426&gt;INDEX(Mitarbeiter!$D$6:$D$205,MATCH(B4426,Mitarbeiter!$A$6:$A$205,0))),"nach Austritt","ok")))))))</f>
        <v/>
      </c>
    </row>
    <row r="4427">
      <c r="A4427" s="26" t="n"/>
      <c r="B4427" s="24" t="n"/>
      <c r="C4427" s="40">
        <f>IF(B4427="","",IFERROR(INDEX(Mitarbeiter!$B$6:$B$205,MATCH(B4427,Mitarbeiter!$A$6:$A$205,0)),"?"))</f>
        <v/>
      </c>
      <c r="D4427" s="41" t="n"/>
      <c r="E4427" s="42" t="n"/>
      <c r="F4427" s="43" t="n"/>
      <c r="G4427" s="44">
        <f>IF(OR(B4427="",F4427=""),"",IFERROR(F4427*INDEX(Mitarbeiter!$F$6:$F$205,MATCH(B4427,Mitarbeiter!$A$6:$A$205,0)),0))</f>
        <v/>
      </c>
      <c r="H4427" s="8">
        <f>IF(B4427="","",IF(ISNA(MATCH(B4427,Mitarbeiter!$A$6:$A$205,0)),"Pers.-Nr. unbekannt",IF(A4427="","Datum fehlt",IF(AND(D4427&lt;&gt;Einstellungen!$C$4,D4427&lt;&gt;Einstellungen!$C$5),"Objekt fehlt",IF(YEAR(A4427)&lt;&gt;Einstellungen!$C$3,"anderes Jahr",IF(A4427&lt;INDEX(Mitarbeiter!$C$6:$C$205,MATCH(B4427,Mitarbeiter!$A$6:$A$205,0)),"vor Eintritt",IF(AND(INDEX(Mitarbeiter!$D$6:$D$205,MATCH(B4427,Mitarbeiter!$A$6:$A$205,0))&lt;&gt;"",A4427&gt;INDEX(Mitarbeiter!$D$6:$D$205,MATCH(B4427,Mitarbeiter!$A$6:$A$205,0))),"nach Austritt","ok")))))))</f>
        <v/>
      </c>
    </row>
    <row r="4428">
      <c r="A4428" s="26" t="n"/>
      <c r="B4428" s="24" t="n"/>
      <c r="C4428" s="40">
        <f>IF(B4428="","",IFERROR(INDEX(Mitarbeiter!$B$6:$B$205,MATCH(B4428,Mitarbeiter!$A$6:$A$205,0)),"?"))</f>
        <v/>
      </c>
      <c r="D4428" s="41" t="n"/>
      <c r="E4428" s="42" t="n"/>
      <c r="F4428" s="43" t="n"/>
      <c r="G4428" s="44">
        <f>IF(OR(B4428="",F4428=""),"",IFERROR(F4428*INDEX(Mitarbeiter!$F$6:$F$205,MATCH(B4428,Mitarbeiter!$A$6:$A$205,0)),0))</f>
        <v/>
      </c>
      <c r="H4428" s="8">
        <f>IF(B4428="","",IF(ISNA(MATCH(B4428,Mitarbeiter!$A$6:$A$205,0)),"Pers.-Nr. unbekannt",IF(A4428="","Datum fehlt",IF(AND(D4428&lt;&gt;Einstellungen!$C$4,D4428&lt;&gt;Einstellungen!$C$5),"Objekt fehlt",IF(YEAR(A4428)&lt;&gt;Einstellungen!$C$3,"anderes Jahr",IF(A4428&lt;INDEX(Mitarbeiter!$C$6:$C$205,MATCH(B4428,Mitarbeiter!$A$6:$A$205,0)),"vor Eintritt",IF(AND(INDEX(Mitarbeiter!$D$6:$D$205,MATCH(B4428,Mitarbeiter!$A$6:$A$205,0))&lt;&gt;"",A4428&gt;INDEX(Mitarbeiter!$D$6:$D$205,MATCH(B4428,Mitarbeiter!$A$6:$A$205,0))),"nach Austritt","ok")))))))</f>
        <v/>
      </c>
    </row>
    <row r="4429">
      <c r="A4429" s="26" t="n"/>
      <c r="B4429" s="24" t="n"/>
      <c r="C4429" s="40">
        <f>IF(B4429="","",IFERROR(INDEX(Mitarbeiter!$B$6:$B$205,MATCH(B4429,Mitarbeiter!$A$6:$A$205,0)),"?"))</f>
        <v/>
      </c>
      <c r="D4429" s="41" t="n"/>
      <c r="E4429" s="42" t="n"/>
      <c r="F4429" s="43" t="n"/>
      <c r="G4429" s="44">
        <f>IF(OR(B4429="",F4429=""),"",IFERROR(F4429*INDEX(Mitarbeiter!$F$6:$F$205,MATCH(B4429,Mitarbeiter!$A$6:$A$205,0)),0))</f>
        <v/>
      </c>
      <c r="H4429" s="8">
        <f>IF(B4429="","",IF(ISNA(MATCH(B4429,Mitarbeiter!$A$6:$A$205,0)),"Pers.-Nr. unbekannt",IF(A4429="","Datum fehlt",IF(AND(D4429&lt;&gt;Einstellungen!$C$4,D4429&lt;&gt;Einstellungen!$C$5),"Objekt fehlt",IF(YEAR(A4429)&lt;&gt;Einstellungen!$C$3,"anderes Jahr",IF(A4429&lt;INDEX(Mitarbeiter!$C$6:$C$205,MATCH(B4429,Mitarbeiter!$A$6:$A$205,0)),"vor Eintritt",IF(AND(INDEX(Mitarbeiter!$D$6:$D$205,MATCH(B4429,Mitarbeiter!$A$6:$A$205,0))&lt;&gt;"",A4429&gt;INDEX(Mitarbeiter!$D$6:$D$205,MATCH(B4429,Mitarbeiter!$A$6:$A$205,0))),"nach Austritt","ok")))))))</f>
        <v/>
      </c>
    </row>
    <row r="4430">
      <c r="A4430" s="26" t="n"/>
      <c r="B4430" s="24" t="n"/>
      <c r="C4430" s="40">
        <f>IF(B4430="","",IFERROR(INDEX(Mitarbeiter!$B$6:$B$205,MATCH(B4430,Mitarbeiter!$A$6:$A$205,0)),"?"))</f>
        <v/>
      </c>
      <c r="D4430" s="41" t="n"/>
      <c r="E4430" s="42" t="n"/>
      <c r="F4430" s="43" t="n"/>
      <c r="G4430" s="44">
        <f>IF(OR(B4430="",F4430=""),"",IFERROR(F4430*INDEX(Mitarbeiter!$F$6:$F$205,MATCH(B4430,Mitarbeiter!$A$6:$A$205,0)),0))</f>
        <v/>
      </c>
      <c r="H4430" s="8">
        <f>IF(B4430="","",IF(ISNA(MATCH(B4430,Mitarbeiter!$A$6:$A$205,0)),"Pers.-Nr. unbekannt",IF(A4430="","Datum fehlt",IF(AND(D4430&lt;&gt;Einstellungen!$C$4,D4430&lt;&gt;Einstellungen!$C$5),"Objekt fehlt",IF(YEAR(A4430)&lt;&gt;Einstellungen!$C$3,"anderes Jahr",IF(A4430&lt;INDEX(Mitarbeiter!$C$6:$C$205,MATCH(B4430,Mitarbeiter!$A$6:$A$205,0)),"vor Eintritt",IF(AND(INDEX(Mitarbeiter!$D$6:$D$205,MATCH(B4430,Mitarbeiter!$A$6:$A$205,0))&lt;&gt;"",A4430&gt;INDEX(Mitarbeiter!$D$6:$D$205,MATCH(B4430,Mitarbeiter!$A$6:$A$205,0))),"nach Austritt","ok")))))))</f>
        <v/>
      </c>
    </row>
    <row r="4431">
      <c r="A4431" s="26" t="n"/>
      <c r="B4431" s="24" t="n"/>
      <c r="C4431" s="40">
        <f>IF(B4431="","",IFERROR(INDEX(Mitarbeiter!$B$6:$B$205,MATCH(B4431,Mitarbeiter!$A$6:$A$205,0)),"?"))</f>
        <v/>
      </c>
      <c r="D4431" s="41" t="n"/>
      <c r="E4431" s="42" t="n"/>
      <c r="F4431" s="43" t="n"/>
      <c r="G4431" s="44">
        <f>IF(OR(B4431="",F4431=""),"",IFERROR(F4431*INDEX(Mitarbeiter!$F$6:$F$205,MATCH(B4431,Mitarbeiter!$A$6:$A$205,0)),0))</f>
        <v/>
      </c>
      <c r="H4431" s="8">
        <f>IF(B4431="","",IF(ISNA(MATCH(B4431,Mitarbeiter!$A$6:$A$205,0)),"Pers.-Nr. unbekannt",IF(A4431="","Datum fehlt",IF(AND(D4431&lt;&gt;Einstellungen!$C$4,D4431&lt;&gt;Einstellungen!$C$5),"Objekt fehlt",IF(YEAR(A4431)&lt;&gt;Einstellungen!$C$3,"anderes Jahr",IF(A4431&lt;INDEX(Mitarbeiter!$C$6:$C$205,MATCH(B4431,Mitarbeiter!$A$6:$A$205,0)),"vor Eintritt",IF(AND(INDEX(Mitarbeiter!$D$6:$D$205,MATCH(B4431,Mitarbeiter!$A$6:$A$205,0))&lt;&gt;"",A4431&gt;INDEX(Mitarbeiter!$D$6:$D$205,MATCH(B4431,Mitarbeiter!$A$6:$A$205,0))),"nach Austritt","ok")))))))</f>
        <v/>
      </c>
    </row>
    <row r="4432">
      <c r="A4432" s="26" t="n"/>
      <c r="B4432" s="24" t="n"/>
      <c r="C4432" s="40">
        <f>IF(B4432="","",IFERROR(INDEX(Mitarbeiter!$B$6:$B$205,MATCH(B4432,Mitarbeiter!$A$6:$A$205,0)),"?"))</f>
        <v/>
      </c>
      <c r="D4432" s="41" t="n"/>
      <c r="E4432" s="42" t="n"/>
      <c r="F4432" s="43" t="n"/>
      <c r="G4432" s="44">
        <f>IF(OR(B4432="",F4432=""),"",IFERROR(F4432*INDEX(Mitarbeiter!$F$6:$F$205,MATCH(B4432,Mitarbeiter!$A$6:$A$205,0)),0))</f>
        <v/>
      </c>
      <c r="H4432" s="8">
        <f>IF(B4432="","",IF(ISNA(MATCH(B4432,Mitarbeiter!$A$6:$A$205,0)),"Pers.-Nr. unbekannt",IF(A4432="","Datum fehlt",IF(AND(D4432&lt;&gt;Einstellungen!$C$4,D4432&lt;&gt;Einstellungen!$C$5),"Objekt fehlt",IF(YEAR(A4432)&lt;&gt;Einstellungen!$C$3,"anderes Jahr",IF(A4432&lt;INDEX(Mitarbeiter!$C$6:$C$205,MATCH(B4432,Mitarbeiter!$A$6:$A$205,0)),"vor Eintritt",IF(AND(INDEX(Mitarbeiter!$D$6:$D$205,MATCH(B4432,Mitarbeiter!$A$6:$A$205,0))&lt;&gt;"",A4432&gt;INDEX(Mitarbeiter!$D$6:$D$205,MATCH(B4432,Mitarbeiter!$A$6:$A$205,0))),"nach Austritt","ok")))))))</f>
        <v/>
      </c>
    </row>
    <row r="4433">
      <c r="A4433" s="26" t="n"/>
      <c r="B4433" s="24" t="n"/>
      <c r="C4433" s="40">
        <f>IF(B4433="","",IFERROR(INDEX(Mitarbeiter!$B$6:$B$205,MATCH(B4433,Mitarbeiter!$A$6:$A$205,0)),"?"))</f>
        <v/>
      </c>
      <c r="D4433" s="41" t="n"/>
      <c r="E4433" s="42" t="n"/>
      <c r="F4433" s="43" t="n"/>
      <c r="G4433" s="44">
        <f>IF(OR(B4433="",F4433=""),"",IFERROR(F4433*INDEX(Mitarbeiter!$F$6:$F$205,MATCH(B4433,Mitarbeiter!$A$6:$A$205,0)),0))</f>
        <v/>
      </c>
      <c r="H4433" s="8">
        <f>IF(B4433="","",IF(ISNA(MATCH(B4433,Mitarbeiter!$A$6:$A$205,0)),"Pers.-Nr. unbekannt",IF(A4433="","Datum fehlt",IF(AND(D4433&lt;&gt;Einstellungen!$C$4,D4433&lt;&gt;Einstellungen!$C$5),"Objekt fehlt",IF(YEAR(A4433)&lt;&gt;Einstellungen!$C$3,"anderes Jahr",IF(A4433&lt;INDEX(Mitarbeiter!$C$6:$C$205,MATCH(B4433,Mitarbeiter!$A$6:$A$205,0)),"vor Eintritt",IF(AND(INDEX(Mitarbeiter!$D$6:$D$205,MATCH(B4433,Mitarbeiter!$A$6:$A$205,0))&lt;&gt;"",A4433&gt;INDEX(Mitarbeiter!$D$6:$D$205,MATCH(B4433,Mitarbeiter!$A$6:$A$205,0))),"nach Austritt","ok")))))))</f>
        <v/>
      </c>
    </row>
    <row r="4434">
      <c r="A4434" s="26" t="n"/>
      <c r="B4434" s="24" t="n"/>
      <c r="C4434" s="40">
        <f>IF(B4434="","",IFERROR(INDEX(Mitarbeiter!$B$6:$B$205,MATCH(B4434,Mitarbeiter!$A$6:$A$205,0)),"?"))</f>
        <v/>
      </c>
      <c r="D4434" s="41" t="n"/>
      <c r="E4434" s="42" t="n"/>
      <c r="F4434" s="43" t="n"/>
      <c r="G4434" s="44">
        <f>IF(OR(B4434="",F4434=""),"",IFERROR(F4434*INDEX(Mitarbeiter!$F$6:$F$205,MATCH(B4434,Mitarbeiter!$A$6:$A$205,0)),0))</f>
        <v/>
      </c>
      <c r="H4434" s="8">
        <f>IF(B4434="","",IF(ISNA(MATCH(B4434,Mitarbeiter!$A$6:$A$205,0)),"Pers.-Nr. unbekannt",IF(A4434="","Datum fehlt",IF(AND(D4434&lt;&gt;Einstellungen!$C$4,D4434&lt;&gt;Einstellungen!$C$5),"Objekt fehlt",IF(YEAR(A4434)&lt;&gt;Einstellungen!$C$3,"anderes Jahr",IF(A4434&lt;INDEX(Mitarbeiter!$C$6:$C$205,MATCH(B4434,Mitarbeiter!$A$6:$A$205,0)),"vor Eintritt",IF(AND(INDEX(Mitarbeiter!$D$6:$D$205,MATCH(B4434,Mitarbeiter!$A$6:$A$205,0))&lt;&gt;"",A4434&gt;INDEX(Mitarbeiter!$D$6:$D$205,MATCH(B4434,Mitarbeiter!$A$6:$A$205,0))),"nach Austritt","ok")))))))</f>
        <v/>
      </c>
    </row>
    <row r="4435">
      <c r="A4435" s="26" t="n"/>
      <c r="B4435" s="24" t="n"/>
      <c r="C4435" s="40">
        <f>IF(B4435="","",IFERROR(INDEX(Mitarbeiter!$B$6:$B$205,MATCH(B4435,Mitarbeiter!$A$6:$A$205,0)),"?"))</f>
        <v/>
      </c>
      <c r="D4435" s="41" t="n"/>
      <c r="E4435" s="42" t="n"/>
      <c r="F4435" s="43" t="n"/>
      <c r="G4435" s="44">
        <f>IF(OR(B4435="",F4435=""),"",IFERROR(F4435*INDEX(Mitarbeiter!$F$6:$F$205,MATCH(B4435,Mitarbeiter!$A$6:$A$205,0)),0))</f>
        <v/>
      </c>
      <c r="H4435" s="8">
        <f>IF(B4435="","",IF(ISNA(MATCH(B4435,Mitarbeiter!$A$6:$A$205,0)),"Pers.-Nr. unbekannt",IF(A4435="","Datum fehlt",IF(AND(D4435&lt;&gt;Einstellungen!$C$4,D4435&lt;&gt;Einstellungen!$C$5),"Objekt fehlt",IF(YEAR(A4435)&lt;&gt;Einstellungen!$C$3,"anderes Jahr",IF(A4435&lt;INDEX(Mitarbeiter!$C$6:$C$205,MATCH(B4435,Mitarbeiter!$A$6:$A$205,0)),"vor Eintritt",IF(AND(INDEX(Mitarbeiter!$D$6:$D$205,MATCH(B4435,Mitarbeiter!$A$6:$A$205,0))&lt;&gt;"",A4435&gt;INDEX(Mitarbeiter!$D$6:$D$205,MATCH(B4435,Mitarbeiter!$A$6:$A$205,0))),"nach Austritt","ok")))))))</f>
        <v/>
      </c>
    </row>
    <row r="4436">
      <c r="A4436" s="26" t="n"/>
      <c r="B4436" s="24" t="n"/>
      <c r="C4436" s="40">
        <f>IF(B4436="","",IFERROR(INDEX(Mitarbeiter!$B$6:$B$205,MATCH(B4436,Mitarbeiter!$A$6:$A$205,0)),"?"))</f>
        <v/>
      </c>
      <c r="D4436" s="41" t="n"/>
      <c r="E4436" s="42" t="n"/>
      <c r="F4436" s="43" t="n"/>
      <c r="G4436" s="44">
        <f>IF(OR(B4436="",F4436=""),"",IFERROR(F4436*INDEX(Mitarbeiter!$F$6:$F$205,MATCH(B4436,Mitarbeiter!$A$6:$A$205,0)),0))</f>
        <v/>
      </c>
      <c r="H4436" s="8">
        <f>IF(B4436="","",IF(ISNA(MATCH(B4436,Mitarbeiter!$A$6:$A$205,0)),"Pers.-Nr. unbekannt",IF(A4436="","Datum fehlt",IF(AND(D4436&lt;&gt;Einstellungen!$C$4,D4436&lt;&gt;Einstellungen!$C$5),"Objekt fehlt",IF(YEAR(A4436)&lt;&gt;Einstellungen!$C$3,"anderes Jahr",IF(A4436&lt;INDEX(Mitarbeiter!$C$6:$C$205,MATCH(B4436,Mitarbeiter!$A$6:$A$205,0)),"vor Eintritt",IF(AND(INDEX(Mitarbeiter!$D$6:$D$205,MATCH(B4436,Mitarbeiter!$A$6:$A$205,0))&lt;&gt;"",A4436&gt;INDEX(Mitarbeiter!$D$6:$D$205,MATCH(B4436,Mitarbeiter!$A$6:$A$205,0))),"nach Austritt","ok")))))))</f>
        <v/>
      </c>
    </row>
    <row r="4437">
      <c r="A4437" s="26" t="n"/>
      <c r="B4437" s="24" t="n"/>
      <c r="C4437" s="40">
        <f>IF(B4437="","",IFERROR(INDEX(Mitarbeiter!$B$6:$B$205,MATCH(B4437,Mitarbeiter!$A$6:$A$205,0)),"?"))</f>
        <v/>
      </c>
      <c r="D4437" s="41" t="n"/>
      <c r="E4437" s="42" t="n"/>
      <c r="F4437" s="43" t="n"/>
      <c r="G4437" s="44">
        <f>IF(OR(B4437="",F4437=""),"",IFERROR(F4437*INDEX(Mitarbeiter!$F$6:$F$205,MATCH(B4437,Mitarbeiter!$A$6:$A$205,0)),0))</f>
        <v/>
      </c>
      <c r="H4437" s="8">
        <f>IF(B4437="","",IF(ISNA(MATCH(B4437,Mitarbeiter!$A$6:$A$205,0)),"Pers.-Nr. unbekannt",IF(A4437="","Datum fehlt",IF(AND(D4437&lt;&gt;Einstellungen!$C$4,D4437&lt;&gt;Einstellungen!$C$5),"Objekt fehlt",IF(YEAR(A4437)&lt;&gt;Einstellungen!$C$3,"anderes Jahr",IF(A4437&lt;INDEX(Mitarbeiter!$C$6:$C$205,MATCH(B4437,Mitarbeiter!$A$6:$A$205,0)),"vor Eintritt",IF(AND(INDEX(Mitarbeiter!$D$6:$D$205,MATCH(B4437,Mitarbeiter!$A$6:$A$205,0))&lt;&gt;"",A4437&gt;INDEX(Mitarbeiter!$D$6:$D$205,MATCH(B4437,Mitarbeiter!$A$6:$A$205,0))),"nach Austritt","ok")))))))</f>
        <v/>
      </c>
    </row>
    <row r="4438">
      <c r="A4438" s="26" t="n"/>
      <c r="B4438" s="24" t="n"/>
      <c r="C4438" s="40">
        <f>IF(B4438="","",IFERROR(INDEX(Mitarbeiter!$B$6:$B$205,MATCH(B4438,Mitarbeiter!$A$6:$A$205,0)),"?"))</f>
        <v/>
      </c>
      <c r="D4438" s="41" t="n"/>
      <c r="E4438" s="42" t="n"/>
      <c r="F4438" s="43" t="n"/>
      <c r="G4438" s="44">
        <f>IF(OR(B4438="",F4438=""),"",IFERROR(F4438*INDEX(Mitarbeiter!$F$6:$F$205,MATCH(B4438,Mitarbeiter!$A$6:$A$205,0)),0))</f>
        <v/>
      </c>
      <c r="H4438" s="8">
        <f>IF(B4438="","",IF(ISNA(MATCH(B4438,Mitarbeiter!$A$6:$A$205,0)),"Pers.-Nr. unbekannt",IF(A4438="","Datum fehlt",IF(AND(D4438&lt;&gt;Einstellungen!$C$4,D4438&lt;&gt;Einstellungen!$C$5),"Objekt fehlt",IF(YEAR(A4438)&lt;&gt;Einstellungen!$C$3,"anderes Jahr",IF(A4438&lt;INDEX(Mitarbeiter!$C$6:$C$205,MATCH(B4438,Mitarbeiter!$A$6:$A$205,0)),"vor Eintritt",IF(AND(INDEX(Mitarbeiter!$D$6:$D$205,MATCH(B4438,Mitarbeiter!$A$6:$A$205,0))&lt;&gt;"",A4438&gt;INDEX(Mitarbeiter!$D$6:$D$205,MATCH(B4438,Mitarbeiter!$A$6:$A$205,0))),"nach Austritt","ok")))))))</f>
        <v/>
      </c>
    </row>
    <row r="4439">
      <c r="A4439" s="26" t="n"/>
      <c r="B4439" s="24" t="n"/>
      <c r="C4439" s="40">
        <f>IF(B4439="","",IFERROR(INDEX(Mitarbeiter!$B$6:$B$205,MATCH(B4439,Mitarbeiter!$A$6:$A$205,0)),"?"))</f>
        <v/>
      </c>
      <c r="D4439" s="41" t="n"/>
      <c r="E4439" s="42" t="n"/>
      <c r="F4439" s="43" t="n"/>
      <c r="G4439" s="44">
        <f>IF(OR(B4439="",F4439=""),"",IFERROR(F4439*INDEX(Mitarbeiter!$F$6:$F$205,MATCH(B4439,Mitarbeiter!$A$6:$A$205,0)),0))</f>
        <v/>
      </c>
      <c r="H4439" s="8">
        <f>IF(B4439="","",IF(ISNA(MATCH(B4439,Mitarbeiter!$A$6:$A$205,0)),"Pers.-Nr. unbekannt",IF(A4439="","Datum fehlt",IF(AND(D4439&lt;&gt;Einstellungen!$C$4,D4439&lt;&gt;Einstellungen!$C$5),"Objekt fehlt",IF(YEAR(A4439)&lt;&gt;Einstellungen!$C$3,"anderes Jahr",IF(A4439&lt;INDEX(Mitarbeiter!$C$6:$C$205,MATCH(B4439,Mitarbeiter!$A$6:$A$205,0)),"vor Eintritt",IF(AND(INDEX(Mitarbeiter!$D$6:$D$205,MATCH(B4439,Mitarbeiter!$A$6:$A$205,0))&lt;&gt;"",A4439&gt;INDEX(Mitarbeiter!$D$6:$D$205,MATCH(B4439,Mitarbeiter!$A$6:$A$205,0))),"nach Austritt","ok")))))))</f>
        <v/>
      </c>
    </row>
    <row r="4440">
      <c r="A4440" s="26" t="n"/>
      <c r="B4440" s="24" t="n"/>
      <c r="C4440" s="40">
        <f>IF(B4440="","",IFERROR(INDEX(Mitarbeiter!$B$6:$B$205,MATCH(B4440,Mitarbeiter!$A$6:$A$205,0)),"?"))</f>
        <v/>
      </c>
      <c r="D4440" s="41" t="n"/>
      <c r="E4440" s="42" t="n"/>
      <c r="F4440" s="43" t="n"/>
      <c r="G4440" s="44">
        <f>IF(OR(B4440="",F4440=""),"",IFERROR(F4440*INDEX(Mitarbeiter!$F$6:$F$205,MATCH(B4440,Mitarbeiter!$A$6:$A$205,0)),0))</f>
        <v/>
      </c>
      <c r="H4440" s="8">
        <f>IF(B4440="","",IF(ISNA(MATCH(B4440,Mitarbeiter!$A$6:$A$205,0)),"Pers.-Nr. unbekannt",IF(A4440="","Datum fehlt",IF(AND(D4440&lt;&gt;Einstellungen!$C$4,D4440&lt;&gt;Einstellungen!$C$5),"Objekt fehlt",IF(YEAR(A4440)&lt;&gt;Einstellungen!$C$3,"anderes Jahr",IF(A4440&lt;INDEX(Mitarbeiter!$C$6:$C$205,MATCH(B4440,Mitarbeiter!$A$6:$A$205,0)),"vor Eintritt",IF(AND(INDEX(Mitarbeiter!$D$6:$D$205,MATCH(B4440,Mitarbeiter!$A$6:$A$205,0))&lt;&gt;"",A4440&gt;INDEX(Mitarbeiter!$D$6:$D$205,MATCH(B4440,Mitarbeiter!$A$6:$A$205,0))),"nach Austritt","ok")))))))</f>
        <v/>
      </c>
    </row>
    <row r="4441">
      <c r="A4441" s="26" t="n"/>
      <c r="B4441" s="24" t="n"/>
      <c r="C4441" s="40">
        <f>IF(B4441="","",IFERROR(INDEX(Mitarbeiter!$B$6:$B$205,MATCH(B4441,Mitarbeiter!$A$6:$A$205,0)),"?"))</f>
        <v/>
      </c>
      <c r="D4441" s="41" t="n"/>
      <c r="E4441" s="42" t="n"/>
      <c r="F4441" s="43" t="n"/>
      <c r="G4441" s="44">
        <f>IF(OR(B4441="",F4441=""),"",IFERROR(F4441*INDEX(Mitarbeiter!$F$6:$F$205,MATCH(B4441,Mitarbeiter!$A$6:$A$205,0)),0))</f>
        <v/>
      </c>
      <c r="H4441" s="8">
        <f>IF(B4441="","",IF(ISNA(MATCH(B4441,Mitarbeiter!$A$6:$A$205,0)),"Pers.-Nr. unbekannt",IF(A4441="","Datum fehlt",IF(AND(D4441&lt;&gt;Einstellungen!$C$4,D4441&lt;&gt;Einstellungen!$C$5),"Objekt fehlt",IF(YEAR(A4441)&lt;&gt;Einstellungen!$C$3,"anderes Jahr",IF(A4441&lt;INDEX(Mitarbeiter!$C$6:$C$205,MATCH(B4441,Mitarbeiter!$A$6:$A$205,0)),"vor Eintritt",IF(AND(INDEX(Mitarbeiter!$D$6:$D$205,MATCH(B4441,Mitarbeiter!$A$6:$A$205,0))&lt;&gt;"",A4441&gt;INDEX(Mitarbeiter!$D$6:$D$205,MATCH(B4441,Mitarbeiter!$A$6:$A$205,0))),"nach Austritt","ok")))))))</f>
        <v/>
      </c>
    </row>
    <row r="4442">
      <c r="A4442" s="26" t="n"/>
      <c r="B4442" s="24" t="n"/>
      <c r="C4442" s="40">
        <f>IF(B4442="","",IFERROR(INDEX(Mitarbeiter!$B$6:$B$205,MATCH(B4442,Mitarbeiter!$A$6:$A$205,0)),"?"))</f>
        <v/>
      </c>
      <c r="D4442" s="41" t="n"/>
      <c r="E4442" s="42" t="n"/>
      <c r="F4442" s="43" t="n"/>
      <c r="G4442" s="44">
        <f>IF(OR(B4442="",F4442=""),"",IFERROR(F4442*INDEX(Mitarbeiter!$F$6:$F$205,MATCH(B4442,Mitarbeiter!$A$6:$A$205,0)),0))</f>
        <v/>
      </c>
      <c r="H4442" s="8">
        <f>IF(B4442="","",IF(ISNA(MATCH(B4442,Mitarbeiter!$A$6:$A$205,0)),"Pers.-Nr. unbekannt",IF(A4442="","Datum fehlt",IF(AND(D4442&lt;&gt;Einstellungen!$C$4,D4442&lt;&gt;Einstellungen!$C$5),"Objekt fehlt",IF(YEAR(A4442)&lt;&gt;Einstellungen!$C$3,"anderes Jahr",IF(A4442&lt;INDEX(Mitarbeiter!$C$6:$C$205,MATCH(B4442,Mitarbeiter!$A$6:$A$205,0)),"vor Eintritt",IF(AND(INDEX(Mitarbeiter!$D$6:$D$205,MATCH(B4442,Mitarbeiter!$A$6:$A$205,0))&lt;&gt;"",A4442&gt;INDEX(Mitarbeiter!$D$6:$D$205,MATCH(B4442,Mitarbeiter!$A$6:$A$205,0))),"nach Austritt","ok")))))))</f>
        <v/>
      </c>
    </row>
    <row r="4443">
      <c r="A4443" s="26" t="n"/>
      <c r="B4443" s="24" t="n"/>
      <c r="C4443" s="40">
        <f>IF(B4443="","",IFERROR(INDEX(Mitarbeiter!$B$6:$B$205,MATCH(B4443,Mitarbeiter!$A$6:$A$205,0)),"?"))</f>
        <v/>
      </c>
      <c r="D4443" s="41" t="n"/>
      <c r="E4443" s="42" t="n"/>
      <c r="F4443" s="43" t="n"/>
      <c r="G4443" s="44">
        <f>IF(OR(B4443="",F4443=""),"",IFERROR(F4443*INDEX(Mitarbeiter!$F$6:$F$205,MATCH(B4443,Mitarbeiter!$A$6:$A$205,0)),0))</f>
        <v/>
      </c>
      <c r="H4443" s="8">
        <f>IF(B4443="","",IF(ISNA(MATCH(B4443,Mitarbeiter!$A$6:$A$205,0)),"Pers.-Nr. unbekannt",IF(A4443="","Datum fehlt",IF(AND(D4443&lt;&gt;Einstellungen!$C$4,D4443&lt;&gt;Einstellungen!$C$5),"Objekt fehlt",IF(YEAR(A4443)&lt;&gt;Einstellungen!$C$3,"anderes Jahr",IF(A4443&lt;INDEX(Mitarbeiter!$C$6:$C$205,MATCH(B4443,Mitarbeiter!$A$6:$A$205,0)),"vor Eintritt",IF(AND(INDEX(Mitarbeiter!$D$6:$D$205,MATCH(B4443,Mitarbeiter!$A$6:$A$205,0))&lt;&gt;"",A4443&gt;INDEX(Mitarbeiter!$D$6:$D$205,MATCH(B4443,Mitarbeiter!$A$6:$A$205,0))),"nach Austritt","ok")))))))</f>
        <v/>
      </c>
    </row>
    <row r="4444">
      <c r="A4444" s="26" t="n"/>
      <c r="B4444" s="24" t="n"/>
      <c r="C4444" s="40">
        <f>IF(B4444="","",IFERROR(INDEX(Mitarbeiter!$B$6:$B$205,MATCH(B4444,Mitarbeiter!$A$6:$A$205,0)),"?"))</f>
        <v/>
      </c>
      <c r="D4444" s="41" t="n"/>
      <c r="E4444" s="42" t="n"/>
      <c r="F4444" s="43" t="n"/>
      <c r="G4444" s="44">
        <f>IF(OR(B4444="",F4444=""),"",IFERROR(F4444*INDEX(Mitarbeiter!$F$6:$F$205,MATCH(B4444,Mitarbeiter!$A$6:$A$205,0)),0))</f>
        <v/>
      </c>
      <c r="H4444" s="8">
        <f>IF(B4444="","",IF(ISNA(MATCH(B4444,Mitarbeiter!$A$6:$A$205,0)),"Pers.-Nr. unbekannt",IF(A4444="","Datum fehlt",IF(AND(D4444&lt;&gt;Einstellungen!$C$4,D4444&lt;&gt;Einstellungen!$C$5),"Objekt fehlt",IF(YEAR(A4444)&lt;&gt;Einstellungen!$C$3,"anderes Jahr",IF(A4444&lt;INDEX(Mitarbeiter!$C$6:$C$205,MATCH(B4444,Mitarbeiter!$A$6:$A$205,0)),"vor Eintritt",IF(AND(INDEX(Mitarbeiter!$D$6:$D$205,MATCH(B4444,Mitarbeiter!$A$6:$A$205,0))&lt;&gt;"",A4444&gt;INDEX(Mitarbeiter!$D$6:$D$205,MATCH(B4444,Mitarbeiter!$A$6:$A$205,0))),"nach Austritt","ok")))))))</f>
        <v/>
      </c>
    </row>
    <row r="4445">
      <c r="A4445" s="26" t="n"/>
      <c r="B4445" s="24" t="n"/>
      <c r="C4445" s="40">
        <f>IF(B4445="","",IFERROR(INDEX(Mitarbeiter!$B$6:$B$205,MATCH(B4445,Mitarbeiter!$A$6:$A$205,0)),"?"))</f>
        <v/>
      </c>
      <c r="D4445" s="41" t="n"/>
      <c r="E4445" s="42" t="n"/>
      <c r="F4445" s="43" t="n"/>
      <c r="G4445" s="44">
        <f>IF(OR(B4445="",F4445=""),"",IFERROR(F4445*INDEX(Mitarbeiter!$F$6:$F$205,MATCH(B4445,Mitarbeiter!$A$6:$A$205,0)),0))</f>
        <v/>
      </c>
      <c r="H4445" s="8">
        <f>IF(B4445="","",IF(ISNA(MATCH(B4445,Mitarbeiter!$A$6:$A$205,0)),"Pers.-Nr. unbekannt",IF(A4445="","Datum fehlt",IF(AND(D4445&lt;&gt;Einstellungen!$C$4,D4445&lt;&gt;Einstellungen!$C$5),"Objekt fehlt",IF(YEAR(A4445)&lt;&gt;Einstellungen!$C$3,"anderes Jahr",IF(A4445&lt;INDEX(Mitarbeiter!$C$6:$C$205,MATCH(B4445,Mitarbeiter!$A$6:$A$205,0)),"vor Eintritt",IF(AND(INDEX(Mitarbeiter!$D$6:$D$205,MATCH(B4445,Mitarbeiter!$A$6:$A$205,0))&lt;&gt;"",A4445&gt;INDEX(Mitarbeiter!$D$6:$D$205,MATCH(B4445,Mitarbeiter!$A$6:$A$205,0))),"nach Austritt","ok")))))))</f>
        <v/>
      </c>
    </row>
    <row r="4446">
      <c r="A4446" s="26" t="n"/>
      <c r="B4446" s="24" t="n"/>
      <c r="C4446" s="40">
        <f>IF(B4446="","",IFERROR(INDEX(Mitarbeiter!$B$6:$B$205,MATCH(B4446,Mitarbeiter!$A$6:$A$205,0)),"?"))</f>
        <v/>
      </c>
      <c r="D4446" s="41" t="n"/>
      <c r="E4446" s="42" t="n"/>
      <c r="F4446" s="43" t="n"/>
      <c r="G4446" s="44">
        <f>IF(OR(B4446="",F4446=""),"",IFERROR(F4446*INDEX(Mitarbeiter!$F$6:$F$205,MATCH(B4446,Mitarbeiter!$A$6:$A$205,0)),0))</f>
        <v/>
      </c>
      <c r="H4446" s="8">
        <f>IF(B4446="","",IF(ISNA(MATCH(B4446,Mitarbeiter!$A$6:$A$205,0)),"Pers.-Nr. unbekannt",IF(A4446="","Datum fehlt",IF(AND(D4446&lt;&gt;Einstellungen!$C$4,D4446&lt;&gt;Einstellungen!$C$5),"Objekt fehlt",IF(YEAR(A4446)&lt;&gt;Einstellungen!$C$3,"anderes Jahr",IF(A4446&lt;INDEX(Mitarbeiter!$C$6:$C$205,MATCH(B4446,Mitarbeiter!$A$6:$A$205,0)),"vor Eintritt",IF(AND(INDEX(Mitarbeiter!$D$6:$D$205,MATCH(B4446,Mitarbeiter!$A$6:$A$205,0))&lt;&gt;"",A4446&gt;INDEX(Mitarbeiter!$D$6:$D$205,MATCH(B4446,Mitarbeiter!$A$6:$A$205,0))),"nach Austritt","ok")))))))</f>
        <v/>
      </c>
    </row>
    <row r="4447">
      <c r="A4447" s="26" t="n"/>
      <c r="B4447" s="24" t="n"/>
      <c r="C4447" s="40">
        <f>IF(B4447="","",IFERROR(INDEX(Mitarbeiter!$B$6:$B$205,MATCH(B4447,Mitarbeiter!$A$6:$A$205,0)),"?"))</f>
        <v/>
      </c>
      <c r="D4447" s="41" t="n"/>
      <c r="E4447" s="42" t="n"/>
      <c r="F4447" s="43" t="n"/>
      <c r="G4447" s="44">
        <f>IF(OR(B4447="",F4447=""),"",IFERROR(F4447*INDEX(Mitarbeiter!$F$6:$F$205,MATCH(B4447,Mitarbeiter!$A$6:$A$205,0)),0))</f>
        <v/>
      </c>
      <c r="H4447" s="8">
        <f>IF(B4447="","",IF(ISNA(MATCH(B4447,Mitarbeiter!$A$6:$A$205,0)),"Pers.-Nr. unbekannt",IF(A4447="","Datum fehlt",IF(AND(D4447&lt;&gt;Einstellungen!$C$4,D4447&lt;&gt;Einstellungen!$C$5),"Objekt fehlt",IF(YEAR(A4447)&lt;&gt;Einstellungen!$C$3,"anderes Jahr",IF(A4447&lt;INDEX(Mitarbeiter!$C$6:$C$205,MATCH(B4447,Mitarbeiter!$A$6:$A$205,0)),"vor Eintritt",IF(AND(INDEX(Mitarbeiter!$D$6:$D$205,MATCH(B4447,Mitarbeiter!$A$6:$A$205,0))&lt;&gt;"",A4447&gt;INDEX(Mitarbeiter!$D$6:$D$205,MATCH(B4447,Mitarbeiter!$A$6:$A$205,0))),"nach Austritt","ok")))))))</f>
        <v/>
      </c>
    </row>
    <row r="4448">
      <c r="A4448" s="26" t="n"/>
      <c r="B4448" s="24" t="n"/>
      <c r="C4448" s="40">
        <f>IF(B4448="","",IFERROR(INDEX(Mitarbeiter!$B$6:$B$205,MATCH(B4448,Mitarbeiter!$A$6:$A$205,0)),"?"))</f>
        <v/>
      </c>
      <c r="D4448" s="41" t="n"/>
      <c r="E4448" s="42" t="n"/>
      <c r="F4448" s="43" t="n"/>
      <c r="G4448" s="44">
        <f>IF(OR(B4448="",F4448=""),"",IFERROR(F4448*INDEX(Mitarbeiter!$F$6:$F$205,MATCH(B4448,Mitarbeiter!$A$6:$A$205,0)),0))</f>
        <v/>
      </c>
      <c r="H4448" s="8">
        <f>IF(B4448="","",IF(ISNA(MATCH(B4448,Mitarbeiter!$A$6:$A$205,0)),"Pers.-Nr. unbekannt",IF(A4448="","Datum fehlt",IF(AND(D4448&lt;&gt;Einstellungen!$C$4,D4448&lt;&gt;Einstellungen!$C$5),"Objekt fehlt",IF(YEAR(A4448)&lt;&gt;Einstellungen!$C$3,"anderes Jahr",IF(A4448&lt;INDEX(Mitarbeiter!$C$6:$C$205,MATCH(B4448,Mitarbeiter!$A$6:$A$205,0)),"vor Eintritt",IF(AND(INDEX(Mitarbeiter!$D$6:$D$205,MATCH(B4448,Mitarbeiter!$A$6:$A$205,0))&lt;&gt;"",A4448&gt;INDEX(Mitarbeiter!$D$6:$D$205,MATCH(B4448,Mitarbeiter!$A$6:$A$205,0))),"nach Austritt","ok")))))))</f>
        <v/>
      </c>
    </row>
    <row r="4449">
      <c r="A4449" s="26" t="n"/>
      <c r="B4449" s="24" t="n"/>
      <c r="C4449" s="40">
        <f>IF(B4449="","",IFERROR(INDEX(Mitarbeiter!$B$6:$B$205,MATCH(B4449,Mitarbeiter!$A$6:$A$205,0)),"?"))</f>
        <v/>
      </c>
      <c r="D4449" s="41" t="n"/>
      <c r="E4449" s="42" t="n"/>
      <c r="F4449" s="43" t="n"/>
      <c r="G4449" s="44">
        <f>IF(OR(B4449="",F4449=""),"",IFERROR(F4449*INDEX(Mitarbeiter!$F$6:$F$205,MATCH(B4449,Mitarbeiter!$A$6:$A$205,0)),0))</f>
        <v/>
      </c>
      <c r="H4449" s="8">
        <f>IF(B4449="","",IF(ISNA(MATCH(B4449,Mitarbeiter!$A$6:$A$205,0)),"Pers.-Nr. unbekannt",IF(A4449="","Datum fehlt",IF(AND(D4449&lt;&gt;Einstellungen!$C$4,D4449&lt;&gt;Einstellungen!$C$5),"Objekt fehlt",IF(YEAR(A4449)&lt;&gt;Einstellungen!$C$3,"anderes Jahr",IF(A4449&lt;INDEX(Mitarbeiter!$C$6:$C$205,MATCH(B4449,Mitarbeiter!$A$6:$A$205,0)),"vor Eintritt",IF(AND(INDEX(Mitarbeiter!$D$6:$D$205,MATCH(B4449,Mitarbeiter!$A$6:$A$205,0))&lt;&gt;"",A4449&gt;INDEX(Mitarbeiter!$D$6:$D$205,MATCH(B4449,Mitarbeiter!$A$6:$A$205,0))),"nach Austritt","ok")))))))</f>
        <v/>
      </c>
    </row>
    <row r="4450">
      <c r="A4450" s="26" t="n"/>
      <c r="B4450" s="24" t="n"/>
      <c r="C4450" s="40">
        <f>IF(B4450="","",IFERROR(INDEX(Mitarbeiter!$B$6:$B$205,MATCH(B4450,Mitarbeiter!$A$6:$A$205,0)),"?"))</f>
        <v/>
      </c>
      <c r="D4450" s="41" t="n"/>
      <c r="E4450" s="42" t="n"/>
      <c r="F4450" s="43" t="n"/>
      <c r="G4450" s="44">
        <f>IF(OR(B4450="",F4450=""),"",IFERROR(F4450*INDEX(Mitarbeiter!$F$6:$F$205,MATCH(B4450,Mitarbeiter!$A$6:$A$205,0)),0))</f>
        <v/>
      </c>
      <c r="H4450" s="8">
        <f>IF(B4450="","",IF(ISNA(MATCH(B4450,Mitarbeiter!$A$6:$A$205,0)),"Pers.-Nr. unbekannt",IF(A4450="","Datum fehlt",IF(AND(D4450&lt;&gt;Einstellungen!$C$4,D4450&lt;&gt;Einstellungen!$C$5),"Objekt fehlt",IF(YEAR(A4450)&lt;&gt;Einstellungen!$C$3,"anderes Jahr",IF(A4450&lt;INDEX(Mitarbeiter!$C$6:$C$205,MATCH(B4450,Mitarbeiter!$A$6:$A$205,0)),"vor Eintritt",IF(AND(INDEX(Mitarbeiter!$D$6:$D$205,MATCH(B4450,Mitarbeiter!$A$6:$A$205,0))&lt;&gt;"",A4450&gt;INDEX(Mitarbeiter!$D$6:$D$205,MATCH(B4450,Mitarbeiter!$A$6:$A$205,0))),"nach Austritt","ok")))))))</f>
        <v/>
      </c>
    </row>
    <row r="4451">
      <c r="A4451" s="26" t="n"/>
      <c r="B4451" s="24" t="n"/>
      <c r="C4451" s="40">
        <f>IF(B4451="","",IFERROR(INDEX(Mitarbeiter!$B$6:$B$205,MATCH(B4451,Mitarbeiter!$A$6:$A$205,0)),"?"))</f>
        <v/>
      </c>
      <c r="D4451" s="41" t="n"/>
      <c r="E4451" s="42" t="n"/>
      <c r="F4451" s="43" t="n"/>
      <c r="G4451" s="44">
        <f>IF(OR(B4451="",F4451=""),"",IFERROR(F4451*INDEX(Mitarbeiter!$F$6:$F$205,MATCH(B4451,Mitarbeiter!$A$6:$A$205,0)),0))</f>
        <v/>
      </c>
      <c r="H4451" s="8">
        <f>IF(B4451="","",IF(ISNA(MATCH(B4451,Mitarbeiter!$A$6:$A$205,0)),"Pers.-Nr. unbekannt",IF(A4451="","Datum fehlt",IF(AND(D4451&lt;&gt;Einstellungen!$C$4,D4451&lt;&gt;Einstellungen!$C$5),"Objekt fehlt",IF(YEAR(A4451)&lt;&gt;Einstellungen!$C$3,"anderes Jahr",IF(A4451&lt;INDEX(Mitarbeiter!$C$6:$C$205,MATCH(B4451,Mitarbeiter!$A$6:$A$205,0)),"vor Eintritt",IF(AND(INDEX(Mitarbeiter!$D$6:$D$205,MATCH(B4451,Mitarbeiter!$A$6:$A$205,0))&lt;&gt;"",A4451&gt;INDEX(Mitarbeiter!$D$6:$D$205,MATCH(B4451,Mitarbeiter!$A$6:$A$205,0))),"nach Austritt","ok")))))))</f>
        <v/>
      </c>
    </row>
    <row r="4452">
      <c r="A4452" s="26" t="n"/>
      <c r="B4452" s="24" t="n"/>
      <c r="C4452" s="40">
        <f>IF(B4452="","",IFERROR(INDEX(Mitarbeiter!$B$6:$B$205,MATCH(B4452,Mitarbeiter!$A$6:$A$205,0)),"?"))</f>
        <v/>
      </c>
      <c r="D4452" s="41" t="n"/>
      <c r="E4452" s="42" t="n"/>
      <c r="F4452" s="43" t="n"/>
      <c r="G4452" s="44">
        <f>IF(OR(B4452="",F4452=""),"",IFERROR(F4452*INDEX(Mitarbeiter!$F$6:$F$205,MATCH(B4452,Mitarbeiter!$A$6:$A$205,0)),0))</f>
        <v/>
      </c>
      <c r="H4452" s="8">
        <f>IF(B4452="","",IF(ISNA(MATCH(B4452,Mitarbeiter!$A$6:$A$205,0)),"Pers.-Nr. unbekannt",IF(A4452="","Datum fehlt",IF(AND(D4452&lt;&gt;Einstellungen!$C$4,D4452&lt;&gt;Einstellungen!$C$5),"Objekt fehlt",IF(YEAR(A4452)&lt;&gt;Einstellungen!$C$3,"anderes Jahr",IF(A4452&lt;INDEX(Mitarbeiter!$C$6:$C$205,MATCH(B4452,Mitarbeiter!$A$6:$A$205,0)),"vor Eintritt",IF(AND(INDEX(Mitarbeiter!$D$6:$D$205,MATCH(B4452,Mitarbeiter!$A$6:$A$205,0))&lt;&gt;"",A4452&gt;INDEX(Mitarbeiter!$D$6:$D$205,MATCH(B4452,Mitarbeiter!$A$6:$A$205,0))),"nach Austritt","ok")))))))</f>
        <v/>
      </c>
    </row>
    <row r="4453">
      <c r="A4453" s="26" t="n"/>
      <c r="B4453" s="24" t="n"/>
      <c r="C4453" s="40">
        <f>IF(B4453="","",IFERROR(INDEX(Mitarbeiter!$B$6:$B$205,MATCH(B4453,Mitarbeiter!$A$6:$A$205,0)),"?"))</f>
        <v/>
      </c>
      <c r="D4453" s="41" t="n"/>
      <c r="E4453" s="42" t="n"/>
      <c r="F4453" s="43" t="n"/>
      <c r="G4453" s="44">
        <f>IF(OR(B4453="",F4453=""),"",IFERROR(F4453*INDEX(Mitarbeiter!$F$6:$F$205,MATCH(B4453,Mitarbeiter!$A$6:$A$205,0)),0))</f>
        <v/>
      </c>
      <c r="H4453" s="8">
        <f>IF(B4453="","",IF(ISNA(MATCH(B4453,Mitarbeiter!$A$6:$A$205,0)),"Pers.-Nr. unbekannt",IF(A4453="","Datum fehlt",IF(AND(D4453&lt;&gt;Einstellungen!$C$4,D4453&lt;&gt;Einstellungen!$C$5),"Objekt fehlt",IF(YEAR(A4453)&lt;&gt;Einstellungen!$C$3,"anderes Jahr",IF(A4453&lt;INDEX(Mitarbeiter!$C$6:$C$205,MATCH(B4453,Mitarbeiter!$A$6:$A$205,0)),"vor Eintritt",IF(AND(INDEX(Mitarbeiter!$D$6:$D$205,MATCH(B4453,Mitarbeiter!$A$6:$A$205,0))&lt;&gt;"",A4453&gt;INDEX(Mitarbeiter!$D$6:$D$205,MATCH(B4453,Mitarbeiter!$A$6:$A$205,0))),"nach Austritt","ok")))))))</f>
        <v/>
      </c>
    </row>
    <row r="4454">
      <c r="A4454" s="26" t="n"/>
      <c r="B4454" s="24" t="n"/>
      <c r="C4454" s="40">
        <f>IF(B4454="","",IFERROR(INDEX(Mitarbeiter!$B$6:$B$205,MATCH(B4454,Mitarbeiter!$A$6:$A$205,0)),"?"))</f>
        <v/>
      </c>
      <c r="D4454" s="41" t="n"/>
      <c r="E4454" s="42" t="n"/>
      <c r="F4454" s="43" t="n"/>
      <c r="G4454" s="44">
        <f>IF(OR(B4454="",F4454=""),"",IFERROR(F4454*INDEX(Mitarbeiter!$F$6:$F$205,MATCH(B4454,Mitarbeiter!$A$6:$A$205,0)),0))</f>
        <v/>
      </c>
      <c r="H4454" s="8">
        <f>IF(B4454="","",IF(ISNA(MATCH(B4454,Mitarbeiter!$A$6:$A$205,0)),"Pers.-Nr. unbekannt",IF(A4454="","Datum fehlt",IF(AND(D4454&lt;&gt;Einstellungen!$C$4,D4454&lt;&gt;Einstellungen!$C$5),"Objekt fehlt",IF(YEAR(A4454)&lt;&gt;Einstellungen!$C$3,"anderes Jahr",IF(A4454&lt;INDEX(Mitarbeiter!$C$6:$C$205,MATCH(B4454,Mitarbeiter!$A$6:$A$205,0)),"vor Eintritt",IF(AND(INDEX(Mitarbeiter!$D$6:$D$205,MATCH(B4454,Mitarbeiter!$A$6:$A$205,0))&lt;&gt;"",A4454&gt;INDEX(Mitarbeiter!$D$6:$D$205,MATCH(B4454,Mitarbeiter!$A$6:$A$205,0))),"nach Austritt","ok")))))))</f>
        <v/>
      </c>
    </row>
    <row r="4455">
      <c r="A4455" s="26" t="n"/>
      <c r="B4455" s="24" t="n"/>
      <c r="C4455" s="40">
        <f>IF(B4455="","",IFERROR(INDEX(Mitarbeiter!$B$6:$B$205,MATCH(B4455,Mitarbeiter!$A$6:$A$205,0)),"?"))</f>
        <v/>
      </c>
      <c r="D4455" s="41" t="n"/>
      <c r="E4455" s="42" t="n"/>
      <c r="F4455" s="43" t="n"/>
      <c r="G4455" s="44">
        <f>IF(OR(B4455="",F4455=""),"",IFERROR(F4455*INDEX(Mitarbeiter!$F$6:$F$205,MATCH(B4455,Mitarbeiter!$A$6:$A$205,0)),0))</f>
        <v/>
      </c>
      <c r="H4455" s="8">
        <f>IF(B4455="","",IF(ISNA(MATCH(B4455,Mitarbeiter!$A$6:$A$205,0)),"Pers.-Nr. unbekannt",IF(A4455="","Datum fehlt",IF(AND(D4455&lt;&gt;Einstellungen!$C$4,D4455&lt;&gt;Einstellungen!$C$5),"Objekt fehlt",IF(YEAR(A4455)&lt;&gt;Einstellungen!$C$3,"anderes Jahr",IF(A4455&lt;INDEX(Mitarbeiter!$C$6:$C$205,MATCH(B4455,Mitarbeiter!$A$6:$A$205,0)),"vor Eintritt",IF(AND(INDEX(Mitarbeiter!$D$6:$D$205,MATCH(B4455,Mitarbeiter!$A$6:$A$205,0))&lt;&gt;"",A4455&gt;INDEX(Mitarbeiter!$D$6:$D$205,MATCH(B4455,Mitarbeiter!$A$6:$A$205,0))),"nach Austritt","ok")))))))</f>
        <v/>
      </c>
    </row>
    <row r="4456">
      <c r="A4456" s="26" t="n"/>
      <c r="B4456" s="24" t="n"/>
      <c r="C4456" s="40">
        <f>IF(B4456="","",IFERROR(INDEX(Mitarbeiter!$B$6:$B$205,MATCH(B4456,Mitarbeiter!$A$6:$A$205,0)),"?"))</f>
        <v/>
      </c>
      <c r="D4456" s="41" t="n"/>
      <c r="E4456" s="42" t="n"/>
      <c r="F4456" s="43" t="n"/>
      <c r="G4456" s="44">
        <f>IF(OR(B4456="",F4456=""),"",IFERROR(F4456*INDEX(Mitarbeiter!$F$6:$F$205,MATCH(B4456,Mitarbeiter!$A$6:$A$205,0)),0))</f>
        <v/>
      </c>
      <c r="H4456" s="8">
        <f>IF(B4456="","",IF(ISNA(MATCH(B4456,Mitarbeiter!$A$6:$A$205,0)),"Pers.-Nr. unbekannt",IF(A4456="","Datum fehlt",IF(AND(D4456&lt;&gt;Einstellungen!$C$4,D4456&lt;&gt;Einstellungen!$C$5),"Objekt fehlt",IF(YEAR(A4456)&lt;&gt;Einstellungen!$C$3,"anderes Jahr",IF(A4456&lt;INDEX(Mitarbeiter!$C$6:$C$205,MATCH(B4456,Mitarbeiter!$A$6:$A$205,0)),"vor Eintritt",IF(AND(INDEX(Mitarbeiter!$D$6:$D$205,MATCH(B4456,Mitarbeiter!$A$6:$A$205,0))&lt;&gt;"",A4456&gt;INDEX(Mitarbeiter!$D$6:$D$205,MATCH(B4456,Mitarbeiter!$A$6:$A$205,0))),"nach Austritt","ok")))))))</f>
        <v/>
      </c>
    </row>
    <row r="4457">
      <c r="A4457" s="26" t="n"/>
      <c r="B4457" s="24" t="n"/>
      <c r="C4457" s="40">
        <f>IF(B4457="","",IFERROR(INDEX(Mitarbeiter!$B$6:$B$205,MATCH(B4457,Mitarbeiter!$A$6:$A$205,0)),"?"))</f>
        <v/>
      </c>
      <c r="D4457" s="41" t="n"/>
      <c r="E4457" s="42" t="n"/>
      <c r="F4457" s="43" t="n"/>
      <c r="G4457" s="44">
        <f>IF(OR(B4457="",F4457=""),"",IFERROR(F4457*INDEX(Mitarbeiter!$F$6:$F$205,MATCH(B4457,Mitarbeiter!$A$6:$A$205,0)),0))</f>
        <v/>
      </c>
      <c r="H4457" s="8">
        <f>IF(B4457="","",IF(ISNA(MATCH(B4457,Mitarbeiter!$A$6:$A$205,0)),"Pers.-Nr. unbekannt",IF(A4457="","Datum fehlt",IF(AND(D4457&lt;&gt;Einstellungen!$C$4,D4457&lt;&gt;Einstellungen!$C$5),"Objekt fehlt",IF(YEAR(A4457)&lt;&gt;Einstellungen!$C$3,"anderes Jahr",IF(A4457&lt;INDEX(Mitarbeiter!$C$6:$C$205,MATCH(B4457,Mitarbeiter!$A$6:$A$205,0)),"vor Eintritt",IF(AND(INDEX(Mitarbeiter!$D$6:$D$205,MATCH(B4457,Mitarbeiter!$A$6:$A$205,0))&lt;&gt;"",A4457&gt;INDEX(Mitarbeiter!$D$6:$D$205,MATCH(B4457,Mitarbeiter!$A$6:$A$205,0))),"nach Austritt","ok")))))))</f>
        <v/>
      </c>
    </row>
    <row r="4458">
      <c r="A4458" s="26" t="n"/>
      <c r="B4458" s="24" t="n"/>
      <c r="C4458" s="40">
        <f>IF(B4458="","",IFERROR(INDEX(Mitarbeiter!$B$6:$B$205,MATCH(B4458,Mitarbeiter!$A$6:$A$205,0)),"?"))</f>
        <v/>
      </c>
      <c r="D4458" s="41" t="n"/>
      <c r="E4458" s="42" t="n"/>
      <c r="F4458" s="43" t="n"/>
      <c r="G4458" s="44">
        <f>IF(OR(B4458="",F4458=""),"",IFERROR(F4458*INDEX(Mitarbeiter!$F$6:$F$205,MATCH(B4458,Mitarbeiter!$A$6:$A$205,0)),0))</f>
        <v/>
      </c>
      <c r="H4458" s="8">
        <f>IF(B4458="","",IF(ISNA(MATCH(B4458,Mitarbeiter!$A$6:$A$205,0)),"Pers.-Nr. unbekannt",IF(A4458="","Datum fehlt",IF(AND(D4458&lt;&gt;Einstellungen!$C$4,D4458&lt;&gt;Einstellungen!$C$5),"Objekt fehlt",IF(YEAR(A4458)&lt;&gt;Einstellungen!$C$3,"anderes Jahr",IF(A4458&lt;INDEX(Mitarbeiter!$C$6:$C$205,MATCH(B4458,Mitarbeiter!$A$6:$A$205,0)),"vor Eintritt",IF(AND(INDEX(Mitarbeiter!$D$6:$D$205,MATCH(B4458,Mitarbeiter!$A$6:$A$205,0))&lt;&gt;"",A4458&gt;INDEX(Mitarbeiter!$D$6:$D$205,MATCH(B4458,Mitarbeiter!$A$6:$A$205,0))),"nach Austritt","ok")))))))</f>
        <v/>
      </c>
    </row>
    <row r="4459">
      <c r="A4459" s="26" t="n"/>
      <c r="B4459" s="24" t="n"/>
      <c r="C4459" s="40">
        <f>IF(B4459="","",IFERROR(INDEX(Mitarbeiter!$B$6:$B$205,MATCH(B4459,Mitarbeiter!$A$6:$A$205,0)),"?"))</f>
        <v/>
      </c>
      <c r="D4459" s="41" t="n"/>
      <c r="E4459" s="42" t="n"/>
      <c r="F4459" s="43" t="n"/>
      <c r="G4459" s="44">
        <f>IF(OR(B4459="",F4459=""),"",IFERROR(F4459*INDEX(Mitarbeiter!$F$6:$F$205,MATCH(B4459,Mitarbeiter!$A$6:$A$205,0)),0))</f>
        <v/>
      </c>
      <c r="H4459" s="8">
        <f>IF(B4459="","",IF(ISNA(MATCH(B4459,Mitarbeiter!$A$6:$A$205,0)),"Pers.-Nr. unbekannt",IF(A4459="","Datum fehlt",IF(AND(D4459&lt;&gt;Einstellungen!$C$4,D4459&lt;&gt;Einstellungen!$C$5),"Objekt fehlt",IF(YEAR(A4459)&lt;&gt;Einstellungen!$C$3,"anderes Jahr",IF(A4459&lt;INDEX(Mitarbeiter!$C$6:$C$205,MATCH(B4459,Mitarbeiter!$A$6:$A$205,0)),"vor Eintritt",IF(AND(INDEX(Mitarbeiter!$D$6:$D$205,MATCH(B4459,Mitarbeiter!$A$6:$A$205,0))&lt;&gt;"",A4459&gt;INDEX(Mitarbeiter!$D$6:$D$205,MATCH(B4459,Mitarbeiter!$A$6:$A$205,0))),"nach Austritt","ok")))))))</f>
        <v/>
      </c>
    </row>
    <row r="4460">
      <c r="A4460" s="26" t="n"/>
      <c r="B4460" s="24" t="n"/>
      <c r="C4460" s="40">
        <f>IF(B4460="","",IFERROR(INDEX(Mitarbeiter!$B$6:$B$205,MATCH(B4460,Mitarbeiter!$A$6:$A$205,0)),"?"))</f>
        <v/>
      </c>
      <c r="D4460" s="41" t="n"/>
      <c r="E4460" s="42" t="n"/>
      <c r="F4460" s="43" t="n"/>
      <c r="G4460" s="44">
        <f>IF(OR(B4460="",F4460=""),"",IFERROR(F4460*INDEX(Mitarbeiter!$F$6:$F$205,MATCH(B4460,Mitarbeiter!$A$6:$A$205,0)),0))</f>
        <v/>
      </c>
      <c r="H4460" s="8">
        <f>IF(B4460="","",IF(ISNA(MATCH(B4460,Mitarbeiter!$A$6:$A$205,0)),"Pers.-Nr. unbekannt",IF(A4460="","Datum fehlt",IF(AND(D4460&lt;&gt;Einstellungen!$C$4,D4460&lt;&gt;Einstellungen!$C$5),"Objekt fehlt",IF(YEAR(A4460)&lt;&gt;Einstellungen!$C$3,"anderes Jahr",IF(A4460&lt;INDEX(Mitarbeiter!$C$6:$C$205,MATCH(B4460,Mitarbeiter!$A$6:$A$205,0)),"vor Eintritt",IF(AND(INDEX(Mitarbeiter!$D$6:$D$205,MATCH(B4460,Mitarbeiter!$A$6:$A$205,0))&lt;&gt;"",A4460&gt;INDEX(Mitarbeiter!$D$6:$D$205,MATCH(B4460,Mitarbeiter!$A$6:$A$205,0))),"nach Austritt","ok")))))))</f>
        <v/>
      </c>
    </row>
    <row r="4461">
      <c r="A4461" s="26" t="n"/>
      <c r="B4461" s="24" t="n"/>
      <c r="C4461" s="40">
        <f>IF(B4461="","",IFERROR(INDEX(Mitarbeiter!$B$6:$B$205,MATCH(B4461,Mitarbeiter!$A$6:$A$205,0)),"?"))</f>
        <v/>
      </c>
      <c r="D4461" s="41" t="n"/>
      <c r="E4461" s="42" t="n"/>
      <c r="F4461" s="43" t="n"/>
      <c r="G4461" s="44">
        <f>IF(OR(B4461="",F4461=""),"",IFERROR(F4461*INDEX(Mitarbeiter!$F$6:$F$205,MATCH(B4461,Mitarbeiter!$A$6:$A$205,0)),0))</f>
        <v/>
      </c>
      <c r="H4461" s="8">
        <f>IF(B4461="","",IF(ISNA(MATCH(B4461,Mitarbeiter!$A$6:$A$205,0)),"Pers.-Nr. unbekannt",IF(A4461="","Datum fehlt",IF(AND(D4461&lt;&gt;Einstellungen!$C$4,D4461&lt;&gt;Einstellungen!$C$5),"Objekt fehlt",IF(YEAR(A4461)&lt;&gt;Einstellungen!$C$3,"anderes Jahr",IF(A4461&lt;INDEX(Mitarbeiter!$C$6:$C$205,MATCH(B4461,Mitarbeiter!$A$6:$A$205,0)),"vor Eintritt",IF(AND(INDEX(Mitarbeiter!$D$6:$D$205,MATCH(B4461,Mitarbeiter!$A$6:$A$205,0))&lt;&gt;"",A4461&gt;INDEX(Mitarbeiter!$D$6:$D$205,MATCH(B4461,Mitarbeiter!$A$6:$A$205,0))),"nach Austritt","ok")))))))</f>
        <v/>
      </c>
    </row>
    <row r="4462">
      <c r="A4462" s="26" t="n"/>
      <c r="B4462" s="24" t="n"/>
      <c r="C4462" s="40">
        <f>IF(B4462="","",IFERROR(INDEX(Mitarbeiter!$B$6:$B$205,MATCH(B4462,Mitarbeiter!$A$6:$A$205,0)),"?"))</f>
        <v/>
      </c>
      <c r="D4462" s="41" t="n"/>
      <c r="E4462" s="42" t="n"/>
      <c r="F4462" s="43" t="n"/>
      <c r="G4462" s="44">
        <f>IF(OR(B4462="",F4462=""),"",IFERROR(F4462*INDEX(Mitarbeiter!$F$6:$F$205,MATCH(B4462,Mitarbeiter!$A$6:$A$205,0)),0))</f>
        <v/>
      </c>
      <c r="H4462" s="8">
        <f>IF(B4462="","",IF(ISNA(MATCH(B4462,Mitarbeiter!$A$6:$A$205,0)),"Pers.-Nr. unbekannt",IF(A4462="","Datum fehlt",IF(AND(D4462&lt;&gt;Einstellungen!$C$4,D4462&lt;&gt;Einstellungen!$C$5),"Objekt fehlt",IF(YEAR(A4462)&lt;&gt;Einstellungen!$C$3,"anderes Jahr",IF(A4462&lt;INDEX(Mitarbeiter!$C$6:$C$205,MATCH(B4462,Mitarbeiter!$A$6:$A$205,0)),"vor Eintritt",IF(AND(INDEX(Mitarbeiter!$D$6:$D$205,MATCH(B4462,Mitarbeiter!$A$6:$A$205,0))&lt;&gt;"",A4462&gt;INDEX(Mitarbeiter!$D$6:$D$205,MATCH(B4462,Mitarbeiter!$A$6:$A$205,0))),"nach Austritt","ok")))))))</f>
        <v/>
      </c>
    </row>
    <row r="4463">
      <c r="A4463" s="26" t="n"/>
      <c r="B4463" s="24" t="n"/>
      <c r="C4463" s="40">
        <f>IF(B4463="","",IFERROR(INDEX(Mitarbeiter!$B$6:$B$205,MATCH(B4463,Mitarbeiter!$A$6:$A$205,0)),"?"))</f>
        <v/>
      </c>
      <c r="D4463" s="41" t="n"/>
      <c r="E4463" s="42" t="n"/>
      <c r="F4463" s="43" t="n"/>
      <c r="G4463" s="44">
        <f>IF(OR(B4463="",F4463=""),"",IFERROR(F4463*INDEX(Mitarbeiter!$F$6:$F$205,MATCH(B4463,Mitarbeiter!$A$6:$A$205,0)),0))</f>
        <v/>
      </c>
      <c r="H4463" s="8">
        <f>IF(B4463="","",IF(ISNA(MATCH(B4463,Mitarbeiter!$A$6:$A$205,0)),"Pers.-Nr. unbekannt",IF(A4463="","Datum fehlt",IF(AND(D4463&lt;&gt;Einstellungen!$C$4,D4463&lt;&gt;Einstellungen!$C$5),"Objekt fehlt",IF(YEAR(A4463)&lt;&gt;Einstellungen!$C$3,"anderes Jahr",IF(A4463&lt;INDEX(Mitarbeiter!$C$6:$C$205,MATCH(B4463,Mitarbeiter!$A$6:$A$205,0)),"vor Eintritt",IF(AND(INDEX(Mitarbeiter!$D$6:$D$205,MATCH(B4463,Mitarbeiter!$A$6:$A$205,0))&lt;&gt;"",A4463&gt;INDEX(Mitarbeiter!$D$6:$D$205,MATCH(B4463,Mitarbeiter!$A$6:$A$205,0))),"nach Austritt","ok")))))))</f>
        <v/>
      </c>
    </row>
    <row r="4464">
      <c r="A4464" s="26" t="n"/>
      <c r="B4464" s="24" t="n"/>
      <c r="C4464" s="40">
        <f>IF(B4464="","",IFERROR(INDEX(Mitarbeiter!$B$6:$B$205,MATCH(B4464,Mitarbeiter!$A$6:$A$205,0)),"?"))</f>
        <v/>
      </c>
      <c r="D4464" s="41" t="n"/>
      <c r="E4464" s="42" t="n"/>
      <c r="F4464" s="43" t="n"/>
      <c r="G4464" s="44">
        <f>IF(OR(B4464="",F4464=""),"",IFERROR(F4464*INDEX(Mitarbeiter!$F$6:$F$205,MATCH(B4464,Mitarbeiter!$A$6:$A$205,0)),0))</f>
        <v/>
      </c>
      <c r="H4464" s="8">
        <f>IF(B4464="","",IF(ISNA(MATCH(B4464,Mitarbeiter!$A$6:$A$205,0)),"Pers.-Nr. unbekannt",IF(A4464="","Datum fehlt",IF(AND(D4464&lt;&gt;Einstellungen!$C$4,D4464&lt;&gt;Einstellungen!$C$5),"Objekt fehlt",IF(YEAR(A4464)&lt;&gt;Einstellungen!$C$3,"anderes Jahr",IF(A4464&lt;INDEX(Mitarbeiter!$C$6:$C$205,MATCH(B4464,Mitarbeiter!$A$6:$A$205,0)),"vor Eintritt",IF(AND(INDEX(Mitarbeiter!$D$6:$D$205,MATCH(B4464,Mitarbeiter!$A$6:$A$205,0))&lt;&gt;"",A4464&gt;INDEX(Mitarbeiter!$D$6:$D$205,MATCH(B4464,Mitarbeiter!$A$6:$A$205,0))),"nach Austritt","ok")))))))</f>
        <v/>
      </c>
    </row>
    <row r="4465">
      <c r="A4465" s="26" t="n"/>
      <c r="B4465" s="24" t="n"/>
      <c r="C4465" s="40">
        <f>IF(B4465="","",IFERROR(INDEX(Mitarbeiter!$B$6:$B$205,MATCH(B4465,Mitarbeiter!$A$6:$A$205,0)),"?"))</f>
        <v/>
      </c>
      <c r="D4465" s="41" t="n"/>
      <c r="E4465" s="42" t="n"/>
      <c r="F4465" s="43" t="n"/>
      <c r="G4465" s="44">
        <f>IF(OR(B4465="",F4465=""),"",IFERROR(F4465*INDEX(Mitarbeiter!$F$6:$F$205,MATCH(B4465,Mitarbeiter!$A$6:$A$205,0)),0))</f>
        <v/>
      </c>
      <c r="H4465" s="8">
        <f>IF(B4465="","",IF(ISNA(MATCH(B4465,Mitarbeiter!$A$6:$A$205,0)),"Pers.-Nr. unbekannt",IF(A4465="","Datum fehlt",IF(AND(D4465&lt;&gt;Einstellungen!$C$4,D4465&lt;&gt;Einstellungen!$C$5),"Objekt fehlt",IF(YEAR(A4465)&lt;&gt;Einstellungen!$C$3,"anderes Jahr",IF(A4465&lt;INDEX(Mitarbeiter!$C$6:$C$205,MATCH(B4465,Mitarbeiter!$A$6:$A$205,0)),"vor Eintritt",IF(AND(INDEX(Mitarbeiter!$D$6:$D$205,MATCH(B4465,Mitarbeiter!$A$6:$A$205,0))&lt;&gt;"",A4465&gt;INDEX(Mitarbeiter!$D$6:$D$205,MATCH(B4465,Mitarbeiter!$A$6:$A$205,0))),"nach Austritt","ok")))))))</f>
        <v/>
      </c>
    </row>
    <row r="4466">
      <c r="A4466" s="26" t="n"/>
      <c r="B4466" s="24" t="n"/>
      <c r="C4466" s="40">
        <f>IF(B4466="","",IFERROR(INDEX(Mitarbeiter!$B$6:$B$205,MATCH(B4466,Mitarbeiter!$A$6:$A$205,0)),"?"))</f>
        <v/>
      </c>
      <c r="D4466" s="41" t="n"/>
      <c r="E4466" s="42" t="n"/>
      <c r="F4466" s="43" t="n"/>
      <c r="G4466" s="44">
        <f>IF(OR(B4466="",F4466=""),"",IFERROR(F4466*INDEX(Mitarbeiter!$F$6:$F$205,MATCH(B4466,Mitarbeiter!$A$6:$A$205,0)),0))</f>
        <v/>
      </c>
      <c r="H4466" s="8">
        <f>IF(B4466="","",IF(ISNA(MATCH(B4466,Mitarbeiter!$A$6:$A$205,0)),"Pers.-Nr. unbekannt",IF(A4466="","Datum fehlt",IF(AND(D4466&lt;&gt;Einstellungen!$C$4,D4466&lt;&gt;Einstellungen!$C$5),"Objekt fehlt",IF(YEAR(A4466)&lt;&gt;Einstellungen!$C$3,"anderes Jahr",IF(A4466&lt;INDEX(Mitarbeiter!$C$6:$C$205,MATCH(B4466,Mitarbeiter!$A$6:$A$205,0)),"vor Eintritt",IF(AND(INDEX(Mitarbeiter!$D$6:$D$205,MATCH(B4466,Mitarbeiter!$A$6:$A$205,0))&lt;&gt;"",A4466&gt;INDEX(Mitarbeiter!$D$6:$D$205,MATCH(B4466,Mitarbeiter!$A$6:$A$205,0))),"nach Austritt","ok")))))))</f>
        <v/>
      </c>
    </row>
    <row r="4467">
      <c r="A4467" s="26" t="n"/>
      <c r="B4467" s="24" t="n"/>
      <c r="C4467" s="40">
        <f>IF(B4467="","",IFERROR(INDEX(Mitarbeiter!$B$6:$B$205,MATCH(B4467,Mitarbeiter!$A$6:$A$205,0)),"?"))</f>
        <v/>
      </c>
      <c r="D4467" s="41" t="n"/>
      <c r="E4467" s="42" t="n"/>
      <c r="F4467" s="43" t="n"/>
      <c r="G4467" s="44">
        <f>IF(OR(B4467="",F4467=""),"",IFERROR(F4467*INDEX(Mitarbeiter!$F$6:$F$205,MATCH(B4467,Mitarbeiter!$A$6:$A$205,0)),0))</f>
        <v/>
      </c>
      <c r="H4467" s="8">
        <f>IF(B4467="","",IF(ISNA(MATCH(B4467,Mitarbeiter!$A$6:$A$205,0)),"Pers.-Nr. unbekannt",IF(A4467="","Datum fehlt",IF(AND(D4467&lt;&gt;Einstellungen!$C$4,D4467&lt;&gt;Einstellungen!$C$5),"Objekt fehlt",IF(YEAR(A4467)&lt;&gt;Einstellungen!$C$3,"anderes Jahr",IF(A4467&lt;INDEX(Mitarbeiter!$C$6:$C$205,MATCH(B4467,Mitarbeiter!$A$6:$A$205,0)),"vor Eintritt",IF(AND(INDEX(Mitarbeiter!$D$6:$D$205,MATCH(B4467,Mitarbeiter!$A$6:$A$205,0))&lt;&gt;"",A4467&gt;INDEX(Mitarbeiter!$D$6:$D$205,MATCH(B4467,Mitarbeiter!$A$6:$A$205,0))),"nach Austritt","ok")))))))</f>
        <v/>
      </c>
    </row>
    <row r="4468">
      <c r="A4468" s="26" t="n"/>
      <c r="B4468" s="24" t="n"/>
      <c r="C4468" s="40">
        <f>IF(B4468="","",IFERROR(INDEX(Mitarbeiter!$B$6:$B$205,MATCH(B4468,Mitarbeiter!$A$6:$A$205,0)),"?"))</f>
        <v/>
      </c>
      <c r="D4468" s="41" t="n"/>
      <c r="E4468" s="42" t="n"/>
      <c r="F4468" s="43" t="n"/>
      <c r="G4468" s="44">
        <f>IF(OR(B4468="",F4468=""),"",IFERROR(F4468*INDEX(Mitarbeiter!$F$6:$F$205,MATCH(B4468,Mitarbeiter!$A$6:$A$205,0)),0))</f>
        <v/>
      </c>
      <c r="H4468" s="8">
        <f>IF(B4468="","",IF(ISNA(MATCH(B4468,Mitarbeiter!$A$6:$A$205,0)),"Pers.-Nr. unbekannt",IF(A4468="","Datum fehlt",IF(AND(D4468&lt;&gt;Einstellungen!$C$4,D4468&lt;&gt;Einstellungen!$C$5),"Objekt fehlt",IF(YEAR(A4468)&lt;&gt;Einstellungen!$C$3,"anderes Jahr",IF(A4468&lt;INDEX(Mitarbeiter!$C$6:$C$205,MATCH(B4468,Mitarbeiter!$A$6:$A$205,0)),"vor Eintritt",IF(AND(INDEX(Mitarbeiter!$D$6:$D$205,MATCH(B4468,Mitarbeiter!$A$6:$A$205,0))&lt;&gt;"",A4468&gt;INDEX(Mitarbeiter!$D$6:$D$205,MATCH(B4468,Mitarbeiter!$A$6:$A$205,0))),"nach Austritt","ok")))))))</f>
        <v/>
      </c>
    </row>
    <row r="4469">
      <c r="A4469" s="26" t="n"/>
      <c r="B4469" s="24" t="n"/>
      <c r="C4469" s="40">
        <f>IF(B4469="","",IFERROR(INDEX(Mitarbeiter!$B$6:$B$205,MATCH(B4469,Mitarbeiter!$A$6:$A$205,0)),"?"))</f>
        <v/>
      </c>
      <c r="D4469" s="41" t="n"/>
      <c r="E4469" s="42" t="n"/>
      <c r="F4469" s="43" t="n"/>
      <c r="G4469" s="44">
        <f>IF(OR(B4469="",F4469=""),"",IFERROR(F4469*INDEX(Mitarbeiter!$F$6:$F$205,MATCH(B4469,Mitarbeiter!$A$6:$A$205,0)),0))</f>
        <v/>
      </c>
      <c r="H4469" s="8">
        <f>IF(B4469="","",IF(ISNA(MATCH(B4469,Mitarbeiter!$A$6:$A$205,0)),"Pers.-Nr. unbekannt",IF(A4469="","Datum fehlt",IF(AND(D4469&lt;&gt;Einstellungen!$C$4,D4469&lt;&gt;Einstellungen!$C$5),"Objekt fehlt",IF(YEAR(A4469)&lt;&gt;Einstellungen!$C$3,"anderes Jahr",IF(A4469&lt;INDEX(Mitarbeiter!$C$6:$C$205,MATCH(B4469,Mitarbeiter!$A$6:$A$205,0)),"vor Eintritt",IF(AND(INDEX(Mitarbeiter!$D$6:$D$205,MATCH(B4469,Mitarbeiter!$A$6:$A$205,0))&lt;&gt;"",A4469&gt;INDEX(Mitarbeiter!$D$6:$D$205,MATCH(B4469,Mitarbeiter!$A$6:$A$205,0))),"nach Austritt","ok")))))))</f>
        <v/>
      </c>
    </row>
    <row r="4470">
      <c r="A4470" s="26" t="n"/>
      <c r="B4470" s="24" t="n"/>
      <c r="C4470" s="40">
        <f>IF(B4470="","",IFERROR(INDEX(Mitarbeiter!$B$6:$B$205,MATCH(B4470,Mitarbeiter!$A$6:$A$205,0)),"?"))</f>
        <v/>
      </c>
      <c r="D4470" s="41" t="n"/>
      <c r="E4470" s="42" t="n"/>
      <c r="F4470" s="43" t="n"/>
      <c r="G4470" s="44">
        <f>IF(OR(B4470="",F4470=""),"",IFERROR(F4470*INDEX(Mitarbeiter!$F$6:$F$205,MATCH(B4470,Mitarbeiter!$A$6:$A$205,0)),0))</f>
        <v/>
      </c>
      <c r="H4470" s="8">
        <f>IF(B4470="","",IF(ISNA(MATCH(B4470,Mitarbeiter!$A$6:$A$205,0)),"Pers.-Nr. unbekannt",IF(A4470="","Datum fehlt",IF(AND(D4470&lt;&gt;Einstellungen!$C$4,D4470&lt;&gt;Einstellungen!$C$5),"Objekt fehlt",IF(YEAR(A4470)&lt;&gt;Einstellungen!$C$3,"anderes Jahr",IF(A4470&lt;INDEX(Mitarbeiter!$C$6:$C$205,MATCH(B4470,Mitarbeiter!$A$6:$A$205,0)),"vor Eintritt",IF(AND(INDEX(Mitarbeiter!$D$6:$D$205,MATCH(B4470,Mitarbeiter!$A$6:$A$205,0))&lt;&gt;"",A4470&gt;INDEX(Mitarbeiter!$D$6:$D$205,MATCH(B4470,Mitarbeiter!$A$6:$A$205,0))),"nach Austritt","ok")))))))</f>
        <v/>
      </c>
    </row>
    <row r="4471">
      <c r="A4471" s="26" t="n"/>
      <c r="B4471" s="24" t="n"/>
      <c r="C4471" s="40">
        <f>IF(B4471="","",IFERROR(INDEX(Mitarbeiter!$B$6:$B$205,MATCH(B4471,Mitarbeiter!$A$6:$A$205,0)),"?"))</f>
        <v/>
      </c>
      <c r="D4471" s="41" t="n"/>
      <c r="E4471" s="42" t="n"/>
      <c r="F4471" s="43" t="n"/>
      <c r="G4471" s="44">
        <f>IF(OR(B4471="",F4471=""),"",IFERROR(F4471*INDEX(Mitarbeiter!$F$6:$F$205,MATCH(B4471,Mitarbeiter!$A$6:$A$205,0)),0))</f>
        <v/>
      </c>
      <c r="H4471" s="8">
        <f>IF(B4471="","",IF(ISNA(MATCH(B4471,Mitarbeiter!$A$6:$A$205,0)),"Pers.-Nr. unbekannt",IF(A4471="","Datum fehlt",IF(AND(D4471&lt;&gt;Einstellungen!$C$4,D4471&lt;&gt;Einstellungen!$C$5),"Objekt fehlt",IF(YEAR(A4471)&lt;&gt;Einstellungen!$C$3,"anderes Jahr",IF(A4471&lt;INDEX(Mitarbeiter!$C$6:$C$205,MATCH(B4471,Mitarbeiter!$A$6:$A$205,0)),"vor Eintritt",IF(AND(INDEX(Mitarbeiter!$D$6:$D$205,MATCH(B4471,Mitarbeiter!$A$6:$A$205,0))&lt;&gt;"",A4471&gt;INDEX(Mitarbeiter!$D$6:$D$205,MATCH(B4471,Mitarbeiter!$A$6:$A$205,0))),"nach Austritt","ok")))))))</f>
        <v/>
      </c>
    </row>
    <row r="4472">
      <c r="A4472" s="26" t="n"/>
      <c r="B4472" s="24" t="n"/>
      <c r="C4472" s="40">
        <f>IF(B4472="","",IFERROR(INDEX(Mitarbeiter!$B$6:$B$205,MATCH(B4472,Mitarbeiter!$A$6:$A$205,0)),"?"))</f>
        <v/>
      </c>
      <c r="D4472" s="41" t="n"/>
      <c r="E4472" s="42" t="n"/>
      <c r="F4472" s="43" t="n"/>
      <c r="G4472" s="44">
        <f>IF(OR(B4472="",F4472=""),"",IFERROR(F4472*INDEX(Mitarbeiter!$F$6:$F$205,MATCH(B4472,Mitarbeiter!$A$6:$A$205,0)),0))</f>
        <v/>
      </c>
      <c r="H4472" s="8">
        <f>IF(B4472="","",IF(ISNA(MATCH(B4472,Mitarbeiter!$A$6:$A$205,0)),"Pers.-Nr. unbekannt",IF(A4472="","Datum fehlt",IF(AND(D4472&lt;&gt;Einstellungen!$C$4,D4472&lt;&gt;Einstellungen!$C$5),"Objekt fehlt",IF(YEAR(A4472)&lt;&gt;Einstellungen!$C$3,"anderes Jahr",IF(A4472&lt;INDEX(Mitarbeiter!$C$6:$C$205,MATCH(B4472,Mitarbeiter!$A$6:$A$205,0)),"vor Eintritt",IF(AND(INDEX(Mitarbeiter!$D$6:$D$205,MATCH(B4472,Mitarbeiter!$A$6:$A$205,0))&lt;&gt;"",A4472&gt;INDEX(Mitarbeiter!$D$6:$D$205,MATCH(B4472,Mitarbeiter!$A$6:$A$205,0))),"nach Austritt","ok")))))))</f>
        <v/>
      </c>
    </row>
    <row r="4473">
      <c r="A4473" s="26" t="n"/>
      <c r="B4473" s="24" t="n"/>
      <c r="C4473" s="40">
        <f>IF(B4473="","",IFERROR(INDEX(Mitarbeiter!$B$6:$B$205,MATCH(B4473,Mitarbeiter!$A$6:$A$205,0)),"?"))</f>
        <v/>
      </c>
      <c r="D4473" s="41" t="n"/>
      <c r="E4473" s="42" t="n"/>
      <c r="F4473" s="43" t="n"/>
      <c r="G4473" s="44">
        <f>IF(OR(B4473="",F4473=""),"",IFERROR(F4473*INDEX(Mitarbeiter!$F$6:$F$205,MATCH(B4473,Mitarbeiter!$A$6:$A$205,0)),0))</f>
        <v/>
      </c>
      <c r="H4473" s="8">
        <f>IF(B4473="","",IF(ISNA(MATCH(B4473,Mitarbeiter!$A$6:$A$205,0)),"Pers.-Nr. unbekannt",IF(A4473="","Datum fehlt",IF(AND(D4473&lt;&gt;Einstellungen!$C$4,D4473&lt;&gt;Einstellungen!$C$5),"Objekt fehlt",IF(YEAR(A4473)&lt;&gt;Einstellungen!$C$3,"anderes Jahr",IF(A4473&lt;INDEX(Mitarbeiter!$C$6:$C$205,MATCH(B4473,Mitarbeiter!$A$6:$A$205,0)),"vor Eintritt",IF(AND(INDEX(Mitarbeiter!$D$6:$D$205,MATCH(B4473,Mitarbeiter!$A$6:$A$205,0))&lt;&gt;"",A4473&gt;INDEX(Mitarbeiter!$D$6:$D$205,MATCH(B4473,Mitarbeiter!$A$6:$A$205,0))),"nach Austritt","ok")))))))</f>
        <v/>
      </c>
    </row>
    <row r="4474">
      <c r="A4474" s="26" t="n"/>
      <c r="B4474" s="24" t="n"/>
      <c r="C4474" s="40">
        <f>IF(B4474="","",IFERROR(INDEX(Mitarbeiter!$B$6:$B$205,MATCH(B4474,Mitarbeiter!$A$6:$A$205,0)),"?"))</f>
        <v/>
      </c>
      <c r="D4474" s="41" t="n"/>
      <c r="E4474" s="42" t="n"/>
      <c r="F4474" s="43" t="n"/>
      <c r="G4474" s="44">
        <f>IF(OR(B4474="",F4474=""),"",IFERROR(F4474*INDEX(Mitarbeiter!$F$6:$F$205,MATCH(B4474,Mitarbeiter!$A$6:$A$205,0)),0))</f>
        <v/>
      </c>
      <c r="H4474" s="8">
        <f>IF(B4474="","",IF(ISNA(MATCH(B4474,Mitarbeiter!$A$6:$A$205,0)),"Pers.-Nr. unbekannt",IF(A4474="","Datum fehlt",IF(AND(D4474&lt;&gt;Einstellungen!$C$4,D4474&lt;&gt;Einstellungen!$C$5),"Objekt fehlt",IF(YEAR(A4474)&lt;&gt;Einstellungen!$C$3,"anderes Jahr",IF(A4474&lt;INDEX(Mitarbeiter!$C$6:$C$205,MATCH(B4474,Mitarbeiter!$A$6:$A$205,0)),"vor Eintritt",IF(AND(INDEX(Mitarbeiter!$D$6:$D$205,MATCH(B4474,Mitarbeiter!$A$6:$A$205,0))&lt;&gt;"",A4474&gt;INDEX(Mitarbeiter!$D$6:$D$205,MATCH(B4474,Mitarbeiter!$A$6:$A$205,0))),"nach Austritt","ok")))))))</f>
        <v/>
      </c>
    </row>
    <row r="4475">
      <c r="A4475" s="26" t="n"/>
      <c r="B4475" s="24" t="n"/>
      <c r="C4475" s="40">
        <f>IF(B4475="","",IFERROR(INDEX(Mitarbeiter!$B$6:$B$205,MATCH(B4475,Mitarbeiter!$A$6:$A$205,0)),"?"))</f>
        <v/>
      </c>
      <c r="D4475" s="41" t="n"/>
      <c r="E4475" s="42" t="n"/>
      <c r="F4475" s="43" t="n"/>
      <c r="G4475" s="44">
        <f>IF(OR(B4475="",F4475=""),"",IFERROR(F4475*INDEX(Mitarbeiter!$F$6:$F$205,MATCH(B4475,Mitarbeiter!$A$6:$A$205,0)),0))</f>
        <v/>
      </c>
      <c r="H4475" s="8">
        <f>IF(B4475="","",IF(ISNA(MATCH(B4475,Mitarbeiter!$A$6:$A$205,0)),"Pers.-Nr. unbekannt",IF(A4475="","Datum fehlt",IF(AND(D4475&lt;&gt;Einstellungen!$C$4,D4475&lt;&gt;Einstellungen!$C$5),"Objekt fehlt",IF(YEAR(A4475)&lt;&gt;Einstellungen!$C$3,"anderes Jahr",IF(A4475&lt;INDEX(Mitarbeiter!$C$6:$C$205,MATCH(B4475,Mitarbeiter!$A$6:$A$205,0)),"vor Eintritt",IF(AND(INDEX(Mitarbeiter!$D$6:$D$205,MATCH(B4475,Mitarbeiter!$A$6:$A$205,0))&lt;&gt;"",A4475&gt;INDEX(Mitarbeiter!$D$6:$D$205,MATCH(B4475,Mitarbeiter!$A$6:$A$205,0))),"nach Austritt","ok")))))))</f>
        <v/>
      </c>
    </row>
    <row r="4476">
      <c r="A4476" s="26" t="n"/>
      <c r="B4476" s="24" t="n"/>
      <c r="C4476" s="40">
        <f>IF(B4476="","",IFERROR(INDEX(Mitarbeiter!$B$6:$B$205,MATCH(B4476,Mitarbeiter!$A$6:$A$205,0)),"?"))</f>
        <v/>
      </c>
      <c r="D4476" s="41" t="n"/>
      <c r="E4476" s="42" t="n"/>
      <c r="F4476" s="43" t="n"/>
      <c r="G4476" s="44">
        <f>IF(OR(B4476="",F4476=""),"",IFERROR(F4476*INDEX(Mitarbeiter!$F$6:$F$205,MATCH(B4476,Mitarbeiter!$A$6:$A$205,0)),0))</f>
        <v/>
      </c>
      <c r="H4476" s="8">
        <f>IF(B4476="","",IF(ISNA(MATCH(B4476,Mitarbeiter!$A$6:$A$205,0)),"Pers.-Nr. unbekannt",IF(A4476="","Datum fehlt",IF(AND(D4476&lt;&gt;Einstellungen!$C$4,D4476&lt;&gt;Einstellungen!$C$5),"Objekt fehlt",IF(YEAR(A4476)&lt;&gt;Einstellungen!$C$3,"anderes Jahr",IF(A4476&lt;INDEX(Mitarbeiter!$C$6:$C$205,MATCH(B4476,Mitarbeiter!$A$6:$A$205,0)),"vor Eintritt",IF(AND(INDEX(Mitarbeiter!$D$6:$D$205,MATCH(B4476,Mitarbeiter!$A$6:$A$205,0))&lt;&gt;"",A4476&gt;INDEX(Mitarbeiter!$D$6:$D$205,MATCH(B4476,Mitarbeiter!$A$6:$A$205,0))),"nach Austritt","ok")))))))</f>
        <v/>
      </c>
    </row>
    <row r="4477">
      <c r="A4477" s="26" t="n"/>
      <c r="B4477" s="24" t="n"/>
      <c r="C4477" s="40">
        <f>IF(B4477="","",IFERROR(INDEX(Mitarbeiter!$B$6:$B$205,MATCH(B4477,Mitarbeiter!$A$6:$A$205,0)),"?"))</f>
        <v/>
      </c>
      <c r="D4477" s="41" t="n"/>
      <c r="E4477" s="42" t="n"/>
      <c r="F4477" s="43" t="n"/>
      <c r="G4477" s="44">
        <f>IF(OR(B4477="",F4477=""),"",IFERROR(F4477*INDEX(Mitarbeiter!$F$6:$F$205,MATCH(B4477,Mitarbeiter!$A$6:$A$205,0)),0))</f>
        <v/>
      </c>
      <c r="H4477" s="8">
        <f>IF(B4477="","",IF(ISNA(MATCH(B4477,Mitarbeiter!$A$6:$A$205,0)),"Pers.-Nr. unbekannt",IF(A4477="","Datum fehlt",IF(AND(D4477&lt;&gt;Einstellungen!$C$4,D4477&lt;&gt;Einstellungen!$C$5),"Objekt fehlt",IF(YEAR(A4477)&lt;&gt;Einstellungen!$C$3,"anderes Jahr",IF(A4477&lt;INDEX(Mitarbeiter!$C$6:$C$205,MATCH(B4477,Mitarbeiter!$A$6:$A$205,0)),"vor Eintritt",IF(AND(INDEX(Mitarbeiter!$D$6:$D$205,MATCH(B4477,Mitarbeiter!$A$6:$A$205,0))&lt;&gt;"",A4477&gt;INDEX(Mitarbeiter!$D$6:$D$205,MATCH(B4477,Mitarbeiter!$A$6:$A$205,0))),"nach Austritt","ok")))))))</f>
        <v/>
      </c>
    </row>
    <row r="4478">
      <c r="A4478" s="26" t="n"/>
      <c r="B4478" s="24" t="n"/>
      <c r="C4478" s="40">
        <f>IF(B4478="","",IFERROR(INDEX(Mitarbeiter!$B$6:$B$205,MATCH(B4478,Mitarbeiter!$A$6:$A$205,0)),"?"))</f>
        <v/>
      </c>
      <c r="D4478" s="41" t="n"/>
      <c r="E4478" s="42" t="n"/>
      <c r="F4478" s="43" t="n"/>
      <c r="G4478" s="44">
        <f>IF(OR(B4478="",F4478=""),"",IFERROR(F4478*INDEX(Mitarbeiter!$F$6:$F$205,MATCH(B4478,Mitarbeiter!$A$6:$A$205,0)),0))</f>
        <v/>
      </c>
      <c r="H4478" s="8">
        <f>IF(B4478="","",IF(ISNA(MATCH(B4478,Mitarbeiter!$A$6:$A$205,0)),"Pers.-Nr. unbekannt",IF(A4478="","Datum fehlt",IF(AND(D4478&lt;&gt;Einstellungen!$C$4,D4478&lt;&gt;Einstellungen!$C$5),"Objekt fehlt",IF(YEAR(A4478)&lt;&gt;Einstellungen!$C$3,"anderes Jahr",IF(A4478&lt;INDEX(Mitarbeiter!$C$6:$C$205,MATCH(B4478,Mitarbeiter!$A$6:$A$205,0)),"vor Eintritt",IF(AND(INDEX(Mitarbeiter!$D$6:$D$205,MATCH(B4478,Mitarbeiter!$A$6:$A$205,0))&lt;&gt;"",A4478&gt;INDEX(Mitarbeiter!$D$6:$D$205,MATCH(B4478,Mitarbeiter!$A$6:$A$205,0))),"nach Austritt","ok")))))))</f>
        <v/>
      </c>
    </row>
    <row r="4479">
      <c r="A4479" s="26" t="n"/>
      <c r="B4479" s="24" t="n"/>
      <c r="C4479" s="40">
        <f>IF(B4479="","",IFERROR(INDEX(Mitarbeiter!$B$6:$B$205,MATCH(B4479,Mitarbeiter!$A$6:$A$205,0)),"?"))</f>
        <v/>
      </c>
      <c r="D4479" s="41" t="n"/>
      <c r="E4479" s="42" t="n"/>
      <c r="F4479" s="43" t="n"/>
      <c r="G4479" s="44">
        <f>IF(OR(B4479="",F4479=""),"",IFERROR(F4479*INDEX(Mitarbeiter!$F$6:$F$205,MATCH(B4479,Mitarbeiter!$A$6:$A$205,0)),0))</f>
        <v/>
      </c>
      <c r="H4479" s="8">
        <f>IF(B4479="","",IF(ISNA(MATCH(B4479,Mitarbeiter!$A$6:$A$205,0)),"Pers.-Nr. unbekannt",IF(A4479="","Datum fehlt",IF(AND(D4479&lt;&gt;Einstellungen!$C$4,D4479&lt;&gt;Einstellungen!$C$5),"Objekt fehlt",IF(YEAR(A4479)&lt;&gt;Einstellungen!$C$3,"anderes Jahr",IF(A4479&lt;INDEX(Mitarbeiter!$C$6:$C$205,MATCH(B4479,Mitarbeiter!$A$6:$A$205,0)),"vor Eintritt",IF(AND(INDEX(Mitarbeiter!$D$6:$D$205,MATCH(B4479,Mitarbeiter!$A$6:$A$205,0))&lt;&gt;"",A4479&gt;INDEX(Mitarbeiter!$D$6:$D$205,MATCH(B4479,Mitarbeiter!$A$6:$A$205,0))),"nach Austritt","ok")))))))</f>
        <v/>
      </c>
    </row>
    <row r="4480">
      <c r="A4480" s="26" t="n"/>
      <c r="B4480" s="24" t="n"/>
      <c r="C4480" s="40">
        <f>IF(B4480="","",IFERROR(INDEX(Mitarbeiter!$B$6:$B$205,MATCH(B4480,Mitarbeiter!$A$6:$A$205,0)),"?"))</f>
        <v/>
      </c>
      <c r="D4480" s="41" t="n"/>
      <c r="E4480" s="42" t="n"/>
      <c r="F4480" s="43" t="n"/>
      <c r="G4480" s="44">
        <f>IF(OR(B4480="",F4480=""),"",IFERROR(F4480*INDEX(Mitarbeiter!$F$6:$F$205,MATCH(B4480,Mitarbeiter!$A$6:$A$205,0)),0))</f>
        <v/>
      </c>
      <c r="H4480" s="8">
        <f>IF(B4480="","",IF(ISNA(MATCH(B4480,Mitarbeiter!$A$6:$A$205,0)),"Pers.-Nr. unbekannt",IF(A4480="","Datum fehlt",IF(AND(D4480&lt;&gt;Einstellungen!$C$4,D4480&lt;&gt;Einstellungen!$C$5),"Objekt fehlt",IF(YEAR(A4480)&lt;&gt;Einstellungen!$C$3,"anderes Jahr",IF(A4480&lt;INDEX(Mitarbeiter!$C$6:$C$205,MATCH(B4480,Mitarbeiter!$A$6:$A$205,0)),"vor Eintritt",IF(AND(INDEX(Mitarbeiter!$D$6:$D$205,MATCH(B4480,Mitarbeiter!$A$6:$A$205,0))&lt;&gt;"",A4480&gt;INDEX(Mitarbeiter!$D$6:$D$205,MATCH(B4480,Mitarbeiter!$A$6:$A$205,0))),"nach Austritt","ok")))))))</f>
        <v/>
      </c>
    </row>
    <row r="4481">
      <c r="A4481" s="26" t="n"/>
      <c r="B4481" s="24" t="n"/>
      <c r="C4481" s="40">
        <f>IF(B4481="","",IFERROR(INDEX(Mitarbeiter!$B$6:$B$205,MATCH(B4481,Mitarbeiter!$A$6:$A$205,0)),"?"))</f>
        <v/>
      </c>
      <c r="D4481" s="41" t="n"/>
      <c r="E4481" s="42" t="n"/>
      <c r="F4481" s="43" t="n"/>
      <c r="G4481" s="44">
        <f>IF(OR(B4481="",F4481=""),"",IFERROR(F4481*INDEX(Mitarbeiter!$F$6:$F$205,MATCH(B4481,Mitarbeiter!$A$6:$A$205,0)),0))</f>
        <v/>
      </c>
      <c r="H4481" s="8">
        <f>IF(B4481="","",IF(ISNA(MATCH(B4481,Mitarbeiter!$A$6:$A$205,0)),"Pers.-Nr. unbekannt",IF(A4481="","Datum fehlt",IF(AND(D4481&lt;&gt;Einstellungen!$C$4,D4481&lt;&gt;Einstellungen!$C$5),"Objekt fehlt",IF(YEAR(A4481)&lt;&gt;Einstellungen!$C$3,"anderes Jahr",IF(A4481&lt;INDEX(Mitarbeiter!$C$6:$C$205,MATCH(B4481,Mitarbeiter!$A$6:$A$205,0)),"vor Eintritt",IF(AND(INDEX(Mitarbeiter!$D$6:$D$205,MATCH(B4481,Mitarbeiter!$A$6:$A$205,0))&lt;&gt;"",A4481&gt;INDEX(Mitarbeiter!$D$6:$D$205,MATCH(B4481,Mitarbeiter!$A$6:$A$205,0))),"nach Austritt","ok")))))))</f>
        <v/>
      </c>
    </row>
    <row r="4482">
      <c r="A4482" s="26" t="n"/>
      <c r="B4482" s="24" t="n"/>
      <c r="C4482" s="40">
        <f>IF(B4482="","",IFERROR(INDEX(Mitarbeiter!$B$6:$B$205,MATCH(B4482,Mitarbeiter!$A$6:$A$205,0)),"?"))</f>
        <v/>
      </c>
      <c r="D4482" s="41" t="n"/>
      <c r="E4482" s="42" t="n"/>
      <c r="F4482" s="43" t="n"/>
      <c r="G4482" s="44">
        <f>IF(OR(B4482="",F4482=""),"",IFERROR(F4482*INDEX(Mitarbeiter!$F$6:$F$205,MATCH(B4482,Mitarbeiter!$A$6:$A$205,0)),0))</f>
        <v/>
      </c>
      <c r="H4482" s="8">
        <f>IF(B4482="","",IF(ISNA(MATCH(B4482,Mitarbeiter!$A$6:$A$205,0)),"Pers.-Nr. unbekannt",IF(A4482="","Datum fehlt",IF(AND(D4482&lt;&gt;Einstellungen!$C$4,D4482&lt;&gt;Einstellungen!$C$5),"Objekt fehlt",IF(YEAR(A4482)&lt;&gt;Einstellungen!$C$3,"anderes Jahr",IF(A4482&lt;INDEX(Mitarbeiter!$C$6:$C$205,MATCH(B4482,Mitarbeiter!$A$6:$A$205,0)),"vor Eintritt",IF(AND(INDEX(Mitarbeiter!$D$6:$D$205,MATCH(B4482,Mitarbeiter!$A$6:$A$205,0))&lt;&gt;"",A4482&gt;INDEX(Mitarbeiter!$D$6:$D$205,MATCH(B4482,Mitarbeiter!$A$6:$A$205,0))),"nach Austritt","ok")))))))</f>
        <v/>
      </c>
    </row>
    <row r="4483">
      <c r="A4483" s="26" t="n"/>
      <c r="B4483" s="24" t="n"/>
      <c r="C4483" s="40">
        <f>IF(B4483="","",IFERROR(INDEX(Mitarbeiter!$B$6:$B$205,MATCH(B4483,Mitarbeiter!$A$6:$A$205,0)),"?"))</f>
        <v/>
      </c>
      <c r="D4483" s="41" t="n"/>
      <c r="E4483" s="42" t="n"/>
      <c r="F4483" s="43" t="n"/>
      <c r="G4483" s="44">
        <f>IF(OR(B4483="",F4483=""),"",IFERROR(F4483*INDEX(Mitarbeiter!$F$6:$F$205,MATCH(B4483,Mitarbeiter!$A$6:$A$205,0)),0))</f>
        <v/>
      </c>
      <c r="H4483" s="8">
        <f>IF(B4483="","",IF(ISNA(MATCH(B4483,Mitarbeiter!$A$6:$A$205,0)),"Pers.-Nr. unbekannt",IF(A4483="","Datum fehlt",IF(AND(D4483&lt;&gt;Einstellungen!$C$4,D4483&lt;&gt;Einstellungen!$C$5),"Objekt fehlt",IF(YEAR(A4483)&lt;&gt;Einstellungen!$C$3,"anderes Jahr",IF(A4483&lt;INDEX(Mitarbeiter!$C$6:$C$205,MATCH(B4483,Mitarbeiter!$A$6:$A$205,0)),"vor Eintritt",IF(AND(INDEX(Mitarbeiter!$D$6:$D$205,MATCH(B4483,Mitarbeiter!$A$6:$A$205,0))&lt;&gt;"",A4483&gt;INDEX(Mitarbeiter!$D$6:$D$205,MATCH(B4483,Mitarbeiter!$A$6:$A$205,0))),"nach Austritt","ok")))))))</f>
        <v/>
      </c>
    </row>
    <row r="4484">
      <c r="A4484" s="26" t="n"/>
      <c r="B4484" s="24" t="n"/>
      <c r="C4484" s="40">
        <f>IF(B4484="","",IFERROR(INDEX(Mitarbeiter!$B$6:$B$205,MATCH(B4484,Mitarbeiter!$A$6:$A$205,0)),"?"))</f>
        <v/>
      </c>
      <c r="D4484" s="41" t="n"/>
      <c r="E4484" s="42" t="n"/>
      <c r="F4484" s="43" t="n"/>
      <c r="G4484" s="44">
        <f>IF(OR(B4484="",F4484=""),"",IFERROR(F4484*INDEX(Mitarbeiter!$F$6:$F$205,MATCH(B4484,Mitarbeiter!$A$6:$A$205,0)),0))</f>
        <v/>
      </c>
      <c r="H4484" s="8">
        <f>IF(B4484="","",IF(ISNA(MATCH(B4484,Mitarbeiter!$A$6:$A$205,0)),"Pers.-Nr. unbekannt",IF(A4484="","Datum fehlt",IF(AND(D4484&lt;&gt;Einstellungen!$C$4,D4484&lt;&gt;Einstellungen!$C$5),"Objekt fehlt",IF(YEAR(A4484)&lt;&gt;Einstellungen!$C$3,"anderes Jahr",IF(A4484&lt;INDEX(Mitarbeiter!$C$6:$C$205,MATCH(B4484,Mitarbeiter!$A$6:$A$205,0)),"vor Eintritt",IF(AND(INDEX(Mitarbeiter!$D$6:$D$205,MATCH(B4484,Mitarbeiter!$A$6:$A$205,0))&lt;&gt;"",A4484&gt;INDEX(Mitarbeiter!$D$6:$D$205,MATCH(B4484,Mitarbeiter!$A$6:$A$205,0))),"nach Austritt","ok")))))))</f>
        <v/>
      </c>
    </row>
    <row r="4485">
      <c r="A4485" s="26" t="n"/>
      <c r="B4485" s="24" t="n"/>
      <c r="C4485" s="40">
        <f>IF(B4485="","",IFERROR(INDEX(Mitarbeiter!$B$6:$B$205,MATCH(B4485,Mitarbeiter!$A$6:$A$205,0)),"?"))</f>
        <v/>
      </c>
      <c r="D4485" s="41" t="n"/>
      <c r="E4485" s="42" t="n"/>
      <c r="F4485" s="43" t="n"/>
      <c r="G4485" s="44">
        <f>IF(OR(B4485="",F4485=""),"",IFERROR(F4485*INDEX(Mitarbeiter!$F$6:$F$205,MATCH(B4485,Mitarbeiter!$A$6:$A$205,0)),0))</f>
        <v/>
      </c>
      <c r="H4485" s="8">
        <f>IF(B4485="","",IF(ISNA(MATCH(B4485,Mitarbeiter!$A$6:$A$205,0)),"Pers.-Nr. unbekannt",IF(A4485="","Datum fehlt",IF(AND(D4485&lt;&gt;Einstellungen!$C$4,D4485&lt;&gt;Einstellungen!$C$5),"Objekt fehlt",IF(YEAR(A4485)&lt;&gt;Einstellungen!$C$3,"anderes Jahr",IF(A4485&lt;INDEX(Mitarbeiter!$C$6:$C$205,MATCH(B4485,Mitarbeiter!$A$6:$A$205,0)),"vor Eintritt",IF(AND(INDEX(Mitarbeiter!$D$6:$D$205,MATCH(B4485,Mitarbeiter!$A$6:$A$205,0))&lt;&gt;"",A4485&gt;INDEX(Mitarbeiter!$D$6:$D$205,MATCH(B4485,Mitarbeiter!$A$6:$A$205,0))),"nach Austritt","ok")))))))</f>
        <v/>
      </c>
    </row>
    <row r="4486">
      <c r="A4486" s="26" t="n"/>
      <c r="B4486" s="24" t="n"/>
      <c r="C4486" s="40">
        <f>IF(B4486="","",IFERROR(INDEX(Mitarbeiter!$B$6:$B$205,MATCH(B4486,Mitarbeiter!$A$6:$A$205,0)),"?"))</f>
        <v/>
      </c>
      <c r="D4486" s="41" t="n"/>
      <c r="E4486" s="42" t="n"/>
      <c r="F4486" s="43" t="n"/>
      <c r="G4486" s="44">
        <f>IF(OR(B4486="",F4486=""),"",IFERROR(F4486*INDEX(Mitarbeiter!$F$6:$F$205,MATCH(B4486,Mitarbeiter!$A$6:$A$205,0)),0))</f>
        <v/>
      </c>
      <c r="H4486" s="8">
        <f>IF(B4486="","",IF(ISNA(MATCH(B4486,Mitarbeiter!$A$6:$A$205,0)),"Pers.-Nr. unbekannt",IF(A4486="","Datum fehlt",IF(AND(D4486&lt;&gt;Einstellungen!$C$4,D4486&lt;&gt;Einstellungen!$C$5),"Objekt fehlt",IF(YEAR(A4486)&lt;&gt;Einstellungen!$C$3,"anderes Jahr",IF(A4486&lt;INDEX(Mitarbeiter!$C$6:$C$205,MATCH(B4486,Mitarbeiter!$A$6:$A$205,0)),"vor Eintritt",IF(AND(INDEX(Mitarbeiter!$D$6:$D$205,MATCH(B4486,Mitarbeiter!$A$6:$A$205,0))&lt;&gt;"",A4486&gt;INDEX(Mitarbeiter!$D$6:$D$205,MATCH(B4486,Mitarbeiter!$A$6:$A$205,0))),"nach Austritt","ok")))))))</f>
        <v/>
      </c>
    </row>
    <row r="4487">
      <c r="A4487" s="26" t="n"/>
      <c r="B4487" s="24" t="n"/>
      <c r="C4487" s="40">
        <f>IF(B4487="","",IFERROR(INDEX(Mitarbeiter!$B$6:$B$205,MATCH(B4487,Mitarbeiter!$A$6:$A$205,0)),"?"))</f>
        <v/>
      </c>
      <c r="D4487" s="41" t="n"/>
      <c r="E4487" s="42" t="n"/>
      <c r="F4487" s="43" t="n"/>
      <c r="G4487" s="44">
        <f>IF(OR(B4487="",F4487=""),"",IFERROR(F4487*INDEX(Mitarbeiter!$F$6:$F$205,MATCH(B4487,Mitarbeiter!$A$6:$A$205,0)),0))</f>
        <v/>
      </c>
      <c r="H4487" s="8">
        <f>IF(B4487="","",IF(ISNA(MATCH(B4487,Mitarbeiter!$A$6:$A$205,0)),"Pers.-Nr. unbekannt",IF(A4487="","Datum fehlt",IF(AND(D4487&lt;&gt;Einstellungen!$C$4,D4487&lt;&gt;Einstellungen!$C$5),"Objekt fehlt",IF(YEAR(A4487)&lt;&gt;Einstellungen!$C$3,"anderes Jahr",IF(A4487&lt;INDEX(Mitarbeiter!$C$6:$C$205,MATCH(B4487,Mitarbeiter!$A$6:$A$205,0)),"vor Eintritt",IF(AND(INDEX(Mitarbeiter!$D$6:$D$205,MATCH(B4487,Mitarbeiter!$A$6:$A$205,0))&lt;&gt;"",A4487&gt;INDEX(Mitarbeiter!$D$6:$D$205,MATCH(B4487,Mitarbeiter!$A$6:$A$205,0))),"nach Austritt","ok")))))))</f>
        <v/>
      </c>
    </row>
    <row r="4488">
      <c r="A4488" s="26" t="n"/>
      <c r="B4488" s="24" t="n"/>
      <c r="C4488" s="40">
        <f>IF(B4488="","",IFERROR(INDEX(Mitarbeiter!$B$6:$B$205,MATCH(B4488,Mitarbeiter!$A$6:$A$205,0)),"?"))</f>
        <v/>
      </c>
      <c r="D4488" s="41" t="n"/>
      <c r="E4488" s="42" t="n"/>
      <c r="F4488" s="43" t="n"/>
      <c r="G4488" s="44">
        <f>IF(OR(B4488="",F4488=""),"",IFERROR(F4488*INDEX(Mitarbeiter!$F$6:$F$205,MATCH(B4488,Mitarbeiter!$A$6:$A$205,0)),0))</f>
        <v/>
      </c>
      <c r="H4488" s="8">
        <f>IF(B4488="","",IF(ISNA(MATCH(B4488,Mitarbeiter!$A$6:$A$205,0)),"Pers.-Nr. unbekannt",IF(A4488="","Datum fehlt",IF(AND(D4488&lt;&gt;Einstellungen!$C$4,D4488&lt;&gt;Einstellungen!$C$5),"Objekt fehlt",IF(YEAR(A4488)&lt;&gt;Einstellungen!$C$3,"anderes Jahr",IF(A4488&lt;INDEX(Mitarbeiter!$C$6:$C$205,MATCH(B4488,Mitarbeiter!$A$6:$A$205,0)),"vor Eintritt",IF(AND(INDEX(Mitarbeiter!$D$6:$D$205,MATCH(B4488,Mitarbeiter!$A$6:$A$205,0))&lt;&gt;"",A4488&gt;INDEX(Mitarbeiter!$D$6:$D$205,MATCH(B4488,Mitarbeiter!$A$6:$A$205,0))),"nach Austritt","ok")))))))</f>
        <v/>
      </c>
    </row>
    <row r="4489">
      <c r="A4489" s="26" t="n"/>
      <c r="B4489" s="24" t="n"/>
      <c r="C4489" s="40">
        <f>IF(B4489="","",IFERROR(INDEX(Mitarbeiter!$B$6:$B$205,MATCH(B4489,Mitarbeiter!$A$6:$A$205,0)),"?"))</f>
        <v/>
      </c>
      <c r="D4489" s="41" t="n"/>
      <c r="E4489" s="42" t="n"/>
      <c r="F4489" s="43" t="n"/>
      <c r="G4489" s="44">
        <f>IF(OR(B4489="",F4489=""),"",IFERROR(F4489*INDEX(Mitarbeiter!$F$6:$F$205,MATCH(B4489,Mitarbeiter!$A$6:$A$205,0)),0))</f>
        <v/>
      </c>
      <c r="H4489" s="8">
        <f>IF(B4489="","",IF(ISNA(MATCH(B4489,Mitarbeiter!$A$6:$A$205,0)),"Pers.-Nr. unbekannt",IF(A4489="","Datum fehlt",IF(AND(D4489&lt;&gt;Einstellungen!$C$4,D4489&lt;&gt;Einstellungen!$C$5),"Objekt fehlt",IF(YEAR(A4489)&lt;&gt;Einstellungen!$C$3,"anderes Jahr",IF(A4489&lt;INDEX(Mitarbeiter!$C$6:$C$205,MATCH(B4489,Mitarbeiter!$A$6:$A$205,0)),"vor Eintritt",IF(AND(INDEX(Mitarbeiter!$D$6:$D$205,MATCH(B4489,Mitarbeiter!$A$6:$A$205,0))&lt;&gt;"",A4489&gt;INDEX(Mitarbeiter!$D$6:$D$205,MATCH(B4489,Mitarbeiter!$A$6:$A$205,0))),"nach Austritt","ok")))))))</f>
        <v/>
      </c>
    </row>
    <row r="4490">
      <c r="A4490" s="26" t="n"/>
      <c r="B4490" s="24" t="n"/>
      <c r="C4490" s="40">
        <f>IF(B4490="","",IFERROR(INDEX(Mitarbeiter!$B$6:$B$205,MATCH(B4490,Mitarbeiter!$A$6:$A$205,0)),"?"))</f>
        <v/>
      </c>
      <c r="D4490" s="41" t="n"/>
      <c r="E4490" s="42" t="n"/>
      <c r="F4490" s="43" t="n"/>
      <c r="G4490" s="44">
        <f>IF(OR(B4490="",F4490=""),"",IFERROR(F4490*INDEX(Mitarbeiter!$F$6:$F$205,MATCH(B4490,Mitarbeiter!$A$6:$A$205,0)),0))</f>
        <v/>
      </c>
      <c r="H4490" s="8">
        <f>IF(B4490="","",IF(ISNA(MATCH(B4490,Mitarbeiter!$A$6:$A$205,0)),"Pers.-Nr. unbekannt",IF(A4490="","Datum fehlt",IF(AND(D4490&lt;&gt;Einstellungen!$C$4,D4490&lt;&gt;Einstellungen!$C$5),"Objekt fehlt",IF(YEAR(A4490)&lt;&gt;Einstellungen!$C$3,"anderes Jahr",IF(A4490&lt;INDEX(Mitarbeiter!$C$6:$C$205,MATCH(B4490,Mitarbeiter!$A$6:$A$205,0)),"vor Eintritt",IF(AND(INDEX(Mitarbeiter!$D$6:$D$205,MATCH(B4490,Mitarbeiter!$A$6:$A$205,0))&lt;&gt;"",A4490&gt;INDEX(Mitarbeiter!$D$6:$D$205,MATCH(B4490,Mitarbeiter!$A$6:$A$205,0))),"nach Austritt","ok")))))))</f>
        <v/>
      </c>
    </row>
    <row r="4491">
      <c r="A4491" s="26" t="n"/>
      <c r="B4491" s="24" t="n"/>
      <c r="C4491" s="40">
        <f>IF(B4491="","",IFERROR(INDEX(Mitarbeiter!$B$6:$B$205,MATCH(B4491,Mitarbeiter!$A$6:$A$205,0)),"?"))</f>
        <v/>
      </c>
      <c r="D4491" s="41" t="n"/>
      <c r="E4491" s="42" t="n"/>
      <c r="F4491" s="43" t="n"/>
      <c r="G4491" s="44">
        <f>IF(OR(B4491="",F4491=""),"",IFERROR(F4491*INDEX(Mitarbeiter!$F$6:$F$205,MATCH(B4491,Mitarbeiter!$A$6:$A$205,0)),0))</f>
        <v/>
      </c>
      <c r="H4491" s="8">
        <f>IF(B4491="","",IF(ISNA(MATCH(B4491,Mitarbeiter!$A$6:$A$205,0)),"Pers.-Nr. unbekannt",IF(A4491="","Datum fehlt",IF(AND(D4491&lt;&gt;Einstellungen!$C$4,D4491&lt;&gt;Einstellungen!$C$5),"Objekt fehlt",IF(YEAR(A4491)&lt;&gt;Einstellungen!$C$3,"anderes Jahr",IF(A4491&lt;INDEX(Mitarbeiter!$C$6:$C$205,MATCH(B4491,Mitarbeiter!$A$6:$A$205,0)),"vor Eintritt",IF(AND(INDEX(Mitarbeiter!$D$6:$D$205,MATCH(B4491,Mitarbeiter!$A$6:$A$205,0))&lt;&gt;"",A4491&gt;INDEX(Mitarbeiter!$D$6:$D$205,MATCH(B4491,Mitarbeiter!$A$6:$A$205,0))),"nach Austritt","ok")))))))</f>
        <v/>
      </c>
    </row>
    <row r="4492">
      <c r="A4492" s="26" t="n"/>
      <c r="B4492" s="24" t="n"/>
      <c r="C4492" s="40">
        <f>IF(B4492="","",IFERROR(INDEX(Mitarbeiter!$B$6:$B$205,MATCH(B4492,Mitarbeiter!$A$6:$A$205,0)),"?"))</f>
        <v/>
      </c>
      <c r="D4492" s="41" t="n"/>
      <c r="E4492" s="42" t="n"/>
      <c r="F4492" s="43" t="n"/>
      <c r="G4492" s="44">
        <f>IF(OR(B4492="",F4492=""),"",IFERROR(F4492*INDEX(Mitarbeiter!$F$6:$F$205,MATCH(B4492,Mitarbeiter!$A$6:$A$205,0)),0))</f>
        <v/>
      </c>
      <c r="H4492" s="8">
        <f>IF(B4492="","",IF(ISNA(MATCH(B4492,Mitarbeiter!$A$6:$A$205,0)),"Pers.-Nr. unbekannt",IF(A4492="","Datum fehlt",IF(AND(D4492&lt;&gt;Einstellungen!$C$4,D4492&lt;&gt;Einstellungen!$C$5),"Objekt fehlt",IF(YEAR(A4492)&lt;&gt;Einstellungen!$C$3,"anderes Jahr",IF(A4492&lt;INDEX(Mitarbeiter!$C$6:$C$205,MATCH(B4492,Mitarbeiter!$A$6:$A$205,0)),"vor Eintritt",IF(AND(INDEX(Mitarbeiter!$D$6:$D$205,MATCH(B4492,Mitarbeiter!$A$6:$A$205,0))&lt;&gt;"",A4492&gt;INDEX(Mitarbeiter!$D$6:$D$205,MATCH(B4492,Mitarbeiter!$A$6:$A$205,0))),"nach Austritt","ok")))))))</f>
        <v/>
      </c>
    </row>
    <row r="4493">
      <c r="A4493" s="26" t="n"/>
      <c r="B4493" s="24" t="n"/>
      <c r="C4493" s="40">
        <f>IF(B4493="","",IFERROR(INDEX(Mitarbeiter!$B$6:$B$205,MATCH(B4493,Mitarbeiter!$A$6:$A$205,0)),"?"))</f>
        <v/>
      </c>
      <c r="D4493" s="41" t="n"/>
      <c r="E4493" s="42" t="n"/>
      <c r="F4493" s="43" t="n"/>
      <c r="G4493" s="44">
        <f>IF(OR(B4493="",F4493=""),"",IFERROR(F4493*INDEX(Mitarbeiter!$F$6:$F$205,MATCH(B4493,Mitarbeiter!$A$6:$A$205,0)),0))</f>
        <v/>
      </c>
      <c r="H4493" s="8">
        <f>IF(B4493="","",IF(ISNA(MATCH(B4493,Mitarbeiter!$A$6:$A$205,0)),"Pers.-Nr. unbekannt",IF(A4493="","Datum fehlt",IF(AND(D4493&lt;&gt;Einstellungen!$C$4,D4493&lt;&gt;Einstellungen!$C$5),"Objekt fehlt",IF(YEAR(A4493)&lt;&gt;Einstellungen!$C$3,"anderes Jahr",IF(A4493&lt;INDEX(Mitarbeiter!$C$6:$C$205,MATCH(B4493,Mitarbeiter!$A$6:$A$205,0)),"vor Eintritt",IF(AND(INDEX(Mitarbeiter!$D$6:$D$205,MATCH(B4493,Mitarbeiter!$A$6:$A$205,0))&lt;&gt;"",A4493&gt;INDEX(Mitarbeiter!$D$6:$D$205,MATCH(B4493,Mitarbeiter!$A$6:$A$205,0))),"nach Austritt","ok")))))))</f>
        <v/>
      </c>
    </row>
    <row r="4494">
      <c r="A4494" s="26" t="n"/>
      <c r="B4494" s="24" t="n"/>
      <c r="C4494" s="40">
        <f>IF(B4494="","",IFERROR(INDEX(Mitarbeiter!$B$6:$B$205,MATCH(B4494,Mitarbeiter!$A$6:$A$205,0)),"?"))</f>
        <v/>
      </c>
      <c r="D4494" s="41" t="n"/>
      <c r="E4494" s="42" t="n"/>
      <c r="F4494" s="43" t="n"/>
      <c r="G4494" s="44">
        <f>IF(OR(B4494="",F4494=""),"",IFERROR(F4494*INDEX(Mitarbeiter!$F$6:$F$205,MATCH(B4494,Mitarbeiter!$A$6:$A$205,0)),0))</f>
        <v/>
      </c>
      <c r="H4494" s="8">
        <f>IF(B4494="","",IF(ISNA(MATCH(B4494,Mitarbeiter!$A$6:$A$205,0)),"Pers.-Nr. unbekannt",IF(A4494="","Datum fehlt",IF(AND(D4494&lt;&gt;Einstellungen!$C$4,D4494&lt;&gt;Einstellungen!$C$5),"Objekt fehlt",IF(YEAR(A4494)&lt;&gt;Einstellungen!$C$3,"anderes Jahr",IF(A4494&lt;INDEX(Mitarbeiter!$C$6:$C$205,MATCH(B4494,Mitarbeiter!$A$6:$A$205,0)),"vor Eintritt",IF(AND(INDEX(Mitarbeiter!$D$6:$D$205,MATCH(B4494,Mitarbeiter!$A$6:$A$205,0))&lt;&gt;"",A4494&gt;INDEX(Mitarbeiter!$D$6:$D$205,MATCH(B4494,Mitarbeiter!$A$6:$A$205,0))),"nach Austritt","ok")))))))</f>
        <v/>
      </c>
    </row>
    <row r="4495">
      <c r="A4495" s="26" t="n"/>
      <c r="B4495" s="24" t="n"/>
      <c r="C4495" s="40">
        <f>IF(B4495="","",IFERROR(INDEX(Mitarbeiter!$B$6:$B$205,MATCH(B4495,Mitarbeiter!$A$6:$A$205,0)),"?"))</f>
        <v/>
      </c>
      <c r="D4495" s="41" t="n"/>
      <c r="E4495" s="42" t="n"/>
      <c r="F4495" s="43" t="n"/>
      <c r="G4495" s="44">
        <f>IF(OR(B4495="",F4495=""),"",IFERROR(F4495*INDEX(Mitarbeiter!$F$6:$F$205,MATCH(B4495,Mitarbeiter!$A$6:$A$205,0)),0))</f>
        <v/>
      </c>
      <c r="H4495" s="8">
        <f>IF(B4495="","",IF(ISNA(MATCH(B4495,Mitarbeiter!$A$6:$A$205,0)),"Pers.-Nr. unbekannt",IF(A4495="","Datum fehlt",IF(AND(D4495&lt;&gt;Einstellungen!$C$4,D4495&lt;&gt;Einstellungen!$C$5),"Objekt fehlt",IF(YEAR(A4495)&lt;&gt;Einstellungen!$C$3,"anderes Jahr",IF(A4495&lt;INDEX(Mitarbeiter!$C$6:$C$205,MATCH(B4495,Mitarbeiter!$A$6:$A$205,0)),"vor Eintritt",IF(AND(INDEX(Mitarbeiter!$D$6:$D$205,MATCH(B4495,Mitarbeiter!$A$6:$A$205,0))&lt;&gt;"",A4495&gt;INDEX(Mitarbeiter!$D$6:$D$205,MATCH(B4495,Mitarbeiter!$A$6:$A$205,0))),"nach Austritt","ok")))))))</f>
        <v/>
      </c>
    </row>
    <row r="4496">
      <c r="A4496" s="26" t="n"/>
      <c r="B4496" s="24" t="n"/>
      <c r="C4496" s="40">
        <f>IF(B4496="","",IFERROR(INDEX(Mitarbeiter!$B$6:$B$205,MATCH(B4496,Mitarbeiter!$A$6:$A$205,0)),"?"))</f>
        <v/>
      </c>
      <c r="D4496" s="41" t="n"/>
      <c r="E4496" s="42" t="n"/>
      <c r="F4496" s="43" t="n"/>
      <c r="G4496" s="44">
        <f>IF(OR(B4496="",F4496=""),"",IFERROR(F4496*INDEX(Mitarbeiter!$F$6:$F$205,MATCH(B4496,Mitarbeiter!$A$6:$A$205,0)),0))</f>
        <v/>
      </c>
      <c r="H4496" s="8">
        <f>IF(B4496="","",IF(ISNA(MATCH(B4496,Mitarbeiter!$A$6:$A$205,0)),"Pers.-Nr. unbekannt",IF(A4496="","Datum fehlt",IF(AND(D4496&lt;&gt;Einstellungen!$C$4,D4496&lt;&gt;Einstellungen!$C$5),"Objekt fehlt",IF(YEAR(A4496)&lt;&gt;Einstellungen!$C$3,"anderes Jahr",IF(A4496&lt;INDEX(Mitarbeiter!$C$6:$C$205,MATCH(B4496,Mitarbeiter!$A$6:$A$205,0)),"vor Eintritt",IF(AND(INDEX(Mitarbeiter!$D$6:$D$205,MATCH(B4496,Mitarbeiter!$A$6:$A$205,0))&lt;&gt;"",A4496&gt;INDEX(Mitarbeiter!$D$6:$D$205,MATCH(B4496,Mitarbeiter!$A$6:$A$205,0))),"nach Austritt","ok")))))))</f>
        <v/>
      </c>
    </row>
    <row r="4497">
      <c r="A4497" s="26" t="n"/>
      <c r="B4497" s="24" t="n"/>
      <c r="C4497" s="40">
        <f>IF(B4497="","",IFERROR(INDEX(Mitarbeiter!$B$6:$B$205,MATCH(B4497,Mitarbeiter!$A$6:$A$205,0)),"?"))</f>
        <v/>
      </c>
      <c r="D4497" s="41" t="n"/>
      <c r="E4497" s="42" t="n"/>
      <c r="F4497" s="43" t="n"/>
      <c r="G4497" s="44">
        <f>IF(OR(B4497="",F4497=""),"",IFERROR(F4497*INDEX(Mitarbeiter!$F$6:$F$205,MATCH(B4497,Mitarbeiter!$A$6:$A$205,0)),0))</f>
        <v/>
      </c>
      <c r="H4497" s="8">
        <f>IF(B4497="","",IF(ISNA(MATCH(B4497,Mitarbeiter!$A$6:$A$205,0)),"Pers.-Nr. unbekannt",IF(A4497="","Datum fehlt",IF(AND(D4497&lt;&gt;Einstellungen!$C$4,D4497&lt;&gt;Einstellungen!$C$5),"Objekt fehlt",IF(YEAR(A4497)&lt;&gt;Einstellungen!$C$3,"anderes Jahr",IF(A4497&lt;INDEX(Mitarbeiter!$C$6:$C$205,MATCH(B4497,Mitarbeiter!$A$6:$A$205,0)),"vor Eintritt",IF(AND(INDEX(Mitarbeiter!$D$6:$D$205,MATCH(B4497,Mitarbeiter!$A$6:$A$205,0))&lt;&gt;"",A4497&gt;INDEX(Mitarbeiter!$D$6:$D$205,MATCH(B4497,Mitarbeiter!$A$6:$A$205,0))),"nach Austritt","ok")))))))</f>
        <v/>
      </c>
    </row>
    <row r="4498">
      <c r="A4498" s="26" t="n"/>
      <c r="B4498" s="24" t="n"/>
      <c r="C4498" s="40">
        <f>IF(B4498="","",IFERROR(INDEX(Mitarbeiter!$B$6:$B$205,MATCH(B4498,Mitarbeiter!$A$6:$A$205,0)),"?"))</f>
        <v/>
      </c>
      <c r="D4498" s="41" t="n"/>
      <c r="E4498" s="42" t="n"/>
      <c r="F4498" s="43" t="n"/>
      <c r="G4498" s="44">
        <f>IF(OR(B4498="",F4498=""),"",IFERROR(F4498*INDEX(Mitarbeiter!$F$6:$F$205,MATCH(B4498,Mitarbeiter!$A$6:$A$205,0)),0))</f>
        <v/>
      </c>
      <c r="H4498" s="8">
        <f>IF(B4498="","",IF(ISNA(MATCH(B4498,Mitarbeiter!$A$6:$A$205,0)),"Pers.-Nr. unbekannt",IF(A4498="","Datum fehlt",IF(AND(D4498&lt;&gt;Einstellungen!$C$4,D4498&lt;&gt;Einstellungen!$C$5),"Objekt fehlt",IF(YEAR(A4498)&lt;&gt;Einstellungen!$C$3,"anderes Jahr",IF(A4498&lt;INDEX(Mitarbeiter!$C$6:$C$205,MATCH(B4498,Mitarbeiter!$A$6:$A$205,0)),"vor Eintritt",IF(AND(INDEX(Mitarbeiter!$D$6:$D$205,MATCH(B4498,Mitarbeiter!$A$6:$A$205,0))&lt;&gt;"",A4498&gt;INDEX(Mitarbeiter!$D$6:$D$205,MATCH(B4498,Mitarbeiter!$A$6:$A$205,0))),"nach Austritt","ok")))))))</f>
        <v/>
      </c>
    </row>
    <row r="4499">
      <c r="A4499" s="26" t="n"/>
      <c r="B4499" s="24" t="n"/>
      <c r="C4499" s="40">
        <f>IF(B4499="","",IFERROR(INDEX(Mitarbeiter!$B$6:$B$205,MATCH(B4499,Mitarbeiter!$A$6:$A$205,0)),"?"))</f>
        <v/>
      </c>
      <c r="D4499" s="41" t="n"/>
      <c r="E4499" s="42" t="n"/>
      <c r="F4499" s="43" t="n"/>
      <c r="G4499" s="44">
        <f>IF(OR(B4499="",F4499=""),"",IFERROR(F4499*INDEX(Mitarbeiter!$F$6:$F$205,MATCH(B4499,Mitarbeiter!$A$6:$A$205,0)),0))</f>
        <v/>
      </c>
      <c r="H4499" s="8">
        <f>IF(B4499="","",IF(ISNA(MATCH(B4499,Mitarbeiter!$A$6:$A$205,0)),"Pers.-Nr. unbekannt",IF(A4499="","Datum fehlt",IF(AND(D4499&lt;&gt;Einstellungen!$C$4,D4499&lt;&gt;Einstellungen!$C$5),"Objekt fehlt",IF(YEAR(A4499)&lt;&gt;Einstellungen!$C$3,"anderes Jahr",IF(A4499&lt;INDEX(Mitarbeiter!$C$6:$C$205,MATCH(B4499,Mitarbeiter!$A$6:$A$205,0)),"vor Eintritt",IF(AND(INDEX(Mitarbeiter!$D$6:$D$205,MATCH(B4499,Mitarbeiter!$A$6:$A$205,0))&lt;&gt;"",A4499&gt;INDEX(Mitarbeiter!$D$6:$D$205,MATCH(B4499,Mitarbeiter!$A$6:$A$205,0))),"nach Austritt","ok")))))))</f>
        <v/>
      </c>
    </row>
    <row r="4500">
      <c r="A4500" s="26" t="n"/>
      <c r="B4500" s="24" t="n"/>
      <c r="C4500" s="40">
        <f>IF(B4500="","",IFERROR(INDEX(Mitarbeiter!$B$6:$B$205,MATCH(B4500,Mitarbeiter!$A$6:$A$205,0)),"?"))</f>
        <v/>
      </c>
      <c r="D4500" s="41" t="n"/>
      <c r="E4500" s="42" t="n"/>
      <c r="F4500" s="43" t="n"/>
      <c r="G4500" s="44">
        <f>IF(OR(B4500="",F4500=""),"",IFERROR(F4500*INDEX(Mitarbeiter!$F$6:$F$205,MATCH(B4500,Mitarbeiter!$A$6:$A$205,0)),0))</f>
        <v/>
      </c>
      <c r="H4500" s="8">
        <f>IF(B4500="","",IF(ISNA(MATCH(B4500,Mitarbeiter!$A$6:$A$205,0)),"Pers.-Nr. unbekannt",IF(A4500="","Datum fehlt",IF(AND(D4500&lt;&gt;Einstellungen!$C$4,D4500&lt;&gt;Einstellungen!$C$5),"Objekt fehlt",IF(YEAR(A4500)&lt;&gt;Einstellungen!$C$3,"anderes Jahr",IF(A4500&lt;INDEX(Mitarbeiter!$C$6:$C$205,MATCH(B4500,Mitarbeiter!$A$6:$A$205,0)),"vor Eintritt",IF(AND(INDEX(Mitarbeiter!$D$6:$D$205,MATCH(B4500,Mitarbeiter!$A$6:$A$205,0))&lt;&gt;"",A4500&gt;INDEX(Mitarbeiter!$D$6:$D$205,MATCH(B4500,Mitarbeiter!$A$6:$A$205,0))),"nach Austritt","ok")))))))</f>
        <v/>
      </c>
    </row>
    <row r="4501">
      <c r="A4501" s="26" t="n"/>
      <c r="B4501" s="24" t="n"/>
      <c r="C4501" s="40">
        <f>IF(B4501="","",IFERROR(INDEX(Mitarbeiter!$B$6:$B$205,MATCH(B4501,Mitarbeiter!$A$6:$A$205,0)),"?"))</f>
        <v/>
      </c>
      <c r="D4501" s="41" t="n"/>
      <c r="E4501" s="42" t="n"/>
      <c r="F4501" s="43" t="n"/>
      <c r="G4501" s="44">
        <f>IF(OR(B4501="",F4501=""),"",IFERROR(F4501*INDEX(Mitarbeiter!$F$6:$F$205,MATCH(B4501,Mitarbeiter!$A$6:$A$205,0)),0))</f>
        <v/>
      </c>
      <c r="H4501" s="8">
        <f>IF(B4501="","",IF(ISNA(MATCH(B4501,Mitarbeiter!$A$6:$A$205,0)),"Pers.-Nr. unbekannt",IF(A4501="","Datum fehlt",IF(AND(D4501&lt;&gt;Einstellungen!$C$4,D4501&lt;&gt;Einstellungen!$C$5),"Objekt fehlt",IF(YEAR(A4501)&lt;&gt;Einstellungen!$C$3,"anderes Jahr",IF(A4501&lt;INDEX(Mitarbeiter!$C$6:$C$205,MATCH(B4501,Mitarbeiter!$A$6:$A$205,0)),"vor Eintritt",IF(AND(INDEX(Mitarbeiter!$D$6:$D$205,MATCH(B4501,Mitarbeiter!$A$6:$A$205,0))&lt;&gt;"",A4501&gt;INDEX(Mitarbeiter!$D$6:$D$205,MATCH(B4501,Mitarbeiter!$A$6:$A$205,0))),"nach Austritt","ok")))))))</f>
        <v/>
      </c>
    </row>
    <row r="4502">
      <c r="A4502" s="26" t="n"/>
      <c r="B4502" s="24" t="n"/>
      <c r="C4502" s="40">
        <f>IF(B4502="","",IFERROR(INDEX(Mitarbeiter!$B$6:$B$205,MATCH(B4502,Mitarbeiter!$A$6:$A$205,0)),"?"))</f>
        <v/>
      </c>
      <c r="D4502" s="41" t="n"/>
      <c r="E4502" s="42" t="n"/>
      <c r="F4502" s="43" t="n"/>
      <c r="G4502" s="44">
        <f>IF(OR(B4502="",F4502=""),"",IFERROR(F4502*INDEX(Mitarbeiter!$F$6:$F$205,MATCH(B4502,Mitarbeiter!$A$6:$A$205,0)),0))</f>
        <v/>
      </c>
      <c r="H4502" s="8">
        <f>IF(B4502="","",IF(ISNA(MATCH(B4502,Mitarbeiter!$A$6:$A$205,0)),"Pers.-Nr. unbekannt",IF(A4502="","Datum fehlt",IF(AND(D4502&lt;&gt;Einstellungen!$C$4,D4502&lt;&gt;Einstellungen!$C$5),"Objekt fehlt",IF(YEAR(A4502)&lt;&gt;Einstellungen!$C$3,"anderes Jahr",IF(A4502&lt;INDEX(Mitarbeiter!$C$6:$C$205,MATCH(B4502,Mitarbeiter!$A$6:$A$205,0)),"vor Eintritt",IF(AND(INDEX(Mitarbeiter!$D$6:$D$205,MATCH(B4502,Mitarbeiter!$A$6:$A$205,0))&lt;&gt;"",A4502&gt;INDEX(Mitarbeiter!$D$6:$D$205,MATCH(B4502,Mitarbeiter!$A$6:$A$205,0))),"nach Austritt","ok")))))))</f>
        <v/>
      </c>
    </row>
    <row r="4503">
      <c r="A4503" s="26" t="n"/>
      <c r="B4503" s="24" t="n"/>
      <c r="C4503" s="40">
        <f>IF(B4503="","",IFERROR(INDEX(Mitarbeiter!$B$6:$B$205,MATCH(B4503,Mitarbeiter!$A$6:$A$205,0)),"?"))</f>
        <v/>
      </c>
      <c r="D4503" s="41" t="n"/>
      <c r="E4503" s="42" t="n"/>
      <c r="F4503" s="43" t="n"/>
      <c r="G4503" s="44">
        <f>IF(OR(B4503="",F4503=""),"",IFERROR(F4503*INDEX(Mitarbeiter!$F$6:$F$205,MATCH(B4503,Mitarbeiter!$A$6:$A$205,0)),0))</f>
        <v/>
      </c>
      <c r="H4503" s="8">
        <f>IF(B4503="","",IF(ISNA(MATCH(B4503,Mitarbeiter!$A$6:$A$205,0)),"Pers.-Nr. unbekannt",IF(A4503="","Datum fehlt",IF(AND(D4503&lt;&gt;Einstellungen!$C$4,D4503&lt;&gt;Einstellungen!$C$5),"Objekt fehlt",IF(YEAR(A4503)&lt;&gt;Einstellungen!$C$3,"anderes Jahr",IF(A4503&lt;INDEX(Mitarbeiter!$C$6:$C$205,MATCH(B4503,Mitarbeiter!$A$6:$A$205,0)),"vor Eintritt",IF(AND(INDEX(Mitarbeiter!$D$6:$D$205,MATCH(B4503,Mitarbeiter!$A$6:$A$205,0))&lt;&gt;"",A4503&gt;INDEX(Mitarbeiter!$D$6:$D$205,MATCH(B4503,Mitarbeiter!$A$6:$A$205,0))),"nach Austritt","ok")))))))</f>
        <v/>
      </c>
    </row>
    <row r="4504">
      <c r="A4504" s="26" t="n"/>
      <c r="B4504" s="24" t="n"/>
      <c r="C4504" s="40">
        <f>IF(B4504="","",IFERROR(INDEX(Mitarbeiter!$B$6:$B$205,MATCH(B4504,Mitarbeiter!$A$6:$A$205,0)),"?"))</f>
        <v/>
      </c>
      <c r="D4504" s="41" t="n"/>
      <c r="E4504" s="42" t="n"/>
      <c r="F4504" s="43" t="n"/>
      <c r="G4504" s="44">
        <f>IF(OR(B4504="",F4504=""),"",IFERROR(F4504*INDEX(Mitarbeiter!$F$6:$F$205,MATCH(B4504,Mitarbeiter!$A$6:$A$205,0)),0))</f>
        <v/>
      </c>
      <c r="H4504" s="8">
        <f>IF(B4504="","",IF(ISNA(MATCH(B4504,Mitarbeiter!$A$6:$A$205,0)),"Pers.-Nr. unbekannt",IF(A4504="","Datum fehlt",IF(AND(D4504&lt;&gt;Einstellungen!$C$4,D4504&lt;&gt;Einstellungen!$C$5),"Objekt fehlt",IF(YEAR(A4504)&lt;&gt;Einstellungen!$C$3,"anderes Jahr",IF(A4504&lt;INDEX(Mitarbeiter!$C$6:$C$205,MATCH(B4504,Mitarbeiter!$A$6:$A$205,0)),"vor Eintritt",IF(AND(INDEX(Mitarbeiter!$D$6:$D$205,MATCH(B4504,Mitarbeiter!$A$6:$A$205,0))&lt;&gt;"",A4504&gt;INDEX(Mitarbeiter!$D$6:$D$205,MATCH(B4504,Mitarbeiter!$A$6:$A$205,0))),"nach Austritt","ok")))))))</f>
        <v/>
      </c>
    </row>
    <row r="4505">
      <c r="A4505" s="26" t="n"/>
      <c r="B4505" s="24" t="n"/>
      <c r="C4505" s="40">
        <f>IF(B4505="","",IFERROR(INDEX(Mitarbeiter!$B$6:$B$205,MATCH(B4505,Mitarbeiter!$A$6:$A$205,0)),"?"))</f>
        <v/>
      </c>
      <c r="D4505" s="41" t="n"/>
      <c r="E4505" s="42" t="n"/>
      <c r="F4505" s="43" t="n"/>
      <c r="G4505" s="44">
        <f>IF(OR(B4505="",F4505=""),"",IFERROR(F4505*INDEX(Mitarbeiter!$F$6:$F$205,MATCH(B4505,Mitarbeiter!$A$6:$A$205,0)),0))</f>
        <v/>
      </c>
      <c r="H4505" s="8">
        <f>IF(B4505="","",IF(ISNA(MATCH(B4505,Mitarbeiter!$A$6:$A$205,0)),"Pers.-Nr. unbekannt",IF(A4505="","Datum fehlt",IF(AND(D4505&lt;&gt;Einstellungen!$C$4,D4505&lt;&gt;Einstellungen!$C$5),"Objekt fehlt",IF(YEAR(A4505)&lt;&gt;Einstellungen!$C$3,"anderes Jahr",IF(A4505&lt;INDEX(Mitarbeiter!$C$6:$C$205,MATCH(B4505,Mitarbeiter!$A$6:$A$205,0)),"vor Eintritt",IF(AND(INDEX(Mitarbeiter!$D$6:$D$205,MATCH(B4505,Mitarbeiter!$A$6:$A$205,0))&lt;&gt;"",A4505&gt;INDEX(Mitarbeiter!$D$6:$D$205,MATCH(B4505,Mitarbeiter!$A$6:$A$205,0))),"nach Austritt","ok")))))))</f>
        <v/>
      </c>
    </row>
    <row r="4506">
      <c r="A4506" s="26" t="n"/>
      <c r="B4506" s="24" t="n"/>
      <c r="C4506" s="40">
        <f>IF(B4506="","",IFERROR(INDEX(Mitarbeiter!$B$6:$B$205,MATCH(B4506,Mitarbeiter!$A$6:$A$205,0)),"?"))</f>
        <v/>
      </c>
      <c r="D4506" s="41" t="n"/>
      <c r="E4506" s="42" t="n"/>
      <c r="F4506" s="43" t="n"/>
      <c r="G4506" s="44">
        <f>IF(OR(B4506="",F4506=""),"",IFERROR(F4506*INDEX(Mitarbeiter!$F$6:$F$205,MATCH(B4506,Mitarbeiter!$A$6:$A$205,0)),0))</f>
        <v/>
      </c>
      <c r="H4506" s="8">
        <f>IF(B4506="","",IF(ISNA(MATCH(B4506,Mitarbeiter!$A$6:$A$205,0)),"Pers.-Nr. unbekannt",IF(A4506="","Datum fehlt",IF(AND(D4506&lt;&gt;Einstellungen!$C$4,D4506&lt;&gt;Einstellungen!$C$5),"Objekt fehlt",IF(YEAR(A4506)&lt;&gt;Einstellungen!$C$3,"anderes Jahr",IF(A4506&lt;INDEX(Mitarbeiter!$C$6:$C$205,MATCH(B4506,Mitarbeiter!$A$6:$A$205,0)),"vor Eintritt",IF(AND(INDEX(Mitarbeiter!$D$6:$D$205,MATCH(B4506,Mitarbeiter!$A$6:$A$205,0))&lt;&gt;"",A4506&gt;INDEX(Mitarbeiter!$D$6:$D$205,MATCH(B4506,Mitarbeiter!$A$6:$A$205,0))),"nach Austritt","ok")))))))</f>
        <v/>
      </c>
    </row>
    <row r="4507">
      <c r="A4507" s="26" t="n"/>
      <c r="B4507" s="24" t="n"/>
      <c r="C4507" s="40">
        <f>IF(B4507="","",IFERROR(INDEX(Mitarbeiter!$B$6:$B$205,MATCH(B4507,Mitarbeiter!$A$6:$A$205,0)),"?"))</f>
        <v/>
      </c>
      <c r="D4507" s="41" t="n"/>
      <c r="E4507" s="42" t="n"/>
      <c r="F4507" s="43" t="n"/>
      <c r="G4507" s="44">
        <f>IF(OR(B4507="",F4507=""),"",IFERROR(F4507*INDEX(Mitarbeiter!$F$6:$F$205,MATCH(B4507,Mitarbeiter!$A$6:$A$205,0)),0))</f>
        <v/>
      </c>
      <c r="H4507" s="8">
        <f>IF(B4507="","",IF(ISNA(MATCH(B4507,Mitarbeiter!$A$6:$A$205,0)),"Pers.-Nr. unbekannt",IF(A4507="","Datum fehlt",IF(AND(D4507&lt;&gt;Einstellungen!$C$4,D4507&lt;&gt;Einstellungen!$C$5),"Objekt fehlt",IF(YEAR(A4507)&lt;&gt;Einstellungen!$C$3,"anderes Jahr",IF(A4507&lt;INDEX(Mitarbeiter!$C$6:$C$205,MATCH(B4507,Mitarbeiter!$A$6:$A$205,0)),"vor Eintritt",IF(AND(INDEX(Mitarbeiter!$D$6:$D$205,MATCH(B4507,Mitarbeiter!$A$6:$A$205,0))&lt;&gt;"",A4507&gt;INDEX(Mitarbeiter!$D$6:$D$205,MATCH(B4507,Mitarbeiter!$A$6:$A$205,0))),"nach Austritt","ok")))))))</f>
        <v/>
      </c>
    </row>
    <row r="4508">
      <c r="A4508" s="26" t="n"/>
      <c r="B4508" s="24" t="n"/>
      <c r="C4508" s="40">
        <f>IF(B4508="","",IFERROR(INDEX(Mitarbeiter!$B$6:$B$205,MATCH(B4508,Mitarbeiter!$A$6:$A$205,0)),"?"))</f>
        <v/>
      </c>
      <c r="D4508" s="41" t="n"/>
      <c r="E4508" s="42" t="n"/>
      <c r="F4508" s="43" t="n"/>
      <c r="G4508" s="44">
        <f>IF(OR(B4508="",F4508=""),"",IFERROR(F4508*INDEX(Mitarbeiter!$F$6:$F$205,MATCH(B4508,Mitarbeiter!$A$6:$A$205,0)),0))</f>
        <v/>
      </c>
      <c r="H4508" s="8">
        <f>IF(B4508="","",IF(ISNA(MATCH(B4508,Mitarbeiter!$A$6:$A$205,0)),"Pers.-Nr. unbekannt",IF(A4508="","Datum fehlt",IF(AND(D4508&lt;&gt;Einstellungen!$C$4,D4508&lt;&gt;Einstellungen!$C$5),"Objekt fehlt",IF(YEAR(A4508)&lt;&gt;Einstellungen!$C$3,"anderes Jahr",IF(A4508&lt;INDEX(Mitarbeiter!$C$6:$C$205,MATCH(B4508,Mitarbeiter!$A$6:$A$205,0)),"vor Eintritt",IF(AND(INDEX(Mitarbeiter!$D$6:$D$205,MATCH(B4508,Mitarbeiter!$A$6:$A$205,0))&lt;&gt;"",A4508&gt;INDEX(Mitarbeiter!$D$6:$D$205,MATCH(B4508,Mitarbeiter!$A$6:$A$205,0))),"nach Austritt","ok")))))))</f>
        <v/>
      </c>
    </row>
    <row r="4509">
      <c r="A4509" s="26" t="n"/>
      <c r="B4509" s="24" t="n"/>
      <c r="C4509" s="40">
        <f>IF(B4509="","",IFERROR(INDEX(Mitarbeiter!$B$6:$B$205,MATCH(B4509,Mitarbeiter!$A$6:$A$205,0)),"?"))</f>
        <v/>
      </c>
      <c r="D4509" s="41" t="n"/>
      <c r="E4509" s="42" t="n"/>
      <c r="F4509" s="43" t="n"/>
      <c r="G4509" s="44">
        <f>IF(OR(B4509="",F4509=""),"",IFERROR(F4509*INDEX(Mitarbeiter!$F$6:$F$205,MATCH(B4509,Mitarbeiter!$A$6:$A$205,0)),0))</f>
        <v/>
      </c>
      <c r="H4509" s="8">
        <f>IF(B4509="","",IF(ISNA(MATCH(B4509,Mitarbeiter!$A$6:$A$205,0)),"Pers.-Nr. unbekannt",IF(A4509="","Datum fehlt",IF(AND(D4509&lt;&gt;Einstellungen!$C$4,D4509&lt;&gt;Einstellungen!$C$5),"Objekt fehlt",IF(YEAR(A4509)&lt;&gt;Einstellungen!$C$3,"anderes Jahr",IF(A4509&lt;INDEX(Mitarbeiter!$C$6:$C$205,MATCH(B4509,Mitarbeiter!$A$6:$A$205,0)),"vor Eintritt",IF(AND(INDEX(Mitarbeiter!$D$6:$D$205,MATCH(B4509,Mitarbeiter!$A$6:$A$205,0))&lt;&gt;"",A4509&gt;INDEX(Mitarbeiter!$D$6:$D$205,MATCH(B4509,Mitarbeiter!$A$6:$A$205,0))),"nach Austritt","ok")))))))</f>
        <v/>
      </c>
    </row>
    <row r="4510">
      <c r="A4510" s="26" t="n"/>
      <c r="B4510" s="24" t="n"/>
      <c r="C4510" s="40">
        <f>IF(B4510="","",IFERROR(INDEX(Mitarbeiter!$B$6:$B$205,MATCH(B4510,Mitarbeiter!$A$6:$A$205,0)),"?"))</f>
        <v/>
      </c>
      <c r="D4510" s="41" t="n"/>
      <c r="E4510" s="42" t="n"/>
      <c r="F4510" s="43" t="n"/>
      <c r="G4510" s="44">
        <f>IF(OR(B4510="",F4510=""),"",IFERROR(F4510*INDEX(Mitarbeiter!$F$6:$F$205,MATCH(B4510,Mitarbeiter!$A$6:$A$205,0)),0))</f>
        <v/>
      </c>
      <c r="H4510" s="8">
        <f>IF(B4510="","",IF(ISNA(MATCH(B4510,Mitarbeiter!$A$6:$A$205,0)),"Pers.-Nr. unbekannt",IF(A4510="","Datum fehlt",IF(AND(D4510&lt;&gt;Einstellungen!$C$4,D4510&lt;&gt;Einstellungen!$C$5),"Objekt fehlt",IF(YEAR(A4510)&lt;&gt;Einstellungen!$C$3,"anderes Jahr",IF(A4510&lt;INDEX(Mitarbeiter!$C$6:$C$205,MATCH(B4510,Mitarbeiter!$A$6:$A$205,0)),"vor Eintritt",IF(AND(INDEX(Mitarbeiter!$D$6:$D$205,MATCH(B4510,Mitarbeiter!$A$6:$A$205,0))&lt;&gt;"",A4510&gt;INDEX(Mitarbeiter!$D$6:$D$205,MATCH(B4510,Mitarbeiter!$A$6:$A$205,0))),"nach Austritt","ok")))))))</f>
        <v/>
      </c>
    </row>
    <row r="4511">
      <c r="A4511" s="26" t="n"/>
      <c r="B4511" s="24" t="n"/>
      <c r="C4511" s="40">
        <f>IF(B4511="","",IFERROR(INDEX(Mitarbeiter!$B$6:$B$205,MATCH(B4511,Mitarbeiter!$A$6:$A$205,0)),"?"))</f>
        <v/>
      </c>
      <c r="D4511" s="41" t="n"/>
      <c r="E4511" s="42" t="n"/>
      <c r="F4511" s="43" t="n"/>
      <c r="G4511" s="44">
        <f>IF(OR(B4511="",F4511=""),"",IFERROR(F4511*INDEX(Mitarbeiter!$F$6:$F$205,MATCH(B4511,Mitarbeiter!$A$6:$A$205,0)),0))</f>
        <v/>
      </c>
      <c r="H4511" s="8">
        <f>IF(B4511="","",IF(ISNA(MATCH(B4511,Mitarbeiter!$A$6:$A$205,0)),"Pers.-Nr. unbekannt",IF(A4511="","Datum fehlt",IF(AND(D4511&lt;&gt;Einstellungen!$C$4,D4511&lt;&gt;Einstellungen!$C$5),"Objekt fehlt",IF(YEAR(A4511)&lt;&gt;Einstellungen!$C$3,"anderes Jahr",IF(A4511&lt;INDEX(Mitarbeiter!$C$6:$C$205,MATCH(B4511,Mitarbeiter!$A$6:$A$205,0)),"vor Eintritt",IF(AND(INDEX(Mitarbeiter!$D$6:$D$205,MATCH(B4511,Mitarbeiter!$A$6:$A$205,0))&lt;&gt;"",A4511&gt;INDEX(Mitarbeiter!$D$6:$D$205,MATCH(B4511,Mitarbeiter!$A$6:$A$205,0))),"nach Austritt","ok")))))))</f>
        <v/>
      </c>
    </row>
    <row r="4512">
      <c r="A4512" s="26" t="n"/>
      <c r="B4512" s="24" t="n"/>
      <c r="C4512" s="40">
        <f>IF(B4512="","",IFERROR(INDEX(Mitarbeiter!$B$6:$B$205,MATCH(B4512,Mitarbeiter!$A$6:$A$205,0)),"?"))</f>
        <v/>
      </c>
      <c r="D4512" s="41" t="n"/>
      <c r="E4512" s="42" t="n"/>
      <c r="F4512" s="43" t="n"/>
      <c r="G4512" s="44">
        <f>IF(OR(B4512="",F4512=""),"",IFERROR(F4512*INDEX(Mitarbeiter!$F$6:$F$205,MATCH(B4512,Mitarbeiter!$A$6:$A$205,0)),0))</f>
        <v/>
      </c>
      <c r="H4512" s="8">
        <f>IF(B4512="","",IF(ISNA(MATCH(B4512,Mitarbeiter!$A$6:$A$205,0)),"Pers.-Nr. unbekannt",IF(A4512="","Datum fehlt",IF(AND(D4512&lt;&gt;Einstellungen!$C$4,D4512&lt;&gt;Einstellungen!$C$5),"Objekt fehlt",IF(YEAR(A4512)&lt;&gt;Einstellungen!$C$3,"anderes Jahr",IF(A4512&lt;INDEX(Mitarbeiter!$C$6:$C$205,MATCH(B4512,Mitarbeiter!$A$6:$A$205,0)),"vor Eintritt",IF(AND(INDEX(Mitarbeiter!$D$6:$D$205,MATCH(B4512,Mitarbeiter!$A$6:$A$205,0))&lt;&gt;"",A4512&gt;INDEX(Mitarbeiter!$D$6:$D$205,MATCH(B4512,Mitarbeiter!$A$6:$A$205,0))),"nach Austritt","ok")))))))</f>
        <v/>
      </c>
    </row>
    <row r="4513">
      <c r="A4513" s="26" t="n"/>
      <c r="B4513" s="24" t="n"/>
      <c r="C4513" s="40">
        <f>IF(B4513="","",IFERROR(INDEX(Mitarbeiter!$B$6:$B$205,MATCH(B4513,Mitarbeiter!$A$6:$A$205,0)),"?"))</f>
        <v/>
      </c>
      <c r="D4513" s="41" t="n"/>
      <c r="E4513" s="42" t="n"/>
      <c r="F4513" s="43" t="n"/>
      <c r="G4513" s="44">
        <f>IF(OR(B4513="",F4513=""),"",IFERROR(F4513*INDEX(Mitarbeiter!$F$6:$F$205,MATCH(B4513,Mitarbeiter!$A$6:$A$205,0)),0))</f>
        <v/>
      </c>
      <c r="H4513" s="8">
        <f>IF(B4513="","",IF(ISNA(MATCH(B4513,Mitarbeiter!$A$6:$A$205,0)),"Pers.-Nr. unbekannt",IF(A4513="","Datum fehlt",IF(AND(D4513&lt;&gt;Einstellungen!$C$4,D4513&lt;&gt;Einstellungen!$C$5),"Objekt fehlt",IF(YEAR(A4513)&lt;&gt;Einstellungen!$C$3,"anderes Jahr",IF(A4513&lt;INDEX(Mitarbeiter!$C$6:$C$205,MATCH(B4513,Mitarbeiter!$A$6:$A$205,0)),"vor Eintritt",IF(AND(INDEX(Mitarbeiter!$D$6:$D$205,MATCH(B4513,Mitarbeiter!$A$6:$A$205,0))&lt;&gt;"",A4513&gt;INDEX(Mitarbeiter!$D$6:$D$205,MATCH(B4513,Mitarbeiter!$A$6:$A$205,0))),"nach Austritt","ok")))))))</f>
        <v/>
      </c>
    </row>
    <row r="4514">
      <c r="A4514" s="26" t="n"/>
      <c r="B4514" s="24" t="n"/>
      <c r="C4514" s="40">
        <f>IF(B4514="","",IFERROR(INDEX(Mitarbeiter!$B$6:$B$205,MATCH(B4514,Mitarbeiter!$A$6:$A$205,0)),"?"))</f>
        <v/>
      </c>
      <c r="D4514" s="41" t="n"/>
      <c r="E4514" s="42" t="n"/>
      <c r="F4514" s="43" t="n"/>
      <c r="G4514" s="44">
        <f>IF(OR(B4514="",F4514=""),"",IFERROR(F4514*INDEX(Mitarbeiter!$F$6:$F$205,MATCH(B4514,Mitarbeiter!$A$6:$A$205,0)),0))</f>
        <v/>
      </c>
      <c r="H4514" s="8">
        <f>IF(B4514="","",IF(ISNA(MATCH(B4514,Mitarbeiter!$A$6:$A$205,0)),"Pers.-Nr. unbekannt",IF(A4514="","Datum fehlt",IF(AND(D4514&lt;&gt;Einstellungen!$C$4,D4514&lt;&gt;Einstellungen!$C$5),"Objekt fehlt",IF(YEAR(A4514)&lt;&gt;Einstellungen!$C$3,"anderes Jahr",IF(A4514&lt;INDEX(Mitarbeiter!$C$6:$C$205,MATCH(B4514,Mitarbeiter!$A$6:$A$205,0)),"vor Eintritt",IF(AND(INDEX(Mitarbeiter!$D$6:$D$205,MATCH(B4514,Mitarbeiter!$A$6:$A$205,0))&lt;&gt;"",A4514&gt;INDEX(Mitarbeiter!$D$6:$D$205,MATCH(B4514,Mitarbeiter!$A$6:$A$205,0))),"nach Austritt","ok")))))))</f>
        <v/>
      </c>
    </row>
    <row r="4515">
      <c r="A4515" s="26" t="n"/>
      <c r="B4515" s="24" t="n"/>
      <c r="C4515" s="40">
        <f>IF(B4515="","",IFERROR(INDEX(Mitarbeiter!$B$6:$B$205,MATCH(B4515,Mitarbeiter!$A$6:$A$205,0)),"?"))</f>
        <v/>
      </c>
      <c r="D4515" s="41" t="n"/>
      <c r="E4515" s="42" t="n"/>
      <c r="F4515" s="43" t="n"/>
      <c r="G4515" s="44">
        <f>IF(OR(B4515="",F4515=""),"",IFERROR(F4515*INDEX(Mitarbeiter!$F$6:$F$205,MATCH(B4515,Mitarbeiter!$A$6:$A$205,0)),0))</f>
        <v/>
      </c>
      <c r="H4515" s="8">
        <f>IF(B4515="","",IF(ISNA(MATCH(B4515,Mitarbeiter!$A$6:$A$205,0)),"Pers.-Nr. unbekannt",IF(A4515="","Datum fehlt",IF(AND(D4515&lt;&gt;Einstellungen!$C$4,D4515&lt;&gt;Einstellungen!$C$5),"Objekt fehlt",IF(YEAR(A4515)&lt;&gt;Einstellungen!$C$3,"anderes Jahr",IF(A4515&lt;INDEX(Mitarbeiter!$C$6:$C$205,MATCH(B4515,Mitarbeiter!$A$6:$A$205,0)),"vor Eintritt",IF(AND(INDEX(Mitarbeiter!$D$6:$D$205,MATCH(B4515,Mitarbeiter!$A$6:$A$205,0))&lt;&gt;"",A4515&gt;INDEX(Mitarbeiter!$D$6:$D$205,MATCH(B4515,Mitarbeiter!$A$6:$A$205,0))),"nach Austritt","ok")))))))</f>
        <v/>
      </c>
    </row>
    <row r="4516">
      <c r="A4516" s="26" t="n"/>
      <c r="B4516" s="24" t="n"/>
      <c r="C4516" s="40">
        <f>IF(B4516="","",IFERROR(INDEX(Mitarbeiter!$B$6:$B$205,MATCH(B4516,Mitarbeiter!$A$6:$A$205,0)),"?"))</f>
        <v/>
      </c>
      <c r="D4516" s="41" t="n"/>
      <c r="E4516" s="42" t="n"/>
      <c r="F4516" s="43" t="n"/>
      <c r="G4516" s="44">
        <f>IF(OR(B4516="",F4516=""),"",IFERROR(F4516*INDEX(Mitarbeiter!$F$6:$F$205,MATCH(B4516,Mitarbeiter!$A$6:$A$205,0)),0))</f>
        <v/>
      </c>
      <c r="H4516" s="8">
        <f>IF(B4516="","",IF(ISNA(MATCH(B4516,Mitarbeiter!$A$6:$A$205,0)),"Pers.-Nr. unbekannt",IF(A4516="","Datum fehlt",IF(AND(D4516&lt;&gt;Einstellungen!$C$4,D4516&lt;&gt;Einstellungen!$C$5),"Objekt fehlt",IF(YEAR(A4516)&lt;&gt;Einstellungen!$C$3,"anderes Jahr",IF(A4516&lt;INDEX(Mitarbeiter!$C$6:$C$205,MATCH(B4516,Mitarbeiter!$A$6:$A$205,0)),"vor Eintritt",IF(AND(INDEX(Mitarbeiter!$D$6:$D$205,MATCH(B4516,Mitarbeiter!$A$6:$A$205,0))&lt;&gt;"",A4516&gt;INDEX(Mitarbeiter!$D$6:$D$205,MATCH(B4516,Mitarbeiter!$A$6:$A$205,0))),"nach Austritt","ok")))))))</f>
        <v/>
      </c>
    </row>
    <row r="4517">
      <c r="A4517" s="26" t="n"/>
      <c r="B4517" s="24" t="n"/>
      <c r="C4517" s="40">
        <f>IF(B4517="","",IFERROR(INDEX(Mitarbeiter!$B$6:$B$205,MATCH(B4517,Mitarbeiter!$A$6:$A$205,0)),"?"))</f>
        <v/>
      </c>
      <c r="D4517" s="41" t="n"/>
      <c r="E4517" s="42" t="n"/>
      <c r="F4517" s="43" t="n"/>
      <c r="G4517" s="44">
        <f>IF(OR(B4517="",F4517=""),"",IFERROR(F4517*INDEX(Mitarbeiter!$F$6:$F$205,MATCH(B4517,Mitarbeiter!$A$6:$A$205,0)),0))</f>
        <v/>
      </c>
      <c r="H4517" s="8">
        <f>IF(B4517="","",IF(ISNA(MATCH(B4517,Mitarbeiter!$A$6:$A$205,0)),"Pers.-Nr. unbekannt",IF(A4517="","Datum fehlt",IF(AND(D4517&lt;&gt;Einstellungen!$C$4,D4517&lt;&gt;Einstellungen!$C$5),"Objekt fehlt",IF(YEAR(A4517)&lt;&gt;Einstellungen!$C$3,"anderes Jahr",IF(A4517&lt;INDEX(Mitarbeiter!$C$6:$C$205,MATCH(B4517,Mitarbeiter!$A$6:$A$205,0)),"vor Eintritt",IF(AND(INDEX(Mitarbeiter!$D$6:$D$205,MATCH(B4517,Mitarbeiter!$A$6:$A$205,0))&lt;&gt;"",A4517&gt;INDEX(Mitarbeiter!$D$6:$D$205,MATCH(B4517,Mitarbeiter!$A$6:$A$205,0))),"nach Austritt","ok")))))))</f>
        <v/>
      </c>
    </row>
    <row r="4518">
      <c r="A4518" s="26" t="n"/>
      <c r="B4518" s="24" t="n"/>
      <c r="C4518" s="40">
        <f>IF(B4518="","",IFERROR(INDEX(Mitarbeiter!$B$6:$B$205,MATCH(B4518,Mitarbeiter!$A$6:$A$205,0)),"?"))</f>
        <v/>
      </c>
      <c r="D4518" s="41" t="n"/>
      <c r="E4518" s="42" t="n"/>
      <c r="F4518" s="43" t="n"/>
      <c r="G4518" s="44">
        <f>IF(OR(B4518="",F4518=""),"",IFERROR(F4518*INDEX(Mitarbeiter!$F$6:$F$205,MATCH(B4518,Mitarbeiter!$A$6:$A$205,0)),0))</f>
        <v/>
      </c>
      <c r="H4518" s="8">
        <f>IF(B4518="","",IF(ISNA(MATCH(B4518,Mitarbeiter!$A$6:$A$205,0)),"Pers.-Nr. unbekannt",IF(A4518="","Datum fehlt",IF(AND(D4518&lt;&gt;Einstellungen!$C$4,D4518&lt;&gt;Einstellungen!$C$5),"Objekt fehlt",IF(YEAR(A4518)&lt;&gt;Einstellungen!$C$3,"anderes Jahr",IF(A4518&lt;INDEX(Mitarbeiter!$C$6:$C$205,MATCH(B4518,Mitarbeiter!$A$6:$A$205,0)),"vor Eintritt",IF(AND(INDEX(Mitarbeiter!$D$6:$D$205,MATCH(B4518,Mitarbeiter!$A$6:$A$205,0))&lt;&gt;"",A4518&gt;INDEX(Mitarbeiter!$D$6:$D$205,MATCH(B4518,Mitarbeiter!$A$6:$A$205,0))),"nach Austritt","ok")))))))</f>
        <v/>
      </c>
    </row>
    <row r="4519">
      <c r="A4519" s="26" t="n"/>
      <c r="B4519" s="24" t="n"/>
      <c r="C4519" s="40">
        <f>IF(B4519="","",IFERROR(INDEX(Mitarbeiter!$B$6:$B$205,MATCH(B4519,Mitarbeiter!$A$6:$A$205,0)),"?"))</f>
        <v/>
      </c>
      <c r="D4519" s="41" t="n"/>
      <c r="E4519" s="42" t="n"/>
      <c r="F4519" s="43" t="n"/>
      <c r="G4519" s="44">
        <f>IF(OR(B4519="",F4519=""),"",IFERROR(F4519*INDEX(Mitarbeiter!$F$6:$F$205,MATCH(B4519,Mitarbeiter!$A$6:$A$205,0)),0))</f>
        <v/>
      </c>
      <c r="H4519" s="8">
        <f>IF(B4519="","",IF(ISNA(MATCH(B4519,Mitarbeiter!$A$6:$A$205,0)),"Pers.-Nr. unbekannt",IF(A4519="","Datum fehlt",IF(AND(D4519&lt;&gt;Einstellungen!$C$4,D4519&lt;&gt;Einstellungen!$C$5),"Objekt fehlt",IF(YEAR(A4519)&lt;&gt;Einstellungen!$C$3,"anderes Jahr",IF(A4519&lt;INDEX(Mitarbeiter!$C$6:$C$205,MATCH(B4519,Mitarbeiter!$A$6:$A$205,0)),"vor Eintritt",IF(AND(INDEX(Mitarbeiter!$D$6:$D$205,MATCH(B4519,Mitarbeiter!$A$6:$A$205,0))&lt;&gt;"",A4519&gt;INDEX(Mitarbeiter!$D$6:$D$205,MATCH(B4519,Mitarbeiter!$A$6:$A$205,0))),"nach Austritt","ok")))))))</f>
        <v/>
      </c>
    </row>
    <row r="4520">
      <c r="A4520" s="26" t="n"/>
      <c r="B4520" s="24" t="n"/>
      <c r="C4520" s="40">
        <f>IF(B4520="","",IFERROR(INDEX(Mitarbeiter!$B$6:$B$205,MATCH(B4520,Mitarbeiter!$A$6:$A$205,0)),"?"))</f>
        <v/>
      </c>
      <c r="D4520" s="41" t="n"/>
      <c r="E4520" s="42" t="n"/>
      <c r="F4520" s="43" t="n"/>
      <c r="G4520" s="44">
        <f>IF(OR(B4520="",F4520=""),"",IFERROR(F4520*INDEX(Mitarbeiter!$F$6:$F$205,MATCH(B4520,Mitarbeiter!$A$6:$A$205,0)),0))</f>
        <v/>
      </c>
      <c r="H4520" s="8">
        <f>IF(B4520="","",IF(ISNA(MATCH(B4520,Mitarbeiter!$A$6:$A$205,0)),"Pers.-Nr. unbekannt",IF(A4520="","Datum fehlt",IF(AND(D4520&lt;&gt;Einstellungen!$C$4,D4520&lt;&gt;Einstellungen!$C$5),"Objekt fehlt",IF(YEAR(A4520)&lt;&gt;Einstellungen!$C$3,"anderes Jahr",IF(A4520&lt;INDEX(Mitarbeiter!$C$6:$C$205,MATCH(B4520,Mitarbeiter!$A$6:$A$205,0)),"vor Eintritt",IF(AND(INDEX(Mitarbeiter!$D$6:$D$205,MATCH(B4520,Mitarbeiter!$A$6:$A$205,0))&lt;&gt;"",A4520&gt;INDEX(Mitarbeiter!$D$6:$D$205,MATCH(B4520,Mitarbeiter!$A$6:$A$205,0))),"nach Austritt","ok")))))))</f>
        <v/>
      </c>
    </row>
    <row r="4521">
      <c r="A4521" s="26" t="n"/>
      <c r="B4521" s="24" t="n"/>
      <c r="C4521" s="40">
        <f>IF(B4521="","",IFERROR(INDEX(Mitarbeiter!$B$6:$B$205,MATCH(B4521,Mitarbeiter!$A$6:$A$205,0)),"?"))</f>
        <v/>
      </c>
      <c r="D4521" s="41" t="n"/>
      <c r="E4521" s="42" t="n"/>
      <c r="F4521" s="43" t="n"/>
      <c r="G4521" s="44">
        <f>IF(OR(B4521="",F4521=""),"",IFERROR(F4521*INDEX(Mitarbeiter!$F$6:$F$205,MATCH(B4521,Mitarbeiter!$A$6:$A$205,0)),0))</f>
        <v/>
      </c>
      <c r="H4521" s="8">
        <f>IF(B4521="","",IF(ISNA(MATCH(B4521,Mitarbeiter!$A$6:$A$205,0)),"Pers.-Nr. unbekannt",IF(A4521="","Datum fehlt",IF(AND(D4521&lt;&gt;Einstellungen!$C$4,D4521&lt;&gt;Einstellungen!$C$5),"Objekt fehlt",IF(YEAR(A4521)&lt;&gt;Einstellungen!$C$3,"anderes Jahr",IF(A4521&lt;INDEX(Mitarbeiter!$C$6:$C$205,MATCH(B4521,Mitarbeiter!$A$6:$A$205,0)),"vor Eintritt",IF(AND(INDEX(Mitarbeiter!$D$6:$D$205,MATCH(B4521,Mitarbeiter!$A$6:$A$205,0))&lt;&gt;"",A4521&gt;INDEX(Mitarbeiter!$D$6:$D$205,MATCH(B4521,Mitarbeiter!$A$6:$A$205,0))),"nach Austritt","ok")))))))</f>
        <v/>
      </c>
    </row>
    <row r="4522">
      <c r="A4522" s="26" t="n"/>
      <c r="B4522" s="24" t="n"/>
      <c r="C4522" s="40">
        <f>IF(B4522="","",IFERROR(INDEX(Mitarbeiter!$B$6:$B$205,MATCH(B4522,Mitarbeiter!$A$6:$A$205,0)),"?"))</f>
        <v/>
      </c>
      <c r="D4522" s="41" t="n"/>
      <c r="E4522" s="42" t="n"/>
      <c r="F4522" s="43" t="n"/>
      <c r="G4522" s="44">
        <f>IF(OR(B4522="",F4522=""),"",IFERROR(F4522*INDEX(Mitarbeiter!$F$6:$F$205,MATCH(B4522,Mitarbeiter!$A$6:$A$205,0)),0))</f>
        <v/>
      </c>
      <c r="H4522" s="8">
        <f>IF(B4522="","",IF(ISNA(MATCH(B4522,Mitarbeiter!$A$6:$A$205,0)),"Pers.-Nr. unbekannt",IF(A4522="","Datum fehlt",IF(AND(D4522&lt;&gt;Einstellungen!$C$4,D4522&lt;&gt;Einstellungen!$C$5),"Objekt fehlt",IF(YEAR(A4522)&lt;&gt;Einstellungen!$C$3,"anderes Jahr",IF(A4522&lt;INDEX(Mitarbeiter!$C$6:$C$205,MATCH(B4522,Mitarbeiter!$A$6:$A$205,0)),"vor Eintritt",IF(AND(INDEX(Mitarbeiter!$D$6:$D$205,MATCH(B4522,Mitarbeiter!$A$6:$A$205,0))&lt;&gt;"",A4522&gt;INDEX(Mitarbeiter!$D$6:$D$205,MATCH(B4522,Mitarbeiter!$A$6:$A$205,0))),"nach Austritt","ok")))))))</f>
        <v/>
      </c>
    </row>
    <row r="4523">
      <c r="A4523" s="26" t="n"/>
      <c r="B4523" s="24" t="n"/>
      <c r="C4523" s="40">
        <f>IF(B4523="","",IFERROR(INDEX(Mitarbeiter!$B$6:$B$205,MATCH(B4523,Mitarbeiter!$A$6:$A$205,0)),"?"))</f>
        <v/>
      </c>
      <c r="D4523" s="41" t="n"/>
      <c r="E4523" s="42" t="n"/>
      <c r="F4523" s="43" t="n"/>
      <c r="G4523" s="44">
        <f>IF(OR(B4523="",F4523=""),"",IFERROR(F4523*INDEX(Mitarbeiter!$F$6:$F$205,MATCH(B4523,Mitarbeiter!$A$6:$A$205,0)),0))</f>
        <v/>
      </c>
      <c r="H4523" s="8">
        <f>IF(B4523="","",IF(ISNA(MATCH(B4523,Mitarbeiter!$A$6:$A$205,0)),"Pers.-Nr. unbekannt",IF(A4523="","Datum fehlt",IF(AND(D4523&lt;&gt;Einstellungen!$C$4,D4523&lt;&gt;Einstellungen!$C$5),"Objekt fehlt",IF(YEAR(A4523)&lt;&gt;Einstellungen!$C$3,"anderes Jahr",IF(A4523&lt;INDEX(Mitarbeiter!$C$6:$C$205,MATCH(B4523,Mitarbeiter!$A$6:$A$205,0)),"vor Eintritt",IF(AND(INDEX(Mitarbeiter!$D$6:$D$205,MATCH(B4523,Mitarbeiter!$A$6:$A$205,0))&lt;&gt;"",A4523&gt;INDEX(Mitarbeiter!$D$6:$D$205,MATCH(B4523,Mitarbeiter!$A$6:$A$205,0))),"nach Austritt","ok")))))))</f>
        <v/>
      </c>
    </row>
    <row r="4524">
      <c r="A4524" s="26" t="n"/>
      <c r="B4524" s="24" t="n"/>
      <c r="C4524" s="40">
        <f>IF(B4524="","",IFERROR(INDEX(Mitarbeiter!$B$6:$B$205,MATCH(B4524,Mitarbeiter!$A$6:$A$205,0)),"?"))</f>
        <v/>
      </c>
      <c r="D4524" s="41" t="n"/>
      <c r="E4524" s="42" t="n"/>
      <c r="F4524" s="43" t="n"/>
      <c r="G4524" s="44">
        <f>IF(OR(B4524="",F4524=""),"",IFERROR(F4524*INDEX(Mitarbeiter!$F$6:$F$205,MATCH(B4524,Mitarbeiter!$A$6:$A$205,0)),0))</f>
        <v/>
      </c>
      <c r="H4524" s="8">
        <f>IF(B4524="","",IF(ISNA(MATCH(B4524,Mitarbeiter!$A$6:$A$205,0)),"Pers.-Nr. unbekannt",IF(A4524="","Datum fehlt",IF(AND(D4524&lt;&gt;Einstellungen!$C$4,D4524&lt;&gt;Einstellungen!$C$5),"Objekt fehlt",IF(YEAR(A4524)&lt;&gt;Einstellungen!$C$3,"anderes Jahr",IF(A4524&lt;INDEX(Mitarbeiter!$C$6:$C$205,MATCH(B4524,Mitarbeiter!$A$6:$A$205,0)),"vor Eintritt",IF(AND(INDEX(Mitarbeiter!$D$6:$D$205,MATCH(B4524,Mitarbeiter!$A$6:$A$205,0))&lt;&gt;"",A4524&gt;INDEX(Mitarbeiter!$D$6:$D$205,MATCH(B4524,Mitarbeiter!$A$6:$A$205,0))),"nach Austritt","ok")))))))</f>
        <v/>
      </c>
    </row>
    <row r="4525">
      <c r="A4525" s="26" t="n"/>
      <c r="B4525" s="24" t="n"/>
      <c r="C4525" s="40">
        <f>IF(B4525="","",IFERROR(INDEX(Mitarbeiter!$B$6:$B$205,MATCH(B4525,Mitarbeiter!$A$6:$A$205,0)),"?"))</f>
        <v/>
      </c>
      <c r="D4525" s="41" t="n"/>
      <c r="E4525" s="42" t="n"/>
      <c r="F4525" s="43" t="n"/>
      <c r="G4525" s="44">
        <f>IF(OR(B4525="",F4525=""),"",IFERROR(F4525*INDEX(Mitarbeiter!$F$6:$F$205,MATCH(B4525,Mitarbeiter!$A$6:$A$205,0)),0))</f>
        <v/>
      </c>
      <c r="H4525" s="8">
        <f>IF(B4525="","",IF(ISNA(MATCH(B4525,Mitarbeiter!$A$6:$A$205,0)),"Pers.-Nr. unbekannt",IF(A4525="","Datum fehlt",IF(AND(D4525&lt;&gt;Einstellungen!$C$4,D4525&lt;&gt;Einstellungen!$C$5),"Objekt fehlt",IF(YEAR(A4525)&lt;&gt;Einstellungen!$C$3,"anderes Jahr",IF(A4525&lt;INDEX(Mitarbeiter!$C$6:$C$205,MATCH(B4525,Mitarbeiter!$A$6:$A$205,0)),"vor Eintritt",IF(AND(INDEX(Mitarbeiter!$D$6:$D$205,MATCH(B4525,Mitarbeiter!$A$6:$A$205,0))&lt;&gt;"",A4525&gt;INDEX(Mitarbeiter!$D$6:$D$205,MATCH(B4525,Mitarbeiter!$A$6:$A$205,0))),"nach Austritt","ok")))))))</f>
        <v/>
      </c>
    </row>
    <row r="4526">
      <c r="A4526" s="26" t="n"/>
      <c r="B4526" s="24" t="n"/>
      <c r="C4526" s="40">
        <f>IF(B4526="","",IFERROR(INDEX(Mitarbeiter!$B$6:$B$205,MATCH(B4526,Mitarbeiter!$A$6:$A$205,0)),"?"))</f>
        <v/>
      </c>
      <c r="D4526" s="41" t="n"/>
      <c r="E4526" s="42" t="n"/>
      <c r="F4526" s="43" t="n"/>
      <c r="G4526" s="44">
        <f>IF(OR(B4526="",F4526=""),"",IFERROR(F4526*INDEX(Mitarbeiter!$F$6:$F$205,MATCH(B4526,Mitarbeiter!$A$6:$A$205,0)),0))</f>
        <v/>
      </c>
      <c r="H4526" s="8">
        <f>IF(B4526="","",IF(ISNA(MATCH(B4526,Mitarbeiter!$A$6:$A$205,0)),"Pers.-Nr. unbekannt",IF(A4526="","Datum fehlt",IF(AND(D4526&lt;&gt;Einstellungen!$C$4,D4526&lt;&gt;Einstellungen!$C$5),"Objekt fehlt",IF(YEAR(A4526)&lt;&gt;Einstellungen!$C$3,"anderes Jahr",IF(A4526&lt;INDEX(Mitarbeiter!$C$6:$C$205,MATCH(B4526,Mitarbeiter!$A$6:$A$205,0)),"vor Eintritt",IF(AND(INDEX(Mitarbeiter!$D$6:$D$205,MATCH(B4526,Mitarbeiter!$A$6:$A$205,0))&lt;&gt;"",A4526&gt;INDEX(Mitarbeiter!$D$6:$D$205,MATCH(B4526,Mitarbeiter!$A$6:$A$205,0))),"nach Austritt","ok")))))))</f>
        <v/>
      </c>
    </row>
    <row r="4527">
      <c r="A4527" s="26" t="n"/>
      <c r="B4527" s="24" t="n"/>
      <c r="C4527" s="40">
        <f>IF(B4527="","",IFERROR(INDEX(Mitarbeiter!$B$6:$B$205,MATCH(B4527,Mitarbeiter!$A$6:$A$205,0)),"?"))</f>
        <v/>
      </c>
      <c r="D4527" s="41" t="n"/>
      <c r="E4527" s="42" t="n"/>
      <c r="F4527" s="43" t="n"/>
      <c r="G4527" s="44">
        <f>IF(OR(B4527="",F4527=""),"",IFERROR(F4527*INDEX(Mitarbeiter!$F$6:$F$205,MATCH(B4527,Mitarbeiter!$A$6:$A$205,0)),0))</f>
        <v/>
      </c>
      <c r="H4527" s="8">
        <f>IF(B4527="","",IF(ISNA(MATCH(B4527,Mitarbeiter!$A$6:$A$205,0)),"Pers.-Nr. unbekannt",IF(A4527="","Datum fehlt",IF(AND(D4527&lt;&gt;Einstellungen!$C$4,D4527&lt;&gt;Einstellungen!$C$5),"Objekt fehlt",IF(YEAR(A4527)&lt;&gt;Einstellungen!$C$3,"anderes Jahr",IF(A4527&lt;INDEX(Mitarbeiter!$C$6:$C$205,MATCH(B4527,Mitarbeiter!$A$6:$A$205,0)),"vor Eintritt",IF(AND(INDEX(Mitarbeiter!$D$6:$D$205,MATCH(B4527,Mitarbeiter!$A$6:$A$205,0))&lt;&gt;"",A4527&gt;INDEX(Mitarbeiter!$D$6:$D$205,MATCH(B4527,Mitarbeiter!$A$6:$A$205,0))),"nach Austritt","ok")))))))</f>
        <v/>
      </c>
    </row>
    <row r="4528">
      <c r="A4528" s="26" t="n"/>
      <c r="B4528" s="24" t="n"/>
      <c r="C4528" s="40">
        <f>IF(B4528="","",IFERROR(INDEX(Mitarbeiter!$B$6:$B$205,MATCH(B4528,Mitarbeiter!$A$6:$A$205,0)),"?"))</f>
        <v/>
      </c>
      <c r="D4528" s="41" t="n"/>
      <c r="E4528" s="42" t="n"/>
      <c r="F4528" s="43" t="n"/>
      <c r="G4528" s="44">
        <f>IF(OR(B4528="",F4528=""),"",IFERROR(F4528*INDEX(Mitarbeiter!$F$6:$F$205,MATCH(B4528,Mitarbeiter!$A$6:$A$205,0)),0))</f>
        <v/>
      </c>
      <c r="H4528" s="8">
        <f>IF(B4528="","",IF(ISNA(MATCH(B4528,Mitarbeiter!$A$6:$A$205,0)),"Pers.-Nr. unbekannt",IF(A4528="","Datum fehlt",IF(AND(D4528&lt;&gt;Einstellungen!$C$4,D4528&lt;&gt;Einstellungen!$C$5),"Objekt fehlt",IF(YEAR(A4528)&lt;&gt;Einstellungen!$C$3,"anderes Jahr",IF(A4528&lt;INDEX(Mitarbeiter!$C$6:$C$205,MATCH(B4528,Mitarbeiter!$A$6:$A$205,0)),"vor Eintritt",IF(AND(INDEX(Mitarbeiter!$D$6:$D$205,MATCH(B4528,Mitarbeiter!$A$6:$A$205,0))&lt;&gt;"",A4528&gt;INDEX(Mitarbeiter!$D$6:$D$205,MATCH(B4528,Mitarbeiter!$A$6:$A$205,0))),"nach Austritt","ok")))))))</f>
        <v/>
      </c>
    </row>
    <row r="4529">
      <c r="A4529" s="26" t="n"/>
      <c r="B4529" s="24" t="n"/>
      <c r="C4529" s="40">
        <f>IF(B4529="","",IFERROR(INDEX(Mitarbeiter!$B$6:$B$205,MATCH(B4529,Mitarbeiter!$A$6:$A$205,0)),"?"))</f>
        <v/>
      </c>
      <c r="D4529" s="41" t="n"/>
      <c r="E4529" s="42" t="n"/>
      <c r="F4529" s="43" t="n"/>
      <c r="G4529" s="44">
        <f>IF(OR(B4529="",F4529=""),"",IFERROR(F4529*INDEX(Mitarbeiter!$F$6:$F$205,MATCH(B4529,Mitarbeiter!$A$6:$A$205,0)),0))</f>
        <v/>
      </c>
      <c r="H4529" s="8">
        <f>IF(B4529="","",IF(ISNA(MATCH(B4529,Mitarbeiter!$A$6:$A$205,0)),"Pers.-Nr. unbekannt",IF(A4529="","Datum fehlt",IF(AND(D4529&lt;&gt;Einstellungen!$C$4,D4529&lt;&gt;Einstellungen!$C$5),"Objekt fehlt",IF(YEAR(A4529)&lt;&gt;Einstellungen!$C$3,"anderes Jahr",IF(A4529&lt;INDEX(Mitarbeiter!$C$6:$C$205,MATCH(B4529,Mitarbeiter!$A$6:$A$205,0)),"vor Eintritt",IF(AND(INDEX(Mitarbeiter!$D$6:$D$205,MATCH(B4529,Mitarbeiter!$A$6:$A$205,0))&lt;&gt;"",A4529&gt;INDEX(Mitarbeiter!$D$6:$D$205,MATCH(B4529,Mitarbeiter!$A$6:$A$205,0))),"nach Austritt","ok")))))))</f>
        <v/>
      </c>
    </row>
    <row r="4530">
      <c r="A4530" s="26" t="n"/>
      <c r="B4530" s="24" t="n"/>
      <c r="C4530" s="40">
        <f>IF(B4530="","",IFERROR(INDEX(Mitarbeiter!$B$6:$B$205,MATCH(B4530,Mitarbeiter!$A$6:$A$205,0)),"?"))</f>
        <v/>
      </c>
      <c r="D4530" s="41" t="n"/>
      <c r="E4530" s="42" t="n"/>
      <c r="F4530" s="43" t="n"/>
      <c r="G4530" s="44">
        <f>IF(OR(B4530="",F4530=""),"",IFERROR(F4530*INDEX(Mitarbeiter!$F$6:$F$205,MATCH(B4530,Mitarbeiter!$A$6:$A$205,0)),0))</f>
        <v/>
      </c>
      <c r="H4530" s="8">
        <f>IF(B4530="","",IF(ISNA(MATCH(B4530,Mitarbeiter!$A$6:$A$205,0)),"Pers.-Nr. unbekannt",IF(A4530="","Datum fehlt",IF(AND(D4530&lt;&gt;Einstellungen!$C$4,D4530&lt;&gt;Einstellungen!$C$5),"Objekt fehlt",IF(YEAR(A4530)&lt;&gt;Einstellungen!$C$3,"anderes Jahr",IF(A4530&lt;INDEX(Mitarbeiter!$C$6:$C$205,MATCH(B4530,Mitarbeiter!$A$6:$A$205,0)),"vor Eintritt",IF(AND(INDEX(Mitarbeiter!$D$6:$D$205,MATCH(B4530,Mitarbeiter!$A$6:$A$205,0))&lt;&gt;"",A4530&gt;INDEX(Mitarbeiter!$D$6:$D$205,MATCH(B4530,Mitarbeiter!$A$6:$A$205,0))),"nach Austritt","ok")))))))</f>
        <v/>
      </c>
    </row>
    <row r="4531">
      <c r="A4531" s="26" t="n"/>
      <c r="B4531" s="24" t="n"/>
      <c r="C4531" s="40">
        <f>IF(B4531="","",IFERROR(INDEX(Mitarbeiter!$B$6:$B$205,MATCH(B4531,Mitarbeiter!$A$6:$A$205,0)),"?"))</f>
        <v/>
      </c>
      <c r="D4531" s="41" t="n"/>
      <c r="E4531" s="42" t="n"/>
      <c r="F4531" s="43" t="n"/>
      <c r="G4531" s="44">
        <f>IF(OR(B4531="",F4531=""),"",IFERROR(F4531*INDEX(Mitarbeiter!$F$6:$F$205,MATCH(B4531,Mitarbeiter!$A$6:$A$205,0)),0))</f>
        <v/>
      </c>
      <c r="H4531" s="8">
        <f>IF(B4531="","",IF(ISNA(MATCH(B4531,Mitarbeiter!$A$6:$A$205,0)),"Pers.-Nr. unbekannt",IF(A4531="","Datum fehlt",IF(AND(D4531&lt;&gt;Einstellungen!$C$4,D4531&lt;&gt;Einstellungen!$C$5),"Objekt fehlt",IF(YEAR(A4531)&lt;&gt;Einstellungen!$C$3,"anderes Jahr",IF(A4531&lt;INDEX(Mitarbeiter!$C$6:$C$205,MATCH(B4531,Mitarbeiter!$A$6:$A$205,0)),"vor Eintritt",IF(AND(INDEX(Mitarbeiter!$D$6:$D$205,MATCH(B4531,Mitarbeiter!$A$6:$A$205,0))&lt;&gt;"",A4531&gt;INDEX(Mitarbeiter!$D$6:$D$205,MATCH(B4531,Mitarbeiter!$A$6:$A$205,0))),"nach Austritt","ok")))))))</f>
        <v/>
      </c>
    </row>
    <row r="4532">
      <c r="A4532" s="26" t="n"/>
      <c r="B4532" s="24" t="n"/>
      <c r="C4532" s="40">
        <f>IF(B4532="","",IFERROR(INDEX(Mitarbeiter!$B$6:$B$205,MATCH(B4532,Mitarbeiter!$A$6:$A$205,0)),"?"))</f>
        <v/>
      </c>
      <c r="D4532" s="41" t="n"/>
      <c r="E4532" s="42" t="n"/>
      <c r="F4532" s="43" t="n"/>
      <c r="G4532" s="44">
        <f>IF(OR(B4532="",F4532=""),"",IFERROR(F4532*INDEX(Mitarbeiter!$F$6:$F$205,MATCH(B4532,Mitarbeiter!$A$6:$A$205,0)),0))</f>
        <v/>
      </c>
      <c r="H4532" s="8">
        <f>IF(B4532="","",IF(ISNA(MATCH(B4532,Mitarbeiter!$A$6:$A$205,0)),"Pers.-Nr. unbekannt",IF(A4532="","Datum fehlt",IF(AND(D4532&lt;&gt;Einstellungen!$C$4,D4532&lt;&gt;Einstellungen!$C$5),"Objekt fehlt",IF(YEAR(A4532)&lt;&gt;Einstellungen!$C$3,"anderes Jahr",IF(A4532&lt;INDEX(Mitarbeiter!$C$6:$C$205,MATCH(B4532,Mitarbeiter!$A$6:$A$205,0)),"vor Eintritt",IF(AND(INDEX(Mitarbeiter!$D$6:$D$205,MATCH(B4532,Mitarbeiter!$A$6:$A$205,0))&lt;&gt;"",A4532&gt;INDEX(Mitarbeiter!$D$6:$D$205,MATCH(B4532,Mitarbeiter!$A$6:$A$205,0))),"nach Austritt","ok")))))))</f>
        <v/>
      </c>
    </row>
    <row r="4533">
      <c r="A4533" s="26" t="n"/>
      <c r="B4533" s="24" t="n"/>
      <c r="C4533" s="40">
        <f>IF(B4533="","",IFERROR(INDEX(Mitarbeiter!$B$6:$B$205,MATCH(B4533,Mitarbeiter!$A$6:$A$205,0)),"?"))</f>
        <v/>
      </c>
      <c r="D4533" s="41" t="n"/>
      <c r="E4533" s="42" t="n"/>
      <c r="F4533" s="43" t="n"/>
      <c r="G4533" s="44">
        <f>IF(OR(B4533="",F4533=""),"",IFERROR(F4533*INDEX(Mitarbeiter!$F$6:$F$205,MATCH(B4533,Mitarbeiter!$A$6:$A$205,0)),0))</f>
        <v/>
      </c>
      <c r="H4533" s="8">
        <f>IF(B4533="","",IF(ISNA(MATCH(B4533,Mitarbeiter!$A$6:$A$205,0)),"Pers.-Nr. unbekannt",IF(A4533="","Datum fehlt",IF(AND(D4533&lt;&gt;Einstellungen!$C$4,D4533&lt;&gt;Einstellungen!$C$5),"Objekt fehlt",IF(YEAR(A4533)&lt;&gt;Einstellungen!$C$3,"anderes Jahr",IF(A4533&lt;INDEX(Mitarbeiter!$C$6:$C$205,MATCH(B4533,Mitarbeiter!$A$6:$A$205,0)),"vor Eintritt",IF(AND(INDEX(Mitarbeiter!$D$6:$D$205,MATCH(B4533,Mitarbeiter!$A$6:$A$205,0))&lt;&gt;"",A4533&gt;INDEX(Mitarbeiter!$D$6:$D$205,MATCH(B4533,Mitarbeiter!$A$6:$A$205,0))),"nach Austritt","ok")))))))</f>
        <v/>
      </c>
    </row>
    <row r="4534">
      <c r="A4534" s="26" t="n"/>
      <c r="B4534" s="24" t="n"/>
      <c r="C4534" s="40">
        <f>IF(B4534="","",IFERROR(INDEX(Mitarbeiter!$B$6:$B$205,MATCH(B4534,Mitarbeiter!$A$6:$A$205,0)),"?"))</f>
        <v/>
      </c>
      <c r="D4534" s="41" t="n"/>
      <c r="E4534" s="42" t="n"/>
      <c r="F4534" s="43" t="n"/>
      <c r="G4534" s="44">
        <f>IF(OR(B4534="",F4534=""),"",IFERROR(F4534*INDEX(Mitarbeiter!$F$6:$F$205,MATCH(B4534,Mitarbeiter!$A$6:$A$205,0)),0))</f>
        <v/>
      </c>
      <c r="H4534" s="8">
        <f>IF(B4534="","",IF(ISNA(MATCH(B4534,Mitarbeiter!$A$6:$A$205,0)),"Pers.-Nr. unbekannt",IF(A4534="","Datum fehlt",IF(AND(D4534&lt;&gt;Einstellungen!$C$4,D4534&lt;&gt;Einstellungen!$C$5),"Objekt fehlt",IF(YEAR(A4534)&lt;&gt;Einstellungen!$C$3,"anderes Jahr",IF(A4534&lt;INDEX(Mitarbeiter!$C$6:$C$205,MATCH(B4534,Mitarbeiter!$A$6:$A$205,0)),"vor Eintritt",IF(AND(INDEX(Mitarbeiter!$D$6:$D$205,MATCH(B4534,Mitarbeiter!$A$6:$A$205,0))&lt;&gt;"",A4534&gt;INDEX(Mitarbeiter!$D$6:$D$205,MATCH(B4534,Mitarbeiter!$A$6:$A$205,0))),"nach Austritt","ok")))))))</f>
        <v/>
      </c>
    </row>
    <row r="4535">
      <c r="A4535" s="26" t="n"/>
      <c r="B4535" s="24" t="n"/>
      <c r="C4535" s="40">
        <f>IF(B4535="","",IFERROR(INDEX(Mitarbeiter!$B$6:$B$205,MATCH(B4535,Mitarbeiter!$A$6:$A$205,0)),"?"))</f>
        <v/>
      </c>
      <c r="D4535" s="41" t="n"/>
      <c r="E4535" s="42" t="n"/>
      <c r="F4535" s="43" t="n"/>
      <c r="G4535" s="44">
        <f>IF(OR(B4535="",F4535=""),"",IFERROR(F4535*INDEX(Mitarbeiter!$F$6:$F$205,MATCH(B4535,Mitarbeiter!$A$6:$A$205,0)),0))</f>
        <v/>
      </c>
      <c r="H4535" s="8">
        <f>IF(B4535="","",IF(ISNA(MATCH(B4535,Mitarbeiter!$A$6:$A$205,0)),"Pers.-Nr. unbekannt",IF(A4535="","Datum fehlt",IF(AND(D4535&lt;&gt;Einstellungen!$C$4,D4535&lt;&gt;Einstellungen!$C$5),"Objekt fehlt",IF(YEAR(A4535)&lt;&gt;Einstellungen!$C$3,"anderes Jahr",IF(A4535&lt;INDEX(Mitarbeiter!$C$6:$C$205,MATCH(B4535,Mitarbeiter!$A$6:$A$205,0)),"vor Eintritt",IF(AND(INDEX(Mitarbeiter!$D$6:$D$205,MATCH(B4535,Mitarbeiter!$A$6:$A$205,0))&lt;&gt;"",A4535&gt;INDEX(Mitarbeiter!$D$6:$D$205,MATCH(B4535,Mitarbeiter!$A$6:$A$205,0))),"nach Austritt","ok")))))))</f>
        <v/>
      </c>
    </row>
    <row r="4536">
      <c r="A4536" s="26" t="n"/>
      <c r="B4536" s="24" t="n"/>
      <c r="C4536" s="40">
        <f>IF(B4536="","",IFERROR(INDEX(Mitarbeiter!$B$6:$B$205,MATCH(B4536,Mitarbeiter!$A$6:$A$205,0)),"?"))</f>
        <v/>
      </c>
      <c r="D4536" s="41" t="n"/>
      <c r="E4536" s="42" t="n"/>
      <c r="F4536" s="43" t="n"/>
      <c r="G4536" s="44">
        <f>IF(OR(B4536="",F4536=""),"",IFERROR(F4536*INDEX(Mitarbeiter!$F$6:$F$205,MATCH(B4536,Mitarbeiter!$A$6:$A$205,0)),0))</f>
        <v/>
      </c>
      <c r="H4536" s="8">
        <f>IF(B4536="","",IF(ISNA(MATCH(B4536,Mitarbeiter!$A$6:$A$205,0)),"Pers.-Nr. unbekannt",IF(A4536="","Datum fehlt",IF(AND(D4536&lt;&gt;Einstellungen!$C$4,D4536&lt;&gt;Einstellungen!$C$5),"Objekt fehlt",IF(YEAR(A4536)&lt;&gt;Einstellungen!$C$3,"anderes Jahr",IF(A4536&lt;INDEX(Mitarbeiter!$C$6:$C$205,MATCH(B4536,Mitarbeiter!$A$6:$A$205,0)),"vor Eintritt",IF(AND(INDEX(Mitarbeiter!$D$6:$D$205,MATCH(B4536,Mitarbeiter!$A$6:$A$205,0))&lt;&gt;"",A4536&gt;INDEX(Mitarbeiter!$D$6:$D$205,MATCH(B4536,Mitarbeiter!$A$6:$A$205,0))),"nach Austritt","ok")))))))</f>
        <v/>
      </c>
    </row>
    <row r="4537">
      <c r="A4537" s="26" t="n"/>
      <c r="B4537" s="24" t="n"/>
      <c r="C4537" s="40">
        <f>IF(B4537="","",IFERROR(INDEX(Mitarbeiter!$B$6:$B$205,MATCH(B4537,Mitarbeiter!$A$6:$A$205,0)),"?"))</f>
        <v/>
      </c>
      <c r="D4537" s="41" t="n"/>
      <c r="E4537" s="42" t="n"/>
      <c r="F4537" s="43" t="n"/>
      <c r="G4537" s="44">
        <f>IF(OR(B4537="",F4537=""),"",IFERROR(F4537*INDEX(Mitarbeiter!$F$6:$F$205,MATCH(B4537,Mitarbeiter!$A$6:$A$205,0)),0))</f>
        <v/>
      </c>
      <c r="H4537" s="8">
        <f>IF(B4537="","",IF(ISNA(MATCH(B4537,Mitarbeiter!$A$6:$A$205,0)),"Pers.-Nr. unbekannt",IF(A4537="","Datum fehlt",IF(AND(D4537&lt;&gt;Einstellungen!$C$4,D4537&lt;&gt;Einstellungen!$C$5),"Objekt fehlt",IF(YEAR(A4537)&lt;&gt;Einstellungen!$C$3,"anderes Jahr",IF(A4537&lt;INDEX(Mitarbeiter!$C$6:$C$205,MATCH(B4537,Mitarbeiter!$A$6:$A$205,0)),"vor Eintritt",IF(AND(INDEX(Mitarbeiter!$D$6:$D$205,MATCH(B4537,Mitarbeiter!$A$6:$A$205,0))&lt;&gt;"",A4537&gt;INDEX(Mitarbeiter!$D$6:$D$205,MATCH(B4537,Mitarbeiter!$A$6:$A$205,0))),"nach Austritt","ok")))))))</f>
        <v/>
      </c>
    </row>
    <row r="4538">
      <c r="A4538" s="26" t="n"/>
      <c r="B4538" s="24" t="n"/>
      <c r="C4538" s="40">
        <f>IF(B4538="","",IFERROR(INDEX(Mitarbeiter!$B$6:$B$205,MATCH(B4538,Mitarbeiter!$A$6:$A$205,0)),"?"))</f>
        <v/>
      </c>
      <c r="D4538" s="41" t="n"/>
      <c r="E4538" s="42" t="n"/>
      <c r="F4538" s="43" t="n"/>
      <c r="G4538" s="44">
        <f>IF(OR(B4538="",F4538=""),"",IFERROR(F4538*INDEX(Mitarbeiter!$F$6:$F$205,MATCH(B4538,Mitarbeiter!$A$6:$A$205,0)),0))</f>
        <v/>
      </c>
      <c r="H4538" s="8">
        <f>IF(B4538="","",IF(ISNA(MATCH(B4538,Mitarbeiter!$A$6:$A$205,0)),"Pers.-Nr. unbekannt",IF(A4538="","Datum fehlt",IF(AND(D4538&lt;&gt;Einstellungen!$C$4,D4538&lt;&gt;Einstellungen!$C$5),"Objekt fehlt",IF(YEAR(A4538)&lt;&gt;Einstellungen!$C$3,"anderes Jahr",IF(A4538&lt;INDEX(Mitarbeiter!$C$6:$C$205,MATCH(B4538,Mitarbeiter!$A$6:$A$205,0)),"vor Eintritt",IF(AND(INDEX(Mitarbeiter!$D$6:$D$205,MATCH(B4538,Mitarbeiter!$A$6:$A$205,0))&lt;&gt;"",A4538&gt;INDEX(Mitarbeiter!$D$6:$D$205,MATCH(B4538,Mitarbeiter!$A$6:$A$205,0))),"nach Austritt","ok")))))))</f>
        <v/>
      </c>
    </row>
    <row r="4539">
      <c r="A4539" s="26" t="n"/>
      <c r="B4539" s="24" t="n"/>
      <c r="C4539" s="40">
        <f>IF(B4539="","",IFERROR(INDEX(Mitarbeiter!$B$6:$B$205,MATCH(B4539,Mitarbeiter!$A$6:$A$205,0)),"?"))</f>
        <v/>
      </c>
      <c r="D4539" s="41" t="n"/>
      <c r="E4539" s="42" t="n"/>
      <c r="F4539" s="43" t="n"/>
      <c r="G4539" s="44">
        <f>IF(OR(B4539="",F4539=""),"",IFERROR(F4539*INDEX(Mitarbeiter!$F$6:$F$205,MATCH(B4539,Mitarbeiter!$A$6:$A$205,0)),0))</f>
        <v/>
      </c>
      <c r="H4539" s="8">
        <f>IF(B4539="","",IF(ISNA(MATCH(B4539,Mitarbeiter!$A$6:$A$205,0)),"Pers.-Nr. unbekannt",IF(A4539="","Datum fehlt",IF(AND(D4539&lt;&gt;Einstellungen!$C$4,D4539&lt;&gt;Einstellungen!$C$5),"Objekt fehlt",IF(YEAR(A4539)&lt;&gt;Einstellungen!$C$3,"anderes Jahr",IF(A4539&lt;INDEX(Mitarbeiter!$C$6:$C$205,MATCH(B4539,Mitarbeiter!$A$6:$A$205,0)),"vor Eintritt",IF(AND(INDEX(Mitarbeiter!$D$6:$D$205,MATCH(B4539,Mitarbeiter!$A$6:$A$205,0))&lt;&gt;"",A4539&gt;INDEX(Mitarbeiter!$D$6:$D$205,MATCH(B4539,Mitarbeiter!$A$6:$A$205,0))),"nach Austritt","ok")))))))</f>
        <v/>
      </c>
    </row>
    <row r="4540">
      <c r="A4540" s="26" t="n"/>
      <c r="B4540" s="24" t="n"/>
      <c r="C4540" s="40">
        <f>IF(B4540="","",IFERROR(INDEX(Mitarbeiter!$B$6:$B$205,MATCH(B4540,Mitarbeiter!$A$6:$A$205,0)),"?"))</f>
        <v/>
      </c>
      <c r="D4540" s="41" t="n"/>
      <c r="E4540" s="42" t="n"/>
      <c r="F4540" s="43" t="n"/>
      <c r="G4540" s="44">
        <f>IF(OR(B4540="",F4540=""),"",IFERROR(F4540*INDEX(Mitarbeiter!$F$6:$F$205,MATCH(B4540,Mitarbeiter!$A$6:$A$205,0)),0))</f>
        <v/>
      </c>
      <c r="H4540" s="8">
        <f>IF(B4540="","",IF(ISNA(MATCH(B4540,Mitarbeiter!$A$6:$A$205,0)),"Pers.-Nr. unbekannt",IF(A4540="","Datum fehlt",IF(AND(D4540&lt;&gt;Einstellungen!$C$4,D4540&lt;&gt;Einstellungen!$C$5),"Objekt fehlt",IF(YEAR(A4540)&lt;&gt;Einstellungen!$C$3,"anderes Jahr",IF(A4540&lt;INDEX(Mitarbeiter!$C$6:$C$205,MATCH(B4540,Mitarbeiter!$A$6:$A$205,0)),"vor Eintritt",IF(AND(INDEX(Mitarbeiter!$D$6:$D$205,MATCH(B4540,Mitarbeiter!$A$6:$A$205,0))&lt;&gt;"",A4540&gt;INDEX(Mitarbeiter!$D$6:$D$205,MATCH(B4540,Mitarbeiter!$A$6:$A$205,0))),"nach Austritt","ok")))))))</f>
        <v/>
      </c>
    </row>
    <row r="4541">
      <c r="A4541" s="26" t="n"/>
      <c r="B4541" s="24" t="n"/>
      <c r="C4541" s="40">
        <f>IF(B4541="","",IFERROR(INDEX(Mitarbeiter!$B$6:$B$205,MATCH(B4541,Mitarbeiter!$A$6:$A$205,0)),"?"))</f>
        <v/>
      </c>
      <c r="D4541" s="41" t="n"/>
      <c r="E4541" s="42" t="n"/>
      <c r="F4541" s="43" t="n"/>
      <c r="G4541" s="44">
        <f>IF(OR(B4541="",F4541=""),"",IFERROR(F4541*INDEX(Mitarbeiter!$F$6:$F$205,MATCH(B4541,Mitarbeiter!$A$6:$A$205,0)),0))</f>
        <v/>
      </c>
      <c r="H4541" s="8">
        <f>IF(B4541="","",IF(ISNA(MATCH(B4541,Mitarbeiter!$A$6:$A$205,0)),"Pers.-Nr. unbekannt",IF(A4541="","Datum fehlt",IF(AND(D4541&lt;&gt;Einstellungen!$C$4,D4541&lt;&gt;Einstellungen!$C$5),"Objekt fehlt",IF(YEAR(A4541)&lt;&gt;Einstellungen!$C$3,"anderes Jahr",IF(A4541&lt;INDEX(Mitarbeiter!$C$6:$C$205,MATCH(B4541,Mitarbeiter!$A$6:$A$205,0)),"vor Eintritt",IF(AND(INDEX(Mitarbeiter!$D$6:$D$205,MATCH(B4541,Mitarbeiter!$A$6:$A$205,0))&lt;&gt;"",A4541&gt;INDEX(Mitarbeiter!$D$6:$D$205,MATCH(B4541,Mitarbeiter!$A$6:$A$205,0))),"nach Austritt","ok")))))))</f>
        <v/>
      </c>
    </row>
    <row r="4542">
      <c r="A4542" s="26" t="n"/>
      <c r="B4542" s="24" t="n"/>
      <c r="C4542" s="40">
        <f>IF(B4542="","",IFERROR(INDEX(Mitarbeiter!$B$6:$B$205,MATCH(B4542,Mitarbeiter!$A$6:$A$205,0)),"?"))</f>
        <v/>
      </c>
      <c r="D4542" s="41" t="n"/>
      <c r="E4542" s="42" t="n"/>
      <c r="F4542" s="43" t="n"/>
      <c r="G4542" s="44">
        <f>IF(OR(B4542="",F4542=""),"",IFERROR(F4542*INDEX(Mitarbeiter!$F$6:$F$205,MATCH(B4542,Mitarbeiter!$A$6:$A$205,0)),0))</f>
        <v/>
      </c>
      <c r="H4542" s="8">
        <f>IF(B4542="","",IF(ISNA(MATCH(B4542,Mitarbeiter!$A$6:$A$205,0)),"Pers.-Nr. unbekannt",IF(A4542="","Datum fehlt",IF(AND(D4542&lt;&gt;Einstellungen!$C$4,D4542&lt;&gt;Einstellungen!$C$5),"Objekt fehlt",IF(YEAR(A4542)&lt;&gt;Einstellungen!$C$3,"anderes Jahr",IF(A4542&lt;INDEX(Mitarbeiter!$C$6:$C$205,MATCH(B4542,Mitarbeiter!$A$6:$A$205,0)),"vor Eintritt",IF(AND(INDEX(Mitarbeiter!$D$6:$D$205,MATCH(B4542,Mitarbeiter!$A$6:$A$205,0))&lt;&gt;"",A4542&gt;INDEX(Mitarbeiter!$D$6:$D$205,MATCH(B4542,Mitarbeiter!$A$6:$A$205,0))),"nach Austritt","ok")))))))</f>
        <v/>
      </c>
    </row>
    <row r="4543">
      <c r="A4543" s="26" t="n"/>
      <c r="B4543" s="24" t="n"/>
      <c r="C4543" s="40">
        <f>IF(B4543="","",IFERROR(INDEX(Mitarbeiter!$B$6:$B$205,MATCH(B4543,Mitarbeiter!$A$6:$A$205,0)),"?"))</f>
        <v/>
      </c>
      <c r="D4543" s="41" t="n"/>
      <c r="E4543" s="42" t="n"/>
      <c r="F4543" s="43" t="n"/>
      <c r="G4543" s="44">
        <f>IF(OR(B4543="",F4543=""),"",IFERROR(F4543*INDEX(Mitarbeiter!$F$6:$F$205,MATCH(B4543,Mitarbeiter!$A$6:$A$205,0)),0))</f>
        <v/>
      </c>
      <c r="H4543" s="8">
        <f>IF(B4543="","",IF(ISNA(MATCH(B4543,Mitarbeiter!$A$6:$A$205,0)),"Pers.-Nr. unbekannt",IF(A4543="","Datum fehlt",IF(AND(D4543&lt;&gt;Einstellungen!$C$4,D4543&lt;&gt;Einstellungen!$C$5),"Objekt fehlt",IF(YEAR(A4543)&lt;&gt;Einstellungen!$C$3,"anderes Jahr",IF(A4543&lt;INDEX(Mitarbeiter!$C$6:$C$205,MATCH(B4543,Mitarbeiter!$A$6:$A$205,0)),"vor Eintritt",IF(AND(INDEX(Mitarbeiter!$D$6:$D$205,MATCH(B4543,Mitarbeiter!$A$6:$A$205,0))&lt;&gt;"",A4543&gt;INDEX(Mitarbeiter!$D$6:$D$205,MATCH(B4543,Mitarbeiter!$A$6:$A$205,0))),"nach Austritt","ok")))))))</f>
        <v/>
      </c>
    </row>
    <row r="4544">
      <c r="A4544" s="26" t="n"/>
      <c r="B4544" s="24" t="n"/>
      <c r="C4544" s="40">
        <f>IF(B4544="","",IFERROR(INDEX(Mitarbeiter!$B$6:$B$205,MATCH(B4544,Mitarbeiter!$A$6:$A$205,0)),"?"))</f>
        <v/>
      </c>
      <c r="D4544" s="41" t="n"/>
      <c r="E4544" s="42" t="n"/>
      <c r="F4544" s="43" t="n"/>
      <c r="G4544" s="44">
        <f>IF(OR(B4544="",F4544=""),"",IFERROR(F4544*INDEX(Mitarbeiter!$F$6:$F$205,MATCH(B4544,Mitarbeiter!$A$6:$A$205,0)),0))</f>
        <v/>
      </c>
      <c r="H4544" s="8">
        <f>IF(B4544="","",IF(ISNA(MATCH(B4544,Mitarbeiter!$A$6:$A$205,0)),"Pers.-Nr. unbekannt",IF(A4544="","Datum fehlt",IF(AND(D4544&lt;&gt;Einstellungen!$C$4,D4544&lt;&gt;Einstellungen!$C$5),"Objekt fehlt",IF(YEAR(A4544)&lt;&gt;Einstellungen!$C$3,"anderes Jahr",IF(A4544&lt;INDEX(Mitarbeiter!$C$6:$C$205,MATCH(B4544,Mitarbeiter!$A$6:$A$205,0)),"vor Eintritt",IF(AND(INDEX(Mitarbeiter!$D$6:$D$205,MATCH(B4544,Mitarbeiter!$A$6:$A$205,0))&lt;&gt;"",A4544&gt;INDEX(Mitarbeiter!$D$6:$D$205,MATCH(B4544,Mitarbeiter!$A$6:$A$205,0))),"nach Austritt","ok")))))))</f>
        <v/>
      </c>
    </row>
    <row r="4545">
      <c r="A4545" s="26" t="n"/>
      <c r="B4545" s="24" t="n"/>
      <c r="C4545" s="40">
        <f>IF(B4545="","",IFERROR(INDEX(Mitarbeiter!$B$6:$B$205,MATCH(B4545,Mitarbeiter!$A$6:$A$205,0)),"?"))</f>
        <v/>
      </c>
      <c r="D4545" s="41" t="n"/>
      <c r="E4545" s="42" t="n"/>
      <c r="F4545" s="43" t="n"/>
      <c r="G4545" s="44">
        <f>IF(OR(B4545="",F4545=""),"",IFERROR(F4545*INDEX(Mitarbeiter!$F$6:$F$205,MATCH(B4545,Mitarbeiter!$A$6:$A$205,0)),0))</f>
        <v/>
      </c>
      <c r="H4545" s="8">
        <f>IF(B4545="","",IF(ISNA(MATCH(B4545,Mitarbeiter!$A$6:$A$205,0)),"Pers.-Nr. unbekannt",IF(A4545="","Datum fehlt",IF(AND(D4545&lt;&gt;Einstellungen!$C$4,D4545&lt;&gt;Einstellungen!$C$5),"Objekt fehlt",IF(YEAR(A4545)&lt;&gt;Einstellungen!$C$3,"anderes Jahr",IF(A4545&lt;INDEX(Mitarbeiter!$C$6:$C$205,MATCH(B4545,Mitarbeiter!$A$6:$A$205,0)),"vor Eintritt",IF(AND(INDEX(Mitarbeiter!$D$6:$D$205,MATCH(B4545,Mitarbeiter!$A$6:$A$205,0))&lt;&gt;"",A4545&gt;INDEX(Mitarbeiter!$D$6:$D$205,MATCH(B4545,Mitarbeiter!$A$6:$A$205,0))),"nach Austritt","ok")))))))</f>
        <v/>
      </c>
    </row>
    <row r="4546">
      <c r="A4546" s="26" t="n"/>
      <c r="B4546" s="24" t="n"/>
      <c r="C4546" s="40">
        <f>IF(B4546="","",IFERROR(INDEX(Mitarbeiter!$B$6:$B$205,MATCH(B4546,Mitarbeiter!$A$6:$A$205,0)),"?"))</f>
        <v/>
      </c>
      <c r="D4546" s="41" t="n"/>
      <c r="E4546" s="42" t="n"/>
      <c r="F4546" s="43" t="n"/>
      <c r="G4546" s="44">
        <f>IF(OR(B4546="",F4546=""),"",IFERROR(F4546*INDEX(Mitarbeiter!$F$6:$F$205,MATCH(B4546,Mitarbeiter!$A$6:$A$205,0)),0))</f>
        <v/>
      </c>
      <c r="H4546" s="8">
        <f>IF(B4546="","",IF(ISNA(MATCH(B4546,Mitarbeiter!$A$6:$A$205,0)),"Pers.-Nr. unbekannt",IF(A4546="","Datum fehlt",IF(AND(D4546&lt;&gt;Einstellungen!$C$4,D4546&lt;&gt;Einstellungen!$C$5),"Objekt fehlt",IF(YEAR(A4546)&lt;&gt;Einstellungen!$C$3,"anderes Jahr",IF(A4546&lt;INDEX(Mitarbeiter!$C$6:$C$205,MATCH(B4546,Mitarbeiter!$A$6:$A$205,0)),"vor Eintritt",IF(AND(INDEX(Mitarbeiter!$D$6:$D$205,MATCH(B4546,Mitarbeiter!$A$6:$A$205,0))&lt;&gt;"",A4546&gt;INDEX(Mitarbeiter!$D$6:$D$205,MATCH(B4546,Mitarbeiter!$A$6:$A$205,0))),"nach Austritt","ok")))))))</f>
        <v/>
      </c>
    </row>
    <row r="4547">
      <c r="A4547" s="26" t="n"/>
      <c r="B4547" s="24" t="n"/>
      <c r="C4547" s="40">
        <f>IF(B4547="","",IFERROR(INDEX(Mitarbeiter!$B$6:$B$205,MATCH(B4547,Mitarbeiter!$A$6:$A$205,0)),"?"))</f>
        <v/>
      </c>
      <c r="D4547" s="41" t="n"/>
      <c r="E4547" s="42" t="n"/>
      <c r="F4547" s="43" t="n"/>
      <c r="G4547" s="44">
        <f>IF(OR(B4547="",F4547=""),"",IFERROR(F4547*INDEX(Mitarbeiter!$F$6:$F$205,MATCH(B4547,Mitarbeiter!$A$6:$A$205,0)),0))</f>
        <v/>
      </c>
      <c r="H4547" s="8">
        <f>IF(B4547="","",IF(ISNA(MATCH(B4547,Mitarbeiter!$A$6:$A$205,0)),"Pers.-Nr. unbekannt",IF(A4547="","Datum fehlt",IF(AND(D4547&lt;&gt;Einstellungen!$C$4,D4547&lt;&gt;Einstellungen!$C$5),"Objekt fehlt",IF(YEAR(A4547)&lt;&gt;Einstellungen!$C$3,"anderes Jahr",IF(A4547&lt;INDEX(Mitarbeiter!$C$6:$C$205,MATCH(B4547,Mitarbeiter!$A$6:$A$205,0)),"vor Eintritt",IF(AND(INDEX(Mitarbeiter!$D$6:$D$205,MATCH(B4547,Mitarbeiter!$A$6:$A$205,0))&lt;&gt;"",A4547&gt;INDEX(Mitarbeiter!$D$6:$D$205,MATCH(B4547,Mitarbeiter!$A$6:$A$205,0))),"nach Austritt","ok")))))))</f>
        <v/>
      </c>
    </row>
    <row r="4548">
      <c r="A4548" s="26" t="n"/>
      <c r="B4548" s="24" t="n"/>
      <c r="C4548" s="40">
        <f>IF(B4548="","",IFERROR(INDEX(Mitarbeiter!$B$6:$B$205,MATCH(B4548,Mitarbeiter!$A$6:$A$205,0)),"?"))</f>
        <v/>
      </c>
      <c r="D4548" s="41" t="n"/>
      <c r="E4548" s="42" t="n"/>
      <c r="F4548" s="43" t="n"/>
      <c r="G4548" s="44">
        <f>IF(OR(B4548="",F4548=""),"",IFERROR(F4548*INDEX(Mitarbeiter!$F$6:$F$205,MATCH(B4548,Mitarbeiter!$A$6:$A$205,0)),0))</f>
        <v/>
      </c>
      <c r="H4548" s="8">
        <f>IF(B4548="","",IF(ISNA(MATCH(B4548,Mitarbeiter!$A$6:$A$205,0)),"Pers.-Nr. unbekannt",IF(A4548="","Datum fehlt",IF(AND(D4548&lt;&gt;Einstellungen!$C$4,D4548&lt;&gt;Einstellungen!$C$5),"Objekt fehlt",IF(YEAR(A4548)&lt;&gt;Einstellungen!$C$3,"anderes Jahr",IF(A4548&lt;INDEX(Mitarbeiter!$C$6:$C$205,MATCH(B4548,Mitarbeiter!$A$6:$A$205,0)),"vor Eintritt",IF(AND(INDEX(Mitarbeiter!$D$6:$D$205,MATCH(B4548,Mitarbeiter!$A$6:$A$205,0))&lt;&gt;"",A4548&gt;INDEX(Mitarbeiter!$D$6:$D$205,MATCH(B4548,Mitarbeiter!$A$6:$A$205,0))),"nach Austritt","ok")))))))</f>
        <v/>
      </c>
    </row>
    <row r="4549">
      <c r="A4549" s="26" t="n"/>
      <c r="B4549" s="24" t="n"/>
      <c r="C4549" s="40">
        <f>IF(B4549="","",IFERROR(INDEX(Mitarbeiter!$B$6:$B$205,MATCH(B4549,Mitarbeiter!$A$6:$A$205,0)),"?"))</f>
        <v/>
      </c>
      <c r="D4549" s="41" t="n"/>
      <c r="E4549" s="42" t="n"/>
      <c r="F4549" s="43" t="n"/>
      <c r="G4549" s="44">
        <f>IF(OR(B4549="",F4549=""),"",IFERROR(F4549*INDEX(Mitarbeiter!$F$6:$F$205,MATCH(B4549,Mitarbeiter!$A$6:$A$205,0)),0))</f>
        <v/>
      </c>
      <c r="H4549" s="8">
        <f>IF(B4549="","",IF(ISNA(MATCH(B4549,Mitarbeiter!$A$6:$A$205,0)),"Pers.-Nr. unbekannt",IF(A4549="","Datum fehlt",IF(AND(D4549&lt;&gt;Einstellungen!$C$4,D4549&lt;&gt;Einstellungen!$C$5),"Objekt fehlt",IF(YEAR(A4549)&lt;&gt;Einstellungen!$C$3,"anderes Jahr",IF(A4549&lt;INDEX(Mitarbeiter!$C$6:$C$205,MATCH(B4549,Mitarbeiter!$A$6:$A$205,0)),"vor Eintritt",IF(AND(INDEX(Mitarbeiter!$D$6:$D$205,MATCH(B4549,Mitarbeiter!$A$6:$A$205,0))&lt;&gt;"",A4549&gt;INDEX(Mitarbeiter!$D$6:$D$205,MATCH(B4549,Mitarbeiter!$A$6:$A$205,0))),"nach Austritt","ok")))))))</f>
        <v/>
      </c>
    </row>
    <row r="4550">
      <c r="A4550" s="26" t="n"/>
      <c r="B4550" s="24" t="n"/>
      <c r="C4550" s="40">
        <f>IF(B4550="","",IFERROR(INDEX(Mitarbeiter!$B$6:$B$205,MATCH(B4550,Mitarbeiter!$A$6:$A$205,0)),"?"))</f>
        <v/>
      </c>
      <c r="D4550" s="41" t="n"/>
      <c r="E4550" s="42" t="n"/>
      <c r="F4550" s="43" t="n"/>
      <c r="G4550" s="44">
        <f>IF(OR(B4550="",F4550=""),"",IFERROR(F4550*INDEX(Mitarbeiter!$F$6:$F$205,MATCH(B4550,Mitarbeiter!$A$6:$A$205,0)),0))</f>
        <v/>
      </c>
      <c r="H4550" s="8">
        <f>IF(B4550="","",IF(ISNA(MATCH(B4550,Mitarbeiter!$A$6:$A$205,0)),"Pers.-Nr. unbekannt",IF(A4550="","Datum fehlt",IF(AND(D4550&lt;&gt;Einstellungen!$C$4,D4550&lt;&gt;Einstellungen!$C$5),"Objekt fehlt",IF(YEAR(A4550)&lt;&gt;Einstellungen!$C$3,"anderes Jahr",IF(A4550&lt;INDEX(Mitarbeiter!$C$6:$C$205,MATCH(B4550,Mitarbeiter!$A$6:$A$205,0)),"vor Eintritt",IF(AND(INDEX(Mitarbeiter!$D$6:$D$205,MATCH(B4550,Mitarbeiter!$A$6:$A$205,0))&lt;&gt;"",A4550&gt;INDEX(Mitarbeiter!$D$6:$D$205,MATCH(B4550,Mitarbeiter!$A$6:$A$205,0))),"nach Austritt","ok")))))))</f>
        <v/>
      </c>
    </row>
    <row r="4551">
      <c r="A4551" s="26" t="n"/>
      <c r="B4551" s="24" t="n"/>
      <c r="C4551" s="40">
        <f>IF(B4551="","",IFERROR(INDEX(Mitarbeiter!$B$6:$B$205,MATCH(B4551,Mitarbeiter!$A$6:$A$205,0)),"?"))</f>
        <v/>
      </c>
      <c r="D4551" s="41" t="n"/>
      <c r="E4551" s="42" t="n"/>
      <c r="F4551" s="43" t="n"/>
      <c r="G4551" s="44">
        <f>IF(OR(B4551="",F4551=""),"",IFERROR(F4551*INDEX(Mitarbeiter!$F$6:$F$205,MATCH(B4551,Mitarbeiter!$A$6:$A$205,0)),0))</f>
        <v/>
      </c>
      <c r="H4551" s="8">
        <f>IF(B4551="","",IF(ISNA(MATCH(B4551,Mitarbeiter!$A$6:$A$205,0)),"Pers.-Nr. unbekannt",IF(A4551="","Datum fehlt",IF(AND(D4551&lt;&gt;Einstellungen!$C$4,D4551&lt;&gt;Einstellungen!$C$5),"Objekt fehlt",IF(YEAR(A4551)&lt;&gt;Einstellungen!$C$3,"anderes Jahr",IF(A4551&lt;INDEX(Mitarbeiter!$C$6:$C$205,MATCH(B4551,Mitarbeiter!$A$6:$A$205,0)),"vor Eintritt",IF(AND(INDEX(Mitarbeiter!$D$6:$D$205,MATCH(B4551,Mitarbeiter!$A$6:$A$205,0))&lt;&gt;"",A4551&gt;INDEX(Mitarbeiter!$D$6:$D$205,MATCH(B4551,Mitarbeiter!$A$6:$A$205,0))),"nach Austritt","ok")))))))</f>
        <v/>
      </c>
    </row>
    <row r="4552">
      <c r="A4552" s="26" t="n"/>
      <c r="B4552" s="24" t="n"/>
      <c r="C4552" s="40">
        <f>IF(B4552="","",IFERROR(INDEX(Mitarbeiter!$B$6:$B$205,MATCH(B4552,Mitarbeiter!$A$6:$A$205,0)),"?"))</f>
        <v/>
      </c>
      <c r="D4552" s="41" t="n"/>
      <c r="E4552" s="42" t="n"/>
      <c r="F4552" s="43" t="n"/>
      <c r="G4552" s="44">
        <f>IF(OR(B4552="",F4552=""),"",IFERROR(F4552*INDEX(Mitarbeiter!$F$6:$F$205,MATCH(B4552,Mitarbeiter!$A$6:$A$205,0)),0))</f>
        <v/>
      </c>
      <c r="H4552" s="8">
        <f>IF(B4552="","",IF(ISNA(MATCH(B4552,Mitarbeiter!$A$6:$A$205,0)),"Pers.-Nr. unbekannt",IF(A4552="","Datum fehlt",IF(AND(D4552&lt;&gt;Einstellungen!$C$4,D4552&lt;&gt;Einstellungen!$C$5),"Objekt fehlt",IF(YEAR(A4552)&lt;&gt;Einstellungen!$C$3,"anderes Jahr",IF(A4552&lt;INDEX(Mitarbeiter!$C$6:$C$205,MATCH(B4552,Mitarbeiter!$A$6:$A$205,0)),"vor Eintritt",IF(AND(INDEX(Mitarbeiter!$D$6:$D$205,MATCH(B4552,Mitarbeiter!$A$6:$A$205,0))&lt;&gt;"",A4552&gt;INDEX(Mitarbeiter!$D$6:$D$205,MATCH(B4552,Mitarbeiter!$A$6:$A$205,0))),"nach Austritt","ok")))))))</f>
        <v/>
      </c>
    </row>
    <row r="4553">
      <c r="A4553" s="26" t="n"/>
      <c r="B4553" s="24" t="n"/>
      <c r="C4553" s="40">
        <f>IF(B4553="","",IFERROR(INDEX(Mitarbeiter!$B$6:$B$205,MATCH(B4553,Mitarbeiter!$A$6:$A$205,0)),"?"))</f>
        <v/>
      </c>
      <c r="D4553" s="41" t="n"/>
      <c r="E4553" s="42" t="n"/>
      <c r="F4553" s="43" t="n"/>
      <c r="G4553" s="44">
        <f>IF(OR(B4553="",F4553=""),"",IFERROR(F4553*INDEX(Mitarbeiter!$F$6:$F$205,MATCH(B4553,Mitarbeiter!$A$6:$A$205,0)),0))</f>
        <v/>
      </c>
      <c r="H4553" s="8">
        <f>IF(B4553="","",IF(ISNA(MATCH(B4553,Mitarbeiter!$A$6:$A$205,0)),"Pers.-Nr. unbekannt",IF(A4553="","Datum fehlt",IF(AND(D4553&lt;&gt;Einstellungen!$C$4,D4553&lt;&gt;Einstellungen!$C$5),"Objekt fehlt",IF(YEAR(A4553)&lt;&gt;Einstellungen!$C$3,"anderes Jahr",IF(A4553&lt;INDEX(Mitarbeiter!$C$6:$C$205,MATCH(B4553,Mitarbeiter!$A$6:$A$205,0)),"vor Eintritt",IF(AND(INDEX(Mitarbeiter!$D$6:$D$205,MATCH(B4553,Mitarbeiter!$A$6:$A$205,0))&lt;&gt;"",A4553&gt;INDEX(Mitarbeiter!$D$6:$D$205,MATCH(B4553,Mitarbeiter!$A$6:$A$205,0))),"nach Austritt","ok")))))))</f>
        <v/>
      </c>
    </row>
    <row r="4554">
      <c r="A4554" s="26" t="n"/>
      <c r="B4554" s="24" t="n"/>
      <c r="C4554" s="40">
        <f>IF(B4554="","",IFERROR(INDEX(Mitarbeiter!$B$6:$B$205,MATCH(B4554,Mitarbeiter!$A$6:$A$205,0)),"?"))</f>
        <v/>
      </c>
      <c r="D4554" s="41" t="n"/>
      <c r="E4554" s="42" t="n"/>
      <c r="F4554" s="43" t="n"/>
      <c r="G4554" s="44">
        <f>IF(OR(B4554="",F4554=""),"",IFERROR(F4554*INDEX(Mitarbeiter!$F$6:$F$205,MATCH(B4554,Mitarbeiter!$A$6:$A$205,0)),0))</f>
        <v/>
      </c>
      <c r="H4554" s="8">
        <f>IF(B4554="","",IF(ISNA(MATCH(B4554,Mitarbeiter!$A$6:$A$205,0)),"Pers.-Nr. unbekannt",IF(A4554="","Datum fehlt",IF(AND(D4554&lt;&gt;Einstellungen!$C$4,D4554&lt;&gt;Einstellungen!$C$5),"Objekt fehlt",IF(YEAR(A4554)&lt;&gt;Einstellungen!$C$3,"anderes Jahr",IF(A4554&lt;INDEX(Mitarbeiter!$C$6:$C$205,MATCH(B4554,Mitarbeiter!$A$6:$A$205,0)),"vor Eintritt",IF(AND(INDEX(Mitarbeiter!$D$6:$D$205,MATCH(B4554,Mitarbeiter!$A$6:$A$205,0))&lt;&gt;"",A4554&gt;INDEX(Mitarbeiter!$D$6:$D$205,MATCH(B4554,Mitarbeiter!$A$6:$A$205,0))),"nach Austritt","ok")))))))</f>
        <v/>
      </c>
    </row>
    <row r="4555">
      <c r="A4555" s="26" t="n"/>
      <c r="B4555" s="24" t="n"/>
      <c r="C4555" s="40">
        <f>IF(B4555="","",IFERROR(INDEX(Mitarbeiter!$B$6:$B$205,MATCH(B4555,Mitarbeiter!$A$6:$A$205,0)),"?"))</f>
        <v/>
      </c>
      <c r="D4555" s="41" t="n"/>
      <c r="E4555" s="42" t="n"/>
      <c r="F4555" s="43" t="n"/>
      <c r="G4555" s="44">
        <f>IF(OR(B4555="",F4555=""),"",IFERROR(F4555*INDEX(Mitarbeiter!$F$6:$F$205,MATCH(B4555,Mitarbeiter!$A$6:$A$205,0)),0))</f>
        <v/>
      </c>
      <c r="H4555" s="8">
        <f>IF(B4555="","",IF(ISNA(MATCH(B4555,Mitarbeiter!$A$6:$A$205,0)),"Pers.-Nr. unbekannt",IF(A4555="","Datum fehlt",IF(AND(D4555&lt;&gt;Einstellungen!$C$4,D4555&lt;&gt;Einstellungen!$C$5),"Objekt fehlt",IF(YEAR(A4555)&lt;&gt;Einstellungen!$C$3,"anderes Jahr",IF(A4555&lt;INDEX(Mitarbeiter!$C$6:$C$205,MATCH(B4555,Mitarbeiter!$A$6:$A$205,0)),"vor Eintritt",IF(AND(INDEX(Mitarbeiter!$D$6:$D$205,MATCH(B4555,Mitarbeiter!$A$6:$A$205,0))&lt;&gt;"",A4555&gt;INDEX(Mitarbeiter!$D$6:$D$205,MATCH(B4555,Mitarbeiter!$A$6:$A$205,0))),"nach Austritt","ok")))))))</f>
        <v/>
      </c>
    </row>
    <row r="4556">
      <c r="A4556" s="26" t="n"/>
      <c r="B4556" s="24" t="n"/>
      <c r="C4556" s="40">
        <f>IF(B4556="","",IFERROR(INDEX(Mitarbeiter!$B$6:$B$205,MATCH(B4556,Mitarbeiter!$A$6:$A$205,0)),"?"))</f>
        <v/>
      </c>
      <c r="D4556" s="41" t="n"/>
      <c r="E4556" s="42" t="n"/>
      <c r="F4556" s="43" t="n"/>
      <c r="G4556" s="44">
        <f>IF(OR(B4556="",F4556=""),"",IFERROR(F4556*INDEX(Mitarbeiter!$F$6:$F$205,MATCH(B4556,Mitarbeiter!$A$6:$A$205,0)),0))</f>
        <v/>
      </c>
      <c r="H4556" s="8">
        <f>IF(B4556="","",IF(ISNA(MATCH(B4556,Mitarbeiter!$A$6:$A$205,0)),"Pers.-Nr. unbekannt",IF(A4556="","Datum fehlt",IF(AND(D4556&lt;&gt;Einstellungen!$C$4,D4556&lt;&gt;Einstellungen!$C$5),"Objekt fehlt",IF(YEAR(A4556)&lt;&gt;Einstellungen!$C$3,"anderes Jahr",IF(A4556&lt;INDEX(Mitarbeiter!$C$6:$C$205,MATCH(B4556,Mitarbeiter!$A$6:$A$205,0)),"vor Eintritt",IF(AND(INDEX(Mitarbeiter!$D$6:$D$205,MATCH(B4556,Mitarbeiter!$A$6:$A$205,0))&lt;&gt;"",A4556&gt;INDEX(Mitarbeiter!$D$6:$D$205,MATCH(B4556,Mitarbeiter!$A$6:$A$205,0))),"nach Austritt","ok")))))))</f>
        <v/>
      </c>
    </row>
    <row r="4557">
      <c r="A4557" s="26" t="n"/>
      <c r="B4557" s="24" t="n"/>
      <c r="C4557" s="40">
        <f>IF(B4557="","",IFERROR(INDEX(Mitarbeiter!$B$6:$B$205,MATCH(B4557,Mitarbeiter!$A$6:$A$205,0)),"?"))</f>
        <v/>
      </c>
      <c r="D4557" s="41" t="n"/>
      <c r="E4557" s="42" t="n"/>
      <c r="F4557" s="43" t="n"/>
      <c r="G4557" s="44">
        <f>IF(OR(B4557="",F4557=""),"",IFERROR(F4557*INDEX(Mitarbeiter!$F$6:$F$205,MATCH(B4557,Mitarbeiter!$A$6:$A$205,0)),0))</f>
        <v/>
      </c>
      <c r="H4557" s="8">
        <f>IF(B4557="","",IF(ISNA(MATCH(B4557,Mitarbeiter!$A$6:$A$205,0)),"Pers.-Nr. unbekannt",IF(A4557="","Datum fehlt",IF(AND(D4557&lt;&gt;Einstellungen!$C$4,D4557&lt;&gt;Einstellungen!$C$5),"Objekt fehlt",IF(YEAR(A4557)&lt;&gt;Einstellungen!$C$3,"anderes Jahr",IF(A4557&lt;INDEX(Mitarbeiter!$C$6:$C$205,MATCH(B4557,Mitarbeiter!$A$6:$A$205,0)),"vor Eintritt",IF(AND(INDEX(Mitarbeiter!$D$6:$D$205,MATCH(B4557,Mitarbeiter!$A$6:$A$205,0))&lt;&gt;"",A4557&gt;INDEX(Mitarbeiter!$D$6:$D$205,MATCH(B4557,Mitarbeiter!$A$6:$A$205,0))),"nach Austritt","ok")))))))</f>
        <v/>
      </c>
    </row>
    <row r="4558">
      <c r="A4558" s="26" t="n"/>
      <c r="B4558" s="24" t="n"/>
      <c r="C4558" s="40">
        <f>IF(B4558="","",IFERROR(INDEX(Mitarbeiter!$B$6:$B$205,MATCH(B4558,Mitarbeiter!$A$6:$A$205,0)),"?"))</f>
        <v/>
      </c>
      <c r="D4558" s="41" t="n"/>
      <c r="E4558" s="42" t="n"/>
      <c r="F4558" s="43" t="n"/>
      <c r="G4558" s="44">
        <f>IF(OR(B4558="",F4558=""),"",IFERROR(F4558*INDEX(Mitarbeiter!$F$6:$F$205,MATCH(B4558,Mitarbeiter!$A$6:$A$205,0)),0))</f>
        <v/>
      </c>
      <c r="H4558" s="8">
        <f>IF(B4558="","",IF(ISNA(MATCH(B4558,Mitarbeiter!$A$6:$A$205,0)),"Pers.-Nr. unbekannt",IF(A4558="","Datum fehlt",IF(AND(D4558&lt;&gt;Einstellungen!$C$4,D4558&lt;&gt;Einstellungen!$C$5),"Objekt fehlt",IF(YEAR(A4558)&lt;&gt;Einstellungen!$C$3,"anderes Jahr",IF(A4558&lt;INDEX(Mitarbeiter!$C$6:$C$205,MATCH(B4558,Mitarbeiter!$A$6:$A$205,0)),"vor Eintritt",IF(AND(INDEX(Mitarbeiter!$D$6:$D$205,MATCH(B4558,Mitarbeiter!$A$6:$A$205,0))&lt;&gt;"",A4558&gt;INDEX(Mitarbeiter!$D$6:$D$205,MATCH(B4558,Mitarbeiter!$A$6:$A$205,0))),"nach Austritt","ok")))))))</f>
        <v/>
      </c>
    </row>
    <row r="4559">
      <c r="A4559" s="26" t="n"/>
      <c r="B4559" s="24" t="n"/>
      <c r="C4559" s="40">
        <f>IF(B4559="","",IFERROR(INDEX(Mitarbeiter!$B$6:$B$205,MATCH(B4559,Mitarbeiter!$A$6:$A$205,0)),"?"))</f>
        <v/>
      </c>
      <c r="D4559" s="41" t="n"/>
      <c r="E4559" s="42" t="n"/>
      <c r="F4559" s="43" t="n"/>
      <c r="G4559" s="44">
        <f>IF(OR(B4559="",F4559=""),"",IFERROR(F4559*INDEX(Mitarbeiter!$F$6:$F$205,MATCH(B4559,Mitarbeiter!$A$6:$A$205,0)),0))</f>
        <v/>
      </c>
      <c r="H4559" s="8">
        <f>IF(B4559="","",IF(ISNA(MATCH(B4559,Mitarbeiter!$A$6:$A$205,0)),"Pers.-Nr. unbekannt",IF(A4559="","Datum fehlt",IF(AND(D4559&lt;&gt;Einstellungen!$C$4,D4559&lt;&gt;Einstellungen!$C$5),"Objekt fehlt",IF(YEAR(A4559)&lt;&gt;Einstellungen!$C$3,"anderes Jahr",IF(A4559&lt;INDEX(Mitarbeiter!$C$6:$C$205,MATCH(B4559,Mitarbeiter!$A$6:$A$205,0)),"vor Eintritt",IF(AND(INDEX(Mitarbeiter!$D$6:$D$205,MATCH(B4559,Mitarbeiter!$A$6:$A$205,0))&lt;&gt;"",A4559&gt;INDEX(Mitarbeiter!$D$6:$D$205,MATCH(B4559,Mitarbeiter!$A$6:$A$205,0))),"nach Austritt","ok")))))))</f>
        <v/>
      </c>
    </row>
    <row r="4560">
      <c r="A4560" s="26" t="n"/>
      <c r="B4560" s="24" t="n"/>
      <c r="C4560" s="40">
        <f>IF(B4560="","",IFERROR(INDEX(Mitarbeiter!$B$6:$B$205,MATCH(B4560,Mitarbeiter!$A$6:$A$205,0)),"?"))</f>
        <v/>
      </c>
      <c r="D4560" s="41" t="n"/>
      <c r="E4560" s="42" t="n"/>
      <c r="F4560" s="43" t="n"/>
      <c r="G4560" s="44">
        <f>IF(OR(B4560="",F4560=""),"",IFERROR(F4560*INDEX(Mitarbeiter!$F$6:$F$205,MATCH(B4560,Mitarbeiter!$A$6:$A$205,0)),0))</f>
        <v/>
      </c>
      <c r="H4560" s="8">
        <f>IF(B4560="","",IF(ISNA(MATCH(B4560,Mitarbeiter!$A$6:$A$205,0)),"Pers.-Nr. unbekannt",IF(A4560="","Datum fehlt",IF(AND(D4560&lt;&gt;Einstellungen!$C$4,D4560&lt;&gt;Einstellungen!$C$5),"Objekt fehlt",IF(YEAR(A4560)&lt;&gt;Einstellungen!$C$3,"anderes Jahr",IF(A4560&lt;INDEX(Mitarbeiter!$C$6:$C$205,MATCH(B4560,Mitarbeiter!$A$6:$A$205,0)),"vor Eintritt",IF(AND(INDEX(Mitarbeiter!$D$6:$D$205,MATCH(B4560,Mitarbeiter!$A$6:$A$205,0))&lt;&gt;"",A4560&gt;INDEX(Mitarbeiter!$D$6:$D$205,MATCH(B4560,Mitarbeiter!$A$6:$A$205,0))),"nach Austritt","ok")))))))</f>
        <v/>
      </c>
    </row>
    <row r="4561">
      <c r="A4561" s="26" t="n"/>
      <c r="B4561" s="24" t="n"/>
      <c r="C4561" s="40">
        <f>IF(B4561="","",IFERROR(INDEX(Mitarbeiter!$B$6:$B$205,MATCH(B4561,Mitarbeiter!$A$6:$A$205,0)),"?"))</f>
        <v/>
      </c>
      <c r="D4561" s="41" t="n"/>
      <c r="E4561" s="42" t="n"/>
      <c r="F4561" s="43" t="n"/>
      <c r="G4561" s="44">
        <f>IF(OR(B4561="",F4561=""),"",IFERROR(F4561*INDEX(Mitarbeiter!$F$6:$F$205,MATCH(B4561,Mitarbeiter!$A$6:$A$205,0)),0))</f>
        <v/>
      </c>
      <c r="H4561" s="8">
        <f>IF(B4561="","",IF(ISNA(MATCH(B4561,Mitarbeiter!$A$6:$A$205,0)),"Pers.-Nr. unbekannt",IF(A4561="","Datum fehlt",IF(AND(D4561&lt;&gt;Einstellungen!$C$4,D4561&lt;&gt;Einstellungen!$C$5),"Objekt fehlt",IF(YEAR(A4561)&lt;&gt;Einstellungen!$C$3,"anderes Jahr",IF(A4561&lt;INDEX(Mitarbeiter!$C$6:$C$205,MATCH(B4561,Mitarbeiter!$A$6:$A$205,0)),"vor Eintritt",IF(AND(INDEX(Mitarbeiter!$D$6:$D$205,MATCH(B4561,Mitarbeiter!$A$6:$A$205,0))&lt;&gt;"",A4561&gt;INDEX(Mitarbeiter!$D$6:$D$205,MATCH(B4561,Mitarbeiter!$A$6:$A$205,0))),"nach Austritt","ok")))))))</f>
        <v/>
      </c>
    </row>
    <row r="4562">
      <c r="A4562" s="26" t="n"/>
      <c r="B4562" s="24" t="n"/>
      <c r="C4562" s="40">
        <f>IF(B4562="","",IFERROR(INDEX(Mitarbeiter!$B$6:$B$205,MATCH(B4562,Mitarbeiter!$A$6:$A$205,0)),"?"))</f>
        <v/>
      </c>
      <c r="D4562" s="41" t="n"/>
      <c r="E4562" s="42" t="n"/>
      <c r="F4562" s="43" t="n"/>
      <c r="G4562" s="44">
        <f>IF(OR(B4562="",F4562=""),"",IFERROR(F4562*INDEX(Mitarbeiter!$F$6:$F$205,MATCH(B4562,Mitarbeiter!$A$6:$A$205,0)),0))</f>
        <v/>
      </c>
      <c r="H4562" s="8">
        <f>IF(B4562="","",IF(ISNA(MATCH(B4562,Mitarbeiter!$A$6:$A$205,0)),"Pers.-Nr. unbekannt",IF(A4562="","Datum fehlt",IF(AND(D4562&lt;&gt;Einstellungen!$C$4,D4562&lt;&gt;Einstellungen!$C$5),"Objekt fehlt",IF(YEAR(A4562)&lt;&gt;Einstellungen!$C$3,"anderes Jahr",IF(A4562&lt;INDEX(Mitarbeiter!$C$6:$C$205,MATCH(B4562,Mitarbeiter!$A$6:$A$205,0)),"vor Eintritt",IF(AND(INDEX(Mitarbeiter!$D$6:$D$205,MATCH(B4562,Mitarbeiter!$A$6:$A$205,0))&lt;&gt;"",A4562&gt;INDEX(Mitarbeiter!$D$6:$D$205,MATCH(B4562,Mitarbeiter!$A$6:$A$205,0))),"nach Austritt","ok")))))))</f>
        <v/>
      </c>
    </row>
    <row r="4563">
      <c r="A4563" s="26" t="n"/>
      <c r="B4563" s="24" t="n"/>
      <c r="C4563" s="40">
        <f>IF(B4563="","",IFERROR(INDEX(Mitarbeiter!$B$6:$B$205,MATCH(B4563,Mitarbeiter!$A$6:$A$205,0)),"?"))</f>
        <v/>
      </c>
      <c r="D4563" s="41" t="n"/>
      <c r="E4563" s="42" t="n"/>
      <c r="F4563" s="43" t="n"/>
      <c r="G4563" s="44">
        <f>IF(OR(B4563="",F4563=""),"",IFERROR(F4563*INDEX(Mitarbeiter!$F$6:$F$205,MATCH(B4563,Mitarbeiter!$A$6:$A$205,0)),0))</f>
        <v/>
      </c>
      <c r="H4563" s="8">
        <f>IF(B4563="","",IF(ISNA(MATCH(B4563,Mitarbeiter!$A$6:$A$205,0)),"Pers.-Nr. unbekannt",IF(A4563="","Datum fehlt",IF(AND(D4563&lt;&gt;Einstellungen!$C$4,D4563&lt;&gt;Einstellungen!$C$5),"Objekt fehlt",IF(YEAR(A4563)&lt;&gt;Einstellungen!$C$3,"anderes Jahr",IF(A4563&lt;INDEX(Mitarbeiter!$C$6:$C$205,MATCH(B4563,Mitarbeiter!$A$6:$A$205,0)),"vor Eintritt",IF(AND(INDEX(Mitarbeiter!$D$6:$D$205,MATCH(B4563,Mitarbeiter!$A$6:$A$205,0))&lt;&gt;"",A4563&gt;INDEX(Mitarbeiter!$D$6:$D$205,MATCH(B4563,Mitarbeiter!$A$6:$A$205,0))),"nach Austritt","ok")))))))</f>
        <v/>
      </c>
    </row>
    <row r="4564">
      <c r="A4564" s="26" t="n"/>
      <c r="B4564" s="24" t="n"/>
      <c r="C4564" s="40">
        <f>IF(B4564="","",IFERROR(INDEX(Mitarbeiter!$B$6:$B$205,MATCH(B4564,Mitarbeiter!$A$6:$A$205,0)),"?"))</f>
        <v/>
      </c>
      <c r="D4564" s="41" t="n"/>
      <c r="E4564" s="42" t="n"/>
      <c r="F4564" s="43" t="n"/>
      <c r="G4564" s="44">
        <f>IF(OR(B4564="",F4564=""),"",IFERROR(F4564*INDEX(Mitarbeiter!$F$6:$F$205,MATCH(B4564,Mitarbeiter!$A$6:$A$205,0)),0))</f>
        <v/>
      </c>
      <c r="H4564" s="8">
        <f>IF(B4564="","",IF(ISNA(MATCH(B4564,Mitarbeiter!$A$6:$A$205,0)),"Pers.-Nr. unbekannt",IF(A4564="","Datum fehlt",IF(AND(D4564&lt;&gt;Einstellungen!$C$4,D4564&lt;&gt;Einstellungen!$C$5),"Objekt fehlt",IF(YEAR(A4564)&lt;&gt;Einstellungen!$C$3,"anderes Jahr",IF(A4564&lt;INDEX(Mitarbeiter!$C$6:$C$205,MATCH(B4564,Mitarbeiter!$A$6:$A$205,0)),"vor Eintritt",IF(AND(INDEX(Mitarbeiter!$D$6:$D$205,MATCH(B4564,Mitarbeiter!$A$6:$A$205,0))&lt;&gt;"",A4564&gt;INDEX(Mitarbeiter!$D$6:$D$205,MATCH(B4564,Mitarbeiter!$A$6:$A$205,0))),"nach Austritt","ok")))))))</f>
        <v/>
      </c>
    </row>
    <row r="4565">
      <c r="A4565" s="26" t="n"/>
      <c r="B4565" s="24" t="n"/>
      <c r="C4565" s="40">
        <f>IF(B4565="","",IFERROR(INDEX(Mitarbeiter!$B$6:$B$205,MATCH(B4565,Mitarbeiter!$A$6:$A$205,0)),"?"))</f>
        <v/>
      </c>
      <c r="D4565" s="41" t="n"/>
      <c r="E4565" s="42" t="n"/>
      <c r="F4565" s="43" t="n"/>
      <c r="G4565" s="44">
        <f>IF(OR(B4565="",F4565=""),"",IFERROR(F4565*INDEX(Mitarbeiter!$F$6:$F$205,MATCH(B4565,Mitarbeiter!$A$6:$A$205,0)),0))</f>
        <v/>
      </c>
      <c r="H4565" s="8">
        <f>IF(B4565="","",IF(ISNA(MATCH(B4565,Mitarbeiter!$A$6:$A$205,0)),"Pers.-Nr. unbekannt",IF(A4565="","Datum fehlt",IF(AND(D4565&lt;&gt;Einstellungen!$C$4,D4565&lt;&gt;Einstellungen!$C$5),"Objekt fehlt",IF(YEAR(A4565)&lt;&gt;Einstellungen!$C$3,"anderes Jahr",IF(A4565&lt;INDEX(Mitarbeiter!$C$6:$C$205,MATCH(B4565,Mitarbeiter!$A$6:$A$205,0)),"vor Eintritt",IF(AND(INDEX(Mitarbeiter!$D$6:$D$205,MATCH(B4565,Mitarbeiter!$A$6:$A$205,0))&lt;&gt;"",A4565&gt;INDEX(Mitarbeiter!$D$6:$D$205,MATCH(B4565,Mitarbeiter!$A$6:$A$205,0))),"nach Austritt","ok")))))))</f>
        <v/>
      </c>
    </row>
    <row r="4566">
      <c r="A4566" s="26" t="n"/>
      <c r="B4566" s="24" t="n"/>
      <c r="C4566" s="40">
        <f>IF(B4566="","",IFERROR(INDEX(Mitarbeiter!$B$6:$B$205,MATCH(B4566,Mitarbeiter!$A$6:$A$205,0)),"?"))</f>
        <v/>
      </c>
      <c r="D4566" s="41" t="n"/>
      <c r="E4566" s="42" t="n"/>
      <c r="F4566" s="43" t="n"/>
      <c r="G4566" s="44">
        <f>IF(OR(B4566="",F4566=""),"",IFERROR(F4566*INDEX(Mitarbeiter!$F$6:$F$205,MATCH(B4566,Mitarbeiter!$A$6:$A$205,0)),0))</f>
        <v/>
      </c>
      <c r="H4566" s="8">
        <f>IF(B4566="","",IF(ISNA(MATCH(B4566,Mitarbeiter!$A$6:$A$205,0)),"Pers.-Nr. unbekannt",IF(A4566="","Datum fehlt",IF(AND(D4566&lt;&gt;Einstellungen!$C$4,D4566&lt;&gt;Einstellungen!$C$5),"Objekt fehlt",IF(YEAR(A4566)&lt;&gt;Einstellungen!$C$3,"anderes Jahr",IF(A4566&lt;INDEX(Mitarbeiter!$C$6:$C$205,MATCH(B4566,Mitarbeiter!$A$6:$A$205,0)),"vor Eintritt",IF(AND(INDEX(Mitarbeiter!$D$6:$D$205,MATCH(B4566,Mitarbeiter!$A$6:$A$205,0))&lt;&gt;"",A4566&gt;INDEX(Mitarbeiter!$D$6:$D$205,MATCH(B4566,Mitarbeiter!$A$6:$A$205,0))),"nach Austritt","ok")))))))</f>
        <v/>
      </c>
    </row>
    <row r="4567">
      <c r="A4567" s="26" t="n"/>
      <c r="B4567" s="24" t="n"/>
      <c r="C4567" s="40">
        <f>IF(B4567="","",IFERROR(INDEX(Mitarbeiter!$B$6:$B$205,MATCH(B4567,Mitarbeiter!$A$6:$A$205,0)),"?"))</f>
        <v/>
      </c>
      <c r="D4567" s="41" t="n"/>
      <c r="E4567" s="42" t="n"/>
      <c r="F4567" s="43" t="n"/>
      <c r="G4567" s="44">
        <f>IF(OR(B4567="",F4567=""),"",IFERROR(F4567*INDEX(Mitarbeiter!$F$6:$F$205,MATCH(B4567,Mitarbeiter!$A$6:$A$205,0)),0))</f>
        <v/>
      </c>
      <c r="H4567" s="8">
        <f>IF(B4567="","",IF(ISNA(MATCH(B4567,Mitarbeiter!$A$6:$A$205,0)),"Pers.-Nr. unbekannt",IF(A4567="","Datum fehlt",IF(AND(D4567&lt;&gt;Einstellungen!$C$4,D4567&lt;&gt;Einstellungen!$C$5),"Objekt fehlt",IF(YEAR(A4567)&lt;&gt;Einstellungen!$C$3,"anderes Jahr",IF(A4567&lt;INDEX(Mitarbeiter!$C$6:$C$205,MATCH(B4567,Mitarbeiter!$A$6:$A$205,0)),"vor Eintritt",IF(AND(INDEX(Mitarbeiter!$D$6:$D$205,MATCH(B4567,Mitarbeiter!$A$6:$A$205,0))&lt;&gt;"",A4567&gt;INDEX(Mitarbeiter!$D$6:$D$205,MATCH(B4567,Mitarbeiter!$A$6:$A$205,0))),"nach Austritt","ok")))))))</f>
        <v/>
      </c>
    </row>
    <row r="4568">
      <c r="A4568" s="26" t="n"/>
      <c r="B4568" s="24" t="n"/>
      <c r="C4568" s="40">
        <f>IF(B4568="","",IFERROR(INDEX(Mitarbeiter!$B$6:$B$205,MATCH(B4568,Mitarbeiter!$A$6:$A$205,0)),"?"))</f>
        <v/>
      </c>
      <c r="D4568" s="41" t="n"/>
      <c r="E4568" s="42" t="n"/>
      <c r="F4568" s="43" t="n"/>
      <c r="G4568" s="44">
        <f>IF(OR(B4568="",F4568=""),"",IFERROR(F4568*INDEX(Mitarbeiter!$F$6:$F$205,MATCH(B4568,Mitarbeiter!$A$6:$A$205,0)),0))</f>
        <v/>
      </c>
      <c r="H4568" s="8">
        <f>IF(B4568="","",IF(ISNA(MATCH(B4568,Mitarbeiter!$A$6:$A$205,0)),"Pers.-Nr. unbekannt",IF(A4568="","Datum fehlt",IF(AND(D4568&lt;&gt;Einstellungen!$C$4,D4568&lt;&gt;Einstellungen!$C$5),"Objekt fehlt",IF(YEAR(A4568)&lt;&gt;Einstellungen!$C$3,"anderes Jahr",IF(A4568&lt;INDEX(Mitarbeiter!$C$6:$C$205,MATCH(B4568,Mitarbeiter!$A$6:$A$205,0)),"vor Eintritt",IF(AND(INDEX(Mitarbeiter!$D$6:$D$205,MATCH(B4568,Mitarbeiter!$A$6:$A$205,0))&lt;&gt;"",A4568&gt;INDEX(Mitarbeiter!$D$6:$D$205,MATCH(B4568,Mitarbeiter!$A$6:$A$205,0))),"nach Austritt","ok")))))))</f>
        <v/>
      </c>
    </row>
    <row r="4569">
      <c r="A4569" s="26" t="n"/>
      <c r="B4569" s="24" t="n"/>
      <c r="C4569" s="40">
        <f>IF(B4569="","",IFERROR(INDEX(Mitarbeiter!$B$6:$B$205,MATCH(B4569,Mitarbeiter!$A$6:$A$205,0)),"?"))</f>
        <v/>
      </c>
      <c r="D4569" s="41" t="n"/>
      <c r="E4569" s="42" t="n"/>
      <c r="F4569" s="43" t="n"/>
      <c r="G4569" s="44">
        <f>IF(OR(B4569="",F4569=""),"",IFERROR(F4569*INDEX(Mitarbeiter!$F$6:$F$205,MATCH(B4569,Mitarbeiter!$A$6:$A$205,0)),0))</f>
        <v/>
      </c>
      <c r="H4569" s="8">
        <f>IF(B4569="","",IF(ISNA(MATCH(B4569,Mitarbeiter!$A$6:$A$205,0)),"Pers.-Nr. unbekannt",IF(A4569="","Datum fehlt",IF(AND(D4569&lt;&gt;Einstellungen!$C$4,D4569&lt;&gt;Einstellungen!$C$5),"Objekt fehlt",IF(YEAR(A4569)&lt;&gt;Einstellungen!$C$3,"anderes Jahr",IF(A4569&lt;INDEX(Mitarbeiter!$C$6:$C$205,MATCH(B4569,Mitarbeiter!$A$6:$A$205,0)),"vor Eintritt",IF(AND(INDEX(Mitarbeiter!$D$6:$D$205,MATCH(B4569,Mitarbeiter!$A$6:$A$205,0))&lt;&gt;"",A4569&gt;INDEX(Mitarbeiter!$D$6:$D$205,MATCH(B4569,Mitarbeiter!$A$6:$A$205,0))),"nach Austritt","ok")))))))</f>
        <v/>
      </c>
    </row>
    <row r="4570">
      <c r="A4570" s="26" t="n"/>
      <c r="B4570" s="24" t="n"/>
      <c r="C4570" s="40">
        <f>IF(B4570="","",IFERROR(INDEX(Mitarbeiter!$B$6:$B$205,MATCH(B4570,Mitarbeiter!$A$6:$A$205,0)),"?"))</f>
        <v/>
      </c>
      <c r="D4570" s="41" t="n"/>
      <c r="E4570" s="42" t="n"/>
      <c r="F4570" s="43" t="n"/>
      <c r="G4570" s="44">
        <f>IF(OR(B4570="",F4570=""),"",IFERROR(F4570*INDEX(Mitarbeiter!$F$6:$F$205,MATCH(B4570,Mitarbeiter!$A$6:$A$205,0)),0))</f>
        <v/>
      </c>
      <c r="H4570" s="8">
        <f>IF(B4570="","",IF(ISNA(MATCH(B4570,Mitarbeiter!$A$6:$A$205,0)),"Pers.-Nr. unbekannt",IF(A4570="","Datum fehlt",IF(AND(D4570&lt;&gt;Einstellungen!$C$4,D4570&lt;&gt;Einstellungen!$C$5),"Objekt fehlt",IF(YEAR(A4570)&lt;&gt;Einstellungen!$C$3,"anderes Jahr",IF(A4570&lt;INDEX(Mitarbeiter!$C$6:$C$205,MATCH(B4570,Mitarbeiter!$A$6:$A$205,0)),"vor Eintritt",IF(AND(INDEX(Mitarbeiter!$D$6:$D$205,MATCH(B4570,Mitarbeiter!$A$6:$A$205,0))&lt;&gt;"",A4570&gt;INDEX(Mitarbeiter!$D$6:$D$205,MATCH(B4570,Mitarbeiter!$A$6:$A$205,0))),"nach Austritt","ok")))))))</f>
        <v/>
      </c>
    </row>
    <row r="4571">
      <c r="A4571" s="26" t="n"/>
      <c r="B4571" s="24" t="n"/>
      <c r="C4571" s="40">
        <f>IF(B4571="","",IFERROR(INDEX(Mitarbeiter!$B$6:$B$205,MATCH(B4571,Mitarbeiter!$A$6:$A$205,0)),"?"))</f>
        <v/>
      </c>
      <c r="D4571" s="41" t="n"/>
      <c r="E4571" s="42" t="n"/>
      <c r="F4571" s="43" t="n"/>
      <c r="G4571" s="44">
        <f>IF(OR(B4571="",F4571=""),"",IFERROR(F4571*INDEX(Mitarbeiter!$F$6:$F$205,MATCH(B4571,Mitarbeiter!$A$6:$A$205,0)),0))</f>
        <v/>
      </c>
      <c r="H4571" s="8">
        <f>IF(B4571="","",IF(ISNA(MATCH(B4571,Mitarbeiter!$A$6:$A$205,0)),"Pers.-Nr. unbekannt",IF(A4571="","Datum fehlt",IF(AND(D4571&lt;&gt;Einstellungen!$C$4,D4571&lt;&gt;Einstellungen!$C$5),"Objekt fehlt",IF(YEAR(A4571)&lt;&gt;Einstellungen!$C$3,"anderes Jahr",IF(A4571&lt;INDEX(Mitarbeiter!$C$6:$C$205,MATCH(B4571,Mitarbeiter!$A$6:$A$205,0)),"vor Eintritt",IF(AND(INDEX(Mitarbeiter!$D$6:$D$205,MATCH(B4571,Mitarbeiter!$A$6:$A$205,0))&lt;&gt;"",A4571&gt;INDEX(Mitarbeiter!$D$6:$D$205,MATCH(B4571,Mitarbeiter!$A$6:$A$205,0))),"nach Austritt","ok")))))))</f>
        <v/>
      </c>
    </row>
    <row r="4572">
      <c r="A4572" s="26" t="n"/>
      <c r="B4572" s="24" t="n"/>
      <c r="C4572" s="40">
        <f>IF(B4572="","",IFERROR(INDEX(Mitarbeiter!$B$6:$B$205,MATCH(B4572,Mitarbeiter!$A$6:$A$205,0)),"?"))</f>
        <v/>
      </c>
      <c r="D4572" s="41" t="n"/>
      <c r="E4572" s="42" t="n"/>
      <c r="F4572" s="43" t="n"/>
      <c r="G4572" s="44">
        <f>IF(OR(B4572="",F4572=""),"",IFERROR(F4572*INDEX(Mitarbeiter!$F$6:$F$205,MATCH(B4572,Mitarbeiter!$A$6:$A$205,0)),0))</f>
        <v/>
      </c>
      <c r="H4572" s="8">
        <f>IF(B4572="","",IF(ISNA(MATCH(B4572,Mitarbeiter!$A$6:$A$205,0)),"Pers.-Nr. unbekannt",IF(A4572="","Datum fehlt",IF(AND(D4572&lt;&gt;Einstellungen!$C$4,D4572&lt;&gt;Einstellungen!$C$5),"Objekt fehlt",IF(YEAR(A4572)&lt;&gt;Einstellungen!$C$3,"anderes Jahr",IF(A4572&lt;INDEX(Mitarbeiter!$C$6:$C$205,MATCH(B4572,Mitarbeiter!$A$6:$A$205,0)),"vor Eintritt",IF(AND(INDEX(Mitarbeiter!$D$6:$D$205,MATCH(B4572,Mitarbeiter!$A$6:$A$205,0))&lt;&gt;"",A4572&gt;INDEX(Mitarbeiter!$D$6:$D$205,MATCH(B4572,Mitarbeiter!$A$6:$A$205,0))),"nach Austritt","ok")))))))</f>
        <v/>
      </c>
    </row>
    <row r="4573">
      <c r="A4573" s="26" t="n"/>
      <c r="B4573" s="24" t="n"/>
      <c r="C4573" s="40">
        <f>IF(B4573="","",IFERROR(INDEX(Mitarbeiter!$B$6:$B$205,MATCH(B4573,Mitarbeiter!$A$6:$A$205,0)),"?"))</f>
        <v/>
      </c>
      <c r="D4573" s="41" t="n"/>
      <c r="E4573" s="42" t="n"/>
      <c r="F4573" s="43" t="n"/>
      <c r="G4573" s="44">
        <f>IF(OR(B4573="",F4573=""),"",IFERROR(F4573*INDEX(Mitarbeiter!$F$6:$F$205,MATCH(B4573,Mitarbeiter!$A$6:$A$205,0)),0))</f>
        <v/>
      </c>
      <c r="H4573" s="8">
        <f>IF(B4573="","",IF(ISNA(MATCH(B4573,Mitarbeiter!$A$6:$A$205,0)),"Pers.-Nr. unbekannt",IF(A4573="","Datum fehlt",IF(AND(D4573&lt;&gt;Einstellungen!$C$4,D4573&lt;&gt;Einstellungen!$C$5),"Objekt fehlt",IF(YEAR(A4573)&lt;&gt;Einstellungen!$C$3,"anderes Jahr",IF(A4573&lt;INDEX(Mitarbeiter!$C$6:$C$205,MATCH(B4573,Mitarbeiter!$A$6:$A$205,0)),"vor Eintritt",IF(AND(INDEX(Mitarbeiter!$D$6:$D$205,MATCH(B4573,Mitarbeiter!$A$6:$A$205,0))&lt;&gt;"",A4573&gt;INDEX(Mitarbeiter!$D$6:$D$205,MATCH(B4573,Mitarbeiter!$A$6:$A$205,0))),"nach Austritt","ok")))))))</f>
        <v/>
      </c>
    </row>
    <row r="4574">
      <c r="A4574" s="26" t="n"/>
      <c r="B4574" s="24" t="n"/>
      <c r="C4574" s="40">
        <f>IF(B4574="","",IFERROR(INDEX(Mitarbeiter!$B$6:$B$205,MATCH(B4574,Mitarbeiter!$A$6:$A$205,0)),"?"))</f>
        <v/>
      </c>
      <c r="D4574" s="41" t="n"/>
      <c r="E4574" s="42" t="n"/>
      <c r="F4574" s="43" t="n"/>
      <c r="G4574" s="44">
        <f>IF(OR(B4574="",F4574=""),"",IFERROR(F4574*INDEX(Mitarbeiter!$F$6:$F$205,MATCH(B4574,Mitarbeiter!$A$6:$A$205,0)),0))</f>
        <v/>
      </c>
      <c r="H4574" s="8">
        <f>IF(B4574="","",IF(ISNA(MATCH(B4574,Mitarbeiter!$A$6:$A$205,0)),"Pers.-Nr. unbekannt",IF(A4574="","Datum fehlt",IF(AND(D4574&lt;&gt;Einstellungen!$C$4,D4574&lt;&gt;Einstellungen!$C$5),"Objekt fehlt",IF(YEAR(A4574)&lt;&gt;Einstellungen!$C$3,"anderes Jahr",IF(A4574&lt;INDEX(Mitarbeiter!$C$6:$C$205,MATCH(B4574,Mitarbeiter!$A$6:$A$205,0)),"vor Eintritt",IF(AND(INDEX(Mitarbeiter!$D$6:$D$205,MATCH(B4574,Mitarbeiter!$A$6:$A$205,0))&lt;&gt;"",A4574&gt;INDEX(Mitarbeiter!$D$6:$D$205,MATCH(B4574,Mitarbeiter!$A$6:$A$205,0))),"nach Austritt","ok")))))))</f>
        <v/>
      </c>
    </row>
    <row r="4575">
      <c r="A4575" s="26" t="n"/>
      <c r="B4575" s="24" t="n"/>
      <c r="C4575" s="40">
        <f>IF(B4575="","",IFERROR(INDEX(Mitarbeiter!$B$6:$B$205,MATCH(B4575,Mitarbeiter!$A$6:$A$205,0)),"?"))</f>
        <v/>
      </c>
      <c r="D4575" s="41" t="n"/>
      <c r="E4575" s="42" t="n"/>
      <c r="F4575" s="43" t="n"/>
      <c r="G4575" s="44">
        <f>IF(OR(B4575="",F4575=""),"",IFERROR(F4575*INDEX(Mitarbeiter!$F$6:$F$205,MATCH(B4575,Mitarbeiter!$A$6:$A$205,0)),0))</f>
        <v/>
      </c>
      <c r="H4575" s="8">
        <f>IF(B4575="","",IF(ISNA(MATCH(B4575,Mitarbeiter!$A$6:$A$205,0)),"Pers.-Nr. unbekannt",IF(A4575="","Datum fehlt",IF(AND(D4575&lt;&gt;Einstellungen!$C$4,D4575&lt;&gt;Einstellungen!$C$5),"Objekt fehlt",IF(YEAR(A4575)&lt;&gt;Einstellungen!$C$3,"anderes Jahr",IF(A4575&lt;INDEX(Mitarbeiter!$C$6:$C$205,MATCH(B4575,Mitarbeiter!$A$6:$A$205,0)),"vor Eintritt",IF(AND(INDEX(Mitarbeiter!$D$6:$D$205,MATCH(B4575,Mitarbeiter!$A$6:$A$205,0))&lt;&gt;"",A4575&gt;INDEX(Mitarbeiter!$D$6:$D$205,MATCH(B4575,Mitarbeiter!$A$6:$A$205,0))),"nach Austritt","ok")))))))</f>
        <v/>
      </c>
    </row>
    <row r="4576">
      <c r="A4576" s="26" t="n"/>
      <c r="B4576" s="24" t="n"/>
      <c r="C4576" s="40">
        <f>IF(B4576="","",IFERROR(INDEX(Mitarbeiter!$B$6:$B$205,MATCH(B4576,Mitarbeiter!$A$6:$A$205,0)),"?"))</f>
        <v/>
      </c>
      <c r="D4576" s="41" t="n"/>
      <c r="E4576" s="42" t="n"/>
      <c r="F4576" s="43" t="n"/>
      <c r="G4576" s="44">
        <f>IF(OR(B4576="",F4576=""),"",IFERROR(F4576*INDEX(Mitarbeiter!$F$6:$F$205,MATCH(B4576,Mitarbeiter!$A$6:$A$205,0)),0))</f>
        <v/>
      </c>
      <c r="H4576" s="8">
        <f>IF(B4576="","",IF(ISNA(MATCH(B4576,Mitarbeiter!$A$6:$A$205,0)),"Pers.-Nr. unbekannt",IF(A4576="","Datum fehlt",IF(AND(D4576&lt;&gt;Einstellungen!$C$4,D4576&lt;&gt;Einstellungen!$C$5),"Objekt fehlt",IF(YEAR(A4576)&lt;&gt;Einstellungen!$C$3,"anderes Jahr",IF(A4576&lt;INDEX(Mitarbeiter!$C$6:$C$205,MATCH(B4576,Mitarbeiter!$A$6:$A$205,0)),"vor Eintritt",IF(AND(INDEX(Mitarbeiter!$D$6:$D$205,MATCH(B4576,Mitarbeiter!$A$6:$A$205,0))&lt;&gt;"",A4576&gt;INDEX(Mitarbeiter!$D$6:$D$205,MATCH(B4576,Mitarbeiter!$A$6:$A$205,0))),"nach Austritt","ok")))))))</f>
        <v/>
      </c>
    </row>
    <row r="4577">
      <c r="A4577" s="26" t="n"/>
      <c r="B4577" s="24" t="n"/>
      <c r="C4577" s="40">
        <f>IF(B4577="","",IFERROR(INDEX(Mitarbeiter!$B$6:$B$205,MATCH(B4577,Mitarbeiter!$A$6:$A$205,0)),"?"))</f>
        <v/>
      </c>
      <c r="D4577" s="41" t="n"/>
      <c r="E4577" s="42" t="n"/>
      <c r="F4577" s="43" t="n"/>
      <c r="G4577" s="44">
        <f>IF(OR(B4577="",F4577=""),"",IFERROR(F4577*INDEX(Mitarbeiter!$F$6:$F$205,MATCH(B4577,Mitarbeiter!$A$6:$A$205,0)),0))</f>
        <v/>
      </c>
      <c r="H4577" s="8">
        <f>IF(B4577="","",IF(ISNA(MATCH(B4577,Mitarbeiter!$A$6:$A$205,0)),"Pers.-Nr. unbekannt",IF(A4577="","Datum fehlt",IF(AND(D4577&lt;&gt;Einstellungen!$C$4,D4577&lt;&gt;Einstellungen!$C$5),"Objekt fehlt",IF(YEAR(A4577)&lt;&gt;Einstellungen!$C$3,"anderes Jahr",IF(A4577&lt;INDEX(Mitarbeiter!$C$6:$C$205,MATCH(B4577,Mitarbeiter!$A$6:$A$205,0)),"vor Eintritt",IF(AND(INDEX(Mitarbeiter!$D$6:$D$205,MATCH(B4577,Mitarbeiter!$A$6:$A$205,0))&lt;&gt;"",A4577&gt;INDEX(Mitarbeiter!$D$6:$D$205,MATCH(B4577,Mitarbeiter!$A$6:$A$205,0))),"nach Austritt","ok")))))))</f>
        <v/>
      </c>
    </row>
    <row r="4578">
      <c r="A4578" s="26" t="n"/>
      <c r="B4578" s="24" t="n"/>
      <c r="C4578" s="40">
        <f>IF(B4578="","",IFERROR(INDEX(Mitarbeiter!$B$6:$B$205,MATCH(B4578,Mitarbeiter!$A$6:$A$205,0)),"?"))</f>
        <v/>
      </c>
      <c r="D4578" s="41" t="n"/>
      <c r="E4578" s="42" t="n"/>
      <c r="F4578" s="43" t="n"/>
      <c r="G4578" s="44">
        <f>IF(OR(B4578="",F4578=""),"",IFERROR(F4578*INDEX(Mitarbeiter!$F$6:$F$205,MATCH(B4578,Mitarbeiter!$A$6:$A$205,0)),0))</f>
        <v/>
      </c>
      <c r="H4578" s="8">
        <f>IF(B4578="","",IF(ISNA(MATCH(B4578,Mitarbeiter!$A$6:$A$205,0)),"Pers.-Nr. unbekannt",IF(A4578="","Datum fehlt",IF(AND(D4578&lt;&gt;Einstellungen!$C$4,D4578&lt;&gt;Einstellungen!$C$5),"Objekt fehlt",IF(YEAR(A4578)&lt;&gt;Einstellungen!$C$3,"anderes Jahr",IF(A4578&lt;INDEX(Mitarbeiter!$C$6:$C$205,MATCH(B4578,Mitarbeiter!$A$6:$A$205,0)),"vor Eintritt",IF(AND(INDEX(Mitarbeiter!$D$6:$D$205,MATCH(B4578,Mitarbeiter!$A$6:$A$205,0))&lt;&gt;"",A4578&gt;INDEX(Mitarbeiter!$D$6:$D$205,MATCH(B4578,Mitarbeiter!$A$6:$A$205,0))),"nach Austritt","ok")))))))</f>
        <v/>
      </c>
    </row>
    <row r="4579">
      <c r="A4579" s="26" t="n"/>
      <c r="B4579" s="24" t="n"/>
      <c r="C4579" s="40">
        <f>IF(B4579="","",IFERROR(INDEX(Mitarbeiter!$B$6:$B$205,MATCH(B4579,Mitarbeiter!$A$6:$A$205,0)),"?"))</f>
        <v/>
      </c>
      <c r="D4579" s="41" t="n"/>
      <c r="E4579" s="42" t="n"/>
      <c r="F4579" s="43" t="n"/>
      <c r="G4579" s="44">
        <f>IF(OR(B4579="",F4579=""),"",IFERROR(F4579*INDEX(Mitarbeiter!$F$6:$F$205,MATCH(B4579,Mitarbeiter!$A$6:$A$205,0)),0))</f>
        <v/>
      </c>
      <c r="H4579" s="8">
        <f>IF(B4579="","",IF(ISNA(MATCH(B4579,Mitarbeiter!$A$6:$A$205,0)),"Pers.-Nr. unbekannt",IF(A4579="","Datum fehlt",IF(AND(D4579&lt;&gt;Einstellungen!$C$4,D4579&lt;&gt;Einstellungen!$C$5),"Objekt fehlt",IF(YEAR(A4579)&lt;&gt;Einstellungen!$C$3,"anderes Jahr",IF(A4579&lt;INDEX(Mitarbeiter!$C$6:$C$205,MATCH(B4579,Mitarbeiter!$A$6:$A$205,0)),"vor Eintritt",IF(AND(INDEX(Mitarbeiter!$D$6:$D$205,MATCH(B4579,Mitarbeiter!$A$6:$A$205,0))&lt;&gt;"",A4579&gt;INDEX(Mitarbeiter!$D$6:$D$205,MATCH(B4579,Mitarbeiter!$A$6:$A$205,0))),"nach Austritt","ok")))))))</f>
        <v/>
      </c>
    </row>
    <row r="4580">
      <c r="A4580" s="26" t="n"/>
      <c r="B4580" s="24" t="n"/>
      <c r="C4580" s="40">
        <f>IF(B4580="","",IFERROR(INDEX(Mitarbeiter!$B$6:$B$205,MATCH(B4580,Mitarbeiter!$A$6:$A$205,0)),"?"))</f>
        <v/>
      </c>
      <c r="D4580" s="41" t="n"/>
      <c r="E4580" s="42" t="n"/>
      <c r="F4580" s="43" t="n"/>
      <c r="G4580" s="44">
        <f>IF(OR(B4580="",F4580=""),"",IFERROR(F4580*INDEX(Mitarbeiter!$F$6:$F$205,MATCH(B4580,Mitarbeiter!$A$6:$A$205,0)),0))</f>
        <v/>
      </c>
      <c r="H4580" s="8">
        <f>IF(B4580="","",IF(ISNA(MATCH(B4580,Mitarbeiter!$A$6:$A$205,0)),"Pers.-Nr. unbekannt",IF(A4580="","Datum fehlt",IF(AND(D4580&lt;&gt;Einstellungen!$C$4,D4580&lt;&gt;Einstellungen!$C$5),"Objekt fehlt",IF(YEAR(A4580)&lt;&gt;Einstellungen!$C$3,"anderes Jahr",IF(A4580&lt;INDEX(Mitarbeiter!$C$6:$C$205,MATCH(B4580,Mitarbeiter!$A$6:$A$205,0)),"vor Eintritt",IF(AND(INDEX(Mitarbeiter!$D$6:$D$205,MATCH(B4580,Mitarbeiter!$A$6:$A$205,0))&lt;&gt;"",A4580&gt;INDEX(Mitarbeiter!$D$6:$D$205,MATCH(B4580,Mitarbeiter!$A$6:$A$205,0))),"nach Austritt","ok")))))))</f>
        <v/>
      </c>
    </row>
    <row r="4581">
      <c r="A4581" s="26" t="n"/>
      <c r="B4581" s="24" t="n"/>
      <c r="C4581" s="40">
        <f>IF(B4581="","",IFERROR(INDEX(Mitarbeiter!$B$6:$B$205,MATCH(B4581,Mitarbeiter!$A$6:$A$205,0)),"?"))</f>
        <v/>
      </c>
      <c r="D4581" s="41" t="n"/>
      <c r="E4581" s="42" t="n"/>
      <c r="F4581" s="43" t="n"/>
      <c r="G4581" s="44">
        <f>IF(OR(B4581="",F4581=""),"",IFERROR(F4581*INDEX(Mitarbeiter!$F$6:$F$205,MATCH(B4581,Mitarbeiter!$A$6:$A$205,0)),0))</f>
        <v/>
      </c>
      <c r="H4581" s="8">
        <f>IF(B4581="","",IF(ISNA(MATCH(B4581,Mitarbeiter!$A$6:$A$205,0)),"Pers.-Nr. unbekannt",IF(A4581="","Datum fehlt",IF(AND(D4581&lt;&gt;Einstellungen!$C$4,D4581&lt;&gt;Einstellungen!$C$5),"Objekt fehlt",IF(YEAR(A4581)&lt;&gt;Einstellungen!$C$3,"anderes Jahr",IF(A4581&lt;INDEX(Mitarbeiter!$C$6:$C$205,MATCH(B4581,Mitarbeiter!$A$6:$A$205,0)),"vor Eintritt",IF(AND(INDEX(Mitarbeiter!$D$6:$D$205,MATCH(B4581,Mitarbeiter!$A$6:$A$205,0))&lt;&gt;"",A4581&gt;INDEX(Mitarbeiter!$D$6:$D$205,MATCH(B4581,Mitarbeiter!$A$6:$A$205,0))),"nach Austritt","ok")))))))</f>
        <v/>
      </c>
    </row>
    <row r="4582">
      <c r="A4582" s="26" t="n"/>
      <c r="B4582" s="24" t="n"/>
      <c r="C4582" s="40">
        <f>IF(B4582="","",IFERROR(INDEX(Mitarbeiter!$B$6:$B$205,MATCH(B4582,Mitarbeiter!$A$6:$A$205,0)),"?"))</f>
        <v/>
      </c>
      <c r="D4582" s="41" t="n"/>
      <c r="E4582" s="42" t="n"/>
      <c r="F4582" s="43" t="n"/>
      <c r="G4582" s="44">
        <f>IF(OR(B4582="",F4582=""),"",IFERROR(F4582*INDEX(Mitarbeiter!$F$6:$F$205,MATCH(B4582,Mitarbeiter!$A$6:$A$205,0)),0))</f>
        <v/>
      </c>
      <c r="H4582" s="8">
        <f>IF(B4582="","",IF(ISNA(MATCH(B4582,Mitarbeiter!$A$6:$A$205,0)),"Pers.-Nr. unbekannt",IF(A4582="","Datum fehlt",IF(AND(D4582&lt;&gt;Einstellungen!$C$4,D4582&lt;&gt;Einstellungen!$C$5),"Objekt fehlt",IF(YEAR(A4582)&lt;&gt;Einstellungen!$C$3,"anderes Jahr",IF(A4582&lt;INDEX(Mitarbeiter!$C$6:$C$205,MATCH(B4582,Mitarbeiter!$A$6:$A$205,0)),"vor Eintritt",IF(AND(INDEX(Mitarbeiter!$D$6:$D$205,MATCH(B4582,Mitarbeiter!$A$6:$A$205,0))&lt;&gt;"",A4582&gt;INDEX(Mitarbeiter!$D$6:$D$205,MATCH(B4582,Mitarbeiter!$A$6:$A$205,0))),"nach Austritt","ok")))))))</f>
        <v/>
      </c>
    </row>
    <row r="4583">
      <c r="A4583" s="26" t="n"/>
      <c r="B4583" s="24" t="n"/>
      <c r="C4583" s="40">
        <f>IF(B4583="","",IFERROR(INDEX(Mitarbeiter!$B$6:$B$205,MATCH(B4583,Mitarbeiter!$A$6:$A$205,0)),"?"))</f>
        <v/>
      </c>
      <c r="D4583" s="41" t="n"/>
      <c r="E4583" s="42" t="n"/>
      <c r="F4583" s="43" t="n"/>
      <c r="G4583" s="44">
        <f>IF(OR(B4583="",F4583=""),"",IFERROR(F4583*INDEX(Mitarbeiter!$F$6:$F$205,MATCH(B4583,Mitarbeiter!$A$6:$A$205,0)),0))</f>
        <v/>
      </c>
      <c r="H4583" s="8">
        <f>IF(B4583="","",IF(ISNA(MATCH(B4583,Mitarbeiter!$A$6:$A$205,0)),"Pers.-Nr. unbekannt",IF(A4583="","Datum fehlt",IF(AND(D4583&lt;&gt;Einstellungen!$C$4,D4583&lt;&gt;Einstellungen!$C$5),"Objekt fehlt",IF(YEAR(A4583)&lt;&gt;Einstellungen!$C$3,"anderes Jahr",IF(A4583&lt;INDEX(Mitarbeiter!$C$6:$C$205,MATCH(B4583,Mitarbeiter!$A$6:$A$205,0)),"vor Eintritt",IF(AND(INDEX(Mitarbeiter!$D$6:$D$205,MATCH(B4583,Mitarbeiter!$A$6:$A$205,0))&lt;&gt;"",A4583&gt;INDEX(Mitarbeiter!$D$6:$D$205,MATCH(B4583,Mitarbeiter!$A$6:$A$205,0))),"nach Austritt","ok")))))))</f>
        <v/>
      </c>
    </row>
    <row r="4584">
      <c r="A4584" s="26" t="n"/>
      <c r="B4584" s="24" t="n"/>
      <c r="C4584" s="40">
        <f>IF(B4584="","",IFERROR(INDEX(Mitarbeiter!$B$6:$B$205,MATCH(B4584,Mitarbeiter!$A$6:$A$205,0)),"?"))</f>
        <v/>
      </c>
      <c r="D4584" s="41" t="n"/>
      <c r="E4584" s="42" t="n"/>
      <c r="F4584" s="43" t="n"/>
      <c r="G4584" s="44">
        <f>IF(OR(B4584="",F4584=""),"",IFERROR(F4584*INDEX(Mitarbeiter!$F$6:$F$205,MATCH(B4584,Mitarbeiter!$A$6:$A$205,0)),0))</f>
        <v/>
      </c>
      <c r="H4584" s="8">
        <f>IF(B4584="","",IF(ISNA(MATCH(B4584,Mitarbeiter!$A$6:$A$205,0)),"Pers.-Nr. unbekannt",IF(A4584="","Datum fehlt",IF(AND(D4584&lt;&gt;Einstellungen!$C$4,D4584&lt;&gt;Einstellungen!$C$5),"Objekt fehlt",IF(YEAR(A4584)&lt;&gt;Einstellungen!$C$3,"anderes Jahr",IF(A4584&lt;INDEX(Mitarbeiter!$C$6:$C$205,MATCH(B4584,Mitarbeiter!$A$6:$A$205,0)),"vor Eintritt",IF(AND(INDEX(Mitarbeiter!$D$6:$D$205,MATCH(B4584,Mitarbeiter!$A$6:$A$205,0))&lt;&gt;"",A4584&gt;INDEX(Mitarbeiter!$D$6:$D$205,MATCH(B4584,Mitarbeiter!$A$6:$A$205,0))),"nach Austritt","ok")))))))</f>
        <v/>
      </c>
    </row>
    <row r="4585">
      <c r="A4585" s="26" t="n"/>
      <c r="B4585" s="24" t="n"/>
      <c r="C4585" s="40">
        <f>IF(B4585="","",IFERROR(INDEX(Mitarbeiter!$B$6:$B$205,MATCH(B4585,Mitarbeiter!$A$6:$A$205,0)),"?"))</f>
        <v/>
      </c>
      <c r="D4585" s="41" t="n"/>
      <c r="E4585" s="42" t="n"/>
      <c r="F4585" s="43" t="n"/>
      <c r="G4585" s="44">
        <f>IF(OR(B4585="",F4585=""),"",IFERROR(F4585*INDEX(Mitarbeiter!$F$6:$F$205,MATCH(B4585,Mitarbeiter!$A$6:$A$205,0)),0))</f>
        <v/>
      </c>
      <c r="H4585" s="8">
        <f>IF(B4585="","",IF(ISNA(MATCH(B4585,Mitarbeiter!$A$6:$A$205,0)),"Pers.-Nr. unbekannt",IF(A4585="","Datum fehlt",IF(AND(D4585&lt;&gt;Einstellungen!$C$4,D4585&lt;&gt;Einstellungen!$C$5),"Objekt fehlt",IF(YEAR(A4585)&lt;&gt;Einstellungen!$C$3,"anderes Jahr",IF(A4585&lt;INDEX(Mitarbeiter!$C$6:$C$205,MATCH(B4585,Mitarbeiter!$A$6:$A$205,0)),"vor Eintritt",IF(AND(INDEX(Mitarbeiter!$D$6:$D$205,MATCH(B4585,Mitarbeiter!$A$6:$A$205,0))&lt;&gt;"",A4585&gt;INDEX(Mitarbeiter!$D$6:$D$205,MATCH(B4585,Mitarbeiter!$A$6:$A$205,0))),"nach Austritt","ok")))))))</f>
        <v/>
      </c>
    </row>
    <row r="4586">
      <c r="A4586" s="26" t="n"/>
      <c r="B4586" s="24" t="n"/>
      <c r="C4586" s="40">
        <f>IF(B4586="","",IFERROR(INDEX(Mitarbeiter!$B$6:$B$205,MATCH(B4586,Mitarbeiter!$A$6:$A$205,0)),"?"))</f>
        <v/>
      </c>
      <c r="D4586" s="41" t="n"/>
      <c r="E4586" s="42" t="n"/>
      <c r="F4586" s="43" t="n"/>
      <c r="G4586" s="44">
        <f>IF(OR(B4586="",F4586=""),"",IFERROR(F4586*INDEX(Mitarbeiter!$F$6:$F$205,MATCH(B4586,Mitarbeiter!$A$6:$A$205,0)),0))</f>
        <v/>
      </c>
      <c r="H4586" s="8">
        <f>IF(B4586="","",IF(ISNA(MATCH(B4586,Mitarbeiter!$A$6:$A$205,0)),"Pers.-Nr. unbekannt",IF(A4586="","Datum fehlt",IF(AND(D4586&lt;&gt;Einstellungen!$C$4,D4586&lt;&gt;Einstellungen!$C$5),"Objekt fehlt",IF(YEAR(A4586)&lt;&gt;Einstellungen!$C$3,"anderes Jahr",IF(A4586&lt;INDEX(Mitarbeiter!$C$6:$C$205,MATCH(B4586,Mitarbeiter!$A$6:$A$205,0)),"vor Eintritt",IF(AND(INDEX(Mitarbeiter!$D$6:$D$205,MATCH(B4586,Mitarbeiter!$A$6:$A$205,0))&lt;&gt;"",A4586&gt;INDEX(Mitarbeiter!$D$6:$D$205,MATCH(B4586,Mitarbeiter!$A$6:$A$205,0))),"nach Austritt","ok")))))))</f>
        <v/>
      </c>
    </row>
    <row r="4587">
      <c r="A4587" s="26" t="n"/>
      <c r="B4587" s="24" t="n"/>
      <c r="C4587" s="40">
        <f>IF(B4587="","",IFERROR(INDEX(Mitarbeiter!$B$6:$B$205,MATCH(B4587,Mitarbeiter!$A$6:$A$205,0)),"?"))</f>
        <v/>
      </c>
      <c r="D4587" s="41" t="n"/>
      <c r="E4587" s="42" t="n"/>
      <c r="F4587" s="43" t="n"/>
      <c r="G4587" s="44">
        <f>IF(OR(B4587="",F4587=""),"",IFERROR(F4587*INDEX(Mitarbeiter!$F$6:$F$205,MATCH(B4587,Mitarbeiter!$A$6:$A$205,0)),0))</f>
        <v/>
      </c>
      <c r="H4587" s="8">
        <f>IF(B4587="","",IF(ISNA(MATCH(B4587,Mitarbeiter!$A$6:$A$205,0)),"Pers.-Nr. unbekannt",IF(A4587="","Datum fehlt",IF(AND(D4587&lt;&gt;Einstellungen!$C$4,D4587&lt;&gt;Einstellungen!$C$5),"Objekt fehlt",IF(YEAR(A4587)&lt;&gt;Einstellungen!$C$3,"anderes Jahr",IF(A4587&lt;INDEX(Mitarbeiter!$C$6:$C$205,MATCH(B4587,Mitarbeiter!$A$6:$A$205,0)),"vor Eintritt",IF(AND(INDEX(Mitarbeiter!$D$6:$D$205,MATCH(B4587,Mitarbeiter!$A$6:$A$205,0))&lt;&gt;"",A4587&gt;INDEX(Mitarbeiter!$D$6:$D$205,MATCH(B4587,Mitarbeiter!$A$6:$A$205,0))),"nach Austritt","ok")))))))</f>
        <v/>
      </c>
    </row>
    <row r="4588">
      <c r="A4588" s="26" t="n"/>
      <c r="B4588" s="24" t="n"/>
      <c r="C4588" s="40">
        <f>IF(B4588="","",IFERROR(INDEX(Mitarbeiter!$B$6:$B$205,MATCH(B4588,Mitarbeiter!$A$6:$A$205,0)),"?"))</f>
        <v/>
      </c>
      <c r="D4588" s="41" t="n"/>
      <c r="E4588" s="42" t="n"/>
      <c r="F4588" s="43" t="n"/>
      <c r="G4588" s="44">
        <f>IF(OR(B4588="",F4588=""),"",IFERROR(F4588*INDEX(Mitarbeiter!$F$6:$F$205,MATCH(B4588,Mitarbeiter!$A$6:$A$205,0)),0))</f>
        <v/>
      </c>
      <c r="H4588" s="8">
        <f>IF(B4588="","",IF(ISNA(MATCH(B4588,Mitarbeiter!$A$6:$A$205,0)),"Pers.-Nr. unbekannt",IF(A4588="","Datum fehlt",IF(AND(D4588&lt;&gt;Einstellungen!$C$4,D4588&lt;&gt;Einstellungen!$C$5),"Objekt fehlt",IF(YEAR(A4588)&lt;&gt;Einstellungen!$C$3,"anderes Jahr",IF(A4588&lt;INDEX(Mitarbeiter!$C$6:$C$205,MATCH(B4588,Mitarbeiter!$A$6:$A$205,0)),"vor Eintritt",IF(AND(INDEX(Mitarbeiter!$D$6:$D$205,MATCH(B4588,Mitarbeiter!$A$6:$A$205,0))&lt;&gt;"",A4588&gt;INDEX(Mitarbeiter!$D$6:$D$205,MATCH(B4588,Mitarbeiter!$A$6:$A$205,0))),"nach Austritt","ok")))))))</f>
        <v/>
      </c>
    </row>
    <row r="4589">
      <c r="A4589" s="26" t="n"/>
      <c r="B4589" s="24" t="n"/>
      <c r="C4589" s="40">
        <f>IF(B4589="","",IFERROR(INDEX(Mitarbeiter!$B$6:$B$205,MATCH(B4589,Mitarbeiter!$A$6:$A$205,0)),"?"))</f>
        <v/>
      </c>
      <c r="D4589" s="41" t="n"/>
      <c r="E4589" s="42" t="n"/>
      <c r="F4589" s="43" t="n"/>
      <c r="G4589" s="44">
        <f>IF(OR(B4589="",F4589=""),"",IFERROR(F4589*INDEX(Mitarbeiter!$F$6:$F$205,MATCH(B4589,Mitarbeiter!$A$6:$A$205,0)),0))</f>
        <v/>
      </c>
      <c r="H4589" s="8">
        <f>IF(B4589="","",IF(ISNA(MATCH(B4589,Mitarbeiter!$A$6:$A$205,0)),"Pers.-Nr. unbekannt",IF(A4589="","Datum fehlt",IF(AND(D4589&lt;&gt;Einstellungen!$C$4,D4589&lt;&gt;Einstellungen!$C$5),"Objekt fehlt",IF(YEAR(A4589)&lt;&gt;Einstellungen!$C$3,"anderes Jahr",IF(A4589&lt;INDEX(Mitarbeiter!$C$6:$C$205,MATCH(B4589,Mitarbeiter!$A$6:$A$205,0)),"vor Eintritt",IF(AND(INDEX(Mitarbeiter!$D$6:$D$205,MATCH(B4589,Mitarbeiter!$A$6:$A$205,0))&lt;&gt;"",A4589&gt;INDEX(Mitarbeiter!$D$6:$D$205,MATCH(B4589,Mitarbeiter!$A$6:$A$205,0))),"nach Austritt","ok")))))))</f>
        <v/>
      </c>
    </row>
    <row r="4590">
      <c r="A4590" s="26" t="n"/>
      <c r="B4590" s="24" t="n"/>
      <c r="C4590" s="40">
        <f>IF(B4590="","",IFERROR(INDEX(Mitarbeiter!$B$6:$B$205,MATCH(B4590,Mitarbeiter!$A$6:$A$205,0)),"?"))</f>
        <v/>
      </c>
      <c r="D4590" s="41" t="n"/>
      <c r="E4590" s="42" t="n"/>
      <c r="F4590" s="43" t="n"/>
      <c r="G4590" s="44">
        <f>IF(OR(B4590="",F4590=""),"",IFERROR(F4590*INDEX(Mitarbeiter!$F$6:$F$205,MATCH(B4590,Mitarbeiter!$A$6:$A$205,0)),0))</f>
        <v/>
      </c>
      <c r="H4590" s="8">
        <f>IF(B4590="","",IF(ISNA(MATCH(B4590,Mitarbeiter!$A$6:$A$205,0)),"Pers.-Nr. unbekannt",IF(A4590="","Datum fehlt",IF(AND(D4590&lt;&gt;Einstellungen!$C$4,D4590&lt;&gt;Einstellungen!$C$5),"Objekt fehlt",IF(YEAR(A4590)&lt;&gt;Einstellungen!$C$3,"anderes Jahr",IF(A4590&lt;INDEX(Mitarbeiter!$C$6:$C$205,MATCH(B4590,Mitarbeiter!$A$6:$A$205,0)),"vor Eintritt",IF(AND(INDEX(Mitarbeiter!$D$6:$D$205,MATCH(B4590,Mitarbeiter!$A$6:$A$205,0))&lt;&gt;"",A4590&gt;INDEX(Mitarbeiter!$D$6:$D$205,MATCH(B4590,Mitarbeiter!$A$6:$A$205,0))),"nach Austritt","ok")))))))</f>
        <v/>
      </c>
    </row>
    <row r="4591">
      <c r="A4591" s="26" t="n"/>
      <c r="B4591" s="24" t="n"/>
      <c r="C4591" s="40">
        <f>IF(B4591="","",IFERROR(INDEX(Mitarbeiter!$B$6:$B$205,MATCH(B4591,Mitarbeiter!$A$6:$A$205,0)),"?"))</f>
        <v/>
      </c>
      <c r="D4591" s="41" t="n"/>
      <c r="E4591" s="42" t="n"/>
      <c r="F4591" s="43" t="n"/>
      <c r="G4591" s="44">
        <f>IF(OR(B4591="",F4591=""),"",IFERROR(F4591*INDEX(Mitarbeiter!$F$6:$F$205,MATCH(B4591,Mitarbeiter!$A$6:$A$205,0)),0))</f>
        <v/>
      </c>
      <c r="H4591" s="8">
        <f>IF(B4591="","",IF(ISNA(MATCH(B4591,Mitarbeiter!$A$6:$A$205,0)),"Pers.-Nr. unbekannt",IF(A4591="","Datum fehlt",IF(AND(D4591&lt;&gt;Einstellungen!$C$4,D4591&lt;&gt;Einstellungen!$C$5),"Objekt fehlt",IF(YEAR(A4591)&lt;&gt;Einstellungen!$C$3,"anderes Jahr",IF(A4591&lt;INDEX(Mitarbeiter!$C$6:$C$205,MATCH(B4591,Mitarbeiter!$A$6:$A$205,0)),"vor Eintritt",IF(AND(INDEX(Mitarbeiter!$D$6:$D$205,MATCH(B4591,Mitarbeiter!$A$6:$A$205,0))&lt;&gt;"",A4591&gt;INDEX(Mitarbeiter!$D$6:$D$205,MATCH(B4591,Mitarbeiter!$A$6:$A$205,0))),"nach Austritt","ok")))))))</f>
        <v/>
      </c>
    </row>
    <row r="4592">
      <c r="A4592" s="26" t="n"/>
      <c r="B4592" s="24" t="n"/>
      <c r="C4592" s="40">
        <f>IF(B4592="","",IFERROR(INDEX(Mitarbeiter!$B$6:$B$205,MATCH(B4592,Mitarbeiter!$A$6:$A$205,0)),"?"))</f>
        <v/>
      </c>
      <c r="D4592" s="41" t="n"/>
      <c r="E4592" s="42" t="n"/>
      <c r="F4592" s="43" t="n"/>
      <c r="G4592" s="44">
        <f>IF(OR(B4592="",F4592=""),"",IFERROR(F4592*INDEX(Mitarbeiter!$F$6:$F$205,MATCH(B4592,Mitarbeiter!$A$6:$A$205,0)),0))</f>
        <v/>
      </c>
      <c r="H4592" s="8">
        <f>IF(B4592="","",IF(ISNA(MATCH(B4592,Mitarbeiter!$A$6:$A$205,0)),"Pers.-Nr. unbekannt",IF(A4592="","Datum fehlt",IF(AND(D4592&lt;&gt;Einstellungen!$C$4,D4592&lt;&gt;Einstellungen!$C$5),"Objekt fehlt",IF(YEAR(A4592)&lt;&gt;Einstellungen!$C$3,"anderes Jahr",IF(A4592&lt;INDEX(Mitarbeiter!$C$6:$C$205,MATCH(B4592,Mitarbeiter!$A$6:$A$205,0)),"vor Eintritt",IF(AND(INDEX(Mitarbeiter!$D$6:$D$205,MATCH(B4592,Mitarbeiter!$A$6:$A$205,0))&lt;&gt;"",A4592&gt;INDEX(Mitarbeiter!$D$6:$D$205,MATCH(B4592,Mitarbeiter!$A$6:$A$205,0))),"nach Austritt","ok")))))))</f>
        <v/>
      </c>
    </row>
    <row r="4593">
      <c r="A4593" s="26" t="n"/>
      <c r="B4593" s="24" t="n"/>
      <c r="C4593" s="40">
        <f>IF(B4593="","",IFERROR(INDEX(Mitarbeiter!$B$6:$B$205,MATCH(B4593,Mitarbeiter!$A$6:$A$205,0)),"?"))</f>
        <v/>
      </c>
      <c r="D4593" s="41" t="n"/>
      <c r="E4593" s="42" t="n"/>
      <c r="F4593" s="43" t="n"/>
      <c r="G4593" s="44">
        <f>IF(OR(B4593="",F4593=""),"",IFERROR(F4593*INDEX(Mitarbeiter!$F$6:$F$205,MATCH(B4593,Mitarbeiter!$A$6:$A$205,0)),0))</f>
        <v/>
      </c>
      <c r="H4593" s="8">
        <f>IF(B4593="","",IF(ISNA(MATCH(B4593,Mitarbeiter!$A$6:$A$205,0)),"Pers.-Nr. unbekannt",IF(A4593="","Datum fehlt",IF(AND(D4593&lt;&gt;Einstellungen!$C$4,D4593&lt;&gt;Einstellungen!$C$5),"Objekt fehlt",IF(YEAR(A4593)&lt;&gt;Einstellungen!$C$3,"anderes Jahr",IF(A4593&lt;INDEX(Mitarbeiter!$C$6:$C$205,MATCH(B4593,Mitarbeiter!$A$6:$A$205,0)),"vor Eintritt",IF(AND(INDEX(Mitarbeiter!$D$6:$D$205,MATCH(B4593,Mitarbeiter!$A$6:$A$205,0))&lt;&gt;"",A4593&gt;INDEX(Mitarbeiter!$D$6:$D$205,MATCH(B4593,Mitarbeiter!$A$6:$A$205,0))),"nach Austritt","ok")))))))</f>
        <v/>
      </c>
    </row>
    <row r="4594">
      <c r="A4594" s="26" t="n"/>
      <c r="B4594" s="24" t="n"/>
      <c r="C4594" s="40">
        <f>IF(B4594="","",IFERROR(INDEX(Mitarbeiter!$B$6:$B$205,MATCH(B4594,Mitarbeiter!$A$6:$A$205,0)),"?"))</f>
        <v/>
      </c>
      <c r="D4594" s="41" t="n"/>
      <c r="E4594" s="42" t="n"/>
      <c r="F4594" s="43" t="n"/>
      <c r="G4594" s="44">
        <f>IF(OR(B4594="",F4594=""),"",IFERROR(F4594*INDEX(Mitarbeiter!$F$6:$F$205,MATCH(B4594,Mitarbeiter!$A$6:$A$205,0)),0))</f>
        <v/>
      </c>
      <c r="H4594" s="8">
        <f>IF(B4594="","",IF(ISNA(MATCH(B4594,Mitarbeiter!$A$6:$A$205,0)),"Pers.-Nr. unbekannt",IF(A4594="","Datum fehlt",IF(AND(D4594&lt;&gt;Einstellungen!$C$4,D4594&lt;&gt;Einstellungen!$C$5),"Objekt fehlt",IF(YEAR(A4594)&lt;&gt;Einstellungen!$C$3,"anderes Jahr",IF(A4594&lt;INDEX(Mitarbeiter!$C$6:$C$205,MATCH(B4594,Mitarbeiter!$A$6:$A$205,0)),"vor Eintritt",IF(AND(INDEX(Mitarbeiter!$D$6:$D$205,MATCH(B4594,Mitarbeiter!$A$6:$A$205,0))&lt;&gt;"",A4594&gt;INDEX(Mitarbeiter!$D$6:$D$205,MATCH(B4594,Mitarbeiter!$A$6:$A$205,0))),"nach Austritt","ok")))))))</f>
        <v/>
      </c>
    </row>
    <row r="4595">
      <c r="A4595" s="26" t="n"/>
      <c r="B4595" s="24" t="n"/>
      <c r="C4595" s="40">
        <f>IF(B4595="","",IFERROR(INDEX(Mitarbeiter!$B$6:$B$205,MATCH(B4595,Mitarbeiter!$A$6:$A$205,0)),"?"))</f>
        <v/>
      </c>
      <c r="D4595" s="41" t="n"/>
      <c r="E4595" s="42" t="n"/>
      <c r="F4595" s="43" t="n"/>
      <c r="G4595" s="44">
        <f>IF(OR(B4595="",F4595=""),"",IFERROR(F4595*INDEX(Mitarbeiter!$F$6:$F$205,MATCH(B4595,Mitarbeiter!$A$6:$A$205,0)),0))</f>
        <v/>
      </c>
      <c r="H4595" s="8">
        <f>IF(B4595="","",IF(ISNA(MATCH(B4595,Mitarbeiter!$A$6:$A$205,0)),"Pers.-Nr. unbekannt",IF(A4595="","Datum fehlt",IF(AND(D4595&lt;&gt;Einstellungen!$C$4,D4595&lt;&gt;Einstellungen!$C$5),"Objekt fehlt",IF(YEAR(A4595)&lt;&gt;Einstellungen!$C$3,"anderes Jahr",IF(A4595&lt;INDEX(Mitarbeiter!$C$6:$C$205,MATCH(B4595,Mitarbeiter!$A$6:$A$205,0)),"vor Eintritt",IF(AND(INDEX(Mitarbeiter!$D$6:$D$205,MATCH(B4595,Mitarbeiter!$A$6:$A$205,0))&lt;&gt;"",A4595&gt;INDEX(Mitarbeiter!$D$6:$D$205,MATCH(B4595,Mitarbeiter!$A$6:$A$205,0))),"nach Austritt","ok")))))))</f>
        <v/>
      </c>
    </row>
    <row r="4596">
      <c r="A4596" s="26" t="n"/>
      <c r="B4596" s="24" t="n"/>
      <c r="C4596" s="40">
        <f>IF(B4596="","",IFERROR(INDEX(Mitarbeiter!$B$6:$B$205,MATCH(B4596,Mitarbeiter!$A$6:$A$205,0)),"?"))</f>
        <v/>
      </c>
      <c r="D4596" s="41" t="n"/>
      <c r="E4596" s="42" t="n"/>
      <c r="F4596" s="43" t="n"/>
      <c r="G4596" s="44">
        <f>IF(OR(B4596="",F4596=""),"",IFERROR(F4596*INDEX(Mitarbeiter!$F$6:$F$205,MATCH(B4596,Mitarbeiter!$A$6:$A$205,0)),0))</f>
        <v/>
      </c>
      <c r="H4596" s="8">
        <f>IF(B4596="","",IF(ISNA(MATCH(B4596,Mitarbeiter!$A$6:$A$205,0)),"Pers.-Nr. unbekannt",IF(A4596="","Datum fehlt",IF(AND(D4596&lt;&gt;Einstellungen!$C$4,D4596&lt;&gt;Einstellungen!$C$5),"Objekt fehlt",IF(YEAR(A4596)&lt;&gt;Einstellungen!$C$3,"anderes Jahr",IF(A4596&lt;INDEX(Mitarbeiter!$C$6:$C$205,MATCH(B4596,Mitarbeiter!$A$6:$A$205,0)),"vor Eintritt",IF(AND(INDEX(Mitarbeiter!$D$6:$D$205,MATCH(B4596,Mitarbeiter!$A$6:$A$205,0))&lt;&gt;"",A4596&gt;INDEX(Mitarbeiter!$D$6:$D$205,MATCH(B4596,Mitarbeiter!$A$6:$A$205,0))),"nach Austritt","ok")))))))</f>
        <v/>
      </c>
    </row>
    <row r="4597">
      <c r="A4597" s="26" t="n"/>
      <c r="B4597" s="24" t="n"/>
      <c r="C4597" s="40">
        <f>IF(B4597="","",IFERROR(INDEX(Mitarbeiter!$B$6:$B$205,MATCH(B4597,Mitarbeiter!$A$6:$A$205,0)),"?"))</f>
        <v/>
      </c>
      <c r="D4597" s="41" t="n"/>
      <c r="E4597" s="42" t="n"/>
      <c r="F4597" s="43" t="n"/>
      <c r="G4597" s="44">
        <f>IF(OR(B4597="",F4597=""),"",IFERROR(F4597*INDEX(Mitarbeiter!$F$6:$F$205,MATCH(B4597,Mitarbeiter!$A$6:$A$205,0)),0))</f>
        <v/>
      </c>
      <c r="H4597" s="8">
        <f>IF(B4597="","",IF(ISNA(MATCH(B4597,Mitarbeiter!$A$6:$A$205,0)),"Pers.-Nr. unbekannt",IF(A4597="","Datum fehlt",IF(AND(D4597&lt;&gt;Einstellungen!$C$4,D4597&lt;&gt;Einstellungen!$C$5),"Objekt fehlt",IF(YEAR(A4597)&lt;&gt;Einstellungen!$C$3,"anderes Jahr",IF(A4597&lt;INDEX(Mitarbeiter!$C$6:$C$205,MATCH(B4597,Mitarbeiter!$A$6:$A$205,0)),"vor Eintritt",IF(AND(INDEX(Mitarbeiter!$D$6:$D$205,MATCH(B4597,Mitarbeiter!$A$6:$A$205,0))&lt;&gt;"",A4597&gt;INDEX(Mitarbeiter!$D$6:$D$205,MATCH(B4597,Mitarbeiter!$A$6:$A$205,0))),"nach Austritt","ok")))))))</f>
        <v/>
      </c>
    </row>
    <row r="4598">
      <c r="A4598" s="26" t="n"/>
      <c r="B4598" s="24" t="n"/>
      <c r="C4598" s="40">
        <f>IF(B4598="","",IFERROR(INDEX(Mitarbeiter!$B$6:$B$205,MATCH(B4598,Mitarbeiter!$A$6:$A$205,0)),"?"))</f>
        <v/>
      </c>
      <c r="D4598" s="41" t="n"/>
      <c r="E4598" s="42" t="n"/>
      <c r="F4598" s="43" t="n"/>
      <c r="G4598" s="44">
        <f>IF(OR(B4598="",F4598=""),"",IFERROR(F4598*INDEX(Mitarbeiter!$F$6:$F$205,MATCH(B4598,Mitarbeiter!$A$6:$A$205,0)),0))</f>
        <v/>
      </c>
      <c r="H4598" s="8">
        <f>IF(B4598="","",IF(ISNA(MATCH(B4598,Mitarbeiter!$A$6:$A$205,0)),"Pers.-Nr. unbekannt",IF(A4598="","Datum fehlt",IF(AND(D4598&lt;&gt;Einstellungen!$C$4,D4598&lt;&gt;Einstellungen!$C$5),"Objekt fehlt",IF(YEAR(A4598)&lt;&gt;Einstellungen!$C$3,"anderes Jahr",IF(A4598&lt;INDEX(Mitarbeiter!$C$6:$C$205,MATCH(B4598,Mitarbeiter!$A$6:$A$205,0)),"vor Eintritt",IF(AND(INDEX(Mitarbeiter!$D$6:$D$205,MATCH(B4598,Mitarbeiter!$A$6:$A$205,0))&lt;&gt;"",A4598&gt;INDEX(Mitarbeiter!$D$6:$D$205,MATCH(B4598,Mitarbeiter!$A$6:$A$205,0))),"nach Austritt","ok")))))))</f>
        <v/>
      </c>
    </row>
    <row r="4599">
      <c r="A4599" s="26" t="n"/>
      <c r="B4599" s="24" t="n"/>
      <c r="C4599" s="40">
        <f>IF(B4599="","",IFERROR(INDEX(Mitarbeiter!$B$6:$B$205,MATCH(B4599,Mitarbeiter!$A$6:$A$205,0)),"?"))</f>
        <v/>
      </c>
      <c r="D4599" s="41" t="n"/>
      <c r="E4599" s="42" t="n"/>
      <c r="F4599" s="43" t="n"/>
      <c r="G4599" s="44">
        <f>IF(OR(B4599="",F4599=""),"",IFERROR(F4599*INDEX(Mitarbeiter!$F$6:$F$205,MATCH(B4599,Mitarbeiter!$A$6:$A$205,0)),0))</f>
        <v/>
      </c>
      <c r="H4599" s="8">
        <f>IF(B4599="","",IF(ISNA(MATCH(B4599,Mitarbeiter!$A$6:$A$205,0)),"Pers.-Nr. unbekannt",IF(A4599="","Datum fehlt",IF(AND(D4599&lt;&gt;Einstellungen!$C$4,D4599&lt;&gt;Einstellungen!$C$5),"Objekt fehlt",IF(YEAR(A4599)&lt;&gt;Einstellungen!$C$3,"anderes Jahr",IF(A4599&lt;INDEX(Mitarbeiter!$C$6:$C$205,MATCH(B4599,Mitarbeiter!$A$6:$A$205,0)),"vor Eintritt",IF(AND(INDEX(Mitarbeiter!$D$6:$D$205,MATCH(B4599,Mitarbeiter!$A$6:$A$205,0))&lt;&gt;"",A4599&gt;INDEX(Mitarbeiter!$D$6:$D$205,MATCH(B4599,Mitarbeiter!$A$6:$A$205,0))),"nach Austritt","ok")))))))</f>
        <v/>
      </c>
    </row>
    <row r="4600">
      <c r="A4600" s="26" t="n"/>
      <c r="B4600" s="24" t="n"/>
      <c r="C4600" s="40">
        <f>IF(B4600="","",IFERROR(INDEX(Mitarbeiter!$B$6:$B$205,MATCH(B4600,Mitarbeiter!$A$6:$A$205,0)),"?"))</f>
        <v/>
      </c>
      <c r="D4600" s="41" t="n"/>
      <c r="E4600" s="42" t="n"/>
      <c r="F4600" s="43" t="n"/>
      <c r="G4600" s="44">
        <f>IF(OR(B4600="",F4600=""),"",IFERROR(F4600*INDEX(Mitarbeiter!$F$6:$F$205,MATCH(B4600,Mitarbeiter!$A$6:$A$205,0)),0))</f>
        <v/>
      </c>
      <c r="H4600" s="8">
        <f>IF(B4600="","",IF(ISNA(MATCH(B4600,Mitarbeiter!$A$6:$A$205,0)),"Pers.-Nr. unbekannt",IF(A4600="","Datum fehlt",IF(AND(D4600&lt;&gt;Einstellungen!$C$4,D4600&lt;&gt;Einstellungen!$C$5),"Objekt fehlt",IF(YEAR(A4600)&lt;&gt;Einstellungen!$C$3,"anderes Jahr",IF(A4600&lt;INDEX(Mitarbeiter!$C$6:$C$205,MATCH(B4600,Mitarbeiter!$A$6:$A$205,0)),"vor Eintritt",IF(AND(INDEX(Mitarbeiter!$D$6:$D$205,MATCH(B4600,Mitarbeiter!$A$6:$A$205,0))&lt;&gt;"",A4600&gt;INDEX(Mitarbeiter!$D$6:$D$205,MATCH(B4600,Mitarbeiter!$A$6:$A$205,0))),"nach Austritt","ok")))))))</f>
        <v/>
      </c>
    </row>
    <row r="4601">
      <c r="A4601" s="26" t="n"/>
      <c r="B4601" s="24" t="n"/>
      <c r="C4601" s="40">
        <f>IF(B4601="","",IFERROR(INDEX(Mitarbeiter!$B$6:$B$205,MATCH(B4601,Mitarbeiter!$A$6:$A$205,0)),"?"))</f>
        <v/>
      </c>
      <c r="D4601" s="41" t="n"/>
      <c r="E4601" s="42" t="n"/>
      <c r="F4601" s="43" t="n"/>
      <c r="G4601" s="44">
        <f>IF(OR(B4601="",F4601=""),"",IFERROR(F4601*INDEX(Mitarbeiter!$F$6:$F$205,MATCH(B4601,Mitarbeiter!$A$6:$A$205,0)),0))</f>
        <v/>
      </c>
      <c r="H4601" s="8">
        <f>IF(B4601="","",IF(ISNA(MATCH(B4601,Mitarbeiter!$A$6:$A$205,0)),"Pers.-Nr. unbekannt",IF(A4601="","Datum fehlt",IF(AND(D4601&lt;&gt;Einstellungen!$C$4,D4601&lt;&gt;Einstellungen!$C$5),"Objekt fehlt",IF(YEAR(A4601)&lt;&gt;Einstellungen!$C$3,"anderes Jahr",IF(A4601&lt;INDEX(Mitarbeiter!$C$6:$C$205,MATCH(B4601,Mitarbeiter!$A$6:$A$205,0)),"vor Eintritt",IF(AND(INDEX(Mitarbeiter!$D$6:$D$205,MATCH(B4601,Mitarbeiter!$A$6:$A$205,0))&lt;&gt;"",A4601&gt;INDEX(Mitarbeiter!$D$6:$D$205,MATCH(B4601,Mitarbeiter!$A$6:$A$205,0))),"nach Austritt","ok")))))))</f>
        <v/>
      </c>
    </row>
    <row r="4602">
      <c r="A4602" s="26" t="n"/>
      <c r="B4602" s="24" t="n"/>
      <c r="C4602" s="40">
        <f>IF(B4602="","",IFERROR(INDEX(Mitarbeiter!$B$6:$B$205,MATCH(B4602,Mitarbeiter!$A$6:$A$205,0)),"?"))</f>
        <v/>
      </c>
      <c r="D4602" s="41" t="n"/>
      <c r="E4602" s="42" t="n"/>
      <c r="F4602" s="43" t="n"/>
      <c r="G4602" s="44">
        <f>IF(OR(B4602="",F4602=""),"",IFERROR(F4602*INDEX(Mitarbeiter!$F$6:$F$205,MATCH(B4602,Mitarbeiter!$A$6:$A$205,0)),0))</f>
        <v/>
      </c>
      <c r="H4602" s="8">
        <f>IF(B4602="","",IF(ISNA(MATCH(B4602,Mitarbeiter!$A$6:$A$205,0)),"Pers.-Nr. unbekannt",IF(A4602="","Datum fehlt",IF(AND(D4602&lt;&gt;Einstellungen!$C$4,D4602&lt;&gt;Einstellungen!$C$5),"Objekt fehlt",IF(YEAR(A4602)&lt;&gt;Einstellungen!$C$3,"anderes Jahr",IF(A4602&lt;INDEX(Mitarbeiter!$C$6:$C$205,MATCH(B4602,Mitarbeiter!$A$6:$A$205,0)),"vor Eintritt",IF(AND(INDEX(Mitarbeiter!$D$6:$D$205,MATCH(B4602,Mitarbeiter!$A$6:$A$205,0))&lt;&gt;"",A4602&gt;INDEX(Mitarbeiter!$D$6:$D$205,MATCH(B4602,Mitarbeiter!$A$6:$A$205,0))),"nach Austritt","ok")))))))</f>
        <v/>
      </c>
    </row>
    <row r="4603">
      <c r="A4603" s="26" t="n"/>
      <c r="B4603" s="24" t="n"/>
      <c r="C4603" s="40">
        <f>IF(B4603="","",IFERROR(INDEX(Mitarbeiter!$B$6:$B$205,MATCH(B4603,Mitarbeiter!$A$6:$A$205,0)),"?"))</f>
        <v/>
      </c>
      <c r="D4603" s="41" t="n"/>
      <c r="E4603" s="42" t="n"/>
      <c r="F4603" s="43" t="n"/>
      <c r="G4603" s="44">
        <f>IF(OR(B4603="",F4603=""),"",IFERROR(F4603*INDEX(Mitarbeiter!$F$6:$F$205,MATCH(B4603,Mitarbeiter!$A$6:$A$205,0)),0))</f>
        <v/>
      </c>
      <c r="H4603" s="8">
        <f>IF(B4603="","",IF(ISNA(MATCH(B4603,Mitarbeiter!$A$6:$A$205,0)),"Pers.-Nr. unbekannt",IF(A4603="","Datum fehlt",IF(AND(D4603&lt;&gt;Einstellungen!$C$4,D4603&lt;&gt;Einstellungen!$C$5),"Objekt fehlt",IF(YEAR(A4603)&lt;&gt;Einstellungen!$C$3,"anderes Jahr",IF(A4603&lt;INDEX(Mitarbeiter!$C$6:$C$205,MATCH(B4603,Mitarbeiter!$A$6:$A$205,0)),"vor Eintritt",IF(AND(INDEX(Mitarbeiter!$D$6:$D$205,MATCH(B4603,Mitarbeiter!$A$6:$A$205,0))&lt;&gt;"",A4603&gt;INDEX(Mitarbeiter!$D$6:$D$205,MATCH(B4603,Mitarbeiter!$A$6:$A$205,0))),"nach Austritt","ok")))))))</f>
        <v/>
      </c>
    </row>
    <row r="4604">
      <c r="A4604" s="26" t="n"/>
      <c r="B4604" s="24" t="n"/>
      <c r="C4604" s="40">
        <f>IF(B4604="","",IFERROR(INDEX(Mitarbeiter!$B$6:$B$205,MATCH(B4604,Mitarbeiter!$A$6:$A$205,0)),"?"))</f>
        <v/>
      </c>
      <c r="D4604" s="41" t="n"/>
      <c r="E4604" s="42" t="n"/>
      <c r="F4604" s="43" t="n"/>
      <c r="G4604" s="44">
        <f>IF(OR(B4604="",F4604=""),"",IFERROR(F4604*INDEX(Mitarbeiter!$F$6:$F$205,MATCH(B4604,Mitarbeiter!$A$6:$A$205,0)),0))</f>
        <v/>
      </c>
      <c r="H4604" s="8">
        <f>IF(B4604="","",IF(ISNA(MATCH(B4604,Mitarbeiter!$A$6:$A$205,0)),"Pers.-Nr. unbekannt",IF(A4604="","Datum fehlt",IF(AND(D4604&lt;&gt;Einstellungen!$C$4,D4604&lt;&gt;Einstellungen!$C$5),"Objekt fehlt",IF(YEAR(A4604)&lt;&gt;Einstellungen!$C$3,"anderes Jahr",IF(A4604&lt;INDEX(Mitarbeiter!$C$6:$C$205,MATCH(B4604,Mitarbeiter!$A$6:$A$205,0)),"vor Eintritt",IF(AND(INDEX(Mitarbeiter!$D$6:$D$205,MATCH(B4604,Mitarbeiter!$A$6:$A$205,0))&lt;&gt;"",A4604&gt;INDEX(Mitarbeiter!$D$6:$D$205,MATCH(B4604,Mitarbeiter!$A$6:$A$205,0))),"nach Austritt","ok")))))))</f>
        <v/>
      </c>
    </row>
    <row r="4605">
      <c r="A4605" s="26" t="n"/>
      <c r="B4605" s="24" t="n"/>
      <c r="C4605" s="40">
        <f>IF(B4605="","",IFERROR(INDEX(Mitarbeiter!$B$6:$B$205,MATCH(B4605,Mitarbeiter!$A$6:$A$205,0)),"?"))</f>
        <v/>
      </c>
      <c r="D4605" s="41" t="n"/>
      <c r="E4605" s="42" t="n"/>
      <c r="F4605" s="43" t="n"/>
      <c r="G4605" s="44">
        <f>IF(OR(B4605="",F4605=""),"",IFERROR(F4605*INDEX(Mitarbeiter!$F$6:$F$205,MATCH(B4605,Mitarbeiter!$A$6:$A$205,0)),0))</f>
        <v/>
      </c>
      <c r="H4605" s="8">
        <f>IF(B4605="","",IF(ISNA(MATCH(B4605,Mitarbeiter!$A$6:$A$205,0)),"Pers.-Nr. unbekannt",IF(A4605="","Datum fehlt",IF(AND(D4605&lt;&gt;Einstellungen!$C$4,D4605&lt;&gt;Einstellungen!$C$5),"Objekt fehlt",IF(YEAR(A4605)&lt;&gt;Einstellungen!$C$3,"anderes Jahr",IF(A4605&lt;INDEX(Mitarbeiter!$C$6:$C$205,MATCH(B4605,Mitarbeiter!$A$6:$A$205,0)),"vor Eintritt",IF(AND(INDEX(Mitarbeiter!$D$6:$D$205,MATCH(B4605,Mitarbeiter!$A$6:$A$205,0))&lt;&gt;"",A4605&gt;INDEX(Mitarbeiter!$D$6:$D$205,MATCH(B4605,Mitarbeiter!$A$6:$A$205,0))),"nach Austritt","ok")))))))</f>
        <v/>
      </c>
    </row>
    <row r="4606">
      <c r="A4606" s="26" t="n"/>
      <c r="B4606" s="24" t="n"/>
      <c r="C4606" s="40">
        <f>IF(B4606="","",IFERROR(INDEX(Mitarbeiter!$B$6:$B$205,MATCH(B4606,Mitarbeiter!$A$6:$A$205,0)),"?"))</f>
        <v/>
      </c>
      <c r="D4606" s="41" t="n"/>
      <c r="E4606" s="42" t="n"/>
      <c r="F4606" s="43" t="n"/>
      <c r="G4606" s="44">
        <f>IF(OR(B4606="",F4606=""),"",IFERROR(F4606*INDEX(Mitarbeiter!$F$6:$F$205,MATCH(B4606,Mitarbeiter!$A$6:$A$205,0)),0))</f>
        <v/>
      </c>
      <c r="H4606" s="8">
        <f>IF(B4606="","",IF(ISNA(MATCH(B4606,Mitarbeiter!$A$6:$A$205,0)),"Pers.-Nr. unbekannt",IF(A4606="","Datum fehlt",IF(AND(D4606&lt;&gt;Einstellungen!$C$4,D4606&lt;&gt;Einstellungen!$C$5),"Objekt fehlt",IF(YEAR(A4606)&lt;&gt;Einstellungen!$C$3,"anderes Jahr",IF(A4606&lt;INDEX(Mitarbeiter!$C$6:$C$205,MATCH(B4606,Mitarbeiter!$A$6:$A$205,0)),"vor Eintritt",IF(AND(INDEX(Mitarbeiter!$D$6:$D$205,MATCH(B4606,Mitarbeiter!$A$6:$A$205,0))&lt;&gt;"",A4606&gt;INDEX(Mitarbeiter!$D$6:$D$205,MATCH(B4606,Mitarbeiter!$A$6:$A$205,0))),"nach Austritt","ok")))))))</f>
        <v/>
      </c>
    </row>
    <row r="4607">
      <c r="A4607" s="26" t="n"/>
      <c r="B4607" s="24" t="n"/>
      <c r="C4607" s="40">
        <f>IF(B4607="","",IFERROR(INDEX(Mitarbeiter!$B$6:$B$205,MATCH(B4607,Mitarbeiter!$A$6:$A$205,0)),"?"))</f>
        <v/>
      </c>
      <c r="D4607" s="41" t="n"/>
      <c r="E4607" s="42" t="n"/>
      <c r="F4607" s="43" t="n"/>
      <c r="G4607" s="44">
        <f>IF(OR(B4607="",F4607=""),"",IFERROR(F4607*INDEX(Mitarbeiter!$F$6:$F$205,MATCH(B4607,Mitarbeiter!$A$6:$A$205,0)),0))</f>
        <v/>
      </c>
      <c r="H4607" s="8">
        <f>IF(B4607="","",IF(ISNA(MATCH(B4607,Mitarbeiter!$A$6:$A$205,0)),"Pers.-Nr. unbekannt",IF(A4607="","Datum fehlt",IF(AND(D4607&lt;&gt;Einstellungen!$C$4,D4607&lt;&gt;Einstellungen!$C$5),"Objekt fehlt",IF(YEAR(A4607)&lt;&gt;Einstellungen!$C$3,"anderes Jahr",IF(A4607&lt;INDEX(Mitarbeiter!$C$6:$C$205,MATCH(B4607,Mitarbeiter!$A$6:$A$205,0)),"vor Eintritt",IF(AND(INDEX(Mitarbeiter!$D$6:$D$205,MATCH(B4607,Mitarbeiter!$A$6:$A$205,0))&lt;&gt;"",A4607&gt;INDEX(Mitarbeiter!$D$6:$D$205,MATCH(B4607,Mitarbeiter!$A$6:$A$205,0))),"nach Austritt","ok")))))))</f>
        <v/>
      </c>
    </row>
    <row r="4608">
      <c r="A4608" s="26" t="n"/>
      <c r="B4608" s="24" t="n"/>
      <c r="C4608" s="40">
        <f>IF(B4608="","",IFERROR(INDEX(Mitarbeiter!$B$6:$B$205,MATCH(B4608,Mitarbeiter!$A$6:$A$205,0)),"?"))</f>
        <v/>
      </c>
      <c r="D4608" s="41" t="n"/>
      <c r="E4608" s="42" t="n"/>
      <c r="F4608" s="43" t="n"/>
      <c r="G4608" s="44">
        <f>IF(OR(B4608="",F4608=""),"",IFERROR(F4608*INDEX(Mitarbeiter!$F$6:$F$205,MATCH(B4608,Mitarbeiter!$A$6:$A$205,0)),0))</f>
        <v/>
      </c>
      <c r="H4608" s="8">
        <f>IF(B4608="","",IF(ISNA(MATCH(B4608,Mitarbeiter!$A$6:$A$205,0)),"Pers.-Nr. unbekannt",IF(A4608="","Datum fehlt",IF(AND(D4608&lt;&gt;Einstellungen!$C$4,D4608&lt;&gt;Einstellungen!$C$5),"Objekt fehlt",IF(YEAR(A4608)&lt;&gt;Einstellungen!$C$3,"anderes Jahr",IF(A4608&lt;INDEX(Mitarbeiter!$C$6:$C$205,MATCH(B4608,Mitarbeiter!$A$6:$A$205,0)),"vor Eintritt",IF(AND(INDEX(Mitarbeiter!$D$6:$D$205,MATCH(B4608,Mitarbeiter!$A$6:$A$205,0))&lt;&gt;"",A4608&gt;INDEX(Mitarbeiter!$D$6:$D$205,MATCH(B4608,Mitarbeiter!$A$6:$A$205,0))),"nach Austritt","ok")))))))</f>
        <v/>
      </c>
    </row>
    <row r="4609">
      <c r="A4609" s="26" t="n"/>
      <c r="B4609" s="24" t="n"/>
      <c r="C4609" s="40">
        <f>IF(B4609="","",IFERROR(INDEX(Mitarbeiter!$B$6:$B$205,MATCH(B4609,Mitarbeiter!$A$6:$A$205,0)),"?"))</f>
        <v/>
      </c>
      <c r="D4609" s="41" t="n"/>
      <c r="E4609" s="42" t="n"/>
      <c r="F4609" s="43" t="n"/>
      <c r="G4609" s="44">
        <f>IF(OR(B4609="",F4609=""),"",IFERROR(F4609*INDEX(Mitarbeiter!$F$6:$F$205,MATCH(B4609,Mitarbeiter!$A$6:$A$205,0)),0))</f>
        <v/>
      </c>
      <c r="H4609" s="8">
        <f>IF(B4609="","",IF(ISNA(MATCH(B4609,Mitarbeiter!$A$6:$A$205,0)),"Pers.-Nr. unbekannt",IF(A4609="","Datum fehlt",IF(AND(D4609&lt;&gt;Einstellungen!$C$4,D4609&lt;&gt;Einstellungen!$C$5),"Objekt fehlt",IF(YEAR(A4609)&lt;&gt;Einstellungen!$C$3,"anderes Jahr",IF(A4609&lt;INDEX(Mitarbeiter!$C$6:$C$205,MATCH(B4609,Mitarbeiter!$A$6:$A$205,0)),"vor Eintritt",IF(AND(INDEX(Mitarbeiter!$D$6:$D$205,MATCH(B4609,Mitarbeiter!$A$6:$A$205,0))&lt;&gt;"",A4609&gt;INDEX(Mitarbeiter!$D$6:$D$205,MATCH(B4609,Mitarbeiter!$A$6:$A$205,0))),"nach Austritt","ok")))))))</f>
        <v/>
      </c>
    </row>
    <row r="4610">
      <c r="A4610" s="26" t="n"/>
      <c r="B4610" s="24" t="n"/>
      <c r="C4610" s="40">
        <f>IF(B4610="","",IFERROR(INDEX(Mitarbeiter!$B$6:$B$205,MATCH(B4610,Mitarbeiter!$A$6:$A$205,0)),"?"))</f>
        <v/>
      </c>
      <c r="D4610" s="41" t="n"/>
      <c r="E4610" s="42" t="n"/>
      <c r="F4610" s="43" t="n"/>
      <c r="G4610" s="44">
        <f>IF(OR(B4610="",F4610=""),"",IFERROR(F4610*INDEX(Mitarbeiter!$F$6:$F$205,MATCH(B4610,Mitarbeiter!$A$6:$A$205,0)),0))</f>
        <v/>
      </c>
      <c r="H4610" s="8">
        <f>IF(B4610="","",IF(ISNA(MATCH(B4610,Mitarbeiter!$A$6:$A$205,0)),"Pers.-Nr. unbekannt",IF(A4610="","Datum fehlt",IF(AND(D4610&lt;&gt;Einstellungen!$C$4,D4610&lt;&gt;Einstellungen!$C$5),"Objekt fehlt",IF(YEAR(A4610)&lt;&gt;Einstellungen!$C$3,"anderes Jahr",IF(A4610&lt;INDEX(Mitarbeiter!$C$6:$C$205,MATCH(B4610,Mitarbeiter!$A$6:$A$205,0)),"vor Eintritt",IF(AND(INDEX(Mitarbeiter!$D$6:$D$205,MATCH(B4610,Mitarbeiter!$A$6:$A$205,0))&lt;&gt;"",A4610&gt;INDEX(Mitarbeiter!$D$6:$D$205,MATCH(B4610,Mitarbeiter!$A$6:$A$205,0))),"nach Austritt","ok")))))))</f>
        <v/>
      </c>
    </row>
    <row r="4611">
      <c r="A4611" s="26" t="n"/>
      <c r="B4611" s="24" t="n"/>
      <c r="C4611" s="40">
        <f>IF(B4611="","",IFERROR(INDEX(Mitarbeiter!$B$6:$B$205,MATCH(B4611,Mitarbeiter!$A$6:$A$205,0)),"?"))</f>
        <v/>
      </c>
      <c r="D4611" s="41" t="n"/>
      <c r="E4611" s="42" t="n"/>
      <c r="F4611" s="43" t="n"/>
      <c r="G4611" s="44">
        <f>IF(OR(B4611="",F4611=""),"",IFERROR(F4611*INDEX(Mitarbeiter!$F$6:$F$205,MATCH(B4611,Mitarbeiter!$A$6:$A$205,0)),0))</f>
        <v/>
      </c>
      <c r="H4611" s="8">
        <f>IF(B4611="","",IF(ISNA(MATCH(B4611,Mitarbeiter!$A$6:$A$205,0)),"Pers.-Nr. unbekannt",IF(A4611="","Datum fehlt",IF(AND(D4611&lt;&gt;Einstellungen!$C$4,D4611&lt;&gt;Einstellungen!$C$5),"Objekt fehlt",IF(YEAR(A4611)&lt;&gt;Einstellungen!$C$3,"anderes Jahr",IF(A4611&lt;INDEX(Mitarbeiter!$C$6:$C$205,MATCH(B4611,Mitarbeiter!$A$6:$A$205,0)),"vor Eintritt",IF(AND(INDEX(Mitarbeiter!$D$6:$D$205,MATCH(B4611,Mitarbeiter!$A$6:$A$205,0))&lt;&gt;"",A4611&gt;INDEX(Mitarbeiter!$D$6:$D$205,MATCH(B4611,Mitarbeiter!$A$6:$A$205,0))),"nach Austritt","ok")))))))</f>
        <v/>
      </c>
    </row>
    <row r="4612">
      <c r="A4612" s="26" t="n"/>
      <c r="B4612" s="24" t="n"/>
      <c r="C4612" s="40">
        <f>IF(B4612="","",IFERROR(INDEX(Mitarbeiter!$B$6:$B$205,MATCH(B4612,Mitarbeiter!$A$6:$A$205,0)),"?"))</f>
        <v/>
      </c>
      <c r="D4612" s="41" t="n"/>
      <c r="E4612" s="42" t="n"/>
      <c r="F4612" s="43" t="n"/>
      <c r="G4612" s="44">
        <f>IF(OR(B4612="",F4612=""),"",IFERROR(F4612*INDEX(Mitarbeiter!$F$6:$F$205,MATCH(B4612,Mitarbeiter!$A$6:$A$205,0)),0))</f>
        <v/>
      </c>
      <c r="H4612" s="8">
        <f>IF(B4612="","",IF(ISNA(MATCH(B4612,Mitarbeiter!$A$6:$A$205,0)),"Pers.-Nr. unbekannt",IF(A4612="","Datum fehlt",IF(AND(D4612&lt;&gt;Einstellungen!$C$4,D4612&lt;&gt;Einstellungen!$C$5),"Objekt fehlt",IF(YEAR(A4612)&lt;&gt;Einstellungen!$C$3,"anderes Jahr",IF(A4612&lt;INDEX(Mitarbeiter!$C$6:$C$205,MATCH(B4612,Mitarbeiter!$A$6:$A$205,0)),"vor Eintritt",IF(AND(INDEX(Mitarbeiter!$D$6:$D$205,MATCH(B4612,Mitarbeiter!$A$6:$A$205,0))&lt;&gt;"",A4612&gt;INDEX(Mitarbeiter!$D$6:$D$205,MATCH(B4612,Mitarbeiter!$A$6:$A$205,0))),"nach Austritt","ok")))))))</f>
        <v/>
      </c>
    </row>
    <row r="4613">
      <c r="A4613" s="26" t="n"/>
      <c r="B4613" s="24" t="n"/>
      <c r="C4613" s="40">
        <f>IF(B4613="","",IFERROR(INDEX(Mitarbeiter!$B$6:$B$205,MATCH(B4613,Mitarbeiter!$A$6:$A$205,0)),"?"))</f>
        <v/>
      </c>
      <c r="D4613" s="41" t="n"/>
      <c r="E4613" s="42" t="n"/>
      <c r="F4613" s="43" t="n"/>
      <c r="G4613" s="44">
        <f>IF(OR(B4613="",F4613=""),"",IFERROR(F4613*INDEX(Mitarbeiter!$F$6:$F$205,MATCH(B4613,Mitarbeiter!$A$6:$A$205,0)),0))</f>
        <v/>
      </c>
      <c r="H4613" s="8">
        <f>IF(B4613="","",IF(ISNA(MATCH(B4613,Mitarbeiter!$A$6:$A$205,0)),"Pers.-Nr. unbekannt",IF(A4613="","Datum fehlt",IF(AND(D4613&lt;&gt;Einstellungen!$C$4,D4613&lt;&gt;Einstellungen!$C$5),"Objekt fehlt",IF(YEAR(A4613)&lt;&gt;Einstellungen!$C$3,"anderes Jahr",IF(A4613&lt;INDEX(Mitarbeiter!$C$6:$C$205,MATCH(B4613,Mitarbeiter!$A$6:$A$205,0)),"vor Eintritt",IF(AND(INDEX(Mitarbeiter!$D$6:$D$205,MATCH(B4613,Mitarbeiter!$A$6:$A$205,0))&lt;&gt;"",A4613&gt;INDEX(Mitarbeiter!$D$6:$D$205,MATCH(B4613,Mitarbeiter!$A$6:$A$205,0))),"nach Austritt","ok")))))))</f>
        <v/>
      </c>
    </row>
    <row r="4614">
      <c r="A4614" s="26" t="n"/>
      <c r="B4614" s="24" t="n"/>
      <c r="C4614" s="40">
        <f>IF(B4614="","",IFERROR(INDEX(Mitarbeiter!$B$6:$B$205,MATCH(B4614,Mitarbeiter!$A$6:$A$205,0)),"?"))</f>
        <v/>
      </c>
      <c r="D4614" s="41" t="n"/>
      <c r="E4614" s="42" t="n"/>
      <c r="F4614" s="43" t="n"/>
      <c r="G4614" s="44">
        <f>IF(OR(B4614="",F4614=""),"",IFERROR(F4614*INDEX(Mitarbeiter!$F$6:$F$205,MATCH(B4614,Mitarbeiter!$A$6:$A$205,0)),0))</f>
        <v/>
      </c>
      <c r="H4614" s="8">
        <f>IF(B4614="","",IF(ISNA(MATCH(B4614,Mitarbeiter!$A$6:$A$205,0)),"Pers.-Nr. unbekannt",IF(A4614="","Datum fehlt",IF(AND(D4614&lt;&gt;Einstellungen!$C$4,D4614&lt;&gt;Einstellungen!$C$5),"Objekt fehlt",IF(YEAR(A4614)&lt;&gt;Einstellungen!$C$3,"anderes Jahr",IF(A4614&lt;INDEX(Mitarbeiter!$C$6:$C$205,MATCH(B4614,Mitarbeiter!$A$6:$A$205,0)),"vor Eintritt",IF(AND(INDEX(Mitarbeiter!$D$6:$D$205,MATCH(B4614,Mitarbeiter!$A$6:$A$205,0))&lt;&gt;"",A4614&gt;INDEX(Mitarbeiter!$D$6:$D$205,MATCH(B4614,Mitarbeiter!$A$6:$A$205,0))),"nach Austritt","ok")))))))</f>
        <v/>
      </c>
    </row>
    <row r="4615">
      <c r="A4615" s="26" t="n"/>
      <c r="B4615" s="24" t="n"/>
      <c r="C4615" s="40">
        <f>IF(B4615="","",IFERROR(INDEX(Mitarbeiter!$B$6:$B$205,MATCH(B4615,Mitarbeiter!$A$6:$A$205,0)),"?"))</f>
        <v/>
      </c>
      <c r="D4615" s="41" t="n"/>
      <c r="E4615" s="42" t="n"/>
      <c r="F4615" s="43" t="n"/>
      <c r="G4615" s="44">
        <f>IF(OR(B4615="",F4615=""),"",IFERROR(F4615*INDEX(Mitarbeiter!$F$6:$F$205,MATCH(B4615,Mitarbeiter!$A$6:$A$205,0)),0))</f>
        <v/>
      </c>
      <c r="H4615" s="8">
        <f>IF(B4615="","",IF(ISNA(MATCH(B4615,Mitarbeiter!$A$6:$A$205,0)),"Pers.-Nr. unbekannt",IF(A4615="","Datum fehlt",IF(AND(D4615&lt;&gt;Einstellungen!$C$4,D4615&lt;&gt;Einstellungen!$C$5),"Objekt fehlt",IF(YEAR(A4615)&lt;&gt;Einstellungen!$C$3,"anderes Jahr",IF(A4615&lt;INDEX(Mitarbeiter!$C$6:$C$205,MATCH(B4615,Mitarbeiter!$A$6:$A$205,0)),"vor Eintritt",IF(AND(INDEX(Mitarbeiter!$D$6:$D$205,MATCH(B4615,Mitarbeiter!$A$6:$A$205,0))&lt;&gt;"",A4615&gt;INDEX(Mitarbeiter!$D$6:$D$205,MATCH(B4615,Mitarbeiter!$A$6:$A$205,0))),"nach Austritt","ok")))))))</f>
        <v/>
      </c>
    </row>
    <row r="4616">
      <c r="A4616" s="26" t="n"/>
      <c r="B4616" s="24" t="n"/>
      <c r="C4616" s="40">
        <f>IF(B4616="","",IFERROR(INDEX(Mitarbeiter!$B$6:$B$205,MATCH(B4616,Mitarbeiter!$A$6:$A$205,0)),"?"))</f>
        <v/>
      </c>
      <c r="D4616" s="41" t="n"/>
      <c r="E4616" s="42" t="n"/>
      <c r="F4616" s="43" t="n"/>
      <c r="G4616" s="44">
        <f>IF(OR(B4616="",F4616=""),"",IFERROR(F4616*INDEX(Mitarbeiter!$F$6:$F$205,MATCH(B4616,Mitarbeiter!$A$6:$A$205,0)),0))</f>
        <v/>
      </c>
      <c r="H4616" s="8">
        <f>IF(B4616="","",IF(ISNA(MATCH(B4616,Mitarbeiter!$A$6:$A$205,0)),"Pers.-Nr. unbekannt",IF(A4616="","Datum fehlt",IF(AND(D4616&lt;&gt;Einstellungen!$C$4,D4616&lt;&gt;Einstellungen!$C$5),"Objekt fehlt",IF(YEAR(A4616)&lt;&gt;Einstellungen!$C$3,"anderes Jahr",IF(A4616&lt;INDEX(Mitarbeiter!$C$6:$C$205,MATCH(B4616,Mitarbeiter!$A$6:$A$205,0)),"vor Eintritt",IF(AND(INDEX(Mitarbeiter!$D$6:$D$205,MATCH(B4616,Mitarbeiter!$A$6:$A$205,0))&lt;&gt;"",A4616&gt;INDEX(Mitarbeiter!$D$6:$D$205,MATCH(B4616,Mitarbeiter!$A$6:$A$205,0))),"nach Austritt","ok")))))))</f>
        <v/>
      </c>
    </row>
    <row r="4617">
      <c r="A4617" s="26" t="n"/>
      <c r="B4617" s="24" t="n"/>
      <c r="C4617" s="40">
        <f>IF(B4617="","",IFERROR(INDEX(Mitarbeiter!$B$6:$B$205,MATCH(B4617,Mitarbeiter!$A$6:$A$205,0)),"?"))</f>
        <v/>
      </c>
      <c r="D4617" s="41" t="n"/>
      <c r="E4617" s="42" t="n"/>
      <c r="F4617" s="43" t="n"/>
      <c r="G4617" s="44">
        <f>IF(OR(B4617="",F4617=""),"",IFERROR(F4617*INDEX(Mitarbeiter!$F$6:$F$205,MATCH(B4617,Mitarbeiter!$A$6:$A$205,0)),0))</f>
        <v/>
      </c>
      <c r="H4617" s="8">
        <f>IF(B4617="","",IF(ISNA(MATCH(B4617,Mitarbeiter!$A$6:$A$205,0)),"Pers.-Nr. unbekannt",IF(A4617="","Datum fehlt",IF(AND(D4617&lt;&gt;Einstellungen!$C$4,D4617&lt;&gt;Einstellungen!$C$5),"Objekt fehlt",IF(YEAR(A4617)&lt;&gt;Einstellungen!$C$3,"anderes Jahr",IF(A4617&lt;INDEX(Mitarbeiter!$C$6:$C$205,MATCH(B4617,Mitarbeiter!$A$6:$A$205,0)),"vor Eintritt",IF(AND(INDEX(Mitarbeiter!$D$6:$D$205,MATCH(B4617,Mitarbeiter!$A$6:$A$205,0))&lt;&gt;"",A4617&gt;INDEX(Mitarbeiter!$D$6:$D$205,MATCH(B4617,Mitarbeiter!$A$6:$A$205,0))),"nach Austritt","ok")))))))</f>
        <v/>
      </c>
    </row>
    <row r="4618">
      <c r="A4618" s="26" t="n"/>
      <c r="B4618" s="24" t="n"/>
      <c r="C4618" s="40">
        <f>IF(B4618="","",IFERROR(INDEX(Mitarbeiter!$B$6:$B$205,MATCH(B4618,Mitarbeiter!$A$6:$A$205,0)),"?"))</f>
        <v/>
      </c>
      <c r="D4618" s="41" t="n"/>
      <c r="E4618" s="42" t="n"/>
      <c r="F4618" s="43" t="n"/>
      <c r="G4618" s="44">
        <f>IF(OR(B4618="",F4618=""),"",IFERROR(F4618*INDEX(Mitarbeiter!$F$6:$F$205,MATCH(B4618,Mitarbeiter!$A$6:$A$205,0)),0))</f>
        <v/>
      </c>
      <c r="H4618" s="8">
        <f>IF(B4618="","",IF(ISNA(MATCH(B4618,Mitarbeiter!$A$6:$A$205,0)),"Pers.-Nr. unbekannt",IF(A4618="","Datum fehlt",IF(AND(D4618&lt;&gt;Einstellungen!$C$4,D4618&lt;&gt;Einstellungen!$C$5),"Objekt fehlt",IF(YEAR(A4618)&lt;&gt;Einstellungen!$C$3,"anderes Jahr",IF(A4618&lt;INDEX(Mitarbeiter!$C$6:$C$205,MATCH(B4618,Mitarbeiter!$A$6:$A$205,0)),"vor Eintritt",IF(AND(INDEX(Mitarbeiter!$D$6:$D$205,MATCH(B4618,Mitarbeiter!$A$6:$A$205,0))&lt;&gt;"",A4618&gt;INDEX(Mitarbeiter!$D$6:$D$205,MATCH(B4618,Mitarbeiter!$A$6:$A$205,0))),"nach Austritt","ok")))))))</f>
        <v/>
      </c>
    </row>
    <row r="4619">
      <c r="A4619" s="26" t="n"/>
      <c r="B4619" s="24" t="n"/>
      <c r="C4619" s="40">
        <f>IF(B4619="","",IFERROR(INDEX(Mitarbeiter!$B$6:$B$205,MATCH(B4619,Mitarbeiter!$A$6:$A$205,0)),"?"))</f>
        <v/>
      </c>
      <c r="D4619" s="41" t="n"/>
      <c r="E4619" s="42" t="n"/>
      <c r="F4619" s="43" t="n"/>
      <c r="G4619" s="44">
        <f>IF(OR(B4619="",F4619=""),"",IFERROR(F4619*INDEX(Mitarbeiter!$F$6:$F$205,MATCH(B4619,Mitarbeiter!$A$6:$A$205,0)),0))</f>
        <v/>
      </c>
      <c r="H4619" s="8">
        <f>IF(B4619="","",IF(ISNA(MATCH(B4619,Mitarbeiter!$A$6:$A$205,0)),"Pers.-Nr. unbekannt",IF(A4619="","Datum fehlt",IF(AND(D4619&lt;&gt;Einstellungen!$C$4,D4619&lt;&gt;Einstellungen!$C$5),"Objekt fehlt",IF(YEAR(A4619)&lt;&gt;Einstellungen!$C$3,"anderes Jahr",IF(A4619&lt;INDEX(Mitarbeiter!$C$6:$C$205,MATCH(B4619,Mitarbeiter!$A$6:$A$205,0)),"vor Eintritt",IF(AND(INDEX(Mitarbeiter!$D$6:$D$205,MATCH(B4619,Mitarbeiter!$A$6:$A$205,0))&lt;&gt;"",A4619&gt;INDEX(Mitarbeiter!$D$6:$D$205,MATCH(B4619,Mitarbeiter!$A$6:$A$205,0))),"nach Austritt","ok")))))))</f>
        <v/>
      </c>
    </row>
    <row r="4620">
      <c r="A4620" s="26" t="n"/>
      <c r="B4620" s="24" t="n"/>
      <c r="C4620" s="40">
        <f>IF(B4620="","",IFERROR(INDEX(Mitarbeiter!$B$6:$B$205,MATCH(B4620,Mitarbeiter!$A$6:$A$205,0)),"?"))</f>
        <v/>
      </c>
      <c r="D4620" s="41" t="n"/>
      <c r="E4620" s="42" t="n"/>
      <c r="F4620" s="43" t="n"/>
      <c r="G4620" s="44">
        <f>IF(OR(B4620="",F4620=""),"",IFERROR(F4620*INDEX(Mitarbeiter!$F$6:$F$205,MATCH(B4620,Mitarbeiter!$A$6:$A$205,0)),0))</f>
        <v/>
      </c>
      <c r="H4620" s="8">
        <f>IF(B4620="","",IF(ISNA(MATCH(B4620,Mitarbeiter!$A$6:$A$205,0)),"Pers.-Nr. unbekannt",IF(A4620="","Datum fehlt",IF(AND(D4620&lt;&gt;Einstellungen!$C$4,D4620&lt;&gt;Einstellungen!$C$5),"Objekt fehlt",IF(YEAR(A4620)&lt;&gt;Einstellungen!$C$3,"anderes Jahr",IF(A4620&lt;INDEX(Mitarbeiter!$C$6:$C$205,MATCH(B4620,Mitarbeiter!$A$6:$A$205,0)),"vor Eintritt",IF(AND(INDEX(Mitarbeiter!$D$6:$D$205,MATCH(B4620,Mitarbeiter!$A$6:$A$205,0))&lt;&gt;"",A4620&gt;INDEX(Mitarbeiter!$D$6:$D$205,MATCH(B4620,Mitarbeiter!$A$6:$A$205,0))),"nach Austritt","ok")))))))</f>
        <v/>
      </c>
    </row>
    <row r="4621">
      <c r="A4621" s="26" t="n"/>
      <c r="B4621" s="24" t="n"/>
      <c r="C4621" s="40">
        <f>IF(B4621="","",IFERROR(INDEX(Mitarbeiter!$B$6:$B$205,MATCH(B4621,Mitarbeiter!$A$6:$A$205,0)),"?"))</f>
        <v/>
      </c>
      <c r="D4621" s="41" t="n"/>
      <c r="E4621" s="42" t="n"/>
      <c r="F4621" s="43" t="n"/>
      <c r="G4621" s="44">
        <f>IF(OR(B4621="",F4621=""),"",IFERROR(F4621*INDEX(Mitarbeiter!$F$6:$F$205,MATCH(B4621,Mitarbeiter!$A$6:$A$205,0)),0))</f>
        <v/>
      </c>
      <c r="H4621" s="8">
        <f>IF(B4621="","",IF(ISNA(MATCH(B4621,Mitarbeiter!$A$6:$A$205,0)),"Pers.-Nr. unbekannt",IF(A4621="","Datum fehlt",IF(AND(D4621&lt;&gt;Einstellungen!$C$4,D4621&lt;&gt;Einstellungen!$C$5),"Objekt fehlt",IF(YEAR(A4621)&lt;&gt;Einstellungen!$C$3,"anderes Jahr",IF(A4621&lt;INDEX(Mitarbeiter!$C$6:$C$205,MATCH(B4621,Mitarbeiter!$A$6:$A$205,0)),"vor Eintritt",IF(AND(INDEX(Mitarbeiter!$D$6:$D$205,MATCH(B4621,Mitarbeiter!$A$6:$A$205,0))&lt;&gt;"",A4621&gt;INDEX(Mitarbeiter!$D$6:$D$205,MATCH(B4621,Mitarbeiter!$A$6:$A$205,0))),"nach Austritt","ok")))))))</f>
        <v/>
      </c>
    </row>
    <row r="4622">
      <c r="A4622" s="26" t="n"/>
      <c r="B4622" s="24" t="n"/>
      <c r="C4622" s="40">
        <f>IF(B4622="","",IFERROR(INDEX(Mitarbeiter!$B$6:$B$205,MATCH(B4622,Mitarbeiter!$A$6:$A$205,0)),"?"))</f>
        <v/>
      </c>
      <c r="D4622" s="41" t="n"/>
      <c r="E4622" s="42" t="n"/>
      <c r="F4622" s="43" t="n"/>
      <c r="G4622" s="44">
        <f>IF(OR(B4622="",F4622=""),"",IFERROR(F4622*INDEX(Mitarbeiter!$F$6:$F$205,MATCH(B4622,Mitarbeiter!$A$6:$A$205,0)),0))</f>
        <v/>
      </c>
      <c r="H4622" s="8">
        <f>IF(B4622="","",IF(ISNA(MATCH(B4622,Mitarbeiter!$A$6:$A$205,0)),"Pers.-Nr. unbekannt",IF(A4622="","Datum fehlt",IF(AND(D4622&lt;&gt;Einstellungen!$C$4,D4622&lt;&gt;Einstellungen!$C$5),"Objekt fehlt",IF(YEAR(A4622)&lt;&gt;Einstellungen!$C$3,"anderes Jahr",IF(A4622&lt;INDEX(Mitarbeiter!$C$6:$C$205,MATCH(B4622,Mitarbeiter!$A$6:$A$205,0)),"vor Eintritt",IF(AND(INDEX(Mitarbeiter!$D$6:$D$205,MATCH(B4622,Mitarbeiter!$A$6:$A$205,0))&lt;&gt;"",A4622&gt;INDEX(Mitarbeiter!$D$6:$D$205,MATCH(B4622,Mitarbeiter!$A$6:$A$205,0))),"nach Austritt","ok")))))))</f>
        <v/>
      </c>
    </row>
    <row r="4623">
      <c r="A4623" s="26" t="n"/>
      <c r="B4623" s="24" t="n"/>
      <c r="C4623" s="40">
        <f>IF(B4623="","",IFERROR(INDEX(Mitarbeiter!$B$6:$B$205,MATCH(B4623,Mitarbeiter!$A$6:$A$205,0)),"?"))</f>
        <v/>
      </c>
      <c r="D4623" s="41" t="n"/>
      <c r="E4623" s="42" t="n"/>
      <c r="F4623" s="43" t="n"/>
      <c r="G4623" s="44">
        <f>IF(OR(B4623="",F4623=""),"",IFERROR(F4623*INDEX(Mitarbeiter!$F$6:$F$205,MATCH(B4623,Mitarbeiter!$A$6:$A$205,0)),0))</f>
        <v/>
      </c>
      <c r="H4623" s="8">
        <f>IF(B4623="","",IF(ISNA(MATCH(B4623,Mitarbeiter!$A$6:$A$205,0)),"Pers.-Nr. unbekannt",IF(A4623="","Datum fehlt",IF(AND(D4623&lt;&gt;Einstellungen!$C$4,D4623&lt;&gt;Einstellungen!$C$5),"Objekt fehlt",IF(YEAR(A4623)&lt;&gt;Einstellungen!$C$3,"anderes Jahr",IF(A4623&lt;INDEX(Mitarbeiter!$C$6:$C$205,MATCH(B4623,Mitarbeiter!$A$6:$A$205,0)),"vor Eintritt",IF(AND(INDEX(Mitarbeiter!$D$6:$D$205,MATCH(B4623,Mitarbeiter!$A$6:$A$205,0))&lt;&gt;"",A4623&gt;INDEX(Mitarbeiter!$D$6:$D$205,MATCH(B4623,Mitarbeiter!$A$6:$A$205,0))),"nach Austritt","ok")))))))</f>
        <v/>
      </c>
    </row>
    <row r="4624">
      <c r="A4624" s="26" t="n"/>
      <c r="B4624" s="24" t="n"/>
      <c r="C4624" s="40">
        <f>IF(B4624="","",IFERROR(INDEX(Mitarbeiter!$B$6:$B$205,MATCH(B4624,Mitarbeiter!$A$6:$A$205,0)),"?"))</f>
        <v/>
      </c>
      <c r="D4624" s="41" t="n"/>
      <c r="E4624" s="42" t="n"/>
      <c r="F4624" s="43" t="n"/>
      <c r="G4624" s="44">
        <f>IF(OR(B4624="",F4624=""),"",IFERROR(F4624*INDEX(Mitarbeiter!$F$6:$F$205,MATCH(B4624,Mitarbeiter!$A$6:$A$205,0)),0))</f>
        <v/>
      </c>
      <c r="H4624" s="8">
        <f>IF(B4624="","",IF(ISNA(MATCH(B4624,Mitarbeiter!$A$6:$A$205,0)),"Pers.-Nr. unbekannt",IF(A4624="","Datum fehlt",IF(AND(D4624&lt;&gt;Einstellungen!$C$4,D4624&lt;&gt;Einstellungen!$C$5),"Objekt fehlt",IF(YEAR(A4624)&lt;&gt;Einstellungen!$C$3,"anderes Jahr",IF(A4624&lt;INDEX(Mitarbeiter!$C$6:$C$205,MATCH(B4624,Mitarbeiter!$A$6:$A$205,0)),"vor Eintritt",IF(AND(INDEX(Mitarbeiter!$D$6:$D$205,MATCH(B4624,Mitarbeiter!$A$6:$A$205,0))&lt;&gt;"",A4624&gt;INDEX(Mitarbeiter!$D$6:$D$205,MATCH(B4624,Mitarbeiter!$A$6:$A$205,0))),"nach Austritt","ok")))))))</f>
        <v/>
      </c>
    </row>
    <row r="4625">
      <c r="A4625" s="26" t="n"/>
      <c r="B4625" s="24" t="n"/>
      <c r="C4625" s="40">
        <f>IF(B4625="","",IFERROR(INDEX(Mitarbeiter!$B$6:$B$205,MATCH(B4625,Mitarbeiter!$A$6:$A$205,0)),"?"))</f>
        <v/>
      </c>
      <c r="D4625" s="41" t="n"/>
      <c r="E4625" s="42" t="n"/>
      <c r="F4625" s="43" t="n"/>
      <c r="G4625" s="44">
        <f>IF(OR(B4625="",F4625=""),"",IFERROR(F4625*INDEX(Mitarbeiter!$F$6:$F$205,MATCH(B4625,Mitarbeiter!$A$6:$A$205,0)),0))</f>
        <v/>
      </c>
      <c r="H4625" s="8">
        <f>IF(B4625="","",IF(ISNA(MATCH(B4625,Mitarbeiter!$A$6:$A$205,0)),"Pers.-Nr. unbekannt",IF(A4625="","Datum fehlt",IF(AND(D4625&lt;&gt;Einstellungen!$C$4,D4625&lt;&gt;Einstellungen!$C$5),"Objekt fehlt",IF(YEAR(A4625)&lt;&gt;Einstellungen!$C$3,"anderes Jahr",IF(A4625&lt;INDEX(Mitarbeiter!$C$6:$C$205,MATCH(B4625,Mitarbeiter!$A$6:$A$205,0)),"vor Eintritt",IF(AND(INDEX(Mitarbeiter!$D$6:$D$205,MATCH(B4625,Mitarbeiter!$A$6:$A$205,0))&lt;&gt;"",A4625&gt;INDEX(Mitarbeiter!$D$6:$D$205,MATCH(B4625,Mitarbeiter!$A$6:$A$205,0))),"nach Austritt","ok")))))))</f>
        <v/>
      </c>
    </row>
    <row r="4626">
      <c r="A4626" s="26" t="n"/>
      <c r="B4626" s="24" t="n"/>
      <c r="C4626" s="40">
        <f>IF(B4626="","",IFERROR(INDEX(Mitarbeiter!$B$6:$B$205,MATCH(B4626,Mitarbeiter!$A$6:$A$205,0)),"?"))</f>
        <v/>
      </c>
      <c r="D4626" s="41" t="n"/>
      <c r="E4626" s="42" t="n"/>
      <c r="F4626" s="43" t="n"/>
      <c r="G4626" s="44">
        <f>IF(OR(B4626="",F4626=""),"",IFERROR(F4626*INDEX(Mitarbeiter!$F$6:$F$205,MATCH(B4626,Mitarbeiter!$A$6:$A$205,0)),0))</f>
        <v/>
      </c>
      <c r="H4626" s="8">
        <f>IF(B4626="","",IF(ISNA(MATCH(B4626,Mitarbeiter!$A$6:$A$205,0)),"Pers.-Nr. unbekannt",IF(A4626="","Datum fehlt",IF(AND(D4626&lt;&gt;Einstellungen!$C$4,D4626&lt;&gt;Einstellungen!$C$5),"Objekt fehlt",IF(YEAR(A4626)&lt;&gt;Einstellungen!$C$3,"anderes Jahr",IF(A4626&lt;INDEX(Mitarbeiter!$C$6:$C$205,MATCH(B4626,Mitarbeiter!$A$6:$A$205,0)),"vor Eintritt",IF(AND(INDEX(Mitarbeiter!$D$6:$D$205,MATCH(B4626,Mitarbeiter!$A$6:$A$205,0))&lt;&gt;"",A4626&gt;INDEX(Mitarbeiter!$D$6:$D$205,MATCH(B4626,Mitarbeiter!$A$6:$A$205,0))),"nach Austritt","ok")))))))</f>
        <v/>
      </c>
    </row>
    <row r="4627">
      <c r="A4627" s="26" t="n"/>
      <c r="B4627" s="24" t="n"/>
      <c r="C4627" s="40">
        <f>IF(B4627="","",IFERROR(INDEX(Mitarbeiter!$B$6:$B$205,MATCH(B4627,Mitarbeiter!$A$6:$A$205,0)),"?"))</f>
        <v/>
      </c>
      <c r="D4627" s="41" t="n"/>
      <c r="E4627" s="42" t="n"/>
      <c r="F4627" s="43" t="n"/>
      <c r="G4627" s="44">
        <f>IF(OR(B4627="",F4627=""),"",IFERROR(F4627*INDEX(Mitarbeiter!$F$6:$F$205,MATCH(B4627,Mitarbeiter!$A$6:$A$205,0)),0))</f>
        <v/>
      </c>
      <c r="H4627" s="8">
        <f>IF(B4627="","",IF(ISNA(MATCH(B4627,Mitarbeiter!$A$6:$A$205,0)),"Pers.-Nr. unbekannt",IF(A4627="","Datum fehlt",IF(AND(D4627&lt;&gt;Einstellungen!$C$4,D4627&lt;&gt;Einstellungen!$C$5),"Objekt fehlt",IF(YEAR(A4627)&lt;&gt;Einstellungen!$C$3,"anderes Jahr",IF(A4627&lt;INDEX(Mitarbeiter!$C$6:$C$205,MATCH(B4627,Mitarbeiter!$A$6:$A$205,0)),"vor Eintritt",IF(AND(INDEX(Mitarbeiter!$D$6:$D$205,MATCH(B4627,Mitarbeiter!$A$6:$A$205,0))&lt;&gt;"",A4627&gt;INDEX(Mitarbeiter!$D$6:$D$205,MATCH(B4627,Mitarbeiter!$A$6:$A$205,0))),"nach Austritt","ok")))))))</f>
        <v/>
      </c>
    </row>
    <row r="4628">
      <c r="A4628" s="26" t="n"/>
      <c r="B4628" s="24" t="n"/>
      <c r="C4628" s="40">
        <f>IF(B4628="","",IFERROR(INDEX(Mitarbeiter!$B$6:$B$205,MATCH(B4628,Mitarbeiter!$A$6:$A$205,0)),"?"))</f>
        <v/>
      </c>
      <c r="D4628" s="41" t="n"/>
      <c r="E4628" s="42" t="n"/>
      <c r="F4628" s="43" t="n"/>
      <c r="G4628" s="44">
        <f>IF(OR(B4628="",F4628=""),"",IFERROR(F4628*INDEX(Mitarbeiter!$F$6:$F$205,MATCH(B4628,Mitarbeiter!$A$6:$A$205,0)),0))</f>
        <v/>
      </c>
      <c r="H4628" s="8">
        <f>IF(B4628="","",IF(ISNA(MATCH(B4628,Mitarbeiter!$A$6:$A$205,0)),"Pers.-Nr. unbekannt",IF(A4628="","Datum fehlt",IF(AND(D4628&lt;&gt;Einstellungen!$C$4,D4628&lt;&gt;Einstellungen!$C$5),"Objekt fehlt",IF(YEAR(A4628)&lt;&gt;Einstellungen!$C$3,"anderes Jahr",IF(A4628&lt;INDEX(Mitarbeiter!$C$6:$C$205,MATCH(B4628,Mitarbeiter!$A$6:$A$205,0)),"vor Eintritt",IF(AND(INDEX(Mitarbeiter!$D$6:$D$205,MATCH(B4628,Mitarbeiter!$A$6:$A$205,0))&lt;&gt;"",A4628&gt;INDEX(Mitarbeiter!$D$6:$D$205,MATCH(B4628,Mitarbeiter!$A$6:$A$205,0))),"nach Austritt","ok")))))))</f>
        <v/>
      </c>
    </row>
    <row r="4629">
      <c r="A4629" s="26" t="n"/>
      <c r="B4629" s="24" t="n"/>
      <c r="C4629" s="40">
        <f>IF(B4629="","",IFERROR(INDEX(Mitarbeiter!$B$6:$B$205,MATCH(B4629,Mitarbeiter!$A$6:$A$205,0)),"?"))</f>
        <v/>
      </c>
      <c r="D4629" s="41" t="n"/>
      <c r="E4629" s="42" t="n"/>
      <c r="F4629" s="43" t="n"/>
      <c r="G4629" s="44">
        <f>IF(OR(B4629="",F4629=""),"",IFERROR(F4629*INDEX(Mitarbeiter!$F$6:$F$205,MATCH(B4629,Mitarbeiter!$A$6:$A$205,0)),0))</f>
        <v/>
      </c>
      <c r="H4629" s="8">
        <f>IF(B4629="","",IF(ISNA(MATCH(B4629,Mitarbeiter!$A$6:$A$205,0)),"Pers.-Nr. unbekannt",IF(A4629="","Datum fehlt",IF(AND(D4629&lt;&gt;Einstellungen!$C$4,D4629&lt;&gt;Einstellungen!$C$5),"Objekt fehlt",IF(YEAR(A4629)&lt;&gt;Einstellungen!$C$3,"anderes Jahr",IF(A4629&lt;INDEX(Mitarbeiter!$C$6:$C$205,MATCH(B4629,Mitarbeiter!$A$6:$A$205,0)),"vor Eintritt",IF(AND(INDEX(Mitarbeiter!$D$6:$D$205,MATCH(B4629,Mitarbeiter!$A$6:$A$205,0))&lt;&gt;"",A4629&gt;INDEX(Mitarbeiter!$D$6:$D$205,MATCH(B4629,Mitarbeiter!$A$6:$A$205,0))),"nach Austritt","ok")))))))</f>
        <v/>
      </c>
    </row>
    <row r="4630">
      <c r="A4630" s="26" t="n"/>
      <c r="B4630" s="24" t="n"/>
      <c r="C4630" s="40">
        <f>IF(B4630="","",IFERROR(INDEX(Mitarbeiter!$B$6:$B$205,MATCH(B4630,Mitarbeiter!$A$6:$A$205,0)),"?"))</f>
        <v/>
      </c>
      <c r="D4630" s="41" t="n"/>
      <c r="E4630" s="42" t="n"/>
      <c r="F4630" s="43" t="n"/>
      <c r="G4630" s="44">
        <f>IF(OR(B4630="",F4630=""),"",IFERROR(F4630*INDEX(Mitarbeiter!$F$6:$F$205,MATCH(B4630,Mitarbeiter!$A$6:$A$205,0)),0))</f>
        <v/>
      </c>
      <c r="H4630" s="8">
        <f>IF(B4630="","",IF(ISNA(MATCH(B4630,Mitarbeiter!$A$6:$A$205,0)),"Pers.-Nr. unbekannt",IF(A4630="","Datum fehlt",IF(AND(D4630&lt;&gt;Einstellungen!$C$4,D4630&lt;&gt;Einstellungen!$C$5),"Objekt fehlt",IF(YEAR(A4630)&lt;&gt;Einstellungen!$C$3,"anderes Jahr",IF(A4630&lt;INDEX(Mitarbeiter!$C$6:$C$205,MATCH(B4630,Mitarbeiter!$A$6:$A$205,0)),"vor Eintritt",IF(AND(INDEX(Mitarbeiter!$D$6:$D$205,MATCH(B4630,Mitarbeiter!$A$6:$A$205,0))&lt;&gt;"",A4630&gt;INDEX(Mitarbeiter!$D$6:$D$205,MATCH(B4630,Mitarbeiter!$A$6:$A$205,0))),"nach Austritt","ok")))))))</f>
        <v/>
      </c>
    </row>
    <row r="4631">
      <c r="A4631" s="26" t="n"/>
      <c r="B4631" s="24" t="n"/>
      <c r="C4631" s="40">
        <f>IF(B4631="","",IFERROR(INDEX(Mitarbeiter!$B$6:$B$205,MATCH(B4631,Mitarbeiter!$A$6:$A$205,0)),"?"))</f>
        <v/>
      </c>
      <c r="D4631" s="41" t="n"/>
      <c r="E4631" s="42" t="n"/>
      <c r="F4631" s="43" t="n"/>
      <c r="G4631" s="44">
        <f>IF(OR(B4631="",F4631=""),"",IFERROR(F4631*INDEX(Mitarbeiter!$F$6:$F$205,MATCH(B4631,Mitarbeiter!$A$6:$A$205,0)),0))</f>
        <v/>
      </c>
      <c r="H4631" s="8">
        <f>IF(B4631="","",IF(ISNA(MATCH(B4631,Mitarbeiter!$A$6:$A$205,0)),"Pers.-Nr. unbekannt",IF(A4631="","Datum fehlt",IF(AND(D4631&lt;&gt;Einstellungen!$C$4,D4631&lt;&gt;Einstellungen!$C$5),"Objekt fehlt",IF(YEAR(A4631)&lt;&gt;Einstellungen!$C$3,"anderes Jahr",IF(A4631&lt;INDEX(Mitarbeiter!$C$6:$C$205,MATCH(B4631,Mitarbeiter!$A$6:$A$205,0)),"vor Eintritt",IF(AND(INDEX(Mitarbeiter!$D$6:$D$205,MATCH(B4631,Mitarbeiter!$A$6:$A$205,0))&lt;&gt;"",A4631&gt;INDEX(Mitarbeiter!$D$6:$D$205,MATCH(B4631,Mitarbeiter!$A$6:$A$205,0))),"nach Austritt","ok")))))))</f>
        <v/>
      </c>
    </row>
    <row r="4632">
      <c r="A4632" s="26" t="n"/>
      <c r="B4632" s="24" t="n"/>
      <c r="C4632" s="40">
        <f>IF(B4632="","",IFERROR(INDEX(Mitarbeiter!$B$6:$B$205,MATCH(B4632,Mitarbeiter!$A$6:$A$205,0)),"?"))</f>
        <v/>
      </c>
      <c r="D4632" s="41" t="n"/>
      <c r="E4632" s="42" t="n"/>
      <c r="F4632" s="43" t="n"/>
      <c r="G4632" s="44">
        <f>IF(OR(B4632="",F4632=""),"",IFERROR(F4632*INDEX(Mitarbeiter!$F$6:$F$205,MATCH(B4632,Mitarbeiter!$A$6:$A$205,0)),0))</f>
        <v/>
      </c>
      <c r="H4632" s="8">
        <f>IF(B4632="","",IF(ISNA(MATCH(B4632,Mitarbeiter!$A$6:$A$205,0)),"Pers.-Nr. unbekannt",IF(A4632="","Datum fehlt",IF(AND(D4632&lt;&gt;Einstellungen!$C$4,D4632&lt;&gt;Einstellungen!$C$5),"Objekt fehlt",IF(YEAR(A4632)&lt;&gt;Einstellungen!$C$3,"anderes Jahr",IF(A4632&lt;INDEX(Mitarbeiter!$C$6:$C$205,MATCH(B4632,Mitarbeiter!$A$6:$A$205,0)),"vor Eintritt",IF(AND(INDEX(Mitarbeiter!$D$6:$D$205,MATCH(B4632,Mitarbeiter!$A$6:$A$205,0))&lt;&gt;"",A4632&gt;INDEX(Mitarbeiter!$D$6:$D$205,MATCH(B4632,Mitarbeiter!$A$6:$A$205,0))),"nach Austritt","ok")))))))</f>
        <v/>
      </c>
    </row>
    <row r="4633">
      <c r="A4633" s="26" t="n"/>
      <c r="B4633" s="24" t="n"/>
      <c r="C4633" s="40">
        <f>IF(B4633="","",IFERROR(INDEX(Mitarbeiter!$B$6:$B$205,MATCH(B4633,Mitarbeiter!$A$6:$A$205,0)),"?"))</f>
        <v/>
      </c>
      <c r="D4633" s="41" t="n"/>
      <c r="E4633" s="42" t="n"/>
      <c r="F4633" s="43" t="n"/>
      <c r="G4633" s="44">
        <f>IF(OR(B4633="",F4633=""),"",IFERROR(F4633*INDEX(Mitarbeiter!$F$6:$F$205,MATCH(B4633,Mitarbeiter!$A$6:$A$205,0)),0))</f>
        <v/>
      </c>
      <c r="H4633" s="8">
        <f>IF(B4633="","",IF(ISNA(MATCH(B4633,Mitarbeiter!$A$6:$A$205,0)),"Pers.-Nr. unbekannt",IF(A4633="","Datum fehlt",IF(AND(D4633&lt;&gt;Einstellungen!$C$4,D4633&lt;&gt;Einstellungen!$C$5),"Objekt fehlt",IF(YEAR(A4633)&lt;&gt;Einstellungen!$C$3,"anderes Jahr",IF(A4633&lt;INDEX(Mitarbeiter!$C$6:$C$205,MATCH(B4633,Mitarbeiter!$A$6:$A$205,0)),"vor Eintritt",IF(AND(INDEX(Mitarbeiter!$D$6:$D$205,MATCH(B4633,Mitarbeiter!$A$6:$A$205,0))&lt;&gt;"",A4633&gt;INDEX(Mitarbeiter!$D$6:$D$205,MATCH(B4633,Mitarbeiter!$A$6:$A$205,0))),"nach Austritt","ok")))))))</f>
        <v/>
      </c>
    </row>
    <row r="4634">
      <c r="A4634" s="26" t="n"/>
      <c r="B4634" s="24" t="n"/>
      <c r="C4634" s="40">
        <f>IF(B4634="","",IFERROR(INDEX(Mitarbeiter!$B$6:$B$205,MATCH(B4634,Mitarbeiter!$A$6:$A$205,0)),"?"))</f>
        <v/>
      </c>
      <c r="D4634" s="41" t="n"/>
      <c r="E4634" s="42" t="n"/>
      <c r="F4634" s="43" t="n"/>
      <c r="G4634" s="44">
        <f>IF(OR(B4634="",F4634=""),"",IFERROR(F4634*INDEX(Mitarbeiter!$F$6:$F$205,MATCH(B4634,Mitarbeiter!$A$6:$A$205,0)),0))</f>
        <v/>
      </c>
      <c r="H4634" s="8">
        <f>IF(B4634="","",IF(ISNA(MATCH(B4634,Mitarbeiter!$A$6:$A$205,0)),"Pers.-Nr. unbekannt",IF(A4634="","Datum fehlt",IF(AND(D4634&lt;&gt;Einstellungen!$C$4,D4634&lt;&gt;Einstellungen!$C$5),"Objekt fehlt",IF(YEAR(A4634)&lt;&gt;Einstellungen!$C$3,"anderes Jahr",IF(A4634&lt;INDEX(Mitarbeiter!$C$6:$C$205,MATCH(B4634,Mitarbeiter!$A$6:$A$205,0)),"vor Eintritt",IF(AND(INDEX(Mitarbeiter!$D$6:$D$205,MATCH(B4634,Mitarbeiter!$A$6:$A$205,0))&lt;&gt;"",A4634&gt;INDEX(Mitarbeiter!$D$6:$D$205,MATCH(B4634,Mitarbeiter!$A$6:$A$205,0))),"nach Austritt","ok")))))))</f>
        <v/>
      </c>
    </row>
    <row r="4635">
      <c r="A4635" s="26" t="n"/>
      <c r="B4635" s="24" t="n"/>
      <c r="C4635" s="40">
        <f>IF(B4635="","",IFERROR(INDEX(Mitarbeiter!$B$6:$B$205,MATCH(B4635,Mitarbeiter!$A$6:$A$205,0)),"?"))</f>
        <v/>
      </c>
      <c r="D4635" s="41" t="n"/>
      <c r="E4635" s="42" t="n"/>
      <c r="F4635" s="43" t="n"/>
      <c r="G4635" s="44">
        <f>IF(OR(B4635="",F4635=""),"",IFERROR(F4635*INDEX(Mitarbeiter!$F$6:$F$205,MATCH(B4635,Mitarbeiter!$A$6:$A$205,0)),0))</f>
        <v/>
      </c>
      <c r="H4635" s="8">
        <f>IF(B4635="","",IF(ISNA(MATCH(B4635,Mitarbeiter!$A$6:$A$205,0)),"Pers.-Nr. unbekannt",IF(A4635="","Datum fehlt",IF(AND(D4635&lt;&gt;Einstellungen!$C$4,D4635&lt;&gt;Einstellungen!$C$5),"Objekt fehlt",IF(YEAR(A4635)&lt;&gt;Einstellungen!$C$3,"anderes Jahr",IF(A4635&lt;INDEX(Mitarbeiter!$C$6:$C$205,MATCH(B4635,Mitarbeiter!$A$6:$A$205,0)),"vor Eintritt",IF(AND(INDEX(Mitarbeiter!$D$6:$D$205,MATCH(B4635,Mitarbeiter!$A$6:$A$205,0))&lt;&gt;"",A4635&gt;INDEX(Mitarbeiter!$D$6:$D$205,MATCH(B4635,Mitarbeiter!$A$6:$A$205,0))),"nach Austritt","ok")))))))</f>
        <v/>
      </c>
    </row>
    <row r="4636">
      <c r="A4636" s="26" t="n"/>
      <c r="B4636" s="24" t="n"/>
      <c r="C4636" s="40">
        <f>IF(B4636="","",IFERROR(INDEX(Mitarbeiter!$B$6:$B$205,MATCH(B4636,Mitarbeiter!$A$6:$A$205,0)),"?"))</f>
        <v/>
      </c>
      <c r="D4636" s="41" t="n"/>
      <c r="E4636" s="42" t="n"/>
      <c r="F4636" s="43" t="n"/>
      <c r="G4636" s="44">
        <f>IF(OR(B4636="",F4636=""),"",IFERROR(F4636*INDEX(Mitarbeiter!$F$6:$F$205,MATCH(B4636,Mitarbeiter!$A$6:$A$205,0)),0))</f>
        <v/>
      </c>
      <c r="H4636" s="8">
        <f>IF(B4636="","",IF(ISNA(MATCH(B4636,Mitarbeiter!$A$6:$A$205,0)),"Pers.-Nr. unbekannt",IF(A4636="","Datum fehlt",IF(AND(D4636&lt;&gt;Einstellungen!$C$4,D4636&lt;&gt;Einstellungen!$C$5),"Objekt fehlt",IF(YEAR(A4636)&lt;&gt;Einstellungen!$C$3,"anderes Jahr",IF(A4636&lt;INDEX(Mitarbeiter!$C$6:$C$205,MATCH(B4636,Mitarbeiter!$A$6:$A$205,0)),"vor Eintritt",IF(AND(INDEX(Mitarbeiter!$D$6:$D$205,MATCH(B4636,Mitarbeiter!$A$6:$A$205,0))&lt;&gt;"",A4636&gt;INDEX(Mitarbeiter!$D$6:$D$205,MATCH(B4636,Mitarbeiter!$A$6:$A$205,0))),"nach Austritt","ok")))))))</f>
        <v/>
      </c>
    </row>
    <row r="4637">
      <c r="A4637" s="26" t="n"/>
      <c r="B4637" s="24" t="n"/>
      <c r="C4637" s="40">
        <f>IF(B4637="","",IFERROR(INDEX(Mitarbeiter!$B$6:$B$205,MATCH(B4637,Mitarbeiter!$A$6:$A$205,0)),"?"))</f>
        <v/>
      </c>
      <c r="D4637" s="41" t="n"/>
      <c r="E4637" s="42" t="n"/>
      <c r="F4637" s="43" t="n"/>
      <c r="G4637" s="44">
        <f>IF(OR(B4637="",F4637=""),"",IFERROR(F4637*INDEX(Mitarbeiter!$F$6:$F$205,MATCH(B4637,Mitarbeiter!$A$6:$A$205,0)),0))</f>
        <v/>
      </c>
      <c r="H4637" s="8">
        <f>IF(B4637="","",IF(ISNA(MATCH(B4637,Mitarbeiter!$A$6:$A$205,0)),"Pers.-Nr. unbekannt",IF(A4637="","Datum fehlt",IF(AND(D4637&lt;&gt;Einstellungen!$C$4,D4637&lt;&gt;Einstellungen!$C$5),"Objekt fehlt",IF(YEAR(A4637)&lt;&gt;Einstellungen!$C$3,"anderes Jahr",IF(A4637&lt;INDEX(Mitarbeiter!$C$6:$C$205,MATCH(B4637,Mitarbeiter!$A$6:$A$205,0)),"vor Eintritt",IF(AND(INDEX(Mitarbeiter!$D$6:$D$205,MATCH(B4637,Mitarbeiter!$A$6:$A$205,0))&lt;&gt;"",A4637&gt;INDEX(Mitarbeiter!$D$6:$D$205,MATCH(B4637,Mitarbeiter!$A$6:$A$205,0))),"nach Austritt","ok")))))))</f>
        <v/>
      </c>
    </row>
    <row r="4638">
      <c r="A4638" s="26" t="n"/>
      <c r="B4638" s="24" t="n"/>
      <c r="C4638" s="40">
        <f>IF(B4638="","",IFERROR(INDEX(Mitarbeiter!$B$6:$B$205,MATCH(B4638,Mitarbeiter!$A$6:$A$205,0)),"?"))</f>
        <v/>
      </c>
      <c r="D4638" s="41" t="n"/>
      <c r="E4638" s="42" t="n"/>
      <c r="F4638" s="43" t="n"/>
      <c r="G4638" s="44">
        <f>IF(OR(B4638="",F4638=""),"",IFERROR(F4638*INDEX(Mitarbeiter!$F$6:$F$205,MATCH(B4638,Mitarbeiter!$A$6:$A$205,0)),0))</f>
        <v/>
      </c>
      <c r="H4638" s="8">
        <f>IF(B4638="","",IF(ISNA(MATCH(B4638,Mitarbeiter!$A$6:$A$205,0)),"Pers.-Nr. unbekannt",IF(A4638="","Datum fehlt",IF(AND(D4638&lt;&gt;Einstellungen!$C$4,D4638&lt;&gt;Einstellungen!$C$5),"Objekt fehlt",IF(YEAR(A4638)&lt;&gt;Einstellungen!$C$3,"anderes Jahr",IF(A4638&lt;INDEX(Mitarbeiter!$C$6:$C$205,MATCH(B4638,Mitarbeiter!$A$6:$A$205,0)),"vor Eintritt",IF(AND(INDEX(Mitarbeiter!$D$6:$D$205,MATCH(B4638,Mitarbeiter!$A$6:$A$205,0))&lt;&gt;"",A4638&gt;INDEX(Mitarbeiter!$D$6:$D$205,MATCH(B4638,Mitarbeiter!$A$6:$A$205,0))),"nach Austritt","ok")))))))</f>
        <v/>
      </c>
    </row>
    <row r="4639">
      <c r="A4639" s="26" t="n"/>
      <c r="B4639" s="24" t="n"/>
      <c r="C4639" s="40">
        <f>IF(B4639="","",IFERROR(INDEX(Mitarbeiter!$B$6:$B$205,MATCH(B4639,Mitarbeiter!$A$6:$A$205,0)),"?"))</f>
        <v/>
      </c>
      <c r="D4639" s="41" t="n"/>
      <c r="E4639" s="42" t="n"/>
      <c r="F4639" s="43" t="n"/>
      <c r="G4639" s="44">
        <f>IF(OR(B4639="",F4639=""),"",IFERROR(F4639*INDEX(Mitarbeiter!$F$6:$F$205,MATCH(B4639,Mitarbeiter!$A$6:$A$205,0)),0))</f>
        <v/>
      </c>
      <c r="H4639" s="8">
        <f>IF(B4639="","",IF(ISNA(MATCH(B4639,Mitarbeiter!$A$6:$A$205,0)),"Pers.-Nr. unbekannt",IF(A4639="","Datum fehlt",IF(AND(D4639&lt;&gt;Einstellungen!$C$4,D4639&lt;&gt;Einstellungen!$C$5),"Objekt fehlt",IF(YEAR(A4639)&lt;&gt;Einstellungen!$C$3,"anderes Jahr",IF(A4639&lt;INDEX(Mitarbeiter!$C$6:$C$205,MATCH(B4639,Mitarbeiter!$A$6:$A$205,0)),"vor Eintritt",IF(AND(INDEX(Mitarbeiter!$D$6:$D$205,MATCH(B4639,Mitarbeiter!$A$6:$A$205,0))&lt;&gt;"",A4639&gt;INDEX(Mitarbeiter!$D$6:$D$205,MATCH(B4639,Mitarbeiter!$A$6:$A$205,0))),"nach Austritt","ok")))))))</f>
        <v/>
      </c>
    </row>
    <row r="4640">
      <c r="A4640" s="26" t="n"/>
      <c r="B4640" s="24" t="n"/>
      <c r="C4640" s="40">
        <f>IF(B4640="","",IFERROR(INDEX(Mitarbeiter!$B$6:$B$205,MATCH(B4640,Mitarbeiter!$A$6:$A$205,0)),"?"))</f>
        <v/>
      </c>
      <c r="D4640" s="41" t="n"/>
      <c r="E4640" s="42" t="n"/>
      <c r="F4640" s="43" t="n"/>
      <c r="G4640" s="44">
        <f>IF(OR(B4640="",F4640=""),"",IFERROR(F4640*INDEX(Mitarbeiter!$F$6:$F$205,MATCH(B4640,Mitarbeiter!$A$6:$A$205,0)),0))</f>
        <v/>
      </c>
      <c r="H4640" s="8">
        <f>IF(B4640="","",IF(ISNA(MATCH(B4640,Mitarbeiter!$A$6:$A$205,0)),"Pers.-Nr. unbekannt",IF(A4640="","Datum fehlt",IF(AND(D4640&lt;&gt;Einstellungen!$C$4,D4640&lt;&gt;Einstellungen!$C$5),"Objekt fehlt",IF(YEAR(A4640)&lt;&gt;Einstellungen!$C$3,"anderes Jahr",IF(A4640&lt;INDEX(Mitarbeiter!$C$6:$C$205,MATCH(B4640,Mitarbeiter!$A$6:$A$205,0)),"vor Eintritt",IF(AND(INDEX(Mitarbeiter!$D$6:$D$205,MATCH(B4640,Mitarbeiter!$A$6:$A$205,0))&lt;&gt;"",A4640&gt;INDEX(Mitarbeiter!$D$6:$D$205,MATCH(B4640,Mitarbeiter!$A$6:$A$205,0))),"nach Austritt","ok")))))))</f>
        <v/>
      </c>
    </row>
    <row r="4641">
      <c r="A4641" s="26" t="n"/>
      <c r="B4641" s="24" t="n"/>
      <c r="C4641" s="40">
        <f>IF(B4641="","",IFERROR(INDEX(Mitarbeiter!$B$6:$B$205,MATCH(B4641,Mitarbeiter!$A$6:$A$205,0)),"?"))</f>
        <v/>
      </c>
      <c r="D4641" s="41" t="n"/>
      <c r="E4641" s="42" t="n"/>
      <c r="F4641" s="43" t="n"/>
      <c r="G4641" s="44">
        <f>IF(OR(B4641="",F4641=""),"",IFERROR(F4641*INDEX(Mitarbeiter!$F$6:$F$205,MATCH(B4641,Mitarbeiter!$A$6:$A$205,0)),0))</f>
        <v/>
      </c>
      <c r="H4641" s="8">
        <f>IF(B4641="","",IF(ISNA(MATCH(B4641,Mitarbeiter!$A$6:$A$205,0)),"Pers.-Nr. unbekannt",IF(A4641="","Datum fehlt",IF(AND(D4641&lt;&gt;Einstellungen!$C$4,D4641&lt;&gt;Einstellungen!$C$5),"Objekt fehlt",IF(YEAR(A4641)&lt;&gt;Einstellungen!$C$3,"anderes Jahr",IF(A4641&lt;INDEX(Mitarbeiter!$C$6:$C$205,MATCH(B4641,Mitarbeiter!$A$6:$A$205,0)),"vor Eintritt",IF(AND(INDEX(Mitarbeiter!$D$6:$D$205,MATCH(B4641,Mitarbeiter!$A$6:$A$205,0))&lt;&gt;"",A4641&gt;INDEX(Mitarbeiter!$D$6:$D$205,MATCH(B4641,Mitarbeiter!$A$6:$A$205,0))),"nach Austritt","ok")))))))</f>
        <v/>
      </c>
    </row>
    <row r="4642">
      <c r="A4642" s="26" t="n"/>
      <c r="B4642" s="24" t="n"/>
      <c r="C4642" s="40">
        <f>IF(B4642="","",IFERROR(INDEX(Mitarbeiter!$B$6:$B$205,MATCH(B4642,Mitarbeiter!$A$6:$A$205,0)),"?"))</f>
        <v/>
      </c>
      <c r="D4642" s="41" t="n"/>
      <c r="E4642" s="42" t="n"/>
      <c r="F4642" s="43" t="n"/>
      <c r="G4642" s="44">
        <f>IF(OR(B4642="",F4642=""),"",IFERROR(F4642*INDEX(Mitarbeiter!$F$6:$F$205,MATCH(B4642,Mitarbeiter!$A$6:$A$205,0)),0))</f>
        <v/>
      </c>
      <c r="H4642" s="8">
        <f>IF(B4642="","",IF(ISNA(MATCH(B4642,Mitarbeiter!$A$6:$A$205,0)),"Pers.-Nr. unbekannt",IF(A4642="","Datum fehlt",IF(AND(D4642&lt;&gt;Einstellungen!$C$4,D4642&lt;&gt;Einstellungen!$C$5),"Objekt fehlt",IF(YEAR(A4642)&lt;&gt;Einstellungen!$C$3,"anderes Jahr",IF(A4642&lt;INDEX(Mitarbeiter!$C$6:$C$205,MATCH(B4642,Mitarbeiter!$A$6:$A$205,0)),"vor Eintritt",IF(AND(INDEX(Mitarbeiter!$D$6:$D$205,MATCH(B4642,Mitarbeiter!$A$6:$A$205,0))&lt;&gt;"",A4642&gt;INDEX(Mitarbeiter!$D$6:$D$205,MATCH(B4642,Mitarbeiter!$A$6:$A$205,0))),"nach Austritt","ok")))))))</f>
        <v/>
      </c>
    </row>
    <row r="4643">
      <c r="A4643" s="26" t="n"/>
      <c r="B4643" s="24" t="n"/>
      <c r="C4643" s="40">
        <f>IF(B4643="","",IFERROR(INDEX(Mitarbeiter!$B$6:$B$205,MATCH(B4643,Mitarbeiter!$A$6:$A$205,0)),"?"))</f>
        <v/>
      </c>
      <c r="D4643" s="41" t="n"/>
      <c r="E4643" s="42" t="n"/>
      <c r="F4643" s="43" t="n"/>
      <c r="G4643" s="44">
        <f>IF(OR(B4643="",F4643=""),"",IFERROR(F4643*INDEX(Mitarbeiter!$F$6:$F$205,MATCH(B4643,Mitarbeiter!$A$6:$A$205,0)),0))</f>
        <v/>
      </c>
      <c r="H4643" s="8">
        <f>IF(B4643="","",IF(ISNA(MATCH(B4643,Mitarbeiter!$A$6:$A$205,0)),"Pers.-Nr. unbekannt",IF(A4643="","Datum fehlt",IF(AND(D4643&lt;&gt;Einstellungen!$C$4,D4643&lt;&gt;Einstellungen!$C$5),"Objekt fehlt",IF(YEAR(A4643)&lt;&gt;Einstellungen!$C$3,"anderes Jahr",IF(A4643&lt;INDEX(Mitarbeiter!$C$6:$C$205,MATCH(B4643,Mitarbeiter!$A$6:$A$205,0)),"vor Eintritt",IF(AND(INDEX(Mitarbeiter!$D$6:$D$205,MATCH(B4643,Mitarbeiter!$A$6:$A$205,0))&lt;&gt;"",A4643&gt;INDEX(Mitarbeiter!$D$6:$D$205,MATCH(B4643,Mitarbeiter!$A$6:$A$205,0))),"nach Austritt","ok")))))))</f>
        <v/>
      </c>
    </row>
    <row r="4644">
      <c r="A4644" s="26" t="n"/>
      <c r="B4644" s="24" t="n"/>
      <c r="C4644" s="40">
        <f>IF(B4644="","",IFERROR(INDEX(Mitarbeiter!$B$6:$B$205,MATCH(B4644,Mitarbeiter!$A$6:$A$205,0)),"?"))</f>
        <v/>
      </c>
      <c r="D4644" s="41" t="n"/>
      <c r="E4644" s="42" t="n"/>
      <c r="F4644" s="43" t="n"/>
      <c r="G4644" s="44">
        <f>IF(OR(B4644="",F4644=""),"",IFERROR(F4644*INDEX(Mitarbeiter!$F$6:$F$205,MATCH(B4644,Mitarbeiter!$A$6:$A$205,0)),0))</f>
        <v/>
      </c>
      <c r="H4644" s="8">
        <f>IF(B4644="","",IF(ISNA(MATCH(B4644,Mitarbeiter!$A$6:$A$205,0)),"Pers.-Nr. unbekannt",IF(A4644="","Datum fehlt",IF(AND(D4644&lt;&gt;Einstellungen!$C$4,D4644&lt;&gt;Einstellungen!$C$5),"Objekt fehlt",IF(YEAR(A4644)&lt;&gt;Einstellungen!$C$3,"anderes Jahr",IF(A4644&lt;INDEX(Mitarbeiter!$C$6:$C$205,MATCH(B4644,Mitarbeiter!$A$6:$A$205,0)),"vor Eintritt",IF(AND(INDEX(Mitarbeiter!$D$6:$D$205,MATCH(B4644,Mitarbeiter!$A$6:$A$205,0))&lt;&gt;"",A4644&gt;INDEX(Mitarbeiter!$D$6:$D$205,MATCH(B4644,Mitarbeiter!$A$6:$A$205,0))),"nach Austritt","ok")))))))</f>
        <v/>
      </c>
    </row>
    <row r="4645">
      <c r="A4645" s="26" t="n"/>
      <c r="B4645" s="24" t="n"/>
      <c r="C4645" s="40">
        <f>IF(B4645="","",IFERROR(INDEX(Mitarbeiter!$B$6:$B$205,MATCH(B4645,Mitarbeiter!$A$6:$A$205,0)),"?"))</f>
        <v/>
      </c>
      <c r="D4645" s="41" t="n"/>
      <c r="E4645" s="42" t="n"/>
      <c r="F4645" s="43" t="n"/>
      <c r="G4645" s="44">
        <f>IF(OR(B4645="",F4645=""),"",IFERROR(F4645*INDEX(Mitarbeiter!$F$6:$F$205,MATCH(B4645,Mitarbeiter!$A$6:$A$205,0)),0))</f>
        <v/>
      </c>
      <c r="H4645" s="8">
        <f>IF(B4645="","",IF(ISNA(MATCH(B4645,Mitarbeiter!$A$6:$A$205,0)),"Pers.-Nr. unbekannt",IF(A4645="","Datum fehlt",IF(AND(D4645&lt;&gt;Einstellungen!$C$4,D4645&lt;&gt;Einstellungen!$C$5),"Objekt fehlt",IF(YEAR(A4645)&lt;&gt;Einstellungen!$C$3,"anderes Jahr",IF(A4645&lt;INDEX(Mitarbeiter!$C$6:$C$205,MATCH(B4645,Mitarbeiter!$A$6:$A$205,0)),"vor Eintritt",IF(AND(INDEX(Mitarbeiter!$D$6:$D$205,MATCH(B4645,Mitarbeiter!$A$6:$A$205,0))&lt;&gt;"",A4645&gt;INDEX(Mitarbeiter!$D$6:$D$205,MATCH(B4645,Mitarbeiter!$A$6:$A$205,0))),"nach Austritt","ok")))))))</f>
        <v/>
      </c>
    </row>
    <row r="4646">
      <c r="A4646" s="26" t="n"/>
      <c r="B4646" s="24" t="n"/>
      <c r="C4646" s="40">
        <f>IF(B4646="","",IFERROR(INDEX(Mitarbeiter!$B$6:$B$205,MATCH(B4646,Mitarbeiter!$A$6:$A$205,0)),"?"))</f>
        <v/>
      </c>
      <c r="D4646" s="41" t="n"/>
      <c r="E4646" s="42" t="n"/>
      <c r="F4646" s="43" t="n"/>
      <c r="G4646" s="44">
        <f>IF(OR(B4646="",F4646=""),"",IFERROR(F4646*INDEX(Mitarbeiter!$F$6:$F$205,MATCH(B4646,Mitarbeiter!$A$6:$A$205,0)),0))</f>
        <v/>
      </c>
      <c r="H4646" s="8">
        <f>IF(B4646="","",IF(ISNA(MATCH(B4646,Mitarbeiter!$A$6:$A$205,0)),"Pers.-Nr. unbekannt",IF(A4646="","Datum fehlt",IF(AND(D4646&lt;&gt;Einstellungen!$C$4,D4646&lt;&gt;Einstellungen!$C$5),"Objekt fehlt",IF(YEAR(A4646)&lt;&gt;Einstellungen!$C$3,"anderes Jahr",IF(A4646&lt;INDEX(Mitarbeiter!$C$6:$C$205,MATCH(B4646,Mitarbeiter!$A$6:$A$205,0)),"vor Eintritt",IF(AND(INDEX(Mitarbeiter!$D$6:$D$205,MATCH(B4646,Mitarbeiter!$A$6:$A$205,0))&lt;&gt;"",A4646&gt;INDEX(Mitarbeiter!$D$6:$D$205,MATCH(B4646,Mitarbeiter!$A$6:$A$205,0))),"nach Austritt","ok")))))))</f>
        <v/>
      </c>
    </row>
    <row r="4647">
      <c r="A4647" s="26" t="n"/>
      <c r="B4647" s="24" t="n"/>
      <c r="C4647" s="40">
        <f>IF(B4647="","",IFERROR(INDEX(Mitarbeiter!$B$6:$B$205,MATCH(B4647,Mitarbeiter!$A$6:$A$205,0)),"?"))</f>
        <v/>
      </c>
      <c r="D4647" s="41" t="n"/>
      <c r="E4647" s="42" t="n"/>
      <c r="F4647" s="43" t="n"/>
      <c r="G4647" s="44">
        <f>IF(OR(B4647="",F4647=""),"",IFERROR(F4647*INDEX(Mitarbeiter!$F$6:$F$205,MATCH(B4647,Mitarbeiter!$A$6:$A$205,0)),0))</f>
        <v/>
      </c>
      <c r="H4647" s="8">
        <f>IF(B4647="","",IF(ISNA(MATCH(B4647,Mitarbeiter!$A$6:$A$205,0)),"Pers.-Nr. unbekannt",IF(A4647="","Datum fehlt",IF(AND(D4647&lt;&gt;Einstellungen!$C$4,D4647&lt;&gt;Einstellungen!$C$5),"Objekt fehlt",IF(YEAR(A4647)&lt;&gt;Einstellungen!$C$3,"anderes Jahr",IF(A4647&lt;INDEX(Mitarbeiter!$C$6:$C$205,MATCH(B4647,Mitarbeiter!$A$6:$A$205,0)),"vor Eintritt",IF(AND(INDEX(Mitarbeiter!$D$6:$D$205,MATCH(B4647,Mitarbeiter!$A$6:$A$205,0))&lt;&gt;"",A4647&gt;INDEX(Mitarbeiter!$D$6:$D$205,MATCH(B4647,Mitarbeiter!$A$6:$A$205,0))),"nach Austritt","ok")))))))</f>
        <v/>
      </c>
    </row>
    <row r="4648">
      <c r="A4648" s="26" t="n"/>
      <c r="B4648" s="24" t="n"/>
      <c r="C4648" s="40">
        <f>IF(B4648="","",IFERROR(INDEX(Mitarbeiter!$B$6:$B$205,MATCH(B4648,Mitarbeiter!$A$6:$A$205,0)),"?"))</f>
        <v/>
      </c>
      <c r="D4648" s="41" t="n"/>
      <c r="E4648" s="42" t="n"/>
      <c r="F4648" s="43" t="n"/>
      <c r="G4648" s="44">
        <f>IF(OR(B4648="",F4648=""),"",IFERROR(F4648*INDEX(Mitarbeiter!$F$6:$F$205,MATCH(B4648,Mitarbeiter!$A$6:$A$205,0)),0))</f>
        <v/>
      </c>
      <c r="H4648" s="8">
        <f>IF(B4648="","",IF(ISNA(MATCH(B4648,Mitarbeiter!$A$6:$A$205,0)),"Pers.-Nr. unbekannt",IF(A4648="","Datum fehlt",IF(AND(D4648&lt;&gt;Einstellungen!$C$4,D4648&lt;&gt;Einstellungen!$C$5),"Objekt fehlt",IF(YEAR(A4648)&lt;&gt;Einstellungen!$C$3,"anderes Jahr",IF(A4648&lt;INDEX(Mitarbeiter!$C$6:$C$205,MATCH(B4648,Mitarbeiter!$A$6:$A$205,0)),"vor Eintritt",IF(AND(INDEX(Mitarbeiter!$D$6:$D$205,MATCH(B4648,Mitarbeiter!$A$6:$A$205,0))&lt;&gt;"",A4648&gt;INDEX(Mitarbeiter!$D$6:$D$205,MATCH(B4648,Mitarbeiter!$A$6:$A$205,0))),"nach Austritt","ok")))))))</f>
        <v/>
      </c>
    </row>
    <row r="4649">
      <c r="A4649" s="26" t="n"/>
      <c r="B4649" s="24" t="n"/>
      <c r="C4649" s="40">
        <f>IF(B4649="","",IFERROR(INDEX(Mitarbeiter!$B$6:$B$205,MATCH(B4649,Mitarbeiter!$A$6:$A$205,0)),"?"))</f>
        <v/>
      </c>
      <c r="D4649" s="41" t="n"/>
      <c r="E4649" s="42" t="n"/>
      <c r="F4649" s="43" t="n"/>
      <c r="G4649" s="44">
        <f>IF(OR(B4649="",F4649=""),"",IFERROR(F4649*INDEX(Mitarbeiter!$F$6:$F$205,MATCH(B4649,Mitarbeiter!$A$6:$A$205,0)),0))</f>
        <v/>
      </c>
      <c r="H4649" s="8">
        <f>IF(B4649="","",IF(ISNA(MATCH(B4649,Mitarbeiter!$A$6:$A$205,0)),"Pers.-Nr. unbekannt",IF(A4649="","Datum fehlt",IF(AND(D4649&lt;&gt;Einstellungen!$C$4,D4649&lt;&gt;Einstellungen!$C$5),"Objekt fehlt",IF(YEAR(A4649)&lt;&gt;Einstellungen!$C$3,"anderes Jahr",IF(A4649&lt;INDEX(Mitarbeiter!$C$6:$C$205,MATCH(B4649,Mitarbeiter!$A$6:$A$205,0)),"vor Eintritt",IF(AND(INDEX(Mitarbeiter!$D$6:$D$205,MATCH(B4649,Mitarbeiter!$A$6:$A$205,0))&lt;&gt;"",A4649&gt;INDEX(Mitarbeiter!$D$6:$D$205,MATCH(B4649,Mitarbeiter!$A$6:$A$205,0))),"nach Austritt","ok")))))))</f>
        <v/>
      </c>
    </row>
    <row r="4650">
      <c r="A4650" s="26" t="n"/>
      <c r="B4650" s="24" t="n"/>
      <c r="C4650" s="40">
        <f>IF(B4650="","",IFERROR(INDEX(Mitarbeiter!$B$6:$B$205,MATCH(B4650,Mitarbeiter!$A$6:$A$205,0)),"?"))</f>
        <v/>
      </c>
      <c r="D4650" s="41" t="n"/>
      <c r="E4650" s="42" t="n"/>
      <c r="F4650" s="43" t="n"/>
      <c r="G4650" s="44">
        <f>IF(OR(B4650="",F4650=""),"",IFERROR(F4650*INDEX(Mitarbeiter!$F$6:$F$205,MATCH(B4650,Mitarbeiter!$A$6:$A$205,0)),0))</f>
        <v/>
      </c>
      <c r="H4650" s="8">
        <f>IF(B4650="","",IF(ISNA(MATCH(B4650,Mitarbeiter!$A$6:$A$205,0)),"Pers.-Nr. unbekannt",IF(A4650="","Datum fehlt",IF(AND(D4650&lt;&gt;Einstellungen!$C$4,D4650&lt;&gt;Einstellungen!$C$5),"Objekt fehlt",IF(YEAR(A4650)&lt;&gt;Einstellungen!$C$3,"anderes Jahr",IF(A4650&lt;INDEX(Mitarbeiter!$C$6:$C$205,MATCH(B4650,Mitarbeiter!$A$6:$A$205,0)),"vor Eintritt",IF(AND(INDEX(Mitarbeiter!$D$6:$D$205,MATCH(B4650,Mitarbeiter!$A$6:$A$205,0))&lt;&gt;"",A4650&gt;INDEX(Mitarbeiter!$D$6:$D$205,MATCH(B4650,Mitarbeiter!$A$6:$A$205,0))),"nach Austritt","ok")))))))</f>
        <v/>
      </c>
    </row>
    <row r="4651">
      <c r="A4651" s="26" t="n"/>
      <c r="B4651" s="24" t="n"/>
      <c r="C4651" s="40">
        <f>IF(B4651="","",IFERROR(INDEX(Mitarbeiter!$B$6:$B$205,MATCH(B4651,Mitarbeiter!$A$6:$A$205,0)),"?"))</f>
        <v/>
      </c>
      <c r="D4651" s="41" t="n"/>
      <c r="E4651" s="42" t="n"/>
      <c r="F4651" s="43" t="n"/>
      <c r="G4651" s="44">
        <f>IF(OR(B4651="",F4651=""),"",IFERROR(F4651*INDEX(Mitarbeiter!$F$6:$F$205,MATCH(B4651,Mitarbeiter!$A$6:$A$205,0)),0))</f>
        <v/>
      </c>
      <c r="H4651" s="8">
        <f>IF(B4651="","",IF(ISNA(MATCH(B4651,Mitarbeiter!$A$6:$A$205,0)),"Pers.-Nr. unbekannt",IF(A4651="","Datum fehlt",IF(AND(D4651&lt;&gt;Einstellungen!$C$4,D4651&lt;&gt;Einstellungen!$C$5),"Objekt fehlt",IF(YEAR(A4651)&lt;&gt;Einstellungen!$C$3,"anderes Jahr",IF(A4651&lt;INDEX(Mitarbeiter!$C$6:$C$205,MATCH(B4651,Mitarbeiter!$A$6:$A$205,0)),"vor Eintritt",IF(AND(INDEX(Mitarbeiter!$D$6:$D$205,MATCH(B4651,Mitarbeiter!$A$6:$A$205,0))&lt;&gt;"",A4651&gt;INDEX(Mitarbeiter!$D$6:$D$205,MATCH(B4651,Mitarbeiter!$A$6:$A$205,0))),"nach Austritt","ok")))))))</f>
        <v/>
      </c>
    </row>
    <row r="4652">
      <c r="A4652" s="26" t="n"/>
      <c r="B4652" s="24" t="n"/>
      <c r="C4652" s="40">
        <f>IF(B4652="","",IFERROR(INDEX(Mitarbeiter!$B$6:$B$205,MATCH(B4652,Mitarbeiter!$A$6:$A$205,0)),"?"))</f>
        <v/>
      </c>
      <c r="D4652" s="41" t="n"/>
      <c r="E4652" s="42" t="n"/>
      <c r="F4652" s="43" t="n"/>
      <c r="G4652" s="44">
        <f>IF(OR(B4652="",F4652=""),"",IFERROR(F4652*INDEX(Mitarbeiter!$F$6:$F$205,MATCH(B4652,Mitarbeiter!$A$6:$A$205,0)),0))</f>
        <v/>
      </c>
      <c r="H4652" s="8">
        <f>IF(B4652="","",IF(ISNA(MATCH(B4652,Mitarbeiter!$A$6:$A$205,0)),"Pers.-Nr. unbekannt",IF(A4652="","Datum fehlt",IF(AND(D4652&lt;&gt;Einstellungen!$C$4,D4652&lt;&gt;Einstellungen!$C$5),"Objekt fehlt",IF(YEAR(A4652)&lt;&gt;Einstellungen!$C$3,"anderes Jahr",IF(A4652&lt;INDEX(Mitarbeiter!$C$6:$C$205,MATCH(B4652,Mitarbeiter!$A$6:$A$205,0)),"vor Eintritt",IF(AND(INDEX(Mitarbeiter!$D$6:$D$205,MATCH(B4652,Mitarbeiter!$A$6:$A$205,0))&lt;&gt;"",A4652&gt;INDEX(Mitarbeiter!$D$6:$D$205,MATCH(B4652,Mitarbeiter!$A$6:$A$205,0))),"nach Austritt","ok")))))))</f>
        <v/>
      </c>
    </row>
    <row r="4653">
      <c r="A4653" s="26" t="n"/>
      <c r="B4653" s="24" t="n"/>
      <c r="C4653" s="40">
        <f>IF(B4653="","",IFERROR(INDEX(Mitarbeiter!$B$6:$B$205,MATCH(B4653,Mitarbeiter!$A$6:$A$205,0)),"?"))</f>
        <v/>
      </c>
      <c r="D4653" s="41" t="n"/>
      <c r="E4653" s="42" t="n"/>
      <c r="F4653" s="43" t="n"/>
      <c r="G4653" s="44">
        <f>IF(OR(B4653="",F4653=""),"",IFERROR(F4653*INDEX(Mitarbeiter!$F$6:$F$205,MATCH(B4653,Mitarbeiter!$A$6:$A$205,0)),0))</f>
        <v/>
      </c>
      <c r="H4653" s="8">
        <f>IF(B4653="","",IF(ISNA(MATCH(B4653,Mitarbeiter!$A$6:$A$205,0)),"Pers.-Nr. unbekannt",IF(A4653="","Datum fehlt",IF(AND(D4653&lt;&gt;Einstellungen!$C$4,D4653&lt;&gt;Einstellungen!$C$5),"Objekt fehlt",IF(YEAR(A4653)&lt;&gt;Einstellungen!$C$3,"anderes Jahr",IF(A4653&lt;INDEX(Mitarbeiter!$C$6:$C$205,MATCH(B4653,Mitarbeiter!$A$6:$A$205,0)),"vor Eintritt",IF(AND(INDEX(Mitarbeiter!$D$6:$D$205,MATCH(B4653,Mitarbeiter!$A$6:$A$205,0))&lt;&gt;"",A4653&gt;INDEX(Mitarbeiter!$D$6:$D$205,MATCH(B4653,Mitarbeiter!$A$6:$A$205,0))),"nach Austritt","ok")))))))</f>
        <v/>
      </c>
    </row>
    <row r="4654">
      <c r="A4654" s="26" t="n"/>
      <c r="B4654" s="24" t="n"/>
      <c r="C4654" s="40">
        <f>IF(B4654="","",IFERROR(INDEX(Mitarbeiter!$B$6:$B$205,MATCH(B4654,Mitarbeiter!$A$6:$A$205,0)),"?"))</f>
        <v/>
      </c>
      <c r="D4654" s="41" t="n"/>
      <c r="E4654" s="42" t="n"/>
      <c r="F4654" s="43" t="n"/>
      <c r="G4654" s="44">
        <f>IF(OR(B4654="",F4654=""),"",IFERROR(F4654*INDEX(Mitarbeiter!$F$6:$F$205,MATCH(B4654,Mitarbeiter!$A$6:$A$205,0)),0))</f>
        <v/>
      </c>
      <c r="H4654" s="8">
        <f>IF(B4654="","",IF(ISNA(MATCH(B4654,Mitarbeiter!$A$6:$A$205,0)),"Pers.-Nr. unbekannt",IF(A4654="","Datum fehlt",IF(AND(D4654&lt;&gt;Einstellungen!$C$4,D4654&lt;&gt;Einstellungen!$C$5),"Objekt fehlt",IF(YEAR(A4654)&lt;&gt;Einstellungen!$C$3,"anderes Jahr",IF(A4654&lt;INDEX(Mitarbeiter!$C$6:$C$205,MATCH(B4654,Mitarbeiter!$A$6:$A$205,0)),"vor Eintritt",IF(AND(INDEX(Mitarbeiter!$D$6:$D$205,MATCH(B4654,Mitarbeiter!$A$6:$A$205,0))&lt;&gt;"",A4654&gt;INDEX(Mitarbeiter!$D$6:$D$205,MATCH(B4654,Mitarbeiter!$A$6:$A$205,0))),"nach Austritt","ok")))))))</f>
        <v/>
      </c>
    </row>
    <row r="4655">
      <c r="A4655" s="26" t="n"/>
      <c r="B4655" s="24" t="n"/>
      <c r="C4655" s="40">
        <f>IF(B4655="","",IFERROR(INDEX(Mitarbeiter!$B$6:$B$205,MATCH(B4655,Mitarbeiter!$A$6:$A$205,0)),"?"))</f>
        <v/>
      </c>
      <c r="D4655" s="41" t="n"/>
      <c r="E4655" s="42" t="n"/>
      <c r="F4655" s="43" t="n"/>
      <c r="G4655" s="44">
        <f>IF(OR(B4655="",F4655=""),"",IFERROR(F4655*INDEX(Mitarbeiter!$F$6:$F$205,MATCH(B4655,Mitarbeiter!$A$6:$A$205,0)),0))</f>
        <v/>
      </c>
      <c r="H4655" s="8">
        <f>IF(B4655="","",IF(ISNA(MATCH(B4655,Mitarbeiter!$A$6:$A$205,0)),"Pers.-Nr. unbekannt",IF(A4655="","Datum fehlt",IF(AND(D4655&lt;&gt;Einstellungen!$C$4,D4655&lt;&gt;Einstellungen!$C$5),"Objekt fehlt",IF(YEAR(A4655)&lt;&gt;Einstellungen!$C$3,"anderes Jahr",IF(A4655&lt;INDEX(Mitarbeiter!$C$6:$C$205,MATCH(B4655,Mitarbeiter!$A$6:$A$205,0)),"vor Eintritt",IF(AND(INDEX(Mitarbeiter!$D$6:$D$205,MATCH(B4655,Mitarbeiter!$A$6:$A$205,0))&lt;&gt;"",A4655&gt;INDEX(Mitarbeiter!$D$6:$D$205,MATCH(B4655,Mitarbeiter!$A$6:$A$205,0))),"nach Austritt","ok")))))))</f>
        <v/>
      </c>
    </row>
    <row r="4656">
      <c r="A4656" s="26" t="n"/>
      <c r="B4656" s="24" t="n"/>
      <c r="C4656" s="40">
        <f>IF(B4656="","",IFERROR(INDEX(Mitarbeiter!$B$6:$B$205,MATCH(B4656,Mitarbeiter!$A$6:$A$205,0)),"?"))</f>
        <v/>
      </c>
      <c r="D4656" s="41" t="n"/>
      <c r="E4656" s="42" t="n"/>
      <c r="F4656" s="43" t="n"/>
      <c r="G4656" s="44">
        <f>IF(OR(B4656="",F4656=""),"",IFERROR(F4656*INDEX(Mitarbeiter!$F$6:$F$205,MATCH(B4656,Mitarbeiter!$A$6:$A$205,0)),0))</f>
        <v/>
      </c>
      <c r="H4656" s="8">
        <f>IF(B4656="","",IF(ISNA(MATCH(B4656,Mitarbeiter!$A$6:$A$205,0)),"Pers.-Nr. unbekannt",IF(A4656="","Datum fehlt",IF(AND(D4656&lt;&gt;Einstellungen!$C$4,D4656&lt;&gt;Einstellungen!$C$5),"Objekt fehlt",IF(YEAR(A4656)&lt;&gt;Einstellungen!$C$3,"anderes Jahr",IF(A4656&lt;INDEX(Mitarbeiter!$C$6:$C$205,MATCH(B4656,Mitarbeiter!$A$6:$A$205,0)),"vor Eintritt",IF(AND(INDEX(Mitarbeiter!$D$6:$D$205,MATCH(B4656,Mitarbeiter!$A$6:$A$205,0))&lt;&gt;"",A4656&gt;INDEX(Mitarbeiter!$D$6:$D$205,MATCH(B4656,Mitarbeiter!$A$6:$A$205,0))),"nach Austritt","ok")))))))</f>
        <v/>
      </c>
    </row>
    <row r="4657">
      <c r="A4657" s="26" t="n"/>
      <c r="B4657" s="24" t="n"/>
      <c r="C4657" s="40">
        <f>IF(B4657="","",IFERROR(INDEX(Mitarbeiter!$B$6:$B$205,MATCH(B4657,Mitarbeiter!$A$6:$A$205,0)),"?"))</f>
        <v/>
      </c>
      <c r="D4657" s="41" t="n"/>
      <c r="E4657" s="42" t="n"/>
      <c r="F4657" s="43" t="n"/>
      <c r="G4657" s="44">
        <f>IF(OR(B4657="",F4657=""),"",IFERROR(F4657*INDEX(Mitarbeiter!$F$6:$F$205,MATCH(B4657,Mitarbeiter!$A$6:$A$205,0)),0))</f>
        <v/>
      </c>
      <c r="H4657" s="8">
        <f>IF(B4657="","",IF(ISNA(MATCH(B4657,Mitarbeiter!$A$6:$A$205,0)),"Pers.-Nr. unbekannt",IF(A4657="","Datum fehlt",IF(AND(D4657&lt;&gt;Einstellungen!$C$4,D4657&lt;&gt;Einstellungen!$C$5),"Objekt fehlt",IF(YEAR(A4657)&lt;&gt;Einstellungen!$C$3,"anderes Jahr",IF(A4657&lt;INDEX(Mitarbeiter!$C$6:$C$205,MATCH(B4657,Mitarbeiter!$A$6:$A$205,0)),"vor Eintritt",IF(AND(INDEX(Mitarbeiter!$D$6:$D$205,MATCH(B4657,Mitarbeiter!$A$6:$A$205,0))&lt;&gt;"",A4657&gt;INDEX(Mitarbeiter!$D$6:$D$205,MATCH(B4657,Mitarbeiter!$A$6:$A$205,0))),"nach Austritt","ok")))))))</f>
        <v/>
      </c>
    </row>
    <row r="4658">
      <c r="A4658" s="26" t="n"/>
      <c r="B4658" s="24" t="n"/>
      <c r="C4658" s="40">
        <f>IF(B4658="","",IFERROR(INDEX(Mitarbeiter!$B$6:$B$205,MATCH(B4658,Mitarbeiter!$A$6:$A$205,0)),"?"))</f>
        <v/>
      </c>
      <c r="D4658" s="41" t="n"/>
      <c r="E4658" s="42" t="n"/>
      <c r="F4658" s="43" t="n"/>
      <c r="G4658" s="44">
        <f>IF(OR(B4658="",F4658=""),"",IFERROR(F4658*INDEX(Mitarbeiter!$F$6:$F$205,MATCH(B4658,Mitarbeiter!$A$6:$A$205,0)),0))</f>
        <v/>
      </c>
      <c r="H4658" s="8">
        <f>IF(B4658="","",IF(ISNA(MATCH(B4658,Mitarbeiter!$A$6:$A$205,0)),"Pers.-Nr. unbekannt",IF(A4658="","Datum fehlt",IF(AND(D4658&lt;&gt;Einstellungen!$C$4,D4658&lt;&gt;Einstellungen!$C$5),"Objekt fehlt",IF(YEAR(A4658)&lt;&gt;Einstellungen!$C$3,"anderes Jahr",IF(A4658&lt;INDEX(Mitarbeiter!$C$6:$C$205,MATCH(B4658,Mitarbeiter!$A$6:$A$205,0)),"vor Eintritt",IF(AND(INDEX(Mitarbeiter!$D$6:$D$205,MATCH(B4658,Mitarbeiter!$A$6:$A$205,0))&lt;&gt;"",A4658&gt;INDEX(Mitarbeiter!$D$6:$D$205,MATCH(B4658,Mitarbeiter!$A$6:$A$205,0))),"nach Austritt","ok")))))))</f>
        <v/>
      </c>
    </row>
    <row r="4659">
      <c r="A4659" s="26" t="n"/>
      <c r="B4659" s="24" t="n"/>
      <c r="C4659" s="40">
        <f>IF(B4659="","",IFERROR(INDEX(Mitarbeiter!$B$6:$B$205,MATCH(B4659,Mitarbeiter!$A$6:$A$205,0)),"?"))</f>
        <v/>
      </c>
      <c r="D4659" s="41" t="n"/>
      <c r="E4659" s="42" t="n"/>
      <c r="F4659" s="43" t="n"/>
      <c r="G4659" s="44">
        <f>IF(OR(B4659="",F4659=""),"",IFERROR(F4659*INDEX(Mitarbeiter!$F$6:$F$205,MATCH(B4659,Mitarbeiter!$A$6:$A$205,0)),0))</f>
        <v/>
      </c>
      <c r="H4659" s="8">
        <f>IF(B4659="","",IF(ISNA(MATCH(B4659,Mitarbeiter!$A$6:$A$205,0)),"Pers.-Nr. unbekannt",IF(A4659="","Datum fehlt",IF(AND(D4659&lt;&gt;Einstellungen!$C$4,D4659&lt;&gt;Einstellungen!$C$5),"Objekt fehlt",IF(YEAR(A4659)&lt;&gt;Einstellungen!$C$3,"anderes Jahr",IF(A4659&lt;INDEX(Mitarbeiter!$C$6:$C$205,MATCH(B4659,Mitarbeiter!$A$6:$A$205,0)),"vor Eintritt",IF(AND(INDEX(Mitarbeiter!$D$6:$D$205,MATCH(B4659,Mitarbeiter!$A$6:$A$205,0))&lt;&gt;"",A4659&gt;INDEX(Mitarbeiter!$D$6:$D$205,MATCH(B4659,Mitarbeiter!$A$6:$A$205,0))),"nach Austritt","ok")))))))</f>
        <v/>
      </c>
    </row>
    <row r="4660">
      <c r="A4660" s="26" t="n"/>
      <c r="B4660" s="24" t="n"/>
      <c r="C4660" s="40">
        <f>IF(B4660="","",IFERROR(INDEX(Mitarbeiter!$B$6:$B$205,MATCH(B4660,Mitarbeiter!$A$6:$A$205,0)),"?"))</f>
        <v/>
      </c>
      <c r="D4660" s="41" t="n"/>
      <c r="E4660" s="42" t="n"/>
      <c r="F4660" s="43" t="n"/>
      <c r="G4660" s="44">
        <f>IF(OR(B4660="",F4660=""),"",IFERROR(F4660*INDEX(Mitarbeiter!$F$6:$F$205,MATCH(B4660,Mitarbeiter!$A$6:$A$205,0)),0))</f>
        <v/>
      </c>
      <c r="H4660" s="8">
        <f>IF(B4660="","",IF(ISNA(MATCH(B4660,Mitarbeiter!$A$6:$A$205,0)),"Pers.-Nr. unbekannt",IF(A4660="","Datum fehlt",IF(AND(D4660&lt;&gt;Einstellungen!$C$4,D4660&lt;&gt;Einstellungen!$C$5),"Objekt fehlt",IF(YEAR(A4660)&lt;&gt;Einstellungen!$C$3,"anderes Jahr",IF(A4660&lt;INDEX(Mitarbeiter!$C$6:$C$205,MATCH(B4660,Mitarbeiter!$A$6:$A$205,0)),"vor Eintritt",IF(AND(INDEX(Mitarbeiter!$D$6:$D$205,MATCH(B4660,Mitarbeiter!$A$6:$A$205,0))&lt;&gt;"",A4660&gt;INDEX(Mitarbeiter!$D$6:$D$205,MATCH(B4660,Mitarbeiter!$A$6:$A$205,0))),"nach Austritt","ok")))))))</f>
        <v/>
      </c>
    </row>
    <row r="4661">
      <c r="A4661" s="26" t="n"/>
      <c r="B4661" s="24" t="n"/>
      <c r="C4661" s="40">
        <f>IF(B4661="","",IFERROR(INDEX(Mitarbeiter!$B$6:$B$205,MATCH(B4661,Mitarbeiter!$A$6:$A$205,0)),"?"))</f>
        <v/>
      </c>
      <c r="D4661" s="41" t="n"/>
      <c r="E4661" s="42" t="n"/>
      <c r="F4661" s="43" t="n"/>
      <c r="G4661" s="44">
        <f>IF(OR(B4661="",F4661=""),"",IFERROR(F4661*INDEX(Mitarbeiter!$F$6:$F$205,MATCH(B4661,Mitarbeiter!$A$6:$A$205,0)),0))</f>
        <v/>
      </c>
      <c r="H4661" s="8">
        <f>IF(B4661="","",IF(ISNA(MATCH(B4661,Mitarbeiter!$A$6:$A$205,0)),"Pers.-Nr. unbekannt",IF(A4661="","Datum fehlt",IF(AND(D4661&lt;&gt;Einstellungen!$C$4,D4661&lt;&gt;Einstellungen!$C$5),"Objekt fehlt",IF(YEAR(A4661)&lt;&gt;Einstellungen!$C$3,"anderes Jahr",IF(A4661&lt;INDEX(Mitarbeiter!$C$6:$C$205,MATCH(B4661,Mitarbeiter!$A$6:$A$205,0)),"vor Eintritt",IF(AND(INDEX(Mitarbeiter!$D$6:$D$205,MATCH(B4661,Mitarbeiter!$A$6:$A$205,0))&lt;&gt;"",A4661&gt;INDEX(Mitarbeiter!$D$6:$D$205,MATCH(B4661,Mitarbeiter!$A$6:$A$205,0))),"nach Austritt","ok")))))))</f>
        <v/>
      </c>
    </row>
    <row r="4662">
      <c r="A4662" s="26" t="n"/>
      <c r="B4662" s="24" t="n"/>
      <c r="C4662" s="40">
        <f>IF(B4662="","",IFERROR(INDEX(Mitarbeiter!$B$6:$B$205,MATCH(B4662,Mitarbeiter!$A$6:$A$205,0)),"?"))</f>
        <v/>
      </c>
      <c r="D4662" s="41" t="n"/>
      <c r="E4662" s="42" t="n"/>
      <c r="F4662" s="43" t="n"/>
      <c r="G4662" s="44">
        <f>IF(OR(B4662="",F4662=""),"",IFERROR(F4662*INDEX(Mitarbeiter!$F$6:$F$205,MATCH(B4662,Mitarbeiter!$A$6:$A$205,0)),0))</f>
        <v/>
      </c>
      <c r="H4662" s="8">
        <f>IF(B4662="","",IF(ISNA(MATCH(B4662,Mitarbeiter!$A$6:$A$205,0)),"Pers.-Nr. unbekannt",IF(A4662="","Datum fehlt",IF(AND(D4662&lt;&gt;Einstellungen!$C$4,D4662&lt;&gt;Einstellungen!$C$5),"Objekt fehlt",IF(YEAR(A4662)&lt;&gt;Einstellungen!$C$3,"anderes Jahr",IF(A4662&lt;INDEX(Mitarbeiter!$C$6:$C$205,MATCH(B4662,Mitarbeiter!$A$6:$A$205,0)),"vor Eintritt",IF(AND(INDEX(Mitarbeiter!$D$6:$D$205,MATCH(B4662,Mitarbeiter!$A$6:$A$205,0))&lt;&gt;"",A4662&gt;INDEX(Mitarbeiter!$D$6:$D$205,MATCH(B4662,Mitarbeiter!$A$6:$A$205,0))),"nach Austritt","ok")))))))</f>
        <v/>
      </c>
    </row>
    <row r="4663">
      <c r="A4663" s="26" t="n"/>
      <c r="B4663" s="24" t="n"/>
      <c r="C4663" s="40">
        <f>IF(B4663="","",IFERROR(INDEX(Mitarbeiter!$B$6:$B$205,MATCH(B4663,Mitarbeiter!$A$6:$A$205,0)),"?"))</f>
        <v/>
      </c>
      <c r="D4663" s="41" t="n"/>
      <c r="E4663" s="42" t="n"/>
      <c r="F4663" s="43" t="n"/>
      <c r="G4663" s="44">
        <f>IF(OR(B4663="",F4663=""),"",IFERROR(F4663*INDEX(Mitarbeiter!$F$6:$F$205,MATCH(B4663,Mitarbeiter!$A$6:$A$205,0)),0))</f>
        <v/>
      </c>
      <c r="H4663" s="8">
        <f>IF(B4663="","",IF(ISNA(MATCH(B4663,Mitarbeiter!$A$6:$A$205,0)),"Pers.-Nr. unbekannt",IF(A4663="","Datum fehlt",IF(AND(D4663&lt;&gt;Einstellungen!$C$4,D4663&lt;&gt;Einstellungen!$C$5),"Objekt fehlt",IF(YEAR(A4663)&lt;&gt;Einstellungen!$C$3,"anderes Jahr",IF(A4663&lt;INDEX(Mitarbeiter!$C$6:$C$205,MATCH(B4663,Mitarbeiter!$A$6:$A$205,0)),"vor Eintritt",IF(AND(INDEX(Mitarbeiter!$D$6:$D$205,MATCH(B4663,Mitarbeiter!$A$6:$A$205,0))&lt;&gt;"",A4663&gt;INDEX(Mitarbeiter!$D$6:$D$205,MATCH(B4663,Mitarbeiter!$A$6:$A$205,0))),"nach Austritt","ok")))))))</f>
        <v/>
      </c>
    </row>
    <row r="4664">
      <c r="A4664" s="26" t="n"/>
      <c r="B4664" s="24" t="n"/>
      <c r="C4664" s="40">
        <f>IF(B4664="","",IFERROR(INDEX(Mitarbeiter!$B$6:$B$205,MATCH(B4664,Mitarbeiter!$A$6:$A$205,0)),"?"))</f>
        <v/>
      </c>
      <c r="D4664" s="41" t="n"/>
      <c r="E4664" s="42" t="n"/>
      <c r="F4664" s="43" t="n"/>
      <c r="G4664" s="44">
        <f>IF(OR(B4664="",F4664=""),"",IFERROR(F4664*INDEX(Mitarbeiter!$F$6:$F$205,MATCH(B4664,Mitarbeiter!$A$6:$A$205,0)),0))</f>
        <v/>
      </c>
      <c r="H4664" s="8">
        <f>IF(B4664="","",IF(ISNA(MATCH(B4664,Mitarbeiter!$A$6:$A$205,0)),"Pers.-Nr. unbekannt",IF(A4664="","Datum fehlt",IF(AND(D4664&lt;&gt;Einstellungen!$C$4,D4664&lt;&gt;Einstellungen!$C$5),"Objekt fehlt",IF(YEAR(A4664)&lt;&gt;Einstellungen!$C$3,"anderes Jahr",IF(A4664&lt;INDEX(Mitarbeiter!$C$6:$C$205,MATCH(B4664,Mitarbeiter!$A$6:$A$205,0)),"vor Eintritt",IF(AND(INDEX(Mitarbeiter!$D$6:$D$205,MATCH(B4664,Mitarbeiter!$A$6:$A$205,0))&lt;&gt;"",A4664&gt;INDEX(Mitarbeiter!$D$6:$D$205,MATCH(B4664,Mitarbeiter!$A$6:$A$205,0))),"nach Austritt","ok")))))))</f>
        <v/>
      </c>
    </row>
    <row r="4665">
      <c r="A4665" s="26" t="n"/>
      <c r="B4665" s="24" t="n"/>
      <c r="C4665" s="40">
        <f>IF(B4665="","",IFERROR(INDEX(Mitarbeiter!$B$6:$B$205,MATCH(B4665,Mitarbeiter!$A$6:$A$205,0)),"?"))</f>
        <v/>
      </c>
      <c r="D4665" s="41" t="n"/>
      <c r="E4665" s="42" t="n"/>
      <c r="F4665" s="43" t="n"/>
      <c r="G4665" s="44">
        <f>IF(OR(B4665="",F4665=""),"",IFERROR(F4665*INDEX(Mitarbeiter!$F$6:$F$205,MATCH(B4665,Mitarbeiter!$A$6:$A$205,0)),0))</f>
        <v/>
      </c>
      <c r="H4665" s="8">
        <f>IF(B4665="","",IF(ISNA(MATCH(B4665,Mitarbeiter!$A$6:$A$205,0)),"Pers.-Nr. unbekannt",IF(A4665="","Datum fehlt",IF(AND(D4665&lt;&gt;Einstellungen!$C$4,D4665&lt;&gt;Einstellungen!$C$5),"Objekt fehlt",IF(YEAR(A4665)&lt;&gt;Einstellungen!$C$3,"anderes Jahr",IF(A4665&lt;INDEX(Mitarbeiter!$C$6:$C$205,MATCH(B4665,Mitarbeiter!$A$6:$A$205,0)),"vor Eintritt",IF(AND(INDEX(Mitarbeiter!$D$6:$D$205,MATCH(B4665,Mitarbeiter!$A$6:$A$205,0))&lt;&gt;"",A4665&gt;INDEX(Mitarbeiter!$D$6:$D$205,MATCH(B4665,Mitarbeiter!$A$6:$A$205,0))),"nach Austritt","ok")))))))</f>
        <v/>
      </c>
    </row>
    <row r="4666">
      <c r="A4666" s="26" t="n"/>
      <c r="B4666" s="24" t="n"/>
      <c r="C4666" s="40">
        <f>IF(B4666="","",IFERROR(INDEX(Mitarbeiter!$B$6:$B$205,MATCH(B4666,Mitarbeiter!$A$6:$A$205,0)),"?"))</f>
        <v/>
      </c>
      <c r="D4666" s="41" t="n"/>
      <c r="E4666" s="42" t="n"/>
      <c r="F4666" s="43" t="n"/>
      <c r="G4666" s="44">
        <f>IF(OR(B4666="",F4666=""),"",IFERROR(F4666*INDEX(Mitarbeiter!$F$6:$F$205,MATCH(B4666,Mitarbeiter!$A$6:$A$205,0)),0))</f>
        <v/>
      </c>
      <c r="H4666" s="8">
        <f>IF(B4666="","",IF(ISNA(MATCH(B4666,Mitarbeiter!$A$6:$A$205,0)),"Pers.-Nr. unbekannt",IF(A4666="","Datum fehlt",IF(AND(D4666&lt;&gt;Einstellungen!$C$4,D4666&lt;&gt;Einstellungen!$C$5),"Objekt fehlt",IF(YEAR(A4666)&lt;&gt;Einstellungen!$C$3,"anderes Jahr",IF(A4666&lt;INDEX(Mitarbeiter!$C$6:$C$205,MATCH(B4666,Mitarbeiter!$A$6:$A$205,0)),"vor Eintritt",IF(AND(INDEX(Mitarbeiter!$D$6:$D$205,MATCH(B4666,Mitarbeiter!$A$6:$A$205,0))&lt;&gt;"",A4666&gt;INDEX(Mitarbeiter!$D$6:$D$205,MATCH(B4666,Mitarbeiter!$A$6:$A$205,0))),"nach Austritt","ok")))))))</f>
        <v/>
      </c>
    </row>
    <row r="4667">
      <c r="A4667" s="26" t="n"/>
      <c r="B4667" s="24" t="n"/>
      <c r="C4667" s="40">
        <f>IF(B4667="","",IFERROR(INDEX(Mitarbeiter!$B$6:$B$205,MATCH(B4667,Mitarbeiter!$A$6:$A$205,0)),"?"))</f>
        <v/>
      </c>
      <c r="D4667" s="41" t="n"/>
      <c r="E4667" s="42" t="n"/>
      <c r="F4667" s="43" t="n"/>
      <c r="G4667" s="44">
        <f>IF(OR(B4667="",F4667=""),"",IFERROR(F4667*INDEX(Mitarbeiter!$F$6:$F$205,MATCH(B4667,Mitarbeiter!$A$6:$A$205,0)),0))</f>
        <v/>
      </c>
      <c r="H4667" s="8">
        <f>IF(B4667="","",IF(ISNA(MATCH(B4667,Mitarbeiter!$A$6:$A$205,0)),"Pers.-Nr. unbekannt",IF(A4667="","Datum fehlt",IF(AND(D4667&lt;&gt;Einstellungen!$C$4,D4667&lt;&gt;Einstellungen!$C$5),"Objekt fehlt",IF(YEAR(A4667)&lt;&gt;Einstellungen!$C$3,"anderes Jahr",IF(A4667&lt;INDEX(Mitarbeiter!$C$6:$C$205,MATCH(B4667,Mitarbeiter!$A$6:$A$205,0)),"vor Eintritt",IF(AND(INDEX(Mitarbeiter!$D$6:$D$205,MATCH(B4667,Mitarbeiter!$A$6:$A$205,0))&lt;&gt;"",A4667&gt;INDEX(Mitarbeiter!$D$6:$D$205,MATCH(B4667,Mitarbeiter!$A$6:$A$205,0))),"nach Austritt","ok")))))))</f>
        <v/>
      </c>
    </row>
    <row r="4668">
      <c r="A4668" s="26" t="n"/>
      <c r="B4668" s="24" t="n"/>
      <c r="C4668" s="40">
        <f>IF(B4668="","",IFERROR(INDEX(Mitarbeiter!$B$6:$B$205,MATCH(B4668,Mitarbeiter!$A$6:$A$205,0)),"?"))</f>
        <v/>
      </c>
      <c r="D4668" s="41" t="n"/>
      <c r="E4668" s="42" t="n"/>
      <c r="F4668" s="43" t="n"/>
      <c r="G4668" s="44">
        <f>IF(OR(B4668="",F4668=""),"",IFERROR(F4668*INDEX(Mitarbeiter!$F$6:$F$205,MATCH(B4668,Mitarbeiter!$A$6:$A$205,0)),0))</f>
        <v/>
      </c>
      <c r="H4668" s="8">
        <f>IF(B4668="","",IF(ISNA(MATCH(B4668,Mitarbeiter!$A$6:$A$205,0)),"Pers.-Nr. unbekannt",IF(A4668="","Datum fehlt",IF(AND(D4668&lt;&gt;Einstellungen!$C$4,D4668&lt;&gt;Einstellungen!$C$5),"Objekt fehlt",IF(YEAR(A4668)&lt;&gt;Einstellungen!$C$3,"anderes Jahr",IF(A4668&lt;INDEX(Mitarbeiter!$C$6:$C$205,MATCH(B4668,Mitarbeiter!$A$6:$A$205,0)),"vor Eintritt",IF(AND(INDEX(Mitarbeiter!$D$6:$D$205,MATCH(B4668,Mitarbeiter!$A$6:$A$205,0))&lt;&gt;"",A4668&gt;INDEX(Mitarbeiter!$D$6:$D$205,MATCH(B4668,Mitarbeiter!$A$6:$A$205,0))),"nach Austritt","ok")))))))</f>
        <v/>
      </c>
    </row>
    <row r="4669">
      <c r="A4669" s="26" t="n"/>
      <c r="B4669" s="24" t="n"/>
      <c r="C4669" s="40">
        <f>IF(B4669="","",IFERROR(INDEX(Mitarbeiter!$B$6:$B$205,MATCH(B4669,Mitarbeiter!$A$6:$A$205,0)),"?"))</f>
        <v/>
      </c>
      <c r="D4669" s="41" t="n"/>
      <c r="E4669" s="42" t="n"/>
      <c r="F4669" s="43" t="n"/>
      <c r="G4669" s="44">
        <f>IF(OR(B4669="",F4669=""),"",IFERROR(F4669*INDEX(Mitarbeiter!$F$6:$F$205,MATCH(B4669,Mitarbeiter!$A$6:$A$205,0)),0))</f>
        <v/>
      </c>
      <c r="H4669" s="8">
        <f>IF(B4669="","",IF(ISNA(MATCH(B4669,Mitarbeiter!$A$6:$A$205,0)),"Pers.-Nr. unbekannt",IF(A4669="","Datum fehlt",IF(AND(D4669&lt;&gt;Einstellungen!$C$4,D4669&lt;&gt;Einstellungen!$C$5),"Objekt fehlt",IF(YEAR(A4669)&lt;&gt;Einstellungen!$C$3,"anderes Jahr",IF(A4669&lt;INDEX(Mitarbeiter!$C$6:$C$205,MATCH(B4669,Mitarbeiter!$A$6:$A$205,0)),"vor Eintritt",IF(AND(INDEX(Mitarbeiter!$D$6:$D$205,MATCH(B4669,Mitarbeiter!$A$6:$A$205,0))&lt;&gt;"",A4669&gt;INDEX(Mitarbeiter!$D$6:$D$205,MATCH(B4669,Mitarbeiter!$A$6:$A$205,0))),"nach Austritt","ok")))))))</f>
        <v/>
      </c>
    </row>
    <row r="4670">
      <c r="A4670" s="26" t="n"/>
      <c r="B4670" s="24" t="n"/>
      <c r="C4670" s="40">
        <f>IF(B4670="","",IFERROR(INDEX(Mitarbeiter!$B$6:$B$205,MATCH(B4670,Mitarbeiter!$A$6:$A$205,0)),"?"))</f>
        <v/>
      </c>
      <c r="D4670" s="41" t="n"/>
      <c r="E4670" s="42" t="n"/>
      <c r="F4670" s="43" t="n"/>
      <c r="G4670" s="44">
        <f>IF(OR(B4670="",F4670=""),"",IFERROR(F4670*INDEX(Mitarbeiter!$F$6:$F$205,MATCH(B4670,Mitarbeiter!$A$6:$A$205,0)),0))</f>
        <v/>
      </c>
      <c r="H4670" s="8">
        <f>IF(B4670="","",IF(ISNA(MATCH(B4670,Mitarbeiter!$A$6:$A$205,0)),"Pers.-Nr. unbekannt",IF(A4670="","Datum fehlt",IF(AND(D4670&lt;&gt;Einstellungen!$C$4,D4670&lt;&gt;Einstellungen!$C$5),"Objekt fehlt",IF(YEAR(A4670)&lt;&gt;Einstellungen!$C$3,"anderes Jahr",IF(A4670&lt;INDEX(Mitarbeiter!$C$6:$C$205,MATCH(B4670,Mitarbeiter!$A$6:$A$205,0)),"vor Eintritt",IF(AND(INDEX(Mitarbeiter!$D$6:$D$205,MATCH(B4670,Mitarbeiter!$A$6:$A$205,0))&lt;&gt;"",A4670&gt;INDEX(Mitarbeiter!$D$6:$D$205,MATCH(B4670,Mitarbeiter!$A$6:$A$205,0))),"nach Austritt","ok")))))))</f>
        <v/>
      </c>
    </row>
    <row r="4671">
      <c r="A4671" s="26" t="n"/>
      <c r="B4671" s="24" t="n"/>
      <c r="C4671" s="40">
        <f>IF(B4671="","",IFERROR(INDEX(Mitarbeiter!$B$6:$B$205,MATCH(B4671,Mitarbeiter!$A$6:$A$205,0)),"?"))</f>
        <v/>
      </c>
      <c r="D4671" s="41" t="n"/>
      <c r="E4671" s="42" t="n"/>
      <c r="F4671" s="43" t="n"/>
      <c r="G4671" s="44">
        <f>IF(OR(B4671="",F4671=""),"",IFERROR(F4671*INDEX(Mitarbeiter!$F$6:$F$205,MATCH(B4671,Mitarbeiter!$A$6:$A$205,0)),0))</f>
        <v/>
      </c>
      <c r="H4671" s="8">
        <f>IF(B4671="","",IF(ISNA(MATCH(B4671,Mitarbeiter!$A$6:$A$205,0)),"Pers.-Nr. unbekannt",IF(A4671="","Datum fehlt",IF(AND(D4671&lt;&gt;Einstellungen!$C$4,D4671&lt;&gt;Einstellungen!$C$5),"Objekt fehlt",IF(YEAR(A4671)&lt;&gt;Einstellungen!$C$3,"anderes Jahr",IF(A4671&lt;INDEX(Mitarbeiter!$C$6:$C$205,MATCH(B4671,Mitarbeiter!$A$6:$A$205,0)),"vor Eintritt",IF(AND(INDEX(Mitarbeiter!$D$6:$D$205,MATCH(B4671,Mitarbeiter!$A$6:$A$205,0))&lt;&gt;"",A4671&gt;INDEX(Mitarbeiter!$D$6:$D$205,MATCH(B4671,Mitarbeiter!$A$6:$A$205,0))),"nach Austritt","ok")))))))</f>
        <v/>
      </c>
    </row>
    <row r="4672">
      <c r="A4672" s="26" t="n"/>
      <c r="B4672" s="24" t="n"/>
      <c r="C4672" s="40">
        <f>IF(B4672="","",IFERROR(INDEX(Mitarbeiter!$B$6:$B$205,MATCH(B4672,Mitarbeiter!$A$6:$A$205,0)),"?"))</f>
        <v/>
      </c>
      <c r="D4672" s="41" t="n"/>
      <c r="E4672" s="42" t="n"/>
      <c r="F4672" s="43" t="n"/>
      <c r="G4672" s="44">
        <f>IF(OR(B4672="",F4672=""),"",IFERROR(F4672*INDEX(Mitarbeiter!$F$6:$F$205,MATCH(B4672,Mitarbeiter!$A$6:$A$205,0)),0))</f>
        <v/>
      </c>
      <c r="H4672" s="8">
        <f>IF(B4672="","",IF(ISNA(MATCH(B4672,Mitarbeiter!$A$6:$A$205,0)),"Pers.-Nr. unbekannt",IF(A4672="","Datum fehlt",IF(AND(D4672&lt;&gt;Einstellungen!$C$4,D4672&lt;&gt;Einstellungen!$C$5),"Objekt fehlt",IF(YEAR(A4672)&lt;&gt;Einstellungen!$C$3,"anderes Jahr",IF(A4672&lt;INDEX(Mitarbeiter!$C$6:$C$205,MATCH(B4672,Mitarbeiter!$A$6:$A$205,0)),"vor Eintritt",IF(AND(INDEX(Mitarbeiter!$D$6:$D$205,MATCH(B4672,Mitarbeiter!$A$6:$A$205,0))&lt;&gt;"",A4672&gt;INDEX(Mitarbeiter!$D$6:$D$205,MATCH(B4672,Mitarbeiter!$A$6:$A$205,0))),"nach Austritt","ok")))))))</f>
        <v/>
      </c>
    </row>
    <row r="4673">
      <c r="A4673" s="26" t="n"/>
      <c r="B4673" s="24" t="n"/>
      <c r="C4673" s="40">
        <f>IF(B4673="","",IFERROR(INDEX(Mitarbeiter!$B$6:$B$205,MATCH(B4673,Mitarbeiter!$A$6:$A$205,0)),"?"))</f>
        <v/>
      </c>
      <c r="D4673" s="41" t="n"/>
      <c r="E4673" s="42" t="n"/>
      <c r="F4673" s="43" t="n"/>
      <c r="G4673" s="44">
        <f>IF(OR(B4673="",F4673=""),"",IFERROR(F4673*INDEX(Mitarbeiter!$F$6:$F$205,MATCH(B4673,Mitarbeiter!$A$6:$A$205,0)),0))</f>
        <v/>
      </c>
      <c r="H4673" s="8">
        <f>IF(B4673="","",IF(ISNA(MATCH(B4673,Mitarbeiter!$A$6:$A$205,0)),"Pers.-Nr. unbekannt",IF(A4673="","Datum fehlt",IF(AND(D4673&lt;&gt;Einstellungen!$C$4,D4673&lt;&gt;Einstellungen!$C$5),"Objekt fehlt",IF(YEAR(A4673)&lt;&gt;Einstellungen!$C$3,"anderes Jahr",IF(A4673&lt;INDEX(Mitarbeiter!$C$6:$C$205,MATCH(B4673,Mitarbeiter!$A$6:$A$205,0)),"vor Eintritt",IF(AND(INDEX(Mitarbeiter!$D$6:$D$205,MATCH(B4673,Mitarbeiter!$A$6:$A$205,0))&lt;&gt;"",A4673&gt;INDEX(Mitarbeiter!$D$6:$D$205,MATCH(B4673,Mitarbeiter!$A$6:$A$205,0))),"nach Austritt","ok")))))))</f>
        <v/>
      </c>
    </row>
    <row r="4674">
      <c r="A4674" s="26" t="n"/>
      <c r="B4674" s="24" t="n"/>
      <c r="C4674" s="40">
        <f>IF(B4674="","",IFERROR(INDEX(Mitarbeiter!$B$6:$B$205,MATCH(B4674,Mitarbeiter!$A$6:$A$205,0)),"?"))</f>
        <v/>
      </c>
      <c r="D4674" s="41" t="n"/>
      <c r="E4674" s="42" t="n"/>
      <c r="F4674" s="43" t="n"/>
      <c r="G4674" s="44">
        <f>IF(OR(B4674="",F4674=""),"",IFERROR(F4674*INDEX(Mitarbeiter!$F$6:$F$205,MATCH(B4674,Mitarbeiter!$A$6:$A$205,0)),0))</f>
        <v/>
      </c>
      <c r="H4674" s="8">
        <f>IF(B4674="","",IF(ISNA(MATCH(B4674,Mitarbeiter!$A$6:$A$205,0)),"Pers.-Nr. unbekannt",IF(A4674="","Datum fehlt",IF(AND(D4674&lt;&gt;Einstellungen!$C$4,D4674&lt;&gt;Einstellungen!$C$5),"Objekt fehlt",IF(YEAR(A4674)&lt;&gt;Einstellungen!$C$3,"anderes Jahr",IF(A4674&lt;INDEX(Mitarbeiter!$C$6:$C$205,MATCH(B4674,Mitarbeiter!$A$6:$A$205,0)),"vor Eintritt",IF(AND(INDEX(Mitarbeiter!$D$6:$D$205,MATCH(B4674,Mitarbeiter!$A$6:$A$205,0))&lt;&gt;"",A4674&gt;INDEX(Mitarbeiter!$D$6:$D$205,MATCH(B4674,Mitarbeiter!$A$6:$A$205,0))),"nach Austritt","ok")))))))</f>
        <v/>
      </c>
    </row>
    <row r="4675">
      <c r="A4675" s="26" t="n"/>
      <c r="B4675" s="24" t="n"/>
      <c r="C4675" s="40">
        <f>IF(B4675="","",IFERROR(INDEX(Mitarbeiter!$B$6:$B$205,MATCH(B4675,Mitarbeiter!$A$6:$A$205,0)),"?"))</f>
        <v/>
      </c>
      <c r="D4675" s="41" t="n"/>
      <c r="E4675" s="42" t="n"/>
      <c r="F4675" s="43" t="n"/>
      <c r="G4675" s="44">
        <f>IF(OR(B4675="",F4675=""),"",IFERROR(F4675*INDEX(Mitarbeiter!$F$6:$F$205,MATCH(B4675,Mitarbeiter!$A$6:$A$205,0)),0))</f>
        <v/>
      </c>
      <c r="H4675" s="8">
        <f>IF(B4675="","",IF(ISNA(MATCH(B4675,Mitarbeiter!$A$6:$A$205,0)),"Pers.-Nr. unbekannt",IF(A4675="","Datum fehlt",IF(AND(D4675&lt;&gt;Einstellungen!$C$4,D4675&lt;&gt;Einstellungen!$C$5),"Objekt fehlt",IF(YEAR(A4675)&lt;&gt;Einstellungen!$C$3,"anderes Jahr",IF(A4675&lt;INDEX(Mitarbeiter!$C$6:$C$205,MATCH(B4675,Mitarbeiter!$A$6:$A$205,0)),"vor Eintritt",IF(AND(INDEX(Mitarbeiter!$D$6:$D$205,MATCH(B4675,Mitarbeiter!$A$6:$A$205,0))&lt;&gt;"",A4675&gt;INDEX(Mitarbeiter!$D$6:$D$205,MATCH(B4675,Mitarbeiter!$A$6:$A$205,0))),"nach Austritt","ok")))))))</f>
        <v/>
      </c>
    </row>
    <row r="4676">
      <c r="A4676" s="26" t="n"/>
      <c r="B4676" s="24" t="n"/>
      <c r="C4676" s="40">
        <f>IF(B4676="","",IFERROR(INDEX(Mitarbeiter!$B$6:$B$205,MATCH(B4676,Mitarbeiter!$A$6:$A$205,0)),"?"))</f>
        <v/>
      </c>
      <c r="D4676" s="41" t="n"/>
      <c r="E4676" s="42" t="n"/>
      <c r="F4676" s="43" t="n"/>
      <c r="G4676" s="44">
        <f>IF(OR(B4676="",F4676=""),"",IFERROR(F4676*INDEX(Mitarbeiter!$F$6:$F$205,MATCH(B4676,Mitarbeiter!$A$6:$A$205,0)),0))</f>
        <v/>
      </c>
      <c r="H4676" s="8">
        <f>IF(B4676="","",IF(ISNA(MATCH(B4676,Mitarbeiter!$A$6:$A$205,0)),"Pers.-Nr. unbekannt",IF(A4676="","Datum fehlt",IF(AND(D4676&lt;&gt;Einstellungen!$C$4,D4676&lt;&gt;Einstellungen!$C$5),"Objekt fehlt",IF(YEAR(A4676)&lt;&gt;Einstellungen!$C$3,"anderes Jahr",IF(A4676&lt;INDEX(Mitarbeiter!$C$6:$C$205,MATCH(B4676,Mitarbeiter!$A$6:$A$205,0)),"vor Eintritt",IF(AND(INDEX(Mitarbeiter!$D$6:$D$205,MATCH(B4676,Mitarbeiter!$A$6:$A$205,0))&lt;&gt;"",A4676&gt;INDEX(Mitarbeiter!$D$6:$D$205,MATCH(B4676,Mitarbeiter!$A$6:$A$205,0))),"nach Austritt","ok")))))))</f>
        <v/>
      </c>
    </row>
    <row r="4677">
      <c r="A4677" s="26" t="n"/>
      <c r="B4677" s="24" t="n"/>
      <c r="C4677" s="40">
        <f>IF(B4677="","",IFERROR(INDEX(Mitarbeiter!$B$6:$B$205,MATCH(B4677,Mitarbeiter!$A$6:$A$205,0)),"?"))</f>
        <v/>
      </c>
      <c r="D4677" s="41" t="n"/>
      <c r="E4677" s="42" t="n"/>
      <c r="F4677" s="43" t="n"/>
      <c r="G4677" s="44">
        <f>IF(OR(B4677="",F4677=""),"",IFERROR(F4677*INDEX(Mitarbeiter!$F$6:$F$205,MATCH(B4677,Mitarbeiter!$A$6:$A$205,0)),0))</f>
        <v/>
      </c>
      <c r="H4677" s="8">
        <f>IF(B4677="","",IF(ISNA(MATCH(B4677,Mitarbeiter!$A$6:$A$205,0)),"Pers.-Nr. unbekannt",IF(A4677="","Datum fehlt",IF(AND(D4677&lt;&gt;Einstellungen!$C$4,D4677&lt;&gt;Einstellungen!$C$5),"Objekt fehlt",IF(YEAR(A4677)&lt;&gt;Einstellungen!$C$3,"anderes Jahr",IF(A4677&lt;INDEX(Mitarbeiter!$C$6:$C$205,MATCH(B4677,Mitarbeiter!$A$6:$A$205,0)),"vor Eintritt",IF(AND(INDEX(Mitarbeiter!$D$6:$D$205,MATCH(B4677,Mitarbeiter!$A$6:$A$205,0))&lt;&gt;"",A4677&gt;INDEX(Mitarbeiter!$D$6:$D$205,MATCH(B4677,Mitarbeiter!$A$6:$A$205,0))),"nach Austritt","ok")))))))</f>
        <v/>
      </c>
    </row>
    <row r="4678">
      <c r="A4678" s="26" t="n"/>
      <c r="B4678" s="24" t="n"/>
      <c r="C4678" s="40">
        <f>IF(B4678="","",IFERROR(INDEX(Mitarbeiter!$B$6:$B$205,MATCH(B4678,Mitarbeiter!$A$6:$A$205,0)),"?"))</f>
        <v/>
      </c>
      <c r="D4678" s="41" t="n"/>
      <c r="E4678" s="42" t="n"/>
      <c r="F4678" s="43" t="n"/>
      <c r="G4678" s="44">
        <f>IF(OR(B4678="",F4678=""),"",IFERROR(F4678*INDEX(Mitarbeiter!$F$6:$F$205,MATCH(B4678,Mitarbeiter!$A$6:$A$205,0)),0))</f>
        <v/>
      </c>
      <c r="H4678" s="8">
        <f>IF(B4678="","",IF(ISNA(MATCH(B4678,Mitarbeiter!$A$6:$A$205,0)),"Pers.-Nr. unbekannt",IF(A4678="","Datum fehlt",IF(AND(D4678&lt;&gt;Einstellungen!$C$4,D4678&lt;&gt;Einstellungen!$C$5),"Objekt fehlt",IF(YEAR(A4678)&lt;&gt;Einstellungen!$C$3,"anderes Jahr",IF(A4678&lt;INDEX(Mitarbeiter!$C$6:$C$205,MATCH(B4678,Mitarbeiter!$A$6:$A$205,0)),"vor Eintritt",IF(AND(INDEX(Mitarbeiter!$D$6:$D$205,MATCH(B4678,Mitarbeiter!$A$6:$A$205,0))&lt;&gt;"",A4678&gt;INDEX(Mitarbeiter!$D$6:$D$205,MATCH(B4678,Mitarbeiter!$A$6:$A$205,0))),"nach Austritt","ok")))))))</f>
        <v/>
      </c>
    </row>
    <row r="4679">
      <c r="A4679" s="26" t="n"/>
      <c r="B4679" s="24" t="n"/>
      <c r="C4679" s="40">
        <f>IF(B4679="","",IFERROR(INDEX(Mitarbeiter!$B$6:$B$205,MATCH(B4679,Mitarbeiter!$A$6:$A$205,0)),"?"))</f>
        <v/>
      </c>
      <c r="D4679" s="41" t="n"/>
      <c r="E4679" s="42" t="n"/>
      <c r="F4679" s="43" t="n"/>
      <c r="G4679" s="44">
        <f>IF(OR(B4679="",F4679=""),"",IFERROR(F4679*INDEX(Mitarbeiter!$F$6:$F$205,MATCH(B4679,Mitarbeiter!$A$6:$A$205,0)),0))</f>
        <v/>
      </c>
      <c r="H4679" s="8">
        <f>IF(B4679="","",IF(ISNA(MATCH(B4679,Mitarbeiter!$A$6:$A$205,0)),"Pers.-Nr. unbekannt",IF(A4679="","Datum fehlt",IF(AND(D4679&lt;&gt;Einstellungen!$C$4,D4679&lt;&gt;Einstellungen!$C$5),"Objekt fehlt",IF(YEAR(A4679)&lt;&gt;Einstellungen!$C$3,"anderes Jahr",IF(A4679&lt;INDEX(Mitarbeiter!$C$6:$C$205,MATCH(B4679,Mitarbeiter!$A$6:$A$205,0)),"vor Eintritt",IF(AND(INDEX(Mitarbeiter!$D$6:$D$205,MATCH(B4679,Mitarbeiter!$A$6:$A$205,0))&lt;&gt;"",A4679&gt;INDEX(Mitarbeiter!$D$6:$D$205,MATCH(B4679,Mitarbeiter!$A$6:$A$205,0))),"nach Austritt","ok")))))))</f>
        <v/>
      </c>
    </row>
    <row r="4680">
      <c r="A4680" s="26" t="n"/>
      <c r="B4680" s="24" t="n"/>
      <c r="C4680" s="40">
        <f>IF(B4680="","",IFERROR(INDEX(Mitarbeiter!$B$6:$B$205,MATCH(B4680,Mitarbeiter!$A$6:$A$205,0)),"?"))</f>
        <v/>
      </c>
      <c r="D4680" s="41" t="n"/>
      <c r="E4680" s="42" t="n"/>
      <c r="F4680" s="43" t="n"/>
      <c r="G4680" s="44">
        <f>IF(OR(B4680="",F4680=""),"",IFERROR(F4680*INDEX(Mitarbeiter!$F$6:$F$205,MATCH(B4680,Mitarbeiter!$A$6:$A$205,0)),0))</f>
        <v/>
      </c>
      <c r="H4680" s="8">
        <f>IF(B4680="","",IF(ISNA(MATCH(B4680,Mitarbeiter!$A$6:$A$205,0)),"Pers.-Nr. unbekannt",IF(A4680="","Datum fehlt",IF(AND(D4680&lt;&gt;Einstellungen!$C$4,D4680&lt;&gt;Einstellungen!$C$5),"Objekt fehlt",IF(YEAR(A4680)&lt;&gt;Einstellungen!$C$3,"anderes Jahr",IF(A4680&lt;INDEX(Mitarbeiter!$C$6:$C$205,MATCH(B4680,Mitarbeiter!$A$6:$A$205,0)),"vor Eintritt",IF(AND(INDEX(Mitarbeiter!$D$6:$D$205,MATCH(B4680,Mitarbeiter!$A$6:$A$205,0))&lt;&gt;"",A4680&gt;INDEX(Mitarbeiter!$D$6:$D$205,MATCH(B4680,Mitarbeiter!$A$6:$A$205,0))),"nach Austritt","ok")))))))</f>
        <v/>
      </c>
    </row>
    <row r="4681">
      <c r="A4681" s="26" t="n"/>
      <c r="B4681" s="24" t="n"/>
      <c r="C4681" s="40">
        <f>IF(B4681="","",IFERROR(INDEX(Mitarbeiter!$B$6:$B$205,MATCH(B4681,Mitarbeiter!$A$6:$A$205,0)),"?"))</f>
        <v/>
      </c>
      <c r="D4681" s="41" t="n"/>
      <c r="E4681" s="42" t="n"/>
      <c r="F4681" s="43" t="n"/>
      <c r="G4681" s="44">
        <f>IF(OR(B4681="",F4681=""),"",IFERROR(F4681*INDEX(Mitarbeiter!$F$6:$F$205,MATCH(B4681,Mitarbeiter!$A$6:$A$205,0)),0))</f>
        <v/>
      </c>
      <c r="H4681" s="8">
        <f>IF(B4681="","",IF(ISNA(MATCH(B4681,Mitarbeiter!$A$6:$A$205,0)),"Pers.-Nr. unbekannt",IF(A4681="","Datum fehlt",IF(AND(D4681&lt;&gt;Einstellungen!$C$4,D4681&lt;&gt;Einstellungen!$C$5),"Objekt fehlt",IF(YEAR(A4681)&lt;&gt;Einstellungen!$C$3,"anderes Jahr",IF(A4681&lt;INDEX(Mitarbeiter!$C$6:$C$205,MATCH(B4681,Mitarbeiter!$A$6:$A$205,0)),"vor Eintritt",IF(AND(INDEX(Mitarbeiter!$D$6:$D$205,MATCH(B4681,Mitarbeiter!$A$6:$A$205,0))&lt;&gt;"",A4681&gt;INDEX(Mitarbeiter!$D$6:$D$205,MATCH(B4681,Mitarbeiter!$A$6:$A$205,0))),"nach Austritt","ok")))))))</f>
        <v/>
      </c>
    </row>
    <row r="4682">
      <c r="A4682" s="26" t="n"/>
      <c r="B4682" s="24" t="n"/>
      <c r="C4682" s="40">
        <f>IF(B4682="","",IFERROR(INDEX(Mitarbeiter!$B$6:$B$205,MATCH(B4682,Mitarbeiter!$A$6:$A$205,0)),"?"))</f>
        <v/>
      </c>
      <c r="D4682" s="41" t="n"/>
      <c r="E4682" s="42" t="n"/>
      <c r="F4682" s="43" t="n"/>
      <c r="G4682" s="44">
        <f>IF(OR(B4682="",F4682=""),"",IFERROR(F4682*INDEX(Mitarbeiter!$F$6:$F$205,MATCH(B4682,Mitarbeiter!$A$6:$A$205,0)),0))</f>
        <v/>
      </c>
      <c r="H4682" s="8">
        <f>IF(B4682="","",IF(ISNA(MATCH(B4682,Mitarbeiter!$A$6:$A$205,0)),"Pers.-Nr. unbekannt",IF(A4682="","Datum fehlt",IF(AND(D4682&lt;&gt;Einstellungen!$C$4,D4682&lt;&gt;Einstellungen!$C$5),"Objekt fehlt",IF(YEAR(A4682)&lt;&gt;Einstellungen!$C$3,"anderes Jahr",IF(A4682&lt;INDEX(Mitarbeiter!$C$6:$C$205,MATCH(B4682,Mitarbeiter!$A$6:$A$205,0)),"vor Eintritt",IF(AND(INDEX(Mitarbeiter!$D$6:$D$205,MATCH(B4682,Mitarbeiter!$A$6:$A$205,0))&lt;&gt;"",A4682&gt;INDEX(Mitarbeiter!$D$6:$D$205,MATCH(B4682,Mitarbeiter!$A$6:$A$205,0))),"nach Austritt","ok")))))))</f>
        <v/>
      </c>
    </row>
    <row r="4683">
      <c r="A4683" s="26" t="n"/>
      <c r="B4683" s="24" t="n"/>
      <c r="C4683" s="40">
        <f>IF(B4683="","",IFERROR(INDEX(Mitarbeiter!$B$6:$B$205,MATCH(B4683,Mitarbeiter!$A$6:$A$205,0)),"?"))</f>
        <v/>
      </c>
      <c r="D4683" s="41" t="n"/>
      <c r="E4683" s="42" t="n"/>
      <c r="F4683" s="43" t="n"/>
      <c r="G4683" s="44">
        <f>IF(OR(B4683="",F4683=""),"",IFERROR(F4683*INDEX(Mitarbeiter!$F$6:$F$205,MATCH(B4683,Mitarbeiter!$A$6:$A$205,0)),0))</f>
        <v/>
      </c>
      <c r="H4683" s="8">
        <f>IF(B4683="","",IF(ISNA(MATCH(B4683,Mitarbeiter!$A$6:$A$205,0)),"Pers.-Nr. unbekannt",IF(A4683="","Datum fehlt",IF(AND(D4683&lt;&gt;Einstellungen!$C$4,D4683&lt;&gt;Einstellungen!$C$5),"Objekt fehlt",IF(YEAR(A4683)&lt;&gt;Einstellungen!$C$3,"anderes Jahr",IF(A4683&lt;INDEX(Mitarbeiter!$C$6:$C$205,MATCH(B4683,Mitarbeiter!$A$6:$A$205,0)),"vor Eintritt",IF(AND(INDEX(Mitarbeiter!$D$6:$D$205,MATCH(B4683,Mitarbeiter!$A$6:$A$205,0))&lt;&gt;"",A4683&gt;INDEX(Mitarbeiter!$D$6:$D$205,MATCH(B4683,Mitarbeiter!$A$6:$A$205,0))),"nach Austritt","ok")))))))</f>
        <v/>
      </c>
    </row>
    <row r="4684">
      <c r="A4684" s="26" t="n"/>
      <c r="B4684" s="24" t="n"/>
      <c r="C4684" s="40">
        <f>IF(B4684="","",IFERROR(INDEX(Mitarbeiter!$B$6:$B$205,MATCH(B4684,Mitarbeiter!$A$6:$A$205,0)),"?"))</f>
        <v/>
      </c>
      <c r="D4684" s="41" t="n"/>
      <c r="E4684" s="42" t="n"/>
      <c r="F4684" s="43" t="n"/>
      <c r="G4684" s="44">
        <f>IF(OR(B4684="",F4684=""),"",IFERROR(F4684*INDEX(Mitarbeiter!$F$6:$F$205,MATCH(B4684,Mitarbeiter!$A$6:$A$205,0)),0))</f>
        <v/>
      </c>
      <c r="H4684" s="8">
        <f>IF(B4684="","",IF(ISNA(MATCH(B4684,Mitarbeiter!$A$6:$A$205,0)),"Pers.-Nr. unbekannt",IF(A4684="","Datum fehlt",IF(AND(D4684&lt;&gt;Einstellungen!$C$4,D4684&lt;&gt;Einstellungen!$C$5),"Objekt fehlt",IF(YEAR(A4684)&lt;&gt;Einstellungen!$C$3,"anderes Jahr",IF(A4684&lt;INDEX(Mitarbeiter!$C$6:$C$205,MATCH(B4684,Mitarbeiter!$A$6:$A$205,0)),"vor Eintritt",IF(AND(INDEX(Mitarbeiter!$D$6:$D$205,MATCH(B4684,Mitarbeiter!$A$6:$A$205,0))&lt;&gt;"",A4684&gt;INDEX(Mitarbeiter!$D$6:$D$205,MATCH(B4684,Mitarbeiter!$A$6:$A$205,0))),"nach Austritt","ok")))))))</f>
        <v/>
      </c>
    </row>
    <row r="4685">
      <c r="A4685" s="26" t="n"/>
      <c r="B4685" s="24" t="n"/>
      <c r="C4685" s="40">
        <f>IF(B4685="","",IFERROR(INDEX(Mitarbeiter!$B$6:$B$205,MATCH(B4685,Mitarbeiter!$A$6:$A$205,0)),"?"))</f>
        <v/>
      </c>
      <c r="D4685" s="41" t="n"/>
      <c r="E4685" s="42" t="n"/>
      <c r="F4685" s="43" t="n"/>
      <c r="G4685" s="44">
        <f>IF(OR(B4685="",F4685=""),"",IFERROR(F4685*INDEX(Mitarbeiter!$F$6:$F$205,MATCH(B4685,Mitarbeiter!$A$6:$A$205,0)),0))</f>
        <v/>
      </c>
      <c r="H4685" s="8">
        <f>IF(B4685="","",IF(ISNA(MATCH(B4685,Mitarbeiter!$A$6:$A$205,0)),"Pers.-Nr. unbekannt",IF(A4685="","Datum fehlt",IF(AND(D4685&lt;&gt;Einstellungen!$C$4,D4685&lt;&gt;Einstellungen!$C$5),"Objekt fehlt",IF(YEAR(A4685)&lt;&gt;Einstellungen!$C$3,"anderes Jahr",IF(A4685&lt;INDEX(Mitarbeiter!$C$6:$C$205,MATCH(B4685,Mitarbeiter!$A$6:$A$205,0)),"vor Eintritt",IF(AND(INDEX(Mitarbeiter!$D$6:$D$205,MATCH(B4685,Mitarbeiter!$A$6:$A$205,0))&lt;&gt;"",A4685&gt;INDEX(Mitarbeiter!$D$6:$D$205,MATCH(B4685,Mitarbeiter!$A$6:$A$205,0))),"nach Austritt","ok")))))))</f>
        <v/>
      </c>
    </row>
    <row r="4686">
      <c r="A4686" s="26" t="n"/>
      <c r="B4686" s="24" t="n"/>
      <c r="C4686" s="40">
        <f>IF(B4686="","",IFERROR(INDEX(Mitarbeiter!$B$6:$B$205,MATCH(B4686,Mitarbeiter!$A$6:$A$205,0)),"?"))</f>
        <v/>
      </c>
      <c r="D4686" s="41" t="n"/>
      <c r="E4686" s="42" t="n"/>
      <c r="F4686" s="43" t="n"/>
      <c r="G4686" s="44">
        <f>IF(OR(B4686="",F4686=""),"",IFERROR(F4686*INDEX(Mitarbeiter!$F$6:$F$205,MATCH(B4686,Mitarbeiter!$A$6:$A$205,0)),0))</f>
        <v/>
      </c>
      <c r="H4686" s="8">
        <f>IF(B4686="","",IF(ISNA(MATCH(B4686,Mitarbeiter!$A$6:$A$205,0)),"Pers.-Nr. unbekannt",IF(A4686="","Datum fehlt",IF(AND(D4686&lt;&gt;Einstellungen!$C$4,D4686&lt;&gt;Einstellungen!$C$5),"Objekt fehlt",IF(YEAR(A4686)&lt;&gt;Einstellungen!$C$3,"anderes Jahr",IF(A4686&lt;INDEX(Mitarbeiter!$C$6:$C$205,MATCH(B4686,Mitarbeiter!$A$6:$A$205,0)),"vor Eintritt",IF(AND(INDEX(Mitarbeiter!$D$6:$D$205,MATCH(B4686,Mitarbeiter!$A$6:$A$205,0))&lt;&gt;"",A4686&gt;INDEX(Mitarbeiter!$D$6:$D$205,MATCH(B4686,Mitarbeiter!$A$6:$A$205,0))),"nach Austritt","ok")))))))</f>
        <v/>
      </c>
    </row>
    <row r="4687">
      <c r="A4687" s="26" t="n"/>
      <c r="B4687" s="24" t="n"/>
      <c r="C4687" s="40">
        <f>IF(B4687="","",IFERROR(INDEX(Mitarbeiter!$B$6:$B$205,MATCH(B4687,Mitarbeiter!$A$6:$A$205,0)),"?"))</f>
        <v/>
      </c>
      <c r="D4687" s="41" t="n"/>
      <c r="E4687" s="42" t="n"/>
      <c r="F4687" s="43" t="n"/>
      <c r="G4687" s="44">
        <f>IF(OR(B4687="",F4687=""),"",IFERROR(F4687*INDEX(Mitarbeiter!$F$6:$F$205,MATCH(B4687,Mitarbeiter!$A$6:$A$205,0)),0))</f>
        <v/>
      </c>
      <c r="H4687" s="8">
        <f>IF(B4687="","",IF(ISNA(MATCH(B4687,Mitarbeiter!$A$6:$A$205,0)),"Pers.-Nr. unbekannt",IF(A4687="","Datum fehlt",IF(AND(D4687&lt;&gt;Einstellungen!$C$4,D4687&lt;&gt;Einstellungen!$C$5),"Objekt fehlt",IF(YEAR(A4687)&lt;&gt;Einstellungen!$C$3,"anderes Jahr",IF(A4687&lt;INDEX(Mitarbeiter!$C$6:$C$205,MATCH(B4687,Mitarbeiter!$A$6:$A$205,0)),"vor Eintritt",IF(AND(INDEX(Mitarbeiter!$D$6:$D$205,MATCH(B4687,Mitarbeiter!$A$6:$A$205,0))&lt;&gt;"",A4687&gt;INDEX(Mitarbeiter!$D$6:$D$205,MATCH(B4687,Mitarbeiter!$A$6:$A$205,0))),"nach Austritt","ok")))))))</f>
        <v/>
      </c>
    </row>
    <row r="4688">
      <c r="A4688" s="26" t="n"/>
      <c r="B4688" s="24" t="n"/>
      <c r="C4688" s="40">
        <f>IF(B4688="","",IFERROR(INDEX(Mitarbeiter!$B$6:$B$205,MATCH(B4688,Mitarbeiter!$A$6:$A$205,0)),"?"))</f>
        <v/>
      </c>
      <c r="D4688" s="41" t="n"/>
      <c r="E4688" s="42" t="n"/>
      <c r="F4688" s="43" t="n"/>
      <c r="G4688" s="44">
        <f>IF(OR(B4688="",F4688=""),"",IFERROR(F4688*INDEX(Mitarbeiter!$F$6:$F$205,MATCH(B4688,Mitarbeiter!$A$6:$A$205,0)),0))</f>
        <v/>
      </c>
      <c r="H4688" s="8">
        <f>IF(B4688="","",IF(ISNA(MATCH(B4688,Mitarbeiter!$A$6:$A$205,0)),"Pers.-Nr. unbekannt",IF(A4688="","Datum fehlt",IF(AND(D4688&lt;&gt;Einstellungen!$C$4,D4688&lt;&gt;Einstellungen!$C$5),"Objekt fehlt",IF(YEAR(A4688)&lt;&gt;Einstellungen!$C$3,"anderes Jahr",IF(A4688&lt;INDEX(Mitarbeiter!$C$6:$C$205,MATCH(B4688,Mitarbeiter!$A$6:$A$205,0)),"vor Eintritt",IF(AND(INDEX(Mitarbeiter!$D$6:$D$205,MATCH(B4688,Mitarbeiter!$A$6:$A$205,0))&lt;&gt;"",A4688&gt;INDEX(Mitarbeiter!$D$6:$D$205,MATCH(B4688,Mitarbeiter!$A$6:$A$205,0))),"nach Austritt","ok")))))))</f>
        <v/>
      </c>
    </row>
    <row r="4689">
      <c r="A4689" s="26" t="n"/>
      <c r="B4689" s="24" t="n"/>
      <c r="C4689" s="40">
        <f>IF(B4689="","",IFERROR(INDEX(Mitarbeiter!$B$6:$B$205,MATCH(B4689,Mitarbeiter!$A$6:$A$205,0)),"?"))</f>
        <v/>
      </c>
      <c r="D4689" s="41" t="n"/>
      <c r="E4689" s="42" t="n"/>
      <c r="F4689" s="43" t="n"/>
      <c r="G4689" s="44">
        <f>IF(OR(B4689="",F4689=""),"",IFERROR(F4689*INDEX(Mitarbeiter!$F$6:$F$205,MATCH(B4689,Mitarbeiter!$A$6:$A$205,0)),0))</f>
        <v/>
      </c>
      <c r="H4689" s="8">
        <f>IF(B4689="","",IF(ISNA(MATCH(B4689,Mitarbeiter!$A$6:$A$205,0)),"Pers.-Nr. unbekannt",IF(A4689="","Datum fehlt",IF(AND(D4689&lt;&gt;Einstellungen!$C$4,D4689&lt;&gt;Einstellungen!$C$5),"Objekt fehlt",IF(YEAR(A4689)&lt;&gt;Einstellungen!$C$3,"anderes Jahr",IF(A4689&lt;INDEX(Mitarbeiter!$C$6:$C$205,MATCH(B4689,Mitarbeiter!$A$6:$A$205,0)),"vor Eintritt",IF(AND(INDEX(Mitarbeiter!$D$6:$D$205,MATCH(B4689,Mitarbeiter!$A$6:$A$205,0))&lt;&gt;"",A4689&gt;INDEX(Mitarbeiter!$D$6:$D$205,MATCH(B4689,Mitarbeiter!$A$6:$A$205,0))),"nach Austritt","ok")))))))</f>
        <v/>
      </c>
    </row>
    <row r="4690">
      <c r="A4690" s="26" t="n"/>
      <c r="B4690" s="24" t="n"/>
      <c r="C4690" s="40">
        <f>IF(B4690="","",IFERROR(INDEX(Mitarbeiter!$B$6:$B$205,MATCH(B4690,Mitarbeiter!$A$6:$A$205,0)),"?"))</f>
        <v/>
      </c>
      <c r="D4690" s="41" t="n"/>
      <c r="E4690" s="42" t="n"/>
      <c r="F4690" s="43" t="n"/>
      <c r="G4690" s="44">
        <f>IF(OR(B4690="",F4690=""),"",IFERROR(F4690*INDEX(Mitarbeiter!$F$6:$F$205,MATCH(B4690,Mitarbeiter!$A$6:$A$205,0)),0))</f>
        <v/>
      </c>
      <c r="H4690" s="8">
        <f>IF(B4690="","",IF(ISNA(MATCH(B4690,Mitarbeiter!$A$6:$A$205,0)),"Pers.-Nr. unbekannt",IF(A4690="","Datum fehlt",IF(AND(D4690&lt;&gt;Einstellungen!$C$4,D4690&lt;&gt;Einstellungen!$C$5),"Objekt fehlt",IF(YEAR(A4690)&lt;&gt;Einstellungen!$C$3,"anderes Jahr",IF(A4690&lt;INDEX(Mitarbeiter!$C$6:$C$205,MATCH(B4690,Mitarbeiter!$A$6:$A$205,0)),"vor Eintritt",IF(AND(INDEX(Mitarbeiter!$D$6:$D$205,MATCH(B4690,Mitarbeiter!$A$6:$A$205,0))&lt;&gt;"",A4690&gt;INDEX(Mitarbeiter!$D$6:$D$205,MATCH(B4690,Mitarbeiter!$A$6:$A$205,0))),"nach Austritt","ok")))))))</f>
        <v/>
      </c>
    </row>
    <row r="4691">
      <c r="A4691" s="26" t="n"/>
      <c r="B4691" s="24" t="n"/>
      <c r="C4691" s="40">
        <f>IF(B4691="","",IFERROR(INDEX(Mitarbeiter!$B$6:$B$205,MATCH(B4691,Mitarbeiter!$A$6:$A$205,0)),"?"))</f>
        <v/>
      </c>
      <c r="D4691" s="41" t="n"/>
      <c r="E4691" s="42" t="n"/>
      <c r="F4691" s="43" t="n"/>
      <c r="G4691" s="44">
        <f>IF(OR(B4691="",F4691=""),"",IFERROR(F4691*INDEX(Mitarbeiter!$F$6:$F$205,MATCH(B4691,Mitarbeiter!$A$6:$A$205,0)),0))</f>
        <v/>
      </c>
      <c r="H4691" s="8">
        <f>IF(B4691="","",IF(ISNA(MATCH(B4691,Mitarbeiter!$A$6:$A$205,0)),"Pers.-Nr. unbekannt",IF(A4691="","Datum fehlt",IF(AND(D4691&lt;&gt;Einstellungen!$C$4,D4691&lt;&gt;Einstellungen!$C$5),"Objekt fehlt",IF(YEAR(A4691)&lt;&gt;Einstellungen!$C$3,"anderes Jahr",IF(A4691&lt;INDEX(Mitarbeiter!$C$6:$C$205,MATCH(B4691,Mitarbeiter!$A$6:$A$205,0)),"vor Eintritt",IF(AND(INDEX(Mitarbeiter!$D$6:$D$205,MATCH(B4691,Mitarbeiter!$A$6:$A$205,0))&lt;&gt;"",A4691&gt;INDEX(Mitarbeiter!$D$6:$D$205,MATCH(B4691,Mitarbeiter!$A$6:$A$205,0))),"nach Austritt","ok")))))))</f>
        <v/>
      </c>
    </row>
    <row r="4692">
      <c r="A4692" s="26" t="n"/>
      <c r="B4692" s="24" t="n"/>
      <c r="C4692" s="40">
        <f>IF(B4692="","",IFERROR(INDEX(Mitarbeiter!$B$6:$B$205,MATCH(B4692,Mitarbeiter!$A$6:$A$205,0)),"?"))</f>
        <v/>
      </c>
      <c r="D4692" s="41" t="n"/>
      <c r="E4692" s="42" t="n"/>
      <c r="F4692" s="43" t="n"/>
      <c r="G4692" s="44">
        <f>IF(OR(B4692="",F4692=""),"",IFERROR(F4692*INDEX(Mitarbeiter!$F$6:$F$205,MATCH(B4692,Mitarbeiter!$A$6:$A$205,0)),0))</f>
        <v/>
      </c>
      <c r="H4692" s="8">
        <f>IF(B4692="","",IF(ISNA(MATCH(B4692,Mitarbeiter!$A$6:$A$205,0)),"Pers.-Nr. unbekannt",IF(A4692="","Datum fehlt",IF(AND(D4692&lt;&gt;Einstellungen!$C$4,D4692&lt;&gt;Einstellungen!$C$5),"Objekt fehlt",IF(YEAR(A4692)&lt;&gt;Einstellungen!$C$3,"anderes Jahr",IF(A4692&lt;INDEX(Mitarbeiter!$C$6:$C$205,MATCH(B4692,Mitarbeiter!$A$6:$A$205,0)),"vor Eintritt",IF(AND(INDEX(Mitarbeiter!$D$6:$D$205,MATCH(B4692,Mitarbeiter!$A$6:$A$205,0))&lt;&gt;"",A4692&gt;INDEX(Mitarbeiter!$D$6:$D$205,MATCH(B4692,Mitarbeiter!$A$6:$A$205,0))),"nach Austritt","ok")))))))</f>
        <v/>
      </c>
    </row>
    <row r="4693">
      <c r="A4693" s="26" t="n"/>
      <c r="B4693" s="24" t="n"/>
      <c r="C4693" s="40">
        <f>IF(B4693="","",IFERROR(INDEX(Mitarbeiter!$B$6:$B$205,MATCH(B4693,Mitarbeiter!$A$6:$A$205,0)),"?"))</f>
        <v/>
      </c>
      <c r="D4693" s="41" t="n"/>
      <c r="E4693" s="42" t="n"/>
      <c r="F4693" s="43" t="n"/>
      <c r="G4693" s="44">
        <f>IF(OR(B4693="",F4693=""),"",IFERROR(F4693*INDEX(Mitarbeiter!$F$6:$F$205,MATCH(B4693,Mitarbeiter!$A$6:$A$205,0)),0))</f>
        <v/>
      </c>
      <c r="H4693" s="8">
        <f>IF(B4693="","",IF(ISNA(MATCH(B4693,Mitarbeiter!$A$6:$A$205,0)),"Pers.-Nr. unbekannt",IF(A4693="","Datum fehlt",IF(AND(D4693&lt;&gt;Einstellungen!$C$4,D4693&lt;&gt;Einstellungen!$C$5),"Objekt fehlt",IF(YEAR(A4693)&lt;&gt;Einstellungen!$C$3,"anderes Jahr",IF(A4693&lt;INDEX(Mitarbeiter!$C$6:$C$205,MATCH(B4693,Mitarbeiter!$A$6:$A$205,0)),"vor Eintritt",IF(AND(INDEX(Mitarbeiter!$D$6:$D$205,MATCH(B4693,Mitarbeiter!$A$6:$A$205,0))&lt;&gt;"",A4693&gt;INDEX(Mitarbeiter!$D$6:$D$205,MATCH(B4693,Mitarbeiter!$A$6:$A$205,0))),"nach Austritt","ok")))))))</f>
        <v/>
      </c>
    </row>
    <row r="4694">
      <c r="A4694" s="26" t="n"/>
      <c r="B4694" s="24" t="n"/>
      <c r="C4694" s="40">
        <f>IF(B4694="","",IFERROR(INDEX(Mitarbeiter!$B$6:$B$205,MATCH(B4694,Mitarbeiter!$A$6:$A$205,0)),"?"))</f>
        <v/>
      </c>
      <c r="D4694" s="41" t="n"/>
      <c r="E4694" s="42" t="n"/>
      <c r="F4694" s="43" t="n"/>
      <c r="G4694" s="44">
        <f>IF(OR(B4694="",F4694=""),"",IFERROR(F4694*INDEX(Mitarbeiter!$F$6:$F$205,MATCH(B4694,Mitarbeiter!$A$6:$A$205,0)),0))</f>
        <v/>
      </c>
      <c r="H4694" s="8">
        <f>IF(B4694="","",IF(ISNA(MATCH(B4694,Mitarbeiter!$A$6:$A$205,0)),"Pers.-Nr. unbekannt",IF(A4694="","Datum fehlt",IF(AND(D4694&lt;&gt;Einstellungen!$C$4,D4694&lt;&gt;Einstellungen!$C$5),"Objekt fehlt",IF(YEAR(A4694)&lt;&gt;Einstellungen!$C$3,"anderes Jahr",IF(A4694&lt;INDEX(Mitarbeiter!$C$6:$C$205,MATCH(B4694,Mitarbeiter!$A$6:$A$205,0)),"vor Eintritt",IF(AND(INDEX(Mitarbeiter!$D$6:$D$205,MATCH(B4694,Mitarbeiter!$A$6:$A$205,0))&lt;&gt;"",A4694&gt;INDEX(Mitarbeiter!$D$6:$D$205,MATCH(B4694,Mitarbeiter!$A$6:$A$205,0))),"nach Austritt","ok")))))))</f>
        <v/>
      </c>
    </row>
    <row r="4695">
      <c r="A4695" s="26" t="n"/>
      <c r="B4695" s="24" t="n"/>
      <c r="C4695" s="40">
        <f>IF(B4695="","",IFERROR(INDEX(Mitarbeiter!$B$6:$B$205,MATCH(B4695,Mitarbeiter!$A$6:$A$205,0)),"?"))</f>
        <v/>
      </c>
      <c r="D4695" s="41" t="n"/>
      <c r="E4695" s="42" t="n"/>
      <c r="F4695" s="43" t="n"/>
      <c r="G4695" s="44">
        <f>IF(OR(B4695="",F4695=""),"",IFERROR(F4695*INDEX(Mitarbeiter!$F$6:$F$205,MATCH(B4695,Mitarbeiter!$A$6:$A$205,0)),0))</f>
        <v/>
      </c>
      <c r="H4695" s="8">
        <f>IF(B4695="","",IF(ISNA(MATCH(B4695,Mitarbeiter!$A$6:$A$205,0)),"Pers.-Nr. unbekannt",IF(A4695="","Datum fehlt",IF(AND(D4695&lt;&gt;Einstellungen!$C$4,D4695&lt;&gt;Einstellungen!$C$5),"Objekt fehlt",IF(YEAR(A4695)&lt;&gt;Einstellungen!$C$3,"anderes Jahr",IF(A4695&lt;INDEX(Mitarbeiter!$C$6:$C$205,MATCH(B4695,Mitarbeiter!$A$6:$A$205,0)),"vor Eintritt",IF(AND(INDEX(Mitarbeiter!$D$6:$D$205,MATCH(B4695,Mitarbeiter!$A$6:$A$205,0))&lt;&gt;"",A4695&gt;INDEX(Mitarbeiter!$D$6:$D$205,MATCH(B4695,Mitarbeiter!$A$6:$A$205,0))),"nach Austritt","ok")))))))</f>
        <v/>
      </c>
    </row>
    <row r="4696">
      <c r="A4696" s="26" t="n"/>
      <c r="B4696" s="24" t="n"/>
      <c r="C4696" s="40">
        <f>IF(B4696="","",IFERROR(INDEX(Mitarbeiter!$B$6:$B$205,MATCH(B4696,Mitarbeiter!$A$6:$A$205,0)),"?"))</f>
        <v/>
      </c>
      <c r="D4696" s="41" t="n"/>
      <c r="E4696" s="42" t="n"/>
      <c r="F4696" s="43" t="n"/>
      <c r="G4696" s="44">
        <f>IF(OR(B4696="",F4696=""),"",IFERROR(F4696*INDEX(Mitarbeiter!$F$6:$F$205,MATCH(B4696,Mitarbeiter!$A$6:$A$205,0)),0))</f>
        <v/>
      </c>
      <c r="H4696" s="8">
        <f>IF(B4696="","",IF(ISNA(MATCH(B4696,Mitarbeiter!$A$6:$A$205,0)),"Pers.-Nr. unbekannt",IF(A4696="","Datum fehlt",IF(AND(D4696&lt;&gt;Einstellungen!$C$4,D4696&lt;&gt;Einstellungen!$C$5),"Objekt fehlt",IF(YEAR(A4696)&lt;&gt;Einstellungen!$C$3,"anderes Jahr",IF(A4696&lt;INDEX(Mitarbeiter!$C$6:$C$205,MATCH(B4696,Mitarbeiter!$A$6:$A$205,0)),"vor Eintritt",IF(AND(INDEX(Mitarbeiter!$D$6:$D$205,MATCH(B4696,Mitarbeiter!$A$6:$A$205,0))&lt;&gt;"",A4696&gt;INDEX(Mitarbeiter!$D$6:$D$205,MATCH(B4696,Mitarbeiter!$A$6:$A$205,0))),"nach Austritt","ok")))))))</f>
        <v/>
      </c>
    </row>
    <row r="4697">
      <c r="A4697" s="26" t="n"/>
      <c r="B4697" s="24" t="n"/>
      <c r="C4697" s="40">
        <f>IF(B4697="","",IFERROR(INDEX(Mitarbeiter!$B$6:$B$205,MATCH(B4697,Mitarbeiter!$A$6:$A$205,0)),"?"))</f>
        <v/>
      </c>
      <c r="D4697" s="41" t="n"/>
      <c r="E4697" s="42" t="n"/>
      <c r="F4697" s="43" t="n"/>
      <c r="G4697" s="44">
        <f>IF(OR(B4697="",F4697=""),"",IFERROR(F4697*INDEX(Mitarbeiter!$F$6:$F$205,MATCH(B4697,Mitarbeiter!$A$6:$A$205,0)),0))</f>
        <v/>
      </c>
      <c r="H4697" s="8">
        <f>IF(B4697="","",IF(ISNA(MATCH(B4697,Mitarbeiter!$A$6:$A$205,0)),"Pers.-Nr. unbekannt",IF(A4697="","Datum fehlt",IF(AND(D4697&lt;&gt;Einstellungen!$C$4,D4697&lt;&gt;Einstellungen!$C$5),"Objekt fehlt",IF(YEAR(A4697)&lt;&gt;Einstellungen!$C$3,"anderes Jahr",IF(A4697&lt;INDEX(Mitarbeiter!$C$6:$C$205,MATCH(B4697,Mitarbeiter!$A$6:$A$205,0)),"vor Eintritt",IF(AND(INDEX(Mitarbeiter!$D$6:$D$205,MATCH(B4697,Mitarbeiter!$A$6:$A$205,0))&lt;&gt;"",A4697&gt;INDEX(Mitarbeiter!$D$6:$D$205,MATCH(B4697,Mitarbeiter!$A$6:$A$205,0))),"nach Austritt","ok")))))))</f>
        <v/>
      </c>
    </row>
    <row r="4698">
      <c r="A4698" s="26" t="n"/>
      <c r="B4698" s="24" t="n"/>
      <c r="C4698" s="40">
        <f>IF(B4698="","",IFERROR(INDEX(Mitarbeiter!$B$6:$B$205,MATCH(B4698,Mitarbeiter!$A$6:$A$205,0)),"?"))</f>
        <v/>
      </c>
      <c r="D4698" s="41" t="n"/>
      <c r="E4698" s="42" t="n"/>
      <c r="F4698" s="43" t="n"/>
      <c r="G4698" s="44">
        <f>IF(OR(B4698="",F4698=""),"",IFERROR(F4698*INDEX(Mitarbeiter!$F$6:$F$205,MATCH(B4698,Mitarbeiter!$A$6:$A$205,0)),0))</f>
        <v/>
      </c>
      <c r="H4698" s="8">
        <f>IF(B4698="","",IF(ISNA(MATCH(B4698,Mitarbeiter!$A$6:$A$205,0)),"Pers.-Nr. unbekannt",IF(A4698="","Datum fehlt",IF(AND(D4698&lt;&gt;Einstellungen!$C$4,D4698&lt;&gt;Einstellungen!$C$5),"Objekt fehlt",IF(YEAR(A4698)&lt;&gt;Einstellungen!$C$3,"anderes Jahr",IF(A4698&lt;INDEX(Mitarbeiter!$C$6:$C$205,MATCH(B4698,Mitarbeiter!$A$6:$A$205,0)),"vor Eintritt",IF(AND(INDEX(Mitarbeiter!$D$6:$D$205,MATCH(B4698,Mitarbeiter!$A$6:$A$205,0))&lt;&gt;"",A4698&gt;INDEX(Mitarbeiter!$D$6:$D$205,MATCH(B4698,Mitarbeiter!$A$6:$A$205,0))),"nach Austritt","ok")))))))</f>
        <v/>
      </c>
    </row>
    <row r="4699">
      <c r="A4699" s="26" t="n"/>
      <c r="B4699" s="24" t="n"/>
      <c r="C4699" s="40">
        <f>IF(B4699="","",IFERROR(INDEX(Mitarbeiter!$B$6:$B$205,MATCH(B4699,Mitarbeiter!$A$6:$A$205,0)),"?"))</f>
        <v/>
      </c>
      <c r="D4699" s="41" t="n"/>
      <c r="E4699" s="42" t="n"/>
      <c r="F4699" s="43" t="n"/>
      <c r="G4699" s="44">
        <f>IF(OR(B4699="",F4699=""),"",IFERROR(F4699*INDEX(Mitarbeiter!$F$6:$F$205,MATCH(B4699,Mitarbeiter!$A$6:$A$205,0)),0))</f>
        <v/>
      </c>
      <c r="H4699" s="8">
        <f>IF(B4699="","",IF(ISNA(MATCH(B4699,Mitarbeiter!$A$6:$A$205,0)),"Pers.-Nr. unbekannt",IF(A4699="","Datum fehlt",IF(AND(D4699&lt;&gt;Einstellungen!$C$4,D4699&lt;&gt;Einstellungen!$C$5),"Objekt fehlt",IF(YEAR(A4699)&lt;&gt;Einstellungen!$C$3,"anderes Jahr",IF(A4699&lt;INDEX(Mitarbeiter!$C$6:$C$205,MATCH(B4699,Mitarbeiter!$A$6:$A$205,0)),"vor Eintritt",IF(AND(INDEX(Mitarbeiter!$D$6:$D$205,MATCH(B4699,Mitarbeiter!$A$6:$A$205,0))&lt;&gt;"",A4699&gt;INDEX(Mitarbeiter!$D$6:$D$205,MATCH(B4699,Mitarbeiter!$A$6:$A$205,0))),"nach Austritt","ok")))))))</f>
        <v/>
      </c>
    </row>
    <row r="4700">
      <c r="A4700" s="26" t="n"/>
      <c r="B4700" s="24" t="n"/>
      <c r="C4700" s="40">
        <f>IF(B4700="","",IFERROR(INDEX(Mitarbeiter!$B$6:$B$205,MATCH(B4700,Mitarbeiter!$A$6:$A$205,0)),"?"))</f>
        <v/>
      </c>
      <c r="D4700" s="41" t="n"/>
      <c r="E4700" s="42" t="n"/>
      <c r="F4700" s="43" t="n"/>
      <c r="G4700" s="44">
        <f>IF(OR(B4700="",F4700=""),"",IFERROR(F4700*INDEX(Mitarbeiter!$F$6:$F$205,MATCH(B4700,Mitarbeiter!$A$6:$A$205,0)),0))</f>
        <v/>
      </c>
      <c r="H4700" s="8">
        <f>IF(B4700="","",IF(ISNA(MATCH(B4700,Mitarbeiter!$A$6:$A$205,0)),"Pers.-Nr. unbekannt",IF(A4700="","Datum fehlt",IF(AND(D4700&lt;&gt;Einstellungen!$C$4,D4700&lt;&gt;Einstellungen!$C$5),"Objekt fehlt",IF(YEAR(A4700)&lt;&gt;Einstellungen!$C$3,"anderes Jahr",IF(A4700&lt;INDEX(Mitarbeiter!$C$6:$C$205,MATCH(B4700,Mitarbeiter!$A$6:$A$205,0)),"vor Eintritt",IF(AND(INDEX(Mitarbeiter!$D$6:$D$205,MATCH(B4700,Mitarbeiter!$A$6:$A$205,0))&lt;&gt;"",A4700&gt;INDEX(Mitarbeiter!$D$6:$D$205,MATCH(B4700,Mitarbeiter!$A$6:$A$205,0))),"nach Austritt","ok")))))))</f>
        <v/>
      </c>
    </row>
    <row r="4701">
      <c r="A4701" s="26" t="n"/>
      <c r="B4701" s="24" t="n"/>
      <c r="C4701" s="40">
        <f>IF(B4701="","",IFERROR(INDEX(Mitarbeiter!$B$6:$B$205,MATCH(B4701,Mitarbeiter!$A$6:$A$205,0)),"?"))</f>
        <v/>
      </c>
      <c r="D4701" s="41" t="n"/>
      <c r="E4701" s="42" t="n"/>
      <c r="F4701" s="43" t="n"/>
      <c r="G4701" s="44">
        <f>IF(OR(B4701="",F4701=""),"",IFERROR(F4701*INDEX(Mitarbeiter!$F$6:$F$205,MATCH(B4701,Mitarbeiter!$A$6:$A$205,0)),0))</f>
        <v/>
      </c>
      <c r="H4701" s="8">
        <f>IF(B4701="","",IF(ISNA(MATCH(B4701,Mitarbeiter!$A$6:$A$205,0)),"Pers.-Nr. unbekannt",IF(A4701="","Datum fehlt",IF(AND(D4701&lt;&gt;Einstellungen!$C$4,D4701&lt;&gt;Einstellungen!$C$5),"Objekt fehlt",IF(YEAR(A4701)&lt;&gt;Einstellungen!$C$3,"anderes Jahr",IF(A4701&lt;INDEX(Mitarbeiter!$C$6:$C$205,MATCH(B4701,Mitarbeiter!$A$6:$A$205,0)),"vor Eintritt",IF(AND(INDEX(Mitarbeiter!$D$6:$D$205,MATCH(B4701,Mitarbeiter!$A$6:$A$205,0))&lt;&gt;"",A4701&gt;INDEX(Mitarbeiter!$D$6:$D$205,MATCH(B4701,Mitarbeiter!$A$6:$A$205,0))),"nach Austritt","ok")))))))</f>
        <v/>
      </c>
    </row>
    <row r="4702">
      <c r="A4702" s="26" t="n"/>
      <c r="B4702" s="24" t="n"/>
      <c r="C4702" s="40">
        <f>IF(B4702="","",IFERROR(INDEX(Mitarbeiter!$B$6:$B$205,MATCH(B4702,Mitarbeiter!$A$6:$A$205,0)),"?"))</f>
        <v/>
      </c>
      <c r="D4702" s="41" t="n"/>
      <c r="E4702" s="42" t="n"/>
      <c r="F4702" s="43" t="n"/>
      <c r="G4702" s="44">
        <f>IF(OR(B4702="",F4702=""),"",IFERROR(F4702*INDEX(Mitarbeiter!$F$6:$F$205,MATCH(B4702,Mitarbeiter!$A$6:$A$205,0)),0))</f>
        <v/>
      </c>
      <c r="H4702" s="8">
        <f>IF(B4702="","",IF(ISNA(MATCH(B4702,Mitarbeiter!$A$6:$A$205,0)),"Pers.-Nr. unbekannt",IF(A4702="","Datum fehlt",IF(AND(D4702&lt;&gt;Einstellungen!$C$4,D4702&lt;&gt;Einstellungen!$C$5),"Objekt fehlt",IF(YEAR(A4702)&lt;&gt;Einstellungen!$C$3,"anderes Jahr",IF(A4702&lt;INDEX(Mitarbeiter!$C$6:$C$205,MATCH(B4702,Mitarbeiter!$A$6:$A$205,0)),"vor Eintritt",IF(AND(INDEX(Mitarbeiter!$D$6:$D$205,MATCH(B4702,Mitarbeiter!$A$6:$A$205,0))&lt;&gt;"",A4702&gt;INDEX(Mitarbeiter!$D$6:$D$205,MATCH(B4702,Mitarbeiter!$A$6:$A$205,0))),"nach Austritt","ok")))))))</f>
        <v/>
      </c>
    </row>
    <row r="4703">
      <c r="A4703" s="26" t="n"/>
      <c r="B4703" s="24" t="n"/>
      <c r="C4703" s="40">
        <f>IF(B4703="","",IFERROR(INDEX(Mitarbeiter!$B$6:$B$205,MATCH(B4703,Mitarbeiter!$A$6:$A$205,0)),"?"))</f>
        <v/>
      </c>
      <c r="D4703" s="41" t="n"/>
      <c r="E4703" s="42" t="n"/>
      <c r="F4703" s="43" t="n"/>
      <c r="G4703" s="44">
        <f>IF(OR(B4703="",F4703=""),"",IFERROR(F4703*INDEX(Mitarbeiter!$F$6:$F$205,MATCH(B4703,Mitarbeiter!$A$6:$A$205,0)),0))</f>
        <v/>
      </c>
      <c r="H4703" s="8">
        <f>IF(B4703="","",IF(ISNA(MATCH(B4703,Mitarbeiter!$A$6:$A$205,0)),"Pers.-Nr. unbekannt",IF(A4703="","Datum fehlt",IF(AND(D4703&lt;&gt;Einstellungen!$C$4,D4703&lt;&gt;Einstellungen!$C$5),"Objekt fehlt",IF(YEAR(A4703)&lt;&gt;Einstellungen!$C$3,"anderes Jahr",IF(A4703&lt;INDEX(Mitarbeiter!$C$6:$C$205,MATCH(B4703,Mitarbeiter!$A$6:$A$205,0)),"vor Eintritt",IF(AND(INDEX(Mitarbeiter!$D$6:$D$205,MATCH(B4703,Mitarbeiter!$A$6:$A$205,0))&lt;&gt;"",A4703&gt;INDEX(Mitarbeiter!$D$6:$D$205,MATCH(B4703,Mitarbeiter!$A$6:$A$205,0))),"nach Austritt","ok")))))))</f>
        <v/>
      </c>
    </row>
    <row r="4704">
      <c r="A4704" s="26" t="n"/>
      <c r="B4704" s="24" t="n"/>
      <c r="C4704" s="40">
        <f>IF(B4704="","",IFERROR(INDEX(Mitarbeiter!$B$6:$B$205,MATCH(B4704,Mitarbeiter!$A$6:$A$205,0)),"?"))</f>
        <v/>
      </c>
      <c r="D4704" s="41" t="n"/>
      <c r="E4704" s="42" t="n"/>
      <c r="F4704" s="43" t="n"/>
      <c r="G4704" s="44">
        <f>IF(OR(B4704="",F4704=""),"",IFERROR(F4704*INDEX(Mitarbeiter!$F$6:$F$205,MATCH(B4704,Mitarbeiter!$A$6:$A$205,0)),0))</f>
        <v/>
      </c>
      <c r="H4704" s="8">
        <f>IF(B4704="","",IF(ISNA(MATCH(B4704,Mitarbeiter!$A$6:$A$205,0)),"Pers.-Nr. unbekannt",IF(A4704="","Datum fehlt",IF(AND(D4704&lt;&gt;Einstellungen!$C$4,D4704&lt;&gt;Einstellungen!$C$5),"Objekt fehlt",IF(YEAR(A4704)&lt;&gt;Einstellungen!$C$3,"anderes Jahr",IF(A4704&lt;INDEX(Mitarbeiter!$C$6:$C$205,MATCH(B4704,Mitarbeiter!$A$6:$A$205,0)),"vor Eintritt",IF(AND(INDEX(Mitarbeiter!$D$6:$D$205,MATCH(B4704,Mitarbeiter!$A$6:$A$205,0))&lt;&gt;"",A4704&gt;INDEX(Mitarbeiter!$D$6:$D$205,MATCH(B4704,Mitarbeiter!$A$6:$A$205,0))),"nach Austritt","ok")))))))</f>
        <v/>
      </c>
    </row>
    <row r="4705">
      <c r="A4705" s="26" t="n"/>
      <c r="B4705" s="24" t="n"/>
      <c r="C4705" s="40">
        <f>IF(B4705="","",IFERROR(INDEX(Mitarbeiter!$B$6:$B$205,MATCH(B4705,Mitarbeiter!$A$6:$A$205,0)),"?"))</f>
        <v/>
      </c>
      <c r="D4705" s="41" t="n"/>
      <c r="E4705" s="42" t="n"/>
      <c r="F4705" s="43" t="n"/>
      <c r="G4705" s="44">
        <f>IF(OR(B4705="",F4705=""),"",IFERROR(F4705*INDEX(Mitarbeiter!$F$6:$F$205,MATCH(B4705,Mitarbeiter!$A$6:$A$205,0)),0))</f>
        <v/>
      </c>
      <c r="H4705" s="8">
        <f>IF(B4705="","",IF(ISNA(MATCH(B4705,Mitarbeiter!$A$6:$A$205,0)),"Pers.-Nr. unbekannt",IF(A4705="","Datum fehlt",IF(AND(D4705&lt;&gt;Einstellungen!$C$4,D4705&lt;&gt;Einstellungen!$C$5),"Objekt fehlt",IF(YEAR(A4705)&lt;&gt;Einstellungen!$C$3,"anderes Jahr",IF(A4705&lt;INDEX(Mitarbeiter!$C$6:$C$205,MATCH(B4705,Mitarbeiter!$A$6:$A$205,0)),"vor Eintritt",IF(AND(INDEX(Mitarbeiter!$D$6:$D$205,MATCH(B4705,Mitarbeiter!$A$6:$A$205,0))&lt;&gt;"",A4705&gt;INDEX(Mitarbeiter!$D$6:$D$205,MATCH(B4705,Mitarbeiter!$A$6:$A$205,0))),"nach Austritt","ok")))))))</f>
        <v/>
      </c>
    </row>
    <row r="4706">
      <c r="A4706" s="26" t="n"/>
      <c r="B4706" s="24" t="n"/>
      <c r="C4706" s="40">
        <f>IF(B4706="","",IFERROR(INDEX(Mitarbeiter!$B$6:$B$205,MATCH(B4706,Mitarbeiter!$A$6:$A$205,0)),"?"))</f>
        <v/>
      </c>
      <c r="D4706" s="41" t="n"/>
      <c r="E4706" s="42" t="n"/>
      <c r="F4706" s="43" t="n"/>
      <c r="G4706" s="44">
        <f>IF(OR(B4706="",F4706=""),"",IFERROR(F4706*INDEX(Mitarbeiter!$F$6:$F$205,MATCH(B4706,Mitarbeiter!$A$6:$A$205,0)),0))</f>
        <v/>
      </c>
      <c r="H4706" s="8">
        <f>IF(B4706="","",IF(ISNA(MATCH(B4706,Mitarbeiter!$A$6:$A$205,0)),"Pers.-Nr. unbekannt",IF(A4706="","Datum fehlt",IF(AND(D4706&lt;&gt;Einstellungen!$C$4,D4706&lt;&gt;Einstellungen!$C$5),"Objekt fehlt",IF(YEAR(A4706)&lt;&gt;Einstellungen!$C$3,"anderes Jahr",IF(A4706&lt;INDEX(Mitarbeiter!$C$6:$C$205,MATCH(B4706,Mitarbeiter!$A$6:$A$205,0)),"vor Eintritt",IF(AND(INDEX(Mitarbeiter!$D$6:$D$205,MATCH(B4706,Mitarbeiter!$A$6:$A$205,0))&lt;&gt;"",A4706&gt;INDEX(Mitarbeiter!$D$6:$D$205,MATCH(B4706,Mitarbeiter!$A$6:$A$205,0))),"nach Austritt","ok")))))))</f>
        <v/>
      </c>
    </row>
    <row r="4707">
      <c r="A4707" s="26" t="n"/>
      <c r="B4707" s="24" t="n"/>
      <c r="C4707" s="40">
        <f>IF(B4707="","",IFERROR(INDEX(Mitarbeiter!$B$6:$B$205,MATCH(B4707,Mitarbeiter!$A$6:$A$205,0)),"?"))</f>
        <v/>
      </c>
      <c r="D4707" s="41" t="n"/>
      <c r="E4707" s="42" t="n"/>
      <c r="F4707" s="43" t="n"/>
      <c r="G4707" s="44">
        <f>IF(OR(B4707="",F4707=""),"",IFERROR(F4707*INDEX(Mitarbeiter!$F$6:$F$205,MATCH(B4707,Mitarbeiter!$A$6:$A$205,0)),0))</f>
        <v/>
      </c>
      <c r="H4707" s="8">
        <f>IF(B4707="","",IF(ISNA(MATCH(B4707,Mitarbeiter!$A$6:$A$205,0)),"Pers.-Nr. unbekannt",IF(A4707="","Datum fehlt",IF(AND(D4707&lt;&gt;Einstellungen!$C$4,D4707&lt;&gt;Einstellungen!$C$5),"Objekt fehlt",IF(YEAR(A4707)&lt;&gt;Einstellungen!$C$3,"anderes Jahr",IF(A4707&lt;INDEX(Mitarbeiter!$C$6:$C$205,MATCH(B4707,Mitarbeiter!$A$6:$A$205,0)),"vor Eintritt",IF(AND(INDEX(Mitarbeiter!$D$6:$D$205,MATCH(B4707,Mitarbeiter!$A$6:$A$205,0))&lt;&gt;"",A4707&gt;INDEX(Mitarbeiter!$D$6:$D$205,MATCH(B4707,Mitarbeiter!$A$6:$A$205,0))),"nach Austritt","ok")))))))</f>
        <v/>
      </c>
    </row>
    <row r="4708">
      <c r="A4708" s="26" t="n"/>
      <c r="B4708" s="24" t="n"/>
      <c r="C4708" s="40">
        <f>IF(B4708="","",IFERROR(INDEX(Mitarbeiter!$B$6:$B$205,MATCH(B4708,Mitarbeiter!$A$6:$A$205,0)),"?"))</f>
        <v/>
      </c>
      <c r="D4708" s="41" t="n"/>
      <c r="E4708" s="42" t="n"/>
      <c r="F4708" s="43" t="n"/>
      <c r="G4708" s="44">
        <f>IF(OR(B4708="",F4708=""),"",IFERROR(F4708*INDEX(Mitarbeiter!$F$6:$F$205,MATCH(B4708,Mitarbeiter!$A$6:$A$205,0)),0))</f>
        <v/>
      </c>
      <c r="H4708" s="8">
        <f>IF(B4708="","",IF(ISNA(MATCH(B4708,Mitarbeiter!$A$6:$A$205,0)),"Pers.-Nr. unbekannt",IF(A4708="","Datum fehlt",IF(AND(D4708&lt;&gt;Einstellungen!$C$4,D4708&lt;&gt;Einstellungen!$C$5),"Objekt fehlt",IF(YEAR(A4708)&lt;&gt;Einstellungen!$C$3,"anderes Jahr",IF(A4708&lt;INDEX(Mitarbeiter!$C$6:$C$205,MATCH(B4708,Mitarbeiter!$A$6:$A$205,0)),"vor Eintritt",IF(AND(INDEX(Mitarbeiter!$D$6:$D$205,MATCH(B4708,Mitarbeiter!$A$6:$A$205,0))&lt;&gt;"",A4708&gt;INDEX(Mitarbeiter!$D$6:$D$205,MATCH(B4708,Mitarbeiter!$A$6:$A$205,0))),"nach Austritt","ok")))))))</f>
        <v/>
      </c>
    </row>
    <row r="4709">
      <c r="A4709" s="26" t="n"/>
      <c r="B4709" s="24" t="n"/>
      <c r="C4709" s="40">
        <f>IF(B4709="","",IFERROR(INDEX(Mitarbeiter!$B$6:$B$205,MATCH(B4709,Mitarbeiter!$A$6:$A$205,0)),"?"))</f>
        <v/>
      </c>
      <c r="D4709" s="41" t="n"/>
      <c r="E4709" s="42" t="n"/>
      <c r="F4709" s="43" t="n"/>
      <c r="G4709" s="44">
        <f>IF(OR(B4709="",F4709=""),"",IFERROR(F4709*INDEX(Mitarbeiter!$F$6:$F$205,MATCH(B4709,Mitarbeiter!$A$6:$A$205,0)),0))</f>
        <v/>
      </c>
      <c r="H4709" s="8">
        <f>IF(B4709="","",IF(ISNA(MATCH(B4709,Mitarbeiter!$A$6:$A$205,0)),"Pers.-Nr. unbekannt",IF(A4709="","Datum fehlt",IF(AND(D4709&lt;&gt;Einstellungen!$C$4,D4709&lt;&gt;Einstellungen!$C$5),"Objekt fehlt",IF(YEAR(A4709)&lt;&gt;Einstellungen!$C$3,"anderes Jahr",IF(A4709&lt;INDEX(Mitarbeiter!$C$6:$C$205,MATCH(B4709,Mitarbeiter!$A$6:$A$205,0)),"vor Eintritt",IF(AND(INDEX(Mitarbeiter!$D$6:$D$205,MATCH(B4709,Mitarbeiter!$A$6:$A$205,0))&lt;&gt;"",A4709&gt;INDEX(Mitarbeiter!$D$6:$D$205,MATCH(B4709,Mitarbeiter!$A$6:$A$205,0))),"nach Austritt","ok")))))))</f>
        <v/>
      </c>
    </row>
    <row r="4710">
      <c r="A4710" s="26" t="n"/>
      <c r="B4710" s="24" t="n"/>
      <c r="C4710" s="40">
        <f>IF(B4710="","",IFERROR(INDEX(Mitarbeiter!$B$6:$B$205,MATCH(B4710,Mitarbeiter!$A$6:$A$205,0)),"?"))</f>
        <v/>
      </c>
      <c r="D4710" s="41" t="n"/>
      <c r="E4710" s="42" t="n"/>
      <c r="F4710" s="43" t="n"/>
      <c r="G4710" s="44">
        <f>IF(OR(B4710="",F4710=""),"",IFERROR(F4710*INDEX(Mitarbeiter!$F$6:$F$205,MATCH(B4710,Mitarbeiter!$A$6:$A$205,0)),0))</f>
        <v/>
      </c>
      <c r="H4710" s="8">
        <f>IF(B4710="","",IF(ISNA(MATCH(B4710,Mitarbeiter!$A$6:$A$205,0)),"Pers.-Nr. unbekannt",IF(A4710="","Datum fehlt",IF(AND(D4710&lt;&gt;Einstellungen!$C$4,D4710&lt;&gt;Einstellungen!$C$5),"Objekt fehlt",IF(YEAR(A4710)&lt;&gt;Einstellungen!$C$3,"anderes Jahr",IF(A4710&lt;INDEX(Mitarbeiter!$C$6:$C$205,MATCH(B4710,Mitarbeiter!$A$6:$A$205,0)),"vor Eintritt",IF(AND(INDEX(Mitarbeiter!$D$6:$D$205,MATCH(B4710,Mitarbeiter!$A$6:$A$205,0))&lt;&gt;"",A4710&gt;INDEX(Mitarbeiter!$D$6:$D$205,MATCH(B4710,Mitarbeiter!$A$6:$A$205,0))),"nach Austritt","ok")))))))</f>
        <v/>
      </c>
    </row>
    <row r="4711">
      <c r="A4711" s="26" t="n"/>
      <c r="B4711" s="24" t="n"/>
      <c r="C4711" s="40">
        <f>IF(B4711="","",IFERROR(INDEX(Mitarbeiter!$B$6:$B$205,MATCH(B4711,Mitarbeiter!$A$6:$A$205,0)),"?"))</f>
        <v/>
      </c>
      <c r="D4711" s="41" t="n"/>
      <c r="E4711" s="42" t="n"/>
      <c r="F4711" s="43" t="n"/>
      <c r="G4711" s="44">
        <f>IF(OR(B4711="",F4711=""),"",IFERROR(F4711*INDEX(Mitarbeiter!$F$6:$F$205,MATCH(B4711,Mitarbeiter!$A$6:$A$205,0)),0))</f>
        <v/>
      </c>
      <c r="H4711" s="8">
        <f>IF(B4711="","",IF(ISNA(MATCH(B4711,Mitarbeiter!$A$6:$A$205,0)),"Pers.-Nr. unbekannt",IF(A4711="","Datum fehlt",IF(AND(D4711&lt;&gt;Einstellungen!$C$4,D4711&lt;&gt;Einstellungen!$C$5),"Objekt fehlt",IF(YEAR(A4711)&lt;&gt;Einstellungen!$C$3,"anderes Jahr",IF(A4711&lt;INDEX(Mitarbeiter!$C$6:$C$205,MATCH(B4711,Mitarbeiter!$A$6:$A$205,0)),"vor Eintritt",IF(AND(INDEX(Mitarbeiter!$D$6:$D$205,MATCH(B4711,Mitarbeiter!$A$6:$A$205,0))&lt;&gt;"",A4711&gt;INDEX(Mitarbeiter!$D$6:$D$205,MATCH(B4711,Mitarbeiter!$A$6:$A$205,0))),"nach Austritt","ok")))))))</f>
        <v/>
      </c>
    </row>
    <row r="4712">
      <c r="A4712" s="26" t="n"/>
      <c r="B4712" s="24" t="n"/>
      <c r="C4712" s="40">
        <f>IF(B4712="","",IFERROR(INDEX(Mitarbeiter!$B$6:$B$205,MATCH(B4712,Mitarbeiter!$A$6:$A$205,0)),"?"))</f>
        <v/>
      </c>
      <c r="D4712" s="41" t="n"/>
      <c r="E4712" s="42" t="n"/>
      <c r="F4712" s="43" t="n"/>
      <c r="G4712" s="44">
        <f>IF(OR(B4712="",F4712=""),"",IFERROR(F4712*INDEX(Mitarbeiter!$F$6:$F$205,MATCH(B4712,Mitarbeiter!$A$6:$A$205,0)),0))</f>
        <v/>
      </c>
      <c r="H4712" s="8">
        <f>IF(B4712="","",IF(ISNA(MATCH(B4712,Mitarbeiter!$A$6:$A$205,0)),"Pers.-Nr. unbekannt",IF(A4712="","Datum fehlt",IF(AND(D4712&lt;&gt;Einstellungen!$C$4,D4712&lt;&gt;Einstellungen!$C$5),"Objekt fehlt",IF(YEAR(A4712)&lt;&gt;Einstellungen!$C$3,"anderes Jahr",IF(A4712&lt;INDEX(Mitarbeiter!$C$6:$C$205,MATCH(B4712,Mitarbeiter!$A$6:$A$205,0)),"vor Eintritt",IF(AND(INDEX(Mitarbeiter!$D$6:$D$205,MATCH(B4712,Mitarbeiter!$A$6:$A$205,0))&lt;&gt;"",A4712&gt;INDEX(Mitarbeiter!$D$6:$D$205,MATCH(B4712,Mitarbeiter!$A$6:$A$205,0))),"nach Austritt","ok")))))))</f>
        <v/>
      </c>
    </row>
    <row r="4713">
      <c r="A4713" s="26" t="n"/>
      <c r="B4713" s="24" t="n"/>
      <c r="C4713" s="40">
        <f>IF(B4713="","",IFERROR(INDEX(Mitarbeiter!$B$6:$B$205,MATCH(B4713,Mitarbeiter!$A$6:$A$205,0)),"?"))</f>
        <v/>
      </c>
      <c r="D4713" s="41" t="n"/>
      <c r="E4713" s="42" t="n"/>
      <c r="F4713" s="43" t="n"/>
      <c r="G4713" s="44">
        <f>IF(OR(B4713="",F4713=""),"",IFERROR(F4713*INDEX(Mitarbeiter!$F$6:$F$205,MATCH(B4713,Mitarbeiter!$A$6:$A$205,0)),0))</f>
        <v/>
      </c>
      <c r="H4713" s="8">
        <f>IF(B4713="","",IF(ISNA(MATCH(B4713,Mitarbeiter!$A$6:$A$205,0)),"Pers.-Nr. unbekannt",IF(A4713="","Datum fehlt",IF(AND(D4713&lt;&gt;Einstellungen!$C$4,D4713&lt;&gt;Einstellungen!$C$5),"Objekt fehlt",IF(YEAR(A4713)&lt;&gt;Einstellungen!$C$3,"anderes Jahr",IF(A4713&lt;INDEX(Mitarbeiter!$C$6:$C$205,MATCH(B4713,Mitarbeiter!$A$6:$A$205,0)),"vor Eintritt",IF(AND(INDEX(Mitarbeiter!$D$6:$D$205,MATCH(B4713,Mitarbeiter!$A$6:$A$205,0))&lt;&gt;"",A4713&gt;INDEX(Mitarbeiter!$D$6:$D$205,MATCH(B4713,Mitarbeiter!$A$6:$A$205,0))),"nach Austritt","ok")))))))</f>
        <v/>
      </c>
    </row>
    <row r="4714">
      <c r="A4714" s="26" t="n"/>
      <c r="B4714" s="24" t="n"/>
      <c r="C4714" s="40">
        <f>IF(B4714="","",IFERROR(INDEX(Mitarbeiter!$B$6:$B$205,MATCH(B4714,Mitarbeiter!$A$6:$A$205,0)),"?"))</f>
        <v/>
      </c>
      <c r="D4714" s="41" t="n"/>
      <c r="E4714" s="42" t="n"/>
      <c r="F4714" s="43" t="n"/>
      <c r="G4714" s="44">
        <f>IF(OR(B4714="",F4714=""),"",IFERROR(F4714*INDEX(Mitarbeiter!$F$6:$F$205,MATCH(B4714,Mitarbeiter!$A$6:$A$205,0)),0))</f>
        <v/>
      </c>
      <c r="H4714" s="8">
        <f>IF(B4714="","",IF(ISNA(MATCH(B4714,Mitarbeiter!$A$6:$A$205,0)),"Pers.-Nr. unbekannt",IF(A4714="","Datum fehlt",IF(AND(D4714&lt;&gt;Einstellungen!$C$4,D4714&lt;&gt;Einstellungen!$C$5),"Objekt fehlt",IF(YEAR(A4714)&lt;&gt;Einstellungen!$C$3,"anderes Jahr",IF(A4714&lt;INDEX(Mitarbeiter!$C$6:$C$205,MATCH(B4714,Mitarbeiter!$A$6:$A$205,0)),"vor Eintritt",IF(AND(INDEX(Mitarbeiter!$D$6:$D$205,MATCH(B4714,Mitarbeiter!$A$6:$A$205,0))&lt;&gt;"",A4714&gt;INDEX(Mitarbeiter!$D$6:$D$205,MATCH(B4714,Mitarbeiter!$A$6:$A$205,0))),"nach Austritt","ok")))))))</f>
        <v/>
      </c>
    </row>
    <row r="4715">
      <c r="A4715" s="26" t="n"/>
      <c r="B4715" s="24" t="n"/>
      <c r="C4715" s="40">
        <f>IF(B4715="","",IFERROR(INDEX(Mitarbeiter!$B$6:$B$205,MATCH(B4715,Mitarbeiter!$A$6:$A$205,0)),"?"))</f>
        <v/>
      </c>
      <c r="D4715" s="41" t="n"/>
      <c r="E4715" s="42" t="n"/>
      <c r="F4715" s="43" t="n"/>
      <c r="G4715" s="44">
        <f>IF(OR(B4715="",F4715=""),"",IFERROR(F4715*INDEX(Mitarbeiter!$F$6:$F$205,MATCH(B4715,Mitarbeiter!$A$6:$A$205,0)),0))</f>
        <v/>
      </c>
      <c r="H4715" s="8">
        <f>IF(B4715="","",IF(ISNA(MATCH(B4715,Mitarbeiter!$A$6:$A$205,0)),"Pers.-Nr. unbekannt",IF(A4715="","Datum fehlt",IF(AND(D4715&lt;&gt;Einstellungen!$C$4,D4715&lt;&gt;Einstellungen!$C$5),"Objekt fehlt",IF(YEAR(A4715)&lt;&gt;Einstellungen!$C$3,"anderes Jahr",IF(A4715&lt;INDEX(Mitarbeiter!$C$6:$C$205,MATCH(B4715,Mitarbeiter!$A$6:$A$205,0)),"vor Eintritt",IF(AND(INDEX(Mitarbeiter!$D$6:$D$205,MATCH(B4715,Mitarbeiter!$A$6:$A$205,0))&lt;&gt;"",A4715&gt;INDEX(Mitarbeiter!$D$6:$D$205,MATCH(B4715,Mitarbeiter!$A$6:$A$205,0))),"nach Austritt","ok")))))))</f>
        <v/>
      </c>
    </row>
    <row r="4716">
      <c r="A4716" s="26" t="n"/>
      <c r="B4716" s="24" t="n"/>
      <c r="C4716" s="40">
        <f>IF(B4716="","",IFERROR(INDEX(Mitarbeiter!$B$6:$B$205,MATCH(B4716,Mitarbeiter!$A$6:$A$205,0)),"?"))</f>
        <v/>
      </c>
      <c r="D4716" s="41" t="n"/>
      <c r="E4716" s="42" t="n"/>
      <c r="F4716" s="43" t="n"/>
      <c r="G4716" s="44">
        <f>IF(OR(B4716="",F4716=""),"",IFERROR(F4716*INDEX(Mitarbeiter!$F$6:$F$205,MATCH(B4716,Mitarbeiter!$A$6:$A$205,0)),0))</f>
        <v/>
      </c>
      <c r="H4716" s="8">
        <f>IF(B4716="","",IF(ISNA(MATCH(B4716,Mitarbeiter!$A$6:$A$205,0)),"Pers.-Nr. unbekannt",IF(A4716="","Datum fehlt",IF(AND(D4716&lt;&gt;Einstellungen!$C$4,D4716&lt;&gt;Einstellungen!$C$5),"Objekt fehlt",IF(YEAR(A4716)&lt;&gt;Einstellungen!$C$3,"anderes Jahr",IF(A4716&lt;INDEX(Mitarbeiter!$C$6:$C$205,MATCH(B4716,Mitarbeiter!$A$6:$A$205,0)),"vor Eintritt",IF(AND(INDEX(Mitarbeiter!$D$6:$D$205,MATCH(B4716,Mitarbeiter!$A$6:$A$205,0))&lt;&gt;"",A4716&gt;INDEX(Mitarbeiter!$D$6:$D$205,MATCH(B4716,Mitarbeiter!$A$6:$A$205,0))),"nach Austritt","ok")))))))</f>
        <v/>
      </c>
    </row>
    <row r="4717">
      <c r="A4717" s="26" t="n"/>
      <c r="B4717" s="24" t="n"/>
      <c r="C4717" s="40">
        <f>IF(B4717="","",IFERROR(INDEX(Mitarbeiter!$B$6:$B$205,MATCH(B4717,Mitarbeiter!$A$6:$A$205,0)),"?"))</f>
        <v/>
      </c>
      <c r="D4717" s="41" t="n"/>
      <c r="E4717" s="42" t="n"/>
      <c r="F4717" s="43" t="n"/>
      <c r="G4717" s="44">
        <f>IF(OR(B4717="",F4717=""),"",IFERROR(F4717*INDEX(Mitarbeiter!$F$6:$F$205,MATCH(B4717,Mitarbeiter!$A$6:$A$205,0)),0))</f>
        <v/>
      </c>
      <c r="H4717" s="8">
        <f>IF(B4717="","",IF(ISNA(MATCH(B4717,Mitarbeiter!$A$6:$A$205,0)),"Pers.-Nr. unbekannt",IF(A4717="","Datum fehlt",IF(AND(D4717&lt;&gt;Einstellungen!$C$4,D4717&lt;&gt;Einstellungen!$C$5),"Objekt fehlt",IF(YEAR(A4717)&lt;&gt;Einstellungen!$C$3,"anderes Jahr",IF(A4717&lt;INDEX(Mitarbeiter!$C$6:$C$205,MATCH(B4717,Mitarbeiter!$A$6:$A$205,0)),"vor Eintritt",IF(AND(INDEX(Mitarbeiter!$D$6:$D$205,MATCH(B4717,Mitarbeiter!$A$6:$A$205,0))&lt;&gt;"",A4717&gt;INDEX(Mitarbeiter!$D$6:$D$205,MATCH(B4717,Mitarbeiter!$A$6:$A$205,0))),"nach Austritt","ok")))))))</f>
        <v/>
      </c>
    </row>
    <row r="4718">
      <c r="A4718" s="26" t="n"/>
      <c r="B4718" s="24" t="n"/>
      <c r="C4718" s="40">
        <f>IF(B4718="","",IFERROR(INDEX(Mitarbeiter!$B$6:$B$205,MATCH(B4718,Mitarbeiter!$A$6:$A$205,0)),"?"))</f>
        <v/>
      </c>
      <c r="D4718" s="41" t="n"/>
      <c r="E4718" s="42" t="n"/>
      <c r="F4718" s="43" t="n"/>
      <c r="G4718" s="44">
        <f>IF(OR(B4718="",F4718=""),"",IFERROR(F4718*INDEX(Mitarbeiter!$F$6:$F$205,MATCH(B4718,Mitarbeiter!$A$6:$A$205,0)),0))</f>
        <v/>
      </c>
      <c r="H4718" s="8">
        <f>IF(B4718="","",IF(ISNA(MATCH(B4718,Mitarbeiter!$A$6:$A$205,0)),"Pers.-Nr. unbekannt",IF(A4718="","Datum fehlt",IF(AND(D4718&lt;&gt;Einstellungen!$C$4,D4718&lt;&gt;Einstellungen!$C$5),"Objekt fehlt",IF(YEAR(A4718)&lt;&gt;Einstellungen!$C$3,"anderes Jahr",IF(A4718&lt;INDEX(Mitarbeiter!$C$6:$C$205,MATCH(B4718,Mitarbeiter!$A$6:$A$205,0)),"vor Eintritt",IF(AND(INDEX(Mitarbeiter!$D$6:$D$205,MATCH(B4718,Mitarbeiter!$A$6:$A$205,0))&lt;&gt;"",A4718&gt;INDEX(Mitarbeiter!$D$6:$D$205,MATCH(B4718,Mitarbeiter!$A$6:$A$205,0))),"nach Austritt","ok")))))))</f>
        <v/>
      </c>
    </row>
    <row r="4719">
      <c r="A4719" s="26" t="n"/>
      <c r="B4719" s="24" t="n"/>
      <c r="C4719" s="40">
        <f>IF(B4719="","",IFERROR(INDEX(Mitarbeiter!$B$6:$B$205,MATCH(B4719,Mitarbeiter!$A$6:$A$205,0)),"?"))</f>
        <v/>
      </c>
      <c r="D4719" s="41" t="n"/>
      <c r="E4719" s="42" t="n"/>
      <c r="F4719" s="43" t="n"/>
      <c r="G4719" s="44">
        <f>IF(OR(B4719="",F4719=""),"",IFERROR(F4719*INDEX(Mitarbeiter!$F$6:$F$205,MATCH(B4719,Mitarbeiter!$A$6:$A$205,0)),0))</f>
        <v/>
      </c>
      <c r="H4719" s="8">
        <f>IF(B4719="","",IF(ISNA(MATCH(B4719,Mitarbeiter!$A$6:$A$205,0)),"Pers.-Nr. unbekannt",IF(A4719="","Datum fehlt",IF(AND(D4719&lt;&gt;Einstellungen!$C$4,D4719&lt;&gt;Einstellungen!$C$5),"Objekt fehlt",IF(YEAR(A4719)&lt;&gt;Einstellungen!$C$3,"anderes Jahr",IF(A4719&lt;INDEX(Mitarbeiter!$C$6:$C$205,MATCH(B4719,Mitarbeiter!$A$6:$A$205,0)),"vor Eintritt",IF(AND(INDEX(Mitarbeiter!$D$6:$D$205,MATCH(B4719,Mitarbeiter!$A$6:$A$205,0))&lt;&gt;"",A4719&gt;INDEX(Mitarbeiter!$D$6:$D$205,MATCH(B4719,Mitarbeiter!$A$6:$A$205,0))),"nach Austritt","ok")))))))</f>
        <v/>
      </c>
    </row>
    <row r="4720">
      <c r="A4720" s="26" t="n"/>
      <c r="B4720" s="24" t="n"/>
      <c r="C4720" s="40">
        <f>IF(B4720="","",IFERROR(INDEX(Mitarbeiter!$B$6:$B$205,MATCH(B4720,Mitarbeiter!$A$6:$A$205,0)),"?"))</f>
        <v/>
      </c>
      <c r="D4720" s="41" t="n"/>
      <c r="E4720" s="42" t="n"/>
      <c r="F4720" s="43" t="n"/>
      <c r="G4720" s="44">
        <f>IF(OR(B4720="",F4720=""),"",IFERROR(F4720*INDEX(Mitarbeiter!$F$6:$F$205,MATCH(B4720,Mitarbeiter!$A$6:$A$205,0)),0))</f>
        <v/>
      </c>
      <c r="H4720" s="8">
        <f>IF(B4720="","",IF(ISNA(MATCH(B4720,Mitarbeiter!$A$6:$A$205,0)),"Pers.-Nr. unbekannt",IF(A4720="","Datum fehlt",IF(AND(D4720&lt;&gt;Einstellungen!$C$4,D4720&lt;&gt;Einstellungen!$C$5),"Objekt fehlt",IF(YEAR(A4720)&lt;&gt;Einstellungen!$C$3,"anderes Jahr",IF(A4720&lt;INDEX(Mitarbeiter!$C$6:$C$205,MATCH(B4720,Mitarbeiter!$A$6:$A$205,0)),"vor Eintritt",IF(AND(INDEX(Mitarbeiter!$D$6:$D$205,MATCH(B4720,Mitarbeiter!$A$6:$A$205,0))&lt;&gt;"",A4720&gt;INDEX(Mitarbeiter!$D$6:$D$205,MATCH(B4720,Mitarbeiter!$A$6:$A$205,0))),"nach Austritt","ok")))))))</f>
        <v/>
      </c>
    </row>
    <row r="4721">
      <c r="A4721" s="26" t="n"/>
      <c r="B4721" s="24" t="n"/>
      <c r="C4721" s="40">
        <f>IF(B4721="","",IFERROR(INDEX(Mitarbeiter!$B$6:$B$205,MATCH(B4721,Mitarbeiter!$A$6:$A$205,0)),"?"))</f>
        <v/>
      </c>
      <c r="D4721" s="41" t="n"/>
      <c r="E4721" s="42" t="n"/>
      <c r="F4721" s="43" t="n"/>
      <c r="G4721" s="44">
        <f>IF(OR(B4721="",F4721=""),"",IFERROR(F4721*INDEX(Mitarbeiter!$F$6:$F$205,MATCH(B4721,Mitarbeiter!$A$6:$A$205,0)),0))</f>
        <v/>
      </c>
      <c r="H4721" s="8">
        <f>IF(B4721="","",IF(ISNA(MATCH(B4721,Mitarbeiter!$A$6:$A$205,0)),"Pers.-Nr. unbekannt",IF(A4721="","Datum fehlt",IF(AND(D4721&lt;&gt;Einstellungen!$C$4,D4721&lt;&gt;Einstellungen!$C$5),"Objekt fehlt",IF(YEAR(A4721)&lt;&gt;Einstellungen!$C$3,"anderes Jahr",IF(A4721&lt;INDEX(Mitarbeiter!$C$6:$C$205,MATCH(B4721,Mitarbeiter!$A$6:$A$205,0)),"vor Eintritt",IF(AND(INDEX(Mitarbeiter!$D$6:$D$205,MATCH(B4721,Mitarbeiter!$A$6:$A$205,0))&lt;&gt;"",A4721&gt;INDEX(Mitarbeiter!$D$6:$D$205,MATCH(B4721,Mitarbeiter!$A$6:$A$205,0))),"nach Austritt","ok")))))))</f>
        <v/>
      </c>
    </row>
    <row r="4722">
      <c r="A4722" s="26" t="n"/>
      <c r="B4722" s="24" t="n"/>
      <c r="C4722" s="40">
        <f>IF(B4722="","",IFERROR(INDEX(Mitarbeiter!$B$6:$B$205,MATCH(B4722,Mitarbeiter!$A$6:$A$205,0)),"?"))</f>
        <v/>
      </c>
      <c r="D4722" s="41" t="n"/>
      <c r="E4722" s="42" t="n"/>
      <c r="F4722" s="43" t="n"/>
      <c r="G4722" s="44">
        <f>IF(OR(B4722="",F4722=""),"",IFERROR(F4722*INDEX(Mitarbeiter!$F$6:$F$205,MATCH(B4722,Mitarbeiter!$A$6:$A$205,0)),0))</f>
        <v/>
      </c>
      <c r="H4722" s="8">
        <f>IF(B4722="","",IF(ISNA(MATCH(B4722,Mitarbeiter!$A$6:$A$205,0)),"Pers.-Nr. unbekannt",IF(A4722="","Datum fehlt",IF(AND(D4722&lt;&gt;Einstellungen!$C$4,D4722&lt;&gt;Einstellungen!$C$5),"Objekt fehlt",IF(YEAR(A4722)&lt;&gt;Einstellungen!$C$3,"anderes Jahr",IF(A4722&lt;INDEX(Mitarbeiter!$C$6:$C$205,MATCH(B4722,Mitarbeiter!$A$6:$A$205,0)),"vor Eintritt",IF(AND(INDEX(Mitarbeiter!$D$6:$D$205,MATCH(B4722,Mitarbeiter!$A$6:$A$205,0))&lt;&gt;"",A4722&gt;INDEX(Mitarbeiter!$D$6:$D$205,MATCH(B4722,Mitarbeiter!$A$6:$A$205,0))),"nach Austritt","ok")))))))</f>
        <v/>
      </c>
    </row>
    <row r="4723">
      <c r="A4723" s="26" t="n"/>
      <c r="B4723" s="24" t="n"/>
      <c r="C4723" s="40">
        <f>IF(B4723="","",IFERROR(INDEX(Mitarbeiter!$B$6:$B$205,MATCH(B4723,Mitarbeiter!$A$6:$A$205,0)),"?"))</f>
        <v/>
      </c>
      <c r="D4723" s="41" t="n"/>
      <c r="E4723" s="42" t="n"/>
      <c r="F4723" s="43" t="n"/>
      <c r="G4723" s="44">
        <f>IF(OR(B4723="",F4723=""),"",IFERROR(F4723*INDEX(Mitarbeiter!$F$6:$F$205,MATCH(B4723,Mitarbeiter!$A$6:$A$205,0)),0))</f>
        <v/>
      </c>
      <c r="H4723" s="8">
        <f>IF(B4723="","",IF(ISNA(MATCH(B4723,Mitarbeiter!$A$6:$A$205,0)),"Pers.-Nr. unbekannt",IF(A4723="","Datum fehlt",IF(AND(D4723&lt;&gt;Einstellungen!$C$4,D4723&lt;&gt;Einstellungen!$C$5),"Objekt fehlt",IF(YEAR(A4723)&lt;&gt;Einstellungen!$C$3,"anderes Jahr",IF(A4723&lt;INDEX(Mitarbeiter!$C$6:$C$205,MATCH(B4723,Mitarbeiter!$A$6:$A$205,0)),"vor Eintritt",IF(AND(INDEX(Mitarbeiter!$D$6:$D$205,MATCH(B4723,Mitarbeiter!$A$6:$A$205,0))&lt;&gt;"",A4723&gt;INDEX(Mitarbeiter!$D$6:$D$205,MATCH(B4723,Mitarbeiter!$A$6:$A$205,0))),"nach Austritt","ok")))))))</f>
        <v/>
      </c>
    </row>
    <row r="4724">
      <c r="A4724" s="26" t="n"/>
      <c r="B4724" s="24" t="n"/>
      <c r="C4724" s="40">
        <f>IF(B4724="","",IFERROR(INDEX(Mitarbeiter!$B$6:$B$205,MATCH(B4724,Mitarbeiter!$A$6:$A$205,0)),"?"))</f>
        <v/>
      </c>
      <c r="D4724" s="41" t="n"/>
      <c r="E4724" s="42" t="n"/>
      <c r="F4724" s="43" t="n"/>
      <c r="G4724" s="44">
        <f>IF(OR(B4724="",F4724=""),"",IFERROR(F4724*INDEX(Mitarbeiter!$F$6:$F$205,MATCH(B4724,Mitarbeiter!$A$6:$A$205,0)),0))</f>
        <v/>
      </c>
      <c r="H4724" s="8">
        <f>IF(B4724="","",IF(ISNA(MATCH(B4724,Mitarbeiter!$A$6:$A$205,0)),"Pers.-Nr. unbekannt",IF(A4724="","Datum fehlt",IF(AND(D4724&lt;&gt;Einstellungen!$C$4,D4724&lt;&gt;Einstellungen!$C$5),"Objekt fehlt",IF(YEAR(A4724)&lt;&gt;Einstellungen!$C$3,"anderes Jahr",IF(A4724&lt;INDEX(Mitarbeiter!$C$6:$C$205,MATCH(B4724,Mitarbeiter!$A$6:$A$205,0)),"vor Eintritt",IF(AND(INDEX(Mitarbeiter!$D$6:$D$205,MATCH(B4724,Mitarbeiter!$A$6:$A$205,0))&lt;&gt;"",A4724&gt;INDEX(Mitarbeiter!$D$6:$D$205,MATCH(B4724,Mitarbeiter!$A$6:$A$205,0))),"nach Austritt","ok")))))))</f>
        <v/>
      </c>
    </row>
    <row r="4725">
      <c r="A4725" s="26" t="n"/>
      <c r="B4725" s="24" t="n"/>
      <c r="C4725" s="40">
        <f>IF(B4725="","",IFERROR(INDEX(Mitarbeiter!$B$6:$B$205,MATCH(B4725,Mitarbeiter!$A$6:$A$205,0)),"?"))</f>
        <v/>
      </c>
      <c r="D4725" s="41" t="n"/>
      <c r="E4725" s="42" t="n"/>
      <c r="F4725" s="43" t="n"/>
      <c r="G4725" s="44">
        <f>IF(OR(B4725="",F4725=""),"",IFERROR(F4725*INDEX(Mitarbeiter!$F$6:$F$205,MATCH(B4725,Mitarbeiter!$A$6:$A$205,0)),0))</f>
        <v/>
      </c>
      <c r="H4725" s="8">
        <f>IF(B4725="","",IF(ISNA(MATCH(B4725,Mitarbeiter!$A$6:$A$205,0)),"Pers.-Nr. unbekannt",IF(A4725="","Datum fehlt",IF(AND(D4725&lt;&gt;Einstellungen!$C$4,D4725&lt;&gt;Einstellungen!$C$5),"Objekt fehlt",IF(YEAR(A4725)&lt;&gt;Einstellungen!$C$3,"anderes Jahr",IF(A4725&lt;INDEX(Mitarbeiter!$C$6:$C$205,MATCH(B4725,Mitarbeiter!$A$6:$A$205,0)),"vor Eintritt",IF(AND(INDEX(Mitarbeiter!$D$6:$D$205,MATCH(B4725,Mitarbeiter!$A$6:$A$205,0))&lt;&gt;"",A4725&gt;INDEX(Mitarbeiter!$D$6:$D$205,MATCH(B4725,Mitarbeiter!$A$6:$A$205,0))),"nach Austritt","ok")))))))</f>
        <v/>
      </c>
    </row>
    <row r="4726">
      <c r="A4726" s="26" t="n"/>
      <c r="B4726" s="24" t="n"/>
      <c r="C4726" s="40">
        <f>IF(B4726="","",IFERROR(INDEX(Mitarbeiter!$B$6:$B$205,MATCH(B4726,Mitarbeiter!$A$6:$A$205,0)),"?"))</f>
        <v/>
      </c>
      <c r="D4726" s="41" t="n"/>
      <c r="E4726" s="42" t="n"/>
      <c r="F4726" s="43" t="n"/>
      <c r="G4726" s="44">
        <f>IF(OR(B4726="",F4726=""),"",IFERROR(F4726*INDEX(Mitarbeiter!$F$6:$F$205,MATCH(B4726,Mitarbeiter!$A$6:$A$205,0)),0))</f>
        <v/>
      </c>
      <c r="H4726" s="8">
        <f>IF(B4726="","",IF(ISNA(MATCH(B4726,Mitarbeiter!$A$6:$A$205,0)),"Pers.-Nr. unbekannt",IF(A4726="","Datum fehlt",IF(AND(D4726&lt;&gt;Einstellungen!$C$4,D4726&lt;&gt;Einstellungen!$C$5),"Objekt fehlt",IF(YEAR(A4726)&lt;&gt;Einstellungen!$C$3,"anderes Jahr",IF(A4726&lt;INDEX(Mitarbeiter!$C$6:$C$205,MATCH(B4726,Mitarbeiter!$A$6:$A$205,0)),"vor Eintritt",IF(AND(INDEX(Mitarbeiter!$D$6:$D$205,MATCH(B4726,Mitarbeiter!$A$6:$A$205,0))&lt;&gt;"",A4726&gt;INDEX(Mitarbeiter!$D$6:$D$205,MATCH(B4726,Mitarbeiter!$A$6:$A$205,0))),"nach Austritt","ok")))))))</f>
        <v/>
      </c>
    </row>
    <row r="4727">
      <c r="A4727" s="26" t="n"/>
      <c r="B4727" s="24" t="n"/>
      <c r="C4727" s="40">
        <f>IF(B4727="","",IFERROR(INDEX(Mitarbeiter!$B$6:$B$205,MATCH(B4727,Mitarbeiter!$A$6:$A$205,0)),"?"))</f>
        <v/>
      </c>
      <c r="D4727" s="41" t="n"/>
      <c r="E4727" s="42" t="n"/>
      <c r="F4727" s="43" t="n"/>
      <c r="G4727" s="44">
        <f>IF(OR(B4727="",F4727=""),"",IFERROR(F4727*INDEX(Mitarbeiter!$F$6:$F$205,MATCH(B4727,Mitarbeiter!$A$6:$A$205,0)),0))</f>
        <v/>
      </c>
      <c r="H4727" s="8">
        <f>IF(B4727="","",IF(ISNA(MATCH(B4727,Mitarbeiter!$A$6:$A$205,0)),"Pers.-Nr. unbekannt",IF(A4727="","Datum fehlt",IF(AND(D4727&lt;&gt;Einstellungen!$C$4,D4727&lt;&gt;Einstellungen!$C$5),"Objekt fehlt",IF(YEAR(A4727)&lt;&gt;Einstellungen!$C$3,"anderes Jahr",IF(A4727&lt;INDEX(Mitarbeiter!$C$6:$C$205,MATCH(B4727,Mitarbeiter!$A$6:$A$205,0)),"vor Eintritt",IF(AND(INDEX(Mitarbeiter!$D$6:$D$205,MATCH(B4727,Mitarbeiter!$A$6:$A$205,0))&lt;&gt;"",A4727&gt;INDEX(Mitarbeiter!$D$6:$D$205,MATCH(B4727,Mitarbeiter!$A$6:$A$205,0))),"nach Austritt","ok")))))))</f>
        <v/>
      </c>
    </row>
    <row r="4728">
      <c r="A4728" s="26" t="n"/>
      <c r="B4728" s="24" t="n"/>
      <c r="C4728" s="40">
        <f>IF(B4728="","",IFERROR(INDEX(Mitarbeiter!$B$6:$B$205,MATCH(B4728,Mitarbeiter!$A$6:$A$205,0)),"?"))</f>
        <v/>
      </c>
      <c r="D4728" s="41" t="n"/>
      <c r="E4728" s="42" t="n"/>
      <c r="F4728" s="43" t="n"/>
      <c r="G4728" s="44">
        <f>IF(OR(B4728="",F4728=""),"",IFERROR(F4728*INDEX(Mitarbeiter!$F$6:$F$205,MATCH(B4728,Mitarbeiter!$A$6:$A$205,0)),0))</f>
        <v/>
      </c>
      <c r="H4728" s="8">
        <f>IF(B4728="","",IF(ISNA(MATCH(B4728,Mitarbeiter!$A$6:$A$205,0)),"Pers.-Nr. unbekannt",IF(A4728="","Datum fehlt",IF(AND(D4728&lt;&gt;Einstellungen!$C$4,D4728&lt;&gt;Einstellungen!$C$5),"Objekt fehlt",IF(YEAR(A4728)&lt;&gt;Einstellungen!$C$3,"anderes Jahr",IF(A4728&lt;INDEX(Mitarbeiter!$C$6:$C$205,MATCH(B4728,Mitarbeiter!$A$6:$A$205,0)),"vor Eintritt",IF(AND(INDEX(Mitarbeiter!$D$6:$D$205,MATCH(B4728,Mitarbeiter!$A$6:$A$205,0))&lt;&gt;"",A4728&gt;INDEX(Mitarbeiter!$D$6:$D$205,MATCH(B4728,Mitarbeiter!$A$6:$A$205,0))),"nach Austritt","ok")))))))</f>
        <v/>
      </c>
    </row>
    <row r="4729">
      <c r="A4729" s="26" t="n"/>
      <c r="B4729" s="24" t="n"/>
      <c r="C4729" s="40">
        <f>IF(B4729="","",IFERROR(INDEX(Mitarbeiter!$B$6:$B$205,MATCH(B4729,Mitarbeiter!$A$6:$A$205,0)),"?"))</f>
        <v/>
      </c>
      <c r="D4729" s="41" t="n"/>
      <c r="E4729" s="42" t="n"/>
      <c r="F4729" s="43" t="n"/>
      <c r="G4729" s="44">
        <f>IF(OR(B4729="",F4729=""),"",IFERROR(F4729*INDEX(Mitarbeiter!$F$6:$F$205,MATCH(B4729,Mitarbeiter!$A$6:$A$205,0)),0))</f>
        <v/>
      </c>
      <c r="H4729" s="8">
        <f>IF(B4729="","",IF(ISNA(MATCH(B4729,Mitarbeiter!$A$6:$A$205,0)),"Pers.-Nr. unbekannt",IF(A4729="","Datum fehlt",IF(AND(D4729&lt;&gt;Einstellungen!$C$4,D4729&lt;&gt;Einstellungen!$C$5),"Objekt fehlt",IF(YEAR(A4729)&lt;&gt;Einstellungen!$C$3,"anderes Jahr",IF(A4729&lt;INDEX(Mitarbeiter!$C$6:$C$205,MATCH(B4729,Mitarbeiter!$A$6:$A$205,0)),"vor Eintritt",IF(AND(INDEX(Mitarbeiter!$D$6:$D$205,MATCH(B4729,Mitarbeiter!$A$6:$A$205,0))&lt;&gt;"",A4729&gt;INDEX(Mitarbeiter!$D$6:$D$205,MATCH(B4729,Mitarbeiter!$A$6:$A$205,0))),"nach Austritt","ok")))))))</f>
        <v/>
      </c>
    </row>
    <row r="4730">
      <c r="A4730" s="26" t="n"/>
      <c r="B4730" s="24" t="n"/>
      <c r="C4730" s="40">
        <f>IF(B4730="","",IFERROR(INDEX(Mitarbeiter!$B$6:$B$205,MATCH(B4730,Mitarbeiter!$A$6:$A$205,0)),"?"))</f>
        <v/>
      </c>
      <c r="D4730" s="41" t="n"/>
      <c r="E4730" s="42" t="n"/>
      <c r="F4730" s="43" t="n"/>
      <c r="G4730" s="44">
        <f>IF(OR(B4730="",F4730=""),"",IFERROR(F4730*INDEX(Mitarbeiter!$F$6:$F$205,MATCH(B4730,Mitarbeiter!$A$6:$A$205,0)),0))</f>
        <v/>
      </c>
      <c r="H4730" s="8">
        <f>IF(B4730="","",IF(ISNA(MATCH(B4730,Mitarbeiter!$A$6:$A$205,0)),"Pers.-Nr. unbekannt",IF(A4730="","Datum fehlt",IF(AND(D4730&lt;&gt;Einstellungen!$C$4,D4730&lt;&gt;Einstellungen!$C$5),"Objekt fehlt",IF(YEAR(A4730)&lt;&gt;Einstellungen!$C$3,"anderes Jahr",IF(A4730&lt;INDEX(Mitarbeiter!$C$6:$C$205,MATCH(B4730,Mitarbeiter!$A$6:$A$205,0)),"vor Eintritt",IF(AND(INDEX(Mitarbeiter!$D$6:$D$205,MATCH(B4730,Mitarbeiter!$A$6:$A$205,0))&lt;&gt;"",A4730&gt;INDEX(Mitarbeiter!$D$6:$D$205,MATCH(B4730,Mitarbeiter!$A$6:$A$205,0))),"nach Austritt","ok")))))))</f>
        <v/>
      </c>
    </row>
    <row r="4731">
      <c r="A4731" s="26" t="n"/>
      <c r="B4731" s="24" t="n"/>
      <c r="C4731" s="40">
        <f>IF(B4731="","",IFERROR(INDEX(Mitarbeiter!$B$6:$B$205,MATCH(B4731,Mitarbeiter!$A$6:$A$205,0)),"?"))</f>
        <v/>
      </c>
      <c r="D4731" s="41" t="n"/>
      <c r="E4731" s="42" t="n"/>
      <c r="F4731" s="43" t="n"/>
      <c r="G4731" s="44">
        <f>IF(OR(B4731="",F4731=""),"",IFERROR(F4731*INDEX(Mitarbeiter!$F$6:$F$205,MATCH(B4731,Mitarbeiter!$A$6:$A$205,0)),0))</f>
        <v/>
      </c>
      <c r="H4731" s="8">
        <f>IF(B4731="","",IF(ISNA(MATCH(B4731,Mitarbeiter!$A$6:$A$205,0)),"Pers.-Nr. unbekannt",IF(A4731="","Datum fehlt",IF(AND(D4731&lt;&gt;Einstellungen!$C$4,D4731&lt;&gt;Einstellungen!$C$5),"Objekt fehlt",IF(YEAR(A4731)&lt;&gt;Einstellungen!$C$3,"anderes Jahr",IF(A4731&lt;INDEX(Mitarbeiter!$C$6:$C$205,MATCH(B4731,Mitarbeiter!$A$6:$A$205,0)),"vor Eintritt",IF(AND(INDEX(Mitarbeiter!$D$6:$D$205,MATCH(B4731,Mitarbeiter!$A$6:$A$205,0))&lt;&gt;"",A4731&gt;INDEX(Mitarbeiter!$D$6:$D$205,MATCH(B4731,Mitarbeiter!$A$6:$A$205,0))),"nach Austritt","ok")))))))</f>
        <v/>
      </c>
    </row>
    <row r="4732">
      <c r="A4732" s="26" t="n"/>
      <c r="B4732" s="24" t="n"/>
      <c r="C4732" s="40">
        <f>IF(B4732="","",IFERROR(INDEX(Mitarbeiter!$B$6:$B$205,MATCH(B4732,Mitarbeiter!$A$6:$A$205,0)),"?"))</f>
        <v/>
      </c>
      <c r="D4732" s="41" t="n"/>
      <c r="E4732" s="42" t="n"/>
      <c r="F4732" s="43" t="n"/>
      <c r="G4732" s="44">
        <f>IF(OR(B4732="",F4732=""),"",IFERROR(F4732*INDEX(Mitarbeiter!$F$6:$F$205,MATCH(B4732,Mitarbeiter!$A$6:$A$205,0)),0))</f>
        <v/>
      </c>
      <c r="H4732" s="8">
        <f>IF(B4732="","",IF(ISNA(MATCH(B4732,Mitarbeiter!$A$6:$A$205,0)),"Pers.-Nr. unbekannt",IF(A4732="","Datum fehlt",IF(AND(D4732&lt;&gt;Einstellungen!$C$4,D4732&lt;&gt;Einstellungen!$C$5),"Objekt fehlt",IF(YEAR(A4732)&lt;&gt;Einstellungen!$C$3,"anderes Jahr",IF(A4732&lt;INDEX(Mitarbeiter!$C$6:$C$205,MATCH(B4732,Mitarbeiter!$A$6:$A$205,0)),"vor Eintritt",IF(AND(INDEX(Mitarbeiter!$D$6:$D$205,MATCH(B4732,Mitarbeiter!$A$6:$A$205,0))&lt;&gt;"",A4732&gt;INDEX(Mitarbeiter!$D$6:$D$205,MATCH(B4732,Mitarbeiter!$A$6:$A$205,0))),"nach Austritt","ok")))))))</f>
        <v/>
      </c>
    </row>
    <row r="4733">
      <c r="A4733" s="26" t="n"/>
      <c r="B4733" s="24" t="n"/>
      <c r="C4733" s="40">
        <f>IF(B4733="","",IFERROR(INDEX(Mitarbeiter!$B$6:$B$205,MATCH(B4733,Mitarbeiter!$A$6:$A$205,0)),"?"))</f>
        <v/>
      </c>
      <c r="D4733" s="41" t="n"/>
      <c r="E4733" s="42" t="n"/>
      <c r="F4733" s="43" t="n"/>
      <c r="G4733" s="44">
        <f>IF(OR(B4733="",F4733=""),"",IFERROR(F4733*INDEX(Mitarbeiter!$F$6:$F$205,MATCH(B4733,Mitarbeiter!$A$6:$A$205,0)),0))</f>
        <v/>
      </c>
      <c r="H4733" s="8">
        <f>IF(B4733="","",IF(ISNA(MATCH(B4733,Mitarbeiter!$A$6:$A$205,0)),"Pers.-Nr. unbekannt",IF(A4733="","Datum fehlt",IF(AND(D4733&lt;&gt;Einstellungen!$C$4,D4733&lt;&gt;Einstellungen!$C$5),"Objekt fehlt",IF(YEAR(A4733)&lt;&gt;Einstellungen!$C$3,"anderes Jahr",IF(A4733&lt;INDEX(Mitarbeiter!$C$6:$C$205,MATCH(B4733,Mitarbeiter!$A$6:$A$205,0)),"vor Eintritt",IF(AND(INDEX(Mitarbeiter!$D$6:$D$205,MATCH(B4733,Mitarbeiter!$A$6:$A$205,0))&lt;&gt;"",A4733&gt;INDEX(Mitarbeiter!$D$6:$D$205,MATCH(B4733,Mitarbeiter!$A$6:$A$205,0))),"nach Austritt","ok")))))))</f>
        <v/>
      </c>
    </row>
    <row r="4734">
      <c r="A4734" s="26" t="n"/>
      <c r="B4734" s="24" t="n"/>
      <c r="C4734" s="40">
        <f>IF(B4734="","",IFERROR(INDEX(Mitarbeiter!$B$6:$B$205,MATCH(B4734,Mitarbeiter!$A$6:$A$205,0)),"?"))</f>
        <v/>
      </c>
      <c r="D4734" s="41" t="n"/>
      <c r="E4734" s="42" t="n"/>
      <c r="F4734" s="43" t="n"/>
      <c r="G4734" s="44">
        <f>IF(OR(B4734="",F4734=""),"",IFERROR(F4734*INDEX(Mitarbeiter!$F$6:$F$205,MATCH(B4734,Mitarbeiter!$A$6:$A$205,0)),0))</f>
        <v/>
      </c>
      <c r="H4734" s="8">
        <f>IF(B4734="","",IF(ISNA(MATCH(B4734,Mitarbeiter!$A$6:$A$205,0)),"Pers.-Nr. unbekannt",IF(A4734="","Datum fehlt",IF(AND(D4734&lt;&gt;Einstellungen!$C$4,D4734&lt;&gt;Einstellungen!$C$5),"Objekt fehlt",IF(YEAR(A4734)&lt;&gt;Einstellungen!$C$3,"anderes Jahr",IF(A4734&lt;INDEX(Mitarbeiter!$C$6:$C$205,MATCH(B4734,Mitarbeiter!$A$6:$A$205,0)),"vor Eintritt",IF(AND(INDEX(Mitarbeiter!$D$6:$D$205,MATCH(B4734,Mitarbeiter!$A$6:$A$205,0))&lt;&gt;"",A4734&gt;INDEX(Mitarbeiter!$D$6:$D$205,MATCH(B4734,Mitarbeiter!$A$6:$A$205,0))),"nach Austritt","ok")))))))</f>
        <v/>
      </c>
    </row>
    <row r="4735">
      <c r="A4735" s="26" t="n"/>
      <c r="B4735" s="24" t="n"/>
      <c r="C4735" s="40">
        <f>IF(B4735="","",IFERROR(INDEX(Mitarbeiter!$B$6:$B$205,MATCH(B4735,Mitarbeiter!$A$6:$A$205,0)),"?"))</f>
        <v/>
      </c>
      <c r="D4735" s="41" t="n"/>
      <c r="E4735" s="42" t="n"/>
      <c r="F4735" s="43" t="n"/>
      <c r="G4735" s="44">
        <f>IF(OR(B4735="",F4735=""),"",IFERROR(F4735*INDEX(Mitarbeiter!$F$6:$F$205,MATCH(B4735,Mitarbeiter!$A$6:$A$205,0)),0))</f>
        <v/>
      </c>
      <c r="H4735" s="8">
        <f>IF(B4735="","",IF(ISNA(MATCH(B4735,Mitarbeiter!$A$6:$A$205,0)),"Pers.-Nr. unbekannt",IF(A4735="","Datum fehlt",IF(AND(D4735&lt;&gt;Einstellungen!$C$4,D4735&lt;&gt;Einstellungen!$C$5),"Objekt fehlt",IF(YEAR(A4735)&lt;&gt;Einstellungen!$C$3,"anderes Jahr",IF(A4735&lt;INDEX(Mitarbeiter!$C$6:$C$205,MATCH(B4735,Mitarbeiter!$A$6:$A$205,0)),"vor Eintritt",IF(AND(INDEX(Mitarbeiter!$D$6:$D$205,MATCH(B4735,Mitarbeiter!$A$6:$A$205,0))&lt;&gt;"",A4735&gt;INDEX(Mitarbeiter!$D$6:$D$205,MATCH(B4735,Mitarbeiter!$A$6:$A$205,0))),"nach Austritt","ok")))))))</f>
        <v/>
      </c>
    </row>
    <row r="4736">
      <c r="A4736" s="26" t="n"/>
      <c r="B4736" s="24" t="n"/>
      <c r="C4736" s="40">
        <f>IF(B4736="","",IFERROR(INDEX(Mitarbeiter!$B$6:$B$205,MATCH(B4736,Mitarbeiter!$A$6:$A$205,0)),"?"))</f>
        <v/>
      </c>
      <c r="D4736" s="41" t="n"/>
      <c r="E4736" s="42" t="n"/>
      <c r="F4736" s="43" t="n"/>
      <c r="G4736" s="44">
        <f>IF(OR(B4736="",F4736=""),"",IFERROR(F4736*INDEX(Mitarbeiter!$F$6:$F$205,MATCH(B4736,Mitarbeiter!$A$6:$A$205,0)),0))</f>
        <v/>
      </c>
      <c r="H4736" s="8">
        <f>IF(B4736="","",IF(ISNA(MATCH(B4736,Mitarbeiter!$A$6:$A$205,0)),"Pers.-Nr. unbekannt",IF(A4736="","Datum fehlt",IF(AND(D4736&lt;&gt;Einstellungen!$C$4,D4736&lt;&gt;Einstellungen!$C$5),"Objekt fehlt",IF(YEAR(A4736)&lt;&gt;Einstellungen!$C$3,"anderes Jahr",IF(A4736&lt;INDEX(Mitarbeiter!$C$6:$C$205,MATCH(B4736,Mitarbeiter!$A$6:$A$205,0)),"vor Eintritt",IF(AND(INDEX(Mitarbeiter!$D$6:$D$205,MATCH(B4736,Mitarbeiter!$A$6:$A$205,0))&lt;&gt;"",A4736&gt;INDEX(Mitarbeiter!$D$6:$D$205,MATCH(B4736,Mitarbeiter!$A$6:$A$205,0))),"nach Austritt","ok")))))))</f>
        <v/>
      </c>
    </row>
    <row r="4737">
      <c r="A4737" s="26" t="n"/>
      <c r="B4737" s="24" t="n"/>
      <c r="C4737" s="40">
        <f>IF(B4737="","",IFERROR(INDEX(Mitarbeiter!$B$6:$B$205,MATCH(B4737,Mitarbeiter!$A$6:$A$205,0)),"?"))</f>
        <v/>
      </c>
      <c r="D4737" s="41" t="n"/>
      <c r="E4737" s="42" t="n"/>
      <c r="F4737" s="43" t="n"/>
      <c r="G4737" s="44">
        <f>IF(OR(B4737="",F4737=""),"",IFERROR(F4737*INDEX(Mitarbeiter!$F$6:$F$205,MATCH(B4737,Mitarbeiter!$A$6:$A$205,0)),0))</f>
        <v/>
      </c>
      <c r="H4737" s="8">
        <f>IF(B4737="","",IF(ISNA(MATCH(B4737,Mitarbeiter!$A$6:$A$205,0)),"Pers.-Nr. unbekannt",IF(A4737="","Datum fehlt",IF(AND(D4737&lt;&gt;Einstellungen!$C$4,D4737&lt;&gt;Einstellungen!$C$5),"Objekt fehlt",IF(YEAR(A4737)&lt;&gt;Einstellungen!$C$3,"anderes Jahr",IF(A4737&lt;INDEX(Mitarbeiter!$C$6:$C$205,MATCH(B4737,Mitarbeiter!$A$6:$A$205,0)),"vor Eintritt",IF(AND(INDEX(Mitarbeiter!$D$6:$D$205,MATCH(B4737,Mitarbeiter!$A$6:$A$205,0))&lt;&gt;"",A4737&gt;INDEX(Mitarbeiter!$D$6:$D$205,MATCH(B4737,Mitarbeiter!$A$6:$A$205,0))),"nach Austritt","ok")))))))</f>
        <v/>
      </c>
    </row>
    <row r="4738">
      <c r="A4738" s="26" t="n"/>
      <c r="B4738" s="24" t="n"/>
      <c r="C4738" s="40">
        <f>IF(B4738="","",IFERROR(INDEX(Mitarbeiter!$B$6:$B$205,MATCH(B4738,Mitarbeiter!$A$6:$A$205,0)),"?"))</f>
        <v/>
      </c>
      <c r="D4738" s="41" t="n"/>
      <c r="E4738" s="42" t="n"/>
      <c r="F4738" s="43" t="n"/>
      <c r="G4738" s="44">
        <f>IF(OR(B4738="",F4738=""),"",IFERROR(F4738*INDEX(Mitarbeiter!$F$6:$F$205,MATCH(B4738,Mitarbeiter!$A$6:$A$205,0)),0))</f>
        <v/>
      </c>
      <c r="H4738" s="8">
        <f>IF(B4738="","",IF(ISNA(MATCH(B4738,Mitarbeiter!$A$6:$A$205,0)),"Pers.-Nr. unbekannt",IF(A4738="","Datum fehlt",IF(AND(D4738&lt;&gt;Einstellungen!$C$4,D4738&lt;&gt;Einstellungen!$C$5),"Objekt fehlt",IF(YEAR(A4738)&lt;&gt;Einstellungen!$C$3,"anderes Jahr",IF(A4738&lt;INDEX(Mitarbeiter!$C$6:$C$205,MATCH(B4738,Mitarbeiter!$A$6:$A$205,0)),"vor Eintritt",IF(AND(INDEX(Mitarbeiter!$D$6:$D$205,MATCH(B4738,Mitarbeiter!$A$6:$A$205,0))&lt;&gt;"",A4738&gt;INDEX(Mitarbeiter!$D$6:$D$205,MATCH(B4738,Mitarbeiter!$A$6:$A$205,0))),"nach Austritt","ok")))))))</f>
        <v/>
      </c>
    </row>
    <row r="4739">
      <c r="A4739" s="26" t="n"/>
      <c r="B4739" s="24" t="n"/>
      <c r="C4739" s="40">
        <f>IF(B4739="","",IFERROR(INDEX(Mitarbeiter!$B$6:$B$205,MATCH(B4739,Mitarbeiter!$A$6:$A$205,0)),"?"))</f>
        <v/>
      </c>
      <c r="D4739" s="41" t="n"/>
      <c r="E4739" s="42" t="n"/>
      <c r="F4739" s="43" t="n"/>
      <c r="G4739" s="44">
        <f>IF(OR(B4739="",F4739=""),"",IFERROR(F4739*INDEX(Mitarbeiter!$F$6:$F$205,MATCH(B4739,Mitarbeiter!$A$6:$A$205,0)),0))</f>
        <v/>
      </c>
      <c r="H4739" s="8">
        <f>IF(B4739="","",IF(ISNA(MATCH(B4739,Mitarbeiter!$A$6:$A$205,0)),"Pers.-Nr. unbekannt",IF(A4739="","Datum fehlt",IF(AND(D4739&lt;&gt;Einstellungen!$C$4,D4739&lt;&gt;Einstellungen!$C$5),"Objekt fehlt",IF(YEAR(A4739)&lt;&gt;Einstellungen!$C$3,"anderes Jahr",IF(A4739&lt;INDEX(Mitarbeiter!$C$6:$C$205,MATCH(B4739,Mitarbeiter!$A$6:$A$205,0)),"vor Eintritt",IF(AND(INDEX(Mitarbeiter!$D$6:$D$205,MATCH(B4739,Mitarbeiter!$A$6:$A$205,0))&lt;&gt;"",A4739&gt;INDEX(Mitarbeiter!$D$6:$D$205,MATCH(B4739,Mitarbeiter!$A$6:$A$205,0))),"nach Austritt","ok")))))))</f>
        <v/>
      </c>
    </row>
    <row r="4740">
      <c r="A4740" s="26" t="n"/>
      <c r="B4740" s="24" t="n"/>
      <c r="C4740" s="40">
        <f>IF(B4740="","",IFERROR(INDEX(Mitarbeiter!$B$6:$B$205,MATCH(B4740,Mitarbeiter!$A$6:$A$205,0)),"?"))</f>
        <v/>
      </c>
      <c r="D4740" s="41" t="n"/>
      <c r="E4740" s="42" t="n"/>
      <c r="F4740" s="43" t="n"/>
      <c r="G4740" s="44">
        <f>IF(OR(B4740="",F4740=""),"",IFERROR(F4740*INDEX(Mitarbeiter!$F$6:$F$205,MATCH(B4740,Mitarbeiter!$A$6:$A$205,0)),0))</f>
        <v/>
      </c>
      <c r="H4740" s="8">
        <f>IF(B4740="","",IF(ISNA(MATCH(B4740,Mitarbeiter!$A$6:$A$205,0)),"Pers.-Nr. unbekannt",IF(A4740="","Datum fehlt",IF(AND(D4740&lt;&gt;Einstellungen!$C$4,D4740&lt;&gt;Einstellungen!$C$5),"Objekt fehlt",IF(YEAR(A4740)&lt;&gt;Einstellungen!$C$3,"anderes Jahr",IF(A4740&lt;INDEX(Mitarbeiter!$C$6:$C$205,MATCH(B4740,Mitarbeiter!$A$6:$A$205,0)),"vor Eintritt",IF(AND(INDEX(Mitarbeiter!$D$6:$D$205,MATCH(B4740,Mitarbeiter!$A$6:$A$205,0))&lt;&gt;"",A4740&gt;INDEX(Mitarbeiter!$D$6:$D$205,MATCH(B4740,Mitarbeiter!$A$6:$A$205,0))),"nach Austritt","ok")))))))</f>
        <v/>
      </c>
    </row>
    <row r="4741">
      <c r="A4741" s="26" t="n"/>
      <c r="B4741" s="24" t="n"/>
      <c r="C4741" s="40">
        <f>IF(B4741="","",IFERROR(INDEX(Mitarbeiter!$B$6:$B$205,MATCH(B4741,Mitarbeiter!$A$6:$A$205,0)),"?"))</f>
        <v/>
      </c>
      <c r="D4741" s="41" t="n"/>
      <c r="E4741" s="42" t="n"/>
      <c r="F4741" s="43" t="n"/>
      <c r="G4741" s="44">
        <f>IF(OR(B4741="",F4741=""),"",IFERROR(F4741*INDEX(Mitarbeiter!$F$6:$F$205,MATCH(B4741,Mitarbeiter!$A$6:$A$205,0)),0))</f>
        <v/>
      </c>
      <c r="H4741" s="8">
        <f>IF(B4741="","",IF(ISNA(MATCH(B4741,Mitarbeiter!$A$6:$A$205,0)),"Pers.-Nr. unbekannt",IF(A4741="","Datum fehlt",IF(AND(D4741&lt;&gt;Einstellungen!$C$4,D4741&lt;&gt;Einstellungen!$C$5),"Objekt fehlt",IF(YEAR(A4741)&lt;&gt;Einstellungen!$C$3,"anderes Jahr",IF(A4741&lt;INDEX(Mitarbeiter!$C$6:$C$205,MATCH(B4741,Mitarbeiter!$A$6:$A$205,0)),"vor Eintritt",IF(AND(INDEX(Mitarbeiter!$D$6:$D$205,MATCH(B4741,Mitarbeiter!$A$6:$A$205,0))&lt;&gt;"",A4741&gt;INDEX(Mitarbeiter!$D$6:$D$205,MATCH(B4741,Mitarbeiter!$A$6:$A$205,0))),"nach Austritt","ok")))))))</f>
        <v/>
      </c>
    </row>
    <row r="4742">
      <c r="A4742" s="26" t="n"/>
      <c r="B4742" s="24" t="n"/>
      <c r="C4742" s="40">
        <f>IF(B4742="","",IFERROR(INDEX(Mitarbeiter!$B$6:$B$205,MATCH(B4742,Mitarbeiter!$A$6:$A$205,0)),"?"))</f>
        <v/>
      </c>
      <c r="D4742" s="41" t="n"/>
      <c r="E4742" s="42" t="n"/>
      <c r="F4742" s="43" t="n"/>
      <c r="G4742" s="44">
        <f>IF(OR(B4742="",F4742=""),"",IFERROR(F4742*INDEX(Mitarbeiter!$F$6:$F$205,MATCH(B4742,Mitarbeiter!$A$6:$A$205,0)),0))</f>
        <v/>
      </c>
      <c r="H4742" s="8">
        <f>IF(B4742="","",IF(ISNA(MATCH(B4742,Mitarbeiter!$A$6:$A$205,0)),"Pers.-Nr. unbekannt",IF(A4742="","Datum fehlt",IF(AND(D4742&lt;&gt;Einstellungen!$C$4,D4742&lt;&gt;Einstellungen!$C$5),"Objekt fehlt",IF(YEAR(A4742)&lt;&gt;Einstellungen!$C$3,"anderes Jahr",IF(A4742&lt;INDEX(Mitarbeiter!$C$6:$C$205,MATCH(B4742,Mitarbeiter!$A$6:$A$205,0)),"vor Eintritt",IF(AND(INDEX(Mitarbeiter!$D$6:$D$205,MATCH(B4742,Mitarbeiter!$A$6:$A$205,0))&lt;&gt;"",A4742&gt;INDEX(Mitarbeiter!$D$6:$D$205,MATCH(B4742,Mitarbeiter!$A$6:$A$205,0))),"nach Austritt","ok")))))))</f>
        <v/>
      </c>
    </row>
    <row r="4743">
      <c r="A4743" s="26" t="n"/>
      <c r="B4743" s="24" t="n"/>
      <c r="C4743" s="40">
        <f>IF(B4743="","",IFERROR(INDEX(Mitarbeiter!$B$6:$B$205,MATCH(B4743,Mitarbeiter!$A$6:$A$205,0)),"?"))</f>
        <v/>
      </c>
      <c r="D4743" s="41" t="n"/>
      <c r="E4743" s="42" t="n"/>
      <c r="F4743" s="43" t="n"/>
      <c r="G4743" s="44">
        <f>IF(OR(B4743="",F4743=""),"",IFERROR(F4743*INDEX(Mitarbeiter!$F$6:$F$205,MATCH(B4743,Mitarbeiter!$A$6:$A$205,0)),0))</f>
        <v/>
      </c>
      <c r="H4743" s="8">
        <f>IF(B4743="","",IF(ISNA(MATCH(B4743,Mitarbeiter!$A$6:$A$205,0)),"Pers.-Nr. unbekannt",IF(A4743="","Datum fehlt",IF(AND(D4743&lt;&gt;Einstellungen!$C$4,D4743&lt;&gt;Einstellungen!$C$5),"Objekt fehlt",IF(YEAR(A4743)&lt;&gt;Einstellungen!$C$3,"anderes Jahr",IF(A4743&lt;INDEX(Mitarbeiter!$C$6:$C$205,MATCH(B4743,Mitarbeiter!$A$6:$A$205,0)),"vor Eintritt",IF(AND(INDEX(Mitarbeiter!$D$6:$D$205,MATCH(B4743,Mitarbeiter!$A$6:$A$205,0))&lt;&gt;"",A4743&gt;INDEX(Mitarbeiter!$D$6:$D$205,MATCH(B4743,Mitarbeiter!$A$6:$A$205,0))),"nach Austritt","ok")))))))</f>
        <v/>
      </c>
    </row>
    <row r="4744">
      <c r="A4744" s="26" t="n"/>
      <c r="B4744" s="24" t="n"/>
      <c r="C4744" s="40">
        <f>IF(B4744="","",IFERROR(INDEX(Mitarbeiter!$B$6:$B$205,MATCH(B4744,Mitarbeiter!$A$6:$A$205,0)),"?"))</f>
        <v/>
      </c>
      <c r="D4744" s="41" t="n"/>
      <c r="E4744" s="42" t="n"/>
      <c r="F4744" s="43" t="n"/>
      <c r="G4744" s="44">
        <f>IF(OR(B4744="",F4744=""),"",IFERROR(F4744*INDEX(Mitarbeiter!$F$6:$F$205,MATCH(B4744,Mitarbeiter!$A$6:$A$205,0)),0))</f>
        <v/>
      </c>
      <c r="H4744" s="8">
        <f>IF(B4744="","",IF(ISNA(MATCH(B4744,Mitarbeiter!$A$6:$A$205,0)),"Pers.-Nr. unbekannt",IF(A4744="","Datum fehlt",IF(AND(D4744&lt;&gt;Einstellungen!$C$4,D4744&lt;&gt;Einstellungen!$C$5),"Objekt fehlt",IF(YEAR(A4744)&lt;&gt;Einstellungen!$C$3,"anderes Jahr",IF(A4744&lt;INDEX(Mitarbeiter!$C$6:$C$205,MATCH(B4744,Mitarbeiter!$A$6:$A$205,0)),"vor Eintritt",IF(AND(INDEX(Mitarbeiter!$D$6:$D$205,MATCH(B4744,Mitarbeiter!$A$6:$A$205,0))&lt;&gt;"",A4744&gt;INDEX(Mitarbeiter!$D$6:$D$205,MATCH(B4744,Mitarbeiter!$A$6:$A$205,0))),"nach Austritt","ok")))))))</f>
        <v/>
      </c>
    </row>
    <row r="4745">
      <c r="A4745" s="26" t="n"/>
      <c r="B4745" s="24" t="n"/>
      <c r="C4745" s="40">
        <f>IF(B4745="","",IFERROR(INDEX(Mitarbeiter!$B$6:$B$205,MATCH(B4745,Mitarbeiter!$A$6:$A$205,0)),"?"))</f>
        <v/>
      </c>
      <c r="D4745" s="41" t="n"/>
      <c r="E4745" s="42" t="n"/>
      <c r="F4745" s="43" t="n"/>
      <c r="G4745" s="44">
        <f>IF(OR(B4745="",F4745=""),"",IFERROR(F4745*INDEX(Mitarbeiter!$F$6:$F$205,MATCH(B4745,Mitarbeiter!$A$6:$A$205,0)),0))</f>
        <v/>
      </c>
      <c r="H4745" s="8">
        <f>IF(B4745="","",IF(ISNA(MATCH(B4745,Mitarbeiter!$A$6:$A$205,0)),"Pers.-Nr. unbekannt",IF(A4745="","Datum fehlt",IF(AND(D4745&lt;&gt;Einstellungen!$C$4,D4745&lt;&gt;Einstellungen!$C$5),"Objekt fehlt",IF(YEAR(A4745)&lt;&gt;Einstellungen!$C$3,"anderes Jahr",IF(A4745&lt;INDEX(Mitarbeiter!$C$6:$C$205,MATCH(B4745,Mitarbeiter!$A$6:$A$205,0)),"vor Eintritt",IF(AND(INDEX(Mitarbeiter!$D$6:$D$205,MATCH(B4745,Mitarbeiter!$A$6:$A$205,0))&lt;&gt;"",A4745&gt;INDEX(Mitarbeiter!$D$6:$D$205,MATCH(B4745,Mitarbeiter!$A$6:$A$205,0))),"nach Austritt","ok")))))))</f>
        <v/>
      </c>
    </row>
    <row r="4746">
      <c r="A4746" s="26" t="n"/>
      <c r="B4746" s="24" t="n"/>
      <c r="C4746" s="40">
        <f>IF(B4746="","",IFERROR(INDEX(Mitarbeiter!$B$6:$B$205,MATCH(B4746,Mitarbeiter!$A$6:$A$205,0)),"?"))</f>
        <v/>
      </c>
      <c r="D4746" s="41" t="n"/>
      <c r="E4746" s="42" t="n"/>
      <c r="F4746" s="43" t="n"/>
      <c r="G4746" s="44">
        <f>IF(OR(B4746="",F4746=""),"",IFERROR(F4746*INDEX(Mitarbeiter!$F$6:$F$205,MATCH(B4746,Mitarbeiter!$A$6:$A$205,0)),0))</f>
        <v/>
      </c>
      <c r="H4746" s="8">
        <f>IF(B4746="","",IF(ISNA(MATCH(B4746,Mitarbeiter!$A$6:$A$205,0)),"Pers.-Nr. unbekannt",IF(A4746="","Datum fehlt",IF(AND(D4746&lt;&gt;Einstellungen!$C$4,D4746&lt;&gt;Einstellungen!$C$5),"Objekt fehlt",IF(YEAR(A4746)&lt;&gt;Einstellungen!$C$3,"anderes Jahr",IF(A4746&lt;INDEX(Mitarbeiter!$C$6:$C$205,MATCH(B4746,Mitarbeiter!$A$6:$A$205,0)),"vor Eintritt",IF(AND(INDEX(Mitarbeiter!$D$6:$D$205,MATCH(B4746,Mitarbeiter!$A$6:$A$205,0))&lt;&gt;"",A4746&gt;INDEX(Mitarbeiter!$D$6:$D$205,MATCH(B4746,Mitarbeiter!$A$6:$A$205,0))),"nach Austritt","ok")))))))</f>
        <v/>
      </c>
    </row>
    <row r="4747">
      <c r="A4747" s="26" t="n"/>
      <c r="B4747" s="24" t="n"/>
      <c r="C4747" s="40">
        <f>IF(B4747="","",IFERROR(INDEX(Mitarbeiter!$B$6:$B$205,MATCH(B4747,Mitarbeiter!$A$6:$A$205,0)),"?"))</f>
        <v/>
      </c>
      <c r="D4747" s="41" t="n"/>
      <c r="E4747" s="42" t="n"/>
      <c r="F4747" s="43" t="n"/>
      <c r="G4747" s="44">
        <f>IF(OR(B4747="",F4747=""),"",IFERROR(F4747*INDEX(Mitarbeiter!$F$6:$F$205,MATCH(B4747,Mitarbeiter!$A$6:$A$205,0)),0))</f>
        <v/>
      </c>
      <c r="H4747" s="8">
        <f>IF(B4747="","",IF(ISNA(MATCH(B4747,Mitarbeiter!$A$6:$A$205,0)),"Pers.-Nr. unbekannt",IF(A4747="","Datum fehlt",IF(AND(D4747&lt;&gt;Einstellungen!$C$4,D4747&lt;&gt;Einstellungen!$C$5),"Objekt fehlt",IF(YEAR(A4747)&lt;&gt;Einstellungen!$C$3,"anderes Jahr",IF(A4747&lt;INDEX(Mitarbeiter!$C$6:$C$205,MATCH(B4747,Mitarbeiter!$A$6:$A$205,0)),"vor Eintritt",IF(AND(INDEX(Mitarbeiter!$D$6:$D$205,MATCH(B4747,Mitarbeiter!$A$6:$A$205,0))&lt;&gt;"",A4747&gt;INDEX(Mitarbeiter!$D$6:$D$205,MATCH(B4747,Mitarbeiter!$A$6:$A$205,0))),"nach Austritt","ok")))))))</f>
        <v/>
      </c>
    </row>
    <row r="4748">
      <c r="A4748" s="26" t="n"/>
      <c r="B4748" s="24" t="n"/>
      <c r="C4748" s="40">
        <f>IF(B4748="","",IFERROR(INDEX(Mitarbeiter!$B$6:$B$205,MATCH(B4748,Mitarbeiter!$A$6:$A$205,0)),"?"))</f>
        <v/>
      </c>
      <c r="D4748" s="41" t="n"/>
      <c r="E4748" s="42" t="n"/>
      <c r="F4748" s="43" t="n"/>
      <c r="G4748" s="44">
        <f>IF(OR(B4748="",F4748=""),"",IFERROR(F4748*INDEX(Mitarbeiter!$F$6:$F$205,MATCH(B4748,Mitarbeiter!$A$6:$A$205,0)),0))</f>
        <v/>
      </c>
      <c r="H4748" s="8">
        <f>IF(B4748="","",IF(ISNA(MATCH(B4748,Mitarbeiter!$A$6:$A$205,0)),"Pers.-Nr. unbekannt",IF(A4748="","Datum fehlt",IF(AND(D4748&lt;&gt;Einstellungen!$C$4,D4748&lt;&gt;Einstellungen!$C$5),"Objekt fehlt",IF(YEAR(A4748)&lt;&gt;Einstellungen!$C$3,"anderes Jahr",IF(A4748&lt;INDEX(Mitarbeiter!$C$6:$C$205,MATCH(B4748,Mitarbeiter!$A$6:$A$205,0)),"vor Eintritt",IF(AND(INDEX(Mitarbeiter!$D$6:$D$205,MATCH(B4748,Mitarbeiter!$A$6:$A$205,0))&lt;&gt;"",A4748&gt;INDEX(Mitarbeiter!$D$6:$D$205,MATCH(B4748,Mitarbeiter!$A$6:$A$205,0))),"nach Austritt","ok")))))))</f>
        <v/>
      </c>
    </row>
    <row r="4749">
      <c r="A4749" s="26" t="n"/>
      <c r="B4749" s="24" t="n"/>
      <c r="C4749" s="40">
        <f>IF(B4749="","",IFERROR(INDEX(Mitarbeiter!$B$6:$B$205,MATCH(B4749,Mitarbeiter!$A$6:$A$205,0)),"?"))</f>
        <v/>
      </c>
      <c r="D4749" s="41" t="n"/>
      <c r="E4749" s="42" t="n"/>
      <c r="F4749" s="43" t="n"/>
      <c r="G4749" s="44">
        <f>IF(OR(B4749="",F4749=""),"",IFERROR(F4749*INDEX(Mitarbeiter!$F$6:$F$205,MATCH(B4749,Mitarbeiter!$A$6:$A$205,0)),0))</f>
        <v/>
      </c>
      <c r="H4749" s="8">
        <f>IF(B4749="","",IF(ISNA(MATCH(B4749,Mitarbeiter!$A$6:$A$205,0)),"Pers.-Nr. unbekannt",IF(A4749="","Datum fehlt",IF(AND(D4749&lt;&gt;Einstellungen!$C$4,D4749&lt;&gt;Einstellungen!$C$5),"Objekt fehlt",IF(YEAR(A4749)&lt;&gt;Einstellungen!$C$3,"anderes Jahr",IF(A4749&lt;INDEX(Mitarbeiter!$C$6:$C$205,MATCH(B4749,Mitarbeiter!$A$6:$A$205,0)),"vor Eintritt",IF(AND(INDEX(Mitarbeiter!$D$6:$D$205,MATCH(B4749,Mitarbeiter!$A$6:$A$205,0))&lt;&gt;"",A4749&gt;INDEX(Mitarbeiter!$D$6:$D$205,MATCH(B4749,Mitarbeiter!$A$6:$A$205,0))),"nach Austritt","ok")))))))</f>
        <v/>
      </c>
    </row>
    <row r="4750">
      <c r="A4750" s="26" t="n"/>
      <c r="B4750" s="24" t="n"/>
      <c r="C4750" s="40">
        <f>IF(B4750="","",IFERROR(INDEX(Mitarbeiter!$B$6:$B$205,MATCH(B4750,Mitarbeiter!$A$6:$A$205,0)),"?"))</f>
        <v/>
      </c>
      <c r="D4750" s="41" t="n"/>
      <c r="E4750" s="42" t="n"/>
      <c r="F4750" s="43" t="n"/>
      <c r="G4750" s="44">
        <f>IF(OR(B4750="",F4750=""),"",IFERROR(F4750*INDEX(Mitarbeiter!$F$6:$F$205,MATCH(B4750,Mitarbeiter!$A$6:$A$205,0)),0))</f>
        <v/>
      </c>
      <c r="H4750" s="8">
        <f>IF(B4750="","",IF(ISNA(MATCH(B4750,Mitarbeiter!$A$6:$A$205,0)),"Pers.-Nr. unbekannt",IF(A4750="","Datum fehlt",IF(AND(D4750&lt;&gt;Einstellungen!$C$4,D4750&lt;&gt;Einstellungen!$C$5),"Objekt fehlt",IF(YEAR(A4750)&lt;&gt;Einstellungen!$C$3,"anderes Jahr",IF(A4750&lt;INDEX(Mitarbeiter!$C$6:$C$205,MATCH(B4750,Mitarbeiter!$A$6:$A$205,0)),"vor Eintritt",IF(AND(INDEX(Mitarbeiter!$D$6:$D$205,MATCH(B4750,Mitarbeiter!$A$6:$A$205,0))&lt;&gt;"",A4750&gt;INDEX(Mitarbeiter!$D$6:$D$205,MATCH(B4750,Mitarbeiter!$A$6:$A$205,0))),"nach Austritt","ok")))))))</f>
        <v/>
      </c>
    </row>
    <row r="4751">
      <c r="A4751" s="26" t="n"/>
      <c r="B4751" s="24" t="n"/>
      <c r="C4751" s="40">
        <f>IF(B4751="","",IFERROR(INDEX(Mitarbeiter!$B$6:$B$205,MATCH(B4751,Mitarbeiter!$A$6:$A$205,0)),"?"))</f>
        <v/>
      </c>
      <c r="D4751" s="41" t="n"/>
      <c r="E4751" s="42" t="n"/>
      <c r="F4751" s="43" t="n"/>
      <c r="G4751" s="44">
        <f>IF(OR(B4751="",F4751=""),"",IFERROR(F4751*INDEX(Mitarbeiter!$F$6:$F$205,MATCH(B4751,Mitarbeiter!$A$6:$A$205,0)),0))</f>
        <v/>
      </c>
      <c r="H4751" s="8">
        <f>IF(B4751="","",IF(ISNA(MATCH(B4751,Mitarbeiter!$A$6:$A$205,0)),"Pers.-Nr. unbekannt",IF(A4751="","Datum fehlt",IF(AND(D4751&lt;&gt;Einstellungen!$C$4,D4751&lt;&gt;Einstellungen!$C$5),"Objekt fehlt",IF(YEAR(A4751)&lt;&gt;Einstellungen!$C$3,"anderes Jahr",IF(A4751&lt;INDEX(Mitarbeiter!$C$6:$C$205,MATCH(B4751,Mitarbeiter!$A$6:$A$205,0)),"vor Eintritt",IF(AND(INDEX(Mitarbeiter!$D$6:$D$205,MATCH(B4751,Mitarbeiter!$A$6:$A$205,0))&lt;&gt;"",A4751&gt;INDEX(Mitarbeiter!$D$6:$D$205,MATCH(B4751,Mitarbeiter!$A$6:$A$205,0))),"nach Austritt","ok")))))))</f>
        <v/>
      </c>
    </row>
    <row r="4752">
      <c r="A4752" s="26" t="n"/>
      <c r="B4752" s="24" t="n"/>
      <c r="C4752" s="40">
        <f>IF(B4752="","",IFERROR(INDEX(Mitarbeiter!$B$6:$B$205,MATCH(B4752,Mitarbeiter!$A$6:$A$205,0)),"?"))</f>
        <v/>
      </c>
      <c r="D4752" s="41" t="n"/>
      <c r="E4752" s="42" t="n"/>
      <c r="F4752" s="43" t="n"/>
      <c r="G4752" s="44">
        <f>IF(OR(B4752="",F4752=""),"",IFERROR(F4752*INDEX(Mitarbeiter!$F$6:$F$205,MATCH(B4752,Mitarbeiter!$A$6:$A$205,0)),0))</f>
        <v/>
      </c>
      <c r="H4752" s="8">
        <f>IF(B4752="","",IF(ISNA(MATCH(B4752,Mitarbeiter!$A$6:$A$205,0)),"Pers.-Nr. unbekannt",IF(A4752="","Datum fehlt",IF(AND(D4752&lt;&gt;Einstellungen!$C$4,D4752&lt;&gt;Einstellungen!$C$5),"Objekt fehlt",IF(YEAR(A4752)&lt;&gt;Einstellungen!$C$3,"anderes Jahr",IF(A4752&lt;INDEX(Mitarbeiter!$C$6:$C$205,MATCH(B4752,Mitarbeiter!$A$6:$A$205,0)),"vor Eintritt",IF(AND(INDEX(Mitarbeiter!$D$6:$D$205,MATCH(B4752,Mitarbeiter!$A$6:$A$205,0))&lt;&gt;"",A4752&gt;INDEX(Mitarbeiter!$D$6:$D$205,MATCH(B4752,Mitarbeiter!$A$6:$A$205,0))),"nach Austritt","ok")))))))</f>
        <v/>
      </c>
    </row>
    <row r="4753">
      <c r="A4753" s="26" t="n"/>
      <c r="B4753" s="24" t="n"/>
      <c r="C4753" s="40">
        <f>IF(B4753="","",IFERROR(INDEX(Mitarbeiter!$B$6:$B$205,MATCH(B4753,Mitarbeiter!$A$6:$A$205,0)),"?"))</f>
        <v/>
      </c>
      <c r="D4753" s="41" t="n"/>
      <c r="E4753" s="42" t="n"/>
      <c r="F4753" s="43" t="n"/>
      <c r="G4753" s="44">
        <f>IF(OR(B4753="",F4753=""),"",IFERROR(F4753*INDEX(Mitarbeiter!$F$6:$F$205,MATCH(B4753,Mitarbeiter!$A$6:$A$205,0)),0))</f>
        <v/>
      </c>
      <c r="H4753" s="8">
        <f>IF(B4753="","",IF(ISNA(MATCH(B4753,Mitarbeiter!$A$6:$A$205,0)),"Pers.-Nr. unbekannt",IF(A4753="","Datum fehlt",IF(AND(D4753&lt;&gt;Einstellungen!$C$4,D4753&lt;&gt;Einstellungen!$C$5),"Objekt fehlt",IF(YEAR(A4753)&lt;&gt;Einstellungen!$C$3,"anderes Jahr",IF(A4753&lt;INDEX(Mitarbeiter!$C$6:$C$205,MATCH(B4753,Mitarbeiter!$A$6:$A$205,0)),"vor Eintritt",IF(AND(INDEX(Mitarbeiter!$D$6:$D$205,MATCH(B4753,Mitarbeiter!$A$6:$A$205,0))&lt;&gt;"",A4753&gt;INDEX(Mitarbeiter!$D$6:$D$205,MATCH(B4753,Mitarbeiter!$A$6:$A$205,0))),"nach Austritt","ok")))))))</f>
        <v/>
      </c>
    </row>
    <row r="4754">
      <c r="A4754" s="26" t="n"/>
      <c r="B4754" s="24" t="n"/>
      <c r="C4754" s="40">
        <f>IF(B4754="","",IFERROR(INDEX(Mitarbeiter!$B$6:$B$205,MATCH(B4754,Mitarbeiter!$A$6:$A$205,0)),"?"))</f>
        <v/>
      </c>
      <c r="D4754" s="41" t="n"/>
      <c r="E4754" s="42" t="n"/>
      <c r="F4754" s="43" t="n"/>
      <c r="G4754" s="44">
        <f>IF(OR(B4754="",F4754=""),"",IFERROR(F4754*INDEX(Mitarbeiter!$F$6:$F$205,MATCH(B4754,Mitarbeiter!$A$6:$A$205,0)),0))</f>
        <v/>
      </c>
      <c r="H4754" s="8">
        <f>IF(B4754="","",IF(ISNA(MATCH(B4754,Mitarbeiter!$A$6:$A$205,0)),"Pers.-Nr. unbekannt",IF(A4754="","Datum fehlt",IF(AND(D4754&lt;&gt;Einstellungen!$C$4,D4754&lt;&gt;Einstellungen!$C$5),"Objekt fehlt",IF(YEAR(A4754)&lt;&gt;Einstellungen!$C$3,"anderes Jahr",IF(A4754&lt;INDEX(Mitarbeiter!$C$6:$C$205,MATCH(B4754,Mitarbeiter!$A$6:$A$205,0)),"vor Eintritt",IF(AND(INDEX(Mitarbeiter!$D$6:$D$205,MATCH(B4754,Mitarbeiter!$A$6:$A$205,0))&lt;&gt;"",A4754&gt;INDEX(Mitarbeiter!$D$6:$D$205,MATCH(B4754,Mitarbeiter!$A$6:$A$205,0))),"nach Austritt","ok")))))))</f>
        <v/>
      </c>
    </row>
    <row r="4755">
      <c r="A4755" s="26" t="n"/>
      <c r="B4755" s="24" t="n"/>
      <c r="C4755" s="40">
        <f>IF(B4755="","",IFERROR(INDEX(Mitarbeiter!$B$6:$B$205,MATCH(B4755,Mitarbeiter!$A$6:$A$205,0)),"?"))</f>
        <v/>
      </c>
      <c r="D4755" s="41" t="n"/>
      <c r="E4755" s="42" t="n"/>
      <c r="F4755" s="43" t="n"/>
      <c r="G4755" s="44">
        <f>IF(OR(B4755="",F4755=""),"",IFERROR(F4755*INDEX(Mitarbeiter!$F$6:$F$205,MATCH(B4755,Mitarbeiter!$A$6:$A$205,0)),0))</f>
        <v/>
      </c>
      <c r="H4755" s="8">
        <f>IF(B4755="","",IF(ISNA(MATCH(B4755,Mitarbeiter!$A$6:$A$205,0)),"Pers.-Nr. unbekannt",IF(A4755="","Datum fehlt",IF(AND(D4755&lt;&gt;Einstellungen!$C$4,D4755&lt;&gt;Einstellungen!$C$5),"Objekt fehlt",IF(YEAR(A4755)&lt;&gt;Einstellungen!$C$3,"anderes Jahr",IF(A4755&lt;INDEX(Mitarbeiter!$C$6:$C$205,MATCH(B4755,Mitarbeiter!$A$6:$A$205,0)),"vor Eintritt",IF(AND(INDEX(Mitarbeiter!$D$6:$D$205,MATCH(B4755,Mitarbeiter!$A$6:$A$205,0))&lt;&gt;"",A4755&gt;INDEX(Mitarbeiter!$D$6:$D$205,MATCH(B4755,Mitarbeiter!$A$6:$A$205,0))),"nach Austritt","ok")))))))</f>
        <v/>
      </c>
    </row>
    <row r="4756">
      <c r="A4756" s="26" t="n"/>
      <c r="B4756" s="24" t="n"/>
      <c r="C4756" s="40">
        <f>IF(B4756="","",IFERROR(INDEX(Mitarbeiter!$B$6:$B$205,MATCH(B4756,Mitarbeiter!$A$6:$A$205,0)),"?"))</f>
        <v/>
      </c>
      <c r="D4756" s="41" t="n"/>
      <c r="E4756" s="42" t="n"/>
      <c r="F4756" s="43" t="n"/>
      <c r="G4756" s="44">
        <f>IF(OR(B4756="",F4756=""),"",IFERROR(F4756*INDEX(Mitarbeiter!$F$6:$F$205,MATCH(B4756,Mitarbeiter!$A$6:$A$205,0)),0))</f>
        <v/>
      </c>
      <c r="H4756" s="8">
        <f>IF(B4756="","",IF(ISNA(MATCH(B4756,Mitarbeiter!$A$6:$A$205,0)),"Pers.-Nr. unbekannt",IF(A4756="","Datum fehlt",IF(AND(D4756&lt;&gt;Einstellungen!$C$4,D4756&lt;&gt;Einstellungen!$C$5),"Objekt fehlt",IF(YEAR(A4756)&lt;&gt;Einstellungen!$C$3,"anderes Jahr",IF(A4756&lt;INDEX(Mitarbeiter!$C$6:$C$205,MATCH(B4756,Mitarbeiter!$A$6:$A$205,0)),"vor Eintritt",IF(AND(INDEX(Mitarbeiter!$D$6:$D$205,MATCH(B4756,Mitarbeiter!$A$6:$A$205,0))&lt;&gt;"",A4756&gt;INDEX(Mitarbeiter!$D$6:$D$205,MATCH(B4756,Mitarbeiter!$A$6:$A$205,0))),"nach Austritt","ok")))))))</f>
        <v/>
      </c>
    </row>
    <row r="4757">
      <c r="A4757" s="26" t="n"/>
      <c r="B4757" s="24" t="n"/>
      <c r="C4757" s="40">
        <f>IF(B4757="","",IFERROR(INDEX(Mitarbeiter!$B$6:$B$205,MATCH(B4757,Mitarbeiter!$A$6:$A$205,0)),"?"))</f>
        <v/>
      </c>
      <c r="D4757" s="41" t="n"/>
      <c r="E4757" s="42" t="n"/>
      <c r="F4757" s="43" t="n"/>
      <c r="G4757" s="44">
        <f>IF(OR(B4757="",F4757=""),"",IFERROR(F4757*INDEX(Mitarbeiter!$F$6:$F$205,MATCH(B4757,Mitarbeiter!$A$6:$A$205,0)),0))</f>
        <v/>
      </c>
      <c r="H4757" s="8">
        <f>IF(B4757="","",IF(ISNA(MATCH(B4757,Mitarbeiter!$A$6:$A$205,0)),"Pers.-Nr. unbekannt",IF(A4757="","Datum fehlt",IF(AND(D4757&lt;&gt;Einstellungen!$C$4,D4757&lt;&gt;Einstellungen!$C$5),"Objekt fehlt",IF(YEAR(A4757)&lt;&gt;Einstellungen!$C$3,"anderes Jahr",IF(A4757&lt;INDEX(Mitarbeiter!$C$6:$C$205,MATCH(B4757,Mitarbeiter!$A$6:$A$205,0)),"vor Eintritt",IF(AND(INDEX(Mitarbeiter!$D$6:$D$205,MATCH(B4757,Mitarbeiter!$A$6:$A$205,0))&lt;&gt;"",A4757&gt;INDEX(Mitarbeiter!$D$6:$D$205,MATCH(B4757,Mitarbeiter!$A$6:$A$205,0))),"nach Austritt","ok")))))))</f>
        <v/>
      </c>
    </row>
    <row r="4758">
      <c r="A4758" s="26" t="n"/>
      <c r="B4758" s="24" t="n"/>
      <c r="C4758" s="40">
        <f>IF(B4758="","",IFERROR(INDEX(Mitarbeiter!$B$6:$B$205,MATCH(B4758,Mitarbeiter!$A$6:$A$205,0)),"?"))</f>
        <v/>
      </c>
      <c r="D4758" s="41" t="n"/>
      <c r="E4758" s="42" t="n"/>
      <c r="F4758" s="43" t="n"/>
      <c r="G4758" s="44">
        <f>IF(OR(B4758="",F4758=""),"",IFERROR(F4758*INDEX(Mitarbeiter!$F$6:$F$205,MATCH(B4758,Mitarbeiter!$A$6:$A$205,0)),0))</f>
        <v/>
      </c>
      <c r="H4758" s="8">
        <f>IF(B4758="","",IF(ISNA(MATCH(B4758,Mitarbeiter!$A$6:$A$205,0)),"Pers.-Nr. unbekannt",IF(A4758="","Datum fehlt",IF(AND(D4758&lt;&gt;Einstellungen!$C$4,D4758&lt;&gt;Einstellungen!$C$5),"Objekt fehlt",IF(YEAR(A4758)&lt;&gt;Einstellungen!$C$3,"anderes Jahr",IF(A4758&lt;INDEX(Mitarbeiter!$C$6:$C$205,MATCH(B4758,Mitarbeiter!$A$6:$A$205,0)),"vor Eintritt",IF(AND(INDEX(Mitarbeiter!$D$6:$D$205,MATCH(B4758,Mitarbeiter!$A$6:$A$205,0))&lt;&gt;"",A4758&gt;INDEX(Mitarbeiter!$D$6:$D$205,MATCH(B4758,Mitarbeiter!$A$6:$A$205,0))),"nach Austritt","ok")))))))</f>
        <v/>
      </c>
    </row>
    <row r="4759">
      <c r="A4759" s="26" t="n"/>
      <c r="B4759" s="24" t="n"/>
      <c r="C4759" s="40">
        <f>IF(B4759="","",IFERROR(INDEX(Mitarbeiter!$B$6:$B$205,MATCH(B4759,Mitarbeiter!$A$6:$A$205,0)),"?"))</f>
        <v/>
      </c>
      <c r="D4759" s="41" t="n"/>
      <c r="E4759" s="42" t="n"/>
      <c r="F4759" s="43" t="n"/>
      <c r="G4759" s="44">
        <f>IF(OR(B4759="",F4759=""),"",IFERROR(F4759*INDEX(Mitarbeiter!$F$6:$F$205,MATCH(B4759,Mitarbeiter!$A$6:$A$205,0)),0))</f>
        <v/>
      </c>
      <c r="H4759" s="8">
        <f>IF(B4759="","",IF(ISNA(MATCH(B4759,Mitarbeiter!$A$6:$A$205,0)),"Pers.-Nr. unbekannt",IF(A4759="","Datum fehlt",IF(AND(D4759&lt;&gt;Einstellungen!$C$4,D4759&lt;&gt;Einstellungen!$C$5),"Objekt fehlt",IF(YEAR(A4759)&lt;&gt;Einstellungen!$C$3,"anderes Jahr",IF(A4759&lt;INDEX(Mitarbeiter!$C$6:$C$205,MATCH(B4759,Mitarbeiter!$A$6:$A$205,0)),"vor Eintritt",IF(AND(INDEX(Mitarbeiter!$D$6:$D$205,MATCH(B4759,Mitarbeiter!$A$6:$A$205,0))&lt;&gt;"",A4759&gt;INDEX(Mitarbeiter!$D$6:$D$205,MATCH(B4759,Mitarbeiter!$A$6:$A$205,0))),"nach Austritt","ok")))))))</f>
        <v/>
      </c>
    </row>
    <row r="4760">
      <c r="A4760" s="26" t="n"/>
      <c r="B4760" s="24" t="n"/>
      <c r="C4760" s="40">
        <f>IF(B4760="","",IFERROR(INDEX(Mitarbeiter!$B$6:$B$205,MATCH(B4760,Mitarbeiter!$A$6:$A$205,0)),"?"))</f>
        <v/>
      </c>
      <c r="D4760" s="41" t="n"/>
      <c r="E4760" s="42" t="n"/>
      <c r="F4760" s="43" t="n"/>
      <c r="G4760" s="44">
        <f>IF(OR(B4760="",F4760=""),"",IFERROR(F4760*INDEX(Mitarbeiter!$F$6:$F$205,MATCH(B4760,Mitarbeiter!$A$6:$A$205,0)),0))</f>
        <v/>
      </c>
      <c r="H4760" s="8">
        <f>IF(B4760="","",IF(ISNA(MATCH(B4760,Mitarbeiter!$A$6:$A$205,0)),"Pers.-Nr. unbekannt",IF(A4760="","Datum fehlt",IF(AND(D4760&lt;&gt;Einstellungen!$C$4,D4760&lt;&gt;Einstellungen!$C$5),"Objekt fehlt",IF(YEAR(A4760)&lt;&gt;Einstellungen!$C$3,"anderes Jahr",IF(A4760&lt;INDEX(Mitarbeiter!$C$6:$C$205,MATCH(B4760,Mitarbeiter!$A$6:$A$205,0)),"vor Eintritt",IF(AND(INDEX(Mitarbeiter!$D$6:$D$205,MATCH(B4760,Mitarbeiter!$A$6:$A$205,0))&lt;&gt;"",A4760&gt;INDEX(Mitarbeiter!$D$6:$D$205,MATCH(B4760,Mitarbeiter!$A$6:$A$205,0))),"nach Austritt","ok")))))))</f>
        <v/>
      </c>
    </row>
    <row r="4761">
      <c r="A4761" s="26" t="n"/>
      <c r="B4761" s="24" t="n"/>
      <c r="C4761" s="40">
        <f>IF(B4761="","",IFERROR(INDEX(Mitarbeiter!$B$6:$B$205,MATCH(B4761,Mitarbeiter!$A$6:$A$205,0)),"?"))</f>
        <v/>
      </c>
      <c r="D4761" s="41" t="n"/>
      <c r="E4761" s="42" t="n"/>
      <c r="F4761" s="43" t="n"/>
      <c r="G4761" s="44">
        <f>IF(OR(B4761="",F4761=""),"",IFERROR(F4761*INDEX(Mitarbeiter!$F$6:$F$205,MATCH(B4761,Mitarbeiter!$A$6:$A$205,0)),0))</f>
        <v/>
      </c>
      <c r="H4761" s="8">
        <f>IF(B4761="","",IF(ISNA(MATCH(B4761,Mitarbeiter!$A$6:$A$205,0)),"Pers.-Nr. unbekannt",IF(A4761="","Datum fehlt",IF(AND(D4761&lt;&gt;Einstellungen!$C$4,D4761&lt;&gt;Einstellungen!$C$5),"Objekt fehlt",IF(YEAR(A4761)&lt;&gt;Einstellungen!$C$3,"anderes Jahr",IF(A4761&lt;INDEX(Mitarbeiter!$C$6:$C$205,MATCH(B4761,Mitarbeiter!$A$6:$A$205,0)),"vor Eintritt",IF(AND(INDEX(Mitarbeiter!$D$6:$D$205,MATCH(B4761,Mitarbeiter!$A$6:$A$205,0))&lt;&gt;"",A4761&gt;INDEX(Mitarbeiter!$D$6:$D$205,MATCH(B4761,Mitarbeiter!$A$6:$A$205,0))),"nach Austritt","ok")))))))</f>
        <v/>
      </c>
    </row>
    <row r="4762">
      <c r="A4762" s="26" t="n"/>
      <c r="B4762" s="24" t="n"/>
      <c r="C4762" s="40">
        <f>IF(B4762="","",IFERROR(INDEX(Mitarbeiter!$B$6:$B$205,MATCH(B4762,Mitarbeiter!$A$6:$A$205,0)),"?"))</f>
        <v/>
      </c>
      <c r="D4762" s="41" t="n"/>
      <c r="E4762" s="42" t="n"/>
      <c r="F4762" s="43" t="n"/>
      <c r="G4762" s="44">
        <f>IF(OR(B4762="",F4762=""),"",IFERROR(F4762*INDEX(Mitarbeiter!$F$6:$F$205,MATCH(B4762,Mitarbeiter!$A$6:$A$205,0)),0))</f>
        <v/>
      </c>
      <c r="H4762" s="8">
        <f>IF(B4762="","",IF(ISNA(MATCH(B4762,Mitarbeiter!$A$6:$A$205,0)),"Pers.-Nr. unbekannt",IF(A4762="","Datum fehlt",IF(AND(D4762&lt;&gt;Einstellungen!$C$4,D4762&lt;&gt;Einstellungen!$C$5),"Objekt fehlt",IF(YEAR(A4762)&lt;&gt;Einstellungen!$C$3,"anderes Jahr",IF(A4762&lt;INDEX(Mitarbeiter!$C$6:$C$205,MATCH(B4762,Mitarbeiter!$A$6:$A$205,0)),"vor Eintritt",IF(AND(INDEX(Mitarbeiter!$D$6:$D$205,MATCH(B4762,Mitarbeiter!$A$6:$A$205,0))&lt;&gt;"",A4762&gt;INDEX(Mitarbeiter!$D$6:$D$205,MATCH(B4762,Mitarbeiter!$A$6:$A$205,0))),"nach Austritt","ok")))))))</f>
        <v/>
      </c>
    </row>
    <row r="4763">
      <c r="A4763" s="26" t="n"/>
      <c r="B4763" s="24" t="n"/>
      <c r="C4763" s="40">
        <f>IF(B4763="","",IFERROR(INDEX(Mitarbeiter!$B$6:$B$205,MATCH(B4763,Mitarbeiter!$A$6:$A$205,0)),"?"))</f>
        <v/>
      </c>
      <c r="D4763" s="41" t="n"/>
      <c r="E4763" s="42" t="n"/>
      <c r="F4763" s="43" t="n"/>
      <c r="G4763" s="44">
        <f>IF(OR(B4763="",F4763=""),"",IFERROR(F4763*INDEX(Mitarbeiter!$F$6:$F$205,MATCH(B4763,Mitarbeiter!$A$6:$A$205,0)),0))</f>
        <v/>
      </c>
      <c r="H4763" s="8">
        <f>IF(B4763="","",IF(ISNA(MATCH(B4763,Mitarbeiter!$A$6:$A$205,0)),"Pers.-Nr. unbekannt",IF(A4763="","Datum fehlt",IF(AND(D4763&lt;&gt;Einstellungen!$C$4,D4763&lt;&gt;Einstellungen!$C$5),"Objekt fehlt",IF(YEAR(A4763)&lt;&gt;Einstellungen!$C$3,"anderes Jahr",IF(A4763&lt;INDEX(Mitarbeiter!$C$6:$C$205,MATCH(B4763,Mitarbeiter!$A$6:$A$205,0)),"vor Eintritt",IF(AND(INDEX(Mitarbeiter!$D$6:$D$205,MATCH(B4763,Mitarbeiter!$A$6:$A$205,0))&lt;&gt;"",A4763&gt;INDEX(Mitarbeiter!$D$6:$D$205,MATCH(B4763,Mitarbeiter!$A$6:$A$205,0))),"nach Austritt","ok")))))))</f>
        <v/>
      </c>
    </row>
    <row r="4764">
      <c r="A4764" s="26" t="n"/>
      <c r="B4764" s="24" t="n"/>
      <c r="C4764" s="40">
        <f>IF(B4764="","",IFERROR(INDEX(Mitarbeiter!$B$6:$B$205,MATCH(B4764,Mitarbeiter!$A$6:$A$205,0)),"?"))</f>
        <v/>
      </c>
      <c r="D4764" s="41" t="n"/>
      <c r="E4764" s="42" t="n"/>
      <c r="F4764" s="43" t="n"/>
      <c r="G4764" s="44">
        <f>IF(OR(B4764="",F4764=""),"",IFERROR(F4764*INDEX(Mitarbeiter!$F$6:$F$205,MATCH(B4764,Mitarbeiter!$A$6:$A$205,0)),0))</f>
        <v/>
      </c>
      <c r="H4764" s="8">
        <f>IF(B4764="","",IF(ISNA(MATCH(B4764,Mitarbeiter!$A$6:$A$205,0)),"Pers.-Nr. unbekannt",IF(A4764="","Datum fehlt",IF(AND(D4764&lt;&gt;Einstellungen!$C$4,D4764&lt;&gt;Einstellungen!$C$5),"Objekt fehlt",IF(YEAR(A4764)&lt;&gt;Einstellungen!$C$3,"anderes Jahr",IF(A4764&lt;INDEX(Mitarbeiter!$C$6:$C$205,MATCH(B4764,Mitarbeiter!$A$6:$A$205,0)),"vor Eintritt",IF(AND(INDEX(Mitarbeiter!$D$6:$D$205,MATCH(B4764,Mitarbeiter!$A$6:$A$205,0))&lt;&gt;"",A4764&gt;INDEX(Mitarbeiter!$D$6:$D$205,MATCH(B4764,Mitarbeiter!$A$6:$A$205,0))),"nach Austritt","ok")))))))</f>
        <v/>
      </c>
    </row>
    <row r="4765">
      <c r="A4765" s="26" t="n"/>
      <c r="B4765" s="24" t="n"/>
      <c r="C4765" s="40">
        <f>IF(B4765="","",IFERROR(INDEX(Mitarbeiter!$B$6:$B$205,MATCH(B4765,Mitarbeiter!$A$6:$A$205,0)),"?"))</f>
        <v/>
      </c>
      <c r="D4765" s="41" t="n"/>
      <c r="E4765" s="42" t="n"/>
      <c r="F4765" s="43" t="n"/>
      <c r="G4765" s="44">
        <f>IF(OR(B4765="",F4765=""),"",IFERROR(F4765*INDEX(Mitarbeiter!$F$6:$F$205,MATCH(B4765,Mitarbeiter!$A$6:$A$205,0)),0))</f>
        <v/>
      </c>
      <c r="H4765" s="8">
        <f>IF(B4765="","",IF(ISNA(MATCH(B4765,Mitarbeiter!$A$6:$A$205,0)),"Pers.-Nr. unbekannt",IF(A4765="","Datum fehlt",IF(AND(D4765&lt;&gt;Einstellungen!$C$4,D4765&lt;&gt;Einstellungen!$C$5),"Objekt fehlt",IF(YEAR(A4765)&lt;&gt;Einstellungen!$C$3,"anderes Jahr",IF(A4765&lt;INDEX(Mitarbeiter!$C$6:$C$205,MATCH(B4765,Mitarbeiter!$A$6:$A$205,0)),"vor Eintritt",IF(AND(INDEX(Mitarbeiter!$D$6:$D$205,MATCH(B4765,Mitarbeiter!$A$6:$A$205,0))&lt;&gt;"",A4765&gt;INDEX(Mitarbeiter!$D$6:$D$205,MATCH(B4765,Mitarbeiter!$A$6:$A$205,0))),"nach Austritt","ok")))))))</f>
        <v/>
      </c>
    </row>
    <row r="4766">
      <c r="A4766" s="26" t="n"/>
      <c r="B4766" s="24" t="n"/>
      <c r="C4766" s="40">
        <f>IF(B4766="","",IFERROR(INDEX(Mitarbeiter!$B$6:$B$205,MATCH(B4766,Mitarbeiter!$A$6:$A$205,0)),"?"))</f>
        <v/>
      </c>
      <c r="D4766" s="41" t="n"/>
      <c r="E4766" s="42" t="n"/>
      <c r="F4766" s="43" t="n"/>
      <c r="G4766" s="44">
        <f>IF(OR(B4766="",F4766=""),"",IFERROR(F4766*INDEX(Mitarbeiter!$F$6:$F$205,MATCH(B4766,Mitarbeiter!$A$6:$A$205,0)),0))</f>
        <v/>
      </c>
      <c r="H4766" s="8">
        <f>IF(B4766="","",IF(ISNA(MATCH(B4766,Mitarbeiter!$A$6:$A$205,0)),"Pers.-Nr. unbekannt",IF(A4766="","Datum fehlt",IF(AND(D4766&lt;&gt;Einstellungen!$C$4,D4766&lt;&gt;Einstellungen!$C$5),"Objekt fehlt",IF(YEAR(A4766)&lt;&gt;Einstellungen!$C$3,"anderes Jahr",IF(A4766&lt;INDEX(Mitarbeiter!$C$6:$C$205,MATCH(B4766,Mitarbeiter!$A$6:$A$205,0)),"vor Eintritt",IF(AND(INDEX(Mitarbeiter!$D$6:$D$205,MATCH(B4766,Mitarbeiter!$A$6:$A$205,0))&lt;&gt;"",A4766&gt;INDEX(Mitarbeiter!$D$6:$D$205,MATCH(B4766,Mitarbeiter!$A$6:$A$205,0))),"nach Austritt","ok")))))))</f>
        <v/>
      </c>
    </row>
    <row r="4767">
      <c r="A4767" s="26" t="n"/>
      <c r="B4767" s="24" t="n"/>
      <c r="C4767" s="40">
        <f>IF(B4767="","",IFERROR(INDEX(Mitarbeiter!$B$6:$B$205,MATCH(B4767,Mitarbeiter!$A$6:$A$205,0)),"?"))</f>
        <v/>
      </c>
      <c r="D4767" s="41" t="n"/>
      <c r="E4767" s="42" t="n"/>
      <c r="F4767" s="43" t="n"/>
      <c r="G4767" s="44">
        <f>IF(OR(B4767="",F4767=""),"",IFERROR(F4767*INDEX(Mitarbeiter!$F$6:$F$205,MATCH(B4767,Mitarbeiter!$A$6:$A$205,0)),0))</f>
        <v/>
      </c>
      <c r="H4767" s="8">
        <f>IF(B4767="","",IF(ISNA(MATCH(B4767,Mitarbeiter!$A$6:$A$205,0)),"Pers.-Nr. unbekannt",IF(A4767="","Datum fehlt",IF(AND(D4767&lt;&gt;Einstellungen!$C$4,D4767&lt;&gt;Einstellungen!$C$5),"Objekt fehlt",IF(YEAR(A4767)&lt;&gt;Einstellungen!$C$3,"anderes Jahr",IF(A4767&lt;INDEX(Mitarbeiter!$C$6:$C$205,MATCH(B4767,Mitarbeiter!$A$6:$A$205,0)),"vor Eintritt",IF(AND(INDEX(Mitarbeiter!$D$6:$D$205,MATCH(B4767,Mitarbeiter!$A$6:$A$205,0))&lt;&gt;"",A4767&gt;INDEX(Mitarbeiter!$D$6:$D$205,MATCH(B4767,Mitarbeiter!$A$6:$A$205,0))),"nach Austritt","ok")))))))</f>
        <v/>
      </c>
    </row>
    <row r="4768">
      <c r="A4768" s="26" t="n"/>
      <c r="B4768" s="24" t="n"/>
      <c r="C4768" s="40">
        <f>IF(B4768="","",IFERROR(INDEX(Mitarbeiter!$B$6:$B$205,MATCH(B4768,Mitarbeiter!$A$6:$A$205,0)),"?"))</f>
        <v/>
      </c>
      <c r="D4768" s="41" t="n"/>
      <c r="E4768" s="42" t="n"/>
      <c r="F4768" s="43" t="n"/>
      <c r="G4768" s="44">
        <f>IF(OR(B4768="",F4768=""),"",IFERROR(F4768*INDEX(Mitarbeiter!$F$6:$F$205,MATCH(B4768,Mitarbeiter!$A$6:$A$205,0)),0))</f>
        <v/>
      </c>
      <c r="H4768" s="8">
        <f>IF(B4768="","",IF(ISNA(MATCH(B4768,Mitarbeiter!$A$6:$A$205,0)),"Pers.-Nr. unbekannt",IF(A4768="","Datum fehlt",IF(AND(D4768&lt;&gt;Einstellungen!$C$4,D4768&lt;&gt;Einstellungen!$C$5),"Objekt fehlt",IF(YEAR(A4768)&lt;&gt;Einstellungen!$C$3,"anderes Jahr",IF(A4768&lt;INDEX(Mitarbeiter!$C$6:$C$205,MATCH(B4768,Mitarbeiter!$A$6:$A$205,0)),"vor Eintritt",IF(AND(INDEX(Mitarbeiter!$D$6:$D$205,MATCH(B4768,Mitarbeiter!$A$6:$A$205,0))&lt;&gt;"",A4768&gt;INDEX(Mitarbeiter!$D$6:$D$205,MATCH(B4768,Mitarbeiter!$A$6:$A$205,0))),"nach Austritt","ok")))))))</f>
        <v/>
      </c>
    </row>
    <row r="4769">
      <c r="A4769" s="26" t="n"/>
      <c r="B4769" s="24" t="n"/>
      <c r="C4769" s="40">
        <f>IF(B4769="","",IFERROR(INDEX(Mitarbeiter!$B$6:$B$205,MATCH(B4769,Mitarbeiter!$A$6:$A$205,0)),"?"))</f>
        <v/>
      </c>
      <c r="D4769" s="41" t="n"/>
      <c r="E4769" s="42" t="n"/>
      <c r="F4769" s="43" t="n"/>
      <c r="G4769" s="44">
        <f>IF(OR(B4769="",F4769=""),"",IFERROR(F4769*INDEX(Mitarbeiter!$F$6:$F$205,MATCH(B4769,Mitarbeiter!$A$6:$A$205,0)),0))</f>
        <v/>
      </c>
      <c r="H4769" s="8">
        <f>IF(B4769="","",IF(ISNA(MATCH(B4769,Mitarbeiter!$A$6:$A$205,0)),"Pers.-Nr. unbekannt",IF(A4769="","Datum fehlt",IF(AND(D4769&lt;&gt;Einstellungen!$C$4,D4769&lt;&gt;Einstellungen!$C$5),"Objekt fehlt",IF(YEAR(A4769)&lt;&gt;Einstellungen!$C$3,"anderes Jahr",IF(A4769&lt;INDEX(Mitarbeiter!$C$6:$C$205,MATCH(B4769,Mitarbeiter!$A$6:$A$205,0)),"vor Eintritt",IF(AND(INDEX(Mitarbeiter!$D$6:$D$205,MATCH(B4769,Mitarbeiter!$A$6:$A$205,0))&lt;&gt;"",A4769&gt;INDEX(Mitarbeiter!$D$6:$D$205,MATCH(B4769,Mitarbeiter!$A$6:$A$205,0))),"nach Austritt","ok")))))))</f>
        <v/>
      </c>
    </row>
    <row r="4770">
      <c r="A4770" s="26" t="n"/>
      <c r="B4770" s="24" t="n"/>
      <c r="C4770" s="40">
        <f>IF(B4770="","",IFERROR(INDEX(Mitarbeiter!$B$6:$B$205,MATCH(B4770,Mitarbeiter!$A$6:$A$205,0)),"?"))</f>
        <v/>
      </c>
      <c r="D4770" s="41" t="n"/>
      <c r="E4770" s="42" t="n"/>
      <c r="F4770" s="43" t="n"/>
      <c r="G4770" s="44">
        <f>IF(OR(B4770="",F4770=""),"",IFERROR(F4770*INDEX(Mitarbeiter!$F$6:$F$205,MATCH(B4770,Mitarbeiter!$A$6:$A$205,0)),0))</f>
        <v/>
      </c>
      <c r="H4770" s="8">
        <f>IF(B4770="","",IF(ISNA(MATCH(B4770,Mitarbeiter!$A$6:$A$205,0)),"Pers.-Nr. unbekannt",IF(A4770="","Datum fehlt",IF(AND(D4770&lt;&gt;Einstellungen!$C$4,D4770&lt;&gt;Einstellungen!$C$5),"Objekt fehlt",IF(YEAR(A4770)&lt;&gt;Einstellungen!$C$3,"anderes Jahr",IF(A4770&lt;INDEX(Mitarbeiter!$C$6:$C$205,MATCH(B4770,Mitarbeiter!$A$6:$A$205,0)),"vor Eintritt",IF(AND(INDEX(Mitarbeiter!$D$6:$D$205,MATCH(B4770,Mitarbeiter!$A$6:$A$205,0))&lt;&gt;"",A4770&gt;INDEX(Mitarbeiter!$D$6:$D$205,MATCH(B4770,Mitarbeiter!$A$6:$A$205,0))),"nach Austritt","ok")))))))</f>
        <v/>
      </c>
    </row>
    <row r="4771">
      <c r="A4771" s="26" t="n"/>
      <c r="B4771" s="24" t="n"/>
      <c r="C4771" s="40">
        <f>IF(B4771="","",IFERROR(INDEX(Mitarbeiter!$B$6:$B$205,MATCH(B4771,Mitarbeiter!$A$6:$A$205,0)),"?"))</f>
        <v/>
      </c>
      <c r="D4771" s="41" t="n"/>
      <c r="E4771" s="42" t="n"/>
      <c r="F4771" s="43" t="n"/>
      <c r="G4771" s="44">
        <f>IF(OR(B4771="",F4771=""),"",IFERROR(F4771*INDEX(Mitarbeiter!$F$6:$F$205,MATCH(B4771,Mitarbeiter!$A$6:$A$205,0)),0))</f>
        <v/>
      </c>
      <c r="H4771" s="8">
        <f>IF(B4771="","",IF(ISNA(MATCH(B4771,Mitarbeiter!$A$6:$A$205,0)),"Pers.-Nr. unbekannt",IF(A4771="","Datum fehlt",IF(AND(D4771&lt;&gt;Einstellungen!$C$4,D4771&lt;&gt;Einstellungen!$C$5),"Objekt fehlt",IF(YEAR(A4771)&lt;&gt;Einstellungen!$C$3,"anderes Jahr",IF(A4771&lt;INDEX(Mitarbeiter!$C$6:$C$205,MATCH(B4771,Mitarbeiter!$A$6:$A$205,0)),"vor Eintritt",IF(AND(INDEX(Mitarbeiter!$D$6:$D$205,MATCH(B4771,Mitarbeiter!$A$6:$A$205,0))&lt;&gt;"",A4771&gt;INDEX(Mitarbeiter!$D$6:$D$205,MATCH(B4771,Mitarbeiter!$A$6:$A$205,0))),"nach Austritt","ok")))))))</f>
        <v/>
      </c>
    </row>
    <row r="4772">
      <c r="A4772" s="26" t="n"/>
      <c r="B4772" s="24" t="n"/>
      <c r="C4772" s="40">
        <f>IF(B4772="","",IFERROR(INDEX(Mitarbeiter!$B$6:$B$205,MATCH(B4772,Mitarbeiter!$A$6:$A$205,0)),"?"))</f>
        <v/>
      </c>
      <c r="D4772" s="41" t="n"/>
      <c r="E4772" s="42" t="n"/>
      <c r="F4772" s="43" t="n"/>
      <c r="G4772" s="44">
        <f>IF(OR(B4772="",F4772=""),"",IFERROR(F4772*INDEX(Mitarbeiter!$F$6:$F$205,MATCH(B4772,Mitarbeiter!$A$6:$A$205,0)),0))</f>
        <v/>
      </c>
      <c r="H4772" s="8">
        <f>IF(B4772="","",IF(ISNA(MATCH(B4772,Mitarbeiter!$A$6:$A$205,0)),"Pers.-Nr. unbekannt",IF(A4772="","Datum fehlt",IF(AND(D4772&lt;&gt;Einstellungen!$C$4,D4772&lt;&gt;Einstellungen!$C$5),"Objekt fehlt",IF(YEAR(A4772)&lt;&gt;Einstellungen!$C$3,"anderes Jahr",IF(A4772&lt;INDEX(Mitarbeiter!$C$6:$C$205,MATCH(B4772,Mitarbeiter!$A$6:$A$205,0)),"vor Eintritt",IF(AND(INDEX(Mitarbeiter!$D$6:$D$205,MATCH(B4772,Mitarbeiter!$A$6:$A$205,0))&lt;&gt;"",A4772&gt;INDEX(Mitarbeiter!$D$6:$D$205,MATCH(B4772,Mitarbeiter!$A$6:$A$205,0))),"nach Austritt","ok")))))))</f>
        <v/>
      </c>
    </row>
    <row r="4773">
      <c r="A4773" s="26" t="n"/>
      <c r="B4773" s="24" t="n"/>
      <c r="C4773" s="40">
        <f>IF(B4773="","",IFERROR(INDEX(Mitarbeiter!$B$6:$B$205,MATCH(B4773,Mitarbeiter!$A$6:$A$205,0)),"?"))</f>
        <v/>
      </c>
      <c r="D4773" s="41" t="n"/>
      <c r="E4773" s="42" t="n"/>
      <c r="F4773" s="43" t="n"/>
      <c r="G4773" s="44">
        <f>IF(OR(B4773="",F4773=""),"",IFERROR(F4773*INDEX(Mitarbeiter!$F$6:$F$205,MATCH(B4773,Mitarbeiter!$A$6:$A$205,0)),0))</f>
        <v/>
      </c>
      <c r="H4773" s="8">
        <f>IF(B4773="","",IF(ISNA(MATCH(B4773,Mitarbeiter!$A$6:$A$205,0)),"Pers.-Nr. unbekannt",IF(A4773="","Datum fehlt",IF(AND(D4773&lt;&gt;Einstellungen!$C$4,D4773&lt;&gt;Einstellungen!$C$5),"Objekt fehlt",IF(YEAR(A4773)&lt;&gt;Einstellungen!$C$3,"anderes Jahr",IF(A4773&lt;INDEX(Mitarbeiter!$C$6:$C$205,MATCH(B4773,Mitarbeiter!$A$6:$A$205,0)),"vor Eintritt",IF(AND(INDEX(Mitarbeiter!$D$6:$D$205,MATCH(B4773,Mitarbeiter!$A$6:$A$205,0))&lt;&gt;"",A4773&gt;INDEX(Mitarbeiter!$D$6:$D$205,MATCH(B4773,Mitarbeiter!$A$6:$A$205,0))),"nach Austritt","ok")))))))</f>
        <v/>
      </c>
    </row>
    <row r="4774">
      <c r="A4774" s="26" t="n"/>
      <c r="B4774" s="24" t="n"/>
      <c r="C4774" s="40">
        <f>IF(B4774="","",IFERROR(INDEX(Mitarbeiter!$B$6:$B$205,MATCH(B4774,Mitarbeiter!$A$6:$A$205,0)),"?"))</f>
        <v/>
      </c>
      <c r="D4774" s="41" t="n"/>
      <c r="E4774" s="42" t="n"/>
      <c r="F4774" s="43" t="n"/>
      <c r="G4774" s="44">
        <f>IF(OR(B4774="",F4774=""),"",IFERROR(F4774*INDEX(Mitarbeiter!$F$6:$F$205,MATCH(B4774,Mitarbeiter!$A$6:$A$205,0)),0))</f>
        <v/>
      </c>
      <c r="H4774" s="8">
        <f>IF(B4774="","",IF(ISNA(MATCH(B4774,Mitarbeiter!$A$6:$A$205,0)),"Pers.-Nr. unbekannt",IF(A4774="","Datum fehlt",IF(AND(D4774&lt;&gt;Einstellungen!$C$4,D4774&lt;&gt;Einstellungen!$C$5),"Objekt fehlt",IF(YEAR(A4774)&lt;&gt;Einstellungen!$C$3,"anderes Jahr",IF(A4774&lt;INDEX(Mitarbeiter!$C$6:$C$205,MATCH(B4774,Mitarbeiter!$A$6:$A$205,0)),"vor Eintritt",IF(AND(INDEX(Mitarbeiter!$D$6:$D$205,MATCH(B4774,Mitarbeiter!$A$6:$A$205,0))&lt;&gt;"",A4774&gt;INDEX(Mitarbeiter!$D$6:$D$205,MATCH(B4774,Mitarbeiter!$A$6:$A$205,0))),"nach Austritt","ok")))))))</f>
        <v/>
      </c>
    </row>
    <row r="4775">
      <c r="A4775" s="26" t="n"/>
      <c r="B4775" s="24" t="n"/>
      <c r="C4775" s="40">
        <f>IF(B4775="","",IFERROR(INDEX(Mitarbeiter!$B$6:$B$205,MATCH(B4775,Mitarbeiter!$A$6:$A$205,0)),"?"))</f>
        <v/>
      </c>
      <c r="D4775" s="41" t="n"/>
      <c r="E4775" s="42" t="n"/>
      <c r="F4775" s="43" t="n"/>
      <c r="G4775" s="44">
        <f>IF(OR(B4775="",F4775=""),"",IFERROR(F4775*INDEX(Mitarbeiter!$F$6:$F$205,MATCH(B4775,Mitarbeiter!$A$6:$A$205,0)),0))</f>
        <v/>
      </c>
      <c r="H4775" s="8">
        <f>IF(B4775="","",IF(ISNA(MATCH(B4775,Mitarbeiter!$A$6:$A$205,0)),"Pers.-Nr. unbekannt",IF(A4775="","Datum fehlt",IF(AND(D4775&lt;&gt;Einstellungen!$C$4,D4775&lt;&gt;Einstellungen!$C$5),"Objekt fehlt",IF(YEAR(A4775)&lt;&gt;Einstellungen!$C$3,"anderes Jahr",IF(A4775&lt;INDEX(Mitarbeiter!$C$6:$C$205,MATCH(B4775,Mitarbeiter!$A$6:$A$205,0)),"vor Eintritt",IF(AND(INDEX(Mitarbeiter!$D$6:$D$205,MATCH(B4775,Mitarbeiter!$A$6:$A$205,0))&lt;&gt;"",A4775&gt;INDEX(Mitarbeiter!$D$6:$D$205,MATCH(B4775,Mitarbeiter!$A$6:$A$205,0))),"nach Austritt","ok")))))))</f>
        <v/>
      </c>
    </row>
    <row r="4776">
      <c r="A4776" s="26" t="n"/>
      <c r="B4776" s="24" t="n"/>
      <c r="C4776" s="40">
        <f>IF(B4776="","",IFERROR(INDEX(Mitarbeiter!$B$6:$B$205,MATCH(B4776,Mitarbeiter!$A$6:$A$205,0)),"?"))</f>
        <v/>
      </c>
      <c r="D4776" s="41" t="n"/>
      <c r="E4776" s="42" t="n"/>
      <c r="F4776" s="43" t="n"/>
      <c r="G4776" s="44">
        <f>IF(OR(B4776="",F4776=""),"",IFERROR(F4776*INDEX(Mitarbeiter!$F$6:$F$205,MATCH(B4776,Mitarbeiter!$A$6:$A$205,0)),0))</f>
        <v/>
      </c>
      <c r="H4776" s="8">
        <f>IF(B4776="","",IF(ISNA(MATCH(B4776,Mitarbeiter!$A$6:$A$205,0)),"Pers.-Nr. unbekannt",IF(A4776="","Datum fehlt",IF(AND(D4776&lt;&gt;Einstellungen!$C$4,D4776&lt;&gt;Einstellungen!$C$5),"Objekt fehlt",IF(YEAR(A4776)&lt;&gt;Einstellungen!$C$3,"anderes Jahr",IF(A4776&lt;INDEX(Mitarbeiter!$C$6:$C$205,MATCH(B4776,Mitarbeiter!$A$6:$A$205,0)),"vor Eintritt",IF(AND(INDEX(Mitarbeiter!$D$6:$D$205,MATCH(B4776,Mitarbeiter!$A$6:$A$205,0))&lt;&gt;"",A4776&gt;INDEX(Mitarbeiter!$D$6:$D$205,MATCH(B4776,Mitarbeiter!$A$6:$A$205,0))),"nach Austritt","ok")))))))</f>
        <v/>
      </c>
    </row>
    <row r="4777">
      <c r="A4777" s="26" t="n"/>
      <c r="B4777" s="24" t="n"/>
      <c r="C4777" s="40">
        <f>IF(B4777="","",IFERROR(INDEX(Mitarbeiter!$B$6:$B$205,MATCH(B4777,Mitarbeiter!$A$6:$A$205,0)),"?"))</f>
        <v/>
      </c>
      <c r="D4777" s="41" t="n"/>
      <c r="E4777" s="42" t="n"/>
      <c r="F4777" s="43" t="n"/>
      <c r="G4777" s="44">
        <f>IF(OR(B4777="",F4777=""),"",IFERROR(F4777*INDEX(Mitarbeiter!$F$6:$F$205,MATCH(B4777,Mitarbeiter!$A$6:$A$205,0)),0))</f>
        <v/>
      </c>
      <c r="H4777" s="8">
        <f>IF(B4777="","",IF(ISNA(MATCH(B4777,Mitarbeiter!$A$6:$A$205,0)),"Pers.-Nr. unbekannt",IF(A4777="","Datum fehlt",IF(AND(D4777&lt;&gt;Einstellungen!$C$4,D4777&lt;&gt;Einstellungen!$C$5),"Objekt fehlt",IF(YEAR(A4777)&lt;&gt;Einstellungen!$C$3,"anderes Jahr",IF(A4777&lt;INDEX(Mitarbeiter!$C$6:$C$205,MATCH(B4777,Mitarbeiter!$A$6:$A$205,0)),"vor Eintritt",IF(AND(INDEX(Mitarbeiter!$D$6:$D$205,MATCH(B4777,Mitarbeiter!$A$6:$A$205,0))&lt;&gt;"",A4777&gt;INDEX(Mitarbeiter!$D$6:$D$205,MATCH(B4777,Mitarbeiter!$A$6:$A$205,0))),"nach Austritt","ok")))))))</f>
        <v/>
      </c>
    </row>
    <row r="4778">
      <c r="A4778" s="26" t="n"/>
      <c r="B4778" s="24" t="n"/>
      <c r="C4778" s="40">
        <f>IF(B4778="","",IFERROR(INDEX(Mitarbeiter!$B$6:$B$205,MATCH(B4778,Mitarbeiter!$A$6:$A$205,0)),"?"))</f>
        <v/>
      </c>
      <c r="D4778" s="41" t="n"/>
      <c r="E4778" s="42" t="n"/>
      <c r="F4778" s="43" t="n"/>
      <c r="G4778" s="44">
        <f>IF(OR(B4778="",F4778=""),"",IFERROR(F4778*INDEX(Mitarbeiter!$F$6:$F$205,MATCH(B4778,Mitarbeiter!$A$6:$A$205,0)),0))</f>
        <v/>
      </c>
      <c r="H4778" s="8">
        <f>IF(B4778="","",IF(ISNA(MATCH(B4778,Mitarbeiter!$A$6:$A$205,0)),"Pers.-Nr. unbekannt",IF(A4778="","Datum fehlt",IF(AND(D4778&lt;&gt;Einstellungen!$C$4,D4778&lt;&gt;Einstellungen!$C$5),"Objekt fehlt",IF(YEAR(A4778)&lt;&gt;Einstellungen!$C$3,"anderes Jahr",IF(A4778&lt;INDEX(Mitarbeiter!$C$6:$C$205,MATCH(B4778,Mitarbeiter!$A$6:$A$205,0)),"vor Eintritt",IF(AND(INDEX(Mitarbeiter!$D$6:$D$205,MATCH(B4778,Mitarbeiter!$A$6:$A$205,0))&lt;&gt;"",A4778&gt;INDEX(Mitarbeiter!$D$6:$D$205,MATCH(B4778,Mitarbeiter!$A$6:$A$205,0))),"nach Austritt","ok")))))))</f>
        <v/>
      </c>
    </row>
    <row r="4779">
      <c r="A4779" s="26" t="n"/>
      <c r="B4779" s="24" t="n"/>
      <c r="C4779" s="40">
        <f>IF(B4779="","",IFERROR(INDEX(Mitarbeiter!$B$6:$B$205,MATCH(B4779,Mitarbeiter!$A$6:$A$205,0)),"?"))</f>
        <v/>
      </c>
      <c r="D4779" s="41" t="n"/>
      <c r="E4779" s="42" t="n"/>
      <c r="F4779" s="43" t="n"/>
      <c r="G4779" s="44">
        <f>IF(OR(B4779="",F4779=""),"",IFERROR(F4779*INDEX(Mitarbeiter!$F$6:$F$205,MATCH(B4779,Mitarbeiter!$A$6:$A$205,0)),0))</f>
        <v/>
      </c>
      <c r="H4779" s="8">
        <f>IF(B4779="","",IF(ISNA(MATCH(B4779,Mitarbeiter!$A$6:$A$205,0)),"Pers.-Nr. unbekannt",IF(A4779="","Datum fehlt",IF(AND(D4779&lt;&gt;Einstellungen!$C$4,D4779&lt;&gt;Einstellungen!$C$5),"Objekt fehlt",IF(YEAR(A4779)&lt;&gt;Einstellungen!$C$3,"anderes Jahr",IF(A4779&lt;INDEX(Mitarbeiter!$C$6:$C$205,MATCH(B4779,Mitarbeiter!$A$6:$A$205,0)),"vor Eintritt",IF(AND(INDEX(Mitarbeiter!$D$6:$D$205,MATCH(B4779,Mitarbeiter!$A$6:$A$205,0))&lt;&gt;"",A4779&gt;INDEX(Mitarbeiter!$D$6:$D$205,MATCH(B4779,Mitarbeiter!$A$6:$A$205,0))),"nach Austritt","ok")))))))</f>
        <v/>
      </c>
    </row>
    <row r="4780">
      <c r="A4780" s="26" t="n"/>
      <c r="B4780" s="24" t="n"/>
      <c r="C4780" s="40">
        <f>IF(B4780="","",IFERROR(INDEX(Mitarbeiter!$B$6:$B$205,MATCH(B4780,Mitarbeiter!$A$6:$A$205,0)),"?"))</f>
        <v/>
      </c>
      <c r="D4780" s="41" t="n"/>
      <c r="E4780" s="42" t="n"/>
      <c r="F4780" s="43" t="n"/>
      <c r="G4780" s="44">
        <f>IF(OR(B4780="",F4780=""),"",IFERROR(F4780*INDEX(Mitarbeiter!$F$6:$F$205,MATCH(B4780,Mitarbeiter!$A$6:$A$205,0)),0))</f>
        <v/>
      </c>
      <c r="H4780" s="8">
        <f>IF(B4780="","",IF(ISNA(MATCH(B4780,Mitarbeiter!$A$6:$A$205,0)),"Pers.-Nr. unbekannt",IF(A4780="","Datum fehlt",IF(AND(D4780&lt;&gt;Einstellungen!$C$4,D4780&lt;&gt;Einstellungen!$C$5),"Objekt fehlt",IF(YEAR(A4780)&lt;&gt;Einstellungen!$C$3,"anderes Jahr",IF(A4780&lt;INDEX(Mitarbeiter!$C$6:$C$205,MATCH(B4780,Mitarbeiter!$A$6:$A$205,0)),"vor Eintritt",IF(AND(INDEX(Mitarbeiter!$D$6:$D$205,MATCH(B4780,Mitarbeiter!$A$6:$A$205,0))&lt;&gt;"",A4780&gt;INDEX(Mitarbeiter!$D$6:$D$205,MATCH(B4780,Mitarbeiter!$A$6:$A$205,0))),"nach Austritt","ok")))))))</f>
        <v/>
      </c>
    </row>
    <row r="4781">
      <c r="A4781" s="26" t="n"/>
      <c r="B4781" s="24" t="n"/>
      <c r="C4781" s="40">
        <f>IF(B4781="","",IFERROR(INDEX(Mitarbeiter!$B$6:$B$205,MATCH(B4781,Mitarbeiter!$A$6:$A$205,0)),"?"))</f>
        <v/>
      </c>
      <c r="D4781" s="41" t="n"/>
      <c r="E4781" s="42" t="n"/>
      <c r="F4781" s="43" t="n"/>
      <c r="G4781" s="44">
        <f>IF(OR(B4781="",F4781=""),"",IFERROR(F4781*INDEX(Mitarbeiter!$F$6:$F$205,MATCH(B4781,Mitarbeiter!$A$6:$A$205,0)),0))</f>
        <v/>
      </c>
      <c r="H4781" s="8">
        <f>IF(B4781="","",IF(ISNA(MATCH(B4781,Mitarbeiter!$A$6:$A$205,0)),"Pers.-Nr. unbekannt",IF(A4781="","Datum fehlt",IF(AND(D4781&lt;&gt;Einstellungen!$C$4,D4781&lt;&gt;Einstellungen!$C$5),"Objekt fehlt",IF(YEAR(A4781)&lt;&gt;Einstellungen!$C$3,"anderes Jahr",IF(A4781&lt;INDEX(Mitarbeiter!$C$6:$C$205,MATCH(B4781,Mitarbeiter!$A$6:$A$205,0)),"vor Eintritt",IF(AND(INDEX(Mitarbeiter!$D$6:$D$205,MATCH(B4781,Mitarbeiter!$A$6:$A$205,0))&lt;&gt;"",A4781&gt;INDEX(Mitarbeiter!$D$6:$D$205,MATCH(B4781,Mitarbeiter!$A$6:$A$205,0))),"nach Austritt","ok")))))))</f>
        <v/>
      </c>
    </row>
    <row r="4782">
      <c r="A4782" s="26" t="n"/>
      <c r="B4782" s="24" t="n"/>
      <c r="C4782" s="40">
        <f>IF(B4782="","",IFERROR(INDEX(Mitarbeiter!$B$6:$B$205,MATCH(B4782,Mitarbeiter!$A$6:$A$205,0)),"?"))</f>
        <v/>
      </c>
      <c r="D4782" s="41" t="n"/>
      <c r="E4782" s="42" t="n"/>
      <c r="F4782" s="43" t="n"/>
      <c r="G4782" s="44">
        <f>IF(OR(B4782="",F4782=""),"",IFERROR(F4782*INDEX(Mitarbeiter!$F$6:$F$205,MATCH(B4782,Mitarbeiter!$A$6:$A$205,0)),0))</f>
        <v/>
      </c>
      <c r="H4782" s="8">
        <f>IF(B4782="","",IF(ISNA(MATCH(B4782,Mitarbeiter!$A$6:$A$205,0)),"Pers.-Nr. unbekannt",IF(A4782="","Datum fehlt",IF(AND(D4782&lt;&gt;Einstellungen!$C$4,D4782&lt;&gt;Einstellungen!$C$5),"Objekt fehlt",IF(YEAR(A4782)&lt;&gt;Einstellungen!$C$3,"anderes Jahr",IF(A4782&lt;INDEX(Mitarbeiter!$C$6:$C$205,MATCH(B4782,Mitarbeiter!$A$6:$A$205,0)),"vor Eintritt",IF(AND(INDEX(Mitarbeiter!$D$6:$D$205,MATCH(B4782,Mitarbeiter!$A$6:$A$205,0))&lt;&gt;"",A4782&gt;INDEX(Mitarbeiter!$D$6:$D$205,MATCH(B4782,Mitarbeiter!$A$6:$A$205,0))),"nach Austritt","ok")))))))</f>
        <v/>
      </c>
    </row>
    <row r="4783">
      <c r="A4783" s="26" t="n"/>
      <c r="B4783" s="24" t="n"/>
      <c r="C4783" s="40">
        <f>IF(B4783="","",IFERROR(INDEX(Mitarbeiter!$B$6:$B$205,MATCH(B4783,Mitarbeiter!$A$6:$A$205,0)),"?"))</f>
        <v/>
      </c>
      <c r="D4783" s="41" t="n"/>
      <c r="E4783" s="42" t="n"/>
      <c r="F4783" s="43" t="n"/>
      <c r="G4783" s="44">
        <f>IF(OR(B4783="",F4783=""),"",IFERROR(F4783*INDEX(Mitarbeiter!$F$6:$F$205,MATCH(B4783,Mitarbeiter!$A$6:$A$205,0)),0))</f>
        <v/>
      </c>
      <c r="H4783" s="8">
        <f>IF(B4783="","",IF(ISNA(MATCH(B4783,Mitarbeiter!$A$6:$A$205,0)),"Pers.-Nr. unbekannt",IF(A4783="","Datum fehlt",IF(AND(D4783&lt;&gt;Einstellungen!$C$4,D4783&lt;&gt;Einstellungen!$C$5),"Objekt fehlt",IF(YEAR(A4783)&lt;&gt;Einstellungen!$C$3,"anderes Jahr",IF(A4783&lt;INDEX(Mitarbeiter!$C$6:$C$205,MATCH(B4783,Mitarbeiter!$A$6:$A$205,0)),"vor Eintritt",IF(AND(INDEX(Mitarbeiter!$D$6:$D$205,MATCH(B4783,Mitarbeiter!$A$6:$A$205,0))&lt;&gt;"",A4783&gt;INDEX(Mitarbeiter!$D$6:$D$205,MATCH(B4783,Mitarbeiter!$A$6:$A$205,0))),"nach Austritt","ok")))))))</f>
        <v/>
      </c>
    </row>
    <row r="4784">
      <c r="A4784" s="26" t="n"/>
      <c r="B4784" s="24" t="n"/>
      <c r="C4784" s="40">
        <f>IF(B4784="","",IFERROR(INDEX(Mitarbeiter!$B$6:$B$205,MATCH(B4784,Mitarbeiter!$A$6:$A$205,0)),"?"))</f>
        <v/>
      </c>
      <c r="D4784" s="41" t="n"/>
      <c r="E4784" s="42" t="n"/>
      <c r="F4784" s="43" t="n"/>
      <c r="G4784" s="44">
        <f>IF(OR(B4784="",F4784=""),"",IFERROR(F4784*INDEX(Mitarbeiter!$F$6:$F$205,MATCH(B4784,Mitarbeiter!$A$6:$A$205,0)),0))</f>
        <v/>
      </c>
      <c r="H4784" s="8">
        <f>IF(B4784="","",IF(ISNA(MATCH(B4784,Mitarbeiter!$A$6:$A$205,0)),"Pers.-Nr. unbekannt",IF(A4784="","Datum fehlt",IF(AND(D4784&lt;&gt;Einstellungen!$C$4,D4784&lt;&gt;Einstellungen!$C$5),"Objekt fehlt",IF(YEAR(A4784)&lt;&gt;Einstellungen!$C$3,"anderes Jahr",IF(A4784&lt;INDEX(Mitarbeiter!$C$6:$C$205,MATCH(B4784,Mitarbeiter!$A$6:$A$205,0)),"vor Eintritt",IF(AND(INDEX(Mitarbeiter!$D$6:$D$205,MATCH(B4784,Mitarbeiter!$A$6:$A$205,0))&lt;&gt;"",A4784&gt;INDEX(Mitarbeiter!$D$6:$D$205,MATCH(B4784,Mitarbeiter!$A$6:$A$205,0))),"nach Austritt","ok")))))))</f>
        <v/>
      </c>
    </row>
    <row r="4785">
      <c r="A4785" s="26" t="n"/>
      <c r="B4785" s="24" t="n"/>
      <c r="C4785" s="40">
        <f>IF(B4785="","",IFERROR(INDEX(Mitarbeiter!$B$6:$B$205,MATCH(B4785,Mitarbeiter!$A$6:$A$205,0)),"?"))</f>
        <v/>
      </c>
      <c r="D4785" s="41" t="n"/>
      <c r="E4785" s="42" t="n"/>
      <c r="F4785" s="43" t="n"/>
      <c r="G4785" s="44">
        <f>IF(OR(B4785="",F4785=""),"",IFERROR(F4785*INDEX(Mitarbeiter!$F$6:$F$205,MATCH(B4785,Mitarbeiter!$A$6:$A$205,0)),0))</f>
        <v/>
      </c>
      <c r="H4785" s="8">
        <f>IF(B4785="","",IF(ISNA(MATCH(B4785,Mitarbeiter!$A$6:$A$205,0)),"Pers.-Nr. unbekannt",IF(A4785="","Datum fehlt",IF(AND(D4785&lt;&gt;Einstellungen!$C$4,D4785&lt;&gt;Einstellungen!$C$5),"Objekt fehlt",IF(YEAR(A4785)&lt;&gt;Einstellungen!$C$3,"anderes Jahr",IF(A4785&lt;INDEX(Mitarbeiter!$C$6:$C$205,MATCH(B4785,Mitarbeiter!$A$6:$A$205,0)),"vor Eintritt",IF(AND(INDEX(Mitarbeiter!$D$6:$D$205,MATCH(B4785,Mitarbeiter!$A$6:$A$205,0))&lt;&gt;"",A4785&gt;INDEX(Mitarbeiter!$D$6:$D$205,MATCH(B4785,Mitarbeiter!$A$6:$A$205,0))),"nach Austritt","ok")))))))</f>
        <v/>
      </c>
    </row>
    <row r="4786">
      <c r="A4786" s="26" t="n"/>
      <c r="B4786" s="24" t="n"/>
      <c r="C4786" s="40">
        <f>IF(B4786="","",IFERROR(INDEX(Mitarbeiter!$B$6:$B$205,MATCH(B4786,Mitarbeiter!$A$6:$A$205,0)),"?"))</f>
        <v/>
      </c>
      <c r="D4786" s="41" t="n"/>
      <c r="E4786" s="42" t="n"/>
      <c r="F4786" s="43" t="n"/>
      <c r="G4786" s="44">
        <f>IF(OR(B4786="",F4786=""),"",IFERROR(F4786*INDEX(Mitarbeiter!$F$6:$F$205,MATCH(B4786,Mitarbeiter!$A$6:$A$205,0)),0))</f>
        <v/>
      </c>
      <c r="H4786" s="8">
        <f>IF(B4786="","",IF(ISNA(MATCH(B4786,Mitarbeiter!$A$6:$A$205,0)),"Pers.-Nr. unbekannt",IF(A4786="","Datum fehlt",IF(AND(D4786&lt;&gt;Einstellungen!$C$4,D4786&lt;&gt;Einstellungen!$C$5),"Objekt fehlt",IF(YEAR(A4786)&lt;&gt;Einstellungen!$C$3,"anderes Jahr",IF(A4786&lt;INDEX(Mitarbeiter!$C$6:$C$205,MATCH(B4786,Mitarbeiter!$A$6:$A$205,0)),"vor Eintritt",IF(AND(INDEX(Mitarbeiter!$D$6:$D$205,MATCH(B4786,Mitarbeiter!$A$6:$A$205,0))&lt;&gt;"",A4786&gt;INDEX(Mitarbeiter!$D$6:$D$205,MATCH(B4786,Mitarbeiter!$A$6:$A$205,0))),"nach Austritt","ok")))))))</f>
        <v/>
      </c>
    </row>
    <row r="4787">
      <c r="A4787" s="26" t="n"/>
      <c r="B4787" s="24" t="n"/>
      <c r="C4787" s="40">
        <f>IF(B4787="","",IFERROR(INDEX(Mitarbeiter!$B$6:$B$205,MATCH(B4787,Mitarbeiter!$A$6:$A$205,0)),"?"))</f>
        <v/>
      </c>
      <c r="D4787" s="41" t="n"/>
      <c r="E4787" s="42" t="n"/>
      <c r="F4787" s="43" t="n"/>
      <c r="G4787" s="44">
        <f>IF(OR(B4787="",F4787=""),"",IFERROR(F4787*INDEX(Mitarbeiter!$F$6:$F$205,MATCH(B4787,Mitarbeiter!$A$6:$A$205,0)),0))</f>
        <v/>
      </c>
      <c r="H4787" s="8">
        <f>IF(B4787="","",IF(ISNA(MATCH(B4787,Mitarbeiter!$A$6:$A$205,0)),"Pers.-Nr. unbekannt",IF(A4787="","Datum fehlt",IF(AND(D4787&lt;&gt;Einstellungen!$C$4,D4787&lt;&gt;Einstellungen!$C$5),"Objekt fehlt",IF(YEAR(A4787)&lt;&gt;Einstellungen!$C$3,"anderes Jahr",IF(A4787&lt;INDEX(Mitarbeiter!$C$6:$C$205,MATCH(B4787,Mitarbeiter!$A$6:$A$205,0)),"vor Eintritt",IF(AND(INDEX(Mitarbeiter!$D$6:$D$205,MATCH(B4787,Mitarbeiter!$A$6:$A$205,0))&lt;&gt;"",A4787&gt;INDEX(Mitarbeiter!$D$6:$D$205,MATCH(B4787,Mitarbeiter!$A$6:$A$205,0))),"nach Austritt","ok")))))))</f>
        <v/>
      </c>
    </row>
    <row r="4788">
      <c r="A4788" s="26" t="n"/>
      <c r="B4788" s="24" t="n"/>
      <c r="C4788" s="40">
        <f>IF(B4788="","",IFERROR(INDEX(Mitarbeiter!$B$6:$B$205,MATCH(B4788,Mitarbeiter!$A$6:$A$205,0)),"?"))</f>
        <v/>
      </c>
      <c r="D4788" s="41" t="n"/>
      <c r="E4788" s="42" t="n"/>
      <c r="F4788" s="43" t="n"/>
      <c r="G4788" s="44">
        <f>IF(OR(B4788="",F4788=""),"",IFERROR(F4788*INDEX(Mitarbeiter!$F$6:$F$205,MATCH(B4788,Mitarbeiter!$A$6:$A$205,0)),0))</f>
        <v/>
      </c>
      <c r="H4788" s="8">
        <f>IF(B4788="","",IF(ISNA(MATCH(B4788,Mitarbeiter!$A$6:$A$205,0)),"Pers.-Nr. unbekannt",IF(A4788="","Datum fehlt",IF(AND(D4788&lt;&gt;Einstellungen!$C$4,D4788&lt;&gt;Einstellungen!$C$5),"Objekt fehlt",IF(YEAR(A4788)&lt;&gt;Einstellungen!$C$3,"anderes Jahr",IF(A4788&lt;INDEX(Mitarbeiter!$C$6:$C$205,MATCH(B4788,Mitarbeiter!$A$6:$A$205,0)),"vor Eintritt",IF(AND(INDEX(Mitarbeiter!$D$6:$D$205,MATCH(B4788,Mitarbeiter!$A$6:$A$205,0))&lt;&gt;"",A4788&gt;INDEX(Mitarbeiter!$D$6:$D$205,MATCH(B4788,Mitarbeiter!$A$6:$A$205,0))),"nach Austritt","ok")))))))</f>
        <v/>
      </c>
    </row>
    <row r="4789">
      <c r="A4789" s="26" t="n"/>
      <c r="B4789" s="24" t="n"/>
      <c r="C4789" s="40">
        <f>IF(B4789="","",IFERROR(INDEX(Mitarbeiter!$B$6:$B$205,MATCH(B4789,Mitarbeiter!$A$6:$A$205,0)),"?"))</f>
        <v/>
      </c>
      <c r="D4789" s="41" t="n"/>
      <c r="E4789" s="42" t="n"/>
      <c r="F4789" s="43" t="n"/>
      <c r="G4789" s="44">
        <f>IF(OR(B4789="",F4789=""),"",IFERROR(F4789*INDEX(Mitarbeiter!$F$6:$F$205,MATCH(B4789,Mitarbeiter!$A$6:$A$205,0)),0))</f>
        <v/>
      </c>
      <c r="H4789" s="8">
        <f>IF(B4789="","",IF(ISNA(MATCH(B4789,Mitarbeiter!$A$6:$A$205,0)),"Pers.-Nr. unbekannt",IF(A4789="","Datum fehlt",IF(AND(D4789&lt;&gt;Einstellungen!$C$4,D4789&lt;&gt;Einstellungen!$C$5),"Objekt fehlt",IF(YEAR(A4789)&lt;&gt;Einstellungen!$C$3,"anderes Jahr",IF(A4789&lt;INDEX(Mitarbeiter!$C$6:$C$205,MATCH(B4789,Mitarbeiter!$A$6:$A$205,0)),"vor Eintritt",IF(AND(INDEX(Mitarbeiter!$D$6:$D$205,MATCH(B4789,Mitarbeiter!$A$6:$A$205,0))&lt;&gt;"",A4789&gt;INDEX(Mitarbeiter!$D$6:$D$205,MATCH(B4789,Mitarbeiter!$A$6:$A$205,0))),"nach Austritt","ok")))))))</f>
        <v/>
      </c>
    </row>
    <row r="4790">
      <c r="A4790" s="26" t="n"/>
      <c r="B4790" s="24" t="n"/>
      <c r="C4790" s="40">
        <f>IF(B4790="","",IFERROR(INDEX(Mitarbeiter!$B$6:$B$205,MATCH(B4790,Mitarbeiter!$A$6:$A$205,0)),"?"))</f>
        <v/>
      </c>
      <c r="D4790" s="41" t="n"/>
      <c r="E4790" s="42" t="n"/>
      <c r="F4790" s="43" t="n"/>
      <c r="G4790" s="44">
        <f>IF(OR(B4790="",F4790=""),"",IFERROR(F4790*INDEX(Mitarbeiter!$F$6:$F$205,MATCH(B4790,Mitarbeiter!$A$6:$A$205,0)),0))</f>
        <v/>
      </c>
      <c r="H4790" s="8">
        <f>IF(B4790="","",IF(ISNA(MATCH(B4790,Mitarbeiter!$A$6:$A$205,0)),"Pers.-Nr. unbekannt",IF(A4790="","Datum fehlt",IF(AND(D4790&lt;&gt;Einstellungen!$C$4,D4790&lt;&gt;Einstellungen!$C$5),"Objekt fehlt",IF(YEAR(A4790)&lt;&gt;Einstellungen!$C$3,"anderes Jahr",IF(A4790&lt;INDEX(Mitarbeiter!$C$6:$C$205,MATCH(B4790,Mitarbeiter!$A$6:$A$205,0)),"vor Eintritt",IF(AND(INDEX(Mitarbeiter!$D$6:$D$205,MATCH(B4790,Mitarbeiter!$A$6:$A$205,0))&lt;&gt;"",A4790&gt;INDEX(Mitarbeiter!$D$6:$D$205,MATCH(B4790,Mitarbeiter!$A$6:$A$205,0))),"nach Austritt","ok")))))))</f>
        <v/>
      </c>
    </row>
    <row r="4791">
      <c r="A4791" s="26" t="n"/>
      <c r="B4791" s="24" t="n"/>
      <c r="C4791" s="40">
        <f>IF(B4791="","",IFERROR(INDEX(Mitarbeiter!$B$6:$B$205,MATCH(B4791,Mitarbeiter!$A$6:$A$205,0)),"?"))</f>
        <v/>
      </c>
      <c r="D4791" s="41" t="n"/>
      <c r="E4791" s="42" t="n"/>
      <c r="F4791" s="43" t="n"/>
      <c r="G4791" s="44">
        <f>IF(OR(B4791="",F4791=""),"",IFERROR(F4791*INDEX(Mitarbeiter!$F$6:$F$205,MATCH(B4791,Mitarbeiter!$A$6:$A$205,0)),0))</f>
        <v/>
      </c>
      <c r="H4791" s="8">
        <f>IF(B4791="","",IF(ISNA(MATCH(B4791,Mitarbeiter!$A$6:$A$205,0)),"Pers.-Nr. unbekannt",IF(A4791="","Datum fehlt",IF(AND(D4791&lt;&gt;Einstellungen!$C$4,D4791&lt;&gt;Einstellungen!$C$5),"Objekt fehlt",IF(YEAR(A4791)&lt;&gt;Einstellungen!$C$3,"anderes Jahr",IF(A4791&lt;INDEX(Mitarbeiter!$C$6:$C$205,MATCH(B4791,Mitarbeiter!$A$6:$A$205,0)),"vor Eintritt",IF(AND(INDEX(Mitarbeiter!$D$6:$D$205,MATCH(B4791,Mitarbeiter!$A$6:$A$205,0))&lt;&gt;"",A4791&gt;INDEX(Mitarbeiter!$D$6:$D$205,MATCH(B4791,Mitarbeiter!$A$6:$A$205,0))),"nach Austritt","ok")))))))</f>
        <v/>
      </c>
    </row>
    <row r="4792">
      <c r="A4792" s="26" t="n"/>
      <c r="B4792" s="24" t="n"/>
      <c r="C4792" s="40">
        <f>IF(B4792="","",IFERROR(INDEX(Mitarbeiter!$B$6:$B$205,MATCH(B4792,Mitarbeiter!$A$6:$A$205,0)),"?"))</f>
        <v/>
      </c>
      <c r="D4792" s="41" t="n"/>
      <c r="E4792" s="42" t="n"/>
      <c r="F4792" s="43" t="n"/>
      <c r="G4792" s="44">
        <f>IF(OR(B4792="",F4792=""),"",IFERROR(F4792*INDEX(Mitarbeiter!$F$6:$F$205,MATCH(B4792,Mitarbeiter!$A$6:$A$205,0)),0))</f>
        <v/>
      </c>
      <c r="H4792" s="8">
        <f>IF(B4792="","",IF(ISNA(MATCH(B4792,Mitarbeiter!$A$6:$A$205,0)),"Pers.-Nr. unbekannt",IF(A4792="","Datum fehlt",IF(AND(D4792&lt;&gt;Einstellungen!$C$4,D4792&lt;&gt;Einstellungen!$C$5),"Objekt fehlt",IF(YEAR(A4792)&lt;&gt;Einstellungen!$C$3,"anderes Jahr",IF(A4792&lt;INDEX(Mitarbeiter!$C$6:$C$205,MATCH(B4792,Mitarbeiter!$A$6:$A$205,0)),"vor Eintritt",IF(AND(INDEX(Mitarbeiter!$D$6:$D$205,MATCH(B4792,Mitarbeiter!$A$6:$A$205,0))&lt;&gt;"",A4792&gt;INDEX(Mitarbeiter!$D$6:$D$205,MATCH(B4792,Mitarbeiter!$A$6:$A$205,0))),"nach Austritt","ok")))))))</f>
        <v/>
      </c>
    </row>
    <row r="4793">
      <c r="A4793" s="26" t="n"/>
      <c r="B4793" s="24" t="n"/>
      <c r="C4793" s="40">
        <f>IF(B4793="","",IFERROR(INDEX(Mitarbeiter!$B$6:$B$205,MATCH(B4793,Mitarbeiter!$A$6:$A$205,0)),"?"))</f>
        <v/>
      </c>
      <c r="D4793" s="41" t="n"/>
      <c r="E4793" s="42" t="n"/>
      <c r="F4793" s="43" t="n"/>
      <c r="G4793" s="44">
        <f>IF(OR(B4793="",F4793=""),"",IFERROR(F4793*INDEX(Mitarbeiter!$F$6:$F$205,MATCH(B4793,Mitarbeiter!$A$6:$A$205,0)),0))</f>
        <v/>
      </c>
      <c r="H4793" s="8">
        <f>IF(B4793="","",IF(ISNA(MATCH(B4793,Mitarbeiter!$A$6:$A$205,0)),"Pers.-Nr. unbekannt",IF(A4793="","Datum fehlt",IF(AND(D4793&lt;&gt;Einstellungen!$C$4,D4793&lt;&gt;Einstellungen!$C$5),"Objekt fehlt",IF(YEAR(A4793)&lt;&gt;Einstellungen!$C$3,"anderes Jahr",IF(A4793&lt;INDEX(Mitarbeiter!$C$6:$C$205,MATCH(B4793,Mitarbeiter!$A$6:$A$205,0)),"vor Eintritt",IF(AND(INDEX(Mitarbeiter!$D$6:$D$205,MATCH(B4793,Mitarbeiter!$A$6:$A$205,0))&lt;&gt;"",A4793&gt;INDEX(Mitarbeiter!$D$6:$D$205,MATCH(B4793,Mitarbeiter!$A$6:$A$205,0))),"nach Austritt","ok")))))))</f>
        <v/>
      </c>
    </row>
    <row r="4794">
      <c r="A4794" s="26" t="n"/>
      <c r="B4794" s="24" t="n"/>
      <c r="C4794" s="40">
        <f>IF(B4794="","",IFERROR(INDEX(Mitarbeiter!$B$6:$B$205,MATCH(B4794,Mitarbeiter!$A$6:$A$205,0)),"?"))</f>
        <v/>
      </c>
      <c r="D4794" s="41" t="n"/>
      <c r="E4794" s="42" t="n"/>
      <c r="F4794" s="43" t="n"/>
      <c r="G4794" s="44">
        <f>IF(OR(B4794="",F4794=""),"",IFERROR(F4794*INDEX(Mitarbeiter!$F$6:$F$205,MATCH(B4794,Mitarbeiter!$A$6:$A$205,0)),0))</f>
        <v/>
      </c>
      <c r="H4794" s="8">
        <f>IF(B4794="","",IF(ISNA(MATCH(B4794,Mitarbeiter!$A$6:$A$205,0)),"Pers.-Nr. unbekannt",IF(A4794="","Datum fehlt",IF(AND(D4794&lt;&gt;Einstellungen!$C$4,D4794&lt;&gt;Einstellungen!$C$5),"Objekt fehlt",IF(YEAR(A4794)&lt;&gt;Einstellungen!$C$3,"anderes Jahr",IF(A4794&lt;INDEX(Mitarbeiter!$C$6:$C$205,MATCH(B4794,Mitarbeiter!$A$6:$A$205,0)),"vor Eintritt",IF(AND(INDEX(Mitarbeiter!$D$6:$D$205,MATCH(B4794,Mitarbeiter!$A$6:$A$205,0))&lt;&gt;"",A4794&gt;INDEX(Mitarbeiter!$D$6:$D$205,MATCH(B4794,Mitarbeiter!$A$6:$A$205,0))),"nach Austritt","ok")))))))</f>
        <v/>
      </c>
    </row>
    <row r="4795">
      <c r="A4795" s="26" t="n"/>
      <c r="B4795" s="24" t="n"/>
      <c r="C4795" s="40">
        <f>IF(B4795="","",IFERROR(INDEX(Mitarbeiter!$B$6:$B$205,MATCH(B4795,Mitarbeiter!$A$6:$A$205,0)),"?"))</f>
        <v/>
      </c>
      <c r="D4795" s="41" t="n"/>
      <c r="E4795" s="42" t="n"/>
      <c r="F4795" s="43" t="n"/>
      <c r="G4795" s="44">
        <f>IF(OR(B4795="",F4795=""),"",IFERROR(F4795*INDEX(Mitarbeiter!$F$6:$F$205,MATCH(B4795,Mitarbeiter!$A$6:$A$205,0)),0))</f>
        <v/>
      </c>
      <c r="H4795" s="8">
        <f>IF(B4795="","",IF(ISNA(MATCH(B4795,Mitarbeiter!$A$6:$A$205,0)),"Pers.-Nr. unbekannt",IF(A4795="","Datum fehlt",IF(AND(D4795&lt;&gt;Einstellungen!$C$4,D4795&lt;&gt;Einstellungen!$C$5),"Objekt fehlt",IF(YEAR(A4795)&lt;&gt;Einstellungen!$C$3,"anderes Jahr",IF(A4795&lt;INDEX(Mitarbeiter!$C$6:$C$205,MATCH(B4795,Mitarbeiter!$A$6:$A$205,0)),"vor Eintritt",IF(AND(INDEX(Mitarbeiter!$D$6:$D$205,MATCH(B4795,Mitarbeiter!$A$6:$A$205,0))&lt;&gt;"",A4795&gt;INDEX(Mitarbeiter!$D$6:$D$205,MATCH(B4795,Mitarbeiter!$A$6:$A$205,0))),"nach Austritt","ok")))))))</f>
        <v/>
      </c>
    </row>
    <row r="4796">
      <c r="A4796" s="26" t="n"/>
      <c r="B4796" s="24" t="n"/>
      <c r="C4796" s="40">
        <f>IF(B4796="","",IFERROR(INDEX(Mitarbeiter!$B$6:$B$205,MATCH(B4796,Mitarbeiter!$A$6:$A$205,0)),"?"))</f>
        <v/>
      </c>
      <c r="D4796" s="41" t="n"/>
      <c r="E4796" s="42" t="n"/>
      <c r="F4796" s="43" t="n"/>
      <c r="G4796" s="44">
        <f>IF(OR(B4796="",F4796=""),"",IFERROR(F4796*INDEX(Mitarbeiter!$F$6:$F$205,MATCH(B4796,Mitarbeiter!$A$6:$A$205,0)),0))</f>
        <v/>
      </c>
      <c r="H4796" s="8">
        <f>IF(B4796="","",IF(ISNA(MATCH(B4796,Mitarbeiter!$A$6:$A$205,0)),"Pers.-Nr. unbekannt",IF(A4796="","Datum fehlt",IF(AND(D4796&lt;&gt;Einstellungen!$C$4,D4796&lt;&gt;Einstellungen!$C$5),"Objekt fehlt",IF(YEAR(A4796)&lt;&gt;Einstellungen!$C$3,"anderes Jahr",IF(A4796&lt;INDEX(Mitarbeiter!$C$6:$C$205,MATCH(B4796,Mitarbeiter!$A$6:$A$205,0)),"vor Eintritt",IF(AND(INDEX(Mitarbeiter!$D$6:$D$205,MATCH(B4796,Mitarbeiter!$A$6:$A$205,0))&lt;&gt;"",A4796&gt;INDEX(Mitarbeiter!$D$6:$D$205,MATCH(B4796,Mitarbeiter!$A$6:$A$205,0))),"nach Austritt","ok")))))))</f>
        <v/>
      </c>
    </row>
    <row r="4797">
      <c r="A4797" s="26" t="n"/>
      <c r="B4797" s="24" t="n"/>
      <c r="C4797" s="40">
        <f>IF(B4797="","",IFERROR(INDEX(Mitarbeiter!$B$6:$B$205,MATCH(B4797,Mitarbeiter!$A$6:$A$205,0)),"?"))</f>
        <v/>
      </c>
      <c r="D4797" s="41" t="n"/>
      <c r="E4797" s="42" t="n"/>
      <c r="F4797" s="43" t="n"/>
      <c r="G4797" s="44">
        <f>IF(OR(B4797="",F4797=""),"",IFERROR(F4797*INDEX(Mitarbeiter!$F$6:$F$205,MATCH(B4797,Mitarbeiter!$A$6:$A$205,0)),0))</f>
        <v/>
      </c>
      <c r="H4797" s="8">
        <f>IF(B4797="","",IF(ISNA(MATCH(B4797,Mitarbeiter!$A$6:$A$205,0)),"Pers.-Nr. unbekannt",IF(A4797="","Datum fehlt",IF(AND(D4797&lt;&gt;Einstellungen!$C$4,D4797&lt;&gt;Einstellungen!$C$5),"Objekt fehlt",IF(YEAR(A4797)&lt;&gt;Einstellungen!$C$3,"anderes Jahr",IF(A4797&lt;INDEX(Mitarbeiter!$C$6:$C$205,MATCH(B4797,Mitarbeiter!$A$6:$A$205,0)),"vor Eintritt",IF(AND(INDEX(Mitarbeiter!$D$6:$D$205,MATCH(B4797,Mitarbeiter!$A$6:$A$205,0))&lt;&gt;"",A4797&gt;INDEX(Mitarbeiter!$D$6:$D$205,MATCH(B4797,Mitarbeiter!$A$6:$A$205,0))),"nach Austritt","ok")))))))</f>
        <v/>
      </c>
    </row>
    <row r="4798">
      <c r="A4798" s="26" t="n"/>
      <c r="B4798" s="24" t="n"/>
      <c r="C4798" s="40">
        <f>IF(B4798="","",IFERROR(INDEX(Mitarbeiter!$B$6:$B$205,MATCH(B4798,Mitarbeiter!$A$6:$A$205,0)),"?"))</f>
        <v/>
      </c>
      <c r="D4798" s="41" t="n"/>
      <c r="E4798" s="42" t="n"/>
      <c r="F4798" s="43" t="n"/>
      <c r="G4798" s="44">
        <f>IF(OR(B4798="",F4798=""),"",IFERROR(F4798*INDEX(Mitarbeiter!$F$6:$F$205,MATCH(B4798,Mitarbeiter!$A$6:$A$205,0)),0))</f>
        <v/>
      </c>
      <c r="H4798" s="8">
        <f>IF(B4798="","",IF(ISNA(MATCH(B4798,Mitarbeiter!$A$6:$A$205,0)),"Pers.-Nr. unbekannt",IF(A4798="","Datum fehlt",IF(AND(D4798&lt;&gt;Einstellungen!$C$4,D4798&lt;&gt;Einstellungen!$C$5),"Objekt fehlt",IF(YEAR(A4798)&lt;&gt;Einstellungen!$C$3,"anderes Jahr",IF(A4798&lt;INDEX(Mitarbeiter!$C$6:$C$205,MATCH(B4798,Mitarbeiter!$A$6:$A$205,0)),"vor Eintritt",IF(AND(INDEX(Mitarbeiter!$D$6:$D$205,MATCH(B4798,Mitarbeiter!$A$6:$A$205,0))&lt;&gt;"",A4798&gt;INDEX(Mitarbeiter!$D$6:$D$205,MATCH(B4798,Mitarbeiter!$A$6:$A$205,0))),"nach Austritt","ok")))))))</f>
        <v/>
      </c>
    </row>
    <row r="4799">
      <c r="A4799" s="26" t="n"/>
      <c r="B4799" s="24" t="n"/>
      <c r="C4799" s="40">
        <f>IF(B4799="","",IFERROR(INDEX(Mitarbeiter!$B$6:$B$205,MATCH(B4799,Mitarbeiter!$A$6:$A$205,0)),"?"))</f>
        <v/>
      </c>
      <c r="D4799" s="41" t="n"/>
      <c r="E4799" s="42" t="n"/>
      <c r="F4799" s="43" t="n"/>
      <c r="G4799" s="44">
        <f>IF(OR(B4799="",F4799=""),"",IFERROR(F4799*INDEX(Mitarbeiter!$F$6:$F$205,MATCH(B4799,Mitarbeiter!$A$6:$A$205,0)),0))</f>
        <v/>
      </c>
      <c r="H4799" s="8">
        <f>IF(B4799="","",IF(ISNA(MATCH(B4799,Mitarbeiter!$A$6:$A$205,0)),"Pers.-Nr. unbekannt",IF(A4799="","Datum fehlt",IF(AND(D4799&lt;&gt;Einstellungen!$C$4,D4799&lt;&gt;Einstellungen!$C$5),"Objekt fehlt",IF(YEAR(A4799)&lt;&gt;Einstellungen!$C$3,"anderes Jahr",IF(A4799&lt;INDEX(Mitarbeiter!$C$6:$C$205,MATCH(B4799,Mitarbeiter!$A$6:$A$205,0)),"vor Eintritt",IF(AND(INDEX(Mitarbeiter!$D$6:$D$205,MATCH(B4799,Mitarbeiter!$A$6:$A$205,0))&lt;&gt;"",A4799&gt;INDEX(Mitarbeiter!$D$6:$D$205,MATCH(B4799,Mitarbeiter!$A$6:$A$205,0))),"nach Austritt","ok")))))))</f>
        <v/>
      </c>
    </row>
    <row r="4800">
      <c r="A4800" s="26" t="n"/>
      <c r="B4800" s="24" t="n"/>
      <c r="C4800" s="40">
        <f>IF(B4800="","",IFERROR(INDEX(Mitarbeiter!$B$6:$B$205,MATCH(B4800,Mitarbeiter!$A$6:$A$205,0)),"?"))</f>
        <v/>
      </c>
      <c r="D4800" s="41" t="n"/>
      <c r="E4800" s="42" t="n"/>
      <c r="F4800" s="43" t="n"/>
      <c r="G4800" s="44">
        <f>IF(OR(B4800="",F4800=""),"",IFERROR(F4800*INDEX(Mitarbeiter!$F$6:$F$205,MATCH(B4800,Mitarbeiter!$A$6:$A$205,0)),0))</f>
        <v/>
      </c>
      <c r="H4800" s="8">
        <f>IF(B4800="","",IF(ISNA(MATCH(B4800,Mitarbeiter!$A$6:$A$205,0)),"Pers.-Nr. unbekannt",IF(A4800="","Datum fehlt",IF(AND(D4800&lt;&gt;Einstellungen!$C$4,D4800&lt;&gt;Einstellungen!$C$5),"Objekt fehlt",IF(YEAR(A4800)&lt;&gt;Einstellungen!$C$3,"anderes Jahr",IF(A4800&lt;INDEX(Mitarbeiter!$C$6:$C$205,MATCH(B4800,Mitarbeiter!$A$6:$A$205,0)),"vor Eintritt",IF(AND(INDEX(Mitarbeiter!$D$6:$D$205,MATCH(B4800,Mitarbeiter!$A$6:$A$205,0))&lt;&gt;"",A4800&gt;INDEX(Mitarbeiter!$D$6:$D$205,MATCH(B4800,Mitarbeiter!$A$6:$A$205,0))),"nach Austritt","ok")))))))</f>
        <v/>
      </c>
    </row>
    <row r="4801">
      <c r="A4801" s="26" t="n"/>
      <c r="B4801" s="24" t="n"/>
      <c r="C4801" s="40">
        <f>IF(B4801="","",IFERROR(INDEX(Mitarbeiter!$B$6:$B$205,MATCH(B4801,Mitarbeiter!$A$6:$A$205,0)),"?"))</f>
        <v/>
      </c>
      <c r="D4801" s="41" t="n"/>
      <c r="E4801" s="42" t="n"/>
      <c r="F4801" s="43" t="n"/>
      <c r="G4801" s="44">
        <f>IF(OR(B4801="",F4801=""),"",IFERROR(F4801*INDEX(Mitarbeiter!$F$6:$F$205,MATCH(B4801,Mitarbeiter!$A$6:$A$205,0)),0))</f>
        <v/>
      </c>
      <c r="H4801" s="8">
        <f>IF(B4801="","",IF(ISNA(MATCH(B4801,Mitarbeiter!$A$6:$A$205,0)),"Pers.-Nr. unbekannt",IF(A4801="","Datum fehlt",IF(AND(D4801&lt;&gt;Einstellungen!$C$4,D4801&lt;&gt;Einstellungen!$C$5),"Objekt fehlt",IF(YEAR(A4801)&lt;&gt;Einstellungen!$C$3,"anderes Jahr",IF(A4801&lt;INDEX(Mitarbeiter!$C$6:$C$205,MATCH(B4801,Mitarbeiter!$A$6:$A$205,0)),"vor Eintritt",IF(AND(INDEX(Mitarbeiter!$D$6:$D$205,MATCH(B4801,Mitarbeiter!$A$6:$A$205,0))&lt;&gt;"",A4801&gt;INDEX(Mitarbeiter!$D$6:$D$205,MATCH(B4801,Mitarbeiter!$A$6:$A$205,0))),"nach Austritt","ok")))))))</f>
        <v/>
      </c>
    </row>
    <row r="4802">
      <c r="A4802" s="26" t="n"/>
      <c r="B4802" s="24" t="n"/>
      <c r="C4802" s="40">
        <f>IF(B4802="","",IFERROR(INDEX(Mitarbeiter!$B$6:$B$205,MATCH(B4802,Mitarbeiter!$A$6:$A$205,0)),"?"))</f>
        <v/>
      </c>
      <c r="D4802" s="41" t="n"/>
      <c r="E4802" s="42" t="n"/>
      <c r="F4802" s="43" t="n"/>
      <c r="G4802" s="44">
        <f>IF(OR(B4802="",F4802=""),"",IFERROR(F4802*INDEX(Mitarbeiter!$F$6:$F$205,MATCH(B4802,Mitarbeiter!$A$6:$A$205,0)),0))</f>
        <v/>
      </c>
      <c r="H4802" s="8">
        <f>IF(B4802="","",IF(ISNA(MATCH(B4802,Mitarbeiter!$A$6:$A$205,0)),"Pers.-Nr. unbekannt",IF(A4802="","Datum fehlt",IF(AND(D4802&lt;&gt;Einstellungen!$C$4,D4802&lt;&gt;Einstellungen!$C$5),"Objekt fehlt",IF(YEAR(A4802)&lt;&gt;Einstellungen!$C$3,"anderes Jahr",IF(A4802&lt;INDEX(Mitarbeiter!$C$6:$C$205,MATCH(B4802,Mitarbeiter!$A$6:$A$205,0)),"vor Eintritt",IF(AND(INDEX(Mitarbeiter!$D$6:$D$205,MATCH(B4802,Mitarbeiter!$A$6:$A$205,0))&lt;&gt;"",A4802&gt;INDEX(Mitarbeiter!$D$6:$D$205,MATCH(B4802,Mitarbeiter!$A$6:$A$205,0))),"nach Austritt","ok")))))))</f>
        <v/>
      </c>
    </row>
    <row r="4803">
      <c r="A4803" s="26" t="n"/>
      <c r="B4803" s="24" t="n"/>
      <c r="C4803" s="40">
        <f>IF(B4803="","",IFERROR(INDEX(Mitarbeiter!$B$6:$B$205,MATCH(B4803,Mitarbeiter!$A$6:$A$205,0)),"?"))</f>
        <v/>
      </c>
      <c r="D4803" s="41" t="n"/>
      <c r="E4803" s="42" t="n"/>
      <c r="F4803" s="43" t="n"/>
      <c r="G4803" s="44">
        <f>IF(OR(B4803="",F4803=""),"",IFERROR(F4803*INDEX(Mitarbeiter!$F$6:$F$205,MATCH(B4803,Mitarbeiter!$A$6:$A$205,0)),0))</f>
        <v/>
      </c>
      <c r="H4803" s="8">
        <f>IF(B4803="","",IF(ISNA(MATCH(B4803,Mitarbeiter!$A$6:$A$205,0)),"Pers.-Nr. unbekannt",IF(A4803="","Datum fehlt",IF(AND(D4803&lt;&gt;Einstellungen!$C$4,D4803&lt;&gt;Einstellungen!$C$5),"Objekt fehlt",IF(YEAR(A4803)&lt;&gt;Einstellungen!$C$3,"anderes Jahr",IF(A4803&lt;INDEX(Mitarbeiter!$C$6:$C$205,MATCH(B4803,Mitarbeiter!$A$6:$A$205,0)),"vor Eintritt",IF(AND(INDEX(Mitarbeiter!$D$6:$D$205,MATCH(B4803,Mitarbeiter!$A$6:$A$205,0))&lt;&gt;"",A4803&gt;INDEX(Mitarbeiter!$D$6:$D$205,MATCH(B4803,Mitarbeiter!$A$6:$A$205,0))),"nach Austritt","ok")))))))</f>
        <v/>
      </c>
    </row>
    <row r="4804">
      <c r="A4804" s="26" t="n"/>
      <c r="B4804" s="24" t="n"/>
      <c r="C4804" s="40">
        <f>IF(B4804="","",IFERROR(INDEX(Mitarbeiter!$B$6:$B$205,MATCH(B4804,Mitarbeiter!$A$6:$A$205,0)),"?"))</f>
        <v/>
      </c>
      <c r="D4804" s="41" t="n"/>
      <c r="E4804" s="42" t="n"/>
      <c r="F4804" s="43" t="n"/>
      <c r="G4804" s="44">
        <f>IF(OR(B4804="",F4804=""),"",IFERROR(F4804*INDEX(Mitarbeiter!$F$6:$F$205,MATCH(B4804,Mitarbeiter!$A$6:$A$205,0)),0))</f>
        <v/>
      </c>
      <c r="H4804" s="8">
        <f>IF(B4804="","",IF(ISNA(MATCH(B4804,Mitarbeiter!$A$6:$A$205,0)),"Pers.-Nr. unbekannt",IF(A4804="","Datum fehlt",IF(AND(D4804&lt;&gt;Einstellungen!$C$4,D4804&lt;&gt;Einstellungen!$C$5),"Objekt fehlt",IF(YEAR(A4804)&lt;&gt;Einstellungen!$C$3,"anderes Jahr",IF(A4804&lt;INDEX(Mitarbeiter!$C$6:$C$205,MATCH(B4804,Mitarbeiter!$A$6:$A$205,0)),"vor Eintritt",IF(AND(INDEX(Mitarbeiter!$D$6:$D$205,MATCH(B4804,Mitarbeiter!$A$6:$A$205,0))&lt;&gt;"",A4804&gt;INDEX(Mitarbeiter!$D$6:$D$205,MATCH(B4804,Mitarbeiter!$A$6:$A$205,0))),"nach Austritt","ok")))))))</f>
        <v/>
      </c>
    </row>
    <row r="4805">
      <c r="A4805" s="26" t="n"/>
      <c r="B4805" s="24" t="n"/>
      <c r="C4805" s="40">
        <f>IF(B4805="","",IFERROR(INDEX(Mitarbeiter!$B$6:$B$205,MATCH(B4805,Mitarbeiter!$A$6:$A$205,0)),"?"))</f>
        <v/>
      </c>
      <c r="D4805" s="41" t="n"/>
      <c r="E4805" s="42" t="n"/>
      <c r="F4805" s="43" t="n"/>
      <c r="G4805" s="44">
        <f>IF(OR(B4805="",F4805=""),"",IFERROR(F4805*INDEX(Mitarbeiter!$F$6:$F$205,MATCH(B4805,Mitarbeiter!$A$6:$A$205,0)),0))</f>
        <v/>
      </c>
      <c r="H4805" s="8">
        <f>IF(B4805="","",IF(ISNA(MATCH(B4805,Mitarbeiter!$A$6:$A$205,0)),"Pers.-Nr. unbekannt",IF(A4805="","Datum fehlt",IF(AND(D4805&lt;&gt;Einstellungen!$C$4,D4805&lt;&gt;Einstellungen!$C$5),"Objekt fehlt",IF(YEAR(A4805)&lt;&gt;Einstellungen!$C$3,"anderes Jahr",IF(A4805&lt;INDEX(Mitarbeiter!$C$6:$C$205,MATCH(B4805,Mitarbeiter!$A$6:$A$205,0)),"vor Eintritt",IF(AND(INDEX(Mitarbeiter!$D$6:$D$205,MATCH(B4805,Mitarbeiter!$A$6:$A$205,0))&lt;&gt;"",A4805&gt;INDEX(Mitarbeiter!$D$6:$D$205,MATCH(B4805,Mitarbeiter!$A$6:$A$205,0))),"nach Austritt","ok")))))))</f>
        <v/>
      </c>
    </row>
    <row r="4806">
      <c r="A4806" s="26" t="n"/>
      <c r="B4806" s="24" t="n"/>
      <c r="C4806" s="40">
        <f>IF(B4806="","",IFERROR(INDEX(Mitarbeiter!$B$6:$B$205,MATCH(B4806,Mitarbeiter!$A$6:$A$205,0)),"?"))</f>
        <v/>
      </c>
      <c r="D4806" s="41" t="n"/>
      <c r="E4806" s="42" t="n"/>
      <c r="F4806" s="43" t="n"/>
      <c r="G4806" s="44">
        <f>IF(OR(B4806="",F4806=""),"",IFERROR(F4806*INDEX(Mitarbeiter!$F$6:$F$205,MATCH(B4806,Mitarbeiter!$A$6:$A$205,0)),0))</f>
        <v/>
      </c>
      <c r="H4806" s="8">
        <f>IF(B4806="","",IF(ISNA(MATCH(B4806,Mitarbeiter!$A$6:$A$205,0)),"Pers.-Nr. unbekannt",IF(A4806="","Datum fehlt",IF(AND(D4806&lt;&gt;Einstellungen!$C$4,D4806&lt;&gt;Einstellungen!$C$5),"Objekt fehlt",IF(YEAR(A4806)&lt;&gt;Einstellungen!$C$3,"anderes Jahr",IF(A4806&lt;INDEX(Mitarbeiter!$C$6:$C$205,MATCH(B4806,Mitarbeiter!$A$6:$A$205,0)),"vor Eintritt",IF(AND(INDEX(Mitarbeiter!$D$6:$D$205,MATCH(B4806,Mitarbeiter!$A$6:$A$205,0))&lt;&gt;"",A4806&gt;INDEX(Mitarbeiter!$D$6:$D$205,MATCH(B4806,Mitarbeiter!$A$6:$A$205,0))),"nach Austritt","ok")))))))</f>
        <v/>
      </c>
    </row>
    <row r="4807">
      <c r="A4807" s="26" t="n"/>
      <c r="B4807" s="24" t="n"/>
      <c r="C4807" s="40">
        <f>IF(B4807="","",IFERROR(INDEX(Mitarbeiter!$B$6:$B$205,MATCH(B4807,Mitarbeiter!$A$6:$A$205,0)),"?"))</f>
        <v/>
      </c>
      <c r="D4807" s="41" t="n"/>
      <c r="E4807" s="42" t="n"/>
      <c r="F4807" s="43" t="n"/>
      <c r="G4807" s="44">
        <f>IF(OR(B4807="",F4807=""),"",IFERROR(F4807*INDEX(Mitarbeiter!$F$6:$F$205,MATCH(B4807,Mitarbeiter!$A$6:$A$205,0)),0))</f>
        <v/>
      </c>
      <c r="H4807" s="8">
        <f>IF(B4807="","",IF(ISNA(MATCH(B4807,Mitarbeiter!$A$6:$A$205,0)),"Pers.-Nr. unbekannt",IF(A4807="","Datum fehlt",IF(AND(D4807&lt;&gt;Einstellungen!$C$4,D4807&lt;&gt;Einstellungen!$C$5),"Objekt fehlt",IF(YEAR(A4807)&lt;&gt;Einstellungen!$C$3,"anderes Jahr",IF(A4807&lt;INDEX(Mitarbeiter!$C$6:$C$205,MATCH(B4807,Mitarbeiter!$A$6:$A$205,0)),"vor Eintritt",IF(AND(INDEX(Mitarbeiter!$D$6:$D$205,MATCH(B4807,Mitarbeiter!$A$6:$A$205,0))&lt;&gt;"",A4807&gt;INDEX(Mitarbeiter!$D$6:$D$205,MATCH(B4807,Mitarbeiter!$A$6:$A$205,0))),"nach Austritt","ok")))))))</f>
        <v/>
      </c>
    </row>
    <row r="4808">
      <c r="A4808" s="26" t="n"/>
      <c r="B4808" s="24" t="n"/>
      <c r="C4808" s="40">
        <f>IF(B4808="","",IFERROR(INDEX(Mitarbeiter!$B$6:$B$205,MATCH(B4808,Mitarbeiter!$A$6:$A$205,0)),"?"))</f>
        <v/>
      </c>
      <c r="D4808" s="41" t="n"/>
      <c r="E4808" s="42" t="n"/>
      <c r="F4808" s="43" t="n"/>
      <c r="G4808" s="44">
        <f>IF(OR(B4808="",F4808=""),"",IFERROR(F4808*INDEX(Mitarbeiter!$F$6:$F$205,MATCH(B4808,Mitarbeiter!$A$6:$A$205,0)),0))</f>
        <v/>
      </c>
      <c r="H4808" s="8">
        <f>IF(B4808="","",IF(ISNA(MATCH(B4808,Mitarbeiter!$A$6:$A$205,0)),"Pers.-Nr. unbekannt",IF(A4808="","Datum fehlt",IF(AND(D4808&lt;&gt;Einstellungen!$C$4,D4808&lt;&gt;Einstellungen!$C$5),"Objekt fehlt",IF(YEAR(A4808)&lt;&gt;Einstellungen!$C$3,"anderes Jahr",IF(A4808&lt;INDEX(Mitarbeiter!$C$6:$C$205,MATCH(B4808,Mitarbeiter!$A$6:$A$205,0)),"vor Eintritt",IF(AND(INDEX(Mitarbeiter!$D$6:$D$205,MATCH(B4808,Mitarbeiter!$A$6:$A$205,0))&lt;&gt;"",A4808&gt;INDEX(Mitarbeiter!$D$6:$D$205,MATCH(B4808,Mitarbeiter!$A$6:$A$205,0))),"nach Austritt","ok")))))))</f>
        <v/>
      </c>
    </row>
    <row r="4809">
      <c r="A4809" s="26" t="n"/>
      <c r="B4809" s="24" t="n"/>
      <c r="C4809" s="40">
        <f>IF(B4809="","",IFERROR(INDEX(Mitarbeiter!$B$6:$B$205,MATCH(B4809,Mitarbeiter!$A$6:$A$205,0)),"?"))</f>
        <v/>
      </c>
      <c r="D4809" s="41" t="n"/>
      <c r="E4809" s="42" t="n"/>
      <c r="F4809" s="43" t="n"/>
      <c r="G4809" s="44">
        <f>IF(OR(B4809="",F4809=""),"",IFERROR(F4809*INDEX(Mitarbeiter!$F$6:$F$205,MATCH(B4809,Mitarbeiter!$A$6:$A$205,0)),0))</f>
        <v/>
      </c>
      <c r="H4809" s="8">
        <f>IF(B4809="","",IF(ISNA(MATCH(B4809,Mitarbeiter!$A$6:$A$205,0)),"Pers.-Nr. unbekannt",IF(A4809="","Datum fehlt",IF(AND(D4809&lt;&gt;Einstellungen!$C$4,D4809&lt;&gt;Einstellungen!$C$5),"Objekt fehlt",IF(YEAR(A4809)&lt;&gt;Einstellungen!$C$3,"anderes Jahr",IF(A4809&lt;INDEX(Mitarbeiter!$C$6:$C$205,MATCH(B4809,Mitarbeiter!$A$6:$A$205,0)),"vor Eintritt",IF(AND(INDEX(Mitarbeiter!$D$6:$D$205,MATCH(B4809,Mitarbeiter!$A$6:$A$205,0))&lt;&gt;"",A4809&gt;INDEX(Mitarbeiter!$D$6:$D$205,MATCH(B4809,Mitarbeiter!$A$6:$A$205,0))),"nach Austritt","ok")))))))</f>
        <v/>
      </c>
    </row>
    <row r="4810">
      <c r="A4810" s="26" t="n"/>
      <c r="B4810" s="24" t="n"/>
      <c r="C4810" s="40">
        <f>IF(B4810="","",IFERROR(INDEX(Mitarbeiter!$B$6:$B$205,MATCH(B4810,Mitarbeiter!$A$6:$A$205,0)),"?"))</f>
        <v/>
      </c>
      <c r="D4810" s="41" t="n"/>
      <c r="E4810" s="42" t="n"/>
      <c r="F4810" s="43" t="n"/>
      <c r="G4810" s="44">
        <f>IF(OR(B4810="",F4810=""),"",IFERROR(F4810*INDEX(Mitarbeiter!$F$6:$F$205,MATCH(B4810,Mitarbeiter!$A$6:$A$205,0)),0))</f>
        <v/>
      </c>
      <c r="H4810" s="8">
        <f>IF(B4810="","",IF(ISNA(MATCH(B4810,Mitarbeiter!$A$6:$A$205,0)),"Pers.-Nr. unbekannt",IF(A4810="","Datum fehlt",IF(AND(D4810&lt;&gt;Einstellungen!$C$4,D4810&lt;&gt;Einstellungen!$C$5),"Objekt fehlt",IF(YEAR(A4810)&lt;&gt;Einstellungen!$C$3,"anderes Jahr",IF(A4810&lt;INDEX(Mitarbeiter!$C$6:$C$205,MATCH(B4810,Mitarbeiter!$A$6:$A$205,0)),"vor Eintritt",IF(AND(INDEX(Mitarbeiter!$D$6:$D$205,MATCH(B4810,Mitarbeiter!$A$6:$A$205,0))&lt;&gt;"",A4810&gt;INDEX(Mitarbeiter!$D$6:$D$205,MATCH(B4810,Mitarbeiter!$A$6:$A$205,0))),"nach Austritt","ok")))))))</f>
        <v/>
      </c>
    </row>
    <row r="4811">
      <c r="A4811" s="26" t="n"/>
      <c r="B4811" s="24" t="n"/>
      <c r="C4811" s="40">
        <f>IF(B4811="","",IFERROR(INDEX(Mitarbeiter!$B$6:$B$205,MATCH(B4811,Mitarbeiter!$A$6:$A$205,0)),"?"))</f>
        <v/>
      </c>
      <c r="D4811" s="41" t="n"/>
      <c r="E4811" s="42" t="n"/>
      <c r="F4811" s="43" t="n"/>
      <c r="G4811" s="44">
        <f>IF(OR(B4811="",F4811=""),"",IFERROR(F4811*INDEX(Mitarbeiter!$F$6:$F$205,MATCH(B4811,Mitarbeiter!$A$6:$A$205,0)),0))</f>
        <v/>
      </c>
      <c r="H4811" s="8">
        <f>IF(B4811="","",IF(ISNA(MATCH(B4811,Mitarbeiter!$A$6:$A$205,0)),"Pers.-Nr. unbekannt",IF(A4811="","Datum fehlt",IF(AND(D4811&lt;&gt;Einstellungen!$C$4,D4811&lt;&gt;Einstellungen!$C$5),"Objekt fehlt",IF(YEAR(A4811)&lt;&gt;Einstellungen!$C$3,"anderes Jahr",IF(A4811&lt;INDEX(Mitarbeiter!$C$6:$C$205,MATCH(B4811,Mitarbeiter!$A$6:$A$205,0)),"vor Eintritt",IF(AND(INDEX(Mitarbeiter!$D$6:$D$205,MATCH(B4811,Mitarbeiter!$A$6:$A$205,0))&lt;&gt;"",A4811&gt;INDEX(Mitarbeiter!$D$6:$D$205,MATCH(B4811,Mitarbeiter!$A$6:$A$205,0))),"nach Austritt","ok")))))))</f>
        <v/>
      </c>
    </row>
    <row r="4812">
      <c r="A4812" s="26" t="n"/>
      <c r="B4812" s="24" t="n"/>
      <c r="C4812" s="40">
        <f>IF(B4812="","",IFERROR(INDEX(Mitarbeiter!$B$6:$B$205,MATCH(B4812,Mitarbeiter!$A$6:$A$205,0)),"?"))</f>
        <v/>
      </c>
      <c r="D4812" s="41" t="n"/>
      <c r="E4812" s="42" t="n"/>
      <c r="F4812" s="43" t="n"/>
      <c r="G4812" s="44">
        <f>IF(OR(B4812="",F4812=""),"",IFERROR(F4812*INDEX(Mitarbeiter!$F$6:$F$205,MATCH(B4812,Mitarbeiter!$A$6:$A$205,0)),0))</f>
        <v/>
      </c>
      <c r="H4812" s="8">
        <f>IF(B4812="","",IF(ISNA(MATCH(B4812,Mitarbeiter!$A$6:$A$205,0)),"Pers.-Nr. unbekannt",IF(A4812="","Datum fehlt",IF(AND(D4812&lt;&gt;Einstellungen!$C$4,D4812&lt;&gt;Einstellungen!$C$5),"Objekt fehlt",IF(YEAR(A4812)&lt;&gt;Einstellungen!$C$3,"anderes Jahr",IF(A4812&lt;INDEX(Mitarbeiter!$C$6:$C$205,MATCH(B4812,Mitarbeiter!$A$6:$A$205,0)),"vor Eintritt",IF(AND(INDEX(Mitarbeiter!$D$6:$D$205,MATCH(B4812,Mitarbeiter!$A$6:$A$205,0))&lt;&gt;"",A4812&gt;INDEX(Mitarbeiter!$D$6:$D$205,MATCH(B4812,Mitarbeiter!$A$6:$A$205,0))),"nach Austritt","ok")))))))</f>
        <v/>
      </c>
    </row>
    <row r="4813">
      <c r="A4813" s="26" t="n"/>
      <c r="B4813" s="24" t="n"/>
      <c r="C4813" s="40">
        <f>IF(B4813="","",IFERROR(INDEX(Mitarbeiter!$B$6:$B$205,MATCH(B4813,Mitarbeiter!$A$6:$A$205,0)),"?"))</f>
        <v/>
      </c>
      <c r="D4813" s="41" t="n"/>
      <c r="E4813" s="42" t="n"/>
      <c r="F4813" s="43" t="n"/>
      <c r="G4813" s="44">
        <f>IF(OR(B4813="",F4813=""),"",IFERROR(F4813*INDEX(Mitarbeiter!$F$6:$F$205,MATCH(B4813,Mitarbeiter!$A$6:$A$205,0)),0))</f>
        <v/>
      </c>
      <c r="H4813" s="8">
        <f>IF(B4813="","",IF(ISNA(MATCH(B4813,Mitarbeiter!$A$6:$A$205,0)),"Pers.-Nr. unbekannt",IF(A4813="","Datum fehlt",IF(AND(D4813&lt;&gt;Einstellungen!$C$4,D4813&lt;&gt;Einstellungen!$C$5),"Objekt fehlt",IF(YEAR(A4813)&lt;&gt;Einstellungen!$C$3,"anderes Jahr",IF(A4813&lt;INDEX(Mitarbeiter!$C$6:$C$205,MATCH(B4813,Mitarbeiter!$A$6:$A$205,0)),"vor Eintritt",IF(AND(INDEX(Mitarbeiter!$D$6:$D$205,MATCH(B4813,Mitarbeiter!$A$6:$A$205,0))&lt;&gt;"",A4813&gt;INDEX(Mitarbeiter!$D$6:$D$205,MATCH(B4813,Mitarbeiter!$A$6:$A$205,0))),"nach Austritt","ok")))))))</f>
        <v/>
      </c>
    </row>
    <row r="4814">
      <c r="A4814" s="26" t="n"/>
      <c r="B4814" s="24" t="n"/>
      <c r="C4814" s="40">
        <f>IF(B4814="","",IFERROR(INDEX(Mitarbeiter!$B$6:$B$205,MATCH(B4814,Mitarbeiter!$A$6:$A$205,0)),"?"))</f>
        <v/>
      </c>
      <c r="D4814" s="41" t="n"/>
      <c r="E4814" s="42" t="n"/>
      <c r="F4814" s="43" t="n"/>
      <c r="G4814" s="44">
        <f>IF(OR(B4814="",F4814=""),"",IFERROR(F4814*INDEX(Mitarbeiter!$F$6:$F$205,MATCH(B4814,Mitarbeiter!$A$6:$A$205,0)),0))</f>
        <v/>
      </c>
      <c r="H4814" s="8">
        <f>IF(B4814="","",IF(ISNA(MATCH(B4814,Mitarbeiter!$A$6:$A$205,0)),"Pers.-Nr. unbekannt",IF(A4814="","Datum fehlt",IF(AND(D4814&lt;&gt;Einstellungen!$C$4,D4814&lt;&gt;Einstellungen!$C$5),"Objekt fehlt",IF(YEAR(A4814)&lt;&gt;Einstellungen!$C$3,"anderes Jahr",IF(A4814&lt;INDEX(Mitarbeiter!$C$6:$C$205,MATCH(B4814,Mitarbeiter!$A$6:$A$205,0)),"vor Eintritt",IF(AND(INDEX(Mitarbeiter!$D$6:$D$205,MATCH(B4814,Mitarbeiter!$A$6:$A$205,0))&lt;&gt;"",A4814&gt;INDEX(Mitarbeiter!$D$6:$D$205,MATCH(B4814,Mitarbeiter!$A$6:$A$205,0))),"nach Austritt","ok")))))))</f>
        <v/>
      </c>
    </row>
    <row r="4815">
      <c r="A4815" s="26" t="n"/>
      <c r="B4815" s="24" t="n"/>
      <c r="C4815" s="40">
        <f>IF(B4815="","",IFERROR(INDEX(Mitarbeiter!$B$6:$B$205,MATCH(B4815,Mitarbeiter!$A$6:$A$205,0)),"?"))</f>
        <v/>
      </c>
      <c r="D4815" s="41" t="n"/>
      <c r="E4815" s="42" t="n"/>
      <c r="F4815" s="43" t="n"/>
      <c r="G4815" s="44">
        <f>IF(OR(B4815="",F4815=""),"",IFERROR(F4815*INDEX(Mitarbeiter!$F$6:$F$205,MATCH(B4815,Mitarbeiter!$A$6:$A$205,0)),0))</f>
        <v/>
      </c>
      <c r="H4815" s="8">
        <f>IF(B4815="","",IF(ISNA(MATCH(B4815,Mitarbeiter!$A$6:$A$205,0)),"Pers.-Nr. unbekannt",IF(A4815="","Datum fehlt",IF(AND(D4815&lt;&gt;Einstellungen!$C$4,D4815&lt;&gt;Einstellungen!$C$5),"Objekt fehlt",IF(YEAR(A4815)&lt;&gt;Einstellungen!$C$3,"anderes Jahr",IF(A4815&lt;INDEX(Mitarbeiter!$C$6:$C$205,MATCH(B4815,Mitarbeiter!$A$6:$A$205,0)),"vor Eintritt",IF(AND(INDEX(Mitarbeiter!$D$6:$D$205,MATCH(B4815,Mitarbeiter!$A$6:$A$205,0))&lt;&gt;"",A4815&gt;INDEX(Mitarbeiter!$D$6:$D$205,MATCH(B4815,Mitarbeiter!$A$6:$A$205,0))),"nach Austritt","ok")))))))</f>
        <v/>
      </c>
    </row>
    <row r="4816">
      <c r="A4816" s="26" t="n"/>
      <c r="B4816" s="24" t="n"/>
      <c r="C4816" s="40">
        <f>IF(B4816="","",IFERROR(INDEX(Mitarbeiter!$B$6:$B$205,MATCH(B4816,Mitarbeiter!$A$6:$A$205,0)),"?"))</f>
        <v/>
      </c>
      <c r="D4816" s="41" t="n"/>
      <c r="E4816" s="42" t="n"/>
      <c r="F4816" s="43" t="n"/>
      <c r="G4816" s="44">
        <f>IF(OR(B4816="",F4816=""),"",IFERROR(F4816*INDEX(Mitarbeiter!$F$6:$F$205,MATCH(B4816,Mitarbeiter!$A$6:$A$205,0)),0))</f>
        <v/>
      </c>
      <c r="H4816" s="8">
        <f>IF(B4816="","",IF(ISNA(MATCH(B4816,Mitarbeiter!$A$6:$A$205,0)),"Pers.-Nr. unbekannt",IF(A4816="","Datum fehlt",IF(AND(D4816&lt;&gt;Einstellungen!$C$4,D4816&lt;&gt;Einstellungen!$C$5),"Objekt fehlt",IF(YEAR(A4816)&lt;&gt;Einstellungen!$C$3,"anderes Jahr",IF(A4816&lt;INDEX(Mitarbeiter!$C$6:$C$205,MATCH(B4816,Mitarbeiter!$A$6:$A$205,0)),"vor Eintritt",IF(AND(INDEX(Mitarbeiter!$D$6:$D$205,MATCH(B4816,Mitarbeiter!$A$6:$A$205,0))&lt;&gt;"",A4816&gt;INDEX(Mitarbeiter!$D$6:$D$205,MATCH(B4816,Mitarbeiter!$A$6:$A$205,0))),"nach Austritt","ok")))))))</f>
        <v/>
      </c>
    </row>
    <row r="4817">
      <c r="A4817" s="26" t="n"/>
      <c r="B4817" s="24" t="n"/>
      <c r="C4817" s="40">
        <f>IF(B4817="","",IFERROR(INDEX(Mitarbeiter!$B$6:$B$205,MATCH(B4817,Mitarbeiter!$A$6:$A$205,0)),"?"))</f>
        <v/>
      </c>
      <c r="D4817" s="41" t="n"/>
      <c r="E4817" s="42" t="n"/>
      <c r="F4817" s="43" t="n"/>
      <c r="G4817" s="44">
        <f>IF(OR(B4817="",F4817=""),"",IFERROR(F4817*INDEX(Mitarbeiter!$F$6:$F$205,MATCH(B4817,Mitarbeiter!$A$6:$A$205,0)),0))</f>
        <v/>
      </c>
      <c r="H4817" s="8">
        <f>IF(B4817="","",IF(ISNA(MATCH(B4817,Mitarbeiter!$A$6:$A$205,0)),"Pers.-Nr. unbekannt",IF(A4817="","Datum fehlt",IF(AND(D4817&lt;&gt;Einstellungen!$C$4,D4817&lt;&gt;Einstellungen!$C$5),"Objekt fehlt",IF(YEAR(A4817)&lt;&gt;Einstellungen!$C$3,"anderes Jahr",IF(A4817&lt;INDEX(Mitarbeiter!$C$6:$C$205,MATCH(B4817,Mitarbeiter!$A$6:$A$205,0)),"vor Eintritt",IF(AND(INDEX(Mitarbeiter!$D$6:$D$205,MATCH(B4817,Mitarbeiter!$A$6:$A$205,0))&lt;&gt;"",A4817&gt;INDEX(Mitarbeiter!$D$6:$D$205,MATCH(B4817,Mitarbeiter!$A$6:$A$205,0))),"nach Austritt","ok")))))))</f>
        <v/>
      </c>
    </row>
    <row r="4818">
      <c r="A4818" s="26" t="n"/>
      <c r="B4818" s="24" t="n"/>
      <c r="C4818" s="40">
        <f>IF(B4818="","",IFERROR(INDEX(Mitarbeiter!$B$6:$B$205,MATCH(B4818,Mitarbeiter!$A$6:$A$205,0)),"?"))</f>
        <v/>
      </c>
      <c r="D4818" s="41" t="n"/>
      <c r="E4818" s="42" t="n"/>
      <c r="F4818" s="43" t="n"/>
      <c r="G4818" s="44">
        <f>IF(OR(B4818="",F4818=""),"",IFERROR(F4818*INDEX(Mitarbeiter!$F$6:$F$205,MATCH(B4818,Mitarbeiter!$A$6:$A$205,0)),0))</f>
        <v/>
      </c>
      <c r="H4818" s="8">
        <f>IF(B4818="","",IF(ISNA(MATCH(B4818,Mitarbeiter!$A$6:$A$205,0)),"Pers.-Nr. unbekannt",IF(A4818="","Datum fehlt",IF(AND(D4818&lt;&gt;Einstellungen!$C$4,D4818&lt;&gt;Einstellungen!$C$5),"Objekt fehlt",IF(YEAR(A4818)&lt;&gt;Einstellungen!$C$3,"anderes Jahr",IF(A4818&lt;INDEX(Mitarbeiter!$C$6:$C$205,MATCH(B4818,Mitarbeiter!$A$6:$A$205,0)),"vor Eintritt",IF(AND(INDEX(Mitarbeiter!$D$6:$D$205,MATCH(B4818,Mitarbeiter!$A$6:$A$205,0))&lt;&gt;"",A4818&gt;INDEX(Mitarbeiter!$D$6:$D$205,MATCH(B4818,Mitarbeiter!$A$6:$A$205,0))),"nach Austritt","ok")))))))</f>
        <v/>
      </c>
    </row>
    <row r="4819">
      <c r="A4819" s="26" t="n"/>
      <c r="B4819" s="24" t="n"/>
      <c r="C4819" s="40">
        <f>IF(B4819="","",IFERROR(INDEX(Mitarbeiter!$B$6:$B$205,MATCH(B4819,Mitarbeiter!$A$6:$A$205,0)),"?"))</f>
        <v/>
      </c>
      <c r="D4819" s="41" t="n"/>
      <c r="E4819" s="42" t="n"/>
      <c r="F4819" s="43" t="n"/>
      <c r="G4819" s="44">
        <f>IF(OR(B4819="",F4819=""),"",IFERROR(F4819*INDEX(Mitarbeiter!$F$6:$F$205,MATCH(B4819,Mitarbeiter!$A$6:$A$205,0)),0))</f>
        <v/>
      </c>
      <c r="H4819" s="8">
        <f>IF(B4819="","",IF(ISNA(MATCH(B4819,Mitarbeiter!$A$6:$A$205,0)),"Pers.-Nr. unbekannt",IF(A4819="","Datum fehlt",IF(AND(D4819&lt;&gt;Einstellungen!$C$4,D4819&lt;&gt;Einstellungen!$C$5),"Objekt fehlt",IF(YEAR(A4819)&lt;&gt;Einstellungen!$C$3,"anderes Jahr",IF(A4819&lt;INDEX(Mitarbeiter!$C$6:$C$205,MATCH(B4819,Mitarbeiter!$A$6:$A$205,0)),"vor Eintritt",IF(AND(INDEX(Mitarbeiter!$D$6:$D$205,MATCH(B4819,Mitarbeiter!$A$6:$A$205,0))&lt;&gt;"",A4819&gt;INDEX(Mitarbeiter!$D$6:$D$205,MATCH(B4819,Mitarbeiter!$A$6:$A$205,0))),"nach Austritt","ok")))))))</f>
        <v/>
      </c>
    </row>
    <row r="4820">
      <c r="A4820" s="26" t="n"/>
      <c r="B4820" s="24" t="n"/>
      <c r="C4820" s="40">
        <f>IF(B4820="","",IFERROR(INDEX(Mitarbeiter!$B$6:$B$205,MATCH(B4820,Mitarbeiter!$A$6:$A$205,0)),"?"))</f>
        <v/>
      </c>
      <c r="D4820" s="41" t="n"/>
      <c r="E4820" s="42" t="n"/>
      <c r="F4820" s="43" t="n"/>
      <c r="G4820" s="44">
        <f>IF(OR(B4820="",F4820=""),"",IFERROR(F4820*INDEX(Mitarbeiter!$F$6:$F$205,MATCH(B4820,Mitarbeiter!$A$6:$A$205,0)),0))</f>
        <v/>
      </c>
      <c r="H4820" s="8">
        <f>IF(B4820="","",IF(ISNA(MATCH(B4820,Mitarbeiter!$A$6:$A$205,0)),"Pers.-Nr. unbekannt",IF(A4820="","Datum fehlt",IF(AND(D4820&lt;&gt;Einstellungen!$C$4,D4820&lt;&gt;Einstellungen!$C$5),"Objekt fehlt",IF(YEAR(A4820)&lt;&gt;Einstellungen!$C$3,"anderes Jahr",IF(A4820&lt;INDEX(Mitarbeiter!$C$6:$C$205,MATCH(B4820,Mitarbeiter!$A$6:$A$205,0)),"vor Eintritt",IF(AND(INDEX(Mitarbeiter!$D$6:$D$205,MATCH(B4820,Mitarbeiter!$A$6:$A$205,0))&lt;&gt;"",A4820&gt;INDEX(Mitarbeiter!$D$6:$D$205,MATCH(B4820,Mitarbeiter!$A$6:$A$205,0))),"nach Austritt","ok")))))))</f>
        <v/>
      </c>
    </row>
    <row r="4821">
      <c r="A4821" s="26" t="n"/>
      <c r="B4821" s="24" t="n"/>
      <c r="C4821" s="40">
        <f>IF(B4821="","",IFERROR(INDEX(Mitarbeiter!$B$6:$B$205,MATCH(B4821,Mitarbeiter!$A$6:$A$205,0)),"?"))</f>
        <v/>
      </c>
      <c r="D4821" s="41" t="n"/>
      <c r="E4821" s="42" t="n"/>
      <c r="F4821" s="43" t="n"/>
      <c r="G4821" s="44">
        <f>IF(OR(B4821="",F4821=""),"",IFERROR(F4821*INDEX(Mitarbeiter!$F$6:$F$205,MATCH(B4821,Mitarbeiter!$A$6:$A$205,0)),0))</f>
        <v/>
      </c>
      <c r="H4821" s="8">
        <f>IF(B4821="","",IF(ISNA(MATCH(B4821,Mitarbeiter!$A$6:$A$205,0)),"Pers.-Nr. unbekannt",IF(A4821="","Datum fehlt",IF(AND(D4821&lt;&gt;Einstellungen!$C$4,D4821&lt;&gt;Einstellungen!$C$5),"Objekt fehlt",IF(YEAR(A4821)&lt;&gt;Einstellungen!$C$3,"anderes Jahr",IF(A4821&lt;INDEX(Mitarbeiter!$C$6:$C$205,MATCH(B4821,Mitarbeiter!$A$6:$A$205,0)),"vor Eintritt",IF(AND(INDEX(Mitarbeiter!$D$6:$D$205,MATCH(B4821,Mitarbeiter!$A$6:$A$205,0))&lt;&gt;"",A4821&gt;INDEX(Mitarbeiter!$D$6:$D$205,MATCH(B4821,Mitarbeiter!$A$6:$A$205,0))),"nach Austritt","ok")))))))</f>
        <v/>
      </c>
    </row>
    <row r="4822">
      <c r="A4822" s="26" t="n"/>
      <c r="B4822" s="24" t="n"/>
      <c r="C4822" s="40">
        <f>IF(B4822="","",IFERROR(INDEX(Mitarbeiter!$B$6:$B$205,MATCH(B4822,Mitarbeiter!$A$6:$A$205,0)),"?"))</f>
        <v/>
      </c>
      <c r="D4822" s="41" t="n"/>
      <c r="E4822" s="42" t="n"/>
      <c r="F4822" s="43" t="n"/>
      <c r="G4822" s="44">
        <f>IF(OR(B4822="",F4822=""),"",IFERROR(F4822*INDEX(Mitarbeiter!$F$6:$F$205,MATCH(B4822,Mitarbeiter!$A$6:$A$205,0)),0))</f>
        <v/>
      </c>
      <c r="H4822" s="8">
        <f>IF(B4822="","",IF(ISNA(MATCH(B4822,Mitarbeiter!$A$6:$A$205,0)),"Pers.-Nr. unbekannt",IF(A4822="","Datum fehlt",IF(AND(D4822&lt;&gt;Einstellungen!$C$4,D4822&lt;&gt;Einstellungen!$C$5),"Objekt fehlt",IF(YEAR(A4822)&lt;&gt;Einstellungen!$C$3,"anderes Jahr",IF(A4822&lt;INDEX(Mitarbeiter!$C$6:$C$205,MATCH(B4822,Mitarbeiter!$A$6:$A$205,0)),"vor Eintritt",IF(AND(INDEX(Mitarbeiter!$D$6:$D$205,MATCH(B4822,Mitarbeiter!$A$6:$A$205,0))&lt;&gt;"",A4822&gt;INDEX(Mitarbeiter!$D$6:$D$205,MATCH(B4822,Mitarbeiter!$A$6:$A$205,0))),"nach Austritt","ok")))))))</f>
        <v/>
      </c>
    </row>
    <row r="4823">
      <c r="A4823" s="26" t="n"/>
      <c r="B4823" s="24" t="n"/>
      <c r="C4823" s="40">
        <f>IF(B4823="","",IFERROR(INDEX(Mitarbeiter!$B$6:$B$205,MATCH(B4823,Mitarbeiter!$A$6:$A$205,0)),"?"))</f>
        <v/>
      </c>
      <c r="D4823" s="41" t="n"/>
      <c r="E4823" s="42" t="n"/>
      <c r="F4823" s="43" t="n"/>
      <c r="G4823" s="44">
        <f>IF(OR(B4823="",F4823=""),"",IFERROR(F4823*INDEX(Mitarbeiter!$F$6:$F$205,MATCH(B4823,Mitarbeiter!$A$6:$A$205,0)),0))</f>
        <v/>
      </c>
      <c r="H4823" s="8">
        <f>IF(B4823="","",IF(ISNA(MATCH(B4823,Mitarbeiter!$A$6:$A$205,0)),"Pers.-Nr. unbekannt",IF(A4823="","Datum fehlt",IF(AND(D4823&lt;&gt;Einstellungen!$C$4,D4823&lt;&gt;Einstellungen!$C$5),"Objekt fehlt",IF(YEAR(A4823)&lt;&gt;Einstellungen!$C$3,"anderes Jahr",IF(A4823&lt;INDEX(Mitarbeiter!$C$6:$C$205,MATCH(B4823,Mitarbeiter!$A$6:$A$205,0)),"vor Eintritt",IF(AND(INDEX(Mitarbeiter!$D$6:$D$205,MATCH(B4823,Mitarbeiter!$A$6:$A$205,0))&lt;&gt;"",A4823&gt;INDEX(Mitarbeiter!$D$6:$D$205,MATCH(B4823,Mitarbeiter!$A$6:$A$205,0))),"nach Austritt","ok")))))))</f>
        <v/>
      </c>
    </row>
    <row r="4824">
      <c r="A4824" s="26" t="n"/>
      <c r="B4824" s="24" t="n"/>
      <c r="C4824" s="40">
        <f>IF(B4824="","",IFERROR(INDEX(Mitarbeiter!$B$6:$B$205,MATCH(B4824,Mitarbeiter!$A$6:$A$205,0)),"?"))</f>
        <v/>
      </c>
      <c r="D4824" s="41" t="n"/>
      <c r="E4824" s="42" t="n"/>
      <c r="F4824" s="43" t="n"/>
      <c r="G4824" s="44">
        <f>IF(OR(B4824="",F4824=""),"",IFERROR(F4824*INDEX(Mitarbeiter!$F$6:$F$205,MATCH(B4824,Mitarbeiter!$A$6:$A$205,0)),0))</f>
        <v/>
      </c>
      <c r="H4824" s="8">
        <f>IF(B4824="","",IF(ISNA(MATCH(B4824,Mitarbeiter!$A$6:$A$205,0)),"Pers.-Nr. unbekannt",IF(A4824="","Datum fehlt",IF(AND(D4824&lt;&gt;Einstellungen!$C$4,D4824&lt;&gt;Einstellungen!$C$5),"Objekt fehlt",IF(YEAR(A4824)&lt;&gt;Einstellungen!$C$3,"anderes Jahr",IF(A4824&lt;INDEX(Mitarbeiter!$C$6:$C$205,MATCH(B4824,Mitarbeiter!$A$6:$A$205,0)),"vor Eintritt",IF(AND(INDEX(Mitarbeiter!$D$6:$D$205,MATCH(B4824,Mitarbeiter!$A$6:$A$205,0))&lt;&gt;"",A4824&gt;INDEX(Mitarbeiter!$D$6:$D$205,MATCH(B4824,Mitarbeiter!$A$6:$A$205,0))),"nach Austritt","ok")))))))</f>
        <v/>
      </c>
    </row>
    <row r="4825">
      <c r="A4825" s="26" t="n"/>
      <c r="B4825" s="24" t="n"/>
      <c r="C4825" s="40">
        <f>IF(B4825="","",IFERROR(INDEX(Mitarbeiter!$B$6:$B$205,MATCH(B4825,Mitarbeiter!$A$6:$A$205,0)),"?"))</f>
        <v/>
      </c>
      <c r="D4825" s="41" t="n"/>
      <c r="E4825" s="42" t="n"/>
      <c r="F4825" s="43" t="n"/>
      <c r="G4825" s="44">
        <f>IF(OR(B4825="",F4825=""),"",IFERROR(F4825*INDEX(Mitarbeiter!$F$6:$F$205,MATCH(B4825,Mitarbeiter!$A$6:$A$205,0)),0))</f>
        <v/>
      </c>
      <c r="H4825" s="8">
        <f>IF(B4825="","",IF(ISNA(MATCH(B4825,Mitarbeiter!$A$6:$A$205,0)),"Pers.-Nr. unbekannt",IF(A4825="","Datum fehlt",IF(AND(D4825&lt;&gt;Einstellungen!$C$4,D4825&lt;&gt;Einstellungen!$C$5),"Objekt fehlt",IF(YEAR(A4825)&lt;&gt;Einstellungen!$C$3,"anderes Jahr",IF(A4825&lt;INDEX(Mitarbeiter!$C$6:$C$205,MATCH(B4825,Mitarbeiter!$A$6:$A$205,0)),"vor Eintritt",IF(AND(INDEX(Mitarbeiter!$D$6:$D$205,MATCH(B4825,Mitarbeiter!$A$6:$A$205,0))&lt;&gt;"",A4825&gt;INDEX(Mitarbeiter!$D$6:$D$205,MATCH(B4825,Mitarbeiter!$A$6:$A$205,0))),"nach Austritt","ok")))))))</f>
        <v/>
      </c>
    </row>
    <row r="4826">
      <c r="A4826" s="26" t="n"/>
      <c r="B4826" s="24" t="n"/>
      <c r="C4826" s="40">
        <f>IF(B4826="","",IFERROR(INDEX(Mitarbeiter!$B$6:$B$205,MATCH(B4826,Mitarbeiter!$A$6:$A$205,0)),"?"))</f>
        <v/>
      </c>
      <c r="D4826" s="41" t="n"/>
      <c r="E4826" s="42" t="n"/>
      <c r="F4826" s="43" t="n"/>
      <c r="G4826" s="44">
        <f>IF(OR(B4826="",F4826=""),"",IFERROR(F4826*INDEX(Mitarbeiter!$F$6:$F$205,MATCH(B4826,Mitarbeiter!$A$6:$A$205,0)),0))</f>
        <v/>
      </c>
      <c r="H4826" s="8">
        <f>IF(B4826="","",IF(ISNA(MATCH(B4826,Mitarbeiter!$A$6:$A$205,0)),"Pers.-Nr. unbekannt",IF(A4826="","Datum fehlt",IF(AND(D4826&lt;&gt;Einstellungen!$C$4,D4826&lt;&gt;Einstellungen!$C$5),"Objekt fehlt",IF(YEAR(A4826)&lt;&gt;Einstellungen!$C$3,"anderes Jahr",IF(A4826&lt;INDEX(Mitarbeiter!$C$6:$C$205,MATCH(B4826,Mitarbeiter!$A$6:$A$205,0)),"vor Eintritt",IF(AND(INDEX(Mitarbeiter!$D$6:$D$205,MATCH(B4826,Mitarbeiter!$A$6:$A$205,0))&lt;&gt;"",A4826&gt;INDEX(Mitarbeiter!$D$6:$D$205,MATCH(B4826,Mitarbeiter!$A$6:$A$205,0))),"nach Austritt","ok")))))))</f>
        <v/>
      </c>
    </row>
    <row r="4827">
      <c r="A4827" s="26" t="n"/>
      <c r="B4827" s="24" t="n"/>
      <c r="C4827" s="40">
        <f>IF(B4827="","",IFERROR(INDEX(Mitarbeiter!$B$6:$B$205,MATCH(B4827,Mitarbeiter!$A$6:$A$205,0)),"?"))</f>
        <v/>
      </c>
      <c r="D4827" s="41" t="n"/>
      <c r="E4827" s="42" t="n"/>
      <c r="F4827" s="43" t="n"/>
      <c r="G4827" s="44">
        <f>IF(OR(B4827="",F4827=""),"",IFERROR(F4827*INDEX(Mitarbeiter!$F$6:$F$205,MATCH(B4827,Mitarbeiter!$A$6:$A$205,0)),0))</f>
        <v/>
      </c>
      <c r="H4827" s="8">
        <f>IF(B4827="","",IF(ISNA(MATCH(B4827,Mitarbeiter!$A$6:$A$205,0)),"Pers.-Nr. unbekannt",IF(A4827="","Datum fehlt",IF(AND(D4827&lt;&gt;Einstellungen!$C$4,D4827&lt;&gt;Einstellungen!$C$5),"Objekt fehlt",IF(YEAR(A4827)&lt;&gt;Einstellungen!$C$3,"anderes Jahr",IF(A4827&lt;INDEX(Mitarbeiter!$C$6:$C$205,MATCH(B4827,Mitarbeiter!$A$6:$A$205,0)),"vor Eintritt",IF(AND(INDEX(Mitarbeiter!$D$6:$D$205,MATCH(B4827,Mitarbeiter!$A$6:$A$205,0))&lt;&gt;"",A4827&gt;INDEX(Mitarbeiter!$D$6:$D$205,MATCH(B4827,Mitarbeiter!$A$6:$A$205,0))),"nach Austritt","ok")))))))</f>
        <v/>
      </c>
    </row>
    <row r="4828">
      <c r="A4828" s="26" t="n"/>
      <c r="B4828" s="24" t="n"/>
      <c r="C4828" s="40">
        <f>IF(B4828="","",IFERROR(INDEX(Mitarbeiter!$B$6:$B$205,MATCH(B4828,Mitarbeiter!$A$6:$A$205,0)),"?"))</f>
        <v/>
      </c>
      <c r="D4828" s="41" t="n"/>
      <c r="E4828" s="42" t="n"/>
      <c r="F4828" s="43" t="n"/>
      <c r="G4828" s="44">
        <f>IF(OR(B4828="",F4828=""),"",IFERROR(F4828*INDEX(Mitarbeiter!$F$6:$F$205,MATCH(B4828,Mitarbeiter!$A$6:$A$205,0)),0))</f>
        <v/>
      </c>
      <c r="H4828" s="8">
        <f>IF(B4828="","",IF(ISNA(MATCH(B4828,Mitarbeiter!$A$6:$A$205,0)),"Pers.-Nr. unbekannt",IF(A4828="","Datum fehlt",IF(AND(D4828&lt;&gt;Einstellungen!$C$4,D4828&lt;&gt;Einstellungen!$C$5),"Objekt fehlt",IF(YEAR(A4828)&lt;&gt;Einstellungen!$C$3,"anderes Jahr",IF(A4828&lt;INDEX(Mitarbeiter!$C$6:$C$205,MATCH(B4828,Mitarbeiter!$A$6:$A$205,0)),"vor Eintritt",IF(AND(INDEX(Mitarbeiter!$D$6:$D$205,MATCH(B4828,Mitarbeiter!$A$6:$A$205,0))&lt;&gt;"",A4828&gt;INDEX(Mitarbeiter!$D$6:$D$205,MATCH(B4828,Mitarbeiter!$A$6:$A$205,0))),"nach Austritt","ok")))))))</f>
        <v/>
      </c>
    </row>
    <row r="4829">
      <c r="A4829" s="26" t="n"/>
      <c r="B4829" s="24" t="n"/>
      <c r="C4829" s="40">
        <f>IF(B4829="","",IFERROR(INDEX(Mitarbeiter!$B$6:$B$205,MATCH(B4829,Mitarbeiter!$A$6:$A$205,0)),"?"))</f>
        <v/>
      </c>
      <c r="D4829" s="41" t="n"/>
      <c r="E4829" s="42" t="n"/>
      <c r="F4829" s="43" t="n"/>
      <c r="G4829" s="44">
        <f>IF(OR(B4829="",F4829=""),"",IFERROR(F4829*INDEX(Mitarbeiter!$F$6:$F$205,MATCH(B4829,Mitarbeiter!$A$6:$A$205,0)),0))</f>
        <v/>
      </c>
      <c r="H4829" s="8">
        <f>IF(B4829="","",IF(ISNA(MATCH(B4829,Mitarbeiter!$A$6:$A$205,0)),"Pers.-Nr. unbekannt",IF(A4829="","Datum fehlt",IF(AND(D4829&lt;&gt;Einstellungen!$C$4,D4829&lt;&gt;Einstellungen!$C$5),"Objekt fehlt",IF(YEAR(A4829)&lt;&gt;Einstellungen!$C$3,"anderes Jahr",IF(A4829&lt;INDEX(Mitarbeiter!$C$6:$C$205,MATCH(B4829,Mitarbeiter!$A$6:$A$205,0)),"vor Eintritt",IF(AND(INDEX(Mitarbeiter!$D$6:$D$205,MATCH(B4829,Mitarbeiter!$A$6:$A$205,0))&lt;&gt;"",A4829&gt;INDEX(Mitarbeiter!$D$6:$D$205,MATCH(B4829,Mitarbeiter!$A$6:$A$205,0))),"nach Austritt","ok")))))))</f>
        <v/>
      </c>
    </row>
    <row r="4830">
      <c r="A4830" s="26" t="n"/>
      <c r="B4830" s="24" t="n"/>
      <c r="C4830" s="40">
        <f>IF(B4830="","",IFERROR(INDEX(Mitarbeiter!$B$6:$B$205,MATCH(B4830,Mitarbeiter!$A$6:$A$205,0)),"?"))</f>
        <v/>
      </c>
      <c r="D4830" s="41" t="n"/>
      <c r="E4830" s="42" t="n"/>
      <c r="F4830" s="43" t="n"/>
      <c r="G4830" s="44">
        <f>IF(OR(B4830="",F4830=""),"",IFERROR(F4830*INDEX(Mitarbeiter!$F$6:$F$205,MATCH(B4830,Mitarbeiter!$A$6:$A$205,0)),0))</f>
        <v/>
      </c>
      <c r="H4830" s="8">
        <f>IF(B4830="","",IF(ISNA(MATCH(B4830,Mitarbeiter!$A$6:$A$205,0)),"Pers.-Nr. unbekannt",IF(A4830="","Datum fehlt",IF(AND(D4830&lt;&gt;Einstellungen!$C$4,D4830&lt;&gt;Einstellungen!$C$5),"Objekt fehlt",IF(YEAR(A4830)&lt;&gt;Einstellungen!$C$3,"anderes Jahr",IF(A4830&lt;INDEX(Mitarbeiter!$C$6:$C$205,MATCH(B4830,Mitarbeiter!$A$6:$A$205,0)),"vor Eintritt",IF(AND(INDEX(Mitarbeiter!$D$6:$D$205,MATCH(B4830,Mitarbeiter!$A$6:$A$205,0))&lt;&gt;"",A4830&gt;INDEX(Mitarbeiter!$D$6:$D$205,MATCH(B4830,Mitarbeiter!$A$6:$A$205,0))),"nach Austritt","ok")))))))</f>
        <v/>
      </c>
    </row>
    <row r="4831">
      <c r="A4831" s="26" t="n"/>
      <c r="B4831" s="24" t="n"/>
      <c r="C4831" s="40">
        <f>IF(B4831="","",IFERROR(INDEX(Mitarbeiter!$B$6:$B$205,MATCH(B4831,Mitarbeiter!$A$6:$A$205,0)),"?"))</f>
        <v/>
      </c>
      <c r="D4831" s="41" t="n"/>
      <c r="E4831" s="42" t="n"/>
      <c r="F4831" s="43" t="n"/>
      <c r="G4831" s="44">
        <f>IF(OR(B4831="",F4831=""),"",IFERROR(F4831*INDEX(Mitarbeiter!$F$6:$F$205,MATCH(B4831,Mitarbeiter!$A$6:$A$205,0)),0))</f>
        <v/>
      </c>
      <c r="H4831" s="8">
        <f>IF(B4831="","",IF(ISNA(MATCH(B4831,Mitarbeiter!$A$6:$A$205,0)),"Pers.-Nr. unbekannt",IF(A4831="","Datum fehlt",IF(AND(D4831&lt;&gt;Einstellungen!$C$4,D4831&lt;&gt;Einstellungen!$C$5),"Objekt fehlt",IF(YEAR(A4831)&lt;&gt;Einstellungen!$C$3,"anderes Jahr",IF(A4831&lt;INDEX(Mitarbeiter!$C$6:$C$205,MATCH(B4831,Mitarbeiter!$A$6:$A$205,0)),"vor Eintritt",IF(AND(INDEX(Mitarbeiter!$D$6:$D$205,MATCH(B4831,Mitarbeiter!$A$6:$A$205,0))&lt;&gt;"",A4831&gt;INDEX(Mitarbeiter!$D$6:$D$205,MATCH(B4831,Mitarbeiter!$A$6:$A$205,0))),"nach Austritt","ok")))))))</f>
        <v/>
      </c>
    </row>
    <row r="4832">
      <c r="A4832" s="26" t="n"/>
      <c r="B4832" s="24" t="n"/>
      <c r="C4832" s="40">
        <f>IF(B4832="","",IFERROR(INDEX(Mitarbeiter!$B$6:$B$205,MATCH(B4832,Mitarbeiter!$A$6:$A$205,0)),"?"))</f>
        <v/>
      </c>
      <c r="D4832" s="41" t="n"/>
      <c r="E4832" s="42" t="n"/>
      <c r="F4832" s="43" t="n"/>
      <c r="G4832" s="44">
        <f>IF(OR(B4832="",F4832=""),"",IFERROR(F4832*INDEX(Mitarbeiter!$F$6:$F$205,MATCH(B4832,Mitarbeiter!$A$6:$A$205,0)),0))</f>
        <v/>
      </c>
      <c r="H4832" s="8">
        <f>IF(B4832="","",IF(ISNA(MATCH(B4832,Mitarbeiter!$A$6:$A$205,0)),"Pers.-Nr. unbekannt",IF(A4832="","Datum fehlt",IF(AND(D4832&lt;&gt;Einstellungen!$C$4,D4832&lt;&gt;Einstellungen!$C$5),"Objekt fehlt",IF(YEAR(A4832)&lt;&gt;Einstellungen!$C$3,"anderes Jahr",IF(A4832&lt;INDEX(Mitarbeiter!$C$6:$C$205,MATCH(B4832,Mitarbeiter!$A$6:$A$205,0)),"vor Eintritt",IF(AND(INDEX(Mitarbeiter!$D$6:$D$205,MATCH(B4832,Mitarbeiter!$A$6:$A$205,0))&lt;&gt;"",A4832&gt;INDEX(Mitarbeiter!$D$6:$D$205,MATCH(B4832,Mitarbeiter!$A$6:$A$205,0))),"nach Austritt","ok")))))))</f>
        <v/>
      </c>
    </row>
    <row r="4833">
      <c r="A4833" s="26" t="n"/>
      <c r="B4833" s="24" t="n"/>
      <c r="C4833" s="40">
        <f>IF(B4833="","",IFERROR(INDEX(Mitarbeiter!$B$6:$B$205,MATCH(B4833,Mitarbeiter!$A$6:$A$205,0)),"?"))</f>
        <v/>
      </c>
      <c r="D4833" s="41" t="n"/>
      <c r="E4833" s="42" t="n"/>
      <c r="F4833" s="43" t="n"/>
      <c r="G4833" s="44">
        <f>IF(OR(B4833="",F4833=""),"",IFERROR(F4833*INDEX(Mitarbeiter!$F$6:$F$205,MATCH(B4833,Mitarbeiter!$A$6:$A$205,0)),0))</f>
        <v/>
      </c>
      <c r="H4833" s="8">
        <f>IF(B4833="","",IF(ISNA(MATCH(B4833,Mitarbeiter!$A$6:$A$205,0)),"Pers.-Nr. unbekannt",IF(A4833="","Datum fehlt",IF(AND(D4833&lt;&gt;Einstellungen!$C$4,D4833&lt;&gt;Einstellungen!$C$5),"Objekt fehlt",IF(YEAR(A4833)&lt;&gt;Einstellungen!$C$3,"anderes Jahr",IF(A4833&lt;INDEX(Mitarbeiter!$C$6:$C$205,MATCH(B4833,Mitarbeiter!$A$6:$A$205,0)),"vor Eintritt",IF(AND(INDEX(Mitarbeiter!$D$6:$D$205,MATCH(B4833,Mitarbeiter!$A$6:$A$205,0))&lt;&gt;"",A4833&gt;INDEX(Mitarbeiter!$D$6:$D$205,MATCH(B4833,Mitarbeiter!$A$6:$A$205,0))),"nach Austritt","ok")))))))</f>
        <v/>
      </c>
    </row>
    <row r="4834">
      <c r="A4834" s="26" t="n"/>
      <c r="B4834" s="24" t="n"/>
      <c r="C4834" s="40">
        <f>IF(B4834="","",IFERROR(INDEX(Mitarbeiter!$B$6:$B$205,MATCH(B4834,Mitarbeiter!$A$6:$A$205,0)),"?"))</f>
        <v/>
      </c>
      <c r="D4834" s="41" t="n"/>
      <c r="E4834" s="42" t="n"/>
      <c r="F4834" s="43" t="n"/>
      <c r="G4834" s="44">
        <f>IF(OR(B4834="",F4834=""),"",IFERROR(F4834*INDEX(Mitarbeiter!$F$6:$F$205,MATCH(B4834,Mitarbeiter!$A$6:$A$205,0)),0))</f>
        <v/>
      </c>
      <c r="H4834" s="8">
        <f>IF(B4834="","",IF(ISNA(MATCH(B4834,Mitarbeiter!$A$6:$A$205,0)),"Pers.-Nr. unbekannt",IF(A4834="","Datum fehlt",IF(AND(D4834&lt;&gt;Einstellungen!$C$4,D4834&lt;&gt;Einstellungen!$C$5),"Objekt fehlt",IF(YEAR(A4834)&lt;&gt;Einstellungen!$C$3,"anderes Jahr",IF(A4834&lt;INDEX(Mitarbeiter!$C$6:$C$205,MATCH(B4834,Mitarbeiter!$A$6:$A$205,0)),"vor Eintritt",IF(AND(INDEX(Mitarbeiter!$D$6:$D$205,MATCH(B4834,Mitarbeiter!$A$6:$A$205,0))&lt;&gt;"",A4834&gt;INDEX(Mitarbeiter!$D$6:$D$205,MATCH(B4834,Mitarbeiter!$A$6:$A$205,0))),"nach Austritt","ok")))))))</f>
        <v/>
      </c>
    </row>
    <row r="4835">
      <c r="A4835" s="26" t="n"/>
      <c r="B4835" s="24" t="n"/>
      <c r="C4835" s="40">
        <f>IF(B4835="","",IFERROR(INDEX(Mitarbeiter!$B$6:$B$205,MATCH(B4835,Mitarbeiter!$A$6:$A$205,0)),"?"))</f>
        <v/>
      </c>
      <c r="D4835" s="41" t="n"/>
      <c r="E4835" s="42" t="n"/>
      <c r="F4835" s="43" t="n"/>
      <c r="G4835" s="44">
        <f>IF(OR(B4835="",F4835=""),"",IFERROR(F4835*INDEX(Mitarbeiter!$F$6:$F$205,MATCH(B4835,Mitarbeiter!$A$6:$A$205,0)),0))</f>
        <v/>
      </c>
      <c r="H4835" s="8">
        <f>IF(B4835="","",IF(ISNA(MATCH(B4835,Mitarbeiter!$A$6:$A$205,0)),"Pers.-Nr. unbekannt",IF(A4835="","Datum fehlt",IF(AND(D4835&lt;&gt;Einstellungen!$C$4,D4835&lt;&gt;Einstellungen!$C$5),"Objekt fehlt",IF(YEAR(A4835)&lt;&gt;Einstellungen!$C$3,"anderes Jahr",IF(A4835&lt;INDEX(Mitarbeiter!$C$6:$C$205,MATCH(B4835,Mitarbeiter!$A$6:$A$205,0)),"vor Eintritt",IF(AND(INDEX(Mitarbeiter!$D$6:$D$205,MATCH(B4835,Mitarbeiter!$A$6:$A$205,0))&lt;&gt;"",A4835&gt;INDEX(Mitarbeiter!$D$6:$D$205,MATCH(B4835,Mitarbeiter!$A$6:$A$205,0))),"nach Austritt","ok")))))))</f>
        <v/>
      </c>
    </row>
    <row r="4836">
      <c r="A4836" s="26" t="n"/>
      <c r="B4836" s="24" t="n"/>
      <c r="C4836" s="40">
        <f>IF(B4836="","",IFERROR(INDEX(Mitarbeiter!$B$6:$B$205,MATCH(B4836,Mitarbeiter!$A$6:$A$205,0)),"?"))</f>
        <v/>
      </c>
      <c r="D4836" s="41" t="n"/>
      <c r="E4836" s="42" t="n"/>
      <c r="F4836" s="43" t="n"/>
      <c r="G4836" s="44">
        <f>IF(OR(B4836="",F4836=""),"",IFERROR(F4836*INDEX(Mitarbeiter!$F$6:$F$205,MATCH(B4836,Mitarbeiter!$A$6:$A$205,0)),0))</f>
        <v/>
      </c>
      <c r="H4836" s="8">
        <f>IF(B4836="","",IF(ISNA(MATCH(B4836,Mitarbeiter!$A$6:$A$205,0)),"Pers.-Nr. unbekannt",IF(A4836="","Datum fehlt",IF(AND(D4836&lt;&gt;Einstellungen!$C$4,D4836&lt;&gt;Einstellungen!$C$5),"Objekt fehlt",IF(YEAR(A4836)&lt;&gt;Einstellungen!$C$3,"anderes Jahr",IF(A4836&lt;INDEX(Mitarbeiter!$C$6:$C$205,MATCH(B4836,Mitarbeiter!$A$6:$A$205,0)),"vor Eintritt",IF(AND(INDEX(Mitarbeiter!$D$6:$D$205,MATCH(B4836,Mitarbeiter!$A$6:$A$205,0))&lt;&gt;"",A4836&gt;INDEX(Mitarbeiter!$D$6:$D$205,MATCH(B4836,Mitarbeiter!$A$6:$A$205,0))),"nach Austritt","ok")))))))</f>
        <v/>
      </c>
    </row>
    <row r="4837">
      <c r="A4837" s="26" t="n"/>
      <c r="B4837" s="24" t="n"/>
      <c r="C4837" s="40">
        <f>IF(B4837="","",IFERROR(INDEX(Mitarbeiter!$B$6:$B$205,MATCH(B4837,Mitarbeiter!$A$6:$A$205,0)),"?"))</f>
        <v/>
      </c>
      <c r="D4837" s="41" t="n"/>
      <c r="E4837" s="42" t="n"/>
      <c r="F4837" s="43" t="n"/>
      <c r="G4837" s="44">
        <f>IF(OR(B4837="",F4837=""),"",IFERROR(F4837*INDEX(Mitarbeiter!$F$6:$F$205,MATCH(B4837,Mitarbeiter!$A$6:$A$205,0)),0))</f>
        <v/>
      </c>
      <c r="H4837" s="8">
        <f>IF(B4837="","",IF(ISNA(MATCH(B4837,Mitarbeiter!$A$6:$A$205,0)),"Pers.-Nr. unbekannt",IF(A4837="","Datum fehlt",IF(AND(D4837&lt;&gt;Einstellungen!$C$4,D4837&lt;&gt;Einstellungen!$C$5),"Objekt fehlt",IF(YEAR(A4837)&lt;&gt;Einstellungen!$C$3,"anderes Jahr",IF(A4837&lt;INDEX(Mitarbeiter!$C$6:$C$205,MATCH(B4837,Mitarbeiter!$A$6:$A$205,0)),"vor Eintritt",IF(AND(INDEX(Mitarbeiter!$D$6:$D$205,MATCH(B4837,Mitarbeiter!$A$6:$A$205,0))&lt;&gt;"",A4837&gt;INDEX(Mitarbeiter!$D$6:$D$205,MATCH(B4837,Mitarbeiter!$A$6:$A$205,0))),"nach Austritt","ok")))))))</f>
        <v/>
      </c>
    </row>
    <row r="4838">
      <c r="A4838" s="26" t="n"/>
      <c r="B4838" s="24" t="n"/>
      <c r="C4838" s="40">
        <f>IF(B4838="","",IFERROR(INDEX(Mitarbeiter!$B$6:$B$205,MATCH(B4838,Mitarbeiter!$A$6:$A$205,0)),"?"))</f>
        <v/>
      </c>
      <c r="D4838" s="41" t="n"/>
      <c r="E4838" s="42" t="n"/>
      <c r="F4838" s="43" t="n"/>
      <c r="G4838" s="44">
        <f>IF(OR(B4838="",F4838=""),"",IFERROR(F4838*INDEX(Mitarbeiter!$F$6:$F$205,MATCH(B4838,Mitarbeiter!$A$6:$A$205,0)),0))</f>
        <v/>
      </c>
      <c r="H4838" s="8">
        <f>IF(B4838="","",IF(ISNA(MATCH(B4838,Mitarbeiter!$A$6:$A$205,0)),"Pers.-Nr. unbekannt",IF(A4838="","Datum fehlt",IF(AND(D4838&lt;&gt;Einstellungen!$C$4,D4838&lt;&gt;Einstellungen!$C$5),"Objekt fehlt",IF(YEAR(A4838)&lt;&gt;Einstellungen!$C$3,"anderes Jahr",IF(A4838&lt;INDEX(Mitarbeiter!$C$6:$C$205,MATCH(B4838,Mitarbeiter!$A$6:$A$205,0)),"vor Eintritt",IF(AND(INDEX(Mitarbeiter!$D$6:$D$205,MATCH(B4838,Mitarbeiter!$A$6:$A$205,0))&lt;&gt;"",A4838&gt;INDEX(Mitarbeiter!$D$6:$D$205,MATCH(B4838,Mitarbeiter!$A$6:$A$205,0))),"nach Austritt","ok")))))))</f>
        <v/>
      </c>
    </row>
    <row r="4839">
      <c r="A4839" s="26" t="n"/>
      <c r="B4839" s="24" t="n"/>
      <c r="C4839" s="40">
        <f>IF(B4839="","",IFERROR(INDEX(Mitarbeiter!$B$6:$B$205,MATCH(B4839,Mitarbeiter!$A$6:$A$205,0)),"?"))</f>
        <v/>
      </c>
      <c r="D4839" s="41" t="n"/>
      <c r="E4839" s="42" t="n"/>
      <c r="F4839" s="43" t="n"/>
      <c r="G4839" s="44">
        <f>IF(OR(B4839="",F4839=""),"",IFERROR(F4839*INDEX(Mitarbeiter!$F$6:$F$205,MATCH(B4839,Mitarbeiter!$A$6:$A$205,0)),0))</f>
        <v/>
      </c>
      <c r="H4839" s="8">
        <f>IF(B4839="","",IF(ISNA(MATCH(B4839,Mitarbeiter!$A$6:$A$205,0)),"Pers.-Nr. unbekannt",IF(A4839="","Datum fehlt",IF(AND(D4839&lt;&gt;Einstellungen!$C$4,D4839&lt;&gt;Einstellungen!$C$5),"Objekt fehlt",IF(YEAR(A4839)&lt;&gt;Einstellungen!$C$3,"anderes Jahr",IF(A4839&lt;INDEX(Mitarbeiter!$C$6:$C$205,MATCH(B4839,Mitarbeiter!$A$6:$A$205,0)),"vor Eintritt",IF(AND(INDEX(Mitarbeiter!$D$6:$D$205,MATCH(B4839,Mitarbeiter!$A$6:$A$205,0))&lt;&gt;"",A4839&gt;INDEX(Mitarbeiter!$D$6:$D$205,MATCH(B4839,Mitarbeiter!$A$6:$A$205,0))),"nach Austritt","ok")))))))</f>
        <v/>
      </c>
    </row>
    <row r="4840">
      <c r="A4840" s="26" t="n"/>
      <c r="B4840" s="24" t="n"/>
      <c r="C4840" s="40">
        <f>IF(B4840="","",IFERROR(INDEX(Mitarbeiter!$B$6:$B$205,MATCH(B4840,Mitarbeiter!$A$6:$A$205,0)),"?"))</f>
        <v/>
      </c>
      <c r="D4840" s="41" t="n"/>
      <c r="E4840" s="42" t="n"/>
      <c r="F4840" s="43" t="n"/>
      <c r="G4840" s="44">
        <f>IF(OR(B4840="",F4840=""),"",IFERROR(F4840*INDEX(Mitarbeiter!$F$6:$F$205,MATCH(B4840,Mitarbeiter!$A$6:$A$205,0)),0))</f>
        <v/>
      </c>
      <c r="H4840" s="8">
        <f>IF(B4840="","",IF(ISNA(MATCH(B4840,Mitarbeiter!$A$6:$A$205,0)),"Pers.-Nr. unbekannt",IF(A4840="","Datum fehlt",IF(AND(D4840&lt;&gt;Einstellungen!$C$4,D4840&lt;&gt;Einstellungen!$C$5),"Objekt fehlt",IF(YEAR(A4840)&lt;&gt;Einstellungen!$C$3,"anderes Jahr",IF(A4840&lt;INDEX(Mitarbeiter!$C$6:$C$205,MATCH(B4840,Mitarbeiter!$A$6:$A$205,0)),"vor Eintritt",IF(AND(INDEX(Mitarbeiter!$D$6:$D$205,MATCH(B4840,Mitarbeiter!$A$6:$A$205,0))&lt;&gt;"",A4840&gt;INDEX(Mitarbeiter!$D$6:$D$205,MATCH(B4840,Mitarbeiter!$A$6:$A$205,0))),"nach Austritt","ok")))))))</f>
        <v/>
      </c>
    </row>
    <row r="4841">
      <c r="A4841" s="26" t="n"/>
      <c r="B4841" s="24" t="n"/>
      <c r="C4841" s="40">
        <f>IF(B4841="","",IFERROR(INDEX(Mitarbeiter!$B$6:$B$205,MATCH(B4841,Mitarbeiter!$A$6:$A$205,0)),"?"))</f>
        <v/>
      </c>
      <c r="D4841" s="41" t="n"/>
      <c r="E4841" s="42" t="n"/>
      <c r="F4841" s="43" t="n"/>
      <c r="G4841" s="44">
        <f>IF(OR(B4841="",F4841=""),"",IFERROR(F4841*INDEX(Mitarbeiter!$F$6:$F$205,MATCH(B4841,Mitarbeiter!$A$6:$A$205,0)),0))</f>
        <v/>
      </c>
      <c r="H4841" s="8">
        <f>IF(B4841="","",IF(ISNA(MATCH(B4841,Mitarbeiter!$A$6:$A$205,0)),"Pers.-Nr. unbekannt",IF(A4841="","Datum fehlt",IF(AND(D4841&lt;&gt;Einstellungen!$C$4,D4841&lt;&gt;Einstellungen!$C$5),"Objekt fehlt",IF(YEAR(A4841)&lt;&gt;Einstellungen!$C$3,"anderes Jahr",IF(A4841&lt;INDEX(Mitarbeiter!$C$6:$C$205,MATCH(B4841,Mitarbeiter!$A$6:$A$205,0)),"vor Eintritt",IF(AND(INDEX(Mitarbeiter!$D$6:$D$205,MATCH(B4841,Mitarbeiter!$A$6:$A$205,0))&lt;&gt;"",A4841&gt;INDEX(Mitarbeiter!$D$6:$D$205,MATCH(B4841,Mitarbeiter!$A$6:$A$205,0))),"nach Austritt","ok")))))))</f>
        <v/>
      </c>
    </row>
    <row r="4842">
      <c r="A4842" s="26" t="n"/>
      <c r="B4842" s="24" t="n"/>
      <c r="C4842" s="40">
        <f>IF(B4842="","",IFERROR(INDEX(Mitarbeiter!$B$6:$B$205,MATCH(B4842,Mitarbeiter!$A$6:$A$205,0)),"?"))</f>
        <v/>
      </c>
      <c r="D4842" s="41" t="n"/>
      <c r="E4842" s="42" t="n"/>
      <c r="F4842" s="43" t="n"/>
      <c r="G4842" s="44">
        <f>IF(OR(B4842="",F4842=""),"",IFERROR(F4842*INDEX(Mitarbeiter!$F$6:$F$205,MATCH(B4842,Mitarbeiter!$A$6:$A$205,0)),0))</f>
        <v/>
      </c>
      <c r="H4842" s="8">
        <f>IF(B4842="","",IF(ISNA(MATCH(B4842,Mitarbeiter!$A$6:$A$205,0)),"Pers.-Nr. unbekannt",IF(A4842="","Datum fehlt",IF(AND(D4842&lt;&gt;Einstellungen!$C$4,D4842&lt;&gt;Einstellungen!$C$5),"Objekt fehlt",IF(YEAR(A4842)&lt;&gt;Einstellungen!$C$3,"anderes Jahr",IF(A4842&lt;INDEX(Mitarbeiter!$C$6:$C$205,MATCH(B4842,Mitarbeiter!$A$6:$A$205,0)),"vor Eintritt",IF(AND(INDEX(Mitarbeiter!$D$6:$D$205,MATCH(B4842,Mitarbeiter!$A$6:$A$205,0))&lt;&gt;"",A4842&gt;INDEX(Mitarbeiter!$D$6:$D$205,MATCH(B4842,Mitarbeiter!$A$6:$A$205,0))),"nach Austritt","ok")))))))</f>
        <v/>
      </c>
    </row>
    <row r="4843">
      <c r="A4843" s="26" t="n"/>
      <c r="B4843" s="24" t="n"/>
      <c r="C4843" s="40">
        <f>IF(B4843="","",IFERROR(INDEX(Mitarbeiter!$B$6:$B$205,MATCH(B4843,Mitarbeiter!$A$6:$A$205,0)),"?"))</f>
        <v/>
      </c>
      <c r="D4843" s="41" t="n"/>
      <c r="E4843" s="42" t="n"/>
      <c r="F4843" s="43" t="n"/>
      <c r="G4843" s="44">
        <f>IF(OR(B4843="",F4843=""),"",IFERROR(F4843*INDEX(Mitarbeiter!$F$6:$F$205,MATCH(B4843,Mitarbeiter!$A$6:$A$205,0)),0))</f>
        <v/>
      </c>
      <c r="H4843" s="8">
        <f>IF(B4843="","",IF(ISNA(MATCH(B4843,Mitarbeiter!$A$6:$A$205,0)),"Pers.-Nr. unbekannt",IF(A4843="","Datum fehlt",IF(AND(D4843&lt;&gt;Einstellungen!$C$4,D4843&lt;&gt;Einstellungen!$C$5),"Objekt fehlt",IF(YEAR(A4843)&lt;&gt;Einstellungen!$C$3,"anderes Jahr",IF(A4843&lt;INDEX(Mitarbeiter!$C$6:$C$205,MATCH(B4843,Mitarbeiter!$A$6:$A$205,0)),"vor Eintritt",IF(AND(INDEX(Mitarbeiter!$D$6:$D$205,MATCH(B4843,Mitarbeiter!$A$6:$A$205,0))&lt;&gt;"",A4843&gt;INDEX(Mitarbeiter!$D$6:$D$205,MATCH(B4843,Mitarbeiter!$A$6:$A$205,0))),"nach Austritt","ok")))))))</f>
        <v/>
      </c>
    </row>
    <row r="4844">
      <c r="A4844" s="26" t="n"/>
      <c r="B4844" s="24" t="n"/>
      <c r="C4844" s="40">
        <f>IF(B4844="","",IFERROR(INDEX(Mitarbeiter!$B$6:$B$205,MATCH(B4844,Mitarbeiter!$A$6:$A$205,0)),"?"))</f>
        <v/>
      </c>
      <c r="D4844" s="41" t="n"/>
      <c r="E4844" s="42" t="n"/>
      <c r="F4844" s="43" t="n"/>
      <c r="G4844" s="44">
        <f>IF(OR(B4844="",F4844=""),"",IFERROR(F4844*INDEX(Mitarbeiter!$F$6:$F$205,MATCH(B4844,Mitarbeiter!$A$6:$A$205,0)),0))</f>
        <v/>
      </c>
      <c r="H4844" s="8">
        <f>IF(B4844="","",IF(ISNA(MATCH(B4844,Mitarbeiter!$A$6:$A$205,0)),"Pers.-Nr. unbekannt",IF(A4844="","Datum fehlt",IF(AND(D4844&lt;&gt;Einstellungen!$C$4,D4844&lt;&gt;Einstellungen!$C$5),"Objekt fehlt",IF(YEAR(A4844)&lt;&gt;Einstellungen!$C$3,"anderes Jahr",IF(A4844&lt;INDEX(Mitarbeiter!$C$6:$C$205,MATCH(B4844,Mitarbeiter!$A$6:$A$205,0)),"vor Eintritt",IF(AND(INDEX(Mitarbeiter!$D$6:$D$205,MATCH(B4844,Mitarbeiter!$A$6:$A$205,0))&lt;&gt;"",A4844&gt;INDEX(Mitarbeiter!$D$6:$D$205,MATCH(B4844,Mitarbeiter!$A$6:$A$205,0))),"nach Austritt","ok")))))))</f>
        <v/>
      </c>
    </row>
    <row r="4845">
      <c r="A4845" s="26" t="n"/>
      <c r="B4845" s="24" t="n"/>
      <c r="C4845" s="40">
        <f>IF(B4845="","",IFERROR(INDEX(Mitarbeiter!$B$6:$B$205,MATCH(B4845,Mitarbeiter!$A$6:$A$205,0)),"?"))</f>
        <v/>
      </c>
      <c r="D4845" s="41" t="n"/>
      <c r="E4845" s="42" t="n"/>
      <c r="F4845" s="43" t="n"/>
      <c r="G4845" s="44">
        <f>IF(OR(B4845="",F4845=""),"",IFERROR(F4845*INDEX(Mitarbeiter!$F$6:$F$205,MATCH(B4845,Mitarbeiter!$A$6:$A$205,0)),0))</f>
        <v/>
      </c>
      <c r="H4845" s="8">
        <f>IF(B4845="","",IF(ISNA(MATCH(B4845,Mitarbeiter!$A$6:$A$205,0)),"Pers.-Nr. unbekannt",IF(A4845="","Datum fehlt",IF(AND(D4845&lt;&gt;Einstellungen!$C$4,D4845&lt;&gt;Einstellungen!$C$5),"Objekt fehlt",IF(YEAR(A4845)&lt;&gt;Einstellungen!$C$3,"anderes Jahr",IF(A4845&lt;INDEX(Mitarbeiter!$C$6:$C$205,MATCH(B4845,Mitarbeiter!$A$6:$A$205,0)),"vor Eintritt",IF(AND(INDEX(Mitarbeiter!$D$6:$D$205,MATCH(B4845,Mitarbeiter!$A$6:$A$205,0))&lt;&gt;"",A4845&gt;INDEX(Mitarbeiter!$D$6:$D$205,MATCH(B4845,Mitarbeiter!$A$6:$A$205,0))),"nach Austritt","ok")))))))</f>
        <v/>
      </c>
    </row>
    <row r="4846">
      <c r="A4846" s="26" t="n"/>
      <c r="B4846" s="24" t="n"/>
      <c r="C4846" s="40">
        <f>IF(B4846="","",IFERROR(INDEX(Mitarbeiter!$B$6:$B$205,MATCH(B4846,Mitarbeiter!$A$6:$A$205,0)),"?"))</f>
        <v/>
      </c>
      <c r="D4846" s="41" t="n"/>
      <c r="E4846" s="42" t="n"/>
      <c r="F4846" s="43" t="n"/>
      <c r="G4846" s="44">
        <f>IF(OR(B4846="",F4846=""),"",IFERROR(F4846*INDEX(Mitarbeiter!$F$6:$F$205,MATCH(B4846,Mitarbeiter!$A$6:$A$205,0)),0))</f>
        <v/>
      </c>
      <c r="H4846" s="8">
        <f>IF(B4846="","",IF(ISNA(MATCH(B4846,Mitarbeiter!$A$6:$A$205,0)),"Pers.-Nr. unbekannt",IF(A4846="","Datum fehlt",IF(AND(D4846&lt;&gt;Einstellungen!$C$4,D4846&lt;&gt;Einstellungen!$C$5),"Objekt fehlt",IF(YEAR(A4846)&lt;&gt;Einstellungen!$C$3,"anderes Jahr",IF(A4846&lt;INDEX(Mitarbeiter!$C$6:$C$205,MATCH(B4846,Mitarbeiter!$A$6:$A$205,0)),"vor Eintritt",IF(AND(INDEX(Mitarbeiter!$D$6:$D$205,MATCH(B4846,Mitarbeiter!$A$6:$A$205,0))&lt;&gt;"",A4846&gt;INDEX(Mitarbeiter!$D$6:$D$205,MATCH(B4846,Mitarbeiter!$A$6:$A$205,0))),"nach Austritt","ok")))))))</f>
        <v/>
      </c>
    </row>
    <row r="4847">
      <c r="A4847" s="26" t="n"/>
      <c r="B4847" s="24" t="n"/>
      <c r="C4847" s="40">
        <f>IF(B4847="","",IFERROR(INDEX(Mitarbeiter!$B$6:$B$205,MATCH(B4847,Mitarbeiter!$A$6:$A$205,0)),"?"))</f>
        <v/>
      </c>
      <c r="D4847" s="41" t="n"/>
      <c r="E4847" s="42" t="n"/>
      <c r="F4847" s="43" t="n"/>
      <c r="G4847" s="44">
        <f>IF(OR(B4847="",F4847=""),"",IFERROR(F4847*INDEX(Mitarbeiter!$F$6:$F$205,MATCH(B4847,Mitarbeiter!$A$6:$A$205,0)),0))</f>
        <v/>
      </c>
      <c r="H4847" s="8">
        <f>IF(B4847="","",IF(ISNA(MATCH(B4847,Mitarbeiter!$A$6:$A$205,0)),"Pers.-Nr. unbekannt",IF(A4847="","Datum fehlt",IF(AND(D4847&lt;&gt;Einstellungen!$C$4,D4847&lt;&gt;Einstellungen!$C$5),"Objekt fehlt",IF(YEAR(A4847)&lt;&gt;Einstellungen!$C$3,"anderes Jahr",IF(A4847&lt;INDEX(Mitarbeiter!$C$6:$C$205,MATCH(B4847,Mitarbeiter!$A$6:$A$205,0)),"vor Eintritt",IF(AND(INDEX(Mitarbeiter!$D$6:$D$205,MATCH(B4847,Mitarbeiter!$A$6:$A$205,0))&lt;&gt;"",A4847&gt;INDEX(Mitarbeiter!$D$6:$D$205,MATCH(B4847,Mitarbeiter!$A$6:$A$205,0))),"nach Austritt","ok")))))))</f>
        <v/>
      </c>
    </row>
    <row r="4848">
      <c r="A4848" s="26" t="n"/>
      <c r="B4848" s="24" t="n"/>
      <c r="C4848" s="40">
        <f>IF(B4848="","",IFERROR(INDEX(Mitarbeiter!$B$6:$B$205,MATCH(B4848,Mitarbeiter!$A$6:$A$205,0)),"?"))</f>
        <v/>
      </c>
      <c r="D4848" s="41" t="n"/>
      <c r="E4848" s="42" t="n"/>
      <c r="F4848" s="43" t="n"/>
      <c r="G4848" s="44">
        <f>IF(OR(B4848="",F4848=""),"",IFERROR(F4848*INDEX(Mitarbeiter!$F$6:$F$205,MATCH(B4848,Mitarbeiter!$A$6:$A$205,0)),0))</f>
        <v/>
      </c>
      <c r="H4848" s="8">
        <f>IF(B4848="","",IF(ISNA(MATCH(B4848,Mitarbeiter!$A$6:$A$205,0)),"Pers.-Nr. unbekannt",IF(A4848="","Datum fehlt",IF(AND(D4848&lt;&gt;Einstellungen!$C$4,D4848&lt;&gt;Einstellungen!$C$5),"Objekt fehlt",IF(YEAR(A4848)&lt;&gt;Einstellungen!$C$3,"anderes Jahr",IF(A4848&lt;INDEX(Mitarbeiter!$C$6:$C$205,MATCH(B4848,Mitarbeiter!$A$6:$A$205,0)),"vor Eintritt",IF(AND(INDEX(Mitarbeiter!$D$6:$D$205,MATCH(B4848,Mitarbeiter!$A$6:$A$205,0))&lt;&gt;"",A4848&gt;INDEX(Mitarbeiter!$D$6:$D$205,MATCH(B4848,Mitarbeiter!$A$6:$A$205,0))),"nach Austritt","ok")))))))</f>
        <v/>
      </c>
    </row>
    <row r="4849">
      <c r="A4849" s="26" t="n"/>
      <c r="B4849" s="24" t="n"/>
      <c r="C4849" s="40">
        <f>IF(B4849="","",IFERROR(INDEX(Mitarbeiter!$B$6:$B$205,MATCH(B4849,Mitarbeiter!$A$6:$A$205,0)),"?"))</f>
        <v/>
      </c>
      <c r="D4849" s="41" t="n"/>
      <c r="E4849" s="42" t="n"/>
      <c r="F4849" s="43" t="n"/>
      <c r="G4849" s="44">
        <f>IF(OR(B4849="",F4849=""),"",IFERROR(F4849*INDEX(Mitarbeiter!$F$6:$F$205,MATCH(B4849,Mitarbeiter!$A$6:$A$205,0)),0))</f>
        <v/>
      </c>
      <c r="H4849" s="8">
        <f>IF(B4849="","",IF(ISNA(MATCH(B4849,Mitarbeiter!$A$6:$A$205,0)),"Pers.-Nr. unbekannt",IF(A4849="","Datum fehlt",IF(AND(D4849&lt;&gt;Einstellungen!$C$4,D4849&lt;&gt;Einstellungen!$C$5),"Objekt fehlt",IF(YEAR(A4849)&lt;&gt;Einstellungen!$C$3,"anderes Jahr",IF(A4849&lt;INDEX(Mitarbeiter!$C$6:$C$205,MATCH(B4849,Mitarbeiter!$A$6:$A$205,0)),"vor Eintritt",IF(AND(INDEX(Mitarbeiter!$D$6:$D$205,MATCH(B4849,Mitarbeiter!$A$6:$A$205,0))&lt;&gt;"",A4849&gt;INDEX(Mitarbeiter!$D$6:$D$205,MATCH(B4849,Mitarbeiter!$A$6:$A$205,0))),"nach Austritt","ok")))))))</f>
        <v/>
      </c>
    </row>
    <row r="4850">
      <c r="A4850" s="26" t="n"/>
      <c r="B4850" s="24" t="n"/>
      <c r="C4850" s="40">
        <f>IF(B4850="","",IFERROR(INDEX(Mitarbeiter!$B$6:$B$205,MATCH(B4850,Mitarbeiter!$A$6:$A$205,0)),"?"))</f>
        <v/>
      </c>
      <c r="D4850" s="41" t="n"/>
      <c r="E4850" s="42" t="n"/>
      <c r="F4850" s="43" t="n"/>
      <c r="G4850" s="44">
        <f>IF(OR(B4850="",F4850=""),"",IFERROR(F4850*INDEX(Mitarbeiter!$F$6:$F$205,MATCH(B4850,Mitarbeiter!$A$6:$A$205,0)),0))</f>
        <v/>
      </c>
      <c r="H4850" s="8">
        <f>IF(B4850="","",IF(ISNA(MATCH(B4850,Mitarbeiter!$A$6:$A$205,0)),"Pers.-Nr. unbekannt",IF(A4850="","Datum fehlt",IF(AND(D4850&lt;&gt;Einstellungen!$C$4,D4850&lt;&gt;Einstellungen!$C$5),"Objekt fehlt",IF(YEAR(A4850)&lt;&gt;Einstellungen!$C$3,"anderes Jahr",IF(A4850&lt;INDEX(Mitarbeiter!$C$6:$C$205,MATCH(B4850,Mitarbeiter!$A$6:$A$205,0)),"vor Eintritt",IF(AND(INDEX(Mitarbeiter!$D$6:$D$205,MATCH(B4850,Mitarbeiter!$A$6:$A$205,0))&lt;&gt;"",A4850&gt;INDEX(Mitarbeiter!$D$6:$D$205,MATCH(B4850,Mitarbeiter!$A$6:$A$205,0))),"nach Austritt","ok")))))))</f>
        <v/>
      </c>
    </row>
    <row r="4851">
      <c r="A4851" s="26" t="n"/>
      <c r="B4851" s="24" t="n"/>
      <c r="C4851" s="40">
        <f>IF(B4851="","",IFERROR(INDEX(Mitarbeiter!$B$6:$B$205,MATCH(B4851,Mitarbeiter!$A$6:$A$205,0)),"?"))</f>
        <v/>
      </c>
      <c r="D4851" s="41" t="n"/>
      <c r="E4851" s="42" t="n"/>
      <c r="F4851" s="43" t="n"/>
      <c r="G4851" s="44">
        <f>IF(OR(B4851="",F4851=""),"",IFERROR(F4851*INDEX(Mitarbeiter!$F$6:$F$205,MATCH(B4851,Mitarbeiter!$A$6:$A$205,0)),0))</f>
        <v/>
      </c>
      <c r="H4851" s="8">
        <f>IF(B4851="","",IF(ISNA(MATCH(B4851,Mitarbeiter!$A$6:$A$205,0)),"Pers.-Nr. unbekannt",IF(A4851="","Datum fehlt",IF(AND(D4851&lt;&gt;Einstellungen!$C$4,D4851&lt;&gt;Einstellungen!$C$5),"Objekt fehlt",IF(YEAR(A4851)&lt;&gt;Einstellungen!$C$3,"anderes Jahr",IF(A4851&lt;INDEX(Mitarbeiter!$C$6:$C$205,MATCH(B4851,Mitarbeiter!$A$6:$A$205,0)),"vor Eintritt",IF(AND(INDEX(Mitarbeiter!$D$6:$D$205,MATCH(B4851,Mitarbeiter!$A$6:$A$205,0))&lt;&gt;"",A4851&gt;INDEX(Mitarbeiter!$D$6:$D$205,MATCH(B4851,Mitarbeiter!$A$6:$A$205,0))),"nach Austritt","ok")))))))</f>
        <v/>
      </c>
    </row>
    <row r="4852">
      <c r="A4852" s="26" t="n"/>
      <c r="B4852" s="24" t="n"/>
      <c r="C4852" s="40">
        <f>IF(B4852="","",IFERROR(INDEX(Mitarbeiter!$B$6:$B$205,MATCH(B4852,Mitarbeiter!$A$6:$A$205,0)),"?"))</f>
        <v/>
      </c>
      <c r="D4852" s="41" t="n"/>
      <c r="E4852" s="42" t="n"/>
      <c r="F4852" s="43" t="n"/>
      <c r="G4852" s="44">
        <f>IF(OR(B4852="",F4852=""),"",IFERROR(F4852*INDEX(Mitarbeiter!$F$6:$F$205,MATCH(B4852,Mitarbeiter!$A$6:$A$205,0)),0))</f>
        <v/>
      </c>
      <c r="H4852" s="8">
        <f>IF(B4852="","",IF(ISNA(MATCH(B4852,Mitarbeiter!$A$6:$A$205,0)),"Pers.-Nr. unbekannt",IF(A4852="","Datum fehlt",IF(AND(D4852&lt;&gt;Einstellungen!$C$4,D4852&lt;&gt;Einstellungen!$C$5),"Objekt fehlt",IF(YEAR(A4852)&lt;&gt;Einstellungen!$C$3,"anderes Jahr",IF(A4852&lt;INDEX(Mitarbeiter!$C$6:$C$205,MATCH(B4852,Mitarbeiter!$A$6:$A$205,0)),"vor Eintritt",IF(AND(INDEX(Mitarbeiter!$D$6:$D$205,MATCH(B4852,Mitarbeiter!$A$6:$A$205,0))&lt;&gt;"",A4852&gt;INDEX(Mitarbeiter!$D$6:$D$205,MATCH(B4852,Mitarbeiter!$A$6:$A$205,0))),"nach Austritt","ok")))))))</f>
        <v/>
      </c>
    </row>
    <row r="4853">
      <c r="A4853" s="26" t="n"/>
      <c r="B4853" s="24" t="n"/>
      <c r="C4853" s="40">
        <f>IF(B4853="","",IFERROR(INDEX(Mitarbeiter!$B$6:$B$205,MATCH(B4853,Mitarbeiter!$A$6:$A$205,0)),"?"))</f>
        <v/>
      </c>
      <c r="D4853" s="41" t="n"/>
      <c r="E4853" s="42" t="n"/>
      <c r="F4853" s="43" t="n"/>
      <c r="G4853" s="44">
        <f>IF(OR(B4853="",F4853=""),"",IFERROR(F4853*INDEX(Mitarbeiter!$F$6:$F$205,MATCH(B4853,Mitarbeiter!$A$6:$A$205,0)),0))</f>
        <v/>
      </c>
      <c r="H4853" s="8">
        <f>IF(B4853="","",IF(ISNA(MATCH(B4853,Mitarbeiter!$A$6:$A$205,0)),"Pers.-Nr. unbekannt",IF(A4853="","Datum fehlt",IF(AND(D4853&lt;&gt;Einstellungen!$C$4,D4853&lt;&gt;Einstellungen!$C$5),"Objekt fehlt",IF(YEAR(A4853)&lt;&gt;Einstellungen!$C$3,"anderes Jahr",IF(A4853&lt;INDEX(Mitarbeiter!$C$6:$C$205,MATCH(B4853,Mitarbeiter!$A$6:$A$205,0)),"vor Eintritt",IF(AND(INDEX(Mitarbeiter!$D$6:$D$205,MATCH(B4853,Mitarbeiter!$A$6:$A$205,0))&lt;&gt;"",A4853&gt;INDEX(Mitarbeiter!$D$6:$D$205,MATCH(B4853,Mitarbeiter!$A$6:$A$205,0))),"nach Austritt","ok")))))))</f>
        <v/>
      </c>
    </row>
    <row r="4854">
      <c r="A4854" s="26" t="n"/>
      <c r="B4854" s="24" t="n"/>
      <c r="C4854" s="40">
        <f>IF(B4854="","",IFERROR(INDEX(Mitarbeiter!$B$6:$B$205,MATCH(B4854,Mitarbeiter!$A$6:$A$205,0)),"?"))</f>
        <v/>
      </c>
      <c r="D4854" s="41" t="n"/>
      <c r="E4854" s="42" t="n"/>
      <c r="F4854" s="43" t="n"/>
      <c r="G4854" s="44">
        <f>IF(OR(B4854="",F4854=""),"",IFERROR(F4854*INDEX(Mitarbeiter!$F$6:$F$205,MATCH(B4854,Mitarbeiter!$A$6:$A$205,0)),0))</f>
        <v/>
      </c>
      <c r="H4854" s="8">
        <f>IF(B4854="","",IF(ISNA(MATCH(B4854,Mitarbeiter!$A$6:$A$205,0)),"Pers.-Nr. unbekannt",IF(A4854="","Datum fehlt",IF(AND(D4854&lt;&gt;Einstellungen!$C$4,D4854&lt;&gt;Einstellungen!$C$5),"Objekt fehlt",IF(YEAR(A4854)&lt;&gt;Einstellungen!$C$3,"anderes Jahr",IF(A4854&lt;INDEX(Mitarbeiter!$C$6:$C$205,MATCH(B4854,Mitarbeiter!$A$6:$A$205,0)),"vor Eintritt",IF(AND(INDEX(Mitarbeiter!$D$6:$D$205,MATCH(B4854,Mitarbeiter!$A$6:$A$205,0))&lt;&gt;"",A4854&gt;INDEX(Mitarbeiter!$D$6:$D$205,MATCH(B4854,Mitarbeiter!$A$6:$A$205,0))),"nach Austritt","ok")))))))</f>
        <v/>
      </c>
    </row>
    <row r="4855">
      <c r="A4855" s="26" t="n"/>
      <c r="B4855" s="24" t="n"/>
      <c r="C4855" s="40">
        <f>IF(B4855="","",IFERROR(INDEX(Mitarbeiter!$B$6:$B$205,MATCH(B4855,Mitarbeiter!$A$6:$A$205,0)),"?"))</f>
        <v/>
      </c>
      <c r="D4855" s="41" t="n"/>
      <c r="E4855" s="42" t="n"/>
      <c r="F4855" s="43" t="n"/>
      <c r="G4855" s="44">
        <f>IF(OR(B4855="",F4855=""),"",IFERROR(F4855*INDEX(Mitarbeiter!$F$6:$F$205,MATCH(B4855,Mitarbeiter!$A$6:$A$205,0)),0))</f>
        <v/>
      </c>
      <c r="H4855" s="8">
        <f>IF(B4855="","",IF(ISNA(MATCH(B4855,Mitarbeiter!$A$6:$A$205,0)),"Pers.-Nr. unbekannt",IF(A4855="","Datum fehlt",IF(AND(D4855&lt;&gt;Einstellungen!$C$4,D4855&lt;&gt;Einstellungen!$C$5),"Objekt fehlt",IF(YEAR(A4855)&lt;&gt;Einstellungen!$C$3,"anderes Jahr",IF(A4855&lt;INDEX(Mitarbeiter!$C$6:$C$205,MATCH(B4855,Mitarbeiter!$A$6:$A$205,0)),"vor Eintritt",IF(AND(INDEX(Mitarbeiter!$D$6:$D$205,MATCH(B4855,Mitarbeiter!$A$6:$A$205,0))&lt;&gt;"",A4855&gt;INDEX(Mitarbeiter!$D$6:$D$205,MATCH(B4855,Mitarbeiter!$A$6:$A$205,0))),"nach Austritt","ok")))))))</f>
        <v/>
      </c>
    </row>
    <row r="4856">
      <c r="A4856" s="26" t="n"/>
      <c r="B4856" s="24" t="n"/>
      <c r="C4856" s="40">
        <f>IF(B4856="","",IFERROR(INDEX(Mitarbeiter!$B$6:$B$205,MATCH(B4856,Mitarbeiter!$A$6:$A$205,0)),"?"))</f>
        <v/>
      </c>
      <c r="D4856" s="41" t="n"/>
      <c r="E4856" s="42" t="n"/>
      <c r="F4856" s="43" t="n"/>
      <c r="G4856" s="44">
        <f>IF(OR(B4856="",F4856=""),"",IFERROR(F4856*INDEX(Mitarbeiter!$F$6:$F$205,MATCH(B4856,Mitarbeiter!$A$6:$A$205,0)),0))</f>
        <v/>
      </c>
      <c r="H4856" s="8">
        <f>IF(B4856="","",IF(ISNA(MATCH(B4856,Mitarbeiter!$A$6:$A$205,0)),"Pers.-Nr. unbekannt",IF(A4856="","Datum fehlt",IF(AND(D4856&lt;&gt;Einstellungen!$C$4,D4856&lt;&gt;Einstellungen!$C$5),"Objekt fehlt",IF(YEAR(A4856)&lt;&gt;Einstellungen!$C$3,"anderes Jahr",IF(A4856&lt;INDEX(Mitarbeiter!$C$6:$C$205,MATCH(B4856,Mitarbeiter!$A$6:$A$205,0)),"vor Eintritt",IF(AND(INDEX(Mitarbeiter!$D$6:$D$205,MATCH(B4856,Mitarbeiter!$A$6:$A$205,0))&lt;&gt;"",A4856&gt;INDEX(Mitarbeiter!$D$6:$D$205,MATCH(B4856,Mitarbeiter!$A$6:$A$205,0))),"nach Austritt","ok")))))))</f>
        <v/>
      </c>
    </row>
    <row r="4857">
      <c r="A4857" s="26" t="n"/>
      <c r="B4857" s="24" t="n"/>
      <c r="C4857" s="40">
        <f>IF(B4857="","",IFERROR(INDEX(Mitarbeiter!$B$6:$B$205,MATCH(B4857,Mitarbeiter!$A$6:$A$205,0)),"?"))</f>
        <v/>
      </c>
      <c r="D4857" s="41" t="n"/>
      <c r="E4857" s="42" t="n"/>
      <c r="F4857" s="43" t="n"/>
      <c r="G4857" s="44">
        <f>IF(OR(B4857="",F4857=""),"",IFERROR(F4857*INDEX(Mitarbeiter!$F$6:$F$205,MATCH(B4857,Mitarbeiter!$A$6:$A$205,0)),0))</f>
        <v/>
      </c>
      <c r="H4857" s="8">
        <f>IF(B4857="","",IF(ISNA(MATCH(B4857,Mitarbeiter!$A$6:$A$205,0)),"Pers.-Nr. unbekannt",IF(A4857="","Datum fehlt",IF(AND(D4857&lt;&gt;Einstellungen!$C$4,D4857&lt;&gt;Einstellungen!$C$5),"Objekt fehlt",IF(YEAR(A4857)&lt;&gt;Einstellungen!$C$3,"anderes Jahr",IF(A4857&lt;INDEX(Mitarbeiter!$C$6:$C$205,MATCH(B4857,Mitarbeiter!$A$6:$A$205,0)),"vor Eintritt",IF(AND(INDEX(Mitarbeiter!$D$6:$D$205,MATCH(B4857,Mitarbeiter!$A$6:$A$205,0))&lt;&gt;"",A4857&gt;INDEX(Mitarbeiter!$D$6:$D$205,MATCH(B4857,Mitarbeiter!$A$6:$A$205,0))),"nach Austritt","ok")))))))</f>
        <v/>
      </c>
    </row>
    <row r="4858">
      <c r="A4858" s="26" t="n"/>
      <c r="B4858" s="24" t="n"/>
      <c r="C4858" s="40">
        <f>IF(B4858="","",IFERROR(INDEX(Mitarbeiter!$B$6:$B$205,MATCH(B4858,Mitarbeiter!$A$6:$A$205,0)),"?"))</f>
        <v/>
      </c>
      <c r="D4858" s="41" t="n"/>
      <c r="E4858" s="42" t="n"/>
      <c r="F4858" s="43" t="n"/>
      <c r="G4858" s="44">
        <f>IF(OR(B4858="",F4858=""),"",IFERROR(F4858*INDEX(Mitarbeiter!$F$6:$F$205,MATCH(B4858,Mitarbeiter!$A$6:$A$205,0)),0))</f>
        <v/>
      </c>
      <c r="H4858" s="8">
        <f>IF(B4858="","",IF(ISNA(MATCH(B4858,Mitarbeiter!$A$6:$A$205,0)),"Pers.-Nr. unbekannt",IF(A4858="","Datum fehlt",IF(AND(D4858&lt;&gt;Einstellungen!$C$4,D4858&lt;&gt;Einstellungen!$C$5),"Objekt fehlt",IF(YEAR(A4858)&lt;&gt;Einstellungen!$C$3,"anderes Jahr",IF(A4858&lt;INDEX(Mitarbeiter!$C$6:$C$205,MATCH(B4858,Mitarbeiter!$A$6:$A$205,0)),"vor Eintritt",IF(AND(INDEX(Mitarbeiter!$D$6:$D$205,MATCH(B4858,Mitarbeiter!$A$6:$A$205,0))&lt;&gt;"",A4858&gt;INDEX(Mitarbeiter!$D$6:$D$205,MATCH(B4858,Mitarbeiter!$A$6:$A$205,0))),"nach Austritt","ok")))))))</f>
        <v/>
      </c>
    </row>
    <row r="4859">
      <c r="A4859" s="26" t="n"/>
      <c r="B4859" s="24" t="n"/>
      <c r="C4859" s="40">
        <f>IF(B4859="","",IFERROR(INDEX(Mitarbeiter!$B$6:$B$205,MATCH(B4859,Mitarbeiter!$A$6:$A$205,0)),"?"))</f>
        <v/>
      </c>
      <c r="D4859" s="41" t="n"/>
      <c r="E4859" s="42" t="n"/>
      <c r="F4859" s="43" t="n"/>
      <c r="G4859" s="44">
        <f>IF(OR(B4859="",F4859=""),"",IFERROR(F4859*INDEX(Mitarbeiter!$F$6:$F$205,MATCH(B4859,Mitarbeiter!$A$6:$A$205,0)),0))</f>
        <v/>
      </c>
      <c r="H4859" s="8">
        <f>IF(B4859="","",IF(ISNA(MATCH(B4859,Mitarbeiter!$A$6:$A$205,0)),"Pers.-Nr. unbekannt",IF(A4859="","Datum fehlt",IF(AND(D4859&lt;&gt;Einstellungen!$C$4,D4859&lt;&gt;Einstellungen!$C$5),"Objekt fehlt",IF(YEAR(A4859)&lt;&gt;Einstellungen!$C$3,"anderes Jahr",IF(A4859&lt;INDEX(Mitarbeiter!$C$6:$C$205,MATCH(B4859,Mitarbeiter!$A$6:$A$205,0)),"vor Eintritt",IF(AND(INDEX(Mitarbeiter!$D$6:$D$205,MATCH(B4859,Mitarbeiter!$A$6:$A$205,0))&lt;&gt;"",A4859&gt;INDEX(Mitarbeiter!$D$6:$D$205,MATCH(B4859,Mitarbeiter!$A$6:$A$205,0))),"nach Austritt","ok")))))))</f>
        <v/>
      </c>
    </row>
    <row r="4860">
      <c r="A4860" s="26" t="n"/>
      <c r="B4860" s="24" t="n"/>
      <c r="C4860" s="40">
        <f>IF(B4860="","",IFERROR(INDEX(Mitarbeiter!$B$6:$B$205,MATCH(B4860,Mitarbeiter!$A$6:$A$205,0)),"?"))</f>
        <v/>
      </c>
      <c r="D4860" s="41" t="n"/>
      <c r="E4860" s="42" t="n"/>
      <c r="F4860" s="43" t="n"/>
      <c r="G4860" s="44">
        <f>IF(OR(B4860="",F4860=""),"",IFERROR(F4860*INDEX(Mitarbeiter!$F$6:$F$205,MATCH(B4860,Mitarbeiter!$A$6:$A$205,0)),0))</f>
        <v/>
      </c>
      <c r="H4860" s="8">
        <f>IF(B4860="","",IF(ISNA(MATCH(B4860,Mitarbeiter!$A$6:$A$205,0)),"Pers.-Nr. unbekannt",IF(A4860="","Datum fehlt",IF(AND(D4860&lt;&gt;Einstellungen!$C$4,D4860&lt;&gt;Einstellungen!$C$5),"Objekt fehlt",IF(YEAR(A4860)&lt;&gt;Einstellungen!$C$3,"anderes Jahr",IF(A4860&lt;INDEX(Mitarbeiter!$C$6:$C$205,MATCH(B4860,Mitarbeiter!$A$6:$A$205,0)),"vor Eintritt",IF(AND(INDEX(Mitarbeiter!$D$6:$D$205,MATCH(B4860,Mitarbeiter!$A$6:$A$205,0))&lt;&gt;"",A4860&gt;INDEX(Mitarbeiter!$D$6:$D$205,MATCH(B4860,Mitarbeiter!$A$6:$A$205,0))),"nach Austritt","ok")))))))</f>
        <v/>
      </c>
    </row>
    <row r="4861">
      <c r="A4861" s="26" t="n"/>
      <c r="B4861" s="24" t="n"/>
      <c r="C4861" s="40">
        <f>IF(B4861="","",IFERROR(INDEX(Mitarbeiter!$B$6:$B$205,MATCH(B4861,Mitarbeiter!$A$6:$A$205,0)),"?"))</f>
        <v/>
      </c>
      <c r="D4861" s="41" t="n"/>
      <c r="E4861" s="42" t="n"/>
      <c r="F4861" s="43" t="n"/>
      <c r="G4861" s="44">
        <f>IF(OR(B4861="",F4861=""),"",IFERROR(F4861*INDEX(Mitarbeiter!$F$6:$F$205,MATCH(B4861,Mitarbeiter!$A$6:$A$205,0)),0))</f>
        <v/>
      </c>
      <c r="H4861" s="8">
        <f>IF(B4861="","",IF(ISNA(MATCH(B4861,Mitarbeiter!$A$6:$A$205,0)),"Pers.-Nr. unbekannt",IF(A4861="","Datum fehlt",IF(AND(D4861&lt;&gt;Einstellungen!$C$4,D4861&lt;&gt;Einstellungen!$C$5),"Objekt fehlt",IF(YEAR(A4861)&lt;&gt;Einstellungen!$C$3,"anderes Jahr",IF(A4861&lt;INDEX(Mitarbeiter!$C$6:$C$205,MATCH(B4861,Mitarbeiter!$A$6:$A$205,0)),"vor Eintritt",IF(AND(INDEX(Mitarbeiter!$D$6:$D$205,MATCH(B4861,Mitarbeiter!$A$6:$A$205,0))&lt;&gt;"",A4861&gt;INDEX(Mitarbeiter!$D$6:$D$205,MATCH(B4861,Mitarbeiter!$A$6:$A$205,0))),"nach Austritt","ok")))))))</f>
        <v/>
      </c>
    </row>
    <row r="4862">
      <c r="A4862" s="26" t="n"/>
      <c r="B4862" s="24" t="n"/>
      <c r="C4862" s="40">
        <f>IF(B4862="","",IFERROR(INDEX(Mitarbeiter!$B$6:$B$205,MATCH(B4862,Mitarbeiter!$A$6:$A$205,0)),"?"))</f>
        <v/>
      </c>
      <c r="D4862" s="41" t="n"/>
      <c r="E4862" s="42" t="n"/>
      <c r="F4862" s="43" t="n"/>
      <c r="G4862" s="44">
        <f>IF(OR(B4862="",F4862=""),"",IFERROR(F4862*INDEX(Mitarbeiter!$F$6:$F$205,MATCH(B4862,Mitarbeiter!$A$6:$A$205,0)),0))</f>
        <v/>
      </c>
      <c r="H4862" s="8">
        <f>IF(B4862="","",IF(ISNA(MATCH(B4862,Mitarbeiter!$A$6:$A$205,0)),"Pers.-Nr. unbekannt",IF(A4862="","Datum fehlt",IF(AND(D4862&lt;&gt;Einstellungen!$C$4,D4862&lt;&gt;Einstellungen!$C$5),"Objekt fehlt",IF(YEAR(A4862)&lt;&gt;Einstellungen!$C$3,"anderes Jahr",IF(A4862&lt;INDEX(Mitarbeiter!$C$6:$C$205,MATCH(B4862,Mitarbeiter!$A$6:$A$205,0)),"vor Eintritt",IF(AND(INDEX(Mitarbeiter!$D$6:$D$205,MATCH(B4862,Mitarbeiter!$A$6:$A$205,0))&lt;&gt;"",A4862&gt;INDEX(Mitarbeiter!$D$6:$D$205,MATCH(B4862,Mitarbeiter!$A$6:$A$205,0))),"nach Austritt","ok")))))))</f>
        <v/>
      </c>
    </row>
    <row r="4863">
      <c r="A4863" s="26" t="n"/>
      <c r="B4863" s="24" t="n"/>
      <c r="C4863" s="40">
        <f>IF(B4863="","",IFERROR(INDEX(Mitarbeiter!$B$6:$B$205,MATCH(B4863,Mitarbeiter!$A$6:$A$205,0)),"?"))</f>
        <v/>
      </c>
      <c r="D4863" s="41" t="n"/>
      <c r="E4863" s="42" t="n"/>
      <c r="F4863" s="43" t="n"/>
      <c r="G4863" s="44">
        <f>IF(OR(B4863="",F4863=""),"",IFERROR(F4863*INDEX(Mitarbeiter!$F$6:$F$205,MATCH(B4863,Mitarbeiter!$A$6:$A$205,0)),0))</f>
        <v/>
      </c>
      <c r="H4863" s="8">
        <f>IF(B4863="","",IF(ISNA(MATCH(B4863,Mitarbeiter!$A$6:$A$205,0)),"Pers.-Nr. unbekannt",IF(A4863="","Datum fehlt",IF(AND(D4863&lt;&gt;Einstellungen!$C$4,D4863&lt;&gt;Einstellungen!$C$5),"Objekt fehlt",IF(YEAR(A4863)&lt;&gt;Einstellungen!$C$3,"anderes Jahr",IF(A4863&lt;INDEX(Mitarbeiter!$C$6:$C$205,MATCH(B4863,Mitarbeiter!$A$6:$A$205,0)),"vor Eintritt",IF(AND(INDEX(Mitarbeiter!$D$6:$D$205,MATCH(B4863,Mitarbeiter!$A$6:$A$205,0))&lt;&gt;"",A4863&gt;INDEX(Mitarbeiter!$D$6:$D$205,MATCH(B4863,Mitarbeiter!$A$6:$A$205,0))),"nach Austritt","ok")))))))</f>
        <v/>
      </c>
    </row>
    <row r="4864">
      <c r="A4864" s="26" t="n"/>
      <c r="B4864" s="24" t="n"/>
      <c r="C4864" s="40">
        <f>IF(B4864="","",IFERROR(INDEX(Mitarbeiter!$B$6:$B$205,MATCH(B4864,Mitarbeiter!$A$6:$A$205,0)),"?"))</f>
        <v/>
      </c>
      <c r="D4864" s="41" t="n"/>
      <c r="E4864" s="42" t="n"/>
      <c r="F4864" s="43" t="n"/>
      <c r="G4864" s="44">
        <f>IF(OR(B4864="",F4864=""),"",IFERROR(F4864*INDEX(Mitarbeiter!$F$6:$F$205,MATCH(B4864,Mitarbeiter!$A$6:$A$205,0)),0))</f>
        <v/>
      </c>
      <c r="H4864" s="8">
        <f>IF(B4864="","",IF(ISNA(MATCH(B4864,Mitarbeiter!$A$6:$A$205,0)),"Pers.-Nr. unbekannt",IF(A4864="","Datum fehlt",IF(AND(D4864&lt;&gt;Einstellungen!$C$4,D4864&lt;&gt;Einstellungen!$C$5),"Objekt fehlt",IF(YEAR(A4864)&lt;&gt;Einstellungen!$C$3,"anderes Jahr",IF(A4864&lt;INDEX(Mitarbeiter!$C$6:$C$205,MATCH(B4864,Mitarbeiter!$A$6:$A$205,0)),"vor Eintritt",IF(AND(INDEX(Mitarbeiter!$D$6:$D$205,MATCH(B4864,Mitarbeiter!$A$6:$A$205,0))&lt;&gt;"",A4864&gt;INDEX(Mitarbeiter!$D$6:$D$205,MATCH(B4864,Mitarbeiter!$A$6:$A$205,0))),"nach Austritt","ok")))))))</f>
        <v/>
      </c>
    </row>
    <row r="4865">
      <c r="A4865" s="26" t="n"/>
      <c r="B4865" s="24" t="n"/>
      <c r="C4865" s="40">
        <f>IF(B4865="","",IFERROR(INDEX(Mitarbeiter!$B$6:$B$205,MATCH(B4865,Mitarbeiter!$A$6:$A$205,0)),"?"))</f>
        <v/>
      </c>
      <c r="D4865" s="41" t="n"/>
      <c r="E4865" s="42" t="n"/>
      <c r="F4865" s="43" t="n"/>
      <c r="G4865" s="44">
        <f>IF(OR(B4865="",F4865=""),"",IFERROR(F4865*INDEX(Mitarbeiter!$F$6:$F$205,MATCH(B4865,Mitarbeiter!$A$6:$A$205,0)),0))</f>
        <v/>
      </c>
      <c r="H4865" s="8">
        <f>IF(B4865="","",IF(ISNA(MATCH(B4865,Mitarbeiter!$A$6:$A$205,0)),"Pers.-Nr. unbekannt",IF(A4865="","Datum fehlt",IF(AND(D4865&lt;&gt;Einstellungen!$C$4,D4865&lt;&gt;Einstellungen!$C$5),"Objekt fehlt",IF(YEAR(A4865)&lt;&gt;Einstellungen!$C$3,"anderes Jahr",IF(A4865&lt;INDEX(Mitarbeiter!$C$6:$C$205,MATCH(B4865,Mitarbeiter!$A$6:$A$205,0)),"vor Eintritt",IF(AND(INDEX(Mitarbeiter!$D$6:$D$205,MATCH(B4865,Mitarbeiter!$A$6:$A$205,0))&lt;&gt;"",A4865&gt;INDEX(Mitarbeiter!$D$6:$D$205,MATCH(B4865,Mitarbeiter!$A$6:$A$205,0))),"nach Austritt","ok")))))))</f>
        <v/>
      </c>
    </row>
    <row r="4866">
      <c r="A4866" s="26" t="n"/>
      <c r="B4866" s="24" t="n"/>
      <c r="C4866" s="40">
        <f>IF(B4866="","",IFERROR(INDEX(Mitarbeiter!$B$6:$B$205,MATCH(B4866,Mitarbeiter!$A$6:$A$205,0)),"?"))</f>
        <v/>
      </c>
      <c r="D4866" s="41" t="n"/>
      <c r="E4866" s="42" t="n"/>
      <c r="F4866" s="43" t="n"/>
      <c r="G4866" s="44">
        <f>IF(OR(B4866="",F4866=""),"",IFERROR(F4866*INDEX(Mitarbeiter!$F$6:$F$205,MATCH(B4866,Mitarbeiter!$A$6:$A$205,0)),0))</f>
        <v/>
      </c>
      <c r="H4866" s="8">
        <f>IF(B4866="","",IF(ISNA(MATCH(B4866,Mitarbeiter!$A$6:$A$205,0)),"Pers.-Nr. unbekannt",IF(A4866="","Datum fehlt",IF(AND(D4866&lt;&gt;Einstellungen!$C$4,D4866&lt;&gt;Einstellungen!$C$5),"Objekt fehlt",IF(YEAR(A4866)&lt;&gt;Einstellungen!$C$3,"anderes Jahr",IF(A4866&lt;INDEX(Mitarbeiter!$C$6:$C$205,MATCH(B4866,Mitarbeiter!$A$6:$A$205,0)),"vor Eintritt",IF(AND(INDEX(Mitarbeiter!$D$6:$D$205,MATCH(B4866,Mitarbeiter!$A$6:$A$205,0))&lt;&gt;"",A4866&gt;INDEX(Mitarbeiter!$D$6:$D$205,MATCH(B4866,Mitarbeiter!$A$6:$A$205,0))),"nach Austritt","ok")))))))</f>
        <v/>
      </c>
    </row>
    <row r="4867">
      <c r="A4867" s="26" t="n"/>
      <c r="B4867" s="24" t="n"/>
      <c r="C4867" s="40">
        <f>IF(B4867="","",IFERROR(INDEX(Mitarbeiter!$B$6:$B$205,MATCH(B4867,Mitarbeiter!$A$6:$A$205,0)),"?"))</f>
        <v/>
      </c>
      <c r="D4867" s="41" t="n"/>
      <c r="E4867" s="42" t="n"/>
      <c r="F4867" s="43" t="n"/>
      <c r="G4867" s="44">
        <f>IF(OR(B4867="",F4867=""),"",IFERROR(F4867*INDEX(Mitarbeiter!$F$6:$F$205,MATCH(B4867,Mitarbeiter!$A$6:$A$205,0)),0))</f>
        <v/>
      </c>
      <c r="H4867" s="8">
        <f>IF(B4867="","",IF(ISNA(MATCH(B4867,Mitarbeiter!$A$6:$A$205,0)),"Pers.-Nr. unbekannt",IF(A4867="","Datum fehlt",IF(AND(D4867&lt;&gt;Einstellungen!$C$4,D4867&lt;&gt;Einstellungen!$C$5),"Objekt fehlt",IF(YEAR(A4867)&lt;&gt;Einstellungen!$C$3,"anderes Jahr",IF(A4867&lt;INDEX(Mitarbeiter!$C$6:$C$205,MATCH(B4867,Mitarbeiter!$A$6:$A$205,0)),"vor Eintritt",IF(AND(INDEX(Mitarbeiter!$D$6:$D$205,MATCH(B4867,Mitarbeiter!$A$6:$A$205,0))&lt;&gt;"",A4867&gt;INDEX(Mitarbeiter!$D$6:$D$205,MATCH(B4867,Mitarbeiter!$A$6:$A$205,0))),"nach Austritt","ok")))))))</f>
        <v/>
      </c>
    </row>
    <row r="4868">
      <c r="A4868" s="26" t="n"/>
      <c r="B4868" s="24" t="n"/>
      <c r="C4868" s="40">
        <f>IF(B4868="","",IFERROR(INDEX(Mitarbeiter!$B$6:$B$205,MATCH(B4868,Mitarbeiter!$A$6:$A$205,0)),"?"))</f>
        <v/>
      </c>
      <c r="D4868" s="41" t="n"/>
      <c r="E4868" s="42" t="n"/>
      <c r="F4868" s="43" t="n"/>
      <c r="G4868" s="44">
        <f>IF(OR(B4868="",F4868=""),"",IFERROR(F4868*INDEX(Mitarbeiter!$F$6:$F$205,MATCH(B4868,Mitarbeiter!$A$6:$A$205,0)),0))</f>
        <v/>
      </c>
      <c r="H4868" s="8">
        <f>IF(B4868="","",IF(ISNA(MATCH(B4868,Mitarbeiter!$A$6:$A$205,0)),"Pers.-Nr. unbekannt",IF(A4868="","Datum fehlt",IF(AND(D4868&lt;&gt;Einstellungen!$C$4,D4868&lt;&gt;Einstellungen!$C$5),"Objekt fehlt",IF(YEAR(A4868)&lt;&gt;Einstellungen!$C$3,"anderes Jahr",IF(A4868&lt;INDEX(Mitarbeiter!$C$6:$C$205,MATCH(B4868,Mitarbeiter!$A$6:$A$205,0)),"vor Eintritt",IF(AND(INDEX(Mitarbeiter!$D$6:$D$205,MATCH(B4868,Mitarbeiter!$A$6:$A$205,0))&lt;&gt;"",A4868&gt;INDEX(Mitarbeiter!$D$6:$D$205,MATCH(B4868,Mitarbeiter!$A$6:$A$205,0))),"nach Austritt","ok")))))))</f>
        <v/>
      </c>
    </row>
    <row r="4869">
      <c r="A4869" s="26" t="n"/>
      <c r="B4869" s="24" t="n"/>
      <c r="C4869" s="40">
        <f>IF(B4869="","",IFERROR(INDEX(Mitarbeiter!$B$6:$B$205,MATCH(B4869,Mitarbeiter!$A$6:$A$205,0)),"?"))</f>
        <v/>
      </c>
      <c r="D4869" s="41" t="n"/>
      <c r="E4869" s="42" t="n"/>
      <c r="F4869" s="43" t="n"/>
      <c r="G4869" s="44">
        <f>IF(OR(B4869="",F4869=""),"",IFERROR(F4869*INDEX(Mitarbeiter!$F$6:$F$205,MATCH(B4869,Mitarbeiter!$A$6:$A$205,0)),0))</f>
        <v/>
      </c>
      <c r="H4869" s="8">
        <f>IF(B4869="","",IF(ISNA(MATCH(B4869,Mitarbeiter!$A$6:$A$205,0)),"Pers.-Nr. unbekannt",IF(A4869="","Datum fehlt",IF(AND(D4869&lt;&gt;Einstellungen!$C$4,D4869&lt;&gt;Einstellungen!$C$5),"Objekt fehlt",IF(YEAR(A4869)&lt;&gt;Einstellungen!$C$3,"anderes Jahr",IF(A4869&lt;INDEX(Mitarbeiter!$C$6:$C$205,MATCH(B4869,Mitarbeiter!$A$6:$A$205,0)),"vor Eintritt",IF(AND(INDEX(Mitarbeiter!$D$6:$D$205,MATCH(B4869,Mitarbeiter!$A$6:$A$205,0))&lt;&gt;"",A4869&gt;INDEX(Mitarbeiter!$D$6:$D$205,MATCH(B4869,Mitarbeiter!$A$6:$A$205,0))),"nach Austritt","ok")))))))</f>
        <v/>
      </c>
    </row>
    <row r="4870">
      <c r="A4870" s="26" t="n"/>
      <c r="B4870" s="24" t="n"/>
      <c r="C4870" s="40">
        <f>IF(B4870="","",IFERROR(INDEX(Mitarbeiter!$B$6:$B$205,MATCH(B4870,Mitarbeiter!$A$6:$A$205,0)),"?"))</f>
        <v/>
      </c>
      <c r="D4870" s="41" t="n"/>
      <c r="E4870" s="42" t="n"/>
      <c r="F4870" s="43" t="n"/>
      <c r="G4870" s="44">
        <f>IF(OR(B4870="",F4870=""),"",IFERROR(F4870*INDEX(Mitarbeiter!$F$6:$F$205,MATCH(B4870,Mitarbeiter!$A$6:$A$205,0)),0))</f>
        <v/>
      </c>
      <c r="H4870" s="8">
        <f>IF(B4870="","",IF(ISNA(MATCH(B4870,Mitarbeiter!$A$6:$A$205,0)),"Pers.-Nr. unbekannt",IF(A4870="","Datum fehlt",IF(AND(D4870&lt;&gt;Einstellungen!$C$4,D4870&lt;&gt;Einstellungen!$C$5),"Objekt fehlt",IF(YEAR(A4870)&lt;&gt;Einstellungen!$C$3,"anderes Jahr",IF(A4870&lt;INDEX(Mitarbeiter!$C$6:$C$205,MATCH(B4870,Mitarbeiter!$A$6:$A$205,0)),"vor Eintritt",IF(AND(INDEX(Mitarbeiter!$D$6:$D$205,MATCH(B4870,Mitarbeiter!$A$6:$A$205,0))&lt;&gt;"",A4870&gt;INDEX(Mitarbeiter!$D$6:$D$205,MATCH(B4870,Mitarbeiter!$A$6:$A$205,0))),"nach Austritt","ok")))))))</f>
        <v/>
      </c>
    </row>
    <row r="4871">
      <c r="A4871" s="26" t="n"/>
      <c r="B4871" s="24" t="n"/>
      <c r="C4871" s="40">
        <f>IF(B4871="","",IFERROR(INDEX(Mitarbeiter!$B$6:$B$205,MATCH(B4871,Mitarbeiter!$A$6:$A$205,0)),"?"))</f>
        <v/>
      </c>
      <c r="D4871" s="41" t="n"/>
      <c r="E4871" s="42" t="n"/>
      <c r="F4871" s="43" t="n"/>
      <c r="G4871" s="44">
        <f>IF(OR(B4871="",F4871=""),"",IFERROR(F4871*INDEX(Mitarbeiter!$F$6:$F$205,MATCH(B4871,Mitarbeiter!$A$6:$A$205,0)),0))</f>
        <v/>
      </c>
      <c r="H4871" s="8">
        <f>IF(B4871="","",IF(ISNA(MATCH(B4871,Mitarbeiter!$A$6:$A$205,0)),"Pers.-Nr. unbekannt",IF(A4871="","Datum fehlt",IF(AND(D4871&lt;&gt;Einstellungen!$C$4,D4871&lt;&gt;Einstellungen!$C$5),"Objekt fehlt",IF(YEAR(A4871)&lt;&gt;Einstellungen!$C$3,"anderes Jahr",IF(A4871&lt;INDEX(Mitarbeiter!$C$6:$C$205,MATCH(B4871,Mitarbeiter!$A$6:$A$205,0)),"vor Eintritt",IF(AND(INDEX(Mitarbeiter!$D$6:$D$205,MATCH(B4871,Mitarbeiter!$A$6:$A$205,0))&lt;&gt;"",A4871&gt;INDEX(Mitarbeiter!$D$6:$D$205,MATCH(B4871,Mitarbeiter!$A$6:$A$205,0))),"nach Austritt","ok")))))))</f>
        <v/>
      </c>
    </row>
    <row r="4872">
      <c r="A4872" s="26" t="n"/>
      <c r="B4872" s="24" t="n"/>
      <c r="C4872" s="40">
        <f>IF(B4872="","",IFERROR(INDEX(Mitarbeiter!$B$6:$B$205,MATCH(B4872,Mitarbeiter!$A$6:$A$205,0)),"?"))</f>
        <v/>
      </c>
      <c r="D4872" s="41" t="n"/>
      <c r="E4872" s="42" t="n"/>
      <c r="F4872" s="43" t="n"/>
      <c r="G4872" s="44">
        <f>IF(OR(B4872="",F4872=""),"",IFERROR(F4872*INDEX(Mitarbeiter!$F$6:$F$205,MATCH(B4872,Mitarbeiter!$A$6:$A$205,0)),0))</f>
        <v/>
      </c>
      <c r="H4872" s="8">
        <f>IF(B4872="","",IF(ISNA(MATCH(B4872,Mitarbeiter!$A$6:$A$205,0)),"Pers.-Nr. unbekannt",IF(A4872="","Datum fehlt",IF(AND(D4872&lt;&gt;Einstellungen!$C$4,D4872&lt;&gt;Einstellungen!$C$5),"Objekt fehlt",IF(YEAR(A4872)&lt;&gt;Einstellungen!$C$3,"anderes Jahr",IF(A4872&lt;INDEX(Mitarbeiter!$C$6:$C$205,MATCH(B4872,Mitarbeiter!$A$6:$A$205,0)),"vor Eintritt",IF(AND(INDEX(Mitarbeiter!$D$6:$D$205,MATCH(B4872,Mitarbeiter!$A$6:$A$205,0))&lt;&gt;"",A4872&gt;INDEX(Mitarbeiter!$D$6:$D$205,MATCH(B4872,Mitarbeiter!$A$6:$A$205,0))),"nach Austritt","ok")))))))</f>
        <v/>
      </c>
    </row>
    <row r="4873">
      <c r="A4873" s="26" t="n"/>
      <c r="B4873" s="24" t="n"/>
      <c r="C4873" s="40">
        <f>IF(B4873="","",IFERROR(INDEX(Mitarbeiter!$B$6:$B$205,MATCH(B4873,Mitarbeiter!$A$6:$A$205,0)),"?"))</f>
        <v/>
      </c>
      <c r="D4873" s="41" t="n"/>
      <c r="E4873" s="42" t="n"/>
      <c r="F4873" s="43" t="n"/>
      <c r="G4873" s="44">
        <f>IF(OR(B4873="",F4873=""),"",IFERROR(F4873*INDEX(Mitarbeiter!$F$6:$F$205,MATCH(B4873,Mitarbeiter!$A$6:$A$205,0)),0))</f>
        <v/>
      </c>
      <c r="H4873" s="8">
        <f>IF(B4873="","",IF(ISNA(MATCH(B4873,Mitarbeiter!$A$6:$A$205,0)),"Pers.-Nr. unbekannt",IF(A4873="","Datum fehlt",IF(AND(D4873&lt;&gt;Einstellungen!$C$4,D4873&lt;&gt;Einstellungen!$C$5),"Objekt fehlt",IF(YEAR(A4873)&lt;&gt;Einstellungen!$C$3,"anderes Jahr",IF(A4873&lt;INDEX(Mitarbeiter!$C$6:$C$205,MATCH(B4873,Mitarbeiter!$A$6:$A$205,0)),"vor Eintritt",IF(AND(INDEX(Mitarbeiter!$D$6:$D$205,MATCH(B4873,Mitarbeiter!$A$6:$A$205,0))&lt;&gt;"",A4873&gt;INDEX(Mitarbeiter!$D$6:$D$205,MATCH(B4873,Mitarbeiter!$A$6:$A$205,0))),"nach Austritt","ok")))))))</f>
        <v/>
      </c>
    </row>
    <row r="4874">
      <c r="A4874" s="26" t="n"/>
      <c r="B4874" s="24" t="n"/>
      <c r="C4874" s="40">
        <f>IF(B4874="","",IFERROR(INDEX(Mitarbeiter!$B$6:$B$205,MATCH(B4874,Mitarbeiter!$A$6:$A$205,0)),"?"))</f>
        <v/>
      </c>
      <c r="D4874" s="41" t="n"/>
      <c r="E4874" s="42" t="n"/>
      <c r="F4874" s="43" t="n"/>
      <c r="G4874" s="44">
        <f>IF(OR(B4874="",F4874=""),"",IFERROR(F4874*INDEX(Mitarbeiter!$F$6:$F$205,MATCH(B4874,Mitarbeiter!$A$6:$A$205,0)),0))</f>
        <v/>
      </c>
      <c r="H4874" s="8">
        <f>IF(B4874="","",IF(ISNA(MATCH(B4874,Mitarbeiter!$A$6:$A$205,0)),"Pers.-Nr. unbekannt",IF(A4874="","Datum fehlt",IF(AND(D4874&lt;&gt;Einstellungen!$C$4,D4874&lt;&gt;Einstellungen!$C$5),"Objekt fehlt",IF(YEAR(A4874)&lt;&gt;Einstellungen!$C$3,"anderes Jahr",IF(A4874&lt;INDEX(Mitarbeiter!$C$6:$C$205,MATCH(B4874,Mitarbeiter!$A$6:$A$205,0)),"vor Eintritt",IF(AND(INDEX(Mitarbeiter!$D$6:$D$205,MATCH(B4874,Mitarbeiter!$A$6:$A$205,0))&lt;&gt;"",A4874&gt;INDEX(Mitarbeiter!$D$6:$D$205,MATCH(B4874,Mitarbeiter!$A$6:$A$205,0))),"nach Austritt","ok")))))))</f>
        <v/>
      </c>
    </row>
    <row r="4875">
      <c r="A4875" s="26" t="n"/>
      <c r="B4875" s="24" t="n"/>
      <c r="C4875" s="40">
        <f>IF(B4875="","",IFERROR(INDEX(Mitarbeiter!$B$6:$B$205,MATCH(B4875,Mitarbeiter!$A$6:$A$205,0)),"?"))</f>
        <v/>
      </c>
      <c r="D4875" s="41" t="n"/>
      <c r="E4875" s="42" t="n"/>
      <c r="F4875" s="43" t="n"/>
      <c r="G4875" s="44">
        <f>IF(OR(B4875="",F4875=""),"",IFERROR(F4875*INDEX(Mitarbeiter!$F$6:$F$205,MATCH(B4875,Mitarbeiter!$A$6:$A$205,0)),0))</f>
        <v/>
      </c>
      <c r="H4875" s="8">
        <f>IF(B4875="","",IF(ISNA(MATCH(B4875,Mitarbeiter!$A$6:$A$205,0)),"Pers.-Nr. unbekannt",IF(A4875="","Datum fehlt",IF(AND(D4875&lt;&gt;Einstellungen!$C$4,D4875&lt;&gt;Einstellungen!$C$5),"Objekt fehlt",IF(YEAR(A4875)&lt;&gt;Einstellungen!$C$3,"anderes Jahr",IF(A4875&lt;INDEX(Mitarbeiter!$C$6:$C$205,MATCH(B4875,Mitarbeiter!$A$6:$A$205,0)),"vor Eintritt",IF(AND(INDEX(Mitarbeiter!$D$6:$D$205,MATCH(B4875,Mitarbeiter!$A$6:$A$205,0))&lt;&gt;"",A4875&gt;INDEX(Mitarbeiter!$D$6:$D$205,MATCH(B4875,Mitarbeiter!$A$6:$A$205,0))),"nach Austritt","ok")))))))</f>
        <v/>
      </c>
    </row>
    <row r="4876">
      <c r="A4876" s="26" t="n"/>
      <c r="B4876" s="24" t="n"/>
      <c r="C4876" s="40">
        <f>IF(B4876="","",IFERROR(INDEX(Mitarbeiter!$B$6:$B$205,MATCH(B4876,Mitarbeiter!$A$6:$A$205,0)),"?"))</f>
        <v/>
      </c>
      <c r="D4876" s="41" t="n"/>
      <c r="E4876" s="42" t="n"/>
      <c r="F4876" s="43" t="n"/>
      <c r="G4876" s="44">
        <f>IF(OR(B4876="",F4876=""),"",IFERROR(F4876*INDEX(Mitarbeiter!$F$6:$F$205,MATCH(B4876,Mitarbeiter!$A$6:$A$205,0)),0))</f>
        <v/>
      </c>
      <c r="H4876" s="8">
        <f>IF(B4876="","",IF(ISNA(MATCH(B4876,Mitarbeiter!$A$6:$A$205,0)),"Pers.-Nr. unbekannt",IF(A4876="","Datum fehlt",IF(AND(D4876&lt;&gt;Einstellungen!$C$4,D4876&lt;&gt;Einstellungen!$C$5),"Objekt fehlt",IF(YEAR(A4876)&lt;&gt;Einstellungen!$C$3,"anderes Jahr",IF(A4876&lt;INDEX(Mitarbeiter!$C$6:$C$205,MATCH(B4876,Mitarbeiter!$A$6:$A$205,0)),"vor Eintritt",IF(AND(INDEX(Mitarbeiter!$D$6:$D$205,MATCH(B4876,Mitarbeiter!$A$6:$A$205,0))&lt;&gt;"",A4876&gt;INDEX(Mitarbeiter!$D$6:$D$205,MATCH(B4876,Mitarbeiter!$A$6:$A$205,0))),"nach Austritt","ok")))))))</f>
        <v/>
      </c>
    </row>
    <row r="4877">
      <c r="A4877" s="26" t="n"/>
      <c r="B4877" s="24" t="n"/>
      <c r="C4877" s="40">
        <f>IF(B4877="","",IFERROR(INDEX(Mitarbeiter!$B$6:$B$205,MATCH(B4877,Mitarbeiter!$A$6:$A$205,0)),"?"))</f>
        <v/>
      </c>
      <c r="D4877" s="41" t="n"/>
      <c r="E4877" s="42" t="n"/>
      <c r="F4877" s="43" t="n"/>
      <c r="G4877" s="44">
        <f>IF(OR(B4877="",F4877=""),"",IFERROR(F4877*INDEX(Mitarbeiter!$F$6:$F$205,MATCH(B4877,Mitarbeiter!$A$6:$A$205,0)),0))</f>
        <v/>
      </c>
      <c r="H4877" s="8">
        <f>IF(B4877="","",IF(ISNA(MATCH(B4877,Mitarbeiter!$A$6:$A$205,0)),"Pers.-Nr. unbekannt",IF(A4877="","Datum fehlt",IF(AND(D4877&lt;&gt;Einstellungen!$C$4,D4877&lt;&gt;Einstellungen!$C$5),"Objekt fehlt",IF(YEAR(A4877)&lt;&gt;Einstellungen!$C$3,"anderes Jahr",IF(A4877&lt;INDEX(Mitarbeiter!$C$6:$C$205,MATCH(B4877,Mitarbeiter!$A$6:$A$205,0)),"vor Eintritt",IF(AND(INDEX(Mitarbeiter!$D$6:$D$205,MATCH(B4877,Mitarbeiter!$A$6:$A$205,0))&lt;&gt;"",A4877&gt;INDEX(Mitarbeiter!$D$6:$D$205,MATCH(B4877,Mitarbeiter!$A$6:$A$205,0))),"nach Austritt","ok")))))))</f>
        <v/>
      </c>
    </row>
    <row r="4878">
      <c r="A4878" s="26" t="n"/>
      <c r="B4878" s="24" t="n"/>
      <c r="C4878" s="40">
        <f>IF(B4878="","",IFERROR(INDEX(Mitarbeiter!$B$6:$B$205,MATCH(B4878,Mitarbeiter!$A$6:$A$205,0)),"?"))</f>
        <v/>
      </c>
      <c r="D4878" s="41" t="n"/>
      <c r="E4878" s="42" t="n"/>
      <c r="F4878" s="43" t="n"/>
      <c r="G4878" s="44">
        <f>IF(OR(B4878="",F4878=""),"",IFERROR(F4878*INDEX(Mitarbeiter!$F$6:$F$205,MATCH(B4878,Mitarbeiter!$A$6:$A$205,0)),0))</f>
        <v/>
      </c>
      <c r="H4878" s="8">
        <f>IF(B4878="","",IF(ISNA(MATCH(B4878,Mitarbeiter!$A$6:$A$205,0)),"Pers.-Nr. unbekannt",IF(A4878="","Datum fehlt",IF(AND(D4878&lt;&gt;Einstellungen!$C$4,D4878&lt;&gt;Einstellungen!$C$5),"Objekt fehlt",IF(YEAR(A4878)&lt;&gt;Einstellungen!$C$3,"anderes Jahr",IF(A4878&lt;INDEX(Mitarbeiter!$C$6:$C$205,MATCH(B4878,Mitarbeiter!$A$6:$A$205,0)),"vor Eintritt",IF(AND(INDEX(Mitarbeiter!$D$6:$D$205,MATCH(B4878,Mitarbeiter!$A$6:$A$205,0))&lt;&gt;"",A4878&gt;INDEX(Mitarbeiter!$D$6:$D$205,MATCH(B4878,Mitarbeiter!$A$6:$A$205,0))),"nach Austritt","ok")))))))</f>
        <v/>
      </c>
    </row>
    <row r="4879">
      <c r="A4879" s="26" t="n"/>
      <c r="B4879" s="24" t="n"/>
      <c r="C4879" s="40">
        <f>IF(B4879="","",IFERROR(INDEX(Mitarbeiter!$B$6:$B$205,MATCH(B4879,Mitarbeiter!$A$6:$A$205,0)),"?"))</f>
        <v/>
      </c>
      <c r="D4879" s="41" t="n"/>
      <c r="E4879" s="42" t="n"/>
      <c r="F4879" s="43" t="n"/>
      <c r="G4879" s="44">
        <f>IF(OR(B4879="",F4879=""),"",IFERROR(F4879*INDEX(Mitarbeiter!$F$6:$F$205,MATCH(B4879,Mitarbeiter!$A$6:$A$205,0)),0))</f>
        <v/>
      </c>
      <c r="H4879" s="8">
        <f>IF(B4879="","",IF(ISNA(MATCH(B4879,Mitarbeiter!$A$6:$A$205,0)),"Pers.-Nr. unbekannt",IF(A4879="","Datum fehlt",IF(AND(D4879&lt;&gt;Einstellungen!$C$4,D4879&lt;&gt;Einstellungen!$C$5),"Objekt fehlt",IF(YEAR(A4879)&lt;&gt;Einstellungen!$C$3,"anderes Jahr",IF(A4879&lt;INDEX(Mitarbeiter!$C$6:$C$205,MATCH(B4879,Mitarbeiter!$A$6:$A$205,0)),"vor Eintritt",IF(AND(INDEX(Mitarbeiter!$D$6:$D$205,MATCH(B4879,Mitarbeiter!$A$6:$A$205,0))&lt;&gt;"",A4879&gt;INDEX(Mitarbeiter!$D$6:$D$205,MATCH(B4879,Mitarbeiter!$A$6:$A$205,0))),"nach Austritt","ok")))))))</f>
        <v/>
      </c>
    </row>
    <row r="4880">
      <c r="A4880" s="26" t="n"/>
      <c r="B4880" s="24" t="n"/>
      <c r="C4880" s="40">
        <f>IF(B4880="","",IFERROR(INDEX(Mitarbeiter!$B$6:$B$205,MATCH(B4880,Mitarbeiter!$A$6:$A$205,0)),"?"))</f>
        <v/>
      </c>
      <c r="D4880" s="41" t="n"/>
      <c r="E4880" s="42" t="n"/>
      <c r="F4880" s="43" t="n"/>
      <c r="G4880" s="44">
        <f>IF(OR(B4880="",F4880=""),"",IFERROR(F4880*INDEX(Mitarbeiter!$F$6:$F$205,MATCH(B4880,Mitarbeiter!$A$6:$A$205,0)),0))</f>
        <v/>
      </c>
      <c r="H4880" s="8">
        <f>IF(B4880="","",IF(ISNA(MATCH(B4880,Mitarbeiter!$A$6:$A$205,0)),"Pers.-Nr. unbekannt",IF(A4880="","Datum fehlt",IF(AND(D4880&lt;&gt;Einstellungen!$C$4,D4880&lt;&gt;Einstellungen!$C$5),"Objekt fehlt",IF(YEAR(A4880)&lt;&gt;Einstellungen!$C$3,"anderes Jahr",IF(A4880&lt;INDEX(Mitarbeiter!$C$6:$C$205,MATCH(B4880,Mitarbeiter!$A$6:$A$205,0)),"vor Eintritt",IF(AND(INDEX(Mitarbeiter!$D$6:$D$205,MATCH(B4880,Mitarbeiter!$A$6:$A$205,0))&lt;&gt;"",A4880&gt;INDEX(Mitarbeiter!$D$6:$D$205,MATCH(B4880,Mitarbeiter!$A$6:$A$205,0))),"nach Austritt","ok")))))))</f>
        <v/>
      </c>
    </row>
    <row r="4881">
      <c r="A4881" s="26" t="n"/>
      <c r="B4881" s="24" t="n"/>
      <c r="C4881" s="40">
        <f>IF(B4881="","",IFERROR(INDEX(Mitarbeiter!$B$6:$B$205,MATCH(B4881,Mitarbeiter!$A$6:$A$205,0)),"?"))</f>
        <v/>
      </c>
      <c r="D4881" s="41" t="n"/>
      <c r="E4881" s="42" t="n"/>
      <c r="F4881" s="43" t="n"/>
      <c r="G4881" s="44">
        <f>IF(OR(B4881="",F4881=""),"",IFERROR(F4881*INDEX(Mitarbeiter!$F$6:$F$205,MATCH(B4881,Mitarbeiter!$A$6:$A$205,0)),0))</f>
        <v/>
      </c>
      <c r="H4881" s="8">
        <f>IF(B4881="","",IF(ISNA(MATCH(B4881,Mitarbeiter!$A$6:$A$205,0)),"Pers.-Nr. unbekannt",IF(A4881="","Datum fehlt",IF(AND(D4881&lt;&gt;Einstellungen!$C$4,D4881&lt;&gt;Einstellungen!$C$5),"Objekt fehlt",IF(YEAR(A4881)&lt;&gt;Einstellungen!$C$3,"anderes Jahr",IF(A4881&lt;INDEX(Mitarbeiter!$C$6:$C$205,MATCH(B4881,Mitarbeiter!$A$6:$A$205,0)),"vor Eintritt",IF(AND(INDEX(Mitarbeiter!$D$6:$D$205,MATCH(B4881,Mitarbeiter!$A$6:$A$205,0))&lt;&gt;"",A4881&gt;INDEX(Mitarbeiter!$D$6:$D$205,MATCH(B4881,Mitarbeiter!$A$6:$A$205,0))),"nach Austritt","ok")))))))</f>
        <v/>
      </c>
    </row>
    <row r="4882">
      <c r="A4882" s="26" t="n"/>
      <c r="B4882" s="24" t="n"/>
      <c r="C4882" s="40">
        <f>IF(B4882="","",IFERROR(INDEX(Mitarbeiter!$B$6:$B$205,MATCH(B4882,Mitarbeiter!$A$6:$A$205,0)),"?"))</f>
        <v/>
      </c>
      <c r="D4882" s="41" t="n"/>
      <c r="E4882" s="42" t="n"/>
      <c r="F4882" s="43" t="n"/>
      <c r="G4882" s="44">
        <f>IF(OR(B4882="",F4882=""),"",IFERROR(F4882*INDEX(Mitarbeiter!$F$6:$F$205,MATCH(B4882,Mitarbeiter!$A$6:$A$205,0)),0))</f>
        <v/>
      </c>
      <c r="H4882" s="8">
        <f>IF(B4882="","",IF(ISNA(MATCH(B4882,Mitarbeiter!$A$6:$A$205,0)),"Pers.-Nr. unbekannt",IF(A4882="","Datum fehlt",IF(AND(D4882&lt;&gt;Einstellungen!$C$4,D4882&lt;&gt;Einstellungen!$C$5),"Objekt fehlt",IF(YEAR(A4882)&lt;&gt;Einstellungen!$C$3,"anderes Jahr",IF(A4882&lt;INDEX(Mitarbeiter!$C$6:$C$205,MATCH(B4882,Mitarbeiter!$A$6:$A$205,0)),"vor Eintritt",IF(AND(INDEX(Mitarbeiter!$D$6:$D$205,MATCH(B4882,Mitarbeiter!$A$6:$A$205,0))&lt;&gt;"",A4882&gt;INDEX(Mitarbeiter!$D$6:$D$205,MATCH(B4882,Mitarbeiter!$A$6:$A$205,0))),"nach Austritt","ok")))))))</f>
        <v/>
      </c>
    </row>
    <row r="4883">
      <c r="A4883" s="26" t="n"/>
      <c r="B4883" s="24" t="n"/>
      <c r="C4883" s="40">
        <f>IF(B4883="","",IFERROR(INDEX(Mitarbeiter!$B$6:$B$205,MATCH(B4883,Mitarbeiter!$A$6:$A$205,0)),"?"))</f>
        <v/>
      </c>
      <c r="D4883" s="41" t="n"/>
      <c r="E4883" s="42" t="n"/>
      <c r="F4883" s="43" t="n"/>
      <c r="G4883" s="44">
        <f>IF(OR(B4883="",F4883=""),"",IFERROR(F4883*INDEX(Mitarbeiter!$F$6:$F$205,MATCH(B4883,Mitarbeiter!$A$6:$A$205,0)),0))</f>
        <v/>
      </c>
      <c r="H4883" s="8">
        <f>IF(B4883="","",IF(ISNA(MATCH(B4883,Mitarbeiter!$A$6:$A$205,0)),"Pers.-Nr. unbekannt",IF(A4883="","Datum fehlt",IF(AND(D4883&lt;&gt;Einstellungen!$C$4,D4883&lt;&gt;Einstellungen!$C$5),"Objekt fehlt",IF(YEAR(A4883)&lt;&gt;Einstellungen!$C$3,"anderes Jahr",IF(A4883&lt;INDEX(Mitarbeiter!$C$6:$C$205,MATCH(B4883,Mitarbeiter!$A$6:$A$205,0)),"vor Eintritt",IF(AND(INDEX(Mitarbeiter!$D$6:$D$205,MATCH(B4883,Mitarbeiter!$A$6:$A$205,0))&lt;&gt;"",A4883&gt;INDEX(Mitarbeiter!$D$6:$D$205,MATCH(B4883,Mitarbeiter!$A$6:$A$205,0))),"nach Austritt","ok")))))))</f>
        <v/>
      </c>
    </row>
    <row r="4884">
      <c r="A4884" s="26" t="n"/>
      <c r="B4884" s="24" t="n"/>
      <c r="C4884" s="40">
        <f>IF(B4884="","",IFERROR(INDEX(Mitarbeiter!$B$6:$B$205,MATCH(B4884,Mitarbeiter!$A$6:$A$205,0)),"?"))</f>
        <v/>
      </c>
      <c r="D4884" s="41" t="n"/>
      <c r="E4884" s="42" t="n"/>
      <c r="F4884" s="43" t="n"/>
      <c r="G4884" s="44">
        <f>IF(OR(B4884="",F4884=""),"",IFERROR(F4884*INDEX(Mitarbeiter!$F$6:$F$205,MATCH(B4884,Mitarbeiter!$A$6:$A$205,0)),0))</f>
        <v/>
      </c>
      <c r="H4884" s="8">
        <f>IF(B4884="","",IF(ISNA(MATCH(B4884,Mitarbeiter!$A$6:$A$205,0)),"Pers.-Nr. unbekannt",IF(A4884="","Datum fehlt",IF(AND(D4884&lt;&gt;Einstellungen!$C$4,D4884&lt;&gt;Einstellungen!$C$5),"Objekt fehlt",IF(YEAR(A4884)&lt;&gt;Einstellungen!$C$3,"anderes Jahr",IF(A4884&lt;INDEX(Mitarbeiter!$C$6:$C$205,MATCH(B4884,Mitarbeiter!$A$6:$A$205,0)),"vor Eintritt",IF(AND(INDEX(Mitarbeiter!$D$6:$D$205,MATCH(B4884,Mitarbeiter!$A$6:$A$205,0))&lt;&gt;"",A4884&gt;INDEX(Mitarbeiter!$D$6:$D$205,MATCH(B4884,Mitarbeiter!$A$6:$A$205,0))),"nach Austritt","ok")))))))</f>
        <v/>
      </c>
    </row>
    <row r="4885">
      <c r="A4885" s="26" t="n"/>
      <c r="B4885" s="24" t="n"/>
      <c r="C4885" s="40">
        <f>IF(B4885="","",IFERROR(INDEX(Mitarbeiter!$B$6:$B$205,MATCH(B4885,Mitarbeiter!$A$6:$A$205,0)),"?"))</f>
        <v/>
      </c>
      <c r="D4885" s="41" t="n"/>
      <c r="E4885" s="42" t="n"/>
      <c r="F4885" s="43" t="n"/>
      <c r="G4885" s="44">
        <f>IF(OR(B4885="",F4885=""),"",IFERROR(F4885*INDEX(Mitarbeiter!$F$6:$F$205,MATCH(B4885,Mitarbeiter!$A$6:$A$205,0)),0))</f>
        <v/>
      </c>
      <c r="H4885" s="8">
        <f>IF(B4885="","",IF(ISNA(MATCH(B4885,Mitarbeiter!$A$6:$A$205,0)),"Pers.-Nr. unbekannt",IF(A4885="","Datum fehlt",IF(AND(D4885&lt;&gt;Einstellungen!$C$4,D4885&lt;&gt;Einstellungen!$C$5),"Objekt fehlt",IF(YEAR(A4885)&lt;&gt;Einstellungen!$C$3,"anderes Jahr",IF(A4885&lt;INDEX(Mitarbeiter!$C$6:$C$205,MATCH(B4885,Mitarbeiter!$A$6:$A$205,0)),"vor Eintritt",IF(AND(INDEX(Mitarbeiter!$D$6:$D$205,MATCH(B4885,Mitarbeiter!$A$6:$A$205,0))&lt;&gt;"",A4885&gt;INDEX(Mitarbeiter!$D$6:$D$205,MATCH(B4885,Mitarbeiter!$A$6:$A$205,0))),"nach Austritt","ok")))))))</f>
        <v/>
      </c>
    </row>
    <row r="4886">
      <c r="A4886" s="26" t="n"/>
      <c r="B4886" s="24" t="n"/>
      <c r="C4886" s="40">
        <f>IF(B4886="","",IFERROR(INDEX(Mitarbeiter!$B$6:$B$205,MATCH(B4886,Mitarbeiter!$A$6:$A$205,0)),"?"))</f>
        <v/>
      </c>
      <c r="D4886" s="41" t="n"/>
      <c r="E4886" s="42" t="n"/>
      <c r="F4886" s="43" t="n"/>
      <c r="G4886" s="44">
        <f>IF(OR(B4886="",F4886=""),"",IFERROR(F4886*INDEX(Mitarbeiter!$F$6:$F$205,MATCH(B4886,Mitarbeiter!$A$6:$A$205,0)),0))</f>
        <v/>
      </c>
      <c r="H4886" s="8">
        <f>IF(B4886="","",IF(ISNA(MATCH(B4886,Mitarbeiter!$A$6:$A$205,0)),"Pers.-Nr. unbekannt",IF(A4886="","Datum fehlt",IF(AND(D4886&lt;&gt;Einstellungen!$C$4,D4886&lt;&gt;Einstellungen!$C$5),"Objekt fehlt",IF(YEAR(A4886)&lt;&gt;Einstellungen!$C$3,"anderes Jahr",IF(A4886&lt;INDEX(Mitarbeiter!$C$6:$C$205,MATCH(B4886,Mitarbeiter!$A$6:$A$205,0)),"vor Eintritt",IF(AND(INDEX(Mitarbeiter!$D$6:$D$205,MATCH(B4886,Mitarbeiter!$A$6:$A$205,0))&lt;&gt;"",A4886&gt;INDEX(Mitarbeiter!$D$6:$D$205,MATCH(B4886,Mitarbeiter!$A$6:$A$205,0))),"nach Austritt","ok")))))))</f>
        <v/>
      </c>
    </row>
    <row r="4887">
      <c r="A4887" s="26" t="n"/>
      <c r="B4887" s="24" t="n"/>
      <c r="C4887" s="40">
        <f>IF(B4887="","",IFERROR(INDEX(Mitarbeiter!$B$6:$B$205,MATCH(B4887,Mitarbeiter!$A$6:$A$205,0)),"?"))</f>
        <v/>
      </c>
      <c r="D4887" s="41" t="n"/>
      <c r="E4887" s="42" t="n"/>
      <c r="F4887" s="43" t="n"/>
      <c r="G4887" s="44">
        <f>IF(OR(B4887="",F4887=""),"",IFERROR(F4887*INDEX(Mitarbeiter!$F$6:$F$205,MATCH(B4887,Mitarbeiter!$A$6:$A$205,0)),0))</f>
        <v/>
      </c>
      <c r="H4887" s="8">
        <f>IF(B4887="","",IF(ISNA(MATCH(B4887,Mitarbeiter!$A$6:$A$205,0)),"Pers.-Nr. unbekannt",IF(A4887="","Datum fehlt",IF(AND(D4887&lt;&gt;Einstellungen!$C$4,D4887&lt;&gt;Einstellungen!$C$5),"Objekt fehlt",IF(YEAR(A4887)&lt;&gt;Einstellungen!$C$3,"anderes Jahr",IF(A4887&lt;INDEX(Mitarbeiter!$C$6:$C$205,MATCH(B4887,Mitarbeiter!$A$6:$A$205,0)),"vor Eintritt",IF(AND(INDEX(Mitarbeiter!$D$6:$D$205,MATCH(B4887,Mitarbeiter!$A$6:$A$205,0))&lt;&gt;"",A4887&gt;INDEX(Mitarbeiter!$D$6:$D$205,MATCH(B4887,Mitarbeiter!$A$6:$A$205,0))),"nach Austritt","ok")))))))</f>
        <v/>
      </c>
    </row>
    <row r="4888">
      <c r="A4888" s="26" t="n"/>
      <c r="B4888" s="24" t="n"/>
      <c r="C4888" s="40">
        <f>IF(B4888="","",IFERROR(INDEX(Mitarbeiter!$B$6:$B$205,MATCH(B4888,Mitarbeiter!$A$6:$A$205,0)),"?"))</f>
        <v/>
      </c>
      <c r="D4888" s="41" t="n"/>
      <c r="E4888" s="42" t="n"/>
      <c r="F4888" s="43" t="n"/>
      <c r="G4888" s="44">
        <f>IF(OR(B4888="",F4888=""),"",IFERROR(F4888*INDEX(Mitarbeiter!$F$6:$F$205,MATCH(B4888,Mitarbeiter!$A$6:$A$205,0)),0))</f>
        <v/>
      </c>
      <c r="H4888" s="8">
        <f>IF(B4888="","",IF(ISNA(MATCH(B4888,Mitarbeiter!$A$6:$A$205,0)),"Pers.-Nr. unbekannt",IF(A4888="","Datum fehlt",IF(AND(D4888&lt;&gt;Einstellungen!$C$4,D4888&lt;&gt;Einstellungen!$C$5),"Objekt fehlt",IF(YEAR(A4888)&lt;&gt;Einstellungen!$C$3,"anderes Jahr",IF(A4888&lt;INDEX(Mitarbeiter!$C$6:$C$205,MATCH(B4888,Mitarbeiter!$A$6:$A$205,0)),"vor Eintritt",IF(AND(INDEX(Mitarbeiter!$D$6:$D$205,MATCH(B4888,Mitarbeiter!$A$6:$A$205,0))&lt;&gt;"",A4888&gt;INDEX(Mitarbeiter!$D$6:$D$205,MATCH(B4888,Mitarbeiter!$A$6:$A$205,0))),"nach Austritt","ok")))))))</f>
        <v/>
      </c>
    </row>
    <row r="4889">
      <c r="A4889" s="26" t="n"/>
      <c r="B4889" s="24" t="n"/>
      <c r="C4889" s="40">
        <f>IF(B4889="","",IFERROR(INDEX(Mitarbeiter!$B$6:$B$205,MATCH(B4889,Mitarbeiter!$A$6:$A$205,0)),"?"))</f>
        <v/>
      </c>
      <c r="D4889" s="41" t="n"/>
      <c r="E4889" s="42" t="n"/>
      <c r="F4889" s="43" t="n"/>
      <c r="G4889" s="44">
        <f>IF(OR(B4889="",F4889=""),"",IFERROR(F4889*INDEX(Mitarbeiter!$F$6:$F$205,MATCH(B4889,Mitarbeiter!$A$6:$A$205,0)),0))</f>
        <v/>
      </c>
      <c r="H4889" s="8">
        <f>IF(B4889="","",IF(ISNA(MATCH(B4889,Mitarbeiter!$A$6:$A$205,0)),"Pers.-Nr. unbekannt",IF(A4889="","Datum fehlt",IF(AND(D4889&lt;&gt;Einstellungen!$C$4,D4889&lt;&gt;Einstellungen!$C$5),"Objekt fehlt",IF(YEAR(A4889)&lt;&gt;Einstellungen!$C$3,"anderes Jahr",IF(A4889&lt;INDEX(Mitarbeiter!$C$6:$C$205,MATCH(B4889,Mitarbeiter!$A$6:$A$205,0)),"vor Eintritt",IF(AND(INDEX(Mitarbeiter!$D$6:$D$205,MATCH(B4889,Mitarbeiter!$A$6:$A$205,0))&lt;&gt;"",A4889&gt;INDEX(Mitarbeiter!$D$6:$D$205,MATCH(B4889,Mitarbeiter!$A$6:$A$205,0))),"nach Austritt","ok")))))))</f>
        <v/>
      </c>
    </row>
    <row r="4890">
      <c r="A4890" s="26" t="n"/>
      <c r="B4890" s="24" t="n"/>
      <c r="C4890" s="40">
        <f>IF(B4890="","",IFERROR(INDEX(Mitarbeiter!$B$6:$B$205,MATCH(B4890,Mitarbeiter!$A$6:$A$205,0)),"?"))</f>
        <v/>
      </c>
      <c r="D4890" s="41" t="n"/>
      <c r="E4890" s="42" t="n"/>
      <c r="F4890" s="43" t="n"/>
      <c r="G4890" s="44">
        <f>IF(OR(B4890="",F4890=""),"",IFERROR(F4890*INDEX(Mitarbeiter!$F$6:$F$205,MATCH(B4890,Mitarbeiter!$A$6:$A$205,0)),0))</f>
        <v/>
      </c>
      <c r="H4890" s="8">
        <f>IF(B4890="","",IF(ISNA(MATCH(B4890,Mitarbeiter!$A$6:$A$205,0)),"Pers.-Nr. unbekannt",IF(A4890="","Datum fehlt",IF(AND(D4890&lt;&gt;Einstellungen!$C$4,D4890&lt;&gt;Einstellungen!$C$5),"Objekt fehlt",IF(YEAR(A4890)&lt;&gt;Einstellungen!$C$3,"anderes Jahr",IF(A4890&lt;INDEX(Mitarbeiter!$C$6:$C$205,MATCH(B4890,Mitarbeiter!$A$6:$A$205,0)),"vor Eintritt",IF(AND(INDEX(Mitarbeiter!$D$6:$D$205,MATCH(B4890,Mitarbeiter!$A$6:$A$205,0))&lt;&gt;"",A4890&gt;INDEX(Mitarbeiter!$D$6:$D$205,MATCH(B4890,Mitarbeiter!$A$6:$A$205,0))),"nach Austritt","ok")))))))</f>
        <v/>
      </c>
    </row>
    <row r="4891">
      <c r="A4891" s="26" t="n"/>
      <c r="B4891" s="24" t="n"/>
      <c r="C4891" s="40">
        <f>IF(B4891="","",IFERROR(INDEX(Mitarbeiter!$B$6:$B$205,MATCH(B4891,Mitarbeiter!$A$6:$A$205,0)),"?"))</f>
        <v/>
      </c>
      <c r="D4891" s="41" t="n"/>
      <c r="E4891" s="42" t="n"/>
      <c r="F4891" s="43" t="n"/>
      <c r="G4891" s="44">
        <f>IF(OR(B4891="",F4891=""),"",IFERROR(F4891*INDEX(Mitarbeiter!$F$6:$F$205,MATCH(B4891,Mitarbeiter!$A$6:$A$205,0)),0))</f>
        <v/>
      </c>
      <c r="H4891" s="8">
        <f>IF(B4891="","",IF(ISNA(MATCH(B4891,Mitarbeiter!$A$6:$A$205,0)),"Pers.-Nr. unbekannt",IF(A4891="","Datum fehlt",IF(AND(D4891&lt;&gt;Einstellungen!$C$4,D4891&lt;&gt;Einstellungen!$C$5),"Objekt fehlt",IF(YEAR(A4891)&lt;&gt;Einstellungen!$C$3,"anderes Jahr",IF(A4891&lt;INDEX(Mitarbeiter!$C$6:$C$205,MATCH(B4891,Mitarbeiter!$A$6:$A$205,0)),"vor Eintritt",IF(AND(INDEX(Mitarbeiter!$D$6:$D$205,MATCH(B4891,Mitarbeiter!$A$6:$A$205,0))&lt;&gt;"",A4891&gt;INDEX(Mitarbeiter!$D$6:$D$205,MATCH(B4891,Mitarbeiter!$A$6:$A$205,0))),"nach Austritt","ok")))))))</f>
        <v/>
      </c>
    </row>
    <row r="4892">
      <c r="A4892" s="26" t="n"/>
      <c r="B4892" s="24" t="n"/>
      <c r="C4892" s="40">
        <f>IF(B4892="","",IFERROR(INDEX(Mitarbeiter!$B$6:$B$205,MATCH(B4892,Mitarbeiter!$A$6:$A$205,0)),"?"))</f>
        <v/>
      </c>
      <c r="D4892" s="41" t="n"/>
      <c r="E4892" s="42" t="n"/>
      <c r="F4892" s="43" t="n"/>
      <c r="G4892" s="44">
        <f>IF(OR(B4892="",F4892=""),"",IFERROR(F4892*INDEX(Mitarbeiter!$F$6:$F$205,MATCH(B4892,Mitarbeiter!$A$6:$A$205,0)),0))</f>
        <v/>
      </c>
      <c r="H4892" s="8">
        <f>IF(B4892="","",IF(ISNA(MATCH(B4892,Mitarbeiter!$A$6:$A$205,0)),"Pers.-Nr. unbekannt",IF(A4892="","Datum fehlt",IF(AND(D4892&lt;&gt;Einstellungen!$C$4,D4892&lt;&gt;Einstellungen!$C$5),"Objekt fehlt",IF(YEAR(A4892)&lt;&gt;Einstellungen!$C$3,"anderes Jahr",IF(A4892&lt;INDEX(Mitarbeiter!$C$6:$C$205,MATCH(B4892,Mitarbeiter!$A$6:$A$205,0)),"vor Eintritt",IF(AND(INDEX(Mitarbeiter!$D$6:$D$205,MATCH(B4892,Mitarbeiter!$A$6:$A$205,0))&lt;&gt;"",A4892&gt;INDEX(Mitarbeiter!$D$6:$D$205,MATCH(B4892,Mitarbeiter!$A$6:$A$205,0))),"nach Austritt","ok")))))))</f>
        <v/>
      </c>
    </row>
    <row r="4893">
      <c r="A4893" s="26" t="n"/>
      <c r="B4893" s="24" t="n"/>
      <c r="C4893" s="40">
        <f>IF(B4893="","",IFERROR(INDEX(Mitarbeiter!$B$6:$B$205,MATCH(B4893,Mitarbeiter!$A$6:$A$205,0)),"?"))</f>
        <v/>
      </c>
      <c r="D4893" s="41" t="n"/>
      <c r="E4893" s="42" t="n"/>
      <c r="F4893" s="43" t="n"/>
      <c r="G4893" s="44">
        <f>IF(OR(B4893="",F4893=""),"",IFERROR(F4893*INDEX(Mitarbeiter!$F$6:$F$205,MATCH(B4893,Mitarbeiter!$A$6:$A$205,0)),0))</f>
        <v/>
      </c>
      <c r="H4893" s="8">
        <f>IF(B4893="","",IF(ISNA(MATCH(B4893,Mitarbeiter!$A$6:$A$205,0)),"Pers.-Nr. unbekannt",IF(A4893="","Datum fehlt",IF(AND(D4893&lt;&gt;Einstellungen!$C$4,D4893&lt;&gt;Einstellungen!$C$5),"Objekt fehlt",IF(YEAR(A4893)&lt;&gt;Einstellungen!$C$3,"anderes Jahr",IF(A4893&lt;INDEX(Mitarbeiter!$C$6:$C$205,MATCH(B4893,Mitarbeiter!$A$6:$A$205,0)),"vor Eintritt",IF(AND(INDEX(Mitarbeiter!$D$6:$D$205,MATCH(B4893,Mitarbeiter!$A$6:$A$205,0))&lt;&gt;"",A4893&gt;INDEX(Mitarbeiter!$D$6:$D$205,MATCH(B4893,Mitarbeiter!$A$6:$A$205,0))),"nach Austritt","ok")))))))</f>
        <v/>
      </c>
    </row>
    <row r="4894">
      <c r="A4894" s="26" t="n"/>
      <c r="B4894" s="24" t="n"/>
      <c r="C4894" s="40">
        <f>IF(B4894="","",IFERROR(INDEX(Mitarbeiter!$B$6:$B$205,MATCH(B4894,Mitarbeiter!$A$6:$A$205,0)),"?"))</f>
        <v/>
      </c>
      <c r="D4894" s="41" t="n"/>
      <c r="E4894" s="42" t="n"/>
      <c r="F4894" s="43" t="n"/>
      <c r="G4894" s="44">
        <f>IF(OR(B4894="",F4894=""),"",IFERROR(F4894*INDEX(Mitarbeiter!$F$6:$F$205,MATCH(B4894,Mitarbeiter!$A$6:$A$205,0)),0))</f>
        <v/>
      </c>
      <c r="H4894" s="8">
        <f>IF(B4894="","",IF(ISNA(MATCH(B4894,Mitarbeiter!$A$6:$A$205,0)),"Pers.-Nr. unbekannt",IF(A4894="","Datum fehlt",IF(AND(D4894&lt;&gt;Einstellungen!$C$4,D4894&lt;&gt;Einstellungen!$C$5),"Objekt fehlt",IF(YEAR(A4894)&lt;&gt;Einstellungen!$C$3,"anderes Jahr",IF(A4894&lt;INDEX(Mitarbeiter!$C$6:$C$205,MATCH(B4894,Mitarbeiter!$A$6:$A$205,0)),"vor Eintritt",IF(AND(INDEX(Mitarbeiter!$D$6:$D$205,MATCH(B4894,Mitarbeiter!$A$6:$A$205,0))&lt;&gt;"",A4894&gt;INDEX(Mitarbeiter!$D$6:$D$205,MATCH(B4894,Mitarbeiter!$A$6:$A$205,0))),"nach Austritt","ok")))))))</f>
        <v/>
      </c>
    </row>
    <row r="4895">
      <c r="A4895" s="26" t="n"/>
      <c r="B4895" s="24" t="n"/>
      <c r="C4895" s="40">
        <f>IF(B4895="","",IFERROR(INDEX(Mitarbeiter!$B$6:$B$205,MATCH(B4895,Mitarbeiter!$A$6:$A$205,0)),"?"))</f>
        <v/>
      </c>
      <c r="D4895" s="41" t="n"/>
      <c r="E4895" s="42" t="n"/>
      <c r="F4895" s="43" t="n"/>
      <c r="G4895" s="44">
        <f>IF(OR(B4895="",F4895=""),"",IFERROR(F4895*INDEX(Mitarbeiter!$F$6:$F$205,MATCH(B4895,Mitarbeiter!$A$6:$A$205,0)),0))</f>
        <v/>
      </c>
      <c r="H4895" s="8">
        <f>IF(B4895="","",IF(ISNA(MATCH(B4895,Mitarbeiter!$A$6:$A$205,0)),"Pers.-Nr. unbekannt",IF(A4895="","Datum fehlt",IF(AND(D4895&lt;&gt;Einstellungen!$C$4,D4895&lt;&gt;Einstellungen!$C$5),"Objekt fehlt",IF(YEAR(A4895)&lt;&gt;Einstellungen!$C$3,"anderes Jahr",IF(A4895&lt;INDEX(Mitarbeiter!$C$6:$C$205,MATCH(B4895,Mitarbeiter!$A$6:$A$205,0)),"vor Eintritt",IF(AND(INDEX(Mitarbeiter!$D$6:$D$205,MATCH(B4895,Mitarbeiter!$A$6:$A$205,0))&lt;&gt;"",A4895&gt;INDEX(Mitarbeiter!$D$6:$D$205,MATCH(B4895,Mitarbeiter!$A$6:$A$205,0))),"nach Austritt","ok")))))))</f>
        <v/>
      </c>
    </row>
    <row r="4896">
      <c r="A4896" s="26" t="n"/>
      <c r="B4896" s="24" t="n"/>
      <c r="C4896" s="40">
        <f>IF(B4896="","",IFERROR(INDEX(Mitarbeiter!$B$6:$B$205,MATCH(B4896,Mitarbeiter!$A$6:$A$205,0)),"?"))</f>
        <v/>
      </c>
      <c r="D4896" s="41" t="n"/>
      <c r="E4896" s="42" t="n"/>
      <c r="F4896" s="43" t="n"/>
      <c r="G4896" s="44">
        <f>IF(OR(B4896="",F4896=""),"",IFERROR(F4896*INDEX(Mitarbeiter!$F$6:$F$205,MATCH(B4896,Mitarbeiter!$A$6:$A$205,0)),0))</f>
        <v/>
      </c>
      <c r="H4896" s="8">
        <f>IF(B4896="","",IF(ISNA(MATCH(B4896,Mitarbeiter!$A$6:$A$205,0)),"Pers.-Nr. unbekannt",IF(A4896="","Datum fehlt",IF(AND(D4896&lt;&gt;Einstellungen!$C$4,D4896&lt;&gt;Einstellungen!$C$5),"Objekt fehlt",IF(YEAR(A4896)&lt;&gt;Einstellungen!$C$3,"anderes Jahr",IF(A4896&lt;INDEX(Mitarbeiter!$C$6:$C$205,MATCH(B4896,Mitarbeiter!$A$6:$A$205,0)),"vor Eintritt",IF(AND(INDEX(Mitarbeiter!$D$6:$D$205,MATCH(B4896,Mitarbeiter!$A$6:$A$205,0))&lt;&gt;"",A4896&gt;INDEX(Mitarbeiter!$D$6:$D$205,MATCH(B4896,Mitarbeiter!$A$6:$A$205,0))),"nach Austritt","ok")))))))</f>
        <v/>
      </c>
    </row>
    <row r="4897">
      <c r="A4897" s="26" t="n"/>
      <c r="B4897" s="24" t="n"/>
      <c r="C4897" s="40">
        <f>IF(B4897="","",IFERROR(INDEX(Mitarbeiter!$B$6:$B$205,MATCH(B4897,Mitarbeiter!$A$6:$A$205,0)),"?"))</f>
        <v/>
      </c>
      <c r="D4897" s="41" t="n"/>
      <c r="E4897" s="42" t="n"/>
      <c r="F4897" s="43" t="n"/>
      <c r="G4897" s="44">
        <f>IF(OR(B4897="",F4897=""),"",IFERROR(F4897*INDEX(Mitarbeiter!$F$6:$F$205,MATCH(B4897,Mitarbeiter!$A$6:$A$205,0)),0))</f>
        <v/>
      </c>
      <c r="H4897" s="8">
        <f>IF(B4897="","",IF(ISNA(MATCH(B4897,Mitarbeiter!$A$6:$A$205,0)),"Pers.-Nr. unbekannt",IF(A4897="","Datum fehlt",IF(AND(D4897&lt;&gt;Einstellungen!$C$4,D4897&lt;&gt;Einstellungen!$C$5),"Objekt fehlt",IF(YEAR(A4897)&lt;&gt;Einstellungen!$C$3,"anderes Jahr",IF(A4897&lt;INDEX(Mitarbeiter!$C$6:$C$205,MATCH(B4897,Mitarbeiter!$A$6:$A$205,0)),"vor Eintritt",IF(AND(INDEX(Mitarbeiter!$D$6:$D$205,MATCH(B4897,Mitarbeiter!$A$6:$A$205,0))&lt;&gt;"",A4897&gt;INDEX(Mitarbeiter!$D$6:$D$205,MATCH(B4897,Mitarbeiter!$A$6:$A$205,0))),"nach Austritt","ok")))))))</f>
        <v/>
      </c>
    </row>
    <row r="4898">
      <c r="A4898" s="26" t="n"/>
      <c r="B4898" s="24" t="n"/>
      <c r="C4898" s="40">
        <f>IF(B4898="","",IFERROR(INDEX(Mitarbeiter!$B$6:$B$205,MATCH(B4898,Mitarbeiter!$A$6:$A$205,0)),"?"))</f>
        <v/>
      </c>
      <c r="D4898" s="41" t="n"/>
      <c r="E4898" s="42" t="n"/>
      <c r="F4898" s="43" t="n"/>
      <c r="G4898" s="44">
        <f>IF(OR(B4898="",F4898=""),"",IFERROR(F4898*INDEX(Mitarbeiter!$F$6:$F$205,MATCH(B4898,Mitarbeiter!$A$6:$A$205,0)),0))</f>
        <v/>
      </c>
      <c r="H4898" s="8">
        <f>IF(B4898="","",IF(ISNA(MATCH(B4898,Mitarbeiter!$A$6:$A$205,0)),"Pers.-Nr. unbekannt",IF(A4898="","Datum fehlt",IF(AND(D4898&lt;&gt;Einstellungen!$C$4,D4898&lt;&gt;Einstellungen!$C$5),"Objekt fehlt",IF(YEAR(A4898)&lt;&gt;Einstellungen!$C$3,"anderes Jahr",IF(A4898&lt;INDEX(Mitarbeiter!$C$6:$C$205,MATCH(B4898,Mitarbeiter!$A$6:$A$205,0)),"vor Eintritt",IF(AND(INDEX(Mitarbeiter!$D$6:$D$205,MATCH(B4898,Mitarbeiter!$A$6:$A$205,0))&lt;&gt;"",A4898&gt;INDEX(Mitarbeiter!$D$6:$D$205,MATCH(B4898,Mitarbeiter!$A$6:$A$205,0))),"nach Austritt","ok")))))))</f>
        <v/>
      </c>
    </row>
    <row r="4899">
      <c r="A4899" s="26" t="n"/>
      <c r="B4899" s="24" t="n"/>
      <c r="C4899" s="40">
        <f>IF(B4899="","",IFERROR(INDEX(Mitarbeiter!$B$6:$B$205,MATCH(B4899,Mitarbeiter!$A$6:$A$205,0)),"?"))</f>
        <v/>
      </c>
      <c r="D4899" s="41" t="n"/>
      <c r="E4899" s="42" t="n"/>
      <c r="F4899" s="43" t="n"/>
      <c r="G4899" s="44">
        <f>IF(OR(B4899="",F4899=""),"",IFERROR(F4899*INDEX(Mitarbeiter!$F$6:$F$205,MATCH(B4899,Mitarbeiter!$A$6:$A$205,0)),0))</f>
        <v/>
      </c>
      <c r="H4899" s="8">
        <f>IF(B4899="","",IF(ISNA(MATCH(B4899,Mitarbeiter!$A$6:$A$205,0)),"Pers.-Nr. unbekannt",IF(A4899="","Datum fehlt",IF(AND(D4899&lt;&gt;Einstellungen!$C$4,D4899&lt;&gt;Einstellungen!$C$5),"Objekt fehlt",IF(YEAR(A4899)&lt;&gt;Einstellungen!$C$3,"anderes Jahr",IF(A4899&lt;INDEX(Mitarbeiter!$C$6:$C$205,MATCH(B4899,Mitarbeiter!$A$6:$A$205,0)),"vor Eintritt",IF(AND(INDEX(Mitarbeiter!$D$6:$D$205,MATCH(B4899,Mitarbeiter!$A$6:$A$205,0))&lt;&gt;"",A4899&gt;INDEX(Mitarbeiter!$D$6:$D$205,MATCH(B4899,Mitarbeiter!$A$6:$A$205,0))),"nach Austritt","ok")))))))</f>
        <v/>
      </c>
    </row>
    <row r="4900">
      <c r="A4900" s="26" t="n"/>
      <c r="B4900" s="24" t="n"/>
      <c r="C4900" s="40">
        <f>IF(B4900="","",IFERROR(INDEX(Mitarbeiter!$B$6:$B$205,MATCH(B4900,Mitarbeiter!$A$6:$A$205,0)),"?"))</f>
        <v/>
      </c>
      <c r="D4900" s="41" t="n"/>
      <c r="E4900" s="42" t="n"/>
      <c r="F4900" s="43" t="n"/>
      <c r="G4900" s="44">
        <f>IF(OR(B4900="",F4900=""),"",IFERROR(F4900*INDEX(Mitarbeiter!$F$6:$F$205,MATCH(B4900,Mitarbeiter!$A$6:$A$205,0)),0))</f>
        <v/>
      </c>
      <c r="H4900" s="8">
        <f>IF(B4900="","",IF(ISNA(MATCH(B4900,Mitarbeiter!$A$6:$A$205,0)),"Pers.-Nr. unbekannt",IF(A4900="","Datum fehlt",IF(AND(D4900&lt;&gt;Einstellungen!$C$4,D4900&lt;&gt;Einstellungen!$C$5),"Objekt fehlt",IF(YEAR(A4900)&lt;&gt;Einstellungen!$C$3,"anderes Jahr",IF(A4900&lt;INDEX(Mitarbeiter!$C$6:$C$205,MATCH(B4900,Mitarbeiter!$A$6:$A$205,0)),"vor Eintritt",IF(AND(INDEX(Mitarbeiter!$D$6:$D$205,MATCH(B4900,Mitarbeiter!$A$6:$A$205,0))&lt;&gt;"",A4900&gt;INDEX(Mitarbeiter!$D$6:$D$205,MATCH(B4900,Mitarbeiter!$A$6:$A$205,0))),"nach Austritt","ok")))))))</f>
        <v/>
      </c>
    </row>
    <row r="4901">
      <c r="A4901" s="26" t="n"/>
      <c r="B4901" s="24" t="n"/>
      <c r="C4901" s="40">
        <f>IF(B4901="","",IFERROR(INDEX(Mitarbeiter!$B$6:$B$205,MATCH(B4901,Mitarbeiter!$A$6:$A$205,0)),"?"))</f>
        <v/>
      </c>
      <c r="D4901" s="41" t="n"/>
      <c r="E4901" s="42" t="n"/>
      <c r="F4901" s="43" t="n"/>
      <c r="G4901" s="44">
        <f>IF(OR(B4901="",F4901=""),"",IFERROR(F4901*INDEX(Mitarbeiter!$F$6:$F$205,MATCH(B4901,Mitarbeiter!$A$6:$A$205,0)),0))</f>
        <v/>
      </c>
      <c r="H4901" s="8">
        <f>IF(B4901="","",IF(ISNA(MATCH(B4901,Mitarbeiter!$A$6:$A$205,0)),"Pers.-Nr. unbekannt",IF(A4901="","Datum fehlt",IF(AND(D4901&lt;&gt;Einstellungen!$C$4,D4901&lt;&gt;Einstellungen!$C$5),"Objekt fehlt",IF(YEAR(A4901)&lt;&gt;Einstellungen!$C$3,"anderes Jahr",IF(A4901&lt;INDEX(Mitarbeiter!$C$6:$C$205,MATCH(B4901,Mitarbeiter!$A$6:$A$205,0)),"vor Eintritt",IF(AND(INDEX(Mitarbeiter!$D$6:$D$205,MATCH(B4901,Mitarbeiter!$A$6:$A$205,0))&lt;&gt;"",A4901&gt;INDEX(Mitarbeiter!$D$6:$D$205,MATCH(B4901,Mitarbeiter!$A$6:$A$205,0))),"nach Austritt","ok")))))))</f>
        <v/>
      </c>
    </row>
    <row r="4902">
      <c r="A4902" s="26" t="n"/>
      <c r="B4902" s="24" t="n"/>
      <c r="C4902" s="40">
        <f>IF(B4902="","",IFERROR(INDEX(Mitarbeiter!$B$6:$B$205,MATCH(B4902,Mitarbeiter!$A$6:$A$205,0)),"?"))</f>
        <v/>
      </c>
      <c r="D4902" s="41" t="n"/>
      <c r="E4902" s="42" t="n"/>
      <c r="F4902" s="43" t="n"/>
      <c r="G4902" s="44">
        <f>IF(OR(B4902="",F4902=""),"",IFERROR(F4902*INDEX(Mitarbeiter!$F$6:$F$205,MATCH(B4902,Mitarbeiter!$A$6:$A$205,0)),0))</f>
        <v/>
      </c>
      <c r="H4902" s="8">
        <f>IF(B4902="","",IF(ISNA(MATCH(B4902,Mitarbeiter!$A$6:$A$205,0)),"Pers.-Nr. unbekannt",IF(A4902="","Datum fehlt",IF(AND(D4902&lt;&gt;Einstellungen!$C$4,D4902&lt;&gt;Einstellungen!$C$5),"Objekt fehlt",IF(YEAR(A4902)&lt;&gt;Einstellungen!$C$3,"anderes Jahr",IF(A4902&lt;INDEX(Mitarbeiter!$C$6:$C$205,MATCH(B4902,Mitarbeiter!$A$6:$A$205,0)),"vor Eintritt",IF(AND(INDEX(Mitarbeiter!$D$6:$D$205,MATCH(B4902,Mitarbeiter!$A$6:$A$205,0))&lt;&gt;"",A4902&gt;INDEX(Mitarbeiter!$D$6:$D$205,MATCH(B4902,Mitarbeiter!$A$6:$A$205,0))),"nach Austritt","ok")))))))</f>
        <v/>
      </c>
    </row>
    <row r="4903">
      <c r="A4903" s="26" t="n"/>
      <c r="B4903" s="24" t="n"/>
      <c r="C4903" s="40">
        <f>IF(B4903="","",IFERROR(INDEX(Mitarbeiter!$B$6:$B$205,MATCH(B4903,Mitarbeiter!$A$6:$A$205,0)),"?"))</f>
        <v/>
      </c>
      <c r="D4903" s="41" t="n"/>
      <c r="E4903" s="42" t="n"/>
      <c r="F4903" s="43" t="n"/>
      <c r="G4903" s="44">
        <f>IF(OR(B4903="",F4903=""),"",IFERROR(F4903*INDEX(Mitarbeiter!$F$6:$F$205,MATCH(B4903,Mitarbeiter!$A$6:$A$205,0)),0))</f>
        <v/>
      </c>
      <c r="H4903" s="8">
        <f>IF(B4903="","",IF(ISNA(MATCH(B4903,Mitarbeiter!$A$6:$A$205,0)),"Pers.-Nr. unbekannt",IF(A4903="","Datum fehlt",IF(AND(D4903&lt;&gt;Einstellungen!$C$4,D4903&lt;&gt;Einstellungen!$C$5),"Objekt fehlt",IF(YEAR(A4903)&lt;&gt;Einstellungen!$C$3,"anderes Jahr",IF(A4903&lt;INDEX(Mitarbeiter!$C$6:$C$205,MATCH(B4903,Mitarbeiter!$A$6:$A$205,0)),"vor Eintritt",IF(AND(INDEX(Mitarbeiter!$D$6:$D$205,MATCH(B4903,Mitarbeiter!$A$6:$A$205,0))&lt;&gt;"",A4903&gt;INDEX(Mitarbeiter!$D$6:$D$205,MATCH(B4903,Mitarbeiter!$A$6:$A$205,0))),"nach Austritt","ok")))))))</f>
        <v/>
      </c>
    </row>
    <row r="4904">
      <c r="A4904" s="26" t="n"/>
      <c r="B4904" s="24" t="n"/>
      <c r="C4904" s="40">
        <f>IF(B4904="","",IFERROR(INDEX(Mitarbeiter!$B$6:$B$205,MATCH(B4904,Mitarbeiter!$A$6:$A$205,0)),"?"))</f>
        <v/>
      </c>
      <c r="D4904" s="41" t="n"/>
      <c r="E4904" s="42" t="n"/>
      <c r="F4904" s="43" t="n"/>
      <c r="G4904" s="44">
        <f>IF(OR(B4904="",F4904=""),"",IFERROR(F4904*INDEX(Mitarbeiter!$F$6:$F$205,MATCH(B4904,Mitarbeiter!$A$6:$A$205,0)),0))</f>
        <v/>
      </c>
      <c r="H4904" s="8">
        <f>IF(B4904="","",IF(ISNA(MATCH(B4904,Mitarbeiter!$A$6:$A$205,0)),"Pers.-Nr. unbekannt",IF(A4904="","Datum fehlt",IF(AND(D4904&lt;&gt;Einstellungen!$C$4,D4904&lt;&gt;Einstellungen!$C$5),"Objekt fehlt",IF(YEAR(A4904)&lt;&gt;Einstellungen!$C$3,"anderes Jahr",IF(A4904&lt;INDEX(Mitarbeiter!$C$6:$C$205,MATCH(B4904,Mitarbeiter!$A$6:$A$205,0)),"vor Eintritt",IF(AND(INDEX(Mitarbeiter!$D$6:$D$205,MATCH(B4904,Mitarbeiter!$A$6:$A$205,0))&lt;&gt;"",A4904&gt;INDEX(Mitarbeiter!$D$6:$D$205,MATCH(B4904,Mitarbeiter!$A$6:$A$205,0))),"nach Austritt","ok")))))))</f>
        <v/>
      </c>
    </row>
    <row r="4905">
      <c r="A4905" s="26" t="n"/>
      <c r="B4905" s="24" t="n"/>
      <c r="C4905" s="40">
        <f>IF(B4905="","",IFERROR(INDEX(Mitarbeiter!$B$6:$B$205,MATCH(B4905,Mitarbeiter!$A$6:$A$205,0)),"?"))</f>
        <v/>
      </c>
      <c r="D4905" s="41" t="n"/>
      <c r="E4905" s="42" t="n"/>
      <c r="F4905" s="43" t="n"/>
      <c r="G4905" s="44">
        <f>IF(OR(B4905="",F4905=""),"",IFERROR(F4905*INDEX(Mitarbeiter!$F$6:$F$205,MATCH(B4905,Mitarbeiter!$A$6:$A$205,0)),0))</f>
        <v/>
      </c>
      <c r="H4905" s="8">
        <f>IF(B4905="","",IF(ISNA(MATCH(B4905,Mitarbeiter!$A$6:$A$205,0)),"Pers.-Nr. unbekannt",IF(A4905="","Datum fehlt",IF(AND(D4905&lt;&gt;Einstellungen!$C$4,D4905&lt;&gt;Einstellungen!$C$5),"Objekt fehlt",IF(YEAR(A4905)&lt;&gt;Einstellungen!$C$3,"anderes Jahr",IF(A4905&lt;INDEX(Mitarbeiter!$C$6:$C$205,MATCH(B4905,Mitarbeiter!$A$6:$A$205,0)),"vor Eintritt",IF(AND(INDEX(Mitarbeiter!$D$6:$D$205,MATCH(B4905,Mitarbeiter!$A$6:$A$205,0))&lt;&gt;"",A4905&gt;INDEX(Mitarbeiter!$D$6:$D$205,MATCH(B4905,Mitarbeiter!$A$6:$A$205,0))),"nach Austritt","ok")))))))</f>
        <v/>
      </c>
    </row>
    <row r="4906">
      <c r="A4906" s="26" t="n"/>
      <c r="B4906" s="24" t="n"/>
      <c r="C4906" s="40">
        <f>IF(B4906="","",IFERROR(INDEX(Mitarbeiter!$B$6:$B$205,MATCH(B4906,Mitarbeiter!$A$6:$A$205,0)),"?"))</f>
        <v/>
      </c>
      <c r="D4906" s="41" t="n"/>
      <c r="E4906" s="42" t="n"/>
      <c r="F4906" s="43" t="n"/>
      <c r="G4906" s="44">
        <f>IF(OR(B4906="",F4906=""),"",IFERROR(F4906*INDEX(Mitarbeiter!$F$6:$F$205,MATCH(B4906,Mitarbeiter!$A$6:$A$205,0)),0))</f>
        <v/>
      </c>
      <c r="H4906" s="8">
        <f>IF(B4906="","",IF(ISNA(MATCH(B4906,Mitarbeiter!$A$6:$A$205,0)),"Pers.-Nr. unbekannt",IF(A4906="","Datum fehlt",IF(AND(D4906&lt;&gt;Einstellungen!$C$4,D4906&lt;&gt;Einstellungen!$C$5),"Objekt fehlt",IF(YEAR(A4906)&lt;&gt;Einstellungen!$C$3,"anderes Jahr",IF(A4906&lt;INDEX(Mitarbeiter!$C$6:$C$205,MATCH(B4906,Mitarbeiter!$A$6:$A$205,0)),"vor Eintritt",IF(AND(INDEX(Mitarbeiter!$D$6:$D$205,MATCH(B4906,Mitarbeiter!$A$6:$A$205,0))&lt;&gt;"",A4906&gt;INDEX(Mitarbeiter!$D$6:$D$205,MATCH(B4906,Mitarbeiter!$A$6:$A$205,0))),"nach Austritt","ok")))))))</f>
        <v/>
      </c>
    </row>
    <row r="4907">
      <c r="A4907" s="26" t="n"/>
      <c r="B4907" s="24" t="n"/>
      <c r="C4907" s="40">
        <f>IF(B4907="","",IFERROR(INDEX(Mitarbeiter!$B$6:$B$205,MATCH(B4907,Mitarbeiter!$A$6:$A$205,0)),"?"))</f>
        <v/>
      </c>
      <c r="D4907" s="41" t="n"/>
      <c r="E4907" s="42" t="n"/>
      <c r="F4907" s="43" t="n"/>
      <c r="G4907" s="44">
        <f>IF(OR(B4907="",F4907=""),"",IFERROR(F4907*INDEX(Mitarbeiter!$F$6:$F$205,MATCH(B4907,Mitarbeiter!$A$6:$A$205,0)),0))</f>
        <v/>
      </c>
      <c r="H4907" s="8">
        <f>IF(B4907="","",IF(ISNA(MATCH(B4907,Mitarbeiter!$A$6:$A$205,0)),"Pers.-Nr. unbekannt",IF(A4907="","Datum fehlt",IF(AND(D4907&lt;&gt;Einstellungen!$C$4,D4907&lt;&gt;Einstellungen!$C$5),"Objekt fehlt",IF(YEAR(A4907)&lt;&gt;Einstellungen!$C$3,"anderes Jahr",IF(A4907&lt;INDEX(Mitarbeiter!$C$6:$C$205,MATCH(B4907,Mitarbeiter!$A$6:$A$205,0)),"vor Eintritt",IF(AND(INDEX(Mitarbeiter!$D$6:$D$205,MATCH(B4907,Mitarbeiter!$A$6:$A$205,0))&lt;&gt;"",A4907&gt;INDEX(Mitarbeiter!$D$6:$D$205,MATCH(B4907,Mitarbeiter!$A$6:$A$205,0))),"nach Austritt","ok")))))))</f>
        <v/>
      </c>
    </row>
    <row r="4908">
      <c r="A4908" s="26" t="n"/>
      <c r="B4908" s="24" t="n"/>
      <c r="C4908" s="40">
        <f>IF(B4908="","",IFERROR(INDEX(Mitarbeiter!$B$6:$B$205,MATCH(B4908,Mitarbeiter!$A$6:$A$205,0)),"?"))</f>
        <v/>
      </c>
      <c r="D4908" s="41" t="n"/>
      <c r="E4908" s="42" t="n"/>
      <c r="F4908" s="43" t="n"/>
      <c r="G4908" s="44">
        <f>IF(OR(B4908="",F4908=""),"",IFERROR(F4908*INDEX(Mitarbeiter!$F$6:$F$205,MATCH(B4908,Mitarbeiter!$A$6:$A$205,0)),0))</f>
        <v/>
      </c>
      <c r="H4908" s="8">
        <f>IF(B4908="","",IF(ISNA(MATCH(B4908,Mitarbeiter!$A$6:$A$205,0)),"Pers.-Nr. unbekannt",IF(A4908="","Datum fehlt",IF(AND(D4908&lt;&gt;Einstellungen!$C$4,D4908&lt;&gt;Einstellungen!$C$5),"Objekt fehlt",IF(YEAR(A4908)&lt;&gt;Einstellungen!$C$3,"anderes Jahr",IF(A4908&lt;INDEX(Mitarbeiter!$C$6:$C$205,MATCH(B4908,Mitarbeiter!$A$6:$A$205,0)),"vor Eintritt",IF(AND(INDEX(Mitarbeiter!$D$6:$D$205,MATCH(B4908,Mitarbeiter!$A$6:$A$205,0))&lt;&gt;"",A4908&gt;INDEX(Mitarbeiter!$D$6:$D$205,MATCH(B4908,Mitarbeiter!$A$6:$A$205,0))),"nach Austritt","ok")))))))</f>
        <v/>
      </c>
    </row>
    <row r="4909">
      <c r="A4909" s="26" t="n"/>
      <c r="B4909" s="24" t="n"/>
      <c r="C4909" s="40">
        <f>IF(B4909="","",IFERROR(INDEX(Mitarbeiter!$B$6:$B$205,MATCH(B4909,Mitarbeiter!$A$6:$A$205,0)),"?"))</f>
        <v/>
      </c>
      <c r="D4909" s="41" t="n"/>
      <c r="E4909" s="42" t="n"/>
      <c r="F4909" s="43" t="n"/>
      <c r="G4909" s="44">
        <f>IF(OR(B4909="",F4909=""),"",IFERROR(F4909*INDEX(Mitarbeiter!$F$6:$F$205,MATCH(B4909,Mitarbeiter!$A$6:$A$205,0)),0))</f>
        <v/>
      </c>
      <c r="H4909" s="8">
        <f>IF(B4909="","",IF(ISNA(MATCH(B4909,Mitarbeiter!$A$6:$A$205,0)),"Pers.-Nr. unbekannt",IF(A4909="","Datum fehlt",IF(AND(D4909&lt;&gt;Einstellungen!$C$4,D4909&lt;&gt;Einstellungen!$C$5),"Objekt fehlt",IF(YEAR(A4909)&lt;&gt;Einstellungen!$C$3,"anderes Jahr",IF(A4909&lt;INDEX(Mitarbeiter!$C$6:$C$205,MATCH(B4909,Mitarbeiter!$A$6:$A$205,0)),"vor Eintritt",IF(AND(INDEX(Mitarbeiter!$D$6:$D$205,MATCH(B4909,Mitarbeiter!$A$6:$A$205,0))&lt;&gt;"",A4909&gt;INDEX(Mitarbeiter!$D$6:$D$205,MATCH(B4909,Mitarbeiter!$A$6:$A$205,0))),"nach Austritt","ok")))))))</f>
        <v/>
      </c>
    </row>
    <row r="4910">
      <c r="A4910" s="26" t="n"/>
      <c r="B4910" s="24" t="n"/>
      <c r="C4910" s="40">
        <f>IF(B4910="","",IFERROR(INDEX(Mitarbeiter!$B$6:$B$205,MATCH(B4910,Mitarbeiter!$A$6:$A$205,0)),"?"))</f>
        <v/>
      </c>
      <c r="D4910" s="41" t="n"/>
      <c r="E4910" s="42" t="n"/>
      <c r="F4910" s="43" t="n"/>
      <c r="G4910" s="44">
        <f>IF(OR(B4910="",F4910=""),"",IFERROR(F4910*INDEX(Mitarbeiter!$F$6:$F$205,MATCH(B4910,Mitarbeiter!$A$6:$A$205,0)),0))</f>
        <v/>
      </c>
      <c r="H4910" s="8">
        <f>IF(B4910="","",IF(ISNA(MATCH(B4910,Mitarbeiter!$A$6:$A$205,0)),"Pers.-Nr. unbekannt",IF(A4910="","Datum fehlt",IF(AND(D4910&lt;&gt;Einstellungen!$C$4,D4910&lt;&gt;Einstellungen!$C$5),"Objekt fehlt",IF(YEAR(A4910)&lt;&gt;Einstellungen!$C$3,"anderes Jahr",IF(A4910&lt;INDEX(Mitarbeiter!$C$6:$C$205,MATCH(B4910,Mitarbeiter!$A$6:$A$205,0)),"vor Eintritt",IF(AND(INDEX(Mitarbeiter!$D$6:$D$205,MATCH(B4910,Mitarbeiter!$A$6:$A$205,0))&lt;&gt;"",A4910&gt;INDEX(Mitarbeiter!$D$6:$D$205,MATCH(B4910,Mitarbeiter!$A$6:$A$205,0))),"nach Austritt","ok")))))))</f>
        <v/>
      </c>
    </row>
    <row r="4911">
      <c r="A4911" s="26" t="n"/>
      <c r="B4911" s="24" t="n"/>
      <c r="C4911" s="40">
        <f>IF(B4911="","",IFERROR(INDEX(Mitarbeiter!$B$6:$B$205,MATCH(B4911,Mitarbeiter!$A$6:$A$205,0)),"?"))</f>
        <v/>
      </c>
      <c r="D4911" s="41" t="n"/>
      <c r="E4911" s="42" t="n"/>
      <c r="F4911" s="43" t="n"/>
      <c r="G4911" s="44">
        <f>IF(OR(B4911="",F4911=""),"",IFERROR(F4911*INDEX(Mitarbeiter!$F$6:$F$205,MATCH(B4911,Mitarbeiter!$A$6:$A$205,0)),0))</f>
        <v/>
      </c>
      <c r="H4911" s="8">
        <f>IF(B4911="","",IF(ISNA(MATCH(B4911,Mitarbeiter!$A$6:$A$205,0)),"Pers.-Nr. unbekannt",IF(A4911="","Datum fehlt",IF(AND(D4911&lt;&gt;Einstellungen!$C$4,D4911&lt;&gt;Einstellungen!$C$5),"Objekt fehlt",IF(YEAR(A4911)&lt;&gt;Einstellungen!$C$3,"anderes Jahr",IF(A4911&lt;INDEX(Mitarbeiter!$C$6:$C$205,MATCH(B4911,Mitarbeiter!$A$6:$A$205,0)),"vor Eintritt",IF(AND(INDEX(Mitarbeiter!$D$6:$D$205,MATCH(B4911,Mitarbeiter!$A$6:$A$205,0))&lt;&gt;"",A4911&gt;INDEX(Mitarbeiter!$D$6:$D$205,MATCH(B4911,Mitarbeiter!$A$6:$A$205,0))),"nach Austritt","ok")))))))</f>
        <v/>
      </c>
    </row>
    <row r="4912">
      <c r="A4912" s="26" t="n"/>
      <c r="B4912" s="24" t="n"/>
      <c r="C4912" s="40">
        <f>IF(B4912="","",IFERROR(INDEX(Mitarbeiter!$B$6:$B$205,MATCH(B4912,Mitarbeiter!$A$6:$A$205,0)),"?"))</f>
        <v/>
      </c>
      <c r="D4912" s="41" t="n"/>
      <c r="E4912" s="42" t="n"/>
      <c r="F4912" s="43" t="n"/>
      <c r="G4912" s="44">
        <f>IF(OR(B4912="",F4912=""),"",IFERROR(F4912*INDEX(Mitarbeiter!$F$6:$F$205,MATCH(B4912,Mitarbeiter!$A$6:$A$205,0)),0))</f>
        <v/>
      </c>
      <c r="H4912" s="8">
        <f>IF(B4912="","",IF(ISNA(MATCH(B4912,Mitarbeiter!$A$6:$A$205,0)),"Pers.-Nr. unbekannt",IF(A4912="","Datum fehlt",IF(AND(D4912&lt;&gt;Einstellungen!$C$4,D4912&lt;&gt;Einstellungen!$C$5),"Objekt fehlt",IF(YEAR(A4912)&lt;&gt;Einstellungen!$C$3,"anderes Jahr",IF(A4912&lt;INDEX(Mitarbeiter!$C$6:$C$205,MATCH(B4912,Mitarbeiter!$A$6:$A$205,0)),"vor Eintritt",IF(AND(INDEX(Mitarbeiter!$D$6:$D$205,MATCH(B4912,Mitarbeiter!$A$6:$A$205,0))&lt;&gt;"",A4912&gt;INDEX(Mitarbeiter!$D$6:$D$205,MATCH(B4912,Mitarbeiter!$A$6:$A$205,0))),"nach Austritt","ok")))))))</f>
        <v/>
      </c>
    </row>
    <row r="4913">
      <c r="A4913" s="26" t="n"/>
      <c r="B4913" s="24" t="n"/>
      <c r="C4913" s="40">
        <f>IF(B4913="","",IFERROR(INDEX(Mitarbeiter!$B$6:$B$205,MATCH(B4913,Mitarbeiter!$A$6:$A$205,0)),"?"))</f>
        <v/>
      </c>
      <c r="D4913" s="41" t="n"/>
      <c r="E4913" s="42" t="n"/>
      <c r="F4913" s="43" t="n"/>
      <c r="G4913" s="44">
        <f>IF(OR(B4913="",F4913=""),"",IFERROR(F4913*INDEX(Mitarbeiter!$F$6:$F$205,MATCH(B4913,Mitarbeiter!$A$6:$A$205,0)),0))</f>
        <v/>
      </c>
      <c r="H4913" s="8">
        <f>IF(B4913="","",IF(ISNA(MATCH(B4913,Mitarbeiter!$A$6:$A$205,0)),"Pers.-Nr. unbekannt",IF(A4913="","Datum fehlt",IF(AND(D4913&lt;&gt;Einstellungen!$C$4,D4913&lt;&gt;Einstellungen!$C$5),"Objekt fehlt",IF(YEAR(A4913)&lt;&gt;Einstellungen!$C$3,"anderes Jahr",IF(A4913&lt;INDEX(Mitarbeiter!$C$6:$C$205,MATCH(B4913,Mitarbeiter!$A$6:$A$205,0)),"vor Eintritt",IF(AND(INDEX(Mitarbeiter!$D$6:$D$205,MATCH(B4913,Mitarbeiter!$A$6:$A$205,0))&lt;&gt;"",A4913&gt;INDEX(Mitarbeiter!$D$6:$D$205,MATCH(B4913,Mitarbeiter!$A$6:$A$205,0))),"nach Austritt","ok")))))))</f>
        <v/>
      </c>
    </row>
    <row r="4914">
      <c r="A4914" s="26" t="n"/>
      <c r="B4914" s="24" t="n"/>
      <c r="C4914" s="40">
        <f>IF(B4914="","",IFERROR(INDEX(Mitarbeiter!$B$6:$B$205,MATCH(B4914,Mitarbeiter!$A$6:$A$205,0)),"?"))</f>
        <v/>
      </c>
      <c r="D4914" s="41" t="n"/>
      <c r="E4914" s="42" t="n"/>
      <c r="F4914" s="43" t="n"/>
      <c r="G4914" s="44">
        <f>IF(OR(B4914="",F4914=""),"",IFERROR(F4914*INDEX(Mitarbeiter!$F$6:$F$205,MATCH(B4914,Mitarbeiter!$A$6:$A$205,0)),0))</f>
        <v/>
      </c>
      <c r="H4914" s="8">
        <f>IF(B4914="","",IF(ISNA(MATCH(B4914,Mitarbeiter!$A$6:$A$205,0)),"Pers.-Nr. unbekannt",IF(A4914="","Datum fehlt",IF(AND(D4914&lt;&gt;Einstellungen!$C$4,D4914&lt;&gt;Einstellungen!$C$5),"Objekt fehlt",IF(YEAR(A4914)&lt;&gt;Einstellungen!$C$3,"anderes Jahr",IF(A4914&lt;INDEX(Mitarbeiter!$C$6:$C$205,MATCH(B4914,Mitarbeiter!$A$6:$A$205,0)),"vor Eintritt",IF(AND(INDEX(Mitarbeiter!$D$6:$D$205,MATCH(B4914,Mitarbeiter!$A$6:$A$205,0))&lt;&gt;"",A4914&gt;INDEX(Mitarbeiter!$D$6:$D$205,MATCH(B4914,Mitarbeiter!$A$6:$A$205,0))),"nach Austritt","ok")))))))</f>
        <v/>
      </c>
    </row>
    <row r="4915">
      <c r="A4915" s="26" t="n"/>
      <c r="B4915" s="24" t="n"/>
      <c r="C4915" s="40">
        <f>IF(B4915="","",IFERROR(INDEX(Mitarbeiter!$B$6:$B$205,MATCH(B4915,Mitarbeiter!$A$6:$A$205,0)),"?"))</f>
        <v/>
      </c>
      <c r="D4915" s="41" t="n"/>
      <c r="E4915" s="42" t="n"/>
      <c r="F4915" s="43" t="n"/>
      <c r="G4915" s="44">
        <f>IF(OR(B4915="",F4915=""),"",IFERROR(F4915*INDEX(Mitarbeiter!$F$6:$F$205,MATCH(B4915,Mitarbeiter!$A$6:$A$205,0)),0))</f>
        <v/>
      </c>
      <c r="H4915" s="8">
        <f>IF(B4915="","",IF(ISNA(MATCH(B4915,Mitarbeiter!$A$6:$A$205,0)),"Pers.-Nr. unbekannt",IF(A4915="","Datum fehlt",IF(AND(D4915&lt;&gt;Einstellungen!$C$4,D4915&lt;&gt;Einstellungen!$C$5),"Objekt fehlt",IF(YEAR(A4915)&lt;&gt;Einstellungen!$C$3,"anderes Jahr",IF(A4915&lt;INDEX(Mitarbeiter!$C$6:$C$205,MATCH(B4915,Mitarbeiter!$A$6:$A$205,0)),"vor Eintritt",IF(AND(INDEX(Mitarbeiter!$D$6:$D$205,MATCH(B4915,Mitarbeiter!$A$6:$A$205,0))&lt;&gt;"",A4915&gt;INDEX(Mitarbeiter!$D$6:$D$205,MATCH(B4915,Mitarbeiter!$A$6:$A$205,0))),"nach Austritt","ok")))))))</f>
        <v/>
      </c>
    </row>
    <row r="4916">
      <c r="A4916" s="26" t="n"/>
      <c r="B4916" s="24" t="n"/>
      <c r="C4916" s="40">
        <f>IF(B4916="","",IFERROR(INDEX(Mitarbeiter!$B$6:$B$205,MATCH(B4916,Mitarbeiter!$A$6:$A$205,0)),"?"))</f>
        <v/>
      </c>
      <c r="D4916" s="41" t="n"/>
      <c r="E4916" s="42" t="n"/>
      <c r="F4916" s="43" t="n"/>
      <c r="G4916" s="44">
        <f>IF(OR(B4916="",F4916=""),"",IFERROR(F4916*INDEX(Mitarbeiter!$F$6:$F$205,MATCH(B4916,Mitarbeiter!$A$6:$A$205,0)),0))</f>
        <v/>
      </c>
      <c r="H4916" s="8">
        <f>IF(B4916="","",IF(ISNA(MATCH(B4916,Mitarbeiter!$A$6:$A$205,0)),"Pers.-Nr. unbekannt",IF(A4916="","Datum fehlt",IF(AND(D4916&lt;&gt;Einstellungen!$C$4,D4916&lt;&gt;Einstellungen!$C$5),"Objekt fehlt",IF(YEAR(A4916)&lt;&gt;Einstellungen!$C$3,"anderes Jahr",IF(A4916&lt;INDEX(Mitarbeiter!$C$6:$C$205,MATCH(B4916,Mitarbeiter!$A$6:$A$205,0)),"vor Eintritt",IF(AND(INDEX(Mitarbeiter!$D$6:$D$205,MATCH(B4916,Mitarbeiter!$A$6:$A$205,0))&lt;&gt;"",A4916&gt;INDEX(Mitarbeiter!$D$6:$D$205,MATCH(B4916,Mitarbeiter!$A$6:$A$205,0))),"nach Austritt","ok")))))))</f>
        <v/>
      </c>
    </row>
    <row r="4917">
      <c r="A4917" s="26" t="n"/>
      <c r="B4917" s="24" t="n"/>
      <c r="C4917" s="40">
        <f>IF(B4917="","",IFERROR(INDEX(Mitarbeiter!$B$6:$B$205,MATCH(B4917,Mitarbeiter!$A$6:$A$205,0)),"?"))</f>
        <v/>
      </c>
      <c r="D4917" s="41" t="n"/>
      <c r="E4917" s="42" t="n"/>
      <c r="F4917" s="43" t="n"/>
      <c r="G4917" s="44">
        <f>IF(OR(B4917="",F4917=""),"",IFERROR(F4917*INDEX(Mitarbeiter!$F$6:$F$205,MATCH(B4917,Mitarbeiter!$A$6:$A$205,0)),0))</f>
        <v/>
      </c>
      <c r="H4917" s="8">
        <f>IF(B4917="","",IF(ISNA(MATCH(B4917,Mitarbeiter!$A$6:$A$205,0)),"Pers.-Nr. unbekannt",IF(A4917="","Datum fehlt",IF(AND(D4917&lt;&gt;Einstellungen!$C$4,D4917&lt;&gt;Einstellungen!$C$5),"Objekt fehlt",IF(YEAR(A4917)&lt;&gt;Einstellungen!$C$3,"anderes Jahr",IF(A4917&lt;INDEX(Mitarbeiter!$C$6:$C$205,MATCH(B4917,Mitarbeiter!$A$6:$A$205,0)),"vor Eintritt",IF(AND(INDEX(Mitarbeiter!$D$6:$D$205,MATCH(B4917,Mitarbeiter!$A$6:$A$205,0))&lt;&gt;"",A4917&gt;INDEX(Mitarbeiter!$D$6:$D$205,MATCH(B4917,Mitarbeiter!$A$6:$A$205,0))),"nach Austritt","ok")))))))</f>
        <v/>
      </c>
    </row>
    <row r="4918">
      <c r="A4918" s="26" t="n"/>
      <c r="B4918" s="24" t="n"/>
      <c r="C4918" s="40">
        <f>IF(B4918="","",IFERROR(INDEX(Mitarbeiter!$B$6:$B$205,MATCH(B4918,Mitarbeiter!$A$6:$A$205,0)),"?"))</f>
        <v/>
      </c>
      <c r="D4918" s="41" t="n"/>
      <c r="E4918" s="42" t="n"/>
      <c r="F4918" s="43" t="n"/>
      <c r="G4918" s="44">
        <f>IF(OR(B4918="",F4918=""),"",IFERROR(F4918*INDEX(Mitarbeiter!$F$6:$F$205,MATCH(B4918,Mitarbeiter!$A$6:$A$205,0)),0))</f>
        <v/>
      </c>
      <c r="H4918" s="8">
        <f>IF(B4918="","",IF(ISNA(MATCH(B4918,Mitarbeiter!$A$6:$A$205,0)),"Pers.-Nr. unbekannt",IF(A4918="","Datum fehlt",IF(AND(D4918&lt;&gt;Einstellungen!$C$4,D4918&lt;&gt;Einstellungen!$C$5),"Objekt fehlt",IF(YEAR(A4918)&lt;&gt;Einstellungen!$C$3,"anderes Jahr",IF(A4918&lt;INDEX(Mitarbeiter!$C$6:$C$205,MATCH(B4918,Mitarbeiter!$A$6:$A$205,0)),"vor Eintritt",IF(AND(INDEX(Mitarbeiter!$D$6:$D$205,MATCH(B4918,Mitarbeiter!$A$6:$A$205,0))&lt;&gt;"",A4918&gt;INDEX(Mitarbeiter!$D$6:$D$205,MATCH(B4918,Mitarbeiter!$A$6:$A$205,0))),"nach Austritt","ok")))))))</f>
        <v/>
      </c>
    </row>
    <row r="4919">
      <c r="A4919" s="26" t="n"/>
      <c r="B4919" s="24" t="n"/>
      <c r="C4919" s="40">
        <f>IF(B4919="","",IFERROR(INDEX(Mitarbeiter!$B$6:$B$205,MATCH(B4919,Mitarbeiter!$A$6:$A$205,0)),"?"))</f>
        <v/>
      </c>
      <c r="D4919" s="41" t="n"/>
      <c r="E4919" s="42" t="n"/>
      <c r="F4919" s="43" t="n"/>
      <c r="G4919" s="44">
        <f>IF(OR(B4919="",F4919=""),"",IFERROR(F4919*INDEX(Mitarbeiter!$F$6:$F$205,MATCH(B4919,Mitarbeiter!$A$6:$A$205,0)),0))</f>
        <v/>
      </c>
      <c r="H4919" s="8">
        <f>IF(B4919="","",IF(ISNA(MATCH(B4919,Mitarbeiter!$A$6:$A$205,0)),"Pers.-Nr. unbekannt",IF(A4919="","Datum fehlt",IF(AND(D4919&lt;&gt;Einstellungen!$C$4,D4919&lt;&gt;Einstellungen!$C$5),"Objekt fehlt",IF(YEAR(A4919)&lt;&gt;Einstellungen!$C$3,"anderes Jahr",IF(A4919&lt;INDEX(Mitarbeiter!$C$6:$C$205,MATCH(B4919,Mitarbeiter!$A$6:$A$205,0)),"vor Eintritt",IF(AND(INDEX(Mitarbeiter!$D$6:$D$205,MATCH(B4919,Mitarbeiter!$A$6:$A$205,0))&lt;&gt;"",A4919&gt;INDEX(Mitarbeiter!$D$6:$D$205,MATCH(B4919,Mitarbeiter!$A$6:$A$205,0))),"nach Austritt","ok")))))))</f>
        <v/>
      </c>
    </row>
    <row r="4920">
      <c r="A4920" s="26" t="n"/>
      <c r="B4920" s="24" t="n"/>
      <c r="C4920" s="40">
        <f>IF(B4920="","",IFERROR(INDEX(Mitarbeiter!$B$6:$B$205,MATCH(B4920,Mitarbeiter!$A$6:$A$205,0)),"?"))</f>
        <v/>
      </c>
      <c r="D4920" s="41" t="n"/>
      <c r="E4920" s="42" t="n"/>
      <c r="F4920" s="43" t="n"/>
      <c r="G4920" s="44">
        <f>IF(OR(B4920="",F4920=""),"",IFERROR(F4920*INDEX(Mitarbeiter!$F$6:$F$205,MATCH(B4920,Mitarbeiter!$A$6:$A$205,0)),0))</f>
        <v/>
      </c>
      <c r="H4920" s="8">
        <f>IF(B4920="","",IF(ISNA(MATCH(B4920,Mitarbeiter!$A$6:$A$205,0)),"Pers.-Nr. unbekannt",IF(A4920="","Datum fehlt",IF(AND(D4920&lt;&gt;Einstellungen!$C$4,D4920&lt;&gt;Einstellungen!$C$5),"Objekt fehlt",IF(YEAR(A4920)&lt;&gt;Einstellungen!$C$3,"anderes Jahr",IF(A4920&lt;INDEX(Mitarbeiter!$C$6:$C$205,MATCH(B4920,Mitarbeiter!$A$6:$A$205,0)),"vor Eintritt",IF(AND(INDEX(Mitarbeiter!$D$6:$D$205,MATCH(B4920,Mitarbeiter!$A$6:$A$205,0))&lt;&gt;"",A4920&gt;INDEX(Mitarbeiter!$D$6:$D$205,MATCH(B4920,Mitarbeiter!$A$6:$A$205,0))),"nach Austritt","ok")))))))</f>
        <v/>
      </c>
    </row>
    <row r="4921">
      <c r="A4921" s="26" t="n"/>
      <c r="B4921" s="24" t="n"/>
      <c r="C4921" s="40">
        <f>IF(B4921="","",IFERROR(INDEX(Mitarbeiter!$B$6:$B$205,MATCH(B4921,Mitarbeiter!$A$6:$A$205,0)),"?"))</f>
        <v/>
      </c>
      <c r="D4921" s="41" t="n"/>
      <c r="E4921" s="42" t="n"/>
      <c r="F4921" s="43" t="n"/>
      <c r="G4921" s="44">
        <f>IF(OR(B4921="",F4921=""),"",IFERROR(F4921*INDEX(Mitarbeiter!$F$6:$F$205,MATCH(B4921,Mitarbeiter!$A$6:$A$205,0)),0))</f>
        <v/>
      </c>
      <c r="H4921" s="8">
        <f>IF(B4921="","",IF(ISNA(MATCH(B4921,Mitarbeiter!$A$6:$A$205,0)),"Pers.-Nr. unbekannt",IF(A4921="","Datum fehlt",IF(AND(D4921&lt;&gt;Einstellungen!$C$4,D4921&lt;&gt;Einstellungen!$C$5),"Objekt fehlt",IF(YEAR(A4921)&lt;&gt;Einstellungen!$C$3,"anderes Jahr",IF(A4921&lt;INDEX(Mitarbeiter!$C$6:$C$205,MATCH(B4921,Mitarbeiter!$A$6:$A$205,0)),"vor Eintritt",IF(AND(INDEX(Mitarbeiter!$D$6:$D$205,MATCH(B4921,Mitarbeiter!$A$6:$A$205,0))&lt;&gt;"",A4921&gt;INDEX(Mitarbeiter!$D$6:$D$205,MATCH(B4921,Mitarbeiter!$A$6:$A$205,0))),"nach Austritt","ok")))))))</f>
        <v/>
      </c>
    </row>
    <row r="4922">
      <c r="A4922" s="26" t="n"/>
      <c r="B4922" s="24" t="n"/>
      <c r="C4922" s="40">
        <f>IF(B4922="","",IFERROR(INDEX(Mitarbeiter!$B$6:$B$205,MATCH(B4922,Mitarbeiter!$A$6:$A$205,0)),"?"))</f>
        <v/>
      </c>
      <c r="D4922" s="41" t="n"/>
      <c r="E4922" s="42" t="n"/>
      <c r="F4922" s="43" t="n"/>
      <c r="G4922" s="44">
        <f>IF(OR(B4922="",F4922=""),"",IFERROR(F4922*INDEX(Mitarbeiter!$F$6:$F$205,MATCH(B4922,Mitarbeiter!$A$6:$A$205,0)),0))</f>
        <v/>
      </c>
      <c r="H4922" s="8">
        <f>IF(B4922="","",IF(ISNA(MATCH(B4922,Mitarbeiter!$A$6:$A$205,0)),"Pers.-Nr. unbekannt",IF(A4922="","Datum fehlt",IF(AND(D4922&lt;&gt;Einstellungen!$C$4,D4922&lt;&gt;Einstellungen!$C$5),"Objekt fehlt",IF(YEAR(A4922)&lt;&gt;Einstellungen!$C$3,"anderes Jahr",IF(A4922&lt;INDEX(Mitarbeiter!$C$6:$C$205,MATCH(B4922,Mitarbeiter!$A$6:$A$205,0)),"vor Eintritt",IF(AND(INDEX(Mitarbeiter!$D$6:$D$205,MATCH(B4922,Mitarbeiter!$A$6:$A$205,0))&lt;&gt;"",A4922&gt;INDEX(Mitarbeiter!$D$6:$D$205,MATCH(B4922,Mitarbeiter!$A$6:$A$205,0))),"nach Austritt","ok")))))))</f>
        <v/>
      </c>
    </row>
    <row r="4923">
      <c r="A4923" s="26" t="n"/>
      <c r="B4923" s="24" t="n"/>
      <c r="C4923" s="40">
        <f>IF(B4923="","",IFERROR(INDEX(Mitarbeiter!$B$6:$B$205,MATCH(B4923,Mitarbeiter!$A$6:$A$205,0)),"?"))</f>
        <v/>
      </c>
      <c r="D4923" s="41" t="n"/>
      <c r="E4923" s="42" t="n"/>
      <c r="F4923" s="43" t="n"/>
      <c r="G4923" s="44">
        <f>IF(OR(B4923="",F4923=""),"",IFERROR(F4923*INDEX(Mitarbeiter!$F$6:$F$205,MATCH(B4923,Mitarbeiter!$A$6:$A$205,0)),0))</f>
        <v/>
      </c>
      <c r="H4923" s="8">
        <f>IF(B4923="","",IF(ISNA(MATCH(B4923,Mitarbeiter!$A$6:$A$205,0)),"Pers.-Nr. unbekannt",IF(A4923="","Datum fehlt",IF(AND(D4923&lt;&gt;Einstellungen!$C$4,D4923&lt;&gt;Einstellungen!$C$5),"Objekt fehlt",IF(YEAR(A4923)&lt;&gt;Einstellungen!$C$3,"anderes Jahr",IF(A4923&lt;INDEX(Mitarbeiter!$C$6:$C$205,MATCH(B4923,Mitarbeiter!$A$6:$A$205,0)),"vor Eintritt",IF(AND(INDEX(Mitarbeiter!$D$6:$D$205,MATCH(B4923,Mitarbeiter!$A$6:$A$205,0))&lt;&gt;"",A4923&gt;INDEX(Mitarbeiter!$D$6:$D$205,MATCH(B4923,Mitarbeiter!$A$6:$A$205,0))),"nach Austritt","ok")))))))</f>
        <v/>
      </c>
    </row>
    <row r="4924">
      <c r="A4924" s="26" t="n"/>
      <c r="B4924" s="24" t="n"/>
      <c r="C4924" s="40">
        <f>IF(B4924="","",IFERROR(INDEX(Mitarbeiter!$B$6:$B$205,MATCH(B4924,Mitarbeiter!$A$6:$A$205,0)),"?"))</f>
        <v/>
      </c>
      <c r="D4924" s="41" t="n"/>
      <c r="E4924" s="42" t="n"/>
      <c r="F4924" s="43" t="n"/>
      <c r="G4924" s="44">
        <f>IF(OR(B4924="",F4924=""),"",IFERROR(F4924*INDEX(Mitarbeiter!$F$6:$F$205,MATCH(B4924,Mitarbeiter!$A$6:$A$205,0)),0))</f>
        <v/>
      </c>
      <c r="H4924" s="8">
        <f>IF(B4924="","",IF(ISNA(MATCH(B4924,Mitarbeiter!$A$6:$A$205,0)),"Pers.-Nr. unbekannt",IF(A4924="","Datum fehlt",IF(AND(D4924&lt;&gt;Einstellungen!$C$4,D4924&lt;&gt;Einstellungen!$C$5),"Objekt fehlt",IF(YEAR(A4924)&lt;&gt;Einstellungen!$C$3,"anderes Jahr",IF(A4924&lt;INDEX(Mitarbeiter!$C$6:$C$205,MATCH(B4924,Mitarbeiter!$A$6:$A$205,0)),"vor Eintritt",IF(AND(INDEX(Mitarbeiter!$D$6:$D$205,MATCH(B4924,Mitarbeiter!$A$6:$A$205,0))&lt;&gt;"",A4924&gt;INDEX(Mitarbeiter!$D$6:$D$205,MATCH(B4924,Mitarbeiter!$A$6:$A$205,0))),"nach Austritt","ok")))))))</f>
        <v/>
      </c>
    </row>
    <row r="4925">
      <c r="A4925" s="26" t="n"/>
      <c r="B4925" s="24" t="n"/>
      <c r="C4925" s="40">
        <f>IF(B4925="","",IFERROR(INDEX(Mitarbeiter!$B$6:$B$205,MATCH(B4925,Mitarbeiter!$A$6:$A$205,0)),"?"))</f>
        <v/>
      </c>
      <c r="D4925" s="41" t="n"/>
      <c r="E4925" s="42" t="n"/>
      <c r="F4925" s="43" t="n"/>
      <c r="G4925" s="44">
        <f>IF(OR(B4925="",F4925=""),"",IFERROR(F4925*INDEX(Mitarbeiter!$F$6:$F$205,MATCH(B4925,Mitarbeiter!$A$6:$A$205,0)),0))</f>
        <v/>
      </c>
      <c r="H4925" s="8">
        <f>IF(B4925="","",IF(ISNA(MATCH(B4925,Mitarbeiter!$A$6:$A$205,0)),"Pers.-Nr. unbekannt",IF(A4925="","Datum fehlt",IF(AND(D4925&lt;&gt;Einstellungen!$C$4,D4925&lt;&gt;Einstellungen!$C$5),"Objekt fehlt",IF(YEAR(A4925)&lt;&gt;Einstellungen!$C$3,"anderes Jahr",IF(A4925&lt;INDEX(Mitarbeiter!$C$6:$C$205,MATCH(B4925,Mitarbeiter!$A$6:$A$205,0)),"vor Eintritt",IF(AND(INDEX(Mitarbeiter!$D$6:$D$205,MATCH(B4925,Mitarbeiter!$A$6:$A$205,0))&lt;&gt;"",A4925&gt;INDEX(Mitarbeiter!$D$6:$D$205,MATCH(B4925,Mitarbeiter!$A$6:$A$205,0))),"nach Austritt","ok")))))))</f>
        <v/>
      </c>
    </row>
    <row r="4926">
      <c r="A4926" s="26" t="n"/>
      <c r="B4926" s="24" t="n"/>
      <c r="C4926" s="40">
        <f>IF(B4926="","",IFERROR(INDEX(Mitarbeiter!$B$6:$B$205,MATCH(B4926,Mitarbeiter!$A$6:$A$205,0)),"?"))</f>
        <v/>
      </c>
      <c r="D4926" s="41" t="n"/>
      <c r="E4926" s="42" t="n"/>
      <c r="F4926" s="43" t="n"/>
      <c r="G4926" s="44">
        <f>IF(OR(B4926="",F4926=""),"",IFERROR(F4926*INDEX(Mitarbeiter!$F$6:$F$205,MATCH(B4926,Mitarbeiter!$A$6:$A$205,0)),0))</f>
        <v/>
      </c>
      <c r="H4926" s="8">
        <f>IF(B4926="","",IF(ISNA(MATCH(B4926,Mitarbeiter!$A$6:$A$205,0)),"Pers.-Nr. unbekannt",IF(A4926="","Datum fehlt",IF(AND(D4926&lt;&gt;Einstellungen!$C$4,D4926&lt;&gt;Einstellungen!$C$5),"Objekt fehlt",IF(YEAR(A4926)&lt;&gt;Einstellungen!$C$3,"anderes Jahr",IF(A4926&lt;INDEX(Mitarbeiter!$C$6:$C$205,MATCH(B4926,Mitarbeiter!$A$6:$A$205,0)),"vor Eintritt",IF(AND(INDEX(Mitarbeiter!$D$6:$D$205,MATCH(B4926,Mitarbeiter!$A$6:$A$205,0))&lt;&gt;"",A4926&gt;INDEX(Mitarbeiter!$D$6:$D$205,MATCH(B4926,Mitarbeiter!$A$6:$A$205,0))),"nach Austritt","ok")))))))</f>
        <v/>
      </c>
    </row>
    <row r="4927">
      <c r="A4927" s="26" t="n"/>
      <c r="B4927" s="24" t="n"/>
      <c r="C4927" s="40">
        <f>IF(B4927="","",IFERROR(INDEX(Mitarbeiter!$B$6:$B$205,MATCH(B4927,Mitarbeiter!$A$6:$A$205,0)),"?"))</f>
        <v/>
      </c>
      <c r="D4927" s="41" t="n"/>
      <c r="E4927" s="42" t="n"/>
      <c r="F4927" s="43" t="n"/>
      <c r="G4927" s="44">
        <f>IF(OR(B4927="",F4927=""),"",IFERROR(F4927*INDEX(Mitarbeiter!$F$6:$F$205,MATCH(B4927,Mitarbeiter!$A$6:$A$205,0)),0))</f>
        <v/>
      </c>
      <c r="H4927" s="8">
        <f>IF(B4927="","",IF(ISNA(MATCH(B4927,Mitarbeiter!$A$6:$A$205,0)),"Pers.-Nr. unbekannt",IF(A4927="","Datum fehlt",IF(AND(D4927&lt;&gt;Einstellungen!$C$4,D4927&lt;&gt;Einstellungen!$C$5),"Objekt fehlt",IF(YEAR(A4927)&lt;&gt;Einstellungen!$C$3,"anderes Jahr",IF(A4927&lt;INDEX(Mitarbeiter!$C$6:$C$205,MATCH(B4927,Mitarbeiter!$A$6:$A$205,0)),"vor Eintritt",IF(AND(INDEX(Mitarbeiter!$D$6:$D$205,MATCH(B4927,Mitarbeiter!$A$6:$A$205,0))&lt;&gt;"",A4927&gt;INDEX(Mitarbeiter!$D$6:$D$205,MATCH(B4927,Mitarbeiter!$A$6:$A$205,0))),"nach Austritt","ok")))))))</f>
        <v/>
      </c>
    </row>
    <row r="4928">
      <c r="A4928" s="26" t="n"/>
      <c r="B4928" s="24" t="n"/>
      <c r="C4928" s="40">
        <f>IF(B4928="","",IFERROR(INDEX(Mitarbeiter!$B$6:$B$205,MATCH(B4928,Mitarbeiter!$A$6:$A$205,0)),"?"))</f>
        <v/>
      </c>
      <c r="D4928" s="41" t="n"/>
      <c r="E4928" s="42" t="n"/>
      <c r="F4928" s="43" t="n"/>
      <c r="G4928" s="44">
        <f>IF(OR(B4928="",F4928=""),"",IFERROR(F4928*INDEX(Mitarbeiter!$F$6:$F$205,MATCH(B4928,Mitarbeiter!$A$6:$A$205,0)),0))</f>
        <v/>
      </c>
      <c r="H4928" s="8">
        <f>IF(B4928="","",IF(ISNA(MATCH(B4928,Mitarbeiter!$A$6:$A$205,0)),"Pers.-Nr. unbekannt",IF(A4928="","Datum fehlt",IF(AND(D4928&lt;&gt;Einstellungen!$C$4,D4928&lt;&gt;Einstellungen!$C$5),"Objekt fehlt",IF(YEAR(A4928)&lt;&gt;Einstellungen!$C$3,"anderes Jahr",IF(A4928&lt;INDEX(Mitarbeiter!$C$6:$C$205,MATCH(B4928,Mitarbeiter!$A$6:$A$205,0)),"vor Eintritt",IF(AND(INDEX(Mitarbeiter!$D$6:$D$205,MATCH(B4928,Mitarbeiter!$A$6:$A$205,0))&lt;&gt;"",A4928&gt;INDEX(Mitarbeiter!$D$6:$D$205,MATCH(B4928,Mitarbeiter!$A$6:$A$205,0))),"nach Austritt","ok")))))))</f>
        <v/>
      </c>
    </row>
    <row r="4929">
      <c r="A4929" s="26" t="n"/>
      <c r="B4929" s="24" t="n"/>
      <c r="C4929" s="40">
        <f>IF(B4929="","",IFERROR(INDEX(Mitarbeiter!$B$6:$B$205,MATCH(B4929,Mitarbeiter!$A$6:$A$205,0)),"?"))</f>
        <v/>
      </c>
      <c r="D4929" s="41" t="n"/>
      <c r="E4929" s="42" t="n"/>
      <c r="F4929" s="43" t="n"/>
      <c r="G4929" s="44">
        <f>IF(OR(B4929="",F4929=""),"",IFERROR(F4929*INDEX(Mitarbeiter!$F$6:$F$205,MATCH(B4929,Mitarbeiter!$A$6:$A$205,0)),0))</f>
        <v/>
      </c>
      <c r="H4929" s="8">
        <f>IF(B4929="","",IF(ISNA(MATCH(B4929,Mitarbeiter!$A$6:$A$205,0)),"Pers.-Nr. unbekannt",IF(A4929="","Datum fehlt",IF(AND(D4929&lt;&gt;Einstellungen!$C$4,D4929&lt;&gt;Einstellungen!$C$5),"Objekt fehlt",IF(YEAR(A4929)&lt;&gt;Einstellungen!$C$3,"anderes Jahr",IF(A4929&lt;INDEX(Mitarbeiter!$C$6:$C$205,MATCH(B4929,Mitarbeiter!$A$6:$A$205,0)),"vor Eintritt",IF(AND(INDEX(Mitarbeiter!$D$6:$D$205,MATCH(B4929,Mitarbeiter!$A$6:$A$205,0))&lt;&gt;"",A4929&gt;INDEX(Mitarbeiter!$D$6:$D$205,MATCH(B4929,Mitarbeiter!$A$6:$A$205,0))),"nach Austritt","ok")))))))</f>
        <v/>
      </c>
    </row>
    <row r="4930">
      <c r="A4930" s="26" t="n"/>
      <c r="B4930" s="24" t="n"/>
      <c r="C4930" s="40">
        <f>IF(B4930="","",IFERROR(INDEX(Mitarbeiter!$B$6:$B$205,MATCH(B4930,Mitarbeiter!$A$6:$A$205,0)),"?"))</f>
        <v/>
      </c>
      <c r="D4930" s="41" t="n"/>
      <c r="E4930" s="42" t="n"/>
      <c r="F4930" s="43" t="n"/>
      <c r="G4930" s="44">
        <f>IF(OR(B4930="",F4930=""),"",IFERROR(F4930*INDEX(Mitarbeiter!$F$6:$F$205,MATCH(B4930,Mitarbeiter!$A$6:$A$205,0)),0))</f>
        <v/>
      </c>
      <c r="H4930" s="8">
        <f>IF(B4930="","",IF(ISNA(MATCH(B4930,Mitarbeiter!$A$6:$A$205,0)),"Pers.-Nr. unbekannt",IF(A4930="","Datum fehlt",IF(AND(D4930&lt;&gt;Einstellungen!$C$4,D4930&lt;&gt;Einstellungen!$C$5),"Objekt fehlt",IF(YEAR(A4930)&lt;&gt;Einstellungen!$C$3,"anderes Jahr",IF(A4930&lt;INDEX(Mitarbeiter!$C$6:$C$205,MATCH(B4930,Mitarbeiter!$A$6:$A$205,0)),"vor Eintritt",IF(AND(INDEX(Mitarbeiter!$D$6:$D$205,MATCH(B4930,Mitarbeiter!$A$6:$A$205,0))&lt;&gt;"",A4930&gt;INDEX(Mitarbeiter!$D$6:$D$205,MATCH(B4930,Mitarbeiter!$A$6:$A$205,0))),"nach Austritt","ok")))))))</f>
        <v/>
      </c>
    </row>
    <row r="4931">
      <c r="A4931" s="26" t="n"/>
      <c r="B4931" s="24" t="n"/>
      <c r="C4931" s="40">
        <f>IF(B4931="","",IFERROR(INDEX(Mitarbeiter!$B$6:$B$205,MATCH(B4931,Mitarbeiter!$A$6:$A$205,0)),"?"))</f>
        <v/>
      </c>
      <c r="D4931" s="41" t="n"/>
      <c r="E4931" s="42" t="n"/>
      <c r="F4931" s="43" t="n"/>
      <c r="G4931" s="44">
        <f>IF(OR(B4931="",F4931=""),"",IFERROR(F4931*INDEX(Mitarbeiter!$F$6:$F$205,MATCH(B4931,Mitarbeiter!$A$6:$A$205,0)),0))</f>
        <v/>
      </c>
      <c r="H4931" s="8">
        <f>IF(B4931="","",IF(ISNA(MATCH(B4931,Mitarbeiter!$A$6:$A$205,0)),"Pers.-Nr. unbekannt",IF(A4931="","Datum fehlt",IF(AND(D4931&lt;&gt;Einstellungen!$C$4,D4931&lt;&gt;Einstellungen!$C$5),"Objekt fehlt",IF(YEAR(A4931)&lt;&gt;Einstellungen!$C$3,"anderes Jahr",IF(A4931&lt;INDEX(Mitarbeiter!$C$6:$C$205,MATCH(B4931,Mitarbeiter!$A$6:$A$205,0)),"vor Eintritt",IF(AND(INDEX(Mitarbeiter!$D$6:$D$205,MATCH(B4931,Mitarbeiter!$A$6:$A$205,0))&lt;&gt;"",A4931&gt;INDEX(Mitarbeiter!$D$6:$D$205,MATCH(B4931,Mitarbeiter!$A$6:$A$205,0))),"nach Austritt","ok")))))))</f>
        <v/>
      </c>
    </row>
    <row r="4932">
      <c r="A4932" s="26" t="n"/>
      <c r="B4932" s="24" t="n"/>
      <c r="C4932" s="40">
        <f>IF(B4932="","",IFERROR(INDEX(Mitarbeiter!$B$6:$B$205,MATCH(B4932,Mitarbeiter!$A$6:$A$205,0)),"?"))</f>
        <v/>
      </c>
      <c r="D4932" s="41" t="n"/>
      <c r="E4932" s="42" t="n"/>
      <c r="F4932" s="43" t="n"/>
      <c r="G4932" s="44">
        <f>IF(OR(B4932="",F4932=""),"",IFERROR(F4932*INDEX(Mitarbeiter!$F$6:$F$205,MATCH(B4932,Mitarbeiter!$A$6:$A$205,0)),0))</f>
        <v/>
      </c>
      <c r="H4932" s="8">
        <f>IF(B4932="","",IF(ISNA(MATCH(B4932,Mitarbeiter!$A$6:$A$205,0)),"Pers.-Nr. unbekannt",IF(A4932="","Datum fehlt",IF(AND(D4932&lt;&gt;Einstellungen!$C$4,D4932&lt;&gt;Einstellungen!$C$5),"Objekt fehlt",IF(YEAR(A4932)&lt;&gt;Einstellungen!$C$3,"anderes Jahr",IF(A4932&lt;INDEX(Mitarbeiter!$C$6:$C$205,MATCH(B4932,Mitarbeiter!$A$6:$A$205,0)),"vor Eintritt",IF(AND(INDEX(Mitarbeiter!$D$6:$D$205,MATCH(B4932,Mitarbeiter!$A$6:$A$205,0))&lt;&gt;"",A4932&gt;INDEX(Mitarbeiter!$D$6:$D$205,MATCH(B4932,Mitarbeiter!$A$6:$A$205,0))),"nach Austritt","ok")))))))</f>
        <v/>
      </c>
    </row>
    <row r="4933">
      <c r="A4933" s="26" t="n"/>
      <c r="B4933" s="24" t="n"/>
      <c r="C4933" s="40">
        <f>IF(B4933="","",IFERROR(INDEX(Mitarbeiter!$B$6:$B$205,MATCH(B4933,Mitarbeiter!$A$6:$A$205,0)),"?"))</f>
        <v/>
      </c>
      <c r="D4933" s="41" t="n"/>
      <c r="E4933" s="42" t="n"/>
      <c r="F4933" s="43" t="n"/>
      <c r="G4933" s="44">
        <f>IF(OR(B4933="",F4933=""),"",IFERROR(F4933*INDEX(Mitarbeiter!$F$6:$F$205,MATCH(B4933,Mitarbeiter!$A$6:$A$205,0)),0))</f>
        <v/>
      </c>
      <c r="H4933" s="8">
        <f>IF(B4933="","",IF(ISNA(MATCH(B4933,Mitarbeiter!$A$6:$A$205,0)),"Pers.-Nr. unbekannt",IF(A4933="","Datum fehlt",IF(AND(D4933&lt;&gt;Einstellungen!$C$4,D4933&lt;&gt;Einstellungen!$C$5),"Objekt fehlt",IF(YEAR(A4933)&lt;&gt;Einstellungen!$C$3,"anderes Jahr",IF(A4933&lt;INDEX(Mitarbeiter!$C$6:$C$205,MATCH(B4933,Mitarbeiter!$A$6:$A$205,0)),"vor Eintritt",IF(AND(INDEX(Mitarbeiter!$D$6:$D$205,MATCH(B4933,Mitarbeiter!$A$6:$A$205,0))&lt;&gt;"",A4933&gt;INDEX(Mitarbeiter!$D$6:$D$205,MATCH(B4933,Mitarbeiter!$A$6:$A$205,0))),"nach Austritt","ok")))))))</f>
        <v/>
      </c>
    </row>
    <row r="4934">
      <c r="A4934" s="26" t="n"/>
      <c r="B4934" s="24" t="n"/>
      <c r="C4934" s="40">
        <f>IF(B4934="","",IFERROR(INDEX(Mitarbeiter!$B$6:$B$205,MATCH(B4934,Mitarbeiter!$A$6:$A$205,0)),"?"))</f>
        <v/>
      </c>
      <c r="D4934" s="41" t="n"/>
      <c r="E4934" s="42" t="n"/>
      <c r="F4934" s="43" t="n"/>
      <c r="G4934" s="44">
        <f>IF(OR(B4934="",F4934=""),"",IFERROR(F4934*INDEX(Mitarbeiter!$F$6:$F$205,MATCH(B4934,Mitarbeiter!$A$6:$A$205,0)),0))</f>
        <v/>
      </c>
      <c r="H4934" s="8">
        <f>IF(B4934="","",IF(ISNA(MATCH(B4934,Mitarbeiter!$A$6:$A$205,0)),"Pers.-Nr. unbekannt",IF(A4934="","Datum fehlt",IF(AND(D4934&lt;&gt;Einstellungen!$C$4,D4934&lt;&gt;Einstellungen!$C$5),"Objekt fehlt",IF(YEAR(A4934)&lt;&gt;Einstellungen!$C$3,"anderes Jahr",IF(A4934&lt;INDEX(Mitarbeiter!$C$6:$C$205,MATCH(B4934,Mitarbeiter!$A$6:$A$205,0)),"vor Eintritt",IF(AND(INDEX(Mitarbeiter!$D$6:$D$205,MATCH(B4934,Mitarbeiter!$A$6:$A$205,0))&lt;&gt;"",A4934&gt;INDEX(Mitarbeiter!$D$6:$D$205,MATCH(B4934,Mitarbeiter!$A$6:$A$205,0))),"nach Austritt","ok")))))))</f>
        <v/>
      </c>
    </row>
    <row r="4935">
      <c r="A4935" s="26" t="n"/>
      <c r="B4935" s="24" t="n"/>
      <c r="C4935" s="40">
        <f>IF(B4935="","",IFERROR(INDEX(Mitarbeiter!$B$6:$B$205,MATCH(B4935,Mitarbeiter!$A$6:$A$205,0)),"?"))</f>
        <v/>
      </c>
      <c r="D4935" s="41" t="n"/>
      <c r="E4935" s="42" t="n"/>
      <c r="F4935" s="43" t="n"/>
      <c r="G4935" s="44">
        <f>IF(OR(B4935="",F4935=""),"",IFERROR(F4935*INDEX(Mitarbeiter!$F$6:$F$205,MATCH(B4935,Mitarbeiter!$A$6:$A$205,0)),0))</f>
        <v/>
      </c>
      <c r="H4935" s="8">
        <f>IF(B4935="","",IF(ISNA(MATCH(B4935,Mitarbeiter!$A$6:$A$205,0)),"Pers.-Nr. unbekannt",IF(A4935="","Datum fehlt",IF(AND(D4935&lt;&gt;Einstellungen!$C$4,D4935&lt;&gt;Einstellungen!$C$5),"Objekt fehlt",IF(YEAR(A4935)&lt;&gt;Einstellungen!$C$3,"anderes Jahr",IF(A4935&lt;INDEX(Mitarbeiter!$C$6:$C$205,MATCH(B4935,Mitarbeiter!$A$6:$A$205,0)),"vor Eintritt",IF(AND(INDEX(Mitarbeiter!$D$6:$D$205,MATCH(B4935,Mitarbeiter!$A$6:$A$205,0))&lt;&gt;"",A4935&gt;INDEX(Mitarbeiter!$D$6:$D$205,MATCH(B4935,Mitarbeiter!$A$6:$A$205,0))),"nach Austritt","ok")))))))</f>
        <v/>
      </c>
    </row>
    <row r="4936">
      <c r="A4936" s="26" t="n"/>
      <c r="B4936" s="24" t="n"/>
      <c r="C4936" s="40">
        <f>IF(B4936="","",IFERROR(INDEX(Mitarbeiter!$B$6:$B$205,MATCH(B4936,Mitarbeiter!$A$6:$A$205,0)),"?"))</f>
        <v/>
      </c>
      <c r="D4936" s="41" t="n"/>
      <c r="E4936" s="42" t="n"/>
      <c r="F4936" s="43" t="n"/>
      <c r="G4936" s="44">
        <f>IF(OR(B4936="",F4936=""),"",IFERROR(F4936*INDEX(Mitarbeiter!$F$6:$F$205,MATCH(B4936,Mitarbeiter!$A$6:$A$205,0)),0))</f>
        <v/>
      </c>
      <c r="H4936" s="8">
        <f>IF(B4936="","",IF(ISNA(MATCH(B4936,Mitarbeiter!$A$6:$A$205,0)),"Pers.-Nr. unbekannt",IF(A4936="","Datum fehlt",IF(AND(D4936&lt;&gt;Einstellungen!$C$4,D4936&lt;&gt;Einstellungen!$C$5),"Objekt fehlt",IF(YEAR(A4936)&lt;&gt;Einstellungen!$C$3,"anderes Jahr",IF(A4936&lt;INDEX(Mitarbeiter!$C$6:$C$205,MATCH(B4936,Mitarbeiter!$A$6:$A$205,0)),"vor Eintritt",IF(AND(INDEX(Mitarbeiter!$D$6:$D$205,MATCH(B4936,Mitarbeiter!$A$6:$A$205,0))&lt;&gt;"",A4936&gt;INDEX(Mitarbeiter!$D$6:$D$205,MATCH(B4936,Mitarbeiter!$A$6:$A$205,0))),"nach Austritt","ok")))))))</f>
        <v/>
      </c>
    </row>
    <row r="4937">
      <c r="A4937" s="26" t="n"/>
      <c r="B4937" s="24" t="n"/>
      <c r="C4937" s="40">
        <f>IF(B4937="","",IFERROR(INDEX(Mitarbeiter!$B$6:$B$205,MATCH(B4937,Mitarbeiter!$A$6:$A$205,0)),"?"))</f>
        <v/>
      </c>
      <c r="D4937" s="41" t="n"/>
      <c r="E4937" s="42" t="n"/>
      <c r="F4937" s="43" t="n"/>
      <c r="G4937" s="44">
        <f>IF(OR(B4937="",F4937=""),"",IFERROR(F4937*INDEX(Mitarbeiter!$F$6:$F$205,MATCH(B4937,Mitarbeiter!$A$6:$A$205,0)),0))</f>
        <v/>
      </c>
      <c r="H4937" s="8">
        <f>IF(B4937="","",IF(ISNA(MATCH(B4937,Mitarbeiter!$A$6:$A$205,0)),"Pers.-Nr. unbekannt",IF(A4937="","Datum fehlt",IF(AND(D4937&lt;&gt;Einstellungen!$C$4,D4937&lt;&gt;Einstellungen!$C$5),"Objekt fehlt",IF(YEAR(A4937)&lt;&gt;Einstellungen!$C$3,"anderes Jahr",IF(A4937&lt;INDEX(Mitarbeiter!$C$6:$C$205,MATCH(B4937,Mitarbeiter!$A$6:$A$205,0)),"vor Eintritt",IF(AND(INDEX(Mitarbeiter!$D$6:$D$205,MATCH(B4937,Mitarbeiter!$A$6:$A$205,0))&lt;&gt;"",A4937&gt;INDEX(Mitarbeiter!$D$6:$D$205,MATCH(B4937,Mitarbeiter!$A$6:$A$205,0))),"nach Austritt","ok")))))))</f>
        <v/>
      </c>
    </row>
    <row r="4938">
      <c r="A4938" s="26" t="n"/>
      <c r="B4938" s="24" t="n"/>
      <c r="C4938" s="40">
        <f>IF(B4938="","",IFERROR(INDEX(Mitarbeiter!$B$6:$B$205,MATCH(B4938,Mitarbeiter!$A$6:$A$205,0)),"?"))</f>
        <v/>
      </c>
      <c r="D4938" s="41" t="n"/>
      <c r="E4938" s="42" t="n"/>
      <c r="F4938" s="43" t="n"/>
      <c r="G4938" s="44">
        <f>IF(OR(B4938="",F4938=""),"",IFERROR(F4938*INDEX(Mitarbeiter!$F$6:$F$205,MATCH(B4938,Mitarbeiter!$A$6:$A$205,0)),0))</f>
        <v/>
      </c>
      <c r="H4938" s="8">
        <f>IF(B4938="","",IF(ISNA(MATCH(B4938,Mitarbeiter!$A$6:$A$205,0)),"Pers.-Nr. unbekannt",IF(A4938="","Datum fehlt",IF(AND(D4938&lt;&gt;Einstellungen!$C$4,D4938&lt;&gt;Einstellungen!$C$5),"Objekt fehlt",IF(YEAR(A4938)&lt;&gt;Einstellungen!$C$3,"anderes Jahr",IF(A4938&lt;INDEX(Mitarbeiter!$C$6:$C$205,MATCH(B4938,Mitarbeiter!$A$6:$A$205,0)),"vor Eintritt",IF(AND(INDEX(Mitarbeiter!$D$6:$D$205,MATCH(B4938,Mitarbeiter!$A$6:$A$205,0))&lt;&gt;"",A4938&gt;INDEX(Mitarbeiter!$D$6:$D$205,MATCH(B4938,Mitarbeiter!$A$6:$A$205,0))),"nach Austritt","ok")))))))</f>
        <v/>
      </c>
    </row>
    <row r="4939">
      <c r="A4939" s="26" t="n"/>
      <c r="B4939" s="24" t="n"/>
      <c r="C4939" s="40">
        <f>IF(B4939="","",IFERROR(INDEX(Mitarbeiter!$B$6:$B$205,MATCH(B4939,Mitarbeiter!$A$6:$A$205,0)),"?"))</f>
        <v/>
      </c>
      <c r="D4939" s="41" t="n"/>
      <c r="E4939" s="42" t="n"/>
      <c r="F4939" s="43" t="n"/>
      <c r="G4939" s="44">
        <f>IF(OR(B4939="",F4939=""),"",IFERROR(F4939*INDEX(Mitarbeiter!$F$6:$F$205,MATCH(B4939,Mitarbeiter!$A$6:$A$205,0)),0))</f>
        <v/>
      </c>
      <c r="H4939" s="8">
        <f>IF(B4939="","",IF(ISNA(MATCH(B4939,Mitarbeiter!$A$6:$A$205,0)),"Pers.-Nr. unbekannt",IF(A4939="","Datum fehlt",IF(AND(D4939&lt;&gt;Einstellungen!$C$4,D4939&lt;&gt;Einstellungen!$C$5),"Objekt fehlt",IF(YEAR(A4939)&lt;&gt;Einstellungen!$C$3,"anderes Jahr",IF(A4939&lt;INDEX(Mitarbeiter!$C$6:$C$205,MATCH(B4939,Mitarbeiter!$A$6:$A$205,0)),"vor Eintritt",IF(AND(INDEX(Mitarbeiter!$D$6:$D$205,MATCH(B4939,Mitarbeiter!$A$6:$A$205,0))&lt;&gt;"",A4939&gt;INDEX(Mitarbeiter!$D$6:$D$205,MATCH(B4939,Mitarbeiter!$A$6:$A$205,0))),"nach Austritt","ok")))))))</f>
        <v/>
      </c>
    </row>
    <row r="4940">
      <c r="A4940" s="26" t="n"/>
      <c r="B4940" s="24" t="n"/>
      <c r="C4940" s="40">
        <f>IF(B4940="","",IFERROR(INDEX(Mitarbeiter!$B$6:$B$205,MATCH(B4940,Mitarbeiter!$A$6:$A$205,0)),"?"))</f>
        <v/>
      </c>
      <c r="D4940" s="41" t="n"/>
      <c r="E4940" s="42" t="n"/>
      <c r="F4940" s="43" t="n"/>
      <c r="G4940" s="44">
        <f>IF(OR(B4940="",F4940=""),"",IFERROR(F4940*INDEX(Mitarbeiter!$F$6:$F$205,MATCH(B4940,Mitarbeiter!$A$6:$A$205,0)),0))</f>
        <v/>
      </c>
      <c r="H4940" s="8">
        <f>IF(B4940="","",IF(ISNA(MATCH(B4940,Mitarbeiter!$A$6:$A$205,0)),"Pers.-Nr. unbekannt",IF(A4940="","Datum fehlt",IF(AND(D4940&lt;&gt;Einstellungen!$C$4,D4940&lt;&gt;Einstellungen!$C$5),"Objekt fehlt",IF(YEAR(A4940)&lt;&gt;Einstellungen!$C$3,"anderes Jahr",IF(A4940&lt;INDEX(Mitarbeiter!$C$6:$C$205,MATCH(B4940,Mitarbeiter!$A$6:$A$205,0)),"vor Eintritt",IF(AND(INDEX(Mitarbeiter!$D$6:$D$205,MATCH(B4940,Mitarbeiter!$A$6:$A$205,0))&lt;&gt;"",A4940&gt;INDEX(Mitarbeiter!$D$6:$D$205,MATCH(B4940,Mitarbeiter!$A$6:$A$205,0))),"nach Austritt","ok")))))))</f>
        <v/>
      </c>
    </row>
    <row r="4941">
      <c r="A4941" s="26" t="n"/>
      <c r="B4941" s="24" t="n"/>
      <c r="C4941" s="40">
        <f>IF(B4941="","",IFERROR(INDEX(Mitarbeiter!$B$6:$B$205,MATCH(B4941,Mitarbeiter!$A$6:$A$205,0)),"?"))</f>
        <v/>
      </c>
      <c r="D4941" s="41" t="n"/>
      <c r="E4941" s="42" t="n"/>
      <c r="F4941" s="43" t="n"/>
      <c r="G4941" s="44">
        <f>IF(OR(B4941="",F4941=""),"",IFERROR(F4941*INDEX(Mitarbeiter!$F$6:$F$205,MATCH(B4941,Mitarbeiter!$A$6:$A$205,0)),0))</f>
        <v/>
      </c>
      <c r="H4941" s="8">
        <f>IF(B4941="","",IF(ISNA(MATCH(B4941,Mitarbeiter!$A$6:$A$205,0)),"Pers.-Nr. unbekannt",IF(A4941="","Datum fehlt",IF(AND(D4941&lt;&gt;Einstellungen!$C$4,D4941&lt;&gt;Einstellungen!$C$5),"Objekt fehlt",IF(YEAR(A4941)&lt;&gt;Einstellungen!$C$3,"anderes Jahr",IF(A4941&lt;INDEX(Mitarbeiter!$C$6:$C$205,MATCH(B4941,Mitarbeiter!$A$6:$A$205,0)),"vor Eintritt",IF(AND(INDEX(Mitarbeiter!$D$6:$D$205,MATCH(B4941,Mitarbeiter!$A$6:$A$205,0))&lt;&gt;"",A4941&gt;INDEX(Mitarbeiter!$D$6:$D$205,MATCH(B4941,Mitarbeiter!$A$6:$A$205,0))),"nach Austritt","ok")))))))</f>
        <v/>
      </c>
    </row>
    <row r="4942">
      <c r="A4942" s="26" t="n"/>
      <c r="B4942" s="24" t="n"/>
      <c r="C4942" s="40">
        <f>IF(B4942="","",IFERROR(INDEX(Mitarbeiter!$B$6:$B$205,MATCH(B4942,Mitarbeiter!$A$6:$A$205,0)),"?"))</f>
        <v/>
      </c>
      <c r="D4942" s="41" t="n"/>
      <c r="E4942" s="42" t="n"/>
      <c r="F4942" s="43" t="n"/>
      <c r="G4942" s="44">
        <f>IF(OR(B4942="",F4942=""),"",IFERROR(F4942*INDEX(Mitarbeiter!$F$6:$F$205,MATCH(B4942,Mitarbeiter!$A$6:$A$205,0)),0))</f>
        <v/>
      </c>
      <c r="H4942" s="8">
        <f>IF(B4942="","",IF(ISNA(MATCH(B4942,Mitarbeiter!$A$6:$A$205,0)),"Pers.-Nr. unbekannt",IF(A4942="","Datum fehlt",IF(AND(D4942&lt;&gt;Einstellungen!$C$4,D4942&lt;&gt;Einstellungen!$C$5),"Objekt fehlt",IF(YEAR(A4942)&lt;&gt;Einstellungen!$C$3,"anderes Jahr",IF(A4942&lt;INDEX(Mitarbeiter!$C$6:$C$205,MATCH(B4942,Mitarbeiter!$A$6:$A$205,0)),"vor Eintritt",IF(AND(INDEX(Mitarbeiter!$D$6:$D$205,MATCH(B4942,Mitarbeiter!$A$6:$A$205,0))&lt;&gt;"",A4942&gt;INDEX(Mitarbeiter!$D$6:$D$205,MATCH(B4942,Mitarbeiter!$A$6:$A$205,0))),"nach Austritt","ok")))))))</f>
        <v/>
      </c>
    </row>
    <row r="4943">
      <c r="A4943" s="26" t="n"/>
      <c r="B4943" s="24" t="n"/>
      <c r="C4943" s="40">
        <f>IF(B4943="","",IFERROR(INDEX(Mitarbeiter!$B$6:$B$205,MATCH(B4943,Mitarbeiter!$A$6:$A$205,0)),"?"))</f>
        <v/>
      </c>
      <c r="D4943" s="41" t="n"/>
      <c r="E4943" s="42" t="n"/>
      <c r="F4943" s="43" t="n"/>
      <c r="G4943" s="44">
        <f>IF(OR(B4943="",F4943=""),"",IFERROR(F4943*INDEX(Mitarbeiter!$F$6:$F$205,MATCH(B4943,Mitarbeiter!$A$6:$A$205,0)),0))</f>
        <v/>
      </c>
      <c r="H4943" s="8">
        <f>IF(B4943="","",IF(ISNA(MATCH(B4943,Mitarbeiter!$A$6:$A$205,0)),"Pers.-Nr. unbekannt",IF(A4943="","Datum fehlt",IF(AND(D4943&lt;&gt;Einstellungen!$C$4,D4943&lt;&gt;Einstellungen!$C$5),"Objekt fehlt",IF(YEAR(A4943)&lt;&gt;Einstellungen!$C$3,"anderes Jahr",IF(A4943&lt;INDEX(Mitarbeiter!$C$6:$C$205,MATCH(B4943,Mitarbeiter!$A$6:$A$205,0)),"vor Eintritt",IF(AND(INDEX(Mitarbeiter!$D$6:$D$205,MATCH(B4943,Mitarbeiter!$A$6:$A$205,0))&lt;&gt;"",A4943&gt;INDEX(Mitarbeiter!$D$6:$D$205,MATCH(B4943,Mitarbeiter!$A$6:$A$205,0))),"nach Austritt","ok")))))))</f>
        <v/>
      </c>
    </row>
    <row r="4944">
      <c r="A4944" s="26" t="n"/>
      <c r="B4944" s="24" t="n"/>
      <c r="C4944" s="40">
        <f>IF(B4944="","",IFERROR(INDEX(Mitarbeiter!$B$6:$B$205,MATCH(B4944,Mitarbeiter!$A$6:$A$205,0)),"?"))</f>
        <v/>
      </c>
      <c r="D4944" s="41" t="n"/>
      <c r="E4944" s="42" t="n"/>
      <c r="F4944" s="43" t="n"/>
      <c r="G4944" s="44">
        <f>IF(OR(B4944="",F4944=""),"",IFERROR(F4944*INDEX(Mitarbeiter!$F$6:$F$205,MATCH(B4944,Mitarbeiter!$A$6:$A$205,0)),0))</f>
        <v/>
      </c>
      <c r="H4944" s="8">
        <f>IF(B4944="","",IF(ISNA(MATCH(B4944,Mitarbeiter!$A$6:$A$205,0)),"Pers.-Nr. unbekannt",IF(A4944="","Datum fehlt",IF(AND(D4944&lt;&gt;Einstellungen!$C$4,D4944&lt;&gt;Einstellungen!$C$5),"Objekt fehlt",IF(YEAR(A4944)&lt;&gt;Einstellungen!$C$3,"anderes Jahr",IF(A4944&lt;INDEX(Mitarbeiter!$C$6:$C$205,MATCH(B4944,Mitarbeiter!$A$6:$A$205,0)),"vor Eintritt",IF(AND(INDEX(Mitarbeiter!$D$6:$D$205,MATCH(B4944,Mitarbeiter!$A$6:$A$205,0))&lt;&gt;"",A4944&gt;INDEX(Mitarbeiter!$D$6:$D$205,MATCH(B4944,Mitarbeiter!$A$6:$A$205,0))),"nach Austritt","ok")))))))</f>
        <v/>
      </c>
    </row>
    <row r="4945">
      <c r="A4945" s="26" t="n"/>
      <c r="B4945" s="24" t="n"/>
      <c r="C4945" s="40">
        <f>IF(B4945="","",IFERROR(INDEX(Mitarbeiter!$B$6:$B$205,MATCH(B4945,Mitarbeiter!$A$6:$A$205,0)),"?"))</f>
        <v/>
      </c>
      <c r="D4945" s="41" t="n"/>
      <c r="E4945" s="42" t="n"/>
      <c r="F4945" s="43" t="n"/>
      <c r="G4945" s="44">
        <f>IF(OR(B4945="",F4945=""),"",IFERROR(F4945*INDEX(Mitarbeiter!$F$6:$F$205,MATCH(B4945,Mitarbeiter!$A$6:$A$205,0)),0))</f>
        <v/>
      </c>
      <c r="H4945" s="8">
        <f>IF(B4945="","",IF(ISNA(MATCH(B4945,Mitarbeiter!$A$6:$A$205,0)),"Pers.-Nr. unbekannt",IF(A4945="","Datum fehlt",IF(AND(D4945&lt;&gt;Einstellungen!$C$4,D4945&lt;&gt;Einstellungen!$C$5),"Objekt fehlt",IF(YEAR(A4945)&lt;&gt;Einstellungen!$C$3,"anderes Jahr",IF(A4945&lt;INDEX(Mitarbeiter!$C$6:$C$205,MATCH(B4945,Mitarbeiter!$A$6:$A$205,0)),"vor Eintritt",IF(AND(INDEX(Mitarbeiter!$D$6:$D$205,MATCH(B4945,Mitarbeiter!$A$6:$A$205,0))&lt;&gt;"",A4945&gt;INDEX(Mitarbeiter!$D$6:$D$205,MATCH(B4945,Mitarbeiter!$A$6:$A$205,0))),"nach Austritt","ok")))))))</f>
        <v/>
      </c>
    </row>
    <row r="4946">
      <c r="A4946" s="26" t="n"/>
      <c r="B4946" s="24" t="n"/>
      <c r="C4946" s="40">
        <f>IF(B4946="","",IFERROR(INDEX(Mitarbeiter!$B$6:$B$205,MATCH(B4946,Mitarbeiter!$A$6:$A$205,0)),"?"))</f>
        <v/>
      </c>
      <c r="D4946" s="41" t="n"/>
      <c r="E4946" s="42" t="n"/>
      <c r="F4946" s="43" t="n"/>
      <c r="G4946" s="44">
        <f>IF(OR(B4946="",F4946=""),"",IFERROR(F4946*INDEX(Mitarbeiter!$F$6:$F$205,MATCH(B4946,Mitarbeiter!$A$6:$A$205,0)),0))</f>
        <v/>
      </c>
      <c r="H4946" s="8">
        <f>IF(B4946="","",IF(ISNA(MATCH(B4946,Mitarbeiter!$A$6:$A$205,0)),"Pers.-Nr. unbekannt",IF(A4946="","Datum fehlt",IF(AND(D4946&lt;&gt;Einstellungen!$C$4,D4946&lt;&gt;Einstellungen!$C$5),"Objekt fehlt",IF(YEAR(A4946)&lt;&gt;Einstellungen!$C$3,"anderes Jahr",IF(A4946&lt;INDEX(Mitarbeiter!$C$6:$C$205,MATCH(B4946,Mitarbeiter!$A$6:$A$205,0)),"vor Eintritt",IF(AND(INDEX(Mitarbeiter!$D$6:$D$205,MATCH(B4946,Mitarbeiter!$A$6:$A$205,0))&lt;&gt;"",A4946&gt;INDEX(Mitarbeiter!$D$6:$D$205,MATCH(B4946,Mitarbeiter!$A$6:$A$205,0))),"nach Austritt","ok")))))))</f>
        <v/>
      </c>
    </row>
    <row r="4947">
      <c r="A4947" s="26" t="n"/>
      <c r="B4947" s="24" t="n"/>
      <c r="C4947" s="40">
        <f>IF(B4947="","",IFERROR(INDEX(Mitarbeiter!$B$6:$B$205,MATCH(B4947,Mitarbeiter!$A$6:$A$205,0)),"?"))</f>
        <v/>
      </c>
      <c r="D4947" s="41" t="n"/>
      <c r="E4947" s="42" t="n"/>
      <c r="F4947" s="43" t="n"/>
      <c r="G4947" s="44">
        <f>IF(OR(B4947="",F4947=""),"",IFERROR(F4947*INDEX(Mitarbeiter!$F$6:$F$205,MATCH(B4947,Mitarbeiter!$A$6:$A$205,0)),0))</f>
        <v/>
      </c>
      <c r="H4947" s="8">
        <f>IF(B4947="","",IF(ISNA(MATCH(B4947,Mitarbeiter!$A$6:$A$205,0)),"Pers.-Nr. unbekannt",IF(A4947="","Datum fehlt",IF(AND(D4947&lt;&gt;Einstellungen!$C$4,D4947&lt;&gt;Einstellungen!$C$5),"Objekt fehlt",IF(YEAR(A4947)&lt;&gt;Einstellungen!$C$3,"anderes Jahr",IF(A4947&lt;INDEX(Mitarbeiter!$C$6:$C$205,MATCH(B4947,Mitarbeiter!$A$6:$A$205,0)),"vor Eintritt",IF(AND(INDEX(Mitarbeiter!$D$6:$D$205,MATCH(B4947,Mitarbeiter!$A$6:$A$205,0))&lt;&gt;"",A4947&gt;INDEX(Mitarbeiter!$D$6:$D$205,MATCH(B4947,Mitarbeiter!$A$6:$A$205,0))),"nach Austritt","ok")))))))</f>
        <v/>
      </c>
    </row>
    <row r="4948">
      <c r="A4948" s="26" t="n"/>
      <c r="B4948" s="24" t="n"/>
      <c r="C4948" s="40">
        <f>IF(B4948="","",IFERROR(INDEX(Mitarbeiter!$B$6:$B$205,MATCH(B4948,Mitarbeiter!$A$6:$A$205,0)),"?"))</f>
        <v/>
      </c>
      <c r="D4948" s="41" t="n"/>
      <c r="E4948" s="42" t="n"/>
      <c r="F4948" s="43" t="n"/>
      <c r="G4948" s="44">
        <f>IF(OR(B4948="",F4948=""),"",IFERROR(F4948*INDEX(Mitarbeiter!$F$6:$F$205,MATCH(B4948,Mitarbeiter!$A$6:$A$205,0)),0))</f>
        <v/>
      </c>
      <c r="H4948" s="8">
        <f>IF(B4948="","",IF(ISNA(MATCH(B4948,Mitarbeiter!$A$6:$A$205,0)),"Pers.-Nr. unbekannt",IF(A4948="","Datum fehlt",IF(AND(D4948&lt;&gt;Einstellungen!$C$4,D4948&lt;&gt;Einstellungen!$C$5),"Objekt fehlt",IF(YEAR(A4948)&lt;&gt;Einstellungen!$C$3,"anderes Jahr",IF(A4948&lt;INDEX(Mitarbeiter!$C$6:$C$205,MATCH(B4948,Mitarbeiter!$A$6:$A$205,0)),"vor Eintritt",IF(AND(INDEX(Mitarbeiter!$D$6:$D$205,MATCH(B4948,Mitarbeiter!$A$6:$A$205,0))&lt;&gt;"",A4948&gt;INDEX(Mitarbeiter!$D$6:$D$205,MATCH(B4948,Mitarbeiter!$A$6:$A$205,0))),"nach Austritt","ok")))))))</f>
        <v/>
      </c>
    </row>
    <row r="4949">
      <c r="A4949" s="26" t="n"/>
      <c r="B4949" s="24" t="n"/>
      <c r="C4949" s="40">
        <f>IF(B4949="","",IFERROR(INDEX(Mitarbeiter!$B$6:$B$205,MATCH(B4949,Mitarbeiter!$A$6:$A$205,0)),"?"))</f>
        <v/>
      </c>
      <c r="D4949" s="41" t="n"/>
      <c r="E4949" s="42" t="n"/>
      <c r="F4949" s="43" t="n"/>
      <c r="G4949" s="44">
        <f>IF(OR(B4949="",F4949=""),"",IFERROR(F4949*INDEX(Mitarbeiter!$F$6:$F$205,MATCH(B4949,Mitarbeiter!$A$6:$A$205,0)),0))</f>
        <v/>
      </c>
      <c r="H4949" s="8">
        <f>IF(B4949="","",IF(ISNA(MATCH(B4949,Mitarbeiter!$A$6:$A$205,0)),"Pers.-Nr. unbekannt",IF(A4949="","Datum fehlt",IF(AND(D4949&lt;&gt;Einstellungen!$C$4,D4949&lt;&gt;Einstellungen!$C$5),"Objekt fehlt",IF(YEAR(A4949)&lt;&gt;Einstellungen!$C$3,"anderes Jahr",IF(A4949&lt;INDEX(Mitarbeiter!$C$6:$C$205,MATCH(B4949,Mitarbeiter!$A$6:$A$205,0)),"vor Eintritt",IF(AND(INDEX(Mitarbeiter!$D$6:$D$205,MATCH(B4949,Mitarbeiter!$A$6:$A$205,0))&lt;&gt;"",A4949&gt;INDEX(Mitarbeiter!$D$6:$D$205,MATCH(B4949,Mitarbeiter!$A$6:$A$205,0))),"nach Austritt","ok")))))))</f>
        <v/>
      </c>
    </row>
    <row r="4950">
      <c r="A4950" s="26" t="n"/>
      <c r="B4950" s="24" t="n"/>
      <c r="C4950" s="40">
        <f>IF(B4950="","",IFERROR(INDEX(Mitarbeiter!$B$6:$B$205,MATCH(B4950,Mitarbeiter!$A$6:$A$205,0)),"?"))</f>
        <v/>
      </c>
      <c r="D4950" s="41" t="n"/>
      <c r="E4950" s="42" t="n"/>
      <c r="F4950" s="43" t="n"/>
      <c r="G4950" s="44">
        <f>IF(OR(B4950="",F4950=""),"",IFERROR(F4950*INDEX(Mitarbeiter!$F$6:$F$205,MATCH(B4950,Mitarbeiter!$A$6:$A$205,0)),0))</f>
        <v/>
      </c>
      <c r="H4950" s="8">
        <f>IF(B4950="","",IF(ISNA(MATCH(B4950,Mitarbeiter!$A$6:$A$205,0)),"Pers.-Nr. unbekannt",IF(A4950="","Datum fehlt",IF(AND(D4950&lt;&gt;Einstellungen!$C$4,D4950&lt;&gt;Einstellungen!$C$5),"Objekt fehlt",IF(YEAR(A4950)&lt;&gt;Einstellungen!$C$3,"anderes Jahr",IF(A4950&lt;INDEX(Mitarbeiter!$C$6:$C$205,MATCH(B4950,Mitarbeiter!$A$6:$A$205,0)),"vor Eintritt",IF(AND(INDEX(Mitarbeiter!$D$6:$D$205,MATCH(B4950,Mitarbeiter!$A$6:$A$205,0))&lt;&gt;"",A4950&gt;INDEX(Mitarbeiter!$D$6:$D$205,MATCH(B4950,Mitarbeiter!$A$6:$A$205,0))),"nach Austritt","ok")))))))</f>
        <v/>
      </c>
    </row>
    <row r="4951">
      <c r="A4951" s="26" t="n"/>
      <c r="B4951" s="24" t="n"/>
      <c r="C4951" s="40">
        <f>IF(B4951="","",IFERROR(INDEX(Mitarbeiter!$B$6:$B$205,MATCH(B4951,Mitarbeiter!$A$6:$A$205,0)),"?"))</f>
        <v/>
      </c>
      <c r="D4951" s="41" t="n"/>
      <c r="E4951" s="42" t="n"/>
      <c r="F4951" s="43" t="n"/>
      <c r="G4951" s="44">
        <f>IF(OR(B4951="",F4951=""),"",IFERROR(F4951*INDEX(Mitarbeiter!$F$6:$F$205,MATCH(B4951,Mitarbeiter!$A$6:$A$205,0)),0))</f>
        <v/>
      </c>
      <c r="H4951" s="8">
        <f>IF(B4951="","",IF(ISNA(MATCH(B4951,Mitarbeiter!$A$6:$A$205,0)),"Pers.-Nr. unbekannt",IF(A4951="","Datum fehlt",IF(AND(D4951&lt;&gt;Einstellungen!$C$4,D4951&lt;&gt;Einstellungen!$C$5),"Objekt fehlt",IF(YEAR(A4951)&lt;&gt;Einstellungen!$C$3,"anderes Jahr",IF(A4951&lt;INDEX(Mitarbeiter!$C$6:$C$205,MATCH(B4951,Mitarbeiter!$A$6:$A$205,0)),"vor Eintritt",IF(AND(INDEX(Mitarbeiter!$D$6:$D$205,MATCH(B4951,Mitarbeiter!$A$6:$A$205,0))&lt;&gt;"",A4951&gt;INDEX(Mitarbeiter!$D$6:$D$205,MATCH(B4951,Mitarbeiter!$A$6:$A$205,0))),"nach Austritt","ok")))))))</f>
        <v/>
      </c>
    </row>
    <row r="4952">
      <c r="A4952" s="26" t="n"/>
      <c r="B4952" s="24" t="n"/>
      <c r="C4952" s="40">
        <f>IF(B4952="","",IFERROR(INDEX(Mitarbeiter!$B$6:$B$205,MATCH(B4952,Mitarbeiter!$A$6:$A$205,0)),"?"))</f>
        <v/>
      </c>
      <c r="D4952" s="41" t="n"/>
      <c r="E4952" s="42" t="n"/>
      <c r="F4952" s="43" t="n"/>
      <c r="G4952" s="44">
        <f>IF(OR(B4952="",F4952=""),"",IFERROR(F4952*INDEX(Mitarbeiter!$F$6:$F$205,MATCH(B4952,Mitarbeiter!$A$6:$A$205,0)),0))</f>
        <v/>
      </c>
      <c r="H4952" s="8">
        <f>IF(B4952="","",IF(ISNA(MATCH(B4952,Mitarbeiter!$A$6:$A$205,0)),"Pers.-Nr. unbekannt",IF(A4952="","Datum fehlt",IF(AND(D4952&lt;&gt;Einstellungen!$C$4,D4952&lt;&gt;Einstellungen!$C$5),"Objekt fehlt",IF(YEAR(A4952)&lt;&gt;Einstellungen!$C$3,"anderes Jahr",IF(A4952&lt;INDEX(Mitarbeiter!$C$6:$C$205,MATCH(B4952,Mitarbeiter!$A$6:$A$205,0)),"vor Eintritt",IF(AND(INDEX(Mitarbeiter!$D$6:$D$205,MATCH(B4952,Mitarbeiter!$A$6:$A$205,0))&lt;&gt;"",A4952&gt;INDEX(Mitarbeiter!$D$6:$D$205,MATCH(B4952,Mitarbeiter!$A$6:$A$205,0))),"nach Austritt","ok")))))))</f>
        <v/>
      </c>
    </row>
    <row r="4953">
      <c r="A4953" s="26" t="n"/>
      <c r="B4953" s="24" t="n"/>
      <c r="C4953" s="40">
        <f>IF(B4953="","",IFERROR(INDEX(Mitarbeiter!$B$6:$B$205,MATCH(B4953,Mitarbeiter!$A$6:$A$205,0)),"?"))</f>
        <v/>
      </c>
      <c r="D4953" s="41" t="n"/>
      <c r="E4953" s="42" t="n"/>
      <c r="F4953" s="43" t="n"/>
      <c r="G4953" s="44">
        <f>IF(OR(B4953="",F4953=""),"",IFERROR(F4953*INDEX(Mitarbeiter!$F$6:$F$205,MATCH(B4953,Mitarbeiter!$A$6:$A$205,0)),0))</f>
        <v/>
      </c>
      <c r="H4953" s="8">
        <f>IF(B4953="","",IF(ISNA(MATCH(B4953,Mitarbeiter!$A$6:$A$205,0)),"Pers.-Nr. unbekannt",IF(A4953="","Datum fehlt",IF(AND(D4953&lt;&gt;Einstellungen!$C$4,D4953&lt;&gt;Einstellungen!$C$5),"Objekt fehlt",IF(YEAR(A4953)&lt;&gt;Einstellungen!$C$3,"anderes Jahr",IF(A4953&lt;INDEX(Mitarbeiter!$C$6:$C$205,MATCH(B4953,Mitarbeiter!$A$6:$A$205,0)),"vor Eintritt",IF(AND(INDEX(Mitarbeiter!$D$6:$D$205,MATCH(B4953,Mitarbeiter!$A$6:$A$205,0))&lt;&gt;"",A4953&gt;INDEX(Mitarbeiter!$D$6:$D$205,MATCH(B4953,Mitarbeiter!$A$6:$A$205,0))),"nach Austritt","ok")))))))</f>
        <v/>
      </c>
    </row>
    <row r="4954">
      <c r="A4954" s="26" t="n"/>
      <c r="B4954" s="24" t="n"/>
      <c r="C4954" s="40">
        <f>IF(B4954="","",IFERROR(INDEX(Mitarbeiter!$B$6:$B$205,MATCH(B4954,Mitarbeiter!$A$6:$A$205,0)),"?"))</f>
        <v/>
      </c>
      <c r="D4954" s="41" t="n"/>
      <c r="E4954" s="42" t="n"/>
      <c r="F4954" s="43" t="n"/>
      <c r="G4954" s="44">
        <f>IF(OR(B4954="",F4954=""),"",IFERROR(F4954*INDEX(Mitarbeiter!$F$6:$F$205,MATCH(B4954,Mitarbeiter!$A$6:$A$205,0)),0))</f>
        <v/>
      </c>
      <c r="H4954" s="8">
        <f>IF(B4954="","",IF(ISNA(MATCH(B4954,Mitarbeiter!$A$6:$A$205,0)),"Pers.-Nr. unbekannt",IF(A4954="","Datum fehlt",IF(AND(D4954&lt;&gt;Einstellungen!$C$4,D4954&lt;&gt;Einstellungen!$C$5),"Objekt fehlt",IF(YEAR(A4954)&lt;&gt;Einstellungen!$C$3,"anderes Jahr",IF(A4954&lt;INDEX(Mitarbeiter!$C$6:$C$205,MATCH(B4954,Mitarbeiter!$A$6:$A$205,0)),"vor Eintritt",IF(AND(INDEX(Mitarbeiter!$D$6:$D$205,MATCH(B4954,Mitarbeiter!$A$6:$A$205,0))&lt;&gt;"",A4954&gt;INDEX(Mitarbeiter!$D$6:$D$205,MATCH(B4954,Mitarbeiter!$A$6:$A$205,0))),"nach Austritt","ok")))))))</f>
        <v/>
      </c>
    </row>
    <row r="4955">
      <c r="A4955" s="26" t="n"/>
      <c r="B4955" s="24" t="n"/>
      <c r="C4955" s="40">
        <f>IF(B4955="","",IFERROR(INDEX(Mitarbeiter!$B$6:$B$205,MATCH(B4955,Mitarbeiter!$A$6:$A$205,0)),"?"))</f>
        <v/>
      </c>
      <c r="D4955" s="41" t="n"/>
      <c r="E4955" s="42" t="n"/>
      <c r="F4955" s="43" t="n"/>
      <c r="G4955" s="44">
        <f>IF(OR(B4955="",F4955=""),"",IFERROR(F4955*INDEX(Mitarbeiter!$F$6:$F$205,MATCH(B4955,Mitarbeiter!$A$6:$A$205,0)),0))</f>
        <v/>
      </c>
      <c r="H4955" s="8">
        <f>IF(B4955="","",IF(ISNA(MATCH(B4955,Mitarbeiter!$A$6:$A$205,0)),"Pers.-Nr. unbekannt",IF(A4955="","Datum fehlt",IF(AND(D4955&lt;&gt;Einstellungen!$C$4,D4955&lt;&gt;Einstellungen!$C$5),"Objekt fehlt",IF(YEAR(A4955)&lt;&gt;Einstellungen!$C$3,"anderes Jahr",IF(A4955&lt;INDEX(Mitarbeiter!$C$6:$C$205,MATCH(B4955,Mitarbeiter!$A$6:$A$205,0)),"vor Eintritt",IF(AND(INDEX(Mitarbeiter!$D$6:$D$205,MATCH(B4955,Mitarbeiter!$A$6:$A$205,0))&lt;&gt;"",A4955&gt;INDEX(Mitarbeiter!$D$6:$D$205,MATCH(B4955,Mitarbeiter!$A$6:$A$205,0))),"nach Austritt","ok")))))))</f>
        <v/>
      </c>
    </row>
    <row r="4956">
      <c r="A4956" s="26" t="n"/>
      <c r="B4956" s="24" t="n"/>
      <c r="C4956" s="40">
        <f>IF(B4956="","",IFERROR(INDEX(Mitarbeiter!$B$6:$B$205,MATCH(B4956,Mitarbeiter!$A$6:$A$205,0)),"?"))</f>
        <v/>
      </c>
      <c r="D4956" s="41" t="n"/>
      <c r="E4956" s="42" t="n"/>
      <c r="F4956" s="43" t="n"/>
      <c r="G4956" s="44">
        <f>IF(OR(B4956="",F4956=""),"",IFERROR(F4956*INDEX(Mitarbeiter!$F$6:$F$205,MATCH(B4956,Mitarbeiter!$A$6:$A$205,0)),0))</f>
        <v/>
      </c>
      <c r="H4956" s="8">
        <f>IF(B4956="","",IF(ISNA(MATCH(B4956,Mitarbeiter!$A$6:$A$205,0)),"Pers.-Nr. unbekannt",IF(A4956="","Datum fehlt",IF(AND(D4956&lt;&gt;Einstellungen!$C$4,D4956&lt;&gt;Einstellungen!$C$5),"Objekt fehlt",IF(YEAR(A4956)&lt;&gt;Einstellungen!$C$3,"anderes Jahr",IF(A4956&lt;INDEX(Mitarbeiter!$C$6:$C$205,MATCH(B4956,Mitarbeiter!$A$6:$A$205,0)),"vor Eintritt",IF(AND(INDEX(Mitarbeiter!$D$6:$D$205,MATCH(B4956,Mitarbeiter!$A$6:$A$205,0))&lt;&gt;"",A4956&gt;INDEX(Mitarbeiter!$D$6:$D$205,MATCH(B4956,Mitarbeiter!$A$6:$A$205,0))),"nach Austritt","ok")))))))</f>
        <v/>
      </c>
    </row>
    <row r="4957">
      <c r="A4957" s="26" t="n"/>
      <c r="B4957" s="24" t="n"/>
      <c r="C4957" s="40">
        <f>IF(B4957="","",IFERROR(INDEX(Mitarbeiter!$B$6:$B$205,MATCH(B4957,Mitarbeiter!$A$6:$A$205,0)),"?"))</f>
        <v/>
      </c>
      <c r="D4957" s="41" t="n"/>
      <c r="E4957" s="42" t="n"/>
      <c r="F4957" s="43" t="n"/>
      <c r="G4957" s="44">
        <f>IF(OR(B4957="",F4957=""),"",IFERROR(F4957*INDEX(Mitarbeiter!$F$6:$F$205,MATCH(B4957,Mitarbeiter!$A$6:$A$205,0)),0))</f>
        <v/>
      </c>
      <c r="H4957" s="8">
        <f>IF(B4957="","",IF(ISNA(MATCH(B4957,Mitarbeiter!$A$6:$A$205,0)),"Pers.-Nr. unbekannt",IF(A4957="","Datum fehlt",IF(AND(D4957&lt;&gt;Einstellungen!$C$4,D4957&lt;&gt;Einstellungen!$C$5),"Objekt fehlt",IF(YEAR(A4957)&lt;&gt;Einstellungen!$C$3,"anderes Jahr",IF(A4957&lt;INDEX(Mitarbeiter!$C$6:$C$205,MATCH(B4957,Mitarbeiter!$A$6:$A$205,0)),"vor Eintritt",IF(AND(INDEX(Mitarbeiter!$D$6:$D$205,MATCH(B4957,Mitarbeiter!$A$6:$A$205,0))&lt;&gt;"",A4957&gt;INDEX(Mitarbeiter!$D$6:$D$205,MATCH(B4957,Mitarbeiter!$A$6:$A$205,0))),"nach Austritt","ok")))))))</f>
        <v/>
      </c>
    </row>
    <row r="4958">
      <c r="A4958" s="26" t="n"/>
      <c r="B4958" s="24" t="n"/>
      <c r="C4958" s="40">
        <f>IF(B4958="","",IFERROR(INDEX(Mitarbeiter!$B$6:$B$205,MATCH(B4958,Mitarbeiter!$A$6:$A$205,0)),"?"))</f>
        <v/>
      </c>
      <c r="D4958" s="41" t="n"/>
      <c r="E4958" s="42" t="n"/>
      <c r="F4958" s="43" t="n"/>
      <c r="G4958" s="44">
        <f>IF(OR(B4958="",F4958=""),"",IFERROR(F4958*INDEX(Mitarbeiter!$F$6:$F$205,MATCH(B4958,Mitarbeiter!$A$6:$A$205,0)),0))</f>
        <v/>
      </c>
      <c r="H4958" s="8">
        <f>IF(B4958="","",IF(ISNA(MATCH(B4958,Mitarbeiter!$A$6:$A$205,0)),"Pers.-Nr. unbekannt",IF(A4958="","Datum fehlt",IF(AND(D4958&lt;&gt;Einstellungen!$C$4,D4958&lt;&gt;Einstellungen!$C$5),"Objekt fehlt",IF(YEAR(A4958)&lt;&gt;Einstellungen!$C$3,"anderes Jahr",IF(A4958&lt;INDEX(Mitarbeiter!$C$6:$C$205,MATCH(B4958,Mitarbeiter!$A$6:$A$205,0)),"vor Eintritt",IF(AND(INDEX(Mitarbeiter!$D$6:$D$205,MATCH(B4958,Mitarbeiter!$A$6:$A$205,0))&lt;&gt;"",A4958&gt;INDEX(Mitarbeiter!$D$6:$D$205,MATCH(B4958,Mitarbeiter!$A$6:$A$205,0))),"nach Austritt","ok")))))))</f>
        <v/>
      </c>
    </row>
    <row r="4959">
      <c r="A4959" s="26" t="n"/>
      <c r="B4959" s="24" t="n"/>
      <c r="C4959" s="40">
        <f>IF(B4959="","",IFERROR(INDEX(Mitarbeiter!$B$6:$B$205,MATCH(B4959,Mitarbeiter!$A$6:$A$205,0)),"?"))</f>
        <v/>
      </c>
      <c r="D4959" s="41" t="n"/>
      <c r="E4959" s="42" t="n"/>
      <c r="F4959" s="43" t="n"/>
      <c r="G4959" s="44">
        <f>IF(OR(B4959="",F4959=""),"",IFERROR(F4959*INDEX(Mitarbeiter!$F$6:$F$205,MATCH(B4959,Mitarbeiter!$A$6:$A$205,0)),0))</f>
        <v/>
      </c>
      <c r="H4959" s="8">
        <f>IF(B4959="","",IF(ISNA(MATCH(B4959,Mitarbeiter!$A$6:$A$205,0)),"Pers.-Nr. unbekannt",IF(A4959="","Datum fehlt",IF(AND(D4959&lt;&gt;Einstellungen!$C$4,D4959&lt;&gt;Einstellungen!$C$5),"Objekt fehlt",IF(YEAR(A4959)&lt;&gt;Einstellungen!$C$3,"anderes Jahr",IF(A4959&lt;INDEX(Mitarbeiter!$C$6:$C$205,MATCH(B4959,Mitarbeiter!$A$6:$A$205,0)),"vor Eintritt",IF(AND(INDEX(Mitarbeiter!$D$6:$D$205,MATCH(B4959,Mitarbeiter!$A$6:$A$205,0))&lt;&gt;"",A4959&gt;INDEX(Mitarbeiter!$D$6:$D$205,MATCH(B4959,Mitarbeiter!$A$6:$A$205,0))),"nach Austritt","ok")))))))</f>
        <v/>
      </c>
    </row>
    <row r="4960">
      <c r="A4960" s="26" t="n"/>
      <c r="B4960" s="24" t="n"/>
      <c r="C4960" s="40">
        <f>IF(B4960="","",IFERROR(INDEX(Mitarbeiter!$B$6:$B$205,MATCH(B4960,Mitarbeiter!$A$6:$A$205,0)),"?"))</f>
        <v/>
      </c>
      <c r="D4960" s="41" t="n"/>
      <c r="E4960" s="42" t="n"/>
      <c r="F4960" s="43" t="n"/>
      <c r="G4960" s="44">
        <f>IF(OR(B4960="",F4960=""),"",IFERROR(F4960*INDEX(Mitarbeiter!$F$6:$F$205,MATCH(B4960,Mitarbeiter!$A$6:$A$205,0)),0))</f>
        <v/>
      </c>
      <c r="H4960" s="8">
        <f>IF(B4960="","",IF(ISNA(MATCH(B4960,Mitarbeiter!$A$6:$A$205,0)),"Pers.-Nr. unbekannt",IF(A4960="","Datum fehlt",IF(AND(D4960&lt;&gt;Einstellungen!$C$4,D4960&lt;&gt;Einstellungen!$C$5),"Objekt fehlt",IF(YEAR(A4960)&lt;&gt;Einstellungen!$C$3,"anderes Jahr",IF(A4960&lt;INDEX(Mitarbeiter!$C$6:$C$205,MATCH(B4960,Mitarbeiter!$A$6:$A$205,0)),"vor Eintritt",IF(AND(INDEX(Mitarbeiter!$D$6:$D$205,MATCH(B4960,Mitarbeiter!$A$6:$A$205,0))&lt;&gt;"",A4960&gt;INDEX(Mitarbeiter!$D$6:$D$205,MATCH(B4960,Mitarbeiter!$A$6:$A$205,0))),"nach Austritt","ok")))))))</f>
        <v/>
      </c>
    </row>
    <row r="4961">
      <c r="A4961" s="26" t="n"/>
      <c r="B4961" s="24" t="n"/>
      <c r="C4961" s="40">
        <f>IF(B4961="","",IFERROR(INDEX(Mitarbeiter!$B$6:$B$205,MATCH(B4961,Mitarbeiter!$A$6:$A$205,0)),"?"))</f>
        <v/>
      </c>
      <c r="D4961" s="41" t="n"/>
      <c r="E4961" s="42" t="n"/>
      <c r="F4961" s="43" t="n"/>
      <c r="G4961" s="44">
        <f>IF(OR(B4961="",F4961=""),"",IFERROR(F4961*INDEX(Mitarbeiter!$F$6:$F$205,MATCH(B4961,Mitarbeiter!$A$6:$A$205,0)),0))</f>
        <v/>
      </c>
      <c r="H4961" s="8">
        <f>IF(B4961="","",IF(ISNA(MATCH(B4961,Mitarbeiter!$A$6:$A$205,0)),"Pers.-Nr. unbekannt",IF(A4961="","Datum fehlt",IF(AND(D4961&lt;&gt;Einstellungen!$C$4,D4961&lt;&gt;Einstellungen!$C$5),"Objekt fehlt",IF(YEAR(A4961)&lt;&gt;Einstellungen!$C$3,"anderes Jahr",IF(A4961&lt;INDEX(Mitarbeiter!$C$6:$C$205,MATCH(B4961,Mitarbeiter!$A$6:$A$205,0)),"vor Eintritt",IF(AND(INDEX(Mitarbeiter!$D$6:$D$205,MATCH(B4961,Mitarbeiter!$A$6:$A$205,0))&lt;&gt;"",A4961&gt;INDEX(Mitarbeiter!$D$6:$D$205,MATCH(B4961,Mitarbeiter!$A$6:$A$205,0))),"nach Austritt","ok")))))))</f>
        <v/>
      </c>
    </row>
    <row r="4962">
      <c r="A4962" s="26" t="n"/>
      <c r="B4962" s="24" t="n"/>
      <c r="C4962" s="40">
        <f>IF(B4962="","",IFERROR(INDEX(Mitarbeiter!$B$6:$B$205,MATCH(B4962,Mitarbeiter!$A$6:$A$205,0)),"?"))</f>
        <v/>
      </c>
      <c r="D4962" s="41" t="n"/>
      <c r="E4962" s="42" t="n"/>
      <c r="F4962" s="43" t="n"/>
      <c r="G4962" s="44">
        <f>IF(OR(B4962="",F4962=""),"",IFERROR(F4962*INDEX(Mitarbeiter!$F$6:$F$205,MATCH(B4962,Mitarbeiter!$A$6:$A$205,0)),0))</f>
        <v/>
      </c>
      <c r="H4962" s="8">
        <f>IF(B4962="","",IF(ISNA(MATCH(B4962,Mitarbeiter!$A$6:$A$205,0)),"Pers.-Nr. unbekannt",IF(A4962="","Datum fehlt",IF(AND(D4962&lt;&gt;Einstellungen!$C$4,D4962&lt;&gt;Einstellungen!$C$5),"Objekt fehlt",IF(YEAR(A4962)&lt;&gt;Einstellungen!$C$3,"anderes Jahr",IF(A4962&lt;INDEX(Mitarbeiter!$C$6:$C$205,MATCH(B4962,Mitarbeiter!$A$6:$A$205,0)),"vor Eintritt",IF(AND(INDEX(Mitarbeiter!$D$6:$D$205,MATCH(B4962,Mitarbeiter!$A$6:$A$205,0))&lt;&gt;"",A4962&gt;INDEX(Mitarbeiter!$D$6:$D$205,MATCH(B4962,Mitarbeiter!$A$6:$A$205,0))),"nach Austritt","ok")))))))</f>
        <v/>
      </c>
    </row>
    <row r="4963">
      <c r="A4963" s="26" t="n"/>
      <c r="B4963" s="24" t="n"/>
      <c r="C4963" s="40">
        <f>IF(B4963="","",IFERROR(INDEX(Mitarbeiter!$B$6:$B$205,MATCH(B4963,Mitarbeiter!$A$6:$A$205,0)),"?"))</f>
        <v/>
      </c>
      <c r="D4963" s="41" t="n"/>
      <c r="E4963" s="42" t="n"/>
      <c r="F4963" s="43" t="n"/>
      <c r="G4963" s="44">
        <f>IF(OR(B4963="",F4963=""),"",IFERROR(F4963*INDEX(Mitarbeiter!$F$6:$F$205,MATCH(B4963,Mitarbeiter!$A$6:$A$205,0)),0))</f>
        <v/>
      </c>
      <c r="H4963" s="8">
        <f>IF(B4963="","",IF(ISNA(MATCH(B4963,Mitarbeiter!$A$6:$A$205,0)),"Pers.-Nr. unbekannt",IF(A4963="","Datum fehlt",IF(AND(D4963&lt;&gt;Einstellungen!$C$4,D4963&lt;&gt;Einstellungen!$C$5),"Objekt fehlt",IF(YEAR(A4963)&lt;&gt;Einstellungen!$C$3,"anderes Jahr",IF(A4963&lt;INDEX(Mitarbeiter!$C$6:$C$205,MATCH(B4963,Mitarbeiter!$A$6:$A$205,0)),"vor Eintritt",IF(AND(INDEX(Mitarbeiter!$D$6:$D$205,MATCH(B4963,Mitarbeiter!$A$6:$A$205,0))&lt;&gt;"",A4963&gt;INDEX(Mitarbeiter!$D$6:$D$205,MATCH(B4963,Mitarbeiter!$A$6:$A$205,0))),"nach Austritt","ok")))))))</f>
        <v/>
      </c>
    </row>
    <row r="4964">
      <c r="A4964" s="26" t="n"/>
      <c r="B4964" s="24" t="n"/>
      <c r="C4964" s="40">
        <f>IF(B4964="","",IFERROR(INDEX(Mitarbeiter!$B$6:$B$205,MATCH(B4964,Mitarbeiter!$A$6:$A$205,0)),"?"))</f>
        <v/>
      </c>
      <c r="D4964" s="41" t="n"/>
      <c r="E4964" s="42" t="n"/>
      <c r="F4964" s="43" t="n"/>
      <c r="G4964" s="44">
        <f>IF(OR(B4964="",F4964=""),"",IFERROR(F4964*INDEX(Mitarbeiter!$F$6:$F$205,MATCH(B4964,Mitarbeiter!$A$6:$A$205,0)),0))</f>
        <v/>
      </c>
      <c r="H4964" s="8">
        <f>IF(B4964="","",IF(ISNA(MATCH(B4964,Mitarbeiter!$A$6:$A$205,0)),"Pers.-Nr. unbekannt",IF(A4964="","Datum fehlt",IF(AND(D4964&lt;&gt;Einstellungen!$C$4,D4964&lt;&gt;Einstellungen!$C$5),"Objekt fehlt",IF(YEAR(A4964)&lt;&gt;Einstellungen!$C$3,"anderes Jahr",IF(A4964&lt;INDEX(Mitarbeiter!$C$6:$C$205,MATCH(B4964,Mitarbeiter!$A$6:$A$205,0)),"vor Eintritt",IF(AND(INDEX(Mitarbeiter!$D$6:$D$205,MATCH(B4964,Mitarbeiter!$A$6:$A$205,0))&lt;&gt;"",A4964&gt;INDEX(Mitarbeiter!$D$6:$D$205,MATCH(B4964,Mitarbeiter!$A$6:$A$205,0))),"nach Austritt","ok")))))))</f>
        <v/>
      </c>
    </row>
    <row r="4965">
      <c r="A4965" s="26" t="n"/>
      <c r="B4965" s="24" t="n"/>
      <c r="C4965" s="40">
        <f>IF(B4965="","",IFERROR(INDEX(Mitarbeiter!$B$6:$B$205,MATCH(B4965,Mitarbeiter!$A$6:$A$205,0)),"?"))</f>
        <v/>
      </c>
      <c r="D4965" s="41" t="n"/>
      <c r="E4965" s="42" t="n"/>
      <c r="F4965" s="43" t="n"/>
      <c r="G4965" s="44">
        <f>IF(OR(B4965="",F4965=""),"",IFERROR(F4965*INDEX(Mitarbeiter!$F$6:$F$205,MATCH(B4965,Mitarbeiter!$A$6:$A$205,0)),0))</f>
        <v/>
      </c>
      <c r="H4965" s="8">
        <f>IF(B4965="","",IF(ISNA(MATCH(B4965,Mitarbeiter!$A$6:$A$205,0)),"Pers.-Nr. unbekannt",IF(A4965="","Datum fehlt",IF(AND(D4965&lt;&gt;Einstellungen!$C$4,D4965&lt;&gt;Einstellungen!$C$5),"Objekt fehlt",IF(YEAR(A4965)&lt;&gt;Einstellungen!$C$3,"anderes Jahr",IF(A4965&lt;INDEX(Mitarbeiter!$C$6:$C$205,MATCH(B4965,Mitarbeiter!$A$6:$A$205,0)),"vor Eintritt",IF(AND(INDEX(Mitarbeiter!$D$6:$D$205,MATCH(B4965,Mitarbeiter!$A$6:$A$205,0))&lt;&gt;"",A4965&gt;INDEX(Mitarbeiter!$D$6:$D$205,MATCH(B4965,Mitarbeiter!$A$6:$A$205,0))),"nach Austritt","ok")))))))</f>
        <v/>
      </c>
    </row>
    <row r="4966">
      <c r="A4966" s="26" t="n"/>
      <c r="B4966" s="24" t="n"/>
      <c r="C4966" s="40">
        <f>IF(B4966="","",IFERROR(INDEX(Mitarbeiter!$B$6:$B$205,MATCH(B4966,Mitarbeiter!$A$6:$A$205,0)),"?"))</f>
        <v/>
      </c>
      <c r="D4966" s="41" t="n"/>
      <c r="E4966" s="42" t="n"/>
      <c r="F4966" s="43" t="n"/>
      <c r="G4966" s="44">
        <f>IF(OR(B4966="",F4966=""),"",IFERROR(F4966*INDEX(Mitarbeiter!$F$6:$F$205,MATCH(B4966,Mitarbeiter!$A$6:$A$205,0)),0))</f>
        <v/>
      </c>
      <c r="H4966" s="8">
        <f>IF(B4966="","",IF(ISNA(MATCH(B4966,Mitarbeiter!$A$6:$A$205,0)),"Pers.-Nr. unbekannt",IF(A4966="","Datum fehlt",IF(AND(D4966&lt;&gt;Einstellungen!$C$4,D4966&lt;&gt;Einstellungen!$C$5),"Objekt fehlt",IF(YEAR(A4966)&lt;&gt;Einstellungen!$C$3,"anderes Jahr",IF(A4966&lt;INDEX(Mitarbeiter!$C$6:$C$205,MATCH(B4966,Mitarbeiter!$A$6:$A$205,0)),"vor Eintritt",IF(AND(INDEX(Mitarbeiter!$D$6:$D$205,MATCH(B4966,Mitarbeiter!$A$6:$A$205,0))&lt;&gt;"",A4966&gt;INDEX(Mitarbeiter!$D$6:$D$205,MATCH(B4966,Mitarbeiter!$A$6:$A$205,0))),"nach Austritt","ok")))))))</f>
        <v/>
      </c>
    </row>
    <row r="4967">
      <c r="A4967" s="26" t="n"/>
      <c r="B4967" s="24" t="n"/>
      <c r="C4967" s="40">
        <f>IF(B4967="","",IFERROR(INDEX(Mitarbeiter!$B$6:$B$205,MATCH(B4967,Mitarbeiter!$A$6:$A$205,0)),"?"))</f>
        <v/>
      </c>
      <c r="D4967" s="41" t="n"/>
      <c r="E4967" s="42" t="n"/>
      <c r="F4967" s="43" t="n"/>
      <c r="G4967" s="44">
        <f>IF(OR(B4967="",F4967=""),"",IFERROR(F4967*INDEX(Mitarbeiter!$F$6:$F$205,MATCH(B4967,Mitarbeiter!$A$6:$A$205,0)),0))</f>
        <v/>
      </c>
      <c r="H4967" s="8">
        <f>IF(B4967="","",IF(ISNA(MATCH(B4967,Mitarbeiter!$A$6:$A$205,0)),"Pers.-Nr. unbekannt",IF(A4967="","Datum fehlt",IF(AND(D4967&lt;&gt;Einstellungen!$C$4,D4967&lt;&gt;Einstellungen!$C$5),"Objekt fehlt",IF(YEAR(A4967)&lt;&gt;Einstellungen!$C$3,"anderes Jahr",IF(A4967&lt;INDEX(Mitarbeiter!$C$6:$C$205,MATCH(B4967,Mitarbeiter!$A$6:$A$205,0)),"vor Eintritt",IF(AND(INDEX(Mitarbeiter!$D$6:$D$205,MATCH(B4967,Mitarbeiter!$A$6:$A$205,0))&lt;&gt;"",A4967&gt;INDEX(Mitarbeiter!$D$6:$D$205,MATCH(B4967,Mitarbeiter!$A$6:$A$205,0))),"nach Austritt","ok")))))))</f>
        <v/>
      </c>
    </row>
    <row r="4968">
      <c r="A4968" s="26" t="n"/>
      <c r="B4968" s="24" t="n"/>
      <c r="C4968" s="40">
        <f>IF(B4968="","",IFERROR(INDEX(Mitarbeiter!$B$6:$B$205,MATCH(B4968,Mitarbeiter!$A$6:$A$205,0)),"?"))</f>
        <v/>
      </c>
      <c r="D4968" s="41" t="n"/>
      <c r="E4968" s="42" t="n"/>
      <c r="F4968" s="43" t="n"/>
      <c r="G4968" s="44">
        <f>IF(OR(B4968="",F4968=""),"",IFERROR(F4968*INDEX(Mitarbeiter!$F$6:$F$205,MATCH(B4968,Mitarbeiter!$A$6:$A$205,0)),0))</f>
        <v/>
      </c>
      <c r="H4968" s="8">
        <f>IF(B4968="","",IF(ISNA(MATCH(B4968,Mitarbeiter!$A$6:$A$205,0)),"Pers.-Nr. unbekannt",IF(A4968="","Datum fehlt",IF(AND(D4968&lt;&gt;Einstellungen!$C$4,D4968&lt;&gt;Einstellungen!$C$5),"Objekt fehlt",IF(YEAR(A4968)&lt;&gt;Einstellungen!$C$3,"anderes Jahr",IF(A4968&lt;INDEX(Mitarbeiter!$C$6:$C$205,MATCH(B4968,Mitarbeiter!$A$6:$A$205,0)),"vor Eintritt",IF(AND(INDEX(Mitarbeiter!$D$6:$D$205,MATCH(B4968,Mitarbeiter!$A$6:$A$205,0))&lt;&gt;"",A4968&gt;INDEX(Mitarbeiter!$D$6:$D$205,MATCH(B4968,Mitarbeiter!$A$6:$A$205,0))),"nach Austritt","ok")))))))</f>
        <v/>
      </c>
    </row>
    <row r="4969">
      <c r="A4969" s="26" t="n"/>
      <c r="B4969" s="24" t="n"/>
      <c r="C4969" s="40">
        <f>IF(B4969="","",IFERROR(INDEX(Mitarbeiter!$B$6:$B$205,MATCH(B4969,Mitarbeiter!$A$6:$A$205,0)),"?"))</f>
        <v/>
      </c>
      <c r="D4969" s="41" t="n"/>
      <c r="E4969" s="42" t="n"/>
      <c r="F4969" s="43" t="n"/>
      <c r="G4969" s="44">
        <f>IF(OR(B4969="",F4969=""),"",IFERROR(F4969*INDEX(Mitarbeiter!$F$6:$F$205,MATCH(B4969,Mitarbeiter!$A$6:$A$205,0)),0))</f>
        <v/>
      </c>
      <c r="H4969" s="8">
        <f>IF(B4969="","",IF(ISNA(MATCH(B4969,Mitarbeiter!$A$6:$A$205,0)),"Pers.-Nr. unbekannt",IF(A4969="","Datum fehlt",IF(AND(D4969&lt;&gt;Einstellungen!$C$4,D4969&lt;&gt;Einstellungen!$C$5),"Objekt fehlt",IF(YEAR(A4969)&lt;&gt;Einstellungen!$C$3,"anderes Jahr",IF(A4969&lt;INDEX(Mitarbeiter!$C$6:$C$205,MATCH(B4969,Mitarbeiter!$A$6:$A$205,0)),"vor Eintritt",IF(AND(INDEX(Mitarbeiter!$D$6:$D$205,MATCH(B4969,Mitarbeiter!$A$6:$A$205,0))&lt;&gt;"",A4969&gt;INDEX(Mitarbeiter!$D$6:$D$205,MATCH(B4969,Mitarbeiter!$A$6:$A$205,0))),"nach Austritt","ok")))))))</f>
        <v/>
      </c>
    </row>
    <row r="4970">
      <c r="A4970" s="26" t="n"/>
      <c r="B4970" s="24" t="n"/>
      <c r="C4970" s="40">
        <f>IF(B4970="","",IFERROR(INDEX(Mitarbeiter!$B$6:$B$205,MATCH(B4970,Mitarbeiter!$A$6:$A$205,0)),"?"))</f>
        <v/>
      </c>
      <c r="D4970" s="41" t="n"/>
      <c r="E4970" s="42" t="n"/>
      <c r="F4970" s="43" t="n"/>
      <c r="G4970" s="44">
        <f>IF(OR(B4970="",F4970=""),"",IFERROR(F4970*INDEX(Mitarbeiter!$F$6:$F$205,MATCH(B4970,Mitarbeiter!$A$6:$A$205,0)),0))</f>
        <v/>
      </c>
      <c r="H4970" s="8">
        <f>IF(B4970="","",IF(ISNA(MATCH(B4970,Mitarbeiter!$A$6:$A$205,0)),"Pers.-Nr. unbekannt",IF(A4970="","Datum fehlt",IF(AND(D4970&lt;&gt;Einstellungen!$C$4,D4970&lt;&gt;Einstellungen!$C$5),"Objekt fehlt",IF(YEAR(A4970)&lt;&gt;Einstellungen!$C$3,"anderes Jahr",IF(A4970&lt;INDEX(Mitarbeiter!$C$6:$C$205,MATCH(B4970,Mitarbeiter!$A$6:$A$205,0)),"vor Eintritt",IF(AND(INDEX(Mitarbeiter!$D$6:$D$205,MATCH(B4970,Mitarbeiter!$A$6:$A$205,0))&lt;&gt;"",A4970&gt;INDEX(Mitarbeiter!$D$6:$D$205,MATCH(B4970,Mitarbeiter!$A$6:$A$205,0))),"nach Austritt","ok")))))))</f>
        <v/>
      </c>
    </row>
    <row r="4971">
      <c r="A4971" s="26" t="n"/>
      <c r="B4971" s="24" t="n"/>
      <c r="C4971" s="40">
        <f>IF(B4971="","",IFERROR(INDEX(Mitarbeiter!$B$6:$B$205,MATCH(B4971,Mitarbeiter!$A$6:$A$205,0)),"?"))</f>
        <v/>
      </c>
      <c r="D4971" s="41" t="n"/>
      <c r="E4971" s="42" t="n"/>
      <c r="F4971" s="43" t="n"/>
      <c r="G4971" s="44">
        <f>IF(OR(B4971="",F4971=""),"",IFERROR(F4971*INDEX(Mitarbeiter!$F$6:$F$205,MATCH(B4971,Mitarbeiter!$A$6:$A$205,0)),0))</f>
        <v/>
      </c>
      <c r="H4971" s="8">
        <f>IF(B4971="","",IF(ISNA(MATCH(B4971,Mitarbeiter!$A$6:$A$205,0)),"Pers.-Nr. unbekannt",IF(A4971="","Datum fehlt",IF(AND(D4971&lt;&gt;Einstellungen!$C$4,D4971&lt;&gt;Einstellungen!$C$5),"Objekt fehlt",IF(YEAR(A4971)&lt;&gt;Einstellungen!$C$3,"anderes Jahr",IF(A4971&lt;INDEX(Mitarbeiter!$C$6:$C$205,MATCH(B4971,Mitarbeiter!$A$6:$A$205,0)),"vor Eintritt",IF(AND(INDEX(Mitarbeiter!$D$6:$D$205,MATCH(B4971,Mitarbeiter!$A$6:$A$205,0))&lt;&gt;"",A4971&gt;INDEX(Mitarbeiter!$D$6:$D$205,MATCH(B4971,Mitarbeiter!$A$6:$A$205,0))),"nach Austritt","ok")))))))</f>
        <v/>
      </c>
    </row>
    <row r="4972">
      <c r="A4972" s="26" t="n"/>
      <c r="B4972" s="24" t="n"/>
      <c r="C4972" s="40">
        <f>IF(B4972="","",IFERROR(INDEX(Mitarbeiter!$B$6:$B$205,MATCH(B4972,Mitarbeiter!$A$6:$A$205,0)),"?"))</f>
        <v/>
      </c>
      <c r="D4972" s="41" t="n"/>
      <c r="E4972" s="42" t="n"/>
      <c r="F4972" s="43" t="n"/>
      <c r="G4972" s="44">
        <f>IF(OR(B4972="",F4972=""),"",IFERROR(F4972*INDEX(Mitarbeiter!$F$6:$F$205,MATCH(B4972,Mitarbeiter!$A$6:$A$205,0)),0))</f>
        <v/>
      </c>
      <c r="H4972" s="8">
        <f>IF(B4972="","",IF(ISNA(MATCH(B4972,Mitarbeiter!$A$6:$A$205,0)),"Pers.-Nr. unbekannt",IF(A4972="","Datum fehlt",IF(AND(D4972&lt;&gt;Einstellungen!$C$4,D4972&lt;&gt;Einstellungen!$C$5),"Objekt fehlt",IF(YEAR(A4972)&lt;&gt;Einstellungen!$C$3,"anderes Jahr",IF(A4972&lt;INDEX(Mitarbeiter!$C$6:$C$205,MATCH(B4972,Mitarbeiter!$A$6:$A$205,0)),"vor Eintritt",IF(AND(INDEX(Mitarbeiter!$D$6:$D$205,MATCH(B4972,Mitarbeiter!$A$6:$A$205,0))&lt;&gt;"",A4972&gt;INDEX(Mitarbeiter!$D$6:$D$205,MATCH(B4972,Mitarbeiter!$A$6:$A$205,0))),"nach Austritt","ok")))))))</f>
        <v/>
      </c>
    </row>
    <row r="4973">
      <c r="A4973" s="26" t="n"/>
      <c r="B4973" s="24" t="n"/>
      <c r="C4973" s="40">
        <f>IF(B4973="","",IFERROR(INDEX(Mitarbeiter!$B$6:$B$205,MATCH(B4973,Mitarbeiter!$A$6:$A$205,0)),"?"))</f>
        <v/>
      </c>
      <c r="D4973" s="41" t="n"/>
      <c r="E4973" s="42" t="n"/>
      <c r="F4973" s="43" t="n"/>
      <c r="G4973" s="44">
        <f>IF(OR(B4973="",F4973=""),"",IFERROR(F4973*INDEX(Mitarbeiter!$F$6:$F$205,MATCH(B4973,Mitarbeiter!$A$6:$A$205,0)),0))</f>
        <v/>
      </c>
      <c r="H4973" s="8">
        <f>IF(B4973="","",IF(ISNA(MATCH(B4973,Mitarbeiter!$A$6:$A$205,0)),"Pers.-Nr. unbekannt",IF(A4973="","Datum fehlt",IF(AND(D4973&lt;&gt;Einstellungen!$C$4,D4973&lt;&gt;Einstellungen!$C$5),"Objekt fehlt",IF(YEAR(A4973)&lt;&gt;Einstellungen!$C$3,"anderes Jahr",IF(A4973&lt;INDEX(Mitarbeiter!$C$6:$C$205,MATCH(B4973,Mitarbeiter!$A$6:$A$205,0)),"vor Eintritt",IF(AND(INDEX(Mitarbeiter!$D$6:$D$205,MATCH(B4973,Mitarbeiter!$A$6:$A$205,0))&lt;&gt;"",A4973&gt;INDEX(Mitarbeiter!$D$6:$D$205,MATCH(B4973,Mitarbeiter!$A$6:$A$205,0))),"nach Austritt","ok")))))))</f>
        <v/>
      </c>
    </row>
    <row r="4974">
      <c r="A4974" s="26" t="n"/>
      <c r="B4974" s="24" t="n"/>
      <c r="C4974" s="40">
        <f>IF(B4974="","",IFERROR(INDEX(Mitarbeiter!$B$6:$B$205,MATCH(B4974,Mitarbeiter!$A$6:$A$205,0)),"?"))</f>
        <v/>
      </c>
      <c r="D4974" s="41" t="n"/>
      <c r="E4974" s="42" t="n"/>
      <c r="F4974" s="43" t="n"/>
      <c r="G4974" s="44">
        <f>IF(OR(B4974="",F4974=""),"",IFERROR(F4974*INDEX(Mitarbeiter!$F$6:$F$205,MATCH(B4974,Mitarbeiter!$A$6:$A$205,0)),0))</f>
        <v/>
      </c>
      <c r="H4974" s="8">
        <f>IF(B4974="","",IF(ISNA(MATCH(B4974,Mitarbeiter!$A$6:$A$205,0)),"Pers.-Nr. unbekannt",IF(A4974="","Datum fehlt",IF(AND(D4974&lt;&gt;Einstellungen!$C$4,D4974&lt;&gt;Einstellungen!$C$5),"Objekt fehlt",IF(YEAR(A4974)&lt;&gt;Einstellungen!$C$3,"anderes Jahr",IF(A4974&lt;INDEX(Mitarbeiter!$C$6:$C$205,MATCH(B4974,Mitarbeiter!$A$6:$A$205,0)),"vor Eintritt",IF(AND(INDEX(Mitarbeiter!$D$6:$D$205,MATCH(B4974,Mitarbeiter!$A$6:$A$205,0))&lt;&gt;"",A4974&gt;INDEX(Mitarbeiter!$D$6:$D$205,MATCH(B4974,Mitarbeiter!$A$6:$A$205,0))),"nach Austritt","ok")))))))</f>
        <v/>
      </c>
    </row>
    <row r="4975">
      <c r="A4975" s="26" t="n"/>
      <c r="B4975" s="24" t="n"/>
      <c r="C4975" s="40">
        <f>IF(B4975="","",IFERROR(INDEX(Mitarbeiter!$B$6:$B$205,MATCH(B4975,Mitarbeiter!$A$6:$A$205,0)),"?"))</f>
        <v/>
      </c>
      <c r="D4975" s="41" t="n"/>
      <c r="E4975" s="42" t="n"/>
      <c r="F4975" s="43" t="n"/>
      <c r="G4975" s="44">
        <f>IF(OR(B4975="",F4975=""),"",IFERROR(F4975*INDEX(Mitarbeiter!$F$6:$F$205,MATCH(B4975,Mitarbeiter!$A$6:$A$205,0)),0))</f>
        <v/>
      </c>
      <c r="H4975" s="8">
        <f>IF(B4975="","",IF(ISNA(MATCH(B4975,Mitarbeiter!$A$6:$A$205,0)),"Pers.-Nr. unbekannt",IF(A4975="","Datum fehlt",IF(AND(D4975&lt;&gt;Einstellungen!$C$4,D4975&lt;&gt;Einstellungen!$C$5),"Objekt fehlt",IF(YEAR(A4975)&lt;&gt;Einstellungen!$C$3,"anderes Jahr",IF(A4975&lt;INDEX(Mitarbeiter!$C$6:$C$205,MATCH(B4975,Mitarbeiter!$A$6:$A$205,0)),"vor Eintritt",IF(AND(INDEX(Mitarbeiter!$D$6:$D$205,MATCH(B4975,Mitarbeiter!$A$6:$A$205,0))&lt;&gt;"",A4975&gt;INDEX(Mitarbeiter!$D$6:$D$205,MATCH(B4975,Mitarbeiter!$A$6:$A$205,0))),"nach Austritt","ok")))))))</f>
        <v/>
      </c>
    </row>
    <row r="4976">
      <c r="A4976" s="26" t="n"/>
      <c r="B4976" s="24" t="n"/>
      <c r="C4976" s="40">
        <f>IF(B4976="","",IFERROR(INDEX(Mitarbeiter!$B$6:$B$205,MATCH(B4976,Mitarbeiter!$A$6:$A$205,0)),"?"))</f>
        <v/>
      </c>
      <c r="D4976" s="41" t="n"/>
      <c r="E4976" s="42" t="n"/>
      <c r="F4976" s="43" t="n"/>
      <c r="G4976" s="44">
        <f>IF(OR(B4976="",F4976=""),"",IFERROR(F4976*INDEX(Mitarbeiter!$F$6:$F$205,MATCH(B4976,Mitarbeiter!$A$6:$A$205,0)),0))</f>
        <v/>
      </c>
      <c r="H4976" s="8">
        <f>IF(B4976="","",IF(ISNA(MATCH(B4976,Mitarbeiter!$A$6:$A$205,0)),"Pers.-Nr. unbekannt",IF(A4976="","Datum fehlt",IF(AND(D4976&lt;&gt;Einstellungen!$C$4,D4976&lt;&gt;Einstellungen!$C$5),"Objekt fehlt",IF(YEAR(A4976)&lt;&gt;Einstellungen!$C$3,"anderes Jahr",IF(A4976&lt;INDEX(Mitarbeiter!$C$6:$C$205,MATCH(B4976,Mitarbeiter!$A$6:$A$205,0)),"vor Eintritt",IF(AND(INDEX(Mitarbeiter!$D$6:$D$205,MATCH(B4976,Mitarbeiter!$A$6:$A$205,0))&lt;&gt;"",A4976&gt;INDEX(Mitarbeiter!$D$6:$D$205,MATCH(B4976,Mitarbeiter!$A$6:$A$205,0))),"nach Austritt","ok")))))))</f>
        <v/>
      </c>
    </row>
    <row r="4977">
      <c r="A4977" s="26" t="n"/>
      <c r="B4977" s="24" t="n"/>
      <c r="C4977" s="40">
        <f>IF(B4977="","",IFERROR(INDEX(Mitarbeiter!$B$6:$B$205,MATCH(B4977,Mitarbeiter!$A$6:$A$205,0)),"?"))</f>
        <v/>
      </c>
      <c r="D4977" s="41" t="n"/>
      <c r="E4977" s="42" t="n"/>
      <c r="F4977" s="43" t="n"/>
      <c r="G4977" s="44">
        <f>IF(OR(B4977="",F4977=""),"",IFERROR(F4977*INDEX(Mitarbeiter!$F$6:$F$205,MATCH(B4977,Mitarbeiter!$A$6:$A$205,0)),0))</f>
        <v/>
      </c>
      <c r="H4977" s="8">
        <f>IF(B4977="","",IF(ISNA(MATCH(B4977,Mitarbeiter!$A$6:$A$205,0)),"Pers.-Nr. unbekannt",IF(A4977="","Datum fehlt",IF(AND(D4977&lt;&gt;Einstellungen!$C$4,D4977&lt;&gt;Einstellungen!$C$5),"Objekt fehlt",IF(YEAR(A4977)&lt;&gt;Einstellungen!$C$3,"anderes Jahr",IF(A4977&lt;INDEX(Mitarbeiter!$C$6:$C$205,MATCH(B4977,Mitarbeiter!$A$6:$A$205,0)),"vor Eintritt",IF(AND(INDEX(Mitarbeiter!$D$6:$D$205,MATCH(B4977,Mitarbeiter!$A$6:$A$205,0))&lt;&gt;"",A4977&gt;INDEX(Mitarbeiter!$D$6:$D$205,MATCH(B4977,Mitarbeiter!$A$6:$A$205,0))),"nach Austritt","ok")))))))</f>
        <v/>
      </c>
    </row>
    <row r="4978">
      <c r="A4978" s="26" t="n"/>
      <c r="B4978" s="24" t="n"/>
      <c r="C4978" s="40">
        <f>IF(B4978="","",IFERROR(INDEX(Mitarbeiter!$B$6:$B$205,MATCH(B4978,Mitarbeiter!$A$6:$A$205,0)),"?"))</f>
        <v/>
      </c>
      <c r="D4978" s="41" t="n"/>
      <c r="E4978" s="42" t="n"/>
      <c r="F4978" s="43" t="n"/>
      <c r="G4978" s="44">
        <f>IF(OR(B4978="",F4978=""),"",IFERROR(F4978*INDEX(Mitarbeiter!$F$6:$F$205,MATCH(B4978,Mitarbeiter!$A$6:$A$205,0)),0))</f>
        <v/>
      </c>
      <c r="H4978" s="8">
        <f>IF(B4978="","",IF(ISNA(MATCH(B4978,Mitarbeiter!$A$6:$A$205,0)),"Pers.-Nr. unbekannt",IF(A4978="","Datum fehlt",IF(AND(D4978&lt;&gt;Einstellungen!$C$4,D4978&lt;&gt;Einstellungen!$C$5),"Objekt fehlt",IF(YEAR(A4978)&lt;&gt;Einstellungen!$C$3,"anderes Jahr",IF(A4978&lt;INDEX(Mitarbeiter!$C$6:$C$205,MATCH(B4978,Mitarbeiter!$A$6:$A$205,0)),"vor Eintritt",IF(AND(INDEX(Mitarbeiter!$D$6:$D$205,MATCH(B4978,Mitarbeiter!$A$6:$A$205,0))&lt;&gt;"",A4978&gt;INDEX(Mitarbeiter!$D$6:$D$205,MATCH(B4978,Mitarbeiter!$A$6:$A$205,0))),"nach Austritt","ok")))))))</f>
        <v/>
      </c>
    </row>
    <row r="4979">
      <c r="A4979" s="26" t="n"/>
      <c r="B4979" s="24" t="n"/>
      <c r="C4979" s="40">
        <f>IF(B4979="","",IFERROR(INDEX(Mitarbeiter!$B$6:$B$205,MATCH(B4979,Mitarbeiter!$A$6:$A$205,0)),"?"))</f>
        <v/>
      </c>
      <c r="D4979" s="41" t="n"/>
      <c r="E4979" s="42" t="n"/>
      <c r="F4979" s="43" t="n"/>
      <c r="G4979" s="44">
        <f>IF(OR(B4979="",F4979=""),"",IFERROR(F4979*INDEX(Mitarbeiter!$F$6:$F$205,MATCH(B4979,Mitarbeiter!$A$6:$A$205,0)),0))</f>
        <v/>
      </c>
      <c r="H4979" s="8">
        <f>IF(B4979="","",IF(ISNA(MATCH(B4979,Mitarbeiter!$A$6:$A$205,0)),"Pers.-Nr. unbekannt",IF(A4979="","Datum fehlt",IF(AND(D4979&lt;&gt;Einstellungen!$C$4,D4979&lt;&gt;Einstellungen!$C$5),"Objekt fehlt",IF(YEAR(A4979)&lt;&gt;Einstellungen!$C$3,"anderes Jahr",IF(A4979&lt;INDEX(Mitarbeiter!$C$6:$C$205,MATCH(B4979,Mitarbeiter!$A$6:$A$205,0)),"vor Eintritt",IF(AND(INDEX(Mitarbeiter!$D$6:$D$205,MATCH(B4979,Mitarbeiter!$A$6:$A$205,0))&lt;&gt;"",A4979&gt;INDEX(Mitarbeiter!$D$6:$D$205,MATCH(B4979,Mitarbeiter!$A$6:$A$205,0))),"nach Austritt","ok")))))))</f>
        <v/>
      </c>
    </row>
    <row r="4980">
      <c r="A4980" s="26" t="n"/>
      <c r="B4980" s="24" t="n"/>
      <c r="C4980" s="40">
        <f>IF(B4980="","",IFERROR(INDEX(Mitarbeiter!$B$6:$B$205,MATCH(B4980,Mitarbeiter!$A$6:$A$205,0)),"?"))</f>
        <v/>
      </c>
      <c r="D4980" s="41" t="n"/>
      <c r="E4980" s="42" t="n"/>
      <c r="F4980" s="43" t="n"/>
      <c r="G4980" s="44">
        <f>IF(OR(B4980="",F4980=""),"",IFERROR(F4980*INDEX(Mitarbeiter!$F$6:$F$205,MATCH(B4980,Mitarbeiter!$A$6:$A$205,0)),0))</f>
        <v/>
      </c>
      <c r="H4980" s="8">
        <f>IF(B4980="","",IF(ISNA(MATCH(B4980,Mitarbeiter!$A$6:$A$205,0)),"Pers.-Nr. unbekannt",IF(A4980="","Datum fehlt",IF(AND(D4980&lt;&gt;Einstellungen!$C$4,D4980&lt;&gt;Einstellungen!$C$5),"Objekt fehlt",IF(YEAR(A4980)&lt;&gt;Einstellungen!$C$3,"anderes Jahr",IF(A4980&lt;INDEX(Mitarbeiter!$C$6:$C$205,MATCH(B4980,Mitarbeiter!$A$6:$A$205,0)),"vor Eintritt",IF(AND(INDEX(Mitarbeiter!$D$6:$D$205,MATCH(B4980,Mitarbeiter!$A$6:$A$205,0))&lt;&gt;"",A4980&gt;INDEX(Mitarbeiter!$D$6:$D$205,MATCH(B4980,Mitarbeiter!$A$6:$A$205,0))),"nach Austritt","ok")))))))</f>
        <v/>
      </c>
    </row>
    <row r="4981">
      <c r="A4981" s="26" t="n"/>
      <c r="B4981" s="24" t="n"/>
      <c r="C4981" s="40">
        <f>IF(B4981="","",IFERROR(INDEX(Mitarbeiter!$B$6:$B$205,MATCH(B4981,Mitarbeiter!$A$6:$A$205,0)),"?"))</f>
        <v/>
      </c>
      <c r="D4981" s="41" t="n"/>
      <c r="E4981" s="42" t="n"/>
      <c r="F4981" s="43" t="n"/>
      <c r="G4981" s="44">
        <f>IF(OR(B4981="",F4981=""),"",IFERROR(F4981*INDEX(Mitarbeiter!$F$6:$F$205,MATCH(B4981,Mitarbeiter!$A$6:$A$205,0)),0))</f>
        <v/>
      </c>
      <c r="H4981" s="8">
        <f>IF(B4981="","",IF(ISNA(MATCH(B4981,Mitarbeiter!$A$6:$A$205,0)),"Pers.-Nr. unbekannt",IF(A4981="","Datum fehlt",IF(AND(D4981&lt;&gt;Einstellungen!$C$4,D4981&lt;&gt;Einstellungen!$C$5),"Objekt fehlt",IF(YEAR(A4981)&lt;&gt;Einstellungen!$C$3,"anderes Jahr",IF(A4981&lt;INDEX(Mitarbeiter!$C$6:$C$205,MATCH(B4981,Mitarbeiter!$A$6:$A$205,0)),"vor Eintritt",IF(AND(INDEX(Mitarbeiter!$D$6:$D$205,MATCH(B4981,Mitarbeiter!$A$6:$A$205,0))&lt;&gt;"",A4981&gt;INDEX(Mitarbeiter!$D$6:$D$205,MATCH(B4981,Mitarbeiter!$A$6:$A$205,0))),"nach Austritt","ok")))))))</f>
        <v/>
      </c>
    </row>
    <row r="4982">
      <c r="A4982" s="26" t="n"/>
      <c r="B4982" s="24" t="n"/>
      <c r="C4982" s="40">
        <f>IF(B4982="","",IFERROR(INDEX(Mitarbeiter!$B$6:$B$205,MATCH(B4982,Mitarbeiter!$A$6:$A$205,0)),"?"))</f>
        <v/>
      </c>
      <c r="D4982" s="41" t="n"/>
      <c r="E4982" s="42" t="n"/>
      <c r="F4982" s="43" t="n"/>
      <c r="G4982" s="44">
        <f>IF(OR(B4982="",F4982=""),"",IFERROR(F4982*INDEX(Mitarbeiter!$F$6:$F$205,MATCH(B4982,Mitarbeiter!$A$6:$A$205,0)),0))</f>
        <v/>
      </c>
      <c r="H4982" s="8">
        <f>IF(B4982="","",IF(ISNA(MATCH(B4982,Mitarbeiter!$A$6:$A$205,0)),"Pers.-Nr. unbekannt",IF(A4982="","Datum fehlt",IF(AND(D4982&lt;&gt;Einstellungen!$C$4,D4982&lt;&gt;Einstellungen!$C$5),"Objekt fehlt",IF(YEAR(A4982)&lt;&gt;Einstellungen!$C$3,"anderes Jahr",IF(A4982&lt;INDEX(Mitarbeiter!$C$6:$C$205,MATCH(B4982,Mitarbeiter!$A$6:$A$205,0)),"vor Eintritt",IF(AND(INDEX(Mitarbeiter!$D$6:$D$205,MATCH(B4982,Mitarbeiter!$A$6:$A$205,0))&lt;&gt;"",A4982&gt;INDEX(Mitarbeiter!$D$6:$D$205,MATCH(B4982,Mitarbeiter!$A$6:$A$205,0))),"nach Austritt","ok")))))))</f>
        <v/>
      </c>
    </row>
    <row r="4983">
      <c r="A4983" s="26" t="n"/>
      <c r="B4983" s="24" t="n"/>
      <c r="C4983" s="40">
        <f>IF(B4983="","",IFERROR(INDEX(Mitarbeiter!$B$6:$B$205,MATCH(B4983,Mitarbeiter!$A$6:$A$205,0)),"?"))</f>
        <v/>
      </c>
      <c r="D4983" s="41" t="n"/>
      <c r="E4983" s="42" t="n"/>
      <c r="F4983" s="43" t="n"/>
      <c r="G4983" s="44">
        <f>IF(OR(B4983="",F4983=""),"",IFERROR(F4983*INDEX(Mitarbeiter!$F$6:$F$205,MATCH(B4983,Mitarbeiter!$A$6:$A$205,0)),0))</f>
        <v/>
      </c>
      <c r="H4983" s="8">
        <f>IF(B4983="","",IF(ISNA(MATCH(B4983,Mitarbeiter!$A$6:$A$205,0)),"Pers.-Nr. unbekannt",IF(A4983="","Datum fehlt",IF(AND(D4983&lt;&gt;Einstellungen!$C$4,D4983&lt;&gt;Einstellungen!$C$5),"Objekt fehlt",IF(YEAR(A4983)&lt;&gt;Einstellungen!$C$3,"anderes Jahr",IF(A4983&lt;INDEX(Mitarbeiter!$C$6:$C$205,MATCH(B4983,Mitarbeiter!$A$6:$A$205,0)),"vor Eintritt",IF(AND(INDEX(Mitarbeiter!$D$6:$D$205,MATCH(B4983,Mitarbeiter!$A$6:$A$205,0))&lt;&gt;"",A4983&gt;INDEX(Mitarbeiter!$D$6:$D$205,MATCH(B4983,Mitarbeiter!$A$6:$A$205,0))),"nach Austritt","ok")))))))</f>
        <v/>
      </c>
    </row>
    <row r="4984">
      <c r="A4984" s="26" t="n"/>
      <c r="B4984" s="24" t="n"/>
      <c r="C4984" s="40">
        <f>IF(B4984="","",IFERROR(INDEX(Mitarbeiter!$B$6:$B$205,MATCH(B4984,Mitarbeiter!$A$6:$A$205,0)),"?"))</f>
        <v/>
      </c>
      <c r="D4984" s="41" t="n"/>
      <c r="E4984" s="42" t="n"/>
      <c r="F4984" s="43" t="n"/>
      <c r="G4984" s="44">
        <f>IF(OR(B4984="",F4984=""),"",IFERROR(F4984*INDEX(Mitarbeiter!$F$6:$F$205,MATCH(B4984,Mitarbeiter!$A$6:$A$205,0)),0))</f>
        <v/>
      </c>
      <c r="H4984" s="8">
        <f>IF(B4984="","",IF(ISNA(MATCH(B4984,Mitarbeiter!$A$6:$A$205,0)),"Pers.-Nr. unbekannt",IF(A4984="","Datum fehlt",IF(AND(D4984&lt;&gt;Einstellungen!$C$4,D4984&lt;&gt;Einstellungen!$C$5),"Objekt fehlt",IF(YEAR(A4984)&lt;&gt;Einstellungen!$C$3,"anderes Jahr",IF(A4984&lt;INDEX(Mitarbeiter!$C$6:$C$205,MATCH(B4984,Mitarbeiter!$A$6:$A$205,0)),"vor Eintritt",IF(AND(INDEX(Mitarbeiter!$D$6:$D$205,MATCH(B4984,Mitarbeiter!$A$6:$A$205,0))&lt;&gt;"",A4984&gt;INDEX(Mitarbeiter!$D$6:$D$205,MATCH(B4984,Mitarbeiter!$A$6:$A$205,0))),"nach Austritt","ok")))))))</f>
        <v/>
      </c>
    </row>
    <row r="4985">
      <c r="A4985" s="26" t="n"/>
      <c r="B4985" s="24" t="n"/>
      <c r="C4985" s="40">
        <f>IF(B4985="","",IFERROR(INDEX(Mitarbeiter!$B$6:$B$205,MATCH(B4985,Mitarbeiter!$A$6:$A$205,0)),"?"))</f>
        <v/>
      </c>
      <c r="D4985" s="41" t="n"/>
      <c r="E4985" s="42" t="n"/>
      <c r="F4985" s="43" t="n"/>
      <c r="G4985" s="44">
        <f>IF(OR(B4985="",F4985=""),"",IFERROR(F4985*INDEX(Mitarbeiter!$F$6:$F$205,MATCH(B4985,Mitarbeiter!$A$6:$A$205,0)),0))</f>
        <v/>
      </c>
      <c r="H4985" s="8">
        <f>IF(B4985="","",IF(ISNA(MATCH(B4985,Mitarbeiter!$A$6:$A$205,0)),"Pers.-Nr. unbekannt",IF(A4985="","Datum fehlt",IF(AND(D4985&lt;&gt;Einstellungen!$C$4,D4985&lt;&gt;Einstellungen!$C$5),"Objekt fehlt",IF(YEAR(A4985)&lt;&gt;Einstellungen!$C$3,"anderes Jahr",IF(A4985&lt;INDEX(Mitarbeiter!$C$6:$C$205,MATCH(B4985,Mitarbeiter!$A$6:$A$205,0)),"vor Eintritt",IF(AND(INDEX(Mitarbeiter!$D$6:$D$205,MATCH(B4985,Mitarbeiter!$A$6:$A$205,0))&lt;&gt;"",A4985&gt;INDEX(Mitarbeiter!$D$6:$D$205,MATCH(B4985,Mitarbeiter!$A$6:$A$205,0))),"nach Austritt","ok")))))))</f>
        <v/>
      </c>
    </row>
    <row r="4986">
      <c r="A4986" s="26" t="n"/>
      <c r="B4986" s="24" t="n"/>
      <c r="C4986" s="40">
        <f>IF(B4986="","",IFERROR(INDEX(Mitarbeiter!$B$6:$B$205,MATCH(B4986,Mitarbeiter!$A$6:$A$205,0)),"?"))</f>
        <v/>
      </c>
      <c r="D4986" s="41" t="n"/>
      <c r="E4986" s="42" t="n"/>
      <c r="F4986" s="43" t="n"/>
      <c r="G4986" s="44">
        <f>IF(OR(B4986="",F4986=""),"",IFERROR(F4986*INDEX(Mitarbeiter!$F$6:$F$205,MATCH(B4986,Mitarbeiter!$A$6:$A$205,0)),0))</f>
        <v/>
      </c>
      <c r="H4986" s="8">
        <f>IF(B4986="","",IF(ISNA(MATCH(B4986,Mitarbeiter!$A$6:$A$205,0)),"Pers.-Nr. unbekannt",IF(A4986="","Datum fehlt",IF(AND(D4986&lt;&gt;Einstellungen!$C$4,D4986&lt;&gt;Einstellungen!$C$5),"Objekt fehlt",IF(YEAR(A4986)&lt;&gt;Einstellungen!$C$3,"anderes Jahr",IF(A4986&lt;INDEX(Mitarbeiter!$C$6:$C$205,MATCH(B4986,Mitarbeiter!$A$6:$A$205,0)),"vor Eintritt",IF(AND(INDEX(Mitarbeiter!$D$6:$D$205,MATCH(B4986,Mitarbeiter!$A$6:$A$205,0))&lt;&gt;"",A4986&gt;INDEX(Mitarbeiter!$D$6:$D$205,MATCH(B4986,Mitarbeiter!$A$6:$A$205,0))),"nach Austritt","ok")))))))</f>
        <v/>
      </c>
    </row>
    <row r="4987">
      <c r="A4987" s="26" t="n"/>
      <c r="B4987" s="24" t="n"/>
      <c r="C4987" s="40">
        <f>IF(B4987="","",IFERROR(INDEX(Mitarbeiter!$B$6:$B$205,MATCH(B4987,Mitarbeiter!$A$6:$A$205,0)),"?"))</f>
        <v/>
      </c>
      <c r="D4987" s="41" t="n"/>
      <c r="E4987" s="42" t="n"/>
      <c r="F4987" s="43" t="n"/>
      <c r="G4987" s="44">
        <f>IF(OR(B4987="",F4987=""),"",IFERROR(F4987*INDEX(Mitarbeiter!$F$6:$F$205,MATCH(B4987,Mitarbeiter!$A$6:$A$205,0)),0))</f>
        <v/>
      </c>
      <c r="H4987" s="8">
        <f>IF(B4987="","",IF(ISNA(MATCH(B4987,Mitarbeiter!$A$6:$A$205,0)),"Pers.-Nr. unbekannt",IF(A4987="","Datum fehlt",IF(AND(D4987&lt;&gt;Einstellungen!$C$4,D4987&lt;&gt;Einstellungen!$C$5),"Objekt fehlt",IF(YEAR(A4987)&lt;&gt;Einstellungen!$C$3,"anderes Jahr",IF(A4987&lt;INDEX(Mitarbeiter!$C$6:$C$205,MATCH(B4987,Mitarbeiter!$A$6:$A$205,0)),"vor Eintritt",IF(AND(INDEX(Mitarbeiter!$D$6:$D$205,MATCH(B4987,Mitarbeiter!$A$6:$A$205,0))&lt;&gt;"",A4987&gt;INDEX(Mitarbeiter!$D$6:$D$205,MATCH(B4987,Mitarbeiter!$A$6:$A$205,0))),"nach Austritt","ok")))))))</f>
        <v/>
      </c>
    </row>
    <row r="4988">
      <c r="A4988" s="26" t="n"/>
      <c r="B4988" s="24" t="n"/>
      <c r="C4988" s="40">
        <f>IF(B4988="","",IFERROR(INDEX(Mitarbeiter!$B$6:$B$205,MATCH(B4988,Mitarbeiter!$A$6:$A$205,0)),"?"))</f>
        <v/>
      </c>
      <c r="D4988" s="41" t="n"/>
      <c r="E4988" s="42" t="n"/>
      <c r="F4988" s="43" t="n"/>
      <c r="G4988" s="44">
        <f>IF(OR(B4988="",F4988=""),"",IFERROR(F4988*INDEX(Mitarbeiter!$F$6:$F$205,MATCH(B4988,Mitarbeiter!$A$6:$A$205,0)),0))</f>
        <v/>
      </c>
      <c r="H4988" s="8">
        <f>IF(B4988="","",IF(ISNA(MATCH(B4988,Mitarbeiter!$A$6:$A$205,0)),"Pers.-Nr. unbekannt",IF(A4988="","Datum fehlt",IF(AND(D4988&lt;&gt;Einstellungen!$C$4,D4988&lt;&gt;Einstellungen!$C$5),"Objekt fehlt",IF(YEAR(A4988)&lt;&gt;Einstellungen!$C$3,"anderes Jahr",IF(A4988&lt;INDEX(Mitarbeiter!$C$6:$C$205,MATCH(B4988,Mitarbeiter!$A$6:$A$205,0)),"vor Eintritt",IF(AND(INDEX(Mitarbeiter!$D$6:$D$205,MATCH(B4988,Mitarbeiter!$A$6:$A$205,0))&lt;&gt;"",A4988&gt;INDEX(Mitarbeiter!$D$6:$D$205,MATCH(B4988,Mitarbeiter!$A$6:$A$205,0))),"nach Austritt","ok")))))))</f>
        <v/>
      </c>
    </row>
    <row r="4989">
      <c r="A4989" s="26" t="n"/>
      <c r="B4989" s="24" t="n"/>
      <c r="C4989" s="40">
        <f>IF(B4989="","",IFERROR(INDEX(Mitarbeiter!$B$6:$B$205,MATCH(B4989,Mitarbeiter!$A$6:$A$205,0)),"?"))</f>
        <v/>
      </c>
      <c r="D4989" s="41" t="n"/>
      <c r="E4989" s="42" t="n"/>
      <c r="F4989" s="43" t="n"/>
      <c r="G4989" s="44">
        <f>IF(OR(B4989="",F4989=""),"",IFERROR(F4989*INDEX(Mitarbeiter!$F$6:$F$205,MATCH(B4989,Mitarbeiter!$A$6:$A$205,0)),0))</f>
        <v/>
      </c>
      <c r="H4989" s="8">
        <f>IF(B4989="","",IF(ISNA(MATCH(B4989,Mitarbeiter!$A$6:$A$205,0)),"Pers.-Nr. unbekannt",IF(A4989="","Datum fehlt",IF(AND(D4989&lt;&gt;Einstellungen!$C$4,D4989&lt;&gt;Einstellungen!$C$5),"Objekt fehlt",IF(YEAR(A4989)&lt;&gt;Einstellungen!$C$3,"anderes Jahr",IF(A4989&lt;INDEX(Mitarbeiter!$C$6:$C$205,MATCH(B4989,Mitarbeiter!$A$6:$A$205,0)),"vor Eintritt",IF(AND(INDEX(Mitarbeiter!$D$6:$D$205,MATCH(B4989,Mitarbeiter!$A$6:$A$205,0))&lt;&gt;"",A4989&gt;INDEX(Mitarbeiter!$D$6:$D$205,MATCH(B4989,Mitarbeiter!$A$6:$A$205,0))),"nach Austritt","ok")))))))</f>
        <v/>
      </c>
    </row>
    <row r="4990">
      <c r="A4990" s="26" t="n"/>
      <c r="B4990" s="24" t="n"/>
      <c r="C4990" s="40">
        <f>IF(B4990="","",IFERROR(INDEX(Mitarbeiter!$B$6:$B$205,MATCH(B4990,Mitarbeiter!$A$6:$A$205,0)),"?"))</f>
        <v/>
      </c>
      <c r="D4990" s="41" t="n"/>
      <c r="E4990" s="42" t="n"/>
      <c r="F4990" s="43" t="n"/>
      <c r="G4990" s="44">
        <f>IF(OR(B4990="",F4990=""),"",IFERROR(F4990*INDEX(Mitarbeiter!$F$6:$F$205,MATCH(B4990,Mitarbeiter!$A$6:$A$205,0)),0))</f>
        <v/>
      </c>
      <c r="H4990" s="8">
        <f>IF(B4990="","",IF(ISNA(MATCH(B4990,Mitarbeiter!$A$6:$A$205,0)),"Pers.-Nr. unbekannt",IF(A4990="","Datum fehlt",IF(AND(D4990&lt;&gt;Einstellungen!$C$4,D4990&lt;&gt;Einstellungen!$C$5),"Objekt fehlt",IF(YEAR(A4990)&lt;&gt;Einstellungen!$C$3,"anderes Jahr",IF(A4990&lt;INDEX(Mitarbeiter!$C$6:$C$205,MATCH(B4990,Mitarbeiter!$A$6:$A$205,0)),"vor Eintritt",IF(AND(INDEX(Mitarbeiter!$D$6:$D$205,MATCH(B4990,Mitarbeiter!$A$6:$A$205,0))&lt;&gt;"",A4990&gt;INDEX(Mitarbeiter!$D$6:$D$205,MATCH(B4990,Mitarbeiter!$A$6:$A$205,0))),"nach Austritt","ok")))))))</f>
        <v/>
      </c>
    </row>
    <row r="4991">
      <c r="A4991" s="26" t="n"/>
      <c r="B4991" s="24" t="n"/>
      <c r="C4991" s="40">
        <f>IF(B4991="","",IFERROR(INDEX(Mitarbeiter!$B$6:$B$205,MATCH(B4991,Mitarbeiter!$A$6:$A$205,0)),"?"))</f>
        <v/>
      </c>
      <c r="D4991" s="41" t="n"/>
      <c r="E4991" s="42" t="n"/>
      <c r="F4991" s="43" t="n"/>
      <c r="G4991" s="44">
        <f>IF(OR(B4991="",F4991=""),"",IFERROR(F4991*INDEX(Mitarbeiter!$F$6:$F$205,MATCH(B4991,Mitarbeiter!$A$6:$A$205,0)),0))</f>
        <v/>
      </c>
      <c r="H4991" s="8">
        <f>IF(B4991="","",IF(ISNA(MATCH(B4991,Mitarbeiter!$A$6:$A$205,0)),"Pers.-Nr. unbekannt",IF(A4991="","Datum fehlt",IF(AND(D4991&lt;&gt;Einstellungen!$C$4,D4991&lt;&gt;Einstellungen!$C$5),"Objekt fehlt",IF(YEAR(A4991)&lt;&gt;Einstellungen!$C$3,"anderes Jahr",IF(A4991&lt;INDEX(Mitarbeiter!$C$6:$C$205,MATCH(B4991,Mitarbeiter!$A$6:$A$205,0)),"vor Eintritt",IF(AND(INDEX(Mitarbeiter!$D$6:$D$205,MATCH(B4991,Mitarbeiter!$A$6:$A$205,0))&lt;&gt;"",A4991&gt;INDEX(Mitarbeiter!$D$6:$D$205,MATCH(B4991,Mitarbeiter!$A$6:$A$205,0))),"nach Austritt","ok")))))))</f>
        <v/>
      </c>
    </row>
    <row r="4992">
      <c r="A4992" s="26" t="n"/>
      <c r="B4992" s="24" t="n"/>
      <c r="C4992" s="40">
        <f>IF(B4992="","",IFERROR(INDEX(Mitarbeiter!$B$6:$B$205,MATCH(B4992,Mitarbeiter!$A$6:$A$205,0)),"?"))</f>
        <v/>
      </c>
      <c r="D4992" s="41" t="n"/>
      <c r="E4992" s="42" t="n"/>
      <c r="F4992" s="43" t="n"/>
      <c r="G4992" s="44">
        <f>IF(OR(B4992="",F4992=""),"",IFERROR(F4992*INDEX(Mitarbeiter!$F$6:$F$205,MATCH(B4992,Mitarbeiter!$A$6:$A$205,0)),0))</f>
        <v/>
      </c>
      <c r="H4992" s="8">
        <f>IF(B4992="","",IF(ISNA(MATCH(B4992,Mitarbeiter!$A$6:$A$205,0)),"Pers.-Nr. unbekannt",IF(A4992="","Datum fehlt",IF(AND(D4992&lt;&gt;Einstellungen!$C$4,D4992&lt;&gt;Einstellungen!$C$5),"Objekt fehlt",IF(YEAR(A4992)&lt;&gt;Einstellungen!$C$3,"anderes Jahr",IF(A4992&lt;INDEX(Mitarbeiter!$C$6:$C$205,MATCH(B4992,Mitarbeiter!$A$6:$A$205,0)),"vor Eintritt",IF(AND(INDEX(Mitarbeiter!$D$6:$D$205,MATCH(B4992,Mitarbeiter!$A$6:$A$205,0))&lt;&gt;"",A4992&gt;INDEX(Mitarbeiter!$D$6:$D$205,MATCH(B4992,Mitarbeiter!$A$6:$A$205,0))),"nach Austritt","ok")))))))</f>
        <v/>
      </c>
    </row>
    <row r="4993">
      <c r="A4993" s="26" t="n"/>
      <c r="B4993" s="24" t="n"/>
      <c r="C4993" s="40">
        <f>IF(B4993="","",IFERROR(INDEX(Mitarbeiter!$B$6:$B$205,MATCH(B4993,Mitarbeiter!$A$6:$A$205,0)),"?"))</f>
        <v/>
      </c>
      <c r="D4993" s="41" t="n"/>
      <c r="E4993" s="42" t="n"/>
      <c r="F4993" s="43" t="n"/>
      <c r="G4993" s="44">
        <f>IF(OR(B4993="",F4993=""),"",IFERROR(F4993*INDEX(Mitarbeiter!$F$6:$F$205,MATCH(B4993,Mitarbeiter!$A$6:$A$205,0)),0))</f>
        <v/>
      </c>
      <c r="H4993" s="8">
        <f>IF(B4993="","",IF(ISNA(MATCH(B4993,Mitarbeiter!$A$6:$A$205,0)),"Pers.-Nr. unbekannt",IF(A4993="","Datum fehlt",IF(AND(D4993&lt;&gt;Einstellungen!$C$4,D4993&lt;&gt;Einstellungen!$C$5),"Objekt fehlt",IF(YEAR(A4993)&lt;&gt;Einstellungen!$C$3,"anderes Jahr",IF(A4993&lt;INDEX(Mitarbeiter!$C$6:$C$205,MATCH(B4993,Mitarbeiter!$A$6:$A$205,0)),"vor Eintritt",IF(AND(INDEX(Mitarbeiter!$D$6:$D$205,MATCH(B4993,Mitarbeiter!$A$6:$A$205,0))&lt;&gt;"",A4993&gt;INDEX(Mitarbeiter!$D$6:$D$205,MATCH(B4993,Mitarbeiter!$A$6:$A$205,0))),"nach Austritt","ok")))))))</f>
        <v/>
      </c>
    </row>
    <row r="4994">
      <c r="A4994" s="26" t="n"/>
      <c r="B4994" s="24" t="n"/>
      <c r="C4994" s="40">
        <f>IF(B4994="","",IFERROR(INDEX(Mitarbeiter!$B$6:$B$205,MATCH(B4994,Mitarbeiter!$A$6:$A$205,0)),"?"))</f>
        <v/>
      </c>
      <c r="D4994" s="41" t="n"/>
      <c r="E4994" s="42" t="n"/>
      <c r="F4994" s="43" t="n"/>
      <c r="G4994" s="44">
        <f>IF(OR(B4994="",F4994=""),"",IFERROR(F4994*INDEX(Mitarbeiter!$F$6:$F$205,MATCH(B4994,Mitarbeiter!$A$6:$A$205,0)),0))</f>
        <v/>
      </c>
      <c r="H4994" s="8">
        <f>IF(B4994="","",IF(ISNA(MATCH(B4994,Mitarbeiter!$A$6:$A$205,0)),"Pers.-Nr. unbekannt",IF(A4994="","Datum fehlt",IF(AND(D4994&lt;&gt;Einstellungen!$C$4,D4994&lt;&gt;Einstellungen!$C$5),"Objekt fehlt",IF(YEAR(A4994)&lt;&gt;Einstellungen!$C$3,"anderes Jahr",IF(A4994&lt;INDEX(Mitarbeiter!$C$6:$C$205,MATCH(B4994,Mitarbeiter!$A$6:$A$205,0)),"vor Eintritt",IF(AND(INDEX(Mitarbeiter!$D$6:$D$205,MATCH(B4994,Mitarbeiter!$A$6:$A$205,0))&lt;&gt;"",A4994&gt;INDEX(Mitarbeiter!$D$6:$D$205,MATCH(B4994,Mitarbeiter!$A$6:$A$205,0))),"nach Austritt","ok")))))))</f>
        <v/>
      </c>
    </row>
    <row r="4995">
      <c r="A4995" s="26" t="n"/>
      <c r="B4995" s="24" t="n"/>
      <c r="C4995" s="40">
        <f>IF(B4995="","",IFERROR(INDEX(Mitarbeiter!$B$6:$B$205,MATCH(B4995,Mitarbeiter!$A$6:$A$205,0)),"?"))</f>
        <v/>
      </c>
      <c r="D4995" s="41" t="n"/>
      <c r="E4995" s="42" t="n"/>
      <c r="F4995" s="43" t="n"/>
      <c r="G4995" s="44">
        <f>IF(OR(B4995="",F4995=""),"",IFERROR(F4995*INDEX(Mitarbeiter!$F$6:$F$205,MATCH(B4995,Mitarbeiter!$A$6:$A$205,0)),0))</f>
        <v/>
      </c>
      <c r="H4995" s="8">
        <f>IF(B4995="","",IF(ISNA(MATCH(B4995,Mitarbeiter!$A$6:$A$205,0)),"Pers.-Nr. unbekannt",IF(A4995="","Datum fehlt",IF(AND(D4995&lt;&gt;Einstellungen!$C$4,D4995&lt;&gt;Einstellungen!$C$5),"Objekt fehlt",IF(YEAR(A4995)&lt;&gt;Einstellungen!$C$3,"anderes Jahr",IF(A4995&lt;INDEX(Mitarbeiter!$C$6:$C$205,MATCH(B4995,Mitarbeiter!$A$6:$A$205,0)),"vor Eintritt",IF(AND(INDEX(Mitarbeiter!$D$6:$D$205,MATCH(B4995,Mitarbeiter!$A$6:$A$205,0))&lt;&gt;"",A4995&gt;INDEX(Mitarbeiter!$D$6:$D$205,MATCH(B4995,Mitarbeiter!$A$6:$A$205,0))),"nach Austritt","ok")))))))</f>
        <v/>
      </c>
    </row>
    <row r="4996">
      <c r="A4996" s="26" t="n"/>
      <c r="B4996" s="24" t="n"/>
      <c r="C4996" s="40">
        <f>IF(B4996="","",IFERROR(INDEX(Mitarbeiter!$B$6:$B$205,MATCH(B4996,Mitarbeiter!$A$6:$A$205,0)),"?"))</f>
        <v/>
      </c>
      <c r="D4996" s="41" t="n"/>
      <c r="E4996" s="42" t="n"/>
      <c r="F4996" s="43" t="n"/>
      <c r="G4996" s="44">
        <f>IF(OR(B4996="",F4996=""),"",IFERROR(F4996*INDEX(Mitarbeiter!$F$6:$F$205,MATCH(B4996,Mitarbeiter!$A$6:$A$205,0)),0))</f>
        <v/>
      </c>
      <c r="H4996" s="8">
        <f>IF(B4996="","",IF(ISNA(MATCH(B4996,Mitarbeiter!$A$6:$A$205,0)),"Pers.-Nr. unbekannt",IF(A4996="","Datum fehlt",IF(AND(D4996&lt;&gt;Einstellungen!$C$4,D4996&lt;&gt;Einstellungen!$C$5),"Objekt fehlt",IF(YEAR(A4996)&lt;&gt;Einstellungen!$C$3,"anderes Jahr",IF(A4996&lt;INDEX(Mitarbeiter!$C$6:$C$205,MATCH(B4996,Mitarbeiter!$A$6:$A$205,0)),"vor Eintritt",IF(AND(INDEX(Mitarbeiter!$D$6:$D$205,MATCH(B4996,Mitarbeiter!$A$6:$A$205,0))&lt;&gt;"",A4996&gt;INDEX(Mitarbeiter!$D$6:$D$205,MATCH(B4996,Mitarbeiter!$A$6:$A$205,0))),"nach Austritt","ok")))))))</f>
        <v/>
      </c>
    </row>
    <row r="4997">
      <c r="A4997" s="26" t="n"/>
      <c r="B4997" s="24" t="n"/>
      <c r="C4997" s="40">
        <f>IF(B4997="","",IFERROR(INDEX(Mitarbeiter!$B$6:$B$205,MATCH(B4997,Mitarbeiter!$A$6:$A$205,0)),"?"))</f>
        <v/>
      </c>
      <c r="D4997" s="41" t="n"/>
      <c r="E4997" s="42" t="n"/>
      <c r="F4997" s="43" t="n"/>
      <c r="G4997" s="44">
        <f>IF(OR(B4997="",F4997=""),"",IFERROR(F4997*INDEX(Mitarbeiter!$F$6:$F$205,MATCH(B4997,Mitarbeiter!$A$6:$A$205,0)),0))</f>
        <v/>
      </c>
      <c r="H4997" s="8">
        <f>IF(B4997="","",IF(ISNA(MATCH(B4997,Mitarbeiter!$A$6:$A$205,0)),"Pers.-Nr. unbekannt",IF(A4997="","Datum fehlt",IF(AND(D4997&lt;&gt;Einstellungen!$C$4,D4997&lt;&gt;Einstellungen!$C$5),"Objekt fehlt",IF(YEAR(A4997)&lt;&gt;Einstellungen!$C$3,"anderes Jahr",IF(A4997&lt;INDEX(Mitarbeiter!$C$6:$C$205,MATCH(B4997,Mitarbeiter!$A$6:$A$205,0)),"vor Eintritt",IF(AND(INDEX(Mitarbeiter!$D$6:$D$205,MATCH(B4997,Mitarbeiter!$A$6:$A$205,0))&lt;&gt;"",A4997&gt;INDEX(Mitarbeiter!$D$6:$D$205,MATCH(B4997,Mitarbeiter!$A$6:$A$205,0))),"nach Austritt","ok")))))))</f>
        <v/>
      </c>
    </row>
    <row r="4998">
      <c r="A4998" s="26" t="n"/>
      <c r="B4998" s="24" t="n"/>
      <c r="C4998" s="40">
        <f>IF(B4998="","",IFERROR(INDEX(Mitarbeiter!$B$6:$B$205,MATCH(B4998,Mitarbeiter!$A$6:$A$205,0)),"?"))</f>
        <v/>
      </c>
      <c r="D4998" s="41" t="n"/>
      <c r="E4998" s="42" t="n"/>
      <c r="F4998" s="43" t="n"/>
      <c r="G4998" s="44">
        <f>IF(OR(B4998="",F4998=""),"",IFERROR(F4998*INDEX(Mitarbeiter!$F$6:$F$205,MATCH(B4998,Mitarbeiter!$A$6:$A$205,0)),0))</f>
        <v/>
      </c>
      <c r="H4998" s="8">
        <f>IF(B4998="","",IF(ISNA(MATCH(B4998,Mitarbeiter!$A$6:$A$205,0)),"Pers.-Nr. unbekannt",IF(A4998="","Datum fehlt",IF(AND(D4998&lt;&gt;Einstellungen!$C$4,D4998&lt;&gt;Einstellungen!$C$5),"Objekt fehlt",IF(YEAR(A4998)&lt;&gt;Einstellungen!$C$3,"anderes Jahr",IF(A4998&lt;INDEX(Mitarbeiter!$C$6:$C$205,MATCH(B4998,Mitarbeiter!$A$6:$A$205,0)),"vor Eintritt",IF(AND(INDEX(Mitarbeiter!$D$6:$D$205,MATCH(B4998,Mitarbeiter!$A$6:$A$205,0))&lt;&gt;"",A4998&gt;INDEX(Mitarbeiter!$D$6:$D$205,MATCH(B4998,Mitarbeiter!$A$6:$A$205,0))),"nach Austritt","ok")))))))</f>
        <v/>
      </c>
    </row>
    <row r="4999">
      <c r="A4999" s="26" t="n"/>
      <c r="B4999" s="24" t="n"/>
      <c r="C4999" s="40">
        <f>IF(B4999="","",IFERROR(INDEX(Mitarbeiter!$B$6:$B$205,MATCH(B4999,Mitarbeiter!$A$6:$A$205,0)),"?"))</f>
        <v/>
      </c>
      <c r="D4999" s="41" t="n"/>
      <c r="E4999" s="42" t="n"/>
      <c r="F4999" s="43" t="n"/>
      <c r="G4999" s="44">
        <f>IF(OR(B4999="",F4999=""),"",IFERROR(F4999*INDEX(Mitarbeiter!$F$6:$F$205,MATCH(B4999,Mitarbeiter!$A$6:$A$205,0)),0))</f>
        <v/>
      </c>
      <c r="H4999" s="8">
        <f>IF(B4999="","",IF(ISNA(MATCH(B4999,Mitarbeiter!$A$6:$A$205,0)),"Pers.-Nr. unbekannt",IF(A4999="","Datum fehlt",IF(AND(D4999&lt;&gt;Einstellungen!$C$4,D4999&lt;&gt;Einstellungen!$C$5),"Objekt fehlt",IF(YEAR(A4999)&lt;&gt;Einstellungen!$C$3,"anderes Jahr",IF(A4999&lt;INDEX(Mitarbeiter!$C$6:$C$205,MATCH(B4999,Mitarbeiter!$A$6:$A$205,0)),"vor Eintritt",IF(AND(INDEX(Mitarbeiter!$D$6:$D$205,MATCH(B4999,Mitarbeiter!$A$6:$A$205,0))&lt;&gt;"",A4999&gt;INDEX(Mitarbeiter!$D$6:$D$205,MATCH(B4999,Mitarbeiter!$A$6:$A$205,0))),"nach Austritt","ok")))))))</f>
        <v/>
      </c>
    </row>
    <row r="5000">
      <c r="A5000" s="26" t="n"/>
      <c r="B5000" s="24" t="n"/>
      <c r="C5000" s="40">
        <f>IF(B5000="","",IFERROR(INDEX(Mitarbeiter!$B$6:$B$205,MATCH(B5000,Mitarbeiter!$A$6:$A$205,0)),"?"))</f>
        <v/>
      </c>
      <c r="D5000" s="41" t="n"/>
      <c r="E5000" s="42" t="n"/>
      <c r="F5000" s="43" t="n"/>
      <c r="G5000" s="44">
        <f>IF(OR(B5000="",F5000=""),"",IFERROR(F5000*INDEX(Mitarbeiter!$F$6:$F$205,MATCH(B5000,Mitarbeiter!$A$6:$A$205,0)),0))</f>
        <v/>
      </c>
      <c r="H5000" s="8">
        <f>IF(B5000="","",IF(ISNA(MATCH(B5000,Mitarbeiter!$A$6:$A$205,0)),"Pers.-Nr. unbekannt",IF(A5000="","Datum fehlt",IF(AND(D5000&lt;&gt;Einstellungen!$C$4,D5000&lt;&gt;Einstellungen!$C$5),"Objekt fehlt",IF(YEAR(A5000)&lt;&gt;Einstellungen!$C$3,"anderes Jahr",IF(A5000&lt;INDEX(Mitarbeiter!$C$6:$C$205,MATCH(B5000,Mitarbeiter!$A$6:$A$205,0)),"vor Eintritt",IF(AND(INDEX(Mitarbeiter!$D$6:$D$205,MATCH(B5000,Mitarbeiter!$A$6:$A$205,0))&lt;&gt;"",A5000&gt;INDEX(Mitarbeiter!$D$6:$D$205,MATCH(B5000,Mitarbeiter!$A$6:$A$205,0))),"nach Austritt","ok")))))))</f>
        <v/>
      </c>
    </row>
    <row r="5001">
      <c r="A5001" s="26" t="n"/>
      <c r="B5001" s="24" t="n"/>
      <c r="C5001" s="40">
        <f>IF(B5001="","",IFERROR(INDEX(Mitarbeiter!$B$6:$B$205,MATCH(B5001,Mitarbeiter!$A$6:$A$205,0)),"?"))</f>
        <v/>
      </c>
      <c r="D5001" s="41" t="n"/>
      <c r="E5001" s="42" t="n"/>
      <c r="F5001" s="43" t="n"/>
      <c r="G5001" s="44">
        <f>IF(OR(B5001="",F5001=""),"",IFERROR(F5001*INDEX(Mitarbeiter!$F$6:$F$205,MATCH(B5001,Mitarbeiter!$A$6:$A$205,0)),0))</f>
        <v/>
      </c>
      <c r="H5001" s="8">
        <f>IF(B5001="","",IF(ISNA(MATCH(B5001,Mitarbeiter!$A$6:$A$205,0)),"Pers.-Nr. unbekannt",IF(A5001="","Datum fehlt",IF(AND(D5001&lt;&gt;Einstellungen!$C$4,D5001&lt;&gt;Einstellungen!$C$5),"Objekt fehlt",IF(YEAR(A5001)&lt;&gt;Einstellungen!$C$3,"anderes Jahr",IF(A5001&lt;INDEX(Mitarbeiter!$C$6:$C$205,MATCH(B5001,Mitarbeiter!$A$6:$A$205,0)),"vor Eintritt",IF(AND(INDEX(Mitarbeiter!$D$6:$D$205,MATCH(B5001,Mitarbeiter!$A$6:$A$205,0))&lt;&gt;"",A5001&gt;INDEX(Mitarbeiter!$D$6:$D$205,MATCH(B5001,Mitarbeiter!$A$6:$A$205,0))),"nach Austritt","ok")))))))</f>
        <v/>
      </c>
    </row>
    <row r="5002">
      <c r="A5002" s="26" t="n"/>
      <c r="B5002" s="24" t="n"/>
      <c r="C5002" s="40">
        <f>IF(B5002="","",IFERROR(INDEX(Mitarbeiter!$B$6:$B$205,MATCH(B5002,Mitarbeiter!$A$6:$A$205,0)),"?"))</f>
        <v/>
      </c>
      <c r="D5002" s="41" t="n"/>
      <c r="E5002" s="42" t="n"/>
      <c r="F5002" s="43" t="n"/>
      <c r="G5002" s="44">
        <f>IF(OR(B5002="",F5002=""),"",IFERROR(F5002*INDEX(Mitarbeiter!$F$6:$F$205,MATCH(B5002,Mitarbeiter!$A$6:$A$205,0)),0))</f>
        <v/>
      </c>
      <c r="H5002" s="8">
        <f>IF(B5002="","",IF(ISNA(MATCH(B5002,Mitarbeiter!$A$6:$A$205,0)),"Pers.-Nr. unbekannt",IF(A5002="","Datum fehlt",IF(AND(D5002&lt;&gt;Einstellungen!$C$4,D5002&lt;&gt;Einstellungen!$C$5),"Objekt fehlt",IF(YEAR(A5002)&lt;&gt;Einstellungen!$C$3,"anderes Jahr",IF(A5002&lt;INDEX(Mitarbeiter!$C$6:$C$205,MATCH(B5002,Mitarbeiter!$A$6:$A$205,0)),"vor Eintritt",IF(AND(INDEX(Mitarbeiter!$D$6:$D$205,MATCH(B5002,Mitarbeiter!$A$6:$A$205,0))&lt;&gt;"",A5002&gt;INDEX(Mitarbeiter!$D$6:$D$205,MATCH(B5002,Mitarbeiter!$A$6:$A$205,0))),"nach Austritt","ok")))))))</f>
        <v/>
      </c>
    </row>
    <row r="5003">
      <c r="A5003" s="26" t="n"/>
      <c r="B5003" s="24" t="n"/>
      <c r="C5003" s="40">
        <f>IF(B5003="","",IFERROR(INDEX(Mitarbeiter!$B$6:$B$205,MATCH(B5003,Mitarbeiter!$A$6:$A$205,0)),"?"))</f>
        <v/>
      </c>
      <c r="D5003" s="41" t="n"/>
      <c r="E5003" s="42" t="n"/>
      <c r="F5003" s="43" t="n"/>
      <c r="G5003" s="44">
        <f>IF(OR(B5003="",F5003=""),"",IFERROR(F5003*INDEX(Mitarbeiter!$F$6:$F$205,MATCH(B5003,Mitarbeiter!$A$6:$A$205,0)),0))</f>
        <v/>
      </c>
      <c r="H5003" s="8">
        <f>IF(B5003="","",IF(ISNA(MATCH(B5003,Mitarbeiter!$A$6:$A$205,0)),"Pers.-Nr. unbekannt",IF(A5003="","Datum fehlt",IF(AND(D5003&lt;&gt;Einstellungen!$C$4,D5003&lt;&gt;Einstellungen!$C$5),"Objekt fehlt",IF(YEAR(A5003)&lt;&gt;Einstellungen!$C$3,"anderes Jahr",IF(A5003&lt;INDEX(Mitarbeiter!$C$6:$C$205,MATCH(B5003,Mitarbeiter!$A$6:$A$205,0)),"vor Eintritt",IF(AND(INDEX(Mitarbeiter!$D$6:$D$205,MATCH(B5003,Mitarbeiter!$A$6:$A$205,0))&lt;&gt;"",A5003&gt;INDEX(Mitarbeiter!$D$6:$D$205,MATCH(B5003,Mitarbeiter!$A$6:$A$205,0))),"nach Austritt","ok")))))))</f>
        <v/>
      </c>
    </row>
    <row r="5004">
      <c r="A5004" s="26" t="n"/>
      <c r="B5004" s="24" t="n"/>
      <c r="C5004" s="40">
        <f>IF(B5004="","",IFERROR(INDEX(Mitarbeiter!$B$6:$B$205,MATCH(B5004,Mitarbeiter!$A$6:$A$205,0)),"?"))</f>
        <v/>
      </c>
      <c r="D5004" s="41" t="n"/>
      <c r="E5004" s="42" t="n"/>
      <c r="F5004" s="43" t="n"/>
      <c r="G5004" s="44">
        <f>IF(OR(B5004="",F5004=""),"",IFERROR(F5004*INDEX(Mitarbeiter!$F$6:$F$205,MATCH(B5004,Mitarbeiter!$A$6:$A$205,0)),0))</f>
        <v/>
      </c>
      <c r="H5004" s="8">
        <f>IF(B5004="","",IF(ISNA(MATCH(B5004,Mitarbeiter!$A$6:$A$205,0)),"Pers.-Nr. unbekannt",IF(A5004="","Datum fehlt",IF(AND(D5004&lt;&gt;Einstellungen!$C$4,D5004&lt;&gt;Einstellungen!$C$5),"Objekt fehlt",IF(YEAR(A5004)&lt;&gt;Einstellungen!$C$3,"anderes Jahr",IF(A5004&lt;INDEX(Mitarbeiter!$C$6:$C$205,MATCH(B5004,Mitarbeiter!$A$6:$A$205,0)),"vor Eintritt",IF(AND(INDEX(Mitarbeiter!$D$6:$D$205,MATCH(B5004,Mitarbeiter!$A$6:$A$205,0))&lt;&gt;"",A5004&gt;INDEX(Mitarbeiter!$D$6:$D$205,MATCH(B5004,Mitarbeiter!$A$6:$A$205,0))),"nach Austritt","ok")))))))</f>
        <v/>
      </c>
    </row>
    <row r="5005">
      <c r="A5005" s="26" t="n"/>
      <c r="B5005" s="24" t="n"/>
      <c r="C5005" s="40">
        <f>IF(B5005="","",IFERROR(INDEX(Mitarbeiter!$B$6:$B$205,MATCH(B5005,Mitarbeiter!$A$6:$A$205,0)),"?"))</f>
        <v/>
      </c>
      <c r="D5005" s="41" t="n"/>
      <c r="E5005" s="42" t="n"/>
      <c r="F5005" s="43" t="n"/>
      <c r="G5005" s="44">
        <f>IF(OR(B5005="",F5005=""),"",IFERROR(F5005*INDEX(Mitarbeiter!$F$6:$F$205,MATCH(B5005,Mitarbeiter!$A$6:$A$205,0)),0))</f>
        <v/>
      </c>
      <c r="H5005" s="8">
        <f>IF(B5005="","",IF(ISNA(MATCH(B5005,Mitarbeiter!$A$6:$A$205,0)),"Pers.-Nr. unbekannt",IF(A5005="","Datum fehlt",IF(AND(D5005&lt;&gt;Einstellungen!$C$4,D5005&lt;&gt;Einstellungen!$C$5),"Objekt fehlt",IF(YEAR(A5005)&lt;&gt;Einstellungen!$C$3,"anderes Jahr",IF(A5005&lt;INDEX(Mitarbeiter!$C$6:$C$205,MATCH(B5005,Mitarbeiter!$A$6:$A$205,0)),"vor Eintritt",IF(AND(INDEX(Mitarbeiter!$D$6:$D$205,MATCH(B5005,Mitarbeiter!$A$6:$A$205,0))&lt;&gt;"",A5005&gt;INDEX(Mitarbeiter!$D$6:$D$205,MATCH(B5005,Mitarbeiter!$A$6:$A$205,0))),"nach Austritt","ok")))))))</f>
        <v/>
      </c>
    </row>
  </sheetData>
  <mergeCells count="1">
    <mergeCell ref="A2:H2"/>
  </mergeCells>
  <conditionalFormatting sqref="H6:H5005">
    <cfRule type="expression" priority="1" dxfId="3">
      <formula>AND(H6&lt;&gt;"",H6&lt;&gt;"ok")</formula>
    </cfRule>
  </conditionalFormatting>
  <dataValidations count="5">
    <dataValidation sqref="B6:B5005" showDropDown="0" showInputMessage="0" showErrorMessage="1" allowBlank="0" error="Pers.-Nr. zuerst im Tab Mitarbeiter anlegen." type="list">
      <formula1>=Mitarbeiter!$A$6:$A$205</formula1>
    </dataValidation>
    <dataValidation sqref="D6:D5005" showDropDown="0" showInputMessage="0" showErrorMessage="1" allowBlank="0" error="Bitte Objekt aus Liste wählen." type="list">
      <formula1>=Einstellungen!$C$4:$C$5</formula1>
    </dataValidation>
    <dataValidation sqref="E6:E5005" showDropDown="0" showInputMessage="0" showErrorMessage="1" allowBlank="0" error="Stunden 0–1000" type="decimal" operator="between">
      <formula1>0</formula1>
      <formula2>1000</formula2>
    </dataValidation>
    <dataValidation sqref="F6:F5005" showDropDown="0" showInputMessage="0" showErrorMessage="1" allowBlank="0" error="Krankheitstage 0–31" type="whole" operator="between">
      <formula1>0</formula1>
      <formula2>31</formula2>
    </dataValidation>
    <dataValidation sqref="A6:A5005" showDropDown="0" showInputMessage="0" showErrorMessage="1" allowBlank="0" error="Bitte gültiges Datum" type="date" operator="between">
      <formula1>DATE(2000,1,1)</formula1>
      <formula2>DATE(2100,12,31)</formula2>
    </dataValidation>
  </dataValidation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>
      <c r="A1" s="1" t="inlineStr">
        <is>
          <t>Operative Krankenquote je Objekt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„Erfassung“. Quote = Krankstunden ÷ (geleistete Stunden + Krankstunden). Eingesetzte MA = verschiedene Personen mit mind. einer Zeile im Objekt/Monat (Springer zählen in beiden Objekten).</t>
        </is>
      </c>
    </row>
    <row r="4">
      <c r="A4" s="46" t="n"/>
      <c r="B4" s="47">
        <f>Einstellungen!$C$4</f>
        <v/>
      </c>
      <c r="C4" s="48" t="n"/>
      <c r="D4" s="48" t="n"/>
      <c r="E4" s="48" t="n"/>
      <c r="F4" s="48" t="n"/>
      <c r="G4" s="49">
        <f>Einstellungen!$C$5</f>
        <v/>
      </c>
      <c r="H4" s="50" t="n"/>
      <c r="I4" s="50" t="n"/>
      <c r="J4" s="50" t="n"/>
      <c r="K4" s="50" t="n"/>
      <c r="L4" s="51" t="inlineStr">
        <is>
          <t>Gesamt (beide Objekte)</t>
        </is>
      </c>
      <c r="M4" s="52" t="n"/>
      <c r="N4" s="52" t="n"/>
      <c r="O4" s="52" t="n"/>
      <c r="P4" s="52" t="n"/>
    </row>
    <row r="5" ht="30" customHeight="1">
      <c r="A5" s="20" t="inlineStr">
        <is>
          <t>Monat</t>
        </is>
      </c>
      <c r="B5" s="47" t="inlineStr">
        <is>
          <t>Geleistete
Std.</t>
        </is>
      </c>
      <c r="C5" s="47" t="inlineStr">
        <is>
          <t>Krank-
stunden</t>
        </is>
      </c>
      <c r="D5" s="47" t="inlineStr">
        <is>
          <t>Kranken-
quote</t>
        </is>
      </c>
      <c r="E5" s="47" t="inlineStr">
        <is>
          <t>Krank-
tage</t>
        </is>
      </c>
      <c r="F5" s="47" t="inlineStr">
        <is>
          <t>Eingesetzte
MA</t>
        </is>
      </c>
      <c r="G5" s="49" t="inlineStr">
        <is>
          <t>Geleistete
Std.</t>
        </is>
      </c>
      <c r="H5" s="49" t="inlineStr">
        <is>
          <t>Krank-
stunden</t>
        </is>
      </c>
      <c r="I5" s="49" t="inlineStr">
        <is>
          <t>Kranken-
quote</t>
        </is>
      </c>
      <c r="J5" s="49" t="inlineStr">
        <is>
          <t>Krank-
tage</t>
        </is>
      </c>
      <c r="K5" s="49" t="inlineStr">
        <is>
          <t>Eingesetzte
MA</t>
        </is>
      </c>
      <c r="L5" s="51" t="inlineStr">
        <is>
          <t>Geleistete
Std.</t>
        </is>
      </c>
      <c r="M5" s="51" t="inlineStr">
        <is>
          <t>Krank-
stunden</t>
        </is>
      </c>
      <c r="N5" s="51" t="inlineStr">
        <is>
          <t>Kranken-
quote</t>
        </is>
      </c>
      <c r="O5" s="51" t="inlineStr">
        <is>
          <t>Krank-
tage</t>
        </is>
      </c>
      <c r="P5" s="51" t="inlineStr">
        <is>
          <t>Eingesetzte
MA</t>
        </is>
      </c>
    </row>
    <row r="6">
      <c r="A6" s="53">
        <f>DATE(Einstellungen!$C$3,1,1)</f>
        <v/>
      </c>
      <c r="B6" s="54">
        <f>SUMIFS(Erfassung!$E$6:$E$5005,Erfassung!$A$6:$A$5005,"&gt;="&amp;$A6,Erfassung!$A$6:$A$5005,"&lt;"&amp;DATE(YEAR($A6),MONTH($A6)+1,1),Erfassung!$D$6:$D$5005,Einstellungen!$C$4)</f>
        <v/>
      </c>
      <c r="C6" s="54">
        <f>SUMIFS(Erfassung!$G$6:$G$5005,Erfassung!$A$6:$A$5005,"&gt;="&amp;$A6,Erfassung!$A$6:$A$5005,"&lt;"&amp;DATE(YEAR($A6),MONTH($A6)+1,1),Erfassung!$D$6:$D$5005,Einstellungen!$C$4)</f>
        <v/>
      </c>
      <c r="D6" s="38">
        <f>IF(B6+C6&gt;0,C6/(B6+C6),0)</f>
        <v/>
      </c>
      <c r="E6" s="34">
        <f>SUMIFS(Erfassung!$F$6:$F$5005,Erfassung!$A$6:$A$5005,"&gt;="&amp;$A6,Erfassung!$A$6:$A$5005,"&lt;"&amp;DATE(YEAR($A6),MONTH($A6)+1,1),Erfassung!$D$6:$D$5005,Einstellungen!$C$4)</f>
        <v/>
      </c>
      <c r="F6" s="34">
        <f>SUMPRODUCT((Mitarbeiter!$A$6:$A$205&lt;&gt;"")*(COUNTIFS(Erfassung!$B$6:$B$5005,Mitarbeiter!$A$6:$A$205,Erfassung!$D$6:$D$5005,Einstellungen!$C$4,Erfassung!$A$6:$A$5005,"&gt;="&amp;$A6,Erfassung!$A$6:$A$5005,"&lt;"&amp;DATE(YEAR($A6),MONTH($A6)+1,1))&gt;0))</f>
        <v/>
      </c>
      <c r="G6" s="54">
        <f>SUMIFS(Erfassung!$E$6:$E$5005,Erfassung!$A$6:$A$5005,"&gt;="&amp;$A6,Erfassung!$A$6:$A$5005,"&lt;"&amp;DATE(YEAR($A6),MONTH($A6)+1,1),Erfassung!$D$6:$D$5005,Einstellungen!$C$5)</f>
        <v/>
      </c>
      <c r="H6" s="54">
        <f>SUMIFS(Erfassung!$G$6:$G$5005,Erfassung!$A$6:$A$5005,"&gt;="&amp;$A6,Erfassung!$A$6:$A$5005,"&lt;"&amp;DATE(YEAR($A6),MONTH($A6)+1,1),Erfassung!$D$6:$D$5005,Einstellungen!$C$5)</f>
        <v/>
      </c>
      <c r="I6" s="38">
        <f>IF(G6+H6&gt;0,H6/(G6+H6),0)</f>
        <v/>
      </c>
      <c r="J6" s="34">
        <f>SUMIFS(Erfassung!$F$6:$F$5005,Erfassung!$A$6:$A$5005,"&gt;="&amp;$A6,Erfassung!$A$6:$A$5005,"&lt;"&amp;DATE(YEAR($A6),MONTH($A6)+1,1),Erfassung!$D$6:$D$5005,Einstellungen!$C$5)</f>
        <v/>
      </c>
      <c r="K6" s="34">
        <f>SUMPRODUCT((Mitarbeiter!$A$6:$A$205&lt;&gt;"")*(COUNTIFS(Erfassung!$B$6:$B$5005,Mitarbeiter!$A$6:$A$205,Erfassung!$D$6:$D$5005,Einstellungen!$C$5,Erfassung!$A$6:$A$5005,"&gt;="&amp;$A6,Erfassung!$A$6:$A$5005,"&lt;"&amp;DATE(YEAR($A6),MONTH($A6)+1,1))&gt;0))</f>
        <v/>
      </c>
      <c r="L6" s="54">
        <f>B6+G6</f>
        <v/>
      </c>
      <c r="M6" s="54">
        <f>C6+H6</f>
        <v/>
      </c>
      <c r="N6" s="38">
        <f>IF(L6+M6&gt;0,M6/(L6+M6),0)</f>
        <v/>
      </c>
      <c r="O6" s="34">
        <f>E6+J6</f>
        <v/>
      </c>
      <c r="P6" s="34">
        <f>SUMPRODUCT((Mitarbeiter!$A$6:$A$205&lt;&gt;"")*(COUNTIFS(Erfassung!$B$6:$B$5005,Mitarbeiter!$A$6:$A$205,Erfassung!$A$6:$A$5005,"&gt;="&amp;$A6,Erfassung!$A$6:$A$5005,"&lt;"&amp;DATE(YEAR($A6),MONTH($A6)+1,1))&gt;0))</f>
        <v/>
      </c>
    </row>
    <row r="7">
      <c r="A7" s="53">
        <f>DATE(Einstellungen!$C$3,2,1)</f>
        <v/>
      </c>
      <c r="B7" s="54">
        <f>SUMIFS(Erfassung!$E$6:$E$5005,Erfassung!$A$6:$A$5005,"&gt;="&amp;$A7,Erfassung!$A$6:$A$5005,"&lt;"&amp;DATE(YEAR($A7),MONTH($A7)+1,1),Erfassung!$D$6:$D$5005,Einstellungen!$C$4)</f>
        <v/>
      </c>
      <c r="C7" s="54">
        <f>SUMIFS(Erfassung!$G$6:$G$5005,Erfassung!$A$6:$A$5005,"&gt;="&amp;$A7,Erfassung!$A$6:$A$5005,"&lt;"&amp;DATE(YEAR($A7),MONTH($A7)+1,1),Erfassung!$D$6:$D$5005,Einstellungen!$C$4)</f>
        <v/>
      </c>
      <c r="D7" s="38">
        <f>IF(B7+C7&gt;0,C7/(B7+C7),0)</f>
        <v/>
      </c>
      <c r="E7" s="34">
        <f>SUMIFS(Erfassung!$F$6:$F$5005,Erfassung!$A$6:$A$5005,"&gt;="&amp;$A7,Erfassung!$A$6:$A$5005,"&lt;"&amp;DATE(YEAR($A7),MONTH($A7)+1,1),Erfassung!$D$6:$D$5005,Einstellungen!$C$4)</f>
        <v/>
      </c>
      <c r="F7" s="34">
        <f>SUMPRODUCT((Mitarbeiter!$A$6:$A$205&lt;&gt;"")*(COUNTIFS(Erfassung!$B$6:$B$5005,Mitarbeiter!$A$6:$A$205,Erfassung!$D$6:$D$5005,Einstellungen!$C$4,Erfassung!$A$6:$A$5005,"&gt;="&amp;$A7,Erfassung!$A$6:$A$5005,"&lt;"&amp;DATE(YEAR($A7),MONTH($A7)+1,1))&gt;0))</f>
        <v/>
      </c>
      <c r="G7" s="54">
        <f>SUMIFS(Erfassung!$E$6:$E$5005,Erfassung!$A$6:$A$5005,"&gt;="&amp;$A7,Erfassung!$A$6:$A$5005,"&lt;"&amp;DATE(YEAR($A7),MONTH($A7)+1,1),Erfassung!$D$6:$D$5005,Einstellungen!$C$5)</f>
        <v/>
      </c>
      <c r="H7" s="54">
        <f>SUMIFS(Erfassung!$G$6:$G$5005,Erfassung!$A$6:$A$5005,"&gt;="&amp;$A7,Erfassung!$A$6:$A$5005,"&lt;"&amp;DATE(YEAR($A7),MONTH($A7)+1,1),Erfassung!$D$6:$D$5005,Einstellungen!$C$5)</f>
        <v/>
      </c>
      <c r="I7" s="38">
        <f>IF(G7+H7&gt;0,H7/(G7+H7),0)</f>
        <v/>
      </c>
      <c r="J7" s="34">
        <f>SUMIFS(Erfassung!$F$6:$F$5005,Erfassung!$A$6:$A$5005,"&gt;="&amp;$A7,Erfassung!$A$6:$A$5005,"&lt;"&amp;DATE(YEAR($A7),MONTH($A7)+1,1),Erfassung!$D$6:$D$5005,Einstellungen!$C$5)</f>
        <v/>
      </c>
      <c r="K7" s="34">
        <f>SUMPRODUCT((Mitarbeiter!$A$6:$A$205&lt;&gt;"")*(COUNTIFS(Erfassung!$B$6:$B$5005,Mitarbeiter!$A$6:$A$205,Erfassung!$D$6:$D$5005,Einstellungen!$C$5,Erfassung!$A$6:$A$5005,"&gt;="&amp;$A7,Erfassung!$A$6:$A$5005,"&lt;"&amp;DATE(YEAR($A7),MONTH($A7)+1,1))&gt;0))</f>
        <v/>
      </c>
      <c r="L7" s="54">
        <f>B7+G7</f>
        <v/>
      </c>
      <c r="M7" s="54">
        <f>C7+H7</f>
        <v/>
      </c>
      <c r="N7" s="38">
        <f>IF(L7+M7&gt;0,M7/(L7+M7),0)</f>
        <v/>
      </c>
      <c r="O7" s="34">
        <f>E7+J7</f>
        <v/>
      </c>
      <c r="P7" s="34">
        <f>SUMPRODUCT((Mitarbeiter!$A$6:$A$205&lt;&gt;"")*(COUNTIFS(Erfassung!$B$6:$B$5005,Mitarbeiter!$A$6:$A$205,Erfassung!$A$6:$A$5005,"&gt;="&amp;$A7,Erfassung!$A$6:$A$5005,"&lt;"&amp;DATE(YEAR($A7),MONTH($A7)+1,1))&gt;0))</f>
        <v/>
      </c>
    </row>
    <row r="8">
      <c r="A8" s="53">
        <f>DATE(Einstellungen!$C$3,3,1)</f>
        <v/>
      </c>
      <c r="B8" s="54">
        <f>SUMIFS(Erfassung!$E$6:$E$5005,Erfassung!$A$6:$A$5005,"&gt;="&amp;$A8,Erfassung!$A$6:$A$5005,"&lt;"&amp;DATE(YEAR($A8),MONTH($A8)+1,1),Erfassung!$D$6:$D$5005,Einstellungen!$C$4)</f>
        <v/>
      </c>
      <c r="C8" s="54">
        <f>SUMIFS(Erfassung!$G$6:$G$5005,Erfassung!$A$6:$A$5005,"&gt;="&amp;$A8,Erfassung!$A$6:$A$5005,"&lt;"&amp;DATE(YEAR($A8),MONTH($A8)+1,1),Erfassung!$D$6:$D$5005,Einstellungen!$C$4)</f>
        <v/>
      </c>
      <c r="D8" s="38">
        <f>IF(B8+C8&gt;0,C8/(B8+C8),0)</f>
        <v/>
      </c>
      <c r="E8" s="34">
        <f>SUMIFS(Erfassung!$F$6:$F$5005,Erfassung!$A$6:$A$5005,"&gt;="&amp;$A8,Erfassung!$A$6:$A$5005,"&lt;"&amp;DATE(YEAR($A8),MONTH($A8)+1,1),Erfassung!$D$6:$D$5005,Einstellungen!$C$4)</f>
        <v/>
      </c>
      <c r="F8" s="34">
        <f>SUMPRODUCT((Mitarbeiter!$A$6:$A$205&lt;&gt;"")*(COUNTIFS(Erfassung!$B$6:$B$5005,Mitarbeiter!$A$6:$A$205,Erfassung!$D$6:$D$5005,Einstellungen!$C$4,Erfassung!$A$6:$A$5005,"&gt;="&amp;$A8,Erfassung!$A$6:$A$5005,"&lt;"&amp;DATE(YEAR($A8),MONTH($A8)+1,1))&gt;0))</f>
        <v/>
      </c>
      <c r="G8" s="54">
        <f>SUMIFS(Erfassung!$E$6:$E$5005,Erfassung!$A$6:$A$5005,"&gt;="&amp;$A8,Erfassung!$A$6:$A$5005,"&lt;"&amp;DATE(YEAR($A8),MONTH($A8)+1,1),Erfassung!$D$6:$D$5005,Einstellungen!$C$5)</f>
        <v/>
      </c>
      <c r="H8" s="54">
        <f>SUMIFS(Erfassung!$G$6:$G$5005,Erfassung!$A$6:$A$5005,"&gt;="&amp;$A8,Erfassung!$A$6:$A$5005,"&lt;"&amp;DATE(YEAR($A8),MONTH($A8)+1,1),Erfassung!$D$6:$D$5005,Einstellungen!$C$5)</f>
        <v/>
      </c>
      <c r="I8" s="38">
        <f>IF(G8+H8&gt;0,H8/(G8+H8),0)</f>
        <v/>
      </c>
      <c r="J8" s="34">
        <f>SUMIFS(Erfassung!$F$6:$F$5005,Erfassung!$A$6:$A$5005,"&gt;="&amp;$A8,Erfassung!$A$6:$A$5005,"&lt;"&amp;DATE(YEAR($A8),MONTH($A8)+1,1),Erfassung!$D$6:$D$5005,Einstellungen!$C$5)</f>
        <v/>
      </c>
      <c r="K8" s="34">
        <f>SUMPRODUCT((Mitarbeiter!$A$6:$A$205&lt;&gt;"")*(COUNTIFS(Erfassung!$B$6:$B$5005,Mitarbeiter!$A$6:$A$205,Erfassung!$D$6:$D$5005,Einstellungen!$C$5,Erfassung!$A$6:$A$5005,"&gt;="&amp;$A8,Erfassung!$A$6:$A$5005,"&lt;"&amp;DATE(YEAR($A8),MONTH($A8)+1,1))&gt;0))</f>
        <v/>
      </c>
      <c r="L8" s="54">
        <f>B8+G8</f>
        <v/>
      </c>
      <c r="M8" s="54">
        <f>C8+H8</f>
        <v/>
      </c>
      <c r="N8" s="38">
        <f>IF(L8+M8&gt;0,M8/(L8+M8),0)</f>
        <v/>
      </c>
      <c r="O8" s="34">
        <f>E8+J8</f>
        <v/>
      </c>
      <c r="P8" s="34">
        <f>SUMPRODUCT((Mitarbeiter!$A$6:$A$205&lt;&gt;"")*(COUNTIFS(Erfassung!$B$6:$B$5005,Mitarbeiter!$A$6:$A$205,Erfassung!$A$6:$A$5005,"&gt;="&amp;$A8,Erfassung!$A$6:$A$5005,"&lt;"&amp;DATE(YEAR($A8),MONTH($A8)+1,1))&gt;0))</f>
        <v/>
      </c>
    </row>
    <row r="9">
      <c r="A9" s="53">
        <f>DATE(Einstellungen!$C$3,4,1)</f>
        <v/>
      </c>
      <c r="B9" s="54">
        <f>SUMIFS(Erfassung!$E$6:$E$5005,Erfassung!$A$6:$A$5005,"&gt;="&amp;$A9,Erfassung!$A$6:$A$5005,"&lt;"&amp;DATE(YEAR($A9),MONTH($A9)+1,1),Erfassung!$D$6:$D$5005,Einstellungen!$C$4)</f>
        <v/>
      </c>
      <c r="C9" s="54">
        <f>SUMIFS(Erfassung!$G$6:$G$5005,Erfassung!$A$6:$A$5005,"&gt;="&amp;$A9,Erfassung!$A$6:$A$5005,"&lt;"&amp;DATE(YEAR($A9),MONTH($A9)+1,1),Erfassung!$D$6:$D$5005,Einstellungen!$C$4)</f>
        <v/>
      </c>
      <c r="D9" s="38">
        <f>IF(B9+C9&gt;0,C9/(B9+C9),0)</f>
        <v/>
      </c>
      <c r="E9" s="34">
        <f>SUMIFS(Erfassung!$F$6:$F$5005,Erfassung!$A$6:$A$5005,"&gt;="&amp;$A9,Erfassung!$A$6:$A$5005,"&lt;"&amp;DATE(YEAR($A9),MONTH($A9)+1,1),Erfassung!$D$6:$D$5005,Einstellungen!$C$4)</f>
        <v/>
      </c>
      <c r="F9" s="34">
        <f>SUMPRODUCT((Mitarbeiter!$A$6:$A$205&lt;&gt;"")*(COUNTIFS(Erfassung!$B$6:$B$5005,Mitarbeiter!$A$6:$A$205,Erfassung!$D$6:$D$5005,Einstellungen!$C$4,Erfassung!$A$6:$A$5005,"&gt;="&amp;$A9,Erfassung!$A$6:$A$5005,"&lt;"&amp;DATE(YEAR($A9),MONTH($A9)+1,1))&gt;0))</f>
        <v/>
      </c>
      <c r="G9" s="54">
        <f>SUMIFS(Erfassung!$E$6:$E$5005,Erfassung!$A$6:$A$5005,"&gt;="&amp;$A9,Erfassung!$A$6:$A$5005,"&lt;"&amp;DATE(YEAR($A9),MONTH($A9)+1,1),Erfassung!$D$6:$D$5005,Einstellungen!$C$5)</f>
        <v/>
      </c>
      <c r="H9" s="54">
        <f>SUMIFS(Erfassung!$G$6:$G$5005,Erfassung!$A$6:$A$5005,"&gt;="&amp;$A9,Erfassung!$A$6:$A$5005,"&lt;"&amp;DATE(YEAR($A9),MONTH($A9)+1,1),Erfassung!$D$6:$D$5005,Einstellungen!$C$5)</f>
        <v/>
      </c>
      <c r="I9" s="38">
        <f>IF(G9+H9&gt;0,H9/(G9+H9),0)</f>
        <v/>
      </c>
      <c r="J9" s="34">
        <f>SUMIFS(Erfassung!$F$6:$F$5005,Erfassung!$A$6:$A$5005,"&gt;="&amp;$A9,Erfassung!$A$6:$A$5005,"&lt;"&amp;DATE(YEAR($A9),MONTH($A9)+1,1),Erfassung!$D$6:$D$5005,Einstellungen!$C$5)</f>
        <v/>
      </c>
      <c r="K9" s="34">
        <f>SUMPRODUCT((Mitarbeiter!$A$6:$A$205&lt;&gt;"")*(COUNTIFS(Erfassung!$B$6:$B$5005,Mitarbeiter!$A$6:$A$205,Erfassung!$D$6:$D$5005,Einstellungen!$C$5,Erfassung!$A$6:$A$5005,"&gt;="&amp;$A9,Erfassung!$A$6:$A$5005,"&lt;"&amp;DATE(YEAR($A9),MONTH($A9)+1,1))&gt;0))</f>
        <v/>
      </c>
      <c r="L9" s="54">
        <f>B9+G9</f>
        <v/>
      </c>
      <c r="M9" s="54">
        <f>C9+H9</f>
        <v/>
      </c>
      <c r="N9" s="38">
        <f>IF(L9+M9&gt;0,M9/(L9+M9),0)</f>
        <v/>
      </c>
      <c r="O9" s="34">
        <f>E9+J9</f>
        <v/>
      </c>
      <c r="P9" s="34">
        <f>SUMPRODUCT((Mitarbeiter!$A$6:$A$205&lt;&gt;"")*(COUNTIFS(Erfassung!$B$6:$B$5005,Mitarbeiter!$A$6:$A$205,Erfassung!$A$6:$A$5005,"&gt;="&amp;$A9,Erfassung!$A$6:$A$5005,"&lt;"&amp;DATE(YEAR($A9),MONTH($A9)+1,1))&gt;0))</f>
        <v/>
      </c>
    </row>
    <row r="10">
      <c r="A10" s="53">
        <f>DATE(Einstellungen!$C$3,5,1)</f>
        <v/>
      </c>
      <c r="B10" s="54">
        <f>SUMIFS(Erfassung!$E$6:$E$5005,Erfassung!$A$6:$A$5005,"&gt;="&amp;$A10,Erfassung!$A$6:$A$5005,"&lt;"&amp;DATE(YEAR($A10),MONTH($A10)+1,1),Erfassung!$D$6:$D$5005,Einstellungen!$C$4)</f>
        <v/>
      </c>
      <c r="C10" s="54">
        <f>SUMIFS(Erfassung!$G$6:$G$5005,Erfassung!$A$6:$A$5005,"&gt;="&amp;$A10,Erfassung!$A$6:$A$5005,"&lt;"&amp;DATE(YEAR($A10),MONTH($A10)+1,1),Erfassung!$D$6:$D$5005,Einstellungen!$C$4)</f>
        <v/>
      </c>
      <c r="D10" s="38">
        <f>IF(B10+C10&gt;0,C10/(B10+C10),0)</f>
        <v/>
      </c>
      <c r="E10" s="34">
        <f>SUMIFS(Erfassung!$F$6:$F$5005,Erfassung!$A$6:$A$5005,"&gt;="&amp;$A10,Erfassung!$A$6:$A$5005,"&lt;"&amp;DATE(YEAR($A10),MONTH($A10)+1,1),Erfassung!$D$6:$D$5005,Einstellungen!$C$4)</f>
        <v/>
      </c>
      <c r="F10" s="34">
        <f>SUMPRODUCT((Mitarbeiter!$A$6:$A$205&lt;&gt;"")*(COUNTIFS(Erfassung!$B$6:$B$5005,Mitarbeiter!$A$6:$A$205,Erfassung!$D$6:$D$5005,Einstellungen!$C$4,Erfassung!$A$6:$A$5005,"&gt;="&amp;$A10,Erfassung!$A$6:$A$5005,"&lt;"&amp;DATE(YEAR($A10),MONTH($A10)+1,1))&gt;0))</f>
        <v/>
      </c>
      <c r="G10" s="54">
        <f>SUMIFS(Erfassung!$E$6:$E$5005,Erfassung!$A$6:$A$5005,"&gt;="&amp;$A10,Erfassung!$A$6:$A$5005,"&lt;"&amp;DATE(YEAR($A10),MONTH($A10)+1,1),Erfassung!$D$6:$D$5005,Einstellungen!$C$5)</f>
        <v/>
      </c>
      <c r="H10" s="54">
        <f>SUMIFS(Erfassung!$G$6:$G$5005,Erfassung!$A$6:$A$5005,"&gt;="&amp;$A10,Erfassung!$A$6:$A$5005,"&lt;"&amp;DATE(YEAR($A10),MONTH($A10)+1,1),Erfassung!$D$6:$D$5005,Einstellungen!$C$5)</f>
        <v/>
      </c>
      <c r="I10" s="38">
        <f>IF(G10+H10&gt;0,H10/(G10+H10),0)</f>
        <v/>
      </c>
      <c r="J10" s="34">
        <f>SUMIFS(Erfassung!$F$6:$F$5005,Erfassung!$A$6:$A$5005,"&gt;="&amp;$A10,Erfassung!$A$6:$A$5005,"&lt;"&amp;DATE(YEAR($A10),MONTH($A10)+1,1),Erfassung!$D$6:$D$5005,Einstellungen!$C$5)</f>
        <v/>
      </c>
      <c r="K10" s="34">
        <f>SUMPRODUCT((Mitarbeiter!$A$6:$A$205&lt;&gt;"")*(COUNTIFS(Erfassung!$B$6:$B$5005,Mitarbeiter!$A$6:$A$205,Erfassung!$D$6:$D$5005,Einstellungen!$C$5,Erfassung!$A$6:$A$5005,"&gt;="&amp;$A10,Erfassung!$A$6:$A$5005,"&lt;"&amp;DATE(YEAR($A10),MONTH($A10)+1,1))&gt;0))</f>
        <v/>
      </c>
      <c r="L10" s="54">
        <f>B10+G10</f>
        <v/>
      </c>
      <c r="M10" s="54">
        <f>C10+H10</f>
        <v/>
      </c>
      <c r="N10" s="38">
        <f>IF(L10+M10&gt;0,M10/(L10+M10),0)</f>
        <v/>
      </c>
      <c r="O10" s="34">
        <f>E10+J10</f>
        <v/>
      </c>
      <c r="P10" s="34">
        <f>SUMPRODUCT((Mitarbeiter!$A$6:$A$205&lt;&gt;"")*(COUNTIFS(Erfassung!$B$6:$B$5005,Mitarbeiter!$A$6:$A$205,Erfassung!$A$6:$A$5005,"&gt;="&amp;$A10,Erfassung!$A$6:$A$5005,"&lt;"&amp;DATE(YEAR($A10),MONTH($A10)+1,1))&gt;0))</f>
        <v/>
      </c>
    </row>
    <row r="11">
      <c r="A11" s="53">
        <f>DATE(Einstellungen!$C$3,6,1)</f>
        <v/>
      </c>
      <c r="B11" s="54">
        <f>SUMIFS(Erfassung!$E$6:$E$5005,Erfassung!$A$6:$A$5005,"&gt;="&amp;$A11,Erfassung!$A$6:$A$5005,"&lt;"&amp;DATE(YEAR($A11),MONTH($A11)+1,1),Erfassung!$D$6:$D$5005,Einstellungen!$C$4)</f>
        <v/>
      </c>
      <c r="C11" s="54">
        <f>SUMIFS(Erfassung!$G$6:$G$5005,Erfassung!$A$6:$A$5005,"&gt;="&amp;$A11,Erfassung!$A$6:$A$5005,"&lt;"&amp;DATE(YEAR($A11),MONTH($A11)+1,1),Erfassung!$D$6:$D$5005,Einstellungen!$C$4)</f>
        <v/>
      </c>
      <c r="D11" s="38">
        <f>IF(B11+C11&gt;0,C11/(B11+C11),0)</f>
        <v/>
      </c>
      <c r="E11" s="34">
        <f>SUMIFS(Erfassung!$F$6:$F$5005,Erfassung!$A$6:$A$5005,"&gt;="&amp;$A11,Erfassung!$A$6:$A$5005,"&lt;"&amp;DATE(YEAR($A11),MONTH($A11)+1,1),Erfassung!$D$6:$D$5005,Einstellungen!$C$4)</f>
        <v/>
      </c>
      <c r="F11" s="34">
        <f>SUMPRODUCT((Mitarbeiter!$A$6:$A$205&lt;&gt;"")*(COUNTIFS(Erfassung!$B$6:$B$5005,Mitarbeiter!$A$6:$A$205,Erfassung!$D$6:$D$5005,Einstellungen!$C$4,Erfassung!$A$6:$A$5005,"&gt;="&amp;$A11,Erfassung!$A$6:$A$5005,"&lt;"&amp;DATE(YEAR($A11),MONTH($A11)+1,1))&gt;0))</f>
        <v/>
      </c>
      <c r="G11" s="54">
        <f>SUMIFS(Erfassung!$E$6:$E$5005,Erfassung!$A$6:$A$5005,"&gt;="&amp;$A11,Erfassung!$A$6:$A$5005,"&lt;"&amp;DATE(YEAR($A11),MONTH($A11)+1,1),Erfassung!$D$6:$D$5005,Einstellungen!$C$5)</f>
        <v/>
      </c>
      <c r="H11" s="54">
        <f>SUMIFS(Erfassung!$G$6:$G$5005,Erfassung!$A$6:$A$5005,"&gt;="&amp;$A11,Erfassung!$A$6:$A$5005,"&lt;"&amp;DATE(YEAR($A11),MONTH($A11)+1,1),Erfassung!$D$6:$D$5005,Einstellungen!$C$5)</f>
        <v/>
      </c>
      <c r="I11" s="38">
        <f>IF(G11+H11&gt;0,H11/(G11+H11),0)</f>
        <v/>
      </c>
      <c r="J11" s="34">
        <f>SUMIFS(Erfassung!$F$6:$F$5005,Erfassung!$A$6:$A$5005,"&gt;="&amp;$A11,Erfassung!$A$6:$A$5005,"&lt;"&amp;DATE(YEAR($A11),MONTH($A11)+1,1),Erfassung!$D$6:$D$5005,Einstellungen!$C$5)</f>
        <v/>
      </c>
      <c r="K11" s="34">
        <f>SUMPRODUCT((Mitarbeiter!$A$6:$A$205&lt;&gt;"")*(COUNTIFS(Erfassung!$B$6:$B$5005,Mitarbeiter!$A$6:$A$205,Erfassung!$D$6:$D$5005,Einstellungen!$C$5,Erfassung!$A$6:$A$5005,"&gt;="&amp;$A11,Erfassung!$A$6:$A$5005,"&lt;"&amp;DATE(YEAR($A11),MONTH($A11)+1,1))&gt;0))</f>
        <v/>
      </c>
      <c r="L11" s="54">
        <f>B11+G11</f>
        <v/>
      </c>
      <c r="M11" s="54">
        <f>C11+H11</f>
        <v/>
      </c>
      <c r="N11" s="38">
        <f>IF(L11+M11&gt;0,M11/(L11+M11),0)</f>
        <v/>
      </c>
      <c r="O11" s="34">
        <f>E11+J11</f>
        <v/>
      </c>
      <c r="P11" s="34">
        <f>SUMPRODUCT((Mitarbeiter!$A$6:$A$205&lt;&gt;"")*(COUNTIFS(Erfassung!$B$6:$B$5005,Mitarbeiter!$A$6:$A$205,Erfassung!$A$6:$A$5005,"&gt;="&amp;$A11,Erfassung!$A$6:$A$5005,"&lt;"&amp;DATE(YEAR($A11),MONTH($A11)+1,1))&gt;0))</f>
        <v/>
      </c>
    </row>
    <row r="12">
      <c r="A12" s="53">
        <f>DATE(Einstellungen!$C$3,7,1)</f>
        <v/>
      </c>
      <c r="B12" s="54">
        <f>SUMIFS(Erfassung!$E$6:$E$5005,Erfassung!$A$6:$A$5005,"&gt;="&amp;$A12,Erfassung!$A$6:$A$5005,"&lt;"&amp;DATE(YEAR($A12),MONTH($A12)+1,1),Erfassung!$D$6:$D$5005,Einstellungen!$C$4)</f>
        <v/>
      </c>
      <c r="C12" s="54">
        <f>SUMIFS(Erfassung!$G$6:$G$5005,Erfassung!$A$6:$A$5005,"&gt;="&amp;$A12,Erfassung!$A$6:$A$5005,"&lt;"&amp;DATE(YEAR($A12),MONTH($A12)+1,1),Erfassung!$D$6:$D$5005,Einstellungen!$C$4)</f>
        <v/>
      </c>
      <c r="D12" s="38">
        <f>IF(B12+C12&gt;0,C12/(B12+C12),0)</f>
        <v/>
      </c>
      <c r="E12" s="34">
        <f>SUMIFS(Erfassung!$F$6:$F$5005,Erfassung!$A$6:$A$5005,"&gt;="&amp;$A12,Erfassung!$A$6:$A$5005,"&lt;"&amp;DATE(YEAR($A12),MONTH($A12)+1,1),Erfassung!$D$6:$D$5005,Einstellungen!$C$4)</f>
        <v/>
      </c>
      <c r="F12" s="34">
        <f>SUMPRODUCT((Mitarbeiter!$A$6:$A$205&lt;&gt;"")*(COUNTIFS(Erfassung!$B$6:$B$5005,Mitarbeiter!$A$6:$A$205,Erfassung!$D$6:$D$5005,Einstellungen!$C$4,Erfassung!$A$6:$A$5005,"&gt;="&amp;$A12,Erfassung!$A$6:$A$5005,"&lt;"&amp;DATE(YEAR($A12),MONTH($A12)+1,1))&gt;0))</f>
        <v/>
      </c>
      <c r="G12" s="54">
        <f>SUMIFS(Erfassung!$E$6:$E$5005,Erfassung!$A$6:$A$5005,"&gt;="&amp;$A12,Erfassung!$A$6:$A$5005,"&lt;"&amp;DATE(YEAR($A12),MONTH($A12)+1,1),Erfassung!$D$6:$D$5005,Einstellungen!$C$5)</f>
        <v/>
      </c>
      <c r="H12" s="54">
        <f>SUMIFS(Erfassung!$G$6:$G$5005,Erfassung!$A$6:$A$5005,"&gt;="&amp;$A12,Erfassung!$A$6:$A$5005,"&lt;"&amp;DATE(YEAR($A12),MONTH($A12)+1,1),Erfassung!$D$6:$D$5005,Einstellungen!$C$5)</f>
        <v/>
      </c>
      <c r="I12" s="38">
        <f>IF(G12+H12&gt;0,H12/(G12+H12),0)</f>
        <v/>
      </c>
      <c r="J12" s="34">
        <f>SUMIFS(Erfassung!$F$6:$F$5005,Erfassung!$A$6:$A$5005,"&gt;="&amp;$A12,Erfassung!$A$6:$A$5005,"&lt;"&amp;DATE(YEAR($A12),MONTH($A12)+1,1),Erfassung!$D$6:$D$5005,Einstellungen!$C$5)</f>
        <v/>
      </c>
      <c r="K12" s="34">
        <f>SUMPRODUCT((Mitarbeiter!$A$6:$A$205&lt;&gt;"")*(COUNTIFS(Erfassung!$B$6:$B$5005,Mitarbeiter!$A$6:$A$205,Erfassung!$D$6:$D$5005,Einstellungen!$C$5,Erfassung!$A$6:$A$5005,"&gt;="&amp;$A12,Erfassung!$A$6:$A$5005,"&lt;"&amp;DATE(YEAR($A12),MONTH($A12)+1,1))&gt;0))</f>
        <v/>
      </c>
      <c r="L12" s="54">
        <f>B12+G12</f>
        <v/>
      </c>
      <c r="M12" s="54">
        <f>C12+H12</f>
        <v/>
      </c>
      <c r="N12" s="38">
        <f>IF(L12+M12&gt;0,M12/(L12+M12),0)</f>
        <v/>
      </c>
      <c r="O12" s="34">
        <f>E12+J12</f>
        <v/>
      </c>
      <c r="P12" s="34">
        <f>SUMPRODUCT((Mitarbeiter!$A$6:$A$205&lt;&gt;"")*(COUNTIFS(Erfassung!$B$6:$B$5005,Mitarbeiter!$A$6:$A$205,Erfassung!$A$6:$A$5005,"&gt;="&amp;$A12,Erfassung!$A$6:$A$5005,"&lt;"&amp;DATE(YEAR($A12),MONTH($A12)+1,1))&gt;0))</f>
        <v/>
      </c>
    </row>
    <row r="13">
      <c r="A13" s="53">
        <f>DATE(Einstellungen!$C$3,8,1)</f>
        <v/>
      </c>
      <c r="B13" s="54">
        <f>SUMIFS(Erfassung!$E$6:$E$5005,Erfassung!$A$6:$A$5005,"&gt;="&amp;$A13,Erfassung!$A$6:$A$5005,"&lt;"&amp;DATE(YEAR($A13),MONTH($A13)+1,1),Erfassung!$D$6:$D$5005,Einstellungen!$C$4)</f>
        <v/>
      </c>
      <c r="C13" s="54">
        <f>SUMIFS(Erfassung!$G$6:$G$5005,Erfassung!$A$6:$A$5005,"&gt;="&amp;$A13,Erfassung!$A$6:$A$5005,"&lt;"&amp;DATE(YEAR($A13),MONTH($A13)+1,1),Erfassung!$D$6:$D$5005,Einstellungen!$C$4)</f>
        <v/>
      </c>
      <c r="D13" s="38">
        <f>IF(B13+C13&gt;0,C13/(B13+C13),0)</f>
        <v/>
      </c>
      <c r="E13" s="34">
        <f>SUMIFS(Erfassung!$F$6:$F$5005,Erfassung!$A$6:$A$5005,"&gt;="&amp;$A13,Erfassung!$A$6:$A$5005,"&lt;"&amp;DATE(YEAR($A13),MONTH($A13)+1,1),Erfassung!$D$6:$D$5005,Einstellungen!$C$4)</f>
        <v/>
      </c>
      <c r="F13" s="34">
        <f>SUMPRODUCT((Mitarbeiter!$A$6:$A$205&lt;&gt;"")*(COUNTIFS(Erfassung!$B$6:$B$5005,Mitarbeiter!$A$6:$A$205,Erfassung!$D$6:$D$5005,Einstellungen!$C$4,Erfassung!$A$6:$A$5005,"&gt;="&amp;$A13,Erfassung!$A$6:$A$5005,"&lt;"&amp;DATE(YEAR($A13),MONTH($A13)+1,1))&gt;0))</f>
        <v/>
      </c>
      <c r="G13" s="54">
        <f>SUMIFS(Erfassung!$E$6:$E$5005,Erfassung!$A$6:$A$5005,"&gt;="&amp;$A13,Erfassung!$A$6:$A$5005,"&lt;"&amp;DATE(YEAR($A13),MONTH($A13)+1,1),Erfassung!$D$6:$D$5005,Einstellungen!$C$5)</f>
        <v/>
      </c>
      <c r="H13" s="54">
        <f>SUMIFS(Erfassung!$G$6:$G$5005,Erfassung!$A$6:$A$5005,"&gt;="&amp;$A13,Erfassung!$A$6:$A$5005,"&lt;"&amp;DATE(YEAR($A13),MONTH($A13)+1,1),Erfassung!$D$6:$D$5005,Einstellungen!$C$5)</f>
        <v/>
      </c>
      <c r="I13" s="38">
        <f>IF(G13+H13&gt;0,H13/(G13+H13),0)</f>
        <v/>
      </c>
      <c r="J13" s="34">
        <f>SUMIFS(Erfassung!$F$6:$F$5005,Erfassung!$A$6:$A$5005,"&gt;="&amp;$A13,Erfassung!$A$6:$A$5005,"&lt;"&amp;DATE(YEAR($A13),MONTH($A13)+1,1),Erfassung!$D$6:$D$5005,Einstellungen!$C$5)</f>
        <v/>
      </c>
      <c r="K13" s="34">
        <f>SUMPRODUCT((Mitarbeiter!$A$6:$A$205&lt;&gt;"")*(COUNTIFS(Erfassung!$B$6:$B$5005,Mitarbeiter!$A$6:$A$205,Erfassung!$D$6:$D$5005,Einstellungen!$C$5,Erfassung!$A$6:$A$5005,"&gt;="&amp;$A13,Erfassung!$A$6:$A$5005,"&lt;"&amp;DATE(YEAR($A13),MONTH($A13)+1,1))&gt;0))</f>
        <v/>
      </c>
      <c r="L13" s="54">
        <f>B13+G13</f>
        <v/>
      </c>
      <c r="M13" s="54">
        <f>C13+H13</f>
        <v/>
      </c>
      <c r="N13" s="38">
        <f>IF(L13+M13&gt;0,M13/(L13+M13),0)</f>
        <v/>
      </c>
      <c r="O13" s="34">
        <f>E13+J13</f>
        <v/>
      </c>
      <c r="P13" s="34">
        <f>SUMPRODUCT((Mitarbeiter!$A$6:$A$205&lt;&gt;"")*(COUNTIFS(Erfassung!$B$6:$B$5005,Mitarbeiter!$A$6:$A$205,Erfassung!$A$6:$A$5005,"&gt;="&amp;$A13,Erfassung!$A$6:$A$5005,"&lt;"&amp;DATE(YEAR($A13),MONTH($A13)+1,1))&gt;0))</f>
        <v/>
      </c>
    </row>
    <row r="14">
      <c r="A14" s="53">
        <f>DATE(Einstellungen!$C$3,9,1)</f>
        <v/>
      </c>
      <c r="B14" s="54">
        <f>SUMIFS(Erfassung!$E$6:$E$5005,Erfassung!$A$6:$A$5005,"&gt;="&amp;$A14,Erfassung!$A$6:$A$5005,"&lt;"&amp;DATE(YEAR($A14),MONTH($A14)+1,1),Erfassung!$D$6:$D$5005,Einstellungen!$C$4)</f>
        <v/>
      </c>
      <c r="C14" s="54">
        <f>SUMIFS(Erfassung!$G$6:$G$5005,Erfassung!$A$6:$A$5005,"&gt;="&amp;$A14,Erfassung!$A$6:$A$5005,"&lt;"&amp;DATE(YEAR($A14),MONTH($A14)+1,1),Erfassung!$D$6:$D$5005,Einstellungen!$C$4)</f>
        <v/>
      </c>
      <c r="D14" s="38">
        <f>IF(B14+C14&gt;0,C14/(B14+C14),0)</f>
        <v/>
      </c>
      <c r="E14" s="34">
        <f>SUMIFS(Erfassung!$F$6:$F$5005,Erfassung!$A$6:$A$5005,"&gt;="&amp;$A14,Erfassung!$A$6:$A$5005,"&lt;"&amp;DATE(YEAR($A14),MONTH($A14)+1,1),Erfassung!$D$6:$D$5005,Einstellungen!$C$4)</f>
        <v/>
      </c>
      <c r="F14" s="34">
        <f>SUMPRODUCT((Mitarbeiter!$A$6:$A$205&lt;&gt;"")*(COUNTIFS(Erfassung!$B$6:$B$5005,Mitarbeiter!$A$6:$A$205,Erfassung!$D$6:$D$5005,Einstellungen!$C$4,Erfassung!$A$6:$A$5005,"&gt;="&amp;$A14,Erfassung!$A$6:$A$5005,"&lt;"&amp;DATE(YEAR($A14),MONTH($A14)+1,1))&gt;0))</f>
        <v/>
      </c>
      <c r="G14" s="54">
        <f>SUMIFS(Erfassung!$E$6:$E$5005,Erfassung!$A$6:$A$5005,"&gt;="&amp;$A14,Erfassung!$A$6:$A$5005,"&lt;"&amp;DATE(YEAR($A14),MONTH($A14)+1,1),Erfassung!$D$6:$D$5005,Einstellungen!$C$5)</f>
        <v/>
      </c>
      <c r="H14" s="54">
        <f>SUMIFS(Erfassung!$G$6:$G$5005,Erfassung!$A$6:$A$5005,"&gt;="&amp;$A14,Erfassung!$A$6:$A$5005,"&lt;"&amp;DATE(YEAR($A14),MONTH($A14)+1,1),Erfassung!$D$6:$D$5005,Einstellungen!$C$5)</f>
        <v/>
      </c>
      <c r="I14" s="38">
        <f>IF(G14+H14&gt;0,H14/(G14+H14),0)</f>
        <v/>
      </c>
      <c r="J14" s="34">
        <f>SUMIFS(Erfassung!$F$6:$F$5005,Erfassung!$A$6:$A$5005,"&gt;="&amp;$A14,Erfassung!$A$6:$A$5005,"&lt;"&amp;DATE(YEAR($A14),MONTH($A14)+1,1),Erfassung!$D$6:$D$5005,Einstellungen!$C$5)</f>
        <v/>
      </c>
      <c r="K14" s="34">
        <f>SUMPRODUCT((Mitarbeiter!$A$6:$A$205&lt;&gt;"")*(COUNTIFS(Erfassung!$B$6:$B$5005,Mitarbeiter!$A$6:$A$205,Erfassung!$D$6:$D$5005,Einstellungen!$C$5,Erfassung!$A$6:$A$5005,"&gt;="&amp;$A14,Erfassung!$A$6:$A$5005,"&lt;"&amp;DATE(YEAR($A14),MONTH($A14)+1,1))&gt;0))</f>
        <v/>
      </c>
      <c r="L14" s="54">
        <f>B14+G14</f>
        <v/>
      </c>
      <c r="M14" s="54">
        <f>C14+H14</f>
        <v/>
      </c>
      <c r="N14" s="38">
        <f>IF(L14+M14&gt;0,M14/(L14+M14),0)</f>
        <v/>
      </c>
      <c r="O14" s="34">
        <f>E14+J14</f>
        <v/>
      </c>
      <c r="P14" s="34">
        <f>SUMPRODUCT((Mitarbeiter!$A$6:$A$205&lt;&gt;"")*(COUNTIFS(Erfassung!$B$6:$B$5005,Mitarbeiter!$A$6:$A$205,Erfassung!$A$6:$A$5005,"&gt;="&amp;$A14,Erfassung!$A$6:$A$5005,"&lt;"&amp;DATE(YEAR($A14),MONTH($A14)+1,1))&gt;0))</f>
        <v/>
      </c>
    </row>
    <row r="15">
      <c r="A15" s="53">
        <f>DATE(Einstellungen!$C$3,10,1)</f>
        <v/>
      </c>
      <c r="B15" s="54">
        <f>SUMIFS(Erfassung!$E$6:$E$5005,Erfassung!$A$6:$A$5005,"&gt;="&amp;$A15,Erfassung!$A$6:$A$5005,"&lt;"&amp;DATE(YEAR($A15),MONTH($A15)+1,1),Erfassung!$D$6:$D$5005,Einstellungen!$C$4)</f>
        <v/>
      </c>
      <c r="C15" s="54">
        <f>SUMIFS(Erfassung!$G$6:$G$5005,Erfassung!$A$6:$A$5005,"&gt;="&amp;$A15,Erfassung!$A$6:$A$5005,"&lt;"&amp;DATE(YEAR($A15),MONTH($A15)+1,1),Erfassung!$D$6:$D$5005,Einstellungen!$C$4)</f>
        <v/>
      </c>
      <c r="D15" s="38">
        <f>IF(B15+C15&gt;0,C15/(B15+C15),0)</f>
        <v/>
      </c>
      <c r="E15" s="34">
        <f>SUMIFS(Erfassung!$F$6:$F$5005,Erfassung!$A$6:$A$5005,"&gt;="&amp;$A15,Erfassung!$A$6:$A$5005,"&lt;"&amp;DATE(YEAR($A15),MONTH($A15)+1,1),Erfassung!$D$6:$D$5005,Einstellungen!$C$4)</f>
        <v/>
      </c>
      <c r="F15" s="34">
        <f>SUMPRODUCT((Mitarbeiter!$A$6:$A$205&lt;&gt;"")*(COUNTIFS(Erfassung!$B$6:$B$5005,Mitarbeiter!$A$6:$A$205,Erfassung!$D$6:$D$5005,Einstellungen!$C$4,Erfassung!$A$6:$A$5005,"&gt;="&amp;$A15,Erfassung!$A$6:$A$5005,"&lt;"&amp;DATE(YEAR($A15),MONTH($A15)+1,1))&gt;0))</f>
        <v/>
      </c>
      <c r="G15" s="54">
        <f>SUMIFS(Erfassung!$E$6:$E$5005,Erfassung!$A$6:$A$5005,"&gt;="&amp;$A15,Erfassung!$A$6:$A$5005,"&lt;"&amp;DATE(YEAR($A15),MONTH($A15)+1,1),Erfassung!$D$6:$D$5005,Einstellungen!$C$5)</f>
        <v/>
      </c>
      <c r="H15" s="54">
        <f>SUMIFS(Erfassung!$G$6:$G$5005,Erfassung!$A$6:$A$5005,"&gt;="&amp;$A15,Erfassung!$A$6:$A$5005,"&lt;"&amp;DATE(YEAR($A15),MONTH($A15)+1,1),Erfassung!$D$6:$D$5005,Einstellungen!$C$5)</f>
        <v/>
      </c>
      <c r="I15" s="38">
        <f>IF(G15+H15&gt;0,H15/(G15+H15),0)</f>
        <v/>
      </c>
      <c r="J15" s="34">
        <f>SUMIFS(Erfassung!$F$6:$F$5005,Erfassung!$A$6:$A$5005,"&gt;="&amp;$A15,Erfassung!$A$6:$A$5005,"&lt;"&amp;DATE(YEAR($A15),MONTH($A15)+1,1),Erfassung!$D$6:$D$5005,Einstellungen!$C$5)</f>
        <v/>
      </c>
      <c r="K15" s="34">
        <f>SUMPRODUCT((Mitarbeiter!$A$6:$A$205&lt;&gt;"")*(COUNTIFS(Erfassung!$B$6:$B$5005,Mitarbeiter!$A$6:$A$205,Erfassung!$D$6:$D$5005,Einstellungen!$C$5,Erfassung!$A$6:$A$5005,"&gt;="&amp;$A15,Erfassung!$A$6:$A$5005,"&lt;"&amp;DATE(YEAR($A15),MONTH($A15)+1,1))&gt;0))</f>
        <v/>
      </c>
      <c r="L15" s="54">
        <f>B15+G15</f>
        <v/>
      </c>
      <c r="M15" s="54">
        <f>C15+H15</f>
        <v/>
      </c>
      <c r="N15" s="38">
        <f>IF(L15+M15&gt;0,M15/(L15+M15),0)</f>
        <v/>
      </c>
      <c r="O15" s="34">
        <f>E15+J15</f>
        <v/>
      </c>
      <c r="P15" s="34">
        <f>SUMPRODUCT((Mitarbeiter!$A$6:$A$205&lt;&gt;"")*(COUNTIFS(Erfassung!$B$6:$B$5005,Mitarbeiter!$A$6:$A$205,Erfassung!$A$6:$A$5005,"&gt;="&amp;$A15,Erfassung!$A$6:$A$5005,"&lt;"&amp;DATE(YEAR($A15),MONTH($A15)+1,1))&gt;0))</f>
        <v/>
      </c>
    </row>
    <row r="16">
      <c r="A16" s="53">
        <f>DATE(Einstellungen!$C$3,11,1)</f>
        <v/>
      </c>
      <c r="B16" s="54">
        <f>SUMIFS(Erfassung!$E$6:$E$5005,Erfassung!$A$6:$A$5005,"&gt;="&amp;$A16,Erfassung!$A$6:$A$5005,"&lt;"&amp;DATE(YEAR($A16),MONTH($A16)+1,1),Erfassung!$D$6:$D$5005,Einstellungen!$C$4)</f>
        <v/>
      </c>
      <c r="C16" s="54">
        <f>SUMIFS(Erfassung!$G$6:$G$5005,Erfassung!$A$6:$A$5005,"&gt;="&amp;$A16,Erfassung!$A$6:$A$5005,"&lt;"&amp;DATE(YEAR($A16),MONTH($A16)+1,1),Erfassung!$D$6:$D$5005,Einstellungen!$C$4)</f>
        <v/>
      </c>
      <c r="D16" s="38">
        <f>IF(B16+C16&gt;0,C16/(B16+C16),0)</f>
        <v/>
      </c>
      <c r="E16" s="34">
        <f>SUMIFS(Erfassung!$F$6:$F$5005,Erfassung!$A$6:$A$5005,"&gt;="&amp;$A16,Erfassung!$A$6:$A$5005,"&lt;"&amp;DATE(YEAR($A16),MONTH($A16)+1,1),Erfassung!$D$6:$D$5005,Einstellungen!$C$4)</f>
        <v/>
      </c>
      <c r="F16" s="34">
        <f>SUMPRODUCT((Mitarbeiter!$A$6:$A$205&lt;&gt;"")*(COUNTIFS(Erfassung!$B$6:$B$5005,Mitarbeiter!$A$6:$A$205,Erfassung!$D$6:$D$5005,Einstellungen!$C$4,Erfassung!$A$6:$A$5005,"&gt;="&amp;$A16,Erfassung!$A$6:$A$5005,"&lt;"&amp;DATE(YEAR($A16),MONTH($A16)+1,1))&gt;0))</f>
        <v/>
      </c>
      <c r="G16" s="54">
        <f>SUMIFS(Erfassung!$E$6:$E$5005,Erfassung!$A$6:$A$5005,"&gt;="&amp;$A16,Erfassung!$A$6:$A$5005,"&lt;"&amp;DATE(YEAR($A16),MONTH($A16)+1,1),Erfassung!$D$6:$D$5005,Einstellungen!$C$5)</f>
        <v/>
      </c>
      <c r="H16" s="54">
        <f>SUMIFS(Erfassung!$G$6:$G$5005,Erfassung!$A$6:$A$5005,"&gt;="&amp;$A16,Erfassung!$A$6:$A$5005,"&lt;"&amp;DATE(YEAR($A16),MONTH($A16)+1,1),Erfassung!$D$6:$D$5005,Einstellungen!$C$5)</f>
        <v/>
      </c>
      <c r="I16" s="38">
        <f>IF(G16+H16&gt;0,H16/(G16+H16),0)</f>
        <v/>
      </c>
      <c r="J16" s="34">
        <f>SUMIFS(Erfassung!$F$6:$F$5005,Erfassung!$A$6:$A$5005,"&gt;="&amp;$A16,Erfassung!$A$6:$A$5005,"&lt;"&amp;DATE(YEAR($A16),MONTH($A16)+1,1),Erfassung!$D$6:$D$5005,Einstellungen!$C$5)</f>
        <v/>
      </c>
      <c r="K16" s="34">
        <f>SUMPRODUCT((Mitarbeiter!$A$6:$A$205&lt;&gt;"")*(COUNTIFS(Erfassung!$B$6:$B$5005,Mitarbeiter!$A$6:$A$205,Erfassung!$D$6:$D$5005,Einstellungen!$C$5,Erfassung!$A$6:$A$5005,"&gt;="&amp;$A16,Erfassung!$A$6:$A$5005,"&lt;"&amp;DATE(YEAR($A16),MONTH($A16)+1,1))&gt;0))</f>
        <v/>
      </c>
      <c r="L16" s="54">
        <f>B16+G16</f>
        <v/>
      </c>
      <c r="M16" s="54">
        <f>C16+H16</f>
        <v/>
      </c>
      <c r="N16" s="38">
        <f>IF(L16+M16&gt;0,M16/(L16+M16),0)</f>
        <v/>
      </c>
      <c r="O16" s="34">
        <f>E16+J16</f>
        <v/>
      </c>
      <c r="P16" s="34">
        <f>SUMPRODUCT((Mitarbeiter!$A$6:$A$205&lt;&gt;"")*(COUNTIFS(Erfassung!$B$6:$B$5005,Mitarbeiter!$A$6:$A$205,Erfassung!$A$6:$A$5005,"&gt;="&amp;$A16,Erfassung!$A$6:$A$5005,"&lt;"&amp;DATE(YEAR($A16),MONTH($A16)+1,1))&gt;0))</f>
        <v/>
      </c>
    </row>
    <row r="17">
      <c r="A17" s="53">
        <f>DATE(Einstellungen!$C$3,12,1)</f>
        <v/>
      </c>
      <c r="B17" s="54">
        <f>SUMIFS(Erfassung!$E$6:$E$5005,Erfassung!$A$6:$A$5005,"&gt;="&amp;$A17,Erfassung!$A$6:$A$5005,"&lt;"&amp;DATE(YEAR($A17),MONTH($A17)+1,1),Erfassung!$D$6:$D$5005,Einstellungen!$C$4)</f>
        <v/>
      </c>
      <c r="C17" s="54">
        <f>SUMIFS(Erfassung!$G$6:$G$5005,Erfassung!$A$6:$A$5005,"&gt;="&amp;$A17,Erfassung!$A$6:$A$5005,"&lt;"&amp;DATE(YEAR($A17),MONTH($A17)+1,1),Erfassung!$D$6:$D$5005,Einstellungen!$C$4)</f>
        <v/>
      </c>
      <c r="D17" s="38">
        <f>IF(B17+C17&gt;0,C17/(B17+C17),0)</f>
        <v/>
      </c>
      <c r="E17" s="34">
        <f>SUMIFS(Erfassung!$F$6:$F$5005,Erfassung!$A$6:$A$5005,"&gt;="&amp;$A17,Erfassung!$A$6:$A$5005,"&lt;"&amp;DATE(YEAR($A17),MONTH($A17)+1,1),Erfassung!$D$6:$D$5005,Einstellungen!$C$4)</f>
        <v/>
      </c>
      <c r="F17" s="34">
        <f>SUMPRODUCT((Mitarbeiter!$A$6:$A$205&lt;&gt;"")*(COUNTIFS(Erfassung!$B$6:$B$5005,Mitarbeiter!$A$6:$A$205,Erfassung!$D$6:$D$5005,Einstellungen!$C$4,Erfassung!$A$6:$A$5005,"&gt;="&amp;$A17,Erfassung!$A$6:$A$5005,"&lt;"&amp;DATE(YEAR($A17),MONTH($A17)+1,1))&gt;0))</f>
        <v/>
      </c>
      <c r="G17" s="54">
        <f>SUMIFS(Erfassung!$E$6:$E$5005,Erfassung!$A$6:$A$5005,"&gt;="&amp;$A17,Erfassung!$A$6:$A$5005,"&lt;"&amp;DATE(YEAR($A17),MONTH($A17)+1,1),Erfassung!$D$6:$D$5005,Einstellungen!$C$5)</f>
        <v/>
      </c>
      <c r="H17" s="54">
        <f>SUMIFS(Erfassung!$G$6:$G$5005,Erfassung!$A$6:$A$5005,"&gt;="&amp;$A17,Erfassung!$A$6:$A$5005,"&lt;"&amp;DATE(YEAR($A17),MONTH($A17)+1,1),Erfassung!$D$6:$D$5005,Einstellungen!$C$5)</f>
        <v/>
      </c>
      <c r="I17" s="38">
        <f>IF(G17+H17&gt;0,H17/(G17+H17),0)</f>
        <v/>
      </c>
      <c r="J17" s="34">
        <f>SUMIFS(Erfassung!$F$6:$F$5005,Erfassung!$A$6:$A$5005,"&gt;="&amp;$A17,Erfassung!$A$6:$A$5005,"&lt;"&amp;DATE(YEAR($A17),MONTH($A17)+1,1),Erfassung!$D$6:$D$5005,Einstellungen!$C$5)</f>
        <v/>
      </c>
      <c r="K17" s="34">
        <f>SUMPRODUCT((Mitarbeiter!$A$6:$A$205&lt;&gt;"")*(COUNTIFS(Erfassung!$B$6:$B$5005,Mitarbeiter!$A$6:$A$205,Erfassung!$D$6:$D$5005,Einstellungen!$C$5,Erfassung!$A$6:$A$5005,"&gt;="&amp;$A17,Erfassung!$A$6:$A$5005,"&lt;"&amp;DATE(YEAR($A17),MONTH($A17)+1,1))&gt;0))</f>
        <v/>
      </c>
      <c r="L17" s="54">
        <f>B17+G17</f>
        <v/>
      </c>
      <c r="M17" s="54">
        <f>C17+H17</f>
        <v/>
      </c>
      <c r="N17" s="38">
        <f>IF(L17+M17&gt;0,M17/(L17+M17),0)</f>
        <v/>
      </c>
      <c r="O17" s="34">
        <f>E17+J17</f>
        <v/>
      </c>
      <c r="P17" s="34">
        <f>SUMPRODUCT((Mitarbeiter!$A$6:$A$205&lt;&gt;"")*(COUNTIFS(Erfassung!$B$6:$B$5005,Mitarbeiter!$A$6:$A$205,Erfassung!$A$6:$A$5005,"&gt;="&amp;$A17,Erfassung!$A$6:$A$5005,"&lt;"&amp;DATE(YEAR($A17),MONTH($A17)+1,1))&gt;0))</f>
        <v/>
      </c>
    </row>
    <row r="18">
      <c r="A18" s="20" t="inlineStr">
        <is>
          <t>Jahr</t>
        </is>
      </c>
      <c r="B18" s="35">
        <f>SUMIFS(Erfassung!$E$6:$E$5005,Erfassung!$A$6:$A$5005,"&gt;="&amp;DATE(Einstellungen!$C$3,1,1),Erfassung!$A$6:$A$5005,"&lt;"&amp;DATE(Einstellungen!$C$3+1,1,1),Erfassung!$D$6:$D$5005,Einstellungen!$C$4)</f>
        <v/>
      </c>
      <c r="C18" s="35">
        <f>SUMIFS(Erfassung!$G$6:$G$5005,Erfassung!$A$6:$A$5005,"&gt;="&amp;DATE(Einstellungen!$C$3,1,1),Erfassung!$A$6:$A$5005,"&lt;"&amp;DATE(Einstellungen!$C$3+1,1,1),Erfassung!$D$6:$D$5005,Einstellungen!$C$4)</f>
        <v/>
      </c>
      <c r="D18" s="55">
        <f>IF(B18+C18&gt;0,C18/(B18+C18),0)</f>
        <v/>
      </c>
      <c r="E18" s="23">
        <f>SUMIFS(Erfassung!$F$6:$F$5005,Erfassung!$A$6:$A$5005,"&gt;="&amp;DATE(Einstellungen!$C$3,1,1),Erfassung!$A$6:$A$5005,"&lt;"&amp;DATE(Einstellungen!$C$3+1,1,1),Erfassung!$D$6:$D$5005,Einstellungen!$C$4)</f>
        <v/>
      </c>
      <c r="F18" s="23">
        <f>SUMPRODUCT((Mitarbeiter!$A$6:$A$205&lt;&gt;"")*(COUNTIFS(Erfassung!$B$6:$B$5005,Mitarbeiter!$A$6:$A$205,Erfassung!$D$6:$D$5005,Einstellungen!$C$4,Erfassung!$A$6:$A$5005,"&gt;="&amp;DATE(Einstellungen!$C$3,1,1),Erfassung!$A$6:$A$5005,"&lt;"&amp;DATE(Einstellungen!$C$3+1,1,1))&gt;0))</f>
        <v/>
      </c>
      <c r="G18" s="35">
        <f>SUMIFS(Erfassung!$E$6:$E$5005,Erfassung!$A$6:$A$5005,"&gt;="&amp;DATE(Einstellungen!$C$3,1,1),Erfassung!$A$6:$A$5005,"&lt;"&amp;DATE(Einstellungen!$C$3+1,1,1),Erfassung!$D$6:$D$5005,Einstellungen!$C$5)</f>
        <v/>
      </c>
      <c r="H18" s="35">
        <f>SUMIFS(Erfassung!$G$6:$G$5005,Erfassung!$A$6:$A$5005,"&gt;="&amp;DATE(Einstellungen!$C$3,1,1),Erfassung!$A$6:$A$5005,"&lt;"&amp;DATE(Einstellungen!$C$3+1,1,1),Erfassung!$D$6:$D$5005,Einstellungen!$C$5)</f>
        <v/>
      </c>
      <c r="I18" s="55">
        <f>IF(G18+H18&gt;0,H18/(G18+H18),0)</f>
        <v/>
      </c>
      <c r="J18" s="23">
        <f>SUMIFS(Erfassung!$F$6:$F$5005,Erfassung!$A$6:$A$5005,"&gt;="&amp;DATE(Einstellungen!$C$3,1,1),Erfassung!$A$6:$A$5005,"&lt;"&amp;DATE(Einstellungen!$C$3+1,1,1),Erfassung!$D$6:$D$5005,Einstellungen!$C$5)</f>
        <v/>
      </c>
      <c r="K18" s="23">
        <f>SUMPRODUCT((Mitarbeiter!$A$6:$A$205&lt;&gt;"")*(COUNTIFS(Erfassung!$B$6:$B$5005,Mitarbeiter!$A$6:$A$205,Erfassung!$D$6:$D$5005,Einstellungen!$C$5,Erfassung!$A$6:$A$5005,"&gt;="&amp;DATE(Einstellungen!$C$3,1,1),Erfassung!$A$6:$A$5005,"&lt;"&amp;DATE(Einstellungen!$C$3+1,1,1))&gt;0))</f>
        <v/>
      </c>
      <c r="L18" s="35">
        <f>B18+G18</f>
        <v/>
      </c>
      <c r="M18" s="35">
        <f>C18+H18</f>
        <v/>
      </c>
      <c r="N18" s="55">
        <f>IF(L18+M18&gt;0,M18/(L18+M18),0)</f>
        <v/>
      </c>
      <c r="O18" s="23">
        <f>E18+J18</f>
        <v/>
      </c>
      <c r="P18" s="23">
        <f>SUMPRODUCT((Mitarbeiter!$A$6:$A$205&lt;&gt;"")*(COUNTIFS(Erfassung!$B$6:$B$5005,Mitarbeiter!$A$6:$A$205,Erfassung!$A$6:$A$5005,"&gt;="&amp;DATE(Einstellungen!$C$3,1,1),Erfassung!$A$6:$A$5005,"&lt;"&amp;DATE(Einstellungen!$C$3+1,1,1))&gt;0))</f>
        <v/>
      </c>
    </row>
    <row r="20">
      <c r="A20" s="16" t="inlineStr">
        <is>
          <t>Monate ohne Daten zeigen „-“. Farben: gelb = über Ampel-Schwelle 1, rot = über Schwelle 2 (siehe Einstellungen).</t>
        </is>
      </c>
    </row>
  </sheetData>
  <mergeCells count="4">
    <mergeCell ref="B4:F4"/>
    <mergeCell ref="L4:P4"/>
    <mergeCell ref="G4:K4"/>
    <mergeCell ref="A2:P2"/>
  </mergeCells>
  <conditionalFormatting sqref="D6:D17">
    <cfRule type="cellIs" priority="1" operator="greaterThan" dxfId="2">
      <formula>Einstellungen!$C$8</formula>
    </cfRule>
    <cfRule type="cellIs" priority="2" operator="between" dxfId="4">
      <formula>Einstellungen!$C$7+0.000001</formula>
      <formula>Einstellungen!$C$8</formula>
    </cfRule>
  </conditionalFormatting>
  <conditionalFormatting sqref="I6:I17">
    <cfRule type="cellIs" priority="3" operator="greaterThan" dxfId="2">
      <formula>Einstellungen!$C$8</formula>
    </cfRule>
    <cfRule type="cellIs" priority="4" operator="between" dxfId="4">
      <formula>Einstellungen!$C$7+0.000001</formula>
      <formula>Einstellungen!$C$8</formula>
    </cfRule>
  </conditionalFormatting>
  <conditionalFormatting sqref="N6:N17">
    <cfRule type="cellIs" priority="5" operator="greaterThan" dxfId="2">
      <formula>Einstellungen!$C$8</formula>
    </cfRule>
    <cfRule type="cellIs" priority="6" operator="between" dxfId="4">
      <formula>Einstellungen!$C$7+0.000001</formula>
      <formula>Einstellungen!$C$8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13" customWidth="1" min="3" max="3"/>
    <col width="10" customWidth="1" min="4" max="4"/>
    <col width="11" customWidth="1" min="5" max="5"/>
    <col width="9" customWidth="1" min="6" max="6"/>
    <col width="10" customWidth="1" min="7" max="7"/>
    <col width="10" customWidth="1" min="8" max="8"/>
    <col width="7" customWidth="1" min="9" max="9"/>
    <col width="9" customWidth="1" min="10" max="10"/>
    <col width="6" customWidth="1" min="11" max="11"/>
    <col width="12" customWidth="1" min="12" max="12"/>
    <col width="9" customWidth="1" min="13" max="13"/>
    <col width="3" customWidth="1" min="14" max="14"/>
    <col width="26" customWidth="1" min="15" max="15"/>
    <col width="20" customWidth="1" min="16" max="16"/>
    <col width="10" customWidth="1" min="17" max="17"/>
    <col width="10" customWidth="1" min="18" max="18"/>
  </cols>
  <sheetData>
    <row r="1">
      <c r="A1" s="1" t="inlineStr">
        <is>
          <t>Krankenquote nach Mitarbeitern – Auswertungsjahr</t>
        </is>
      </c>
      <c r="N1" s="12" t="inlineStr">
        <is>
          <t>→ Erklärung</t>
        </is>
      </c>
    </row>
    <row r="2" ht="28" customHeight="1">
      <c r="A2" s="13" t="inlineStr">
        <is>
          <t>Automatisch aus Stammdaten und Erfassung, über ALLE Objekte. MA ohne Stunden im Jahr erhalten keine Quote/Rang.</t>
        </is>
      </c>
    </row>
    <row r="4">
      <c r="O4" s="2" t="inlineStr">
        <is>
          <t>Kennzahlen</t>
        </is>
      </c>
      <c r="P4" s="2" t="n"/>
    </row>
    <row r="5" ht="30" customHeight="1">
      <c r="A5" s="20" t="inlineStr">
        <is>
          <t>Pers.-Nr.</t>
        </is>
      </c>
      <c r="B5" s="20" t="inlineStr">
        <is>
          <t>Name</t>
        </is>
      </c>
      <c r="C5" s="20" t="inlineStr">
        <is>
          <t>Status</t>
        </is>
      </c>
      <c r="D5" s="20" t="inlineStr">
        <is>
          <t>Geleistete
Std.</t>
        </is>
      </c>
      <c r="E5" s="20">
        <f>"Einsatzanteil "&amp;Einstellungen!$C$4</f>
        <v/>
      </c>
      <c r="F5" s="20" t="inlineStr">
        <is>
          <t>Krank-
stunden</t>
        </is>
      </c>
      <c r="G5" s="20">
        <f>"Krankstd. "&amp;Einstellungen!$C$4</f>
        <v/>
      </c>
      <c r="H5" s="20">
        <f>"Krankstd. "&amp;Einstellungen!$C$5</f>
        <v/>
      </c>
      <c r="I5" s="20" t="inlineStr">
        <is>
          <t>Krank-
tage</t>
        </is>
      </c>
      <c r="J5" s="20" t="inlineStr">
        <is>
          <t>Kranken-
quote</t>
        </is>
      </c>
      <c r="K5" s="20" t="inlineStr">
        <is>
          <t>Rang</t>
        </is>
      </c>
      <c r="L5" s="20" t="inlineStr">
        <is>
          <t>Bewertung</t>
        </is>
      </c>
      <c r="M5" s="20" t="inlineStr">
        <is>
          <t>Sortier-
hilfe</t>
        </is>
      </c>
      <c r="O5" s="6" t="inlineStr">
        <is>
          <t>MA mit Stunden im Jahr</t>
        </is>
      </c>
      <c r="P5" s="32">
        <f>COUNT($J$6:$J$205)</f>
        <v/>
      </c>
    </row>
    <row r="6">
      <c r="A6" s="56">
        <f>IF(Mitarbeiter!B6="","",Mitarbeiter!A6)</f>
        <v/>
      </c>
      <c r="B6" s="57">
        <f>IF(Mitarbeiter!B6="","",Mitarbeiter!B6)</f>
        <v/>
      </c>
      <c r="C6" s="7">
        <f>IF(Mitarbeiter!B6="","",Mitarbeiter!G6)</f>
        <v/>
      </c>
      <c r="D6" s="54">
        <f>IF(B6="","",SUMIFS(Erfassung!$E$6:$E$5005,Erfassung!$B$6:$B$5005,A6,Erfassung!$A$6:$A$5005,"&gt;="&amp;DATE(Einstellungen!$C$3,1,1),Erfassung!$A$6:$A$5005,"&lt;"&amp;DATE(Einstellungen!$C$3+1,1,1)))</f>
        <v/>
      </c>
      <c r="E6" s="58">
        <f>IF(B6="","",IF(D6&gt;0,SUMIFS(Erfassung!$E$6:$E$5005,Erfassung!$B$6:$B$5005,A6,Erfassung!$D$6:$D$5005,Einstellungen!$C$4,Erfassung!$A$6:$A$5005,"&gt;="&amp;DATE(Einstellungen!$C$3,1,1),Erfassung!$A$6:$A$5005,"&lt;"&amp;DATE(Einstellungen!$C$3+1,1,1))/D6,""))</f>
        <v/>
      </c>
      <c r="F6" s="54">
        <f>IF(B6="","",SUMIFS(Erfassung!$G$6:$G$5005,Erfassung!$B$6:$B$5005,A6,Erfassung!$A$6:$A$5005,"&gt;="&amp;DATE(Einstellungen!$C$3,1,1),Erfassung!$A$6:$A$5005,"&lt;"&amp;DATE(Einstellungen!$C$3+1,1,1)))</f>
        <v/>
      </c>
      <c r="G6" s="54">
        <f>IF(B6="","",SUMIFS(Erfassung!$G$6:$G$5005,Erfassung!$B$6:$B$5005,A6,Erfassung!$D$6:$D$5005,Einstellungen!$C$4,Erfassung!$A$6:$A$5005,"&gt;="&amp;DATE(Einstellungen!$C$3,1,1),Erfassung!$A$6:$A$5005,"&lt;"&amp;DATE(Einstellungen!$C$3+1,1,1)))</f>
        <v/>
      </c>
      <c r="H6" s="54">
        <f>IF(B6="","",SUMIFS(Erfassung!$G$6:$G$5005,Erfassung!$B$6:$B$5005,A6,Erfassung!$D$6:$D$5005,Einstellungen!$C$5,Erfassung!$A$6:$A$5005,"&gt;="&amp;DATE(Einstellungen!$C$3,1,1),Erfassung!$A$6:$A$5005,"&lt;"&amp;DATE(Einstellungen!$C$3+1,1,1)))</f>
        <v/>
      </c>
      <c r="I6" s="34">
        <f>IF(B6="","",SUMIFS(Erfassung!$F$6:$F$5005,Erfassung!$B$6:$B$5005,A6,Erfassung!$A$6:$A$5005,"&gt;="&amp;DATE(Einstellungen!$C$3,1,1),Erfassung!$A$6:$A$5005,"&lt;"&amp;DATE(Einstellungen!$C$3+1,1,1)))</f>
        <v/>
      </c>
      <c r="J6" s="38">
        <f>IF(B6="","",IF(D6+F6&gt;0,F6/(D6+F6),""))</f>
        <v/>
      </c>
      <c r="K6" s="59">
        <f>IF(J6="","",RANK(J6,$J$6:$J$205,0))</f>
        <v/>
      </c>
      <c r="L6" s="29">
        <f>IF(J6="","",IF(J6&lt;=Einstellungen!$C$7,"unauffällig",IF(J6&lt;=Einstellungen!$C$8,"auffällig","kritisch")))</f>
        <v/>
      </c>
      <c r="M6" s="60">
        <f>IF(J6="",-1,J6+ROW()/1000000000)</f>
        <v/>
      </c>
      <c r="O6" s="6" t="inlineStr">
        <is>
          <t>Ø Krankenquote (gewichtet)</t>
        </is>
      </c>
      <c r="P6" s="38">
        <f>IF(SUM(D6:D205)+SUM(F6:F205)&gt;0,SUM(F6:F205)/(SUM(D6:D205)+SUM(F6:F205)),0)</f>
        <v/>
      </c>
    </row>
    <row r="7">
      <c r="A7" s="56">
        <f>IF(Mitarbeiter!B7="","",Mitarbeiter!A7)</f>
        <v/>
      </c>
      <c r="B7" s="57">
        <f>IF(Mitarbeiter!B7="","",Mitarbeiter!B7)</f>
        <v/>
      </c>
      <c r="C7" s="7">
        <f>IF(Mitarbeiter!B7="","",Mitarbeiter!G7)</f>
        <v/>
      </c>
      <c r="D7" s="54">
        <f>IF(B7="","",SUMIFS(Erfassung!$E$6:$E$5005,Erfassung!$B$6:$B$5005,A7,Erfassung!$A$6:$A$5005,"&gt;="&amp;DATE(Einstellungen!$C$3,1,1),Erfassung!$A$6:$A$5005,"&lt;"&amp;DATE(Einstellungen!$C$3+1,1,1)))</f>
        <v/>
      </c>
      <c r="E7" s="58">
        <f>IF(B7="","",IF(D7&gt;0,SUMIFS(Erfassung!$E$6:$E$5005,Erfassung!$B$6:$B$5005,A7,Erfassung!$D$6:$D$5005,Einstellungen!$C$4,Erfassung!$A$6:$A$5005,"&gt;="&amp;DATE(Einstellungen!$C$3,1,1),Erfassung!$A$6:$A$5005,"&lt;"&amp;DATE(Einstellungen!$C$3+1,1,1))/D7,""))</f>
        <v/>
      </c>
      <c r="F7" s="54">
        <f>IF(B7="","",SUMIFS(Erfassung!$G$6:$G$5005,Erfassung!$B$6:$B$5005,A7,Erfassung!$A$6:$A$5005,"&gt;="&amp;DATE(Einstellungen!$C$3,1,1),Erfassung!$A$6:$A$5005,"&lt;"&amp;DATE(Einstellungen!$C$3+1,1,1)))</f>
        <v/>
      </c>
      <c r="G7" s="54">
        <f>IF(B7="","",SUMIFS(Erfassung!$G$6:$G$5005,Erfassung!$B$6:$B$5005,A7,Erfassung!$D$6:$D$5005,Einstellungen!$C$4,Erfassung!$A$6:$A$5005,"&gt;="&amp;DATE(Einstellungen!$C$3,1,1),Erfassung!$A$6:$A$5005,"&lt;"&amp;DATE(Einstellungen!$C$3+1,1,1)))</f>
        <v/>
      </c>
      <c r="H7" s="54">
        <f>IF(B7="","",SUMIFS(Erfassung!$G$6:$G$5005,Erfassung!$B$6:$B$5005,A7,Erfassung!$D$6:$D$5005,Einstellungen!$C$5,Erfassung!$A$6:$A$5005,"&gt;="&amp;DATE(Einstellungen!$C$3,1,1),Erfassung!$A$6:$A$5005,"&lt;"&amp;DATE(Einstellungen!$C$3+1,1,1)))</f>
        <v/>
      </c>
      <c r="I7" s="34">
        <f>IF(B7="","",SUMIFS(Erfassung!$F$6:$F$5005,Erfassung!$B$6:$B$5005,A7,Erfassung!$A$6:$A$5005,"&gt;="&amp;DATE(Einstellungen!$C$3,1,1),Erfassung!$A$6:$A$5005,"&lt;"&amp;DATE(Einstellungen!$C$3+1,1,1)))</f>
        <v/>
      </c>
      <c r="J7" s="38">
        <f>IF(B7="","",IF(D7+F7&gt;0,F7/(D7+F7),""))</f>
        <v/>
      </c>
      <c r="K7" s="59">
        <f>IF(J7="","",RANK(J7,$J$6:$J$205,0))</f>
        <v/>
      </c>
      <c r="L7" s="29">
        <f>IF(J7="","",IF(J7&lt;=Einstellungen!$C$7,"unauffällig",IF(J7&lt;=Einstellungen!$C$8,"auffällig","kritisch")))</f>
        <v/>
      </c>
      <c r="M7" s="60">
        <f>IF(J7="",-1,J7+ROW()/1000000000)</f>
        <v/>
      </c>
      <c r="O7" s="6" t="inlineStr">
        <is>
          <t>Ø Krankenquote (je MA)</t>
        </is>
      </c>
      <c r="P7" s="38">
        <f>IFERROR(AVERAGE($J$6:$J$205),0)</f>
        <v/>
      </c>
    </row>
    <row r="8">
      <c r="A8" s="56">
        <f>IF(Mitarbeiter!B8="","",Mitarbeiter!A8)</f>
        <v/>
      </c>
      <c r="B8" s="57">
        <f>IF(Mitarbeiter!B8="","",Mitarbeiter!B8)</f>
        <v/>
      </c>
      <c r="C8" s="7">
        <f>IF(Mitarbeiter!B8="","",Mitarbeiter!G8)</f>
        <v/>
      </c>
      <c r="D8" s="54">
        <f>IF(B8="","",SUMIFS(Erfassung!$E$6:$E$5005,Erfassung!$B$6:$B$5005,A8,Erfassung!$A$6:$A$5005,"&gt;="&amp;DATE(Einstellungen!$C$3,1,1),Erfassung!$A$6:$A$5005,"&lt;"&amp;DATE(Einstellungen!$C$3+1,1,1)))</f>
        <v/>
      </c>
      <c r="E8" s="58">
        <f>IF(B8="","",IF(D8&gt;0,SUMIFS(Erfassung!$E$6:$E$5005,Erfassung!$B$6:$B$5005,A8,Erfassung!$D$6:$D$5005,Einstellungen!$C$4,Erfassung!$A$6:$A$5005,"&gt;="&amp;DATE(Einstellungen!$C$3,1,1),Erfassung!$A$6:$A$5005,"&lt;"&amp;DATE(Einstellungen!$C$3+1,1,1))/D8,""))</f>
        <v/>
      </c>
      <c r="F8" s="54">
        <f>IF(B8="","",SUMIFS(Erfassung!$G$6:$G$5005,Erfassung!$B$6:$B$5005,A8,Erfassung!$A$6:$A$5005,"&gt;="&amp;DATE(Einstellungen!$C$3,1,1),Erfassung!$A$6:$A$5005,"&lt;"&amp;DATE(Einstellungen!$C$3+1,1,1)))</f>
        <v/>
      </c>
      <c r="G8" s="54">
        <f>IF(B8="","",SUMIFS(Erfassung!$G$6:$G$5005,Erfassung!$B$6:$B$5005,A8,Erfassung!$D$6:$D$5005,Einstellungen!$C$4,Erfassung!$A$6:$A$5005,"&gt;="&amp;DATE(Einstellungen!$C$3,1,1),Erfassung!$A$6:$A$5005,"&lt;"&amp;DATE(Einstellungen!$C$3+1,1,1)))</f>
        <v/>
      </c>
      <c r="H8" s="54">
        <f>IF(B8="","",SUMIFS(Erfassung!$G$6:$G$5005,Erfassung!$B$6:$B$5005,A8,Erfassung!$D$6:$D$5005,Einstellungen!$C$5,Erfassung!$A$6:$A$5005,"&gt;="&amp;DATE(Einstellungen!$C$3,1,1),Erfassung!$A$6:$A$5005,"&lt;"&amp;DATE(Einstellungen!$C$3+1,1,1)))</f>
        <v/>
      </c>
      <c r="I8" s="34">
        <f>IF(B8="","",SUMIFS(Erfassung!$F$6:$F$5005,Erfassung!$B$6:$B$5005,A8,Erfassung!$A$6:$A$5005,"&gt;="&amp;DATE(Einstellungen!$C$3,1,1),Erfassung!$A$6:$A$5005,"&lt;"&amp;DATE(Einstellungen!$C$3+1,1,1)))</f>
        <v/>
      </c>
      <c r="J8" s="38">
        <f>IF(B8="","",IF(D8+F8&gt;0,F8/(D8+F8),""))</f>
        <v/>
      </c>
      <c r="K8" s="59">
        <f>IF(J8="","",RANK(J8,$J$6:$J$205,0))</f>
        <v/>
      </c>
      <c r="L8" s="29">
        <f>IF(J8="","",IF(J8&lt;=Einstellungen!$C$7,"unauffällig",IF(J8&lt;=Einstellungen!$C$8,"auffällig","kritisch")))</f>
        <v/>
      </c>
      <c r="M8" s="60">
        <f>IF(J8="",-1,J8+ROW()/1000000000)</f>
        <v/>
      </c>
      <c r="O8" s="6" t="inlineStr">
        <is>
          <t>Median</t>
        </is>
      </c>
      <c r="P8" s="38">
        <f>IFERROR(MEDIAN($J$6:$J$205),0)</f>
        <v/>
      </c>
    </row>
    <row r="9">
      <c r="A9" s="56">
        <f>IF(Mitarbeiter!B9="","",Mitarbeiter!A9)</f>
        <v/>
      </c>
      <c r="B9" s="57">
        <f>IF(Mitarbeiter!B9="","",Mitarbeiter!B9)</f>
        <v/>
      </c>
      <c r="C9" s="7">
        <f>IF(Mitarbeiter!B9="","",Mitarbeiter!G9)</f>
        <v/>
      </c>
      <c r="D9" s="54">
        <f>IF(B9="","",SUMIFS(Erfassung!$E$6:$E$5005,Erfassung!$B$6:$B$5005,A9,Erfassung!$A$6:$A$5005,"&gt;="&amp;DATE(Einstellungen!$C$3,1,1),Erfassung!$A$6:$A$5005,"&lt;"&amp;DATE(Einstellungen!$C$3+1,1,1)))</f>
        <v/>
      </c>
      <c r="E9" s="58">
        <f>IF(B9="","",IF(D9&gt;0,SUMIFS(Erfassung!$E$6:$E$5005,Erfassung!$B$6:$B$5005,A9,Erfassung!$D$6:$D$5005,Einstellungen!$C$4,Erfassung!$A$6:$A$5005,"&gt;="&amp;DATE(Einstellungen!$C$3,1,1),Erfassung!$A$6:$A$5005,"&lt;"&amp;DATE(Einstellungen!$C$3+1,1,1))/D9,""))</f>
        <v/>
      </c>
      <c r="F9" s="54">
        <f>IF(B9="","",SUMIFS(Erfassung!$G$6:$G$5005,Erfassung!$B$6:$B$5005,A9,Erfassung!$A$6:$A$5005,"&gt;="&amp;DATE(Einstellungen!$C$3,1,1),Erfassung!$A$6:$A$5005,"&lt;"&amp;DATE(Einstellungen!$C$3+1,1,1)))</f>
        <v/>
      </c>
      <c r="G9" s="54">
        <f>IF(B9="","",SUMIFS(Erfassung!$G$6:$G$5005,Erfassung!$B$6:$B$5005,A9,Erfassung!$D$6:$D$5005,Einstellungen!$C$4,Erfassung!$A$6:$A$5005,"&gt;="&amp;DATE(Einstellungen!$C$3,1,1),Erfassung!$A$6:$A$5005,"&lt;"&amp;DATE(Einstellungen!$C$3+1,1,1)))</f>
        <v/>
      </c>
      <c r="H9" s="54">
        <f>IF(B9="","",SUMIFS(Erfassung!$G$6:$G$5005,Erfassung!$B$6:$B$5005,A9,Erfassung!$D$6:$D$5005,Einstellungen!$C$5,Erfassung!$A$6:$A$5005,"&gt;="&amp;DATE(Einstellungen!$C$3,1,1),Erfassung!$A$6:$A$5005,"&lt;"&amp;DATE(Einstellungen!$C$3+1,1,1)))</f>
        <v/>
      </c>
      <c r="I9" s="34">
        <f>IF(B9="","",SUMIFS(Erfassung!$F$6:$F$5005,Erfassung!$B$6:$B$5005,A9,Erfassung!$A$6:$A$5005,"&gt;="&amp;DATE(Einstellungen!$C$3,1,1),Erfassung!$A$6:$A$5005,"&lt;"&amp;DATE(Einstellungen!$C$3+1,1,1)))</f>
        <v/>
      </c>
      <c r="J9" s="38">
        <f>IF(B9="","",IF(D9+F9&gt;0,F9/(D9+F9),""))</f>
        <v/>
      </c>
      <c r="K9" s="59">
        <f>IF(J9="","",RANK(J9,$J$6:$J$205,0))</f>
        <v/>
      </c>
      <c r="L9" s="29">
        <f>IF(J9="","",IF(J9&lt;=Einstellungen!$C$7,"unauffällig",IF(J9&lt;=Einstellungen!$C$8,"auffällig","kritisch")))</f>
        <v/>
      </c>
      <c r="M9" s="60">
        <f>IF(J9="",-1,J9+ROW()/1000000000)</f>
        <v/>
      </c>
      <c r="O9" s="6" t="inlineStr">
        <is>
          <t>Höchste Quote</t>
        </is>
      </c>
      <c r="P9" s="38">
        <f>IFERROR(MAX($J$6:$J$205),0)</f>
        <v/>
      </c>
    </row>
    <row r="10">
      <c r="A10" s="56">
        <f>IF(Mitarbeiter!B10="","",Mitarbeiter!A10)</f>
        <v/>
      </c>
      <c r="B10" s="57">
        <f>IF(Mitarbeiter!B10="","",Mitarbeiter!B10)</f>
        <v/>
      </c>
      <c r="C10" s="7">
        <f>IF(Mitarbeiter!B10="","",Mitarbeiter!G10)</f>
        <v/>
      </c>
      <c r="D10" s="54">
        <f>IF(B10="","",SUMIFS(Erfassung!$E$6:$E$5005,Erfassung!$B$6:$B$5005,A10,Erfassung!$A$6:$A$5005,"&gt;="&amp;DATE(Einstellungen!$C$3,1,1),Erfassung!$A$6:$A$5005,"&lt;"&amp;DATE(Einstellungen!$C$3+1,1,1)))</f>
        <v/>
      </c>
      <c r="E10" s="58">
        <f>IF(B10="","",IF(D10&gt;0,SUMIFS(Erfassung!$E$6:$E$5005,Erfassung!$B$6:$B$5005,A10,Erfassung!$D$6:$D$5005,Einstellungen!$C$4,Erfassung!$A$6:$A$5005,"&gt;="&amp;DATE(Einstellungen!$C$3,1,1),Erfassung!$A$6:$A$5005,"&lt;"&amp;DATE(Einstellungen!$C$3+1,1,1))/D10,""))</f>
        <v/>
      </c>
      <c r="F10" s="54">
        <f>IF(B10="","",SUMIFS(Erfassung!$G$6:$G$5005,Erfassung!$B$6:$B$5005,A10,Erfassung!$A$6:$A$5005,"&gt;="&amp;DATE(Einstellungen!$C$3,1,1),Erfassung!$A$6:$A$5005,"&lt;"&amp;DATE(Einstellungen!$C$3+1,1,1)))</f>
        <v/>
      </c>
      <c r="G10" s="54">
        <f>IF(B10="","",SUMIFS(Erfassung!$G$6:$G$5005,Erfassung!$B$6:$B$5005,A10,Erfassung!$D$6:$D$5005,Einstellungen!$C$4,Erfassung!$A$6:$A$5005,"&gt;="&amp;DATE(Einstellungen!$C$3,1,1),Erfassung!$A$6:$A$5005,"&lt;"&amp;DATE(Einstellungen!$C$3+1,1,1)))</f>
        <v/>
      </c>
      <c r="H10" s="54">
        <f>IF(B10="","",SUMIFS(Erfassung!$G$6:$G$5005,Erfassung!$B$6:$B$5005,A10,Erfassung!$D$6:$D$5005,Einstellungen!$C$5,Erfassung!$A$6:$A$5005,"&gt;="&amp;DATE(Einstellungen!$C$3,1,1),Erfassung!$A$6:$A$5005,"&lt;"&amp;DATE(Einstellungen!$C$3+1,1,1)))</f>
        <v/>
      </c>
      <c r="I10" s="34">
        <f>IF(B10="","",SUMIFS(Erfassung!$F$6:$F$5005,Erfassung!$B$6:$B$5005,A10,Erfassung!$A$6:$A$5005,"&gt;="&amp;DATE(Einstellungen!$C$3,1,1),Erfassung!$A$6:$A$5005,"&lt;"&amp;DATE(Einstellungen!$C$3+1,1,1)))</f>
        <v/>
      </c>
      <c r="J10" s="38">
        <f>IF(B10="","",IF(D10+F10&gt;0,F10/(D10+F10),""))</f>
        <v/>
      </c>
      <c r="K10" s="59">
        <f>IF(J10="","",RANK(J10,$J$6:$J$205,0))</f>
        <v/>
      </c>
      <c r="L10" s="29">
        <f>IF(J10="","",IF(J10&lt;=Einstellungen!$C$7,"unauffällig",IF(J10&lt;=Einstellungen!$C$8,"auffällig","kritisch")))</f>
        <v/>
      </c>
      <c r="M10" s="60">
        <f>IF(J10="",-1,J10+ROW()/1000000000)</f>
        <v/>
      </c>
      <c r="O10" s="6" t="inlineStr">
        <is>
          <t>MA ohne Krankheitstag</t>
        </is>
      </c>
      <c r="P10" s="32">
        <f>COUNTIFS($J$6:$J$205,0)</f>
        <v/>
      </c>
    </row>
    <row r="11">
      <c r="A11" s="56">
        <f>IF(Mitarbeiter!B11="","",Mitarbeiter!A11)</f>
        <v/>
      </c>
      <c r="B11" s="57">
        <f>IF(Mitarbeiter!B11="","",Mitarbeiter!B11)</f>
        <v/>
      </c>
      <c r="C11" s="7">
        <f>IF(Mitarbeiter!B11="","",Mitarbeiter!G11)</f>
        <v/>
      </c>
      <c r="D11" s="54">
        <f>IF(B11="","",SUMIFS(Erfassung!$E$6:$E$5005,Erfassung!$B$6:$B$5005,A11,Erfassung!$A$6:$A$5005,"&gt;="&amp;DATE(Einstellungen!$C$3,1,1),Erfassung!$A$6:$A$5005,"&lt;"&amp;DATE(Einstellungen!$C$3+1,1,1)))</f>
        <v/>
      </c>
      <c r="E11" s="58">
        <f>IF(B11="","",IF(D11&gt;0,SUMIFS(Erfassung!$E$6:$E$5005,Erfassung!$B$6:$B$5005,A11,Erfassung!$D$6:$D$5005,Einstellungen!$C$4,Erfassung!$A$6:$A$5005,"&gt;="&amp;DATE(Einstellungen!$C$3,1,1),Erfassung!$A$6:$A$5005,"&lt;"&amp;DATE(Einstellungen!$C$3+1,1,1))/D11,""))</f>
        <v/>
      </c>
      <c r="F11" s="54">
        <f>IF(B11="","",SUMIFS(Erfassung!$G$6:$G$5005,Erfassung!$B$6:$B$5005,A11,Erfassung!$A$6:$A$5005,"&gt;="&amp;DATE(Einstellungen!$C$3,1,1),Erfassung!$A$6:$A$5005,"&lt;"&amp;DATE(Einstellungen!$C$3+1,1,1)))</f>
        <v/>
      </c>
      <c r="G11" s="54">
        <f>IF(B11="","",SUMIFS(Erfassung!$G$6:$G$5005,Erfassung!$B$6:$B$5005,A11,Erfassung!$D$6:$D$5005,Einstellungen!$C$4,Erfassung!$A$6:$A$5005,"&gt;="&amp;DATE(Einstellungen!$C$3,1,1),Erfassung!$A$6:$A$5005,"&lt;"&amp;DATE(Einstellungen!$C$3+1,1,1)))</f>
        <v/>
      </c>
      <c r="H11" s="54">
        <f>IF(B11="","",SUMIFS(Erfassung!$G$6:$G$5005,Erfassung!$B$6:$B$5005,A11,Erfassung!$D$6:$D$5005,Einstellungen!$C$5,Erfassung!$A$6:$A$5005,"&gt;="&amp;DATE(Einstellungen!$C$3,1,1),Erfassung!$A$6:$A$5005,"&lt;"&amp;DATE(Einstellungen!$C$3+1,1,1)))</f>
        <v/>
      </c>
      <c r="I11" s="34">
        <f>IF(B11="","",SUMIFS(Erfassung!$F$6:$F$5005,Erfassung!$B$6:$B$5005,A11,Erfassung!$A$6:$A$5005,"&gt;="&amp;DATE(Einstellungen!$C$3,1,1),Erfassung!$A$6:$A$5005,"&lt;"&amp;DATE(Einstellungen!$C$3+1,1,1)))</f>
        <v/>
      </c>
      <c r="J11" s="38">
        <f>IF(B11="","",IF(D11+F11&gt;0,F11/(D11+F11),""))</f>
        <v/>
      </c>
      <c r="K11" s="59">
        <f>IF(J11="","",RANK(J11,$J$6:$J$205,0))</f>
        <v/>
      </c>
      <c r="L11" s="29">
        <f>IF(J11="","",IF(J11&lt;=Einstellungen!$C$7,"unauffällig",IF(J11&lt;=Einstellungen!$C$8,"auffällig","kritisch")))</f>
        <v/>
      </c>
      <c r="M11" s="60">
        <f>IF(J11="",-1,J11+ROW()/1000000000)</f>
        <v/>
      </c>
      <c r="O11" s="6" t="inlineStr">
        <is>
          <t>MA unauffällig</t>
        </is>
      </c>
      <c r="P11" s="32">
        <f>COUNTIF($L$6:$L$205,"unauffällig")</f>
        <v/>
      </c>
    </row>
    <row r="12">
      <c r="A12" s="56">
        <f>IF(Mitarbeiter!B12="","",Mitarbeiter!A12)</f>
        <v/>
      </c>
      <c r="B12" s="57">
        <f>IF(Mitarbeiter!B12="","",Mitarbeiter!B12)</f>
        <v/>
      </c>
      <c r="C12" s="7">
        <f>IF(Mitarbeiter!B12="","",Mitarbeiter!G12)</f>
        <v/>
      </c>
      <c r="D12" s="54">
        <f>IF(B12="","",SUMIFS(Erfassung!$E$6:$E$5005,Erfassung!$B$6:$B$5005,A12,Erfassung!$A$6:$A$5005,"&gt;="&amp;DATE(Einstellungen!$C$3,1,1),Erfassung!$A$6:$A$5005,"&lt;"&amp;DATE(Einstellungen!$C$3+1,1,1)))</f>
        <v/>
      </c>
      <c r="E12" s="58">
        <f>IF(B12="","",IF(D12&gt;0,SUMIFS(Erfassung!$E$6:$E$5005,Erfassung!$B$6:$B$5005,A12,Erfassung!$D$6:$D$5005,Einstellungen!$C$4,Erfassung!$A$6:$A$5005,"&gt;="&amp;DATE(Einstellungen!$C$3,1,1),Erfassung!$A$6:$A$5005,"&lt;"&amp;DATE(Einstellungen!$C$3+1,1,1))/D12,""))</f>
        <v/>
      </c>
      <c r="F12" s="54">
        <f>IF(B12="","",SUMIFS(Erfassung!$G$6:$G$5005,Erfassung!$B$6:$B$5005,A12,Erfassung!$A$6:$A$5005,"&gt;="&amp;DATE(Einstellungen!$C$3,1,1),Erfassung!$A$6:$A$5005,"&lt;"&amp;DATE(Einstellungen!$C$3+1,1,1)))</f>
        <v/>
      </c>
      <c r="G12" s="54">
        <f>IF(B12="","",SUMIFS(Erfassung!$G$6:$G$5005,Erfassung!$B$6:$B$5005,A12,Erfassung!$D$6:$D$5005,Einstellungen!$C$4,Erfassung!$A$6:$A$5005,"&gt;="&amp;DATE(Einstellungen!$C$3,1,1),Erfassung!$A$6:$A$5005,"&lt;"&amp;DATE(Einstellungen!$C$3+1,1,1)))</f>
        <v/>
      </c>
      <c r="H12" s="54">
        <f>IF(B12="","",SUMIFS(Erfassung!$G$6:$G$5005,Erfassung!$B$6:$B$5005,A12,Erfassung!$D$6:$D$5005,Einstellungen!$C$5,Erfassung!$A$6:$A$5005,"&gt;="&amp;DATE(Einstellungen!$C$3,1,1),Erfassung!$A$6:$A$5005,"&lt;"&amp;DATE(Einstellungen!$C$3+1,1,1)))</f>
        <v/>
      </c>
      <c r="I12" s="34">
        <f>IF(B12="","",SUMIFS(Erfassung!$F$6:$F$5005,Erfassung!$B$6:$B$5005,A12,Erfassung!$A$6:$A$5005,"&gt;="&amp;DATE(Einstellungen!$C$3,1,1),Erfassung!$A$6:$A$5005,"&lt;"&amp;DATE(Einstellungen!$C$3+1,1,1)))</f>
        <v/>
      </c>
      <c r="J12" s="38">
        <f>IF(B12="","",IF(D12+F12&gt;0,F12/(D12+F12),""))</f>
        <v/>
      </c>
      <c r="K12" s="59">
        <f>IF(J12="","",RANK(J12,$J$6:$J$205,0))</f>
        <v/>
      </c>
      <c r="L12" s="29">
        <f>IF(J12="","",IF(J12&lt;=Einstellungen!$C$7,"unauffällig",IF(J12&lt;=Einstellungen!$C$8,"auffällig","kritisch")))</f>
        <v/>
      </c>
      <c r="M12" s="60">
        <f>IF(J12="",-1,J12+ROW()/1000000000)</f>
        <v/>
      </c>
      <c r="O12" s="6" t="inlineStr">
        <is>
          <t>MA auffällig</t>
        </is>
      </c>
      <c r="P12" s="32">
        <f>COUNTIF($L$6:$L$205,"auffällig")</f>
        <v/>
      </c>
    </row>
    <row r="13">
      <c r="A13" s="56">
        <f>IF(Mitarbeiter!B13="","",Mitarbeiter!A13)</f>
        <v/>
      </c>
      <c r="B13" s="57">
        <f>IF(Mitarbeiter!B13="","",Mitarbeiter!B13)</f>
        <v/>
      </c>
      <c r="C13" s="7">
        <f>IF(Mitarbeiter!B13="","",Mitarbeiter!G13)</f>
        <v/>
      </c>
      <c r="D13" s="54">
        <f>IF(B13="","",SUMIFS(Erfassung!$E$6:$E$5005,Erfassung!$B$6:$B$5005,A13,Erfassung!$A$6:$A$5005,"&gt;="&amp;DATE(Einstellungen!$C$3,1,1),Erfassung!$A$6:$A$5005,"&lt;"&amp;DATE(Einstellungen!$C$3+1,1,1)))</f>
        <v/>
      </c>
      <c r="E13" s="58">
        <f>IF(B13="","",IF(D13&gt;0,SUMIFS(Erfassung!$E$6:$E$5005,Erfassung!$B$6:$B$5005,A13,Erfassung!$D$6:$D$5005,Einstellungen!$C$4,Erfassung!$A$6:$A$5005,"&gt;="&amp;DATE(Einstellungen!$C$3,1,1),Erfassung!$A$6:$A$5005,"&lt;"&amp;DATE(Einstellungen!$C$3+1,1,1))/D13,""))</f>
        <v/>
      </c>
      <c r="F13" s="54">
        <f>IF(B13="","",SUMIFS(Erfassung!$G$6:$G$5005,Erfassung!$B$6:$B$5005,A13,Erfassung!$A$6:$A$5005,"&gt;="&amp;DATE(Einstellungen!$C$3,1,1),Erfassung!$A$6:$A$5005,"&lt;"&amp;DATE(Einstellungen!$C$3+1,1,1)))</f>
        <v/>
      </c>
      <c r="G13" s="54">
        <f>IF(B13="","",SUMIFS(Erfassung!$G$6:$G$5005,Erfassung!$B$6:$B$5005,A13,Erfassung!$D$6:$D$5005,Einstellungen!$C$4,Erfassung!$A$6:$A$5005,"&gt;="&amp;DATE(Einstellungen!$C$3,1,1),Erfassung!$A$6:$A$5005,"&lt;"&amp;DATE(Einstellungen!$C$3+1,1,1)))</f>
        <v/>
      </c>
      <c r="H13" s="54">
        <f>IF(B13="","",SUMIFS(Erfassung!$G$6:$G$5005,Erfassung!$B$6:$B$5005,A13,Erfassung!$D$6:$D$5005,Einstellungen!$C$5,Erfassung!$A$6:$A$5005,"&gt;="&amp;DATE(Einstellungen!$C$3,1,1),Erfassung!$A$6:$A$5005,"&lt;"&amp;DATE(Einstellungen!$C$3+1,1,1)))</f>
        <v/>
      </c>
      <c r="I13" s="34">
        <f>IF(B13="","",SUMIFS(Erfassung!$F$6:$F$5005,Erfassung!$B$6:$B$5005,A13,Erfassung!$A$6:$A$5005,"&gt;="&amp;DATE(Einstellungen!$C$3,1,1),Erfassung!$A$6:$A$5005,"&lt;"&amp;DATE(Einstellungen!$C$3+1,1,1)))</f>
        <v/>
      </c>
      <c r="J13" s="38">
        <f>IF(B13="","",IF(D13+F13&gt;0,F13/(D13+F13),""))</f>
        <v/>
      </c>
      <c r="K13" s="59">
        <f>IF(J13="","",RANK(J13,$J$6:$J$205,0))</f>
        <v/>
      </c>
      <c r="L13" s="29">
        <f>IF(J13="","",IF(J13&lt;=Einstellungen!$C$7,"unauffällig",IF(J13&lt;=Einstellungen!$C$8,"auffällig","kritisch")))</f>
        <v/>
      </c>
      <c r="M13" s="60">
        <f>IF(J13="",-1,J13+ROW()/1000000000)</f>
        <v/>
      </c>
      <c r="O13" s="6" t="inlineStr">
        <is>
          <t>MA kritisch</t>
        </is>
      </c>
      <c r="P13" s="32">
        <f>COUNTIF($L$6:$L$205,"kritisch")</f>
        <v/>
      </c>
    </row>
    <row r="14">
      <c r="A14" s="56">
        <f>IF(Mitarbeiter!B14="","",Mitarbeiter!A14)</f>
        <v/>
      </c>
      <c r="B14" s="57">
        <f>IF(Mitarbeiter!B14="","",Mitarbeiter!B14)</f>
        <v/>
      </c>
      <c r="C14" s="7">
        <f>IF(Mitarbeiter!B14="","",Mitarbeiter!G14)</f>
        <v/>
      </c>
      <c r="D14" s="54">
        <f>IF(B14="","",SUMIFS(Erfassung!$E$6:$E$5005,Erfassung!$B$6:$B$5005,A14,Erfassung!$A$6:$A$5005,"&gt;="&amp;DATE(Einstellungen!$C$3,1,1),Erfassung!$A$6:$A$5005,"&lt;"&amp;DATE(Einstellungen!$C$3+1,1,1)))</f>
        <v/>
      </c>
      <c r="E14" s="58">
        <f>IF(B14="","",IF(D14&gt;0,SUMIFS(Erfassung!$E$6:$E$5005,Erfassung!$B$6:$B$5005,A14,Erfassung!$D$6:$D$5005,Einstellungen!$C$4,Erfassung!$A$6:$A$5005,"&gt;="&amp;DATE(Einstellungen!$C$3,1,1),Erfassung!$A$6:$A$5005,"&lt;"&amp;DATE(Einstellungen!$C$3+1,1,1))/D14,""))</f>
        <v/>
      </c>
      <c r="F14" s="54">
        <f>IF(B14="","",SUMIFS(Erfassung!$G$6:$G$5005,Erfassung!$B$6:$B$5005,A14,Erfassung!$A$6:$A$5005,"&gt;="&amp;DATE(Einstellungen!$C$3,1,1),Erfassung!$A$6:$A$5005,"&lt;"&amp;DATE(Einstellungen!$C$3+1,1,1)))</f>
        <v/>
      </c>
      <c r="G14" s="54">
        <f>IF(B14="","",SUMIFS(Erfassung!$G$6:$G$5005,Erfassung!$B$6:$B$5005,A14,Erfassung!$D$6:$D$5005,Einstellungen!$C$4,Erfassung!$A$6:$A$5005,"&gt;="&amp;DATE(Einstellungen!$C$3,1,1),Erfassung!$A$6:$A$5005,"&lt;"&amp;DATE(Einstellungen!$C$3+1,1,1)))</f>
        <v/>
      </c>
      <c r="H14" s="54">
        <f>IF(B14="","",SUMIFS(Erfassung!$G$6:$G$5005,Erfassung!$B$6:$B$5005,A14,Erfassung!$D$6:$D$5005,Einstellungen!$C$5,Erfassung!$A$6:$A$5005,"&gt;="&amp;DATE(Einstellungen!$C$3,1,1),Erfassung!$A$6:$A$5005,"&lt;"&amp;DATE(Einstellungen!$C$3+1,1,1)))</f>
        <v/>
      </c>
      <c r="I14" s="34">
        <f>IF(B14="","",SUMIFS(Erfassung!$F$6:$F$5005,Erfassung!$B$6:$B$5005,A14,Erfassung!$A$6:$A$5005,"&gt;="&amp;DATE(Einstellungen!$C$3,1,1),Erfassung!$A$6:$A$5005,"&lt;"&amp;DATE(Einstellungen!$C$3+1,1,1)))</f>
        <v/>
      </c>
      <c r="J14" s="38">
        <f>IF(B14="","",IF(D14+F14&gt;0,F14/(D14+F14),""))</f>
        <v/>
      </c>
      <c r="K14" s="59">
        <f>IF(J14="","",RANK(J14,$J$6:$J$205,0))</f>
        <v/>
      </c>
      <c r="L14" s="29">
        <f>IF(J14="","",IF(J14&lt;=Einstellungen!$C$7,"unauffällig",IF(J14&lt;=Einstellungen!$C$8,"auffällig","kritisch")))</f>
        <v/>
      </c>
      <c r="M14" s="60">
        <f>IF(J14="",-1,J14+ROW()/1000000000)</f>
        <v/>
      </c>
      <c r="O14" s="6" t="inlineStr">
        <is>
          <t>Anteil kritisch</t>
        </is>
      </c>
      <c r="P14" s="38">
        <f>IF(P5&gt;0,P13/P5,0)</f>
        <v/>
      </c>
    </row>
    <row r="15">
      <c r="A15" s="56">
        <f>IF(Mitarbeiter!B15="","",Mitarbeiter!A15)</f>
        <v/>
      </c>
      <c r="B15" s="57">
        <f>IF(Mitarbeiter!B15="","",Mitarbeiter!B15)</f>
        <v/>
      </c>
      <c r="C15" s="7">
        <f>IF(Mitarbeiter!B15="","",Mitarbeiter!G15)</f>
        <v/>
      </c>
      <c r="D15" s="54">
        <f>IF(B15="","",SUMIFS(Erfassung!$E$6:$E$5005,Erfassung!$B$6:$B$5005,A15,Erfassung!$A$6:$A$5005,"&gt;="&amp;DATE(Einstellungen!$C$3,1,1),Erfassung!$A$6:$A$5005,"&lt;"&amp;DATE(Einstellungen!$C$3+1,1,1)))</f>
        <v/>
      </c>
      <c r="E15" s="58">
        <f>IF(B15="","",IF(D15&gt;0,SUMIFS(Erfassung!$E$6:$E$5005,Erfassung!$B$6:$B$5005,A15,Erfassung!$D$6:$D$5005,Einstellungen!$C$4,Erfassung!$A$6:$A$5005,"&gt;="&amp;DATE(Einstellungen!$C$3,1,1),Erfassung!$A$6:$A$5005,"&lt;"&amp;DATE(Einstellungen!$C$3+1,1,1))/D15,""))</f>
        <v/>
      </c>
      <c r="F15" s="54">
        <f>IF(B15="","",SUMIFS(Erfassung!$G$6:$G$5005,Erfassung!$B$6:$B$5005,A15,Erfassung!$A$6:$A$5005,"&gt;="&amp;DATE(Einstellungen!$C$3,1,1),Erfassung!$A$6:$A$5005,"&lt;"&amp;DATE(Einstellungen!$C$3+1,1,1)))</f>
        <v/>
      </c>
      <c r="G15" s="54">
        <f>IF(B15="","",SUMIFS(Erfassung!$G$6:$G$5005,Erfassung!$B$6:$B$5005,A15,Erfassung!$D$6:$D$5005,Einstellungen!$C$4,Erfassung!$A$6:$A$5005,"&gt;="&amp;DATE(Einstellungen!$C$3,1,1),Erfassung!$A$6:$A$5005,"&lt;"&amp;DATE(Einstellungen!$C$3+1,1,1)))</f>
        <v/>
      </c>
      <c r="H15" s="54">
        <f>IF(B15="","",SUMIFS(Erfassung!$G$6:$G$5005,Erfassung!$B$6:$B$5005,A15,Erfassung!$D$6:$D$5005,Einstellungen!$C$5,Erfassung!$A$6:$A$5005,"&gt;="&amp;DATE(Einstellungen!$C$3,1,1),Erfassung!$A$6:$A$5005,"&lt;"&amp;DATE(Einstellungen!$C$3+1,1,1)))</f>
        <v/>
      </c>
      <c r="I15" s="34">
        <f>IF(B15="","",SUMIFS(Erfassung!$F$6:$F$5005,Erfassung!$B$6:$B$5005,A15,Erfassung!$A$6:$A$5005,"&gt;="&amp;DATE(Einstellungen!$C$3,1,1),Erfassung!$A$6:$A$5005,"&lt;"&amp;DATE(Einstellungen!$C$3+1,1,1)))</f>
        <v/>
      </c>
      <c r="J15" s="38">
        <f>IF(B15="","",IF(D15+F15&gt;0,F15/(D15+F15),""))</f>
        <v/>
      </c>
      <c r="K15" s="59">
        <f>IF(J15="","",RANK(J15,$J$6:$J$205,0))</f>
        <v/>
      </c>
      <c r="L15" s="29">
        <f>IF(J15="","",IF(J15&lt;=Einstellungen!$C$7,"unauffällig",IF(J15&lt;=Einstellungen!$C$8,"auffällig","kritisch")))</f>
        <v/>
      </c>
      <c r="M15" s="60">
        <f>IF(J15="",-1,J15+ROW()/1000000000)</f>
        <v/>
      </c>
      <c r="O15" s="6" t="inlineStr">
        <is>
          <t>Krankstunden gesamt</t>
        </is>
      </c>
      <c r="P15" s="45">
        <f>SUM(F6:F205)</f>
        <v/>
      </c>
    </row>
    <row r="16">
      <c r="A16" s="56">
        <f>IF(Mitarbeiter!B16="","",Mitarbeiter!A16)</f>
        <v/>
      </c>
      <c r="B16" s="57">
        <f>IF(Mitarbeiter!B16="","",Mitarbeiter!B16)</f>
        <v/>
      </c>
      <c r="C16" s="7">
        <f>IF(Mitarbeiter!B16="","",Mitarbeiter!G16)</f>
        <v/>
      </c>
      <c r="D16" s="54">
        <f>IF(B16="","",SUMIFS(Erfassung!$E$6:$E$5005,Erfassung!$B$6:$B$5005,A16,Erfassung!$A$6:$A$5005,"&gt;="&amp;DATE(Einstellungen!$C$3,1,1),Erfassung!$A$6:$A$5005,"&lt;"&amp;DATE(Einstellungen!$C$3+1,1,1)))</f>
        <v/>
      </c>
      <c r="E16" s="58">
        <f>IF(B16="","",IF(D16&gt;0,SUMIFS(Erfassung!$E$6:$E$5005,Erfassung!$B$6:$B$5005,A16,Erfassung!$D$6:$D$5005,Einstellungen!$C$4,Erfassung!$A$6:$A$5005,"&gt;="&amp;DATE(Einstellungen!$C$3,1,1),Erfassung!$A$6:$A$5005,"&lt;"&amp;DATE(Einstellungen!$C$3+1,1,1))/D16,""))</f>
        <v/>
      </c>
      <c r="F16" s="54">
        <f>IF(B16="","",SUMIFS(Erfassung!$G$6:$G$5005,Erfassung!$B$6:$B$5005,A16,Erfassung!$A$6:$A$5005,"&gt;="&amp;DATE(Einstellungen!$C$3,1,1),Erfassung!$A$6:$A$5005,"&lt;"&amp;DATE(Einstellungen!$C$3+1,1,1)))</f>
        <v/>
      </c>
      <c r="G16" s="54">
        <f>IF(B16="","",SUMIFS(Erfassung!$G$6:$G$5005,Erfassung!$B$6:$B$5005,A16,Erfassung!$D$6:$D$5005,Einstellungen!$C$4,Erfassung!$A$6:$A$5005,"&gt;="&amp;DATE(Einstellungen!$C$3,1,1),Erfassung!$A$6:$A$5005,"&lt;"&amp;DATE(Einstellungen!$C$3+1,1,1)))</f>
        <v/>
      </c>
      <c r="H16" s="54">
        <f>IF(B16="","",SUMIFS(Erfassung!$G$6:$G$5005,Erfassung!$B$6:$B$5005,A16,Erfassung!$D$6:$D$5005,Einstellungen!$C$5,Erfassung!$A$6:$A$5005,"&gt;="&amp;DATE(Einstellungen!$C$3,1,1),Erfassung!$A$6:$A$5005,"&lt;"&amp;DATE(Einstellungen!$C$3+1,1,1)))</f>
        <v/>
      </c>
      <c r="I16" s="34">
        <f>IF(B16="","",SUMIFS(Erfassung!$F$6:$F$5005,Erfassung!$B$6:$B$5005,A16,Erfassung!$A$6:$A$5005,"&gt;="&amp;DATE(Einstellungen!$C$3,1,1),Erfassung!$A$6:$A$5005,"&lt;"&amp;DATE(Einstellungen!$C$3+1,1,1)))</f>
        <v/>
      </c>
      <c r="J16" s="38">
        <f>IF(B16="","",IF(D16+F16&gt;0,F16/(D16+F16),""))</f>
        <v/>
      </c>
      <c r="K16" s="59">
        <f>IF(J16="","",RANK(J16,$J$6:$J$205,0))</f>
        <v/>
      </c>
      <c r="L16" s="29">
        <f>IF(J16="","",IF(J16&lt;=Einstellungen!$C$7,"unauffällig",IF(J16&lt;=Einstellungen!$C$8,"auffällig","kritisch")))</f>
        <v/>
      </c>
      <c r="M16" s="60">
        <f>IF(J16="",-1,J16+ROW()/1000000000)</f>
        <v/>
      </c>
      <c r="O16" s="6" t="inlineStr">
        <is>
          <t>Krankheitstage gesamt</t>
        </is>
      </c>
      <c r="P16" s="32">
        <f>SUM(I6:I205)</f>
        <v/>
      </c>
    </row>
    <row r="17">
      <c r="A17" s="56">
        <f>IF(Mitarbeiter!B17="","",Mitarbeiter!A17)</f>
        <v/>
      </c>
      <c r="B17" s="57">
        <f>IF(Mitarbeiter!B17="","",Mitarbeiter!B17)</f>
        <v/>
      </c>
      <c r="C17" s="7">
        <f>IF(Mitarbeiter!B17="","",Mitarbeiter!G17)</f>
        <v/>
      </c>
      <c r="D17" s="54">
        <f>IF(B17="","",SUMIFS(Erfassung!$E$6:$E$5005,Erfassung!$B$6:$B$5005,A17,Erfassung!$A$6:$A$5005,"&gt;="&amp;DATE(Einstellungen!$C$3,1,1),Erfassung!$A$6:$A$5005,"&lt;"&amp;DATE(Einstellungen!$C$3+1,1,1)))</f>
        <v/>
      </c>
      <c r="E17" s="58">
        <f>IF(B17="","",IF(D17&gt;0,SUMIFS(Erfassung!$E$6:$E$5005,Erfassung!$B$6:$B$5005,A17,Erfassung!$D$6:$D$5005,Einstellungen!$C$4,Erfassung!$A$6:$A$5005,"&gt;="&amp;DATE(Einstellungen!$C$3,1,1),Erfassung!$A$6:$A$5005,"&lt;"&amp;DATE(Einstellungen!$C$3+1,1,1))/D17,""))</f>
        <v/>
      </c>
      <c r="F17" s="54">
        <f>IF(B17="","",SUMIFS(Erfassung!$G$6:$G$5005,Erfassung!$B$6:$B$5005,A17,Erfassung!$A$6:$A$5005,"&gt;="&amp;DATE(Einstellungen!$C$3,1,1),Erfassung!$A$6:$A$5005,"&lt;"&amp;DATE(Einstellungen!$C$3+1,1,1)))</f>
        <v/>
      </c>
      <c r="G17" s="54">
        <f>IF(B17="","",SUMIFS(Erfassung!$G$6:$G$5005,Erfassung!$B$6:$B$5005,A17,Erfassung!$D$6:$D$5005,Einstellungen!$C$4,Erfassung!$A$6:$A$5005,"&gt;="&amp;DATE(Einstellungen!$C$3,1,1),Erfassung!$A$6:$A$5005,"&lt;"&amp;DATE(Einstellungen!$C$3+1,1,1)))</f>
        <v/>
      </c>
      <c r="H17" s="54">
        <f>IF(B17="","",SUMIFS(Erfassung!$G$6:$G$5005,Erfassung!$B$6:$B$5005,A17,Erfassung!$D$6:$D$5005,Einstellungen!$C$5,Erfassung!$A$6:$A$5005,"&gt;="&amp;DATE(Einstellungen!$C$3,1,1),Erfassung!$A$6:$A$5005,"&lt;"&amp;DATE(Einstellungen!$C$3+1,1,1)))</f>
        <v/>
      </c>
      <c r="I17" s="34">
        <f>IF(B17="","",SUMIFS(Erfassung!$F$6:$F$5005,Erfassung!$B$6:$B$5005,A17,Erfassung!$A$6:$A$5005,"&gt;="&amp;DATE(Einstellungen!$C$3,1,1),Erfassung!$A$6:$A$5005,"&lt;"&amp;DATE(Einstellungen!$C$3+1,1,1)))</f>
        <v/>
      </c>
      <c r="J17" s="38">
        <f>IF(B17="","",IF(D17+F17&gt;0,F17/(D17+F17),""))</f>
        <v/>
      </c>
      <c r="K17" s="59">
        <f>IF(J17="","",RANK(J17,$J$6:$J$205,0))</f>
        <v/>
      </c>
      <c r="L17" s="29">
        <f>IF(J17="","",IF(J17&lt;=Einstellungen!$C$7,"unauffällig",IF(J17&lt;=Einstellungen!$C$8,"auffällig","kritisch")))</f>
        <v/>
      </c>
      <c r="M17" s="60">
        <f>IF(J17="",-1,J17+ROW()/1000000000)</f>
        <v/>
      </c>
    </row>
    <row r="18">
      <c r="A18" s="56">
        <f>IF(Mitarbeiter!B18="","",Mitarbeiter!A18)</f>
        <v/>
      </c>
      <c r="B18" s="57">
        <f>IF(Mitarbeiter!B18="","",Mitarbeiter!B18)</f>
        <v/>
      </c>
      <c r="C18" s="7">
        <f>IF(Mitarbeiter!B18="","",Mitarbeiter!G18)</f>
        <v/>
      </c>
      <c r="D18" s="54">
        <f>IF(B18="","",SUMIFS(Erfassung!$E$6:$E$5005,Erfassung!$B$6:$B$5005,A18,Erfassung!$A$6:$A$5005,"&gt;="&amp;DATE(Einstellungen!$C$3,1,1),Erfassung!$A$6:$A$5005,"&lt;"&amp;DATE(Einstellungen!$C$3+1,1,1)))</f>
        <v/>
      </c>
      <c r="E18" s="58">
        <f>IF(B18="","",IF(D18&gt;0,SUMIFS(Erfassung!$E$6:$E$5005,Erfassung!$B$6:$B$5005,A18,Erfassung!$D$6:$D$5005,Einstellungen!$C$4,Erfassung!$A$6:$A$5005,"&gt;="&amp;DATE(Einstellungen!$C$3,1,1),Erfassung!$A$6:$A$5005,"&lt;"&amp;DATE(Einstellungen!$C$3+1,1,1))/D18,""))</f>
        <v/>
      </c>
      <c r="F18" s="54">
        <f>IF(B18="","",SUMIFS(Erfassung!$G$6:$G$5005,Erfassung!$B$6:$B$5005,A18,Erfassung!$A$6:$A$5005,"&gt;="&amp;DATE(Einstellungen!$C$3,1,1),Erfassung!$A$6:$A$5005,"&lt;"&amp;DATE(Einstellungen!$C$3+1,1,1)))</f>
        <v/>
      </c>
      <c r="G18" s="54">
        <f>IF(B18="","",SUMIFS(Erfassung!$G$6:$G$5005,Erfassung!$B$6:$B$5005,A18,Erfassung!$D$6:$D$5005,Einstellungen!$C$4,Erfassung!$A$6:$A$5005,"&gt;="&amp;DATE(Einstellungen!$C$3,1,1),Erfassung!$A$6:$A$5005,"&lt;"&amp;DATE(Einstellungen!$C$3+1,1,1)))</f>
        <v/>
      </c>
      <c r="H18" s="54">
        <f>IF(B18="","",SUMIFS(Erfassung!$G$6:$G$5005,Erfassung!$B$6:$B$5005,A18,Erfassung!$D$6:$D$5005,Einstellungen!$C$5,Erfassung!$A$6:$A$5005,"&gt;="&amp;DATE(Einstellungen!$C$3,1,1),Erfassung!$A$6:$A$5005,"&lt;"&amp;DATE(Einstellungen!$C$3+1,1,1)))</f>
        <v/>
      </c>
      <c r="I18" s="34">
        <f>IF(B18="","",SUMIFS(Erfassung!$F$6:$F$5005,Erfassung!$B$6:$B$5005,A18,Erfassung!$A$6:$A$5005,"&gt;="&amp;DATE(Einstellungen!$C$3,1,1),Erfassung!$A$6:$A$5005,"&lt;"&amp;DATE(Einstellungen!$C$3+1,1,1)))</f>
        <v/>
      </c>
      <c r="J18" s="38">
        <f>IF(B18="","",IF(D18+F18&gt;0,F18/(D18+F18),""))</f>
        <v/>
      </c>
      <c r="K18" s="59">
        <f>IF(J18="","",RANK(J18,$J$6:$J$205,0))</f>
        <v/>
      </c>
      <c r="L18" s="29">
        <f>IF(J18="","",IF(J18&lt;=Einstellungen!$C$7,"unauffällig",IF(J18&lt;=Einstellungen!$C$8,"auffällig","kritisch")))</f>
        <v/>
      </c>
      <c r="M18" s="60">
        <f>IF(J18="",-1,J18+ROW()/1000000000)</f>
        <v/>
      </c>
      <c r="O18" s="46" t="inlineStr">
        <is>
          <t>Bewertung</t>
        </is>
      </c>
      <c r="P18" s="20" t="inlineStr">
        <is>
          <t>Anzahl MA</t>
        </is>
      </c>
    </row>
    <row r="19">
      <c r="A19" s="56">
        <f>IF(Mitarbeiter!B19="","",Mitarbeiter!A19)</f>
        <v/>
      </c>
      <c r="B19" s="57">
        <f>IF(Mitarbeiter!B19="","",Mitarbeiter!B19)</f>
        <v/>
      </c>
      <c r="C19" s="7">
        <f>IF(Mitarbeiter!B19="","",Mitarbeiter!G19)</f>
        <v/>
      </c>
      <c r="D19" s="54">
        <f>IF(B19="","",SUMIFS(Erfassung!$E$6:$E$5005,Erfassung!$B$6:$B$5005,A19,Erfassung!$A$6:$A$5005,"&gt;="&amp;DATE(Einstellungen!$C$3,1,1),Erfassung!$A$6:$A$5005,"&lt;"&amp;DATE(Einstellungen!$C$3+1,1,1)))</f>
        <v/>
      </c>
      <c r="E19" s="58">
        <f>IF(B19="","",IF(D19&gt;0,SUMIFS(Erfassung!$E$6:$E$5005,Erfassung!$B$6:$B$5005,A19,Erfassung!$D$6:$D$5005,Einstellungen!$C$4,Erfassung!$A$6:$A$5005,"&gt;="&amp;DATE(Einstellungen!$C$3,1,1),Erfassung!$A$6:$A$5005,"&lt;"&amp;DATE(Einstellungen!$C$3+1,1,1))/D19,""))</f>
        <v/>
      </c>
      <c r="F19" s="54">
        <f>IF(B19="","",SUMIFS(Erfassung!$G$6:$G$5005,Erfassung!$B$6:$B$5005,A19,Erfassung!$A$6:$A$5005,"&gt;="&amp;DATE(Einstellungen!$C$3,1,1),Erfassung!$A$6:$A$5005,"&lt;"&amp;DATE(Einstellungen!$C$3+1,1,1)))</f>
        <v/>
      </c>
      <c r="G19" s="54">
        <f>IF(B19="","",SUMIFS(Erfassung!$G$6:$G$5005,Erfassung!$B$6:$B$5005,A19,Erfassung!$D$6:$D$5005,Einstellungen!$C$4,Erfassung!$A$6:$A$5005,"&gt;="&amp;DATE(Einstellungen!$C$3,1,1),Erfassung!$A$6:$A$5005,"&lt;"&amp;DATE(Einstellungen!$C$3+1,1,1)))</f>
        <v/>
      </c>
      <c r="H19" s="54">
        <f>IF(B19="","",SUMIFS(Erfassung!$G$6:$G$5005,Erfassung!$B$6:$B$5005,A19,Erfassung!$D$6:$D$5005,Einstellungen!$C$5,Erfassung!$A$6:$A$5005,"&gt;="&amp;DATE(Einstellungen!$C$3,1,1),Erfassung!$A$6:$A$5005,"&lt;"&amp;DATE(Einstellungen!$C$3+1,1,1)))</f>
        <v/>
      </c>
      <c r="I19" s="34">
        <f>IF(B19="","",SUMIFS(Erfassung!$F$6:$F$5005,Erfassung!$B$6:$B$5005,A19,Erfassung!$A$6:$A$5005,"&gt;="&amp;DATE(Einstellungen!$C$3,1,1),Erfassung!$A$6:$A$5005,"&lt;"&amp;DATE(Einstellungen!$C$3+1,1,1)))</f>
        <v/>
      </c>
      <c r="J19" s="38">
        <f>IF(B19="","",IF(D19+F19&gt;0,F19/(D19+F19),""))</f>
        <v/>
      </c>
      <c r="K19" s="59">
        <f>IF(J19="","",RANK(J19,$J$6:$J$205,0))</f>
        <v/>
      </c>
      <c r="L19" s="29">
        <f>IF(J19="","",IF(J19&lt;=Einstellungen!$C$7,"unauffällig",IF(J19&lt;=Einstellungen!$C$8,"auffällig","kritisch")))</f>
        <v/>
      </c>
      <c r="M19" s="60">
        <f>IF(J19="",-1,J19+ROW()/1000000000)</f>
        <v/>
      </c>
      <c r="O19" s="6" t="inlineStr">
        <is>
          <t>unauffällig</t>
        </is>
      </c>
      <c r="P19" s="32">
        <f>P11</f>
        <v/>
      </c>
    </row>
    <row r="20">
      <c r="A20" s="56">
        <f>IF(Mitarbeiter!B20="","",Mitarbeiter!A20)</f>
        <v/>
      </c>
      <c r="B20" s="57">
        <f>IF(Mitarbeiter!B20="","",Mitarbeiter!B20)</f>
        <v/>
      </c>
      <c r="C20" s="7">
        <f>IF(Mitarbeiter!B20="","",Mitarbeiter!G20)</f>
        <v/>
      </c>
      <c r="D20" s="54">
        <f>IF(B20="","",SUMIFS(Erfassung!$E$6:$E$5005,Erfassung!$B$6:$B$5005,A20,Erfassung!$A$6:$A$5005,"&gt;="&amp;DATE(Einstellungen!$C$3,1,1),Erfassung!$A$6:$A$5005,"&lt;"&amp;DATE(Einstellungen!$C$3+1,1,1)))</f>
        <v/>
      </c>
      <c r="E20" s="58">
        <f>IF(B20="","",IF(D20&gt;0,SUMIFS(Erfassung!$E$6:$E$5005,Erfassung!$B$6:$B$5005,A20,Erfassung!$D$6:$D$5005,Einstellungen!$C$4,Erfassung!$A$6:$A$5005,"&gt;="&amp;DATE(Einstellungen!$C$3,1,1),Erfassung!$A$6:$A$5005,"&lt;"&amp;DATE(Einstellungen!$C$3+1,1,1))/D20,""))</f>
        <v/>
      </c>
      <c r="F20" s="54">
        <f>IF(B20="","",SUMIFS(Erfassung!$G$6:$G$5005,Erfassung!$B$6:$B$5005,A20,Erfassung!$A$6:$A$5005,"&gt;="&amp;DATE(Einstellungen!$C$3,1,1),Erfassung!$A$6:$A$5005,"&lt;"&amp;DATE(Einstellungen!$C$3+1,1,1)))</f>
        <v/>
      </c>
      <c r="G20" s="54">
        <f>IF(B20="","",SUMIFS(Erfassung!$G$6:$G$5005,Erfassung!$B$6:$B$5005,A20,Erfassung!$D$6:$D$5005,Einstellungen!$C$4,Erfassung!$A$6:$A$5005,"&gt;="&amp;DATE(Einstellungen!$C$3,1,1),Erfassung!$A$6:$A$5005,"&lt;"&amp;DATE(Einstellungen!$C$3+1,1,1)))</f>
        <v/>
      </c>
      <c r="H20" s="54">
        <f>IF(B20="","",SUMIFS(Erfassung!$G$6:$G$5005,Erfassung!$B$6:$B$5005,A20,Erfassung!$D$6:$D$5005,Einstellungen!$C$5,Erfassung!$A$6:$A$5005,"&gt;="&amp;DATE(Einstellungen!$C$3,1,1),Erfassung!$A$6:$A$5005,"&lt;"&amp;DATE(Einstellungen!$C$3+1,1,1)))</f>
        <v/>
      </c>
      <c r="I20" s="34">
        <f>IF(B20="","",SUMIFS(Erfassung!$F$6:$F$5005,Erfassung!$B$6:$B$5005,A20,Erfassung!$A$6:$A$5005,"&gt;="&amp;DATE(Einstellungen!$C$3,1,1),Erfassung!$A$6:$A$5005,"&lt;"&amp;DATE(Einstellungen!$C$3+1,1,1)))</f>
        <v/>
      </c>
      <c r="J20" s="38">
        <f>IF(B20="","",IF(D20+F20&gt;0,F20/(D20+F20),""))</f>
        <v/>
      </c>
      <c r="K20" s="59">
        <f>IF(J20="","",RANK(J20,$J$6:$J$205,0))</f>
        <v/>
      </c>
      <c r="L20" s="29">
        <f>IF(J20="","",IF(J20&lt;=Einstellungen!$C$7,"unauffällig",IF(J20&lt;=Einstellungen!$C$8,"auffällig","kritisch")))</f>
        <v/>
      </c>
      <c r="M20" s="60">
        <f>IF(J20="",-1,J20+ROW()/1000000000)</f>
        <v/>
      </c>
      <c r="O20" s="6" t="inlineStr">
        <is>
          <t>auffällig</t>
        </is>
      </c>
      <c r="P20" s="32">
        <f>P12</f>
        <v/>
      </c>
    </row>
    <row r="21">
      <c r="A21" s="56">
        <f>IF(Mitarbeiter!B21="","",Mitarbeiter!A21)</f>
        <v/>
      </c>
      <c r="B21" s="57">
        <f>IF(Mitarbeiter!B21="","",Mitarbeiter!B21)</f>
        <v/>
      </c>
      <c r="C21" s="7">
        <f>IF(Mitarbeiter!B21="","",Mitarbeiter!G21)</f>
        <v/>
      </c>
      <c r="D21" s="54">
        <f>IF(B21="","",SUMIFS(Erfassung!$E$6:$E$5005,Erfassung!$B$6:$B$5005,A21,Erfassung!$A$6:$A$5005,"&gt;="&amp;DATE(Einstellungen!$C$3,1,1),Erfassung!$A$6:$A$5005,"&lt;"&amp;DATE(Einstellungen!$C$3+1,1,1)))</f>
        <v/>
      </c>
      <c r="E21" s="58">
        <f>IF(B21="","",IF(D21&gt;0,SUMIFS(Erfassung!$E$6:$E$5005,Erfassung!$B$6:$B$5005,A21,Erfassung!$D$6:$D$5005,Einstellungen!$C$4,Erfassung!$A$6:$A$5005,"&gt;="&amp;DATE(Einstellungen!$C$3,1,1),Erfassung!$A$6:$A$5005,"&lt;"&amp;DATE(Einstellungen!$C$3+1,1,1))/D21,""))</f>
        <v/>
      </c>
      <c r="F21" s="54">
        <f>IF(B21="","",SUMIFS(Erfassung!$G$6:$G$5005,Erfassung!$B$6:$B$5005,A21,Erfassung!$A$6:$A$5005,"&gt;="&amp;DATE(Einstellungen!$C$3,1,1),Erfassung!$A$6:$A$5005,"&lt;"&amp;DATE(Einstellungen!$C$3+1,1,1)))</f>
        <v/>
      </c>
      <c r="G21" s="54">
        <f>IF(B21="","",SUMIFS(Erfassung!$G$6:$G$5005,Erfassung!$B$6:$B$5005,A21,Erfassung!$D$6:$D$5005,Einstellungen!$C$4,Erfassung!$A$6:$A$5005,"&gt;="&amp;DATE(Einstellungen!$C$3,1,1),Erfassung!$A$6:$A$5005,"&lt;"&amp;DATE(Einstellungen!$C$3+1,1,1)))</f>
        <v/>
      </c>
      <c r="H21" s="54">
        <f>IF(B21="","",SUMIFS(Erfassung!$G$6:$G$5005,Erfassung!$B$6:$B$5005,A21,Erfassung!$D$6:$D$5005,Einstellungen!$C$5,Erfassung!$A$6:$A$5005,"&gt;="&amp;DATE(Einstellungen!$C$3,1,1),Erfassung!$A$6:$A$5005,"&lt;"&amp;DATE(Einstellungen!$C$3+1,1,1)))</f>
        <v/>
      </c>
      <c r="I21" s="34">
        <f>IF(B21="","",SUMIFS(Erfassung!$F$6:$F$5005,Erfassung!$B$6:$B$5005,A21,Erfassung!$A$6:$A$5005,"&gt;="&amp;DATE(Einstellungen!$C$3,1,1),Erfassung!$A$6:$A$5005,"&lt;"&amp;DATE(Einstellungen!$C$3+1,1,1)))</f>
        <v/>
      </c>
      <c r="J21" s="38">
        <f>IF(B21="","",IF(D21+F21&gt;0,F21/(D21+F21),""))</f>
        <v/>
      </c>
      <c r="K21" s="59">
        <f>IF(J21="","",RANK(J21,$J$6:$J$205,0))</f>
        <v/>
      </c>
      <c r="L21" s="29">
        <f>IF(J21="","",IF(J21&lt;=Einstellungen!$C$7,"unauffällig",IF(J21&lt;=Einstellungen!$C$8,"auffällig","kritisch")))</f>
        <v/>
      </c>
      <c r="M21" s="60">
        <f>IF(J21="",-1,J21+ROW()/1000000000)</f>
        <v/>
      </c>
      <c r="O21" s="6" t="inlineStr">
        <is>
          <t>kritisch</t>
        </is>
      </c>
      <c r="P21" s="32">
        <f>P13</f>
        <v/>
      </c>
    </row>
    <row r="22">
      <c r="A22" s="56">
        <f>IF(Mitarbeiter!B22="","",Mitarbeiter!A22)</f>
        <v/>
      </c>
      <c r="B22" s="57">
        <f>IF(Mitarbeiter!B22="","",Mitarbeiter!B22)</f>
        <v/>
      </c>
      <c r="C22" s="7">
        <f>IF(Mitarbeiter!B22="","",Mitarbeiter!G22)</f>
        <v/>
      </c>
      <c r="D22" s="54">
        <f>IF(B22="","",SUMIFS(Erfassung!$E$6:$E$5005,Erfassung!$B$6:$B$5005,A22,Erfassung!$A$6:$A$5005,"&gt;="&amp;DATE(Einstellungen!$C$3,1,1),Erfassung!$A$6:$A$5005,"&lt;"&amp;DATE(Einstellungen!$C$3+1,1,1)))</f>
        <v/>
      </c>
      <c r="E22" s="58">
        <f>IF(B22="","",IF(D22&gt;0,SUMIFS(Erfassung!$E$6:$E$5005,Erfassung!$B$6:$B$5005,A22,Erfassung!$D$6:$D$5005,Einstellungen!$C$4,Erfassung!$A$6:$A$5005,"&gt;="&amp;DATE(Einstellungen!$C$3,1,1),Erfassung!$A$6:$A$5005,"&lt;"&amp;DATE(Einstellungen!$C$3+1,1,1))/D22,""))</f>
        <v/>
      </c>
      <c r="F22" s="54">
        <f>IF(B22="","",SUMIFS(Erfassung!$G$6:$G$5005,Erfassung!$B$6:$B$5005,A22,Erfassung!$A$6:$A$5005,"&gt;="&amp;DATE(Einstellungen!$C$3,1,1),Erfassung!$A$6:$A$5005,"&lt;"&amp;DATE(Einstellungen!$C$3+1,1,1)))</f>
        <v/>
      </c>
      <c r="G22" s="54">
        <f>IF(B22="","",SUMIFS(Erfassung!$G$6:$G$5005,Erfassung!$B$6:$B$5005,A22,Erfassung!$D$6:$D$5005,Einstellungen!$C$4,Erfassung!$A$6:$A$5005,"&gt;="&amp;DATE(Einstellungen!$C$3,1,1),Erfassung!$A$6:$A$5005,"&lt;"&amp;DATE(Einstellungen!$C$3+1,1,1)))</f>
        <v/>
      </c>
      <c r="H22" s="54">
        <f>IF(B22="","",SUMIFS(Erfassung!$G$6:$G$5005,Erfassung!$B$6:$B$5005,A22,Erfassung!$D$6:$D$5005,Einstellungen!$C$5,Erfassung!$A$6:$A$5005,"&gt;="&amp;DATE(Einstellungen!$C$3,1,1),Erfassung!$A$6:$A$5005,"&lt;"&amp;DATE(Einstellungen!$C$3+1,1,1)))</f>
        <v/>
      </c>
      <c r="I22" s="34">
        <f>IF(B22="","",SUMIFS(Erfassung!$F$6:$F$5005,Erfassung!$B$6:$B$5005,A22,Erfassung!$A$6:$A$5005,"&gt;="&amp;DATE(Einstellungen!$C$3,1,1),Erfassung!$A$6:$A$5005,"&lt;"&amp;DATE(Einstellungen!$C$3+1,1,1)))</f>
        <v/>
      </c>
      <c r="J22" s="38">
        <f>IF(B22="","",IF(D22+F22&gt;0,F22/(D22+F22),""))</f>
        <v/>
      </c>
      <c r="K22" s="59">
        <f>IF(J22="","",RANK(J22,$J$6:$J$205,0))</f>
        <v/>
      </c>
      <c r="L22" s="29">
        <f>IF(J22="","",IF(J22&lt;=Einstellungen!$C$7,"unauffällig",IF(J22&lt;=Einstellungen!$C$8,"auffällig","kritisch")))</f>
        <v/>
      </c>
      <c r="M22" s="60">
        <f>IF(J22="",-1,J22+ROW()/1000000000)</f>
        <v/>
      </c>
    </row>
    <row r="23">
      <c r="A23" s="56">
        <f>IF(Mitarbeiter!B23="","",Mitarbeiter!A23)</f>
        <v/>
      </c>
      <c r="B23" s="57">
        <f>IF(Mitarbeiter!B23="","",Mitarbeiter!B23)</f>
        <v/>
      </c>
      <c r="C23" s="7">
        <f>IF(Mitarbeiter!B23="","",Mitarbeiter!G23)</f>
        <v/>
      </c>
      <c r="D23" s="54">
        <f>IF(B23="","",SUMIFS(Erfassung!$E$6:$E$5005,Erfassung!$B$6:$B$5005,A23,Erfassung!$A$6:$A$5005,"&gt;="&amp;DATE(Einstellungen!$C$3,1,1),Erfassung!$A$6:$A$5005,"&lt;"&amp;DATE(Einstellungen!$C$3+1,1,1)))</f>
        <v/>
      </c>
      <c r="E23" s="58">
        <f>IF(B23="","",IF(D23&gt;0,SUMIFS(Erfassung!$E$6:$E$5005,Erfassung!$B$6:$B$5005,A23,Erfassung!$D$6:$D$5005,Einstellungen!$C$4,Erfassung!$A$6:$A$5005,"&gt;="&amp;DATE(Einstellungen!$C$3,1,1),Erfassung!$A$6:$A$5005,"&lt;"&amp;DATE(Einstellungen!$C$3+1,1,1))/D23,""))</f>
        <v/>
      </c>
      <c r="F23" s="54">
        <f>IF(B23="","",SUMIFS(Erfassung!$G$6:$G$5005,Erfassung!$B$6:$B$5005,A23,Erfassung!$A$6:$A$5005,"&gt;="&amp;DATE(Einstellungen!$C$3,1,1),Erfassung!$A$6:$A$5005,"&lt;"&amp;DATE(Einstellungen!$C$3+1,1,1)))</f>
        <v/>
      </c>
      <c r="G23" s="54">
        <f>IF(B23="","",SUMIFS(Erfassung!$G$6:$G$5005,Erfassung!$B$6:$B$5005,A23,Erfassung!$D$6:$D$5005,Einstellungen!$C$4,Erfassung!$A$6:$A$5005,"&gt;="&amp;DATE(Einstellungen!$C$3,1,1),Erfassung!$A$6:$A$5005,"&lt;"&amp;DATE(Einstellungen!$C$3+1,1,1)))</f>
        <v/>
      </c>
      <c r="H23" s="54">
        <f>IF(B23="","",SUMIFS(Erfassung!$G$6:$G$5005,Erfassung!$B$6:$B$5005,A23,Erfassung!$D$6:$D$5005,Einstellungen!$C$5,Erfassung!$A$6:$A$5005,"&gt;="&amp;DATE(Einstellungen!$C$3,1,1),Erfassung!$A$6:$A$5005,"&lt;"&amp;DATE(Einstellungen!$C$3+1,1,1)))</f>
        <v/>
      </c>
      <c r="I23" s="34">
        <f>IF(B23="","",SUMIFS(Erfassung!$F$6:$F$5005,Erfassung!$B$6:$B$5005,A23,Erfassung!$A$6:$A$5005,"&gt;="&amp;DATE(Einstellungen!$C$3,1,1),Erfassung!$A$6:$A$5005,"&lt;"&amp;DATE(Einstellungen!$C$3+1,1,1)))</f>
        <v/>
      </c>
      <c r="J23" s="38">
        <f>IF(B23="","",IF(D23+F23&gt;0,F23/(D23+F23),""))</f>
        <v/>
      </c>
      <c r="K23" s="59">
        <f>IF(J23="","",RANK(J23,$J$6:$J$205,0))</f>
        <v/>
      </c>
      <c r="L23" s="29">
        <f>IF(J23="","",IF(J23&lt;=Einstellungen!$C$7,"unauffällig",IF(J23&lt;=Einstellungen!$C$8,"auffällig","kritisch")))</f>
        <v/>
      </c>
      <c r="M23" s="60">
        <f>IF(J23="",-1,J23+ROW()/1000000000)</f>
        <v/>
      </c>
    </row>
    <row r="24">
      <c r="A24" s="56">
        <f>IF(Mitarbeiter!B24="","",Mitarbeiter!A24)</f>
        <v/>
      </c>
      <c r="B24" s="57">
        <f>IF(Mitarbeiter!B24="","",Mitarbeiter!B24)</f>
        <v/>
      </c>
      <c r="C24" s="7">
        <f>IF(Mitarbeiter!B24="","",Mitarbeiter!G24)</f>
        <v/>
      </c>
      <c r="D24" s="54">
        <f>IF(B24="","",SUMIFS(Erfassung!$E$6:$E$5005,Erfassung!$B$6:$B$5005,A24,Erfassung!$A$6:$A$5005,"&gt;="&amp;DATE(Einstellungen!$C$3,1,1),Erfassung!$A$6:$A$5005,"&lt;"&amp;DATE(Einstellungen!$C$3+1,1,1)))</f>
        <v/>
      </c>
      <c r="E24" s="58">
        <f>IF(B24="","",IF(D24&gt;0,SUMIFS(Erfassung!$E$6:$E$5005,Erfassung!$B$6:$B$5005,A24,Erfassung!$D$6:$D$5005,Einstellungen!$C$4,Erfassung!$A$6:$A$5005,"&gt;="&amp;DATE(Einstellungen!$C$3,1,1),Erfassung!$A$6:$A$5005,"&lt;"&amp;DATE(Einstellungen!$C$3+1,1,1))/D24,""))</f>
        <v/>
      </c>
      <c r="F24" s="54">
        <f>IF(B24="","",SUMIFS(Erfassung!$G$6:$G$5005,Erfassung!$B$6:$B$5005,A24,Erfassung!$A$6:$A$5005,"&gt;="&amp;DATE(Einstellungen!$C$3,1,1),Erfassung!$A$6:$A$5005,"&lt;"&amp;DATE(Einstellungen!$C$3+1,1,1)))</f>
        <v/>
      </c>
      <c r="G24" s="54">
        <f>IF(B24="","",SUMIFS(Erfassung!$G$6:$G$5005,Erfassung!$B$6:$B$5005,A24,Erfassung!$D$6:$D$5005,Einstellungen!$C$4,Erfassung!$A$6:$A$5005,"&gt;="&amp;DATE(Einstellungen!$C$3,1,1),Erfassung!$A$6:$A$5005,"&lt;"&amp;DATE(Einstellungen!$C$3+1,1,1)))</f>
        <v/>
      </c>
      <c r="H24" s="54">
        <f>IF(B24="","",SUMIFS(Erfassung!$G$6:$G$5005,Erfassung!$B$6:$B$5005,A24,Erfassung!$D$6:$D$5005,Einstellungen!$C$5,Erfassung!$A$6:$A$5005,"&gt;="&amp;DATE(Einstellungen!$C$3,1,1),Erfassung!$A$6:$A$5005,"&lt;"&amp;DATE(Einstellungen!$C$3+1,1,1)))</f>
        <v/>
      </c>
      <c r="I24" s="34">
        <f>IF(B24="","",SUMIFS(Erfassung!$F$6:$F$5005,Erfassung!$B$6:$B$5005,A24,Erfassung!$A$6:$A$5005,"&gt;="&amp;DATE(Einstellungen!$C$3,1,1),Erfassung!$A$6:$A$5005,"&lt;"&amp;DATE(Einstellungen!$C$3+1,1,1)))</f>
        <v/>
      </c>
      <c r="J24" s="38">
        <f>IF(B24="","",IF(D24+F24&gt;0,F24/(D24+F24),""))</f>
        <v/>
      </c>
      <c r="K24" s="59">
        <f>IF(J24="","",RANK(J24,$J$6:$J$205,0))</f>
        <v/>
      </c>
      <c r="L24" s="29">
        <f>IF(J24="","",IF(J24&lt;=Einstellungen!$C$7,"unauffällig",IF(J24&lt;=Einstellungen!$C$8,"auffällig","kritisch")))</f>
        <v/>
      </c>
      <c r="M24" s="60">
        <f>IF(J24="",-1,J24+ROW()/1000000000)</f>
        <v/>
      </c>
      <c r="O24" s="2" t="inlineStr">
        <is>
          <t>Top 10 – höchste Krankenquote</t>
        </is>
      </c>
      <c r="P24" s="2" t="n"/>
      <c r="Q24" s="2" t="n"/>
      <c r="R24" s="2" t="n"/>
    </row>
    <row r="25" ht="18" customHeight="1">
      <c r="A25" s="56">
        <f>IF(Mitarbeiter!B25="","",Mitarbeiter!A25)</f>
        <v/>
      </c>
      <c r="B25" s="57">
        <f>IF(Mitarbeiter!B25="","",Mitarbeiter!B25)</f>
        <v/>
      </c>
      <c r="C25" s="7">
        <f>IF(Mitarbeiter!B25="","",Mitarbeiter!G25)</f>
        <v/>
      </c>
      <c r="D25" s="54">
        <f>IF(B25="","",SUMIFS(Erfassung!$E$6:$E$5005,Erfassung!$B$6:$B$5005,A25,Erfassung!$A$6:$A$5005,"&gt;="&amp;DATE(Einstellungen!$C$3,1,1),Erfassung!$A$6:$A$5005,"&lt;"&amp;DATE(Einstellungen!$C$3+1,1,1)))</f>
        <v/>
      </c>
      <c r="E25" s="58">
        <f>IF(B25="","",IF(D25&gt;0,SUMIFS(Erfassung!$E$6:$E$5005,Erfassung!$B$6:$B$5005,A25,Erfassung!$D$6:$D$5005,Einstellungen!$C$4,Erfassung!$A$6:$A$5005,"&gt;="&amp;DATE(Einstellungen!$C$3,1,1),Erfassung!$A$6:$A$5005,"&lt;"&amp;DATE(Einstellungen!$C$3+1,1,1))/D25,""))</f>
        <v/>
      </c>
      <c r="F25" s="54">
        <f>IF(B25="","",SUMIFS(Erfassung!$G$6:$G$5005,Erfassung!$B$6:$B$5005,A25,Erfassung!$A$6:$A$5005,"&gt;="&amp;DATE(Einstellungen!$C$3,1,1),Erfassung!$A$6:$A$5005,"&lt;"&amp;DATE(Einstellungen!$C$3+1,1,1)))</f>
        <v/>
      </c>
      <c r="G25" s="54">
        <f>IF(B25="","",SUMIFS(Erfassung!$G$6:$G$5005,Erfassung!$B$6:$B$5005,A25,Erfassung!$D$6:$D$5005,Einstellungen!$C$4,Erfassung!$A$6:$A$5005,"&gt;="&amp;DATE(Einstellungen!$C$3,1,1),Erfassung!$A$6:$A$5005,"&lt;"&amp;DATE(Einstellungen!$C$3+1,1,1)))</f>
        <v/>
      </c>
      <c r="H25" s="54">
        <f>IF(B25="","",SUMIFS(Erfassung!$G$6:$G$5005,Erfassung!$B$6:$B$5005,A25,Erfassung!$D$6:$D$5005,Einstellungen!$C$5,Erfassung!$A$6:$A$5005,"&gt;="&amp;DATE(Einstellungen!$C$3,1,1),Erfassung!$A$6:$A$5005,"&lt;"&amp;DATE(Einstellungen!$C$3+1,1,1)))</f>
        <v/>
      </c>
      <c r="I25" s="34">
        <f>IF(B25="","",SUMIFS(Erfassung!$F$6:$F$5005,Erfassung!$B$6:$B$5005,A25,Erfassung!$A$6:$A$5005,"&gt;="&amp;DATE(Einstellungen!$C$3,1,1),Erfassung!$A$6:$A$5005,"&lt;"&amp;DATE(Einstellungen!$C$3+1,1,1)))</f>
        <v/>
      </c>
      <c r="J25" s="38">
        <f>IF(B25="","",IF(D25+F25&gt;0,F25/(D25+F25),""))</f>
        <v/>
      </c>
      <c r="K25" s="59">
        <f>IF(J25="","",RANK(J25,$J$6:$J$205,0))</f>
        <v/>
      </c>
      <c r="L25" s="29">
        <f>IF(J25="","",IF(J25&lt;=Einstellungen!$C$7,"unauffällig",IF(J25&lt;=Einstellungen!$C$8,"auffällig","kritisch")))</f>
        <v/>
      </c>
      <c r="M25" s="60">
        <f>IF(J25="",-1,J25+ROW()/1000000000)</f>
        <v/>
      </c>
      <c r="O25" s="20" t="inlineStr">
        <is>
          <t>Rang</t>
        </is>
      </c>
      <c r="P25" s="20" t="inlineStr">
        <is>
          <t>Name</t>
        </is>
      </c>
      <c r="Q25" s="20" t="inlineStr">
        <is>
          <t>Quote</t>
        </is>
      </c>
      <c r="R25" s="20" t="inlineStr">
        <is>
          <t>Krankstd.</t>
        </is>
      </c>
    </row>
    <row r="26">
      <c r="A26" s="56">
        <f>IF(Mitarbeiter!B26="","",Mitarbeiter!A26)</f>
        <v/>
      </c>
      <c r="B26" s="57">
        <f>IF(Mitarbeiter!B26="","",Mitarbeiter!B26)</f>
        <v/>
      </c>
      <c r="C26" s="7">
        <f>IF(Mitarbeiter!B26="","",Mitarbeiter!G26)</f>
        <v/>
      </c>
      <c r="D26" s="54">
        <f>IF(B26="","",SUMIFS(Erfassung!$E$6:$E$5005,Erfassung!$B$6:$B$5005,A26,Erfassung!$A$6:$A$5005,"&gt;="&amp;DATE(Einstellungen!$C$3,1,1),Erfassung!$A$6:$A$5005,"&lt;"&amp;DATE(Einstellungen!$C$3+1,1,1)))</f>
        <v/>
      </c>
      <c r="E26" s="58">
        <f>IF(B26="","",IF(D26&gt;0,SUMIFS(Erfassung!$E$6:$E$5005,Erfassung!$B$6:$B$5005,A26,Erfassung!$D$6:$D$5005,Einstellungen!$C$4,Erfassung!$A$6:$A$5005,"&gt;="&amp;DATE(Einstellungen!$C$3,1,1),Erfassung!$A$6:$A$5005,"&lt;"&amp;DATE(Einstellungen!$C$3+1,1,1))/D26,""))</f>
        <v/>
      </c>
      <c r="F26" s="54">
        <f>IF(B26="","",SUMIFS(Erfassung!$G$6:$G$5005,Erfassung!$B$6:$B$5005,A26,Erfassung!$A$6:$A$5005,"&gt;="&amp;DATE(Einstellungen!$C$3,1,1),Erfassung!$A$6:$A$5005,"&lt;"&amp;DATE(Einstellungen!$C$3+1,1,1)))</f>
        <v/>
      </c>
      <c r="G26" s="54">
        <f>IF(B26="","",SUMIFS(Erfassung!$G$6:$G$5005,Erfassung!$B$6:$B$5005,A26,Erfassung!$D$6:$D$5005,Einstellungen!$C$4,Erfassung!$A$6:$A$5005,"&gt;="&amp;DATE(Einstellungen!$C$3,1,1),Erfassung!$A$6:$A$5005,"&lt;"&amp;DATE(Einstellungen!$C$3+1,1,1)))</f>
        <v/>
      </c>
      <c r="H26" s="54">
        <f>IF(B26="","",SUMIFS(Erfassung!$G$6:$G$5005,Erfassung!$B$6:$B$5005,A26,Erfassung!$D$6:$D$5005,Einstellungen!$C$5,Erfassung!$A$6:$A$5005,"&gt;="&amp;DATE(Einstellungen!$C$3,1,1),Erfassung!$A$6:$A$5005,"&lt;"&amp;DATE(Einstellungen!$C$3+1,1,1)))</f>
        <v/>
      </c>
      <c r="I26" s="34">
        <f>IF(B26="","",SUMIFS(Erfassung!$F$6:$F$5005,Erfassung!$B$6:$B$5005,A26,Erfassung!$A$6:$A$5005,"&gt;="&amp;DATE(Einstellungen!$C$3,1,1),Erfassung!$A$6:$A$5005,"&lt;"&amp;DATE(Einstellungen!$C$3+1,1,1)))</f>
        <v/>
      </c>
      <c r="J26" s="38">
        <f>IF(B26="","",IF(D26+F26&gt;0,F26/(D26+F26),""))</f>
        <v/>
      </c>
      <c r="K26" s="59">
        <f>IF(J26="","",RANK(J26,$J$6:$J$205,0))</f>
        <v/>
      </c>
      <c r="L26" s="29">
        <f>IF(J26="","",IF(J26&lt;=Einstellungen!$C$7,"unauffällig",IF(J26&lt;=Einstellungen!$C$8,"auffällig","kritisch")))</f>
        <v/>
      </c>
      <c r="M26" s="60">
        <f>IF(J26="",-1,J26+ROW()/1000000000)</f>
        <v/>
      </c>
      <c r="O26" s="29" t="n">
        <v>1</v>
      </c>
      <c r="P26" s="6">
        <f>IFERROR(IF(LARGE($M$6:$M$205,1)&gt;=0,INDEX($B$6:$B$205,MATCH(LARGE($M$6:$M$205,1),$M$6:$M$205,0)),""),"")</f>
        <v/>
      </c>
      <c r="Q26" s="38">
        <f>IFERROR(IF(LARGE($M$6:$M$205,1)&gt;=0,INDEX($J$6:$J$205,MATCH(LARGE($M$6:$M$205,1),$M$6:$M$205,0)),""),"")</f>
        <v/>
      </c>
      <c r="R26" s="54">
        <f>IFERROR(IF(LARGE($M$6:$M$205,1)&gt;=0,INDEX($F$6:$F$205,MATCH(LARGE($M$6:$M$205,1),$M$6:$M$205,0)),""),"")</f>
        <v/>
      </c>
    </row>
    <row r="27">
      <c r="A27" s="56">
        <f>IF(Mitarbeiter!B27="","",Mitarbeiter!A27)</f>
        <v/>
      </c>
      <c r="B27" s="57">
        <f>IF(Mitarbeiter!B27="","",Mitarbeiter!B27)</f>
        <v/>
      </c>
      <c r="C27" s="7">
        <f>IF(Mitarbeiter!B27="","",Mitarbeiter!G27)</f>
        <v/>
      </c>
      <c r="D27" s="54">
        <f>IF(B27="","",SUMIFS(Erfassung!$E$6:$E$5005,Erfassung!$B$6:$B$5005,A27,Erfassung!$A$6:$A$5005,"&gt;="&amp;DATE(Einstellungen!$C$3,1,1),Erfassung!$A$6:$A$5005,"&lt;"&amp;DATE(Einstellungen!$C$3+1,1,1)))</f>
        <v/>
      </c>
      <c r="E27" s="58">
        <f>IF(B27="","",IF(D27&gt;0,SUMIFS(Erfassung!$E$6:$E$5005,Erfassung!$B$6:$B$5005,A27,Erfassung!$D$6:$D$5005,Einstellungen!$C$4,Erfassung!$A$6:$A$5005,"&gt;="&amp;DATE(Einstellungen!$C$3,1,1),Erfassung!$A$6:$A$5005,"&lt;"&amp;DATE(Einstellungen!$C$3+1,1,1))/D27,""))</f>
        <v/>
      </c>
      <c r="F27" s="54">
        <f>IF(B27="","",SUMIFS(Erfassung!$G$6:$G$5005,Erfassung!$B$6:$B$5005,A27,Erfassung!$A$6:$A$5005,"&gt;="&amp;DATE(Einstellungen!$C$3,1,1),Erfassung!$A$6:$A$5005,"&lt;"&amp;DATE(Einstellungen!$C$3+1,1,1)))</f>
        <v/>
      </c>
      <c r="G27" s="54">
        <f>IF(B27="","",SUMIFS(Erfassung!$G$6:$G$5005,Erfassung!$B$6:$B$5005,A27,Erfassung!$D$6:$D$5005,Einstellungen!$C$4,Erfassung!$A$6:$A$5005,"&gt;="&amp;DATE(Einstellungen!$C$3,1,1),Erfassung!$A$6:$A$5005,"&lt;"&amp;DATE(Einstellungen!$C$3+1,1,1)))</f>
        <v/>
      </c>
      <c r="H27" s="54">
        <f>IF(B27="","",SUMIFS(Erfassung!$G$6:$G$5005,Erfassung!$B$6:$B$5005,A27,Erfassung!$D$6:$D$5005,Einstellungen!$C$5,Erfassung!$A$6:$A$5005,"&gt;="&amp;DATE(Einstellungen!$C$3,1,1),Erfassung!$A$6:$A$5005,"&lt;"&amp;DATE(Einstellungen!$C$3+1,1,1)))</f>
        <v/>
      </c>
      <c r="I27" s="34">
        <f>IF(B27="","",SUMIFS(Erfassung!$F$6:$F$5005,Erfassung!$B$6:$B$5005,A27,Erfassung!$A$6:$A$5005,"&gt;="&amp;DATE(Einstellungen!$C$3,1,1),Erfassung!$A$6:$A$5005,"&lt;"&amp;DATE(Einstellungen!$C$3+1,1,1)))</f>
        <v/>
      </c>
      <c r="J27" s="38">
        <f>IF(B27="","",IF(D27+F27&gt;0,F27/(D27+F27),""))</f>
        <v/>
      </c>
      <c r="K27" s="59">
        <f>IF(J27="","",RANK(J27,$J$6:$J$205,0))</f>
        <v/>
      </c>
      <c r="L27" s="29">
        <f>IF(J27="","",IF(J27&lt;=Einstellungen!$C$7,"unauffällig",IF(J27&lt;=Einstellungen!$C$8,"auffällig","kritisch")))</f>
        <v/>
      </c>
      <c r="M27" s="60">
        <f>IF(J27="",-1,J27+ROW()/1000000000)</f>
        <v/>
      </c>
      <c r="O27" s="29" t="n">
        <v>2</v>
      </c>
      <c r="P27" s="6">
        <f>IFERROR(IF(LARGE($M$6:$M$205,2)&gt;=0,INDEX($B$6:$B$205,MATCH(LARGE($M$6:$M$205,2),$M$6:$M$205,0)),""),"")</f>
        <v/>
      </c>
      <c r="Q27" s="38">
        <f>IFERROR(IF(LARGE($M$6:$M$205,2)&gt;=0,INDEX($J$6:$J$205,MATCH(LARGE($M$6:$M$205,2),$M$6:$M$205,0)),""),"")</f>
        <v/>
      </c>
      <c r="R27" s="54">
        <f>IFERROR(IF(LARGE($M$6:$M$205,2)&gt;=0,INDEX($F$6:$F$205,MATCH(LARGE($M$6:$M$205,2),$M$6:$M$205,0)),""),"")</f>
        <v/>
      </c>
    </row>
    <row r="28">
      <c r="A28" s="56">
        <f>IF(Mitarbeiter!B28="","",Mitarbeiter!A28)</f>
        <v/>
      </c>
      <c r="B28" s="57">
        <f>IF(Mitarbeiter!B28="","",Mitarbeiter!B28)</f>
        <v/>
      </c>
      <c r="C28" s="7">
        <f>IF(Mitarbeiter!B28="","",Mitarbeiter!G28)</f>
        <v/>
      </c>
      <c r="D28" s="54">
        <f>IF(B28="","",SUMIFS(Erfassung!$E$6:$E$5005,Erfassung!$B$6:$B$5005,A28,Erfassung!$A$6:$A$5005,"&gt;="&amp;DATE(Einstellungen!$C$3,1,1),Erfassung!$A$6:$A$5005,"&lt;"&amp;DATE(Einstellungen!$C$3+1,1,1)))</f>
        <v/>
      </c>
      <c r="E28" s="58">
        <f>IF(B28="","",IF(D28&gt;0,SUMIFS(Erfassung!$E$6:$E$5005,Erfassung!$B$6:$B$5005,A28,Erfassung!$D$6:$D$5005,Einstellungen!$C$4,Erfassung!$A$6:$A$5005,"&gt;="&amp;DATE(Einstellungen!$C$3,1,1),Erfassung!$A$6:$A$5005,"&lt;"&amp;DATE(Einstellungen!$C$3+1,1,1))/D28,""))</f>
        <v/>
      </c>
      <c r="F28" s="54">
        <f>IF(B28="","",SUMIFS(Erfassung!$G$6:$G$5005,Erfassung!$B$6:$B$5005,A28,Erfassung!$A$6:$A$5005,"&gt;="&amp;DATE(Einstellungen!$C$3,1,1),Erfassung!$A$6:$A$5005,"&lt;"&amp;DATE(Einstellungen!$C$3+1,1,1)))</f>
        <v/>
      </c>
      <c r="G28" s="54">
        <f>IF(B28="","",SUMIFS(Erfassung!$G$6:$G$5005,Erfassung!$B$6:$B$5005,A28,Erfassung!$D$6:$D$5005,Einstellungen!$C$4,Erfassung!$A$6:$A$5005,"&gt;="&amp;DATE(Einstellungen!$C$3,1,1),Erfassung!$A$6:$A$5005,"&lt;"&amp;DATE(Einstellungen!$C$3+1,1,1)))</f>
        <v/>
      </c>
      <c r="H28" s="54">
        <f>IF(B28="","",SUMIFS(Erfassung!$G$6:$G$5005,Erfassung!$B$6:$B$5005,A28,Erfassung!$D$6:$D$5005,Einstellungen!$C$5,Erfassung!$A$6:$A$5005,"&gt;="&amp;DATE(Einstellungen!$C$3,1,1),Erfassung!$A$6:$A$5005,"&lt;"&amp;DATE(Einstellungen!$C$3+1,1,1)))</f>
        <v/>
      </c>
      <c r="I28" s="34">
        <f>IF(B28="","",SUMIFS(Erfassung!$F$6:$F$5005,Erfassung!$B$6:$B$5005,A28,Erfassung!$A$6:$A$5005,"&gt;="&amp;DATE(Einstellungen!$C$3,1,1),Erfassung!$A$6:$A$5005,"&lt;"&amp;DATE(Einstellungen!$C$3+1,1,1)))</f>
        <v/>
      </c>
      <c r="J28" s="38">
        <f>IF(B28="","",IF(D28+F28&gt;0,F28/(D28+F28),""))</f>
        <v/>
      </c>
      <c r="K28" s="59">
        <f>IF(J28="","",RANK(J28,$J$6:$J$205,0))</f>
        <v/>
      </c>
      <c r="L28" s="29">
        <f>IF(J28="","",IF(J28&lt;=Einstellungen!$C$7,"unauffällig",IF(J28&lt;=Einstellungen!$C$8,"auffällig","kritisch")))</f>
        <v/>
      </c>
      <c r="M28" s="60">
        <f>IF(J28="",-1,J28+ROW()/1000000000)</f>
        <v/>
      </c>
      <c r="O28" s="29" t="n">
        <v>3</v>
      </c>
      <c r="P28" s="6">
        <f>IFERROR(IF(LARGE($M$6:$M$205,3)&gt;=0,INDEX($B$6:$B$205,MATCH(LARGE($M$6:$M$205,3),$M$6:$M$205,0)),""),"")</f>
        <v/>
      </c>
      <c r="Q28" s="38">
        <f>IFERROR(IF(LARGE($M$6:$M$205,3)&gt;=0,INDEX($J$6:$J$205,MATCH(LARGE($M$6:$M$205,3),$M$6:$M$205,0)),""),"")</f>
        <v/>
      </c>
      <c r="R28" s="54">
        <f>IFERROR(IF(LARGE($M$6:$M$205,3)&gt;=0,INDEX($F$6:$F$205,MATCH(LARGE($M$6:$M$205,3),$M$6:$M$205,0)),""),"")</f>
        <v/>
      </c>
    </row>
    <row r="29">
      <c r="A29" s="56">
        <f>IF(Mitarbeiter!B29="","",Mitarbeiter!A29)</f>
        <v/>
      </c>
      <c r="B29" s="57">
        <f>IF(Mitarbeiter!B29="","",Mitarbeiter!B29)</f>
        <v/>
      </c>
      <c r="C29" s="7">
        <f>IF(Mitarbeiter!B29="","",Mitarbeiter!G29)</f>
        <v/>
      </c>
      <c r="D29" s="54">
        <f>IF(B29="","",SUMIFS(Erfassung!$E$6:$E$5005,Erfassung!$B$6:$B$5005,A29,Erfassung!$A$6:$A$5005,"&gt;="&amp;DATE(Einstellungen!$C$3,1,1),Erfassung!$A$6:$A$5005,"&lt;"&amp;DATE(Einstellungen!$C$3+1,1,1)))</f>
        <v/>
      </c>
      <c r="E29" s="58">
        <f>IF(B29="","",IF(D29&gt;0,SUMIFS(Erfassung!$E$6:$E$5005,Erfassung!$B$6:$B$5005,A29,Erfassung!$D$6:$D$5005,Einstellungen!$C$4,Erfassung!$A$6:$A$5005,"&gt;="&amp;DATE(Einstellungen!$C$3,1,1),Erfassung!$A$6:$A$5005,"&lt;"&amp;DATE(Einstellungen!$C$3+1,1,1))/D29,""))</f>
        <v/>
      </c>
      <c r="F29" s="54">
        <f>IF(B29="","",SUMIFS(Erfassung!$G$6:$G$5005,Erfassung!$B$6:$B$5005,A29,Erfassung!$A$6:$A$5005,"&gt;="&amp;DATE(Einstellungen!$C$3,1,1),Erfassung!$A$6:$A$5005,"&lt;"&amp;DATE(Einstellungen!$C$3+1,1,1)))</f>
        <v/>
      </c>
      <c r="G29" s="54">
        <f>IF(B29="","",SUMIFS(Erfassung!$G$6:$G$5005,Erfassung!$B$6:$B$5005,A29,Erfassung!$D$6:$D$5005,Einstellungen!$C$4,Erfassung!$A$6:$A$5005,"&gt;="&amp;DATE(Einstellungen!$C$3,1,1),Erfassung!$A$6:$A$5005,"&lt;"&amp;DATE(Einstellungen!$C$3+1,1,1)))</f>
        <v/>
      </c>
      <c r="H29" s="54">
        <f>IF(B29="","",SUMIFS(Erfassung!$G$6:$G$5005,Erfassung!$B$6:$B$5005,A29,Erfassung!$D$6:$D$5005,Einstellungen!$C$5,Erfassung!$A$6:$A$5005,"&gt;="&amp;DATE(Einstellungen!$C$3,1,1),Erfassung!$A$6:$A$5005,"&lt;"&amp;DATE(Einstellungen!$C$3+1,1,1)))</f>
        <v/>
      </c>
      <c r="I29" s="34">
        <f>IF(B29="","",SUMIFS(Erfassung!$F$6:$F$5005,Erfassung!$B$6:$B$5005,A29,Erfassung!$A$6:$A$5005,"&gt;="&amp;DATE(Einstellungen!$C$3,1,1),Erfassung!$A$6:$A$5005,"&lt;"&amp;DATE(Einstellungen!$C$3+1,1,1)))</f>
        <v/>
      </c>
      <c r="J29" s="38">
        <f>IF(B29="","",IF(D29+F29&gt;0,F29/(D29+F29),""))</f>
        <v/>
      </c>
      <c r="K29" s="59">
        <f>IF(J29="","",RANK(J29,$J$6:$J$205,0))</f>
        <v/>
      </c>
      <c r="L29" s="29">
        <f>IF(J29="","",IF(J29&lt;=Einstellungen!$C$7,"unauffällig",IF(J29&lt;=Einstellungen!$C$8,"auffällig","kritisch")))</f>
        <v/>
      </c>
      <c r="M29" s="60">
        <f>IF(J29="",-1,J29+ROW()/1000000000)</f>
        <v/>
      </c>
      <c r="O29" s="29" t="n">
        <v>4</v>
      </c>
      <c r="P29" s="6">
        <f>IFERROR(IF(LARGE($M$6:$M$205,4)&gt;=0,INDEX($B$6:$B$205,MATCH(LARGE($M$6:$M$205,4),$M$6:$M$205,0)),""),"")</f>
        <v/>
      </c>
      <c r="Q29" s="38">
        <f>IFERROR(IF(LARGE($M$6:$M$205,4)&gt;=0,INDEX($J$6:$J$205,MATCH(LARGE($M$6:$M$205,4),$M$6:$M$205,0)),""),"")</f>
        <v/>
      </c>
      <c r="R29" s="54">
        <f>IFERROR(IF(LARGE($M$6:$M$205,4)&gt;=0,INDEX($F$6:$F$205,MATCH(LARGE($M$6:$M$205,4),$M$6:$M$205,0)),""),"")</f>
        <v/>
      </c>
    </row>
    <row r="30">
      <c r="A30" s="56">
        <f>IF(Mitarbeiter!B30="","",Mitarbeiter!A30)</f>
        <v/>
      </c>
      <c r="B30" s="57">
        <f>IF(Mitarbeiter!B30="","",Mitarbeiter!B30)</f>
        <v/>
      </c>
      <c r="C30" s="7">
        <f>IF(Mitarbeiter!B30="","",Mitarbeiter!G30)</f>
        <v/>
      </c>
      <c r="D30" s="54">
        <f>IF(B30="","",SUMIFS(Erfassung!$E$6:$E$5005,Erfassung!$B$6:$B$5005,A30,Erfassung!$A$6:$A$5005,"&gt;="&amp;DATE(Einstellungen!$C$3,1,1),Erfassung!$A$6:$A$5005,"&lt;"&amp;DATE(Einstellungen!$C$3+1,1,1)))</f>
        <v/>
      </c>
      <c r="E30" s="58">
        <f>IF(B30="","",IF(D30&gt;0,SUMIFS(Erfassung!$E$6:$E$5005,Erfassung!$B$6:$B$5005,A30,Erfassung!$D$6:$D$5005,Einstellungen!$C$4,Erfassung!$A$6:$A$5005,"&gt;="&amp;DATE(Einstellungen!$C$3,1,1),Erfassung!$A$6:$A$5005,"&lt;"&amp;DATE(Einstellungen!$C$3+1,1,1))/D30,""))</f>
        <v/>
      </c>
      <c r="F30" s="54">
        <f>IF(B30="","",SUMIFS(Erfassung!$G$6:$G$5005,Erfassung!$B$6:$B$5005,A30,Erfassung!$A$6:$A$5005,"&gt;="&amp;DATE(Einstellungen!$C$3,1,1),Erfassung!$A$6:$A$5005,"&lt;"&amp;DATE(Einstellungen!$C$3+1,1,1)))</f>
        <v/>
      </c>
      <c r="G30" s="54">
        <f>IF(B30="","",SUMIFS(Erfassung!$G$6:$G$5005,Erfassung!$B$6:$B$5005,A30,Erfassung!$D$6:$D$5005,Einstellungen!$C$4,Erfassung!$A$6:$A$5005,"&gt;="&amp;DATE(Einstellungen!$C$3,1,1),Erfassung!$A$6:$A$5005,"&lt;"&amp;DATE(Einstellungen!$C$3+1,1,1)))</f>
        <v/>
      </c>
      <c r="H30" s="54">
        <f>IF(B30="","",SUMIFS(Erfassung!$G$6:$G$5005,Erfassung!$B$6:$B$5005,A30,Erfassung!$D$6:$D$5005,Einstellungen!$C$5,Erfassung!$A$6:$A$5005,"&gt;="&amp;DATE(Einstellungen!$C$3,1,1),Erfassung!$A$6:$A$5005,"&lt;"&amp;DATE(Einstellungen!$C$3+1,1,1)))</f>
        <v/>
      </c>
      <c r="I30" s="34">
        <f>IF(B30="","",SUMIFS(Erfassung!$F$6:$F$5005,Erfassung!$B$6:$B$5005,A30,Erfassung!$A$6:$A$5005,"&gt;="&amp;DATE(Einstellungen!$C$3,1,1),Erfassung!$A$6:$A$5005,"&lt;"&amp;DATE(Einstellungen!$C$3+1,1,1)))</f>
        <v/>
      </c>
      <c r="J30" s="38">
        <f>IF(B30="","",IF(D30+F30&gt;0,F30/(D30+F30),""))</f>
        <v/>
      </c>
      <c r="K30" s="59">
        <f>IF(J30="","",RANK(J30,$J$6:$J$205,0))</f>
        <v/>
      </c>
      <c r="L30" s="29">
        <f>IF(J30="","",IF(J30&lt;=Einstellungen!$C$7,"unauffällig",IF(J30&lt;=Einstellungen!$C$8,"auffällig","kritisch")))</f>
        <v/>
      </c>
      <c r="M30" s="60">
        <f>IF(J30="",-1,J30+ROW()/1000000000)</f>
        <v/>
      </c>
      <c r="O30" s="29" t="n">
        <v>5</v>
      </c>
      <c r="P30" s="6">
        <f>IFERROR(IF(LARGE($M$6:$M$205,5)&gt;=0,INDEX($B$6:$B$205,MATCH(LARGE($M$6:$M$205,5),$M$6:$M$205,0)),""),"")</f>
        <v/>
      </c>
      <c r="Q30" s="38">
        <f>IFERROR(IF(LARGE($M$6:$M$205,5)&gt;=0,INDEX($J$6:$J$205,MATCH(LARGE($M$6:$M$205,5),$M$6:$M$205,0)),""),"")</f>
        <v/>
      </c>
      <c r="R30" s="54">
        <f>IFERROR(IF(LARGE($M$6:$M$205,5)&gt;=0,INDEX($F$6:$F$205,MATCH(LARGE($M$6:$M$205,5),$M$6:$M$205,0)),""),"")</f>
        <v/>
      </c>
    </row>
    <row r="31">
      <c r="A31" s="56">
        <f>IF(Mitarbeiter!B31="","",Mitarbeiter!A31)</f>
        <v/>
      </c>
      <c r="B31" s="57">
        <f>IF(Mitarbeiter!B31="","",Mitarbeiter!B31)</f>
        <v/>
      </c>
      <c r="C31" s="7">
        <f>IF(Mitarbeiter!B31="","",Mitarbeiter!G31)</f>
        <v/>
      </c>
      <c r="D31" s="54">
        <f>IF(B31="","",SUMIFS(Erfassung!$E$6:$E$5005,Erfassung!$B$6:$B$5005,A31,Erfassung!$A$6:$A$5005,"&gt;="&amp;DATE(Einstellungen!$C$3,1,1),Erfassung!$A$6:$A$5005,"&lt;"&amp;DATE(Einstellungen!$C$3+1,1,1)))</f>
        <v/>
      </c>
      <c r="E31" s="58">
        <f>IF(B31="","",IF(D31&gt;0,SUMIFS(Erfassung!$E$6:$E$5005,Erfassung!$B$6:$B$5005,A31,Erfassung!$D$6:$D$5005,Einstellungen!$C$4,Erfassung!$A$6:$A$5005,"&gt;="&amp;DATE(Einstellungen!$C$3,1,1),Erfassung!$A$6:$A$5005,"&lt;"&amp;DATE(Einstellungen!$C$3+1,1,1))/D31,""))</f>
        <v/>
      </c>
      <c r="F31" s="54">
        <f>IF(B31="","",SUMIFS(Erfassung!$G$6:$G$5005,Erfassung!$B$6:$B$5005,A31,Erfassung!$A$6:$A$5005,"&gt;="&amp;DATE(Einstellungen!$C$3,1,1),Erfassung!$A$6:$A$5005,"&lt;"&amp;DATE(Einstellungen!$C$3+1,1,1)))</f>
        <v/>
      </c>
      <c r="G31" s="54">
        <f>IF(B31="","",SUMIFS(Erfassung!$G$6:$G$5005,Erfassung!$B$6:$B$5005,A31,Erfassung!$D$6:$D$5005,Einstellungen!$C$4,Erfassung!$A$6:$A$5005,"&gt;="&amp;DATE(Einstellungen!$C$3,1,1),Erfassung!$A$6:$A$5005,"&lt;"&amp;DATE(Einstellungen!$C$3+1,1,1)))</f>
        <v/>
      </c>
      <c r="H31" s="54">
        <f>IF(B31="","",SUMIFS(Erfassung!$G$6:$G$5005,Erfassung!$B$6:$B$5005,A31,Erfassung!$D$6:$D$5005,Einstellungen!$C$5,Erfassung!$A$6:$A$5005,"&gt;="&amp;DATE(Einstellungen!$C$3,1,1),Erfassung!$A$6:$A$5005,"&lt;"&amp;DATE(Einstellungen!$C$3+1,1,1)))</f>
        <v/>
      </c>
      <c r="I31" s="34">
        <f>IF(B31="","",SUMIFS(Erfassung!$F$6:$F$5005,Erfassung!$B$6:$B$5005,A31,Erfassung!$A$6:$A$5005,"&gt;="&amp;DATE(Einstellungen!$C$3,1,1),Erfassung!$A$6:$A$5005,"&lt;"&amp;DATE(Einstellungen!$C$3+1,1,1)))</f>
        <v/>
      </c>
      <c r="J31" s="38">
        <f>IF(B31="","",IF(D31+F31&gt;0,F31/(D31+F31),""))</f>
        <v/>
      </c>
      <c r="K31" s="59">
        <f>IF(J31="","",RANK(J31,$J$6:$J$205,0))</f>
        <v/>
      </c>
      <c r="L31" s="29">
        <f>IF(J31="","",IF(J31&lt;=Einstellungen!$C$7,"unauffällig",IF(J31&lt;=Einstellungen!$C$8,"auffällig","kritisch")))</f>
        <v/>
      </c>
      <c r="M31" s="60">
        <f>IF(J31="",-1,J31+ROW()/1000000000)</f>
        <v/>
      </c>
      <c r="O31" s="29" t="n">
        <v>6</v>
      </c>
      <c r="P31" s="6">
        <f>IFERROR(IF(LARGE($M$6:$M$205,6)&gt;=0,INDEX($B$6:$B$205,MATCH(LARGE($M$6:$M$205,6),$M$6:$M$205,0)),""),"")</f>
        <v/>
      </c>
      <c r="Q31" s="38">
        <f>IFERROR(IF(LARGE($M$6:$M$205,6)&gt;=0,INDEX($J$6:$J$205,MATCH(LARGE($M$6:$M$205,6),$M$6:$M$205,0)),""),"")</f>
        <v/>
      </c>
      <c r="R31" s="54">
        <f>IFERROR(IF(LARGE($M$6:$M$205,6)&gt;=0,INDEX($F$6:$F$205,MATCH(LARGE($M$6:$M$205,6),$M$6:$M$205,0)),""),"")</f>
        <v/>
      </c>
    </row>
    <row r="32">
      <c r="A32" s="56">
        <f>IF(Mitarbeiter!B32="","",Mitarbeiter!A32)</f>
        <v/>
      </c>
      <c r="B32" s="57">
        <f>IF(Mitarbeiter!B32="","",Mitarbeiter!B32)</f>
        <v/>
      </c>
      <c r="C32" s="7">
        <f>IF(Mitarbeiter!B32="","",Mitarbeiter!G32)</f>
        <v/>
      </c>
      <c r="D32" s="54">
        <f>IF(B32="","",SUMIFS(Erfassung!$E$6:$E$5005,Erfassung!$B$6:$B$5005,A32,Erfassung!$A$6:$A$5005,"&gt;="&amp;DATE(Einstellungen!$C$3,1,1),Erfassung!$A$6:$A$5005,"&lt;"&amp;DATE(Einstellungen!$C$3+1,1,1)))</f>
        <v/>
      </c>
      <c r="E32" s="58">
        <f>IF(B32="","",IF(D32&gt;0,SUMIFS(Erfassung!$E$6:$E$5005,Erfassung!$B$6:$B$5005,A32,Erfassung!$D$6:$D$5005,Einstellungen!$C$4,Erfassung!$A$6:$A$5005,"&gt;="&amp;DATE(Einstellungen!$C$3,1,1),Erfassung!$A$6:$A$5005,"&lt;"&amp;DATE(Einstellungen!$C$3+1,1,1))/D32,""))</f>
        <v/>
      </c>
      <c r="F32" s="54">
        <f>IF(B32="","",SUMIFS(Erfassung!$G$6:$G$5005,Erfassung!$B$6:$B$5005,A32,Erfassung!$A$6:$A$5005,"&gt;="&amp;DATE(Einstellungen!$C$3,1,1),Erfassung!$A$6:$A$5005,"&lt;"&amp;DATE(Einstellungen!$C$3+1,1,1)))</f>
        <v/>
      </c>
      <c r="G32" s="54">
        <f>IF(B32="","",SUMIFS(Erfassung!$G$6:$G$5005,Erfassung!$B$6:$B$5005,A32,Erfassung!$D$6:$D$5005,Einstellungen!$C$4,Erfassung!$A$6:$A$5005,"&gt;="&amp;DATE(Einstellungen!$C$3,1,1),Erfassung!$A$6:$A$5005,"&lt;"&amp;DATE(Einstellungen!$C$3+1,1,1)))</f>
        <v/>
      </c>
      <c r="H32" s="54">
        <f>IF(B32="","",SUMIFS(Erfassung!$G$6:$G$5005,Erfassung!$B$6:$B$5005,A32,Erfassung!$D$6:$D$5005,Einstellungen!$C$5,Erfassung!$A$6:$A$5005,"&gt;="&amp;DATE(Einstellungen!$C$3,1,1),Erfassung!$A$6:$A$5005,"&lt;"&amp;DATE(Einstellungen!$C$3+1,1,1)))</f>
        <v/>
      </c>
      <c r="I32" s="34">
        <f>IF(B32="","",SUMIFS(Erfassung!$F$6:$F$5005,Erfassung!$B$6:$B$5005,A32,Erfassung!$A$6:$A$5005,"&gt;="&amp;DATE(Einstellungen!$C$3,1,1),Erfassung!$A$6:$A$5005,"&lt;"&amp;DATE(Einstellungen!$C$3+1,1,1)))</f>
        <v/>
      </c>
      <c r="J32" s="38">
        <f>IF(B32="","",IF(D32+F32&gt;0,F32/(D32+F32),""))</f>
        <v/>
      </c>
      <c r="K32" s="59">
        <f>IF(J32="","",RANK(J32,$J$6:$J$205,0))</f>
        <v/>
      </c>
      <c r="L32" s="29">
        <f>IF(J32="","",IF(J32&lt;=Einstellungen!$C$7,"unauffällig",IF(J32&lt;=Einstellungen!$C$8,"auffällig","kritisch")))</f>
        <v/>
      </c>
      <c r="M32" s="60">
        <f>IF(J32="",-1,J32+ROW()/1000000000)</f>
        <v/>
      </c>
      <c r="O32" s="29" t="n">
        <v>7</v>
      </c>
      <c r="P32" s="6">
        <f>IFERROR(IF(LARGE($M$6:$M$205,7)&gt;=0,INDEX($B$6:$B$205,MATCH(LARGE($M$6:$M$205,7),$M$6:$M$205,0)),""),"")</f>
        <v/>
      </c>
      <c r="Q32" s="38">
        <f>IFERROR(IF(LARGE($M$6:$M$205,7)&gt;=0,INDEX($J$6:$J$205,MATCH(LARGE($M$6:$M$205,7),$M$6:$M$205,0)),""),"")</f>
        <v/>
      </c>
      <c r="R32" s="54">
        <f>IFERROR(IF(LARGE($M$6:$M$205,7)&gt;=0,INDEX($F$6:$F$205,MATCH(LARGE($M$6:$M$205,7),$M$6:$M$205,0)),""),"")</f>
        <v/>
      </c>
    </row>
    <row r="33">
      <c r="A33" s="56">
        <f>IF(Mitarbeiter!B33="","",Mitarbeiter!A33)</f>
        <v/>
      </c>
      <c r="B33" s="57">
        <f>IF(Mitarbeiter!B33="","",Mitarbeiter!B33)</f>
        <v/>
      </c>
      <c r="C33" s="7">
        <f>IF(Mitarbeiter!B33="","",Mitarbeiter!G33)</f>
        <v/>
      </c>
      <c r="D33" s="54">
        <f>IF(B33="","",SUMIFS(Erfassung!$E$6:$E$5005,Erfassung!$B$6:$B$5005,A33,Erfassung!$A$6:$A$5005,"&gt;="&amp;DATE(Einstellungen!$C$3,1,1),Erfassung!$A$6:$A$5005,"&lt;"&amp;DATE(Einstellungen!$C$3+1,1,1)))</f>
        <v/>
      </c>
      <c r="E33" s="58">
        <f>IF(B33="","",IF(D33&gt;0,SUMIFS(Erfassung!$E$6:$E$5005,Erfassung!$B$6:$B$5005,A33,Erfassung!$D$6:$D$5005,Einstellungen!$C$4,Erfassung!$A$6:$A$5005,"&gt;="&amp;DATE(Einstellungen!$C$3,1,1),Erfassung!$A$6:$A$5005,"&lt;"&amp;DATE(Einstellungen!$C$3+1,1,1))/D33,""))</f>
        <v/>
      </c>
      <c r="F33" s="54">
        <f>IF(B33="","",SUMIFS(Erfassung!$G$6:$G$5005,Erfassung!$B$6:$B$5005,A33,Erfassung!$A$6:$A$5005,"&gt;="&amp;DATE(Einstellungen!$C$3,1,1),Erfassung!$A$6:$A$5005,"&lt;"&amp;DATE(Einstellungen!$C$3+1,1,1)))</f>
        <v/>
      </c>
      <c r="G33" s="54">
        <f>IF(B33="","",SUMIFS(Erfassung!$G$6:$G$5005,Erfassung!$B$6:$B$5005,A33,Erfassung!$D$6:$D$5005,Einstellungen!$C$4,Erfassung!$A$6:$A$5005,"&gt;="&amp;DATE(Einstellungen!$C$3,1,1),Erfassung!$A$6:$A$5005,"&lt;"&amp;DATE(Einstellungen!$C$3+1,1,1)))</f>
        <v/>
      </c>
      <c r="H33" s="54">
        <f>IF(B33="","",SUMIFS(Erfassung!$G$6:$G$5005,Erfassung!$B$6:$B$5005,A33,Erfassung!$D$6:$D$5005,Einstellungen!$C$5,Erfassung!$A$6:$A$5005,"&gt;="&amp;DATE(Einstellungen!$C$3,1,1),Erfassung!$A$6:$A$5005,"&lt;"&amp;DATE(Einstellungen!$C$3+1,1,1)))</f>
        <v/>
      </c>
      <c r="I33" s="34">
        <f>IF(B33="","",SUMIFS(Erfassung!$F$6:$F$5005,Erfassung!$B$6:$B$5005,A33,Erfassung!$A$6:$A$5005,"&gt;="&amp;DATE(Einstellungen!$C$3,1,1),Erfassung!$A$6:$A$5005,"&lt;"&amp;DATE(Einstellungen!$C$3+1,1,1)))</f>
        <v/>
      </c>
      <c r="J33" s="38">
        <f>IF(B33="","",IF(D33+F33&gt;0,F33/(D33+F33),""))</f>
        <v/>
      </c>
      <c r="K33" s="59">
        <f>IF(J33="","",RANK(J33,$J$6:$J$205,0))</f>
        <v/>
      </c>
      <c r="L33" s="29">
        <f>IF(J33="","",IF(J33&lt;=Einstellungen!$C$7,"unauffällig",IF(J33&lt;=Einstellungen!$C$8,"auffällig","kritisch")))</f>
        <v/>
      </c>
      <c r="M33" s="60">
        <f>IF(J33="",-1,J33+ROW()/1000000000)</f>
        <v/>
      </c>
      <c r="O33" s="29" t="n">
        <v>8</v>
      </c>
      <c r="P33" s="6">
        <f>IFERROR(IF(LARGE($M$6:$M$205,8)&gt;=0,INDEX($B$6:$B$205,MATCH(LARGE($M$6:$M$205,8),$M$6:$M$205,0)),""),"")</f>
        <v/>
      </c>
      <c r="Q33" s="38">
        <f>IFERROR(IF(LARGE($M$6:$M$205,8)&gt;=0,INDEX($J$6:$J$205,MATCH(LARGE($M$6:$M$205,8),$M$6:$M$205,0)),""),"")</f>
        <v/>
      </c>
      <c r="R33" s="54">
        <f>IFERROR(IF(LARGE($M$6:$M$205,8)&gt;=0,INDEX($F$6:$F$205,MATCH(LARGE($M$6:$M$205,8),$M$6:$M$205,0)),""),"")</f>
        <v/>
      </c>
    </row>
    <row r="34">
      <c r="A34" s="56">
        <f>IF(Mitarbeiter!B34="","",Mitarbeiter!A34)</f>
        <v/>
      </c>
      <c r="B34" s="57">
        <f>IF(Mitarbeiter!B34="","",Mitarbeiter!B34)</f>
        <v/>
      </c>
      <c r="C34" s="7">
        <f>IF(Mitarbeiter!B34="","",Mitarbeiter!G34)</f>
        <v/>
      </c>
      <c r="D34" s="54">
        <f>IF(B34="","",SUMIFS(Erfassung!$E$6:$E$5005,Erfassung!$B$6:$B$5005,A34,Erfassung!$A$6:$A$5005,"&gt;="&amp;DATE(Einstellungen!$C$3,1,1),Erfassung!$A$6:$A$5005,"&lt;"&amp;DATE(Einstellungen!$C$3+1,1,1)))</f>
        <v/>
      </c>
      <c r="E34" s="58">
        <f>IF(B34="","",IF(D34&gt;0,SUMIFS(Erfassung!$E$6:$E$5005,Erfassung!$B$6:$B$5005,A34,Erfassung!$D$6:$D$5005,Einstellungen!$C$4,Erfassung!$A$6:$A$5005,"&gt;="&amp;DATE(Einstellungen!$C$3,1,1),Erfassung!$A$6:$A$5005,"&lt;"&amp;DATE(Einstellungen!$C$3+1,1,1))/D34,""))</f>
        <v/>
      </c>
      <c r="F34" s="54">
        <f>IF(B34="","",SUMIFS(Erfassung!$G$6:$G$5005,Erfassung!$B$6:$B$5005,A34,Erfassung!$A$6:$A$5005,"&gt;="&amp;DATE(Einstellungen!$C$3,1,1),Erfassung!$A$6:$A$5005,"&lt;"&amp;DATE(Einstellungen!$C$3+1,1,1)))</f>
        <v/>
      </c>
      <c r="G34" s="54">
        <f>IF(B34="","",SUMIFS(Erfassung!$G$6:$G$5005,Erfassung!$B$6:$B$5005,A34,Erfassung!$D$6:$D$5005,Einstellungen!$C$4,Erfassung!$A$6:$A$5005,"&gt;="&amp;DATE(Einstellungen!$C$3,1,1),Erfassung!$A$6:$A$5005,"&lt;"&amp;DATE(Einstellungen!$C$3+1,1,1)))</f>
        <v/>
      </c>
      <c r="H34" s="54">
        <f>IF(B34="","",SUMIFS(Erfassung!$G$6:$G$5005,Erfassung!$B$6:$B$5005,A34,Erfassung!$D$6:$D$5005,Einstellungen!$C$5,Erfassung!$A$6:$A$5005,"&gt;="&amp;DATE(Einstellungen!$C$3,1,1),Erfassung!$A$6:$A$5005,"&lt;"&amp;DATE(Einstellungen!$C$3+1,1,1)))</f>
        <v/>
      </c>
      <c r="I34" s="34">
        <f>IF(B34="","",SUMIFS(Erfassung!$F$6:$F$5005,Erfassung!$B$6:$B$5005,A34,Erfassung!$A$6:$A$5005,"&gt;="&amp;DATE(Einstellungen!$C$3,1,1),Erfassung!$A$6:$A$5005,"&lt;"&amp;DATE(Einstellungen!$C$3+1,1,1)))</f>
        <v/>
      </c>
      <c r="J34" s="38">
        <f>IF(B34="","",IF(D34+F34&gt;0,F34/(D34+F34),""))</f>
        <v/>
      </c>
      <c r="K34" s="59">
        <f>IF(J34="","",RANK(J34,$J$6:$J$205,0))</f>
        <v/>
      </c>
      <c r="L34" s="29">
        <f>IF(J34="","",IF(J34&lt;=Einstellungen!$C$7,"unauffällig",IF(J34&lt;=Einstellungen!$C$8,"auffällig","kritisch")))</f>
        <v/>
      </c>
      <c r="M34" s="60">
        <f>IF(J34="",-1,J34+ROW()/1000000000)</f>
        <v/>
      </c>
      <c r="O34" s="29" t="n">
        <v>9</v>
      </c>
      <c r="P34" s="6">
        <f>IFERROR(IF(LARGE($M$6:$M$205,9)&gt;=0,INDEX($B$6:$B$205,MATCH(LARGE($M$6:$M$205,9),$M$6:$M$205,0)),""),"")</f>
        <v/>
      </c>
      <c r="Q34" s="38">
        <f>IFERROR(IF(LARGE($M$6:$M$205,9)&gt;=0,INDEX($J$6:$J$205,MATCH(LARGE($M$6:$M$205,9),$M$6:$M$205,0)),""),"")</f>
        <v/>
      </c>
      <c r="R34" s="54">
        <f>IFERROR(IF(LARGE($M$6:$M$205,9)&gt;=0,INDEX($F$6:$F$205,MATCH(LARGE($M$6:$M$205,9),$M$6:$M$205,0)),""),"")</f>
        <v/>
      </c>
    </row>
    <row r="35">
      <c r="A35" s="56">
        <f>IF(Mitarbeiter!B35="","",Mitarbeiter!A35)</f>
        <v/>
      </c>
      <c r="B35" s="57">
        <f>IF(Mitarbeiter!B35="","",Mitarbeiter!B35)</f>
        <v/>
      </c>
      <c r="C35" s="7">
        <f>IF(Mitarbeiter!B35="","",Mitarbeiter!G35)</f>
        <v/>
      </c>
      <c r="D35" s="54">
        <f>IF(B35="","",SUMIFS(Erfassung!$E$6:$E$5005,Erfassung!$B$6:$B$5005,A35,Erfassung!$A$6:$A$5005,"&gt;="&amp;DATE(Einstellungen!$C$3,1,1),Erfassung!$A$6:$A$5005,"&lt;"&amp;DATE(Einstellungen!$C$3+1,1,1)))</f>
        <v/>
      </c>
      <c r="E35" s="58">
        <f>IF(B35="","",IF(D35&gt;0,SUMIFS(Erfassung!$E$6:$E$5005,Erfassung!$B$6:$B$5005,A35,Erfassung!$D$6:$D$5005,Einstellungen!$C$4,Erfassung!$A$6:$A$5005,"&gt;="&amp;DATE(Einstellungen!$C$3,1,1),Erfassung!$A$6:$A$5005,"&lt;"&amp;DATE(Einstellungen!$C$3+1,1,1))/D35,""))</f>
        <v/>
      </c>
      <c r="F35" s="54">
        <f>IF(B35="","",SUMIFS(Erfassung!$G$6:$G$5005,Erfassung!$B$6:$B$5005,A35,Erfassung!$A$6:$A$5005,"&gt;="&amp;DATE(Einstellungen!$C$3,1,1),Erfassung!$A$6:$A$5005,"&lt;"&amp;DATE(Einstellungen!$C$3+1,1,1)))</f>
        <v/>
      </c>
      <c r="G35" s="54">
        <f>IF(B35="","",SUMIFS(Erfassung!$G$6:$G$5005,Erfassung!$B$6:$B$5005,A35,Erfassung!$D$6:$D$5005,Einstellungen!$C$4,Erfassung!$A$6:$A$5005,"&gt;="&amp;DATE(Einstellungen!$C$3,1,1),Erfassung!$A$6:$A$5005,"&lt;"&amp;DATE(Einstellungen!$C$3+1,1,1)))</f>
        <v/>
      </c>
      <c r="H35" s="54">
        <f>IF(B35="","",SUMIFS(Erfassung!$G$6:$G$5005,Erfassung!$B$6:$B$5005,A35,Erfassung!$D$6:$D$5005,Einstellungen!$C$5,Erfassung!$A$6:$A$5005,"&gt;="&amp;DATE(Einstellungen!$C$3,1,1),Erfassung!$A$6:$A$5005,"&lt;"&amp;DATE(Einstellungen!$C$3+1,1,1)))</f>
        <v/>
      </c>
      <c r="I35" s="34">
        <f>IF(B35="","",SUMIFS(Erfassung!$F$6:$F$5005,Erfassung!$B$6:$B$5005,A35,Erfassung!$A$6:$A$5005,"&gt;="&amp;DATE(Einstellungen!$C$3,1,1),Erfassung!$A$6:$A$5005,"&lt;"&amp;DATE(Einstellungen!$C$3+1,1,1)))</f>
        <v/>
      </c>
      <c r="J35" s="38">
        <f>IF(B35="","",IF(D35+F35&gt;0,F35/(D35+F35),""))</f>
        <v/>
      </c>
      <c r="K35" s="59">
        <f>IF(J35="","",RANK(J35,$J$6:$J$205,0))</f>
        <v/>
      </c>
      <c r="L35" s="29">
        <f>IF(J35="","",IF(J35&lt;=Einstellungen!$C$7,"unauffällig",IF(J35&lt;=Einstellungen!$C$8,"auffällig","kritisch")))</f>
        <v/>
      </c>
      <c r="M35" s="60">
        <f>IF(J35="",-1,J35+ROW()/1000000000)</f>
        <v/>
      </c>
      <c r="O35" s="29" t="n">
        <v>10</v>
      </c>
      <c r="P35" s="6">
        <f>IFERROR(IF(LARGE($M$6:$M$205,10)&gt;=0,INDEX($B$6:$B$205,MATCH(LARGE($M$6:$M$205,10),$M$6:$M$205,0)),""),"")</f>
        <v/>
      </c>
      <c r="Q35" s="38">
        <f>IFERROR(IF(LARGE($M$6:$M$205,10)&gt;=0,INDEX($J$6:$J$205,MATCH(LARGE($M$6:$M$205,10),$M$6:$M$205,0)),""),"")</f>
        <v/>
      </c>
      <c r="R35" s="54">
        <f>IFERROR(IF(LARGE($M$6:$M$205,10)&gt;=0,INDEX($F$6:$F$205,MATCH(LARGE($M$6:$M$205,10),$M$6:$M$205,0)),""),"")</f>
        <v/>
      </c>
    </row>
    <row r="36">
      <c r="A36" s="56">
        <f>IF(Mitarbeiter!B36="","",Mitarbeiter!A36)</f>
        <v/>
      </c>
      <c r="B36" s="57">
        <f>IF(Mitarbeiter!B36="","",Mitarbeiter!B36)</f>
        <v/>
      </c>
      <c r="C36" s="7">
        <f>IF(Mitarbeiter!B36="","",Mitarbeiter!G36)</f>
        <v/>
      </c>
      <c r="D36" s="54">
        <f>IF(B36="","",SUMIFS(Erfassung!$E$6:$E$5005,Erfassung!$B$6:$B$5005,A36,Erfassung!$A$6:$A$5005,"&gt;="&amp;DATE(Einstellungen!$C$3,1,1),Erfassung!$A$6:$A$5005,"&lt;"&amp;DATE(Einstellungen!$C$3+1,1,1)))</f>
        <v/>
      </c>
      <c r="E36" s="58">
        <f>IF(B36="","",IF(D36&gt;0,SUMIFS(Erfassung!$E$6:$E$5005,Erfassung!$B$6:$B$5005,A36,Erfassung!$D$6:$D$5005,Einstellungen!$C$4,Erfassung!$A$6:$A$5005,"&gt;="&amp;DATE(Einstellungen!$C$3,1,1),Erfassung!$A$6:$A$5005,"&lt;"&amp;DATE(Einstellungen!$C$3+1,1,1))/D36,""))</f>
        <v/>
      </c>
      <c r="F36" s="54">
        <f>IF(B36="","",SUMIFS(Erfassung!$G$6:$G$5005,Erfassung!$B$6:$B$5005,A36,Erfassung!$A$6:$A$5005,"&gt;="&amp;DATE(Einstellungen!$C$3,1,1),Erfassung!$A$6:$A$5005,"&lt;"&amp;DATE(Einstellungen!$C$3+1,1,1)))</f>
        <v/>
      </c>
      <c r="G36" s="54">
        <f>IF(B36="","",SUMIFS(Erfassung!$G$6:$G$5005,Erfassung!$B$6:$B$5005,A36,Erfassung!$D$6:$D$5005,Einstellungen!$C$4,Erfassung!$A$6:$A$5005,"&gt;="&amp;DATE(Einstellungen!$C$3,1,1),Erfassung!$A$6:$A$5005,"&lt;"&amp;DATE(Einstellungen!$C$3+1,1,1)))</f>
        <v/>
      </c>
      <c r="H36" s="54">
        <f>IF(B36="","",SUMIFS(Erfassung!$G$6:$G$5005,Erfassung!$B$6:$B$5005,A36,Erfassung!$D$6:$D$5005,Einstellungen!$C$5,Erfassung!$A$6:$A$5005,"&gt;="&amp;DATE(Einstellungen!$C$3,1,1),Erfassung!$A$6:$A$5005,"&lt;"&amp;DATE(Einstellungen!$C$3+1,1,1)))</f>
        <v/>
      </c>
      <c r="I36" s="34">
        <f>IF(B36="","",SUMIFS(Erfassung!$F$6:$F$5005,Erfassung!$B$6:$B$5005,A36,Erfassung!$A$6:$A$5005,"&gt;="&amp;DATE(Einstellungen!$C$3,1,1),Erfassung!$A$6:$A$5005,"&lt;"&amp;DATE(Einstellungen!$C$3+1,1,1)))</f>
        <v/>
      </c>
      <c r="J36" s="38">
        <f>IF(B36="","",IF(D36+F36&gt;0,F36/(D36+F36),""))</f>
        <v/>
      </c>
      <c r="K36" s="59">
        <f>IF(J36="","",RANK(J36,$J$6:$J$205,0))</f>
        <v/>
      </c>
      <c r="L36" s="29">
        <f>IF(J36="","",IF(J36&lt;=Einstellungen!$C$7,"unauffällig",IF(J36&lt;=Einstellungen!$C$8,"auffällig","kritisch")))</f>
        <v/>
      </c>
      <c r="M36" s="60">
        <f>IF(J36="",-1,J36+ROW()/1000000000)</f>
        <v/>
      </c>
    </row>
    <row r="37">
      <c r="A37" s="56">
        <f>IF(Mitarbeiter!B37="","",Mitarbeiter!A37)</f>
        <v/>
      </c>
      <c r="B37" s="57">
        <f>IF(Mitarbeiter!B37="","",Mitarbeiter!B37)</f>
        <v/>
      </c>
      <c r="C37" s="7">
        <f>IF(Mitarbeiter!B37="","",Mitarbeiter!G37)</f>
        <v/>
      </c>
      <c r="D37" s="54">
        <f>IF(B37="","",SUMIFS(Erfassung!$E$6:$E$5005,Erfassung!$B$6:$B$5005,A37,Erfassung!$A$6:$A$5005,"&gt;="&amp;DATE(Einstellungen!$C$3,1,1),Erfassung!$A$6:$A$5005,"&lt;"&amp;DATE(Einstellungen!$C$3+1,1,1)))</f>
        <v/>
      </c>
      <c r="E37" s="58">
        <f>IF(B37="","",IF(D37&gt;0,SUMIFS(Erfassung!$E$6:$E$5005,Erfassung!$B$6:$B$5005,A37,Erfassung!$D$6:$D$5005,Einstellungen!$C$4,Erfassung!$A$6:$A$5005,"&gt;="&amp;DATE(Einstellungen!$C$3,1,1),Erfassung!$A$6:$A$5005,"&lt;"&amp;DATE(Einstellungen!$C$3+1,1,1))/D37,""))</f>
        <v/>
      </c>
      <c r="F37" s="54">
        <f>IF(B37="","",SUMIFS(Erfassung!$G$6:$G$5005,Erfassung!$B$6:$B$5005,A37,Erfassung!$A$6:$A$5005,"&gt;="&amp;DATE(Einstellungen!$C$3,1,1),Erfassung!$A$6:$A$5005,"&lt;"&amp;DATE(Einstellungen!$C$3+1,1,1)))</f>
        <v/>
      </c>
      <c r="G37" s="54">
        <f>IF(B37="","",SUMIFS(Erfassung!$G$6:$G$5005,Erfassung!$B$6:$B$5005,A37,Erfassung!$D$6:$D$5005,Einstellungen!$C$4,Erfassung!$A$6:$A$5005,"&gt;="&amp;DATE(Einstellungen!$C$3,1,1),Erfassung!$A$6:$A$5005,"&lt;"&amp;DATE(Einstellungen!$C$3+1,1,1)))</f>
        <v/>
      </c>
      <c r="H37" s="54">
        <f>IF(B37="","",SUMIFS(Erfassung!$G$6:$G$5005,Erfassung!$B$6:$B$5005,A37,Erfassung!$D$6:$D$5005,Einstellungen!$C$5,Erfassung!$A$6:$A$5005,"&gt;="&amp;DATE(Einstellungen!$C$3,1,1),Erfassung!$A$6:$A$5005,"&lt;"&amp;DATE(Einstellungen!$C$3+1,1,1)))</f>
        <v/>
      </c>
      <c r="I37" s="34">
        <f>IF(B37="","",SUMIFS(Erfassung!$F$6:$F$5005,Erfassung!$B$6:$B$5005,A37,Erfassung!$A$6:$A$5005,"&gt;="&amp;DATE(Einstellungen!$C$3,1,1),Erfassung!$A$6:$A$5005,"&lt;"&amp;DATE(Einstellungen!$C$3+1,1,1)))</f>
        <v/>
      </c>
      <c r="J37" s="38">
        <f>IF(B37="","",IF(D37+F37&gt;0,F37/(D37+F37),""))</f>
        <v/>
      </c>
      <c r="K37" s="59">
        <f>IF(J37="","",RANK(J37,$J$6:$J$205,0))</f>
        <v/>
      </c>
      <c r="L37" s="29">
        <f>IF(J37="","",IF(J37&lt;=Einstellungen!$C$7,"unauffällig",IF(J37&lt;=Einstellungen!$C$8,"auffällig","kritisch")))</f>
        <v/>
      </c>
      <c r="M37" s="60">
        <f>IF(J37="",-1,J37+ROW()/1000000000)</f>
        <v/>
      </c>
    </row>
    <row r="38">
      <c r="A38" s="56">
        <f>IF(Mitarbeiter!B38="","",Mitarbeiter!A38)</f>
        <v/>
      </c>
      <c r="B38" s="57">
        <f>IF(Mitarbeiter!B38="","",Mitarbeiter!B38)</f>
        <v/>
      </c>
      <c r="C38" s="7">
        <f>IF(Mitarbeiter!B38="","",Mitarbeiter!G38)</f>
        <v/>
      </c>
      <c r="D38" s="54">
        <f>IF(B38="","",SUMIFS(Erfassung!$E$6:$E$5005,Erfassung!$B$6:$B$5005,A38,Erfassung!$A$6:$A$5005,"&gt;="&amp;DATE(Einstellungen!$C$3,1,1),Erfassung!$A$6:$A$5005,"&lt;"&amp;DATE(Einstellungen!$C$3+1,1,1)))</f>
        <v/>
      </c>
      <c r="E38" s="58">
        <f>IF(B38="","",IF(D38&gt;0,SUMIFS(Erfassung!$E$6:$E$5005,Erfassung!$B$6:$B$5005,A38,Erfassung!$D$6:$D$5005,Einstellungen!$C$4,Erfassung!$A$6:$A$5005,"&gt;="&amp;DATE(Einstellungen!$C$3,1,1),Erfassung!$A$6:$A$5005,"&lt;"&amp;DATE(Einstellungen!$C$3+1,1,1))/D38,""))</f>
        <v/>
      </c>
      <c r="F38" s="54">
        <f>IF(B38="","",SUMIFS(Erfassung!$G$6:$G$5005,Erfassung!$B$6:$B$5005,A38,Erfassung!$A$6:$A$5005,"&gt;="&amp;DATE(Einstellungen!$C$3,1,1),Erfassung!$A$6:$A$5005,"&lt;"&amp;DATE(Einstellungen!$C$3+1,1,1)))</f>
        <v/>
      </c>
      <c r="G38" s="54">
        <f>IF(B38="","",SUMIFS(Erfassung!$G$6:$G$5005,Erfassung!$B$6:$B$5005,A38,Erfassung!$D$6:$D$5005,Einstellungen!$C$4,Erfassung!$A$6:$A$5005,"&gt;="&amp;DATE(Einstellungen!$C$3,1,1),Erfassung!$A$6:$A$5005,"&lt;"&amp;DATE(Einstellungen!$C$3+1,1,1)))</f>
        <v/>
      </c>
      <c r="H38" s="54">
        <f>IF(B38="","",SUMIFS(Erfassung!$G$6:$G$5005,Erfassung!$B$6:$B$5005,A38,Erfassung!$D$6:$D$5005,Einstellungen!$C$5,Erfassung!$A$6:$A$5005,"&gt;="&amp;DATE(Einstellungen!$C$3,1,1),Erfassung!$A$6:$A$5005,"&lt;"&amp;DATE(Einstellungen!$C$3+1,1,1)))</f>
        <v/>
      </c>
      <c r="I38" s="34">
        <f>IF(B38="","",SUMIFS(Erfassung!$F$6:$F$5005,Erfassung!$B$6:$B$5005,A38,Erfassung!$A$6:$A$5005,"&gt;="&amp;DATE(Einstellungen!$C$3,1,1),Erfassung!$A$6:$A$5005,"&lt;"&amp;DATE(Einstellungen!$C$3+1,1,1)))</f>
        <v/>
      </c>
      <c r="J38" s="38">
        <f>IF(B38="","",IF(D38+F38&gt;0,F38/(D38+F38),""))</f>
        <v/>
      </c>
      <c r="K38" s="59">
        <f>IF(J38="","",RANK(J38,$J$6:$J$205,0))</f>
        <v/>
      </c>
      <c r="L38" s="29">
        <f>IF(J38="","",IF(J38&lt;=Einstellungen!$C$7,"unauffällig",IF(J38&lt;=Einstellungen!$C$8,"auffällig","kritisch")))</f>
        <v/>
      </c>
      <c r="M38" s="60">
        <f>IF(J38="",-1,J38+ROW()/1000000000)</f>
        <v/>
      </c>
    </row>
    <row r="39">
      <c r="A39" s="56">
        <f>IF(Mitarbeiter!B39="","",Mitarbeiter!A39)</f>
        <v/>
      </c>
      <c r="B39" s="57">
        <f>IF(Mitarbeiter!B39="","",Mitarbeiter!B39)</f>
        <v/>
      </c>
      <c r="C39" s="7">
        <f>IF(Mitarbeiter!B39="","",Mitarbeiter!G39)</f>
        <v/>
      </c>
      <c r="D39" s="54">
        <f>IF(B39="","",SUMIFS(Erfassung!$E$6:$E$5005,Erfassung!$B$6:$B$5005,A39,Erfassung!$A$6:$A$5005,"&gt;="&amp;DATE(Einstellungen!$C$3,1,1),Erfassung!$A$6:$A$5005,"&lt;"&amp;DATE(Einstellungen!$C$3+1,1,1)))</f>
        <v/>
      </c>
      <c r="E39" s="58">
        <f>IF(B39="","",IF(D39&gt;0,SUMIFS(Erfassung!$E$6:$E$5005,Erfassung!$B$6:$B$5005,A39,Erfassung!$D$6:$D$5005,Einstellungen!$C$4,Erfassung!$A$6:$A$5005,"&gt;="&amp;DATE(Einstellungen!$C$3,1,1),Erfassung!$A$6:$A$5005,"&lt;"&amp;DATE(Einstellungen!$C$3+1,1,1))/D39,""))</f>
        <v/>
      </c>
      <c r="F39" s="54">
        <f>IF(B39="","",SUMIFS(Erfassung!$G$6:$G$5005,Erfassung!$B$6:$B$5005,A39,Erfassung!$A$6:$A$5005,"&gt;="&amp;DATE(Einstellungen!$C$3,1,1),Erfassung!$A$6:$A$5005,"&lt;"&amp;DATE(Einstellungen!$C$3+1,1,1)))</f>
        <v/>
      </c>
      <c r="G39" s="54">
        <f>IF(B39="","",SUMIFS(Erfassung!$G$6:$G$5005,Erfassung!$B$6:$B$5005,A39,Erfassung!$D$6:$D$5005,Einstellungen!$C$4,Erfassung!$A$6:$A$5005,"&gt;="&amp;DATE(Einstellungen!$C$3,1,1),Erfassung!$A$6:$A$5005,"&lt;"&amp;DATE(Einstellungen!$C$3+1,1,1)))</f>
        <v/>
      </c>
      <c r="H39" s="54">
        <f>IF(B39="","",SUMIFS(Erfassung!$G$6:$G$5005,Erfassung!$B$6:$B$5005,A39,Erfassung!$D$6:$D$5005,Einstellungen!$C$5,Erfassung!$A$6:$A$5005,"&gt;="&amp;DATE(Einstellungen!$C$3,1,1),Erfassung!$A$6:$A$5005,"&lt;"&amp;DATE(Einstellungen!$C$3+1,1,1)))</f>
        <v/>
      </c>
      <c r="I39" s="34">
        <f>IF(B39="","",SUMIFS(Erfassung!$F$6:$F$5005,Erfassung!$B$6:$B$5005,A39,Erfassung!$A$6:$A$5005,"&gt;="&amp;DATE(Einstellungen!$C$3,1,1),Erfassung!$A$6:$A$5005,"&lt;"&amp;DATE(Einstellungen!$C$3+1,1,1)))</f>
        <v/>
      </c>
      <c r="J39" s="38">
        <f>IF(B39="","",IF(D39+F39&gt;0,F39/(D39+F39),""))</f>
        <v/>
      </c>
      <c r="K39" s="59">
        <f>IF(J39="","",RANK(J39,$J$6:$J$205,0))</f>
        <v/>
      </c>
      <c r="L39" s="29">
        <f>IF(J39="","",IF(J39&lt;=Einstellungen!$C$7,"unauffällig",IF(J39&lt;=Einstellungen!$C$8,"auffällig","kritisch")))</f>
        <v/>
      </c>
      <c r="M39" s="60">
        <f>IF(J39="",-1,J39+ROW()/1000000000)</f>
        <v/>
      </c>
    </row>
    <row r="40">
      <c r="A40" s="56">
        <f>IF(Mitarbeiter!B40="","",Mitarbeiter!A40)</f>
        <v/>
      </c>
      <c r="B40" s="57">
        <f>IF(Mitarbeiter!B40="","",Mitarbeiter!B40)</f>
        <v/>
      </c>
      <c r="C40" s="7">
        <f>IF(Mitarbeiter!B40="","",Mitarbeiter!G40)</f>
        <v/>
      </c>
      <c r="D40" s="54">
        <f>IF(B40="","",SUMIFS(Erfassung!$E$6:$E$5005,Erfassung!$B$6:$B$5005,A40,Erfassung!$A$6:$A$5005,"&gt;="&amp;DATE(Einstellungen!$C$3,1,1),Erfassung!$A$6:$A$5005,"&lt;"&amp;DATE(Einstellungen!$C$3+1,1,1)))</f>
        <v/>
      </c>
      <c r="E40" s="58">
        <f>IF(B40="","",IF(D40&gt;0,SUMIFS(Erfassung!$E$6:$E$5005,Erfassung!$B$6:$B$5005,A40,Erfassung!$D$6:$D$5005,Einstellungen!$C$4,Erfassung!$A$6:$A$5005,"&gt;="&amp;DATE(Einstellungen!$C$3,1,1),Erfassung!$A$6:$A$5005,"&lt;"&amp;DATE(Einstellungen!$C$3+1,1,1))/D40,""))</f>
        <v/>
      </c>
      <c r="F40" s="54">
        <f>IF(B40="","",SUMIFS(Erfassung!$G$6:$G$5005,Erfassung!$B$6:$B$5005,A40,Erfassung!$A$6:$A$5005,"&gt;="&amp;DATE(Einstellungen!$C$3,1,1),Erfassung!$A$6:$A$5005,"&lt;"&amp;DATE(Einstellungen!$C$3+1,1,1)))</f>
        <v/>
      </c>
      <c r="G40" s="54">
        <f>IF(B40="","",SUMIFS(Erfassung!$G$6:$G$5005,Erfassung!$B$6:$B$5005,A40,Erfassung!$D$6:$D$5005,Einstellungen!$C$4,Erfassung!$A$6:$A$5005,"&gt;="&amp;DATE(Einstellungen!$C$3,1,1),Erfassung!$A$6:$A$5005,"&lt;"&amp;DATE(Einstellungen!$C$3+1,1,1)))</f>
        <v/>
      </c>
      <c r="H40" s="54">
        <f>IF(B40="","",SUMIFS(Erfassung!$G$6:$G$5005,Erfassung!$B$6:$B$5005,A40,Erfassung!$D$6:$D$5005,Einstellungen!$C$5,Erfassung!$A$6:$A$5005,"&gt;="&amp;DATE(Einstellungen!$C$3,1,1),Erfassung!$A$6:$A$5005,"&lt;"&amp;DATE(Einstellungen!$C$3+1,1,1)))</f>
        <v/>
      </c>
      <c r="I40" s="34">
        <f>IF(B40="","",SUMIFS(Erfassung!$F$6:$F$5005,Erfassung!$B$6:$B$5005,A40,Erfassung!$A$6:$A$5005,"&gt;="&amp;DATE(Einstellungen!$C$3,1,1),Erfassung!$A$6:$A$5005,"&lt;"&amp;DATE(Einstellungen!$C$3+1,1,1)))</f>
        <v/>
      </c>
      <c r="J40" s="38">
        <f>IF(B40="","",IF(D40+F40&gt;0,F40/(D40+F40),""))</f>
        <v/>
      </c>
      <c r="K40" s="59">
        <f>IF(J40="","",RANK(J40,$J$6:$J$205,0))</f>
        <v/>
      </c>
      <c r="L40" s="29">
        <f>IF(J40="","",IF(J40&lt;=Einstellungen!$C$7,"unauffällig",IF(J40&lt;=Einstellungen!$C$8,"auffällig","kritisch")))</f>
        <v/>
      </c>
      <c r="M40" s="60">
        <f>IF(J40="",-1,J40+ROW()/1000000000)</f>
        <v/>
      </c>
    </row>
    <row r="41">
      <c r="A41" s="56">
        <f>IF(Mitarbeiter!B41="","",Mitarbeiter!A41)</f>
        <v/>
      </c>
      <c r="B41" s="57">
        <f>IF(Mitarbeiter!B41="","",Mitarbeiter!B41)</f>
        <v/>
      </c>
      <c r="C41" s="7">
        <f>IF(Mitarbeiter!B41="","",Mitarbeiter!G41)</f>
        <v/>
      </c>
      <c r="D41" s="54">
        <f>IF(B41="","",SUMIFS(Erfassung!$E$6:$E$5005,Erfassung!$B$6:$B$5005,A41,Erfassung!$A$6:$A$5005,"&gt;="&amp;DATE(Einstellungen!$C$3,1,1),Erfassung!$A$6:$A$5005,"&lt;"&amp;DATE(Einstellungen!$C$3+1,1,1)))</f>
        <v/>
      </c>
      <c r="E41" s="58">
        <f>IF(B41="","",IF(D41&gt;0,SUMIFS(Erfassung!$E$6:$E$5005,Erfassung!$B$6:$B$5005,A41,Erfassung!$D$6:$D$5005,Einstellungen!$C$4,Erfassung!$A$6:$A$5005,"&gt;="&amp;DATE(Einstellungen!$C$3,1,1),Erfassung!$A$6:$A$5005,"&lt;"&amp;DATE(Einstellungen!$C$3+1,1,1))/D41,""))</f>
        <v/>
      </c>
      <c r="F41" s="54">
        <f>IF(B41="","",SUMIFS(Erfassung!$G$6:$G$5005,Erfassung!$B$6:$B$5005,A41,Erfassung!$A$6:$A$5005,"&gt;="&amp;DATE(Einstellungen!$C$3,1,1),Erfassung!$A$6:$A$5005,"&lt;"&amp;DATE(Einstellungen!$C$3+1,1,1)))</f>
        <v/>
      </c>
      <c r="G41" s="54">
        <f>IF(B41="","",SUMIFS(Erfassung!$G$6:$G$5005,Erfassung!$B$6:$B$5005,A41,Erfassung!$D$6:$D$5005,Einstellungen!$C$4,Erfassung!$A$6:$A$5005,"&gt;="&amp;DATE(Einstellungen!$C$3,1,1),Erfassung!$A$6:$A$5005,"&lt;"&amp;DATE(Einstellungen!$C$3+1,1,1)))</f>
        <v/>
      </c>
      <c r="H41" s="54">
        <f>IF(B41="","",SUMIFS(Erfassung!$G$6:$G$5005,Erfassung!$B$6:$B$5005,A41,Erfassung!$D$6:$D$5005,Einstellungen!$C$5,Erfassung!$A$6:$A$5005,"&gt;="&amp;DATE(Einstellungen!$C$3,1,1),Erfassung!$A$6:$A$5005,"&lt;"&amp;DATE(Einstellungen!$C$3+1,1,1)))</f>
        <v/>
      </c>
      <c r="I41" s="34">
        <f>IF(B41="","",SUMIFS(Erfassung!$F$6:$F$5005,Erfassung!$B$6:$B$5005,A41,Erfassung!$A$6:$A$5005,"&gt;="&amp;DATE(Einstellungen!$C$3,1,1),Erfassung!$A$6:$A$5005,"&lt;"&amp;DATE(Einstellungen!$C$3+1,1,1)))</f>
        <v/>
      </c>
      <c r="J41" s="38">
        <f>IF(B41="","",IF(D41+F41&gt;0,F41/(D41+F41),""))</f>
        <v/>
      </c>
      <c r="K41" s="59">
        <f>IF(J41="","",RANK(J41,$J$6:$J$205,0))</f>
        <v/>
      </c>
      <c r="L41" s="29">
        <f>IF(J41="","",IF(J41&lt;=Einstellungen!$C$7,"unauffällig",IF(J41&lt;=Einstellungen!$C$8,"auffällig","kritisch")))</f>
        <v/>
      </c>
      <c r="M41" s="60">
        <f>IF(J41="",-1,J41+ROW()/1000000000)</f>
        <v/>
      </c>
    </row>
    <row r="42">
      <c r="A42" s="56">
        <f>IF(Mitarbeiter!B42="","",Mitarbeiter!A42)</f>
        <v/>
      </c>
      <c r="B42" s="57">
        <f>IF(Mitarbeiter!B42="","",Mitarbeiter!B42)</f>
        <v/>
      </c>
      <c r="C42" s="7">
        <f>IF(Mitarbeiter!B42="","",Mitarbeiter!G42)</f>
        <v/>
      </c>
      <c r="D42" s="54">
        <f>IF(B42="","",SUMIFS(Erfassung!$E$6:$E$5005,Erfassung!$B$6:$B$5005,A42,Erfassung!$A$6:$A$5005,"&gt;="&amp;DATE(Einstellungen!$C$3,1,1),Erfassung!$A$6:$A$5005,"&lt;"&amp;DATE(Einstellungen!$C$3+1,1,1)))</f>
        <v/>
      </c>
      <c r="E42" s="58">
        <f>IF(B42="","",IF(D42&gt;0,SUMIFS(Erfassung!$E$6:$E$5005,Erfassung!$B$6:$B$5005,A42,Erfassung!$D$6:$D$5005,Einstellungen!$C$4,Erfassung!$A$6:$A$5005,"&gt;="&amp;DATE(Einstellungen!$C$3,1,1),Erfassung!$A$6:$A$5005,"&lt;"&amp;DATE(Einstellungen!$C$3+1,1,1))/D42,""))</f>
        <v/>
      </c>
      <c r="F42" s="54">
        <f>IF(B42="","",SUMIFS(Erfassung!$G$6:$G$5005,Erfassung!$B$6:$B$5005,A42,Erfassung!$A$6:$A$5005,"&gt;="&amp;DATE(Einstellungen!$C$3,1,1),Erfassung!$A$6:$A$5005,"&lt;"&amp;DATE(Einstellungen!$C$3+1,1,1)))</f>
        <v/>
      </c>
      <c r="G42" s="54">
        <f>IF(B42="","",SUMIFS(Erfassung!$G$6:$G$5005,Erfassung!$B$6:$B$5005,A42,Erfassung!$D$6:$D$5005,Einstellungen!$C$4,Erfassung!$A$6:$A$5005,"&gt;="&amp;DATE(Einstellungen!$C$3,1,1),Erfassung!$A$6:$A$5005,"&lt;"&amp;DATE(Einstellungen!$C$3+1,1,1)))</f>
        <v/>
      </c>
      <c r="H42" s="54">
        <f>IF(B42="","",SUMIFS(Erfassung!$G$6:$G$5005,Erfassung!$B$6:$B$5005,A42,Erfassung!$D$6:$D$5005,Einstellungen!$C$5,Erfassung!$A$6:$A$5005,"&gt;="&amp;DATE(Einstellungen!$C$3,1,1),Erfassung!$A$6:$A$5005,"&lt;"&amp;DATE(Einstellungen!$C$3+1,1,1)))</f>
        <v/>
      </c>
      <c r="I42" s="34">
        <f>IF(B42="","",SUMIFS(Erfassung!$F$6:$F$5005,Erfassung!$B$6:$B$5005,A42,Erfassung!$A$6:$A$5005,"&gt;="&amp;DATE(Einstellungen!$C$3,1,1),Erfassung!$A$6:$A$5005,"&lt;"&amp;DATE(Einstellungen!$C$3+1,1,1)))</f>
        <v/>
      </c>
      <c r="J42" s="38">
        <f>IF(B42="","",IF(D42+F42&gt;0,F42/(D42+F42),""))</f>
        <v/>
      </c>
      <c r="K42" s="59">
        <f>IF(J42="","",RANK(J42,$J$6:$J$205,0))</f>
        <v/>
      </c>
      <c r="L42" s="29">
        <f>IF(J42="","",IF(J42&lt;=Einstellungen!$C$7,"unauffällig",IF(J42&lt;=Einstellungen!$C$8,"auffällig","kritisch")))</f>
        <v/>
      </c>
      <c r="M42" s="60">
        <f>IF(J42="",-1,J42+ROW()/1000000000)</f>
        <v/>
      </c>
    </row>
    <row r="43">
      <c r="A43" s="56">
        <f>IF(Mitarbeiter!B43="","",Mitarbeiter!A43)</f>
        <v/>
      </c>
      <c r="B43" s="57">
        <f>IF(Mitarbeiter!B43="","",Mitarbeiter!B43)</f>
        <v/>
      </c>
      <c r="C43" s="7">
        <f>IF(Mitarbeiter!B43="","",Mitarbeiter!G43)</f>
        <v/>
      </c>
      <c r="D43" s="54">
        <f>IF(B43="","",SUMIFS(Erfassung!$E$6:$E$5005,Erfassung!$B$6:$B$5005,A43,Erfassung!$A$6:$A$5005,"&gt;="&amp;DATE(Einstellungen!$C$3,1,1),Erfassung!$A$6:$A$5005,"&lt;"&amp;DATE(Einstellungen!$C$3+1,1,1)))</f>
        <v/>
      </c>
      <c r="E43" s="58">
        <f>IF(B43="","",IF(D43&gt;0,SUMIFS(Erfassung!$E$6:$E$5005,Erfassung!$B$6:$B$5005,A43,Erfassung!$D$6:$D$5005,Einstellungen!$C$4,Erfassung!$A$6:$A$5005,"&gt;="&amp;DATE(Einstellungen!$C$3,1,1),Erfassung!$A$6:$A$5005,"&lt;"&amp;DATE(Einstellungen!$C$3+1,1,1))/D43,""))</f>
        <v/>
      </c>
      <c r="F43" s="54">
        <f>IF(B43="","",SUMIFS(Erfassung!$G$6:$G$5005,Erfassung!$B$6:$B$5005,A43,Erfassung!$A$6:$A$5005,"&gt;="&amp;DATE(Einstellungen!$C$3,1,1),Erfassung!$A$6:$A$5005,"&lt;"&amp;DATE(Einstellungen!$C$3+1,1,1)))</f>
        <v/>
      </c>
      <c r="G43" s="54">
        <f>IF(B43="","",SUMIFS(Erfassung!$G$6:$G$5005,Erfassung!$B$6:$B$5005,A43,Erfassung!$D$6:$D$5005,Einstellungen!$C$4,Erfassung!$A$6:$A$5005,"&gt;="&amp;DATE(Einstellungen!$C$3,1,1),Erfassung!$A$6:$A$5005,"&lt;"&amp;DATE(Einstellungen!$C$3+1,1,1)))</f>
        <v/>
      </c>
      <c r="H43" s="54">
        <f>IF(B43="","",SUMIFS(Erfassung!$G$6:$G$5005,Erfassung!$B$6:$B$5005,A43,Erfassung!$D$6:$D$5005,Einstellungen!$C$5,Erfassung!$A$6:$A$5005,"&gt;="&amp;DATE(Einstellungen!$C$3,1,1),Erfassung!$A$6:$A$5005,"&lt;"&amp;DATE(Einstellungen!$C$3+1,1,1)))</f>
        <v/>
      </c>
      <c r="I43" s="34">
        <f>IF(B43="","",SUMIFS(Erfassung!$F$6:$F$5005,Erfassung!$B$6:$B$5005,A43,Erfassung!$A$6:$A$5005,"&gt;="&amp;DATE(Einstellungen!$C$3,1,1),Erfassung!$A$6:$A$5005,"&lt;"&amp;DATE(Einstellungen!$C$3+1,1,1)))</f>
        <v/>
      </c>
      <c r="J43" s="38">
        <f>IF(B43="","",IF(D43+F43&gt;0,F43/(D43+F43),""))</f>
        <v/>
      </c>
      <c r="K43" s="59">
        <f>IF(J43="","",RANK(J43,$J$6:$J$205,0))</f>
        <v/>
      </c>
      <c r="L43" s="29">
        <f>IF(J43="","",IF(J43&lt;=Einstellungen!$C$7,"unauffällig",IF(J43&lt;=Einstellungen!$C$8,"auffällig","kritisch")))</f>
        <v/>
      </c>
      <c r="M43" s="60">
        <f>IF(J43="",-1,J43+ROW()/1000000000)</f>
        <v/>
      </c>
    </row>
    <row r="44">
      <c r="A44" s="56">
        <f>IF(Mitarbeiter!B44="","",Mitarbeiter!A44)</f>
        <v/>
      </c>
      <c r="B44" s="57">
        <f>IF(Mitarbeiter!B44="","",Mitarbeiter!B44)</f>
        <v/>
      </c>
      <c r="C44" s="7">
        <f>IF(Mitarbeiter!B44="","",Mitarbeiter!G44)</f>
        <v/>
      </c>
      <c r="D44" s="54">
        <f>IF(B44="","",SUMIFS(Erfassung!$E$6:$E$5005,Erfassung!$B$6:$B$5005,A44,Erfassung!$A$6:$A$5005,"&gt;="&amp;DATE(Einstellungen!$C$3,1,1),Erfassung!$A$6:$A$5005,"&lt;"&amp;DATE(Einstellungen!$C$3+1,1,1)))</f>
        <v/>
      </c>
      <c r="E44" s="58">
        <f>IF(B44="","",IF(D44&gt;0,SUMIFS(Erfassung!$E$6:$E$5005,Erfassung!$B$6:$B$5005,A44,Erfassung!$D$6:$D$5005,Einstellungen!$C$4,Erfassung!$A$6:$A$5005,"&gt;="&amp;DATE(Einstellungen!$C$3,1,1),Erfassung!$A$6:$A$5005,"&lt;"&amp;DATE(Einstellungen!$C$3+1,1,1))/D44,""))</f>
        <v/>
      </c>
      <c r="F44" s="54">
        <f>IF(B44="","",SUMIFS(Erfassung!$G$6:$G$5005,Erfassung!$B$6:$B$5005,A44,Erfassung!$A$6:$A$5005,"&gt;="&amp;DATE(Einstellungen!$C$3,1,1),Erfassung!$A$6:$A$5005,"&lt;"&amp;DATE(Einstellungen!$C$3+1,1,1)))</f>
        <v/>
      </c>
      <c r="G44" s="54">
        <f>IF(B44="","",SUMIFS(Erfassung!$G$6:$G$5005,Erfassung!$B$6:$B$5005,A44,Erfassung!$D$6:$D$5005,Einstellungen!$C$4,Erfassung!$A$6:$A$5005,"&gt;="&amp;DATE(Einstellungen!$C$3,1,1),Erfassung!$A$6:$A$5005,"&lt;"&amp;DATE(Einstellungen!$C$3+1,1,1)))</f>
        <v/>
      </c>
      <c r="H44" s="54">
        <f>IF(B44="","",SUMIFS(Erfassung!$G$6:$G$5005,Erfassung!$B$6:$B$5005,A44,Erfassung!$D$6:$D$5005,Einstellungen!$C$5,Erfassung!$A$6:$A$5005,"&gt;="&amp;DATE(Einstellungen!$C$3,1,1),Erfassung!$A$6:$A$5005,"&lt;"&amp;DATE(Einstellungen!$C$3+1,1,1)))</f>
        <v/>
      </c>
      <c r="I44" s="34">
        <f>IF(B44="","",SUMIFS(Erfassung!$F$6:$F$5005,Erfassung!$B$6:$B$5005,A44,Erfassung!$A$6:$A$5005,"&gt;="&amp;DATE(Einstellungen!$C$3,1,1),Erfassung!$A$6:$A$5005,"&lt;"&amp;DATE(Einstellungen!$C$3+1,1,1)))</f>
        <v/>
      </c>
      <c r="J44" s="38">
        <f>IF(B44="","",IF(D44+F44&gt;0,F44/(D44+F44),""))</f>
        <v/>
      </c>
      <c r="K44" s="59">
        <f>IF(J44="","",RANK(J44,$J$6:$J$205,0))</f>
        <v/>
      </c>
      <c r="L44" s="29">
        <f>IF(J44="","",IF(J44&lt;=Einstellungen!$C$7,"unauffällig",IF(J44&lt;=Einstellungen!$C$8,"auffällig","kritisch")))</f>
        <v/>
      </c>
      <c r="M44" s="60">
        <f>IF(J44="",-1,J44+ROW()/1000000000)</f>
        <v/>
      </c>
    </row>
    <row r="45">
      <c r="A45" s="56">
        <f>IF(Mitarbeiter!B45="","",Mitarbeiter!A45)</f>
        <v/>
      </c>
      <c r="B45" s="57">
        <f>IF(Mitarbeiter!B45="","",Mitarbeiter!B45)</f>
        <v/>
      </c>
      <c r="C45" s="7">
        <f>IF(Mitarbeiter!B45="","",Mitarbeiter!G45)</f>
        <v/>
      </c>
      <c r="D45" s="54">
        <f>IF(B45="","",SUMIFS(Erfassung!$E$6:$E$5005,Erfassung!$B$6:$B$5005,A45,Erfassung!$A$6:$A$5005,"&gt;="&amp;DATE(Einstellungen!$C$3,1,1),Erfassung!$A$6:$A$5005,"&lt;"&amp;DATE(Einstellungen!$C$3+1,1,1)))</f>
        <v/>
      </c>
      <c r="E45" s="58">
        <f>IF(B45="","",IF(D45&gt;0,SUMIFS(Erfassung!$E$6:$E$5005,Erfassung!$B$6:$B$5005,A45,Erfassung!$D$6:$D$5005,Einstellungen!$C$4,Erfassung!$A$6:$A$5005,"&gt;="&amp;DATE(Einstellungen!$C$3,1,1),Erfassung!$A$6:$A$5005,"&lt;"&amp;DATE(Einstellungen!$C$3+1,1,1))/D45,""))</f>
        <v/>
      </c>
      <c r="F45" s="54">
        <f>IF(B45="","",SUMIFS(Erfassung!$G$6:$G$5005,Erfassung!$B$6:$B$5005,A45,Erfassung!$A$6:$A$5005,"&gt;="&amp;DATE(Einstellungen!$C$3,1,1),Erfassung!$A$6:$A$5005,"&lt;"&amp;DATE(Einstellungen!$C$3+1,1,1)))</f>
        <v/>
      </c>
      <c r="G45" s="54">
        <f>IF(B45="","",SUMIFS(Erfassung!$G$6:$G$5005,Erfassung!$B$6:$B$5005,A45,Erfassung!$D$6:$D$5005,Einstellungen!$C$4,Erfassung!$A$6:$A$5005,"&gt;="&amp;DATE(Einstellungen!$C$3,1,1),Erfassung!$A$6:$A$5005,"&lt;"&amp;DATE(Einstellungen!$C$3+1,1,1)))</f>
        <v/>
      </c>
      <c r="H45" s="54">
        <f>IF(B45="","",SUMIFS(Erfassung!$G$6:$G$5005,Erfassung!$B$6:$B$5005,A45,Erfassung!$D$6:$D$5005,Einstellungen!$C$5,Erfassung!$A$6:$A$5005,"&gt;="&amp;DATE(Einstellungen!$C$3,1,1),Erfassung!$A$6:$A$5005,"&lt;"&amp;DATE(Einstellungen!$C$3+1,1,1)))</f>
        <v/>
      </c>
      <c r="I45" s="34">
        <f>IF(B45="","",SUMIFS(Erfassung!$F$6:$F$5005,Erfassung!$B$6:$B$5005,A45,Erfassung!$A$6:$A$5005,"&gt;="&amp;DATE(Einstellungen!$C$3,1,1),Erfassung!$A$6:$A$5005,"&lt;"&amp;DATE(Einstellungen!$C$3+1,1,1)))</f>
        <v/>
      </c>
      <c r="J45" s="38">
        <f>IF(B45="","",IF(D45+F45&gt;0,F45/(D45+F45),""))</f>
        <v/>
      </c>
      <c r="K45" s="59">
        <f>IF(J45="","",RANK(J45,$J$6:$J$205,0))</f>
        <v/>
      </c>
      <c r="L45" s="29">
        <f>IF(J45="","",IF(J45&lt;=Einstellungen!$C$7,"unauffällig",IF(J45&lt;=Einstellungen!$C$8,"auffällig","kritisch")))</f>
        <v/>
      </c>
      <c r="M45" s="60">
        <f>IF(J45="",-1,J45+ROW()/1000000000)</f>
        <v/>
      </c>
    </row>
    <row r="46">
      <c r="A46" s="56">
        <f>IF(Mitarbeiter!B46="","",Mitarbeiter!A46)</f>
        <v/>
      </c>
      <c r="B46" s="57">
        <f>IF(Mitarbeiter!B46="","",Mitarbeiter!B46)</f>
        <v/>
      </c>
      <c r="C46" s="7">
        <f>IF(Mitarbeiter!B46="","",Mitarbeiter!G46)</f>
        <v/>
      </c>
      <c r="D46" s="54">
        <f>IF(B46="","",SUMIFS(Erfassung!$E$6:$E$5005,Erfassung!$B$6:$B$5005,A46,Erfassung!$A$6:$A$5005,"&gt;="&amp;DATE(Einstellungen!$C$3,1,1),Erfassung!$A$6:$A$5005,"&lt;"&amp;DATE(Einstellungen!$C$3+1,1,1)))</f>
        <v/>
      </c>
      <c r="E46" s="58">
        <f>IF(B46="","",IF(D46&gt;0,SUMIFS(Erfassung!$E$6:$E$5005,Erfassung!$B$6:$B$5005,A46,Erfassung!$D$6:$D$5005,Einstellungen!$C$4,Erfassung!$A$6:$A$5005,"&gt;="&amp;DATE(Einstellungen!$C$3,1,1),Erfassung!$A$6:$A$5005,"&lt;"&amp;DATE(Einstellungen!$C$3+1,1,1))/D46,""))</f>
        <v/>
      </c>
      <c r="F46" s="54">
        <f>IF(B46="","",SUMIFS(Erfassung!$G$6:$G$5005,Erfassung!$B$6:$B$5005,A46,Erfassung!$A$6:$A$5005,"&gt;="&amp;DATE(Einstellungen!$C$3,1,1),Erfassung!$A$6:$A$5005,"&lt;"&amp;DATE(Einstellungen!$C$3+1,1,1)))</f>
        <v/>
      </c>
      <c r="G46" s="54">
        <f>IF(B46="","",SUMIFS(Erfassung!$G$6:$G$5005,Erfassung!$B$6:$B$5005,A46,Erfassung!$D$6:$D$5005,Einstellungen!$C$4,Erfassung!$A$6:$A$5005,"&gt;="&amp;DATE(Einstellungen!$C$3,1,1),Erfassung!$A$6:$A$5005,"&lt;"&amp;DATE(Einstellungen!$C$3+1,1,1)))</f>
        <v/>
      </c>
      <c r="H46" s="54">
        <f>IF(B46="","",SUMIFS(Erfassung!$G$6:$G$5005,Erfassung!$B$6:$B$5005,A46,Erfassung!$D$6:$D$5005,Einstellungen!$C$5,Erfassung!$A$6:$A$5005,"&gt;="&amp;DATE(Einstellungen!$C$3,1,1),Erfassung!$A$6:$A$5005,"&lt;"&amp;DATE(Einstellungen!$C$3+1,1,1)))</f>
        <v/>
      </c>
      <c r="I46" s="34">
        <f>IF(B46="","",SUMIFS(Erfassung!$F$6:$F$5005,Erfassung!$B$6:$B$5005,A46,Erfassung!$A$6:$A$5005,"&gt;="&amp;DATE(Einstellungen!$C$3,1,1),Erfassung!$A$6:$A$5005,"&lt;"&amp;DATE(Einstellungen!$C$3+1,1,1)))</f>
        <v/>
      </c>
      <c r="J46" s="38">
        <f>IF(B46="","",IF(D46+F46&gt;0,F46/(D46+F46),""))</f>
        <v/>
      </c>
      <c r="K46" s="59">
        <f>IF(J46="","",RANK(J46,$J$6:$J$205,0))</f>
        <v/>
      </c>
      <c r="L46" s="29">
        <f>IF(J46="","",IF(J46&lt;=Einstellungen!$C$7,"unauffällig",IF(J46&lt;=Einstellungen!$C$8,"auffällig","kritisch")))</f>
        <v/>
      </c>
      <c r="M46" s="60">
        <f>IF(J46="",-1,J46+ROW()/1000000000)</f>
        <v/>
      </c>
    </row>
    <row r="47">
      <c r="A47" s="56">
        <f>IF(Mitarbeiter!B47="","",Mitarbeiter!A47)</f>
        <v/>
      </c>
      <c r="B47" s="57">
        <f>IF(Mitarbeiter!B47="","",Mitarbeiter!B47)</f>
        <v/>
      </c>
      <c r="C47" s="7">
        <f>IF(Mitarbeiter!B47="","",Mitarbeiter!G47)</f>
        <v/>
      </c>
      <c r="D47" s="54">
        <f>IF(B47="","",SUMIFS(Erfassung!$E$6:$E$5005,Erfassung!$B$6:$B$5005,A47,Erfassung!$A$6:$A$5005,"&gt;="&amp;DATE(Einstellungen!$C$3,1,1),Erfassung!$A$6:$A$5005,"&lt;"&amp;DATE(Einstellungen!$C$3+1,1,1)))</f>
        <v/>
      </c>
      <c r="E47" s="58">
        <f>IF(B47="","",IF(D47&gt;0,SUMIFS(Erfassung!$E$6:$E$5005,Erfassung!$B$6:$B$5005,A47,Erfassung!$D$6:$D$5005,Einstellungen!$C$4,Erfassung!$A$6:$A$5005,"&gt;="&amp;DATE(Einstellungen!$C$3,1,1),Erfassung!$A$6:$A$5005,"&lt;"&amp;DATE(Einstellungen!$C$3+1,1,1))/D47,""))</f>
        <v/>
      </c>
      <c r="F47" s="54">
        <f>IF(B47="","",SUMIFS(Erfassung!$G$6:$G$5005,Erfassung!$B$6:$B$5005,A47,Erfassung!$A$6:$A$5005,"&gt;="&amp;DATE(Einstellungen!$C$3,1,1),Erfassung!$A$6:$A$5005,"&lt;"&amp;DATE(Einstellungen!$C$3+1,1,1)))</f>
        <v/>
      </c>
      <c r="G47" s="54">
        <f>IF(B47="","",SUMIFS(Erfassung!$G$6:$G$5005,Erfassung!$B$6:$B$5005,A47,Erfassung!$D$6:$D$5005,Einstellungen!$C$4,Erfassung!$A$6:$A$5005,"&gt;="&amp;DATE(Einstellungen!$C$3,1,1),Erfassung!$A$6:$A$5005,"&lt;"&amp;DATE(Einstellungen!$C$3+1,1,1)))</f>
        <v/>
      </c>
      <c r="H47" s="54">
        <f>IF(B47="","",SUMIFS(Erfassung!$G$6:$G$5005,Erfassung!$B$6:$B$5005,A47,Erfassung!$D$6:$D$5005,Einstellungen!$C$5,Erfassung!$A$6:$A$5005,"&gt;="&amp;DATE(Einstellungen!$C$3,1,1),Erfassung!$A$6:$A$5005,"&lt;"&amp;DATE(Einstellungen!$C$3+1,1,1)))</f>
        <v/>
      </c>
      <c r="I47" s="34">
        <f>IF(B47="","",SUMIFS(Erfassung!$F$6:$F$5005,Erfassung!$B$6:$B$5005,A47,Erfassung!$A$6:$A$5005,"&gt;="&amp;DATE(Einstellungen!$C$3,1,1),Erfassung!$A$6:$A$5005,"&lt;"&amp;DATE(Einstellungen!$C$3+1,1,1)))</f>
        <v/>
      </c>
      <c r="J47" s="38">
        <f>IF(B47="","",IF(D47+F47&gt;0,F47/(D47+F47),""))</f>
        <v/>
      </c>
      <c r="K47" s="59">
        <f>IF(J47="","",RANK(J47,$J$6:$J$205,0))</f>
        <v/>
      </c>
      <c r="L47" s="29">
        <f>IF(J47="","",IF(J47&lt;=Einstellungen!$C$7,"unauffällig",IF(J47&lt;=Einstellungen!$C$8,"auffällig","kritisch")))</f>
        <v/>
      </c>
      <c r="M47" s="60">
        <f>IF(J47="",-1,J47+ROW()/1000000000)</f>
        <v/>
      </c>
    </row>
    <row r="48">
      <c r="A48" s="56">
        <f>IF(Mitarbeiter!B48="","",Mitarbeiter!A48)</f>
        <v/>
      </c>
      <c r="B48" s="57">
        <f>IF(Mitarbeiter!B48="","",Mitarbeiter!B48)</f>
        <v/>
      </c>
      <c r="C48" s="7">
        <f>IF(Mitarbeiter!B48="","",Mitarbeiter!G48)</f>
        <v/>
      </c>
      <c r="D48" s="54">
        <f>IF(B48="","",SUMIFS(Erfassung!$E$6:$E$5005,Erfassung!$B$6:$B$5005,A48,Erfassung!$A$6:$A$5005,"&gt;="&amp;DATE(Einstellungen!$C$3,1,1),Erfassung!$A$6:$A$5005,"&lt;"&amp;DATE(Einstellungen!$C$3+1,1,1)))</f>
        <v/>
      </c>
      <c r="E48" s="58">
        <f>IF(B48="","",IF(D48&gt;0,SUMIFS(Erfassung!$E$6:$E$5005,Erfassung!$B$6:$B$5005,A48,Erfassung!$D$6:$D$5005,Einstellungen!$C$4,Erfassung!$A$6:$A$5005,"&gt;="&amp;DATE(Einstellungen!$C$3,1,1),Erfassung!$A$6:$A$5005,"&lt;"&amp;DATE(Einstellungen!$C$3+1,1,1))/D48,""))</f>
        <v/>
      </c>
      <c r="F48" s="54">
        <f>IF(B48="","",SUMIFS(Erfassung!$G$6:$G$5005,Erfassung!$B$6:$B$5005,A48,Erfassung!$A$6:$A$5005,"&gt;="&amp;DATE(Einstellungen!$C$3,1,1),Erfassung!$A$6:$A$5005,"&lt;"&amp;DATE(Einstellungen!$C$3+1,1,1)))</f>
        <v/>
      </c>
      <c r="G48" s="54">
        <f>IF(B48="","",SUMIFS(Erfassung!$G$6:$G$5005,Erfassung!$B$6:$B$5005,A48,Erfassung!$D$6:$D$5005,Einstellungen!$C$4,Erfassung!$A$6:$A$5005,"&gt;="&amp;DATE(Einstellungen!$C$3,1,1),Erfassung!$A$6:$A$5005,"&lt;"&amp;DATE(Einstellungen!$C$3+1,1,1)))</f>
        <v/>
      </c>
      <c r="H48" s="54">
        <f>IF(B48="","",SUMIFS(Erfassung!$G$6:$G$5005,Erfassung!$B$6:$B$5005,A48,Erfassung!$D$6:$D$5005,Einstellungen!$C$5,Erfassung!$A$6:$A$5005,"&gt;="&amp;DATE(Einstellungen!$C$3,1,1),Erfassung!$A$6:$A$5005,"&lt;"&amp;DATE(Einstellungen!$C$3+1,1,1)))</f>
        <v/>
      </c>
      <c r="I48" s="34">
        <f>IF(B48="","",SUMIFS(Erfassung!$F$6:$F$5005,Erfassung!$B$6:$B$5005,A48,Erfassung!$A$6:$A$5005,"&gt;="&amp;DATE(Einstellungen!$C$3,1,1),Erfassung!$A$6:$A$5005,"&lt;"&amp;DATE(Einstellungen!$C$3+1,1,1)))</f>
        <v/>
      </c>
      <c r="J48" s="38">
        <f>IF(B48="","",IF(D48+F48&gt;0,F48/(D48+F48),""))</f>
        <v/>
      </c>
      <c r="K48" s="59">
        <f>IF(J48="","",RANK(J48,$J$6:$J$205,0))</f>
        <v/>
      </c>
      <c r="L48" s="29">
        <f>IF(J48="","",IF(J48&lt;=Einstellungen!$C$7,"unauffällig",IF(J48&lt;=Einstellungen!$C$8,"auffällig","kritisch")))</f>
        <v/>
      </c>
      <c r="M48" s="60">
        <f>IF(J48="",-1,J48+ROW()/1000000000)</f>
        <v/>
      </c>
    </row>
    <row r="49">
      <c r="A49" s="56">
        <f>IF(Mitarbeiter!B49="","",Mitarbeiter!A49)</f>
        <v/>
      </c>
      <c r="B49" s="57">
        <f>IF(Mitarbeiter!B49="","",Mitarbeiter!B49)</f>
        <v/>
      </c>
      <c r="C49" s="7">
        <f>IF(Mitarbeiter!B49="","",Mitarbeiter!G49)</f>
        <v/>
      </c>
      <c r="D49" s="54">
        <f>IF(B49="","",SUMIFS(Erfassung!$E$6:$E$5005,Erfassung!$B$6:$B$5005,A49,Erfassung!$A$6:$A$5005,"&gt;="&amp;DATE(Einstellungen!$C$3,1,1),Erfassung!$A$6:$A$5005,"&lt;"&amp;DATE(Einstellungen!$C$3+1,1,1)))</f>
        <v/>
      </c>
      <c r="E49" s="58">
        <f>IF(B49="","",IF(D49&gt;0,SUMIFS(Erfassung!$E$6:$E$5005,Erfassung!$B$6:$B$5005,A49,Erfassung!$D$6:$D$5005,Einstellungen!$C$4,Erfassung!$A$6:$A$5005,"&gt;="&amp;DATE(Einstellungen!$C$3,1,1),Erfassung!$A$6:$A$5005,"&lt;"&amp;DATE(Einstellungen!$C$3+1,1,1))/D49,""))</f>
        <v/>
      </c>
      <c r="F49" s="54">
        <f>IF(B49="","",SUMIFS(Erfassung!$G$6:$G$5005,Erfassung!$B$6:$B$5005,A49,Erfassung!$A$6:$A$5005,"&gt;="&amp;DATE(Einstellungen!$C$3,1,1),Erfassung!$A$6:$A$5005,"&lt;"&amp;DATE(Einstellungen!$C$3+1,1,1)))</f>
        <v/>
      </c>
      <c r="G49" s="54">
        <f>IF(B49="","",SUMIFS(Erfassung!$G$6:$G$5005,Erfassung!$B$6:$B$5005,A49,Erfassung!$D$6:$D$5005,Einstellungen!$C$4,Erfassung!$A$6:$A$5005,"&gt;="&amp;DATE(Einstellungen!$C$3,1,1),Erfassung!$A$6:$A$5005,"&lt;"&amp;DATE(Einstellungen!$C$3+1,1,1)))</f>
        <v/>
      </c>
      <c r="H49" s="54">
        <f>IF(B49="","",SUMIFS(Erfassung!$G$6:$G$5005,Erfassung!$B$6:$B$5005,A49,Erfassung!$D$6:$D$5005,Einstellungen!$C$5,Erfassung!$A$6:$A$5005,"&gt;="&amp;DATE(Einstellungen!$C$3,1,1),Erfassung!$A$6:$A$5005,"&lt;"&amp;DATE(Einstellungen!$C$3+1,1,1)))</f>
        <v/>
      </c>
      <c r="I49" s="34">
        <f>IF(B49="","",SUMIFS(Erfassung!$F$6:$F$5005,Erfassung!$B$6:$B$5005,A49,Erfassung!$A$6:$A$5005,"&gt;="&amp;DATE(Einstellungen!$C$3,1,1),Erfassung!$A$6:$A$5005,"&lt;"&amp;DATE(Einstellungen!$C$3+1,1,1)))</f>
        <v/>
      </c>
      <c r="J49" s="38">
        <f>IF(B49="","",IF(D49+F49&gt;0,F49/(D49+F49),""))</f>
        <v/>
      </c>
      <c r="K49" s="59">
        <f>IF(J49="","",RANK(J49,$J$6:$J$205,0))</f>
        <v/>
      </c>
      <c r="L49" s="29">
        <f>IF(J49="","",IF(J49&lt;=Einstellungen!$C$7,"unauffällig",IF(J49&lt;=Einstellungen!$C$8,"auffällig","kritisch")))</f>
        <v/>
      </c>
      <c r="M49" s="60">
        <f>IF(J49="",-1,J49+ROW()/1000000000)</f>
        <v/>
      </c>
    </row>
    <row r="50">
      <c r="A50" s="56">
        <f>IF(Mitarbeiter!B50="","",Mitarbeiter!A50)</f>
        <v/>
      </c>
      <c r="B50" s="57">
        <f>IF(Mitarbeiter!B50="","",Mitarbeiter!B50)</f>
        <v/>
      </c>
      <c r="C50" s="7">
        <f>IF(Mitarbeiter!B50="","",Mitarbeiter!G50)</f>
        <v/>
      </c>
      <c r="D50" s="54">
        <f>IF(B50="","",SUMIFS(Erfassung!$E$6:$E$5005,Erfassung!$B$6:$B$5005,A50,Erfassung!$A$6:$A$5005,"&gt;="&amp;DATE(Einstellungen!$C$3,1,1),Erfassung!$A$6:$A$5005,"&lt;"&amp;DATE(Einstellungen!$C$3+1,1,1)))</f>
        <v/>
      </c>
      <c r="E50" s="58">
        <f>IF(B50="","",IF(D50&gt;0,SUMIFS(Erfassung!$E$6:$E$5005,Erfassung!$B$6:$B$5005,A50,Erfassung!$D$6:$D$5005,Einstellungen!$C$4,Erfassung!$A$6:$A$5005,"&gt;="&amp;DATE(Einstellungen!$C$3,1,1),Erfassung!$A$6:$A$5005,"&lt;"&amp;DATE(Einstellungen!$C$3+1,1,1))/D50,""))</f>
        <v/>
      </c>
      <c r="F50" s="54">
        <f>IF(B50="","",SUMIFS(Erfassung!$G$6:$G$5005,Erfassung!$B$6:$B$5005,A50,Erfassung!$A$6:$A$5005,"&gt;="&amp;DATE(Einstellungen!$C$3,1,1),Erfassung!$A$6:$A$5005,"&lt;"&amp;DATE(Einstellungen!$C$3+1,1,1)))</f>
        <v/>
      </c>
      <c r="G50" s="54">
        <f>IF(B50="","",SUMIFS(Erfassung!$G$6:$G$5005,Erfassung!$B$6:$B$5005,A50,Erfassung!$D$6:$D$5005,Einstellungen!$C$4,Erfassung!$A$6:$A$5005,"&gt;="&amp;DATE(Einstellungen!$C$3,1,1),Erfassung!$A$6:$A$5005,"&lt;"&amp;DATE(Einstellungen!$C$3+1,1,1)))</f>
        <v/>
      </c>
      <c r="H50" s="54">
        <f>IF(B50="","",SUMIFS(Erfassung!$G$6:$G$5005,Erfassung!$B$6:$B$5005,A50,Erfassung!$D$6:$D$5005,Einstellungen!$C$5,Erfassung!$A$6:$A$5005,"&gt;="&amp;DATE(Einstellungen!$C$3,1,1),Erfassung!$A$6:$A$5005,"&lt;"&amp;DATE(Einstellungen!$C$3+1,1,1)))</f>
        <v/>
      </c>
      <c r="I50" s="34">
        <f>IF(B50="","",SUMIFS(Erfassung!$F$6:$F$5005,Erfassung!$B$6:$B$5005,A50,Erfassung!$A$6:$A$5005,"&gt;="&amp;DATE(Einstellungen!$C$3,1,1),Erfassung!$A$6:$A$5005,"&lt;"&amp;DATE(Einstellungen!$C$3+1,1,1)))</f>
        <v/>
      </c>
      <c r="J50" s="38">
        <f>IF(B50="","",IF(D50+F50&gt;0,F50/(D50+F50),""))</f>
        <v/>
      </c>
      <c r="K50" s="59">
        <f>IF(J50="","",RANK(J50,$J$6:$J$205,0))</f>
        <v/>
      </c>
      <c r="L50" s="29">
        <f>IF(J50="","",IF(J50&lt;=Einstellungen!$C$7,"unauffällig",IF(J50&lt;=Einstellungen!$C$8,"auffällig","kritisch")))</f>
        <v/>
      </c>
      <c r="M50" s="60">
        <f>IF(J50="",-1,J50+ROW()/1000000000)</f>
        <v/>
      </c>
    </row>
    <row r="51">
      <c r="A51" s="56">
        <f>IF(Mitarbeiter!B51="","",Mitarbeiter!A51)</f>
        <v/>
      </c>
      <c r="B51" s="57">
        <f>IF(Mitarbeiter!B51="","",Mitarbeiter!B51)</f>
        <v/>
      </c>
      <c r="C51" s="7">
        <f>IF(Mitarbeiter!B51="","",Mitarbeiter!G51)</f>
        <v/>
      </c>
      <c r="D51" s="54">
        <f>IF(B51="","",SUMIFS(Erfassung!$E$6:$E$5005,Erfassung!$B$6:$B$5005,A51,Erfassung!$A$6:$A$5005,"&gt;="&amp;DATE(Einstellungen!$C$3,1,1),Erfassung!$A$6:$A$5005,"&lt;"&amp;DATE(Einstellungen!$C$3+1,1,1)))</f>
        <v/>
      </c>
      <c r="E51" s="58">
        <f>IF(B51="","",IF(D51&gt;0,SUMIFS(Erfassung!$E$6:$E$5005,Erfassung!$B$6:$B$5005,A51,Erfassung!$D$6:$D$5005,Einstellungen!$C$4,Erfassung!$A$6:$A$5005,"&gt;="&amp;DATE(Einstellungen!$C$3,1,1),Erfassung!$A$6:$A$5005,"&lt;"&amp;DATE(Einstellungen!$C$3+1,1,1))/D51,""))</f>
        <v/>
      </c>
      <c r="F51" s="54">
        <f>IF(B51="","",SUMIFS(Erfassung!$G$6:$G$5005,Erfassung!$B$6:$B$5005,A51,Erfassung!$A$6:$A$5005,"&gt;="&amp;DATE(Einstellungen!$C$3,1,1),Erfassung!$A$6:$A$5005,"&lt;"&amp;DATE(Einstellungen!$C$3+1,1,1)))</f>
        <v/>
      </c>
      <c r="G51" s="54">
        <f>IF(B51="","",SUMIFS(Erfassung!$G$6:$G$5005,Erfassung!$B$6:$B$5005,A51,Erfassung!$D$6:$D$5005,Einstellungen!$C$4,Erfassung!$A$6:$A$5005,"&gt;="&amp;DATE(Einstellungen!$C$3,1,1),Erfassung!$A$6:$A$5005,"&lt;"&amp;DATE(Einstellungen!$C$3+1,1,1)))</f>
        <v/>
      </c>
      <c r="H51" s="54">
        <f>IF(B51="","",SUMIFS(Erfassung!$G$6:$G$5005,Erfassung!$B$6:$B$5005,A51,Erfassung!$D$6:$D$5005,Einstellungen!$C$5,Erfassung!$A$6:$A$5005,"&gt;="&amp;DATE(Einstellungen!$C$3,1,1),Erfassung!$A$6:$A$5005,"&lt;"&amp;DATE(Einstellungen!$C$3+1,1,1)))</f>
        <v/>
      </c>
      <c r="I51" s="34">
        <f>IF(B51="","",SUMIFS(Erfassung!$F$6:$F$5005,Erfassung!$B$6:$B$5005,A51,Erfassung!$A$6:$A$5005,"&gt;="&amp;DATE(Einstellungen!$C$3,1,1),Erfassung!$A$6:$A$5005,"&lt;"&amp;DATE(Einstellungen!$C$3+1,1,1)))</f>
        <v/>
      </c>
      <c r="J51" s="38">
        <f>IF(B51="","",IF(D51+F51&gt;0,F51/(D51+F51),""))</f>
        <v/>
      </c>
      <c r="K51" s="59">
        <f>IF(J51="","",RANK(J51,$J$6:$J$205,0))</f>
        <v/>
      </c>
      <c r="L51" s="29">
        <f>IF(J51="","",IF(J51&lt;=Einstellungen!$C$7,"unauffällig",IF(J51&lt;=Einstellungen!$C$8,"auffällig","kritisch")))</f>
        <v/>
      </c>
      <c r="M51" s="60">
        <f>IF(J51="",-1,J51+ROW()/1000000000)</f>
        <v/>
      </c>
    </row>
    <row r="52">
      <c r="A52" s="56">
        <f>IF(Mitarbeiter!B52="","",Mitarbeiter!A52)</f>
        <v/>
      </c>
      <c r="B52" s="57">
        <f>IF(Mitarbeiter!B52="","",Mitarbeiter!B52)</f>
        <v/>
      </c>
      <c r="C52" s="7">
        <f>IF(Mitarbeiter!B52="","",Mitarbeiter!G52)</f>
        <v/>
      </c>
      <c r="D52" s="54">
        <f>IF(B52="","",SUMIFS(Erfassung!$E$6:$E$5005,Erfassung!$B$6:$B$5005,A52,Erfassung!$A$6:$A$5005,"&gt;="&amp;DATE(Einstellungen!$C$3,1,1),Erfassung!$A$6:$A$5005,"&lt;"&amp;DATE(Einstellungen!$C$3+1,1,1)))</f>
        <v/>
      </c>
      <c r="E52" s="58">
        <f>IF(B52="","",IF(D52&gt;0,SUMIFS(Erfassung!$E$6:$E$5005,Erfassung!$B$6:$B$5005,A52,Erfassung!$D$6:$D$5005,Einstellungen!$C$4,Erfassung!$A$6:$A$5005,"&gt;="&amp;DATE(Einstellungen!$C$3,1,1),Erfassung!$A$6:$A$5005,"&lt;"&amp;DATE(Einstellungen!$C$3+1,1,1))/D52,""))</f>
        <v/>
      </c>
      <c r="F52" s="54">
        <f>IF(B52="","",SUMIFS(Erfassung!$G$6:$G$5005,Erfassung!$B$6:$B$5005,A52,Erfassung!$A$6:$A$5005,"&gt;="&amp;DATE(Einstellungen!$C$3,1,1),Erfassung!$A$6:$A$5005,"&lt;"&amp;DATE(Einstellungen!$C$3+1,1,1)))</f>
        <v/>
      </c>
      <c r="G52" s="54">
        <f>IF(B52="","",SUMIFS(Erfassung!$G$6:$G$5005,Erfassung!$B$6:$B$5005,A52,Erfassung!$D$6:$D$5005,Einstellungen!$C$4,Erfassung!$A$6:$A$5005,"&gt;="&amp;DATE(Einstellungen!$C$3,1,1),Erfassung!$A$6:$A$5005,"&lt;"&amp;DATE(Einstellungen!$C$3+1,1,1)))</f>
        <v/>
      </c>
      <c r="H52" s="54">
        <f>IF(B52="","",SUMIFS(Erfassung!$G$6:$G$5005,Erfassung!$B$6:$B$5005,A52,Erfassung!$D$6:$D$5005,Einstellungen!$C$5,Erfassung!$A$6:$A$5005,"&gt;="&amp;DATE(Einstellungen!$C$3,1,1),Erfassung!$A$6:$A$5005,"&lt;"&amp;DATE(Einstellungen!$C$3+1,1,1)))</f>
        <v/>
      </c>
      <c r="I52" s="34">
        <f>IF(B52="","",SUMIFS(Erfassung!$F$6:$F$5005,Erfassung!$B$6:$B$5005,A52,Erfassung!$A$6:$A$5005,"&gt;="&amp;DATE(Einstellungen!$C$3,1,1),Erfassung!$A$6:$A$5005,"&lt;"&amp;DATE(Einstellungen!$C$3+1,1,1)))</f>
        <v/>
      </c>
      <c r="J52" s="38">
        <f>IF(B52="","",IF(D52+F52&gt;0,F52/(D52+F52),""))</f>
        <v/>
      </c>
      <c r="K52" s="59">
        <f>IF(J52="","",RANK(J52,$J$6:$J$205,0))</f>
        <v/>
      </c>
      <c r="L52" s="29">
        <f>IF(J52="","",IF(J52&lt;=Einstellungen!$C$7,"unauffällig",IF(J52&lt;=Einstellungen!$C$8,"auffällig","kritisch")))</f>
        <v/>
      </c>
      <c r="M52" s="60">
        <f>IF(J52="",-1,J52+ROW()/1000000000)</f>
        <v/>
      </c>
    </row>
    <row r="53">
      <c r="A53" s="56">
        <f>IF(Mitarbeiter!B53="","",Mitarbeiter!A53)</f>
        <v/>
      </c>
      <c r="B53" s="57">
        <f>IF(Mitarbeiter!B53="","",Mitarbeiter!B53)</f>
        <v/>
      </c>
      <c r="C53" s="7">
        <f>IF(Mitarbeiter!B53="","",Mitarbeiter!G53)</f>
        <v/>
      </c>
      <c r="D53" s="54">
        <f>IF(B53="","",SUMIFS(Erfassung!$E$6:$E$5005,Erfassung!$B$6:$B$5005,A53,Erfassung!$A$6:$A$5005,"&gt;="&amp;DATE(Einstellungen!$C$3,1,1),Erfassung!$A$6:$A$5005,"&lt;"&amp;DATE(Einstellungen!$C$3+1,1,1)))</f>
        <v/>
      </c>
      <c r="E53" s="58">
        <f>IF(B53="","",IF(D53&gt;0,SUMIFS(Erfassung!$E$6:$E$5005,Erfassung!$B$6:$B$5005,A53,Erfassung!$D$6:$D$5005,Einstellungen!$C$4,Erfassung!$A$6:$A$5005,"&gt;="&amp;DATE(Einstellungen!$C$3,1,1),Erfassung!$A$6:$A$5005,"&lt;"&amp;DATE(Einstellungen!$C$3+1,1,1))/D53,""))</f>
        <v/>
      </c>
      <c r="F53" s="54">
        <f>IF(B53="","",SUMIFS(Erfassung!$G$6:$G$5005,Erfassung!$B$6:$B$5005,A53,Erfassung!$A$6:$A$5005,"&gt;="&amp;DATE(Einstellungen!$C$3,1,1),Erfassung!$A$6:$A$5005,"&lt;"&amp;DATE(Einstellungen!$C$3+1,1,1)))</f>
        <v/>
      </c>
      <c r="G53" s="54">
        <f>IF(B53="","",SUMIFS(Erfassung!$G$6:$G$5005,Erfassung!$B$6:$B$5005,A53,Erfassung!$D$6:$D$5005,Einstellungen!$C$4,Erfassung!$A$6:$A$5005,"&gt;="&amp;DATE(Einstellungen!$C$3,1,1),Erfassung!$A$6:$A$5005,"&lt;"&amp;DATE(Einstellungen!$C$3+1,1,1)))</f>
        <v/>
      </c>
      <c r="H53" s="54">
        <f>IF(B53="","",SUMIFS(Erfassung!$G$6:$G$5005,Erfassung!$B$6:$B$5005,A53,Erfassung!$D$6:$D$5005,Einstellungen!$C$5,Erfassung!$A$6:$A$5005,"&gt;="&amp;DATE(Einstellungen!$C$3,1,1),Erfassung!$A$6:$A$5005,"&lt;"&amp;DATE(Einstellungen!$C$3+1,1,1)))</f>
        <v/>
      </c>
      <c r="I53" s="34">
        <f>IF(B53="","",SUMIFS(Erfassung!$F$6:$F$5005,Erfassung!$B$6:$B$5005,A53,Erfassung!$A$6:$A$5005,"&gt;="&amp;DATE(Einstellungen!$C$3,1,1),Erfassung!$A$6:$A$5005,"&lt;"&amp;DATE(Einstellungen!$C$3+1,1,1)))</f>
        <v/>
      </c>
      <c r="J53" s="38">
        <f>IF(B53="","",IF(D53+F53&gt;0,F53/(D53+F53),""))</f>
        <v/>
      </c>
      <c r="K53" s="59">
        <f>IF(J53="","",RANK(J53,$J$6:$J$205,0))</f>
        <v/>
      </c>
      <c r="L53" s="29">
        <f>IF(J53="","",IF(J53&lt;=Einstellungen!$C$7,"unauffällig",IF(J53&lt;=Einstellungen!$C$8,"auffällig","kritisch")))</f>
        <v/>
      </c>
      <c r="M53" s="60">
        <f>IF(J53="",-1,J53+ROW()/1000000000)</f>
        <v/>
      </c>
    </row>
    <row r="54">
      <c r="A54" s="56">
        <f>IF(Mitarbeiter!B54="","",Mitarbeiter!A54)</f>
        <v/>
      </c>
      <c r="B54" s="57">
        <f>IF(Mitarbeiter!B54="","",Mitarbeiter!B54)</f>
        <v/>
      </c>
      <c r="C54" s="7">
        <f>IF(Mitarbeiter!B54="","",Mitarbeiter!G54)</f>
        <v/>
      </c>
      <c r="D54" s="54">
        <f>IF(B54="","",SUMIFS(Erfassung!$E$6:$E$5005,Erfassung!$B$6:$B$5005,A54,Erfassung!$A$6:$A$5005,"&gt;="&amp;DATE(Einstellungen!$C$3,1,1),Erfassung!$A$6:$A$5005,"&lt;"&amp;DATE(Einstellungen!$C$3+1,1,1)))</f>
        <v/>
      </c>
      <c r="E54" s="58">
        <f>IF(B54="","",IF(D54&gt;0,SUMIFS(Erfassung!$E$6:$E$5005,Erfassung!$B$6:$B$5005,A54,Erfassung!$D$6:$D$5005,Einstellungen!$C$4,Erfassung!$A$6:$A$5005,"&gt;="&amp;DATE(Einstellungen!$C$3,1,1),Erfassung!$A$6:$A$5005,"&lt;"&amp;DATE(Einstellungen!$C$3+1,1,1))/D54,""))</f>
        <v/>
      </c>
      <c r="F54" s="54">
        <f>IF(B54="","",SUMIFS(Erfassung!$G$6:$G$5005,Erfassung!$B$6:$B$5005,A54,Erfassung!$A$6:$A$5005,"&gt;="&amp;DATE(Einstellungen!$C$3,1,1),Erfassung!$A$6:$A$5005,"&lt;"&amp;DATE(Einstellungen!$C$3+1,1,1)))</f>
        <v/>
      </c>
      <c r="G54" s="54">
        <f>IF(B54="","",SUMIFS(Erfassung!$G$6:$G$5005,Erfassung!$B$6:$B$5005,A54,Erfassung!$D$6:$D$5005,Einstellungen!$C$4,Erfassung!$A$6:$A$5005,"&gt;="&amp;DATE(Einstellungen!$C$3,1,1),Erfassung!$A$6:$A$5005,"&lt;"&amp;DATE(Einstellungen!$C$3+1,1,1)))</f>
        <v/>
      </c>
      <c r="H54" s="54">
        <f>IF(B54="","",SUMIFS(Erfassung!$G$6:$G$5005,Erfassung!$B$6:$B$5005,A54,Erfassung!$D$6:$D$5005,Einstellungen!$C$5,Erfassung!$A$6:$A$5005,"&gt;="&amp;DATE(Einstellungen!$C$3,1,1),Erfassung!$A$6:$A$5005,"&lt;"&amp;DATE(Einstellungen!$C$3+1,1,1)))</f>
        <v/>
      </c>
      <c r="I54" s="34">
        <f>IF(B54="","",SUMIFS(Erfassung!$F$6:$F$5005,Erfassung!$B$6:$B$5005,A54,Erfassung!$A$6:$A$5005,"&gt;="&amp;DATE(Einstellungen!$C$3,1,1),Erfassung!$A$6:$A$5005,"&lt;"&amp;DATE(Einstellungen!$C$3+1,1,1)))</f>
        <v/>
      </c>
      <c r="J54" s="38">
        <f>IF(B54="","",IF(D54+F54&gt;0,F54/(D54+F54),""))</f>
        <v/>
      </c>
      <c r="K54" s="59">
        <f>IF(J54="","",RANK(J54,$J$6:$J$205,0))</f>
        <v/>
      </c>
      <c r="L54" s="29">
        <f>IF(J54="","",IF(J54&lt;=Einstellungen!$C$7,"unauffällig",IF(J54&lt;=Einstellungen!$C$8,"auffällig","kritisch")))</f>
        <v/>
      </c>
      <c r="M54" s="60">
        <f>IF(J54="",-1,J54+ROW()/1000000000)</f>
        <v/>
      </c>
    </row>
    <row r="55">
      <c r="A55" s="56">
        <f>IF(Mitarbeiter!B55="","",Mitarbeiter!A55)</f>
        <v/>
      </c>
      <c r="B55" s="57">
        <f>IF(Mitarbeiter!B55="","",Mitarbeiter!B55)</f>
        <v/>
      </c>
      <c r="C55" s="7">
        <f>IF(Mitarbeiter!B55="","",Mitarbeiter!G55)</f>
        <v/>
      </c>
      <c r="D55" s="54">
        <f>IF(B55="","",SUMIFS(Erfassung!$E$6:$E$5005,Erfassung!$B$6:$B$5005,A55,Erfassung!$A$6:$A$5005,"&gt;="&amp;DATE(Einstellungen!$C$3,1,1),Erfassung!$A$6:$A$5005,"&lt;"&amp;DATE(Einstellungen!$C$3+1,1,1)))</f>
        <v/>
      </c>
      <c r="E55" s="58">
        <f>IF(B55="","",IF(D55&gt;0,SUMIFS(Erfassung!$E$6:$E$5005,Erfassung!$B$6:$B$5005,A55,Erfassung!$D$6:$D$5005,Einstellungen!$C$4,Erfassung!$A$6:$A$5005,"&gt;="&amp;DATE(Einstellungen!$C$3,1,1),Erfassung!$A$6:$A$5005,"&lt;"&amp;DATE(Einstellungen!$C$3+1,1,1))/D55,""))</f>
        <v/>
      </c>
      <c r="F55" s="54">
        <f>IF(B55="","",SUMIFS(Erfassung!$G$6:$G$5005,Erfassung!$B$6:$B$5005,A55,Erfassung!$A$6:$A$5005,"&gt;="&amp;DATE(Einstellungen!$C$3,1,1),Erfassung!$A$6:$A$5005,"&lt;"&amp;DATE(Einstellungen!$C$3+1,1,1)))</f>
        <v/>
      </c>
      <c r="G55" s="54">
        <f>IF(B55="","",SUMIFS(Erfassung!$G$6:$G$5005,Erfassung!$B$6:$B$5005,A55,Erfassung!$D$6:$D$5005,Einstellungen!$C$4,Erfassung!$A$6:$A$5005,"&gt;="&amp;DATE(Einstellungen!$C$3,1,1),Erfassung!$A$6:$A$5005,"&lt;"&amp;DATE(Einstellungen!$C$3+1,1,1)))</f>
        <v/>
      </c>
      <c r="H55" s="54">
        <f>IF(B55="","",SUMIFS(Erfassung!$G$6:$G$5005,Erfassung!$B$6:$B$5005,A55,Erfassung!$D$6:$D$5005,Einstellungen!$C$5,Erfassung!$A$6:$A$5005,"&gt;="&amp;DATE(Einstellungen!$C$3,1,1),Erfassung!$A$6:$A$5005,"&lt;"&amp;DATE(Einstellungen!$C$3+1,1,1)))</f>
        <v/>
      </c>
      <c r="I55" s="34">
        <f>IF(B55="","",SUMIFS(Erfassung!$F$6:$F$5005,Erfassung!$B$6:$B$5005,A55,Erfassung!$A$6:$A$5005,"&gt;="&amp;DATE(Einstellungen!$C$3,1,1),Erfassung!$A$6:$A$5005,"&lt;"&amp;DATE(Einstellungen!$C$3+1,1,1)))</f>
        <v/>
      </c>
      <c r="J55" s="38">
        <f>IF(B55="","",IF(D55+F55&gt;0,F55/(D55+F55),""))</f>
        <v/>
      </c>
      <c r="K55" s="59">
        <f>IF(J55="","",RANK(J55,$J$6:$J$205,0))</f>
        <v/>
      </c>
      <c r="L55" s="29">
        <f>IF(J55="","",IF(J55&lt;=Einstellungen!$C$7,"unauffällig",IF(J55&lt;=Einstellungen!$C$8,"auffällig","kritisch")))</f>
        <v/>
      </c>
      <c r="M55" s="60">
        <f>IF(J55="",-1,J55+ROW()/1000000000)</f>
        <v/>
      </c>
    </row>
    <row r="56">
      <c r="A56" s="56">
        <f>IF(Mitarbeiter!B56="","",Mitarbeiter!A56)</f>
        <v/>
      </c>
      <c r="B56" s="57">
        <f>IF(Mitarbeiter!B56="","",Mitarbeiter!B56)</f>
        <v/>
      </c>
      <c r="C56" s="7">
        <f>IF(Mitarbeiter!B56="","",Mitarbeiter!G56)</f>
        <v/>
      </c>
      <c r="D56" s="54">
        <f>IF(B56="","",SUMIFS(Erfassung!$E$6:$E$5005,Erfassung!$B$6:$B$5005,A56,Erfassung!$A$6:$A$5005,"&gt;="&amp;DATE(Einstellungen!$C$3,1,1),Erfassung!$A$6:$A$5005,"&lt;"&amp;DATE(Einstellungen!$C$3+1,1,1)))</f>
        <v/>
      </c>
      <c r="E56" s="58">
        <f>IF(B56="","",IF(D56&gt;0,SUMIFS(Erfassung!$E$6:$E$5005,Erfassung!$B$6:$B$5005,A56,Erfassung!$D$6:$D$5005,Einstellungen!$C$4,Erfassung!$A$6:$A$5005,"&gt;="&amp;DATE(Einstellungen!$C$3,1,1),Erfassung!$A$6:$A$5005,"&lt;"&amp;DATE(Einstellungen!$C$3+1,1,1))/D56,""))</f>
        <v/>
      </c>
      <c r="F56" s="54">
        <f>IF(B56="","",SUMIFS(Erfassung!$G$6:$G$5005,Erfassung!$B$6:$B$5005,A56,Erfassung!$A$6:$A$5005,"&gt;="&amp;DATE(Einstellungen!$C$3,1,1),Erfassung!$A$6:$A$5005,"&lt;"&amp;DATE(Einstellungen!$C$3+1,1,1)))</f>
        <v/>
      </c>
      <c r="G56" s="54">
        <f>IF(B56="","",SUMIFS(Erfassung!$G$6:$G$5005,Erfassung!$B$6:$B$5005,A56,Erfassung!$D$6:$D$5005,Einstellungen!$C$4,Erfassung!$A$6:$A$5005,"&gt;="&amp;DATE(Einstellungen!$C$3,1,1),Erfassung!$A$6:$A$5005,"&lt;"&amp;DATE(Einstellungen!$C$3+1,1,1)))</f>
        <v/>
      </c>
      <c r="H56" s="54">
        <f>IF(B56="","",SUMIFS(Erfassung!$G$6:$G$5005,Erfassung!$B$6:$B$5005,A56,Erfassung!$D$6:$D$5005,Einstellungen!$C$5,Erfassung!$A$6:$A$5005,"&gt;="&amp;DATE(Einstellungen!$C$3,1,1),Erfassung!$A$6:$A$5005,"&lt;"&amp;DATE(Einstellungen!$C$3+1,1,1)))</f>
        <v/>
      </c>
      <c r="I56" s="34">
        <f>IF(B56="","",SUMIFS(Erfassung!$F$6:$F$5005,Erfassung!$B$6:$B$5005,A56,Erfassung!$A$6:$A$5005,"&gt;="&amp;DATE(Einstellungen!$C$3,1,1),Erfassung!$A$6:$A$5005,"&lt;"&amp;DATE(Einstellungen!$C$3+1,1,1)))</f>
        <v/>
      </c>
      <c r="J56" s="38">
        <f>IF(B56="","",IF(D56+F56&gt;0,F56/(D56+F56),""))</f>
        <v/>
      </c>
      <c r="K56" s="59">
        <f>IF(J56="","",RANK(J56,$J$6:$J$205,0))</f>
        <v/>
      </c>
      <c r="L56" s="29">
        <f>IF(J56="","",IF(J56&lt;=Einstellungen!$C$7,"unauffällig",IF(J56&lt;=Einstellungen!$C$8,"auffällig","kritisch")))</f>
        <v/>
      </c>
      <c r="M56" s="60">
        <f>IF(J56="",-1,J56+ROW()/1000000000)</f>
        <v/>
      </c>
    </row>
    <row r="57">
      <c r="A57" s="56">
        <f>IF(Mitarbeiter!B57="","",Mitarbeiter!A57)</f>
        <v/>
      </c>
      <c r="B57" s="57">
        <f>IF(Mitarbeiter!B57="","",Mitarbeiter!B57)</f>
        <v/>
      </c>
      <c r="C57" s="7">
        <f>IF(Mitarbeiter!B57="","",Mitarbeiter!G57)</f>
        <v/>
      </c>
      <c r="D57" s="54">
        <f>IF(B57="","",SUMIFS(Erfassung!$E$6:$E$5005,Erfassung!$B$6:$B$5005,A57,Erfassung!$A$6:$A$5005,"&gt;="&amp;DATE(Einstellungen!$C$3,1,1),Erfassung!$A$6:$A$5005,"&lt;"&amp;DATE(Einstellungen!$C$3+1,1,1)))</f>
        <v/>
      </c>
      <c r="E57" s="58">
        <f>IF(B57="","",IF(D57&gt;0,SUMIFS(Erfassung!$E$6:$E$5005,Erfassung!$B$6:$B$5005,A57,Erfassung!$D$6:$D$5005,Einstellungen!$C$4,Erfassung!$A$6:$A$5005,"&gt;="&amp;DATE(Einstellungen!$C$3,1,1),Erfassung!$A$6:$A$5005,"&lt;"&amp;DATE(Einstellungen!$C$3+1,1,1))/D57,""))</f>
        <v/>
      </c>
      <c r="F57" s="54">
        <f>IF(B57="","",SUMIFS(Erfassung!$G$6:$G$5005,Erfassung!$B$6:$B$5005,A57,Erfassung!$A$6:$A$5005,"&gt;="&amp;DATE(Einstellungen!$C$3,1,1),Erfassung!$A$6:$A$5005,"&lt;"&amp;DATE(Einstellungen!$C$3+1,1,1)))</f>
        <v/>
      </c>
      <c r="G57" s="54">
        <f>IF(B57="","",SUMIFS(Erfassung!$G$6:$G$5005,Erfassung!$B$6:$B$5005,A57,Erfassung!$D$6:$D$5005,Einstellungen!$C$4,Erfassung!$A$6:$A$5005,"&gt;="&amp;DATE(Einstellungen!$C$3,1,1),Erfassung!$A$6:$A$5005,"&lt;"&amp;DATE(Einstellungen!$C$3+1,1,1)))</f>
        <v/>
      </c>
      <c r="H57" s="54">
        <f>IF(B57="","",SUMIFS(Erfassung!$G$6:$G$5005,Erfassung!$B$6:$B$5005,A57,Erfassung!$D$6:$D$5005,Einstellungen!$C$5,Erfassung!$A$6:$A$5005,"&gt;="&amp;DATE(Einstellungen!$C$3,1,1),Erfassung!$A$6:$A$5005,"&lt;"&amp;DATE(Einstellungen!$C$3+1,1,1)))</f>
        <v/>
      </c>
      <c r="I57" s="34">
        <f>IF(B57="","",SUMIFS(Erfassung!$F$6:$F$5005,Erfassung!$B$6:$B$5005,A57,Erfassung!$A$6:$A$5005,"&gt;="&amp;DATE(Einstellungen!$C$3,1,1),Erfassung!$A$6:$A$5005,"&lt;"&amp;DATE(Einstellungen!$C$3+1,1,1)))</f>
        <v/>
      </c>
      <c r="J57" s="38">
        <f>IF(B57="","",IF(D57+F57&gt;0,F57/(D57+F57),""))</f>
        <v/>
      </c>
      <c r="K57" s="59">
        <f>IF(J57="","",RANK(J57,$J$6:$J$205,0))</f>
        <v/>
      </c>
      <c r="L57" s="29">
        <f>IF(J57="","",IF(J57&lt;=Einstellungen!$C$7,"unauffällig",IF(J57&lt;=Einstellungen!$C$8,"auffällig","kritisch")))</f>
        <v/>
      </c>
      <c r="M57" s="60">
        <f>IF(J57="",-1,J57+ROW()/1000000000)</f>
        <v/>
      </c>
    </row>
    <row r="58">
      <c r="A58" s="56">
        <f>IF(Mitarbeiter!B58="","",Mitarbeiter!A58)</f>
        <v/>
      </c>
      <c r="B58" s="57">
        <f>IF(Mitarbeiter!B58="","",Mitarbeiter!B58)</f>
        <v/>
      </c>
      <c r="C58" s="7">
        <f>IF(Mitarbeiter!B58="","",Mitarbeiter!G58)</f>
        <v/>
      </c>
      <c r="D58" s="54">
        <f>IF(B58="","",SUMIFS(Erfassung!$E$6:$E$5005,Erfassung!$B$6:$B$5005,A58,Erfassung!$A$6:$A$5005,"&gt;="&amp;DATE(Einstellungen!$C$3,1,1),Erfassung!$A$6:$A$5005,"&lt;"&amp;DATE(Einstellungen!$C$3+1,1,1)))</f>
        <v/>
      </c>
      <c r="E58" s="58">
        <f>IF(B58="","",IF(D58&gt;0,SUMIFS(Erfassung!$E$6:$E$5005,Erfassung!$B$6:$B$5005,A58,Erfassung!$D$6:$D$5005,Einstellungen!$C$4,Erfassung!$A$6:$A$5005,"&gt;="&amp;DATE(Einstellungen!$C$3,1,1),Erfassung!$A$6:$A$5005,"&lt;"&amp;DATE(Einstellungen!$C$3+1,1,1))/D58,""))</f>
        <v/>
      </c>
      <c r="F58" s="54">
        <f>IF(B58="","",SUMIFS(Erfassung!$G$6:$G$5005,Erfassung!$B$6:$B$5005,A58,Erfassung!$A$6:$A$5005,"&gt;="&amp;DATE(Einstellungen!$C$3,1,1),Erfassung!$A$6:$A$5005,"&lt;"&amp;DATE(Einstellungen!$C$3+1,1,1)))</f>
        <v/>
      </c>
      <c r="G58" s="54">
        <f>IF(B58="","",SUMIFS(Erfassung!$G$6:$G$5005,Erfassung!$B$6:$B$5005,A58,Erfassung!$D$6:$D$5005,Einstellungen!$C$4,Erfassung!$A$6:$A$5005,"&gt;="&amp;DATE(Einstellungen!$C$3,1,1),Erfassung!$A$6:$A$5005,"&lt;"&amp;DATE(Einstellungen!$C$3+1,1,1)))</f>
        <v/>
      </c>
      <c r="H58" s="54">
        <f>IF(B58="","",SUMIFS(Erfassung!$G$6:$G$5005,Erfassung!$B$6:$B$5005,A58,Erfassung!$D$6:$D$5005,Einstellungen!$C$5,Erfassung!$A$6:$A$5005,"&gt;="&amp;DATE(Einstellungen!$C$3,1,1),Erfassung!$A$6:$A$5005,"&lt;"&amp;DATE(Einstellungen!$C$3+1,1,1)))</f>
        <v/>
      </c>
      <c r="I58" s="34">
        <f>IF(B58="","",SUMIFS(Erfassung!$F$6:$F$5005,Erfassung!$B$6:$B$5005,A58,Erfassung!$A$6:$A$5005,"&gt;="&amp;DATE(Einstellungen!$C$3,1,1),Erfassung!$A$6:$A$5005,"&lt;"&amp;DATE(Einstellungen!$C$3+1,1,1)))</f>
        <v/>
      </c>
      <c r="J58" s="38">
        <f>IF(B58="","",IF(D58+F58&gt;0,F58/(D58+F58),""))</f>
        <v/>
      </c>
      <c r="K58" s="59">
        <f>IF(J58="","",RANK(J58,$J$6:$J$205,0))</f>
        <v/>
      </c>
      <c r="L58" s="29">
        <f>IF(J58="","",IF(J58&lt;=Einstellungen!$C$7,"unauffällig",IF(J58&lt;=Einstellungen!$C$8,"auffällig","kritisch")))</f>
        <v/>
      </c>
      <c r="M58" s="60">
        <f>IF(J58="",-1,J58+ROW()/1000000000)</f>
        <v/>
      </c>
    </row>
    <row r="59">
      <c r="A59" s="56">
        <f>IF(Mitarbeiter!B59="","",Mitarbeiter!A59)</f>
        <v/>
      </c>
      <c r="B59" s="57">
        <f>IF(Mitarbeiter!B59="","",Mitarbeiter!B59)</f>
        <v/>
      </c>
      <c r="C59" s="7">
        <f>IF(Mitarbeiter!B59="","",Mitarbeiter!G59)</f>
        <v/>
      </c>
      <c r="D59" s="54">
        <f>IF(B59="","",SUMIFS(Erfassung!$E$6:$E$5005,Erfassung!$B$6:$B$5005,A59,Erfassung!$A$6:$A$5005,"&gt;="&amp;DATE(Einstellungen!$C$3,1,1),Erfassung!$A$6:$A$5005,"&lt;"&amp;DATE(Einstellungen!$C$3+1,1,1)))</f>
        <v/>
      </c>
      <c r="E59" s="58">
        <f>IF(B59="","",IF(D59&gt;0,SUMIFS(Erfassung!$E$6:$E$5005,Erfassung!$B$6:$B$5005,A59,Erfassung!$D$6:$D$5005,Einstellungen!$C$4,Erfassung!$A$6:$A$5005,"&gt;="&amp;DATE(Einstellungen!$C$3,1,1),Erfassung!$A$6:$A$5005,"&lt;"&amp;DATE(Einstellungen!$C$3+1,1,1))/D59,""))</f>
        <v/>
      </c>
      <c r="F59" s="54">
        <f>IF(B59="","",SUMIFS(Erfassung!$G$6:$G$5005,Erfassung!$B$6:$B$5005,A59,Erfassung!$A$6:$A$5005,"&gt;="&amp;DATE(Einstellungen!$C$3,1,1),Erfassung!$A$6:$A$5005,"&lt;"&amp;DATE(Einstellungen!$C$3+1,1,1)))</f>
        <v/>
      </c>
      <c r="G59" s="54">
        <f>IF(B59="","",SUMIFS(Erfassung!$G$6:$G$5005,Erfassung!$B$6:$B$5005,A59,Erfassung!$D$6:$D$5005,Einstellungen!$C$4,Erfassung!$A$6:$A$5005,"&gt;="&amp;DATE(Einstellungen!$C$3,1,1),Erfassung!$A$6:$A$5005,"&lt;"&amp;DATE(Einstellungen!$C$3+1,1,1)))</f>
        <v/>
      </c>
      <c r="H59" s="54">
        <f>IF(B59="","",SUMIFS(Erfassung!$G$6:$G$5005,Erfassung!$B$6:$B$5005,A59,Erfassung!$D$6:$D$5005,Einstellungen!$C$5,Erfassung!$A$6:$A$5005,"&gt;="&amp;DATE(Einstellungen!$C$3,1,1),Erfassung!$A$6:$A$5005,"&lt;"&amp;DATE(Einstellungen!$C$3+1,1,1)))</f>
        <v/>
      </c>
      <c r="I59" s="34">
        <f>IF(B59="","",SUMIFS(Erfassung!$F$6:$F$5005,Erfassung!$B$6:$B$5005,A59,Erfassung!$A$6:$A$5005,"&gt;="&amp;DATE(Einstellungen!$C$3,1,1),Erfassung!$A$6:$A$5005,"&lt;"&amp;DATE(Einstellungen!$C$3+1,1,1)))</f>
        <v/>
      </c>
      <c r="J59" s="38">
        <f>IF(B59="","",IF(D59+F59&gt;0,F59/(D59+F59),""))</f>
        <v/>
      </c>
      <c r="K59" s="59">
        <f>IF(J59="","",RANK(J59,$J$6:$J$205,0))</f>
        <v/>
      </c>
      <c r="L59" s="29">
        <f>IF(J59="","",IF(J59&lt;=Einstellungen!$C$7,"unauffällig",IF(J59&lt;=Einstellungen!$C$8,"auffällig","kritisch")))</f>
        <v/>
      </c>
      <c r="M59" s="60">
        <f>IF(J59="",-1,J59+ROW()/1000000000)</f>
        <v/>
      </c>
    </row>
    <row r="60">
      <c r="A60" s="56">
        <f>IF(Mitarbeiter!B60="","",Mitarbeiter!A60)</f>
        <v/>
      </c>
      <c r="B60" s="57">
        <f>IF(Mitarbeiter!B60="","",Mitarbeiter!B60)</f>
        <v/>
      </c>
      <c r="C60" s="7">
        <f>IF(Mitarbeiter!B60="","",Mitarbeiter!G60)</f>
        <v/>
      </c>
      <c r="D60" s="54">
        <f>IF(B60="","",SUMIFS(Erfassung!$E$6:$E$5005,Erfassung!$B$6:$B$5005,A60,Erfassung!$A$6:$A$5005,"&gt;="&amp;DATE(Einstellungen!$C$3,1,1),Erfassung!$A$6:$A$5005,"&lt;"&amp;DATE(Einstellungen!$C$3+1,1,1)))</f>
        <v/>
      </c>
      <c r="E60" s="58">
        <f>IF(B60="","",IF(D60&gt;0,SUMIFS(Erfassung!$E$6:$E$5005,Erfassung!$B$6:$B$5005,A60,Erfassung!$D$6:$D$5005,Einstellungen!$C$4,Erfassung!$A$6:$A$5005,"&gt;="&amp;DATE(Einstellungen!$C$3,1,1),Erfassung!$A$6:$A$5005,"&lt;"&amp;DATE(Einstellungen!$C$3+1,1,1))/D60,""))</f>
        <v/>
      </c>
      <c r="F60" s="54">
        <f>IF(B60="","",SUMIFS(Erfassung!$G$6:$G$5005,Erfassung!$B$6:$B$5005,A60,Erfassung!$A$6:$A$5005,"&gt;="&amp;DATE(Einstellungen!$C$3,1,1),Erfassung!$A$6:$A$5005,"&lt;"&amp;DATE(Einstellungen!$C$3+1,1,1)))</f>
        <v/>
      </c>
      <c r="G60" s="54">
        <f>IF(B60="","",SUMIFS(Erfassung!$G$6:$G$5005,Erfassung!$B$6:$B$5005,A60,Erfassung!$D$6:$D$5005,Einstellungen!$C$4,Erfassung!$A$6:$A$5005,"&gt;="&amp;DATE(Einstellungen!$C$3,1,1),Erfassung!$A$6:$A$5005,"&lt;"&amp;DATE(Einstellungen!$C$3+1,1,1)))</f>
        <v/>
      </c>
      <c r="H60" s="54">
        <f>IF(B60="","",SUMIFS(Erfassung!$G$6:$G$5005,Erfassung!$B$6:$B$5005,A60,Erfassung!$D$6:$D$5005,Einstellungen!$C$5,Erfassung!$A$6:$A$5005,"&gt;="&amp;DATE(Einstellungen!$C$3,1,1),Erfassung!$A$6:$A$5005,"&lt;"&amp;DATE(Einstellungen!$C$3+1,1,1)))</f>
        <v/>
      </c>
      <c r="I60" s="34">
        <f>IF(B60="","",SUMIFS(Erfassung!$F$6:$F$5005,Erfassung!$B$6:$B$5005,A60,Erfassung!$A$6:$A$5005,"&gt;="&amp;DATE(Einstellungen!$C$3,1,1),Erfassung!$A$6:$A$5005,"&lt;"&amp;DATE(Einstellungen!$C$3+1,1,1)))</f>
        <v/>
      </c>
      <c r="J60" s="38">
        <f>IF(B60="","",IF(D60+F60&gt;0,F60/(D60+F60),""))</f>
        <v/>
      </c>
      <c r="K60" s="59">
        <f>IF(J60="","",RANK(J60,$J$6:$J$205,0))</f>
        <v/>
      </c>
      <c r="L60" s="29">
        <f>IF(J60="","",IF(J60&lt;=Einstellungen!$C$7,"unauffällig",IF(J60&lt;=Einstellungen!$C$8,"auffällig","kritisch")))</f>
        <v/>
      </c>
      <c r="M60" s="60">
        <f>IF(J60="",-1,J60+ROW()/1000000000)</f>
        <v/>
      </c>
    </row>
    <row r="61">
      <c r="A61" s="56">
        <f>IF(Mitarbeiter!B61="","",Mitarbeiter!A61)</f>
        <v/>
      </c>
      <c r="B61" s="57">
        <f>IF(Mitarbeiter!B61="","",Mitarbeiter!B61)</f>
        <v/>
      </c>
      <c r="C61" s="7">
        <f>IF(Mitarbeiter!B61="","",Mitarbeiter!G61)</f>
        <v/>
      </c>
      <c r="D61" s="54">
        <f>IF(B61="","",SUMIFS(Erfassung!$E$6:$E$5005,Erfassung!$B$6:$B$5005,A61,Erfassung!$A$6:$A$5005,"&gt;="&amp;DATE(Einstellungen!$C$3,1,1),Erfassung!$A$6:$A$5005,"&lt;"&amp;DATE(Einstellungen!$C$3+1,1,1)))</f>
        <v/>
      </c>
      <c r="E61" s="58">
        <f>IF(B61="","",IF(D61&gt;0,SUMIFS(Erfassung!$E$6:$E$5005,Erfassung!$B$6:$B$5005,A61,Erfassung!$D$6:$D$5005,Einstellungen!$C$4,Erfassung!$A$6:$A$5005,"&gt;="&amp;DATE(Einstellungen!$C$3,1,1),Erfassung!$A$6:$A$5005,"&lt;"&amp;DATE(Einstellungen!$C$3+1,1,1))/D61,""))</f>
        <v/>
      </c>
      <c r="F61" s="54">
        <f>IF(B61="","",SUMIFS(Erfassung!$G$6:$G$5005,Erfassung!$B$6:$B$5005,A61,Erfassung!$A$6:$A$5005,"&gt;="&amp;DATE(Einstellungen!$C$3,1,1),Erfassung!$A$6:$A$5005,"&lt;"&amp;DATE(Einstellungen!$C$3+1,1,1)))</f>
        <v/>
      </c>
      <c r="G61" s="54">
        <f>IF(B61="","",SUMIFS(Erfassung!$G$6:$G$5005,Erfassung!$B$6:$B$5005,A61,Erfassung!$D$6:$D$5005,Einstellungen!$C$4,Erfassung!$A$6:$A$5005,"&gt;="&amp;DATE(Einstellungen!$C$3,1,1),Erfassung!$A$6:$A$5005,"&lt;"&amp;DATE(Einstellungen!$C$3+1,1,1)))</f>
        <v/>
      </c>
      <c r="H61" s="54">
        <f>IF(B61="","",SUMIFS(Erfassung!$G$6:$G$5005,Erfassung!$B$6:$B$5005,A61,Erfassung!$D$6:$D$5005,Einstellungen!$C$5,Erfassung!$A$6:$A$5005,"&gt;="&amp;DATE(Einstellungen!$C$3,1,1),Erfassung!$A$6:$A$5005,"&lt;"&amp;DATE(Einstellungen!$C$3+1,1,1)))</f>
        <v/>
      </c>
      <c r="I61" s="34">
        <f>IF(B61="","",SUMIFS(Erfassung!$F$6:$F$5005,Erfassung!$B$6:$B$5005,A61,Erfassung!$A$6:$A$5005,"&gt;="&amp;DATE(Einstellungen!$C$3,1,1),Erfassung!$A$6:$A$5005,"&lt;"&amp;DATE(Einstellungen!$C$3+1,1,1)))</f>
        <v/>
      </c>
      <c r="J61" s="38">
        <f>IF(B61="","",IF(D61+F61&gt;0,F61/(D61+F61),""))</f>
        <v/>
      </c>
      <c r="K61" s="59">
        <f>IF(J61="","",RANK(J61,$J$6:$J$205,0))</f>
        <v/>
      </c>
      <c r="L61" s="29">
        <f>IF(J61="","",IF(J61&lt;=Einstellungen!$C$7,"unauffällig",IF(J61&lt;=Einstellungen!$C$8,"auffällig","kritisch")))</f>
        <v/>
      </c>
      <c r="M61" s="60">
        <f>IF(J61="",-1,J61+ROW()/1000000000)</f>
        <v/>
      </c>
    </row>
    <row r="62">
      <c r="A62" s="56">
        <f>IF(Mitarbeiter!B62="","",Mitarbeiter!A62)</f>
        <v/>
      </c>
      <c r="B62" s="57">
        <f>IF(Mitarbeiter!B62="","",Mitarbeiter!B62)</f>
        <v/>
      </c>
      <c r="C62" s="7">
        <f>IF(Mitarbeiter!B62="","",Mitarbeiter!G62)</f>
        <v/>
      </c>
      <c r="D62" s="54">
        <f>IF(B62="","",SUMIFS(Erfassung!$E$6:$E$5005,Erfassung!$B$6:$B$5005,A62,Erfassung!$A$6:$A$5005,"&gt;="&amp;DATE(Einstellungen!$C$3,1,1),Erfassung!$A$6:$A$5005,"&lt;"&amp;DATE(Einstellungen!$C$3+1,1,1)))</f>
        <v/>
      </c>
      <c r="E62" s="58">
        <f>IF(B62="","",IF(D62&gt;0,SUMIFS(Erfassung!$E$6:$E$5005,Erfassung!$B$6:$B$5005,A62,Erfassung!$D$6:$D$5005,Einstellungen!$C$4,Erfassung!$A$6:$A$5005,"&gt;="&amp;DATE(Einstellungen!$C$3,1,1),Erfassung!$A$6:$A$5005,"&lt;"&amp;DATE(Einstellungen!$C$3+1,1,1))/D62,""))</f>
        <v/>
      </c>
      <c r="F62" s="54">
        <f>IF(B62="","",SUMIFS(Erfassung!$G$6:$G$5005,Erfassung!$B$6:$B$5005,A62,Erfassung!$A$6:$A$5005,"&gt;="&amp;DATE(Einstellungen!$C$3,1,1),Erfassung!$A$6:$A$5005,"&lt;"&amp;DATE(Einstellungen!$C$3+1,1,1)))</f>
        <v/>
      </c>
      <c r="G62" s="54">
        <f>IF(B62="","",SUMIFS(Erfassung!$G$6:$G$5005,Erfassung!$B$6:$B$5005,A62,Erfassung!$D$6:$D$5005,Einstellungen!$C$4,Erfassung!$A$6:$A$5005,"&gt;="&amp;DATE(Einstellungen!$C$3,1,1),Erfassung!$A$6:$A$5005,"&lt;"&amp;DATE(Einstellungen!$C$3+1,1,1)))</f>
        <v/>
      </c>
      <c r="H62" s="54">
        <f>IF(B62="","",SUMIFS(Erfassung!$G$6:$G$5005,Erfassung!$B$6:$B$5005,A62,Erfassung!$D$6:$D$5005,Einstellungen!$C$5,Erfassung!$A$6:$A$5005,"&gt;="&amp;DATE(Einstellungen!$C$3,1,1),Erfassung!$A$6:$A$5005,"&lt;"&amp;DATE(Einstellungen!$C$3+1,1,1)))</f>
        <v/>
      </c>
      <c r="I62" s="34">
        <f>IF(B62="","",SUMIFS(Erfassung!$F$6:$F$5005,Erfassung!$B$6:$B$5005,A62,Erfassung!$A$6:$A$5005,"&gt;="&amp;DATE(Einstellungen!$C$3,1,1),Erfassung!$A$6:$A$5005,"&lt;"&amp;DATE(Einstellungen!$C$3+1,1,1)))</f>
        <v/>
      </c>
      <c r="J62" s="38">
        <f>IF(B62="","",IF(D62+F62&gt;0,F62/(D62+F62),""))</f>
        <v/>
      </c>
      <c r="K62" s="59">
        <f>IF(J62="","",RANK(J62,$J$6:$J$205,0))</f>
        <v/>
      </c>
      <c r="L62" s="29">
        <f>IF(J62="","",IF(J62&lt;=Einstellungen!$C$7,"unauffällig",IF(J62&lt;=Einstellungen!$C$8,"auffällig","kritisch")))</f>
        <v/>
      </c>
      <c r="M62" s="60">
        <f>IF(J62="",-1,J62+ROW()/1000000000)</f>
        <v/>
      </c>
    </row>
    <row r="63">
      <c r="A63" s="56">
        <f>IF(Mitarbeiter!B63="","",Mitarbeiter!A63)</f>
        <v/>
      </c>
      <c r="B63" s="57">
        <f>IF(Mitarbeiter!B63="","",Mitarbeiter!B63)</f>
        <v/>
      </c>
      <c r="C63" s="7">
        <f>IF(Mitarbeiter!B63="","",Mitarbeiter!G63)</f>
        <v/>
      </c>
      <c r="D63" s="54">
        <f>IF(B63="","",SUMIFS(Erfassung!$E$6:$E$5005,Erfassung!$B$6:$B$5005,A63,Erfassung!$A$6:$A$5005,"&gt;="&amp;DATE(Einstellungen!$C$3,1,1),Erfassung!$A$6:$A$5005,"&lt;"&amp;DATE(Einstellungen!$C$3+1,1,1)))</f>
        <v/>
      </c>
      <c r="E63" s="58">
        <f>IF(B63="","",IF(D63&gt;0,SUMIFS(Erfassung!$E$6:$E$5005,Erfassung!$B$6:$B$5005,A63,Erfassung!$D$6:$D$5005,Einstellungen!$C$4,Erfassung!$A$6:$A$5005,"&gt;="&amp;DATE(Einstellungen!$C$3,1,1),Erfassung!$A$6:$A$5005,"&lt;"&amp;DATE(Einstellungen!$C$3+1,1,1))/D63,""))</f>
        <v/>
      </c>
      <c r="F63" s="54">
        <f>IF(B63="","",SUMIFS(Erfassung!$G$6:$G$5005,Erfassung!$B$6:$B$5005,A63,Erfassung!$A$6:$A$5005,"&gt;="&amp;DATE(Einstellungen!$C$3,1,1),Erfassung!$A$6:$A$5005,"&lt;"&amp;DATE(Einstellungen!$C$3+1,1,1)))</f>
        <v/>
      </c>
      <c r="G63" s="54">
        <f>IF(B63="","",SUMIFS(Erfassung!$G$6:$G$5005,Erfassung!$B$6:$B$5005,A63,Erfassung!$D$6:$D$5005,Einstellungen!$C$4,Erfassung!$A$6:$A$5005,"&gt;="&amp;DATE(Einstellungen!$C$3,1,1),Erfassung!$A$6:$A$5005,"&lt;"&amp;DATE(Einstellungen!$C$3+1,1,1)))</f>
        <v/>
      </c>
      <c r="H63" s="54">
        <f>IF(B63="","",SUMIFS(Erfassung!$G$6:$G$5005,Erfassung!$B$6:$B$5005,A63,Erfassung!$D$6:$D$5005,Einstellungen!$C$5,Erfassung!$A$6:$A$5005,"&gt;="&amp;DATE(Einstellungen!$C$3,1,1),Erfassung!$A$6:$A$5005,"&lt;"&amp;DATE(Einstellungen!$C$3+1,1,1)))</f>
        <v/>
      </c>
      <c r="I63" s="34">
        <f>IF(B63="","",SUMIFS(Erfassung!$F$6:$F$5005,Erfassung!$B$6:$B$5005,A63,Erfassung!$A$6:$A$5005,"&gt;="&amp;DATE(Einstellungen!$C$3,1,1),Erfassung!$A$6:$A$5005,"&lt;"&amp;DATE(Einstellungen!$C$3+1,1,1)))</f>
        <v/>
      </c>
      <c r="J63" s="38">
        <f>IF(B63="","",IF(D63+F63&gt;0,F63/(D63+F63),""))</f>
        <v/>
      </c>
      <c r="K63" s="59">
        <f>IF(J63="","",RANK(J63,$J$6:$J$205,0))</f>
        <v/>
      </c>
      <c r="L63" s="29">
        <f>IF(J63="","",IF(J63&lt;=Einstellungen!$C$7,"unauffällig",IF(J63&lt;=Einstellungen!$C$8,"auffällig","kritisch")))</f>
        <v/>
      </c>
      <c r="M63" s="60">
        <f>IF(J63="",-1,J63+ROW()/1000000000)</f>
        <v/>
      </c>
    </row>
    <row r="64">
      <c r="A64" s="56">
        <f>IF(Mitarbeiter!B64="","",Mitarbeiter!A64)</f>
        <v/>
      </c>
      <c r="B64" s="57">
        <f>IF(Mitarbeiter!B64="","",Mitarbeiter!B64)</f>
        <v/>
      </c>
      <c r="C64" s="7">
        <f>IF(Mitarbeiter!B64="","",Mitarbeiter!G64)</f>
        <v/>
      </c>
      <c r="D64" s="54">
        <f>IF(B64="","",SUMIFS(Erfassung!$E$6:$E$5005,Erfassung!$B$6:$B$5005,A64,Erfassung!$A$6:$A$5005,"&gt;="&amp;DATE(Einstellungen!$C$3,1,1),Erfassung!$A$6:$A$5005,"&lt;"&amp;DATE(Einstellungen!$C$3+1,1,1)))</f>
        <v/>
      </c>
      <c r="E64" s="58">
        <f>IF(B64="","",IF(D64&gt;0,SUMIFS(Erfassung!$E$6:$E$5005,Erfassung!$B$6:$B$5005,A64,Erfassung!$D$6:$D$5005,Einstellungen!$C$4,Erfassung!$A$6:$A$5005,"&gt;="&amp;DATE(Einstellungen!$C$3,1,1),Erfassung!$A$6:$A$5005,"&lt;"&amp;DATE(Einstellungen!$C$3+1,1,1))/D64,""))</f>
        <v/>
      </c>
      <c r="F64" s="54">
        <f>IF(B64="","",SUMIFS(Erfassung!$G$6:$G$5005,Erfassung!$B$6:$B$5005,A64,Erfassung!$A$6:$A$5005,"&gt;="&amp;DATE(Einstellungen!$C$3,1,1),Erfassung!$A$6:$A$5005,"&lt;"&amp;DATE(Einstellungen!$C$3+1,1,1)))</f>
        <v/>
      </c>
      <c r="G64" s="54">
        <f>IF(B64="","",SUMIFS(Erfassung!$G$6:$G$5005,Erfassung!$B$6:$B$5005,A64,Erfassung!$D$6:$D$5005,Einstellungen!$C$4,Erfassung!$A$6:$A$5005,"&gt;="&amp;DATE(Einstellungen!$C$3,1,1),Erfassung!$A$6:$A$5005,"&lt;"&amp;DATE(Einstellungen!$C$3+1,1,1)))</f>
        <v/>
      </c>
      <c r="H64" s="54">
        <f>IF(B64="","",SUMIFS(Erfassung!$G$6:$G$5005,Erfassung!$B$6:$B$5005,A64,Erfassung!$D$6:$D$5005,Einstellungen!$C$5,Erfassung!$A$6:$A$5005,"&gt;="&amp;DATE(Einstellungen!$C$3,1,1),Erfassung!$A$6:$A$5005,"&lt;"&amp;DATE(Einstellungen!$C$3+1,1,1)))</f>
        <v/>
      </c>
      <c r="I64" s="34">
        <f>IF(B64="","",SUMIFS(Erfassung!$F$6:$F$5005,Erfassung!$B$6:$B$5005,A64,Erfassung!$A$6:$A$5005,"&gt;="&amp;DATE(Einstellungen!$C$3,1,1),Erfassung!$A$6:$A$5005,"&lt;"&amp;DATE(Einstellungen!$C$3+1,1,1)))</f>
        <v/>
      </c>
      <c r="J64" s="38">
        <f>IF(B64="","",IF(D64+F64&gt;0,F64/(D64+F64),""))</f>
        <v/>
      </c>
      <c r="K64" s="59">
        <f>IF(J64="","",RANK(J64,$J$6:$J$205,0))</f>
        <v/>
      </c>
      <c r="L64" s="29">
        <f>IF(J64="","",IF(J64&lt;=Einstellungen!$C$7,"unauffällig",IF(J64&lt;=Einstellungen!$C$8,"auffällig","kritisch")))</f>
        <v/>
      </c>
      <c r="M64" s="60">
        <f>IF(J64="",-1,J64+ROW()/1000000000)</f>
        <v/>
      </c>
    </row>
    <row r="65">
      <c r="A65" s="56">
        <f>IF(Mitarbeiter!B65="","",Mitarbeiter!A65)</f>
        <v/>
      </c>
      <c r="B65" s="57">
        <f>IF(Mitarbeiter!B65="","",Mitarbeiter!B65)</f>
        <v/>
      </c>
      <c r="C65" s="7">
        <f>IF(Mitarbeiter!B65="","",Mitarbeiter!G65)</f>
        <v/>
      </c>
      <c r="D65" s="54">
        <f>IF(B65="","",SUMIFS(Erfassung!$E$6:$E$5005,Erfassung!$B$6:$B$5005,A65,Erfassung!$A$6:$A$5005,"&gt;="&amp;DATE(Einstellungen!$C$3,1,1),Erfassung!$A$6:$A$5005,"&lt;"&amp;DATE(Einstellungen!$C$3+1,1,1)))</f>
        <v/>
      </c>
      <c r="E65" s="58">
        <f>IF(B65="","",IF(D65&gt;0,SUMIFS(Erfassung!$E$6:$E$5005,Erfassung!$B$6:$B$5005,A65,Erfassung!$D$6:$D$5005,Einstellungen!$C$4,Erfassung!$A$6:$A$5005,"&gt;="&amp;DATE(Einstellungen!$C$3,1,1),Erfassung!$A$6:$A$5005,"&lt;"&amp;DATE(Einstellungen!$C$3+1,1,1))/D65,""))</f>
        <v/>
      </c>
      <c r="F65" s="54">
        <f>IF(B65="","",SUMIFS(Erfassung!$G$6:$G$5005,Erfassung!$B$6:$B$5005,A65,Erfassung!$A$6:$A$5005,"&gt;="&amp;DATE(Einstellungen!$C$3,1,1),Erfassung!$A$6:$A$5005,"&lt;"&amp;DATE(Einstellungen!$C$3+1,1,1)))</f>
        <v/>
      </c>
      <c r="G65" s="54">
        <f>IF(B65="","",SUMIFS(Erfassung!$G$6:$G$5005,Erfassung!$B$6:$B$5005,A65,Erfassung!$D$6:$D$5005,Einstellungen!$C$4,Erfassung!$A$6:$A$5005,"&gt;="&amp;DATE(Einstellungen!$C$3,1,1),Erfassung!$A$6:$A$5005,"&lt;"&amp;DATE(Einstellungen!$C$3+1,1,1)))</f>
        <v/>
      </c>
      <c r="H65" s="54">
        <f>IF(B65="","",SUMIFS(Erfassung!$G$6:$G$5005,Erfassung!$B$6:$B$5005,A65,Erfassung!$D$6:$D$5005,Einstellungen!$C$5,Erfassung!$A$6:$A$5005,"&gt;="&amp;DATE(Einstellungen!$C$3,1,1),Erfassung!$A$6:$A$5005,"&lt;"&amp;DATE(Einstellungen!$C$3+1,1,1)))</f>
        <v/>
      </c>
      <c r="I65" s="34">
        <f>IF(B65="","",SUMIFS(Erfassung!$F$6:$F$5005,Erfassung!$B$6:$B$5005,A65,Erfassung!$A$6:$A$5005,"&gt;="&amp;DATE(Einstellungen!$C$3,1,1),Erfassung!$A$6:$A$5005,"&lt;"&amp;DATE(Einstellungen!$C$3+1,1,1)))</f>
        <v/>
      </c>
      <c r="J65" s="38">
        <f>IF(B65="","",IF(D65+F65&gt;0,F65/(D65+F65),""))</f>
        <v/>
      </c>
      <c r="K65" s="59">
        <f>IF(J65="","",RANK(J65,$J$6:$J$205,0))</f>
        <v/>
      </c>
      <c r="L65" s="29">
        <f>IF(J65="","",IF(J65&lt;=Einstellungen!$C$7,"unauffällig",IF(J65&lt;=Einstellungen!$C$8,"auffällig","kritisch")))</f>
        <v/>
      </c>
      <c r="M65" s="60">
        <f>IF(J65="",-1,J65+ROW()/1000000000)</f>
        <v/>
      </c>
    </row>
    <row r="66">
      <c r="A66" s="56">
        <f>IF(Mitarbeiter!B66="","",Mitarbeiter!A66)</f>
        <v/>
      </c>
      <c r="B66" s="57">
        <f>IF(Mitarbeiter!B66="","",Mitarbeiter!B66)</f>
        <v/>
      </c>
      <c r="C66" s="7">
        <f>IF(Mitarbeiter!B66="","",Mitarbeiter!G66)</f>
        <v/>
      </c>
      <c r="D66" s="54">
        <f>IF(B66="","",SUMIFS(Erfassung!$E$6:$E$5005,Erfassung!$B$6:$B$5005,A66,Erfassung!$A$6:$A$5005,"&gt;="&amp;DATE(Einstellungen!$C$3,1,1),Erfassung!$A$6:$A$5005,"&lt;"&amp;DATE(Einstellungen!$C$3+1,1,1)))</f>
        <v/>
      </c>
      <c r="E66" s="58">
        <f>IF(B66="","",IF(D66&gt;0,SUMIFS(Erfassung!$E$6:$E$5005,Erfassung!$B$6:$B$5005,A66,Erfassung!$D$6:$D$5005,Einstellungen!$C$4,Erfassung!$A$6:$A$5005,"&gt;="&amp;DATE(Einstellungen!$C$3,1,1),Erfassung!$A$6:$A$5005,"&lt;"&amp;DATE(Einstellungen!$C$3+1,1,1))/D66,""))</f>
        <v/>
      </c>
      <c r="F66" s="54">
        <f>IF(B66="","",SUMIFS(Erfassung!$G$6:$G$5005,Erfassung!$B$6:$B$5005,A66,Erfassung!$A$6:$A$5005,"&gt;="&amp;DATE(Einstellungen!$C$3,1,1),Erfassung!$A$6:$A$5005,"&lt;"&amp;DATE(Einstellungen!$C$3+1,1,1)))</f>
        <v/>
      </c>
      <c r="G66" s="54">
        <f>IF(B66="","",SUMIFS(Erfassung!$G$6:$G$5005,Erfassung!$B$6:$B$5005,A66,Erfassung!$D$6:$D$5005,Einstellungen!$C$4,Erfassung!$A$6:$A$5005,"&gt;="&amp;DATE(Einstellungen!$C$3,1,1),Erfassung!$A$6:$A$5005,"&lt;"&amp;DATE(Einstellungen!$C$3+1,1,1)))</f>
        <v/>
      </c>
      <c r="H66" s="54">
        <f>IF(B66="","",SUMIFS(Erfassung!$G$6:$G$5005,Erfassung!$B$6:$B$5005,A66,Erfassung!$D$6:$D$5005,Einstellungen!$C$5,Erfassung!$A$6:$A$5005,"&gt;="&amp;DATE(Einstellungen!$C$3,1,1),Erfassung!$A$6:$A$5005,"&lt;"&amp;DATE(Einstellungen!$C$3+1,1,1)))</f>
        <v/>
      </c>
      <c r="I66" s="34">
        <f>IF(B66="","",SUMIFS(Erfassung!$F$6:$F$5005,Erfassung!$B$6:$B$5005,A66,Erfassung!$A$6:$A$5005,"&gt;="&amp;DATE(Einstellungen!$C$3,1,1),Erfassung!$A$6:$A$5005,"&lt;"&amp;DATE(Einstellungen!$C$3+1,1,1)))</f>
        <v/>
      </c>
      <c r="J66" s="38">
        <f>IF(B66="","",IF(D66+F66&gt;0,F66/(D66+F66),""))</f>
        <v/>
      </c>
      <c r="K66" s="59">
        <f>IF(J66="","",RANK(J66,$J$6:$J$205,0))</f>
        <v/>
      </c>
      <c r="L66" s="29">
        <f>IF(J66="","",IF(J66&lt;=Einstellungen!$C$7,"unauffällig",IF(J66&lt;=Einstellungen!$C$8,"auffällig","kritisch")))</f>
        <v/>
      </c>
      <c r="M66" s="60">
        <f>IF(J66="",-1,J66+ROW()/1000000000)</f>
        <v/>
      </c>
    </row>
    <row r="67">
      <c r="A67" s="56">
        <f>IF(Mitarbeiter!B67="","",Mitarbeiter!A67)</f>
        <v/>
      </c>
      <c r="B67" s="57">
        <f>IF(Mitarbeiter!B67="","",Mitarbeiter!B67)</f>
        <v/>
      </c>
      <c r="C67" s="7">
        <f>IF(Mitarbeiter!B67="","",Mitarbeiter!G67)</f>
        <v/>
      </c>
      <c r="D67" s="54">
        <f>IF(B67="","",SUMIFS(Erfassung!$E$6:$E$5005,Erfassung!$B$6:$B$5005,A67,Erfassung!$A$6:$A$5005,"&gt;="&amp;DATE(Einstellungen!$C$3,1,1),Erfassung!$A$6:$A$5005,"&lt;"&amp;DATE(Einstellungen!$C$3+1,1,1)))</f>
        <v/>
      </c>
      <c r="E67" s="58">
        <f>IF(B67="","",IF(D67&gt;0,SUMIFS(Erfassung!$E$6:$E$5005,Erfassung!$B$6:$B$5005,A67,Erfassung!$D$6:$D$5005,Einstellungen!$C$4,Erfassung!$A$6:$A$5005,"&gt;="&amp;DATE(Einstellungen!$C$3,1,1),Erfassung!$A$6:$A$5005,"&lt;"&amp;DATE(Einstellungen!$C$3+1,1,1))/D67,""))</f>
        <v/>
      </c>
      <c r="F67" s="54">
        <f>IF(B67="","",SUMIFS(Erfassung!$G$6:$G$5005,Erfassung!$B$6:$B$5005,A67,Erfassung!$A$6:$A$5005,"&gt;="&amp;DATE(Einstellungen!$C$3,1,1),Erfassung!$A$6:$A$5005,"&lt;"&amp;DATE(Einstellungen!$C$3+1,1,1)))</f>
        <v/>
      </c>
      <c r="G67" s="54">
        <f>IF(B67="","",SUMIFS(Erfassung!$G$6:$G$5005,Erfassung!$B$6:$B$5005,A67,Erfassung!$D$6:$D$5005,Einstellungen!$C$4,Erfassung!$A$6:$A$5005,"&gt;="&amp;DATE(Einstellungen!$C$3,1,1),Erfassung!$A$6:$A$5005,"&lt;"&amp;DATE(Einstellungen!$C$3+1,1,1)))</f>
        <v/>
      </c>
      <c r="H67" s="54">
        <f>IF(B67="","",SUMIFS(Erfassung!$G$6:$G$5005,Erfassung!$B$6:$B$5005,A67,Erfassung!$D$6:$D$5005,Einstellungen!$C$5,Erfassung!$A$6:$A$5005,"&gt;="&amp;DATE(Einstellungen!$C$3,1,1),Erfassung!$A$6:$A$5005,"&lt;"&amp;DATE(Einstellungen!$C$3+1,1,1)))</f>
        <v/>
      </c>
      <c r="I67" s="34">
        <f>IF(B67="","",SUMIFS(Erfassung!$F$6:$F$5005,Erfassung!$B$6:$B$5005,A67,Erfassung!$A$6:$A$5005,"&gt;="&amp;DATE(Einstellungen!$C$3,1,1),Erfassung!$A$6:$A$5005,"&lt;"&amp;DATE(Einstellungen!$C$3+1,1,1)))</f>
        <v/>
      </c>
      <c r="J67" s="38">
        <f>IF(B67="","",IF(D67+F67&gt;0,F67/(D67+F67),""))</f>
        <v/>
      </c>
      <c r="K67" s="59">
        <f>IF(J67="","",RANK(J67,$J$6:$J$205,0))</f>
        <v/>
      </c>
      <c r="L67" s="29">
        <f>IF(J67="","",IF(J67&lt;=Einstellungen!$C$7,"unauffällig",IF(J67&lt;=Einstellungen!$C$8,"auffällig","kritisch")))</f>
        <v/>
      </c>
      <c r="M67" s="60">
        <f>IF(J67="",-1,J67+ROW()/1000000000)</f>
        <v/>
      </c>
    </row>
    <row r="68">
      <c r="A68" s="56">
        <f>IF(Mitarbeiter!B68="","",Mitarbeiter!A68)</f>
        <v/>
      </c>
      <c r="B68" s="57">
        <f>IF(Mitarbeiter!B68="","",Mitarbeiter!B68)</f>
        <v/>
      </c>
      <c r="C68" s="7">
        <f>IF(Mitarbeiter!B68="","",Mitarbeiter!G68)</f>
        <v/>
      </c>
      <c r="D68" s="54">
        <f>IF(B68="","",SUMIFS(Erfassung!$E$6:$E$5005,Erfassung!$B$6:$B$5005,A68,Erfassung!$A$6:$A$5005,"&gt;="&amp;DATE(Einstellungen!$C$3,1,1),Erfassung!$A$6:$A$5005,"&lt;"&amp;DATE(Einstellungen!$C$3+1,1,1)))</f>
        <v/>
      </c>
      <c r="E68" s="58">
        <f>IF(B68="","",IF(D68&gt;0,SUMIFS(Erfassung!$E$6:$E$5005,Erfassung!$B$6:$B$5005,A68,Erfassung!$D$6:$D$5005,Einstellungen!$C$4,Erfassung!$A$6:$A$5005,"&gt;="&amp;DATE(Einstellungen!$C$3,1,1),Erfassung!$A$6:$A$5005,"&lt;"&amp;DATE(Einstellungen!$C$3+1,1,1))/D68,""))</f>
        <v/>
      </c>
      <c r="F68" s="54">
        <f>IF(B68="","",SUMIFS(Erfassung!$G$6:$G$5005,Erfassung!$B$6:$B$5005,A68,Erfassung!$A$6:$A$5005,"&gt;="&amp;DATE(Einstellungen!$C$3,1,1),Erfassung!$A$6:$A$5005,"&lt;"&amp;DATE(Einstellungen!$C$3+1,1,1)))</f>
        <v/>
      </c>
      <c r="G68" s="54">
        <f>IF(B68="","",SUMIFS(Erfassung!$G$6:$G$5005,Erfassung!$B$6:$B$5005,A68,Erfassung!$D$6:$D$5005,Einstellungen!$C$4,Erfassung!$A$6:$A$5005,"&gt;="&amp;DATE(Einstellungen!$C$3,1,1),Erfassung!$A$6:$A$5005,"&lt;"&amp;DATE(Einstellungen!$C$3+1,1,1)))</f>
        <v/>
      </c>
      <c r="H68" s="54">
        <f>IF(B68="","",SUMIFS(Erfassung!$G$6:$G$5005,Erfassung!$B$6:$B$5005,A68,Erfassung!$D$6:$D$5005,Einstellungen!$C$5,Erfassung!$A$6:$A$5005,"&gt;="&amp;DATE(Einstellungen!$C$3,1,1),Erfassung!$A$6:$A$5005,"&lt;"&amp;DATE(Einstellungen!$C$3+1,1,1)))</f>
        <v/>
      </c>
      <c r="I68" s="34">
        <f>IF(B68="","",SUMIFS(Erfassung!$F$6:$F$5005,Erfassung!$B$6:$B$5005,A68,Erfassung!$A$6:$A$5005,"&gt;="&amp;DATE(Einstellungen!$C$3,1,1),Erfassung!$A$6:$A$5005,"&lt;"&amp;DATE(Einstellungen!$C$3+1,1,1)))</f>
        <v/>
      </c>
      <c r="J68" s="38">
        <f>IF(B68="","",IF(D68+F68&gt;0,F68/(D68+F68),""))</f>
        <v/>
      </c>
      <c r="K68" s="59">
        <f>IF(J68="","",RANK(J68,$J$6:$J$205,0))</f>
        <v/>
      </c>
      <c r="L68" s="29">
        <f>IF(J68="","",IF(J68&lt;=Einstellungen!$C$7,"unauffällig",IF(J68&lt;=Einstellungen!$C$8,"auffällig","kritisch")))</f>
        <v/>
      </c>
      <c r="M68" s="60">
        <f>IF(J68="",-1,J68+ROW()/1000000000)</f>
        <v/>
      </c>
    </row>
    <row r="69">
      <c r="A69" s="56">
        <f>IF(Mitarbeiter!B69="","",Mitarbeiter!A69)</f>
        <v/>
      </c>
      <c r="B69" s="57">
        <f>IF(Mitarbeiter!B69="","",Mitarbeiter!B69)</f>
        <v/>
      </c>
      <c r="C69" s="7">
        <f>IF(Mitarbeiter!B69="","",Mitarbeiter!G69)</f>
        <v/>
      </c>
      <c r="D69" s="54">
        <f>IF(B69="","",SUMIFS(Erfassung!$E$6:$E$5005,Erfassung!$B$6:$B$5005,A69,Erfassung!$A$6:$A$5005,"&gt;="&amp;DATE(Einstellungen!$C$3,1,1),Erfassung!$A$6:$A$5005,"&lt;"&amp;DATE(Einstellungen!$C$3+1,1,1)))</f>
        <v/>
      </c>
      <c r="E69" s="58">
        <f>IF(B69="","",IF(D69&gt;0,SUMIFS(Erfassung!$E$6:$E$5005,Erfassung!$B$6:$B$5005,A69,Erfassung!$D$6:$D$5005,Einstellungen!$C$4,Erfassung!$A$6:$A$5005,"&gt;="&amp;DATE(Einstellungen!$C$3,1,1),Erfassung!$A$6:$A$5005,"&lt;"&amp;DATE(Einstellungen!$C$3+1,1,1))/D69,""))</f>
        <v/>
      </c>
      <c r="F69" s="54">
        <f>IF(B69="","",SUMIFS(Erfassung!$G$6:$G$5005,Erfassung!$B$6:$B$5005,A69,Erfassung!$A$6:$A$5005,"&gt;="&amp;DATE(Einstellungen!$C$3,1,1),Erfassung!$A$6:$A$5005,"&lt;"&amp;DATE(Einstellungen!$C$3+1,1,1)))</f>
        <v/>
      </c>
      <c r="G69" s="54">
        <f>IF(B69="","",SUMIFS(Erfassung!$G$6:$G$5005,Erfassung!$B$6:$B$5005,A69,Erfassung!$D$6:$D$5005,Einstellungen!$C$4,Erfassung!$A$6:$A$5005,"&gt;="&amp;DATE(Einstellungen!$C$3,1,1),Erfassung!$A$6:$A$5005,"&lt;"&amp;DATE(Einstellungen!$C$3+1,1,1)))</f>
        <v/>
      </c>
      <c r="H69" s="54">
        <f>IF(B69="","",SUMIFS(Erfassung!$G$6:$G$5005,Erfassung!$B$6:$B$5005,A69,Erfassung!$D$6:$D$5005,Einstellungen!$C$5,Erfassung!$A$6:$A$5005,"&gt;="&amp;DATE(Einstellungen!$C$3,1,1),Erfassung!$A$6:$A$5005,"&lt;"&amp;DATE(Einstellungen!$C$3+1,1,1)))</f>
        <v/>
      </c>
      <c r="I69" s="34">
        <f>IF(B69="","",SUMIFS(Erfassung!$F$6:$F$5005,Erfassung!$B$6:$B$5005,A69,Erfassung!$A$6:$A$5005,"&gt;="&amp;DATE(Einstellungen!$C$3,1,1),Erfassung!$A$6:$A$5005,"&lt;"&amp;DATE(Einstellungen!$C$3+1,1,1)))</f>
        <v/>
      </c>
      <c r="J69" s="38">
        <f>IF(B69="","",IF(D69+F69&gt;0,F69/(D69+F69),""))</f>
        <v/>
      </c>
      <c r="K69" s="59">
        <f>IF(J69="","",RANK(J69,$J$6:$J$205,0))</f>
        <v/>
      </c>
      <c r="L69" s="29">
        <f>IF(J69="","",IF(J69&lt;=Einstellungen!$C$7,"unauffällig",IF(J69&lt;=Einstellungen!$C$8,"auffällig","kritisch")))</f>
        <v/>
      </c>
      <c r="M69" s="60">
        <f>IF(J69="",-1,J69+ROW()/1000000000)</f>
        <v/>
      </c>
    </row>
    <row r="70">
      <c r="A70" s="56">
        <f>IF(Mitarbeiter!B70="","",Mitarbeiter!A70)</f>
        <v/>
      </c>
      <c r="B70" s="57">
        <f>IF(Mitarbeiter!B70="","",Mitarbeiter!B70)</f>
        <v/>
      </c>
      <c r="C70" s="7">
        <f>IF(Mitarbeiter!B70="","",Mitarbeiter!G70)</f>
        <v/>
      </c>
      <c r="D70" s="54">
        <f>IF(B70="","",SUMIFS(Erfassung!$E$6:$E$5005,Erfassung!$B$6:$B$5005,A70,Erfassung!$A$6:$A$5005,"&gt;="&amp;DATE(Einstellungen!$C$3,1,1),Erfassung!$A$6:$A$5005,"&lt;"&amp;DATE(Einstellungen!$C$3+1,1,1)))</f>
        <v/>
      </c>
      <c r="E70" s="58">
        <f>IF(B70="","",IF(D70&gt;0,SUMIFS(Erfassung!$E$6:$E$5005,Erfassung!$B$6:$B$5005,A70,Erfassung!$D$6:$D$5005,Einstellungen!$C$4,Erfassung!$A$6:$A$5005,"&gt;="&amp;DATE(Einstellungen!$C$3,1,1),Erfassung!$A$6:$A$5005,"&lt;"&amp;DATE(Einstellungen!$C$3+1,1,1))/D70,""))</f>
        <v/>
      </c>
      <c r="F70" s="54">
        <f>IF(B70="","",SUMIFS(Erfassung!$G$6:$G$5005,Erfassung!$B$6:$B$5005,A70,Erfassung!$A$6:$A$5005,"&gt;="&amp;DATE(Einstellungen!$C$3,1,1),Erfassung!$A$6:$A$5005,"&lt;"&amp;DATE(Einstellungen!$C$3+1,1,1)))</f>
        <v/>
      </c>
      <c r="G70" s="54">
        <f>IF(B70="","",SUMIFS(Erfassung!$G$6:$G$5005,Erfassung!$B$6:$B$5005,A70,Erfassung!$D$6:$D$5005,Einstellungen!$C$4,Erfassung!$A$6:$A$5005,"&gt;="&amp;DATE(Einstellungen!$C$3,1,1),Erfassung!$A$6:$A$5005,"&lt;"&amp;DATE(Einstellungen!$C$3+1,1,1)))</f>
        <v/>
      </c>
      <c r="H70" s="54">
        <f>IF(B70="","",SUMIFS(Erfassung!$G$6:$G$5005,Erfassung!$B$6:$B$5005,A70,Erfassung!$D$6:$D$5005,Einstellungen!$C$5,Erfassung!$A$6:$A$5005,"&gt;="&amp;DATE(Einstellungen!$C$3,1,1),Erfassung!$A$6:$A$5005,"&lt;"&amp;DATE(Einstellungen!$C$3+1,1,1)))</f>
        <v/>
      </c>
      <c r="I70" s="34">
        <f>IF(B70="","",SUMIFS(Erfassung!$F$6:$F$5005,Erfassung!$B$6:$B$5005,A70,Erfassung!$A$6:$A$5005,"&gt;="&amp;DATE(Einstellungen!$C$3,1,1),Erfassung!$A$6:$A$5005,"&lt;"&amp;DATE(Einstellungen!$C$3+1,1,1)))</f>
        <v/>
      </c>
      <c r="J70" s="38">
        <f>IF(B70="","",IF(D70+F70&gt;0,F70/(D70+F70),""))</f>
        <v/>
      </c>
      <c r="K70" s="59">
        <f>IF(J70="","",RANK(J70,$J$6:$J$205,0))</f>
        <v/>
      </c>
      <c r="L70" s="29">
        <f>IF(J70="","",IF(J70&lt;=Einstellungen!$C$7,"unauffällig",IF(J70&lt;=Einstellungen!$C$8,"auffällig","kritisch")))</f>
        <v/>
      </c>
      <c r="M70" s="60">
        <f>IF(J70="",-1,J70+ROW()/1000000000)</f>
        <v/>
      </c>
    </row>
    <row r="71">
      <c r="A71" s="56">
        <f>IF(Mitarbeiter!B71="","",Mitarbeiter!A71)</f>
        <v/>
      </c>
      <c r="B71" s="57">
        <f>IF(Mitarbeiter!B71="","",Mitarbeiter!B71)</f>
        <v/>
      </c>
      <c r="C71" s="7">
        <f>IF(Mitarbeiter!B71="","",Mitarbeiter!G71)</f>
        <v/>
      </c>
      <c r="D71" s="54">
        <f>IF(B71="","",SUMIFS(Erfassung!$E$6:$E$5005,Erfassung!$B$6:$B$5005,A71,Erfassung!$A$6:$A$5005,"&gt;="&amp;DATE(Einstellungen!$C$3,1,1),Erfassung!$A$6:$A$5005,"&lt;"&amp;DATE(Einstellungen!$C$3+1,1,1)))</f>
        <v/>
      </c>
      <c r="E71" s="58">
        <f>IF(B71="","",IF(D71&gt;0,SUMIFS(Erfassung!$E$6:$E$5005,Erfassung!$B$6:$B$5005,A71,Erfassung!$D$6:$D$5005,Einstellungen!$C$4,Erfassung!$A$6:$A$5005,"&gt;="&amp;DATE(Einstellungen!$C$3,1,1),Erfassung!$A$6:$A$5005,"&lt;"&amp;DATE(Einstellungen!$C$3+1,1,1))/D71,""))</f>
        <v/>
      </c>
      <c r="F71" s="54">
        <f>IF(B71="","",SUMIFS(Erfassung!$G$6:$G$5005,Erfassung!$B$6:$B$5005,A71,Erfassung!$A$6:$A$5005,"&gt;="&amp;DATE(Einstellungen!$C$3,1,1),Erfassung!$A$6:$A$5005,"&lt;"&amp;DATE(Einstellungen!$C$3+1,1,1)))</f>
        <v/>
      </c>
      <c r="G71" s="54">
        <f>IF(B71="","",SUMIFS(Erfassung!$G$6:$G$5005,Erfassung!$B$6:$B$5005,A71,Erfassung!$D$6:$D$5005,Einstellungen!$C$4,Erfassung!$A$6:$A$5005,"&gt;="&amp;DATE(Einstellungen!$C$3,1,1),Erfassung!$A$6:$A$5005,"&lt;"&amp;DATE(Einstellungen!$C$3+1,1,1)))</f>
        <v/>
      </c>
      <c r="H71" s="54">
        <f>IF(B71="","",SUMIFS(Erfassung!$G$6:$G$5005,Erfassung!$B$6:$B$5005,A71,Erfassung!$D$6:$D$5005,Einstellungen!$C$5,Erfassung!$A$6:$A$5005,"&gt;="&amp;DATE(Einstellungen!$C$3,1,1),Erfassung!$A$6:$A$5005,"&lt;"&amp;DATE(Einstellungen!$C$3+1,1,1)))</f>
        <v/>
      </c>
      <c r="I71" s="34">
        <f>IF(B71="","",SUMIFS(Erfassung!$F$6:$F$5005,Erfassung!$B$6:$B$5005,A71,Erfassung!$A$6:$A$5005,"&gt;="&amp;DATE(Einstellungen!$C$3,1,1),Erfassung!$A$6:$A$5005,"&lt;"&amp;DATE(Einstellungen!$C$3+1,1,1)))</f>
        <v/>
      </c>
      <c r="J71" s="38">
        <f>IF(B71="","",IF(D71+F71&gt;0,F71/(D71+F71),""))</f>
        <v/>
      </c>
      <c r="K71" s="59">
        <f>IF(J71="","",RANK(J71,$J$6:$J$205,0))</f>
        <v/>
      </c>
      <c r="L71" s="29">
        <f>IF(J71="","",IF(J71&lt;=Einstellungen!$C$7,"unauffällig",IF(J71&lt;=Einstellungen!$C$8,"auffällig","kritisch")))</f>
        <v/>
      </c>
      <c r="M71" s="60">
        <f>IF(J71="",-1,J71+ROW()/1000000000)</f>
        <v/>
      </c>
    </row>
    <row r="72">
      <c r="A72" s="56">
        <f>IF(Mitarbeiter!B72="","",Mitarbeiter!A72)</f>
        <v/>
      </c>
      <c r="B72" s="57">
        <f>IF(Mitarbeiter!B72="","",Mitarbeiter!B72)</f>
        <v/>
      </c>
      <c r="C72" s="7">
        <f>IF(Mitarbeiter!B72="","",Mitarbeiter!G72)</f>
        <v/>
      </c>
      <c r="D72" s="54">
        <f>IF(B72="","",SUMIFS(Erfassung!$E$6:$E$5005,Erfassung!$B$6:$B$5005,A72,Erfassung!$A$6:$A$5005,"&gt;="&amp;DATE(Einstellungen!$C$3,1,1),Erfassung!$A$6:$A$5005,"&lt;"&amp;DATE(Einstellungen!$C$3+1,1,1)))</f>
        <v/>
      </c>
      <c r="E72" s="58">
        <f>IF(B72="","",IF(D72&gt;0,SUMIFS(Erfassung!$E$6:$E$5005,Erfassung!$B$6:$B$5005,A72,Erfassung!$D$6:$D$5005,Einstellungen!$C$4,Erfassung!$A$6:$A$5005,"&gt;="&amp;DATE(Einstellungen!$C$3,1,1),Erfassung!$A$6:$A$5005,"&lt;"&amp;DATE(Einstellungen!$C$3+1,1,1))/D72,""))</f>
        <v/>
      </c>
      <c r="F72" s="54">
        <f>IF(B72="","",SUMIFS(Erfassung!$G$6:$G$5005,Erfassung!$B$6:$B$5005,A72,Erfassung!$A$6:$A$5005,"&gt;="&amp;DATE(Einstellungen!$C$3,1,1),Erfassung!$A$6:$A$5005,"&lt;"&amp;DATE(Einstellungen!$C$3+1,1,1)))</f>
        <v/>
      </c>
      <c r="G72" s="54">
        <f>IF(B72="","",SUMIFS(Erfassung!$G$6:$G$5005,Erfassung!$B$6:$B$5005,A72,Erfassung!$D$6:$D$5005,Einstellungen!$C$4,Erfassung!$A$6:$A$5005,"&gt;="&amp;DATE(Einstellungen!$C$3,1,1),Erfassung!$A$6:$A$5005,"&lt;"&amp;DATE(Einstellungen!$C$3+1,1,1)))</f>
        <v/>
      </c>
      <c r="H72" s="54">
        <f>IF(B72="","",SUMIFS(Erfassung!$G$6:$G$5005,Erfassung!$B$6:$B$5005,A72,Erfassung!$D$6:$D$5005,Einstellungen!$C$5,Erfassung!$A$6:$A$5005,"&gt;="&amp;DATE(Einstellungen!$C$3,1,1),Erfassung!$A$6:$A$5005,"&lt;"&amp;DATE(Einstellungen!$C$3+1,1,1)))</f>
        <v/>
      </c>
      <c r="I72" s="34">
        <f>IF(B72="","",SUMIFS(Erfassung!$F$6:$F$5005,Erfassung!$B$6:$B$5005,A72,Erfassung!$A$6:$A$5005,"&gt;="&amp;DATE(Einstellungen!$C$3,1,1),Erfassung!$A$6:$A$5005,"&lt;"&amp;DATE(Einstellungen!$C$3+1,1,1)))</f>
        <v/>
      </c>
      <c r="J72" s="38">
        <f>IF(B72="","",IF(D72+F72&gt;0,F72/(D72+F72),""))</f>
        <v/>
      </c>
      <c r="K72" s="59">
        <f>IF(J72="","",RANK(J72,$J$6:$J$205,0))</f>
        <v/>
      </c>
      <c r="L72" s="29">
        <f>IF(J72="","",IF(J72&lt;=Einstellungen!$C$7,"unauffällig",IF(J72&lt;=Einstellungen!$C$8,"auffällig","kritisch")))</f>
        <v/>
      </c>
      <c r="M72" s="60">
        <f>IF(J72="",-1,J72+ROW()/1000000000)</f>
        <v/>
      </c>
    </row>
    <row r="73">
      <c r="A73" s="56">
        <f>IF(Mitarbeiter!B73="","",Mitarbeiter!A73)</f>
        <v/>
      </c>
      <c r="B73" s="57">
        <f>IF(Mitarbeiter!B73="","",Mitarbeiter!B73)</f>
        <v/>
      </c>
      <c r="C73" s="7">
        <f>IF(Mitarbeiter!B73="","",Mitarbeiter!G73)</f>
        <v/>
      </c>
      <c r="D73" s="54">
        <f>IF(B73="","",SUMIFS(Erfassung!$E$6:$E$5005,Erfassung!$B$6:$B$5005,A73,Erfassung!$A$6:$A$5005,"&gt;="&amp;DATE(Einstellungen!$C$3,1,1),Erfassung!$A$6:$A$5005,"&lt;"&amp;DATE(Einstellungen!$C$3+1,1,1)))</f>
        <v/>
      </c>
      <c r="E73" s="58">
        <f>IF(B73="","",IF(D73&gt;0,SUMIFS(Erfassung!$E$6:$E$5005,Erfassung!$B$6:$B$5005,A73,Erfassung!$D$6:$D$5005,Einstellungen!$C$4,Erfassung!$A$6:$A$5005,"&gt;="&amp;DATE(Einstellungen!$C$3,1,1),Erfassung!$A$6:$A$5005,"&lt;"&amp;DATE(Einstellungen!$C$3+1,1,1))/D73,""))</f>
        <v/>
      </c>
      <c r="F73" s="54">
        <f>IF(B73="","",SUMIFS(Erfassung!$G$6:$G$5005,Erfassung!$B$6:$B$5005,A73,Erfassung!$A$6:$A$5005,"&gt;="&amp;DATE(Einstellungen!$C$3,1,1),Erfassung!$A$6:$A$5005,"&lt;"&amp;DATE(Einstellungen!$C$3+1,1,1)))</f>
        <v/>
      </c>
      <c r="G73" s="54">
        <f>IF(B73="","",SUMIFS(Erfassung!$G$6:$G$5005,Erfassung!$B$6:$B$5005,A73,Erfassung!$D$6:$D$5005,Einstellungen!$C$4,Erfassung!$A$6:$A$5005,"&gt;="&amp;DATE(Einstellungen!$C$3,1,1),Erfassung!$A$6:$A$5005,"&lt;"&amp;DATE(Einstellungen!$C$3+1,1,1)))</f>
        <v/>
      </c>
      <c r="H73" s="54">
        <f>IF(B73="","",SUMIFS(Erfassung!$G$6:$G$5005,Erfassung!$B$6:$B$5005,A73,Erfassung!$D$6:$D$5005,Einstellungen!$C$5,Erfassung!$A$6:$A$5005,"&gt;="&amp;DATE(Einstellungen!$C$3,1,1),Erfassung!$A$6:$A$5005,"&lt;"&amp;DATE(Einstellungen!$C$3+1,1,1)))</f>
        <v/>
      </c>
      <c r="I73" s="34">
        <f>IF(B73="","",SUMIFS(Erfassung!$F$6:$F$5005,Erfassung!$B$6:$B$5005,A73,Erfassung!$A$6:$A$5005,"&gt;="&amp;DATE(Einstellungen!$C$3,1,1),Erfassung!$A$6:$A$5005,"&lt;"&amp;DATE(Einstellungen!$C$3+1,1,1)))</f>
        <v/>
      </c>
      <c r="J73" s="38">
        <f>IF(B73="","",IF(D73+F73&gt;0,F73/(D73+F73),""))</f>
        <v/>
      </c>
      <c r="K73" s="59">
        <f>IF(J73="","",RANK(J73,$J$6:$J$205,0))</f>
        <v/>
      </c>
      <c r="L73" s="29">
        <f>IF(J73="","",IF(J73&lt;=Einstellungen!$C$7,"unauffällig",IF(J73&lt;=Einstellungen!$C$8,"auffällig","kritisch")))</f>
        <v/>
      </c>
      <c r="M73" s="60">
        <f>IF(J73="",-1,J73+ROW()/1000000000)</f>
        <v/>
      </c>
    </row>
    <row r="74">
      <c r="A74" s="56">
        <f>IF(Mitarbeiter!B74="","",Mitarbeiter!A74)</f>
        <v/>
      </c>
      <c r="B74" s="57">
        <f>IF(Mitarbeiter!B74="","",Mitarbeiter!B74)</f>
        <v/>
      </c>
      <c r="C74" s="7">
        <f>IF(Mitarbeiter!B74="","",Mitarbeiter!G74)</f>
        <v/>
      </c>
      <c r="D74" s="54">
        <f>IF(B74="","",SUMIFS(Erfassung!$E$6:$E$5005,Erfassung!$B$6:$B$5005,A74,Erfassung!$A$6:$A$5005,"&gt;="&amp;DATE(Einstellungen!$C$3,1,1),Erfassung!$A$6:$A$5005,"&lt;"&amp;DATE(Einstellungen!$C$3+1,1,1)))</f>
        <v/>
      </c>
      <c r="E74" s="58">
        <f>IF(B74="","",IF(D74&gt;0,SUMIFS(Erfassung!$E$6:$E$5005,Erfassung!$B$6:$B$5005,A74,Erfassung!$D$6:$D$5005,Einstellungen!$C$4,Erfassung!$A$6:$A$5005,"&gt;="&amp;DATE(Einstellungen!$C$3,1,1),Erfassung!$A$6:$A$5005,"&lt;"&amp;DATE(Einstellungen!$C$3+1,1,1))/D74,""))</f>
        <v/>
      </c>
      <c r="F74" s="54">
        <f>IF(B74="","",SUMIFS(Erfassung!$G$6:$G$5005,Erfassung!$B$6:$B$5005,A74,Erfassung!$A$6:$A$5005,"&gt;="&amp;DATE(Einstellungen!$C$3,1,1),Erfassung!$A$6:$A$5005,"&lt;"&amp;DATE(Einstellungen!$C$3+1,1,1)))</f>
        <v/>
      </c>
      <c r="G74" s="54">
        <f>IF(B74="","",SUMIFS(Erfassung!$G$6:$G$5005,Erfassung!$B$6:$B$5005,A74,Erfassung!$D$6:$D$5005,Einstellungen!$C$4,Erfassung!$A$6:$A$5005,"&gt;="&amp;DATE(Einstellungen!$C$3,1,1),Erfassung!$A$6:$A$5005,"&lt;"&amp;DATE(Einstellungen!$C$3+1,1,1)))</f>
        <v/>
      </c>
      <c r="H74" s="54">
        <f>IF(B74="","",SUMIFS(Erfassung!$G$6:$G$5005,Erfassung!$B$6:$B$5005,A74,Erfassung!$D$6:$D$5005,Einstellungen!$C$5,Erfassung!$A$6:$A$5005,"&gt;="&amp;DATE(Einstellungen!$C$3,1,1),Erfassung!$A$6:$A$5005,"&lt;"&amp;DATE(Einstellungen!$C$3+1,1,1)))</f>
        <v/>
      </c>
      <c r="I74" s="34">
        <f>IF(B74="","",SUMIFS(Erfassung!$F$6:$F$5005,Erfassung!$B$6:$B$5005,A74,Erfassung!$A$6:$A$5005,"&gt;="&amp;DATE(Einstellungen!$C$3,1,1),Erfassung!$A$6:$A$5005,"&lt;"&amp;DATE(Einstellungen!$C$3+1,1,1)))</f>
        <v/>
      </c>
      <c r="J74" s="38">
        <f>IF(B74="","",IF(D74+F74&gt;0,F74/(D74+F74),""))</f>
        <v/>
      </c>
      <c r="K74" s="59">
        <f>IF(J74="","",RANK(J74,$J$6:$J$205,0))</f>
        <v/>
      </c>
      <c r="L74" s="29">
        <f>IF(J74="","",IF(J74&lt;=Einstellungen!$C$7,"unauffällig",IF(J74&lt;=Einstellungen!$C$8,"auffällig","kritisch")))</f>
        <v/>
      </c>
      <c r="M74" s="60">
        <f>IF(J74="",-1,J74+ROW()/1000000000)</f>
        <v/>
      </c>
    </row>
    <row r="75">
      <c r="A75" s="56">
        <f>IF(Mitarbeiter!B75="","",Mitarbeiter!A75)</f>
        <v/>
      </c>
      <c r="B75" s="57">
        <f>IF(Mitarbeiter!B75="","",Mitarbeiter!B75)</f>
        <v/>
      </c>
      <c r="C75" s="7">
        <f>IF(Mitarbeiter!B75="","",Mitarbeiter!G75)</f>
        <v/>
      </c>
      <c r="D75" s="54">
        <f>IF(B75="","",SUMIFS(Erfassung!$E$6:$E$5005,Erfassung!$B$6:$B$5005,A75,Erfassung!$A$6:$A$5005,"&gt;="&amp;DATE(Einstellungen!$C$3,1,1),Erfassung!$A$6:$A$5005,"&lt;"&amp;DATE(Einstellungen!$C$3+1,1,1)))</f>
        <v/>
      </c>
      <c r="E75" s="58">
        <f>IF(B75="","",IF(D75&gt;0,SUMIFS(Erfassung!$E$6:$E$5005,Erfassung!$B$6:$B$5005,A75,Erfassung!$D$6:$D$5005,Einstellungen!$C$4,Erfassung!$A$6:$A$5005,"&gt;="&amp;DATE(Einstellungen!$C$3,1,1),Erfassung!$A$6:$A$5005,"&lt;"&amp;DATE(Einstellungen!$C$3+1,1,1))/D75,""))</f>
        <v/>
      </c>
      <c r="F75" s="54">
        <f>IF(B75="","",SUMIFS(Erfassung!$G$6:$G$5005,Erfassung!$B$6:$B$5005,A75,Erfassung!$A$6:$A$5005,"&gt;="&amp;DATE(Einstellungen!$C$3,1,1),Erfassung!$A$6:$A$5005,"&lt;"&amp;DATE(Einstellungen!$C$3+1,1,1)))</f>
        <v/>
      </c>
      <c r="G75" s="54">
        <f>IF(B75="","",SUMIFS(Erfassung!$G$6:$G$5005,Erfassung!$B$6:$B$5005,A75,Erfassung!$D$6:$D$5005,Einstellungen!$C$4,Erfassung!$A$6:$A$5005,"&gt;="&amp;DATE(Einstellungen!$C$3,1,1),Erfassung!$A$6:$A$5005,"&lt;"&amp;DATE(Einstellungen!$C$3+1,1,1)))</f>
        <v/>
      </c>
      <c r="H75" s="54">
        <f>IF(B75="","",SUMIFS(Erfassung!$G$6:$G$5005,Erfassung!$B$6:$B$5005,A75,Erfassung!$D$6:$D$5005,Einstellungen!$C$5,Erfassung!$A$6:$A$5005,"&gt;="&amp;DATE(Einstellungen!$C$3,1,1),Erfassung!$A$6:$A$5005,"&lt;"&amp;DATE(Einstellungen!$C$3+1,1,1)))</f>
        <v/>
      </c>
      <c r="I75" s="34">
        <f>IF(B75="","",SUMIFS(Erfassung!$F$6:$F$5005,Erfassung!$B$6:$B$5005,A75,Erfassung!$A$6:$A$5005,"&gt;="&amp;DATE(Einstellungen!$C$3,1,1),Erfassung!$A$6:$A$5005,"&lt;"&amp;DATE(Einstellungen!$C$3+1,1,1)))</f>
        <v/>
      </c>
      <c r="J75" s="38">
        <f>IF(B75="","",IF(D75+F75&gt;0,F75/(D75+F75),""))</f>
        <v/>
      </c>
      <c r="K75" s="59">
        <f>IF(J75="","",RANK(J75,$J$6:$J$205,0))</f>
        <v/>
      </c>
      <c r="L75" s="29">
        <f>IF(J75="","",IF(J75&lt;=Einstellungen!$C$7,"unauffällig",IF(J75&lt;=Einstellungen!$C$8,"auffällig","kritisch")))</f>
        <v/>
      </c>
      <c r="M75" s="60">
        <f>IF(J75="",-1,J75+ROW()/1000000000)</f>
        <v/>
      </c>
    </row>
    <row r="76">
      <c r="A76" s="56">
        <f>IF(Mitarbeiter!B76="","",Mitarbeiter!A76)</f>
        <v/>
      </c>
      <c r="B76" s="57">
        <f>IF(Mitarbeiter!B76="","",Mitarbeiter!B76)</f>
        <v/>
      </c>
      <c r="C76" s="7">
        <f>IF(Mitarbeiter!B76="","",Mitarbeiter!G76)</f>
        <v/>
      </c>
      <c r="D76" s="54">
        <f>IF(B76="","",SUMIFS(Erfassung!$E$6:$E$5005,Erfassung!$B$6:$B$5005,A76,Erfassung!$A$6:$A$5005,"&gt;="&amp;DATE(Einstellungen!$C$3,1,1),Erfassung!$A$6:$A$5005,"&lt;"&amp;DATE(Einstellungen!$C$3+1,1,1)))</f>
        <v/>
      </c>
      <c r="E76" s="58">
        <f>IF(B76="","",IF(D76&gt;0,SUMIFS(Erfassung!$E$6:$E$5005,Erfassung!$B$6:$B$5005,A76,Erfassung!$D$6:$D$5005,Einstellungen!$C$4,Erfassung!$A$6:$A$5005,"&gt;="&amp;DATE(Einstellungen!$C$3,1,1),Erfassung!$A$6:$A$5005,"&lt;"&amp;DATE(Einstellungen!$C$3+1,1,1))/D76,""))</f>
        <v/>
      </c>
      <c r="F76" s="54">
        <f>IF(B76="","",SUMIFS(Erfassung!$G$6:$G$5005,Erfassung!$B$6:$B$5005,A76,Erfassung!$A$6:$A$5005,"&gt;="&amp;DATE(Einstellungen!$C$3,1,1),Erfassung!$A$6:$A$5005,"&lt;"&amp;DATE(Einstellungen!$C$3+1,1,1)))</f>
        <v/>
      </c>
      <c r="G76" s="54">
        <f>IF(B76="","",SUMIFS(Erfassung!$G$6:$G$5005,Erfassung!$B$6:$B$5005,A76,Erfassung!$D$6:$D$5005,Einstellungen!$C$4,Erfassung!$A$6:$A$5005,"&gt;="&amp;DATE(Einstellungen!$C$3,1,1),Erfassung!$A$6:$A$5005,"&lt;"&amp;DATE(Einstellungen!$C$3+1,1,1)))</f>
        <v/>
      </c>
      <c r="H76" s="54">
        <f>IF(B76="","",SUMIFS(Erfassung!$G$6:$G$5005,Erfassung!$B$6:$B$5005,A76,Erfassung!$D$6:$D$5005,Einstellungen!$C$5,Erfassung!$A$6:$A$5005,"&gt;="&amp;DATE(Einstellungen!$C$3,1,1),Erfassung!$A$6:$A$5005,"&lt;"&amp;DATE(Einstellungen!$C$3+1,1,1)))</f>
        <v/>
      </c>
      <c r="I76" s="34">
        <f>IF(B76="","",SUMIFS(Erfassung!$F$6:$F$5005,Erfassung!$B$6:$B$5005,A76,Erfassung!$A$6:$A$5005,"&gt;="&amp;DATE(Einstellungen!$C$3,1,1),Erfassung!$A$6:$A$5005,"&lt;"&amp;DATE(Einstellungen!$C$3+1,1,1)))</f>
        <v/>
      </c>
      <c r="J76" s="38">
        <f>IF(B76="","",IF(D76+F76&gt;0,F76/(D76+F76),""))</f>
        <v/>
      </c>
      <c r="K76" s="59">
        <f>IF(J76="","",RANK(J76,$J$6:$J$205,0))</f>
        <v/>
      </c>
      <c r="L76" s="29">
        <f>IF(J76="","",IF(J76&lt;=Einstellungen!$C$7,"unauffällig",IF(J76&lt;=Einstellungen!$C$8,"auffällig","kritisch")))</f>
        <v/>
      </c>
      <c r="M76" s="60">
        <f>IF(J76="",-1,J76+ROW()/1000000000)</f>
        <v/>
      </c>
    </row>
    <row r="77">
      <c r="A77" s="56">
        <f>IF(Mitarbeiter!B77="","",Mitarbeiter!A77)</f>
        <v/>
      </c>
      <c r="B77" s="57">
        <f>IF(Mitarbeiter!B77="","",Mitarbeiter!B77)</f>
        <v/>
      </c>
      <c r="C77" s="7">
        <f>IF(Mitarbeiter!B77="","",Mitarbeiter!G77)</f>
        <v/>
      </c>
      <c r="D77" s="54">
        <f>IF(B77="","",SUMIFS(Erfassung!$E$6:$E$5005,Erfassung!$B$6:$B$5005,A77,Erfassung!$A$6:$A$5005,"&gt;="&amp;DATE(Einstellungen!$C$3,1,1),Erfassung!$A$6:$A$5005,"&lt;"&amp;DATE(Einstellungen!$C$3+1,1,1)))</f>
        <v/>
      </c>
      <c r="E77" s="58">
        <f>IF(B77="","",IF(D77&gt;0,SUMIFS(Erfassung!$E$6:$E$5005,Erfassung!$B$6:$B$5005,A77,Erfassung!$D$6:$D$5005,Einstellungen!$C$4,Erfassung!$A$6:$A$5005,"&gt;="&amp;DATE(Einstellungen!$C$3,1,1),Erfassung!$A$6:$A$5005,"&lt;"&amp;DATE(Einstellungen!$C$3+1,1,1))/D77,""))</f>
        <v/>
      </c>
      <c r="F77" s="54">
        <f>IF(B77="","",SUMIFS(Erfassung!$G$6:$G$5005,Erfassung!$B$6:$B$5005,A77,Erfassung!$A$6:$A$5005,"&gt;="&amp;DATE(Einstellungen!$C$3,1,1),Erfassung!$A$6:$A$5005,"&lt;"&amp;DATE(Einstellungen!$C$3+1,1,1)))</f>
        <v/>
      </c>
      <c r="G77" s="54">
        <f>IF(B77="","",SUMIFS(Erfassung!$G$6:$G$5005,Erfassung!$B$6:$B$5005,A77,Erfassung!$D$6:$D$5005,Einstellungen!$C$4,Erfassung!$A$6:$A$5005,"&gt;="&amp;DATE(Einstellungen!$C$3,1,1),Erfassung!$A$6:$A$5005,"&lt;"&amp;DATE(Einstellungen!$C$3+1,1,1)))</f>
        <v/>
      </c>
      <c r="H77" s="54">
        <f>IF(B77="","",SUMIFS(Erfassung!$G$6:$G$5005,Erfassung!$B$6:$B$5005,A77,Erfassung!$D$6:$D$5005,Einstellungen!$C$5,Erfassung!$A$6:$A$5005,"&gt;="&amp;DATE(Einstellungen!$C$3,1,1),Erfassung!$A$6:$A$5005,"&lt;"&amp;DATE(Einstellungen!$C$3+1,1,1)))</f>
        <v/>
      </c>
      <c r="I77" s="34">
        <f>IF(B77="","",SUMIFS(Erfassung!$F$6:$F$5005,Erfassung!$B$6:$B$5005,A77,Erfassung!$A$6:$A$5005,"&gt;="&amp;DATE(Einstellungen!$C$3,1,1),Erfassung!$A$6:$A$5005,"&lt;"&amp;DATE(Einstellungen!$C$3+1,1,1)))</f>
        <v/>
      </c>
      <c r="J77" s="38">
        <f>IF(B77="","",IF(D77+F77&gt;0,F77/(D77+F77),""))</f>
        <v/>
      </c>
      <c r="K77" s="59">
        <f>IF(J77="","",RANK(J77,$J$6:$J$205,0))</f>
        <v/>
      </c>
      <c r="L77" s="29">
        <f>IF(J77="","",IF(J77&lt;=Einstellungen!$C$7,"unauffällig",IF(J77&lt;=Einstellungen!$C$8,"auffällig","kritisch")))</f>
        <v/>
      </c>
      <c r="M77" s="60">
        <f>IF(J77="",-1,J77+ROW()/1000000000)</f>
        <v/>
      </c>
    </row>
    <row r="78">
      <c r="A78" s="56">
        <f>IF(Mitarbeiter!B78="","",Mitarbeiter!A78)</f>
        <v/>
      </c>
      <c r="B78" s="57">
        <f>IF(Mitarbeiter!B78="","",Mitarbeiter!B78)</f>
        <v/>
      </c>
      <c r="C78" s="7">
        <f>IF(Mitarbeiter!B78="","",Mitarbeiter!G78)</f>
        <v/>
      </c>
      <c r="D78" s="54">
        <f>IF(B78="","",SUMIFS(Erfassung!$E$6:$E$5005,Erfassung!$B$6:$B$5005,A78,Erfassung!$A$6:$A$5005,"&gt;="&amp;DATE(Einstellungen!$C$3,1,1),Erfassung!$A$6:$A$5005,"&lt;"&amp;DATE(Einstellungen!$C$3+1,1,1)))</f>
        <v/>
      </c>
      <c r="E78" s="58">
        <f>IF(B78="","",IF(D78&gt;0,SUMIFS(Erfassung!$E$6:$E$5005,Erfassung!$B$6:$B$5005,A78,Erfassung!$D$6:$D$5005,Einstellungen!$C$4,Erfassung!$A$6:$A$5005,"&gt;="&amp;DATE(Einstellungen!$C$3,1,1),Erfassung!$A$6:$A$5005,"&lt;"&amp;DATE(Einstellungen!$C$3+1,1,1))/D78,""))</f>
        <v/>
      </c>
      <c r="F78" s="54">
        <f>IF(B78="","",SUMIFS(Erfassung!$G$6:$G$5005,Erfassung!$B$6:$B$5005,A78,Erfassung!$A$6:$A$5005,"&gt;="&amp;DATE(Einstellungen!$C$3,1,1),Erfassung!$A$6:$A$5005,"&lt;"&amp;DATE(Einstellungen!$C$3+1,1,1)))</f>
        <v/>
      </c>
      <c r="G78" s="54">
        <f>IF(B78="","",SUMIFS(Erfassung!$G$6:$G$5005,Erfassung!$B$6:$B$5005,A78,Erfassung!$D$6:$D$5005,Einstellungen!$C$4,Erfassung!$A$6:$A$5005,"&gt;="&amp;DATE(Einstellungen!$C$3,1,1),Erfassung!$A$6:$A$5005,"&lt;"&amp;DATE(Einstellungen!$C$3+1,1,1)))</f>
        <v/>
      </c>
      <c r="H78" s="54">
        <f>IF(B78="","",SUMIFS(Erfassung!$G$6:$G$5005,Erfassung!$B$6:$B$5005,A78,Erfassung!$D$6:$D$5005,Einstellungen!$C$5,Erfassung!$A$6:$A$5005,"&gt;="&amp;DATE(Einstellungen!$C$3,1,1),Erfassung!$A$6:$A$5005,"&lt;"&amp;DATE(Einstellungen!$C$3+1,1,1)))</f>
        <v/>
      </c>
      <c r="I78" s="34">
        <f>IF(B78="","",SUMIFS(Erfassung!$F$6:$F$5005,Erfassung!$B$6:$B$5005,A78,Erfassung!$A$6:$A$5005,"&gt;="&amp;DATE(Einstellungen!$C$3,1,1),Erfassung!$A$6:$A$5005,"&lt;"&amp;DATE(Einstellungen!$C$3+1,1,1)))</f>
        <v/>
      </c>
      <c r="J78" s="38">
        <f>IF(B78="","",IF(D78+F78&gt;0,F78/(D78+F78),""))</f>
        <v/>
      </c>
      <c r="K78" s="59">
        <f>IF(J78="","",RANK(J78,$J$6:$J$205,0))</f>
        <v/>
      </c>
      <c r="L78" s="29">
        <f>IF(J78="","",IF(J78&lt;=Einstellungen!$C$7,"unauffällig",IF(J78&lt;=Einstellungen!$C$8,"auffällig","kritisch")))</f>
        <v/>
      </c>
      <c r="M78" s="60">
        <f>IF(J78="",-1,J78+ROW()/1000000000)</f>
        <v/>
      </c>
    </row>
    <row r="79">
      <c r="A79" s="56">
        <f>IF(Mitarbeiter!B79="","",Mitarbeiter!A79)</f>
        <v/>
      </c>
      <c r="B79" s="57">
        <f>IF(Mitarbeiter!B79="","",Mitarbeiter!B79)</f>
        <v/>
      </c>
      <c r="C79" s="7">
        <f>IF(Mitarbeiter!B79="","",Mitarbeiter!G79)</f>
        <v/>
      </c>
      <c r="D79" s="54">
        <f>IF(B79="","",SUMIFS(Erfassung!$E$6:$E$5005,Erfassung!$B$6:$B$5005,A79,Erfassung!$A$6:$A$5005,"&gt;="&amp;DATE(Einstellungen!$C$3,1,1),Erfassung!$A$6:$A$5005,"&lt;"&amp;DATE(Einstellungen!$C$3+1,1,1)))</f>
        <v/>
      </c>
      <c r="E79" s="58">
        <f>IF(B79="","",IF(D79&gt;0,SUMIFS(Erfassung!$E$6:$E$5005,Erfassung!$B$6:$B$5005,A79,Erfassung!$D$6:$D$5005,Einstellungen!$C$4,Erfassung!$A$6:$A$5005,"&gt;="&amp;DATE(Einstellungen!$C$3,1,1),Erfassung!$A$6:$A$5005,"&lt;"&amp;DATE(Einstellungen!$C$3+1,1,1))/D79,""))</f>
        <v/>
      </c>
      <c r="F79" s="54">
        <f>IF(B79="","",SUMIFS(Erfassung!$G$6:$G$5005,Erfassung!$B$6:$B$5005,A79,Erfassung!$A$6:$A$5005,"&gt;="&amp;DATE(Einstellungen!$C$3,1,1),Erfassung!$A$6:$A$5005,"&lt;"&amp;DATE(Einstellungen!$C$3+1,1,1)))</f>
        <v/>
      </c>
      <c r="G79" s="54">
        <f>IF(B79="","",SUMIFS(Erfassung!$G$6:$G$5005,Erfassung!$B$6:$B$5005,A79,Erfassung!$D$6:$D$5005,Einstellungen!$C$4,Erfassung!$A$6:$A$5005,"&gt;="&amp;DATE(Einstellungen!$C$3,1,1),Erfassung!$A$6:$A$5005,"&lt;"&amp;DATE(Einstellungen!$C$3+1,1,1)))</f>
        <v/>
      </c>
      <c r="H79" s="54">
        <f>IF(B79="","",SUMIFS(Erfassung!$G$6:$G$5005,Erfassung!$B$6:$B$5005,A79,Erfassung!$D$6:$D$5005,Einstellungen!$C$5,Erfassung!$A$6:$A$5005,"&gt;="&amp;DATE(Einstellungen!$C$3,1,1),Erfassung!$A$6:$A$5005,"&lt;"&amp;DATE(Einstellungen!$C$3+1,1,1)))</f>
        <v/>
      </c>
      <c r="I79" s="34">
        <f>IF(B79="","",SUMIFS(Erfassung!$F$6:$F$5005,Erfassung!$B$6:$B$5005,A79,Erfassung!$A$6:$A$5005,"&gt;="&amp;DATE(Einstellungen!$C$3,1,1),Erfassung!$A$6:$A$5005,"&lt;"&amp;DATE(Einstellungen!$C$3+1,1,1)))</f>
        <v/>
      </c>
      <c r="J79" s="38">
        <f>IF(B79="","",IF(D79+F79&gt;0,F79/(D79+F79),""))</f>
        <v/>
      </c>
      <c r="K79" s="59">
        <f>IF(J79="","",RANK(J79,$J$6:$J$205,0))</f>
        <v/>
      </c>
      <c r="L79" s="29">
        <f>IF(J79="","",IF(J79&lt;=Einstellungen!$C$7,"unauffällig",IF(J79&lt;=Einstellungen!$C$8,"auffällig","kritisch")))</f>
        <v/>
      </c>
      <c r="M79" s="60">
        <f>IF(J79="",-1,J79+ROW()/1000000000)</f>
        <v/>
      </c>
    </row>
    <row r="80">
      <c r="A80" s="56">
        <f>IF(Mitarbeiter!B80="","",Mitarbeiter!A80)</f>
        <v/>
      </c>
      <c r="B80" s="57">
        <f>IF(Mitarbeiter!B80="","",Mitarbeiter!B80)</f>
        <v/>
      </c>
      <c r="C80" s="7">
        <f>IF(Mitarbeiter!B80="","",Mitarbeiter!G80)</f>
        <v/>
      </c>
      <c r="D80" s="54">
        <f>IF(B80="","",SUMIFS(Erfassung!$E$6:$E$5005,Erfassung!$B$6:$B$5005,A80,Erfassung!$A$6:$A$5005,"&gt;="&amp;DATE(Einstellungen!$C$3,1,1),Erfassung!$A$6:$A$5005,"&lt;"&amp;DATE(Einstellungen!$C$3+1,1,1)))</f>
        <v/>
      </c>
      <c r="E80" s="58">
        <f>IF(B80="","",IF(D80&gt;0,SUMIFS(Erfassung!$E$6:$E$5005,Erfassung!$B$6:$B$5005,A80,Erfassung!$D$6:$D$5005,Einstellungen!$C$4,Erfassung!$A$6:$A$5005,"&gt;="&amp;DATE(Einstellungen!$C$3,1,1),Erfassung!$A$6:$A$5005,"&lt;"&amp;DATE(Einstellungen!$C$3+1,1,1))/D80,""))</f>
        <v/>
      </c>
      <c r="F80" s="54">
        <f>IF(B80="","",SUMIFS(Erfassung!$G$6:$G$5005,Erfassung!$B$6:$B$5005,A80,Erfassung!$A$6:$A$5005,"&gt;="&amp;DATE(Einstellungen!$C$3,1,1),Erfassung!$A$6:$A$5005,"&lt;"&amp;DATE(Einstellungen!$C$3+1,1,1)))</f>
        <v/>
      </c>
      <c r="G80" s="54">
        <f>IF(B80="","",SUMIFS(Erfassung!$G$6:$G$5005,Erfassung!$B$6:$B$5005,A80,Erfassung!$D$6:$D$5005,Einstellungen!$C$4,Erfassung!$A$6:$A$5005,"&gt;="&amp;DATE(Einstellungen!$C$3,1,1),Erfassung!$A$6:$A$5005,"&lt;"&amp;DATE(Einstellungen!$C$3+1,1,1)))</f>
        <v/>
      </c>
      <c r="H80" s="54">
        <f>IF(B80="","",SUMIFS(Erfassung!$G$6:$G$5005,Erfassung!$B$6:$B$5005,A80,Erfassung!$D$6:$D$5005,Einstellungen!$C$5,Erfassung!$A$6:$A$5005,"&gt;="&amp;DATE(Einstellungen!$C$3,1,1),Erfassung!$A$6:$A$5005,"&lt;"&amp;DATE(Einstellungen!$C$3+1,1,1)))</f>
        <v/>
      </c>
      <c r="I80" s="34">
        <f>IF(B80="","",SUMIFS(Erfassung!$F$6:$F$5005,Erfassung!$B$6:$B$5005,A80,Erfassung!$A$6:$A$5005,"&gt;="&amp;DATE(Einstellungen!$C$3,1,1),Erfassung!$A$6:$A$5005,"&lt;"&amp;DATE(Einstellungen!$C$3+1,1,1)))</f>
        <v/>
      </c>
      <c r="J80" s="38">
        <f>IF(B80="","",IF(D80+F80&gt;0,F80/(D80+F80),""))</f>
        <v/>
      </c>
      <c r="K80" s="59">
        <f>IF(J80="","",RANK(J80,$J$6:$J$205,0))</f>
        <v/>
      </c>
      <c r="L80" s="29">
        <f>IF(J80="","",IF(J80&lt;=Einstellungen!$C$7,"unauffällig",IF(J80&lt;=Einstellungen!$C$8,"auffällig","kritisch")))</f>
        <v/>
      </c>
      <c r="M80" s="60">
        <f>IF(J80="",-1,J80+ROW()/1000000000)</f>
        <v/>
      </c>
    </row>
    <row r="81">
      <c r="A81" s="56">
        <f>IF(Mitarbeiter!B81="","",Mitarbeiter!A81)</f>
        <v/>
      </c>
      <c r="B81" s="57">
        <f>IF(Mitarbeiter!B81="","",Mitarbeiter!B81)</f>
        <v/>
      </c>
      <c r="C81" s="7">
        <f>IF(Mitarbeiter!B81="","",Mitarbeiter!G81)</f>
        <v/>
      </c>
      <c r="D81" s="54">
        <f>IF(B81="","",SUMIFS(Erfassung!$E$6:$E$5005,Erfassung!$B$6:$B$5005,A81,Erfassung!$A$6:$A$5005,"&gt;="&amp;DATE(Einstellungen!$C$3,1,1),Erfassung!$A$6:$A$5005,"&lt;"&amp;DATE(Einstellungen!$C$3+1,1,1)))</f>
        <v/>
      </c>
      <c r="E81" s="58">
        <f>IF(B81="","",IF(D81&gt;0,SUMIFS(Erfassung!$E$6:$E$5005,Erfassung!$B$6:$B$5005,A81,Erfassung!$D$6:$D$5005,Einstellungen!$C$4,Erfassung!$A$6:$A$5005,"&gt;="&amp;DATE(Einstellungen!$C$3,1,1),Erfassung!$A$6:$A$5005,"&lt;"&amp;DATE(Einstellungen!$C$3+1,1,1))/D81,""))</f>
        <v/>
      </c>
      <c r="F81" s="54">
        <f>IF(B81="","",SUMIFS(Erfassung!$G$6:$G$5005,Erfassung!$B$6:$B$5005,A81,Erfassung!$A$6:$A$5005,"&gt;="&amp;DATE(Einstellungen!$C$3,1,1),Erfassung!$A$6:$A$5005,"&lt;"&amp;DATE(Einstellungen!$C$3+1,1,1)))</f>
        <v/>
      </c>
      <c r="G81" s="54">
        <f>IF(B81="","",SUMIFS(Erfassung!$G$6:$G$5005,Erfassung!$B$6:$B$5005,A81,Erfassung!$D$6:$D$5005,Einstellungen!$C$4,Erfassung!$A$6:$A$5005,"&gt;="&amp;DATE(Einstellungen!$C$3,1,1),Erfassung!$A$6:$A$5005,"&lt;"&amp;DATE(Einstellungen!$C$3+1,1,1)))</f>
        <v/>
      </c>
      <c r="H81" s="54">
        <f>IF(B81="","",SUMIFS(Erfassung!$G$6:$G$5005,Erfassung!$B$6:$B$5005,A81,Erfassung!$D$6:$D$5005,Einstellungen!$C$5,Erfassung!$A$6:$A$5005,"&gt;="&amp;DATE(Einstellungen!$C$3,1,1),Erfassung!$A$6:$A$5005,"&lt;"&amp;DATE(Einstellungen!$C$3+1,1,1)))</f>
        <v/>
      </c>
      <c r="I81" s="34">
        <f>IF(B81="","",SUMIFS(Erfassung!$F$6:$F$5005,Erfassung!$B$6:$B$5005,A81,Erfassung!$A$6:$A$5005,"&gt;="&amp;DATE(Einstellungen!$C$3,1,1),Erfassung!$A$6:$A$5005,"&lt;"&amp;DATE(Einstellungen!$C$3+1,1,1)))</f>
        <v/>
      </c>
      <c r="J81" s="38">
        <f>IF(B81="","",IF(D81+F81&gt;0,F81/(D81+F81),""))</f>
        <v/>
      </c>
      <c r="K81" s="59">
        <f>IF(J81="","",RANK(J81,$J$6:$J$205,0))</f>
        <v/>
      </c>
      <c r="L81" s="29">
        <f>IF(J81="","",IF(J81&lt;=Einstellungen!$C$7,"unauffällig",IF(J81&lt;=Einstellungen!$C$8,"auffällig","kritisch")))</f>
        <v/>
      </c>
      <c r="M81" s="60">
        <f>IF(J81="",-1,J81+ROW()/1000000000)</f>
        <v/>
      </c>
    </row>
    <row r="82">
      <c r="A82" s="56">
        <f>IF(Mitarbeiter!B82="","",Mitarbeiter!A82)</f>
        <v/>
      </c>
      <c r="B82" s="57">
        <f>IF(Mitarbeiter!B82="","",Mitarbeiter!B82)</f>
        <v/>
      </c>
      <c r="C82" s="7">
        <f>IF(Mitarbeiter!B82="","",Mitarbeiter!G82)</f>
        <v/>
      </c>
      <c r="D82" s="54">
        <f>IF(B82="","",SUMIFS(Erfassung!$E$6:$E$5005,Erfassung!$B$6:$B$5005,A82,Erfassung!$A$6:$A$5005,"&gt;="&amp;DATE(Einstellungen!$C$3,1,1),Erfassung!$A$6:$A$5005,"&lt;"&amp;DATE(Einstellungen!$C$3+1,1,1)))</f>
        <v/>
      </c>
      <c r="E82" s="58">
        <f>IF(B82="","",IF(D82&gt;0,SUMIFS(Erfassung!$E$6:$E$5005,Erfassung!$B$6:$B$5005,A82,Erfassung!$D$6:$D$5005,Einstellungen!$C$4,Erfassung!$A$6:$A$5005,"&gt;="&amp;DATE(Einstellungen!$C$3,1,1),Erfassung!$A$6:$A$5005,"&lt;"&amp;DATE(Einstellungen!$C$3+1,1,1))/D82,""))</f>
        <v/>
      </c>
      <c r="F82" s="54">
        <f>IF(B82="","",SUMIFS(Erfassung!$G$6:$G$5005,Erfassung!$B$6:$B$5005,A82,Erfassung!$A$6:$A$5005,"&gt;="&amp;DATE(Einstellungen!$C$3,1,1),Erfassung!$A$6:$A$5005,"&lt;"&amp;DATE(Einstellungen!$C$3+1,1,1)))</f>
        <v/>
      </c>
      <c r="G82" s="54">
        <f>IF(B82="","",SUMIFS(Erfassung!$G$6:$G$5005,Erfassung!$B$6:$B$5005,A82,Erfassung!$D$6:$D$5005,Einstellungen!$C$4,Erfassung!$A$6:$A$5005,"&gt;="&amp;DATE(Einstellungen!$C$3,1,1),Erfassung!$A$6:$A$5005,"&lt;"&amp;DATE(Einstellungen!$C$3+1,1,1)))</f>
        <v/>
      </c>
      <c r="H82" s="54">
        <f>IF(B82="","",SUMIFS(Erfassung!$G$6:$G$5005,Erfassung!$B$6:$B$5005,A82,Erfassung!$D$6:$D$5005,Einstellungen!$C$5,Erfassung!$A$6:$A$5005,"&gt;="&amp;DATE(Einstellungen!$C$3,1,1),Erfassung!$A$6:$A$5005,"&lt;"&amp;DATE(Einstellungen!$C$3+1,1,1)))</f>
        <v/>
      </c>
      <c r="I82" s="34">
        <f>IF(B82="","",SUMIFS(Erfassung!$F$6:$F$5005,Erfassung!$B$6:$B$5005,A82,Erfassung!$A$6:$A$5005,"&gt;="&amp;DATE(Einstellungen!$C$3,1,1),Erfassung!$A$6:$A$5005,"&lt;"&amp;DATE(Einstellungen!$C$3+1,1,1)))</f>
        <v/>
      </c>
      <c r="J82" s="38">
        <f>IF(B82="","",IF(D82+F82&gt;0,F82/(D82+F82),""))</f>
        <v/>
      </c>
      <c r="K82" s="59">
        <f>IF(J82="","",RANK(J82,$J$6:$J$205,0))</f>
        <v/>
      </c>
      <c r="L82" s="29">
        <f>IF(J82="","",IF(J82&lt;=Einstellungen!$C$7,"unauffällig",IF(J82&lt;=Einstellungen!$C$8,"auffällig","kritisch")))</f>
        <v/>
      </c>
      <c r="M82" s="60">
        <f>IF(J82="",-1,J82+ROW()/1000000000)</f>
        <v/>
      </c>
    </row>
    <row r="83">
      <c r="A83" s="56">
        <f>IF(Mitarbeiter!B83="","",Mitarbeiter!A83)</f>
        <v/>
      </c>
      <c r="B83" s="57">
        <f>IF(Mitarbeiter!B83="","",Mitarbeiter!B83)</f>
        <v/>
      </c>
      <c r="C83" s="7">
        <f>IF(Mitarbeiter!B83="","",Mitarbeiter!G83)</f>
        <v/>
      </c>
      <c r="D83" s="54">
        <f>IF(B83="","",SUMIFS(Erfassung!$E$6:$E$5005,Erfassung!$B$6:$B$5005,A83,Erfassung!$A$6:$A$5005,"&gt;="&amp;DATE(Einstellungen!$C$3,1,1),Erfassung!$A$6:$A$5005,"&lt;"&amp;DATE(Einstellungen!$C$3+1,1,1)))</f>
        <v/>
      </c>
      <c r="E83" s="58">
        <f>IF(B83="","",IF(D83&gt;0,SUMIFS(Erfassung!$E$6:$E$5005,Erfassung!$B$6:$B$5005,A83,Erfassung!$D$6:$D$5005,Einstellungen!$C$4,Erfassung!$A$6:$A$5005,"&gt;="&amp;DATE(Einstellungen!$C$3,1,1),Erfassung!$A$6:$A$5005,"&lt;"&amp;DATE(Einstellungen!$C$3+1,1,1))/D83,""))</f>
        <v/>
      </c>
      <c r="F83" s="54">
        <f>IF(B83="","",SUMIFS(Erfassung!$G$6:$G$5005,Erfassung!$B$6:$B$5005,A83,Erfassung!$A$6:$A$5005,"&gt;="&amp;DATE(Einstellungen!$C$3,1,1),Erfassung!$A$6:$A$5005,"&lt;"&amp;DATE(Einstellungen!$C$3+1,1,1)))</f>
        <v/>
      </c>
      <c r="G83" s="54">
        <f>IF(B83="","",SUMIFS(Erfassung!$G$6:$G$5005,Erfassung!$B$6:$B$5005,A83,Erfassung!$D$6:$D$5005,Einstellungen!$C$4,Erfassung!$A$6:$A$5005,"&gt;="&amp;DATE(Einstellungen!$C$3,1,1),Erfassung!$A$6:$A$5005,"&lt;"&amp;DATE(Einstellungen!$C$3+1,1,1)))</f>
        <v/>
      </c>
      <c r="H83" s="54">
        <f>IF(B83="","",SUMIFS(Erfassung!$G$6:$G$5005,Erfassung!$B$6:$B$5005,A83,Erfassung!$D$6:$D$5005,Einstellungen!$C$5,Erfassung!$A$6:$A$5005,"&gt;="&amp;DATE(Einstellungen!$C$3,1,1),Erfassung!$A$6:$A$5005,"&lt;"&amp;DATE(Einstellungen!$C$3+1,1,1)))</f>
        <v/>
      </c>
      <c r="I83" s="34">
        <f>IF(B83="","",SUMIFS(Erfassung!$F$6:$F$5005,Erfassung!$B$6:$B$5005,A83,Erfassung!$A$6:$A$5005,"&gt;="&amp;DATE(Einstellungen!$C$3,1,1),Erfassung!$A$6:$A$5005,"&lt;"&amp;DATE(Einstellungen!$C$3+1,1,1)))</f>
        <v/>
      </c>
      <c r="J83" s="38">
        <f>IF(B83="","",IF(D83+F83&gt;0,F83/(D83+F83),""))</f>
        <v/>
      </c>
      <c r="K83" s="59">
        <f>IF(J83="","",RANK(J83,$J$6:$J$205,0))</f>
        <v/>
      </c>
      <c r="L83" s="29">
        <f>IF(J83="","",IF(J83&lt;=Einstellungen!$C$7,"unauffällig",IF(J83&lt;=Einstellungen!$C$8,"auffällig","kritisch")))</f>
        <v/>
      </c>
      <c r="M83" s="60">
        <f>IF(J83="",-1,J83+ROW()/1000000000)</f>
        <v/>
      </c>
    </row>
    <row r="84">
      <c r="A84" s="56">
        <f>IF(Mitarbeiter!B84="","",Mitarbeiter!A84)</f>
        <v/>
      </c>
      <c r="B84" s="57">
        <f>IF(Mitarbeiter!B84="","",Mitarbeiter!B84)</f>
        <v/>
      </c>
      <c r="C84" s="7">
        <f>IF(Mitarbeiter!B84="","",Mitarbeiter!G84)</f>
        <v/>
      </c>
      <c r="D84" s="54">
        <f>IF(B84="","",SUMIFS(Erfassung!$E$6:$E$5005,Erfassung!$B$6:$B$5005,A84,Erfassung!$A$6:$A$5005,"&gt;="&amp;DATE(Einstellungen!$C$3,1,1),Erfassung!$A$6:$A$5005,"&lt;"&amp;DATE(Einstellungen!$C$3+1,1,1)))</f>
        <v/>
      </c>
      <c r="E84" s="58">
        <f>IF(B84="","",IF(D84&gt;0,SUMIFS(Erfassung!$E$6:$E$5005,Erfassung!$B$6:$B$5005,A84,Erfassung!$D$6:$D$5005,Einstellungen!$C$4,Erfassung!$A$6:$A$5005,"&gt;="&amp;DATE(Einstellungen!$C$3,1,1),Erfassung!$A$6:$A$5005,"&lt;"&amp;DATE(Einstellungen!$C$3+1,1,1))/D84,""))</f>
        <v/>
      </c>
      <c r="F84" s="54">
        <f>IF(B84="","",SUMIFS(Erfassung!$G$6:$G$5005,Erfassung!$B$6:$B$5005,A84,Erfassung!$A$6:$A$5005,"&gt;="&amp;DATE(Einstellungen!$C$3,1,1),Erfassung!$A$6:$A$5005,"&lt;"&amp;DATE(Einstellungen!$C$3+1,1,1)))</f>
        <v/>
      </c>
      <c r="G84" s="54">
        <f>IF(B84="","",SUMIFS(Erfassung!$G$6:$G$5005,Erfassung!$B$6:$B$5005,A84,Erfassung!$D$6:$D$5005,Einstellungen!$C$4,Erfassung!$A$6:$A$5005,"&gt;="&amp;DATE(Einstellungen!$C$3,1,1),Erfassung!$A$6:$A$5005,"&lt;"&amp;DATE(Einstellungen!$C$3+1,1,1)))</f>
        <v/>
      </c>
      <c r="H84" s="54">
        <f>IF(B84="","",SUMIFS(Erfassung!$G$6:$G$5005,Erfassung!$B$6:$B$5005,A84,Erfassung!$D$6:$D$5005,Einstellungen!$C$5,Erfassung!$A$6:$A$5005,"&gt;="&amp;DATE(Einstellungen!$C$3,1,1),Erfassung!$A$6:$A$5005,"&lt;"&amp;DATE(Einstellungen!$C$3+1,1,1)))</f>
        <v/>
      </c>
      <c r="I84" s="34">
        <f>IF(B84="","",SUMIFS(Erfassung!$F$6:$F$5005,Erfassung!$B$6:$B$5005,A84,Erfassung!$A$6:$A$5005,"&gt;="&amp;DATE(Einstellungen!$C$3,1,1),Erfassung!$A$6:$A$5005,"&lt;"&amp;DATE(Einstellungen!$C$3+1,1,1)))</f>
        <v/>
      </c>
      <c r="J84" s="38">
        <f>IF(B84="","",IF(D84+F84&gt;0,F84/(D84+F84),""))</f>
        <v/>
      </c>
      <c r="K84" s="59">
        <f>IF(J84="","",RANK(J84,$J$6:$J$205,0))</f>
        <v/>
      </c>
      <c r="L84" s="29">
        <f>IF(J84="","",IF(J84&lt;=Einstellungen!$C$7,"unauffällig",IF(J84&lt;=Einstellungen!$C$8,"auffällig","kritisch")))</f>
        <v/>
      </c>
      <c r="M84" s="60">
        <f>IF(J84="",-1,J84+ROW()/1000000000)</f>
        <v/>
      </c>
    </row>
    <row r="85">
      <c r="A85" s="56">
        <f>IF(Mitarbeiter!B85="","",Mitarbeiter!A85)</f>
        <v/>
      </c>
      <c r="B85" s="57">
        <f>IF(Mitarbeiter!B85="","",Mitarbeiter!B85)</f>
        <v/>
      </c>
      <c r="C85" s="7">
        <f>IF(Mitarbeiter!B85="","",Mitarbeiter!G85)</f>
        <v/>
      </c>
      <c r="D85" s="54">
        <f>IF(B85="","",SUMIFS(Erfassung!$E$6:$E$5005,Erfassung!$B$6:$B$5005,A85,Erfassung!$A$6:$A$5005,"&gt;="&amp;DATE(Einstellungen!$C$3,1,1),Erfassung!$A$6:$A$5005,"&lt;"&amp;DATE(Einstellungen!$C$3+1,1,1)))</f>
        <v/>
      </c>
      <c r="E85" s="58">
        <f>IF(B85="","",IF(D85&gt;0,SUMIFS(Erfassung!$E$6:$E$5005,Erfassung!$B$6:$B$5005,A85,Erfassung!$D$6:$D$5005,Einstellungen!$C$4,Erfassung!$A$6:$A$5005,"&gt;="&amp;DATE(Einstellungen!$C$3,1,1),Erfassung!$A$6:$A$5005,"&lt;"&amp;DATE(Einstellungen!$C$3+1,1,1))/D85,""))</f>
        <v/>
      </c>
      <c r="F85" s="54">
        <f>IF(B85="","",SUMIFS(Erfassung!$G$6:$G$5005,Erfassung!$B$6:$B$5005,A85,Erfassung!$A$6:$A$5005,"&gt;="&amp;DATE(Einstellungen!$C$3,1,1),Erfassung!$A$6:$A$5005,"&lt;"&amp;DATE(Einstellungen!$C$3+1,1,1)))</f>
        <v/>
      </c>
      <c r="G85" s="54">
        <f>IF(B85="","",SUMIFS(Erfassung!$G$6:$G$5005,Erfassung!$B$6:$B$5005,A85,Erfassung!$D$6:$D$5005,Einstellungen!$C$4,Erfassung!$A$6:$A$5005,"&gt;="&amp;DATE(Einstellungen!$C$3,1,1),Erfassung!$A$6:$A$5005,"&lt;"&amp;DATE(Einstellungen!$C$3+1,1,1)))</f>
        <v/>
      </c>
      <c r="H85" s="54">
        <f>IF(B85="","",SUMIFS(Erfassung!$G$6:$G$5005,Erfassung!$B$6:$B$5005,A85,Erfassung!$D$6:$D$5005,Einstellungen!$C$5,Erfassung!$A$6:$A$5005,"&gt;="&amp;DATE(Einstellungen!$C$3,1,1),Erfassung!$A$6:$A$5005,"&lt;"&amp;DATE(Einstellungen!$C$3+1,1,1)))</f>
        <v/>
      </c>
      <c r="I85" s="34">
        <f>IF(B85="","",SUMIFS(Erfassung!$F$6:$F$5005,Erfassung!$B$6:$B$5005,A85,Erfassung!$A$6:$A$5005,"&gt;="&amp;DATE(Einstellungen!$C$3,1,1),Erfassung!$A$6:$A$5005,"&lt;"&amp;DATE(Einstellungen!$C$3+1,1,1)))</f>
        <v/>
      </c>
      <c r="J85" s="38">
        <f>IF(B85="","",IF(D85+F85&gt;0,F85/(D85+F85),""))</f>
        <v/>
      </c>
      <c r="K85" s="59">
        <f>IF(J85="","",RANK(J85,$J$6:$J$205,0))</f>
        <v/>
      </c>
      <c r="L85" s="29">
        <f>IF(J85="","",IF(J85&lt;=Einstellungen!$C$7,"unauffällig",IF(J85&lt;=Einstellungen!$C$8,"auffällig","kritisch")))</f>
        <v/>
      </c>
      <c r="M85" s="60">
        <f>IF(J85="",-1,J85+ROW()/1000000000)</f>
        <v/>
      </c>
    </row>
    <row r="86">
      <c r="A86" s="56">
        <f>IF(Mitarbeiter!B86="","",Mitarbeiter!A86)</f>
        <v/>
      </c>
      <c r="B86" s="57">
        <f>IF(Mitarbeiter!B86="","",Mitarbeiter!B86)</f>
        <v/>
      </c>
      <c r="C86" s="7">
        <f>IF(Mitarbeiter!B86="","",Mitarbeiter!G86)</f>
        <v/>
      </c>
      <c r="D86" s="54">
        <f>IF(B86="","",SUMIFS(Erfassung!$E$6:$E$5005,Erfassung!$B$6:$B$5005,A86,Erfassung!$A$6:$A$5005,"&gt;="&amp;DATE(Einstellungen!$C$3,1,1),Erfassung!$A$6:$A$5005,"&lt;"&amp;DATE(Einstellungen!$C$3+1,1,1)))</f>
        <v/>
      </c>
      <c r="E86" s="58">
        <f>IF(B86="","",IF(D86&gt;0,SUMIFS(Erfassung!$E$6:$E$5005,Erfassung!$B$6:$B$5005,A86,Erfassung!$D$6:$D$5005,Einstellungen!$C$4,Erfassung!$A$6:$A$5005,"&gt;="&amp;DATE(Einstellungen!$C$3,1,1),Erfassung!$A$6:$A$5005,"&lt;"&amp;DATE(Einstellungen!$C$3+1,1,1))/D86,""))</f>
        <v/>
      </c>
      <c r="F86" s="54">
        <f>IF(B86="","",SUMIFS(Erfassung!$G$6:$G$5005,Erfassung!$B$6:$B$5005,A86,Erfassung!$A$6:$A$5005,"&gt;="&amp;DATE(Einstellungen!$C$3,1,1),Erfassung!$A$6:$A$5005,"&lt;"&amp;DATE(Einstellungen!$C$3+1,1,1)))</f>
        <v/>
      </c>
      <c r="G86" s="54">
        <f>IF(B86="","",SUMIFS(Erfassung!$G$6:$G$5005,Erfassung!$B$6:$B$5005,A86,Erfassung!$D$6:$D$5005,Einstellungen!$C$4,Erfassung!$A$6:$A$5005,"&gt;="&amp;DATE(Einstellungen!$C$3,1,1),Erfassung!$A$6:$A$5005,"&lt;"&amp;DATE(Einstellungen!$C$3+1,1,1)))</f>
        <v/>
      </c>
      <c r="H86" s="54">
        <f>IF(B86="","",SUMIFS(Erfassung!$G$6:$G$5005,Erfassung!$B$6:$B$5005,A86,Erfassung!$D$6:$D$5005,Einstellungen!$C$5,Erfassung!$A$6:$A$5005,"&gt;="&amp;DATE(Einstellungen!$C$3,1,1),Erfassung!$A$6:$A$5005,"&lt;"&amp;DATE(Einstellungen!$C$3+1,1,1)))</f>
        <v/>
      </c>
      <c r="I86" s="34">
        <f>IF(B86="","",SUMIFS(Erfassung!$F$6:$F$5005,Erfassung!$B$6:$B$5005,A86,Erfassung!$A$6:$A$5005,"&gt;="&amp;DATE(Einstellungen!$C$3,1,1),Erfassung!$A$6:$A$5005,"&lt;"&amp;DATE(Einstellungen!$C$3+1,1,1)))</f>
        <v/>
      </c>
      <c r="J86" s="38">
        <f>IF(B86="","",IF(D86+F86&gt;0,F86/(D86+F86),""))</f>
        <v/>
      </c>
      <c r="K86" s="59">
        <f>IF(J86="","",RANK(J86,$J$6:$J$205,0))</f>
        <v/>
      </c>
      <c r="L86" s="29">
        <f>IF(J86="","",IF(J86&lt;=Einstellungen!$C$7,"unauffällig",IF(J86&lt;=Einstellungen!$C$8,"auffällig","kritisch")))</f>
        <v/>
      </c>
      <c r="M86" s="60">
        <f>IF(J86="",-1,J86+ROW()/1000000000)</f>
        <v/>
      </c>
    </row>
    <row r="87">
      <c r="A87" s="56">
        <f>IF(Mitarbeiter!B87="","",Mitarbeiter!A87)</f>
        <v/>
      </c>
      <c r="B87" s="57">
        <f>IF(Mitarbeiter!B87="","",Mitarbeiter!B87)</f>
        <v/>
      </c>
      <c r="C87" s="7">
        <f>IF(Mitarbeiter!B87="","",Mitarbeiter!G87)</f>
        <v/>
      </c>
      <c r="D87" s="54">
        <f>IF(B87="","",SUMIFS(Erfassung!$E$6:$E$5005,Erfassung!$B$6:$B$5005,A87,Erfassung!$A$6:$A$5005,"&gt;="&amp;DATE(Einstellungen!$C$3,1,1),Erfassung!$A$6:$A$5005,"&lt;"&amp;DATE(Einstellungen!$C$3+1,1,1)))</f>
        <v/>
      </c>
      <c r="E87" s="58">
        <f>IF(B87="","",IF(D87&gt;0,SUMIFS(Erfassung!$E$6:$E$5005,Erfassung!$B$6:$B$5005,A87,Erfassung!$D$6:$D$5005,Einstellungen!$C$4,Erfassung!$A$6:$A$5005,"&gt;="&amp;DATE(Einstellungen!$C$3,1,1),Erfassung!$A$6:$A$5005,"&lt;"&amp;DATE(Einstellungen!$C$3+1,1,1))/D87,""))</f>
        <v/>
      </c>
      <c r="F87" s="54">
        <f>IF(B87="","",SUMIFS(Erfassung!$G$6:$G$5005,Erfassung!$B$6:$B$5005,A87,Erfassung!$A$6:$A$5005,"&gt;="&amp;DATE(Einstellungen!$C$3,1,1),Erfassung!$A$6:$A$5005,"&lt;"&amp;DATE(Einstellungen!$C$3+1,1,1)))</f>
        <v/>
      </c>
      <c r="G87" s="54">
        <f>IF(B87="","",SUMIFS(Erfassung!$G$6:$G$5005,Erfassung!$B$6:$B$5005,A87,Erfassung!$D$6:$D$5005,Einstellungen!$C$4,Erfassung!$A$6:$A$5005,"&gt;="&amp;DATE(Einstellungen!$C$3,1,1),Erfassung!$A$6:$A$5005,"&lt;"&amp;DATE(Einstellungen!$C$3+1,1,1)))</f>
        <v/>
      </c>
      <c r="H87" s="54">
        <f>IF(B87="","",SUMIFS(Erfassung!$G$6:$G$5005,Erfassung!$B$6:$B$5005,A87,Erfassung!$D$6:$D$5005,Einstellungen!$C$5,Erfassung!$A$6:$A$5005,"&gt;="&amp;DATE(Einstellungen!$C$3,1,1),Erfassung!$A$6:$A$5005,"&lt;"&amp;DATE(Einstellungen!$C$3+1,1,1)))</f>
        <v/>
      </c>
      <c r="I87" s="34">
        <f>IF(B87="","",SUMIFS(Erfassung!$F$6:$F$5005,Erfassung!$B$6:$B$5005,A87,Erfassung!$A$6:$A$5005,"&gt;="&amp;DATE(Einstellungen!$C$3,1,1),Erfassung!$A$6:$A$5005,"&lt;"&amp;DATE(Einstellungen!$C$3+1,1,1)))</f>
        <v/>
      </c>
      <c r="J87" s="38">
        <f>IF(B87="","",IF(D87+F87&gt;0,F87/(D87+F87),""))</f>
        <v/>
      </c>
      <c r="K87" s="59">
        <f>IF(J87="","",RANK(J87,$J$6:$J$205,0))</f>
        <v/>
      </c>
      <c r="L87" s="29">
        <f>IF(J87="","",IF(J87&lt;=Einstellungen!$C$7,"unauffällig",IF(J87&lt;=Einstellungen!$C$8,"auffällig","kritisch")))</f>
        <v/>
      </c>
      <c r="M87" s="60">
        <f>IF(J87="",-1,J87+ROW()/1000000000)</f>
        <v/>
      </c>
    </row>
    <row r="88">
      <c r="A88" s="56">
        <f>IF(Mitarbeiter!B88="","",Mitarbeiter!A88)</f>
        <v/>
      </c>
      <c r="B88" s="57">
        <f>IF(Mitarbeiter!B88="","",Mitarbeiter!B88)</f>
        <v/>
      </c>
      <c r="C88" s="7">
        <f>IF(Mitarbeiter!B88="","",Mitarbeiter!G88)</f>
        <v/>
      </c>
      <c r="D88" s="54">
        <f>IF(B88="","",SUMIFS(Erfassung!$E$6:$E$5005,Erfassung!$B$6:$B$5005,A88,Erfassung!$A$6:$A$5005,"&gt;="&amp;DATE(Einstellungen!$C$3,1,1),Erfassung!$A$6:$A$5005,"&lt;"&amp;DATE(Einstellungen!$C$3+1,1,1)))</f>
        <v/>
      </c>
      <c r="E88" s="58">
        <f>IF(B88="","",IF(D88&gt;0,SUMIFS(Erfassung!$E$6:$E$5005,Erfassung!$B$6:$B$5005,A88,Erfassung!$D$6:$D$5005,Einstellungen!$C$4,Erfassung!$A$6:$A$5005,"&gt;="&amp;DATE(Einstellungen!$C$3,1,1),Erfassung!$A$6:$A$5005,"&lt;"&amp;DATE(Einstellungen!$C$3+1,1,1))/D88,""))</f>
        <v/>
      </c>
      <c r="F88" s="54">
        <f>IF(B88="","",SUMIFS(Erfassung!$G$6:$G$5005,Erfassung!$B$6:$B$5005,A88,Erfassung!$A$6:$A$5005,"&gt;="&amp;DATE(Einstellungen!$C$3,1,1),Erfassung!$A$6:$A$5005,"&lt;"&amp;DATE(Einstellungen!$C$3+1,1,1)))</f>
        <v/>
      </c>
      <c r="G88" s="54">
        <f>IF(B88="","",SUMIFS(Erfassung!$G$6:$G$5005,Erfassung!$B$6:$B$5005,A88,Erfassung!$D$6:$D$5005,Einstellungen!$C$4,Erfassung!$A$6:$A$5005,"&gt;="&amp;DATE(Einstellungen!$C$3,1,1),Erfassung!$A$6:$A$5005,"&lt;"&amp;DATE(Einstellungen!$C$3+1,1,1)))</f>
        <v/>
      </c>
      <c r="H88" s="54">
        <f>IF(B88="","",SUMIFS(Erfassung!$G$6:$G$5005,Erfassung!$B$6:$B$5005,A88,Erfassung!$D$6:$D$5005,Einstellungen!$C$5,Erfassung!$A$6:$A$5005,"&gt;="&amp;DATE(Einstellungen!$C$3,1,1),Erfassung!$A$6:$A$5005,"&lt;"&amp;DATE(Einstellungen!$C$3+1,1,1)))</f>
        <v/>
      </c>
      <c r="I88" s="34">
        <f>IF(B88="","",SUMIFS(Erfassung!$F$6:$F$5005,Erfassung!$B$6:$B$5005,A88,Erfassung!$A$6:$A$5005,"&gt;="&amp;DATE(Einstellungen!$C$3,1,1),Erfassung!$A$6:$A$5005,"&lt;"&amp;DATE(Einstellungen!$C$3+1,1,1)))</f>
        <v/>
      </c>
      <c r="J88" s="38">
        <f>IF(B88="","",IF(D88+F88&gt;0,F88/(D88+F88),""))</f>
        <v/>
      </c>
      <c r="K88" s="59">
        <f>IF(J88="","",RANK(J88,$J$6:$J$205,0))</f>
        <v/>
      </c>
      <c r="L88" s="29">
        <f>IF(J88="","",IF(J88&lt;=Einstellungen!$C$7,"unauffällig",IF(J88&lt;=Einstellungen!$C$8,"auffällig","kritisch")))</f>
        <v/>
      </c>
      <c r="M88" s="60">
        <f>IF(J88="",-1,J88+ROW()/1000000000)</f>
        <v/>
      </c>
    </row>
    <row r="89">
      <c r="A89" s="56">
        <f>IF(Mitarbeiter!B89="","",Mitarbeiter!A89)</f>
        <v/>
      </c>
      <c r="B89" s="57">
        <f>IF(Mitarbeiter!B89="","",Mitarbeiter!B89)</f>
        <v/>
      </c>
      <c r="C89" s="7">
        <f>IF(Mitarbeiter!B89="","",Mitarbeiter!G89)</f>
        <v/>
      </c>
      <c r="D89" s="54">
        <f>IF(B89="","",SUMIFS(Erfassung!$E$6:$E$5005,Erfassung!$B$6:$B$5005,A89,Erfassung!$A$6:$A$5005,"&gt;="&amp;DATE(Einstellungen!$C$3,1,1),Erfassung!$A$6:$A$5005,"&lt;"&amp;DATE(Einstellungen!$C$3+1,1,1)))</f>
        <v/>
      </c>
      <c r="E89" s="58">
        <f>IF(B89="","",IF(D89&gt;0,SUMIFS(Erfassung!$E$6:$E$5005,Erfassung!$B$6:$B$5005,A89,Erfassung!$D$6:$D$5005,Einstellungen!$C$4,Erfassung!$A$6:$A$5005,"&gt;="&amp;DATE(Einstellungen!$C$3,1,1),Erfassung!$A$6:$A$5005,"&lt;"&amp;DATE(Einstellungen!$C$3+1,1,1))/D89,""))</f>
        <v/>
      </c>
      <c r="F89" s="54">
        <f>IF(B89="","",SUMIFS(Erfassung!$G$6:$G$5005,Erfassung!$B$6:$B$5005,A89,Erfassung!$A$6:$A$5005,"&gt;="&amp;DATE(Einstellungen!$C$3,1,1),Erfassung!$A$6:$A$5005,"&lt;"&amp;DATE(Einstellungen!$C$3+1,1,1)))</f>
        <v/>
      </c>
      <c r="G89" s="54">
        <f>IF(B89="","",SUMIFS(Erfassung!$G$6:$G$5005,Erfassung!$B$6:$B$5005,A89,Erfassung!$D$6:$D$5005,Einstellungen!$C$4,Erfassung!$A$6:$A$5005,"&gt;="&amp;DATE(Einstellungen!$C$3,1,1),Erfassung!$A$6:$A$5005,"&lt;"&amp;DATE(Einstellungen!$C$3+1,1,1)))</f>
        <v/>
      </c>
      <c r="H89" s="54">
        <f>IF(B89="","",SUMIFS(Erfassung!$G$6:$G$5005,Erfassung!$B$6:$B$5005,A89,Erfassung!$D$6:$D$5005,Einstellungen!$C$5,Erfassung!$A$6:$A$5005,"&gt;="&amp;DATE(Einstellungen!$C$3,1,1),Erfassung!$A$6:$A$5005,"&lt;"&amp;DATE(Einstellungen!$C$3+1,1,1)))</f>
        <v/>
      </c>
      <c r="I89" s="34">
        <f>IF(B89="","",SUMIFS(Erfassung!$F$6:$F$5005,Erfassung!$B$6:$B$5005,A89,Erfassung!$A$6:$A$5005,"&gt;="&amp;DATE(Einstellungen!$C$3,1,1),Erfassung!$A$6:$A$5005,"&lt;"&amp;DATE(Einstellungen!$C$3+1,1,1)))</f>
        <v/>
      </c>
      <c r="J89" s="38">
        <f>IF(B89="","",IF(D89+F89&gt;0,F89/(D89+F89),""))</f>
        <v/>
      </c>
      <c r="K89" s="59">
        <f>IF(J89="","",RANK(J89,$J$6:$J$205,0))</f>
        <v/>
      </c>
      <c r="L89" s="29">
        <f>IF(J89="","",IF(J89&lt;=Einstellungen!$C$7,"unauffällig",IF(J89&lt;=Einstellungen!$C$8,"auffällig","kritisch")))</f>
        <v/>
      </c>
      <c r="M89" s="60">
        <f>IF(J89="",-1,J89+ROW()/1000000000)</f>
        <v/>
      </c>
    </row>
    <row r="90">
      <c r="A90" s="56">
        <f>IF(Mitarbeiter!B90="","",Mitarbeiter!A90)</f>
        <v/>
      </c>
      <c r="B90" s="57">
        <f>IF(Mitarbeiter!B90="","",Mitarbeiter!B90)</f>
        <v/>
      </c>
      <c r="C90" s="7">
        <f>IF(Mitarbeiter!B90="","",Mitarbeiter!G90)</f>
        <v/>
      </c>
      <c r="D90" s="54">
        <f>IF(B90="","",SUMIFS(Erfassung!$E$6:$E$5005,Erfassung!$B$6:$B$5005,A90,Erfassung!$A$6:$A$5005,"&gt;="&amp;DATE(Einstellungen!$C$3,1,1),Erfassung!$A$6:$A$5005,"&lt;"&amp;DATE(Einstellungen!$C$3+1,1,1)))</f>
        <v/>
      </c>
      <c r="E90" s="58">
        <f>IF(B90="","",IF(D90&gt;0,SUMIFS(Erfassung!$E$6:$E$5005,Erfassung!$B$6:$B$5005,A90,Erfassung!$D$6:$D$5005,Einstellungen!$C$4,Erfassung!$A$6:$A$5005,"&gt;="&amp;DATE(Einstellungen!$C$3,1,1),Erfassung!$A$6:$A$5005,"&lt;"&amp;DATE(Einstellungen!$C$3+1,1,1))/D90,""))</f>
        <v/>
      </c>
      <c r="F90" s="54">
        <f>IF(B90="","",SUMIFS(Erfassung!$G$6:$G$5005,Erfassung!$B$6:$B$5005,A90,Erfassung!$A$6:$A$5005,"&gt;="&amp;DATE(Einstellungen!$C$3,1,1),Erfassung!$A$6:$A$5005,"&lt;"&amp;DATE(Einstellungen!$C$3+1,1,1)))</f>
        <v/>
      </c>
      <c r="G90" s="54">
        <f>IF(B90="","",SUMIFS(Erfassung!$G$6:$G$5005,Erfassung!$B$6:$B$5005,A90,Erfassung!$D$6:$D$5005,Einstellungen!$C$4,Erfassung!$A$6:$A$5005,"&gt;="&amp;DATE(Einstellungen!$C$3,1,1),Erfassung!$A$6:$A$5005,"&lt;"&amp;DATE(Einstellungen!$C$3+1,1,1)))</f>
        <v/>
      </c>
      <c r="H90" s="54">
        <f>IF(B90="","",SUMIFS(Erfassung!$G$6:$G$5005,Erfassung!$B$6:$B$5005,A90,Erfassung!$D$6:$D$5005,Einstellungen!$C$5,Erfassung!$A$6:$A$5005,"&gt;="&amp;DATE(Einstellungen!$C$3,1,1),Erfassung!$A$6:$A$5005,"&lt;"&amp;DATE(Einstellungen!$C$3+1,1,1)))</f>
        <v/>
      </c>
      <c r="I90" s="34">
        <f>IF(B90="","",SUMIFS(Erfassung!$F$6:$F$5005,Erfassung!$B$6:$B$5005,A90,Erfassung!$A$6:$A$5005,"&gt;="&amp;DATE(Einstellungen!$C$3,1,1),Erfassung!$A$6:$A$5005,"&lt;"&amp;DATE(Einstellungen!$C$3+1,1,1)))</f>
        <v/>
      </c>
      <c r="J90" s="38">
        <f>IF(B90="","",IF(D90+F90&gt;0,F90/(D90+F90),""))</f>
        <v/>
      </c>
      <c r="K90" s="59">
        <f>IF(J90="","",RANK(J90,$J$6:$J$205,0))</f>
        <v/>
      </c>
      <c r="L90" s="29">
        <f>IF(J90="","",IF(J90&lt;=Einstellungen!$C$7,"unauffällig",IF(J90&lt;=Einstellungen!$C$8,"auffällig","kritisch")))</f>
        <v/>
      </c>
      <c r="M90" s="60">
        <f>IF(J90="",-1,J90+ROW()/1000000000)</f>
        <v/>
      </c>
    </row>
    <row r="91">
      <c r="A91" s="56">
        <f>IF(Mitarbeiter!B91="","",Mitarbeiter!A91)</f>
        <v/>
      </c>
      <c r="B91" s="57">
        <f>IF(Mitarbeiter!B91="","",Mitarbeiter!B91)</f>
        <v/>
      </c>
      <c r="C91" s="7">
        <f>IF(Mitarbeiter!B91="","",Mitarbeiter!G91)</f>
        <v/>
      </c>
      <c r="D91" s="54">
        <f>IF(B91="","",SUMIFS(Erfassung!$E$6:$E$5005,Erfassung!$B$6:$B$5005,A91,Erfassung!$A$6:$A$5005,"&gt;="&amp;DATE(Einstellungen!$C$3,1,1),Erfassung!$A$6:$A$5005,"&lt;"&amp;DATE(Einstellungen!$C$3+1,1,1)))</f>
        <v/>
      </c>
      <c r="E91" s="58">
        <f>IF(B91="","",IF(D91&gt;0,SUMIFS(Erfassung!$E$6:$E$5005,Erfassung!$B$6:$B$5005,A91,Erfassung!$D$6:$D$5005,Einstellungen!$C$4,Erfassung!$A$6:$A$5005,"&gt;="&amp;DATE(Einstellungen!$C$3,1,1),Erfassung!$A$6:$A$5005,"&lt;"&amp;DATE(Einstellungen!$C$3+1,1,1))/D91,""))</f>
        <v/>
      </c>
      <c r="F91" s="54">
        <f>IF(B91="","",SUMIFS(Erfassung!$G$6:$G$5005,Erfassung!$B$6:$B$5005,A91,Erfassung!$A$6:$A$5005,"&gt;="&amp;DATE(Einstellungen!$C$3,1,1),Erfassung!$A$6:$A$5005,"&lt;"&amp;DATE(Einstellungen!$C$3+1,1,1)))</f>
        <v/>
      </c>
      <c r="G91" s="54">
        <f>IF(B91="","",SUMIFS(Erfassung!$G$6:$G$5005,Erfassung!$B$6:$B$5005,A91,Erfassung!$D$6:$D$5005,Einstellungen!$C$4,Erfassung!$A$6:$A$5005,"&gt;="&amp;DATE(Einstellungen!$C$3,1,1),Erfassung!$A$6:$A$5005,"&lt;"&amp;DATE(Einstellungen!$C$3+1,1,1)))</f>
        <v/>
      </c>
      <c r="H91" s="54">
        <f>IF(B91="","",SUMIFS(Erfassung!$G$6:$G$5005,Erfassung!$B$6:$B$5005,A91,Erfassung!$D$6:$D$5005,Einstellungen!$C$5,Erfassung!$A$6:$A$5005,"&gt;="&amp;DATE(Einstellungen!$C$3,1,1),Erfassung!$A$6:$A$5005,"&lt;"&amp;DATE(Einstellungen!$C$3+1,1,1)))</f>
        <v/>
      </c>
      <c r="I91" s="34">
        <f>IF(B91="","",SUMIFS(Erfassung!$F$6:$F$5005,Erfassung!$B$6:$B$5005,A91,Erfassung!$A$6:$A$5005,"&gt;="&amp;DATE(Einstellungen!$C$3,1,1),Erfassung!$A$6:$A$5005,"&lt;"&amp;DATE(Einstellungen!$C$3+1,1,1)))</f>
        <v/>
      </c>
      <c r="J91" s="38">
        <f>IF(B91="","",IF(D91+F91&gt;0,F91/(D91+F91),""))</f>
        <v/>
      </c>
      <c r="K91" s="59">
        <f>IF(J91="","",RANK(J91,$J$6:$J$205,0))</f>
        <v/>
      </c>
      <c r="L91" s="29">
        <f>IF(J91="","",IF(J91&lt;=Einstellungen!$C$7,"unauffällig",IF(J91&lt;=Einstellungen!$C$8,"auffällig","kritisch")))</f>
        <v/>
      </c>
      <c r="M91" s="60">
        <f>IF(J91="",-1,J91+ROW()/1000000000)</f>
        <v/>
      </c>
    </row>
    <row r="92">
      <c r="A92" s="56">
        <f>IF(Mitarbeiter!B92="","",Mitarbeiter!A92)</f>
        <v/>
      </c>
      <c r="B92" s="57">
        <f>IF(Mitarbeiter!B92="","",Mitarbeiter!B92)</f>
        <v/>
      </c>
      <c r="C92" s="7">
        <f>IF(Mitarbeiter!B92="","",Mitarbeiter!G92)</f>
        <v/>
      </c>
      <c r="D92" s="54">
        <f>IF(B92="","",SUMIFS(Erfassung!$E$6:$E$5005,Erfassung!$B$6:$B$5005,A92,Erfassung!$A$6:$A$5005,"&gt;="&amp;DATE(Einstellungen!$C$3,1,1),Erfassung!$A$6:$A$5005,"&lt;"&amp;DATE(Einstellungen!$C$3+1,1,1)))</f>
        <v/>
      </c>
      <c r="E92" s="58">
        <f>IF(B92="","",IF(D92&gt;0,SUMIFS(Erfassung!$E$6:$E$5005,Erfassung!$B$6:$B$5005,A92,Erfassung!$D$6:$D$5005,Einstellungen!$C$4,Erfassung!$A$6:$A$5005,"&gt;="&amp;DATE(Einstellungen!$C$3,1,1),Erfassung!$A$6:$A$5005,"&lt;"&amp;DATE(Einstellungen!$C$3+1,1,1))/D92,""))</f>
        <v/>
      </c>
      <c r="F92" s="54">
        <f>IF(B92="","",SUMIFS(Erfassung!$G$6:$G$5005,Erfassung!$B$6:$B$5005,A92,Erfassung!$A$6:$A$5005,"&gt;="&amp;DATE(Einstellungen!$C$3,1,1),Erfassung!$A$6:$A$5005,"&lt;"&amp;DATE(Einstellungen!$C$3+1,1,1)))</f>
        <v/>
      </c>
      <c r="G92" s="54">
        <f>IF(B92="","",SUMIFS(Erfassung!$G$6:$G$5005,Erfassung!$B$6:$B$5005,A92,Erfassung!$D$6:$D$5005,Einstellungen!$C$4,Erfassung!$A$6:$A$5005,"&gt;="&amp;DATE(Einstellungen!$C$3,1,1),Erfassung!$A$6:$A$5005,"&lt;"&amp;DATE(Einstellungen!$C$3+1,1,1)))</f>
        <v/>
      </c>
      <c r="H92" s="54">
        <f>IF(B92="","",SUMIFS(Erfassung!$G$6:$G$5005,Erfassung!$B$6:$B$5005,A92,Erfassung!$D$6:$D$5005,Einstellungen!$C$5,Erfassung!$A$6:$A$5005,"&gt;="&amp;DATE(Einstellungen!$C$3,1,1),Erfassung!$A$6:$A$5005,"&lt;"&amp;DATE(Einstellungen!$C$3+1,1,1)))</f>
        <v/>
      </c>
      <c r="I92" s="34">
        <f>IF(B92="","",SUMIFS(Erfassung!$F$6:$F$5005,Erfassung!$B$6:$B$5005,A92,Erfassung!$A$6:$A$5005,"&gt;="&amp;DATE(Einstellungen!$C$3,1,1),Erfassung!$A$6:$A$5005,"&lt;"&amp;DATE(Einstellungen!$C$3+1,1,1)))</f>
        <v/>
      </c>
      <c r="J92" s="38">
        <f>IF(B92="","",IF(D92+F92&gt;0,F92/(D92+F92),""))</f>
        <v/>
      </c>
      <c r="K92" s="59">
        <f>IF(J92="","",RANK(J92,$J$6:$J$205,0))</f>
        <v/>
      </c>
      <c r="L92" s="29">
        <f>IF(J92="","",IF(J92&lt;=Einstellungen!$C$7,"unauffällig",IF(J92&lt;=Einstellungen!$C$8,"auffällig","kritisch")))</f>
        <v/>
      </c>
      <c r="M92" s="60">
        <f>IF(J92="",-1,J92+ROW()/1000000000)</f>
        <v/>
      </c>
    </row>
    <row r="93">
      <c r="A93" s="56">
        <f>IF(Mitarbeiter!B93="","",Mitarbeiter!A93)</f>
        <v/>
      </c>
      <c r="B93" s="57">
        <f>IF(Mitarbeiter!B93="","",Mitarbeiter!B93)</f>
        <v/>
      </c>
      <c r="C93" s="7">
        <f>IF(Mitarbeiter!B93="","",Mitarbeiter!G93)</f>
        <v/>
      </c>
      <c r="D93" s="54">
        <f>IF(B93="","",SUMIFS(Erfassung!$E$6:$E$5005,Erfassung!$B$6:$B$5005,A93,Erfassung!$A$6:$A$5005,"&gt;="&amp;DATE(Einstellungen!$C$3,1,1),Erfassung!$A$6:$A$5005,"&lt;"&amp;DATE(Einstellungen!$C$3+1,1,1)))</f>
        <v/>
      </c>
      <c r="E93" s="58">
        <f>IF(B93="","",IF(D93&gt;0,SUMIFS(Erfassung!$E$6:$E$5005,Erfassung!$B$6:$B$5005,A93,Erfassung!$D$6:$D$5005,Einstellungen!$C$4,Erfassung!$A$6:$A$5005,"&gt;="&amp;DATE(Einstellungen!$C$3,1,1),Erfassung!$A$6:$A$5005,"&lt;"&amp;DATE(Einstellungen!$C$3+1,1,1))/D93,""))</f>
        <v/>
      </c>
      <c r="F93" s="54">
        <f>IF(B93="","",SUMIFS(Erfassung!$G$6:$G$5005,Erfassung!$B$6:$B$5005,A93,Erfassung!$A$6:$A$5005,"&gt;="&amp;DATE(Einstellungen!$C$3,1,1),Erfassung!$A$6:$A$5005,"&lt;"&amp;DATE(Einstellungen!$C$3+1,1,1)))</f>
        <v/>
      </c>
      <c r="G93" s="54">
        <f>IF(B93="","",SUMIFS(Erfassung!$G$6:$G$5005,Erfassung!$B$6:$B$5005,A93,Erfassung!$D$6:$D$5005,Einstellungen!$C$4,Erfassung!$A$6:$A$5005,"&gt;="&amp;DATE(Einstellungen!$C$3,1,1),Erfassung!$A$6:$A$5005,"&lt;"&amp;DATE(Einstellungen!$C$3+1,1,1)))</f>
        <v/>
      </c>
      <c r="H93" s="54">
        <f>IF(B93="","",SUMIFS(Erfassung!$G$6:$G$5005,Erfassung!$B$6:$B$5005,A93,Erfassung!$D$6:$D$5005,Einstellungen!$C$5,Erfassung!$A$6:$A$5005,"&gt;="&amp;DATE(Einstellungen!$C$3,1,1),Erfassung!$A$6:$A$5005,"&lt;"&amp;DATE(Einstellungen!$C$3+1,1,1)))</f>
        <v/>
      </c>
      <c r="I93" s="34">
        <f>IF(B93="","",SUMIFS(Erfassung!$F$6:$F$5005,Erfassung!$B$6:$B$5005,A93,Erfassung!$A$6:$A$5005,"&gt;="&amp;DATE(Einstellungen!$C$3,1,1),Erfassung!$A$6:$A$5005,"&lt;"&amp;DATE(Einstellungen!$C$3+1,1,1)))</f>
        <v/>
      </c>
      <c r="J93" s="38">
        <f>IF(B93="","",IF(D93+F93&gt;0,F93/(D93+F93),""))</f>
        <v/>
      </c>
      <c r="K93" s="59">
        <f>IF(J93="","",RANK(J93,$J$6:$J$205,0))</f>
        <v/>
      </c>
      <c r="L93" s="29">
        <f>IF(J93="","",IF(J93&lt;=Einstellungen!$C$7,"unauffällig",IF(J93&lt;=Einstellungen!$C$8,"auffällig","kritisch")))</f>
        <v/>
      </c>
      <c r="M93" s="60">
        <f>IF(J93="",-1,J93+ROW()/1000000000)</f>
        <v/>
      </c>
    </row>
    <row r="94">
      <c r="A94" s="56">
        <f>IF(Mitarbeiter!B94="","",Mitarbeiter!A94)</f>
        <v/>
      </c>
      <c r="B94" s="57">
        <f>IF(Mitarbeiter!B94="","",Mitarbeiter!B94)</f>
        <v/>
      </c>
      <c r="C94" s="7">
        <f>IF(Mitarbeiter!B94="","",Mitarbeiter!G94)</f>
        <v/>
      </c>
      <c r="D94" s="54">
        <f>IF(B94="","",SUMIFS(Erfassung!$E$6:$E$5005,Erfassung!$B$6:$B$5005,A94,Erfassung!$A$6:$A$5005,"&gt;="&amp;DATE(Einstellungen!$C$3,1,1),Erfassung!$A$6:$A$5005,"&lt;"&amp;DATE(Einstellungen!$C$3+1,1,1)))</f>
        <v/>
      </c>
      <c r="E94" s="58">
        <f>IF(B94="","",IF(D94&gt;0,SUMIFS(Erfassung!$E$6:$E$5005,Erfassung!$B$6:$B$5005,A94,Erfassung!$D$6:$D$5005,Einstellungen!$C$4,Erfassung!$A$6:$A$5005,"&gt;="&amp;DATE(Einstellungen!$C$3,1,1),Erfassung!$A$6:$A$5005,"&lt;"&amp;DATE(Einstellungen!$C$3+1,1,1))/D94,""))</f>
        <v/>
      </c>
      <c r="F94" s="54">
        <f>IF(B94="","",SUMIFS(Erfassung!$G$6:$G$5005,Erfassung!$B$6:$B$5005,A94,Erfassung!$A$6:$A$5005,"&gt;="&amp;DATE(Einstellungen!$C$3,1,1),Erfassung!$A$6:$A$5005,"&lt;"&amp;DATE(Einstellungen!$C$3+1,1,1)))</f>
        <v/>
      </c>
      <c r="G94" s="54">
        <f>IF(B94="","",SUMIFS(Erfassung!$G$6:$G$5005,Erfassung!$B$6:$B$5005,A94,Erfassung!$D$6:$D$5005,Einstellungen!$C$4,Erfassung!$A$6:$A$5005,"&gt;="&amp;DATE(Einstellungen!$C$3,1,1),Erfassung!$A$6:$A$5005,"&lt;"&amp;DATE(Einstellungen!$C$3+1,1,1)))</f>
        <v/>
      </c>
      <c r="H94" s="54">
        <f>IF(B94="","",SUMIFS(Erfassung!$G$6:$G$5005,Erfassung!$B$6:$B$5005,A94,Erfassung!$D$6:$D$5005,Einstellungen!$C$5,Erfassung!$A$6:$A$5005,"&gt;="&amp;DATE(Einstellungen!$C$3,1,1),Erfassung!$A$6:$A$5005,"&lt;"&amp;DATE(Einstellungen!$C$3+1,1,1)))</f>
        <v/>
      </c>
      <c r="I94" s="34">
        <f>IF(B94="","",SUMIFS(Erfassung!$F$6:$F$5005,Erfassung!$B$6:$B$5005,A94,Erfassung!$A$6:$A$5005,"&gt;="&amp;DATE(Einstellungen!$C$3,1,1),Erfassung!$A$6:$A$5005,"&lt;"&amp;DATE(Einstellungen!$C$3+1,1,1)))</f>
        <v/>
      </c>
      <c r="J94" s="38">
        <f>IF(B94="","",IF(D94+F94&gt;0,F94/(D94+F94),""))</f>
        <v/>
      </c>
      <c r="K94" s="59">
        <f>IF(J94="","",RANK(J94,$J$6:$J$205,0))</f>
        <v/>
      </c>
      <c r="L94" s="29">
        <f>IF(J94="","",IF(J94&lt;=Einstellungen!$C$7,"unauffällig",IF(J94&lt;=Einstellungen!$C$8,"auffällig","kritisch")))</f>
        <v/>
      </c>
      <c r="M94" s="60">
        <f>IF(J94="",-1,J94+ROW()/1000000000)</f>
        <v/>
      </c>
    </row>
    <row r="95">
      <c r="A95" s="56">
        <f>IF(Mitarbeiter!B95="","",Mitarbeiter!A95)</f>
        <v/>
      </c>
      <c r="B95" s="57">
        <f>IF(Mitarbeiter!B95="","",Mitarbeiter!B95)</f>
        <v/>
      </c>
      <c r="C95" s="7">
        <f>IF(Mitarbeiter!B95="","",Mitarbeiter!G95)</f>
        <v/>
      </c>
      <c r="D95" s="54">
        <f>IF(B95="","",SUMIFS(Erfassung!$E$6:$E$5005,Erfassung!$B$6:$B$5005,A95,Erfassung!$A$6:$A$5005,"&gt;="&amp;DATE(Einstellungen!$C$3,1,1),Erfassung!$A$6:$A$5005,"&lt;"&amp;DATE(Einstellungen!$C$3+1,1,1)))</f>
        <v/>
      </c>
      <c r="E95" s="58">
        <f>IF(B95="","",IF(D95&gt;0,SUMIFS(Erfassung!$E$6:$E$5005,Erfassung!$B$6:$B$5005,A95,Erfassung!$D$6:$D$5005,Einstellungen!$C$4,Erfassung!$A$6:$A$5005,"&gt;="&amp;DATE(Einstellungen!$C$3,1,1),Erfassung!$A$6:$A$5005,"&lt;"&amp;DATE(Einstellungen!$C$3+1,1,1))/D95,""))</f>
        <v/>
      </c>
      <c r="F95" s="54">
        <f>IF(B95="","",SUMIFS(Erfassung!$G$6:$G$5005,Erfassung!$B$6:$B$5005,A95,Erfassung!$A$6:$A$5005,"&gt;="&amp;DATE(Einstellungen!$C$3,1,1),Erfassung!$A$6:$A$5005,"&lt;"&amp;DATE(Einstellungen!$C$3+1,1,1)))</f>
        <v/>
      </c>
      <c r="G95" s="54">
        <f>IF(B95="","",SUMIFS(Erfassung!$G$6:$G$5005,Erfassung!$B$6:$B$5005,A95,Erfassung!$D$6:$D$5005,Einstellungen!$C$4,Erfassung!$A$6:$A$5005,"&gt;="&amp;DATE(Einstellungen!$C$3,1,1),Erfassung!$A$6:$A$5005,"&lt;"&amp;DATE(Einstellungen!$C$3+1,1,1)))</f>
        <v/>
      </c>
      <c r="H95" s="54">
        <f>IF(B95="","",SUMIFS(Erfassung!$G$6:$G$5005,Erfassung!$B$6:$B$5005,A95,Erfassung!$D$6:$D$5005,Einstellungen!$C$5,Erfassung!$A$6:$A$5005,"&gt;="&amp;DATE(Einstellungen!$C$3,1,1),Erfassung!$A$6:$A$5005,"&lt;"&amp;DATE(Einstellungen!$C$3+1,1,1)))</f>
        <v/>
      </c>
      <c r="I95" s="34">
        <f>IF(B95="","",SUMIFS(Erfassung!$F$6:$F$5005,Erfassung!$B$6:$B$5005,A95,Erfassung!$A$6:$A$5005,"&gt;="&amp;DATE(Einstellungen!$C$3,1,1),Erfassung!$A$6:$A$5005,"&lt;"&amp;DATE(Einstellungen!$C$3+1,1,1)))</f>
        <v/>
      </c>
      <c r="J95" s="38">
        <f>IF(B95="","",IF(D95+F95&gt;0,F95/(D95+F95),""))</f>
        <v/>
      </c>
      <c r="K95" s="59">
        <f>IF(J95="","",RANK(J95,$J$6:$J$205,0))</f>
        <v/>
      </c>
      <c r="L95" s="29">
        <f>IF(J95="","",IF(J95&lt;=Einstellungen!$C$7,"unauffällig",IF(J95&lt;=Einstellungen!$C$8,"auffällig","kritisch")))</f>
        <v/>
      </c>
      <c r="M95" s="60">
        <f>IF(J95="",-1,J95+ROW()/1000000000)</f>
        <v/>
      </c>
    </row>
    <row r="96">
      <c r="A96" s="56">
        <f>IF(Mitarbeiter!B96="","",Mitarbeiter!A96)</f>
        <v/>
      </c>
      <c r="B96" s="57">
        <f>IF(Mitarbeiter!B96="","",Mitarbeiter!B96)</f>
        <v/>
      </c>
      <c r="C96" s="7">
        <f>IF(Mitarbeiter!B96="","",Mitarbeiter!G96)</f>
        <v/>
      </c>
      <c r="D96" s="54">
        <f>IF(B96="","",SUMIFS(Erfassung!$E$6:$E$5005,Erfassung!$B$6:$B$5005,A96,Erfassung!$A$6:$A$5005,"&gt;="&amp;DATE(Einstellungen!$C$3,1,1),Erfassung!$A$6:$A$5005,"&lt;"&amp;DATE(Einstellungen!$C$3+1,1,1)))</f>
        <v/>
      </c>
      <c r="E96" s="58">
        <f>IF(B96="","",IF(D96&gt;0,SUMIFS(Erfassung!$E$6:$E$5005,Erfassung!$B$6:$B$5005,A96,Erfassung!$D$6:$D$5005,Einstellungen!$C$4,Erfassung!$A$6:$A$5005,"&gt;="&amp;DATE(Einstellungen!$C$3,1,1),Erfassung!$A$6:$A$5005,"&lt;"&amp;DATE(Einstellungen!$C$3+1,1,1))/D96,""))</f>
        <v/>
      </c>
      <c r="F96" s="54">
        <f>IF(B96="","",SUMIFS(Erfassung!$G$6:$G$5005,Erfassung!$B$6:$B$5005,A96,Erfassung!$A$6:$A$5005,"&gt;="&amp;DATE(Einstellungen!$C$3,1,1),Erfassung!$A$6:$A$5005,"&lt;"&amp;DATE(Einstellungen!$C$3+1,1,1)))</f>
        <v/>
      </c>
      <c r="G96" s="54">
        <f>IF(B96="","",SUMIFS(Erfassung!$G$6:$G$5005,Erfassung!$B$6:$B$5005,A96,Erfassung!$D$6:$D$5005,Einstellungen!$C$4,Erfassung!$A$6:$A$5005,"&gt;="&amp;DATE(Einstellungen!$C$3,1,1),Erfassung!$A$6:$A$5005,"&lt;"&amp;DATE(Einstellungen!$C$3+1,1,1)))</f>
        <v/>
      </c>
      <c r="H96" s="54">
        <f>IF(B96="","",SUMIFS(Erfassung!$G$6:$G$5005,Erfassung!$B$6:$B$5005,A96,Erfassung!$D$6:$D$5005,Einstellungen!$C$5,Erfassung!$A$6:$A$5005,"&gt;="&amp;DATE(Einstellungen!$C$3,1,1),Erfassung!$A$6:$A$5005,"&lt;"&amp;DATE(Einstellungen!$C$3+1,1,1)))</f>
        <v/>
      </c>
      <c r="I96" s="34">
        <f>IF(B96="","",SUMIFS(Erfassung!$F$6:$F$5005,Erfassung!$B$6:$B$5005,A96,Erfassung!$A$6:$A$5005,"&gt;="&amp;DATE(Einstellungen!$C$3,1,1),Erfassung!$A$6:$A$5005,"&lt;"&amp;DATE(Einstellungen!$C$3+1,1,1)))</f>
        <v/>
      </c>
      <c r="J96" s="38">
        <f>IF(B96="","",IF(D96+F96&gt;0,F96/(D96+F96),""))</f>
        <v/>
      </c>
      <c r="K96" s="59">
        <f>IF(J96="","",RANK(J96,$J$6:$J$205,0))</f>
        <v/>
      </c>
      <c r="L96" s="29">
        <f>IF(J96="","",IF(J96&lt;=Einstellungen!$C$7,"unauffällig",IF(J96&lt;=Einstellungen!$C$8,"auffällig","kritisch")))</f>
        <v/>
      </c>
      <c r="M96" s="60">
        <f>IF(J96="",-1,J96+ROW()/1000000000)</f>
        <v/>
      </c>
    </row>
    <row r="97">
      <c r="A97" s="56">
        <f>IF(Mitarbeiter!B97="","",Mitarbeiter!A97)</f>
        <v/>
      </c>
      <c r="B97" s="57">
        <f>IF(Mitarbeiter!B97="","",Mitarbeiter!B97)</f>
        <v/>
      </c>
      <c r="C97" s="7">
        <f>IF(Mitarbeiter!B97="","",Mitarbeiter!G97)</f>
        <v/>
      </c>
      <c r="D97" s="54">
        <f>IF(B97="","",SUMIFS(Erfassung!$E$6:$E$5005,Erfassung!$B$6:$B$5005,A97,Erfassung!$A$6:$A$5005,"&gt;="&amp;DATE(Einstellungen!$C$3,1,1),Erfassung!$A$6:$A$5005,"&lt;"&amp;DATE(Einstellungen!$C$3+1,1,1)))</f>
        <v/>
      </c>
      <c r="E97" s="58">
        <f>IF(B97="","",IF(D97&gt;0,SUMIFS(Erfassung!$E$6:$E$5005,Erfassung!$B$6:$B$5005,A97,Erfassung!$D$6:$D$5005,Einstellungen!$C$4,Erfassung!$A$6:$A$5005,"&gt;="&amp;DATE(Einstellungen!$C$3,1,1),Erfassung!$A$6:$A$5005,"&lt;"&amp;DATE(Einstellungen!$C$3+1,1,1))/D97,""))</f>
        <v/>
      </c>
      <c r="F97" s="54">
        <f>IF(B97="","",SUMIFS(Erfassung!$G$6:$G$5005,Erfassung!$B$6:$B$5005,A97,Erfassung!$A$6:$A$5005,"&gt;="&amp;DATE(Einstellungen!$C$3,1,1),Erfassung!$A$6:$A$5005,"&lt;"&amp;DATE(Einstellungen!$C$3+1,1,1)))</f>
        <v/>
      </c>
      <c r="G97" s="54">
        <f>IF(B97="","",SUMIFS(Erfassung!$G$6:$G$5005,Erfassung!$B$6:$B$5005,A97,Erfassung!$D$6:$D$5005,Einstellungen!$C$4,Erfassung!$A$6:$A$5005,"&gt;="&amp;DATE(Einstellungen!$C$3,1,1),Erfassung!$A$6:$A$5005,"&lt;"&amp;DATE(Einstellungen!$C$3+1,1,1)))</f>
        <v/>
      </c>
      <c r="H97" s="54">
        <f>IF(B97="","",SUMIFS(Erfassung!$G$6:$G$5005,Erfassung!$B$6:$B$5005,A97,Erfassung!$D$6:$D$5005,Einstellungen!$C$5,Erfassung!$A$6:$A$5005,"&gt;="&amp;DATE(Einstellungen!$C$3,1,1),Erfassung!$A$6:$A$5005,"&lt;"&amp;DATE(Einstellungen!$C$3+1,1,1)))</f>
        <v/>
      </c>
      <c r="I97" s="34">
        <f>IF(B97="","",SUMIFS(Erfassung!$F$6:$F$5005,Erfassung!$B$6:$B$5005,A97,Erfassung!$A$6:$A$5005,"&gt;="&amp;DATE(Einstellungen!$C$3,1,1),Erfassung!$A$6:$A$5005,"&lt;"&amp;DATE(Einstellungen!$C$3+1,1,1)))</f>
        <v/>
      </c>
      <c r="J97" s="38">
        <f>IF(B97="","",IF(D97+F97&gt;0,F97/(D97+F97),""))</f>
        <v/>
      </c>
      <c r="K97" s="59">
        <f>IF(J97="","",RANK(J97,$J$6:$J$205,0))</f>
        <v/>
      </c>
      <c r="L97" s="29">
        <f>IF(J97="","",IF(J97&lt;=Einstellungen!$C$7,"unauffällig",IF(J97&lt;=Einstellungen!$C$8,"auffällig","kritisch")))</f>
        <v/>
      </c>
      <c r="M97" s="60">
        <f>IF(J97="",-1,J97+ROW()/1000000000)</f>
        <v/>
      </c>
    </row>
    <row r="98">
      <c r="A98" s="56">
        <f>IF(Mitarbeiter!B98="","",Mitarbeiter!A98)</f>
        <v/>
      </c>
      <c r="B98" s="57">
        <f>IF(Mitarbeiter!B98="","",Mitarbeiter!B98)</f>
        <v/>
      </c>
      <c r="C98" s="7">
        <f>IF(Mitarbeiter!B98="","",Mitarbeiter!G98)</f>
        <v/>
      </c>
      <c r="D98" s="54">
        <f>IF(B98="","",SUMIFS(Erfassung!$E$6:$E$5005,Erfassung!$B$6:$B$5005,A98,Erfassung!$A$6:$A$5005,"&gt;="&amp;DATE(Einstellungen!$C$3,1,1),Erfassung!$A$6:$A$5005,"&lt;"&amp;DATE(Einstellungen!$C$3+1,1,1)))</f>
        <v/>
      </c>
      <c r="E98" s="58">
        <f>IF(B98="","",IF(D98&gt;0,SUMIFS(Erfassung!$E$6:$E$5005,Erfassung!$B$6:$B$5005,A98,Erfassung!$D$6:$D$5005,Einstellungen!$C$4,Erfassung!$A$6:$A$5005,"&gt;="&amp;DATE(Einstellungen!$C$3,1,1),Erfassung!$A$6:$A$5005,"&lt;"&amp;DATE(Einstellungen!$C$3+1,1,1))/D98,""))</f>
        <v/>
      </c>
      <c r="F98" s="54">
        <f>IF(B98="","",SUMIFS(Erfassung!$G$6:$G$5005,Erfassung!$B$6:$B$5005,A98,Erfassung!$A$6:$A$5005,"&gt;="&amp;DATE(Einstellungen!$C$3,1,1),Erfassung!$A$6:$A$5005,"&lt;"&amp;DATE(Einstellungen!$C$3+1,1,1)))</f>
        <v/>
      </c>
      <c r="G98" s="54">
        <f>IF(B98="","",SUMIFS(Erfassung!$G$6:$G$5005,Erfassung!$B$6:$B$5005,A98,Erfassung!$D$6:$D$5005,Einstellungen!$C$4,Erfassung!$A$6:$A$5005,"&gt;="&amp;DATE(Einstellungen!$C$3,1,1),Erfassung!$A$6:$A$5005,"&lt;"&amp;DATE(Einstellungen!$C$3+1,1,1)))</f>
        <v/>
      </c>
      <c r="H98" s="54">
        <f>IF(B98="","",SUMIFS(Erfassung!$G$6:$G$5005,Erfassung!$B$6:$B$5005,A98,Erfassung!$D$6:$D$5005,Einstellungen!$C$5,Erfassung!$A$6:$A$5005,"&gt;="&amp;DATE(Einstellungen!$C$3,1,1),Erfassung!$A$6:$A$5005,"&lt;"&amp;DATE(Einstellungen!$C$3+1,1,1)))</f>
        <v/>
      </c>
      <c r="I98" s="34">
        <f>IF(B98="","",SUMIFS(Erfassung!$F$6:$F$5005,Erfassung!$B$6:$B$5005,A98,Erfassung!$A$6:$A$5005,"&gt;="&amp;DATE(Einstellungen!$C$3,1,1),Erfassung!$A$6:$A$5005,"&lt;"&amp;DATE(Einstellungen!$C$3+1,1,1)))</f>
        <v/>
      </c>
      <c r="J98" s="38">
        <f>IF(B98="","",IF(D98+F98&gt;0,F98/(D98+F98),""))</f>
        <v/>
      </c>
      <c r="K98" s="59">
        <f>IF(J98="","",RANK(J98,$J$6:$J$205,0))</f>
        <v/>
      </c>
      <c r="L98" s="29">
        <f>IF(J98="","",IF(J98&lt;=Einstellungen!$C$7,"unauffällig",IF(J98&lt;=Einstellungen!$C$8,"auffällig","kritisch")))</f>
        <v/>
      </c>
      <c r="M98" s="60">
        <f>IF(J98="",-1,J98+ROW()/1000000000)</f>
        <v/>
      </c>
    </row>
    <row r="99">
      <c r="A99" s="56">
        <f>IF(Mitarbeiter!B99="","",Mitarbeiter!A99)</f>
        <v/>
      </c>
      <c r="B99" s="57">
        <f>IF(Mitarbeiter!B99="","",Mitarbeiter!B99)</f>
        <v/>
      </c>
      <c r="C99" s="7">
        <f>IF(Mitarbeiter!B99="","",Mitarbeiter!G99)</f>
        <v/>
      </c>
      <c r="D99" s="54">
        <f>IF(B99="","",SUMIFS(Erfassung!$E$6:$E$5005,Erfassung!$B$6:$B$5005,A99,Erfassung!$A$6:$A$5005,"&gt;="&amp;DATE(Einstellungen!$C$3,1,1),Erfassung!$A$6:$A$5005,"&lt;"&amp;DATE(Einstellungen!$C$3+1,1,1)))</f>
        <v/>
      </c>
      <c r="E99" s="58">
        <f>IF(B99="","",IF(D99&gt;0,SUMIFS(Erfassung!$E$6:$E$5005,Erfassung!$B$6:$B$5005,A99,Erfassung!$D$6:$D$5005,Einstellungen!$C$4,Erfassung!$A$6:$A$5005,"&gt;="&amp;DATE(Einstellungen!$C$3,1,1),Erfassung!$A$6:$A$5005,"&lt;"&amp;DATE(Einstellungen!$C$3+1,1,1))/D99,""))</f>
        <v/>
      </c>
      <c r="F99" s="54">
        <f>IF(B99="","",SUMIFS(Erfassung!$G$6:$G$5005,Erfassung!$B$6:$B$5005,A99,Erfassung!$A$6:$A$5005,"&gt;="&amp;DATE(Einstellungen!$C$3,1,1),Erfassung!$A$6:$A$5005,"&lt;"&amp;DATE(Einstellungen!$C$3+1,1,1)))</f>
        <v/>
      </c>
      <c r="G99" s="54">
        <f>IF(B99="","",SUMIFS(Erfassung!$G$6:$G$5005,Erfassung!$B$6:$B$5005,A99,Erfassung!$D$6:$D$5005,Einstellungen!$C$4,Erfassung!$A$6:$A$5005,"&gt;="&amp;DATE(Einstellungen!$C$3,1,1),Erfassung!$A$6:$A$5005,"&lt;"&amp;DATE(Einstellungen!$C$3+1,1,1)))</f>
        <v/>
      </c>
      <c r="H99" s="54">
        <f>IF(B99="","",SUMIFS(Erfassung!$G$6:$G$5005,Erfassung!$B$6:$B$5005,A99,Erfassung!$D$6:$D$5005,Einstellungen!$C$5,Erfassung!$A$6:$A$5005,"&gt;="&amp;DATE(Einstellungen!$C$3,1,1),Erfassung!$A$6:$A$5005,"&lt;"&amp;DATE(Einstellungen!$C$3+1,1,1)))</f>
        <v/>
      </c>
      <c r="I99" s="34">
        <f>IF(B99="","",SUMIFS(Erfassung!$F$6:$F$5005,Erfassung!$B$6:$B$5005,A99,Erfassung!$A$6:$A$5005,"&gt;="&amp;DATE(Einstellungen!$C$3,1,1),Erfassung!$A$6:$A$5005,"&lt;"&amp;DATE(Einstellungen!$C$3+1,1,1)))</f>
        <v/>
      </c>
      <c r="J99" s="38">
        <f>IF(B99="","",IF(D99+F99&gt;0,F99/(D99+F99),""))</f>
        <v/>
      </c>
      <c r="K99" s="59">
        <f>IF(J99="","",RANK(J99,$J$6:$J$205,0))</f>
        <v/>
      </c>
      <c r="L99" s="29">
        <f>IF(J99="","",IF(J99&lt;=Einstellungen!$C$7,"unauffällig",IF(J99&lt;=Einstellungen!$C$8,"auffällig","kritisch")))</f>
        <v/>
      </c>
      <c r="M99" s="60">
        <f>IF(J99="",-1,J99+ROW()/1000000000)</f>
        <v/>
      </c>
    </row>
    <row r="100">
      <c r="A100" s="56">
        <f>IF(Mitarbeiter!B100="","",Mitarbeiter!A100)</f>
        <v/>
      </c>
      <c r="B100" s="57">
        <f>IF(Mitarbeiter!B100="","",Mitarbeiter!B100)</f>
        <v/>
      </c>
      <c r="C100" s="7">
        <f>IF(Mitarbeiter!B100="","",Mitarbeiter!G100)</f>
        <v/>
      </c>
      <c r="D100" s="54">
        <f>IF(B100="","",SUMIFS(Erfassung!$E$6:$E$5005,Erfassung!$B$6:$B$5005,A100,Erfassung!$A$6:$A$5005,"&gt;="&amp;DATE(Einstellungen!$C$3,1,1),Erfassung!$A$6:$A$5005,"&lt;"&amp;DATE(Einstellungen!$C$3+1,1,1)))</f>
        <v/>
      </c>
      <c r="E100" s="58">
        <f>IF(B100="","",IF(D100&gt;0,SUMIFS(Erfassung!$E$6:$E$5005,Erfassung!$B$6:$B$5005,A100,Erfassung!$D$6:$D$5005,Einstellungen!$C$4,Erfassung!$A$6:$A$5005,"&gt;="&amp;DATE(Einstellungen!$C$3,1,1),Erfassung!$A$6:$A$5005,"&lt;"&amp;DATE(Einstellungen!$C$3+1,1,1))/D100,""))</f>
        <v/>
      </c>
      <c r="F100" s="54">
        <f>IF(B100="","",SUMIFS(Erfassung!$G$6:$G$5005,Erfassung!$B$6:$B$5005,A100,Erfassung!$A$6:$A$5005,"&gt;="&amp;DATE(Einstellungen!$C$3,1,1),Erfassung!$A$6:$A$5005,"&lt;"&amp;DATE(Einstellungen!$C$3+1,1,1)))</f>
        <v/>
      </c>
      <c r="G100" s="54">
        <f>IF(B100="","",SUMIFS(Erfassung!$G$6:$G$5005,Erfassung!$B$6:$B$5005,A100,Erfassung!$D$6:$D$5005,Einstellungen!$C$4,Erfassung!$A$6:$A$5005,"&gt;="&amp;DATE(Einstellungen!$C$3,1,1),Erfassung!$A$6:$A$5005,"&lt;"&amp;DATE(Einstellungen!$C$3+1,1,1)))</f>
        <v/>
      </c>
      <c r="H100" s="54">
        <f>IF(B100="","",SUMIFS(Erfassung!$G$6:$G$5005,Erfassung!$B$6:$B$5005,A100,Erfassung!$D$6:$D$5005,Einstellungen!$C$5,Erfassung!$A$6:$A$5005,"&gt;="&amp;DATE(Einstellungen!$C$3,1,1),Erfassung!$A$6:$A$5005,"&lt;"&amp;DATE(Einstellungen!$C$3+1,1,1)))</f>
        <v/>
      </c>
      <c r="I100" s="34">
        <f>IF(B100="","",SUMIFS(Erfassung!$F$6:$F$5005,Erfassung!$B$6:$B$5005,A100,Erfassung!$A$6:$A$5005,"&gt;="&amp;DATE(Einstellungen!$C$3,1,1),Erfassung!$A$6:$A$5005,"&lt;"&amp;DATE(Einstellungen!$C$3+1,1,1)))</f>
        <v/>
      </c>
      <c r="J100" s="38">
        <f>IF(B100="","",IF(D100+F100&gt;0,F100/(D100+F100),""))</f>
        <v/>
      </c>
      <c r="K100" s="59">
        <f>IF(J100="","",RANK(J100,$J$6:$J$205,0))</f>
        <v/>
      </c>
      <c r="L100" s="29">
        <f>IF(J100="","",IF(J100&lt;=Einstellungen!$C$7,"unauffällig",IF(J100&lt;=Einstellungen!$C$8,"auffällig","kritisch")))</f>
        <v/>
      </c>
      <c r="M100" s="60">
        <f>IF(J100="",-1,J100+ROW()/1000000000)</f>
        <v/>
      </c>
    </row>
    <row r="101">
      <c r="A101" s="56">
        <f>IF(Mitarbeiter!B101="","",Mitarbeiter!A101)</f>
        <v/>
      </c>
      <c r="B101" s="57">
        <f>IF(Mitarbeiter!B101="","",Mitarbeiter!B101)</f>
        <v/>
      </c>
      <c r="C101" s="7">
        <f>IF(Mitarbeiter!B101="","",Mitarbeiter!G101)</f>
        <v/>
      </c>
      <c r="D101" s="54">
        <f>IF(B101="","",SUMIFS(Erfassung!$E$6:$E$5005,Erfassung!$B$6:$B$5005,A101,Erfassung!$A$6:$A$5005,"&gt;="&amp;DATE(Einstellungen!$C$3,1,1),Erfassung!$A$6:$A$5005,"&lt;"&amp;DATE(Einstellungen!$C$3+1,1,1)))</f>
        <v/>
      </c>
      <c r="E101" s="58">
        <f>IF(B101="","",IF(D101&gt;0,SUMIFS(Erfassung!$E$6:$E$5005,Erfassung!$B$6:$B$5005,A101,Erfassung!$D$6:$D$5005,Einstellungen!$C$4,Erfassung!$A$6:$A$5005,"&gt;="&amp;DATE(Einstellungen!$C$3,1,1),Erfassung!$A$6:$A$5005,"&lt;"&amp;DATE(Einstellungen!$C$3+1,1,1))/D101,""))</f>
        <v/>
      </c>
      <c r="F101" s="54">
        <f>IF(B101="","",SUMIFS(Erfassung!$G$6:$G$5005,Erfassung!$B$6:$B$5005,A101,Erfassung!$A$6:$A$5005,"&gt;="&amp;DATE(Einstellungen!$C$3,1,1),Erfassung!$A$6:$A$5005,"&lt;"&amp;DATE(Einstellungen!$C$3+1,1,1)))</f>
        <v/>
      </c>
      <c r="G101" s="54">
        <f>IF(B101="","",SUMIFS(Erfassung!$G$6:$G$5005,Erfassung!$B$6:$B$5005,A101,Erfassung!$D$6:$D$5005,Einstellungen!$C$4,Erfassung!$A$6:$A$5005,"&gt;="&amp;DATE(Einstellungen!$C$3,1,1),Erfassung!$A$6:$A$5005,"&lt;"&amp;DATE(Einstellungen!$C$3+1,1,1)))</f>
        <v/>
      </c>
      <c r="H101" s="54">
        <f>IF(B101="","",SUMIFS(Erfassung!$G$6:$G$5005,Erfassung!$B$6:$B$5005,A101,Erfassung!$D$6:$D$5005,Einstellungen!$C$5,Erfassung!$A$6:$A$5005,"&gt;="&amp;DATE(Einstellungen!$C$3,1,1),Erfassung!$A$6:$A$5005,"&lt;"&amp;DATE(Einstellungen!$C$3+1,1,1)))</f>
        <v/>
      </c>
      <c r="I101" s="34">
        <f>IF(B101="","",SUMIFS(Erfassung!$F$6:$F$5005,Erfassung!$B$6:$B$5005,A101,Erfassung!$A$6:$A$5005,"&gt;="&amp;DATE(Einstellungen!$C$3,1,1),Erfassung!$A$6:$A$5005,"&lt;"&amp;DATE(Einstellungen!$C$3+1,1,1)))</f>
        <v/>
      </c>
      <c r="J101" s="38">
        <f>IF(B101="","",IF(D101+F101&gt;0,F101/(D101+F101),""))</f>
        <v/>
      </c>
      <c r="K101" s="59">
        <f>IF(J101="","",RANK(J101,$J$6:$J$205,0))</f>
        <v/>
      </c>
      <c r="L101" s="29">
        <f>IF(J101="","",IF(J101&lt;=Einstellungen!$C$7,"unauffällig",IF(J101&lt;=Einstellungen!$C$8,"auffällig","kritisch")))</f>
        <v/>
      </c>
      <c r="M101" s="60">
        <f>IF(J101="",-1,J101+ROW()/1000000000)</f>
        <v/>
      </c>
    </row>
    <row r="102">
      <c r="A102" s="56">
        <f>IF(Mitarbeiter!B102="","",Mitarbeiter!A102)</f>
        <v/>
      </c>
      <c r="B102" s="57">
        <f>IF(Mitarbeiter!B102="","",Mitarbeiter!B102)</f>
        <v/>
      </c>
      <c r="C102" s="7">
        <f>IF(Mitarbeiter!B102="","",Mitarbeiter!G102)</f>
        <v/>
      </c>
      <c r="D102" s="54">
        <f>IF(B102="","",SUMIFS(Erfassung!$E$6:$E$5005,Erfassung!$B$6:$B$5005,A102,Erfassung!$A$6:$A$5005,"&gt;="&amp;DATE(Einstellungen!$C$3,1,1),Erfassung!$A$6:$A$5005,"&lt;"&amp;DATE(Einstellungen!$C$3+1,1,1)))</f>
        <v/>
      </c>
      <c r="E102" s="58">
        <f>IF(B102="","",IF(D102&gt;0,SUMIFS(Erfassung!$E$6:$E$5005,Erfassung!$B$6:$B$5005,A102,Erfassung!$D$6:$D$5005,Einstellungen!$C$4,Erfassung!$A$6:$A$5005,"&gt;="&amp;DATE(Einstellungen!$C$3,1,1),Erfassung!$A$6:$A$5005,"&lt;"&amp;DATE(Einstellungen!$C$3+1,1,1))/D102,""))</f>
        <v/>
      </c>
      <c r="F102" s="54">
        <f>IF(B102="","",SUMIFS(Erfassung!$G$6:$G$5005,Erfassung!$B$6:$B$5005,A102,Erfassung!$A$6:$A$5005,"&gt;="&amp;DATE(Einstellungen!$C$3,1,1),Erfassung!$A$6:$A$5005,"&lt;"&amp;DATE(Einstellungen!$C$3+1,1,1)))</f>
        <v/>
      </c>
      <c r="G102" s="54">
        <f>IF(B102="","",SUMIFS(Erfassung!$G$6:$G$5005,Erfassung!$B$6:$B$5005,A102,Erfassung!$D$6:$D$5005,Einstellungen!$C$4,Erfassung!$A$6:$A$5005,"&gt;="&amp;DATE(Einstellungen!$C$3,1,1),Erfassung!$A$6:$A$5005,"&lt;"&amp;DATE(Einstellungen!$C$3+1,1,1)))</f>
        <v/>
      </c>
      <c r="H102" s="54">
        <f>IF(B102="","",SUMIFS(Erfassung!$G$6:$G$5005,Erfassung!$B$6:$B$5005,A102,Erfassung!$D$6:$D$5005,Einstellungen!$C$5,Erfassung!$A$6:$A$5005,"&gt;="&amp;DATE(Einstellungen!$C$3,1,1),Erfassung!$A$6:$A$5005,"&lt;"&amp;DATE(Einstellungen!$C$3+1,1,1)))</f>
        <v/>
      </c>
      <c r="I102" s="34">
        <f>IF(B102="","",SUMIFS(Erfassung!$F$6:$F$5005,Erfassung!$B$6:$B$5005,A102,Erfassung!$A$6:$A$5005,"&gt;="&amp;DATE(Einstellungen!$C$3,1,1),Erfassung!$A$6:$A$5005,"&lt;"&amp;DATE(Einstellungen!$C$3+1,1,1)))</f>
        <v/>
      </c>
      <c r="J102" s="38">
        <f>IF(B102="","",IF(D102+F102&gt;0,F102/(D102+F102),""))</f>
        <v/>
      </c>
      <c r="K102" s="59">
        <f>IF(J102="","",RANK(J102,$J$6:$J$205,0))</f>
        <v/>
      </c>
      <c r="L102" s="29">
        <f>IF(J102="","",IF(J102&lt;=Einstellungen!$C$7,"unauffällig",IF(J102&lt;=Einstellungen!$C$8,"auffällig","kritisch")))</f>
        <v/>
      </c>
      <c r="M102" s="60">
        <f>IF(J102="",-1,J102+ROW()/1000000000)</f>
        <v/>
      </c>
    </row>
    <row r="103">
      <c r="A103" s="56">
        <f>IF(Mitarbeiter!B103="","",Mitarbeiter!A103)</f>
        <v/>
      </c>
      <c r="B103" s="57">
        <f>IF(Mitarbeiter!B103="","",Mitarbeiter!B103)</f>
        <v/>
      </c>
      <c r="C103" s="7">
        <f>IF(Mitarbeiter!B103="","",Mitarbeiter!G103)</f>
        <v/>
      </c>
      <c r="D103" s="54">
        <f>IF(B103="","",SUMIFS(Erfassung!$E$6:$E$5005,Erfassung!$B$6:$B$5005,A103,Erfassung!$A$6:$A$5005,"&gt;="&amp;DATE(Einstellungen!$C$3,1,1),Erfassung!$A$6:$A$5005,"&lt;"&amp;DATE(Einstellungen!$C$3+1,1,1)))</f>
        <v/>
      </c>
      <c r="E103" s="58">
        <f>IF(B103="","",IF(D103&gt;0,SUMIFS(Erfassung!$E$6:$E$5005,Erfassung!$B$6:$B$5005,A103,Erfassung!$D$6:$D$5005,Einstellungen!$C$4,Erfassung!$A$6:$A$5005,"&gt;="&amp;DATE(Einstellungen!$C$3,1,1),Erfassung!$A$6:$A$5005,"&lt;"&amp;DATE(Einstellungen!$C$3+1,1,1))/D103,""))</f>
        <v/>
      </c>
      <c r="F103" s="54">
        <f>IF(B103="","",SUMIFS(Erfassung!$G$6:$G$5005,Erfassung!$B$6:$B$5005,A103,Erfassung!$A$6:$A$5005,"&gt;="&amp;DATE(Einstellungen!$C$3,1,1),Erfassung!$A$6:$A$5005,"&lt;"&amp;DATE(Einstellungen!$C$3+1,1,1)))</f>
        <v/>
      </c>
      <c r="G103" s="54">
        <f>IF(B103="","",SUMIFS(Erfassung!$G$6:$G$5005,Erfassung!$B$6:$B$5005,A103,Erfassung!$D$6:$D$5005,Einstellungen!$C$4,Erfassung!$A$6:$A$5005,"&gt;="&amp;DATE(Einstellungen!$C$3,1,1),Erfassung!$A$6:$A$5005,"&lt;"&amp;DATE(Einstellungen!$C$3+1,1,1)))</f>
        <v/>
      </c>
      <c r="H103" s="54">
        <f>IF(B103="","",SUMIFS(Erfassung!$G$6:$G$5005,Erfassung!$B$6:$B$5005,A103,Erfassung!$D$6:$D$5005,Einstellungen!$C$5,Erfassung!$A$6:$A$5005,"&gt;="&amp;DATE(Einstellungen!$C$3,1,1),Erfassung!$A$6:$A$5005,"&lt;"&amp;DATE(Einstellungen!$C$3+1,1,1)))</f>
        <v/>
      </c>
      <c r="I103" s="34">
        <f>IF(B103="","",SUMIFS(Erfassung!$F$6:$F$5005,Erfassung!$B$6:$B$5005,A103,Erfassung!$A$6:$A$5005,"&gt;="&amp;DATE(Einstellungen!$C$3,1,1),Erfassung!$A$6:$A$5005,"&lt;"&amp;DATE(Einstellungen!$C$3+1,1,1)))</f>
        <v/>
      </c>
      <c r="J103" s="38">
        <f>IF(B103="","",IF(D103+F103&gt;0,F103/(D103+F103),""))</f>
        <v/>
      </c>
      <c r="K103" s="59">
        <f>IF(J103="","",RANK(J103,$J$6:$J$205,0))</f>
        <v/>
      </c>
      <c r="L103" s="29">
        <f>IF(J103="","",IF(J103&lt;=Einstellungen!$C$7,"unauffällig",IF(J103&lt;=Einstellungen!$C$8,"auffällig","kritisch")))</f>
        <v/>
      </c>
      <c r="M103" s="60">
        <f>IF(J103="",-1,J103+ROW()/1000000000)</f>
        <v/>
      </c>
    </row>
    <row r="104">
      <c r="A104" s="56">
        <f>IF(Mitarbeiter!B104="","",Mitarbeiter!A104)</f>
        <v/>
      </c>
      <c r="B104" s="57">
        <f>IF(Mitarbeiter!B104="","",Mitarbeiter!B104)</f>
        <v/>
      </c>
      <c r="C104" s="7">
        <f>IF(Mitarbeiter!B104="","",Mitarbeiter!G104)</f>
        <v/>
      </c>
      <c r="D104" s="54">
        <f>IF(B104="","",SUMIFS(Erfassung!$E$6:$E$5005,Erfassung!$B$6:$B$5005,A104,Erfassung!$A$6:$A$5005,"&gt;="&amp;DATE(Einstellungen!$C$3,1,1),Erfassung!$A$6:$A$5005,"&lt;"&amp;DATE(Einstellungen!$C$3+1,1,1)))</f>
        <v/>
      </c>
      <c r="E104" s="58">
        <f>IF(B104="","",IF(D104&gt;0,SUMIFS(Erfassung!$E$6:$E$5005,Erfassung!$B$6:$B$5005,A104,Erfassung!$D$6:$D$5005,Einstellungen!$C$4,Erfassung!$A$6:$A$5005,"&gt;="&amp;DATE(Einstellungen!$C$3,1,1),Erfassung!$A$6:$A$5005,"&lt;"&amp;DATE(Einstellungen!$C$3+1,1,1))/D104,""))</f>
        <v/>
      </c>
      <c r="F104" s="54">
        <f>IF(B104="","",SUMIFS(Erfassung!$G$6:$G$5005,Erfassung!$B$6:$B$5005,A104,Erfassung!$A$6:$A$5005,"&gt;="&amp;DATE(Einstellungen!$C$3,1,1),Erfassung!$A$6:$A$5005,"&lt;"&amp;DATE(Einstellungen!$C$3+1,1,1)))</f>
        <v/>
      </c>
      <c r="G104" s="54">
        <f>IF(B104="","",SUMIFS(Erfassung!$G$6:$G$5005,Erfassung!$B$6:$B$5005,A104,Erfassung!$D$6:$D$5005,Einstellungen!$C$4,Erfassung!$A$6:$A$5005,"&gt;="&amp;DATE(Einstellungen!$C$3,1,1),Erfassung!$A$6:$A$5005,"&lt;"&amp;DATE(Einstellungen!$C$3+1,1,1)))</f>
        <v/>
      </c>
      <c r="H104" s="54">
        <f>IF(B104="","",SUMIFS(Erfassung!$G$6:$G$5005,Erfassung!$B$6:$B$5005,A104,Erfassung!$D$6:$D$5005,Einstellungen!$C$5,Erfassung!$A$6:$A$5005,"&gt;="&amp;DATE(Einstellungen!$C$3,1,1),Erfassung!$A$6:$A$5005,"&lt;"&amp;DATE(Einstellungen!$C$3+1,1,1)))</f>
        <v/>
      </c>
      <c r="I104" s="34">
        <f>IF(B104="","",SUMIFS(Erfassung!$F$6:$F$5005,Erfassung!$B$6:$B$5005,A104,Erfassung!$A$6:$A$5005,"&gt;="&amp;DATE(Einstellungen!$C$3,1,1),Erfassung!$A$6:$A$5005,"&lt;"&amp;DATE(Einstellungen!$C$3+1,1,1)))</f>
        <v/>
      </c>
      <c r="J104" s="38">
        <f>IF(B104="","",IF(D104+F104&gt;0,F104/(D104+F104),""))</f>
        <v/>
      </c>
      <c r="K104" s="59">
        <f>IF(J104="","",RANK(J104,$J$6:$J$205,0))</f>
        <v/>
      </c>
      <c r="L104" s="29">
        <f>IF(J104="","",IF(J104&lt;=Einstellungen!$C$7,"unauffällig",IF(J104&lt;=Einstellungen!$C$8,"auffällig","kritisch")))</f>
        <v/>
      </c>
      <c r="M104" s="60">
        <f>IF(J104="",-1,J104+ROW()/1000000000)</f>
        <v/>
      </c>
    </row>
    <row r="105">
      <c r="A105" s="56">
        <f>IF(Mitarbeiter!B105="","",Mitarbeiter!A105)</f>
        <v/>
      </c>
      <c r="B105" s="57">
        <f>IF(Mitarbeiter!B105="","",Mitarbeiter!B105)</f>
        <v/>
      </c>
      <c r="C105" s="7">
        <f>IF(Mitarbeiter!B105="","",Mitarbeiter!G105)</f>
        <v/>
      </c>
      <c r="D105" s="54">
        <f>IF(B105="","",SUMIFS(Erfassung!$E$6:$E$5005,Erfassung!$B$6:$B$5005,A105,Erfassung!$A$6:$A$5005,"&gt;="&amp;DATE(Einstellungen!$C$3,1,1),Erfassung!$A$6:$A$5005,"&lt;"&amp;DATE(Einstellungen!$C$3+1,1,1)))</f>
        <v/>
      </c>
      <c r="E105" s="58">
        <f>IF(B105="","",IF(D105&gt;0,SUMIFS(Erfassung!$E$6:$E$5005,Erfassung!$B$6:$B$5005,A105,Erfassung!$D$6:$D$5005,Einstellungen!$C$4,Erfassung!$A$6:$A$5005,"&gt;="&amp;DATE(Einstellungen!$C$3,1,1),Erfassung!$A$6:$A$5005,"&lt;"&amp;DATE(Einstellungen!$C$3+1,1,1))/D105,""))</f>
        <v/>
      </c>
      <c r="F105" s="54">
        <f>IF(B105="","",SUMIFS(Erfassung!$G$6:$G$5005,Erfassung!$B$6:$B$5005,A105,Erfassung!$A$6:$A$5005,"&gt;="&amp;DATE(Einstellungen!$C$3,1,1),Erfassung!$A$6:$A$5005,"&lt;"&amp;DATE(Einstellungen!$C$3+1,1,1)))</f>
        <v/>
      </c>
      <c r="G105" s="54">
        <f>IF(B105="","",SUMIFS(Erfassung!$G$6:$G$5005,Erfassung!$B$6:$B$5005,A105,Erfassung!$D$6:$D$5005,Einstellungen!$C$4,Erfassung!$A$6:$A$5005,"&gt;="&amp;DATE(Einstellungen!$C$3,1,1),Erfassung!$A$6:$A$5005,"&lt;"&amp;DATE(Einstellungen!$C$3+1,1,1)))</f>
        <v/>
      </c>
      <c r="H105" s="54">
        <f>IF(B105="","",SUMIFS(Erfassung!$G$6:$G$5005,Erfassung!$B$6:$B$5005,A105,Erfassung!$D$6:$D$5005,Einstellungen!$C$5,Erfassung!$A$6:$A$5005,"&gt;="&amp;DATE(Einstellungen!$C$3,1,1),Erfassung!$A$6:$A$5005,"&lt;"&amp;DATE(Einstellungen!$C$3+1,1,1)))</f>
        <v/>
      </c>
      <c r="I105" s="34">
        <f>IF(B105="","",SUMIFS(Erfassung!$F$6:$F$5005,Erfassung!$B$6:$B$5005,A105,Erfassung!$A$6:$A$5005,"&gt;="&amp;DATE(Einstellungen!$C$3,1,1),Erfassung!$A$6:$A$5005,"&lt;"&amp;DATE(Einstellungen!$C$3+1,1,1)))</f>
        <v/>
      </c>
      <c r="J105" s="38">
        <f>IF(B105="","",IF(D105+F105&gt;0,F105/(D105+F105),""))</f>
        <v/>
      </c>
      <c r="K105" s="59">
        <f>IF(J105="","",RANK(J105,$J$6:$J$205,0))</f>
        <v/>
      </c>
      <c r="L105" s="29">
        <f>IF(J105="","",IF(J105&lt;=Einstellungen!$C$7,"unauffällig",IF(J105&lt;=Einstellungen!$C$8,"auffällig","kritisch")))</f>
        <v/>
      </c>
      <c r="M105" s="60">
        <f>IF(J105="",-1,J105+ROW()/1000000000)</f>
        <v/>
      </c>
    </row>
    <row r="106">
      <c r="A106" s="56">
        <f>IF(Mitarbeiter!B106="","",Mitarbeiter!A106)</f>
        <v/>
      </c>
      <c r="B106" s="57">
        <f>IF(Mitarbeiter!B106="","",Mitarbeiter!B106)</f>
        <v/>
      </c>
      <c r="C106" s="7">
        <f>IF(Mitarbeiter!B106="","",Mitarbeiter!G106)</f>
        <v/>
      </c>
      <c r="D106" s="54">
        <f>IF(B106="","",SUMIFS(Erfassung!$E$6:$E$5005,Erfassung!$B$6:$B$5005,A106,Erfassung!$A$6:$A$5005,"&gt;="&amp;DATE(Einstellungen!$C$3,1,1),Erfassung!$A$6:$A$5005,"&lt;"&amp;DATE(Einstellungen!$C$3+1,1,1)))</f>
        <v/>
      </c>
      <c r="E106" s="58">
        <f>IF(B106="","",IF(D106&gt;0,SUMIFS(Erfassung!$E$6:$E$5005,Erfassung!$B$6:$B$5005,A106,Erfassung!$D$6:$D$5005,Einstellungen!$C$4,Erfassung!$A$6:$A$5005,"&gt;="&amp;DATE(Einstellungen!$C$3,1,1),Erfassung!$A$6:$A$5005,"&lt;"&amp;DATE(Einstellungen!$C$3+1,1,1))/D106,""))</f>
        <v/>
      </c>
      <c r="F106" s="54">
        <f>IF(B106="","",SUMIFS(Erfassung!$G$6:$G$5005,Erfassung!$B$6:$B$5005,A106,Erfassung!$A$6:$A$5005,"&gt;="&amp;DATE(Einstellungen!$C$3,1,1),Erfassung!$A$6:$A$5005,"&lt;"&amp;DATE(Einstellungen!$C$3+1,1,1)))</f>
        <v/>
      </c>
      <c r="G106" s="54">
        <f>IF(B106="","",SUMIFS(Erfassung!$G$6:$G$5005,Erfassung!$B$6:$B$5005,A106,Erfassung!$D$6:$D$5005,Einstellungen!$C$4,Erfassung!$A$6:$A$5005,"&gt;="&amp;DATE(Einstellungen!$C$3,1,1),Erfassung!$A$6:$A$5005,"&lt;"&amp;DATE(Einstellungen!$C$3+1,1,1)))</f>
        <v/>
      </c>
      <c r="H106" s="54">
        <f>IF(B106="","",SUMIFS(Erfassung!$G$6:$G$5005,Erfassung!$B$6:$B$5005,A106,Erfassung!$D$6:$D$5005,Einstellungen!$C$5,Erfassung!$A$6:$A$5005,"&gt;="&amp;DATE(Einstellungen!$C$3,1,1),Erfassung!$A$6:$A$5005,"&lt;"&amp;DATE(Einstellungen!$C$3+1,1,1)))</f>
        <v/>
      </c>
      <c r="I106" s="34">
        <f>IF(B106="","",SUMIFS(Erfassung!$F$6:$F$5005,Erfassung!$B$6:$B$5005,A106,Erfassung!$A$6:$A$5005,"&gt;="&amp;DATE(Einstellungen!$C$3,1,1),Erfassung!$A$6:$A$5005,"&lt;"&amp;DATE(Einstellungen!$C$3+1,1,1)))</f>
        <v/>
      </c>
      <c r="J106" s="38">
        <f>IF(B106="","",IF(D106+F106&gt;0,F106/(D106+F106),""))</f>
        <v/>
      </c>
      <c r="K106" s="59">
        <f>IF(J106="","",RANK(J106,$J$6:$J$205,0))</f>
        <v/>
      </c>
      <c r="L106" s="29">
        <f>IF(J106="","",IF(J106&lt;=Einstellungen!$C$7,"unauffällig",IF(J106&lt;=Einstellungen!$C$8,"auffällig","kritisch")))</f>
        <v/>
      </c>
      <c r="M106" s="60">
        <f>IF(J106="",-1,J106+ROW()/1000000000)</f>
        <v/>
      </c>
    </row>
    <row r="107">
      <c r="A107" s="56">
        <f>IF(Mitarbeiter!B107="","",Mitarbeiter!A107)</f>
        <v/>
      </c>
      <c r="B107" s="57">
        <f>IF(Mitarbeiter!B107="","",Mitarbeiter!B107)</f>
        <v/>
      </c>
      <c r="C107" s="7">
        <f>IF(Mitarbeiter!B107="","",Mitarbeiter!G107)</f>
        <v/>
      </c>
      <c r="D107" s="54">
        <f>IF(B107="","",SUMIFS(Erfassung!$E$6:$E$5005,Erfassung!$B$6:$B$5005,A107,Erfassung!$A$6:$A$5005,"&gt;="&amp;DATE(Einstellungen!$C$3,1,1),Erfassung!$A$6:$A$5005,"&lt;"&amp;DATE(Einstellungen!$C$3+1,1,1)))</f>
        <v/>
      </c>
      <c r="E107" s="58">
        <f>IF(B107="","",IF(D107&gt;0,SUMIFS(Erfassung!$E$6:$E$5005,Erfassung!$B$6:$B$5005,A107,Erfassung!$D$6:$D$5005,Einstellungen!$C$4,Erfassung!$A$6:$A$5005,"&gt;="&amp;DATE(Einstellungen!$C$3,1,1),Erfassung!$A$6:$A$5005,"&lt;"&amp;DATE(Einstellungen!$C$3+1,1,1))/D107,""))</f>
        <v/>
      </c>
      <c r="F107" s="54">
        <f>IF(B107="","",SUMIFS(Erfassung!$G$6:$G$5005,Erfassung!$B$6:$B$5005,A107,Erfassung!$A$6:$A$5005,"&gt;="&amp;DATE(Einstellungen!$C$3,1,1),Erfassung!$A$6:$A$5005,"&lt;"&amp;DATE(Einstellungen!$C$3+1,1,1)))</f>
        <v/>
      </c>
      <c r="G107" s="54">
        <f>IF(B107="","",SUMIFS(Erfassung!$G$6:$G$5005,Erfassung!$B$6:$B$5005,A107,Erfassung!$D$6:$D$5005,Einstellungen!$C$4,Erfassung!$A$6:$A$5005,"&gt;="&amp;DATE(Einstellungen!$C$3,1,1),Erfassung!$A$6:$A$5005,"&lt;"&amp;DATE(Einstellungen!$C$3+1,1,1)))</f>
        <v/>
      </c>
      <c r="H107" s="54">
        <f>IF(B107="","",SUMIFS(Erfassung!$G$6:$G$5005,Erfassung!$B$6:$B$5005,A107,Erfassung!$D$6:$D$5005,Einstellungen!$C$5,Erfassung!$A$6:$A$5005,"&gt;="&amp;DATE(Einstellungen!$C$3,1,1),Erfassung!$A$6:$A$5005,"&lt;"&amp;DATE(Einstellungen!$C$3+1,1,1)))</f>
        <v/>
      </c>
      <c r="I107" s="34">
        <f>IF(B107="","",SUMIFS(Erfassung!$F$6:$F$5005,Erfassung!$B$6:$B$5005,A107,Erfassung!$A$6:$A$5005,"&gt;="&amp;DATE(Einstellungen!$C$3,1,1),Erfassung!$A$6:$A$5005,"&lt;"&amp;DATE(Einstellungen!$C$3+1,1,1)))</f>
        <v/>
      </c>
      <c r="J107" s="38">
        <f>IF(B107="","",IF(D107+F107&gt;0,F107/(D107+F107),""))</f>
        <v/>
      </c>
      <c r="K107" s="59">
        <f>IF(J107="","",RANK(J107,$J$6:$J$205,0))</f>
        <v/>
      </c>
      <c r="L107" s="29">
        <f>IF(J107="","",IF(J107&lt;=Einstellungen!$C$7,"unauffällig",IF(J107&lt;=Einstellungen!$C$8,"auffällig","kritisch")))</f>
        <v/>
      </c>
      <c r="M107" s="60">
        <f>IF(J107="",-1,J107+ROW()/1000000000)</f>
        <v/>
      </c>
    </row>
    <row r="108">
      <c r="A108" s="56">
        <f>IF(Mitarbeiter!B108="","",Mitarbeiter!A108)</f>
        <v/>
      </c>
      <c r="B108" s="57">
        <f>IF(Mitarbeiter!B108="","",Mitarbeiter!B108)</f>
        <v/>
      </c>
      <c r="C108" s="7">
        <f>IF(Mitarbeiter!B108="","",Mitarbeiter!G108)</f>
        <v/>
      </c>
      <c r="D108" s="54">
        <f>IF(B108="","",SUMIFS(Erfassung!$E$6:$E$5005,Erfassung!$B$6:$B$5005,A108,Erfassung!$A$6:$A$5005,"&gt;="&amp;DATE(Einstellungen!$C$3,1,1),Erfassung!$A$6:$A$5005,"&lt;"&amp;DATE(Einstellungen!$C$3+1,1,1)))</f>
        <v/>
      </c>
      <c r="E108" s="58">
        <f>IF(B108="","",IF(D108&gt;0,SUMIFS(Erfassung!$E$6:$E$5005,Erfassung!$B$6:$B$5005,A108,Erfassung!$D$6:$D$5005,Einstellungen!$C$4,Erfassung!$A$6:$A$5005,"&gt;="&amp;DATE(Einstellungen!$C$3,1,1),Erfassung!$A$6:$A$5005,"&lt;"&amp;DATE(Einstellungen!$C$3+1,1,1))/D108,""))</f>
        <v/>
      </c>
      <c r="F108" s="54">
        <f>IF(B108="","",SUMIFS(Erfassung!$G$6:$G$5005,Erfassung!$B$6:$B$5005,A108,Erfassung!$A$6:$A$5005,"&gt;="&amp;DATE(Einstellungen!$C$3,1,1),Erfassung!$A$6:$A$5005,"&lt;"&amp;DATE(Einstellungen!$C$3+1,1,1)))</f>
        <v/>
      </c>
      <c r="G108" s="54">
        <f>IF(B108="","",SUMIFS(Erfassung!$G$6:$G$5005,Erfassung!$B$6:$B$5005,A108,Erfassung!$D$6:$D$5005,Einstellungen!$C$4,Erfassung!$A$6:$A$5005,"&gt;="&amp;DATE(Einstellungen!$C$3,1,1),Erfassung!$A$6:$A$5005,"&lt;"&amp;DATE(Einstellungen!$C$3+1,1,1)))</f>
        <v/>
      </c>
      <c r="H108" s="54">
        <f>IF(B108="","",SUMIFS(Erfassung!$G$6:$G$5005,Erfassung!$B$6:$B$5005,A108,Erfassung!$D$6:$D$5005,Einstellungen!$C$5,Erfassung!$A$6:$A$5005,"&gt;="&amp;DATE(Einstellungen!$C$3,1,1),Erfassung!$A$6:$A$5005,"&lt;"&amp;DATE(Einstellungen!$C$3+1,1,1)))</f>
        <v/>
      </c>
      <c r="I108" s="34">
        <f>IF(B108="","",SUMIFS(Erfassung!$F$6:$F$5005,Erfassung!$B$6:$B$5005,A108,Erfassung!$A$6:$A$5005,"&gt;="&amp;DATE(Einstellungen!$C$3,1,1),Erfassung!$A$6:$A$5005,"&lt;"&amp;DATE(Einstellungen!$C$3+1,1,1)))</f>
        <v/>
      </c>
      <c r="J108" s="38">
        <f>IF(B108="","",IF(D108+F108&gt;0,F108/(D108+F108),""))</f>
        <v/>
      </c>
      <c r="K108" s="59">
        <f>IF(J108="","",RANK(J108,$J$6:$J$205,0))</f>
        <v/>
      </c>
      <c r="L108" s="29">
        <f>IF(J108="","",IF(J108&lt;=Einstellungen!$C$7,"unauffällig",IF(J108&lt;=Einstellungen!$C$8,"auffällig","kritisch")))</f>
        <v/>
      </c>
      <c r="M108" s="60">
        <f>IF(J108="",-1,J108+ROW()/1000000000)</f>
        <v/>
      </c>
    </row>
    <row r="109">
      <c r="A109" s="56">
        <f>IF(Mitarbeiter!B109="","",Mitarbeiter!A109)</f>
        <v/>
      </c>
      <c r="B109" s="57">
        <f>IF(Mitarbeiter!B109="","",Mitarbeiter!B109)</f>
        <v/>
      </c>
      <c r="C109" s="7">
        <f>IF(Mitarbeiter!B109="","",Mitarbeiter!G109)</f>
        <v/>
      </c>
      <c r="D109" s="54">
        <f>IF(B109="","",SUMIFS(Erfassung!$E$6:$E$5005,Erfassung!$B$6:$B$5005,A109,Erfassung!$A$6:$A$5005,"&gt;="&amp;DATE(Einstellungen!$C$3,1,1),Erfassung!$A$6:$A$5005,"&lt;"&amp;DATE(Einstellungen!$C$3+1,1,1)))</f>
        <v/>
      </c>
      <c r="E109" s="58">
        <f>IF(B109="","",IF(D109&gt;0,SUMIFS(Erfassung!$E$6:$E$5005,Erfassung!$B$6:$B$5005,A109,Erfassung!$D$6:$D$5005,Einstellungen!$C$4,Erfassung!$A$6:$A$5005,"&gt;="&amp;DATE(Einstellungen!$C$3,1,1),Erfassung!$A$6:$A$5005,"&lt;"&amp;DATE(Einstellungen!$C$3+1,1,1))/D109,""))</f>
        <v/>
      </c>
      <c r="F109" s="54">
        <f>IF(B109="","",SUMIFS(Erfassung!$G$6:$G$5005,Erfassung!$B$6:$B$5005,A109,Erfassung!$A$6:$A$5005,"&gt;="&amp;DATE(Einstellungen!$C$3,1,1),Erfassung!$A$6:$A$5005,"&lt;"&amp;DATE(Einstellungen!$C$3+1,1,1)))</f>
        <v/>
      </c>
      <c r="G109" s="54">
        <f>IF(B109="","",SUMIFS(Erfassung!$G$6:$G$5005,Erfassung!$B$6:$B$5005,A109,Erfassung!$D$6:$D$5005,Einstellungen!$C$4,Erfassung!$A$6:$A$5005,"&gt;="&amp;DATE(Einstellungen!$C$3,1,1),Erfassung!$A$6:$A$5005,"&lt;"&amp;DATE(Einstellungen!$C$3+1,1,1)))</f>
        <v/>
      </c>
      <c r="H109" s="54">
        <f>IF(B109="","",SUMIFS(Erfassung!$G$6:$G$5005,Erfassung!$B$6:$B$5005,A109,Erfassung!$D$6:$D$5005,Einstellungen!$C$5,Erfassung!$A$6:$A$5005,"&gt;="&amp;DATE(Einstellungen!$C$3,1,1),Erfassung!$A$6:$A$5005,"&lt;"&amp;DATE(Einstellungen!$C$3+1,1,1)))</f>
        <v/>
      </c>
      <c r="I109" s="34">
        <f>IF(B109="","",SUMIFS(Erfassung!$F$6:$F$5005,Erfassung!$B$6:$B$5005,A109,Erfassung!$A$6:$A$5005,"&gt;="&amp;DATE(Einstellungen!$C$3,1,1),Erfassung!$A$6:$A$5005,"&lt;"&amp;DATE(Einstellungen!$C$3+1,1,1)))</f>
        <v/>
      </c>
      <c r="J109" s="38">
        <f>IF(B109="","",IF(D109+F109&gt;0,F109/(D109+F109),""))</f>
        <v/>
      </c>
      <c r="K109" s="59">
        <f>IF(J109="","",RANK(J109,$J$6:$J$205,0))</f>
        <v/>
      </c>
      <c r="L109" s="29">
        <f>IF(J109="","",IF(J109&lt;=Einstellungen!$C$7,"unauffällig",IF(J109&lt;=Einstellungen!$C$8,"auffällig","kritisch")))</f>
        <v/>
      </c>
      <c r="M109" s="60">
        <f>IF(J109="",-1,J109+ROW()/1000000000)</f>
        <v/>
      </c>
    </row>
    <row r="110">
      <c r="A110" s="56">
        <f>IF(Mitarbeiter!B110="","",Mitarbeiter!A110)</f>
        <v/>
      </c>
      <c r="B110" s="57">
        <f>IF(Mitarbeiter!B110="","",Mitarbeiter!B110)</f>
        <v/>
      </c>
      <c r="C110" s="7">
        <f>IF(Mitarbeiter!B110="","",Mitarbeiter!G110)</f>
        <v/>
      </c>
      <c r="D110" s="54">
        <f>IF(B110="","",SUMIFS(Erfassung!$E$6:$E$5005,Erfassung!$B$6:$B$5005,A110,Erfassung!$A$6:$A$5005,"&gt;="&amp;DATE(Einstellungen!$C$3,1,1),Erfassung!$A$6:$A$5005,"&lt;"&amp;DATE(Einstellungen!$C$3+1,1,1)))</f>
        <v/>
      </c>
      <c r="E110" s="58">
        <f>IF(B110="","",IF(D110&gt;0,SUMIFS(Erfassung!$E$6:$E$5005,Erfassung!$B$6:$B$5005,A110,Erfassung!$D$6:$D$5005,Einstellungen!$C$4,Erfassung!$A$6:$A$5005,"&gt;="&amp;DATE(Einstellungen!$C$3,1,1),Erfassung!$A$6:$A$5005,"&lt;"&amp;DATE(Einstellungen!$C$3+1,1,1))/D110,""))</f>
        <v/>
      </c>
      <c r="F110" s="54">
        <f>IF(B110="","",SUMIFS(Erfassung!$G$6:$G$5005,Erfassung!$B$6:$B$5005,A110,Erfassung!$A$6:$A$5005,"&gt;="&amp;DATE(Einstellungen!$C$3,1,1),Erfassung!$A$6:$A$5005,"&lt;"&amp;DATE(Einstellungen!$C$3+1,1,1)))</f>
        <v/>
      </c>
      <c r="G110" s="54">
        <f>IF(B110="","",SUMIFS(Erfassung!$G$6:$G$5005,Erfassung!$B$6:$B$5005,A110,Erfassung!$D$6:$D$5005,Einstellungen!$C$4,Erfassung!$A$6:$A$5005,"&gt;="&amp;DATE(Einstellungen!$C$3,1,1),Erfassung!$A$6:$A$5005,"&lt;"&amp;DATE(Einstellungen!$C$3+1,1,1)))</f>
        <v/>
      </c>
      <c r="H110" s="54">
        <f>IF(B110="","",SUMIFS(Erfassung!$G$6:$G$5005,Erfassung!$B$6:$B$5005,A110,Erfassung!$D$6:$D$5005,Einstellungen!$C$5,Erfassung!$A$6:$A$5005,"&gt;="&amp;DATE(Einstellungen!$C$3,1,1),Erfassung!$A$6:$A$5005,"&lt;"&amp;DATE(Einstellungen!$C$3+1,1,1)))</f>
        <v/>
      </c>
      <c r="I110" s="34">
        <f>IF(B110="","",SUMIFS(Erfassung!$F$6:$F$5005,Erfassung!$B$6:$B$5005,A110,Erfassung!$A$6:$A$5005,"&gt;="&amp;DATE(Einstellungen!$C$3,1,1),Erfassung!$A$6:$A$5005,"&lt;"&amp;DATE(Einstellungen!$C$3+1,1,1)))</f>
        <v/>
      </c>
      <c r="J110" s="38">
        <f>IF(B110="","",IF(D110+F110&gt;0,F110/(D110+F110),""))</f>
        <v/>
      </c>
      <c r="K110" s="59">
        <f>IF(J110="","",RANK(J110,$J$6:$J$205,0))</f>
        <v/>
      </c>
      <c r="L110" s="29">
        <f>IF(J110="","",IF(J110&lt;=Einstellungen!$C$7,"unauffällig",IF(J110&lt;=Einstellungen!$C$8,"auffällig","kritisch")))</f>
        <v/>
      </c>
      <c r="M110" s="60">
        <f>IF(J110="",-1,J110+ROW()/1000000000)</f>
        <v/>
      </c>
    </row>
    <row r="111">
      <c r="A111" s="56">
        <f>IF(Mitarbeiter!B111="","",Mitarbeiter!A111)</f>
        <v/>
      </c>
      <c r="B111" s="57">
        <f>IF(Mitarbeiter!B111="","",Mitarbeiter!B111)</f>
        <v/>
      </c>
      <c r="C111" s="7">
        <f>IF(Mitarbeiter!B111="","",Mitarbeiter!G111)</f>
        <v/>
      </c>
      <c r="D111" s="54">
        <f>IF(B111="","",SUMIFS(Erfassung!$E$6:$E$5005,Erfassung!$B$6:$B$5005,A111,Erfassung!$A$6:$A$5005,"&gt;="&amp;DATE(Einstellungen!$C$3,1,1),Erfassung!$A$6:$A$5005,"&lt;"&amp;DATE(Einstellungen!$C$3+1,1,1)))</f>
        <v/>
      </c>
      <c r="E111" s="58">
        <f>IF(B111="","",IF(D111&gt;0,SUMIFS(Erfassung!$E$6:$E$5005,Erfassung!$B$6:$B$5005,A111,Erfassung!$D$6:$D$5005,Einstellungen!$C$4,Erfassung!$A$6:$A$5005,"&gt;="&amp;DATE(Einstellungen!$C$3,1,1),Erfassung!$A$6:$A$5005,"&lt;"&amp;DATE(Einstellungen!$C$3+1,1,1))/D111,""))</f>
        <v/>
      </c>
      <c r="F111" s="54">
        <f>IF(B111="","",SUMIFS(Erfassung!$G$6:$G$5005,Erfassung!$B$6:$B$5005,A111,Erfassung!$A$6:$A$5005,"&gt;="&amp;DATE(Einstellungen!$C$3,1,1),Erfassung!$A$6:$A$5005,"&lt;"&amp;DATE(Einstellungen!$C$3+1,1,1)))</f>
        <v/>
      </c>
      <c r="G111" s="54">
        <f>IF(B111="","",SUMIFS(Erfassung!$G$6:$G$5005,Erfassung!$B$6:$B$5005,A111,Erfassung!$D$6:$D$5005,Einstellungen!$C$4,Erfassung!$A$6:$A$5005,"&gt;="&amp;DATE(Einstellungen!$C$3,1,1),Erfassung!$A$6:$A$5005,"&lt;"&amp;DATE(Einstellungen!$C$3+1,1,1)))</f>
        <v/>
      </c>
      <c r="H111" s="54">
        <f>IF(B111="","",SUMIFS(Erfassung!$G$6:$G$5005,Erfassung!$B$6:$B$5005,A111,Erfassung!$D$6:$D$5005,Einstellungen!$C$5,Erfassung!$A$6:$A$5005,"&gt;="&amp;DATE(Einstellungen!$C$3,1,1),Erfassung!$A$6:$A$5005,"&lt;"&amp;DATE(Einstellungen!$C$3+1,1,1)))</f>
        <v/>
      </c>
      <c r="I111" s="34">
        <f>IF(B111="","",SUMIFS(Erfassung!$F$6:$F$5005,Erfassung!$B$6:$B$5005,A111,Erfassung!$A$6:$A$5005,"&gt;="&amp;DATE(Einstellungen!$C$3,1,1),Erfassung!$A$6:$A$5005,"&lt;"&amp;DATE(Einstellungen!$C$3+1,1,1)))</f>
        <v/>
      </c>
      <c r="J111" s="38">
        <f>IF(B111="","",IF(D111+F111&gt;0,F111/(D111+F111),""))</f>
        <v/>
      </c>
      <c r="K111" s="59">
        <f>IF(J111="","",RANK(J111,$J$6:$J$205,0))</f>
        <v/>
      </c>
      <c r="L111" s="29">
        <f>IF(J111="","",IF(J111&lt;=Einstellungen!$C$7,"unauffällig",IF(J111&lt;=Einstellungen!$C$8,"auffällig","kritisch")))</f>
        <v/>
      </c>
      <c r="M111" s="60">
        <f>IF(J111="",-1,J111+ROW()/1000000000)</f>
        <v/>
      </c>
    </row>
    <row r="112">
      <c r="A112" s="56">
        <f>IF(Mitarbeiter!B112="","",Mitarbeiter!A112)</f>
        <v/>
      </c>
      <c r="B112" s="57">
        <f>IF(Mitarbeiter!B112="","",Mitarbeiter!B112)</f>
        <v/>
      </c>
      <c r="C112" s="7">
        <f>IF(Mitarbeiter!B112="","",Mitarbeiter!G112)</f>
        <v/>
      </c>
      <c r="D112" s="54">
        <f>IF(B112="","",SUMIFS(Erfassung!$E$6:$E$5005,Erfassung!$B$6:$B$5005,A112,Erfassung!$A$6:$A$5005,"&gt;="&amp;DATE(Einstellungen!$C$3,1,1),Erfassung!$A$6:$A$5005,"&lt;"&amp;DATE(Einstellungen!$C$3+1,1,1)))</f>
        <v/>
      </c>
      <c r="E112" s="58">
        <f>IF(B112="","",IF(D112&gt;0,SUMIFS(Erfassung!$E$6:$E$5005,Erfassung!$B$6:$B$5005,A112,Erfassung!$D$6:$D$5005,Einstellungen!$C$4,Erfassung!$A$6:$A$5005,"&gt;="&amp;DATE(Einstellungen!$C$3,1,1),Erfassung!$A$6:$A$5005,"&lt;"&amp;DATE(Einstellungen!$C$3+1,1,1))/D112,""))</f>
        <v/>
      </c>
      <c r="F112" s="54">
        <f>IF(B112="","",SUMIFS(Erfassung!$G$6:$G$5005,Erfassung!$B$6:$B$5005,A112,Erfassung!$A$6:$A$5005,"&gt;="&amp;DATE(Einstellungen!$C$3,1,1),Erfassung!$A$6:$A$5005,"&lt;"&amp;DATE(Einstellungen!$C$3+1,1,1)))</f>
        <v/>
      </c>
      <c r="G112" s="54">
        <f>IF(B112="","",SUMIFS(Erfassung!$G$6:$G$5005,Erfassung!$B$6:$B$5005,A112,Erfassung!$D$6:$D$5005,Einstellungen!$C$4,Erfassung!$A$6:$A$5005,"&gt;="&amp;DATE(Einstellungen!$C$3,1,1),Erfassung!$A$6:$A$5005,"&lt;"&amp;DATE(Einstellungen!$C$3+1,1,1)))</f>
        <v/>
      </c>
      <c r="H112" s="54">
        <f>IF(B112="","",SUMIFS(Erfassung!$G$6:$G$5005,Erfassung!$B$6:$B$5005,A112,Erfassung!$D$6:$D$5005,Einstellungen!$C$5,Erfassung!$A$6:$A$5005,"&gt;="&amp;DATE(Einstellungen!$C$3,1,1),Erfassung!$A$6:$A$5005,"&lt;"&amp;DATE(Einstellungen!$C$3+1,1,1)))</f>
        <v/>
      </c>
      <c r="I112" s="34">
        <f>IF(B112="","",SUMIFS(Erfassung!$F$6:$F$5005,Erfassung!$B$6:$B$5005,A112,Erfassung!$A$6:$A$5005,"&gt;="&amp;DATE(Einstellungen!$C$3,1,1),Erfassung!$A$6:$A$5005,"&lt;"&amp;DATE(Einstellungen!$C$3+1,1,1)))</f>
        <v/>
      </c>
      <c r="J112" s="38">
        <f>IF(B112="","",IF(D112+F112&gt;0,F112/(D112+F112),""))</f>
        <v/>
      </c>
      <c r="K112" s="59">
        <f>IF(J112="","",RANK(J112,$J$6:$J$205,0))</f>
        <v/>
      </c>
      <c r="L112" s="29">
        <f>IF(J112="","",IF(J112&lt;=Einstellungen!$C$7,"unauffällig",IF(J112&lt;=Einstellungen!$C$8,"auffällig","kritisch")))</f>
        <v/>
      </c>
      <c r="M112" s="60">
        <f>IF(J112="",-1,J112+ROW()/1000000000)</f>
        <v/>
      </c>
    </row>
    <row r="113">
      <c r="A113" s="56">
        <f>IF(Mitarbeiter!B113="","",Mitarbeiter!A113)</f>
        <v/>
      </c>
      <c r="B113" s="57">
        <f>IF(Mitarbeiter!B113="","",Mitarbeiter!B113)</f>
        <v/>
      </c>
      <c r="C113" s="7">
        <f>IF(Mitarbeiter!B113="","",Mitarbeiter!G113)</f>
        <v/>
      </c>
      <c r="D113" s="54">
        <f>IF(B113="","",SUMIFS(Erfassung!$E$6:$E$5005,Erfassung!$B$6:$B$5005,A113,Erfassung!$A$6:$A$5005,"&gt;="&amp;DATE(Einstellungen!$C$3,1,1),Erfassung!$A$6:$A$5005,"&lt;"&amp;DATE(Einstellungen!$C$3+1,1,1)))</f>
        <v/>
      </c>
      <c r="E113" s="58">
        <f>IF(B113="","",IF(D113&gt;0,SUMIFS(Erfassung!$E$6:$E$5005,Erfassung!$B$6:$B$5005,A113,Erfassung!$D$6:$D$5005,Einstellungen!$C$4,Erfassung!$A$6:$A$5005,"&gt;="&amp;DATE(Einstellungen!$C$3,1,1),Erfassung!$A$6:$A$5005,"&lt;"&amp;DATE(Einstellungen!$C$3+1,1,1))/D113,""))</f>
        <v/>
      </c>
      <c r="F113" s="54">
        <f>IF(B113="","",SUMIFS(Erfassung!$G$6:$G$5005,Erfassung!$B$6:$B$5005,A113,Erfassung!$A$6:$A$5005,"&gt;="&amp;DATE(Einstellungen!$C$3,1,1),Erfassung!$A$6:$A$5005,"&lt;"&amp;DATE(Einstellungen!$C$3+1,1,1)))</f>
        <v/>
      </c>
      <c r="G113" s="54">
        <f>IF(B113="","",SUMIFS(Erfassung!$G$6:$G$5005,Erfassung!$B$6:$B$5005,A113,Erfassung!$D$6:$D$5005,Einstellungen!$C$4,Erfassung!$A$6:$A$5005,"&gt;="&amp;DATE(Einstellungen!$C$3,1,1),Erfassung!$A$6:$A$5005,"&lt;"&amp;DATE(Einstellungen!$C$3+1,1,1)))</f>
        <v/>
      </c>
      <c r="H113" s="54">
        <f>IF(B113="","",SUMIFS(Erfassung!$G$6:$G$5005,Erfassung!$B$6:$B$5005,A113,Erfassung!$D$6:$D$5005,Einstellungen!$C$5,Erfassung!$A$6:$A$5005,"&gt;="&amp;DATE(Einstellungen!$C$3,1,1),Erfassung!$A$6:$A$5005,"&lt;"&amp;DATE(Einstellungen!$C$3+1,1,1)))</f>
        <v/>
      </c>
      <c r="I113" s="34">
        <f>IF(B113="","",SUMIFS(Erfassung!$F$6:$F$5005,Erfassung!$B$6:$B$5005,A113,Erfassung!$A$6:$A$5005,"&gt;="&amp;DATE(Einstellungen!$C$3,1,1),Erfassung!$A$6:$A$5005,"&lt;"&amp;DATE(Einstellungen!$C$3+1,1,1)))</f>
        <v/>
      </c>
      <c r="J113" s="38">
        <f>IF(B113="","",IF(D113+F113&gt;0,F113/(D113+F113),""))</f>
        <v/>
      </c>
      <c r="K113" s="59">
        <f>IF(J113="","",RANK(J113,$J$6:$J$205,0))</f>
        <v/>
      </c>
      <c r="L113" s="29">
        <f>IF(J113="","",IF(J113&lt;=Einstellungen!$C$7,"unauffällig",IF(J113&lt;=Einstellungen!$C$8,"auffällig","kritisch")))</f>
        <v/>
      </c>
      <c r="M113" s="60">
        <f>IF(J113="",-1,J113+ROW()/1000000000)</f>
        <v/>
      </c>
    </row>
    <row r="114">
      <c r="A114" s="56">
        <f>IF(Mitarbeiter!B114="","",Mitarbeiter!A114)</f>
        <v/>
      </c>
      <c r="B114" s="57">
        <f>IF(Mitarbeiter!B114="","",Mitarbeiter!B114)</f>
        <v/>
      </c>
      <c r="C114" s="7">
        <f>IF(Mitarbeiter!B114="","",Mitarbeiter!G114)</f>
        <v/>
      </c>
      <c r="D114" s="54">
        <f>IF(B114="","",SUMIFS(Erfassung!$E$6:$E$5005,Erfassung!$B$6:$B$5005,A114,Erfassung!$A$6:$A$5005,"&gt;="&amp;DATE(Einstellungen!$C$3,1,1),Erfassung!$A$6:$A$5005,"&lt;"&amp;DATE(Einstellungen!$C$3+1,1,1)))</f>
        <v/>
      </c>
      <c r="E114" s="58">
        <f>IF(B114="","",IF(D114&gt;0,SUMIFS(Erfassung!$E$6:$E$5005,Erfassung!$B$6:$B$5005,A114,Erfassung!$D$6:$D$5005,Einstellungen!$C$4,Erfassung!$A$6:$A$5005,"&gt;="&amp;DATE(Einstellungen!$C$3,1,1),Erfassung!$A$6:$A$5005,"&lt;"&amp;DATE(Einstellungen!$C$3+1,1,1))/D114,""))</f>
        <v/>
      </c>
      <c r="F114" s="54">
        <f>IF(B114="","",SUMIFS(Erfassung!$G$6:$G$5005,Erfassung!$B$6:$B$5005,A114,Erfassung!$A$6:$A$5005,"&gt;="&amp;DATE(Einstellungen!$C$3,1,1),Erfassung!$A$6:$A$5005,"&lt;"&amp;DATE(Einstellungen!$C$3+1,1,1)))</f>
        <v/>
      </c>
      <c r="G114" s="54">
        <f>IF(B114="","",SUMIFS(Erfassung!$G$6:$G$5005,Erfassung!$B$6:$B$5005,A114,Erfassung!$D$6:$D$5005,Einstellungen!$C$4,Erfassung!$A$6:$A$5005,"&gt;="&amp;DATE(Einstellungen!$C$3,1,1),Erfassung!$A$6:$A$5005,"&lt;"&amp;DATE(Einstellungen!$C$3+1,1,1)))</f>
        <v/>
      </c>
      <c r="H114" s="54">
        <f>IF(B114="","",SUMIFS(Erfassung!$G$6:$G$5005,Erfassung!$B$6:$B$5005,A114,Erfassung!$D$6:$D$5005,Einstellungen!$C$5,Erfassung!$A$6:$A$5005,"&gt;="&amp;DATE(Einstellungen!$C$3,1,1),Erfassung!$A$6:$A$5005,"&lt;"&amp;DATE(Einstellungen!$C$3+1,1,1)))</f>
        <v/>
      </c>
      <c r="I114" s="34">
        <f>IF(B114="","",SUMIFS(Erfassung!$F$6:$F$5005,Erfassung!$B$6:$B$5005,A114,Erfassung!$A$6:$A$5005,"&gt;="&amp;DATE(Einstellungen!$C$3,1,1),Erfassung!$A$6:$A$5005,"&lt;"&amp;DATE(Einstellungen!$C$3+1,1,1)))</f>
        <v/>
      </c>
      <c r="J114" s="38">
        <f>IF(B114="","",IF(D114+F114&gt;0,F114/(D114+F114),""))</f>
        <v/>
      </c>
      <c r="K114" s="59">
        <f>IF(J114="","",RANK(J114,$J$6:$J$205,0))</f>
        <v/>
      </c>
      <c r="L114" s="29">
        <f>IF(J114="","",IF(J114&lt;=Einstellungen!$C$7,"unauffällig",IF(J114&lt;=Einstellungen!$C$8,"auffällig","kritisch")))</f>
        <v/>
      </c>
      <c r="M114" s="60">
        <f>IF(J114="",-1,J114+ROW()/1000000000)</f>
        <v/>
      </c>
    </row>
    <row r="115">
      <c r="A115" s="56">
        <f>IF(Mitarbeiter!B115="","",Mitarbeiter!A115)</f>
        <v/>
      </c>
      <c r="B115" s="57">
        <f>IF(Mitarbeiter!B115="","",Mitarbeiter!B115)</f>
        <v/>
      </c>
      <c r="C115" s="7">
        <f>IF(Mitarbeiter!B115="","",Mitarbeiter!G115)</f>
        <v/>
      </c>
      <c r="D115" s="54">
        <f>IF(B115="","",SUMIFS(Erfassung!$E$6:$E$5005,Erfassung!$B$6:$B$5005,A115,Erfassung!$A$6:$A$5005,"&gt;="&amp;DATE(Einstellungen!$C$3,1,1),Erfassung!$A$6:$A$5005,"&lt;"&amp;DATE(Einstellungen!$C$3+1,1,1)))</f>
        <v/>
      </c>
      <c r="E115" s="58">
        <f>IF(B115="","",IF(D115&gt;0,SUMIFS(Erfassung!$E$6:$E$5005,Erfassung!$B$6:$B$5005,A115,Erfassung!$D$6:$D$5005,Einstellungen!$C$4,Erfassung!$A$6:$A$5005,"&gt;="&amp;DATE(Einstellungen!$C$3,1,1),Erfassung!$A$6:$A$5005,"&lt;"&amp;DATE(Einstellungen!$C$3+1,1,1))/D115,""))</f>
        <v/>
      </c>
      <c r="F115" s="54">
        <f>IF(B115="","",SUMIFS(Erfassung!$G$6:$G$5005,Erfassung!$B$6:$B$5005,A115,Erfassung!$A$6:$A$5005,"&gt;="&amp;DATE(Einstellungen!$C$3,1,1),Erfassung!$A$6:$A$5005,"&lt;"&amp;DATE(Einstellungen!$C$3+1,1,1)))</f>
        <v/>
      </c>
      <c r="G115" s="54">
        <f>IF(B115="","",SUMIFS(Erfassung!$G$6:$G$5005,Erfassung!$B$6:$B$5005,A115,Erfassung!$D$6:$D$5005,Einstellungen!$C$4,Erfassung!$A$6:$A$5005,"&gt;="&amp;DATE(Einstellungen!$C$3,1,1),Erfassung!$A$6:$A$5005,"&lt;"&amp;DATE(Einstellungen!$C$3+1,1,1)))</f>
        <v/>
      </c>
      <c r="H115" s="54">
        <f>IF(B115="","",SUMIFS(Erfassung!$G$6:$G$5005,Erfassung!$B$6:$B$5005,A115,Erfassung!$D$6:$D$5005,Einstellungen!$C$5,Erfassung!$A$6:$A$5005,"&gt;="&amp;DATE(Einstellungen!$C$3,1,1),Erfassung!$A$6:$A$5005,"&lt;"&amp;DATE(Einstellungen!$C$3+1,1,1)))</f>
        <v/>
      </c>
      <c r="I115" s="34">
        <f>IF(B115="","",SUMIFS(Erfassung!$F$6:$F$5005,Erfassung!$B$6:$B$5005,A115,Erfassung!$A$6:$A$5005,"&gt;="&amp;DATE(Einstellungen!$C$3,1,1),Erfassung!$A$6:$A$5005,"&lt;"&amp;DATE(Einstellungen!$C$3+1,1,1)))</f>
        <v/>
      </c>
      <c r="J115" s="38">
        <f>IF(B115="","",IF(D115+F115&gt;0,F115/(D115+F115),""))</f>
        <v/>
      </c>
      <c r="K115" s="59">
        <f>IF(J115="","",RANK(J115,$J$6:$J$205,0))</f>
        <v/>
      </c>
      <c r="L115" s="29">
        <f>IF(J115="","",IF(J115&lt;=Einstellungen!$C$7,"unauffällig",IF(J115&lt;=Einstellungen!$C$8,"auffällig","kritisch")))</f>
        <v/>
      </c>
      <c r="M115" s="60">
        <f>IF(J115="",-1,J115+ROW()/1000000000)</f>
        <v/>
      </c>
    </row>
    <row r="116">
      <c r="A116" s="56">
        <f>IF(Mitarbeiter!B116="","",Mitarbeiter!A116)</f>
        <v/>
      </c>
      <c r="B116" s="57">
        <f>IF(Mitarbeiter!B116="","",Mitarbeiter!B116)</f>
        <v/>
      </c>
      <c r="C116" s="7">
        <f>IF(Mitarbeiter!B116="","",Mitarbeiter!G116)</f>
        <v/>
      </c>
      <c r="D116" s="54">
        <f>IF(B116="","",SUMIFS(Erfassung!$E$6:$E$5005,Erfassung!$B$6:$B$5005,A116,Erfassung!$A$6:$A$5005,"&gt;="&amp;DATE(Einstellungen!$C$3,1,1),Erfassung!$A$6:$A$5005,"&lt;"&amp;DATE(Einstellungen!$C$3+1,1,1)))</f>
        <v/>
      </c>
      <c r="E116" s="58">
        <f>IF(B116="","",IF(D116&gt;0,SUMIFS(Erfassung!$E$6:$E$5005,Erfassung!$B$6:$B$5005,A116,Erfassung!$D$6:$D$5005,Einstellungen!$C$4,Erfassung!$A$6:$A$5005,"&gt;="&amp;DATE(Einstellungen!$C$3,1,1),Erfassung!$A$6:$A$5005,"&lt;"&amp;DATE(Einstellungen!$C$3+1,1,1))/D116,""))</f>
        <v/>
      </c>
      <c r="F116" s="54">
        <f>IF(B116="","",SUMIFS(Erfassung!$G$6:$G$5005,Erfassung!$B$6:$B$5005,A116,Erfassung!$A$6:$A$5005,"&gt;="&amp;DATE(Einstellungen!$C$3,1,1),Erfassung!$A$6:$A$5005,"&lt;"&amp;DATE(Einstellungen!$C$3+1,1,1)))</f>
        <v/>
      </c>
      <c r="G116" s="54">
        <f>IF(B116="","",SUMIFS(Erfassung!$G$6:$G$5005,Erfassung!$B$6:$B$5005,A116,Erfassung!$D$6:$D$5005,Einstellungen!$C$4,Erfassung!$A$6:$A$5005,"&gt;="&amp;DATE(Einstellungen!$C$3,1,1),Erfassung!$A$6:$A$5005,"&lt;"&amp;DATE(Einstellungen!$C$3+1,1,1)))</f>
        <v/>
      </c>
      <c r="H116" s="54">
        <f>IF(B116="","",SUMIFS(Erfassung!$G$6:$G$5005,Erfassung!$B$6:$B$5005,A116,Erfassung!$D$6:$D$5005,Einstellungen!$C$5,Erfassung!$A$6:$A$5005,"&gt;="&amp;DATE(Einstellungen!$C$3,1,1),Erfassung!$A$6:$A$5005,"&lt;"&amp;DATE(Einstellungen!$C$3+1,1,1)))</f>
        <v/>
      </c>
      <c r="I116" s="34">
        <f>IF(B116="","",SUMIFS(Erfassung!$F$6:$F$5005,Erfassung!$B$6:$B$5005,A116,Erfassung!$A$6:$A$5005,"&gt;="&amp;DATE(Einstellungen!$C$3,1,1),Erfassung!$A$6:$A$5005,"&lt;"&amp;DATE(Einstellungen!$C$3+1,1,1)))</f>
        <v/>
      </c>
      <c r="J116" s="38">
        <f>IF(B116="","",IF(D116+F116&gt;0,F116/(D116+F116),""))</f>
        <v/>
      </c>
      <c r="K116" s="59">
        <f>IF(J116="","",RANK(J116,$J$6:$J$205,0))</f>
        <v/>
      </c>
      <c r="L116" s="29">
        <f>IF(J116="","",IF(J116&lt;=Einstellungen!$C$7,"unauffällig",IF(J116&lt;=Einstellungen!$C$8,"auffällig","kritisch")))</f>
        <v/>
      </c>
      <c r="M116" s="60">
        <f>IF(J116="",-1,J116+ROW()/1000000000)</f>
        <v/>
      </c>
    </row>
    <row r="117">
      <c r="A117" s="56">
        <f>IF(Mitarbeiter!B117="","",Mitarbeiter!A117)</f>
        <v/>
      </c>
      <c r="B117" s="57">
        <f>IF(Mitarbeiter!B117="","",Mitarbeiter!B117)</f>
        <v/>
      </c>
      <c r="C117" s="7">
        <f>IF(Mitarbeiter!B117="","",Mitarbeiter!G117)</f>
        <v/>
      </c>
      <c r="D117" s="54">
        <f>IF(B117="","",SUMIFS(Erfassung!$E$6:$E$5005,Erfassung!$B$6:$B$5005,A117,Erfassung!$A$6:$A$5005,"&gt;="&amp;DATE(Einstellungen!$C$3,1,1),Erfassung!$A$6:$A$5005,"&lt;"&amp;DATE(Einstellungen!$C$3+1,1,1)))</f>
        <v/>
      </c>
      <c r="E117" s="58">
        <f>IF(B117="","",IF(D117&gt;0,SUMIFS(Erfassung!$E$6:$E$5005,Erfassung!$B$6:$B$5005,A117,Erfassung!$D$6:$D$5005,Einstellungen!$C$4,Erfassung!$A$6:$A$5005,"&gt;="&amp;DATE(Einstellungen!$C$3,1,1),Erfassung!$A$6:$A$5005,"&lt;"&amp;DATE(Einstellungen!$C$3+1,1,1))/D117,""))</f>
        <v/>
      </c>
      <c r="F117" s="54">
        <f>IF(B117="","",SUMIFS(Erfassung!$G$6:$G$5005,Erfassung!$B$6:$B$5005,A117,Erfassung!$A$6:$A$5005,"&gt;="&amp;DATE(Einstellungen!$C$3,1,1),Erfassung!$A$6:$A$5005,"&lt;"&amp;DATE(Einstellungen!$C$3+1,1,1)))</f>
        <v/>
      </c>
      <c r="G117" s="54">
        <f>IF(B117="","",SUMIFS(Erfassung!$G$6:$G$5005,Erfassung!$B$6:$B$5005,A117,Erfassung!$D$6:$D$5005,Einstellungen!$C$4,Erfassung!$A$6:$A$5005,"&gt;="&amp;DATE(Einstellungen!$C$3,1,1),Erfassung!$A$6:$A$5005,"&lt;"&amp;DATE(Einstellungen!$C$3+1,1,1)))</f>
        <v/>
      </c>
      <c r="H117" s="54">
        <f>IF(B117="","",SUMIFS(Erfassung!$G$6:$G$5005,Erfassung!$B$6:$B$5005,A117,Erfassung!$D$6:$D$5005,Einstellungen!$C$5,Erfassung!$A$6:$A$5005,"&gt;="&amp;DATE(Einstellungen!$C$3,1,1),Erfassung!$A$6:$A$5005,"&lt;"&amp;DATE(Einstellungen!$C$3+1,1,1)))</f>
        <v/>
      </c>
      <c r="I117" s="34">
        <f>IF(B117="","",SUMIFS(Erfassung!$F$6:$F$5005,Erfassung!$B$6:$B$5005,A117,Erfassung!$A$6:$A$5005,"&gt;="&amp;DATE(Einstellungen!$C$3,1,1),Erfassung!$A$6:$A$5005,"&lt;"&amp;DATE(Einstellungen!$C$3+1,1,1)))</f>
        <v/>
      </c>
      <c r="J117" s="38">
        <f>IF(B117="","",IF(D117+F117&gt;0,F117/(D117+F117),""))</f>
        <v/>
      </c>
      <c r="K117" s="59">
        <f>IF(J117="","",RANK(J117,$J$6:$J$205,0))</f>
        <v/>
      </c>
      <c r="L117" s="29">
        <f>IF(J117="","",IF(J117&lt;=Einstellungen!$C$7,"unauffällig",IF(J117&lt;=Einstellungen!$C$8,"auffällig","kritisch")))</f>
        <v/>
      </c>
      <c r="M117" s="60">
        <f>IF(J117="",-1,J117+ROW()/1000000000)</f>
        <v/>
      </c>
    </row>
    <row r="118">
      <c r="A118" s="56">
        <f>IF(Mitarbeiter!B118="","",Mitarbeiter!A118)</f>
        <v/>
      </c>
      <c r="B118" s="57">
        <f>IF(Mitarbeiter!B118="","",Mitarbeiter!B118)</f>
        <v/>
      </c>
      <c r="C118" s="7">
        <f>IF(Mitarbeiter!B118="","",Mitarbeiter!G118)</f>
        <v/>
      </c>
      <c r="D118" s="54">
        <f>IF(B118="","",SUMIFS(Erfassung!$E$6:$E$5005,Erfassung!$B$6:$B$5005,A118,Erfassung!$A$6:$A$5005,"&gt;="&amp;DATE(Einstellungen!$C$3,1,1),Erfassung!$A$6:$A$5005,"&lt;"&amp;DATE(Einstellungen!$C$3+1,1,1)))</f>
        <v/>
      </c>
      <c r="E118" s="58">
        <f>IF(B118="","",IF(D118&gt;0,SUMIFS(Erfassung!$E$6:$E$5005,Erfassung!$B$6:$B$5005,A118,Erfassung!$D$6:$D$5005,Einstellungen!$C$4,Erfassung!$A$6:$A$5005,"&gt;="&amp;DATE(Einstellungen!$C$3,1,1),Erfassung!$A$6:$A$5005,"&lt;"&amp;DATE(Einstellungen!$C$3+1,1,1))/D118,""))</f>
        <v/>
      </c>
      <c r="F118" s="54">
        <f>IF(B118="","",SUMIFS(Erfassung!$G$6:$G$5005,Erfassung!$B$6:$B$5005,A118,Erfassung!$A$6:$A$5005,"&gt;="&amp;DATE(Einstellungen!$C$3,1,1),Erfassung!$A$6:$A$5005,"&lt;"&amp;DATE(Einstellungen!$C$3+1,1,1)))</f>
        <v/>
      </c>
      <c r="G118" s="54">
        <f>IF(B118="","",SUMIFS(Erfassung!$G$6:$G$5005,Erfassung!$B$6:$B$5005,A118,Erfassung!$D$6:$D$5005,Einstellungen!$C$4,Erfassung!$A$6:$A$5005,"&gt;="&amp;DATE(Einstellungen!$C$3,1,1),Erfassung!$A$6:$A$5005,"&lt;"&amp;DATE(Einstellungen!$C$3+1,1,1)))</f>
        <v/>
      </c>
      <c r="H118" s="54">
        <f>IF(B118="","",SUMIFS(Erfassung!$G$6:$G$5005,Erfassung!$B$6:$B$5005,A118,Erfassung!$D$6:$D$5005,Einstellungen!$C$5,Erfassung!$A$6:$A$5005,"&gt;="&amp;DATE(Einstellungen!$C$3,1,1),Erfassung!$A$6:$A$5005,"&lt;"&amp;DATE(Einstellungen!$C$3+1,1,1)))</f>
        <v/>
      </c>
      <c r="I118" s="34">
        <f>IF(B118="","",SUMIFS(Erfassung!$F$6:$F$5005,Erfassung!$B$6:$B$5005,A118,Erfassung!$A$6:$A$5005,"&gt;="&amp;DATE(Einstellungen!$C$3,1,1),Erfassung!$A$6:$A$5005,"&lt;"&amp;DATE(Einstellungen!$C$3+1,1,1)))</f>
        <v/>
      </c>
      <c r="J118" s="38">
        <f>IF(B118="","",IF(D118+F118&gt;0,F118/(D118+F118),""))</f>
        <v/>
      </c>
      <c r="K118" s="59">
        <f>IF(J118="","",RANK(J118,$J$6:$J$205,0))</f>
        <v/>
      </c>
      <c r="L118" s="29">
        <f>IF(J118="","",IF(J118&lt;=Einstellungen!$C$7,"unauffällig",IF(J118&lt;=Einstellungen!$C$8,"auffällig","kritisch")))</f>
        <v/>
      </c>
      <c r="M118" s="60">
        <f>IF(J118="",-1,J118+ROW()/1000000000)</f>
        <v/>
      </c>
    </row>
    <row r="119">
      <c r="A119" s="56">
        <f>IF(Mitarbeiter!B119="","",Mitarbeiter!A119)</f>
        <v/>
      </c>
      <c r="B119" s="57">
        <f>IF(Mitarbeiter!B119="","",Mitarbeiter!B119)</f>
        <v/>
      </c>
      <c r="C119" s="7">
        <f>IF(Mitarbeiter!B119="","",Mitarbeiter!G119)</f>
        <v/>
      </c>
      <c r="D119" s="54">
        <f>IF(B119="","",SUMIFS(Erfassung!$E$6:$E$5005,Erfassung!$B$6:$B$5005,A119,Erfassung!$A$6:$A$5005,"&gt;="&amp;DATE(Einstellungen!$C$3,1,1),Erfassung!$A$6:$A$5005,"&lt;"&amp;DATE(Einstellungen!$C$3+1,1,1)))</f>
        <v/>
      </c>
      <c r="E119" s="58">
        <f>IF(B119="","",IF(D119&gt;0,SUMIFS(Erfassung!$E$6:$E$5005,Erfassung!$B$6:$B$5005,A119,Erfassung!$D$6:$D$5005,Einstellungen!$C$4,Erfassung!$A$6:$A$5005,"&gt;="&amp;DATE(Einstellungen!$C$3,1,1),Erfassung!$A$6:$A$5005,"&lt;"&amp;DATE(Einstellungen!$C$3+1,1,1))/D119,""))</f>
        <v/>
      </c>
      <c r="F119" s="54">
        <f>IF(B119="","",SUMIFS(Erfassung!$G$6:$G$5005,Erfassung!$B$6:$B$5005,A119,Erfassung!$A$6:$A$5005,"&gt;="&amp;DATE(Einstellungen!$C$3,1,1),Erfassung!$A$6:$A$5005,"&lt;"&amp;DATE(Einstellungen!$C$3+1,1,1)))</f>
        <v/>
      </c>
      <c r="G119" s="54">
        <f>IF(B119="","",SUMIFS(Erfassung!$G$6:$G$5005,Erfassung!$B$6:$B$5005,A119,Erfassung!$D$6:$D$5005,Einstellungen!$C$4,Erfassung!$A$6:$A$5005,"&gt;="&amp;DATE(Einstellungen!$C$3,1,1),Erfassung!$A$6:$A$5005,"&lt;"&amp;DATE(Einstellungen!$C$3+1,1,1)))</f>
        <v/>
      </c>
      <c r="H119" s="54">
        <f>IF(B119="","",SUMIFS(Erfassung!$G$6:$G$5005,Erfassung!$B$6:$B$5005,A119,Erfassung!$D$6:$D$5005,Einstellungen!$C$5,Erfassung!$A$6:$A$5005,"&gt;="&amp;DATE(Einstellungen!$C$3,1,1),Erfassung!$A$6:$A$5005,"&lt;"&amp;DATE(Einstellungen!$C$3+1,1,1)))</f>
        <v/>
      </c>
      <c r="I119" s="34">
        <f>IF(B119="","",SUMIFS(Erfassung!$F$6:$F$5005,Erfassung!$B$6:$B$5005,A119,Erfassung!$A$6:$A$5005,"&gt;="&amp;DATE(Einstellungen!$C$3,1,1),Erfassung!$A$6:$A$5005,"&lt;"&amp;DATE(Einstellungen!$C$3+1,1,1)))</f>
        <v/>
      </c>
      <c r="J119" s="38">
        <f>IF(B119="","",IF(D119+F119&gt;0,F119/(D119+F119),""))</f>
        <v/>
      </c>
      <c r="K119" s="59">
        <f>IF(J119="","",RANK(J119,$J$6:$J$205,0))</f>
        <v/>
      </c>
      <c r="L119" s="29">
        <f>IF(J119="","",IF(J119&lt;=Einstellungen!$C$7,"unauffällig",IF(J119&lt;=Einstellungen!$C$8,"auffällig","kritisch")))</f>
        <v/>
      </c>
      <c r="M119" s="60">
        <f>IF(J119="",-1,J119+ROW()/1000000000)</f>
        <v/>
      </c>
    </row>
    <row r="120">
      <c r="A120" s="56">
        <f>IF(Mitarbeiter!B120="","",Mitarbeiter!A120)</f>
        <v/>
      </c>
      <c r="B120" s="57">
        <f>IF(Mitarbeiter!B120="","",Mitarbeiter!B120)</f>
        <v/>
      </c>
      <c r="C120" s="7">
        <f>IF(Mitarbeiter!B120="","",Mitarbeiter!G120)</f>
        <v/>
      </c>
      <c r="D120" s="54">
        <f>IF(B120="","",SUMIFS(Erfassung!$E$6:$E$5005,Erfassung!$B$6:$B$5005,A120,Erfassung!$A$6:$A$5005,"&gt;="&amp;DATE(Einstellungen!$C$3,1,1),Erfassung!$A$6:$A$5005,"&lt;"&amp;DATE(Einstellungen!$C$3+1,1,1)))</f>
        <v/>
      </c>
      <c r="E120" s="58">
        <f>IF(B120="","",IF(D120&gt;0,SUMIFS(Erfassung!$E$6:$E$5005,Erfassung!$B$6:$B$5005,A120,Erfassung!$D$6:$D$5005,Einstellungen!$C$4,Erfassung!$A$6:$A$5005,"&gt;="&amp;DATE(Einstellungen!$C$3,1,1),Erfassung!$A$6:$A$5005,"&lt;"&amp;DATE(Einstellungen!$C$3+1,1,1))/D120,""))</f>
        <v/>
      </c>
      <c r="F120" s="54">
        <f>IF(B120="","",SUMIFS(Erfassung!$G$6:$G$5005,Erfassung!$B$6:$B$5005,A120,Erfassung!$A$6:$A$5005,"&gt;="&amp;DATE(Einstellungen!$C$3,1,1),Erfassung!$A$6:$A$5005,"&lt;"&amp;DATE(Einstellungen!$C$3+1,1,1)))</f>
        <v/>
      </c>
      <c r="G120" s="54">
        <f>IF(B120="","",SUMIFS(Erfassung!$G$6:$G$5005,Erfassung!$B$6:$B$5005,A120,Erfassung!$D$6:$D$5005,Einstellungen!$C$4,Erfassung!$A$6:$A$5005,"&gt;="&amp;DATE(Einstellungen!$C$3,1,1),Erfassung!$A$6:$A$5005,"&lt;"&amp;DATE(Einstellungen!$C$3+1,1,1)))</f>
        <v/>
      </c>
      <c r="H120" s="54">
        <f>IF(B120="","",SUMIFS(Erfassung!$G$6:$G$5005,Erfassung!$B$6:$B$5005,A120,Erfassung!$D$6:$D$5005,Einstellungen!$C$5,Erfassung!$A$6:$A$5005,"&gt;="&amp;DATE(Einstellungen!$C$3,1,1),Erfassung!$A$6:$A$5005,"&lt;"&amp;DATE(Einstellungen!$C$3+1,1,1)))</f>
        <v/>
      </c>
      <c r="I120" s="34">
        <f>IF(B120="","",SUMIFS(Erfassung!$F$6:$F$5005,Erfassung!$B$6:$B$5005,A120,Erfassung!$A$6:$A$5005,"&gt;="&amp;DATE(Einstellungen!$C$3,1,1),Erfassung!$A$6:$A$5005,"&lt;"&amp;DATE(Einstellungen!$C$3+1,1,1)))</f>
        <v/>
      </c>
      <c r="J120" s="38">
        <f>IF(B120="","",IF(D120+F120&gt;0,F120/(D120+F120),""))</f>
        <v/>
      </c>
      <c r="K120" s="59">
        <f>IF(J120="","",RANK(J120,$J$6:$J$205,0))</f>
        <v/>
      </c>
      <c r="L120" s="29">
        <f>IF(J120="","",IF(J120&lt;=Einstellungen!$C$7,"unauffällig",IF(J120&lt;=Einstellungen!$C$8,"auffällig","kritisch")))</f>
        <v/>
      </c>
      <c r="M120" s="60">
        <f>IF(J120="",-1,J120+ROW()/1000000000)</f>
        <v/>
      </c>
    </row>
    <row r="121">
      <c r="A121" s="56">
        <f>IF(Mitarbeiter!B121="","",Mitarbeiter!A121)</f>
        <v/>
      </c>
      <c r="B121" s="57">
        <f>IF(Mitarbeiter!B121="","",Mitarbeiter!B121)</f>
        <v/>
      </c>
      <c r="C121" s="7">
        <f>IF(Mitarbeiter!B121="","",Mitarbeiter!G121)</f>
        <v/>
      </c>
      <c r="D121" s="54">
        <f>IF(B121="","",SUMIFS(Erfassung!$E$6:$E$5005,Erfassung!$B$6:$B$5005,A121,Erfassung!$A$6:$A$5005,"&gt;="&amp;DATE(Einstellungen!$C$3,1,1),Erfassung!$A$6:$A$5005,"&lt;"&amp;DATE(Einstellungen!$C$3+1,1,1)))</f>
        <v/>
      </c>
      <c r="E121" s="58">
        <f>IF(B121="","",IF(D121&gt;0,SUMIFS(Erfassung!$E$6:$E$5005,Erfassung!$B$6:$B$5005,A121,Erfassung!$D$6:$D$5005,Einstellungen!$C$4,Erfassung!$A$6:$A$5005,"&gt;="&amp;DATE(Einstellungen!$C$3,1,1),Erfassung!$A$6:$A$5005,"&lt;"&amp;DATE(Einstellungen!$C$3+1,1,1))/D121,""))</f>
        <v/>
      </c>
      <c r="F121" s="54">
        <f>IF(B121="","",SUMIFS(Erfassung!$G$6:$G$5005,Erfassung!$B$6:$B$5005,A121,Erfassung!$A$6:$A$5005,"&gt;="&amp;DATE(Einstellungen!$C$3,1,1),Erfassung!$A$6:$A$5005,"&lt;"&amp;DATE(Einstellungen!$C$3+1,1,1)))</f>
        <v/>
      </c>
      <c r="G121" s="54">
        <f>IF(B121="","",SUMIFS(Erfassung!$G$6:$G$5005,Erfassung!$B$6:$B$5005,A121,Erfassung!$D$6:$D$5005,Einstellungen!$C$4,Erfassung!$A$6:$A$5005,"&gt;="&amp;DATE(Einstellungen!$C$3,1,1),Erfassung!$A$6:$A$5005,"&lt;"&amp;DATE(Einstellungen!$C$3+1,1,1)))</f>
        <v/>
      </c>
      <c r="H121" s="54">
        <f>IF(B121="","",SUMIFS(Erfassung!$G$6:$G$5005,Erfassung!$B$6:$B$5005,A121,Erfassung!$D$6:$D$5005,Einstellungen!$C$5,Erfassung!$A$6:$A$5005,"&gt;="&amp;DATE(Einstellungen!$C$3,1,1),Erfassung!$A$6:$A$5005,"&lt;"&amp;DATE(Einstellungen!$C$3+1,1,1)))</f>
        <v/>
      </c>
      <c r="I121" s="34">
        <f>IF(B121="","",SUMIFS(Erfassung!$F$6:$F$5005,Erfassung!$B$6:$B$5005,A121,Erfassung!$A$6:$A$5005,"&gt;="&amp;DATE(Einstellungen!$C$3,1,1),Erfassung!$A$6:$A$5005,"&lt;"&amp;DATE(Einstellungen!$C$3+1,1,1)))</f>
        <v/>
      </c>
      <c r="J121" s="38">
        <f>IF(B121="","",IF(D121+F121&gt;0,F121/(D121+F121),""))</f>
        <v/>
      </c>
      <c r="K121" s="59">
        <f>IF(J121="","",RANK(J121,$J$6:$J$205,0))</f>
        <v/>
      </c>
      <c r="L121" s="29">
        <f>IF(J121="","",IF(J121&lt;=Einstellungen!$C$7,"unauffällig",IF(J121&lt;=Einstellungen!$C$8,"auffällig","kritisch")))</f>
        <v/>
      </c>
      <c r="M121" s="60">
        <f>IF(J121="",-1,J121+ROW()/1000000000)</f>
        <v/>
      </c>
    </row>
    <row r="122">
      <c r="A122" s="56">
        <f>IF(Mitarbeiter!B122="","",Mitarbeiter!A122)</f>
        <v/>
      </c>
      <c r="B122" s="57">
        <f>IF(Mitarbeiter!B122="","",Mitarbeiter!B122)</f>
        <v/>
      </c>
      <c r="C122" s="7">
        <f>IF(Mitarbeiter!B122="","",Mitarbeiter!G122)</f>
        <v/>
      </c>
      <c r="D122" s="54">
        <f>IF(B122="","",SUMIFS(Erfassung!$E$6:$E$5005,Erfassung!$B$6:$B$5005,A122,Erfassung!$A$6:$A$5005,"&gt;="&amp;DATE(Einstellungen!$C$3,1,1),Erfassung!$A$6:$A$5005,"&lt;"&amp;DATE(Einstellungen!$C$3+1,1,1)))</f>
        <v/>
      </c>
      <c r="E122" s="58">
        <f>IF(B122="","",IF(D122&gt;0,SUMIFS(Erfassung!$E$6:$E$5005,Erfassung!$B$6:$B$5005,A122,Erfassung!$D$6:$D$5005,Einstellungen!$C$4,Erfassung!$A$6:$A$5005,"&gt;="&amp;DATE(Einstellungen!$C$3,1,1),Erfassung!$A$6:$A$5005,"&lt;"&amp;DATE(Einstellungen!$C$3+1,1,1))/D122,""))</f>
        <v/>
      </c>
      <c r="F122" s="54">
        <f>IF(B122="","",SUMIFS(Erfassung!$G$6:$G$5005,Erfassung!$B$6:$B$5005,A122,Erfassung!$A$6:$A$5005,"&gt;="&amp;DATE(Einstellungen!$C$3,1,1),Erfassung!$A$6:$A$5005,"&lt;"&amp;DATE(Einstellungen!$C$3+1,1,1)))</f>
        <v/>
      </c>
      <c r="G122" s="54">
        <f>IF(B122="","",SUMIFS(Erfassung!$G$6:$G$5005,Erfassung!$B$6:$B$5005,A122,Erfassung!$D$6:$D$5005,Einstellungen!$C$4,Erfassung!$A$6:$A$5005,"&gt;="&amp;DATE(Einstellungen!$C$3,1,1),Erfassung!$A$6:$A$5005,"&lt;"&amp;DATE(Einstellungen!$C$3+1,1,1)))</f>
        <v/>
      </c>
      <c r="H122" s="54">
        <f>IF(B122="","",SUMIFS(Erfassung!$G$6:$G$5005,Erfassung!$B$6:$B$5005,A122,Erfassung!$D$6:$D$5005,Einstellungen!$C$5,Erfassung!$A$6:$A$5005,"&gt;="&amp;DATE(Einstellungen!$C$3,1,1),Erfassung!$A$6:$A$5005,"&lt;"&amp;DATE(Einstellungen!$C$3+1,1,1)))</f>
        <v/>
      </c>
      <c r="I122" s="34">
        <f>IF(B122="","",SUMIFS(Erfassung!$F$6:$F$5005,Erfassung!$B$6:$B$5005,A122,Erfassung!$A$6:$A$5005,"&gt;="&amp;DATE(Einstellungen!$C$3,1,1),Erfassung!$A$6:$A$5005,"&lt;"&amp;DATE(Einstellungen!$C$3+1,1,1)))</f>
        <v/>
      </c>
      <c r="J122" s="38">
        <f>IF(B122="","",IF(D122+F122&gt;0,F122/(D122+F122),""))</f>
        <v/>
      </c>
      <c r="K122" s="59">
        <f>IF(J122="","",RANK(J122,$J$6:$J$205,0))</f>
        <v/>
      </c>
      <c r="L122" s="29">
        <f>IF(J122="","",IF(J122&lt;=Einstellungen!$C$7,"unauffällig",IF(J122&lt;=Einstellungen!$C$8,"auffällig","kritisch")))</f>
        <v/>
      </c>
      <c r="M122" s="60">
        <f>IF(J122="",-1,J122+ROW()/1000000000)</f>
        <v/>
      </c>
    </row>
    <row r="123">
      <c r="A123" s="56">
        <f>IF(Mitarbeiter!B123="","",Mitarbeiter!A123)</f>
        <v/>
      </c>
      <c r="B123" s="57">
        <f>IF(Mitarbeiter!B123="","",Mitarbeiter!B123)</f>
        <v/>
      </c>
      <c r="C123" s="7">
        <f>IF(Mitarbeiter!B123="","",Mitarbeiter!G123)</f>
        <v/>
      </c>
      <c r="D123" s="54">
        <f>IF(B123="","",SUMIFS(Erfassung!$E$6:$E$5005,Erfassung!$B$6:$B$5005,A123,Erfassung!$A$6:$A$5005,"&gt;="&amp;DATE(Einstellungen!$C$3,1,1),Erfassung!$A$6:$A$5005,"&lt;"&amp;DATE(Einstellungen!$C$3+1,1,1)))</f>
        <v/>
      </c>
      <c r="E123" s="58">
        <f>IF(B123="","",IF(D123&gt;0,SUMIFS(Erfassung!$E$6:$E$5005,Erfassung!$B$6:$B$5005,A123,Erfassung!$D$6:$D$5005,Einstellungen!$C$4,Erfassung!$A$6:$A$5005,"&gt;="&amp;DATE(Einstellungen!$C$3,1,1),Erfassung!$A$6:$A$5005,"&lt;"&amp;DATE(Einstellungen!$C$3+1,1,1))/D123,""))</f>
        <v/>
      </c>
      <c r="F123" s="54">
        <f>IF(B123="","",SUMIFS(Erfassung!$G$6:$G$5005,Erfassung!$B$6:$B$5005,A123,Erfassung!$A$6:$A$5005,"&gt;="&amp;DATE(Einstellungen!$C$3,1,1),Erfassung!$A$6:$A$5005,"&lt;"&amp;DATE(Einstellungen!$C$3+1,1,1)))</f>
        <v/>
      </c>
      <c r="G123" s="54">
        <f>IF(B123="","",SUMIFS(Erfassung!$G$6:$G$5005,Erfassung!$B$6:$B$5005,A123,Erfassung!$D$6:$D$5005,Einstellungen!$C$4,Erfassung!$A$6:$A$5005,"&gt;="&amp;DATE(Einstellungen!$C$3,1,1),Erfassung!$A$6:$A$5005,"&lt;"&amp;DATE(Einstellungen!$C$3+1,1,1)))</f>
        <v/>
      </c>
      <c r="H123" s="54">
        <f>IF(B123="","",SUMIFS(Erfassung!$G$6:$G$5005,Erfassung!$B$6:$B$5005,A123,Erfassung!$D$6:$D$5005,Einstellungen!$C$5,Erfassung!$A$6:$A$5005,"&gt;="&amp;DATE(Einstellungen!$C$3,1,1),Erfassung!$A$6:$A$5005,"&lt;"&amp;DATE(Einstellungen!$C$3+1,1,1)))</f>
        <v/>
      </c>
      <c r="I123" s="34">
        <f>IF(B123="","",SUMIFS(Erfassung!$F$6:$F$5005,Erfassung!$B$6:$B$5005,A123,Erfassung!$A$6:$A$5005,"&gt;="&amp;DATE(Einstellungen!$C$3,1,1),Erfassung!$A$6:$A$5005,"&lt;"&amp;DATE(Einstellungen!$C$3+1,1,1)))</f>
        <v/>
      </c>
      <c r="J123" s="38">
        <f>IF(B123="","",IF(D123+F123&gt;0,F123/(D123+F123),""))</f>
        <v/>
      </c>
      <c r="K123" s="59">
        <f>IF(J123="","",RANK(J123,$J$6:$J$205,0))</f>
        <v/>
      </c>
      <c r="L123" s="29">
        <f>IF(J123="","",IF(J123&lt;=Einstellungen!$C$7,"unauffällig",IF(J123&lt;=Einstellungen!$C$8,"auffällig","kritisch")))</f>
        <v/>
      </c>
      <c r="M123" s="60">
        <f>IF(J123="",-1,J123+ROW()/1000000000)</f>
        <v/>
      </c>
    </row>
    <row r="124">
      <c r="A124" s="56">
        <f>IF(Mitarbeiter!B124="","",Mitarbeiter!A124)</f>
        <v/>
      </c>
      <c r="B124" s="57">
        <f>IF(Mitarbeiter!B124="","",Mitarbeiter!B124)</f>
        <v/>
      </c>
      <c r="C124" s="7">
        <f>IF(Mitarbeiter!B124="","",Mitarbeiter!G124)</f>
        <v/>
      </c>
      <c r="D124" s="54">
        <f>IF(B124="","",SUMIFS(Erfassung!$E$6:$E$5005,Erfassung!$B$6:$B$5005,A124,Erfassung!$A$6:$A$5005,"&gt;="&amp;DATE(Einstellungen!$C$3,1,1),Erfassung!$A$6:$A$5005,"&lt;"&amp;DATE(Einstellungen!$C$3+1,1,1)))</f>
        <v/>
      </c>
      <c r="E124" s="58">
        <f>IF(B124="","",IF(D124&gt;0,SUMIFS(Erfassung!$E$6:$E$5005,Erfassung!$B$6:$B$5005,A124,Erfassung!$D$6:$D$5005,Einstellungen!$C$4,Erfassung!$A$6:$A$5005,"&gt;="&amp;DATE(Einstellungen!$C$3,1,1),Erfassung!$A$6:$A$5005,"&lt;"&amp;DATE(Einstellungen!$C$3+1,1,1))/D124,""))</f>
        <v/>
      </c>
      <c r="F124" s="54">
        <f>IF(B124="","",SUMIFS(Erfassung!$G$6:$G$5005,Erfassung!$B$6:$B$5005,A124,Erfassung!$A$6:$A$5005,"&gt;="&amp;DATE(Einstellungen!$C$3,1,1),Erfassung!$A$6:$A$5005,"&lt;"&amp;DATE(Einstellungen!$C$3+1,1,1)))</f>
        <v/>
      </c>
      <c r="G124" s="54">
        <f>IF(B124="","",SUMIFS(Erfassung!$G$6:$G$5005,Erfassung!$B$6:$B$5005,A124,Erfassung!$D$6:$D$5005,Einstellungen!$C$4,Erfassung!$A$6:$A$5005,"&gt;="&amp;DATE(Einstellungen!$C$3,1,1),Erfassung!$A$6:$A$5005,"&lt;"&amp;DATE(Einstellungen!$C$3+1,1,1)))</f>
        <v/>
      </c>
      <c r="H124" s="54">
        <f>IF(B124="","",SUMIFS(Erfassung!$G$6:$G$5005,Erfassung!$B$6:$B$5005,A124,Erfassung!$D$6:$D$5005,Einstellungen!$C$5,Erfassung!$A$6:$A$5005,"&gt;="&amp;DATE(Einstellungen!$C$3,1,1),Erfassung!$A$6:$A$5005,"&lt;"&amp;DATE(Einstellungen!$C$3+1,1,1)))</f>
        <v/>
      </c>
      <c r="I124" s="34">
        <f>IF(B124="","",SUMIFS(Erfassung!$F$6:$F$5005,Erfassung!$B$6:$B$5005,A124,Erfassung!$A$6:$A$5005,"&gt;="&amp;DATE(Einstellungen!$C$3,1,1),Erfassung!$A$6:$A$5005,"&lt;"&amp;DATE(Einstellungen!$C$3+1,1,1)))</f>
        <v/>
      </c>
      <c r="J124" s="38">
        <f>IF(B124="","",IF(D124+F124&gt;0,F124/(D124+F124),""))</f>
        <v/>
      </c>
      <c r="K124" s="59">
        <f>IF(J124="","",RANK(J124,$J$6:$J$205,0))</f>
        <v/>
      </c>
      <c r="L124" s="29">
        <f>IF(J124="","",IF(J124&lt;=Einstellungen!$C$7,"unauffällig",IF(J124&lt;=Einstellungen!$C$8,"auffällig","kritisch")))</f>
        <v/>
      </c>
      <c r="M124" s="60">
        <f>IF(J124="",-1,J124+ROW()/1000000000)</f>
        <v/>
      </c>
    </row>
    <row r="125">
      <c r="A125" s="56">
        <f>IF(Mitarbeiter!B125="","",Mitarbeiter!A125)</f>
        <v/>
      </c>
      <c r="B125" s="57">
        <f>IF(Mitarbeiter!B125="","",Mitarbeiter!B125)</f>
        <v/>
      </c>
      <c r="C125" s="7">
        <f>IF(Mitarbeiter!B125="","",Mitarbeiter!G125)</f>
        <v/>
      </c>
      <c r="D125" s="54">
        <f>IF(B125="","",SUMIFS(Erfassung!$E$6:$E$5005,Erfassung!$B$6:$B$5005,A125,Erfassung!$A$6:$A$5005,"&gt;="&amp;DATE(Einstellungen!$C$3,1,1),Erfassung!$A$6:$A$5005,"&lt;"&amp;DATE(Einstellungen!$C$3+1,1,1)))</f>
        <v/>
      </c>
      <c r="E125" s="58">
        <f>IF(B125="","",IF(D125&gt;0,SUMIFS(Erfassung!$E$6:$E$5005,Erfassung!$B$6:$B$5005,A125,Erfassung!$D$6:$D$5005,Einstellungen!$C$4,Erfassung!$A$6:$A$5005,"&gt;="&amp;DATE(Einstellungen!$C$3,1,1),Erfassung!$A$6:$A$5005,"&lt;"&amp;DATE(Einstellungen!$C$3+1,1,1))/D125,""))</f>
        <v/>
      </c>
      <c r="F125" s="54">
        <f>IF(B125="","",SUMIFS(Erfassung!$G$6:$G$5005,Erfassung!$B$6:$B$5005,A125,Erfassung!$A$6:$A$5005,"&gt;="&amp;DATE(Einstellungen!$C$3,1,1),Erfassung!$A$6:$A$5005,"&lt;"&amp;DATE(Einstellungen!$C$3+1,1,1)))</f>
        <v/>
      </c>
      <c r="G125" s="54">
        <f>IF(B125="","",SUMIFS(Erfassung!$G$6:$G$5005,Erfassung!$B$6:$B$5005,A125,Erfassung!$D$6:$D$5005,Einstellungen!$C$4,Erfassung!$A$6:$A$5005,"&gt;="&amp;DATE(Einstellungen!$C$3,1,1),Erfassung!$A$6:$A$5005,"&lt;"&amp;DATE(Einstellungen!$C$3+1,1,1)))</f>
        <v/>
      </c>
      <c r="H125" s="54">
        <f>IF(B125="","",SUMIFS(Erfassung!$G$6:$G$5005,Erfassung!$B$6:$B$5005,A125,Erfassung!$D$6:$D$5005,Einstellungen!$C$5,Erfassung!$A$6:$A$5005,"&gt;="&amp;DATE(Einstellungen!$C$3,1,1),Erfassung!$A$6:$A$5005,"&lt;"&amp;DATE(Einstellungen!$C$3+1,1,1)))</f>
        <v/>
      </c>
      <c r="I125" s="34">
        <f>IF(B125="","",SUMIFS(Erfassung!$F$6:$F$5005,Erfassung!$B$6:$B$5005,A125,Erfassung!$A$6:$A$5005,"&gt;="&amp;DATE(Einstellungen!$C$3,1,1),Erfassung!$A$6:$A$5005,"&lt;"&amp;DATE(Einstellungen!$C$3+1,1,1)))</f>
        <v/>
      </c>
      <c r="J125" s="38">
        <f>IF(B125="","",IF(D125+F125&gt;0,F125/(D125+F125),""))</f>
        <v/>
      </c>
      <c r="K125" s="59">
        <f>IF(J125="","",RANK(J125,$J$6:$J$205,0))</f>
        <v/>
      </c>
      <c r="L125" s="29">
        <f>IF(J125="","",IF(J125&lt;=Einstellungen!$C$7,"unauffällig",IF(J125&lt;=Einstellungen!$C$8,"auffällig","kritisch")))</f>
        <v/>
      </c>
      <c r="M125" s="60">
        <f>IF(J125="",-1,J125+ROW()/1000000000)</f>
        <v/>
      </c>
    </row>
    <row r="126">
      <c r="A126" s="56">
        <f>IF(Mitarbeiter!B126="","",Mitarbeiter!A126)</f>
        <v/>
      </c>
      <c r="B126" s="57">
        <f>IF(Mitarbeiter!B126="","",Mitarbeiter!B126)</f>
        <v/>
      </c>
      <c r="C126" s="7">
        <f>IF(Mitarbeiter!B126="","",Mitarbeiter!G126)</f>
        <v/>
      </c>
      <c r="D126" s="54">
        <f>IF(B126="","",SUMIFS(Erfassung!$E$6:$E$5005,Erfassung!$B$6:$B$5005,A126,Erfassung!$A$6:$A$5005,"&gt;="&amp;DATE(Einstellungen!$C$3,1,1),Erfassung!$A$6:$A$5005,"&lt;"&amp;DATE(Einstellungen!$C$3+1,1,1)))</f>
        <v/>
      </c>
      <c r="E126" s="58">
        <f>IF(B126="","",IF(D126&gt;0,SUMIFS(Erfassung!$E$6:$E$5005,Erfassung!$B$6:$B$5005,A126,Erfassung!$D$6:$D$5005,Einstellungen!$C$4,Erfassung!$A$6:$A$5005,"&gt;="&amp;DATE(Einstellungen!$C$3,1,1),Erfassung!$A$6:$A$5005,"&lt;"&amp;DATE(Einstellungen!$C$3+1,1,1))/D126,""))</f>
        <v/>
      </c>
      <c r="F126" s="54">
        <f>IF(B126="","",SUMIFS(Erfassung!$G$6:$G$5005,Erfassung!$B$6:$B$5005,A126,Erfassung!$A$6:$A$5005,"&gt;="&amp;DATE(Einstellungen!$C$3,1,1),Erfassung!$A$6:$A$5005,"&lt;"&amp;DATE(Einstellungen!$C$3+1,1,1)))</f>
        <v/>
      </c>
      <c r="G126" s="54">
        <f>IF(B126="","",SUMIFS(Erfassung!$G$6:$G$5005,Erfassung!$B$6:$B$5005,A126,Erfassung!$D$6:$D$5005,Einstellungen!$C$4,Erfassung!$A$6:$A$5005,"&gt;="&amp;DATE(Einstellungen!$C$3,1,1),Erfassung!$A$6:$A$5005,"&lt;"&amp;DATE(Einstellungen!$C$3+1,1,1)))</f>
        <v/>
      </c>
      <c r="H126" s="54">
        <f>IF(B126="","",SUMIFS(Erfassung!$G$6:$G$5005,Erfassung!$B$6:$B$5005,A126,Erfassung!$D$6:$D$5005,Einstellungen!$C$5,Erfassung!$A$6:$A$5005,"&gt;="&amp;DATE(Einstellungen!$C$3,1,1),Erfassung!$A$6:$A$5005,"&lt;"&amp;DATE(Einstellungen!$C$3+1,1,1)))</f>
        <v/>
      </c>
      <c r="I126" s="34">
        <f>IF(B126="","",SUMIFS(Erfassung!$F$6:$F$5005,Erfassung!$B$6:$B$5005,A126,Erfassung!$A$6:$A$5005,"&gt;="&amp;DATE(Einstellungen!$C$3,1,1),Erfassung!$A$6:$A$5005,"&lt;"&amp;DATE(Einstellungen!$C$3+1,1,1)))</f>
        <v/>
      </c>
      <c r="J126" s="38">
        <f>IF(B126="","",IF(D126+F126&gt;0,F126/(D126+F126),""))</f>
        <v/>
      </c>
      <c r="K126" s="59">
        <f>IF(J126="","",RANK(J126,$J$6:$J$205,0))</f>
        <v/>
      </c>
      <c r="L126" s="29">
        <f>IF(J126="","",IF(J126&lt;=Einstellungen!$C$7,"unauffällig",IF(J126&lt;=Einstellungen!$C$8,"auffällig","kritisch")))</f>
        <v/>
      </c>
      <c r="M126" s="60">
        <f>IF(J126="",-1,J126+ROW()/1000000000)</f>
        <v/>
      </c>
    </row>
    <row r="127">
      <c r="A127" s="56">
        <f>IF(Mitarbeiter!B127="","",Mitarbeiter!A127)</f>
        <v/>
      </c>
      <c r="B127" s="57">
        <f>IF(Mitarbeiter!B127="","",Mitarbeiter!B127)</f>
        <v/>
      </c>
      <c r="C127" s="7">
        <f>IF(Mitarbeiter!B127="","",Mitarbeiter!G127)</f>
        <v/>
      </c>
      <c r="D127" s="54">
        <f>IF(B127="","",SUMIFS(Erfassung!$E$6:$E$5005,Erfassung!$B$6:$B$5005,A127,Erfassung!$A$6:$A$5005,"&gt;="&amp;DATE(Einstellungen!$C$3,1,1),Erfassung!$A$6:$A$5005,"&lt;"&amp;DATE(Einstellungen!$C$3+1,1,1)))</f>
        <v/>
      </c>
      <c r="E127" s="58">
        <f>IF(B127="","",IF(D127&gt;0,SUMIFS(Erfassung!$E$6:$E$5005,Erfassung!$B$6:$B$5005,A127,Erfassung!$D$6:$D$5005,Einstellungen!$C$4,Erfassung!$A$6:$A$5005,"&gt;="&amp;DATE(Einstellungen!$C$3,1,1),Erfassung!$A$6:$A$5005,"&lt;"&amp;DATE(Einstellungen!$C$3+1,1,1))/D127,""))</f>
        <v/>
      </c>
      <c r="F127" s="54">
        <f>IF(B127="","",SUMIFS(Erfassung!$G$6:$G$5005,Erfassung!$B$6:$B$5005,A127,Erfassung!$A$6:$A$5005,"&gt;="&amp;DATE(Einstellungen!$C$3,1,1),Erfassung!$A$6:$A$5005,"&lt;"&amp;DATE(Einstellungen!$C$3+1,1,1)))</f>
        <v/>
      </c>
      <c r="G127" s="54">
        <f>IF(B127="","",SUMIFS(Erfassung!$G$6:$G$5005,Erfassung!$B$6:$B$5005,A127,Erfassung!$D$6:$D$5005,Einstellungen!$C$4,Erfassung!$A$6:$A$5005,"&gt;="&amp;DATE(Einstellungen!$C$3,1,1),Erfassung!$A$6:$A$5005,"&lt;"&amp;DATE(Einstellungen!$C$3+1,1,1)))</f>
        <v/>
      </c>
      <c r="H127" s="54">
        <f>IF(B127="","",SUMIFS(Erfassung!$G$6:$G$5005,Erfassung!$B$6:$B$5005,A127,Erfassung!$D$6:$D$5005,Einstellungen!$C$5,Erfassung!$A$6:$A$5005,"&gt;="&amp;DATE(Einstellungen!$C$3,1,1),Erfassung!$A$6:$A$5005,"&lt;"&amp;DATE(Einstellungen!$C$3+1,1,1)))</f>
        <v/>
      </c>
      <c r="I127" s="34">
        <f>IF(B127="","",SUMIFS(Erfassung!$F$6:$F$5005,Erfassung!$B$6:$B$5005,A127,Erfassung!$A$6:$A$5005,"&gt;="&amp;DATE(Einstellungen!$C$3,1,1),Erfassung!$A$6:$A$5005,"&lt;"&amp;DATE(Einstellungen!$C$3+1,1,1)))</f>
        <v/>
      </c>
      <c r="J127" s="38">
        <f>IF(B127="","",IF(D127+F127&gt;0,F127/(D127+F127),""))</f>
        <v/>
      </c>
      <c r="K127" s="59">
        <f>IF(J127="","",RANK(J127,$J$6:$J$205,0))</f>
        <v/>
      </c>
      <c r="L127" s="29">
        <f>IF(J127="","",IF(J127&lt;=Einstellungen!$C$7,"unauffällig",IF(J127&lt;=Einstellungen!$C$8,"auffällig","kritisch")))</f>
        <v/>
      </c>
      <c r="M127" s="60">
        <f>IF(J127="",-1,J127+ROW()/1000000000)</f>
        <v/>
      </c>
    </row>
    <row r="128">
      <c r="A128" s="56">
        <f>IF(Mitarbeiter!B128="","",Mitarbeiter!A128)</f>
        <v/>
      </c>
      <c r="B128" s="57">
        <f>IF(Mitarbeiter!B128="","",Mitarbeiter!B128)</f>
        <v/>
      </c>
      <c r="C128" s="7">
        <f>IF(Mitarbeiter!B128="","",Mitarbeiter!G128)</f>
        <v/>
      </c>
      <c r="D128" s="54">
        <f>IF(B128="","",SUMIFS(Erfassung!$E$6:$E$5005,Erfassung!$B$6:$B$5005,A128,Erfassung!$A$6:$A$5005,"&gt;="&amp;DATE(Einstellungen!$C$3,1,1),Erfassung!$A$6:$A$5005,"&lt;"&amp;DATE(Einstellungen!$C$3+1,1,1)))</f>
        <v/>
      </c>
      <c r="E128" s="58">
        <f>IF(B128="","",IF(D128&gt;0,SUMIFS(Erfassung!$E$6:$E$5005,Erfassung!$B$6:$B$5005,A128,Erfassung!$D$6:$D$5005,Einstellungen!$C$4,Erfassung!$A$6:$A$5005,"&gt;="&amp;DATE(Einstellungen!$C$3,1,1),Erfassung!$A$6:$A$5005,"&lt;"&amp;DATE(Einstellungen!$C$3+1,1,1))/D128,""))</f>
        <v/>
      </c>
      <c r="F128" s="54">
        <f>IF(B128="","",SUMIFS(Erfassung!$G$6:$G$5005,Erfassung!$B$6:$B$5005,A128,Erfassung!$A$6:$A$5005,"&gt;="&amp;DATE(Einstellungen!$C$3,1,1),Erfassung!$A$6:$A$5005,"&lt;"&amp;DATE(Einstellungen!$C$3+1,1,1)))</f>
        <v/>
      </c>
      <c r="G128" s="54">
        <f>IF(B128="","",SUMIFS(Erfassung!$G$6:$G$5005,Erfassung!$B$6:$B$5005,A128,Erfassung!$D$6:$D$5005,Einstellungen!$C$4,Erfassung!$A$6:$A$5005,"&gt;="&amp;DATE(Einstellungen!$C$3,1,1),Erfassung!$A$6:$A$5005,"&lt;"&amp;DATE(Einstellungen!$C$3+1,1,1)))</f>
        <v/>
      </c>
      <c r="H128" s="54">
        <f>IF(B128="","",SUMIFS(Erfassung!$G$6:$G$5005,Erfassung!$B$6:$B$5005,A128,Erfassung!$D$6:$D$5005,Einstellungen!$C$5,Erfassung!$A$6:$A$5005,"&gt;="&amp;DATE(Einstellungen!$C$3,1,1),Erfassung!$A$6:$A$5005,"&lt;"&amp;DATE(Einstellungen!$C$3+1,1,1)))</f>
        <v/>
      </c>
      <c r="I128" s="34">
        <f>IF(B128="","",SUMIFS(Erfassung!$F$6:$F$5005,Erfassung!$B$6:$B$5005,A128,Erfassung!$A$6:$A$5005,"&gt;="&amp;DATE(Einstellungen!$C$3,1,1),Erfassung!$A$6:$A$5005,"&lt;"&amp;DATE(Einstellungen!$C$3+1,1,1)))</f>
        <v/>
      </c>
      <c r="J128" s="38">
        <f>IF(B128="","",IF(D128+F128&gt;0,F128/(D128+F128),""))</f>
        <v/>
      </c>
      <c r="K128" s="59">
        <f>IF(J128="","",RANK(J128,$J$6:$J$205,0))</f>
        <v/>
      </c>
      <c r="L128" s="29">
        <f>IF(J128="","",IF(J128&lt;=Einstellungen!$C$7,"unauffällig",IF(J128&lt;=Einstellungen!$C$8,"auffällig","kritisch")))</f>
        <v/>
      </c>
      <c r="M128" s="60">
        <f>IF(J128="",-1,J128+ROW()/1000000000)</f>
        <v/>
      </c>
    </row>
    <row r="129">
      <c r="A129" s="56">
        <f>IF(Mitarbeiter!B129="","",Mitarbeiter!A129)</f>
        <v/>
      </c>
      <c r="B129" s="57">
        <f>IF(Mitarbeiter!B129="","",Mitarbeiter!B129)</f>
        <v/>
      </c>
      <c r="C129" s="7">
        <f>IF(Mitarbeiter!B129="","",Mitarbeiter!G129)</f>
        <v/>
      </c>
      <c r="D129" s="54">
        <f>IF(B129="","",SUMIFS(Erfassung!$E$6:$E$5005,Erfassung!$B$6:$B$5005,A129,Erfassung!$A$6:$A$5005,"&gt;="&amp;DATE(Einstellungen!$C$3,1,1),Erfassung!$A$6:$A$5005,"&lt;"&amp;DATE(Einstellungen!$C$3+1,1,1)))</f>
        <v/>
      </c>
      <c r="E129" s="58">
        <f>IF(B129="","",IF(D129&gt;0,SUMIFS(Erfassung!$E$6:$E$5005,Erfassung!$B$6:$B$5005,A129,Erfassung!$D$6:$D$5005,Einstellungen!$C$4,Erfassung!$A$6:$A$5005,"&gt;="&amp;DATE(Einstellungen!$C$3,1,1),Erfassung!$A$6:$A$5005,"&lt;"&amp;DATE(Einstellungen!$C$3+1,1,1))/D129,""))</f>
        <v/>
      </c>
      <c r="F129" s="54">
        <f>IF(B129="","",SUMIFS(Erfassung!$G$6:$G$5005,Erfassung!$B$6:$B$5005,A129,Erfassung!$A$6:$A$5005,"&gt;="&amp;DATE(Einstellungen!$C$3,1,1),Erfassung!$A$6:$A$5005,"&lt;"&amp;DATE(Einstellungen!$C$3+1,1,1)))</f>
        <v/>
      </c>
      <c r="G129" s="54">
        <f>IF(B129="","",SUMIFS(Erfassung!$G$6:$G$5005,Erfassung!$B$6:$B$5005,A129,Erfassung!$D$6:$D$5005,Einstellungen!$C$4,Erfassung!$A$6:$A$5005,"&gt;="&amp;DATE(Einstellungen!$C$3,1,1),Erfassung!$A$6:$A$5005,"&lt;"&amp;DATE(Einstellungen!$C$3+1,1,1)))</f>
        <v/>
      </c>
      <c r="H129" s="54">
        <f>IF(B129="","",SUMIFS(Erfassung!$G$6:$G$5005,Erfassung!$B$6:$B$5005,A129,Erfassung!$D$6:$D$5005,Einstellungen!$C$5,Erfassung!$A$6:$A$5005,"&gt;="&amp;DATE(Einstellungen!$C$3,1,1),Erfassung!$A$6:$A$5005,"&lt;"&amp;DATE(Einstellungen!$C$3+1,1,1)))</f>
        <v/>
      </c>
      <c r="I129" s="34">
        <f>IF(B129="","",SUMIFS(Erfassung!$F$6:$F$5005,Erfassung!$B$6:$B$5005,A129,Erfassung!$A$6:$A$5005,"&gt;="&amp;DATE(Einstellungen!$C$3,1,1),Erfassung!$A$6:$A$5005,"&lt;"&amp;DATE(Einstellungen!$C$3+1,1,1)))</f>
        <v/>
      </c>
      <c r="J129" s="38">
        <f>IF(B129="","",IF(D129+F129&gt;0,F129/(D129+F129),""))</f>
        <v/>
      </c>
      <c r="K129" s="59">
        <f>IF(J129="","",RANK(J129,$J$6:$J$205,0))</f>
        <v/>
      </c>
      <c r="L129" s="29">
        <f>IF(J129="","",IF(J129&lt;=Einstellungen!$C$7,"unauffällig",IF(J129&lt;=Einstellungen!$C$8,"auffällig","kritisch")))</f>
        <v/>
      </c>
      <c r="M129" s="60">
        <f>IF(J129="",-1,J129+ROW()/1000000000)</f>
        <v/>
      </c>
    </row>
    <row r="130">
      <c r="A130" s="56">
        <f>IF(Mitarbeiter!B130="","",Mitarbeiter!A130)</f>
        <v/>
      </c>
      <c r="B130" s="57">
        <f>IF(Mitarbeiter!B130="","",Mitarbeiter!B130)</f>
        <v/>
      </c>
      <c r="C130" s="7">
        <f>IF(Mitarbeiter!B130="","",Mitarbeiter!G130)</f>
        <v/>
      </c>
      <c r="D130" s="54">
        <f>IF(B130="","",SUMIFS(Erfassung!$E$6:$E$5005,Erfassung!$B$6:$B$5005,A130,Erfassung!$A$6:$A$5005,"&gt;="&amp;DATE(Einstellungen!$C$3,1,1),Erfassung!$A$6:$A$5005,"&lt;"&amp;DATE(Einstellungen!$C$3+1,1,1)))</f>
        <v/>
      </c>
      <c r="E130" s="58">
        <f>IF(B130="","",IF(D130&gt;0,SUMIFS(Erfassung!$E$6:$E$5005,Erfassung!$B$6:$B$5005,A130,Erfassung!$D$6:$D$5005,Einstellungen!$C$4,Erfassung!$A$6:$A$5005,"&gt;="&amp;DATE(Einstellungen!$C$3,1,1),Erfassung!$A$6:$A$5005,"&lt;"&amp;DATE(Einstellungen!$C$3+1,1,1))/D130,""))</f>
        <v/>
      </c>
      <c r="F130" s="54">
        <f>IF(B130="","",SUMIFS(Erfassung!$G$6:$G$5005,Erfassung!$B$6:$B$5005,A130,Erfassung!$A$6:$A$5005,"&gt;="&amp;DATE(Einstellungen!$C$3,1,1),Erfassung!$A$6:$A$5005,"&lt;"&amp;DATE(Einstellungen!$C$3+1,1,1)))</f>
        <v/>
      </c>
      <c r="G130" s="54">
        <f>IF(B130="","",SUMIFS(Erfassung!$G$6:$G$5005,Erfassung!$B$6:$B$5005,A130,Erfassung!$D$6:$D$5005,Einstellungen!$C$4,Erfassung!$A$6:$A$5005,"&gt;="&amp;DATE(Einstellungen!$C$3,1,1),Erfassung!$A$6:$A$5005,"&lt;"&amp;DATE(Einstellungen!$C$3+1,1,1)))</f>
        <v/>
      </c>
      <c r="H130" s="54">
        <f>IF(B130="","",SUMIFS(Erfassung!$G$6:$G$5005,Erfassung!$B$6:$B$5005,A130,Erfassung!$D$6:$D$5005,Einstellungen!$C$5,Erfassung!$A$6:$A$5005,"&gt;="&amp;DATE(Einstellungen!$C$3,1,1),Erfassung!$A$6:$A$5005,"&lt;"&amp;DATE(Einstellungen!$C$3+1,1,1)))</f>
        <v/>
      </c>
      <c r="I130" s="34">
        <f>IF(B130="","",SUMIFS(Erfassung!$F$6:$F$5005,Erfassung!$B$6:$B$5005,A130,Erfassung!$A$6:$A$5005,"&gt;="&amp;DATE(Einstellungen!$C$3,1,1),Erfassung!$A$6:$A$5005,"&lt;"&amp;DATE(Einstellungen!$C$3+1,1,1)))</f>
        <v/>
      </c>
      <c r="J130" s="38">
        <f>IF(B130="","",IF(D130+F130&gt;0,F130/(D130+F130),""))</f>
        <v/>
      </c>
      <c r="K130" s="59">
        <f>IF(J130="","",RANK(J130,$J$6:$J$205,0))</f>
        <v/>
      </c>
      <c r="L130" s="29">
        <f>IF(J130="","",IF(J130&lt;=Einstellungen!$C$7,"unauffällig",IF(J130&lt;=Einstellungen!$C$8,"auffällig","kritisch")))</f>
        <v/>
      </c>
      <c r="M130" s="60">
        <f>IF(J130="",-1,J130+ROW()/1000000000)</f>
        <v/>
      </c>
    </row>
    <row r="131">
      <c r="A131" s="56">
        <f>IF(Mitarbeiter!B131="","",Mitarbeiter!A131)</f>
        <v/>
      </c>
      <c r="B131" s="57">
        <f>IF(Mitarbeiter!B131="","",Mitarbeiter!B131)</f>
        <v/>
      </c>
      <c r="C131" s="7">
        <f>IF(Mitarbeiter!B131="","",Mitarbeiter!G131)</f>
        <v/>
      </c>
      <c r="D131" s="54">
        <f>IF(B131="","",SUMIFS(Erfassung!$E$6:$E$5005,Erfassung!$B$6:$B$5005,A131,Erfassung!$A$6:$A$5005,"&gt;="&amp;DATE(Einstellungen!$C$3,1,1),Erfassung!$A$6:$A$5005,"&lt;"&amp;DATE(Einstellungen!$C$3+1,1,1)))</f>
        <v/>
      </c>
      <c r="E131" s="58">
        <f>IF(B131="","",IF(D131&gt;0,SUMIFS(Erfassung!$E$6:$E$5005,Erfassung!$B$6:$B$5005,A131,Erfassung!$D$6:$D$5005,Einstellungen!$C$4,Erfassung!$A$6:$A$5005,"&gt;="&amp;DATE(Einstellungen!$C$3,1,1),Erfassung!$A$6:$A$5005,"&lt;"&amp;DATE(Einstellungen!$C$3+1,1,1))/D131,""))</f>
        <v/>
      </c>
      <c r="F131" s="54">
        <f>IF(B131="","",SUMIFS(Erfassung!$G$6:$G$5005,Erfassung!$B$6:$B$5005,A131,Erfassung!$A$6:$A$5005,"&gt;="&amp;DATE(Einstellungen!$C$3,1,1),Erfassung!$A$6:$A$5005,"&lt;"&amp;DATE(Einstellungen!$C$3+1,1,1)))</f>
        <v/>
      </c>
      <c r="G131" s="54">
        <f>IF(B131="","",SUMIFS(Erfassung!$G$6:$G$5005,Erfassung!$B$6:$B$5005,A131,Erfassung!$D$6:$D$5005,Einstellungen!$C$4,Erfassung!$A$6:$A$5005,"&gt;="&amp;DATE(Einstellungen!$C$3,1,1),Erfassung!$A$6:$A$5005,"&lt;"&amp;DATE(Einstellungen!$C$3+1,1,1)))</f>
        <v/>
      </c>
      <c r="H131" s="54">
        <f>IF(B131="","",SUMIFS(Erfassung!$G$6:$G$5005,Erfassung!$B$6:$B$5005,A131,Erfassung!$D$6:$D$5005,Einstellungen!$C$5,Erfassung!$A$6:$A$5005,"&gt;="&amp;DATE(Einstellungen!$C$3,1,1),Erfassung!$A$6:$A$5005,"&lt;"&amp;DATE(Einstellungen!$C$3+1,1,1)))</f>
        <v/>
      </c>
      <c r="I131" s="34">
        <f>IF(B131="","",SUMIFS(Erfassung!$F$6:$F$5005,Erfassung!$B$6:$B$5005,A131,Erfassung!$A$6:$A$5005,"&gt;="&amp;DATE(Einstellungen!$C$3,1,1),Erfassung!$A$6:$A$5005,"&lt;"&amp;DATE(Einstellungen!$C$3+1,1,1)))</f>
        <v/>
      </c>
      <c r="J131" s="38">
        <f>IF(B131="","",IF(D131+F131&gt;0,F131/(D131+F131),""))</f>
        <v/>
      </c>
      <c r="K131" s="59">
        <f>IF(J131="","",RANK(J131,$J$6:$J$205,0))</f>
        <v/>
      </c>
      <c r="L131" s="29">
        <f>IF(J131="","",IF(J131&lt;=Einstellungen!$C$7,"unauffällig",IF(J131&lt;=Einstellungen!$C$8,"auffällig","kritisch")))</f>
        <v/>
      </c>
      <c r="M131" s="60">
        <f>IF(J131="",-1,J131+ROW()/1000000000)</f>
        <v/>
      </c>
    </row>
    <row r="132">
      <c r="A132" s="56">
        <f>IF(Mitarbeiter!B132="","",Mitarbeiter!A132)</f>
        <v/>
      </c>
      <c r="B132" s="57">
        <f>IF(Mitarbeiter!B132="","",Mitarbeiter!B132)</f>
        <v/>
      </c>
      <c r="C132" s="7">
        <f>IF(Mitarbeiter!B132="","",Mitarbeiter!G132)</f>
        <v/>
      </c>
      <c r="D132" s="54">
        <f>IF(B132="","",SUMIFS(Erfassung!$E$6:$E$5005,Erfassung!$B$6:$B$5005,A132,Erfassung!$A$6:$A$5005,"&gt;="&amp;DATE(Einstellungen!$C$3,1,1),Erfassung!$A$6:$A$5005,"&lt;"&amp;DATE(Einstellungen!$C$3+1,1,1)))</f>
        <v/>
      </c>
      <c r="E132" s="58">
        <f>IF(B132="","",IF(D132&gt;0,SUMIFS(Erfassung!$E$6:$E$5005,Erfassung!$B$6:$B$5005,A132,Erfassung!$D$6:$D$5005,Einstellungen!$C$4,Erfassung!$A$6:$A$5005,"&gt;="&amp;DATE(Einstellungen!$C$3,1,1),Erfassung!$A$6:$A$5005,"&lt;"&amp;DATE(Einstellungen!$C$3+1,1,1))/D132,""))</f>
        <v/>
      </c>
      <c r="F132" s="54">
        <f>IF(B132="","",SUMIFS(Erfassung!$G$6:$G$5005,Erfassung!$B$6:$B$5005,A132,Erfassung!$A$6:$A$5005,"&gt;="&amp;DATE(Einstellungen!$C$3,1,1),Erfassung!$A$6:$A$5005,"&lt;"&amp;DATE(Einstellungen!$C$3+1,1,1)))</f>
        <v/>
      </c>
      <c r="G132" s="54">
        <f>IF(B132="","",SUMIFS(Erfassung!$G$6:$G$5005,Erfassung!$B$6:$B$5005,A132,Erfassung!$D$6:$D$5005,Einstellungen!$C$4,Erfassung!$A$6:$A$5005,"&gt;="&amp;DATE(Einstellungen!$C$3,1,1),Erfassung!$A$6:$A$5005,"&lt;"&amp;DATE(Einstellungen!$C$3+1,1,1)))</f>
        <v/>
      </c>
      <c r="H132" s="54">
        <f>IF(B132="","",SUMIFS(Erfassung!$G$6:$G$5005,Erfassung!$B$6:$B$5005,A132,Erfassung!$D$6:$D$5005,Einstellungen!$C$5,Erfassung!$A$6:$A$5005,"&gt;="&amp;DATE(Einstellungen!$C$3,1,1),Erfassung!$A$6:$A$5005,"&lt;"&amp;DATE(Einstellungen!$C$3+1,1,1)))</f>
        <v/>
      </c>
      <c r="I132" s="34">
        <f>IF(B132="","",SUMIFS(Erfassung!$F$6:$F$5005,Erfassung!$B$6:$B$5005,A132,Erfassung!$A$6:$A$5005,"&gt;="&amp;DATE(Einstellungen!$C$3,1,1),Erfassung!$A$6:$A$5005,"&lt;"&amp;DATE(Einstellungen!$C$3+1,1,1)))</f>
        <v/>
      </c>
      <c r="J132" s="38">
        <f>IF(B132="","",IF(D132+F132&gt;0,F132/(D132+F132),""))</f>
        <v/>
      </c>
      <c r="K132" s="59">
        <f>IF(J132="","",RANK(J132,$J$6:$J$205,0))</f>
        <v/>
      </c>
      <c r="L132" s="29">
        <f>IF(J132="","",IF(J132&lt;=Einstellungen!$C$7,"unauffällig",IF(J132&lt;=Einstellungen!$C$8,"auffällig","kritisch")))</f>
        <v/>
      </c>
      <c r="M132" s="60">
        <f>IF(J132="",-1,J132+ROW()/1000000000)</f>
        <v/>
      </c>
    </row>
    <row r="133">
      <c r="A133" s="56">
        <f>IF(Mitarbeiter!B133="","",Mitarbeiter!A133)</f>
        <v/>
      </c>
      <c r="B133" s="57">
        <f>IF(Mitarbeiter!B133="","",Mitarbeiter!B133)</f>
        <v/>
      </c>
      <c r="C133" s="7">
        <f>IF(Mitarbeiter!B133="","",Mitarbeiter!G133)</f>
        <v/>
      </c>
      <c r="D133" s="54">
        <f>IF(B133="","",SUMIFS(Erfassung!$E$6:$E$5005,Erfassung!$B$6:$B$5005,A133,Erfassung!$A$6:$A$5005,"&gt;="&amp;DATE(Einstellungen!$C$3,1,1),Erfassung!$A$6:$A$5005,"&lt;"&amp;DATE(Einstellungen!$C$3+1,1,1)))</f>
        <v/>
      </c>
      <c r="E133" s="58">
        <f>IF(B133="","",IF(D133&gt;0,SUMIFS(Erfassung!$E$6:$E$5005,Erfassung!$B$6:$B$5005,A133,Erfassung!$D$6:$D$5005,Einstellungen!$C$4,Erfassung!$A$6:$A$5005,"&gt;="&amp;DATE(Einstellungen!$C$3,1,1),Erfassung!$A$6:$A$5005,"&lt;"&amp;DATE(Einstellungen!$C$3+1,1,1))/D133,""))</f>
        <v/>
      </c>
      <c r="F133" s="54">
        <f>IF(B133="","",SUMIFS(Erfassung!$G$6:$G$5005,Erfassung!$B$6:$B$5005,A133,Erfassung!$A$6:$A$5005,"&gt;="&amp;DATE(Einstellungen!$C$3,1,1),Erfassung!$A$6:$A$5005,"&lt;"&amp;DATE(Einstellungen!$C$3+1,1,1)))</f>
        <v/>
      </c>
      <c r="G133" s="54">
        <f>IF(B133="","",SUMIFS(Erfassung!$G$6:$G$5005,Erfassung!$B$6:$B$5005,A133,Erfassung!$D$6:$D$5005,Einstellungen!$C$4,Erfassung!$A$6:$A$5005,"&gt;="&amp;DATE(Einstellungen!$C$3,1,1),Erfassung!$A$6:$A$5005,"&lt;"&amp;DATE(Einstellungen!$C$3+1,1,1)))</f>
        <v/>
      </c>
      <c r="H133" s="54">
        <f>IF(B133="","",SUMIFS(Erfassung!$G$6:$G$5005,Erfassung!$B$6:$B$5005,A133,Erfassung!$D$6:$D$5005,Einstellungen!$C$5,Erfassung!$A$6:$A$5005,"&gt;="&amp;DATE(Einstellungen!$C$3,1,1),Erfassung!$A$6:$A$5005,"&lt;"&amp;DATE(Einstellungen!$C$3+1,1,1)))</f>
        <v/>
      </c>
      <c r="I133" s="34">
        <f>IF(B133="","",SUMIFS(Erfassung!$F$6:$F$5005,Erfassung!$B$6:$B$5005,A133,Erfassung!$A$6:$A$5005,"&gt;="&amp;DATE(Einstellungen!$C$3,1,1),Erfassung!$A$6:$A$5005,"&lt;"&amp;DATE(Einstellungen!$C$3+1,1,1)))</f>
        <v/>
      </c>
      <c r="J133" s="38">
        <f>IF(B133="","",IF(D133+F133&gt;0,F133/(D133+F133),""))</f>
        <v/>
      </c>
      <c r="K133" s="59">
        <f>IF(J133="","",RANK(J133,$J$6:$J$205,0))</f>
        <v/>
      </c>
      <c r="L133" s="29">
        <f>IF(J133="","",IF(J133&lt;=Einstellungen!$C$7,"unauffällig",IF(J133&lt;=Einstellungen!$C$8,"auffällig","kritisch")))</f>
        <v/>
      </c>
      <c r="M133" s="60">
        <f>IF(J133="",-1,J133+ROW()/1000000000)</f>
        <v/>
      </c>
    </row>
    <row r="134">
      <c r="A134" s="56">
        <f>IF(Mitarbeiter!B134="","",Mitarbeiter!A134)</f>
        <v/>
      </c>
      <c r="B134" s="57">
        <f>IF(Mitarbeiter!B134="","",Mitarbeiter!B134)</f>
        <v/>
      </c>
      <c r="C134" s="7">
        <f>IF(Mitarbeiter!B134="","",Mitarbeiter!G134)</f>
        <v/>
      </c>
      <c r="D134" s="54">
        <f>IF(B134="","",SUMIFS(Erfassung!$E$6:$E$5005,Erfassung!$B$6:$B$5005,A134,Erfassung!$A$6:$A$5005,"&gt;="&amp;DATE(Einstellungen!$C$3,1,1),Erfassung!$A$6:$A$5005,"&lt;"&amp;DATE(Einstellungen!$C$3+1,1,1)))</f>
        <v/>
      </c>
      <c r="E134" s="58">
        <f>IF(B134="","",IF(D134&gt;0,SUMIFS(Erfassung!$E$6:$E$5005,Erfassung!$B$6:$B$5005,A134,Erfassung!$D$6:$D$5005,Einstellungen!$C$4,Erfassung!$A$6:$A$5005,"&gt;="&amp;DATE(Einstellungen!$C$3,1,1),Erfassung!$A$6:$A$5005,"&lt;"&amp;DATE(Einstellungen!$C$3+1,1,1))/D134,""))</f>
        <v/>
      </c>
      <c r="F134" s="54">
        <f>IF(B134="","",SUMIFS(Erfassung!$G$6:$G$5005,Erfassung!$B$6:$B$5005,A134,Erfassung!$A$6:$A$5005,"&gt;="&amp;DATE(Einstellungen!$C$3,1,1),Erfassung!$A$6:$A$5005,"&lt;"&amp;DATE(Einstellungen!$C$3+1,1,1)))</f>
        <v/>
      </c>
      <c r="G134" s="54">
        <f>IF(B134="","",SUMIFS(Erfassung!$G$6:$G$5005,Erfassung!$B$6:$B$5005,A134,Erfassung!$D$6:$D$5005,Einstellungen!$C$4,Erfassung!$A$6:$A$5005,"&gt;="&amp;DATE(Einstellungen!$C$3,1,1),Erfassung!$A$6:$A$5005,"&lt;"&amp;DATE(Einstellungen!$C$3+1,1,1)))</f>
        <v/>
      </c>
      <c r="H134" s="54">
        <f>IF(B134="","",SUMIFS(Erfassung!$G$6:$G$5005,Erfassung!$B$6:$B$5005,A134,Erfassung!$D$6:$D$5005,Einstellungen!$C$5,Erfassung!$A$6:$A$5005,"&gt;="&amp;DATE(Einstellungen!$C$3,1,1),Erfassung!$A$6:$A$5005,"&lt;"&amp;DATE(Einstellungen!$C$3+1,1,1)))</f>
        <v/>
      </c>
      <c r="I134" s="34">
        <f>IF(B134="","",SUMIFS(Erfassung!$F$6:$F$5005,Erfassung!$B$6:$B$5005,A134,Erfassung!$A$6:$A$5005,"&gt;="&amp;DATE(Einstellungen!$C$3,1,1),Erfassung!$A$6:$A$5005,"&lt;"&amp;DATE(Einstellungen!$C$3+1,1,1)))</f>
        <v/>
      </c>
      <c r="J134" s="38">
        <f>IF(B134="","",IF(D134+F134&gt;0,F134/(D134+F134),""))</f>
        <v/>
      </c>
      <c r="K134" s="59">
        <f>IF(J134="","",RANK(J134,$J$6:$J$205,0))</f>
        <v/>
      </c>
      <c r="L134" s="29">
        <f>IF(J134="","",IF(J134&lt;=Einstellungen!$C$7,"unauffällig",IF(J134&lt;=Einstellungen!$C$8,"auffällig","kritisch")))</f>
        <v/>
      </c>
      <c r="M134" s="60">
        <f>IF(J134="",-1,J134+ROW()/1000000000)</f>
        <v/>
      </c>
    </row>
    <row r="135">
      <c r="A135" s="56">
        <f>IF(Mitarbeiter!B135="","",Mitarbeiter!A135)</f>
        <v/>
      </c>
      <c r="B135" s="57">
        <f>IF(Mitarbeiter!B135="","",Mitarbeiter!B135)</f>
        <v/>
      </c>
      <c r="C135" s="7">
        <f>IF(Mitarbeiter!B135="","",Mitarbeiter!G135)</f>
        <v/>
      </c>
      <c r="D135" s="54">
        <f>IF(B135="","",SUMIFS(Erfassung!$E$6:$E$5005,Erfassung!$B$6:$B$5005,A135,Erfassung!$A$6:$A$5005,"&gt;="&amp;DATE(Einstellungen!$C$3,1,1),Erfassung!$A$6:$A$5005,"&lt;"&amp;DATE(Einstellungen!$C$3+1,1,1)))</f>
        <v/>
      </c>
      <c r="E135" s="58">
        <f>IF(B135="","",IF(D135&gt;0,SUMIFS(Erfassung!$E$6:$E$5005,Erfassung!$B$6:$B$5005,A135,Erfassung!$D$6:$D$5005,Einstellungen!$C$4,Erfassung!$A$6:$A$5005,"&gt;="&amp;DATE(Einstellungen!$C$3,1,1),Erfassung!$A$6:$A$5005,"&lt;"&amp;DATE(Einstellungen!$C$3+1,1,1))/D135,""))</f>
        <v/>
      </c>
      <c r="F135" s="54">
        <f>IF(B135="","",SUMIFS(Erfassung!$G$6:$G$5005,Erfassung!$B$6:$B$5005,A135,Erfassung!$A$6:$A$5005,"&gt;="&amp;DATE(Einstellungen!$C$3,1,1),Erfassung!$A$6:$A$5005,"&lt;"&amp;DATE(Einstellungen!$C$3+1,1,1)))</f>
        <v/>
      </c>
      <c r="G135" s="54">
        <f>IF(B135="","",SUMIFS(Erfassung!$G$6:$G$5005,Erfassung!$B$6:$B$5005,A135,Erfassung!$D$6:$D$5005,Einstellungen!$C$4,Erfassung!$A$6:$A$5005,"&gt;="&amp;DATE(Einstellungen!$C$3,1,1),Erfassung!$A$6:$A$5005,"&lt;"&amp;DATE(Einstellungen!$C$3+1,1,1)))</f>
        <v/>
      </c>
      <c r="H135" s="54">
        <f>IF(B135="","",SUMIFS(Erfassung!$G$6:$G$5005,Erfassung!$B$6:$B$5005,A135,Erfassung!$D$6:$D$5005,Einstellungen!$C$5,Erfassung!$A$6:$A$5005,"&gt;="&amp;DATE(Einstellungen!$C$3,1,1),Erfassung!$A$6:$A$5005,"&lt;"&amp;DATE(Einstellungen!$C$3+1,1,1)))</f>
        <v/>
      </c>
      <c r="I135" s="34">
        <f>IF(B135="","",SUMIFS(Erfassung!$F$6:$F$5005,Erfassung!$B$6:$B$5005,A135,Erfassung!$A$6:$A$5005,"&gt;="&amp;DATE(Einstellungen!$C$3,1,1),Erfassung!$A$6:$A$5005,"&lt;"&amp;DATE(Einstellungen!$C$3+1,1,1)))</f>
        <v/>
      </c>
      <c r="J135" s="38">
        <f>IF(B135="","",IF(D135+F135&gt;0,F135/(D135+F135),""))</f>
        <v/>
      </c>
      <c r="K135" s="59">
        <f>IF(J135="","",RANK(J135,$J$6:$J$205,0))</f>
        <v/>
      </c>
      <c r="L135" s="29">
        <f>IF(J135="","",IF(J135&lt;=Einstellungen!$C$7,"unauffällig",IF(J135&lt;=Einstellungen!$C$8,"auffällig","kritisch")))</f>
        <v/>
      </c>
      <c r="M135" s="60">
        <f>IF(J135="",-1,J135+ROW()/1000000000)</f>
        <v/>
      </c>
    </row>
    <row r="136">
      <c r="A136" s="56">
        <f>IF(Mitarbeiter!B136="","",Mitarbeiter!A136)</f>
        <v/>
      </c>
      <c r="B136" s="57">
        <f>IF(Mitarbeiter!B136="","",Mitarbeiter!B136)</f>
        <v/>
      </c>
      <c r="C136" s="7">
        <f>IF(Mitarbeiter!B136="","",Mitarbeiter!G136)</f>
        <v/>
      </c>
      <c r="D136" s="54">
        <f>IF(B136="","",SUMIFS(Erfassung!$E$6:$E$5005,Erfassung!$B$6:$B$5005,A136,Erfassung!$A$6:$A$5005,"&gt;="&amp;DATE(Einstellungen!$C$3,1,1),Erfassung!$A$6:$A$5005,"&lt;"&amp;DATE(Einstellungen!$C$3+1,1,1)))</f>
        <v/>
      </c>
      <c r="E136" s="58">
        <f>IF(B136="","",IF(D136&gt;0,SUMIFS(Erfassung!$E$6:$E$5005,Erfassung!$B$6:$B$5005,A136,Erfassung!$D$6:$D$5005,Einstellungen!$C$4,Erfassung!$A$6:$A$5005,"&gt;="&amp;DATE(Einstellungen!$C$3,1,1),Erfassung!$A$6:$A$5005,"&lt;"&amp;DATE(Einstellungen!$C$3+1,1,1))/D136,""))</f>
        <v/>
      </c>
      <c r="F136" s="54">
        <f>IF(B136="","",SUMIFS(Erfassung!$G$6:$G$5005,Erfassung!$B$6:$B$5005,A136,Erfassung!$A$6:$A$5005,"&gt;="&amp;DATE(Einstellungen!$C$3,1,1),Erfassung!$A$6:$A$5005,"&lt;"&amp;DATE(Einstellungen!$C$3+1,1,1)))</f>
        <v/>
      </c>
      <c r="G136" s="54">
        <f>IF(B136="","",SUMIFS(Erfassung!$G$6:$G$5005,Erfassung!$B$6:$B$5005,A136,Erfassung!$D$6:$D$5005,Einstellungen!$C$4,Erfassung!$A$6:$A$5005,"&gt;="&amp;DATE(Einstellungen!$C$3,1,1),Erfassung!$A$6:$A$5005,"&lt;"&amp;DATE(Einstellungen!$C$3+1,1,1)))</f>
        <v/>
      </c>
      <c r="H136" s="54">
        <f>IF(B136="","",SUMIFS(Erfassung!$G$6:$G$5005,Erfassung!$B$6:$B$5005,A136,Erfassung!$D$6:$D$5005,Einstellungen!$C$5,Erfassung!$A$6:$A$5005,"&gt;="&amp;DATE(Einstellungen!$C$3,1,1),Erfassung!$A$6:$A$5005,"&lt;"&amp;DATE(Einstellungen!$C$3+1,1,1)))</f>
        <v/>
      </c>
      <c r="I136" s="34">
        <f>IF(B136="","",SUMIFS(Erfassung!$F$6:$F$5005,Erfassung!$B$6:$B$5005,A136,Erfassung!$A$6:$A$5005,"&gt;="&amp;DATE(Einstellungen!$C$3,1,1),Erfassung!$A$6:$A$5005,"&lt;"&amp;DATE(Einstellungen!$C$3+1,1,1)))</f>
        <v/>
      </c>
      <c r="J136" s="38">
        <f>IF(B136="","",IF(D136+F136&gt;0,F136/(D136+F136),""))</f>
        <v/>
      </c>
      <c r="K136" s="59">
        <f>IF(J136="","",RANK(J136,$J$6:$J$205,0))</f>
        <v/>
      </c>
      <c r="L136" s="29">
        <f>IF(J136="","",IF(J136&lt;=Einstellungen!$C$7,"unauffällig",IF(J136&lt;=Einstellungen!$C$8,"auffällig","kritisch")))</f>
        <v/>
      </c>
      <c r="M136" s="60">
        <f>IF(J136="",-1,J136+ROW()/1000000000)</f>
        <v/>
      </c>
    </row>
    <row r="137">
      <c r="A137" s="56">
        <f>IF(Mitarbeiter!B137="","",Mitarbeiter!A137)</f>
        <v/>
      </c>
      <c r="B137" s="57">
        <f>IF(Mitarbeiter!B137="","",Mitarbeiter!B137)</f>
        <v/>
      </c>
      <c r="C137" s="7">
        <f>IF(Mitarbeiter!B137="","",Mitarbeiter!G137)</f>
        <v/>
      </c>
      <c r="D137" s="54">
        <f>IF(B137="","",SUMIFS(Erfassung!$E$6:$E$5005,Erfassung!$B$6:$B$5005,A137,Erfassung!$A$6:$A$5005,"&gt;="&amp;DATE(Einstellungen!$C$3,1,1),Erfassung!$A$6:$A$5005,"&lt;"&amp;DATE(Einstellungen!$C$3+1,1,1)))</f>
        <v/>
      </c>
      <c r="E137" s="58">
        <f>IF(B137="","",IF(D137&gt;0,SUMIFS(Erfassung!$E$6:$E$5005,Erfassung!$B$6:$B$5005,A137,Erfassung!$D$6:$D$5005,Einstellungen!$C$4,Erfassung!$A$6:$A$5005,"&gt;="&amp;DATE(Einstellungen!$C$3,1,1),Erfassung!$A$6:$A$5005,"&lt;"&amp;DATE(Einstellungen!$C$3+1,1,1))/D137,""))</f>
        <v/>
      </c>
      <c r="F137" s="54">
        <f>IF(B137="","",SUMIFS(Erfassung!$G$6:$G$5005,Erfassung!$B$6:$B$5005,A137,Erfassung!$A$6:$A$5005,"&gt;="&amp;DATE(Einstellungen!$C$3,1,1),Erfassung!$A$6:$A$5005,"&lt;"&amp;DATE(Einstellungen!$C$3+1,1,1)))</f>
        <v/>
      </c>
      <c r="G137" s="54">
        <f>IF(B137="","",SUMIFS(Erfassung!$G$6:$G$5005,Erfassung!$B$6:$B$5005,A137,Erfassung!$D$6:$D$5005,Einstellungen!$C$4,Erfassung!$A$6:$A$5005,"&gt;="&amp;DATE(Einstellungen!$C$3,1,1),Erfassung!$A$6:$A$5005,"&lt;"&amp;DATE(Einstellungen!$C$3+1,1,1)))</f>
        <v/>
      </c>
      <c r="H137" s="54">
        <f>IF(B137="","",SUMIFS(Erfassung!$G$6:$G$5005,Erfassung!$B$6:$B$5005,A137,Erfassung!$D$6:$D$5005,Einstellungen!$C$5,Erfassung!$A$6:$A$5005,"&gt;="&amp;DATE(Einstellungen!$C$3,1,1),Erfassung!$A$6:$A$5005,"&lt;"&amp;DATE(Einstellungen!$C$3+1,1,1)))</f>
        <v/>
      </c>
      <c r="I137" s="34">
        <f>IF(B137="","",SUMIFS(Erfassung!$F$6:$F$5005,Erfassung!$B$6:$B$5005,A137,Erfassung!$A$6:$A$5005,"&gt;="&amp;DATE(Einstellungen!$C$3,1,1),Erfassung!$A$6:$A$5005,"&lt;"&amp;DATE(Einstellungen!$C$3+1,1,1)))</f>
        <v/>
      </c>
      <c r="J137" s="38">
        <f>IF(B137="","",IF(D137+F137&gt;0,F137/(D137+F137),""))</f>
        <v/>
      </c>
      <c r="K137" s="59">
        <f>IF(J137="","",RANK(J137,$J$6:$J$205,0))</f>
        <v/>
      </c>
      <c r="L137" s="29">
        <f>IF(J137="","",IF(J137&lt;=Einstellungen!$C$7,"unauffällig",IF(J137&lt;=Einstellungen!$C$8,"auffällig","kritisch")))</f>
        <v/>
      </c>
      <c r="M137" s="60">
        <f>IF(J137="",-1,J137+ROW()/1000000000)</f>
        <v/>
      </c>
    </row>
    <row r="138">
      <c r="A138" s="56">
        <f>IF(Mitarbeiter!B138="","",Mitarbeiter!A138)</f>
        <v/>
      </c>
      <c r="B138" s="57">
        <f>IF(Mitarbeiter!B138="","",Mitarbeiter!B138)</f>
        <v/>
      </c>
      <c r="C138" s="7">
        <f>IF(Mitarbeiter!B138="","",Mitarbeiter!G138)</f>
        <v/>
      </c>
      <c r="D138" s="54">
        <f>IF(B138="","",SUMIFS(Erfassung!$E$6:$E$5005,Erfassung!$B$6:$B$5005,A138,Erfassung!$A$6:$A$5005,"&gt;="&amp;DATE(Einstellungen!$C$3,1,1),Erfassung!$A$6:$A$5005,"&lt;"&amp;DATE(Einstellungen!$C$3+1,1,1)))</f>
        <v/>
      </c>
      <c r="E138" s="58">
        <f>IF(B138="","",IF(D138&gt;0,SUMIFS(Erfassung!$E$6:$E$5005,Erfassung!$B$6:$B$5005,A138,Erfassung!$D$6:$D$5005,Einstellungen!$C$4,Erfassung!$A$6:$A$5005,"&gt;="&amp;DATE(Einstellungen!$C$3,1,1),Erfassung!$A$6:$A$5005,"&lt;"&amp;DATE(Einstellungen!$C$3+1,1,1))/D138,""))</f>
        <v/>
      </c>
      <c r="F138" s="54">
        <f>IF(B138="","",SUMIFS(Erfassung!$G$6:$G$5005,Erfassung!$B$6:$B$5005,A138,Erfassung!$A$6:$A$5005,"&gt;="&amp;DATE(Einstellungen!$C$3,1,1),Erfassung!$A$6:$A$5005,"&lt;"&amp;DATE(Einstellungen!$C$3+1,1,1)))</f>
        <v/>
      </c>
      <c r="G138" s="54">
        <f>IF(B138="","",SUMIFS(Erfassung!$G$6:$G$5005,Erfassung!$B$6:$B$5005,A138,Erfassung!$D$6:$D$5005,Einstellungen!$C$4,Erfassung!$A$6:$A$5005,"&gt;="&amp;DATE(Einstellungen!$C$3,1,1),Erfassung!$A$6:$A$5005,"&lt;"&amp;DATE(Einstellungen!$C$3+1,1,1)))</f>
        <v/>
      </c>
      <c r="H138" s="54">
        <f>IF(B138="","",SUMIFS(Erfassung!$G$6:$G$5005,Erfassung!$B$6:$B$5005,A138,Erfassung!$D$6:$D$5005,Einstellungen!$C$5,Erfassung!$A$6:$A$5005,"&gt;="&amp;DATE(Einstellungen!$C$3,1,1),Erfassung!$A$6:$A$5005,"&lt;"&amp;DATE(Einstellungen!$C$3+1,1,1)))</f>
        <v/>
      </c>
      <c r="I138" s="34">
        <f>IF(B138="","",SUMIFS(Erfassung!$F$6:$F$5005,Erfassung!$B$6:$B$5005,A138,Erfassung!$A$6:$A$5005,"&gt;="&amp;DATE(Einstellungen!$C$3,1,1),Erfassung!$A$6:$A$5005,"&lt;"&amp;DATE(Einstellungen!$C$3+1,1,1)))</f>
        <v/>
      </c>
      <c r="J138" s="38">
        <f>IF(B138="","",IF(D138+F138&gt;0,F138/(D138+F138),""))</f>
        <v/>
      </c>
      <c r="K138" s="59">
        <f>IF(J138="","",RANK(J138,$J$6:$J$205,0))</f>
        <v/>
      </c>
      <c r="L138" s="29">
        <f>IF(J138="","",IF(J138&lt;=Einstellungen!$C$7,"unauffällig",IF(J138&lt;=Einstellungen!$C$8,"auffällig","kritisch")))</f>
        <v/>
      </c>
      <c r="M138" s="60">
        <f>IF(J138="",-1,J138+ROW()/1000000000)</f>
        <v/>
      </c>
    </row>
    <row r="139">
      <c r="A139" s="56">
        <f>IF(Mitarbeiter!B139="","",Mitarbeiter!A139)</f>
        <v/>
      </c>
      <c r="B139" s="57">
        <f>IF(Mitarbeiter!B139="","",Mitarbeiter!B139)</f>
        <v/>
      </c>
      <c r="C139" s="7">
        <f>IF(Mitarbeiter!B139="","",Mitarbeiter!G139)</f>
        <v/>
      </c>
      <c r="D139" s="54">
        <f>IF(B139="","",SUMIFS(Erfassung!$E$6:$E$5005,Erfassung!$B$6:$B$5005,A139,Erfassung!$A$6:$A$5005,"&gt;="&amp;DATE(Einstellungen!$C$3,1,1),Erfassung!$A$6:$A$5005,"&lt;"&amp;DATE(Einstellungen!$C$3+1,1,1)))</f>
        <v/>
      </c>
      <c r="E139" s="58">
        <f>IF(B139="","",IF(D139&gt;0,SUMIFS(Erfassung!$E$6:$E$5005,Erfassung!$B$6:$B$5005,A139,Erfassung!$D$6:$D$5005,Einstellungen!$C$4,Erfassung!$A$6:$A$5005,"&gt;="&amp;DATE(Einstellungen!$C$3,1,1),Erfassung!$A$6:$A$5005,"&lt;"&amp;DATE(Einstellungen!$C$3+1,1,1))/D139,""))</f>
        <v/>
      </c>
      <c r="F139" s="54">
        <f>IF(B139="","",SUMIFS(Erfassung!$G$6:$G$5005,Erfassung!$B$6:$B$5005,A139,Erfassung!$A$6:$A$5005,"&gt;="&amp;DATE(Einstellungen!$C$3,1,1),Erfassung!$A$6:$A$5005,"&lt;"&amp;DATE(Einstellungen!$C$3+1,1,1)))</f>
        <v/>
      </c>
      <c r="G139" s="54">
        <f>IF(B139="","",SUMIFS(Erfassung!$G$6:$G$5005,Erfassung!$B$6:$B$5005,A139,Erfassung!$D$6:$D$5005,Einstellungen!$C$4,Erfassung!$A$6:$A$5005,"&gt;="&amp;DATE(Einstellungen!$C$3,1,1),Erfassung!$A$6:$A$5005,"&lt;"&amp;DATE(Einstellungen!$C$3+1,1,1)))</f>
        <v/>
      </c>
      <c r="H139" s="54">
        <f>IF(B139="","",SUMIFS(Erfassung!$G$6:$G$5005,Erfassung!$B$6:$B$5005,A139,Erfassung!$D$6:$D$5005,Einstellungen!$C$5,Erfassung!$A$6:$A$5005,"&gt;="&amp;DATE(Einstellungen!$C$3,1,1),Erfassung!$A$6:$A$5005,"&lt;"&amp;DATE(Einstellungen!$C$3+1,1,1)))</f>
        <v/>
      </c>
      <c r="I139" s="34">
        <f>IF(B139="","",SUMIFS(Erfassung!$F$6:$F$5005,Erfassung!$B$6:$B$5005,A139,Erfassung!$A$6:$A$5005,"&gt;="&amp;DATE(Einstellungen!$C$3,1,1),Erfassung!$A$6:$A$5005,"&lt;"&amp;DATE(Einstellungen!$C$3+1,1,1)))</f>
        <v/>
      </c>
      <c r="J139" s="38">
        <f>IF(B139="","",IF(D139+F139&gt;0,F139/(D139+F139),""))</f>
        <v/>
      </c>
      <c r="K139" s="59">
        <f>IF(J139="","",RANK(J139,$J$6:$J$205,0))</f>
        <v/>
      </c>
      <c r="L139" s="29">
        <f>IF(J139="","",IF(J139&lt;=Einstellungen!$C$7,"unauffällig",IF(J139&lt;=Einstellungen!$C$8,"auffällig","kritisch")))</f>
        <v/>
      </c>
      <c r="M139" s="60">
        <f>IF(J139="",-1,J139+ROW()/1000000000)</f>
        <v/>
      </c>
    </row>
    <row r="140">
      <c r="A140" s="56">
        <f>IF(Mitarbeiter!B140="","",Mitarbeiter!A140)</f>
        <v/>
      </c>
      <c r="B140" s="57">
        <f>IF(Mitarbeiter!B140="","",Mitarbeiter!B140)</f>
        <v/>
      </c>
      <c r="C140" s="7">
        <f>IF(Mitarbeiter!B140="","",Mitarbeiter!G140)</f>
        <v/>
      </c>
      <c r="D140" s="54">
        <f>IF(B140="","",SUMIFS(Erfassung!$E$6:$E$5005,Erfassung!$B$6:$B$5005,A140,Erfassung!$A$6:$A$5005,"&gt;="&amp;DATE(Einstellungen!$C$3,1,1),Erfassung!$A$6:$A$5005,"&lt;"&amp;DATE(Einstellungen!$C$3+1,1,1)))</f>
        <v/>
      </c>
      <c r="E140" s="58">
        <f>IF(B140="","",IF(D140&gt;0,SUMIFS(Erfassung!$E$6:$E$5005,Erfassung!$B$6:$B$5005,A140,Erfassung!$D$6:$D$5005,Einstellungen!$C$4,Erfassung!$A$6:$A$5005,"&gt;="&amp;DATE(Einstellungen!$C$3,1,1),Erfassung!$A$6:$A$5005,"&lt;"&amp;DATE(Einstellungen!$C$3+1,1,1))/D140,""))</f>
        <v/>
      </c>
      <c r="F140" s="54">
        <f>IF(B140="","",SUMIFS(Erfassung!$G$6:$G$5005,Erfassung!$B$6:$B$5005,A140,Erfassung!$A$6:$A$5005,"&gt;="&amp;DATE(Einstellungen!$C$3,1,1),Erfassung!$A$6:$A$5005,"&lt;"&amp;DATE(Einstellungen!$C$3+1,1,1)))</f>
        <v/>
      </c>
      <c r="G140" s="54">
        <f>IF(B140="","",SUMIFS(Erfassung!$G$6:$G$5005,Erfassung!$B$6:$B$5005,A140,Erfassung!$D$6:$D$5005,Einstellungen!$C$4,Erfassung!$A$6:$A$5005,"&gt;="&amp;DATE(Einstellungen!$C$3,1,1),Erfassung!$A$6:$A$5005,"&lt;"&amp;DATE(Einstellungen!$C$3+1,1,1)))</f>
        <v/>
      </c>
      <c r="H140" s="54">
        <f>IF(B140="","",SUMIFS(Erfassung!$G$6:$G$5005,Erfassung!$B$6:$B$5005,A140,Erfassung!$D$6:$D$5005,Einstellungen!$C$5,Erfassung!$A$6:$A$5005,"&gt;="&amp;DATE(Einstellungen!$C$3,1,1),Erfassung!$A$6:$A$5005,"&lt;"&amp;DATE(Einstellungen!$C$3+1,1,1)))</f>
        <v/>
      </c>
      <c r="I140" s="34">
        <f>IF(B140="","",SUMIFS(Erfassung!$F$6:$F$5005,Erfassung!$B$6:$B$5005,A140,Erfassung!$A$6:$A$5005,"&gt;="&amp;DATE(Einstellungen!$C$3,1,1),Erfassung!$A$6:$A$5005,"&lt;"&amp;DATE(Einstellungen!$C$3+1,1,1)))</f>
        <v/>
      </c>
      <c r="J140" s="38">
        <f>IF(B140="","",IF(D140+F140&gt;0,F140/(D140+F140),""))</f>
        <v/>
      </c>
      <c r="K140" s="59">
        <f>IF(J140="","",RANK(J140,$J$6:$J$205,0))</f>
        <v/>
      </c>
      <c r="L140" s="29">
        <f>IF(J140="","",IF(J140&lt;=Einstellungen!$C$7,"unauffällig",IF(J140&lt;=Einstellungen!$C$8,"auffällig","kritisch")))</f>
        <v/>
      </c>
      <c r="M140" s="60">
        <f>IF(J140="",-1,J140+ROW()/1000000000)</f>
        <v/>
      </c>
    </row>
    <row r="141">
      <c r="A141" s="56">
        <f>IF(Mitarbeiter!B141="","",Mitarbeiter!A141)</f>
        <v/>
      </c>
      <c r="B141" s="57">
        <f>IF(Mitarbeiter!B141="","",Mitarbeiter!B141)</f>
        <v/>
      </c>
      <c r="C141" s="7">
        <f>IF(Mitarbeiter!B141="","",Mitarbeiter!G141)</f>
        <v/>
      </c>
      <c r="D141" s="54">
        <f>IF(B141="","",SUMIFS(Erfassung!$E$6:$E$5005,Erfassung!$B$6:$B$5005,A141,Erfassung!$A$6:$A$5005,"&gt;="&amp;DATE(Einstellungen!$C$3,1,1),Erfassung!$A$6:$A$5005,"&lt;"&amp;DATE(Einstellungen!$C$3+1,1,1)))</f>
        <v/>
      </c>
      <c r="E141" s="58">
        <f>IF(B141="","",IF(D141&gt;0,SUMIFS(Erfassung!$E$6:$E$5005,Erfassung!$B$6:$B$5005,A141,Erfassung!$D$6:$D$5005,Einstellungen!$C$4,Erfassung!$A$6:$A$5005,"&gt;="&amp;DATE(Einstellungen!$C$3,1,1),Erfassung!$A$6:$A$5005,"&lt;"&amp;DATE(Einstellungen!$C$3+1,1,1))/D141,""))</f>
        <v/>
      </c>
      <c r="F141" s="54">
        <f>IF(B141="","",SUMIFS(Erfassung!$G$6:$G$5005,Erfassung!$B$6:$B$5005,A141,Erfassung!$A$6:$A$5005,"&gt;="&amp;DATE(Einstellungen!$C$3,1,1),Erfassung!$A$6:$A$5005,"&lt;"&amp;DATE(Einstellungen!$C$3+1,1,1)))</f>
        <v/>
      </c>
      <c r="G141" s="54">
        <f>IF(B141="","",SUMIFS(Erfassung!$G$6:$G$5005,Erfassung!$B$6:$B$5005,A141,Erfassung!$D$6:$D$5005,Einstellungen!$C$4,Erfassung!$A$6:$A$5005,"&gt;="&amp;DATE(Einstellungen!$C$3,1,1),Erfassung!$A$6:$A$5005,"&lt;"&amp;DATE(Einstellungen!$C$3+1,1,1)))</f>
        <v/>
      </c>
      <c r="H141" s="54">
        <f>IF(B141="","",SUMIFS(Erfassung!$G$6:$G$5005,Erfassung!$B$6:$B$5005,A141,Erfassung!$D$6:$D$5005,Einstellungen!$C$5,Erfassung!$A$6:$A$5005,"&gt;="&amp;DATE(Einstellungen!$C$3,1,1),Erfassung!$A$6:$A$5005,"&lt;"&amp;DATE(Einstellungen!$C$3+1,1,1)))</f>
        <v/>
      </c>
      <c r="I141" s="34">
        <f>IF(B141="","",SUMIFS(Erfassung!$F$6:$F$5005,Erfassung!$B$6:$B$5005,A141,Erfassung!$A$6:$A$5005,"&gt;="&amp;DATE(Einstellungen!$C$3,1,1),Erfassung!$A$6:$A$5005,"&lt;"&amp;DATE(Einstellungen!$C$3+1,1,1)))</f>
        <v/>
      </c>
      <c r="J141" s="38">
        <f>IF(B141="","",IF(D141+F141&gt;0,F141/(D141+F141),""))</f>
        <v/>
      </c>
      <c r="K141" s="59">
        <f>IF(J141="","",RANK(J141,$J$6:$J$205,0))</f>
        <v/>
      </c>
      <c r="L141" s="29">
        <f>IF(J141="","",IF(J141&lt;=Einstellungen!$C$7,"unauffällig",IF(J141&lt;=Einstellungen!$C$8,"auffällig","kritisch")))</f>
        <v/>
      </c>
      <c r="M141" s="60">
        <f>IF(J141="",-1,J141+ROW()/1000000000)</f>
        <v/>
      </c>
    </row>
    <row r="142">
      <c r="A142" s="56">
        <f>IF(Mitarbeiter!B142="","",Mitarbeiter!A142)</f>
        <v/>
      </c>
      <c r="B142" s="57">
        <f>IF(Mitarbeiter!B142="","",Mitarbeiter!B142)</f>
        <v/>
      </c>
      <c r="C142" s="7">
        <f>IF(Mitarbeiter!B142="","",Mitarbeiter!G142)</f>
        <v/>
      </c>
      <c r="D142" s="54">
        <f>IF(B142="","",SUMIFS(Erfassung!$E$6:$E$5005,Erfassung!$B$6:$B$5005,A142,Erfassung!$A$6:$A$5005,"&gt;="&amp;DATE(Einstellungen!$C$3,1,1),Erfassung!$A$6:$A$5005,"&lt;"&amp;DATE(Einstellungen!$C$3+1,1,1)))</f>
        <v/>
      </c>
      <c r="E142" s="58">
        <f>IF(B142="","",IF(D142&gt;0,SUMIFS(Erfassung!$E$6:$E$5005,Erfassung!$B$6:$B$5005,A142,Erfassung!$D$6:$D$5005,Einstellungen!$C$4,Erfassung!$A$6:$A$5005,"&gt;="&amp;DATE(Einstellungen!$C$3,1,1),Erfassung!$A$6:$A$5005,"&lt;"&amp;DATE(Einstellungen!$C$3+1,1,1))/D142,""))</f>
        <v/>
      </c>
      <c r="F142" s="54">
        <f>IF(B142="","",SUMIFS(Erfassung!$G$6:$G$5005,Erfassung!$B$6:$B$5005,A142,Erfassung!$A$6:$A$5005,"&gt;="&amp;DATE(Einstellungen!$C$3,1,1),Erfassung!$A$6:$A$5005,"&lt;"&amp;DATE(Einstellungen!$C$3+1,1,1)))</f>
        <v/>
      </c>
      <c r="G142" s="54">
        <f>IF(B142="","",SUMIFS(Erfassung!$G$6:$G$5005,Erfassung!$B$6:$B$5005,A142,Erfassung!$D$6:$D$5005,Einstellungen!$C$4,Erfassung!$A$6:$A$5005,"&gt;="&amp;DATE(Einstellungen!$C$3,1,1),Erfassung!$A$6:$A$5005,"&lt;"&amp;DATE(Einstellungen!$C$3+1,1,1)))</f>
        <v/>
      </c>
      <c r="H142" s="54">
        <f>IF(B142="","",SUMIFS(Erfassung!$G$6:$G$5005,Erfassung!$B$6:$B$5005,A142,Erfassung!$D$6:$D$5005,Einstellungen!$C$5,Erfassung!$A$6:$A$5005,"&gt;="&amp;DATE(Einstellungen!$C$3,1,1),Erfassung!$A$6:$A$5005,"&lt;"&amp;DATE(Einstellungen!$C$3+1,1,1)))</f>
        <v/>
      </c>
      <c r="I142" s="34">
        <f>IF(B142="","",SUMIFS(Erfassung!$F$6:$F$5005,Erfassung!$B$6:$B$5005,A142,Erfassung!$A$6:$A$5005,"&gt;="&amp;DATE(Einstellungen!$C$3,1,1),Erfassung!$A$6:$A$5005,"&lt;"&amp;DATE(Einstellungen!$C$3+1,1,1)))</f>
        <v/>
      </c>
      <c r="J142" s="38">
        <f>IF(B142="","",IF(D142+F142&gt;0,F142/(D142+F142),""))</f>
        <v/>
      </c>
      <c r="K142" s="59">
        <f>IF(J142="","",RANK(J142,$J$6:$J$205,0))</f>
        <v/>
      </c>
      <c r="L142" s="29">
        <f>IF(J142="","",IF(J142&lt;=Einstellungen!$C$7,"unauffällig",IF(J142&lt;=Einstellungen!$C$8,"auffällig","kritisch")))</f>
        <v/>
      </c>
      <c r="M142" s="60">
        <f>IF(J142="",-1,J142+ROW()/1000000000)</f>
        <v/>
      </c>
    </row>
    <row r="143">
      <c r="A143" s="56">
        <f>IF(Mitarbeiter!B143="","",Mitarbeiter!A143)</f>
        <v/>
      </c>
      <c r="B143" s="57">
        <f>IF(Mitarbeiter!B143="","",Mitarbeiter!B143)</f>
        <v/>
      </c>
      <c r="C143" s="7">
        <f>IF(Mitarbeiter!B143="","",Mitarbeiter!G143)</f>
        <v/>
      </c>
      <c r="D143" s="54">
        <f>IF(B143="","",SUMIFS(Erfassung!$E$6:$E$5005,Erfassung!$B$6:$B$5005,A143,Erfassung!$A$6:$A$5005,"&gt;="&amp;DATE(Einstellungen!$C$3,1,1),Erfassung!$A$6:$A$5005,"&lt;"&amp;DATE(Einstellungen!$C$3+1,1,1)))</f>
        <v/>
      </c>
      <c r="E143" s="58">
        <f>IF(B143="","",IF(D143&gt;0,SUMIFS(Erfassung!$E$6:$E$5005,Erfassung!$B$6:$B$5005,A143,Erfassung!$D$6:$D$5005,Einstellungen!$C$4,Erfassung!$A$6:$A$5005,"&gt;="&amp;DATE(Einstellungen!$C$3,1,1),Erfassung!$A$6:$A$5005,"&lt;"&amp;DATE(Einstellungen!$C$3+1,1,1))/D143,""))</f>
        <v/>
      </c>
      <c r="F143" s="54">
        <f>IF(B143="","",SUMIFS(Erfassung!$G$6:$G$5005,Erfassung!$B$6:$B$5005,A143,Erfassung!$A$6:$A$5005,"&gt;="&amp;DATE(Einstellungen!$C$3,1,1),Erfassung!$A$6:$A$5005,"&lt;"&amp;DATE(Einstellungen!$C$3+1,1,1)))</f>
        <v/>
      </c>
      <c r="G143" s="54">
        <f>IF(B143="","",SUMIFS(Erfassung!$G$6:$G$5005,Erfassung!$B$6:$B$5005,A143,Erfassung!$D$6:$D$5005,Einstellungen!$C$4,Erfassung!$A$6:$A$5005,"&gt;="&amp;DATE(Einstellungen!$C$3,1,1),Erfassung!$A$6:$A$5005,"&lt;"&amp;DATE(Einstellungen!$C$3+1,1,1)))</f>
        <v/>
      </c>
      <c r="H143" s="54">
        <f>IF(B143="","",SUMIFS(Erfassung!$G$6:$G$5005,Erfassung!$B$6:$B$5005,A143,Erfassung!$D$6:$D$5005,Einstellungen!$C$5,Erfassung!$A$6:$A$5005,"&gt;="&amp;DATE(Einstellungen!$C$3,1,1),Erfassung!$A$6:$A$5005,"&lt;"&amp;DATE(Einstellungen!$C$3+1,1,1)))</f>
        <v/>
      </c>
      <c r="I143" s="34">
        <f>IF(B143="","",SUMIFS(Erfassung!$F$6:$F$5005,Erfassung!$B$6:$B$5005,A143,Erfassung!$A$6:$A$5005,"&gt;="&amp;DATE(Einstellungen!$C$3,1,1),Erfassung!$A$6:$A$5005,"&lt;"&amp;DATE(Einstellungen!$C$3+1,1,1)))</f>
        <v/>
      </c>
      <c r="J143" s="38">
        <f>IF(B143="","",IF(D143+F143&gt;0,F143/(D143+F143),""))</f>
        <v/>
      </c>
      <c r="K143" s="59">
        <f>IF(J143="","",RANK(J143,$J$6:$J$205,0))</f>
        <v/>
      </c>
      <c r="L143" s="29">
        <f>IF(J143="","",IF(J143&lt;=Einstellungen!$C$7,"unauffällig",IF(J143&lt;=Einstellungen!$C$8,"auffällig","kritisch")))</f>
        <v/>
      </c>
      <c r="M143" s="60">
        <f>IF(J143="",-1,J143+ROW()/1000000000)</f>
        <v/>
      </c>
    </row>
    <row r="144">
      <c r="A144" s="56">
        <f>IF(Mitarbeiter!B144="","",Mitarbeiter!A144)</f>
        <v/>
      </c>
      <c r="B144" s="57">
        <f>IF(Mitarbeiter!B144="","",Mitarbeiter!B144)</f>
        <v/>
      </c>
      <c r="C144" s="7">
        <f>IF(Mitarbeiter!B144="","",Mitarbeiter!G144)</f>
        <v/>
      </c>
      <c r="D144" s="54">
        <f>IF(B144="","",SUMIFS(Erfassung!$E$6:$E$5005,Erfassung!$B$6:$B$5005,A144,Erfassung!$A$6:$A$5005,"&gt;="&amp;DATE(Einstellungen!$C$3,1,1),Erfassung!$A$6:$A$5005,"&lt;"&amp;DATE(Einstellungen!$C$3+1,1,1)))</f>
        <v/>
      </c>
      <c r="E144" s="58">
        <f>IF(B144="","",IF(D144&gt;0,SUMIFS(Erfassung!$E$6:$E$5005,Erfassung!$B$6:$B$5005,A144,Erfassung!$D$6:$D$5005,Einstellungen!$C$4,Erfassung!$A$6:$A$5005,"&gt;="&amp;DATE(Einstellungen!$C$3,1,1),Erfassung!$A$6:$A$5005,"&lt;"&amp;DATE(Einstellungen!$C$3+1,1,1))/D144,""))</f>
        <v/>
      </c>
      <c r="F144" s="54">
        <f>IF(B144="","",SUMIFS(Erfassung!$G$6:$G$5005,Erfassung!$B$6:$B$5005,A144,Erfassung!$A$6:$A$5005,"&gt;="&amp;DATE(Einstellungen!$C$3,1,1),Erfassung!$A$6:$A$5005,"&lt;"&amp;DATE(Einstellungen!$C$3+1,1,1)))</f>
        <v/>
      </c>
      <c r="G144" s="54">
        <f>IF(B144="","",SUMIFS(Erfassung!$G$6:$G$5005,Erfassung!$B$6:$B$5005,A144,Erfassung!$D$6:$D$5005,Einstellungen!$C$4,Erfassung!$A$6:$A$5005,"&gt;="&amp;DATE(Einstellungen!$C$3,1,1),Erfassung!$A$6:$A$5005,"&lt;"&amp;DATE(Einstellungen!$C$3+1,1,1)))</f>
        <v/>
      </c>
      <c r="H144" s="54">
        <f>IF(B144="","",SUMIFS(Erfassung!$G$6:$G$5005,Erfassung!$B$6:$B$5005,A144,Erfassung!$D$6:$D$5005,Einstellungen!$C$5,Erfassung!$A$6:$A$5005,"&gt;="&amp;DATE(Einstellungen!$C$3,1,1),Erfassung!$A$6:$A$5005,"&lt;"&amp;DATE(Einstellungen!$C$3+1,1,1)))</f>
        <v/>
      </c>
      <c r="I144" s="34">
        <f>IF(B144="","",SUMIFS(Erfassung!$F$6:$F$5005,Erfassung!$B$6:$B$5005,A144,Erfassung!$A$6:$A$5005,"&gt;="&amp;DATE(Einstellungen!$C$3,1,1),Erfassung!$A$6:$A$5005,"&lt;"&amp;DATE(Einstellungen!$C$3+1,1,1)))</f>
        <v/>
      </c>
      <c r="J144" s="38">
        <f>IF(B144="","",IF(D144+F144&gt;0,F144/(D144+F144),""))</f>
        <v/>
      </c>
      <c r="K144" s="59">
        <f>IF(J144="","",RANK(J144,$J$6:$J$205,0))</f>
        <v/>
      </c>
      <c r="L144" s="29">
        <f>IF(J144="","",IF(J144&lt;=Einstellungen!$C$7,"unauffällig",IF(J144&lt;=Einstellungen!$C$8,"auffällig","kritisch")))</f>
        <v/>
      </c>
      <c r="M144" s="60">
        <f>IF(J144="",-1,J144+ROW()/1000000000)</f>
        <v/>
      </c>
    </row>
    <row r="145">
      <c r="A145" s="56">
        <f>IF(Mitarbeiter!B145="","",Mitarbeiter!A145)</f>
        <v/>
      </c>
      <c r="B145" s="57">
        <f>IF(Mitarbeiter!B145="","",Mitarbeiter!B145)</f>
        <v/>
      </c>
      <c r="C145" s="7">
        <f>IF(Mitarbeiter!B145="","",Mitarbeiter!G145)</f>
        <v/>
      </c>
      <c r="D145" s="54">
        <f>IF(B145="","",SUMIFS(Erfassung!$E$6:$E$5005,Erfassung!$B$6:$B$5005,A145,Erfassung!$A$6:$A$5005,"&gt;="&amp;DATE(Einstellungen!$C$3,1,1),Erfassung!$A$6:$A$5005,"&lt;"&amp;DATE(Einstellungen!$C$3+1,1,1)))</f>
        <v/>
      </c>
      <c r="E145" s="58">
        <f>IF(B145="","",IF(D145&gt;0,SUMIFS(Erfassung!$E$6:$E$5005,Erfassung!$B$6:$B$5005,A145,Erfassung!$D$6:$D$5005,Einstellungen!$C$4,Erfassung!$A$6:$A$5005,"&gt;="&amp;DATE(Einstellungen!$C$3,1,1),Erfassung!$A$6:$A$5005,"&lt;"&amp;DATE(Einstellungen!$C$3+1,1,1))/D145,""))</f>
        <v/>
      </c>
      <c r="F145" s="54">
        <f>IF(B145="","",SUMIFS(Erfassung!$G$6:$G$5005,Erfassung!$B$6:$B$5005,A145,Erfassung!$A$6:$A$5005,"&gt;="&amp;DATE(Einstellungen!$C$3,1,1),Erfassung!$A$6:$A$5005,"&lt;"&amp;DATE(Einstellungen!$C$3+1,1,1)))</f>
        <v/>
      </c>
      <c r="G145" s="54">
        <f>IF(B145="","",SUMIFS(Erfassung!$G$6:$G$5005,Erfassung!$B$6:$B$5005,A145,Erfassung!$D$6:$D$5005,Einstellungen!$C$4,Erfassung!$A$6:$A$5005,"&gt;="&amp;DATE(Einstellungen!$C$3,1,1),Erfassung!$A$6:$A$5005,"&lt;"&amp;DATE(Einstellungen!$C$3+1,1,1)))</f>
        <v/>
      </c>
      <c r="H145" s="54">
        <f>IF(B145="","",SUMIFS(Erfassung!$G$6:$G$5005,Erfassung!$B$6:$B$5005,A145,Erfassung!$D$6:$D$5005,Einstellungen!$C$5,Erfassung!$A$6:$A$5005,"&gt;="&amp;DATE(Einstellungen!$C$3,1,1),Erfassung!$A$6:$A$5005,"&lt;"&amp;DATE(Einstellungen!$C$3+1,1,1)))</f>
        <v/>
      </c>
      <c r="I145" s="34">
        <f>IF(B145="","",SUMIFS(Erfassung!$F$6:$F$5005,Erfassung!$B$6:$B$5005,A145,Erfassung!$A$6:$A$5005,"&gt;="&amp;DATE(Einstellungen!$C$3,1,1),Erfassung!$A$6:$A$5005,"&lt;"&amp;DATE(Einstellungen!$C$3+1,1,1)))</f>
        <v/>
      </c>
      <c r="J145" s="38">
        <f>IF(B145="","",IF(D145+F145&gt;0,F145/(D145+F145),""))</f>
        <v/>
      </c>
      <c r="K145" s="59">
        <f>IF(J145="","",RANK(J145,$J$6:$J$205,0))</f>
        <v/>
      </c>
      <c r="L145" s="29">
        <f>IF(J145="","",IF(J145&lt;=Einstellungen!$C$7,"unauffällig",IF(J145&lt;=Einstellungen!$C$8,"auffällig","kritisch")))</f>
        <v/>
      </c>
      <c r="M145" s="60">
        <f>IF(J145="",-1,J145+ROW()/1000000000)</f>
        <v/>
      </c>
    </row>
    <row r="146">
      <c r="A146" s="56">
        <f>IF(Mitarbeiter!B146="","",Mitarbeiter!A146)</f>
        <v/>
      </c>
      <c r="B146" s="57">
        <f>IF(Mitarbeiter!B146="","",Mitarbeiter!B146)</f>
        <v/>
      </c>
      <c r="C146" s="7">
        <f>IF(Mitarbeiter!B146="","",Mitarbeiter!G146)</f>
        <v/>
      </c>
      <c r="D146" s="54">
        <f>IF(B146="","",SUMIFS(Erfassung!$E$6:$E$5005,Erfassung!$B$6:$B$5005,A146,Erfassung!$A$6:$A$5005,"&gt;="&amp;DATE(Einstellungen!$C$3,1,1),Erfassung!$A$6:$A$5005,"&lt;"&amp;DATE(Einstellungen!$C$3+1,1,1)))</f>
        <v/>
      </c>
      <c r="E146" s="58">
        <f>IF(B146="","",IF(D146&gt;0,SUMIFS(Erfassung!$E$6:$E$5005,Erfassung!$B$6:$B$5005,A146,Erfassung!$D$6:$D$5005,Einstellungen!$C$4,Erfassung!$A$6:$A$5005,"&gt;="&amp;DATE(Einstellungen!$C$3,1,1),Erfassung!$A$6:$A$5005,"&lt;"&amp;DATE(Einstellungen!$C$3+1,1,1))/D146,""))</f>
        <v/>
      </c>
      <c r="F146" s="54">
        <f>IF(B146="","",SUMIFS(Erfassung!$G$6:$G$5005,Erfassung!$B$6:$B$5005,A146,Erfassung!$A$6:$A$5005,"&gt;="&amp;DATE(Einstellungen!$C$3,1,1),Erfassung!$A$6:$A$5005,"&lt;"&amp;DATE(Einstellungen!$C$3+1,1,1)))</f>
        <v/>
      </c>
      <c r="G146" s="54">
        <f>IF(B146="","",SUMIFS(Erfassung!$G$6:$G$5005,Erfassung!$B$6:$B$5005,A146,Erfassung!$D$6:$D$5005,Einstellungen!$C$4,Erfassung!$A$6:$A$5005,"&gt;="&amp;DATE(Einstellungen!$C$3,1,1),Erfassung!$A$6:$A$5005,"&lt;"&amp;DATE(Einstellungen!$C$3+1,1,1)))</f>
        <v/>
      </c>
      <c r="H146" s="54">
        <f>IF(B146="","",SUMIFS(Erfassung!$G$6:$G$5005,Erfassung!$B$6:$B$5005,A146,Erfassung!$D$6:$D$5005,Einstellungen!$C$5,Erfassung!$A$6:$A$5005,"&gt;="&amp;DATE(Einstellungen!$C$3,1,1),Erfassung!$A$6:$A$5005,"&lt;"&amp;DATE(Einstellungen!$C$3+1,1,1)))</f>
        <v/>
      </c>
      <c r="I146" s="34">
        <f>IF(B146="","",SUMIFS(Erfassung!$F$6:$F$5005,Erfassung!$B$6:$B$5005,A146,Erfassung!$A$6:$A$5005,"&gt;="&amp;DATE(Einstellungen!$C$3,1,1),Erfassung!$A$6:$A$5005,"&lt;"&amp;DATE(Einstellungen!$C$3+1,1,1)))</f>
        <v/>
      </c>
      <c r="J146" s="38">
        <f>IF(B146="","",IF(D146+F146&gt;0,F146/(D146+F146),""))</f>
        <v/>
      </c>
      <c r="K146" s="59">
        <f>IF(J146="","",RANK(J146,$J$6:$J$205,0))</f>
        <v/>
      </c>
      <c r="L146" s="29">
        <f>IF(J146="","",IF(J146&lt;=Einstellungen!$C$7,"unauffällig",IF(J146&lt;=Einstellungen!$C$8,"auffällig","kritisch")))</f>
        <v/>
      </c>
      <c r="M146" s="60">
        <f>IF(J146="",-1,J146+ROW()/1000000000)</f>
        <v/>
      </c>
    </row>
    <row r="147">
      <c r="A147" s="56">
        <f>IF(Mitarbeiter!B147="","",Mitarbeiter!A147)</f>
        <v/>
      </c>
      <c r="B147" s="57">
        <f>IF(Mitarbeiter!B147="","",Mitarbeiter!B147)</f>
        <v/>
      </c>
      <c r="C147" s="7">
        <f>IF(Mitarbeiter!B147="","",Mitarbeiter!G147)</f>
        <v/>
      </c>
      <c r="D147" s="54">
        <f>IF(B147="","",SUMIFS(Erfassung!$E$6:$E$5005,Erfassung!$B$6:$B$5005,A147,Erfassung!$A$6:$A$5005,"&gt;="&amp;DATE(Einstellungen!$C$3,1,1),Erfassung!$A$6:$A$5005,"&lt;"&amp;DATE(Einstellungen!$C$3+1,1,1)))</f>
        <v/>
      </c>
      <c r="E147" s="58">
        <f>IF(B147="","",IF(D147&gt;0,SUMIFS(Erfassung!$E$6:$E$5005,Erfassung!$B$6:$B$5005,A147,Erfassung!$D$6:$D$5005,Einstellungen!$C$4,Erfassung!$A$6:$A$5005,"&gt;="&amp;DATE(Einstellungen!$C$3,1,1),Erfassung!$A$6:$A$5005,"&lt;"&amp;DATE(Einstellungen!$C$3+1,1,1))/D147,""))</f>
        <v/>
      </c>
      <c r="F147" s="54">
        <f>IF(B147="","",SUMIFS(Erfassung!$G$6:$G$5005,Erfassung!$B$6:$B$5005,A147,Erfassung!$A$6:$A$5005,"&gt;="&amp;DATE(Einstellungen!$C$3,1,1),Erfassung!$A$6:$A$5005,"&lt;"&amp;DATE(Einstellungen!$C$3+1,1,1)))</f>
        <v/>
      </c>
      <c r="G147" s="54">
        <f>IF(B147="","",SUMIFS(Erfassung!$G$6:$G$5005,Erfassung!$B$6:$B$5005,A147,Erfassung!$D$6:$D$5005,Einstellungen!$C$4,Erfassung!$A$6:$A$5005,"&gt;="&amp;DATE(Einstellungen!$C$3,1,1),Erfassung!$A$6:$A$5005,"&lt;"&amp;DATE(Einstellungen!$C$3+1,1,1)))</f>
        <v/>
      </c>
      <c r="H147" s="54">
        <f>IF(B147="","",SUMIFS(Erfassung!$G$6:$G$5005,Erfassung!$B$6:$B$5005,A147,Erfassung!$D$6:$D$5005,Einstellungen!$C$5,Erfassung!$A$6:$A$5005,"&gt;="&amp;DATE(Einstellungen!$C$3,1,1),Erfassung!$A$6:$A$5005,"&lt;"&amp;DATE(Einstellungen!$C$3+1,1,1)))</f>
        <v/>
      </c>
      <c r="I147" s="34">
        <f>IF(B147="","",SUMIFS(Erfassung!$F$6:$F$5005,Erfassung!$B$6:$B$5005,A147,Erfassung!$A$6:$A$5005,"&gt;="&amp;DATE(Einstellungen!$C$3,1,1),Erfassung!$A$6:$A$5005,"&lt;"&amp;DATE(Einstellungen!$C$3+1,1,1)))</f>
        <v/>
      </c>
      <c r="J147" s="38">
        <f>IF(B147="","",IF(D147+F147&gt;0,F147/(D147+F147),""))</f>
        <v/>
      </c>
      <c r="K147" s="59">
        <f>IF(J147="","",RANK(J147,$J$6:$J$205,0))</f>
        <v/>
      </c>
      <c r="L147" s="29">
        <f>IF(J147="","",IF(J147&lt;=Einstellungen!$C$7,"unauffällig",IF(J147&lt;=Einstellungen!$C$8,"auffällig","kritisch")))</f>
        <v/>
      </c>
      <c r="M147" s="60">
        <f>IF(J147="",-1,J147+ROW()/1000000000)</f>
        <v/>
      </c>
    </row>
    <row r="148">
      <c r="A148" s="56">
        <f>IF(Mitarbeiter!B148="","",Mitarbeiter!A148)</f>
        <v/>
      </c>
      <c r="B148" s="57">
        <f>IF(Mitarbeiter!B148="","",Mitarbeiter!B148)</f>
        <v/>
      </c>
      <c r="C148" s="7">
        <f>IF(Mitarbeiter!B148="","",Mitarbeiter!G148)</f>
        <v/>
      </c>
      <c r="D148" s="54">
        <f>IF(B148="","",SUMIFS(Erfassung!$E$6:$E$5005,Erfassung!$B$6:$B$5005,A148,Erfassung!$A$6:$A$5005,"&gt;="&amp;DATE(Einstellungen!$C$3,1,1),Erfassung!$A$6:$A$5005,"&lt;"&amp;DATE(Einstellungen!$C$3+1,1,1)))</f>
        <v/>
      </c>
      <c r="E148" s="58">
        <f>IF(B148="","",IF(D148&gt;0,SUMIFS(Erfassung!$E$6:$E$5005,Erfassung!$B$6:$B$5005,A148,Erfassung!$D$6:$D$5005,Einstellungen!$C$4,Erfassung!$A$6:$A$5005,"&gt;="&amp;DATE(Einstellungen!$C$3,1,1),Erfassung!$A$6:$A$5005,"&lt;"&amp;DATE(Einstellungen!$C$3+1,1,1))/D148,""))</f>
        <v/>
      </c>
      <c r="F148" s="54">
        <f>IF(B148="","",SUMIFS(Erfassung!$G$6:$G$5005,Erfassung!$B$6:$B$5005,A148,Erfassung!$A$6:$A$5005,"&gt;="&amp;DATE(Einstellungen!$C$3,1,1),Erfassung!$A$6:$A$5005,"&lt;"&amp;DATE(Einstellungen!$C$3+1,1,1)))</f>
        <v/>
      </c>
      <c r="G148" s="54">
        <f>IF(B148="","",SUMIFS(Erfassung!$G$6:$G$5005,Erfassung!$B$6:$B$5005,A148,Erfassung!$D$6:$D$5005,Einstellungen!$C$4,Erfassung!$A$6:$A$5005,"&gt;="&amp;DATE(Einstellungen!$C$3,1,1),Erfassung!$A$6:$A$5005,"&lt;"&amp;DATE(Einstellungen!$C$3+1,1,1)))</f>
        <v/>
      </c>
      <c r="H148" s="54">
        <f>IF(B148="","",SUMIFS(Erfassung!$G$6:$G$5005,Erfassung!$B$6:$B$5005,A148,Erfassung!$D$6:$D$5005,Einstellungen!$C$5,Erfassung!$A$6:$A$5005,"&gt;="&amp;DATE(Einstellungen!$C$3,1,1),Erfassung!$A$6:$A$5005,"&lt;"&amp;DATE(Einstellungen!$C$3+1,1,1)))</f>
        <v/>
      </c>
      <c r="I148" s="34">
        <f>IF(B148="","",SUMIFS(Erfassung!$F$6:$F$5005,Erfassung!$B$6:$B$5005,A148,Erfassung!$A$6:$A$5005,"&gt;="&amp;DATE(Einstellungen!$C$3,1,1),Erfassung!$A$6:$A$5005,"&lt;"&amp;DATE(Einstellungen!$C$3+1,1,1)))</f>
        <v/>
      </c>
      <c r="J148" s="38">
        <f>IF(B148="","",IF(D148+F148&gt;0,F148/(D148+F148),""))</f>
        <v/>
      </c>
      <c r="K148" s="59">
        <f>IF(J148="","",RANK(J148,$J$6:$J$205,0))</f>
        <v/>
      </c>
      <c r="L148" s="29">
        <f>IF(J148="","",IF(J148&lt;=Einstellungen!$C$7,"unauffällig",IF(J148&lt;=Einstellungen!$C$8,"auffällig","kritisch")))</f>
        <v/>
      </c>
      <c r="M148" s="60">
        <f>IF(J148="",-1,J148+ROW()/1000000000)</f>
        <v/>
      </c>
    </row>
    <row r="149">
      <c r="A149" s="56">
        <f>IF(Mitarbeiter!B149="","",Mitarbeiter!A149)</f>
        <v/>
      </c>
      <c r="B149" s="57">
        <f>IF(Mitarbeiter!B149="","",Mitarbeiter!B149)</f>
        <v/>
      </c>
      <c r="C149" s="7">
        <f>IF(Mitarbeiter!B149="","",Mitarbeiter!G149)</f>
        <v/>
      </c>
      <c r="D149" s="54">
        <f>IF(B149="","",SUMIFS(Erfassung!$E$6:$E$5005,Erfassung!$B$6:$B$5005,A149,Erfassung!$A$6:$A$5005,"&gt;="&amp;DATE(Einstellungen!$C$3,1,1),Erfassung!$A$6:$A$5005,"&lt;"&amp;DATE(Einstellungen!$C$3+1,1,1)))</f>
        <v/>
      </c>
      <c r="E149" s="58">
        <f>IF(B149="","",IF(D149&gt;0,SUMIFS(Erfassung!$E$6:$E$5005,Erfassung!$B$6:$B$5005,A149,Erfassung!$D$6:$D$5005,Einstellungen!$C$4,Erfassung!$A$6:$A$5005,"&gt;="&amp;DATE(Einstellungen!$C$3,1,1),Erfassung!$A$6:$A$5005,"&lt;"&amp;DATE(Einstellungen!$C$3+1,1,1))/D149,""))</f>
        <v/>
      </c>
      <c r="F149" s="54">
        <f>IF(B149="","",SUMIFS(Erfassung!$G$6:$G$5005,Erfassung!$B$6:$B$5005,A149,Erfassung!$A$6:$A$5005,"&gt;="&amp;DATE(Einstellungen!$C$3,1,1),Erfassung!$A$6:$A$5005,"&lt;"&amp;DATE(Einstellungen!$C$3+1,1,1)))</f>
        <v/>
      </c>
      <c r="G149" s="54">
        <f>IF(B149="","",SUMIFS(Erfassung!$G$6:$G$5005,Erfassung!$B$6:$B$5005,A149,Erfassung!$D$6:$D$5005,Einstellungen!$C$4,Erfassung!$A$6:$A$5005,"&gt;="&amp;DATE(Einstellungen!$C$3,1,1),Erfassung!$A$6:$A$5005,"&lt;"&amp;DATE(Einstellungen!$C$3+1,1,1)))</f>
        <v/>
      </c>
      <c r="H149" s="54">
        <f>IF(B149="","",SUMIFS(Erfassung!$G$6:$G$5005,Erfassung!$B$6:$B$5005,A149,Erfassung!$D$6:$D$5005,Einstellungen!$C$5,Erfassung!$A$6:$A$5005,"&gt;="&amp;DATE(Einstellungen!$C$3,1,1),Erfassung!$A$6:$A$5005,"&lt;"&amp;DATE(Einstellungen!$C$3+1,1,1)))</f>
        <v/>
      </c>
      <c r="I149" s="34">
        <f>IF(B149="","",SUMIFS(Erfassung!$F$6:$F$5005,Erfassung!$B$6:$B$5005,A149,Erfassung!$A$6:$A$5005,"&gt;="&amp;DATE(Einstellungen!$C$3,1,1),Erfassung!$A$6:$A$5005,"&lt;"&amp;DATE(Einstellungen!$C$3+1,1,1)))</f>
        <v/>
      </c>
      <c r="J149" s="38">
        <f>IF(B149="","",IF(D149+F149&gt;0,F149/(D149+F149),""))</f>
        <v/>
      </c>
      <c r="K149" s="59">
        <f>IF(J149="","",RANK(J149,$J$6:$J$205,0))</f>
        <v/>
      </c>
      <c r="L149" s="29">
        <f>IF(J149="","",IF(J149&lt;=Einstellungen!$C$7,"unauffällig",IF(J149&lt;=Einstellungen!$C$8,"auffällig","kritisch")))</f>
        <v/>
      </c>
      <c r="M149" s="60">
        <f>IF(J149="",-1,J149+ROW()/1000000000)</f>
        <v/>
      </c>
    </row>
    <row r="150">
      <c r="A150" s="56">
        <f>IF(Mitarbeiter!B150="","",Mitarbeiter!A150)</f>
        <v/>
      </c>
      <c r="B150" s="57">
        <f>IF(Mitarbeiter!B150="","",Mitarbeiter!B150)</f>
        <v/>
      </c>
      <c r="C150" s="7">
        <f>IF(Mitarbeiter!B150="","",Mitarbeiter!G150)</f>
        <v/>
      </c>
      <c r="D150" s="54">
        <f>IF(B150="","",SUMIFS(Erfassung!$E$6:$E$5005,Erfassung!$B$6:$B$5005,A150,Erfassung!$A$6:$A$5005,"&gt;="&amp;DATE(Einstellungen!$C$3,1,1),Erfassung!$A$6:$A$5005,"&lt;"&amp;DATE(Einstellungen!$C$3+1,1,1)))</f>
        <v/>
      </c>
      <c r="E150" s="58">
        <f>IF(B150="","",IF(D150&gt;0,SUMIFS(Erfassung!$E$6:$E$5005,Erfassung!$B$6:$B$5005,A150,Erfassung!$D$6:$D$5005,Einstellungen!$C$4,Erfassung!$A$6:$A$5005,"&gt;="&amp;DATE(Einstellungen!$C$3,1,1),Erfassung!$A$6:$A$5005,"&lt;"&amp;DATE(Einstellungen!$C$3+1,1,1))/D150,""))</f>
        <v/>
      </c>
      <c r="F150" s="54">
        <f>IF(B150="","",SUMIFS(Erfassung!$G$6:$G$5005,Erfassung!$B$6:$B$5005,A150,Erfassung!$A$6:$A$5005,"&gt;="&amp;DATE(Einstellungen!$C$3,1,1),Erfassung!$A$6:$A$5005,"&lt;"&amp;DATE(Einstellungen!$C$3+1,1,1)))</f>
        <v/>
      </c>
      <c r="G150" s="54">
        <f>IF(B150="","",SUMIFS(Erfassung!$G$6:$G$5005,Erfassung!$B$6:$B$5005,A150,Erfassung!$D$6:$D$5005,Einstellungen!$C$4,Erfassung!$A$6:$A$5005,"&gt;="&amp;DATE(Einstellungen!$C$3,1,1),Erfassung!$A$6:$A$5005,"&lt;"&amp;DATE(Einstellungen!$C$3+1,1,1)))</f>
        <v/>
      </c>
      <c r="H150" s="54">
        <f>IF(B150="","",SUMIFS(Erfassung!$G$6:$G$5005,Erfassung!$B$6:$B$5005,A150,Erfassung!$D$6:$D$5005,Einstellungen!$C$5,Erfassung!$A$6:$A$5005,"&gt;="&amp;DATE(Einstellungen!$C$3,1,1),Erfassung!$A$6:$A$5005,"&lt;"&amp;DATE(Einstellungen!$C$3+1,1,1)))</f>
        <v/>
      </c>
      <c r="I150" s="34">
        <f>IF(B150="","",SUMIFS(Erfassung!$F$6:$F$5005,Erfassung!$B$6:$B$5005,A150,Erfassung!$A$6:$A$5005,"&gt;="&amp;DATE(Einstellungen!$C$3,1,1),Erfassung!$A$6:$A$5005,"&lt;"&amp;DATE(Einstellungen!$C$3+1,1,1)))</f>
        <v/>
      </c>
      <c r="J150" s="38">
        <f>IF(B150="","",IF(D150+F150&gt;0,F150/(D150+F150),""))</f>
        <v/>
      </c>
      <c r="K150" s="59">
        <f>IF(J150="","",RANK(J150,$J$6:$J$205,0))</f>
        <v/>
      </c>
      <c r="L150" s="29">
        <f>IF(J150="","",IF(J150&lt;=Einstellungen!$C$7,"unauffällig",IF(J150&lt;=Einstellungen!$C$8,"auffällig","kritisch")))</f>
        <v/>
      </c>
      <c r="M150" s="60">
        <f>IF(J150="",-1,J150+ROW()/1000000000)</f>
        <v/>
      </c>
    </row>
    <row r="151">
      <c r="A151" s="56">
        <f>IF(Mitarbeiter!B151="","",Mitarbeiter!A151)</f>
        <v/>
      </c>
      <c r="B151" s="57">
        <f>IF(Mitarbeiter!B151="","",Mitarbeiter!B151)</f>
        <v/>
      </c>
      <c r="C151" s="7">
        <f>IF(Mitarbeiter!B151="","",Mitarbeiter!G151)</f>
        <v/>
      </c>
      <c r="D151" s="54">
        <f>IF(B151="","",SUMIFS(Erfassung!$E$6:$E$5005,Erfassung!$B$6:$B$5005,A151,Erfassung!$A$6:$A$5005,"&gt;="&amp;DATE(Einstellungen!$C$3,1,1),Erfassung!$A$6:$A$5005,"&lt;"&amp;DATE(Einstellungen!$C$3+1,1,1)))</f>
        <v/>
      </c>
      <c r="E151" s="58">
        <f>IF(B151="","",IF(D151&gt;0,SUMIFS(Erfassung!$E$6:$E$5005,Erfassung!$B$6:$B$5005,A151,Erfassung!$D$6:$D$5005,Einstellungen!$C$4,Erfassung!$A$6:$A$5005,"&gt;="&amp;DATE(Einstellungen!$C$3,1,1),Erfassung!$A$6:$A$5005,"&lt;"&amp;DATE(Einstellungen!$C$3+1,1,1))/D151,""))</f>
        <v/>
      </c>
      <c r="F151" s="54">
        <f>IF(B151="","",SUMIFS(Erfassung!$G$6:$G$5005,Erfassung!$B$6:$B$5005,A151,Erfassung!$A$6:$A$5005,"&gt;="&amp;DATE(Einstellungen!$C$3,1,1),Erfassung!$A$6:$A$5005,"&lt;"&amp;DATE(Einstellungen!$C$3+1,1,1)))</f>
        <v/>
      </c>
      <c r="G151" s="54">
        <f>IF(B151="","",SUMIFS(Erfassung!$G$6:$G$5005,Erfassung!$B$6:$B$5005,A151,Erfassung!$D$6:$D$5005,Einstellungen!$C$4,Erfassung!$A$6:$A$5005,"&gt;="&amp;DATE(Einstellungen!$C$3,1,1),Erfassung!$A$6:$A$5005,"&lt;"&amp;DATE(Einstellungen!$C$3+1,1,1)))</f>
        <v/>
      </c>
      <c r="H151" s="54">
        <f>IF(B151="","",SUMIFS(Erfassung!$G$6:$G$5005,Erfassung!$B$6:$B$5005,A151,Erfassung!$D$6:$D$5005,Einstellungen!$C$5,Erfassung!$A$6:$A$5005,"&gt;="&amp;DATE(Einstellungen!$C$3,1,1),Erfassung!$A$6:$A$5005,"&lt;"&amp;DATE(Einstellungen!$C$3+1,1,1)))</f>
        <v/>
      </c>
      <c r="I151" s="34">
        <f>IF(B151="","",SUMIFS(Erfassung!$F$6:$F$5005,Erfassung!$B$6:$B$5005,A151,Erfassung!$A$6:$A$5005,"&gt;="&amp;DATE(Einstellungen!$C$3,1,1),Erfassung!$A$6:$A$5005,"&lt;"&amp;DATE(Einstellungen!$C$3+1,1,1)))</f>
        <v/>
      </c>
      <c r="J151" s="38">
        <f>IF(B151="","",IF(D151+F151&gt;0,F151/(D151+F151),""))</f>
        <v/>
      </c>
      <c r="K151" s="59">
        <f>IF(J151="","",RANK(J151,$J$6:$J$205,0))</f>
        <v/>
      </c>
      <c r="L151" s="29">
        <f>IF(J151="","",IF(J151&lt;=Einstellungen!$C$7,"unauffällig",IF(J151&lt;=Einstellungen!$C$8,"auffällig","kritisch")))</f>
        <v/>
      </c>
      <c r="M151" s="60">
        <f>IF(J151="",-1,J151+ROW()/1000000000)</f>
        <v/>
      </c>
    </row>
    <row r="152">
      <c r="A152" s="56">
        <f>IF(Mitarbeiter!B152="","",Mitarbeiter!A152)</f>
        <v/>
      </c>
      <c r="B152" s="57">
        <f>IF(Mitarbeiter!B152="","",Mitarbeiter!B152)</f>
        <v/>
      </c>
      <c r="C152" s="7">
        <f>IF(Mitarbeiter!B152="","",Mitarbeiter!G152)</f>
        <v/>
      </c>
      <c r="D152" s="54">
        <f>IF(B152="","",SUMIFS(Erfassung!$E$6:$E$5005,Erfassung!$B$6:$B$5005,A152,Erfassung!$A$6:$A$5005,"&gt;="&amp;DATE(Einstellungen!$C$3,1,1),Erfassung!$A$6:$A$5005,"&lt;"&amp;DATE(Einstellungen!$C$3+1,1,1)))</f>
        <v/>
      </c>
      <c r="E152" s="58">
        <f>IF(B152="","",IF(D152&gt;0,SUMIFS(Erfassung!$E$6:$E$5005,Erfassung!$B$6:$B$5005,A152,Erfassung!$D$6:$D$5005,Einstellungen!$C$4,Erfassung!$A$6:$A$5005,"&gt;="&amp;DATE(Einstellungen!$C$3,1,1),Erfassung!$A$6:$A$5005,"&lt;"&amp;DATE(Einstellungen!$C$3+1,1,1))/D152,""))</f>
        <v/>
      </c>
      <c r="F152" s="54">
        <f>IF(B152="","",SUMIFS(Erfassung!$G$6:$G$5005,Erfassung!$B$6:$B$5005,A152,Erfassung!$A$6:$A$5005,"&gt;="&amp;DATE(Einstellungen!$C$3,1,1),Erfassung!$A$6:$A$5005,"&lt;"&amp;DATE(Einstellungen!$C$3+1,1,1)))</f>
        <v/>
      </c>
      <c r="G152" s="54">
        <f>IF(B152="","",SUMIFS(Erfassung!$G$6:$G$5005,Erfassung!$B$6:$B$5005,A152,Erfassung!$D$6:$D$5005,Einstellungen!$C$4,Erfassung!$A$6:$A$5005,"&gt;="&amp;DATE(Einstellungen!$C$3,1,1),Erfassung!$A$6:$A$5005,"&lt;"&amp;DATE(Einstellungen!$C$3+1,1,1)))</f>
        <v/>
      </c>
      <c r="H152" s="54">
        <f>IF(B152="","",SUMIFS(Erfassung!$G$6:$G$5005,Erfassung!$B$6:$B$5005,A152,Erfassung!$D$6:$D$5005,Einstellungen!$C$5,Erfassung!$A$6:$A$5005,"&gt;="&amp;DATE(Einstellungen!$C$3,1,1),Erfassung!$A$6:$A$5005,"&lt;"&amp;DATE(Einstellungen!$C$3+1,1,1)))</f>
        <v/>
      </c>
      <c r="I152" s="34">
        <f>IF(B152="","",SUMIFS(Erfassung!$F$6:$F$5005,Erfassung!$B$6:$B$5005,A152,Erfassung!$A$6:$A$5005,"&gt;="&amp;DATE(Einstellungen!$C$3,1,1),Erfassung!$A$6:$A$5005,"&lt;"&amp;DATE(Einstellungen!$C$3+1,1,1)))</f>
        <v/>
      </c>
      <c r="J152" s="38">
        <f>IF(B152="","",IF(D152+F152&gt;0,F152/(D152+F152),""))</f>
        <v/>
      </c>
      <c r="K152" s="59">
        <f>IF(J152="","",RANK(J152,$J$6:$J$205,0))</f>
        <v/>
      </c>
      <c r="L152" s="29">
        <f>IF(J152="","",IF(J152&lt;=Einstellungen!$C$7,"unauffällig",IF(J152&lt;=Einstellungen!$C$8,"auffällig","kritisch")))</f>
        <v/>
      </c>
      <c r="M152" s="60">
        <f>IF(J152="",-1,J152+ROW()/1000000000)</f>
        <v/>
      </c>
    </row>
    <row r="153">
      <c r="A153" s="56">
        <f>IF(Mitarbeiter!B153="","",Mitarbeiter!A153)</f>
        <v/>
      </c>
      <c r="B153" s="57">
        <f>IF(Mitarbeiter!B153="","",Mitarbeiter!B153)</f>
        <v/>
      </c>
      <c r="C153" s="7">
        <f>IF(Mitarbeiter!B153="","",Mitarbeiter!G153)</f>
        <v/>
      </c>
      <c r="D153" s="54">
        <f>IF(B153="","",SUMIFS(Erfassung!$E$6:$E$5005,Erfassung!$B$6:$B$5005,A153,Erfassung!$A$6:$A$5005,"&gt;="&amp;DATE(Einstellungen!$C$3,1,1),Erfassung!$A$6:$A$5005,"&lt;"&amp;DATE(Einstellungen!$C$3+1,1,1)))</f>
        <v/>
      </c>
      <c r="E153" s="58">
        <f>IF(B153="","",IF(D153&gt;0,SUMIFS(Erfassung!$E$6:$E$5005,Erfassung!$B$6:$B$5005,A153,Erfassung!$D$6:$D$5005,Einstellungen!$C$4,Erfassung!$A$6:$A$5005,"&gt;="&amp;DATE(Einstellungen!$C$3,1,1),Erfassung!$A$6:$A$5005,"&lt;"&amp;DATE(Einstellungen!$C$3+1,1,1))/D153,""))</f>
        <v/>
      </c>
      <c r="F153" s="54">
        <f>IF(B153="","",SUMIFS(Erfassung!$G$6:$G$5005,Erfassung!$B$6:$B$5005,A153,Erfassung!$A$6:$A$5005,"&gt;="&amp;DATE(Einstellungen!$C$3,1,1),Erfassung!$A$6:$A$5005,"&lt;"&amp;DATE(Einstellungen!$C$3+1,1,1)))</f>
        <v/>
      </c>
      <c r="G153" s="54">
        <f>IF(B153="","",SUMIFS(Erfassung!$G$6:$G$5005,Erfassung!$B$6:$B$5005,A153,Erfassung!$D$6:$D$5005,Einstellungen!$C$4,Erfassung!$A$6:$A$5005,"&gt;="&amp;DATE(Einstellungen!$C$3,1,1),Erfassung!$A$6:$A$5005,"&lt;"&amp;DATE(Einstellungen!$C$3+1,1,1)))</f>
        <v/>
      </c>
      <c r="H153" s="54">
        <f>IF(B153="","",SUMIFS(Erfassung!$G$6:$G$5005,Erfassung!$B$6:$B$5005,A153,Erfassung!$D$6:$D$5005,Einstellungen!$C$5,Erfassung!$A$6:$A$5005,"&gt;="&amp;DATE(Einstellungen!$C$3,1,1),Erfassung!$A$6:$A$5005,"&lt;"&amp;DATE(Einstellungen!$C$3+1,1,1)))</f>
        <v/>
      </c>
      <c r="I153" s="34">
        <f>IF(B153="","",SUMIFS(Erfassung!$F$6:$F$5005,Erfassung!$B$6:$B$5005,A153,Erfassung!$A$6:$A$5005,"&gt;="&amp;DATE(Einstellungen!$C$3,1,1),Erfassung!$A$6:$A$5005,"&lt;"&amp;DATE(Einstellungen!$C$3+1,1,1)))</f>
        <v/>
      </c>
      <c r="J153" s="38">
        <f>IF(B153="","",IF(D153+F153&gt;0,F153/(D153+F153),""))</f>
        <v/>
      </c>
      <c r="K153" s="59">
        <f>IF(J153="","",RANK(J153,$J$6:$J$205,0))</f>
        <v/>
      </c>
      <c r="L153" s="29">
        <f>IF(J153="","",IF(J153&lt;=Einstellungen!$C$7,"unauffällig",IF(J153&lt;=Einstellungen!$C$8,"auffällig","kritisch")))</f>
        <v/>
      </c>
      <c r="M153" s="60">
        <f>IF(J153="",-1,J153+ROW()/1000000000)</f>
        <v/>
      </c>
    </row>
    <row r="154">
      <c r="A154" s="56">
        <f>IF(Mitarbeiter!B154="","",Mitarbeiter!A154)</f>
        <v/>
      </c>
      <c r="B154" s="57">
        <f>IF(Mitarbeiter!B154="","",Mitarbeiter!B154)</f>
        <v/>
      </c>
      <c r="C154" s="7">
        <f>IF(Mitarbeiter!B154="","",Mitarbeiter!G154)</f>
        <v/>
      </c>
      <c r="D154" s="54">
        <f>IF(B154="","",SUMIFS(Erfassung!$E$6:$E$5005,Erfassung!$B$6:$B$5005,A154,Erfassung!$A$6:$A$5005,"&gt;="&amp;DATE(Einstellungen!$C$3,1,1),Erfassung!$A$6:$A$5005,"&lt;"&amp;DATE(Einstellungen!$C$3+1,1,1)))</f>
        <v/>
      </c>
      <c r="E154" s="58">
        <f>IF(B154="","",IF(D154&gt;0,SUMIFS(Erfassung!$E$6:$E$5005,Erfassung!$B$6:$B$5005,A154,Erfassung!$D$6:$D$5005,Einstellungen!$C$4,Erfassung!$A$6:$A$5005,"&gt;="&amp;DATE(Einstellungen!$C$3,1,1),Erfassung!$A$6:$A$5005,"&lt;"&amp;DATE(Einstellungen!$C$3+1,1,1))/D154,""))</f>
        <v/>
      </c>
      <c r="F154" s="54">
        <f>IF(B154="","",SUMIFS(Erfassung!$G$6:$G$5005,Erfassung!$B$6:$B$5005,A154,Erfassung!$A$6:$A$5005,"&gt;="&amp;DATE(Einstellungen!$C$3,1,1),Erfassung!$A$6:$A$5005,"&lt;"&amp;DATE(Einstellungen!$C$3+1,1,1)))</f>
        <v/>
      </c>
      <c r="G154" s="54">
        <f>IF(B154="","",SUMIFS(Erfassung!$G$6:$G$5005,Erfassung!$B$6:$B$5005,A154,Erfassung!$D$6:$D$5005,Einstellungen!$C$4,Erfassung!$A$6:$A$5005,"&gt;="&amp;DATE(Einstellungen!$C$3,1,1),Erfassung!$A$6:$A$5005,"&lt;"&amp;DATE(Einstellungen!$C$3+1,1,1)))</f>
        <v/>
      </c>
      <c r="H154" s="54">
        <f>IF(B154="","",SUMIFS(Erfassung!$G$6:$G$5005,Erfassung!$B$6:$B$5005,A154,Erfassung!$D$6:$D$5005,Einstellungen!$C$5,Erfassung!$A$6:$A$5005,"&gt;="&amp;DATE(Einstellungen!$C$3,1,1),Erfassung!$A$6:$A$5005,"&lt;"&amp;DATE(Einstellungen!$C$3+1,1,1)))</f>
        <v/>
      </c>
      <c r="I154" s="34">
        <f>IF(B154="","",SUMIFS(Erfassung!$F$6:$F$5005,Erfassung!$B$6:$B$5005,A154,Erfassung!$A$6:$A$5005,"&gt;="&amp;DATE(Einstellungen!$C$3,1,1),Erfassung!$A$6:$A$5005,"&lt;"&amp;DATE(Einstellungen!$C$3+1,1,1)))</f>
        <v/>
      </c>
      <c r="J154" s="38">
        <f>IF(B154="","",IF(D154+F154&gt;0,F154/(D154+F154),""))</f>
        <v/>
      </c>
      <c r="K154" s="59">
        <f>IF(J154="","",RANK(J154,$J$6:$J$205,0))</f>
        <v/>
      </c>
      <c r="L154" s="29">
        <f>IF(J154="","",IF(J154&lt;=Einstellungen!$C$7,"unauffällig",IF(J154&lt;=Einstellungen!$C$8,"auffällig","kritisch")))</f>
        <v/>
      </c>
      <c r="M154" s="60">
        <f>IF(J154="",-1,J154+ROW()/1000000000)</f>
        <v/>
      </c>
    </row>
    <row r="155">
      <c r="A155" s="56">
        <f>IF(Mitarbeiter!B155="","",Mitarbeiter!A155)</f>
        <v/>
      </c>
      <c r="B155" s="57">
        <f>IF(Mitarbeiter!B155="","",Mitarbeiter!B155)</f>
        <v/>
      </c>
      <c r="C155" s="7">
        <f>IF(Mitarbeiter!B155="","",Mitarbeiter!G155)</f>
        <v/>
      </c>
      <c r="D155" s="54">
        <f>IF(B155="","",SUMIFS(Erfassung!$E$6:$E$5005,Erfassung!$B$6:$B$5005,A155,Erfassung!$A$6:$A$5005,"&gt;="&amp;DATE(Einstellungen!$C$3,1,1),Erfassung!$A$6:$A$5005,"&lt;"&amp;DATE(Einstellungen!$C$3+1,1,1)))</f>
        <v/>
      </c>
      <c r="E155" s="58">
        <f>IF(B155="","",IF(D155&gt;0,SUMIFS(Erfassung!$E$6:$E$5005,Erfassung!$B$6:$B$5005,A155,Erfassung!$D$6:$D$5005,Einstellungen!$C$4,Erfassung!$A$6:$A$5005,"&gt;="&amp;DATE(Einstellungen!$C$3,1,1),Erfassung!$A$6:$A$5005,"&lt;"&amp;DATE(Einstellungen!$C$3+1,1,1))/D155,""))</f>
        <v/>
      </c>
      <c r="F155" s="54">
        <f>IF(B155="","",SUMIFS(Erfassung!$G$6:$G$5005,Erfassung!$B$6:$B$5005,A155,Erfassung!$A$6:$A$5005,"&gt;="&amp;DATE(Einstellungen!$C$3,1,1),Erfassung!$A$6:$A$5005,"&lt;"&amp;DATE(Einstellungen!$C$3+1,1,1)))</f>
        <v/>
      </c>
      <c r="G155" s="54">
        <f>IF(B155="","",SUMIFS(Erfassung!$G$6:$G$5005,Erfassung!$B$6:$B$5005,A155,Erfassung!$D$6:$D$5005,Einstellungen!$C$4,Erfassung!$A$6:$A$5005,"&gt;="&amp;DATE(Einstellungen!$C$3,1,1),Erfassung!$A$6:$A$5005,"&lt;"&amp;DATE(Einstellungen!$C$3+1,1,1)))</f>
        <v/>
      </c>
      <c r="H155" s="54">
        <f>IF(B155="","",SUMIFS(Erfassung!$G$6:$G$5005,Erfassung!$B$6:$B$5005,A155,Erfassung!$D$6:$D$5005,Einstellungen!$C$5,Erfassung!$A$6:$A$5005,"&gt;="&amp;DATE(Einstellungen!$C$3,1,1),Erfassung!$A$6:$A$5005,"&lt;"&amp;DATE(Einstellungen!$C$3+1,1,1)))</f>
        <v/>
      </c>
      <c r="I155" s="34">
        <f>IF(B155="","",SUMIFS(Erfassung!$F$6:$F$5005,Erfassung!$B$6:$B$5005,A155,Erfassung!$A$6:$A$5005,"&gt;="&amp;DATE(Einstellungen!$C$3,1,1),Erfassung!$A$6:$A$5005,"&lt;"&amp;DATE(Einstellungen!$C$3+1,1,1)))</f>
        <v/>
      </c>
      <c r="J155" s="38">
        <f>IF(B155="","",IF(D155+F155&gt;0,F155/(D155+F155),""))</f>
        <v/>
      </c>
      <c r="K155" s="59">
        <f>IF(J155="","",RANK(J155,$J$6:$J$205,0))</f>
        <v/>
      </c>
      <c r="L155" s="29">
        <f>IF(J155="","",IF(J155&lt;=Einstellungen!$C$7,"unauffällig",IF(J155&lt;=Einstellungen!$C$8,"auffällig","kritisch")))</f>
        <v/>
      </c>
      <c r="M155" s="60">
        <f>IF(J155="",-1,J155+ROW()/1000000000)</f>
        <v/>
      </c>
    </row>
    <row r="156">
      <c r="A156" s="56">
        <f>IF(Mitarbeiter!B156="","",Mitarbeiter!A156)</f>
        <v/>
      </c>
      <c r="B156" s="57">
        <f>IF(Mitarbeiter!B156="","",Mitarbeiter!B156)</f>
        <v/>
      </c>
      <c r="C156" s="7">
        <f>IF(Mitarbeiter!B156="","",Mitarbeiter!G156)</f>
        <v/>
      </c>
      <c r="D156" s="54">
        <f>IF(B156="","",SUMIFS(Erfassung!$E$6:$E$5005,Erfassung!$B$6:$B$5005,A156,Erfassung!$A$6:$A$5005,"&gt;="&amp;DATE(Einstellungen!$C$3,1,1),Erfassung!$A$6:$A$5005,"&lt;"&amp;DATE(Einstellungen!$C$3+1,1,1)))</f>
        <v/>
      </c>
      <c r="E156" s="58">
        <f>IF(B156="","",IF(D156&gt;0,SUMIFS(Erfassung!$E$6:$E$5005,Erfassung!$B$6:$B$5005,A156,Erfassung!$D$6:$D$5005,Einstellungen!$C$4,Erfassung!$A$6:$A$5005,"&gt;="&amp;DATE(Einstellungen!$C$3,1,1),Erfassung!$A$6:$A$5005,"&lt;"&amp;DATE(Einstellungen!$C$3+1,1,1))/D156,""))</f>
        <v/>
      </c>
      <c r="F156" s="54">
        <f>IF(B156="","",SUMIFS(Erfassung!$G$6:$G$5005,Erfassung!$B$6:$B$5005,A156,Erfassung!$A$6:$A$5005,"&gt;="&amp;DATE(Einstellungen!$C$3,1,1),Erfassung!$A$6:$A$5005,"&lt;"&amp;DATE(Einstellungen!$C$3+1,1,1)))</f>
        <v/>
      </c>
      <c r="G156" s="54">
        <f>IF(B156="","",SUMIFS(Erfassung!$G$6:$G$5005,Erfassung!$B$6:$B$5005,A156,Erfassung!$D$6:$D$5005,Einstellungen!$C$4,Erfassung!$A$6:$A$5005,"&gt;="&amp;DATE(Einstellungen!$C$3,1,1),Erfassung!$A$6:$A$5005,"&lt;"&amp;DATE(Einstellungen!$C$3+1,1,1)))</f>
        <v/>
      </c>
      <c r="H156" s="54">
        <f>IF(B156="","",SUMIFS(Erfassung!$G$6:$G$5005,Erfassung!$B$6:$B$5005,A156,Erfassung!$D$6:$D$5005,Einstellungen!$C$5,Erfassung!$A$6:$A$5005,"&gt;="&amp;DATE(Einstellungen!$C$3,1,1),Erfassung!$A$6:$A$5005,"&lt;"&amp;DATE(Einstellungen!$C$3+1,1,1)))</f>
        <v/>
      </c>
      <c r="I156" s="34">
        <f>IF(B156="","",SUMIFS(Erfassung!$F$6:$F$5005,Erfassung!$B$6:$B$5005,A156,Erfassung!$A$6:$A$5005,"&gt;="&amp;DATE(Einstellungen!$C$3,1,1),Erfassung!$A$6:$A$5005,"&lt;"&amp;DATE(Einstellungen!$C$3+1,1,1)))</f>
        <v/>
      </c>
      <c r="J156" s="38">
        <f>IF(B156="","",IF(D156+F156&gt;0,F156/(D156+F156),""))</f>
        <v/>
      </c>
      <c r="K156" s="59">
        <f>IF(J156="","",RANK(J156,$J$6:$J$205,0))</f>
        <v/>
      </c>
      <c r="L156" s="29">
        <f>IF(J156="","",IF(J156&lt;=Einstellungen!$C$7,"unauffällig",IF(J156&lt;=Einstellungen!$C$8,"auffällig","kritisch")))</f>
        <v/>
      </c>
      <c r="M156" s="60">
        <f>IF(J156="",-1,J156+ROW()/1000000000)</f>
        <v/>
      </c>
    </row>
    <row r="157">
      <c r="A157" s="56">
        <f>IF(Mitarbeiter!B157="","",Mitarbeiter!A157)</f>
        <v/>
      </c>
      <c r="B157" s="57">
        <f>IF(Mitarbeiter!B157="","",Mitarbeiter!B157)</f>
        <v/>
      </c>
      <c r="C157" s="7">
        <f>IF(Mitarbeiter!B157="","",Mitarbeiter!G157)</f>
        <v/>
      </c>
      <c r="D157" s="54">
        <f>IF(B157="","",SUMIFS(Erfassung!$E$6:$E$5005,Erfassung!$B$6:$B$5005,A157,Erfassung!$A$6:$A$5005,"&gt;="&amp;DATE(Einstellungen!$C$3,1,1),Erfassung!$A$6:$A$5005,"&lt;"&amp;DATE(Einstellungen!$C$3+1,1,1)))</f>
        <v/>
      </c>
      <c r="E157" s="58">
        <f>IF(B157="","",IF(D157&gt;0,SUMIFS(Erfassung!$E$6:$E$5005,Erfassung!$B$6:$B$5005,A157,Erfassung!$D$6:$D$5005,Einstellungen!$C$4,Erfassung!$A$6:$A$5005,"&gt;="&amp;DATE(Einstellungen!$C$3,1,1),Erfassung!$A$6:$A$5005,"&lt;"&amp;DATE(Einstellungen!$C$3+1,1,1))/D157,""))</f>
        <v/>
      </c>
      <c r="F157" s="54">
        <f>IF(B157="","",SUMIFS(Erfassung!$G$6:$G$5005,Erfassung!$B$6:$B$5005,A157,Erfassung!$A$6:$A$5005,"&gt;="&amp;DATE(Einstellungen!$C$3,1,1),Erfassung!$A$6:$A$5005,"&lt;"&amp;DATE(Einstellungen!$C$3+1,1,1)))</f>
        <v/>
      </c>
      <c r="G157" s="54">
        <f>IF(B157="","",SUMIFS(Erfassung!$G$6:$G$5005,Erfassung!$B$6:$B$5005,A157,Erfassung!$D$6:$D$5005,Einstellungen!$C$4,Erfassung!$A$6:$A$5005,"&gt;="&amp;DATE(Einstellungen!$C$3,1,1),Erfassung!$A$6:$A$5005,"&lt;"&amp;DATE(Einstellungen!$C$3+1,1,1)))</f>
        <v/>
      </c>
      <c r="H157" s="54">
        <f>IF(B157="","",SUMIFS(Erfassung!$G$6:$G$5005,Erfassung!$B$6:$B$5005,A157,Erfassung!$D$6:$D$5005,Einstellungen!$C$5,Erfassung!$A$6:$A$5005,"&gt;="&amp;DATE(Einstellungen!$C$3,1,1),Erfassung!$A$6:$A$5005,"&lt;"&amp;DATE(Einstellungen!$C$3+1,1,1)))</f>
        <v/>
      </c>
      <c r="I157" s="34">
        <f>IF(B157="","",SUMIFS(Erfassung!$F$6:$F$5005,Erfassung!$B$6:$B$5005,A157,Erfassung!$A$6:$A$5005,"&gt;="&amp;DATE(Einstellungen!$C$3,1,1),Erfassung!$A$6:$A$5005,"&lt;"&amp;DATE(Einstellungen!$C$3+1,1,1)))</f>
        <v/>
      </c>
      <c r="J157" s="38">
        <f>IF(B157="","",IF(D157+F157&gt;0,F157/(D157+F157),""))</f>
        <v/>
      </c>
      <c r="K157" s="59">
        <f>IF(J157="","",RANK(J157,$J$6:$J$205,0))</f>
        <v/>
      </c>
      <c r="L157" s="29">
        <f>IF(J157="","",IF(J157&lt;=Einstellungen!$C$7,"unauffällig",IF(J157&lt;=Einstellungen!$C$8,"auffällig","kritisch")))</f>
        <v/>
      </c>
      <c r="M157" s="60">
        <f>IF(J157="",-1,J157+ROW()/1000000000)</f>
        <v/>
      </c>
    </row>
    <row r="158">
      <c r="A158" s="56">
        <f>IF(Mitarbeiter!B158="","",Mitarbeiter!A158)</f>
        <v/>
      </c>
      <c r="B158" s="57">
        <f>IF(Mitarbeiter!B158="","",Mitarbeiter!B158)</f>
        <v/>
      </c>
      <c r="C158" s="7">
        <f>IF(Mitarbeiter!B158="","",Mitarbeiter!G158)</f>
        <v/>
      </c>
      <c r="D158" s="54">
        <f>IF(B158="","",SUMIFS(Erfassung!$E$6:$E$5005,Erfassung!$B$6:$B$5005,A158,Erfassung!$A$6:$A$5005,"&gt;="&amp;DATE(Einstellungen!$C$3,1,1),Erfassung!$A$6:$A$5005,"&lt;"&amp;DATE(Einstellungen!$C$3+1,1,1)))</f>
        <v/>
      </c>
      <c r="E158" s="58">
        <f>IF(B158="","",IF(D158&gt;0,SUMIFS(Erfassung!$E$6:$E$5005,Erfassung!$B$6:$B$5005,A158,Erfassung!$D$6:$D$5005,Einstellungen!$C$4,Erfassung!$A$6:$A$5005,"&gt;="&amp;DATE(Einstellungen!$C$3,1,1),Erfassung!$A$6:$A$5005,"&lt;"&amp;DATE(Einstellungen!$C$3+1,1,1))/D158,""))</f>
        <v/>
      </c>
      <c r="F158" s="54">
        <f>IF(B158="","",SUMIFS(Erfassung!$G$6:$G$5005,Erfassung!$B$6:$B$5005,A158,Erfassung!$A$6:$A$5005,"&gt;="&amp;DATE(Einstellungen!$C$3,1,1),Erfassung!$A$6:$A$5005,"&lt;"&amp;DATE(Einstellungen!$C$3+1,1,1)))</f>
        <v/>
      </c>
      <c r="G158" s="54">
        <f>IF(B158="","",SUMIFS(Erfassung!$G$6:$G$5005,Erfassung!$B$6:$B$5005,A158,Erfassung!$D$6:$D$5005,Einstellungen!$C$4,Erfassung!$A$6:$A$5005,"&gt;="&amp;DATE(Einstellungen!$C$3,1,1),Erfassung!$A$6:$A$5005,"&lt;"&amp;DATE(Einstellungen!$C$3+1,1,1)))</f>
        <v/>
      </c>
      <c r="H158" s="54">
        <f>IF(B158="","",SUMIFS(Erfassung!$G$6:$G$5005,Erfassung!$B$6:$B$5005,A158,Erfassung!$D$6:$D$5005,Einstellungen!$C$5,Erfassung!$A$6:$A$5005,"&gt;="&amp;DATE(Einstellungen!$C$3,1,1),Erfassung!$A$6:$A$5005,"&lt;"&amp;DATE(Einstellungen!$C$3+1,1,1)))</f>
        <v/>
      </c>
      <c r="I158" s="34">
        <f>IF(B158="","",SUMIFS(Erfassung!$F$6:$F$5005,Erfassung!$B$6:$B$5005,A158,Erfassung!$A$6:$A$5005,"&gt;="&amp;DATE(Einstellungen!$C$3,1,1),Erfassung!$A$6:$A$5005,"&lt;"&amp;DATE(Einstellungen!$C$3+1,1,1)))</f>
        <v/>
      </c>
      <c r="J158" s="38">
        <f>IF(B158="","",IF(D158+F158&gt;0,F158/(D158+F158),""))</f>
        <v/>
      </c>
      <c r="K158" s="59">
        <f>IF(J158="","",RANK(J158,$J$6:$J$205,0))</f>
        <v/>
      </c>
      <c r="L158" s="29">
        <f>IF(J158="","",IF(J158&lt;=Einstellungen!$C$7,"unauffällig",IF(J158&lt;=Einstellungen!$C$8,"auffällig","kritisch")))</f>
        <v/>
      </c>
      <c r="M158" s="60">
        <f>IF(J158="",-1,J158+ROW()/1000000000)</f>
        <v/>
      </c>
    </row>
    <row r="159">
      <c r="A159" s="56">
        <f>IF(Mitarbeiter!B159="","",Mitarbeiter!A159)</f>
        <v/>
      </c>
      <c r="B159" s="57">
        <f>IF(Mitarbeiter!B159="","",Mitarbeiter!B159)</f>
        <v/>
      </c>
      <c r="C159" s="7">
        <f>IF(Mitarbeiter!B159="","",Mitarbeiter!G159)</f>
        <v/>
      </c>
      <c r="D159" s="54">
        <f>IF(B159="","",SUMIFS(Erfassung!$E$6:$E$5005,Erfassung!$B$6:$B$5005,A159,Erfassung!$A$6:$A$5005,"&gt;="&amp;DATE(Einstellungen!$C$3,1,1),Erfassung!$A$6:$A$5005,"&lt;"&amp;DATE(Einstellungen!$C$3+1,1,1)))</f>
        <v/>
      </c>
      <c r="E159" s="58">
        <f>IF(B159="","",IF(D159&gt;0,SUMIFS(Erfassung!$E$6:$E$5005,Erfassung!$B$6:$B$5005,A159,Erfassung!$D$6:$D$5005,Einstellungen!$C$4,Erfassung!$A$6:$A$5005,"&gt;="&amp;DATE(Einstellungen!$C$3,1,1),Erfassung!$A$6:$A$5005,"&lt;"&amp;DATE(Einstellungen!$C$3+1,1,1))/D159,""))</f>
        <v/>
      </c>
      <c r="F159" s="54">
        <f>IF(B159="","",SUMIFS(Erfassung!$G$6:$G$5005,Erfassung!$B$6:$B$5005,A159,Erfassung!$A$6:$A$5005,"&gt;="&amp;DATE(Einstellungen!$C$3,1,1),Erfassung!$A$6:$A$5005,"&lt;"&amp;DATE(Einstellungen!$C$3+1,1,1)))</f>
        <v/>
      </c>
      <c r="G159" s="54">
        <f>IF(B159="","",SUMIFS(Erfassung!$G$6:$G$5005,Erfassung!$B$6:$B$5005,A159,Erfassung!$D$6:$D$5005,Einstellungen!$C$4,Erfassung!$A$6:$A$5005,"&gt;="&amp;DATE(Einstellungen!$C$3,1,1),Erfassung!$A$6:$A$5005,"&lt;"&amp;DATE(Einstellungen!$C$3+1,1,1)))</f>
        <v/>
      </c>
      <c r="H159" s="54">
        <f>IF(B159="","",SUMIFS(Erfassung!$G$6:$G$5005,Erfassung!$B$6:$B$5005,A159,Erfassung!$D$6:$D$5005,Einstellungen!$C$5,Erfassung!$A$6:$A$5005,"&gt;="&amp;DATE(Einstellungen!$C$3,1,1),Erfassung!$A$6:$A$5005,"&lt;"&amp;DATE(Einstellungen!$C$3+1,1,1)))</f>
        <v/>
      </c>
      <c r="I159" s="34">
        <f>IF(B159="","",SUMIFS(Erfassung!$F$6:$F$5005,Erfassung!$B$6:$B$5005,A159,Erfassung!$A$6:$A$5005,"&gt;="&amp;DATE(Einstellungen!$C$3,1,1),Erfassung!$A$6:$A$5005,"&lt;"&amp;DATE(Einstellungen!$C$3+1,1,1)))</f>
        <v/>
      </c>
      <c r="J159" s="38">
        <f>IF(B159="","",IF(D159+F159&gt;0,F159/(D159+F159),""))</f>
        <v/>
      </c>
      <c r="K159" s="59">
        <f>IF(J159="","",RANK(J159,$J$6:$J$205,0))</f>
        <v/>
      </c>
      <c r="L159" s="29">
        <f>IF(J159="","",IF(J159&lt;=Einstellungen!$C$7,"unauffällig",IF(J159&lt;=Einstellungen!$C$8,"auffällig","kritisch")))</f>
        <v/>
      </c>
      <c r="M159" s="60">
        <f>IF(J159="",-1,J159+ROW()/1000000000)</f>
        <v/>
      </c>
    </row>
    <row r="160">
      <c r="A160" s="56">
        <f>IF(Mitarbeiter!B160="","",Mitarbeiter!A160)</f>
        <v/>
      </c>
      <c r="B160" s="57">
        <f>IF(Mitarbeiter!B160="","",Mitarbeiter!B160)</f>
        <v/>
      </c>
      <c r="C160" s="7">
        <f>IF(Mitarbeiter!B160="","",Mitarbeiter!G160)</f>
        <v/>
      </c>
      <c r="D160" s="54">
        <f>IF(B160="","",SUMIFS(Erfassung!$E$6:$E$5005,Erfassung!$B$6:$B$5005,A160,Erfassung!$A$6:$A$5005,"&gt;="&amp;DATE(Einstellungen!$C$3,1,1),Erfassung!$A$6:$A$5005,"&lt;"&amp;DATE(Einstellungen!$C$3+1,1,1)))</f>
        <v/>
      </c>
      <c r="E160" s="58">
        <f>IF(B160="","",IF(D160&gt;0,SUMIFS(Erfassung!$E$6:$E$5005,Erfassung!$B$6:$B$5005,A160,Erfassung!$D$6:$D$5005,Einstellungen!$C$4,Erfassung!$A$6:$A$5005,"&gt;="&amp;DATE(Einstellungen!$C$3,1,1),Erfassung!$A$6:$A$5005,"&lt;"&amp;DATE(Einstellungen!$C$3+1,1,1))/D160,""))</f>
        <v/>
      </c>
      <c r="F160" s="54">
        <f>IF(B160="","",SUMIFS(Erfassung!$G$6:$G$5005,Erfassung!$B$6:$B$5005,A160,Erfassung!$A$6:$A$5005,"&gt;="&amp;DATE(Einstellungen!$C$3,1,1),Erfassung!$A$6:$A$5005,"&lt;"&amp;DATE(Einstellungen!$C$3+1,1,1)))</f>
        <v/>
      </c>
      <c r="G160" s="54">
        <f>IF(B160="","",SUMIFS(Erfassung!$G$6:$G$5005,Erfassung!$B$6:$B$5005,A160,Erfassung!$D$6:$D$5005,Einstellungen!$C$4,Erfassung!$A$6:$A$5005,"&gt;="&amp;DATE(Einstellungen!$C$3,1,1),Erfassung!$A$6:$A$5005,"&lt;"&amp;DATE(Einstellungen!$C$3+1,1,1)))</f>
        <v/>
      </c>
      <c r="H160" s="54">
        <f>IF(B160="","",SUMIFS(Erfassung!$G$6:$G$5005,Erfassung!$B$6:$B$5005,A160,Erfassung!$D$6:$D$5005,Einstellungen!$C$5,Erfassung!$A$6:$A$5005,"&gt;="&amp;DATE(Einstellungen!$C$3,1,1),Erfassung!$A$6:$A$5005,"&lt;"&amp;DATE(Einstellungen!$C$3+1,1,1)))</f>
        <v/>
      </c>
      <c r="I160" s="34">
        <f>IF(B160="","",SUMIFS(Erfassung!$F$6:$F$5005,Erfassung!$B$6:$B$5005,A160,Erfassung!$A$6:$A$5005,"&gt;="&amp;DATE(Einstellungen!$C$3,1,1),Erfassung!$A$6:$A$5005,"&lt;"&amp;DATE(Einstellungen!$C$3+1,1,1)))</f>
        <v/>
      </c>
      <c r="J160" s="38">
        <f>IF(B160="","",IF(D160+F160&gt;0,F160/(D160+F160),""))</f>
        <v/>
      </c>
      <c r="K160" s="59">
        <f>IF(J160="","",RANK(J160,$J$6:$J$205,0))</f>
        <v/>
      </c>
      <c r="L160" s="29">
        <f>IF(J160="","",IF(J160&lt;=Einstellungen!$C$7,"unauffällig",IF(J160&lt;=Einstellungen!$C$8,"auffällig","kritisch")))</f>
        <v/>
      </c>
      <c r="M160" s="60">
        <f>IF(J160="",-1,J160+ROW()/1000000000)</f>
        <v/>
      </c>
    </row>
    <row r="161">
      <c r="A161" s="56">
        <f>IF(Mitarbeiter!B161="","",Mitarbeiter!A161)</f>
        <v/>
      </c>
      <c r="B161" s="57">
        <f>IF(Mitarbeiter!B161="","",Mitarbeiter!B161)</f>
        <v/>
      </c>
      <c r="C161" s="7">
        <f>IF(Mitarbeiter!B161="","",Mitarbeiter!G161)</f>
        <v/>
      </c>
      <c r="D161" s="54">
        <f>IF(B161="","",SUMIFS(Erfassung!$E$6:$E$5005,Erfassung!$B$6:$B$5005,A161,Erfassung!$A$6:$A$5005,"&gt;="&amp;DATE(Einstellungen!$C$3,1,1),Erfassung!$A$6:$A$5005,"&lt;"&amp;DATE(Einstellungen!$C$3+1,1,1)))</f>
        <v/>
      </c>
      <c r="E161" s="58">
        <f>IF(B161="","",IF(D161&gt;0,SUMIFS(Erfassung!$E$6:$E$5005,Erfassung!$B$6:$B$5005,A161,Erfassung!$D$6:$D$5005,Einstellungen!$C$4,Erfassung!$A$6:$A$5005,"&gt;="&amp;DATE(Einstellungen!$C$3,1,1),Erfassung!$A$6:$A$5005,"&lt;"&amp;DATE(Einstellungen!$C$3+1,1,1))/D161,""))</f>
        <v/>
      </c>
      <c r="F161" s="54">
        <f>IF(B161="","",SUMIFS(Erfassung!$G$6:$G$5005,Erfassung!$B$6:$B$5005,A161,Erfassung!$A$6:$A$5005,"&gt;="&amp;DATE(Einstellungen!$C$3,1,1),Erfassung!$A$6:$A$5005,"&lt;"&amp;DATE(Einstellungen!$C$3+1,1,1)))</f>
        <v/>
      </c>
      <c r="G161" s="54">
        <f>IF(B161="","",SUMIFS(Erfassung!$G$6:$G$5005,Erfassung!$B$6:$B$5005,A161,Erfassung!$D$6:$D$5005,Einstellungen!$C$4,Erfassung!$A$6:$A$5005,"&gt;="&amp;DATE(Einstellungen!$C$3,1,1),Erfassung!$A$6:$A$5005,"&lt;"&amp;DATE(Einstellungen!$C$3+1,1,1)))</f>
        <v/>
      </c>
      <c r="H161" s="54">
        <f>IF(B161="","",SUMIFS(Erfassung!$G$6:$G$5005,Erfassung!$B$6:$B$5005,A161,Erfassung!$D$6:$D$5005,Einstellungen!$C$5,Erfassung!$A$6:$A$5005,"&gt;="&amp;DATE(Einstellungen!$C$3,1,1),Erfassung!$A$6:$A$5005,"&lt;"&amp;DATE(Einstellungen!$C$3+1,1,1)))</f>
        <v/>
      </c>
      <c r="I161" s="34">
        <f>IF(B161="","",SUMIFS(Erfassung!$F$6:$F$5005,Erfassung!$B$6:$B$5005,A161,Erfassung!$A$6:$A$5005,"&gt;="&amp;DATE(Einstellungen!$C$3,1,1),Erfassung!$A$6:$A$5005,"&lt;"&amp;DATE(Einstellungen!$C$3+1,1,1)))</f>
        <v/>
      </c>
      <c r="J161" s="38">
        <f>IF(B161="","",IF(D161+F161&gt;0,F161/(D161+F161),""))</f>
        <v/>
      </c>
      <c r="K161" s="59">
        <f>IF(J161="","",RANK(J161,$J$6:$J$205,0))</f>
        <v/>
      </c>
      <c r="L161" s="29">
        <f>IF(J161="","",IF(J161&lt;=Einstellungen!$C$7,"unauffällig",IF(J161&lt;=Einstellungen!$C$8,"auffällig","kritisch")))</f>
        <v/>
      </c>
      <c r="M161" s="60">
        <f>IF(J161="",-1,J161+ROW()/1000000000)</f>
        <v/>
      </c>
    </row>
    <row r="162">
      <c r="A162" s="56">
        <f>IF(Mitarbeiter!B162="","",Mitarbeiter!A162)</f>
        <v/>
      </c>
      <c r="B162" s="57">
        <f>IF(Mitarbeiter!B162="","",Mitarbeiter!B162)</f>
        <v/>
      </c>
      <c r="C162" s="7">
        <f>IF(Mitarbeiter!B162="","",Mitarbeiter!G162)</f>
        <v/>
      </c>
      <c r="D162" s="54">
        <f>IF(B162="","",SUMIFS(Erfassung!$E$6:$E$5005,Erfassung!$B$6:$B$5005,A162,Erfassung!$A$6:$A$5005,"&gt;="&amp;DATE(Einstellungen!$C$3,1,1),Erfassung!$A$6:$A$5005,"&lt;"&amp;DATE(Einstellungen!$C$3+1,1,1)))</f>
        <v/>
      </c>
      <c r="E162" s="58">
        <f>IF(B162="","",IF(D162&gt;0,SUMIFS(Erfassung!$E$6:$E$5005,Erfassung!$B$6:$B$5005,A162,Erfassung!$D$6:$D$5005,Einstellungen!$C$4,Erfassung!$A$6:$A$5005,"&gt;="&amp;DATE(Einstellungen!$C$3,1,1),Erfassung!$A$6:$A$5005,"&lt;"&amp;DATE(Einstellungen!$C$3+1,1,1))/D162,""))</f>
        <v/>
      </c>
      <c r="F162" s="54">
        <f>IF(B162="","",SUMIFS(Erfassung!$G$6:$G$5005,Erfassung!$B$6:$B$5005,A162,Erfassung!$A$6:$A$5005,"&gt;="&amp;DATE(Einstellungen!$C$3,1,1),Erfassung!$A$6:$A$5005,"&lt;"&amp;DATE(Einstellungen!$C$3+1,1,1)))</f>
        <v/>
      </c>
      <c r="G162" s="54">
        <f>IF(B162="","",SUMIFS(Erfassung!$G$6:$G$5005,Erfassung!$B$6:$B$5005,A162,Erfassung!$D$6:$D$5005,Einstellungen!$C$4,Erfassung!$A$6:$A$5005,"&gt;="&amp;DATE(Einstellungen!$C$3,1,1),Erfassung!$A$6:$A$5005,"&lt;"&amp;DATE(Einstellungen!$C$3+1,1,1)))</f>
        <v/>
      </c>
      <c r="H162" s="54">
        <f>IF(B162="","",SUMIFS(Erfassung!$G$6:$G$5005,Erfassung!$B$6:$B$5005,A162,Erfassung!$D$6:$D$5005,Einstellungen!$C$5,Erfassung!$A$6:$A$5005,"&gt;="&amp;DATE(Einstellungen!$C$3,1,1),Erfassung!$A$6:$A$5005,"&lt;"&amp;DATE(Einstellungen!$C$3+1,1,1)))</f>
        <v/>
      </c>
      <c r="I162" s="34">
        <f>IF(B162="","",SUMIFS(Erfassung!$F$6:$F$5005,Erfassung!$B$6:$B$5005,A162,Erfassung!$A$6:$A$5005,"&gt;="&amp;DATE(Einstellungen!$C$3,1,1),Erfassung!$A$6:$A$5005,"&lt;"&amp;DATE(Einstellungen!$C$3+1,1,1)))</f>
        <v/>
      </c>
      <c r="J162" s="38">
        <f>IF(B162="","",IF(D162+F162&gt;0,F162/(D162+F162),""))</f>
        <v/>
      </c>
      <c r="K162" s="59">
        <f>IF(J162="","",RANK(J162,$J$6:$J$205,0))</f>
        <v/>
      </c>
      <c r="L162" s="29">
        <f>IF(J162="","",IF(J162&lt;=Einstellungen!$C$7,"unauffällig",IF(J162&lt;=Einstellungen!$C$8,"auffällig","kritisch")))</f>
        <v/>
      </c>
      <c r="M162" s="60">
        <f>IF(J162="",-1,J162+ROW()/1000000000)</f>
        <v/>
      </c>
    </row>
    <row r="163">
      <c r="A163" s="56">
        <f>IF(Mitarbeiter!B163="","",Mitarbeiter!A163)</f>
        <v/>
      </c>
      <c r="B163" s="57">
        <f>IF(Mitarbeiter!B163="","",Mitarbeiter!B163)</f>
        <v/>
      </c>
      <c r="C163" s="7">
        <f>IF(Mitarbeiter!B163="","",Mitarbeiter!G163)</f>
        <v/>
      </c>
      <c r="D163" s="54">
        <f>IF(B163="","",SUMIFS(Erfassung!$E$6:$E$5005,Erfassung!$B$6:$B$5005,A163,Erfassung!$A$6:$A$5005,"&gt;="&amp;DATE(Einstellungen!$C$3,1,1),Erfassung!$A$6:$A$5005,"&lt;"&amp;DATE(Einstellungen!$C$3+1,1,1)))</f>
        <v/>
      </c>
      <c r="E163" s="58">
        <f>IF(B163="","",IF(D163&gt;0,SUMIFS(Erfassung!$E$6:$E$5005,Erfassung!$B$6:$B$5005,A163,Erfassung!$D$6:$D$5005,Einstellungen!$C$4,Erfassung!$A$6:$A$5005,"&gt;="&amp;DATE(Einstellungen!$C$3,1,1),Erfassung!$A$6:$A$5005,"&lt;"&amp;DATE(Einstellungen!$C$3+1,1,1))/D163,""))</f>
        <v/>
      </c>
      <c r="F163" s="54">
        <f>IF(B163="","",SUMIFS(Erfassung!$G$6:$G$5005,Erfassung!$B$6:$B$5005,A163,Erfassung!$A$6:$A$5005,"&gt;="&amp;DATE(Einstellungen!$C$3,1,1),Erfassung!$A$6:$A$5005,"&lt;"&amp;DATE(Einstellungen!$C$3+1,1,1)))</f>
        <v/>
      </c>
      <c r="G163" s="54">
        <f>IF(B163="","",SUMIFS(Erfassung!$G$6:$G$5005,Erfassung!$B$6:$B$5005,A163,Erfassung!$D$6:$D$5005,Einstellungen!$C$4,Erfassung!$A$6:$A$5005,"&gt;="&amp;DATE(Einstellungen!$C$3,1,1),Erfassung!$A$6:$A$5005,"&lt;"&amp;DATE(Einstellungen!$C$3+1,1,1)))</f>
        <v/>
      </c>
      <c r="H163" s="54">
        <f>IF(B163="","",SUMIFS(Erfassung!$G$6:$G$5005,Erfassung!$B$6:$B$5005,A163,Erfassung!$D$6:$D$5005,Einstellungen!$C$5,Erfassung!$A$6:$A$5005,"&gt;="&amp;DATE(Einstellungen!$C$3,1,1),Erfassung!$A$6:$A$5005,"&lt;"&amp;DATE(Einstellungen!$C$3+1,1,1)))</f>
        <v/>
      </c>
      <c r="I163" s="34">
        <f>IF(B163="","",SUMIFS(Erfassung!$F$6:$F$5005,Erfassung!$B$6:$B$5005,A163,Erfassung!$A$6:$A$5005,"&gt;="&amp;DATE(Einstellungen!$C$3,1,1),Erfassung!$A$6:$A$5005,"&lt;"&amp;DATE(Einstellungen!$C$3+1,1,1)))</f>
        <v/>
      </c>
      <c r="J163" s="38">
        <f>IF(B163="","",IF(D163+F163&gt;0,F163/(D163+F163),""))</f>
        <v/>
      </c>
      <c r="K163" s="59">
        <f>IF(J163="","",RANK(J163,$J$6:$J$205,0))</f>
        <v/>
      </c>
      <c r="L163" s="29">
        <f>IF(J163="","",IF(J163&lt;=Einstellungen!$C$7,"unauffällig",IF(J163&lt;=Einstellungen!$C$8,"auffällig","kritisch")))</f>
        <v/>
      </c>
      <c r="M163" s="60">
        <f>IF(J163="",-1,J163+ROW()/1000000000)</f>
        <v/>
      </c>
    </row>
    <row r="164">
      <c r="A164" s="56">
        <f>IF(Mitarbeiter!B164="","",Mitarbeiter!A164)</f>
        <v/>
      </c>
      <c r="B164" s="57">
        <f>IF(Mitarbeiter!B164="","",Mitarbeiter!B164)</f>
        <v/>
      </c>
      <c r="C164" s="7">
        <f>IF(Mitarbeiter!B164="","",Mitarbeiter!G164)</f>
        <v/>
      </c>
      <c r="D164" s="54">
        <f>IF(B164="","",SUMIFS(Erfassung!$E$6:$E$5005,Erfassung!$B$6:$B$5005,A164,Erfassung!$A$6:$A$5005,"&gt;="&amp;DATE(Einstellungen!$C$3,1,1),Erfassung!$A$6:$A$5005,"&lt;"&amp;DATE(Einstellungen!$C$3+1,1,1)))</f>
        <v/>
      </c>
      <c r="E164" s="58">
        <f>IF(B164="","",IF(D164&gt;0,SUMIFS(Erfassung!$E$6:$E$5005,Erfassung!$B$6:$B$5005,A164,Erfassung!$D$6:$D$5005,Einstellungen!$C$4,Erfassung!$A$6:$A$5005,"&gt;="&amp;DATE(Einstellungen!$C$3,1,1),Erfassung!$A$6:$A$5005,"&lt;"&amp;DATE(Einstellungen!$C$3+1,1,1))/D164,""))</f>
        <v/>
      </c>
      <c r="F164" s="54">
        <f>IF(B164="","",SUMIFS(Erfassung!$G$6:$G$5005,Erfassung!$B$6:$B$5005,A164,Erfassung!$A$6:$A$5005,"&gt;="&amp;DATE(Einstellungen!$C$3,1,1),Erfassung!$A$6:$A$5005,"&lt;"&amp;DATE(Einstellungen!$C$3+1,1,1)))</f>
        <v/>
      </c>
      <c r="G164" s="54">
        <f>IF(B164="","",SUMIFS(Erfassung!$G$6:$G$5005,Erfassung!$B$6:$B$5005,A164,Erfassung!$D$6:$D$5005,Einstellungen!$C$4,Erfassung!$A$6:$A$5005,"&gt;="&amp;DATE(Einstellungen!$C$3,1,1),Erfassung!$A$6:$A$5005,"&lt;"&amp;DATE(Einstellungen!$C$3+1,1,1)))</f>
        <v/>
      </c>
      <c r="H164" s="54">
        <f>IF(B164="","",SUMIFS(Erfassung!$G$6:$G$5005,Erfassung!$B$6:$B$5005,A164,Erfassung!$D$6:$D$5005,Einstellungen!$C$5,Erfassung!$A$6:$A$5005,"&gt;="&amp;DATE(Einstellungen!$C$3,1,1),Erfassung!$A$6:$A$5005,"&lt;"&amp;DATE(Einstellungen!$C$3+1,1,1)))</f>
        <v/>
      </c>
      <c r="I164" s="34">
        <f>IF(B164="","",SUMIFS(Erfassung!$F$6:$F$5005,Erfassung!$B$6:$B$5005,A164,Erfassung!$A$6:$A$5005,"&gt;="&amp;DATE(Einstellungen!$C$3,1,1),Erfassung!$A$6:$A$5005,"&lt;"&amp;DATE(Einstellungen!$C$3+1,1,1)))</f>
        <v/>
      </c>
      <c r="J164" s="38">
        <f>IF(B164="","",IF(D164+F164&gt;0,F164/(D164+F164),""))</f>
        <v/>
      </c>
      <c r="K164" s="59">
        <f>IF(J164="","",RANK(J164,$J$6:$J$205,0))</f>
        <v/>
      </c>
      <c r="L164" s="29">
        <f>IF(J164="","",IF(J164&lt;=Einstellungen!$C$7,"unauffällig",IF(J164&lt;=Einstellungen!$C$8,"auffällig","kritisch")))</f>
        <v/>
      </c>
      <c r="M164" s="60">
        <f>IF(J164="",-1,J164+ROW()/1000000000)</f>
        <v/>
      </c>
    </row>
    <row r="165">
      <c r="A165" s="56">
        <f>IF(Mitarbeiter!B165="","",Mitarbeiter!A165)</f>
        <v/>
      </c>
      <c r="B165" s="57">
        <f>IF(Mitarbeiter!B165="","",Mitarbeiter!B165)</f>
        <v/>
      </c>
      <c r="C165" s="7">
        <f>IF(Mitarbeiter!B165="","",Mitarbeiter!G165)</f>
        <v/>
      </c>
      <c r="D165" s="54">
        <f>IF(B165="","",SUMIFS(Erfassung!$E$6:$E$5005,Erfassung!$B$6:$B$5005,A165,Erfassung!$A$6:$A$5005,"&gt;="&amp;DATE(Einstellungen!$C$3,1,1),Erfassung!$A$6:$A$5005,"&lt;"&amp;DATE(Einstellungen!$C$3+1,1,1)))</f>
        <v/>
      </c>
      <c r="E165" s="58">
        <f>IF(B165="","",IF(D165&gt;0,SUMIFS(Erfassung!$E$6:$E$5005,Erfassung!$B$6:$B$5005,A165,Erfassung!$D$6:$D$5005,Einstellungen!$C$4,Erfassung!$A$6:$A$5005,"&gt;="&amp;DATE(Einstellungen!$C$3,1,1),Erfassung!$A$6:$A$5005,"&lt;"&amp;DATE(Einstellungen!$C$3+1,1,1))/D165,""))</f>
        <v/>
      </c>
      <c r="F165" s="54">
        <f>IF(B165="","",SUMIFS(Erfassung!$G$6:$G$5005,Erfassung!$B$6:$B$5005,A165,Erfassung!$A$6:$A$5005,"&gt;="&amp;DATE(Einstellungen!$C$3,1,1),Erfassung!$A$6:$A$5005,"&lt;"&amp;DATE(Einstellungen!$C$3+1,1,1)))</f>
        <v/>
      </c>
      <c r="G165" s="54">
        <f>IF(B165="","",SUMIFS(Erfassung!$G$6:$G$5005,Erfassung!$B$6:$B$5005,A165,Erfassung!$D$6:$D$5005,Einstellungen!$C$4,Erfassung!$A$6:$A$5005,"&gt;="&amp;DATE(Einstellungen!$C$3,1,1),Erfassung!$A$6:$A$5005,"&lt;"&amp;DATE(Einstellungen!$C$3+1,1,1)))</f>
        <v/>
      </c>
      <c r="H165" s="54">
        <f>IF(B165="","",SUMIFS(Erfassung!$G$6:$G$5005,Erfassung!$B$6:$B$5005,A165,Erfassung!$D$6:$D$5005,Einstellungen!$C$5,Erfassung!$A$6:$A$5005,"&gt;="&amp;DATE(Einstellungen!$C$3,1,1),Erfassung!$A$6:$A$5005,"&lt;"&amp;DATE(Einstellungen!$C$3+1,1,1)))</f>
        <v/>
      </c>
      <c r="I165" s="34">
        <f>IF(B165="","",SUMIFS(Erfassung!$F$6:$F$5005,Erfassung!$B$6:$B$5005,A165,Erfassung!$A$6:$A$5005,"&gt;="&amp;DATE(Einstellungen!$C$3,1,1),Erfassung!$A$6:$A$5005,"&lt;"&amp;DATE(Einstellungen!$C$3+1,1,1)))</f>
        <v/>
      </c>
      <c r="J165" s="38">
        <f>IF(B165="","",IF(D165+F165&gt;0,F165/(D165+F165),""))</f>
        <v/>
      </c>
      <c r="K165" s="59">
        <f>IF(J165="","",RANK(J165,$J$6:$J$205,0))</f>
        <v/>
      </c>
      <c r="L165" s="29">
        <f>IF(J165="","",IF(J165&lt;=Einstellungen!$C$7,"unauffällig",IF(J165&lt;=Einstellungen!$C$8,"auffällig","kritisch")))</f>
        <v/>
      </c>
      <c r="M165" s="60">
        <f>IF(J165="",-1,J165+ROW()/1000000000)</f>
        <v/>
      </c>
    </row>
    <row r="166">
      <c r="A166" s="56">
        <f>IF(Mitarbeiter!B166="","",Mitarbeiter!A166)</f>
        <v/>
      </c>
      <c r="B166" s="57">
        <f>IF(Mitarbeiter!B166="","",Mitarbeiter!B166)</f>
        <v/>
      </c>
      <c r="C166" s="7">
        <f>IF(Mitarbeiter!B166="","",Mitarbeiter!G166)</f>
        <v/>
      </c>
      <c r="D166" s="54">
        <f>IF(B166="","",SUMIFS(Erfassung!$E$6:$E$5005,Erfassung!$B$6:$B$5005,A166,Erfassung!$A$6:$A$5005,"&gt;="&amp;DATE(Einstellungen!$C$3,1,1),Erfassung!$A$6:$A$5005,"&lt;"&amp;DATE(Einstellungen!$C$3+1,1,1)))</f>
        <v/>
      </c>
      <c r="E166" s="58">
        <f>IF(B166="","",IF(D166&gt;0,SUMIFS(Erfassung!$E$6:$E$5005,Erfassung!$B$6:$B$5005,A166,Erfassung!$D$6:$D$5005,Einstellungen!$C$4,Erfassung!$A$6:$A$5005,"&gt;="&amp;DATE(Einstellungen!$C$3,1,1),Erfassung!$A$6:$A$5005,"&lt;"&amp;DATE(Einstellungen!$C$3+1,1,1))/D166,""))</f>
        <v/>
      </c>
      <c r="F166" s="54">
        <f>IF(B166="","",SUMIFS(Erfassung!$G$6:$G$5005,Erfassung!$B$6:$B$5005,A166,Erfassung!$A$6:$A$5005,"&gt;="&amp;DATE(Einstellungen!$C$3,1,1),Erfassung!$A$6:$A$5005,"&lt;"&amp;DATE(Einstellungen!$C$3+1,1,1)))</f>
        <v/>
      </c>
      <c r="G166" s="54">
        <f>IF(B166="","",SUMIFS(Erfassung!$G$6:$G$5005,Erfassung!$B$6:$B$5005,A166,Erfassung!$D$6:$D$5005,Einstellungen!$C$4,Erfassung!$A$6:$A$5005,"&gt;="&amp;DATE(Einstellungen!$C$3,1,1),Erfassung!$A$6:$A$5005,"&lt;"&amp;DATE(Einstellungen!$C$3+1,1,1)))</f>
        <v/>
      </c>
      <c r="H166" s="54">
        <f>IF(B166="","",SUMIFS(Erfassung!$G$6:$G$5005,Erfassung!$B$6:$B$5005,A166,Erfassung!$D$6:$D$5005,Einstellungen!$C$5,Erfassung!$A$6:$A$5005,"&gt;="&amp;DATE(Einstellungen!$C$3,1,1),Erfassung!$A$6:$A$5005,"&lt;"&amp;DATE(Einstellungen!$C$3+1,1,1)))</f>
        <v/>
      </c>
      <c r="I166" s="34">
        <f>IF(B166="","",SUMIFS(Erfassung!$F$6:$F$5005,Erfassung!$B$6:$B$5005,A166,Erfassung!$A$6:$A$5005,"&gt;="&amp;DATE(Einstellungen!$C$3,1,1),Erfassung!$A$6:$A$5005,"&lt;"&amp;DATE(Einstellungen!$C$3+1,1,1)))</f>
        <v/>
      </c>
      <c r="J166" s="38">
        <f>IF(B166="","",IF(D166+F166&gt;0,F166/(D166+F166),""))</f>
        <v/>
      </c>
      <c r="K166" s="59">
        <f>IF(J166="","",RANK(J166,$J$6:$J$205,0))</f>
        <v/>
      </c>
      <c r="L166" s="29">
        <f>IF(J166="","",IF(J166&lt;=Einstellungen!$C$7,"unauffällig",IF(J166&lt;=Einstellungen!$C$8,"auffällig","kritisch")))</f>
        <v/>
      </c>
      <c r="M166" s="60">
        <f>IF(J166="",-1,J166+ROW()/1000000000)</f>
        <v/>
      </c>
    </row>
    <row r="167">
      <c r="A167" s="56">
        <f>IF(Mitarbeiter!B167="","",Mitarbeiter!A167)</f>
        <v/>
      </c>
      <c r="B167" s="57">
        <f>IF(Mitarbeiter!B167="","",Mitarbeiter!B167)</f>
        <v/>
      </c>
      <c r="C167" s="7">
        <f>IF(Mitarbeiter!B167="","",Mitarbeiter!G167)</f>
        <v/>
      </c>
      <c r="D167" s="54">
        <f>IF(B167="","",SUMIFS(Erfassung!$E$6:$E$5005,Erfassung!$B$6:$B$5005,A167,Erfassung!$A$6:$A$5005,"&gt;="&amp;DATE(Einstellungen!$C$3,1,1),Erfassung!$A$6:$A$5005,"&lt;"&amp;DATE(Einstellungen!$C$3+1,1,1)))</f>
        <v/>
      </c>
      <c r="E167" s="58">
        <f>IF(B167="","",IF(D167&gt;0,SUMIFS(Erfassung!$E$6:$E$5005,Erfassung!$B$6:$B$5005,A167,Erfassung!$D$6:$D$5005,Einstellungen!$C$4,Erfassung!$A$6:$A$5005,"&gt;="&amp;DATE(Einstellungen!$C$3,1,1),Erfassung!$A$6:$A$5005,"&lt;"&amp;DATE(Einstellungen!$C$3+1,1,1))/D167,""))</f>
        <v/>
      </c>
      <c r="F167" s="54">
        <f>IF(B167="","",SUMIFS(Erfassung!$G$6:$G$5005,Erfassung!$B$6:$B$5005,A167,Erfassung!$A$6:$A$5005,"&gt;="&amp;DATE(Einstellungen!$C$3,1,1),Erfassung!$A$6:$A$5005,"&lt;"&amp;DATE(Einstellungen!$C$3+1,1,1)))</f>
        <v/>
      </c>
      <c r="G167" s="54">
        <f>IF(B167="","",SUMIFS(Erfassung!$G$6:$G$5005,Erfassung!$B$6:$B$5005,A167,Erfassung!$D$6:$D$5005,Einstellungen!$C$4,Erfassung!$A$6:$A$5005,"&gt;="&amp;DATE(Einstellungen!$C$3,1,1),Erfassung!$A$6:$A$5005,"&lt;"&amp;DATE(Einstellungen!$C$3+1,1,1)))</f>
        <v/>
      </c>
      <c r="H167" s="54">
        <f>IF(B167="","",SUMIFS(Erfassung!$G$6:$G$5005,Erfassung!$B$6:$B$5005,A167,Erfassung!$D$6:$D$5005,Einstellungen!$C$5,Erfassung!$A$6:$A$5005,"&gt;="&amp;DATE(Einstellungen!$C$3,1,1),Erfassung!$A$6:$A$5005,"&lt;"&amp;DATE(Einstellungen!$C$3+1,1,1)))</f>
        <v/>
      </c>
      <c r="I167" s="34">
        <f>IF(B167="","",SUMIFS(Erfassung!$F$6:$F$5005,Erfassung!$B$6:$B$5005,A167,Erfassung!$A$6:$A$5005,"&gt;="&amp;DATE(Einstellungen!$C$3,1,1),Erfassung!$A$6:$A$5005,"&lt;"&amp;DATE(Einstellungen!$C$3+1,1,1)))</f>
        <v/>
      </c>
      <c r="J167" s="38">
        <f>IF(B167="","",IF(D167+F167&gt;0,F167/(D167+F167),""))</f>
        <v/>
      </c>
      <c r="K167" s="59">
        <f>IF(J167="","",RANK(J167,$J$6:$J$205,0))</f>
        <v/>
      </c>
      <c r="L167" s="29">
        <f>IF(J167="","",IF(J167&lt;=Einstellungen!$C$7,"unauffällig",IF(J167&lt;=Einstellungen!$C$8,"auffällig","kritisch")))</f>
        <v/>
      </c>
      <c r="M167" s="60">
        <f>IF(J167="",-1,J167+ROW()/1000000000)</f>
        <v/>
      </c>
    </row>
    <row r="168">
      <c r="A168" s="56">
        <f>IF(Mitarbeiter!B168="","",Mitarbeiter!A168)</f>
        <v/>
      </c>
      <c r="B168" s="57">
        <f>IF(Mitarbeiter!B168="","",Mitarbeiter!B168)</f>
        <v/>
      </c>
      <c r="C168" s="7">
        <f>IF(Mitarbeiter!B168="","",Mitarbeiter!G168)</f>
        <v/>
      </c>
      <c r="D168" s="54">
        <f>IF(B168="","",SUMIFS(Erfassung!$E$6:$E$5005,Erfassung!$B$6:$B$5005,A168,Erfassung!$A$6:$A$5005,"&gt;="&amp;DATE(Einstellungen!$C$3,1,1),Erfassung!$A$6:$A$5005,"&lt;"&amp;DATE(Einstellungen!$C$3+1,1,1)))</f>
        <v/>
      </c>
      <c r="E168" s="58">
        <f>IF(B168="","",IF(D168&gt;0,SUMIFS(Erfassung!$E$6:$E$5005,Erfassung!$B$6:$B$5005,A168,Erfassung!$D$6:$D$5005,Einstellungen!$C$4,Erfassung!$A$6:$A$5005,"&gt;="&amp;DATE(Einstellungen!$C$3,1,1),Erfassung!$A$6:$A$5005,"&lt;"&amp;DATE(Einstellungen!$C$3+1,1,1))/D168,""))</f>
        <v/>
      </c>
      <c r="F168" s="54">
        <f>IF(B168="","",SUMIFS(Erfassung!$G$6:$G$5005,Erfassung!$B$6:$B$5005,A168,Erfassung!$A$6:$A$5005,"&gt;="&amp;DATE(Einstellungen!$C$3,1,1),Erfassung!$A$6:$A$5005,"&lt;"&amp;DATE(Einstellungen!$C$3+1,1,1)))</f>
        <v/>
      </c>
      <c r="G168" s="54">
        <f>IF(B168="","",SUMIFS(Erfassung!$G$6:$G$5005,Erfassung!$B$6:$B$5005,A168,Erfassung!$D$6:$D$5005,Einstellungen!$C$4,Erfassung!$A$6:$A$5005,"&gt;="&amp;DATE(Einstellungen!$C$3,1,1),Erfassung!$A$6:$A$5005,"&lt;"&amp;DATE(Einstellungen!$C$3+1,1,1)))</f>
        <v/>
      </c>
      <c r="H168" s="54">
        <f>IF(B168="","",SUMIFS(Erfassung!$G$6:$G$5005,Erfassung!$B$6:$B$5005,A168,Erfassung!$D$6:$D$5005,Einstellungen!$C$5,Erfassung!$A$6:$A$5005,"&gt;="&amp;DATE(Einstellungen!$C$3,1,1),Erfassung!$A$6:$A$5005,"&lt;"&amp;DATE(Einstellungen!$C$3+1,1,1)))</f>
        <v/>
      </c>
      <c r="I168" s="34">
        <f>IF(B168="","",SUMIFS(Erfassung!$F$6:$F$5005,Erfassung!$B$6:$B$5005,A168,Erfassung!$A$6:$A$5005,"&gt;="&amp;DATE(Einstellungen!$C$3,1,1),Erfassung!$A$6:$A$5005,"&lt;"&amp;DATE(Einstellungen!$C$3+1,1,1)))</f>
        <v/>
      </c>
      <c r="J168" s="38">
        <f>IF(B168="","",IF(D168+F168&gt;0,F168/(D168+F168),""))</f>
        <v/>
      </c>
      <c r="K168" s="59">
        <f>IF(J168="","",RANK(J168,$J$6:$J$205,0))</f>
        <v/>
      </c>
      <c r="L168" s="29">
        <f>IF(J168="","",IF(J168&lt;=Einstellungen!$C$7,"unauffällig",IF(J168&lt;=Einstellungen!$C$8,"auffällig","kritisch")))</f>
        <v/>
      </c>
      <c r="M168" s="60">
        <f>IF(J168="",-1,J168+ROW()/1000000000)</f>
        <v/>
      </c>
    </row>
    <row r="169">
      <c r="A169" s="56">
        <f>IF(Mitarbeiter!B169="","",Mitarbeiter!A169)</f>
        <v/>
      </c>
      <c r="B169" s="57">
        <f>IF(Mitarbeiter!B169="","",Mitarbeiter!B169)</f>
        <v/>
      </c>
      <c r="C169" s="7">
        <f>IF(Mitarbeiter!B169="","",Mitarbeiter!G169)</f>
        <v/>
      </c>
      <c r="D169" s="54">
        <f>IF(B169="","",SUMIFS(Erfassung!$E$6:$E$5005,Erfassung!$B$6:$B$5005,A169,Erfassung!$A$6:$A$5005,"&gt;="&amp;DATE(Einstellungen!$C$3,1,1),Erfassung!$A$6:$A$5005,"&lt;"&amp;DATE(Einstellungen!$C$3+1,1,1)))</f>
        <v/>
      </c>
      <c r="E169" s="58">
        <f>IF(B169="","",IF(D169&gt;0,SUMIFS(Erfassung!$E$6:$E$5005,Erfassung!$B$6:$B$5005,A169,Erfassung!$D$6:$D$5005,Einstellungen!$C$4,Erfassung!$A$6:$A$5005,"&gt;="&amp;DATE(Einstellungen!$C$3,1,1),Erfassung!$A$6:$A$5005,"&lt;"&amp;DATE(Einstellungen!$C$3+1,1,1))/D169,""))</f>
        <v/>
      </c>
      <c r="F169" s="54">
        <f>IF(B169="","",SUMIFS(Erfassung!$G$6:$G$5005,Erfassung!$B$6:$B$5005,A169,Erfassung!$A$6:$A$5005,"&gt;="&amp;DATE(Einstellungen!$C$3,1,1),Erfassung!$A$6:$A$5005,"&lt;"&amp;DATE(Einstellungen!$C$3+1,1,1)))</f>
        <v/>
      </c>
      <c r="G169" s="54">
        <f>IF(B169="","",SUMIFS(Erfassung!$G$6:$G$5005,Erfassung!$B$6:$B$5005,A169,Erfassung!$D$6:$D$5005,Einstellungen!$C$4,Erfassung!$A$6:$A$5005,"&gt;="&amp;DATE(Einstellungen!$C$3,1,1),Erfassung!$A$6:$A$5005,"&lt;"&amp;DATE(Einstellungen!$C$3+1,1,1)))</f>
        <v/>
      </c>
      <c r="H169" s="54">
        <f>IF(B169="","",SUMIFS(Erfassung!$G$6:$G$5005,Erfassung!$B$6:$B$5005,A169,Erfassung!$D$6:$D$5005,Einstellungen!$C$5,Erfassung!$A$6:$A$5005,"&gt;="&amp;DATE(Einstellungen!$C$3,1,1),Erfassung!$A$6:$A$5005,"&lt;"&amp;DATE(Einstellungen!$C$3+1,1,1)))</f>
        <v/>
      </c>
      <c r="I169" s="34">
        <f>IF(B169="","",SUMIFS(Erfassung!$F$6:$F$5005,Erfassung!$B$6:$B$5005,A169,Erfassung!$A$6:$A$5005,"&gt;="&amp;DATE(Einstellungen!$C$3,1,1),Erfassung!$A$6:$A$5005,"&lt;"&amp;DATE(Einstellungen!$C$3+1,1,1)))</f>
        <v/>
      </c>
      <c r="J169" s="38">
        <f>IF(B169="","",IF(D169+F169&gt;0,F169/(D169+F169),""))</f>
        <v/>
      </c>
      <c r="K169" s="59">
        <f>IF(J169="","",RANK(J169,$J$6:$J$205,0))</f>
        <v/>
      </c>
      <c r="L169" s="29">
        <f>IF(J169="","",IF(J169&lt;=Einstellungen!$C$7,"unauffällig",IF(J169&lt;=Einstellungen!$C$8,"auffällig","kritisch")))</f>
        <v/>
      </c>
      <c r="M169" s="60">
        <f>IF(J169="",-1,J169+ROW()/1000000000)</f>
        <v/>
      </c>
    </row>
    <row r="170">
      <c r="A170" s="56">
        <f>IF(Mitarbeiter!B170="","",Mitarbeiter!A170)</f>
        <v/>
      </c>
      <c r="B170" s="57">
        <f>IF(Mitarbeiter!B170="","",Mitarbeiter!B170)</f>
        <v/>
      </c>
      <c r="C170" s="7">
        <f>IF(Mitarbeiter!B170="","",Mitarbeiter!G170)</f>
        <v/>
      </c>
      <c r="D170" s="54">
        <f>IF(B170="","",SUMIFS(Erfassung!$E$6:$E$5005,Erfassung!$B$6:$B$5005,A170,Erfassung!$A$6:$A$5005,"&gt;="&amp;DATE(Einstellungen!$C$3,1,1),Erfassung!$A$6:$A$5005,"&lt;"&amp;DATE(Einstellungen!$C$3+1,1,1)))</f>
        <v/>
      </c>
      <c r="E170" s="58">
        <f>IF(B170="","",IF(D170&gt;0,SUMIFS(Erfassung!$E$6:$E$5005,Erfassung!$B$6:$B$5005,A170,Erfassung!$D$6:$D$5005,Einstellungen!$C$4,Erfassung!$A$6:$A$5005,"&gt;="&amp;DATE(Einstellungen!$C$3,1,1),Erfassung!$A$6:$A$5005,"&lt;"&amp;DATE(Einstellungen!$C$3+1,1,1))/D170,""))</f>
        <v/>
      </c>
      <c r="F170" s="54">
        <f>IF(B170="","",SUMIFS(Erfassung!$G$6:$G$5005,Erfassung!$B$6:$B$5005,A170,Erfassung!$A$6:$A$5005,"&gt;="&amp;DATE(Einstellungen!$C$3,1,1),Erfassung!$A$6:$A$5005,"&lt;"&amp;DATE(Einstellungen!$C$3+1,1,1)))</f>
        <v/>
      </c>
      <c r="G170" s="54">
        <f>IF(B170="","",SUMIFS(Erfassung!$G$6:$G$5005,Erfassung!$B$6:$B$5005,A170,Erfassung!$D$6:$D$5005,Einstellungen!$C$4,Erfassung!$A$6:$A$5005,"&gt;="&amp;DATE(Einstellungen!$C$3,1,1),Erfassung!$A$6:$A$5005,"&lt;"&amp;DATE(Einstellungen!$C$3+1,1,1)))</f>
        <v/>
      </c>
      <c r="H170" s="54">
        <f>IF(B170="","",SUMIFS(Erfassung!$G$6:$G$5005,Erfassung!$B$6:$B$5005,A170,Erfassung!$D$6:$D$5005,Einstellungen!$C$5,Erfassung!$A$6:$A$5005,"&gt;="&amp;DATE(Einstellungen!$C$3,1,1),Erfassung!$A$6:$A$5005,"&lt;"&amp;DATE(Einstellungen!$C$3+1,1,1)))</f>
        <v/>
      </c>
      <c r="I170" s="34">
        <f>IF(B170="","",SUMIFS(Erfassung!$F$6:$F$5005,Erfassung!$B$6:$B$5005,A170,Erfassung!$A$6:$A$5005,"&gt;="&amp;DATE(Einstellungen!$C$3,1,1),Erfassung!$A$6:$A$5005,"&lt;"&amp;DATE(Einstellungen!$C$3+1,1,1)))</f>
        <v/>
      </c>
      <c r="J170" s="38">
        <f>IF(B170="","",IF(D170+F170&gt;0,F170/(D170+F170),""))</f>
        <v/>
      </c>
      <c r="K170" s="59">
        <f>IF(J170="","",RANK(J170,$J$6:$J$205,0))</f>
        <v/>
      </c>
      <c r="L170" s="29">
        <f>IF(J170="","",IF(J170&lt;=Einstellungen!$C$7,"unauffällig",IF(J170&lt;=Einstellungen!$C$8,"auffällig","kritisch")))</f>
        <v/>
      </c>
      <c r="M170" s="60">
        <f>IF(J170="",-1,J170+ROW()/1000000000)</f>
        <v/>
      </c>
    </row>
    <row r="171">
      <c r="A171" s="56">
        <f>IF(Mitarbeiter!B171="","",Mitarbeiter!A171)</f>
        <v/>
      </c>
      <c r="B171" s="57">
        <f>IF(Mitarbeiter!B171="","",Mitarbeiter!B171)</f>
        <v/>
      </c>
      <c r="C171" s="7">
        <f>IF(Mitarbeiter!B171="","",Mitarbeiter!G171)</f>
        <v/>
      </c>
      <c r="D171" s="54">
        <f>IF(B171="","",SUMIFS(Erfassung!$E$6:$E$5005,Erfassung!$B$6:$B$5005,A171,Erfassung!$A$6:$A$5005,"&gt;="&amp;DATE(Einstellungen!$C$3,1,1),Erfassung!$A$6:$A$5005,"&lt;"&amp;DATE(Einstellungen!$C$3+1,1,1)))</f>
        <v/>
      </c>
      <c r="E171" s="58">
        <f>IF(B171="","",IF(D171&gt;0,SUMIFS(Erfassung!$E$6:$E$5005,Erfassung!$B$6:$B$5005,A171,Erfassung!$D$6:$D$5005,Einstellungen!$C$4,Erfassung!$A$6:$A$5005,"&gt;="&amp;DATE(Einstellungen!$C$3,1,1),Erfassung!$A$6:$A$5005,"&lt;"&amp;DATE(Einstellungen!$C$3+1,1,1))/D171,""))</f>
        <v/>
      </c>
      <c r="F171" s="54">
        <f>IF(B171="","",SUMIFS(Erfassung!$G$6:$G$5005,Erfassung!$B$6:$B$5005,A171,Erfassung!$A$6:$A$5005,"&gt;="&amp;DATE(Einstellungen!$C$3,1,1),Erfassung!$A$6:$A$5005,"&lt;"&amp;DATE(Einstellungen!$C$3+1,1,1)))</f>
        <v/>
      </c>
      <c r="G171" s="54">
        <f>IF(B171="","",SUMIFS(Erfassung!$G$6:$G$5005,Erfassung!$B$6:$B$5005,A171,Erfassung!$D$6:$D$5005,Einstellungen!$C$4,Erfassung!$A$6:$A$5005,"&gt;="&amp;DATE(Einstellungen!$C$3,1,1),Erfassung!$A$6:$A$5005,"&lt;"&amp;DATE(Einstellungen!$C$3+1,1,1)))</f>
        <v/>
      </c>
      <c r="H171" s="54">
        <f>IF(B171="","",SUMIFS(Erfassung!$G$6:$G$5005,Erfassung!$B$6:$B$5005,A171,Erfassung!$D$6:$D$5005,Einstellungen!$C$5,Erfassung!$A$6:$A$5005,"&gt;="&amp;DATE(Einstellungen!$C$3,1,1),Erfassung!$A$6:$A$5005,"&lt;"&amp;DATE(Einstellungen!$C$3+1,1,1)))</f>
        <v/>
      </c>
      <c r="I171" s="34">
        <f>IF(B171="","",SUMIFS(Erfassung!$F$6:$F$5005,Erfassung!$B$6:$B$5005,A171,Erfassung!$A$6:$A$5005,"&gt;="&amp;DATE(Einstellungen!$C$3,1,1),Erfassung!$A$6:$A$5005,"&lt;"&amp;DATE(Einstellungen!$C$3+1,1,1)))</f>
        <v/>
      </c>
      <c r="J171" s="38">
        <f>IF(B171="","",IF(D171+F171&gt;0,F171/(D171+F171),""))</f>
        <v/>
      </c>
      <c r="K171" s="59">
        <f>IF(J171="","",RANK(J171,$J$6:$J$205,0))</f>
        <v/>
      </c>
      <c r="L171" s="29">
        <f>IF(J171="","",IF(J171&lt;=Einstellungen!$C$7,"unauffällig",IF(J171&lt;=Einstellungen!$C$8,"auffällig","kritisch")))</f>
        <v/>
      </c>
      <c r="M171" s="60">
        <f>IF(J171="",-1,J171+ROW()/1000000000)</f>
        <v/>
      </c>
    </row>
    <row r="172">
      <c r="A172" s="56">
        <f>IF(Mitarbeiter!B172="","",Mitarbeiter!A172)</f>
        <v/>
      </c>
      <c r="B172" s="57">
        <f>IF(Mitarbeiter!B172="","",Mitarbeiter!B172)</f>
        <v/>
      </c>
      <c r="C172" s="7">
        <f>IF(Mitarbeiter!B172="","",Mitarbeiter!G172)</f>
        <v/>
      </c>
      <c r="D172" s="54">
        <f>IF(B172="","",SUMIFS(Erfassung!$E$6:$E$5005,Erfassung!$B$6:$B$5005,A172,Erfassung!$A$6:$A$5005,"&gt;="&amp;DATE(Einstellungen!$C$3,1,1),Erfassung!$A$6:$A$5005,"&lt;"&amp;DATE(Einstellungen!$C$3+1,1,1)))</f>
        <v/>
      </c>
      <c r="E172" s="58">
        <f>IF(B172="","",IF(D172&gt;0,SUMIFS(Erfassung!$E$6:$E$5005,Erfassung!$B$6:$B$5005,A172,Erfassung!$D$6:$D$5005,Einstellungen!$C$4,Erfassung!$A$6:$A$5005,"&gt;="&amp;DATE(Einstellungen!$C$3,1,1),Erfassung!$A$6:$A$5005,"&lt;"&amp;DATE(Einstellungen!$C$3+1,1,1))/D172,""))</f>
        <v/>
      </c>
      <c r="F172" s="54">
        <f>IF(B172="","",SUMIFS(Erfassung!$G$6:$G$5005,Erfassung!$B$6:$B$5005,A172,Erfassung!$A$6:$A$5005,"&gt;="&amp;DATE(Einstellungen!$C$3,1,1),Erfassung!$A$6:$A$5005,"&lt;"&amp;DATE(Einstellungen!$C$3+1,1,1)))</f>
        <v/>
      </c>
      <c r="G172" s="54">
        <f>IF(B172="","",SUMIFS(Erfassung!$G$6:$G$5005,Erfassung!$B$6:$B$5005,A172,Erfassung!$D$6:$D$5005,Einstellungen!$C$4,Erfassung!$A$6:$A$5005,"&gt;="&amp;DATE(Einstellungen!$C$3,1,1),Erfassung!$A$6:$A$5005,"&lt;"&amp;DATE(Einstellungen!$C$3+1,1,1)))</f>
        <v/>
      </c>
      <c r="H172" s="54">
        <f>IF(B172="","",SUMIFS(Erfassung!$G$6:$G$5005,Erfassung!$B$6:$B$5005,A172,Erfassung!$D$6:$D$5005,Einstellungen!$C$5,Erfassung!$A$6:$A$5005,"&gt;="&amp;DATE(Einstellungen!$C$3,1,1),Erfassung!$A$6:$A$5005,"&lt;"&amp;DATE(Einstellungen!$C$3+1,1,1)))</f>
        <v/>
      </c>
      <c r="I172" s="34">
        <f>IF(B172="","",SUMIFS(Erfassung!$F$6:$F$5005,Erfassung!$B$6:$B$5005,A172,Erfassung!$A$6:$A$5005,"&gt;="&amp;DATE(Einstellungen!$C$3,1,1),Erfassung!$A$6:$A$5005,"&lt;"&amp;DATE(Einstellungen!$C$3+1,1,1)))</f>
        <v/>
      </c>
      <c r="J172" s="38">
        <f>IF(B172="","",IF(D172+F172&gt;0,F172/(D172+F172),""))</f>
        <v/>
      </c>
      <c r="K172" s="59">
        <f>IF(J172="","",RANK(J172,$J$6:$J$205,0))</f>
        <v/>
      </c>
      <c r="L172" s="29">
        <f>IF(J172="","",IF(J172&lt;=Einstellungen!$C$7,"unauffällig",IF(J172&lt;=Einstellungen!$C$8,"auffällig","kritisch")))</f>
        <v/>
      </c>
      <c r="M172" s="60">
        <f>IF(J172="",-1,J172+ROW()/1000000000)</f>
        <v/>
      </c>
    </row>
    <row r="173">
      <c r="A173" s="56">
        <f>IF(Mitarbeiter!B173="","",Mitarbeiter!A173)</f>
        <v/>
      </c>
      <c r="B173" s="57">
        <f>IF(Mitarbeiter!B173="","",Mitarbeiter!B173)</f>
        <v/>
      </c>
      <c r="C173" s="7">
        <f>IF(Mitarbeiter!B173="","",Mitarbeiter!G173)</f>
        <v/>
      </c>
      <c r="D173" s="54">
        <f>IF(B173="","",SUMIFS(Erfassung!$E$6:$E$5005,Erfassung!$B$6:$B$5005,A173,Erfassung!$A$6:$A$5005,"&gt;="&amp;DATE(Einstellungen!$C$3,1,1),Erfassung!$A$6:$A$5005,"&lt;"&amp;DATE(Einstellungen!$C$3+1,1,1)))</f>
        <v/>
      </c>
      <c r="E173" s="58">
        <f>IF(B173="","",IF(D173&gt;0,SUMIFS(Erfassung!$E$6:$E$5005,Erfassung!$B$6:$B$5005,A173,Erfassung!$D$6:$D$5005,Einstellungen!$C$4,Erfassung!$A$6:$A$5005,"&gt;="&amp;DATE(Einstellungen!$C$3,1,1),Erfassung!$A$6:$A$5005,"&lt;"&amp;DATE(Einstellungen!$C$3+1,1,1))/D173,""))</f>
        <v/>
      </c>
      <c r="F173" s="54">
        <f>IF(B173="","",SUMIFS(Erfassung!$G$6:$G$5005,Erfassung!$B$6:$B$5005,A173,Erfassung!$A$6:$A$5005,"&gt;="&amp;DATE(Einstellungen!$C$3,1,1),Erfassung!$A$6:$A$5005,"&lt;"&amp;DATE(Einstellungen!$C$3+1,1,1)))</f>
        <v/>
      </c>
      <c r="G173" s="54">
        <f>IF(B173="","",SUMIFS(Erfassung!$G$6:$G$5005,Erfassung!$B$6:$B$5005,A173,Erfassung!$D$6:$D$5005,Einstellungen!$C$4,Erfassung!$A$6:$A$5005,"&gt;="&amp;DATE(Einstellungen!$C$3,1,1),Erfassung!$A$6:$A$5005,"&lt;"&amp;DATE(Einstellungen!$C$3+1,1,1)))</f>
        <v/>
      </c>
      <c r="H173" s="54">
        <f>IF(B173="","",SUMIFS(Erfassung!$G$6:$G$5005,Erfassung!$B$6:$B$5005,A173,Erfassung!$D$6:$D$5005,Einstellungen!$C$5,Erfassung!$A$6:$A$5005,"&gt;="&amp;DATE(Einstellungen!$C$3,1,1),Erfassung!$A$6:$A$5005,"&lt;"&amp;DATE(Einstellungen!$C$3+1,1,1)))</f>
        <v/>
      </c>
      <c r="I173" s="34">
        <f>IF(B173="","",SUMIFS(Erfassung!$F$6:$F$5005,Erfassung!$B$6:$B$5005,A173,Erfassung!$A$6:$A$5005,"&gt;="&amp;DATE(Einstellungen!$C$3,1,1),Erfassung!$A$6:$A$5005,"&lt;"&amp;DATE(Einstellungen!$C$3+1,1,1)))</f>
        <v/>
      </c>
      <c r="J173" s="38">
        <f>IF(B173="","",IF(D173+F173&gt;0,F173/(D173+F173),""))</f>
        <v/>
      </c>
      <c r="K173" s="59">
        <f>IF(J173="","",RANK(J173,$J$6:$J$205,0))</f>
        <v/>
      </c>
      <c r="L173" s="29">
        <f>IF(J173="","",IF(J173&lt;=Einstellungen!$C$7,"unauffällig",IF(J173&lt;=Einstellungen!$C$8,"auffällig","kritisch")))</f>
        <v/>
      </c>
      <c r="M173" s="60">
        <f>IF(J173="",-1,J173+ROW()/1000000000)</f>
        <v/>
      </c>
    </row>
    <row r="174">
      <c r="A174" s="56">
        <f>IF(Mitarbeiter!B174="","",Mitarbeiter!A174)</f>
        <v/>
      </c>
      <c r="B174" s="57">
        <f>IF(Mitarbeiter!B174="","",Mitarbeiter!B174)</f>
        <v/>
      </c>
      <c r="C174" s="7">
        <f>IF(Mitarbeiter!B174="","",Mitarbeiter!G174)</f>
        <v/>
      </c>
      <c r="D174" s="54">
        <f>IF(B174="","",SUMIFS(Erfassung!$E$6:$E$5005,Erfassung!$B$6:$B$5005,A174,Erfassung!$A$6:$A$5005,"&gt;="&amp;DATE(Einstellungen!$C$3,1,1),Erfassung!$A$6:$A$5005,"&lt;"&amp;DATE(Einstellungen!$C$3+1,1,1)))</f>
        <v/>
      </c>
      <c r="E174" s="58">
        <f>IF(B174="","",IF(D174&gt;0,SUMIFS(Erfassung!$E$6:$E$5005,Erfassung!$B$6:$B$5005,A174,Erfassung!$D$6:$D$5005,Einstellungen!$C$4,Erfassung!$A$6:$A$5005,"&gt;="&amp;DATE(Einstellungen!$C$3,1,1),Erfassung!$A$6:$A$5005,"&lt;"&amp;DATE(Einstellungen!$C$3+1,1,1))/D174,""))</f>
        <v/>
      </c>
      <c r="F174" s="54">
        <f>IF(B174="","",SUMIFS(Erfassung!$G$6:$G$5005,Erfassung!$B$6:$B$5005,A174,Erfassung!$A$6:$A$5005,"&gt;="&amp;DATE(Einstellungen!$C$3,1,1),Erfassung!$A$6:$A$5005,"&lt;"&amp;DATE(Einstellungen!$C$3+1,1,1)))</f>
        <v/>
      </c>
      <c r="G174" s="54">
        <f>IF(B174="","",SUMIFS(Erfassung!$G$6:$G$5005,Erfassung!$B$6:$B$5005,A174,Erfassung!$D$6:$D$5005,Einstellungen!$C$4,Erfassung!$A$6:$A$5005,"&gt;="&amp;DATE(Einstellungen!$C$3,1,1),Erfassung!$A$6:$A$5005,"&lt;"&amp;DATE(Einstellungen!$C$3+1,1,1)))</f>
        <v/>
      </c>
      <c r="H174" s="54">
        <f>IF(B174="","",SUMIFS(Erfassung!$G$6:$G$5005,Erfassung!$B$6:$B$5005,A174,Erfassung!$D$6:$D$5005,Einstellungen!$C$5,Erfassung!$A$6:$A$5005,"&gt;="&amp;DATE(Einstellungen!$C$3,1,1),Erfassung!$A$6:$A$5005,"&lt;"&amp;DATE(Einstellungen!$C$3+1,1,1)))</f>
        <v/>
      </c>
      <c r="I174" s="34">
        <f>IF(B174="","",SUMIFS(Erfassung!$F$6:$F$5005,Erfassung!$B$6:$B$5005,A174,Erfassung!$A$6:$A$5005,"&gt;="&amp;DATE(Einstellungen!$C$3,1,1),Erfassung!$A$6:$A$5005,"&lt;"&amp;DATE(Einstellungen!$C$3+1,1,1)))</f>
        <v/>
      </c>
      <c r="J174" s="38">
        <f>IF(B174="","",IF(D174+F174&gt;0,F174/(D174+F174),""))</f>
        <v/>
      </c>
      <c r="K174" s="59">
        <f>IF(J174="","",RANK(J174,$J$6:$J$205,0))</f>
        <v/>
      </c>
      <c r="L174" s="29">
        <f>IF(J174="","",IF(J174&lt;=Einstellungen!$C$7,"unauffällig",IF(J174&lt;=Einstellungen!$C$8,"auffällig","kritisch")))</f>
        <v/>
      </c>
      <c r="M174" s="60">
        <f>IF(J174="",-1,J174+ROW()/1000000000)</f>
        <v/>
      </c>
    </row>
    <row r="175">
      <c r="A175" s="56">
        <f>IF(Mitarbeiter!B175="","",Mitarbeiter!A175)</f>
        <v/>
      </c>
      <c r="B175" s="57">
        <f>IF(Mitarbeiter!B175="","",Mitarbeiter!B175)</f>
        <v/>
      </c>
      <c r="C175" s="7">
        <f>IF(Mitarbeiter!B175="","",Mitarbeiter!G175)</f>
        <v/>
      </c>
      <c r="D175" s="54">
        <f>IF(B175="","",SUMIFS(Erfassung!$E$6:$E$5005,Erfassung!$B$6:$B$5005,A175,Erfassung!$A$6:$A$5005,"&gt;="&amp;DATE(Einstellungen!$C$3,1,1),Erfassung!$A$6:$A$5005,"&lt;"&amp;DATE(Einstellungen!$C$3+1,1,1)))</f>
        <v/>
      </c>
      <c r="E175" s="58">
        <f>IF(B175="","",IF(D175&gt;0,SUMIFS(Erfassung!$E$6:$E$5005,Erfassung!$B$6:$B$5005,A175,Erfassung!$D$6:$D$5005,Einstellungen!$C$4,Erfassung!$A$6:$A$5005,"&gt;="&amp;DATE(Einstellungen!$C$3,1,1),Erfassung!$A$6:$A$5005,"&lt;"&amp;DATE(Einstellungen!$C$3+1,1,1))/D175,""))</f>
        <v/>
      </c>
      <c r="F175" s="54">
        <f>IF(B175="","",SUMIFS(Erfassung!$G$6:$G$5005,Erfassung!$B$6:$B$5005,A175,Erfassung!$A$6:$A$5005,"&gt;="&amp;DATE(Einstellungen!$C$3,1,1),Erfassung!$A$6:$A$5005,"&lt;"&amp;DATE(Einstellungen!$C$3+1,1,1)))</f>
        <v/>
      </c>
      <c r="G175" s="54">
        <f>IF(B175="","",SUMIFS(Erfassung!$G$6:$G$5005,Erfassung!$B$6:$B$5005,A175,Erfassung!$D$6:$D$5005,Einstellungen!$C$4,Erfassung!$A$6:$A$5005,"&gt;="&amp;DATE(Einstellungen!$C$3,1,1),Erfassung!$A$6:$A$5005,"&lt;"&amp;DATE(Einstellungen!$C$3+1,1,1)))</f>
        <v/>
      </c>
      <c r="H175" s="54">
        <f>IF(B175="","",SUMIFS(Erfassung!$G$6:$G$5005,Erfassung!$B$6:$B$5005,A175,Erfassung!$D$6:$D$5005,Einstellungen!$C$5,Erfassung!$A$6:$A$5005,"&gt;="&amp;DATE(Einstellungen!$C$3,1,1),Erfassung!$A$6:$A$5005,"&lt;"&amp;DATE(Einstellungen!$C$3+1,1,1)))</f>
        <v/>
      </c>
      <c r="I175" s="34">
        <f>IF(B175="","",SUMIFS(Erfassung!$F$6:$F$5005,Erfassung!$B$6:$B$5005,A175,Erfassung!$A$6:$A$5005,"&gt;="&amp;DATE(Einstellungen!$C$3,1,1),Erfassung!$A$6:$A$5005,"&lt;"&amp;DATE(Einstellungen!$C$3+1,1,1)))</f>
        <v/>
      </c>
      <c r="J175" s="38">
        <f>IF(B175="","",IF(D175+F175&gt;0,F175/(D175+F175),""))</f>
        <v/>
      </c>
      <c r="K175" s="59">
        <f>IF(J175="","",RANK(J175,$J$6:$J$205,0))</f>
        <v/>
      </c>
      <c r="L175" s="29">
        <f>IF(J175="","",IF(J175&lt;=Einstellungen!$C$7,"unauffällig",IF(J175&lt;=Einstellungen!$C$8,"auffällig","kritisch")))</f>
        <v/>
      </c>
      <c r="M175" s="60">
        <f>IF(J175="",-1,J175+ROW()/1000000000)</f>
        <v/>
      </c>
    </row>
    <row r="176">
      <c r="A176" s="56">
        <f>IF(Mitarbeiter!B176="","",Mitarbeiter!A176)</f>
        <v/>
      </c>
      <c r="B176" s="57">
        <f>IF(Mitarbeiter!B176="","",Mitarbeiter!B176)</f>
        <v/>
      </c>
      <c r="C176" s="7">
        <f>IF(Mitarbeiter!B176="","",Mitarbeiter!G176)</f>
        <v/>
      </c>
      <c r="D176" s="54">
        <f>IF(B176="","",SUMIFS(Erfassung!$E$6:$E$5005,Erfassung!$B$6:$B$5005,A176,Erfassung!$A$6:$A$5005,"&gt;="&amp;DATE(Einstellungen!$C$3,1,1),Erfassung!$A$6:$A$5005,"&lt;"&amp;DATE(Einstellungen!$C$3+1,1,1)))</f>
        <v/>
      </c>
      <c r="E176" s="58">
        <f>IF(B176="","",IF(D176&gt;0,SUMIFS(Erfassung!$E$6:$E$5005,Erfassung!$B$6:$B$5005,A176,Erfassung!$D$6:$D$5005,Einstellungen!$C$4,Erfassung!$A$6:$A$5005,"&gt;="&amp;DATE(Einstellungen!$C$3,1,1),Erfassung!$A$6:$A$5005,"&lt;"&amp;DATE(Einstellungen!$C$3+1,1,1))/D176,""))</f>
        <v/>
      </c>
      <c r="F176" s="54">
        <f>IF(B176="","",SUMIFS(Erfassung!$G$6:$G$5005,Erfassung!$B$6:$B$5005,A176,Erfassung!$A$6:$A$5005,"&gt;="&amp;DATE(Einstellungen!$C$3,1,1),Erfassung!$A$6:$A$5005,"&lt;"&amp;DATE(Einstellungen!$C$3+1,1,1)))</f>
        <v/>
      </c>
      <c r="G176" s="54">
        <f>IF(B176="","",SUMIFS(Erfassung!$G$6:$G$5005,Erfassung!$B$6:$B$5005,A176,Erfassung!$D$6:$D$5005,Einstellungen!$C$4,Erfassung!$A$6:$A$5005,"&gt;="&amp;DATE(Einstellungen!$C$3,1,1),Erfassung!$A$6:$A$5005,"&lt;"&amp;DATE(Einstellungen!$C$3+1,1,1)))</f>
        <v/>
      </c>
      <c r="H176" s="54">
        <f>IF(B176="","",SUMIFS(Erfassung!$G$6:$G$5005,Erfassung!$B$6:$B$5005,A176,Erfassung!$D$6:$D$5005,Einstellungen!$C$5,Erfassung!$A$6:$A$5005,"&gt;="&amp;DATE(Einstellungen!$C$3,1,1),Erfassung!$A$6:$A$5005,"&lt;"&amp;DATE(Einstellungen!$C$3+1,1,1)))</f>
        <v/>
      </c>
      <c r="I176" s="34">
        <f>IF(B176="","",SUMIFS(Erfassung!$F$6:$F$5005,Erfassung!$B$6:$B$5005,A176,Erfassung!$A$6:$A$5005,"&gt;="&amp;DATE(Einstellungen!$C$3,1,1),Erfassung!$A$6:$A$5005,"&lt;"&amp;DATE(Einstellungen!$C$3+1,1,1)))</f>
        <v/>
      </c>
      <c r="J176" s="38">
        <f>IF(B176="","",IF(D176+F176&gt;0,F176/(D176+F176),""))</f>
        <v/>
      </c>
      <c r="K176" s="59">
        <f>IF(J176="","",RANK(J176,$J$6:$J$205,0))</f>
        <v/>
      </c>
      <c r="L176" s="29">
        <f>IF(J176="","",IF(J176&lt;=Einstellungen!$C$7,"unauffällig",IF(J176&lt;=Einstellungen!$C$8,"auffällig","kritisch")))</f>
        <v/>
      </c>
      <c r="M176" s="60">
        <f>IF(J176="",-1,J176+ROW()/1000000000)</f>
        <v/>
      </c>
    </row>
    <row r="177">
      <c r="A177" s="56">
        <f>IF(Mitarbeiter!B177="","",Mitarbeiter!A177)</f>
        <v/>
      </c>
      <c r="B177" s="57">
        <f>IF(Mitarbeiter!B177="","",Mitarbeiter!B177)</f>
        <v/>
      </c>
      <c r="C177" s="7">
        <f>IF(Mitarbeiter!B177="","",Mitarbeiter!G177)</f>
        <v/>
      </c>
      <c r="D177" s="54">
        <f>IF(B177="","",SUMIFS(Erfassung!$E$6:$E$5005,Erfassung!$B$6:$B$5005,A177,Erfassung!$A$6:$A$5005,"&gt;="&amp;DATE(Einstellungen!$C$3,1,1),Erfassung!$A$6:$A$5005,"&lt;"&amp;DATE(Einstellungen!$C$3+1,1,1)))</f>
        <v/>
      </c>
      <c r="E177" s="58">
        <f>IF(B177="","",IF(D177&gt;0,SUMIFS(Erfassung!$E$6:$E$5005,Erfassung!$B$6:$B$5005,A177,Erfassung!$D$6:$D$5005,Einstellungen!$C$4,Erfassung!$A$6:$A$5005,"&gt;="&amp;DATE(Einstellungen!$C$3,1,1),Erfassung!$A$6:$A$5005,"&lt;"&amp;DATE(Einstellungen!$C$3+1,1,1))/D177,""))</f>
        <v/>
      </c>
      <c r="F177" s="54">
        <f>IF(B177="","",SUMIFS(Erfassung!$G$6:$G$5005,Erfassung!$B$6:$B$5005,A177,Erfassung!$A$6:$A$5005,"&gt;="&amp;DATE(Einstellungen!$C$3,1,1),Erfassung!$A$6:$A$5005,"&lt;"&amp;DATE(Einstellungen!$C$3+1,1,1)))</f>
        <v/>
      </c>
      <c r="G177" s="54">
        <f>IF(B177="","",SUMIFS(Erfassung!$G$6:$G$5005,Erfassung!$B$6:$B$5005,A177,Erfassung!$D$6:$D$5005,Einstellungen!$C$4,Erfassung!$A$6:$A$5005,"&gt;="&amp;DATE(Einstellungen!$C$3,1,1),Erfassung!$A$6:$A$5005,"&lt;"&amp;DATE(Einstellungen!$C$3+1,1,1)))</f>
        <v/>
      </c>
      <c r="H177" s="54">
        <f>IF(B177="","",SUMIFS(Erfassung!$G$6:$G$5005,Erfassung!$B$6:$B$5005,A177,Erfassung!$D$6:$D$5005,Einstellungen!$C$5,Erfassung!$A$6:$A$5005,"&gt;="&amp;DATE(Einstellungen!$C$3,1,1),Erfassung!$A$6:$A$5005,"&lt;"&amp;DATE(Einstellungen!$C$3+1,1,1)))</f>
        <v/>
      </c>
      <c r="I177" s="34">
        <f>IF(B177="","",SUMIFS(Erfassung!$F$6:$F$5005,Erfassung!$B$6:$B$5005,A177,Erfassung!$A$6:$A$5005,"&gt;="&amp;DATE(Einstellungen!$C$3,1,1),Erfassung!$A$6:$A$5005,"&lt;"&amp;DATE(Einstellungen!$C$3+1,1,1)))</f>
        <v/>
      </c>
      <c r="J177" s="38">
        <f>IF(B177="","",IF(D177+F177&gt;0,F177/(D177+F177),""))</f>
        <v/>
      </c>
      <c r="K177" s="59">
        <f>IF(J177="","",RANK(J177,$J$6:$J$205,0))</f>
        <v/>
      </c>
      <c r="L177" s="29">
        <f>IF(J177="","",IF(J177&lt;=Einstellungen!$C$7,"unauffällig",IF(J177&lt;=Einstellungen!$C$8,"auffällig","kritisch")))</f>
        <v/>
      </c>
      <c r="M177" s="60">
        <f>IF(J177="",-1,J177+ROW()/1000000000)</f>
        <v/>
      </c>
    </row>
    <row r="178">
      <c r="A178" s="56">
        <f>IF(Mitarbeiter!B178="","",Mitarbeiter!A178)</f>
        <v/>
      </c>
      <c r="B178" s="57">
        <f>IF(Mitarbeiter!B178="","",Mitarbeiter!B178)</f>
        <v/>
      </c>
      <c r="C178" s="7">
        <f>IF(Mitarbeiter!B178="","",Mitarbeiter!G178)</f>
        <v/>
      </c>
      <c r="D178" s="54">
        <f>IF(B178="","",SUMIFS(Erfassung!$E$6:$E$5005,Erfassung!$B$6:$B$5005,A178,Erfassung!$A$6:$A$5005,"&gt;="&amp;DATE(Einstellungen!$C$3,1,1),Erfassung!$A$6:$A$5005,"&lt;"&amp;DATE(Einstellungen!$C$3+1,1,1)))</f>
        <v/>
      </c>
      <c r="E178" s="58">
        <f>IF(B178="","",IF(D178&gt;0,SUMIFS(Erfassung!$E$6:$E$5005,Erfassung!$B$6:$B$5005,A178,Erfassung!$D$6:$D$5005,Einstellungen!$C$4,Erfassung!$A$6:$A$5005,"&gt;="&amp;DATE(Einstellungen!$C$3,1,1),Erfassung!$A$6:$A$5005,"&lt;"&amp;DATE(Einstellungen!$C$3+1,1,1))/D178,""))</f>
        <v/>
      </c>
      <c r="F178" s="54">
        <f>IF(B178="","",SUMIFS(Erfassung!$G$6:$G$5005,Erfassung!$B$6:$B$5005,A178,Erfassung!$A$6:$A$5005,"&gt;="&amp;DATE(Einstellungen!$C$3,1,1),Erfassung!$A$6:$A$5005,"&lt;"&amp;DATE(Einstellungen!$C$3+1,1,1)))</f>
        <v/>
      </c>
      <c r="G178" s="54">
        <f>IF(B178="","",SUMIFS(Erfassung!$G$6:$G$5005,Erfassung!$B$6:$B$5005,A178,Erfassung!$D$6:$D$5005,Einstellungen!$C$4,Erfassung!$A$6:$A$5005,"&gt;="&amp;DATE(Einstellungen!$C$3,1,1),Erfassung!$A$6:$A$5005,"&lt;"&amp;DATE(Einstellungen!$C$3+1,1,1)))</f>
        <v/>
      </c>
      <c r="H178" s="54">
        <f>IF(B178="","",SUMIFS(Erfassung!$G$6:$G$5005,Erfassung!$B$6:$B$5005,A178,Erfassung!$D$6:$D$5005,Einstellungen!$C$5,Erfassung!$A$6:$A$5005,"&gt;="&amp;DATE(Einstellungen!$C$3,1,1),Erfassung!$A$6:$A$5005,"&lt;"&amp;DATE(Einstellungen!$C$3+1,1,1)))</f>
        <v/>
      </c>
      <c r="I178" s="34">
        <f>IF(B178="","",SUMIFS(Erfassung!$F$6:$F$5005,Erfassung!$B$6:$B$5005,A178,Erfassung!$A$6:$A$5005,"&gt;="&amp;DATE(Einstellungen!$C$3,1,1),Erfassung!$A$6:$A$5005,"&lt;"&amp;DATE(Einstellungen!$C$3+1,1,1)))</f>
        <v/>
      </c>
      <c r="J178" s="38">
        <f>IF(B178="","",IF(D178+F178&gt;0,F178/(D178+F178),""))</f>
        <v/>
      </c>
      <c r="K178" s="59">
        <f>IF(J178="","",RANK(J178,$J$6:$J$205,0))</f>
        <v/>
      </c>
      <c r="L178" s="29">
        <f>IF(J178="","",IF(J178&lt;=Einstellungen!$C$7,"unauffällig",IF(J178&lt;=Einstellungen!$C$8,"auffällig","kritisch")))</f>
        <v/>
      </c>
      <c r="M178" s="60">
        <f>IF(J178="",-1,J178+ROW()/1000000000)</f>
        <v/>
      </c>
    </row>
    <row r="179">
      <c r="A179" s="56">
        <f>IF(Mitarbeiter!B179="","",Mitarbeiter!A179)</f>
        <v/>
      </c>
      <c r="B179" s="57">
        <f>IF(Mitarbeiter!B179="","",Mitarbeiter!B179)</f>
        <v/>
      </c>
      <c r="C179" s="7">
        <f>IF(Mitarbeiter!B179="","",Mitarbeiter!G179)</f>
        <v/>
      </c>
      <c r="D179" s="54">
        <f>IF(B179="","",SUMIFS(Erfassung!$E$6:$E$5005,Erfassung!$B$6:$B$5005,A179,Erfassung!$A$6:$A$5005,"&gt;="&amp;DATE(Einstellungen!$C$3,1,1),Erfassung!$A$6:$A$5005,"&lt;"&amp;DATE(Einstellungen!$C$3+1,1,1)))</f>
        <v/>
      </c>
      <c r="E179" s="58">
        <f>IF(B179="","",IF(D179&gt;0,SUMIFS(Erfassung!$E$6:$E$5005,Erfassung!$B$6:$B$5005,A179,Erfassung!$D$6:$D$5005,Einstellungen!$C$4,Erfassung!$A$6:$A$5005,"&gt;="&amp;DATE(Einstellungen!$C$3,1,1),Erfassung!$A$6:$A$5005,"&lt;"&amp;DATE(Einstellungen!$C$3+1,1,1))/D179,""))</f>
        <v/>
      </c>
      <c r="F179" s="54">
        <f>IF(B179="","",SUMIFS(Erfassung!$G$6:$G$5005,Erfassung!$B$6:$B$5005,A179,Erfassung!$A$6:$A$5005,"&gt;="&amp;DATE(Einstellungen!$C$3,1,1),Erfassung!$A$6:$A$5005,"&lt;"&amp;DATE(Einstellungen!$C$3+1,1,1)))</f>
        <v/>
      </c>
      <c r="G179" s="54">
        <f>IF(B179="","",SUMIFS(Erfassung!$G$6:$G$5005,Erfassung!$B$6:$B$5005,A179,Erfassung!$D$6:$D$5005,Einstellungen!$C$4,Erfassung!$A$6:$A$5005,"&gt;="&amp;DATE(Einstellungen!$C$3,1,1),Erfassung!$A$6:$A$5005,"&lt;"&amp;DATE(Einstellungen!$C$3+1,1,1)))</f>
        <v/>
      </c>
      <c r="H179" s="54">
        <f>IF(B179="","",SUMIFS(Erfassung!$G$6:$G$5005,Erfassung!$B$6:$B$5005,A179,Erfassung!$D$6:$D$5005,Einstellungen!$C$5,Erfassung!$A$6:$A$5005,"&gt;="&amp;DATE(Einstellungen!$C$3,1,1),Erfassung!$A$6:$A$5005,"&lt;"&amp;DATE(Einstellungen!$C$3+1,1,1)))</f>
        <v/>
      </c>
      <c r="I179" s="34">
        <f>IF(B179="","",SUMIFS(Erfassung!$F$6:$F$5005,Erfassung!$B$6:$B$5005,A179,Erfassung!$A$6:$A$5005,"&gt;="&amp;DATE(Einstellungen!$C$3,1,1),Erfassung!$A$6:$A$5005,"&lt;"&amp;DATE(Einstellungen!$C$3+1,1,1)))</f>
        <v/>
      </c>
      <c r="J179" s="38">
        <f>IF(B179="","",IF(D179+F179&gt;0,F179/(D179+F179),""))</f>
        <v/>
      </c>
      <c r="K179" s="59">
        <f>IF(J179="","",RANK(J179,$J$6:$J$205,0))</f>
        <v/>
      </c>
      <c r="L179" s="29">
        <f>IF(J179="","",IF(J179&lt;=Einstellungen!$C$7,"unauffällig",IF(J179&lt;=Einstellungen!$C$8,"auffällig","kritisch")))</f>
        <v/>
      </c>
      <c r="M179" s="60">
        <f>IF(J179="",-1,J179+ROW()/1000000000)</f>
        <v/>
      </c>
    </row>
    <row r="180">
      <c r="A180" s="56">
        <f>IF(Mitarbeiter!B180="","",Mitarbeiter!A180)</f>
        <v/>
      </c>
      <c r="B180" s="57">
        <f>IF(Mitarbeiter!B180="","",Mitarbeiter!B180)</f>
        <v/>
      </c>
      <c r="C180" s="7">
        <f>IF(Mitarbeiter!B180="","",Mitarbeiter!G180)</f>
        <v/>
      </c>
      <c r="D180" s="54">
        <f>IF(B180="","",SUMIFS(Erfassung!$E$6:$E$5005,Erfassung!$B$6:$B$5005,A180,Erfassung!$A$6:$A$5005,"&gt;="&amp;DATE(Einstellungen!$C$3,1,1),Erfassung!$A$6:$A$5005,"&lt;"&amp;DATE(Einstellungen!$C$3+1,1,1)))</f>
        <v/>
      </c>
      <c r="E180" s="58">
        <f>IF(B180="","",IF(D180&gt;0,SUMIFS(Erfassung!$E$6:$E$5005,Erfassung!$B$6:$B$5005,A180,Erfassung!$D$6:$D$5005,Einstellungen!$C$4,Erfassung!$A$6:$A$5005,"&gt;="&amp;DATE(Einstellungen!$C$3,1,1),Erfassung!$A$6:$A$5005,"&lt;"&amp;DATE(Einstellungen!$C$3+1,1,1))/D180,""))</f>
        <v/>
      </c>
      <c r="F180" s="54">
        <f>IF(B180="","",SUMIFS(Erfassung!$G$6:$G$5005,Erfassung!$B$6:$B$5005,A180,Erfassung!$A$6:$A$5005,"&gt;="&amp;DATE(Einstellungen!$C$3,1,1),Erfassung!$A$6:$A$5005,"&lt;"&amp;DATE(Einstellungen!$C$3+1,1,1)))</f>
        <v/>
      </c>
      <c r="G180" s="54">
        <f>IF(B180="","",SUMIFS(Erfassung!$G$6:$G$5005,Erfassung!$B$6:$B$5005,A180,Erfassung!$D$6:$D$5005,Einstellungen!$C$4,Erfassung!$A$6:$A$5005,"&gt;="&amp;DATE(Einstellungen!$C$3,1,1),Erfassung!$A$6:$A$5005,"&lt;"&amp;DATE(Einstellungen!$C$3+1,1,1)))</f>
        <v/>
      </c>
      <c r="H180" s="54">
        <f>IF(B180="","",SUMIFS(Erfassung!$G$6:$G$5005,Erfassung!$B$6:$B$5005,A180,Erfassung!$D$6:$D$5005,Einstellungen!$C$5,Erfassung!$A$6:$A$5005,"&gt;="&amp;DATE(Einstellungen!$C$3,1,1),Erfassung!$A$6:$A$5005,"&lt;"&amp;DATE(Einstellungen!$C$3+1,1,1)))</f>
        <v/>
      </c>
      <c r="I180" s="34">
        <f>IF(B180="","",SUMIFS(Erfassung!$F$6:$F$5005,Erfassung!$B$6:$B$5005,A180,Erfassung!$A$6:$A$5005,"&gt;="&amp;DATE(Einstellungen!$C$3,1,1),Erfassung!$A$6:$A$5005,"&lt;"&amp;DATE(Einstellungen!$C$3+1,1,1)))</f>
        <v/>
      </c>
      <c r="J180" s="38">
        <f>IF(B180="","",IF(D180+F180&gt;0,F180/(D180+F180),""))</f>
        <v/>
      </c>
      <c r="K180" s="59">
        <f>IF(J180="","",RANK(J180,$J$6:$J$205,0))</f>
        <v/>
      </c>
      <c r="L180" s="29">
        <f>IF(J180="","",IF(J180&lt;=Einstellungen!$C$7,"unauffällig",IF(J180&lt;=Einstellungen!$C$8,"auffällig","kritisch")))</f>
        <v/>
      </c>
      <c r="M180" s="60">
        <f>IF(J180="",-1,J180+ROW()/1000000000)</f>
        <v/>
      </c>
    </row>
    <row r="181">
      <c r="A181" s="56">
        <f>IF(Mitarbeiter!B181="","",Mitarbeiter!A181)</f>
        <v/>
      </c>
      <c r="B181" s="57">
        <f>IF(Mitarbeiter!B181="","",Mitarbeiter!B181)</f>
        <v/>
      </c>
      <c r="C181" s="7">
        <f>IF(Mitarbeiter!B181="","",Mitarbeiter!G181)</f>
        <v/>
      </c>
      <c r="D181" s="54">
        <f>IF(B181="","",SUMIFS(Erfassung!$E$6:$E$5005,Erfassung!$B$6:$B$5005,A181,Erfassung!$A$6:$A$5005,"&gt;="&amp;DATE(Einstellungen!$C$3,1,1),Erfassung!$A$6:$A$5005,"&lt;"&amp;DATE(Einstellungen!$C$3+1,1,1)))</f>
        <v/>
      </c>
      <c r="E181" s="58">
        <f>IF(B181="","",IF(D181&gt;0,SUMIFS(Erfassung!$E$6:$E$5005,Erfassung!$B$6:$B$5005,A181,Erfassung!$D$6:$D$5005,Einstellungen!$C$4,Erfassung!$A$6:$A$5005,"&gt;="&amp;DATE(Einstellungen!$C$3,1,1),Erfassung!$A$6:$A$5005,"&lt;"&amp;DATE(Einstellungen!$C$3+1,1,1))/D181,""))</f>
        <v/>
      </c>
      <c r="F181" s="54">
        <f>IF(B181="","",SUMIFS(Erfassung!$G$6:$G$5005,Erfassung!$B$6:$B$5005,A181,Erfassung!$A$6:$A$5005,"&gt;="&amp;DATE(Einstellungen!$C$3,1,1),Erfassung!$A$6:$A$5005,"&lt;"&amp;DATE(Einstellungen!$C$3+1,1,1)))</f>
        <v/>
      </c>
      <c r="G181" s="54">
        <f>IF(B181="","",SUMIFS(Erfassung!$G$6:$G$5005,Erfassung!$B$6:$B$5005,A181,Erfassung!$D$6:$D$5005,Einstellungen!$C$4,Erfassung!$A$6:$A$5005,"&gt;="&amp;DATE(Einstellungen!$C$3,1,1),Erfassung!$A$6:$A$5005,"&lt;"&amp;DATE(Einstellungen!$C$3+1,1,1)))</f>
        <v/>
      </c>
      <c r="H181" s="54">
        <f>IF(B181="","",SUMIFS(Erfassung!$G$6:$G$5005,Erfassung!$B$6:$B$5005,A181,Erfassung!$D$6:$D$5005,Einstellungen!$C$5,Erfassung!$A$6:$A$5005,"&gt;="&amp;DATE(Einstellungen!$C$3,1,1),Erfassung!$A$6:$A$5005,"&lt;"&amp;DATE(Einstellungen!$C$3+1,1,1)))</f>
        <v/>
      </c>
      <c r="I181" s="34">
        <f>IF(B181="","",SUMIFS(Erfassung!$F$6:$F$5005,Erfassung!$B$6:$B$5005,A181,Erfassung!$A$6:$A$5005,"&gt;="&amp;DATE(Einstellungen!$C$3,1,1),Erfassung!$A$6:$A$5005,"&lt;"&amp;DATE(Einstellungen!$C$3+1,1,1)))</f>
        <v/>
      </c>
      <c r="J181" s="38">
        <f>IF(B181="","",IF(D181+F181&gt;0,F181/(D181+F181),""))</f>
        <v/>
      </c>
      <c r="K181" s="59">
        <f>IF(J181="","",RANK(J181,$J$6:$J$205,0))</f>
        <v/>
      </c>
      <c r="L181" s="29">
        <f>IF(J181="","",IF(J181&lt;=Einstellungen!$C$7,"unauffällig",IF(J181&lt;=Einstellungen!$C$8,"auffällig","kritisch")))</f>
        <v/>
      </c>
      <c r="M181" s="60">
        <f>IF(J181="",-1,J181+ROW()/1000000000)</f>
        <v/>
      </c>
    </row>
    <row r="182">
      <c r="A182" s="56">
        <f>IF(Mitarbeiter!B182="","",Mitarbeiter!A182)</f>
        <v/>
      </c>
      <c r="B182" s="57">
        <f>IF(Mitarbeiter!B182="","",Mitarbeiter!B182)</f>
        <v/>
      </c>
      <c r="C182" s="7">
        <f>IF(Mitarbeiter!B182="","",Mitarbeiter!G182)</f>
        <v/>
      </c>
      <c r="D182" s="54">
        <f>IF(B182="","",SUMIFS(Erfassung!$E$6:$E$5005,Erfassung!$B$6:$B$5005,A182,Erfassung!$A$6:$A$5005,"&gt;="&amp;DATE(Einstellungen!$C$3,1,1),Erfassung!$A$6:$A$5005,"&lt;"&amp;DATE(Einstellungen!$C$3+1,1,1)))</f>
        <v/>
      </c>
      <c r="E182" s="58">
        <f>IF(B182="","",IF(D182&gt;0,SUMIFS(Erfassung!$E$6:$E$5005,Erfassung!$B$6:$B$5005,A182,Erfassung!$D$6:$D$5005,Einstellungen!$C$4,Erfassung!$A$6:$A$5005,"&gt;="&amp;DATE(Einstellungen!$C$3,1,1),Erfassung!$A$6:$A$5005,"&lt;"&amp;DATE(Einstellungen!$C$3+1,1,1))/D182,""))</f>
        <v/>
      </c>
      <c r="F182" s="54">
        <f>IF(B182="","",SUMIFS(Erfassung!$G$6:$G$5005,Erfassung!$B$6:$B$5005,A182,Erfassung!$A$6:$A$5005,"&gt;="&amp;DATE(Einstellungen!$C$3,1,1),Erfassung!$A$6:$A$5005,"&lt;"&amp;DATE(Einstellungen!$C$3+1,1,1)))</f>
        <v/>
      </c>
      <c r="G182" s="54">
        <f>IF(B182="","",SUMIFS(Erfassung!$G$6:$G$5005,Erfassung!$B$6:$B$5005,A182,Erfassung!$D$6:$D$5005,Einstellungen!$C$4,Erfassung!$A$6:$A$5005,"&gt;="&amp;DATE(Einstellungen!$C$3,1,1),Erfassung!$A$6:$A$5005,"&lt;"&amp;DATE(Einstellungen!$C$3+1,1,1)))</f>
        <v/>
      </c>
      <c r="H182" s="54">
        <f>IF(B182="","",SUMIFS(Erfassung!$G$6:$G$5005,Erfassung!$B$6:$B$5005,A182,Erfassung!$D$6:$D$5005,Einstellungen!$C$5,Erfassung!$A$6:$A$5005,"&gt;="&amp;DATE(Einstellungen!$C$3,1,1),Erfassung!$A$6:$A$5005,"&lt;"&amp;DATE(Einstellungen!$C$3+1,1,1)))</f>
        <v/>
      </c>
      <c r="I182" s="34">
        <f>IF(B182="","",SUMIFS(Erfassung!$F$6:$F$5005,Erfassung!$B$6:$B$5005,A182,Erfassung!$A$6:$A$5005,"&gt;="&amp;DATE(Einstellungen!$C$3,1,1),Erfassung!$A$6:$A$5005,"&lt;"&amp;DATE(Einstellungen!$C$3+1,1,1)))</f>
        <v/>
      </c>
      <c r="J182" s="38">
        <f>IF(B182="","",IF(D182+F182&gt;0,F182/(D182+F182),""))</f>
        <v/>
      </c>
      <c r="K182" s="59">
        <f>IF(J182="","",RANK(J182,$J$6:$J$205,0))</f>
        <v/>
      </c>
      <c r="L182" s="29">
        <f>IF(J182="","",IF(J182&lt;=Einstellungen!$C$7,"unauffällig",IF(J182&lt;=Einstellungen!$C$8,"auffällig","kritisch")))</f>
        <v/>
      </c>
      <c r="M182" s="60">
        <f>IF(J182="",-1,J182+ROW()/1000000000)</f>
        <v/>
      </c>
    </row>
    <row r="183">
      <c r="A183" s="56">
        <f>IF(Mitarbeiter!B183="","",Mitarbeiter!A183)</f>
        <v/>
      </c>
      <c r="B183" s="57">
        <f>IF(Mitarbeiter!B183="","",Mitarbeiter!B183)</f>
        <v/>
      </c>
      <c r="C183" s="7">
        <f>IF(Mitarbeiter!B183="","",Mitarbeiter!G183)</f>
        <v/>
      </c>
      <c r="D183" s="54">
        <f>IF(B183="","",SUMIFS(Erfassung!$E$6:$E$5005,Erfassung!$B$6:$B$5005,A183,Erfassung!$A$6:$A$5005,"&gt;="&amp;DATE(Einstellungen!$C$3,1,1),Erfassung!$A$6:$A$5005,"&lt;"&amp;DATE(Einstellungen!$C$3+1,1,1)))</f>
        <v/>
      </c>
      <c r="E183" s="58">
        <f>IF(B183="","",IF(D183&gt;0,SUMIFS(Erfassung!$E$6:$E$5005,Erfassung!$B$6:$B$5005,A183,Erfassung!$D$6:$D$5005,Einstellungen!$C$4,Erfassung!$A$6:$A$5005,"&gt;="&amp;DATE(Einstellungen!$C$3,1,1),Erfassung!$A$6:$A$5005,"&lt;"&amp;DATE(Einstellungen!$C$3+1,1,1))/D183,""))</f>
        <v/>
      </c>
      <c r="F183" s="54">
        <f>IF(B183="","",SUMIFS(Erfassung!$G$6:$G$5005,Erfassung!$B$6:$B$5005,A183,Erfassung!$A$6:$A$5005,"&gt;="&amp;DATE(Einstellungen!$C$3,1,1),Erfassung!$A$6:$A$5005,"&lt;"&amp;DATE(Einstellungen!$C$3+1,1,1)))</f>
        <v/>
      </c>
      <c r="G183" s="54">
        <f>IF(B183="","",SUMIFS(Erfassung!$G$6:$G$5005,Erfassung!$B$6:$B$5005,A183,Erfassung!$D$6:$D$5005,Einstellungen!$C$4,Erfassung!$A$6:$A$5005,"&gt;="&amp;DATE(Einstellungen!$C$3,1,1),Erfassung!$A$6:$A$5005,"&lt;"&amp;DATE(Einstellungen!$C$3+1,1,1)))</f>
        <v/>
      </c>
      <c r="H183" s="54">
        <f>IF(B183="","",SUMIFS(Erfassung!$G$6:$G$5005,Erfassung!$B$6:$B$5005,A183,Erfassung!$D$6:$D$5005,Einstellungen!$C$5,Erfassung!$A$6:$A$5005,"&gt;="&amp;DATE(Einstellungen!$C$3,1,1),Erfassung!$A$6:$A$5005,"&lt;"&amp;DATE(Einstellungen!$C$3+1,1,1)))</f>
        <v/>
      </c>
      <c r="I183" s="34">
        <f>IF(B183="","",SUMIFS(Erfassung!$F$6:$F$5005,Erfassung!$B$6:$B$5005,A183,Erfassung!$A$6:$A$5005,"&gt;="&amp;DATE(Einstellungen!$C$3,1,1),Erfassung!$A$6:$A$5005,"&lt;"&amp;DATE(Einstellungen!$C$3+1,1,1)))</f>
        <v/>
      </c>
      <c r="J183" s="38">
        <f>IF(B183="","",IF(D183+F183&gt;0,F183/(D183+F183),""))</f>
        <v/>
      </c>
      <c r="K183" s="59">
        <f>IF(J183="","",RANK(J183,$J$6:$J$205,0))</f>
        <v/>
      </c>
      <c r="L183" s="29">
        <f>IF(J183="","",IF(J183&lt;=Einstellungen!$C$7,"unauffällig",IF(J183&lt;=Einstellungen!$C$8,"auffällig","kritisch")))</f>
        <v/>
      </c>
      <c r="M183" s="60">
        <f>IF(J183="",-1,J183+ROW()/1000000000)</f>
        <v/>
      </c>
    </row>
    <row r="184">
      <c r="A184" s="56">
        <f>IF(Mitarbeiter!B184="","",Mitarbeiter!A184)</f>
        <v/>
      </c>
      <c r="B184" s="57">
        <f>IF(Mitarbeiter!B184="","",Mitarbeiter!B184)</f>
        <v/>
      </c>
      <c r="C184" s="7">
        <f>IF(Mitarbeiter!B184="","",Mitarbeiter!G184)</f>
        <v/>
      </c>
      <c r="D184" s="54">
        <f>IF(B184="","",SUMIFS(Erfassung!$E$6:$E$5005,Erfassung!$B$6:$B$5005,A184,Erfassung!$A$6:$A$5005,"&gt;="&amp;DATE(Einstellungen!$C$3,1,1),Erfassung!$A$6:$A$5005,"&lt;"&amp;DATE(Einstellungen!$C$3+1,1,1)))</f>
        <v/>
      </c>
      <c r="E184" s="58">
        <f>IF(B184="","",IF(D184&gt;0,SUMIFS(Erfassung!$E$6:$E$5005,Erfassung!$B$6:$B$5005,A184,Erfassung!$D$6:$D$5005,Einstellungen!$C$4,Erfassung!$A$6:$A$5005,"&gt;="&amp;DATE(Einstellungen!$C$3,1,1),Erfassung!$A$6:$A$5005,"&lt;"&amp;DATE(Einstellungen!$C$3+1,1,1))/D184,""))</f>
        <v/>
      </c>
      <c r="F184" s="54">
        <f>IF(B184="","",SUMIFS(Erfassung!$G$6:$G$5005,Erfassung!$B$6:$B$5005,A184,Erfassung!$A$6:$A$5005,"&gt;="&amp;DATE(Einstellungen!$C$3,1,1),Erfassung!$A$6:$A$5005,"&lt;"&amp;DATE(Einstellungen!$C$3+1,1,1)))</f>
        <v/>
      </c>
      <c r="G184" s="54">
        <f>IF(B184="","",SUMIFS(Erfassung!$G$6:$G$5005,Erfassung!$B$6:$B$5005,A184,Erfassung!$D$6:$D$5005,Einstellungen!$C$4,Erfassung!$A$6:$A$5005,"&gt;="&amp;DATE(Einstellungen!$C$3,1,1),Erfassung!$A$6:$A$5005,"&lt;"&amp;DATE(Einstellungen!$C$3+1,1,1)))</f>
        <v/>
      </c>
      <c r="H184" s="54">
        <f>IF(B184="","",SUMIFS(Erfassung!$G$6:$G$5005,Erfassung!$B$6:$B$5005,A184,Erfassung!$D$6:$D$5005,Einstellungen!$C$5,Erfassung!$A$6:$A$5005,"&gt;="&amp;DATE(Einstellungen!$C$3,1,1),Erfassung!$A$6:$A$5005,"&lt;"&amp;DATE(Einstellungen!$C$3+1,1,1)))</f>
        <v/>
      </c>
      <c r="I184" s="34">
        <f>IF(B184="","",SUMIFS(Erfassung!$F$6:$F$5005,Erfassung!$B$6:$B$5005,A184,Erfassung!$A$6:$A$5005,"&gt;="&amp;DATE(Einstellungen!$C$3,1,1),Erfassung!$A$6:$A$5005,"&lt;"&amp;DATE(Einstellungen!$C$3+1,1,1)))</f>
        <v/>
      </c>
      <c r="J184" s="38">
        <f>IF(B184="","",IF(D184+F184&gt;0,F184/(D184+F184),""))</f>
        <v/>
      </c>
      <c r="K184" s="59">
        <f>IF(J184="","",RANK(J184,$J$6:$J$205,0))</f>
        <v/>
      </c>
      <c r="L184" s="29">
        <f>IF(J184="","",IF(J184&lt;=Einstellungen!$C$7,"unauffällig",IF(J184&lt;=Einstellungen!$C$8,"auffällig","kritisch")))</f>
        <v/>
      </c>
      <c r="M184" s="60">
        <f>IF(J184="",-1,J184+ROW()/1000000000)</f>
        <v/>
      </c>
    </row>
    <row r="185">
      <c r="A185" s="56">
        <f>IF(Mitarbeiter!B185="","",Mitarbeiter!A185)</f>
        <v/>
      </c>
      <c r="B185" s="57">
        <f>IF(Mitarbeiter!B185="","",Mitarbeiter!B185)</f>
        <v/>
      </c>
      <c r="C185" s="7">
        <f>IF(Mitarbeiter!B185="","",Mitarbeiter!G185)</f>
        <v/>
      </c>
      <c r="D185" s="54">
        <f>IF(B185="","",SUMIFS(Erfassung!$E$6:$E$5005,Erfassung!$B$6:$B$5005,A185,Erfassung!$A$6:$A$5005,"&gt;="&amp;DATE(Einstellungen!$C$3,1,1),Erfassung!$A$6:$A$5005,"&lt;"&amp;DATE(Einstellungen!$C$3+1,1,1)))</f>
        <v/>
      </c>
      <c r="E185" s="58">
        <f>IF(B185="","",IF(D185&gt;0,SUMIFS(Erfassung!$E$6:$E$5005,Erfassung!$B$6:$B$5005,A185,Erfassung!$D$6:$D$5005,Einstellungen!$C$4,Erfassung!$A$6:$A$5005,"&gt;="&amp;DATE(Einstellungen!$C$3,1,1),Erfassung!$A$6:$A$5005,"&lt;"&amp;DATE(Einstellungen!$C$3+1,1,1))/D185,""))</f>
        <v/>
      </c>
      <c r="F185" s="54">
        <f>IF(B185="","",SUMIFS(Erfassung!$G$6:$G$5005,Erfassung!$B$6:$B$5005,A185,Erfassung!$A$6:$A$5005,"&gt;="&amp;DATE(Einstellungen!$C$3,1,1),Erfassung!$A$6:$A$5005,"&lt;"&amp;DATE(Einstellungen!$C$3+1,1,1)))</f>
        <v/>
      </c>
      <c r="G185" s="54">
        <f>IF(B185="","",SUMIFS(Erfassung!$G$6:$G$5005,Erfassung!$B$6:$B$5005,A185,Erfassung!$D$6:$D$5005,Einstellungen!$C$4,Erfassung!$A$6:$A$5005,"&gt;="&amp;DATE(Einstellungen!$C$3,1,1),Erfassung!$A$6:$A$5005,"&lt;"&amp;DATE(Einstellungen!$C$3+1,1,1)))</f>
        <v/>
      </c>
      <c r="H185" s="54">
        <f>IF(B185="","",SUMIFS(Erfassung!$G$6:$G$5005,Erfassung!$B$6:$B$5005,A185,Erfassung!$D$6:$D$5005,Einstellungen!$C$5,Erfassung!$A$6:$A$5005,"&gt;="&amp;DATE(Einstellungen!$C$3,1,1),Erfassung!$A$6:$A$5005,"&lt;"&amp;DATE(Einstellungen!$C$3+1,1,1)))</f>
        <v/>
      </c>
      <c r="I185" s="34">
        <f>IF(B185="","",SUMIFS(Erfassung!$F$6:$F$5005,Erfassung!$B$6:$B$5005,A185,Erfassung!$A$6:$A$5005,"&gt;="&amp;DATE(Einstellungen!$C$3,1,1),Erfassung!$A$6:$A$5005,"&lt;"&amp;DATE(Einstellungen!$C$3+1,1,1)))</f>
        <v/>
      </c>
      <c r="J185" s="38">
        <f>IF(B185="","",IF(D185+F185&gt;0,F185/(D185+F185),""))</f>
        <v/>
      </c>
      <c r="K185" s="59">
        <f>IF(J185="","",RANK(J185,$J$6:$J$205,0))</f>
        <v/>
      </c>
      <c r="L185" s="29">
        <f>IF(J185="","",IF(J185&lt;=Einstellungen!$C$7,"unauffällig",IF(J185&lt;=Einstellungen!$C$8,"auffällig","kritisch")))</f>
        <v/>
      </c>
      <c r="M185" s="60">
        <f>IF(J185="",-1,J185+ROW()/1000000000)</f>
        <v/>
      </c>
    </row>
    <row r="186">
      <c r="A186" s="56">
        <f>IF(Mitarbeiter!B186="","",Mitarbeiter!A186)</f>
        <v/>
      </c>
      <c r="B186" s="57">
        <f>IF(Mitarbeiter!B186="","",Mitarbeiter!B186)</f>
        <v/>
      </c>
      <c r="C186" s="7">
        <f>IF(Mitarbeiter!B186="","",Mitarbeiter!G186)</f>
        <v/>
      </c>
      <c r="D186" s="54">
        <f>IF(B186="","",SUMIFS(Erfassung!$E$6:$E$5005,Erfassung!$B$6:$B$5005,A186,Erfassung!$A$6:$A$5005,"&gt;="&amp;DATE(Einstellungen!$C$3,1,1),Erfassung!$A$6:$A$5005,"&lt;"&amp;DATE(Einstellungen!$C$3+1,1,1)))</f>
        <v/>
      </c>
      <c r="E186" s="58">
        <f>IF(B186="","",IF(D186&gt;0,SUMIFS(Erfassung!$E$6:$E$5005,Erfassung!$B$6:$B$5005,A186,Erfassung!$D$6:$D$5005,Einstellungen!$C$4,Erfassung!$A$6:$A$5005,"&gt;="&amp;DATE(Einstellungen!$C$3,1,1),Erfassung!$A$6:$A$5005,"&lt;"&amp;DATE(Einstellungen!$C$3+1,1,1))/D186,""))</f>
        <v/>
      </c>
      <c r="F186" s="54">
        <f>IF(B186="","",SUMIFS(Erfassung!$G$6:$G$5005,Erfassung!$B$6:$B$5005,A186,Erfassung!$A$6:$A$5005,"&gt;="&amp;DATE(Einstellungen!$C$3,1,1),Erfassung!$A$6:$A$5005,"&lt;"&amp;DATE(Einstellungen!$C$3+1,1,1)))</f>
        <v/>
      </c>
      <c r="G186" s="54">
        <f>IF(B186="","",SUMIFS(Erfassung!$G$6:$G$5005,Erfassung!$B$6:$B$5005,A186,Erfassung!$D$6:$D$5005,Einstellungen!$C$4,Erfassung!$A$6:$A$5005,"&gt;="&amp;DATE(Einstellungen!$C$3,1,1),Erfassung!$A$6:$A$5005,"&lt;"&amp;DATE(Einstellungen!$C$3+1,1,1)))</f>
        <v/>
      </c>
      <c r="H186" s="54">
        <f>IF(B186="","",SUMIFS(Erfassung!$G$6:$G$5005,Erfassung!$B$6:$B$5005,A186,Erfassung!$D$6:$D$5005,Einstellungen!$C$5,Erfassung!$A$6:$A$5005,"&gt;="&amp;DATE(Einstellungen!$C$3,1,1),Erfassung!$A$6:$A$5005,"&lt;"&amp;DATE(Einstellungen!$C$3+1,1,1)))</f>
        <v/>
      </c>
      <c r="I186" s="34">
        <f>IF(B186="","",SUMIFS(Erfassung!$F$6:$F$5005,Erfassung!$B$6:$B$5005,A186,Erfassung!$A$6:$A$5005,"&gt;="&amp;DATE(Einstellungen!$C$3,1,1),Erfassung!$A$6:$A$5005,"&lt;"&amp;DATE(Einstellungen!$C$3+1,1,1)))</f>
        <v/>
      </c>
      <c r="J186" s="38">
        <f>IF(B186="","",IF(D186+F186&gt;0,F186/(D186+F186),""))</f>
        <v/>
      </c>
      <c r="K186" s="59">
        <f>IF(J186="","",RANK(J186,$J$6:$J$205,0))</f>
        <v/>
      </c>
      <c r="L186" s="29">
        <f>IF(J186="","",IF(J186&lt;=Einstellungen!$C$7,"unauffällig",IF(J186&lt;=Einstellungen!$C$8,"auffällig","kritisch")))</f>
        <v/>
      </c>
      <c r="M186" s="60">
        <f>IF(J186="",-1,J186+ROW()/1000000000)</f>
        <v/>
      </c>
    </row>
    <row r="187">
      <c r="A187" s="56">
        <f>IF(Mitarbeiter!B187="","",Mitarbeiter!A187)</f>
        <v/>
      </c>
      <c r="B187" s="57">
        <f>IF(Mitarbeiter!B187="","",Mitarbeiter!B187)</f>
        <v/>
      </c>
      <c r="C187" s="7">
        <f>IF(Mitarbeiter!B187="","",Mitarbeiter!G187)</f>
        <v/>
      </c>
      <c r="D187" s="54">
        <f>IF(B187="","",SUMIFS(Erfassung!$E$6:$E$5005,Erfassung!$B$6:$B$5005,A187,Erfassung!$A$6:$A$5005,"&gt;="&amp;DATE(Einstellungen!$C$3,1,1),Erfassung!$A$6:$A$5005,"&lt;"&amp;DATE(Einstellungen!$C$3+1,1,1)))</f>
        <v/>
      </c>
      <c r="E187" s="58">
        <f>IF(B187="","",IF(D187&gt;0,SUMIFS(Erfassung!$E$6:$E$5005,Erfassung!$B$6:$B$5005,A187,Erfassung!$D$6:$D$5005,Einstellungen!$C$4,Erfassung!$A$6:$A$5005,"&gt;="&amp;DATE(Einstellungen!$C$3,1,1),Erfassung!$A$6:$A$5005,"&lt;"&amp;DATE(Einstellungen!$C$3+1,1,1))/D187,""))</f>
        <v/>
      </c>
      <c r="F187" s="54">
        <f>IF(B187="","",SUMIFS(Erfassung!$G$6:$G$5005,Erfassung!$B$6:$B$5005,A187,Erfassung!$A$6:$A$5005,"&gt;="&amp;DATE(Einstellungen!$C$3,1,1),Erfassung!$A$6:$A$5005,"&lt;"&amp;DATE(Einstellungen!$C$3+1,1,1)))</f>
        <v/>
      </c>
      <c r="G187" s="54">
        <f>IF(B187="","",SUMIFS(Erfassung!$G$6:$G$5005,Erfassung!$B$6:$B$5005,A187,Erfassung!$D$6:$D$5005,Einstellungen!$C$4,Erfassung!$A$6:$A$5005,"&gt;="&amp;DATE(Einstellungen!$C$3,1,1),Erfassung!$A$6:$A$5005,"&lt;"&amp;DATE(Einstellungen!$C$3+1,1,1)))</f>
        <v/>
      </c>
      <c r="H187" s="54">
        <f>IF(B187="","",SUMIFS(Erfassung!$G$6:$G$5005,Erfassung!$B$6:$B$5005,A187,Erfassung!$D$6:$D$5005,Einstellungen!$C$5,Erfassung!$A$6:$A$5005,"&gt;="&amp;DATE(Einstellungen!$C$3,1,1),Erfassung!$A$6:$A$5005,"&lt;"&amp;DATE(Einstellungen!$C$3+1,1,1)))</f>
        <v/>
      </c>
      <c r="I187" s="34">
        <f>IF(B187="","",SUMIFS(Erfassung!$F$6:$F$5005,Erfassung!$B$6:$B$5005,A187,Erfassung!$A$6:$A$5005,"&gt;="&amp;DATE(Einstellungen!$C$3,1,1),Erfassung!$A$6:$A$5005,"&lt;"&amp;DATE(Einstellungen!$C$3+1,1,1)))</f>
        <v/>
      </c>
      <c r="J187" s="38">
        <f>IF(B187="","",IF(D187+F187&gt;0,F187/(D187+F187),""))</f>
        <v/>
      </c>
      <c r="K187" s="59">
        <f>IF(J187="","",RANK(J187,$J$6:$J$205,0))</f>
        <v/>
      </c>
      <c r="L187" s="29">
        <f>IF(J187="","",IF(J187&lt;=Einstellungen!$C$7,"unauffällig",IF(J187&lt;=Einstellungen!$C$8,"auffällig","kritisch")))</f>
        <v/>
      </c>
      <c r="M187" s="60">
        <f>IF(J187="",-1,J187+ROW()/1000000000)</f>
        <v/>
      </c>
    </row>
    <row r="188">
      <c r="A188" s="56">
        <f>IF(Mitarbeiter!B188="","",Mitarbeiter!A188)</f>
        <v/>
      </c>
      <c r="B188" s="57">
        <f>IF(Mitarbeiter!B188="","",Mitarbeiter!B188)</f>
        <v/>
      </c>
      <c r="C188" s="7">
        <f>IF(Mitarbeiter!B188="","",Mitarbeiter!G188)</f>
        <v/>
      </c>
      <c r="D188" s="54">
        <f>IF(B188="","",SUMIFS(Erfassung!$E$6:$E$5005,Erfassung!$B$6:$B$5005,A188,Erfassung!$A$6:$A$5005,"&gt;="&amp;DATE(Einstellungen!$C$3,1,1),Erfassung!$A$6:$A$5005,"&lt;"&amp;DATE(Einstellungen!$C$3+1,1,1)))</f>
        <v/>
      </c>
      <c r="E188" s="58">
        <f>IF(B188="","",IF(D188&gt;0,SUMIFS(Erfassung!$E$6:$E$5005,Erfassung!$B$6:$B$5005,A188,Erfassung!$D$6:$D$5005,Einstellungen!$C$4,Erfassung!$A$6:$A$5005,"&gt;="&amp;DATE(Einstellungen!$C$3,1,1),Erfassung!$A$6:$A$5005,"&lt;"&amp;DATE(Einstellungen!$C$3+1,1,1))/D188,""))</f>
        <v/>
      </c>
      <c r="F188" s="54">
        <f>IF(B188="","",SUMIFS(Erfassung!$G$6:$G$5005,Erfassung!$B$6:$B$5005,A188,Erfassung!$A$6:$A$5005,"&gt;="&amp;DATE(Einstellungen!$C$3,1,1),Erfassung!$A$6:$A$5005,"&lt;"&amp;DATE(Einstellungen!$C$3+1,1,1)))</f>
        <v/>
      </c>
      <c r="G188" s="54">
        <f>IF(B188="","",SUMIFS(Erfassung!$G$6:$G$5005,Erfassung!$B$6:$B$5005,A188,Erfassung!$D$6:$D$5005,Einstellungen!$C$4,Erfassung!$A$6:$A$5005,"&gt;="&amp;DATE(Einstellungen!$C$3,1,1),Erfassung!$A$6:$A$5005,"&lt;"&amp;DATE(Einstellungen!$C$3+1,1,1)))</f>
        <v/>
      </c>
      <c r="H188" s="54">
        <f>IF(B188="","",SUMIFS(Erfassung!$G$6:$G$5005,Erfassung!$B$6:$B$5005,A188,Erfassung!$D$6:$D$5005,Einstellungen!$C$5,Erfassung!$A$6:$A$5005,"&gt;="&amp;DATE(Einstellungen!$C$3,1,1),Erfassung!$A$6:$A$5005,"&lt;"&amp;DATE(Einstellungen!$C$3+1,1,1)))</f>
        <v/>
      </c>
      <c r="I188" s="34">
        <f>IF(B188="","",SUMIFS(Erfassung!$F$6:$F$5005,Erfassung!$B$6:$B$5005,A188,Erfassung!$A$6:$A$5005,"&gt;="&amp;DATE(Einstellungen!$C$3,1,1),Erfassung!$A$6:$A$5005,"&lt;"&amp;DATE(Einstellungen!$C$3+1,1,1)))</f>
        <v/>
      </c>
      <c r="J188" s="38">
        <f>IF(B188="","",IF(D188+F188&gt;0,F188/(D188+F188),""))</f>
        <v/>
      </c>
      <c r="K188" s="59">
        <f>IF(J188="","",RANK(J188,$J$6:$J$205,0))</f>
        <v/>
      </c>
      <c r="L188" s="29">
        <f>IF(J188="","",IF(J188&lt;=Einstellungen!$C$7,"unauffällig",IF(J188&lt;=Einstellungen!$C$8,"auffällig","kritisch")))</f>
        <v/>
      </c>
      <c r="M188" s="60">
        <f>IF(J188="",-1,J188+ROW()/1000000000)</f>
        <v/>
      </c>
    </row>
    <row r="189">
      <c r="A189" s="56">
        <f>IF(Mitarbeiter!B189="","",Mitarbeiter!A189)</f>
        <v/>
      </c>
      <c r="B189" s="57">
        <f>IF(Mitarbeiter!B189="","",Mitarbeiter!B189)</f>
        <v/>
      </c>
      <c r="C189" s="7">
        <f>IF(Mitarbeiter!B189="","",Mitarbeiter!G189)</f>
        <v/>
      </c>
      <c r="D189" s="54">
        <f>IF(B189="","",SUMIFS(Erfassung!$E$6:$E$5005,Erfassung!$B$6:$B$5005,A189,Erfassung!$A$6:$A$5005,"&gt;="&amp;DATE(Einstellungen!$C$3,1,1),Erfassung!$A$6:$A$5005,"&lt;"&amp;DATE(Einstellungen!$C$3+1,1,1)))</f>
        <v/>
      </c>
      <c r="E189" s="58">
        <f>IF(B189="","",IF(D189&gt;0,SUMIFS(Erfassung!$E$6:$E$5005,Erfassung!$B$6:$B$5005,A189,Erfassung!$D$6:$D$5005,Einstellungen!$C$4,Erfassung!$A$6:$A$5005,"&gt;="&amp;DATE(Einstellungen!$C$3,1,1),Erfassung!$A$6:$A$5005,"&lt;"&amp;DATE(Einstellungen!$C$3+1,1,1))/D189,""))</f>
        <v/>
      </c>
      <c r="F189" s="54">
        <f>IF(B189="","",SUMIFS(Erfassung!$G$6:$G$5005,Erfassung!$B$6:$B$5005,A189,Erfassung!$A$6:$A$5005,"&gt;="&amp;DATE(Einstellungen!$C$3,1,1),Erfassung!$A$6:$A$5005,"&lt;"&amp;DATE(Einstellungen!$C$3+1,1,1)))</f>
        <v/>
      </c>
      <c r="G189" s="54">
        <f>IF(B189="","",SUMIFS(Erfassung!$G$6:$G$5005,Erfassung!$B$6:$B$5005,A189,Erfassung!$D$6:$D$5005,Einstellungen!$C$4,Erfassung!$A$6:$A$5005,"&gt;="&amp;DATE(Einstellungen!$C$3,1,1),Erfassung!$A$6:$A$5005,"&lt;"&amp;DATE(Einstellungen!$C$3+1,1,1)))</f>
        <v/>
      </c>
      <c r="H189" s="54">
        <f>IF(B189="","",SUMIFS(Erfassung!$G$6:$G$5005,Erfassung!$B$6:$B$5005,A189,Erfassung!$D$6:$D$5005,Einstellungen!$C$5,Erfassung!$A$6:$A$5005,"&gt;="&amp;DATE(Einstellungen!$C$3,1,1),Erfassung!$A$6:$A$5005,"&lt;"&amp;DATE(Einstellungen!$C$3+1,1,1)))</f>
        <v/>
      </c>
      <c r="I189" s="34">
        <f>IF(B189="","",SUMIFS(Erfassung!$F$6:$F$5005,Erfassung!$B$6:$B$5005,A189,Erfassung!$A$6:$A$5005,"&gt;="&amp;DATE(Einstellungen!$C$3,1,1),Erfassung!$A$6:$A$5005,"&lt;"&amp;DATE(Einstellungen!$C$3+1,1,1)))</f>
        <v/>
      </c>
      <c r="J189" s="38">
        <f>IF(B189="","",IF(D189+F189&gt;0,F189/(D189+F189),""))</f>
        <v/>
      </c>
      <c r="K189" s="59">
        <f>IF(J189="","",RANK(J189,$J$6:$J$205,0))</f>
        <v/>
      </c>
      <c r="L189" s="29">
        <f>IF(J189="","",IF(J189&lt;=Einstellungen!$C$7,"unauffällig",IF(J189&lt;=Einstellungen!$C$8,"auffällig","kritisch")))</f>
        <v/>
      </c>
      <c r="M189" s="60">
        <f>IF(J189="",-1,J189+ROW()/1000000000)</f>
        <v/>
      </c>
    </row>
    <row r="190">
      <c r="A190" s="56">
        <f>IF(Mitarbeiter!B190="","",Mitarbeiter!A190)</f>
        <v/>
      </c>
      <c r="B190" s="57">
        <f>IF(Mitarbeiter!B190="","",Mitarbeiter!B190)</f>
        <v/>
      </c>
      <c r="C190" s="7">
        <f>IF(Mitarbeiter!B190="","",Mitarbeiter!G190)</f>
        <v/>
      </c>
      <c r="D190" s="54">
        <f>IF(B190="","",SUMIFS(Erfassung!$E$6:$E$5005,Erfassung!$B$6:$B$5005,A190,Erfassung!$A$6:$A$5005,"&gt;="&amp;DATE(Einstellungen!$C$3,1,1),Erfassung!$A$6:$A$5005,"&lt;"&amp;DATE(Einstellungen!$C$3+1,1,1)))</f>
        <v/>
      </c>
      <c r="E190" s="58">
        <f>IF(B190="","",IF(D190&gt;0,SUMIFS(Erfassung!$E$6:$E$5005,Erfassung!$B$6:$B$5005,A190,Erfassung!$D$6:$D$5005,Einstellungen!$C$4,Erfassung!$A$6:$A$5005,"&gt;="&amp;DATE(Einstellungen!$C$3,1,1),Erfassung!$A$6:$A$5005,"&lt;"&amp;DATE(Einstellungen!$C$3+1,1,1))/D190,""))</f>
        <v/>
      </c>
      <c r="F190" s="54">
        <f>IF(B190="","",SUMIFS(Erfassung!$G$6:$G$5005,Erfassung!$B$6:$B$5005,A190,Erfassung!$A$6:$A$5005,"&gt;="&amp;DATE(Einstellungen!$C$3,1,1),Erfassung!$A$6:$A$5005,"&lt;"&amp;DATE(Einstellungen!$C$3+1,1,1)))</f>
        <v/>
      </c>
      <c r="G190" s="54">
        <f>IF(B190="","",SUMIFS(Erfassung!$G$6:$G$5005,Erfassung!$B$6:$B$5005,A190,Erfassung!$D$6:$D$5005,Einstellungen!$C$4,Erfassung!$A$6:$A$5005,"&gt;="&amp;DATE(Einstellungen!$C$3,1,1),Erfassung!$A$6:$A$5005,"&lt;"&amp;DATE(Einstellungen!$C$3+1,1,1)))</f>
        <v/>
      </c>
      <c r="H190" s="54">
        <f>IF(B190="","",SUMIFS(Erfassung!$G$6:$G$5005,Erfassung!$B$6:$B$5005,A190,Erfassung!$D$6:$D$5005,Einstellungen!$C$5,Erfassung!$A$6:$A$5005,"&gt;="&amp;DATE(Einstellungen!$C$3,1,1),Erfassung!$A$6:$A$5005,"&lt;"&amp;DATE(Einstellungen!$C$3+1,1,1)))</f>
        <v/>
      </c>
      <c r="I190" s="34">
        <f>IF(B190="","",SUMIFS(Erfassung!$F$6:$F$5005,Erfassung!$B$6:$B$5005,A190,Erfassung!$A$6:$A$5005,"&gt;="&amp;DATE(Einstellungen!$C$3,1,1),Erfassung!$A$6:$A$5005,"&lt;"&amp;DATE(Einstellungen!$C$3+1,1,1)))</f>
        <v/>
      </c>
      <c r="J190" s="38">
        <f>IF(B190="","",IF(D190+F190&gt;0,F190/(D190+F190),""))</f>
        <v/>
      </c>
      <c r="K190" s="59">
        <f>IF(J190="","",RANK(J190,$J$6:$J$205,0))</f>
        <v/>
      </c>
      <c r="L190" s="29">
        <f>IF(J190="","",IF(J190&lt;=Einstellungen!$C$7,"unauffällig",IF(J190&lt;=Einstellungen!$C$8,"auffällig","kritisch")))</f>
        <v/>
      </c>
      <c r="M190" s="60">
        <f>IF(J190="",-1,J190+ROW()/1000000000)</f>
        <v/>
      </c>
    </row>
    <row r="191">
      <c r="A191" s="56">
        <f>IF(Mitarbeiter!B191="","",Mitarbeiter!A191)</f>
        <v/>
      </c>
      <c r="B191" s="57">
        <f>IF(Mitarbeiter!B191="","",Mitarbeiter!B191)</f>
        <v/>
      </c>
      <c r="C191" s="7">
        <f>IF(Mitarbeiter!B191="","",Mitarbeiter!G191)</f>
        <v/>
      </c>
      <c r="D191" s="54">
        <f>IF(B191="","",SUMIFS(Erfassung!$E$6:$E$5005,Erfassung!$B$6:$B$5005,A191,Erfassung!$A$6:$A$5005,"&gt;="&amp;DATE(Einstellungen!$C$3,1,1),Erfassung!$A$6:$A$5005,"&lt;"&amp;DATE(Einstellungen!$C$3+1,1,1)))</f>
        <v/>
      </c>
      <c r="E191" s="58">
        <f>IF(B191="","",IF(D191&gt;0,SUMIFS(Erfassung!$E$6:$E$5005,Erfassung!$B$6:$B$5005,A191,Erfassung!$D$6:$D$5005,Einstellungen!$C$4,Erfassung!$A$6:$A$5005,"&gt;="&amp;DATE(Einstellungen!$C$3,1,1),Erfassung!$A$6:$A$5005,"&lt;"&amp;DATE(Einstellungen!$C$3+1,1,1))/D191,""))</f>
        <v/>
      </c>
      <c r="F191" s="54">
        <f>IF(B191="","",SUMIFS(Erfassung!$G$6:$G$5005,Erfassung!$B$6:$B$5005,A191,Erfassung!$A$6:$A$5005,"&gt;="&amp;DATE(Einstellungen!$C$3,1,1),Erfassung!$A$6:$A$5005,"&lt;"&amp;DATE(Einstellungen!$C$3+1,1,1)))</f>
        <v/>
      </c>
      <c r="G191" s="54">
        <f>IF(B191="","",SUMIFS(Erfassung!$G$6:$G$5005,Erfassung!$B$6:$B$5005,A191,Erfassung!$D$6:$D$5005,Einstellungen!$C$4,Erfassung!$A$6:$A$5005,"&gt;="&amp;DATE(Einstellungen!$C$3,1,1),Erfassung!$A$6:$A$5005,"&lt;"&amp;DATE(Einstellungen!$C$3+1,1,1)))</f>
        <v/>
      </c>
      <c r="H191" s="54">
        <f>IF(B191="","",SUMIFS(Erfassung!$G$6:$G$5005,Erfassung!$B$6:$B$5005,A191,Erfassung!$D$6:$D$5005,Einstellungen!$C$5,Erfassung!$A$6:$A$5005,"&gt;="&amp;DATE(Einstellungen!$C$3,1,1),Erfassung!$A$6:$A$5005,"&lt;"&amp;DATE(Einstellungen!$C$3+1,1,1)))</f>
        <v/>
      </c>
      <c r="I191" s="34">
        <f>IF(B191="","",SUMIFS(Erfassung!$F$6:$F$5005,Erfassung!$B$6:$B$5005,A191,Erfassung!$A$6:$A$5005,"&gt;="&amp;DATE(Einstellungen!$C$3,1,1),Erfassung!$A$6:$A$5005,"&lt;"&amp;DATE(Einstellungen!$C$3+1,1,1)))</f>
        <v/>
      </c>
      <c r="J191" s="38">
        <f>IF(B191="","",IF(D191+F191&gt;0,F191/(D191+F191),""))</f>
        <v/>
      </c>
      <c r="K191" s="59">
        <f>IF(J191="","",RANK(J191,$J$6:$J$205,0))</f>
        <v/>
      </c>
      <c r="L191" s="29">
        <f>IF(J191="","",IF(J191&lt;=Einstellungen!$C$7,"unauffällig",IF(J191&lt;=Einstellungen!$C$8,"auffällig","kritisch")))</f>
        <v/>
      </c>
      <c r="M191" s="60">
        <f>IF(J191="",-1,J191+ROW()/1000000000)</f>
        <v/>
      </c>
    </row>
    <row r="192">
      <c r="A192" s="56">
        <f>IF(Mitarbeiter!B192="","",Mitarbeiter!A192)</f>
        <v/>
      </c>
      <c r="B192" s="57">
        <f>IF(Mitarbeiter!B192="","",Mitarbeiter!B192)</f>
        <v/>
      </c>
      <c r="C192" s="7">
        <f>IF(Mitarbeiter!B192="","",Mitarbeiter!G192)</f>
        <v/>
      </c>
      <c r="D192" s="54">
        <f>IF(B192="","",SUMIFS(Erfassung!$E$6:$E$5005,Erfassung!$B$6:$B$5005,A192,Erfassung!$A$6:$A$5005,"&gt;="&amp;DATE(Einstellungen!$C$3,1,1),Erfassung!$A$6:$A$5005,"&lt;"&amp;DATE(Einstellungen!$C$3+1,1,1)))</f>
        <v/>
      </c>
      <c r="E192" s="58">
        <f>IF(B192="","",IF(D192&gt;0,SUMIFS(Erfassung!$E$6:$E$5005,Erfassung!$B$6:$B$5005,A192,Erfassung!$D$6:$D$5005,Einstellungen!$C$4,Erfassung!$A$6:$A$5005,"&gt;="&amp;DATE(Einstellungen!$C$3,1,1),Erfassung!$A$6:$A$5005,"&lt;"&amp;DATE(Einstellungen!$C$3+1,1,1))/D192,""))</f>
        <v/>
      </c>
      <c r="F192" s="54">
        <f>IF(B192="","",SUMIFS(Erfassung!$G$6:$G$5005,Erfassung!$B$6:$B$5005,A192,Erfassung!$A$6:$A$5005,"&gt;="&amp;DATE(Einstellungen!$C$3,1,1),Erfassung!$A$6:$A$5005,"&lt;"&amp;DATE(Einstellungen!$C$3+1,1,1)))</f>
        <v/>
      </c>
      <c r="G192" s="54">
        <f>IF(B192="","",SUMIFS(Erfassung!$G$6:$G$5005,Erfassung!$B$6:$B$5005,A192,Erfassung!$D$6:$D$5005,Einstellungen!$C$4,Erfassung!$A$6:$A$5005,"&gt;="&amp;DATE(Einstellungen!$C$3,1,1),Erfassung!$A$6:$A$5005,"&lt;"&amp;DATE(Einstellungen!$C$3+1,1,1)))</f>
        <v/>
      </c>
      <c r="H192" s="54">
        <f>IF(B192="","",SUMIFS(Erfassung!$G$6:$G$5005,Erfassung!$B$6:$B$5005,A192,Erfassung!$D$6:$D$5005,Einstellungen!$C$5,Erfassung!$A$6:$A$5005,"&gt;="&amp;DATE(Einstellungen!$C$3,1,1),Erfassung!$A$6:$A$5005,"&lt;"&amp;DATE(Einstellungen!$C$3+1,1,1)))</f>
        <v/>
      </c>
      <c r="I192" s="34">
        <f>IF(B192="","",SUMIFS(Erfassung!$F$6:$F$5005,Erfassung!$B$6:$B$5005,A192,Erfassung!$A$6:$A$5005,"&gt;="&amp;DATE(Einstellungen!$C$3,1,1),Erfassung!$A$6:$A$5005,"&lt;"&amp;DATE(Einstellungen!$C$3+1,1,1)))</f>
        <v/>
      </c>
      <c r="J192" s="38">
        <f>IF(B192="","",IF(D192+F192&gt;0,F192/(D192+F192),""))</f>
        <v/>
      </c>
      <c r="K192" s="59">
        <f>IF(J192="","",RANK(J192,$J$6:$J$205,0))</f>
        <v/>
      </c>
      <c r="L192" s="29">
        <f>IF(J192="","",IF(J192&lt;=Einstellungen!$C$7,"unauffällig",IF(J192&lt;=Einstellungen!$C$8,"auffällig","kritisch")))</f>
        <v/>
      </c>
      <c r="M192" s="60">
        <f>IF(J192="",-1,J192+ROW()/1000000000)</f>
        <v/>
      </c>
    </row>
    <row r="193">
      <c r="A193" s="56">
        <f>IF(Mitarbeiter!B193="","",Mitarbeiter!A193)</f>
        <v/>
      </c>
      <c r="B193" s="57">
        <f>IF(Mitarbeiter!B193="","",Mitarbeiter!B193)</f>
        <v/>
      </c>
      <c r="C193" s="7">
        <f>IF(Mitarbeiter!B193="","",Mitarbeiter!G193)</f>
        <v/>
      </c>
      <c r="D193" s="54">
        <f>IF(B193="","",SUMIFS(Erfassung!$E$6:$E$5005,Erfassung!$B$6:$B$5005,A193,Erfassung!$A$6:$A$5005,"&gt;="&amp;DATE(Einstellungen!$C$3,1,1),Erfassung!$A$6:$A$5005,"&lt;"&amp;DATE(Einstellungen!$C$3+1,1,1)))</f>
        <v/>
      </c>
      <c r="E193" s="58">
        <f>IF(B193="","",IF(D193&gt;0,SUMIFS(Erfassung!$E$6:$E$5005,Erfassung!$B$6:$B$5005,A193,Erfassung!$D$6:$D$5005,Einstellungen!$C$4,Erfassung!$A$6:$A$5005,"&gt;="&amp;DATE(Einstellungen!$C$3,1,1),Erfassung!$A$6:$A$5005,"&lt;"&amp;DATE(Einstellungen!$C$3+1,1,1))/D193,""))</f>
        <v/>
      </c>
      <c r="F193" s="54">
        <f>IF(B193="","",SUMIFS(Erfassung!$G$6:$G$5005,Erfassung!$B$6:$B$5005,A193,Erfassung!$A$6:$A$5005,"&gt;="&amp;DATE(Einstellungen!$C$3,1,1),Erfassung!$A$6:$A$5005,"&lt;"&amp;DATE(Einstellungen!$C$3+1,1,1)))</f>
        <v/>
      </c>
      <c r="G193" s="54">
        <f>IF(B193="","",SUMIFS(Erfassung!$G$6:$G$5005,Erfassung!$B$6:$B$5005,A193,Erfassung!$D$6:$D$5005,Einstellungen!$C$4,Erfassung!$A$6:$A$5005,"&gt;="&amp;DATE(Einstellungen!$C$3,1,1),Erfassung!$A$6:$A$5005,"&lt;"&amp;DATE(Einstellungen!$C$3+1,1,1)))</f>
        <v/>
      </c>
      <c r="H193" s="54">
        <f>IF(B193="","",SUMIFS(Erfassung!$G$6:$G$5005,Erfassung!$B$6:$B$5005,A193,Erfassung!$D$6:$D$5005,Einstellungen!$C$5,Erfassung!$A$6:$A$5005,"&gt;="&amp;DATE(Einstellungen!$C$3,1,1),Erfassung!$A$6:$A$5005,"&lt;"&amp;DATE(Einstellungen!$C$3+1,1,1)))</f>
        <v/>
      </c>
      <c r="I193" s="34">
        <f>IF(B193="","",SUMIFS(Erfassung!$F$6:$F$5005,Erfassung!$B$6:$B$5005,A193,Erfassung!$A$6:$A$5005,"&gt;="&amp;DATE(Einstellungen!$C$3,1,1),Erfassung!$A$6:$A$5005,"&lt;"&amp;DATE(Einstellungen!$C$3+1,1,1)))</f>
        <v/>
      </c>
      <c r="J193" s="38">
        <f>IF(B193="","",IF(D193+F193&gt;0,F193/(D193+F193),""))</f>
        <v/>
      </c>
      <c r="K193" s="59">
        <f>IF(J193="","",RANK(J193,$J$6:$J$205,0))</f>
        <v/>
      </c>
      <c r="L193" s="29">
        <f>IF(J193="","",IF(J193&lt;=Einstellungen!$C$7,"unauffällig",IF(J193&lt;=Einstellungen!$C$8,"auffällig","kritisch")))</f>
        <v/>
      </c>
      <c r="M193" s="60">
        <f>IF(J193="",-1,J193+ROW()/1000000000)</f>
        <v/>
      </c>
    </row>
    <row r="194">
      <c r="A194" s="56">
        <f>IF(Mitarbeiter!B194="","",Mitarbeiter!A194)</f>
        <v/>
      </c>
      <c r="B194" s="57">
        <f>IF(Mitarbeiter!B194="","",Mitarbeiter!B194)</f>
        <v/>
      </c>
      <c r="C194" s="7">
        <f>IF(Mitarbeiter!B194="","",Mitarbeiter!G194)</f>
        <v/>
      </c>
      <c r="D194" s="54">
        <f>IF(B194="","",SUMIFS(Erfassung!$E$6:$E$5005,Erfassung!$B$6:$B$5005,A194,Erfassung!$A$6:$A$5005,"&gt;="&amp;DATE(Einstellungen!$C$3,1,1),Erfassung!$A$6:$A$5005,"&lt;"&amp;DATE(Einstellungen!$C$3+1,1,1)))</f>
        <v/>
      </c>
      <c r="E194" s="58">
        <f>IF(B194="","",IF(D194&gt;0,SUMIFS(Erfassung!$E$6:$E$5005,Erfassung!$B$6:$B$5005,A194,Erfassung!$D$6:$D$5005,Einstellungen!$C$4,Erfassung!$A$6:$A$5005,"&gt;="&amp;DATE(Einstellungen!$C$3,1,1),Erfassung!$A$6:$A$5005,"&lt;"&amp;DATE(Einstellungen!$C$3+1,1,1))/D194,""))</f>
        <v/>
      </c>
      <c r="F194" s="54">
        <f>IF(B194="","",SUMIFS(Erfassung!$G$6:$G$5005,Erfassung!$B$6:$B$5005,A194,Erfassung!$A$6:$A$5005,"&gt;="&amp;DATE(Einstellungen!$C$3,1,1),Erfassung!$A$6:$A$5005,"&lt;"&amp;DATE(Einstellungen!$C$3+1,1,1)))</f>
        <v/>
      </c>
      <c r="G194" s="54">
        <f>IF(B194="","",SUMIFS(Erfassung!$G$6:$G$5005,Erfassung!$B$6:$B$5005,A194,Erfassung!$D$6:$D$5005,Einstellungen!$C$4,Erfassung!$A$6:$A$5005,"&gt;="&amp;DATE(Einstellungen!$C$3,1,1),Erfassung!$A$6:$A$5005,"&lt;"&amp;DATE(Einstellungen!$C$3+1,1,1)))</f>
        <v/>
      </c>
      <c r="H194" s="54">
        <f>IF(B194="","",SUMIFS(Erfassung!$G$6:$G$5005,Erfassung!$B$6:$B$5005,A194,Erfassung!$D$6:$D$5005,Einstellungen!$C$5,Erfassung!$A$6:$A$5005,"&gt;="&amp;DATE(Einstellungen!$C$3,1,1),Erfassung!$A$6:$A$5005,"&lt;"&amp;DATE(Einstellungen!$C$3+1,1,1)))</f>
        <v/>
      </c>
      <c r="I194" s="34">
        <f>IF(B194="","",SUMIFS(Erfassung!$F$6:$F$5005,Erfassung!$B$6:$B$5005,A194,Erfassung!$A$6:$A$5005,"&gt;="&amp;DATE(Einstellungen!$C$3,1,1),Erfassung!$A$6:$A$5005,"&lt;"&amp;DATE(Einstellungen!$C$3+1,1,1)))</f>
        <v/>
      </c>
      <c r="J194" s="38">
        <f>IF(B194="","",IF(D194+F194&gt;0,F194/(D194+F194),""))</f>
        <v/>
      </c>
      <c r="K194" s="59">
        <f>IF(J194="","",RANK(J194,$J$6:$J$205,0))</f>
        <v/>
      </c>
      <c r="L194" s="29">
        <f>IF(J194="","",IF(J194&lt;=Einstellungen!$C$7,"unauffällig",IF(J194&lt;=Einstellungen!$C$8,"auffällig","kritisch")))</f>
        <v/>
      </c>
      <c r="M194" s="60">
        <f>IF(J194="",-1,J194+ROW()/1000000000)</f>
        <v/>
      </c>
    </row>
    <row r="195">
      <c r="A195" s="56">
        <f>IF(Mitarbeiter!B195="","",Mitarbeiter!A195)</f>
        <v/>
      </c>
      <c r="B195" s="57">
        <f>IF(Mitarbeiter!B195="","",Mitarbeiter!B195)</f>
        <v/>
      </c>
      <c r="C195" s="7">
        <f>IF(Mitarbeiter!B195="","",Mitarbeiter!G195)</f>
        <v/>
      </c>
      <c r="D195" s="54">
        <f>IF(B195="","",SUMIFS(Erfassung!$E$6:$E$5005,Erfassung!$B$6:$B$5005,A195,Erfassung!$A$6:$A$5005,"&gt;="&amp;DATE(Einstellungen!$C$3,1,1),Erfassung!$A$6:$A$5005,"&lt;"&amp;DATE(Einstellungen!$C$3+1,1,1)))</f>
        <v/>
      </c>
      <c r="E195" s="58">
        <f>IF(B195="","",IF(D195&gt;0,SUMIFS(Erfassung!$E$6:$E$5005,Erfassung!$B$6:$B$5005,A195,Erfassung!$D$6:$D$5005,Einstellungen!$C$4,Erfassung!$A$6:$A$5005,"&gt;="&amp;DATE(Einstellungen!$C$3,1,1),Erfassung!$A$6:$A$5005,"&lt;"&amp;DATE(Einstellungen!$C$3+1,1,1))/D195,""))</f>
        <v/>
      </c>
      <c r="F195" s="54">
        <f>IF(B195="","",SUMIFS(Erfassung!$G$6:$G$5005,Erfassung!$B$6:$B$5005,A195,Erfassung!$A$6:$A$5005,"&gt;="&amp;DATE(Einstellungen!$C$3,1,1),Erfassung!$A$6:$A$5005,"&lt;"&amp;DATE(Einstellungen!$C$3+1,1,1)))</f>
        <v/>
      </c>
      <c r="G195" s="54">
        <f>IF(B195="","",SUMIFS(Erfassung!$G$6:$G$5005,Erfassung!$B$6:$B$5005,A195,Erfassung!$D$6:$D$5005,Einstellungen!$C$4,Erfassung!$A$6:$A$5005,"&gt;="&amp;DATE(Einstellungen!$C$3,1,1),Erfassung!$A$6:$A$5005,"&lt;"&amp;DATE(Einstellungen!$C$3+1,1,1)))</f>
        <v/>
      </c>
      <c r="H195" s="54">
        <f>IF(B195="","",SUMIFS(Erfassung!$G$6:$G$5005,Erfassung!$B$6:$B$5005,A195,Erfassung!$D$6:$D$5005,Einstellungen!$C$5,Erfassung!$A$6:$A$5005,"&gt;="&amp;DATE(Einstellungen!$C$3,1,1),Erfassung!$A$6:$A$5005,"&lt;"&amp;DATE(Einstellungen!$C$3+1,1,1)))</f>
        <v/>
      </c>
      <c r="I195" s="34">
        <f>IF(B195="","",SUMIFS(Erfassung!$F$6:$F$5005,Erfassung!$B$6:$B$5005,A195,Erfassung!$A$6:$A$5005,"&gt;="&amp;DATE(Einstellungen!$C$3,1,1),Erfassung!$A$6:$A$5005,"&lt;"&amp;DATE(Einstellungen!$C$3+1,1,1)))</f>
        <v/>
      </c>
      <c r="J195" s="38">
        <f>IF(B195="","",IF(D195+F195&gt;0,F195/(D195+F195),""))</f>
        <v/>
      </c>
      <c r="K195" s="59">
        <f>IF(J195="","",RANK(J195,$J$6:$J$205,0))</f>
        <v/>
      </c>
      <c r="L195" s="29">
        <f>IF(J195="","",IF(J195&lt;=Einstellungen!$C$7,"unauffällig",IF(J195&lt;=Einstellungen!$C$8,"auffällig","kritisch")))</f>
        <v/>
      </c>
      <c r="M195" s="60">
        <f>IF(J195="",-1,J195+ROW()/1000000000)</f>
        <v/>
      </c>
    </row>
    <row r="196">
      <c r="A196" s="56">
        <f>IF(Mitarbeiter!B196="","",Mitarbeiter!A196)</f>
        <v/>
      </c>
      <c r="B196" s="57">
        <f>IF(Mitarbeiter!B196="","",Mitarbeiter!B196)</f>
        <v/>
      </c>
      <c r="C196" s="7">
        <f>IF(Mitarbeiter!B196="","",Mitarbeiter!G196)</f>
        <v/>
      </c>
      <c r="D196" s="54">
        <f>IF(B196="","",SUMIFS(Erfassung!$E$6:$E$5005,Erfassung!$B$6:$B$5005,A196,Erfassung!$A$6:$A$5005,"&gt;="&amp;DATE(Einstellungen!$C$3,1,1),Erfassung!$A$6:$A$5005,"&lt;"&amp;DATE(Einstellungen!$C$3+1,1,1)))</f>
        <v/>
      </c>
      <c r="E196" s="58">
        <f>IF(B196="","",IF(D196&gt;0,SUMIFS(Erfassung!$E$6:$E$5005,Erfassung!$B$6:$B$5005,A196,Erfassung!$D$6:$D$5005,Einstellungen!$C$4,Erfassung!$A$6:$A$5005,"&gt;="&amp;DATE(Einstellungen!$C$3,1,1),Erfassung!$A$6:$A$5005,"&lt;"&amp;DATE(Einstellungen!$C$3+1,1,1))/D196,""))</f>
        <v/>
      </c>
      <c r="F196" s="54">
        <f>IF(B196="","",SUMIFS(Erfassung!$G$6:$G$5005,Erfassung!$B$6:$B$5005,A196,Erfassung!$A$6:$A$5005,"&gt;="&amp;DATE(Einstellungen!$C$3,1,1),Erfassung!$A$6:$A$5005,"&lt;"&amp;DATE(Einstellungen!$C$3+1,1,1)))</f>
        <v/>
      </c>
      <c r="G196" s="54">
        <f>IF(B196="","",SUMIFS(Erfassung!$G$6:$G$5005,Erfassung!$B$6:$B$5005,A196,Erfassung!$D$6:$D$5005,Einstellungen!$C$4,Erfassung!$A$6:$A$5005,"&gt;="&amp;DATE(Einstellungen!$C$3,1,1),Erfassung!$A$6:$A$5005,"&lt;"&amp;DATE(Einstellungen!$C$3+1,1,1)))</f>
        <v/>
      </c>
      <c r="H196" s="54">
        <f>IF(B196="","",SUMIFS(Erfassung!$G$6:$G$5005,Erfassung!$B$6:$B$5005,A196,Erfassung!$D$6:$D$5005,Einstellungen!$C$5,Erfassung!$A$6:$A$5005,"&gt;="&amp;DATE(Einstellungen!$C$3,1,1),Erfassung!$A$6:$A$5005,"&lt;"&amp;DATE(Einstellungen!$C$3+1,1,1)))</f>
        <v/>
      </c>
      <c r="I196" s="34">
        <f>IF(B196="","",SUMIFS(Erfassung!$F$6:$F$5005,Erfassung!$B$6:$B$5005,A196,Erfassung!$A$6:$A$5005,"&gt;="&amp;DATE(Einstellungen!$C$3,1,1),Erfassung!$A$6:$A$5005,"&lt;"&amp;DATE(Einstellungen!$C$3+1,1,1)))</f>
        <v/>
      </c>
      <c r="J196" s="38">
        <f>IF(B196="","",IF(D196+F196&gt;0,F196/(D196+F196),""))</f>
        <v/>
      </c>
      <c r="K196" s="59">
        <f>IF(J196="","",RANK(J196,$J$6:$J$205,0))</f>
        <v/>
      </c>
      <c r="L196" s="29">
        <f>IF(J196="","",IF(J196&lt;=Einstellungen!$C$7,"unauffällig",IF(J196&lt;=Einstellungen!$C$8,"auffällig","kritisch")))</f>
        <v/>
      </c>
      <c r="M196" s="60">
        <f>IF(J196="",-1,J196+ROW()/1000000000)</f>
        <v/>
      </c>
    </row>
    <row r="197">
      <c r="A197" s="56">
        <f>IF(Mitarbeiter!B197="","",Mitarbeiter!A197)</f>
        <v/>
      </c>
      <c r="B197" s="57">
        <f>IF(Mitarbeiter!B197="","",Mitarbeiter!B197)</f>
        <v/>
      </c>
      <c r="C197" s="7">
        <f>IF(Mitarbeiter!B197="","",Mitarbeiter!G197)</f>
        <v/>
      </c>
      <c r="D197" s="54">
        <f>IF(B197="","",SUMIFS(Erfassung!$E$6:$E$5005,Erfassung!$B$6:$B$5005,A197,Erfassung!$A$6:$A$5005,"&gt;="&amp;DATE(Einstellungen!$C$3,1,1),Erfassung!$A$6:$A$5005,"&lt;"&amp;DATE(Einstellungen!$C$3+1,1,1)))</f>
        <v/>
      </c>
      <c r="E197" s="58">
        <f>IF(B197="","",IF(D197&gt;0,SUMIFS(Erfassung!$E$6:$E$5005,Erfassung!$B$6:$B$5005,A197,Erfassung!$D$6:$D$5005,Einstellungen!$C$4,Erfassung!$A$6:$A$5005,"&gt;="&amp;DATE(Einstellungen!$C$3,1,1),Erfassung!$A$6:$A$5005,"&lt;"&amp;DATE(Einstellungen!$C$3+1,1,1))/D197,""))</f>
        <v/>
      </c>
      <c r="F197" s="54">
        <f>IF(B197="","",SUMIFS(Erfassung!$G$6:$G$5005,Erfassung!$B$6:$B$5005,A197,Erfassung!$A$6:$A$5005,"&gt;="&amp;DATE(Einstellungen!$C$3,1,1),Erfassung!$A$6:$A$5005,"&lt;"&amp;DATE(Einstellungen!$C$3+1,1,1)))</f>
        <v/>
      </c>
      <c r="G197" s="54">
        <f>IF(B197="","",SUMIFS(Erfassung!$G$6:$G$5005,Erfassung!$B$6:$B$5005,A197,Erfassung!$D$6:$D$5005,Einstellungen!$C$4,Erfassung!$A$6:$A$5005,"&gt;="&amp;DATE(Einstellungen!$C$3,1,1),Erfassung!$A$6:$A$5005,"&lt;"&amp;DATE(Einstellungen!$C$3+1,1,1)))</f>
        <v/>
      </c>
      <c r="H197" s="54">
        <f>IF(B197="","",SUMIFS(Erfassung!$G$6:$G$5005,Erfassung!$B$6:$B$5005,A197,Erfassung!$D$6:$D$5005,Einstellungen!$C$5,Erfassung!$A$6:$A$5005,"&gt;="&amp;DATE(Einstellungen!$C$3,1,1),Erfassung!$A$6:$A$5005,"&lt;"&amp;DATE(Einstellungen!$C$3+1,1,1)))</f>
        <v/>
      </c>
      <c r="I197" s="34">
        <f>IF(B197="","",SUMIFS(Erfassung!$F$6:$F$5005,Erfassung!$B$6:$B$5005,A197,Erfassung!$A$6:$A$5005,"&gt;="&amp;DATE(Einstellungen!$C$3,1,1),Erfassung!$A$6:$A$5005,"&lt;"&amp;DATE(Einstellungen!$C$3+1,1,1)))</f>
        <v/>
      </c>
      <c r="J197" s="38">
        <f>IF(B197="","",IF(D197+F197&gt;0,F197/(D197+F197),""))</f>
        <v/>
      </c>
      <c r="K197" s="59">
        <f>IF(J197="","",RANK(J197,$J$6:$J$205,0))</f>
        <v/>
      </c>
      <c r="L197" s="29">
        <f>IF(J197="","",IF(J197&lt;=Einstellungen!$C$7,"unauffällig",IF(J197&lt;=Einstellungen!$C$8,"auffällig","kritisch")))</f>
        <v/>
      </c>
      <c r="M197" s="60">
        <f>IF(J197="",-1,J197+ROW()/1000000000)</f>
        <v/>
      </c>
    </row>
    <row r="198">
      <c r="A198" s="56">
        <f>IF(Mitarbeiter!B198="","",Mitarbeiter!A198)</f>
        <v/>
      </c>
      <c r="B198" s="57">
        <f>IF(Mitarbeiter!B198="","",Mitarbeiter!B198)</f>
        <v/>
      </c>
      <c r="C198" s="7">
        <f>IF(Mitarbeiter!B198="","",Mitarbeiter!G198)</f>
        <v/>
      </c>
      <c r="D198" s="54">
        <f>IF(B198="","",SUMIFS(Erfassung!$E$6:$E$5005,Erfassung!$B$6:$B$5005,A198,Erfassung!$A$6:$A$5005,"&gt;="&amp;DATE(Einstellungen!$C$3,1,1),Erfassung!$A$6:$A$5005,"&lt;"&amp;DATE(Einstellungen!$C$3+1,1,1)))</f>
        <v/>
      </c>
      <c r="E198" s="58">
        <f>IF(B198="","",IF(D198&gt;0,SUMIFS(Erfassung!$E$6:$E$5005,Erfassung!$B$6:$B$5005,A198,Erfassung!$D$6:$D$5005,Einstellungen!$C$4,Erfassung!$A$6:$A$5005,"&gt;="&amp;DATE(Einstellungen!$C$3,1,1),Erfassung!$A$6:$A$5005,"&lt;"&amp;DATE(Einstellungen!$C$3+1,1,1))/D198,""))</f>
        <v/>
      </c>
      <c r="F198" s="54">
        <f>IF(B198="","",SUMIFS(Erfassung!$G$6:$G$5005,Erfassung!$B$6:$B$5005,A198,Erfassung!$A$6:$A$5005,"&gt;="&amp;DATE(Einstellungen!$C$3,1,1),Erfassung!$A$6:$A$5005,"&lt;"&amp;DATE(Einstellungen!$C$3+1,1,1)))</f>
        <v/>
      </c>
      <c r="G198" s="54">
        <f>IF(B198="","",SUMIFS(Erfassung!$G$6:$G$5005,Erfassung!$B$6:$B$5005,A198,Erfassung!$D$6:$D$5005,Einstellungen!$C$4,Erfassung!$A$6:$A$5005,"&gt;="&amp;DATE(Einstellungen!$C$3,1,1),Erfassung!$A$6:$A$5005,"&lt;"&amp;DATE(Einstellungen!$C$3+1,1,1)))</f>
        <v/>
      </c>
      <c r="H198" s="54">
        <f>IF(B198="","",SUMIFS(Erfassung!$G$6:$G$5005,Erfassung!$B$6:$B$5005,A198,Erfassung!$D$6:$D$5005,Einstellungen!$C$5,Erfassung!$A$6:$A$5005,"&gt;="&amp;DATE(Einstellungen!$C$3,1,1),Erfassung!$A$6:$A$5005,"&lt;"&amp;DATE(Einstellungen!$C$3+1,1,1)))</f>
        <v/>
      </c>
      <c r="I198" s="34">
        <f>IF(B198="","",SUMIFS(Erfassung!$F$6:$F$5005,Erfassung!$B$6:$B$5005,A198,Erfassung!$A$6:$A$5005,"&gt;="&amp;DATE(Einstellungen!$C$3,1,1),Erfassung!$A$6:$A$5005,"&lt;"&amp;DATE(Einstellungen!$C$3+1,1,1)))</f>
        <v/>
      </c>
      <c r="J198" s="38">
        <f>IF(B198="","",IF(D198+F198&gt;0,F198/(D198+F198),""))</f>
        <v/>
      </c>
      <c r="K198" s="59">
        <f>IF(J198="","",RANK(J198,$J$6:$J$205,0))</f>
        <v/>
      </c>
      <c r="L198" s="29">
        <f>IF(J198="","",IF(J198&lt;=Einstellungen!$C$7,"unauffällig",IF(J198&lt;=Einstellungen!$C$8,"auffällig","kritisch")))</f>
        <v/>
      </c>
      <c r="M198" s="60">
        <f>IF(J198="",-1,J198+ROW()/1000000000)</f>
        <v/>
      </c>
    </row>
    <row r="199">
      <c r="A199" s="56">
        <f>IF(Mitarbeiter!B199="","",Mitarbeiter!A199)</f>
        <v/>
      </c>
      <c r="B199" s="57">
        <f>IF(Mitarbeiter!B199="","",Mitarbeiter!B199)</f>
        <v/>
      </c>
      <c r="C199" s="7">
        <f>IF(Mitarbeiter!B199="","",Mitarbeiter!G199)</f>
        <v/>
      </c>
      <c r="D199" s="54">
        <f>IF(B199="","",SUMIFS(Erfassung!$E$6:$E$5005,Erfassung!$B$6:$B$5005,A199,Erfassung!$A$6:$A$5005,"&gt;="&amp;DATE(Einstellungen!$C$3,1,1),Erfassung!$A$6:$A$5005,"&lt;"&amp;DATE(Einstellungen!$C$3+1,1,1)))</f>
        <v/>
      </c>
      <c r="E199" s="58">
        <f>IF(B199="","",IF(D199&gt;0,SUMIFS(Erfassung!$E$6:$E$5005,Erfassung!$B$6:$B$5005,A199,Erfassung!$D$6:$D$5005,Einstellungen!$C$4,Erfassung!$A$6:$A$5005,"&gt;="&amp;DATE(Einstellungen!$C$3,1,1),Erfassung!$A$6:$A$5005,"&lt;"&amp;DATE(Einstellungen!$C$3+1,1,1))/D199,""))</f>
        <v/>
      </c>
      <c r="F199" s="54">
        <f>IF(B199="","",SUMIFS(Erfassung!$G$6:$G$5005,Erfassung!$B$6:$B$5005,A199,Erfassung!$A$6:$A$5005,"&gt;="&amp;DATE(Einstellungen!$C$3,1,1),Erfassung!$A$6:$A$5005,"&lt;"&amp;DATE(Einstellungen!$C$3+1,1,1)))</f>
        <v/>
      </c>
      <c r="G199" s="54">
        <f>IF(B199="","",SUMIFS(Erfassung!$G$6:$G$5005,Erfassung!$B$6:$B$5005,A199,Erfassung!$D$6:$D$5005,Einstellungen!$C$4,Erfassung!$A$6:$A$5005,"&gt;="&amp;DATE(Einstellungen!$C$3,1,1),Erfassung!$A$6:$A$5005,"&lt;"&amp;DATE(Einstellungen!$C$3+1,1,1)))</f>
        <v/>
      </c>
      <c r="H199" s="54">
        <f>IF(B199="","",SUMIFS(Erfassung!$G$6:$G$5005,Erfassung!$B$6:$B$5005,A199,Erfassung!$D$6:$D$5005,Einstellungen!$C$5,Erfassung!$A$6:$A$5005,"&gt;="&amp;DATE(Einstellungen!$C$3,1,1),Erfassung!$A$6:$A$5005,"&lt;"&amp;DATE(Einstellungen!$C$3+1,1,1)))</f>
        <v/>
      </c>
      <c r="I199" s="34">
        <f>IF(B199="","",SUMIFS(Erfassung!$F$6:$F$5005,Erfassung!$B$6:$B$5005,A199,Erfassung!$A$6:$A$5005,"&gt;="&amp;DATE(Einstellungen!$C$3,1,1),Erfassung!$A$6:$A$5005,"&lt;"&amp;DATE(Einstellungen!$C$3+1,1,1)))</f>
        <v/>
      </c>
      <c r="J199" s="38">
        <f>IF(B199="","",IF(D199+F199&gt;0,F199/(D199+F199),""))</f>
        <v/>
      </c>
      <c r="K199" s="59">
        <f>IF(J199="","",RANK(J199,$J$6:$J$205,0))</f>
        <v/>
      </c>
      <c r="L199" s="29">
        <f>IF(J199="","",IF(J199&lt;=Einstellungen!$C$7,"unauffällig",IF(J199&lt;=Einstellungen!$C$8,"auffällig","kritisch")))</f>
        <v/>
      </c>
      <c r="M199" s="60">
        <f>IF(J199="",-1,J199+ROW()/1000000000)</f>
        <v/>
      </c>
    </row>
    <row r="200">
      <c r="A200" s="56">
        <f>IF(Mitarbeiter!B200="","",Mitarbeiter!A200)</f>
        <v/>
      </c>
      <c r="B200" s="57">
        <f>IF(Mitarbeiter!B200="","",Mitarbeiter!B200)</f>
        <v/>
      </c>
      <c r="C200" s="7">
        <f>IF(Mitarbeiter!B200="","",Mitarbeiter!G200)</f>
        <v/>
      </c>
      <c r="D200" s="54">
        <f>IF(B200="","",SUMIFS(Erfassung!$E$6:$E$5005,Erfassung!$B$6:$B$5005,A200,Erfassung!$A$6:$A$5005,"&gt;="&amp;DATE(Einstellungen!$C$3,1,1),Erfassung!$A$6:$A$5005,"&lt;"&amp;DATE(Einstellungen!$C$3+1,1,1)))</f>
        <v/>
      </c>
      <c r="E200" s="58">
        <f>IF(B200="","",IF(D200&gt;0,SUMIFS(Erfassung!$E$6:$E$5005,Erfassung!$B$6:$B$5005,A200,Erfassung!$D$6:$D$5005,Einstellungen!$C$4,Erfassung!$A$6:$A$5005,"&gt;="&amp;DATE(Einstellungen!$C$3,1,1),Erfassung!$A$6:$A$5005,"&lt;"&amp;DATE(Einstellungen!$C$3+1,1,1))/D200,""))</f>
        <v/>
      </c>
      <c r="F200" s="54">
        <f>IF(B200="","",SUMIFS(Erfassung!$G$6:$G$5005,Erfassung!$B$6:$B$5005,A200,Erfassung!$A$6:$A$5005,"&gt;="&amp;DATE(Einstellungen!$C$3,1,1),Erfassung!$A$6:$A$5005,"&lt;"&amp;DATE(Einstellungen!$C$3+1,1,1)))</f>
        <v/>
      </c>
      <c r="G200" s="54">
        <f>IF(B200="","",SUMIFS(Erfassung!$G$6:$G$5005,Erfassung!$B$6:$B$5005,A200,Erfassung!$D$6:$D$5005,Einstellungen!$C$4,Erfassung!$A$6:$A$5005,"&gt;="&amp;DATE(Einstellungen!$C$3,1,1),Erfassung!$A$6:$A$5005,"&lt;"&amp;DATE(Einstellungen!$C$3+1,1,1)))</f>
        <v/>
      </c>
      <c r="H200" s="54">
        <f>IF(B200="","",SUMIFS(Erfassung!$G$6:$G$5005,Erfassung!$B$6:$B$5005,A200,Erfassung!$D$6:$D$5005,Einstellungen!$C$5,Erfassung!$A$6:$A$5005,"&gt;="&amp;DATE(Einstellungen!$C$3,1,1),Erfassung!$A$6:$A$5005,"&lt;"&amp;DATE(Einstellungen!$C$3+1,1,1)))</f>
        <v/>
      </c>
      <c r="I200" s="34">
        <f>IF(B200="","",SUMIFS(Erfassung!$F$6:$F$5005,Erfassung!$B$6:$B$5005,A200,Erfassung!$A$6:$A$5005,"&gt;="&amp;DATE(Einstellungen!$C$3,1,1),Erfassung!$A$6:$A$5005,"&lt;"&amp;DATE(Einstellungen!$C$3+1,1,1)))</f>
        <v/>
      </c>
      <c r="J200" s="38">
        <f>IF(B200="","",IF(D200+F200&gt;0,F200/(D200+F200),""))</f>
        <v/>
      </c>
      <c r="K200" s="59">
        <f>IF(J200="","",RANK(J200,$J$6:$J$205,0))</f>
        <v/>
      </c>
      <c r="L200" s="29">
        <f>IF(J200="","",IF(J200&lt;=Einstellungen!$C$7,"unauffällig",IF(J200&lt;=Einstellungen!$C$8,"auffällig","kritisch")))</f>
        <v/>
      </c>
      <c r="M200" s="60">
        <f>IF(J200="",-1,J200+ROW()/1000000000)</f>
        <v/>
      </c>
    </row>
    <row r="201">
      <c r="A201" s="56">
        <f>IF(Mitarbeiter!B201="","",Mitarbeiter!A201)</f>
        <v/>
      </c>
      <c r="B201" s="57">
        <f>IF(Mitarbeiter!B201="","",Mitarbeiter!B201)</f>
        <v/>
      </c>
      <c r="C201" s="7">
        <f>IF(Mitarbeiter!B201="","",Mitarbeiter!G201)</f>
        <v/>
      </c>
      <c r="D201" s="54">
        <f>IF(B201="","",SUMIFS(Erfassung!$E$6:$E$5005,Erfassung!$B$6:$B$5005,A201,Erfassung!$A$6:$A$5005,"&gt;="&amp;DATE(Einstellungen!$C$3,1,1),Erfassung!$A$6:$A$5005,"&lt;"&amp;DATE(Einstellungen!$C$3+1,1,1)))</f>
        <v/>
      </c>
      <c r="E201" s="58">
        <f>IF(B201="","",IF(D201&gt;0,SUMIFS(Erfassung!$E$6:$E$5005,Erfassung!$B$6:$B$5005,A201,Erfassung!$D$6:$D$5005,Einstellungen!$C$4,Erfassung!$A$6:$A$5005,"&gt;="&amp;DATE(Einstellungen!$C$3,1,1),Erfassung!$A$6:$A$5005,"&lt;"&amp;DATE(Einstellungen!$C$3+1,1,1))/D201,""))</f>
        <v/>
      </c>
      <c r="F201" s="54">
        <f>IF(B201="","",SUMIFS(Erfassung!$G$6:$G$5005,Erfassung!$B$6:$B$5005,A201,Erfassung!$A$6:$A$5005,"&gt;="&amp;DATE(Einstellungen!$C$3,1,1),Erfassung!$A$6:$A$5005,"&lt;"&amp;DATE(Einstellungen!$C$3+1,1,1)))</f>
        <v/>
      </c>
      <c r="G201" s="54">
        <f>IF(B201="","",SUMIFS(Erfassung!$G$6:$G$5005,Erfassung!$B$6:$B$5005,A201,Erfassung!$D$6:$D$5005,Einstellungen!$C$4,Erfassung!$A$6:$A$5005,"&gt;="&amp;DATE(Einstellungen!$C$3,1,1),Erfassung!$A$6:$A$5005,"&lt;"&amp;DATE(Einstellungen!$C$3+1,1,1)))</f>
        <v/>
      </c>
      <c r="H201" s="54">
        <f>IF(B201="","",SUMIFS(Erfassung!$G$6:$G$5005,Erfassung!$B$6:$B$5005,A201,Erfassung!$D$6:$D$5005,Einstellungen!$C$5,Erfassung!$A$6:$A$5005,"&gt;="&amp;DATE(Einstellungen!$C$3,1,1),Erfassung!$A$6:$A$5005,"&lt;"&amp;DATE(Einstellungen!$C$3+1,1,1)))</f>
        <v/>
      </c>
      <c r="I201" s="34">
        <f>IF(B201="","",SUMIFS(Erfassung!$F$6:$F$5005,Erfassung!$B$6:$B$5005,A201,Erfassung!$A$6:$A$5005,"&gt;="&amp;DATE(Einstellungen!$C$3,1,1),Erfassung!$A$6:$A$5005,"&lt;"&amp;DATE(Einstellungen!$C$3+1,1,1)))</f>
        <v/>
      </c>
      <c r="J201" s="38">
        <f>IF(B201="","",IF(D201+F201&gt;0,F201/(D201+F201),""))</f>
        <v/>
      </c>
      <c r="K201" s="59">
        <f>IF(J201="","",RANK(J201,$J$6:$J$205,0))</f>
        <v/>
      </c>
      <c r="L201" s="29">
        <f>IF(J201="","",IF(J201&lt;=Einstellungen!$C$7,"unauffällig",IF(J201&lt;=Einstellungen!$C$8,"auffällig","kritisch")))</f>
        <v/>
      </c>
      <c r="M201" s="60">
        <f>IF(J201="",-1,J201+ROW()/1000000000)</f>
        <v/>
      </c>
    </row>
    <row r="202">
      <c r="A202" s="56">
        <f>IF(Mitarbeiter!B202="","",Mitarbeiter!A202)</f>
        <v/>
      </c>
      <c r="B202" s="57">
        <f>IF(Mitarbeiter!B202="","",Mitarbeiter!B202)</f>
        <v/>
      </c>
      <c r="C202" s="7">
        <f>IF(Mitarbeiter!B202="","",Mitarbeiter!G202)</f>
        <v/>
      </c>
      <c r="D202" s="54">
        <f>IF(B202="","",SUMIFS(Erfassung!$E$6:$E$5005,Erfassung!$B$6:$B$5005,A202,Erfassung!$A$6:$A$5005,"&gt;="&amp;DATE(Einstellungen!$C$3,1,1),Erfassung!$A$6:$A$5005,"&lt;"&amp;DATE(Einstellungen!$C$3+1,1,1)))</f>
        <v/>
      </c>
      <c r="E202" s="58">
        <f>IF(B202="","",IF(D202&gt;0,SUMIFS(Erfassung!$E$6:$E$5005,Erfassung!$B$6:$B$5005,A202,Erfassung!$D$6:$D$5005,Einstellungen!$C$4,Erfassung!$A$6:$A$5005,"&gt;="&amp;DATE(Einstellungen!$C$3,1,1),Erfassung!$A$6:$A$5005,"&lt;"&amp;DATE(Einstellungen!$C$3+1,1,1))/D202,""))</f>
        <v/>
      </c>
      <c r="F202" s="54">
        <f>IF(B202="","",SUMIFS(Erfassung!$G$6:$G$5005,Erfassung!$B$6:$B$5005,A202,Erfassung!$A$6:$A$5005,"&gt;="&amp;DATE(Einstellungen!$C$3,1,1),Erfassung!$A$6:$A$5005,"&lt;"&amp;DATE(Einstellungen!$C$3+1,1,1)))</f>
        <v/>
      </c>
      <c r="G202" s="54">
        <f>IF(B202="","",SUMIFS(Erfassung!$G$6:$G$5005,Erfassung!$B$6:$B$5005,A202,Erfassung!$D$6:$D$5005,Einstellungen!$C$4,Erfassung!$A$6:$A$5005,"&gt;="&amp;DATE(Einstellungen!$C$3,1,1),Erfassung!$A$6:$A$5005,"&lt;"&amp;DATE(Einstellungen!$C$3+1,1,1)))</f>
        <v/>
      </c>
      <c r="H202" s="54">
        <f>IF(B202="","",SUMIFS(Erfassung!$G$6:$G$5005,Erfassung!$B$6:$B$5005,A202,Erfassung!$D$6:$D$5005,Einstellungen!$C$5,Erfassung!$A$6:$A$5005,"&gt;="&amp;DATE(Einstellungen!$C$3,1,1),Erfassung!$A$6:$A$5005,"&lt;"&amp;DATE(Einstellungen!$C$3+1,1,1)))</f>
        <v/>
      </c>
      <c r="I202" s="34">
        <f>IF(B202="","",SUMIFS(Erfassung!$F$6:$F$5005,Erfassung!$B$6:$B$5005,A202,Erfassung!$A$6:$A$5005,"&gt;="&amp;DATE(Einstellungen!$C$3,1,1),Erfassung!$A$6:$A$5005,"&lt;"&amp;DATE(Einstellungen!$C$3+1,1,1)))</f>
        <v/>
      </c>
      <c r="J202" s="38">
        <f>IF(B202="","",IF(D202+F202&gt;0,F202/(D202+F202),""))</f>
        <v/>
      </c>
      <c r="K202" s="59">
        <f>IF(J202="","",RANK(J202,$J$6:$J$205,0))</f>
        <v/>
      </c>
      <c r="L202" s="29">
        <f>IF(J202="","",IF(J202&lt;=Einstellungen!$C$7,"unauffällig",IF(J202&lt;=Einstellungen!$C$8,"auffällig","kritisch")))</f>
        <v/>
      </c>
      <c r="M202" s="60">
        <f>IF(J202="",-1,J202+ROW()/1000000000)</f>
        <v/>
      </c>
    </row>
    <row r="203">
      <c r="A203" s="56">
        <f>IF(Mitarbeiter!B203="","",Mitarbeiter!A203)</f>
        <v/>
      </c>
      <c r="B203" s="57">
        <f>IF(Mitarbeiter!B203="","",Mitarbeiter!B203)</f>
        <v/>
      </c>
      <c r="C203" s="7">
        <f>IF(Mitarbeiter!B203="","",Mitarbeiter!G203)</f>
        <v/>
      </c>
      <c r="D203" s="54">
        <f>IF(B203="","",SUMIFS(Erfassung!$E$6:$E$5005,Erfassung!$B$6:$B$5005,A203,Erfassung!$A$6:$A$5005,"&gt;="&amp;DATE(Einstellungen!$C$3,1,1),Erfassung!$A$6:$A$5005,"&lt;"&amp;DATE(Einstellungen!$C$3+1,1,1)))</f>
        <v/>
      </c>
      <c r="E203" s="58">
        <f>IF(B203="","",IF(D203&gt;0,SUMIFS(Erfassung!$E$6:$E$5005,Erfassung!$B$6:$B$5005,A203,Erfassung!$D$6:$D$5005,Einstellungen!$C$4,Erfassung!$A$6:$A$5005,"&gt;="&amp;DATE(Einstellungen!$C$3,1,1),Erfassung!$A$6:$A$5005,"&lt;"&amp;DATE(Einstellungen!$C$3+1,1,1))/D203,""))</f>
        <v/>
      </c>
      <c r="F203" s="54">
        <f>IF(B203="","",SUMIFS(Erfassung!$G$6:$G$5005,Erfassung!$B$6:$B$5005,A203,Erfassung!$A$6:$A$5005,"&gt;="&amp;DATE(Einstellungen!$C$3,1,1),Erfassung!$A$6:$A$5005,"&lt;"&amp;DATE(Einstellungen!$C$3+1,1,1)))</f>
        <v/>
      </c>
      <c r="G203" s="54">
        <f>IF(B203="","",SUMIFS(Erfassung!$G$6:$G$5005,Erfassung!$B$6:$B$5005,A203,Erfassung!$D$6:$D$5005,Einstellungen!$C$4,Erfassung!$A$6:$A$5005,"&gt;="&amp;DATE(Einstellungen!$C$3,1,1),Erfassung!$A$6:$A$5005,"&lt;"&amp;DATE(Einstellungen!$C$3+1,1,1)))</f>
        <v/>
      </c>
      <c r="H203" s="54">
        <f>IF(B203="","",SUMIFS(Erfassung!$G$6:$G$5005,Erfassung!$B$6:$B$5005,A203,Erfassung!$D$6:$D$5005,Einstellungen!$C$5,Erfassung!$A$6:$A$5005,"&gt;="&amp;DATE(Einstellungen!$C$3,1,1),Erfassung!$A$6:$A$5005,"&lt;"&amp;DATE(Einstellungen!$C$3+1,1,1)))</f>
        <v/>
      </c>
      <c r="I203" s="34">
        <f>IF(B203="","",SUMIFS(Erfassung!$F$6:$F$5005,Erfassung!$B$6:$B$5005,A203,Erfassung!$A$6:$A$5005,"&gt;="&amp;DATE(Einstellungen!$C$3,1,1),Erfassung!$A$6:$A$5005,"&lt;"&amp;DATE(Einstellungen!$C$3+1,1,1)))</f>
        <v/>
      </c>
      <c r="J203" s="38">
        <f>IF(B203="","",IF(D203+F203&gt;0,F203/(D203+F203),""))</f>
        <v/>
      </c>
      <c r="K203" s="59">
        <f>IF(J203="","",RANK(J203,$J$6:$J$205,0))</f>
        <v/>
      </c>
      <c r="L203" s="29">
        <f>IF(J203="","",IF(J203&lt;=Einstellungen!$C$7,"unauffällig",IF(J203&lt;=Einstellungen!$C$8,"auffällig","kritisch")))</f>
        <v/>
      </c>
      <c r="M203" s="60">
        <f>IF(J203="",-1,J203+ROW()/1000000000)</f>
        <v/>
      </c>
    </row>
    <row r="204">
      <c r="A204" s="56">
        <f>IF(Mitarbeiter!B204="","",Mitarbeiter!A204)</f>
        <v/>
      </c>
      <c r="B204" s="57">
        <f>IF(Mitarbeiter!B204="","",Mitarbeiter!B204)</f>
        <v/>
      </c>
      <c r="C204" s="7">
        <f>IF(Mitarbeiter!B204="","",Mitarbeiter!G204)</f>
        <v/>
      </c>
      <c r="D204" s="54">
        <f>IF(B204="","",SUMIFS(Erfassung!$E$6:$E$5005,Erfassung!$B$6:$B$5005,A204,Erfassung!$A$6:$A$5005,"&gt;="&amp;DATE(Einstellungen!$C$3,1,1),Erfassung!$A$6:$A$5005,"&lt;"&amp;DATE(Einstellungen!$C$3+1,1,1)))</f>
        <v/>
      </c>
      <c r="E204" s="58">
        <f>IF(B204="","",IF(D204&gt;0,SUMIFS(Erfassung!$E$6:$E$5005,Erfassung!$B$6:$B$5005,A204,Erfassung!$D$6:$D$5005,Einstellungen!$C$4,Erfassung!$A$6:$A$5005,"&gt;="&amp;DATE(Einstellungen!$C$3,1,1),Erfassung!$A$6:$A$5005,"&lt;"&amp;DATE(Einstellungen!$C$3+1,1,1))/D204,""))</f>
        <v/>
      </c>
      <c r="F204" s="54">
        <f>IF(B204="","",SUMIFS(Erfassung!$G$6:$G$5005,Erfassung!$B$6:$B$5005,A204,Erfassung!$A$6:$A$5005,"&gt;="&amp;DATE(Einstellungen!$C$3,1,1),Erfassung!$A$6:$A$5005,"&lt;"&amp;DATE(Einstellungen!$C$3+1,1,1)))</f>
        <v/>
      </c>
      <c r="G204" s="54">
        <f>IF(B204="","",SUMIFS(Erfassung!$G$6:$G$5005,Erfassung!$B$6:$B$5005,A204,Erfassung!$D$6:$D$5005,Einstellungen!$C$4,Erfassung!$A$6:$A$5005,"&gt;="&amp;DATE(Einstellungen!$C$3,1,1),Erfassung!$A$6:$A$5005,"&lt;"&amp;DATE(Einstellungen!$C$3+1,1,1)))</f>
        <v/>
      </c>
      <c r="H204" s="54">
        <f>IF(B204="","",SUMIFS(Erfassung!$G$6:$G$5005,Erfassung!$B$6:$B$5005,A204,Erfassung!$D$6:$D$5005,Einstellungen!$C$5,Erfassung!$A$6:$A$5005,"&gt;="&amp;DATE(Einstellungen!$C$3,1,1),Erfassung!$A$6:$A$5005,"&lt;"&amp;DATE(Einstellungen!$C$3+1,1,1)))</f>
        <v/>
      </c>
      <c r="I204" s="34">
        <f>IF(B204="","",SUMIFS(Erfassung!$F$6:$F$5005,Erfassung!$B$6:$B$5005,A204,Erfassung!$A$6:$A$5005,"&gt;="&amp;DATE(Einstellungen!$C$3,1,1),Erfassung!$A$6:$A$5005,"&lt;"&amp;DATE(Einstellungen!$C$3+1,1,1)))</f>
        <v/>
      </c>
      <c r="J204" s="38">
        <f>IF(B204="","",IF(D204+F204&gt;0,F204/(D204+F204),""))</f>
        <v/>
      </c>
      <c r="K204" s="59">
        <f>IF(J204="","",RANK(J204,$J$6:$J$205,0))</f>
        <v/>
      </c>
      <c r="L204" s="29">
        <f>IF(J204="","",IF(J204&lt;=Einstellungen!$C$7,"unauffällig",IF(J204&lt;=Einstellungen!$C$8,"auffällig","kritisch")))</f>
        <v/>
      </c>
      <c r="M204" s="60">
        <f>IF(J204="",-1,J204+ROW()/1000000000)</f>
        <v/>
      </c>
    </row>
    <row r="205">
      <c r="A205" s="56">
        <f>IF(Mitarbeiter!B205="","",Mitarbeiter!A205)</f>
        <v/>
      </c>
      <c r="B205" s="57">
        <f>IF(Mitarbeiter!B205="","",Mitarbeiter!B205)</f>
        <v/>
      </c>
      <c r="C205" s="7">
        <f>IF(Mitarbeiter!B205="","",Mitarbeiter!G205)</f>
        <v/>
      </c>
      <c r="D205" s="54">
        <f>IF(B205="","",SUMIFS(Erfassung!$E$6:$E$5005,Erfassung!$B$6:$B$5005,A205,Erfassung!$A$6:$A$5005,"&gt;="&amp;DATE(Einstellungen!$C$3,1,1),Erfassung!$A$6:$A$5005,"&lt;"&amp;DATE(Einstellungen!$C$3+1,1,1)))</f>
        <v/>
      </c>
      <c r="E205" s="58">
        <f>IF(B205="","",IF(D205&gt;0,SUMIFS(Erfassung!$E$6:$E$5005,Erfassung!$B$6:$B$5005,A205,Erfassung!$D$6:$D$5005,Einstellungen!$C$4,Erfassung!$A$6:$A$5005,"&gt;="&amp;DATE(Einstellungen!$C$3,1,1),Erfassung!$A$6:$A$5005,"&lt;"&amp;DATE(Einstellungen!$C$3+1,1,1))/D205,""))</f>
        <v/>
      </c>
      <c r="F205" s="54">
        <f>IF(B205="","",SUMIFS(Erfassung!$G$6:$G$5005,Erfassung!$B$6:$B$5005,A205,Erfassung!$A$6:$A$5005,"&gt;="&amp;DATE(Einstellungen!$C$3,1,1),Erfassung!$A$6:$A$5005,"&lt;"&amp;DATE(Einstellungen!$C$3+1,1,1)))</f>
        <v/>
      </c>
      <c r="G205" s="54">
        <f>IF(B205="","",SUMIFS(Erfassung!$G$6:$G$5005,Erfassung!$B$6:$B$5005,A205,Erfassung!$D$6:$D$5005,Einstellungen!$C$4,Erfassung!$A$6:$A$5005,"&gt;="&amp;DATE(Einstellungen!$C$3,1,1),Erfassung!$A$6:$A$5005,"&lt;"&amp;DATE(Einstellungen!$C$3+1,1,1)))</f>
        <v/>
      </c>
      <c r="H205" s="54">
        <f>IF(B205="","",SUMIFS(Erfassung!$G$6:$G$5005,Erfassung!$B$6:$B$5005,A205,Erfassung!$D$6:$D$5005,Einstellungen!$C$5,Erfassung!$A$6:$A$5005,"&gt;="&amp;DATE(Einstellungen!$C$3,1,1),Erfassung!$A$6:$A$5005,"&lt;"&amp;DATE(Einstellungen!$C$3+1,1,1)))</f>
        <v/>
      </c>
      <c r="I205" s="34">
        <f>IF(B205="","",SUMIFS(Erfassung!$F$6:$F$5005,Erfassung!$B$6:$B$5005,A205,Erfassung!$A$6:$A$5005,"&gt;="&amp;DATE(Einstellungen!$C$3,1,1),Erfassung!$A$6:$A$5005,"&lt;"&amp;DATE(Einstellungen!$C$3+1,1,1)))</f>
        <v/>
      </c>
      <c r="J205" s="38">
        <f>IF(B205="","",IF(D205+F205&gt;0,F205/(D205+F205),""))</f>
        <v/>
      </c>
      <c r="K205" s="59">
        <f>IF(J205="","",RANK(J205,$J$6:$J$205,0))</f>
        <v/>
      </c>
      <c r="L205" s="29">
        <f>IF(J205="","",IF(J205&lt;=Einstellungen!$C$7,"unauffällig",IF(J205&lt;=Einstellungen!$C$8,"auffällig","kritisch")))</f>
        <v/>
      </c>
      <c r="M205" s="60">
        <f>IF(J205="",-1,J205+ROW()/1000000000)</f>
        <v/>
      </c>
    </row>
  </sheetData>
  <mergeCells count="1">
    <mergeCell ref="A2:M2"/>
  </mergeCells>
  <conditionalFormatting sqref="L6:L205">
    <cfRule type="cellIs" priority="1" operator="equal" dxfId="5">
      <formula>"unauffällig"</formula>
    </cfRule>
    <cfRule type="cellIs" priority="2" operator="equal" dxfId="6">
      <formula>"auffällig"</formula>
    </cfRule>
    <cfRule type="cellIs" priority="3" operator="equal" dxfId="3">
      <formula>"kritisch"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11" customWidth="1" min="7" max="7"/>
    <col width="12" customWidth="1" min="8" max="8"/>
    <col width="11" customWidth="1" min="9" max="9"/>
    <col width="10" customWidth="1" min="10" max="10"/>
  </cols>
  <sheetData>
    <row r="1">
      <c r="A1" s="1" t="inlineStr">
        <is>
          <t>Auswertung der Objekte – Auswertungsjahr</t>
        </is>
      </c>
      <c r="N1" s="12" t="inlineStr">
        <is>
          <t>→ Erklärung</t>
        </is>
      </c>
    </row>
    <row r="2" ht="28" customHeight="1">
      <c r="A2" s="13" t="inlineStr">
        <is>
          <t>Jahreswerte aus „Krankenquote Objekte“ (Zeile Jahr).</t>
        </is>
      </c>
    </row>
    <row r="4" ht="30" customHeight="1">
      <c r="A4" s="20" t="inlineStr">
        <is>
          <t>Objekt</t>
        </is>
      </c>
      <c r="B4" s="20" t="inlineStr">
        <is>
          <t>Geleistete
Std.</t>
        </is>
      </c>
      <c r="C4" s="20" t="inlineStr">
        <is>
          <t>Krank-
stunden</t>
        </is>
      </c>
      <c r="D4" s="20" t="inlineStr">
        <is>
          <t>Kranken-
quote</t>
        </is>
      </c>
      <c r="E4" s="20" t="inlineStr">
        <is>
          <t>Anteil
Krankstd.</t>
        </is>
      </c>
      <c r="F4" s="20" t="inlineStr">
        <is>
          <t>Krank-
tage</t>
        </is>
      </c>
      <c r="G4" s="20" t="inlineStr">
        <is>
          <t>Eingesetzte
MA</t>
        </is>
      </c>
      <c r="H4" s="20" t="inlineStr">
        <is>
          <t>Ø Krankstd.
je eing. MA</t>
        </is>
      </c>
      <c r="I4" s="20" t="inlineStr">
        <is>
          <t>Abw. zur
Gesamtquote</t>
        </is>
      </c>
      <c r="J4" s="20" t="inlineStr">
        <is>
          <t>Ausfall
VZ-Stellen</t>
        </is>
      </c>
    </row>
    <row r="5">
      <c r="A5" s="48">
        <f>Einstellungen!$C$4</f>
        <v/>
      </c>
      <c r="B5" s="61">
        <f>'Krankenquote Objekte'!B18</f>
        <v/>
      </c>
      <c r="C5" s="61">
        <f>'Krankenquote Objekte'!C18</f>
        <v/>
      </c>
      <c r="D5" s="38">
        <f>IF(B5+C5&gt;0,C5/(B5+C5),0)</f>
        <v/>
      </c>
      <c r="E5" s="62">
        <f>IF($C$7&gt;0,C5/$C$7,0)</f>
        <v/>
      </c>
      <c r="F5" s="61">
        <f>'Krankenquote Objekte'!E18</f>
        <v/>
      </c>
      <c r="G5" s="61">
        <f>'Krankenquote Objekte'!F18</f>
        <v/>
      </c>
      <c r="H5" s="54">
        <f>IF(G5&gt;0,C5/G5,0)</f>
        <v/>
      </c>
      <c r="I5" s="63">
        <f>D5-$D$7</f>
        <v/>
      </c>
      <c r="J5" s="28">
        <f>IF(Einstellungen!$C$6*Einstellungen!$C$24&gt;0,C5/(Einstellungen!$C$6/5*Einstellungen!$C$24),0)</f>
        <v/>
      </c>
    </row>
    <row r="6">
      <c r="A6" s="50">
        <f>Einstellungen!$C$5</f>
        <v/>
      </c>
      <c r="B6" s="61">
        <f>'Krankenquote Objekte'!G18</f>
        <v/>
      </c>
      <c r="C6" s="61">
        <f>'Krankenquote Objekte'!H18</f>
        <v/>
      </c>
      <c r="D6" s="38">
        <f>IF(B6+C6&gt;0,C6/(B6+C6),0)</f>
        <v/>
      </c>
      <c r="E6" s="62">
        <f>IF($C$7&gt;0,C6/$C$7,0)</f>
        <v/>
      </c>
      <c r="F6" s="61">
        <f>'Krankenquote Objekte'!J18</f>
        <v/>
      </c>
      <c r="G6" s="61">
        <f>'Krankenquote Objekte'!K18</f>
        <v/>
      </c>
      <c r="H6" s="54">
        <f>IF(G6&gt;0,C6/G6,0)</f>
        <v/>
      </c>
      <c r="I6" s="63">
        <f>D6-$D$7</f>
        <v/>
      </c>
      <c r="J6" s="28">
        <f>IF(Einstellungen!$C$6*Einstellungen!$C$24&gt;0,C6/(Einstellungen!$C$6/5*Einstellungen!$C$24),0)</f>
        <v/>
      </c>
    </row>
    <row r="7">
      <c r="A7" s="46" t="inlineStr">
        <is>
          <t>Gesamt</t>
        </is>
      </c>
      <c r="B7" s="64">
        <f>SUM(B5:B6)</f>
        <v/>
      </c>
      <c r="C7" s="64">
        <f>SUM(C5:C6)</f>
        <v/>
      </c>
      <c r="D7" s="65">
        <f>IF(B7+C7&gt;0,C7/(B7+C7),0)</f>
        <v/>
      </c>
      <c r="E7" s="65">
        <f>SUM(E5:E6)</f>
        <v/>
      </c>
      <c r="F7" s="64">
        <f>SUM(F5:F6)</f>
        <v/>
      </c>
      <c r="G7" s="64">
        <f>'Krankenquote Objekte'!P18</f>
        <v/>
      </c>
      <c r="H7" s="66">
        <f>IF(G7&gt;0,C7/G7,0)</f>
        <v/>
      </c>
      <c r="I7" s="46" t="n"/>
      <c r="J7" s="67">
        <f>SUM(J5:J6)</f>
        <v/>
      </c>
    </row>
    <row r="8">
      <c r="A8" s="16" t="inlineStr">
        <is>
          <t>Eingesetzte MA gesamt zählt jede Person einmal – Springer erscheinen in beiden Objekten, daher ist die Summe der Objekte größer. Ausfall VZ-Stellen = Krankstunden ÷ Jahres-Sollstunden einer Vollzeitkraft.</t>
        </is>
      </c>
    </row>
    <row r="10">
      <c r="A10" s="68" t="inlineStr">
        <is>
          <t>Objekt mit höchster Quote:</t>
        </is>
      </c>
      <c r="D10" s="68">
        <f>IF(D5&gt;=D6,A5,A6)</f>
        <v/>
      </c>
    </row>
  </sheetData>
  <mergeCells count="1">
    <mergeCell ref="A2:J2"/>
  </mergeCells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20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</cols>
  <sheetData>
    <row r="1">
      <c r="A1" s="1" t="inlineStr">
        <is>
          <t>Stundenauswertung je Mitarbeiter und Monat (alle Objekte)</t>
        </is>
      </c>
      <c r="N1" s="12" t="inlineStr">
        <is>
          <t>→ Erklärung</t>
        </is>
      </c>
    </row>
    <row r="2" ht="28" customHeight="1">
      <c r="A2" s="13" t="inlineStr">
        <is>
          <t>Automatisch aus „Erfassung“. Links geleistete Stunden, rechts Krankstunden je Monat.</t>
        </is>
      </c>
    </row>
    <row r="4">
      <c r="C4" s="47" t="inlineStr">
        <is>
          <t>Geleistete Stunden</t>
        </is>
      </c>
      <c r="P4" s="69" t="inlineStr">
        <is>
          <t>Krankstunden</t>
        </is>
      </c>
    </row>
    <row r="5" ht="30" customHeight="1">
      <c r="A5" s="20" t="inlineStr">
        <is>
          <t>Pers.-Nr.</t>
        </is>
      </c>
      <c r="B5" s="20" t="inlineStr">
        <is>
          <t>Name</t>
        </is>
      </c>
      <c r="C5" s="20" t="inlineStr">
        <is>
          <t>Jan</t>
        </is>
      </c>
      <c r="D5" s="20" t="inlineStr">
        <is>
          <t>Feb</t>
        </is>
      </c>
      <c r="E5" s="20" t="inlineStr">
        <is>
          <t>Mär</t>
        </is>
      </c>
      <c r="F5" s="20" t="inlineStr">
        <is>
          <t>Apr</t>
        </is>
      </c>
      <c r="G5" s="20" t="inlineStr">
        <is>
          <t>Mai</t>
        </is>
      </c>
      <c r="H5" s="20" t="inlineStr">
        <is>
          <t>Jun</t>
        </is>
      </c>
      <c r="I5" s="20" t="inlineStr">
        <is>
          <t>Jul</t>
        </is>
      </c>
      <c r="J5" s="20" t="inlineStr">
        <is>
          <t>Aug</t>
        </is>
      </c>
      <c r="K5" s="20" t="inlineStr">
        <is>
          <t>Sep</t>
        </is>
      </c>
      <c r="L5" s="20" t="inlineStr">
        <is>
          <t>Okt</t>
        </is>
      </c>
      <c r="M5" s="20" t="inlineStr">
        <is>
          <t>Nov</t>
        </is>
      </c>
      <c r="N5" s="20" t="inlineStr">
        <is>
          <t>Dez</t>
        </is>
      </c>
      <c r="O5" s="20" t="inlineStr">
        <is>
          <t>Summe</t>
        </is>
      </c>
      <c r="P5" s="20" t="inlineStr">
        <is>
          <t>Jan</t>
        </is>
      </c>
      <c r="Q5" s="20" t="inlineStr">
        <is>
          <t>Feb</t>
        </is>
      </c>
      <c r="R5" s="20" t="inlineStr">
        <is>
          <t>Mär</t>
        </is>
      </c>
      <c r="S5" s="20" t="inlineStr">
        <is>
          <t>Apr</t>
        </is>
      </c>
      <c r="T5" s="20" t="inlineStr">
        <is>
          <t>Mai</t>
        </is>
      </c>
      <c r="U5" s="20" t="inlineStr">
        <is>
          <t>Jun</t>
        </is>
      </c>
      <c r="V5" s="20" t="inlineStr">
        <is>
          <t>Jul</t>
        </is>
      </c>
      <c r="W5" s="20" t="inlineStr">
        <is>
          <t>Aug</t>
        </is>
      </c>
      <c r="X5" s="20" t="inlineStr">
        <is>
          <t>Sep</t>
        </is>
      </c>
      <c r="Y5" s="20" t="inlineStr">
        <is>
          <t>Okt</t>
        </is>
      </c>
      <c r="Z5" s="20" t="inlineStr">
        <is>
          <t>Nov</t>
        </is>
      </c>
      <c r="AA5" s="20" t="inlineStr">
        <is>
          <t>Dez</t>
        </is>
      </c>
      <c r="AB5" s="20" t="inlineStr">
        <is>
          <t>Summe</t>
        </is>
      </c>
      <c r="AC5" s="20" t="inlineStr">
        <is>
          <t>Quote</t>
        </is>
      </c>
    </row>
    <row r="6">
      <c r="A6" s="56">
        <f>'KQuote Mitarbeiter'!A6</f>
        <v/>
      </c>
      <c r="B6" s="57">
        <f>'KQuote Mitarbeiter'!B6</f>
        <v/>
      </c>
      <c r="C6" s="54">
        <f>IF($B6="","",SUMIFS(Erfassung!$E$6:$E$5005,Erfassung!$B$6:$B$5005,$A6,Erfassung!$A$6:$A$5005,"&gt;="&amp;DATE(Einstellungen!$C$3,1,1),Erfassung!$A$6:$A$5005,"&lt;"&amp;DATE(Einstellungen!$C$3,2,1)))</f>
        <v/>
      </c>
      <c r="D6" s="54">
        <f>IF($B6="","",SUMIFS(Erfassung!$E$6:$E$5005,Erfassung!$B$6:$B$5005,$A6,Erfassung!$A$6:$A$5005,"&gt;="&amp;DATE(Einstellungen!$C$3,2,1),Erfassung!$A$6:$A$5005,"&lt;"&amp;DATE(Einstellungen!$C$3,3,1)))</f>
        <v/>
      </c>
      <c r="E6" s="54">
        <f>IF($B6="","",SUMIFS(Erfassung!$E$6:$E$5005,Erfassung!$B$6:$B$5005,$A6,Erfassung!$A$6:$A$5005,"&gt;="&amp;DATE(Einstellungen!$C$3,3,1),Erfassung!$A$6:$A$5005,"&lt;"&amp;DATE(Einstellungen!$C$3,4,1)))</f>
        <v/>
      </c>
      <c r="F6" s="54">
        <f>IF($B6="","",SUMIFS(Erfassung!$E$6:$E$5005,Erfassung!$B$6:$B$5005,$A6,Erfassung!$A$6:$A$5005,"&gt;="&amp;DATE(Einstellungen!$C$3,4,1),Erfassung!$A$6:$A$5005,"&lt;"&amp;DATE(Einstellungen!$C$3,5,1)))</f>
        <v/>
      </c>
      <c r="G6" s="54">
        <f>IF($B6="","",SUMIFS(Erfassung!$E$6:$E$5005,Erfassung!$B$6:$B$5005,$A6,Erfassung!$A$6:$A$5005,"&gt;="&amp;DATE(Einstellungen!$C$3,5,1),Erfassung!$A$6:$A$5005,"&lt;"&amp;DATE(Einstellungen!$C$3,6,1)))</f>
        <v/>
      </c>
      <c r="H6" s="54">
        <f>IF($B6="","",SUMIFS(Erfassung!$E$6:$E$5005,Erfassung!$B$6:$B$5005,$A6,Erfassung!$A$6:$A$5005,"&gt;="&amp;DATE(Einstellungen!$C$3,6,1),Erfassung!$A$6:$A$5005,"&lt;"&amp;DATE(Einstellungen!$C$3,7,1)))</f>
        <v/>
      </c>
      <c r="I6" s="54">
        <f>IF($B6="","",SUMIFS(Erfassung!$E$6:$E$5005,Erfassung!$B$6:$B$5005,$A6,Erfassung!$A$6:$A$5005,"&gt;="&amp;DATE(Einstellungen!$C$3,7,1),Erfassung!$A$6:$A$5005,"&lt;"&amp;DATE(Einstellungen!$C$3,8,1)))</f>
        <v/>
      </c>
      <c r="J6" s="54">
        <f>IF($B6="","",SUMIFS(Erfassung!$E$6:$E$5005,Erfassung!$B$6:$B$5005,$A6,Erfassung!$A$6:$A$5005,"&gt;="&amp;DATE(Einstellungen!$C$3,8,1),Erfassung!$A$6:$A$5005,"&lt;"&amp;DATE(Einstellungen!$C$3,9,1)))</f>
        <v/>
      </c>
      <c r="K6" s="54">
        <f>IF($B6="","",SUMIFS(Erfassung!$E$6:$E$5005,Erfassung!$B$6:$B$5005,$A6,Erfassung!$A$6:$A$5005,"&gt;="&amp;DATE(Einstellungen!$C$3,9,1),Erfassung!$A$6:$A$5005,"&lt;"&amp;DATE(Einstellungen!$C$3,10,1)))</f>
        <v/>
      </c>
      <c r="L6" s="54">
        <f>IF($B6="","",SUMIFS(Erfassung!$E$6:$E$5005,Erfassung!$B$6:$B$5005,$A6,Erfassung!$A$6:$A$5005,"&gt;="&amp;DATE(Einstellungen!$C$3,10,1),Erfassung!$A$6:$A$5005,"&lt;"&amp;DATE(Einstellungen!$C$3,11,1)))</f>
        <v/>
      </c>
      <c r="M6" s="54">
        <f>IF($B6="","",SUMIFS(Erfassung!$E$6:$E$5005,Erfassung!$B$6:$B$5005,$A6,Erfassung!$A$6:$A$5005,"&gt;="&amp;DATE(Einstellungen!$C$3,11,1),Erfassung!$A$6:$A$5005,"&lt;"&amp;DATE(Einstellungen!$C$3,12,1)))</f>
        <v/>
      </c>
      <c r="N6" s="54">
        <f>IF($B6="","",SUMIFS(Erfassung!$E$6:$E$5005,Erfassung!$B$6:$B$5005,$A6,Erfassung!$A$6:$A$5005,"&gt;="&amp;DATE(Einstellungen!$C$3,12,1),Erfassung!$A$6:$A$5005,"&lt;"&amp;DATE(Einstellungen!$C$3,13,1)))</f>
        <v/>
      </c>
      <c r="O6" s="45">
        <f>IF($B6="","",SUM(C6:N6))</f>
        <v/>
      </c>
      <c r="P6" s="54">
        <f>IF($B6="","",SUMIFS(Erfassung!$G$6:$G$5005,Erfassung!$B$6:$B$5005,$A6,Erfassung!$A$6:$A$5005,"&gt;="&amp;DATE(Einstellungen!$C$3,1,1),Erfassung!$A$6:$A$5005,"&lt;"&amp;DATE(Einstellungen!$C$3,2,1)))</f>
        <v/>
      </c>
      <c r="Q6" s="54">
        <f>IF($B6="","",SUMIFS(Erfassung!$G$6:$G$5005,Erfassung!$B$6:$B$5005,$A6,Erfassung!$A$6:$A$5005,"&gt;="&amp;DATE(Einstellungen!$C$3,2,1),Erfassung!$A$6:$A$5005,"&lt;"&amp;DATE(Einstellungen!$C$3,3,1)))</f>
        <v/>
      </c>
      <c r="R6" s="54">
        <f>IF($B6="","",SUMIFS(Erfassung!$G$6:$G$5005,Erfassung!$B$6:$B$5005,$A6,Erfassung!$A$6:$A$5005,"&gt;="&amp;DATE(Einstellungen!$C$3,3,1),Erfassung!$A$6:$A$5005,"&lt;"&amp;DATE(Einstellungen!$C$3,4,1)))</f>
        <v/>
      </c>
      <c r="S6" s="54">
        <f>IF($B6="","",SUMIFS(Erfassung!$G$6:$G$5005,Erfassung!$B$6:$B$5005,$A6,Erfassung!$A$6:$A$5005,"&gt;="&amp;DATE(Einstellungen!$C$3,4,1),Erfassung!$A$6:$A$5005,"&lt;"&amp;DATE(Einstellungen!$C$3,5,1)))</f>
        <v/>
      </c>
      <c r="T6" s="54">
        <f>IF($B6="","",SUMIFS(Erfassung!$G$6:$G$5005,Erfassung!$B$6:$B$5005,$A6,Erfassung!$A$6:$A$5005,"&gt;="&amp;DATE(Einstellungen!$C$3,5,1),Erfassung!$A$6:$A$5005,"&lt;"&amp;DATE(Einstellungen!$C$3,6,1)))</f>
        <v/>
      </c>
      <c r="U6" s="54">
        <f>IF($B6="","",SUMIFS(Erfassung!$G$6:$G$5005,Erfassung!$B$6:$B$5005,$A6,Erfassung!$A$6:$A$5005,"&gt;="&amp;DATE(Einstellungen!$C$3,6,1),Erfassung!$A$6:$A$5005,"&lt;"&amp;DATE(Einstellungen!$C$3,7,1)))</f>
        <v/>
      </c>
      <c r="V6" s="54">
        <f>IF($B6="","",SUMIFS(Erfassung!$G$6:$G$5005,Erfassung!$B$6:$B$5005,$A6,Erfassung!$A$6:$A$5005,"&gt;="&amp;DATE(Einstellungen!$C$3,7,1),Erfassung!$A$6:$A$5005,"&lt;"&amp;DATE(Einstellungen!$C$3,8,1)))</f>
        <v/>
      </c>
      <c r="W6" s="54">
        <f>IF($B6="","",SUMIFS(Erfassung!$G$6:$G$5005,Erfassung!$B$6:$B$5005,$A6,Erfassung!$A$6:$A$5005,"&gt;="&amp;DATE(Einstellungen!$C$3,8,1),Erfassung!$A$6:$A$5005,"&lt;"&amp;DATE(Einstellungen!$C$3,9,1)))</f>
        <v/>
      </c>
      <c r="X6" s="54">
        <f>IF($B6="","",SUMIFS(Erfassung!$G$6:$G$5005,Erfassung!$B$6:$B$5005,$A6,Erfassung!$A$6:$A$5005,"&gt;="&amp;DATE(Einstellungen!$C$3,9,1),Erfassung!$A$6:$A$5005,"&lt;"&amp;DATE(Einstellungen!$C$3,10,1)))</f>
        <v/>
      </c>
      <c r="Y6" s="54">
        <f>IF($B6="","",SUMIFS(Erfassung!$G$6:$G$5005,Erfassung!$B$6:$B$5005,$A6,Erfassung!$A$6:$A$5005,"&gt;="&amp;DATE(Einstellungen!$C$3,10,1),Erfassung!$A$6:$A$5005,"&lt;"&amp;DATE(Einstellungen!$C$3,11,1)))</f>
        <v/>
      </c>
      <c r="Z6" s="54">
        <f>IF($B6="","",SUMIFS(Erfassung!$G$6:$G$5005,Erfassung!$B$6:$B$5005,$A6,Erfassung!$A$6:$A$5005,"&gt;="&amp;DATE(Einstellungen!$C$3,11,1),Erfassung!$A$6:$A$5005,"&lt;"&amp;DATE(Einstellungen!$C$3,12,1)))</f>
        <v/>
      </c>
      <c r="AA6" s="54">
        <f>IF($B6="","",SUMIFS(Erfassung!$G$6:$G$5005,Erfassung!$B$6:$B$5005,$A6,Erfassung!$A$6:$A$5005,"&gt;="&amp;DATE(Einstellungen!$C$3,12,1),Erfassung!$A$6:$A$5005,"&lt;"&amp;DATE(Einstellungen!$C$3,13,1)))</f>
        <v/>
      </c>
      <c r="AB6" s="45">
        <f>IF($B6="","",SUM(P6:AA6))</f>
        <v/>
      </c>
      <c r="AC6" s="38">
        <f>IF($B6="","",IF(O6+AB6&gt;0,AB6/(O6+AB6),""))</f>
        <v/>
      </c>
    </row>
    <row r="7">
      <c r="A7" s="56">
        <f>'KQuote Mitarbeiter'!A7</f>
        <v/>
      </c>
      <c r="B7" s="57">
        <f>'KQuote Mitarbeiter'!B7</f>
        <v/>
      </c>
      <c r="C7" s="54">
        <f>IF($B7="","",SUMIFS(Erfassung!$E$6:$E$5005,Erfassung!$B$6:$B$5005,$A7,Erfassung!$A$6:$A$5005,"&gt;="&amp;DATE(Einstellungen!$C$3,1,1),Erfassung!$A$6:$A$5005,"&lt;"&amp;DATE(Einstellungen!$C$3,2,1)))</f>
        <v/>
      </c>
      <c r="D7" s="54">
        <f>IF($B7="","",SUMIFS(Erfassung!$E$6:$E$5005,Erfassung!$B$6:$B$5005,$A7,Erfassung!$A$6:$A$5005,"&gt;="&amp;DATE(Einstellungen!$C$3,2,1),Erfassung!$A$6:$A$5005,"&lt;"&amp;DATE(Einstellungen!$C$3,3,1)))</f>
        <v/>
      </c>
      <c r="E7" s="54">
        <f>IF($B7="","",SUMIFS(Erfassung!$E$6:$E$5005,Erfassung!$B$6:$B$5005,$A7,Erfassung!$A$6:$A$5005,"&gt;="&amp;DATE(Einstellungen!$C$3,3,1),Erfassung!$A$6:$A$5005,"&lt;"&amp;DATE(Einstellungen!$C$3,4,1)))</f>
        <v/>
      </c>
      <c r="F7" s="54">
        <f>IF($B7="","",SUMIFS(Erfassung!$E$6:$E$5005,Erfassung!$B$6:$B$5005,$A7,Erfassung!$A$6:$A$5005,"&gt;="&amp;DATE(Einstellungen!$C$3,4,1),Erfassung!$A$6:$A$5005,"&lt;"&amp;DATE(Einstellungen!$C$3,5,1)))</f>
        <v/>
      </c>
      <c r="G7" s="54">
        <f>IF($B7="","",SUMIFS(Erfassung!$E$6:$E$5005,Erfassung!$B$6:$B$5005,$A7,Erfassung!$A$6:$A$5005,"&gt;="&amp;DATE(Einstellungen!$C$3,5,1),Erfassung!$A$6:$A$5005,"&lt;"&amp;DATE(Einstellungen!$C$3,6,1)))</f>
        <v/>
      </c>
      <c r="H7" s="54">
        <f>IF($B7="","",SUMIFS(Erfassung!$E$6:$E$5005,Erfassung!$B$6:$B$5005,$A7,Erfassung!$A$6:$A$5005,"&gt;="&amp;DATE(Einstellungen!$C$3,6,1),Erfassung!$A$6:$A$5005,"&lt;"&amp;DATE(Einstellungen!$C$3,7,1)))</f>
        <v/>
      </c>
      <c r="I7" s="54">
        <f>IF($B7="","",SUMIFS(Erfassung!$E$6:$E$5005,Erfassung!$B$6:$B$5005,$A7,Erfassung!$A$6:$A$5005,"&gt;="&amp;DATE(Einstellungen!$C$3,7,1),Erfassung!$A$6:$A$5005,"&lt;"&amp;DATE(Einstellungen!$C$3,8,1)))</f>
        <v/>
      </c>
      <c r="J7" s="54">
        <f>IF($B7="","",SUMIFS(Erfassung!$E$6:$E$5005,Erfassung!$B$6:$B$5005,$A7,Erfassung!$A$6:$A$5005,"&gt;="&amp;DATE(Einstellungen!$C$3,8,1),Erfassung!$A$6:$A$5005,"&lt;"&amp;DATE(Einstellungen!$C$3,9,1)))</f>
        <v/>
      </c>
      <c r="K7" s="54">
        <f>IF($B7="","",SUMIFS(Erfassung!$E$6:$E$5005,Erfassung!$B$6:$B$5005,$A7,Erfassung!$A$6:$A$5005,"&gt;="&amp;DATE(Einstellungen!$C$3,9,1),Erfassung!$A$6:$A$5005,"&lt;"&amp;DATE(Einstellungen!$C$3,10,1)))</f>
        <v/>
      </c>
      <c r="L7" s="54">
        <f>IF($B7="","",SUMIFS(Erfassung!$E$6:$E$5005,Erfassung!$B$6:$B$5005,$A7,Erfassung!$A$6:$A$5005,"&gt;="&amp;DATE(Einstellungen!$C$3,10,1),Erfassung!$A$6:$A$5005,"&lt;"&amp;DATE(Einstellungen!$C$3,11,1)))</f>
        <v/>
      </c>
      <c r="M7" s="54">
        <f>IF($B7="","",SUMIFS(Erfassung!$E$6:$E$5005,Erfassung!$B$6:$B$5005,$A7,Erfassung!$A$6:$A$5005,"&gt;="&amp;DATE(Einstellungen!$C$3,11,1),Erfassung!$A$6:$A$5005,"&lt;"&amp;DATE(Einstellungen!$C$3,12,1)))</f>
        <v/>
      </c>
      <c r="N7" s="54">
        <f>IF($B7="","",SUMIFS(Erfassung!$E$6:$E$5005,Erfassung!$B$6:$B$5005,$A7,Erfassung!$A$6:$A$5005,"&gt;="&amp;DATE(Einstellungen!$C$3,12,1),Erfassung!$A$6:$A$5005,"&lt;"&amp;DATE(Einstellungen!$C$3,13,1)))</f>
        <v/>
      </c>
      <c r="O7" s="45">
        <f>IF($B7="","",SUM(C7:N7))</f>
        <v/>
      </c>
      <c r="P7" s="54">
        <f>IF($B7="","",SUMIFS(Erfassung!$G$6:$G$5005,Erfassung!$B$6:$B$5005,$A7,Erfassung!$A$6:$A$5005,"&gt;="&amp;DATE(Einstellungen!$C$3,1,1),Erfassung!$A$6:$A$5005,"&lt;"&amp;DATE(Einstellungen!$C$3,2,1)))</f>
        <v/>
      </c>
      <c r="Q7" s="54">
        <f>IF($B7="","",SUMIFS(Erfassung!$G$6:$G$5005,Erfassung!$B$6:$B$5005,$A7,Erfassung!$A$6:$A$5005,"&gt;="&amp;DATE(Einstellungen!$C$3,2,1),Erfassung!$A$6:$A$5005,"&lt;"&amp;DATE(Einstellungen!$C$3,3,1)))</f>
        <v/>
      </c>
      <c r="R7" s="54">
        <f>IF($B7="","",SUMIFS(Erfassung!$G$6:$G$5005,Erfassung!$B$6:$B$5005,$A7,Erfassung!$A$6:$A$5005,"&gt;="&amp;DATE(Einstellungen!$C$3,3,1),Erfassung!$A$6:$A$5005,"&lt;"&amp;DATE(Einstellungen!$C$3,4,1)))</f>
        <v/>
      </c>
      <c r="S7" s="54">
        <f>IF($B7="","",SUMIFS(Erfassung!$G$6:$G$5005,Erfassung!$B$6:$B$5005,$A7,Erfassung!$A$6:$A$5005,"&gt;="&amp;DATE(Einstellungen!$C$3,4,1),Erfassung!$A$6:$A$5005,"&lt;"&amp;DATE(Einstellungen!$C$3,5,1)))</f>
        <v/>
      </c>
      <c r="T7" s="54">
        <f>IF($B7="","",SUMIFS(Erfassung!$G$6:$G$5005,Erfassung!$B$6:$B$5005,$A7,Erfassung!$A$6:$A$5005,"&gt;="&amp;DATE(Einstellungen!$C$3,5,1),Erfassung!$A$6:$A$5005,"&lt;"&amp;DATE(Einstellungen!$C$3,6,1)))</f>
        <v/>
      </c>
      <c r="U7" s="54">
        <f>IF($B7="","",SUMIFS(Erfassung!$G$6:$G$5005,Erfassung!$B$6:$B$5005,$A7,Erfassung!$A$6:$A$5005,"&gt;="&amp;DATE(Einstellungen!$C$3,6,1),Erfassung!$A$6:$A$5005,"&lt;"&amp;DATE(Einstellungen!$C$3,7,1)))</f>
        <v/>
      </c>
      <c r="V7" s="54">
        <f>IF($B7="","",SUMIFS(Erfassung!$G$6:$G$5005,Erfassung!$B$6:$B$5005,$A7,Erfassung!$A$6:$A$5005,"&gt;="&amp;DATE(Einstellungen!$C$3,7,1),Erfassung!$A$6:$A$5005,"&lt;"&amp;DATE(Einstellungen!$C$3,8,1)))</f>
        <v/>
      </c>
      <c r="W7" s="54">
        <f>IF($B7="","",SUMIFS(Erfassung!$G$6:$G$5005,Erfassung!$B$6:$B$5005,$A7,Erfassung!$A$6:$A$5005,"&gt;="&amp;DATE(Einstellungen!$C$3,8,1),Erfassung!$A$6:$A$5005,"&lt;"&amp;DATE(Einstellungen!$C$3,9,1)))</f>
        <v/>
      </c>
      <c r="X7" s="54">
        <f>IF($B7="","",SUMIFS(Erfassung!$G$6:$G$5005,Erfassung!$B$6:$B$5005,$A7,Erfassung!$A$6:$A$5005,"&gt;="&amp;DATE(Einstellungen!$C$3,9,1),Erfassung!$A$6:$A$5005,"&lt;"&amp;DATE(Einstellungen!$C$3,10,1)))</f>
        <v/>
      </c>
      <c r="Y7" s="54">
        <f>IF($B7="","",SUMIFS(Erfassung!$G$6:$G$5005,Erfassung!$B$6:$B$5005,$A7,Erfassung!$A$6:$A$5005,"&gt;="&amp;DATE(Einstellungen!$C$3,10,1),Erfassung!$A$6:$A$5005,"&lt;"&amp;DATE(Einstellungen!$C$3,11,1)))</f>
        <v/>
      </c>
      <c r="Z7" s="54">
        <f>IF($B7="","",SUMIFS(Erfassung!$G$6:$G$5005,Erfassung!$B$6:$B$5005,$A7,Erfassung!$A$6:$A$5005,"&gt;="&amp;DATE(Einstellungen!$C$3,11,1),Erfassung!$A$6:$A$5005,"&lt;"&amp;DATE(Einstellungen!$C$3,12,1)))</f>
        <v/>
      </c>
      <c r="AA7" s="54">
        <f>IF($B7="","",SUMIFS(Erfassung!$G$6:$G$5005,Erfassung!$B$6:$B$5005,$A7,Erfassung!$A$6:$A$5005,"&gt;="&amp;DATE(Einstellungen!$C$3,12,1),Erfassung!$A$6:$A$5005,"&lt;"&amp;DATE(Einstellungen!$C$3,13,1)))</f>
        <v/>
      </c>
      <c r="AB7" s="45">
        <f>IF($B7="","",SUM(P7:AA7))</f>
        <v/>
      </c>
      <c r="AC7" s="38">
        <f>IF($B7="","",IF(O7+AB7&gt;0,AB7/(O7+AB7),""))</f>
        <v/>
      </c>
    </row>
    <row r="8">
      <c r="A8" s="56">
        <f>'KQuote Mitarbeiter'!A8</f>
        <v/>
      </c>
      <c r="B8" s="57">
        <f>'KQuote Mitarbeiter'!B8</f>
        <v/>
      </c>
      <c r="C8" s="54">
        <f>IF($B8="","",SUMIFS(Erfassung!$E$6:$E$5005,Erfassung!$B$6:$B$5005,$A8,Erfassung!$A$6:$A$5005,"&gt;="&amp;DATE(Einstellungen!$C$3,1,1),Erfassung!$A$6:$A$5005,"&lt;"&amp;DATE(Einstellungen!$C$3,2,1)))</f>
        <v/>
      </c>
      <c r="D8" s="54">
        <f>IF($B8="","",SUMIFS(Erfassung!$E$6:$E$5005,Erfassung!$B$6:$B$5005,$A8,Erfassung!$A$6:$A$5005,"&gt;="&amp;DATE(Einstellungen!$C$3,2,1),Erfassung!$A$6:$A$5005,"&lt;"&amp;DATE(Einstellungen!$C$3,3,1)))</f>
        <v/>
      </c>
      <c r="E8" s="54">
        <f>IF($B8="","",SUMIFS(Erfassung!$E$6:$E$5005,Erfassung!$B$6:$B$5005,$A8,Erfassung!$A$6:$A$5005,"&gt;="&amp;DATE(Einstellungen!$C$3,3,1),Erfassung!$A$6:$A$5005,"&lt;"&amp;DATE(Einstellungen!$C$3,4,1)))</f>
        <v/>
      </c>
      <c r="F8" s="54">
        <f>IF($B8="","",SUMIFS(Erfassung!$E$6:$E$5005,Erfassung!$B$6:$B$5005,$A8,Erfassung!$A$6:$A$5005,"&gt;="&amp;DATE(Einstellungen!$C$3,4,1),Erfassung!$A$6:$A$5005,"&lt;"&amp;DATE(Einstellungen!$C$3,5,1)))</f>
        <v/>
      </c>
      <c r="G8" s="54">
        <f>IF($B8="","",SUMIFS(Erfassung!$E$6:$E$5005,Erfassung!$B$6:$B$5005,$A8,Erfassung!$A$6:$A$5005,"&gt;="&amp;DATE(Einstellungen!$C$3,5,1),Erfassung!$A$6:$A$5005,"&lt;"&amp;DATE(Einstellungen!$C$3,6,1)))</f>
        <v/>
      </c>
      <c r="H8" s="54">
        <f>IF($B8="","",SUMIFS(Erfassung!$E$6:$E$5005,Erfassung!$B$6:$B$5005,$A8,Erfassung!$A$6:$A$5005,"&gt;="&amp;DATE(Einstellungen!$C$3,6,1),Erfassung!$A$6:$A$5005,"&lt;"&amp;DATE(Einstellungen!$C$3,7,1)))</f>
        <v/>
      </c>
      <c r="I8" s="54">
        <f>IF($B8="","",SUMIFS(Erfassung!$E$6:$E$5005,Erfassung!$B$6:$B$5005,$A8,Erfassung!$A$6:$A$5005,"&gt;="&amp;DATE(Einstellungen!$C$3,7,1),Erfassung!$A$6:$A$5005,"&lt;"&amp;DATE(Einstellungen!$C$3,8,1)))</f>
        <v/>
      </c>
      <c r="J8" s="54">
        <f>IF($B8="","",SUMIFS(Erfassung!$E$6:$E$5005,Erfassung!$B$6:$B$5005,$A8,Erfassung!$A$6:$A$5005,"&gt;="&amp;DATE(Einstellungen!$C$3,8,1),Erfassung!$A$6:$A$5005,"&lt;"&amp;DATE(Einstellungen!$C$3,9,1)))</f>
        <v/>
      </c>
      <c r="K8" s="54">
        <f>IF($B8="","",SUMIFS(Erfassung!$E$6:$E$5005,Erfassung!$B$6:$B$5005,$A8,Erfassung!$A$6:$A$5005,"&gt;="&amp;DATE(Einstellungen!$C$3,9,1),Erfassung!$A$6:$A$5005,"&lt;"&amp;DATE(Einstellungen!$C$3,10,1)))</f>
        <v/>
      </c>
      <c r="L8" s="54">
        <f>IF($B8="","",SUMIFS(Erfassung!$E$6:$E$5005,Erfassung!$B$6:$B$5005,$A8,Erfassung!$A$6:$A$5005,"&gt;="&amp;DATE(Einstellungen!$C$3,10,1),Erfassung!$A$6:$A$5005,"&lt;"&amp;DATE(Einstellungen!$C$3,11,1)))</f>
        <v/>
      </c>
      <c r="M8" s="54">
        <f>IF($B8="","",SUMIFS(Erfassung!$E$6:$E$5005,Erfassung!$B$6:$B$5005,$A8,Erfassung!$A$6:$A$5005,"&gt;="&amp;DATE(Einstellungen!$C$3,11,1),Erfassung!$A$6:$A$5005,"&lt;"&amp;DATE(Einstellungen!$C$3,12,1)))</f>
        <v/>
      </c>
      <c r="N8" s="54">
        <f>IF($B8="","",SUMIFS(Erfassung!$E$6:$E$5005,Erfassung!$B$6:$B$5005,$A8,Erfassung!$A$6:$A$5005,"&gt;="&amp;DATE(Einstellungen!$C$3,12,1),Erfassung!$A$6:$A$5005,"&lt;"&amp;DATE(Einstellungen!$C$3,13,1)))</f>
        <v/>
      </c>
      <c r="O8" s="45">
        <f>IF($B8="","",SUM(C8:N8))</f>
        <v/>
      </c>
      <c r="P8" s="54">
        <f>IF($B8="","",SUMIFS(Erfassung!$G$6:$G$5005,Erfassung!$B$6:$B$5005,$A8,Erfassung!$A$6:$A$5005,"&gt;="&amp;DATE(Einstellungen!$C$3,1,1),Erfassung!$A$6:$A$5005,"&lt;"&amp;DATE(Einstellungen!$C$3,2,1)))</f>
        <v/>
      </c>
      <c r="Q8" s="54">
        <f>IF($B8="","",SUMIFS(Erfassung!$G$6:$G$5005,Erfassung!$B$6:$B$5005,$A8,Erfassung!$A$6:$A$5005,"&gt;="&amp;DATE(Einstellungen!$C$3,2,1),Erfassung!$A$6:$A$5005,"&lt;"&amp;DATE(Einstellungen!$C$3,3,1)))</f>
        <v/>
      </c>
      <c r="R8" s="54">
        <f>IF($B8="","",SUMIFS(Erfassung!$G$6:$G$5005,Erfassung!$B$6:$B$5005,$A8,Erfassung!$A$6:$A$5005,"&gt;="&amp;DATE(Einstellungen!$C$3,3,1),Erfassung!$A$6:$A$5005,"&lt;"&amp;DATE(Einstellungen!$C$3,4,1)))</f>
        <v/>
      </c>
      <c r="S8" s="54">
        <f>IF($B8="","",SUMIFS(Erfassung!$G$6:$G$5005,Erfassung!$B$6:$B$5005,$A8,Erfassung!$A$6:$A$5005,"&gt;="&amp;DATE(Einstellungen!$C$3,4,1),Erfassung!$A$6:$A$5005,"&lt;"&amp;DATE(Einstellungen!$C$3,5,1)))</f>
        <v/>
      </c>
      <c r="T8" s="54">
        <f>IF($B8="","",SUMIFS(Erfassung!$G$6:$G$5005,Erfassung!$B$6:$B$5005,$A8,Erfassung!$A$6:$A$5005,"&gt;="&amp;DATE(Einstellungen!$C$3,5,1),Erfassung!$A$6:$A$5005,"&lt;"&amp;DATE(Einstellungen!$C$3,6,1)))</f>
        <v/>
      </c>
      <c r="U8" s="54">
        <f>IF($B8="","",SUMIFS(Erfassung!$G$6:$G$5005,Erfassung!$B$6:$B$5005,$A8,Erfassung!$A$6:$A$5005,"&gt;="&amp;DATE(Einstellungen!$C$3,6,1),Erfassung!$A$6:$A$5005,"&lt;"&amp;DATE(Einstellungen!$C$3,7,1)))</f>
        <v/>
      </c>
      <c r="V8" s="54">
        <f>IF($B8="","",SUMIFS(Erfassung!$G$6:$G$5005,Erfassung!$B$6:$B$5005,$A8,Erfassung!$A$6:$A$5005,"&gt;="&amp;DATE(Einstellungen!$C$3,7,1),Erfassung!$A$6:$A$5005,"&lt;"&amp;DATE(Einstellungen!$C$3,8,1)))</f>
        <v/>
      </c>
      <c r="W8" s="54">
        <f>IF($B8="","",SUMIFS(Erfassung!$G$6:$G$5005,Erfassung!$B$6:$B$5005,$A8,Erfassung!$A$6:$A$5005,"&gt;="&amp;DATE(Einstellungen!$C$3,8,1),Erfassung!$A$6:$A$5005,"&lt;"&amp;DATE(Einstellungen!$C$3,9,1)))</f>
        <v/>
      </c>
      <c r="X8" s="54">
        <f>IF($B8="","",SUMIFS(Erfassung!$G$6:$G$5005,Erfassung!$B$6:$B$5005,$A8,Erfassung!$A$6:$A$5005,"&gt;="&amp;DATE(Einstellungen!$C$3,9,1),Erfassung!$A$6:$A$5005,"&lt;"&amp;DATE(Einstellungen!$C$3,10,1)))</f>
        <v/>
      </c>
      <c r="Y8" s="54">
        <f>IF($B8="","",SUMIFS(Erfassung!$G$6:$G$5005,Erfassung!$B$6:$B$5005,$A8,Erfassung!$A$6:$A$5005,"&gt;="&amp;DATE(Einstellungen!$C$3,10,1),Erfassung!$A$6:$A$5005,"&lt;"&amp;DATE(Einstellungen!$C$3,11,1)))</f>
        <v/>
      </c>
      <c r="Z8" s="54">
        <f>IF($B8="","",SUMIFS(Erfassung!$G$6:$G$5005,Erfassung!$B$6:$B$5005,$A8,Erfassung!$A$6:$A$5005,"&gt;="&amp;DATE(Einstellungen!$C$3,11,1),Erfassung!$A$6:$A$5005,"&lt;"&amp;DATE(Einstellungen!$C$3,12,1)))</f>
        <v/>
      </c>
      <c r="AA8" s="54">
        <f>IF($B8="","",SUMIFS(Erfassung!$G$6:$G$5005,Erfassung!$B$6:$B$5005,$A8,Erfassung!$A$6:$A$5005,"&gt;="&amp;DATE(Einstellungen!$C$3,12,1),Erfassung!$A$6:$A$5005,"&lt;"&amp;DATE(Einstellungen!$C$3,13,1)))</f>
        <v/>
      </c>
      <c r="AB8" s="45">
        <f>IF($B8="","",SUM(P8:AA8))</f>
        <v/>
      </c>
      <c r="AC8" s="38">
        <f>IF($B8="","",IF(O8+AB8&gt;0,AB8/(O8+AB8),""))</f>
        <v/>
      </c>
    </row>
    <row r="9">
      <c r="A9" s="56">
        <f>'KQuote Mitarbeiter'!A9</f>
        <v/>
      </c>
      <c r="B9" s="57">
        <f>'KQuote Mitarbeiter'!B9</f>
        <v/>
      </c>
      <c r="C9" s="54">
        <f>IF($B9="","",SUMIFS(Erfassung!$E$6:$E$5005,Erfassung!$B$6:$B$5005,$A9,Erfassung!$A$6:$A$5005,"&gt;="&amp;DATE(Einstellungen!$C$3,1,1),Erfassung!$A$6:$A$5005,"&lt;"&amp;DATE(Einstellungen!$C$3,2,1)))</f>
        <v/>
      </c>
      <c r="D9" s="54">
        <f>IF($B9="","",SUMIFS(Erfassung!$E$6:$E$5005,Erfassung!$B$6:$B$5005,$A9,Erfassung!$A$6:$A$5005,"&gt;="&amp;DATE(Einstellungen!$C$3,2,1),Erfassung!$A$6:$A$5005,"&lt;"&amp;DATE(Einstellungen!$C$3,3,1)))</f>
        <v/>
      </c>
      <c r="E9" s="54">
        <f>IF($B9="","",SUMIFS(Erfassung!$E$6:$E$5005,Erfassung!$B$6:$B$5005,$A9,Erfassung!$A$6:$A$5005,"&gt;="&amp;DATE(Einstellungen!$C$3,3,1),Erfassung!$A$6:$A$5005,"&lt;"&amp;DATE(Einstellungen!$C$3,4,1)))</f>
        <v/>
      </c>
      <c r="F9" s="54">
        <f>IF($B9="","",SUMIFS(Erfassung!$E$6:$E$5005,Erfassung!$B$6:$B$5005,$A9,Erfassung!$A$6:$A$5005,"&gt;="&amp;DATE(Einstellungen!$C$3,4,1),Erfassung!$A$6:$A$5005,"&lt;"&amp;DATE(Einstellungen!$C$3,5,1)))</f>
        <v/>
      </c>
      <c r="G9" s="54">
        <f>IF($B9="","",SUMIFS(Erfassung!$E$6:$E$5005,Erfassung!$B$6:$B$5005,$A9,Erfassung!$A$6:$A$5005,"&gt;="&amp;DATE(Einstellungen!$C$3,5,1),Erfassung!$A$6:$A$5005,"&lt;"&amp;DATE(Einstellungen!$C$3,6,1)))</f>
        <v/>
      </c>
      <c r="H9" s="54">
        <f>IF($B9="","",SUMIFS(Erfassung!$E$6:$E$5005,Erfassung!$B$6:$B$5005,$A9,Erfassung!$A$6:$A$5005,"&gt;="&amp;DATE(Einstellungen!$C$3,6,1),Erfassung!$A$6:$A$5005,"&lt;"&amp;DATE(Einstellungen!$C$3,7,1)))</f>
        <v/>
      </c>
      <c r="I9" s="54">
        <f>IF($B9="","",SUMIFS(Erfassung!$E$6:$E$5005,Erfassung!$B$6:$B$5005,$A9,Erfassung!$A$6:$A$5005,"&gt;="&amp;DATE(Einstellungen!$C$3,7,1),Erfassung!$A$6:$A$5005,"&lt;"&amp;DATE(Einstellungen!$C$3,8,1)))</f>
        <v/>
      </c>
      <c r="J9" s="54">
        <f>IF($B9="","",SUMIFS(Erfassung!$E$6:$E$5005,Erfassung!$B$6:$B$5005,$A9,Erfassung!$A$6:$A$5005,"&gt;="&amp;DATE(Einstellungen!$C$3,8,1),Erfassung!$A$6:$A$5005,"&lt;"&amp;DATE(Einstellungen!$C$3,9,1)))</f>
        <v/>
      </c>
      <c r="K9" s="54">
        <f>IF($B9="","",SUMIFS(Erfassung!$E$6:$E$5005,Erfassung!$B$6:$B$5005,$A9,Erfassung!$A$6:$A$5005,"&gt;="&amp;DATE(Einstellungen!$C$3,9,1),Erfassung!$A$6:$A$5005,"&lt;"&amp;DATE(Einstellungen!$C$3,10,1)))</f>
        <v/>
      </c>
      <c r="L9" s="54">
        <f>IF($B9="","",SUMIFS(Erfassung!$E$6:$E$5005,Erfassung!$B$6:$B$5005,$A9,Erfassung!$A$6:$A$5005,"&gt;="&amp;DATE(Einstellungen!$C$3,10,1),Erfassung!$A$6:$A$5005,"&lt;"&amp;DATE(Einstellungen!$C$3,11,1)))</f>
        <v/>
      </c>
      <c r="M9" s="54">
        <f>IF($B9="","",SUMIFS(Erfassung!$E$6:$E$5005,Erfassung!$B$6:$B$5005,$A9,Erfassung!$A$6:$A$5005,"&gt;="&amp;DATE(Einstellungen!$C$3,11,1),Erfassung!$A$6:$A$5005,"&lt;"&amp;DATE(Einstellungen!$C$3,12,1)))</f>
        <v/>
      </c>
      <c r="N9" s="54">
        <f>IF($B9="","",SUMIFS(Erfassung!$E$6:$E$5005,Erfassung!$B$6:$B$5005,$A9,Erfassung!$A$6:$A$5005,"&gt;="&amp;DATE(Einstellungen!$C$3,12,1),Erfassung!$A$6:$A$5005,"&lt;"&amp;DATE(Einstellungen!$C$3,13,1)))</f>
        <v/>
      </c>
      <c r="O9" s="45">
        <f>IF($B9="","",SUM(C9:N9))</f>
        <v/>
      </c>
      <c r="P9" s="54">
        <f>IF($B9="","",SUMIFS(Erfassung!$G$6:$G$5005,Erfassung!$B$6:$B$5005,$A9,Erfassung!$A$6:$A$5005,"&gt;="&amp;DATE(Einstellungen!$C$3,1,1),Erfassung!$A$6:$A$5005,"&lt;"&amp;DATE(Einstellungen!$C$3,2,1)))</f>
        <v/>
      </c>
      <c r="Q9" s="54">
        <f>IF($B9="","",SUMIFS(Erfassung!$G$6:$G$5005,Erfassung!$B$6:$B$5005,$A9,Erfassung!$A$6:$A$5005,"&gt;="&amp;DATE(Einstellungen!$C$3,2,1),Erfassung!$A$6:$A$5005,"&lt;"&amp;DATE(Einstellungen!$C$3,3,1)))</f>
        <v/>
      </c>
      <c r="R9" s="54">
        <f>IF($B9="","",SUMIFS(Erfassung!$G$6:$G$5005,Erfassung!$B$6:$B$5005,$A9,Erfassung!$A$6:$A$5005,"&gt;="&amp;DATE(Einstellungen!$C$3,3,1),Erfassung!$A$6:$A$5005,"&lt;"&amp;DATE(Einstellungen!$C$3,4,1)))</f>
        <v/>
      </c>
      <c r="S9" s="54">
        <f>IF($B9="","",SUMIFS(Erfassung!$G$6:$G$5005,Erfassung!$B$6:$B$5005,$A9,Erfassung!$A$6:$A$5005,"&gt;="&amp;DATE(Einstellungen!$C$3,4,1),Erfassung!$A$6:$A$5005,"&lt;"&amp;DATE(Einstellungen!$C$3,5,1)))</f>
        <v/>
      </c>
      <c r="T9" s="54">
        <f>IF($B9="","",SUMIFS(Erfassung!$G$6:$G$5005,Erfassung!$B$6:$B$5005,$A9,Erfassung!$A$6:$A$5005,"&gt;="&amp;DATE(Einstellungen!$C$3,5,1),Erfassung!$A$6:$A$5005,"&lt;"&amp;DATE(Einstellungen!$C$3,6,1)))</f>
        <v/>
      </c>
      <c r="U9" s="54">
        <f>IF($B9="","",SUMIFS(Erfassung!$G$6:$G$5005,Erfassung!$B$6:$B$5005,$A9,Erfassung!$A$6:$A$5005,"&gt;="&amp;DATE(Einstellungen!$C$3,6,1),Erfassung!$A$6:$A$5005,"&lt;"&amp;DATE(Einstellungen!$C$3,7,1)))</f>
        <v/>
      </c>
      <c r="V9" s="54">
        <f>IF($B9="","",SUMIFS(Erfassung!$G$6:$G$5005,Erfassung!$B$6:$B$5005,$A9,Erfassung!$A$6:$A$5005,"&gt;="&amp;DATE(Einstellungen!$C$3,7,1),Erfassung!$A$6:$A$5005,"&lt;"&amp;DATE(Einstellungen!$C$3,8,1)))</f>
        <v/>
      </c>
      <c r="W9" s="54">
        <f>IF($B9="","",SUMIFS(Erfassung!$G$6:$G$5005,Erfassung!$B$6:$B$5005,$A9,Erfassung!$A$6:$A$5005,"&gt;="&amp;DATE(Einstellungen!$C$3,8,1),Erfassung!$A$6:$A$5005,"&lt;"&amp;DATE(Einstellungen!$C$3,9,1)))</f>
        <v/>
      </c>
      <c r="X9" s="54">
        <f>IF($B9="","",SUMIFS(Erfassung!$G$6:$G$5005,Erfassung!$B$6:$B$5005,$A9,Erfassung!$A$6:$A$5005,"&gt;="&amp;DATE(Einstellungen!$C$3,9,1),Erfassung!$A$6:$A$5005,"&lt;"&amp;DATE(Einstellungen!$C$3,10,1)))</f>
        <v/>
      </c>
      <c r="Y9" s="54">
        <f>IF($B9="","",SUMIFS(Erfassung!$G$6:$G$5005,Erfassung!$B$6:$B$5005,$A9,Erfassung!$A$6:$A$5005,"&gt;="&amp;DATE(Einstellungen!$C$3,10,1),Erfassung!$A$6:$A$5005,"&lt;"&amp;DATE(Einstellungen!$C$3,11,1)))</f>
        <v/>
      </c>
      <c r="Z9" s="54">
        <f>IF($B9="","",SUMIFS(Erfassung!$G$6:$G$5005,Erfassung!$B$6:$B$5005,$A9,Erfassung!$A$6:$A$5005,"&gt;="&amp;DATE(Einstellungen!$C$3,11,1),Erfassung!$A$6:$A$5005,"&lt;"&amp;DATE(Einstellungen!$C$3,12,1)))</f>
        <v/>
      </c>
      <c r="AA9" s="54">
        <f>IF($B9="","",SUMIFS(Erfassung!$G$6:$G$5005,Erfassung!$B$6:$B$5005,$A9,Erfassung!$A$6:$A$5005,"&gt;="&amp;DATE(Einstellungen!$C$3,12,1),Erfassung!$A$6:$A$5005,"&lt;"&amp;DATE(Einstellungen!$C$3,13,1)))</f>
        <v/>
      </c>
      <c r="AB9" s="45">
        <f>IF($B9="","",SUM(P9:AA9))</f>
        <v/>
      </c>
      <c r="AC9" s="38">
        <f>IF($B9="","",IF(O9+AB9&gt;0,AB9/(O9+AB9),""))</f>
        <v/>
      </c>
    </row>
    <row r="10">
      <c r="A10" s="56">
        <f>'KQuote Mitarbeiter'!A10</f>
        <v/>
      </c>
      <c r="B10" s="57">
        <f>'KQuote Mitarbeiter'!B10</f>
        <v/>
      </c>
      <c r="C10" s="54">
        <f>IF($B10="","",SUMIFS(Erfassung!$E$6:$E$5005,Erfassung!$B$6:$B$5005,$A10,Erfassung!$A$6:$A$5005,"&gt;="&amp;DATE(Einstellungen!$C$3,1,1),Erfassung!$A$6:$A$5005,"&lt;"&amp;DATE(Einstellungen!$C$3,2,1)))</f>
        <v/>
      </c>
      <c r="D10" s="54">
        <f>IF($B10="","",SUMIFS(Erfassung!$E$6:$E$5005,Erfassung!$B$6:$B$5005,$A10,Erfassung!$A$6:$A$5005,"&gt;="&amp;DATE(Einstellungen!$C$3,2,1),Erfassung!$A$6:$A$5005,"&lt;"&amp;DATE(Einstellungen!$C$3,3,1)))</f>
        <v/>
      </c>
      <c r="E10" s="54">
        <f>IF($B10="","",SUMIFS(Erfassung!$E$6:$E$5005,Erfassung!$B$6:$B$5005,$A10,Erfassung!$A$6:$A$5005,"&gt;="&amp;DATE(Einstellungen!$C$3,3,1),Erfassung!$A$6:$A$5005,"&lt;"&amp;DATE(Einstellungen!$C$3,4,1)))</f>
        <v/>
      </c>
      <c r="F10" s="54">
        <f>IF($B10="","",SUMIFS(Erfassung!$E$6:$E$5005,Erfassung!$B$6:$B$5005,$A10,Erfassung!$A$6:$A$5005,"&gt;="&amp;DATE(Einstellungen!$C$3,4,1),Erfassung!$A$6:$A$5005,"&lt;"&amp;DATE(Einstellungen!$C$3,5,1)))</f>
        <v/>
      </c>
      <c r="G10" s="54">
        <f>IF($B10="","",SUMIFS(Erfassung!$E$6:$E$5005,Erfassung!$B$6:$B$5005,$A10,Erfassung!$A$6:$A$5005,"&gt;="&amp;DATE(Einstellungen!$C$3,5,1),Erfassung!$A$6:$A$5005,"&lt;"&amp;DATE(Einstellungen!$C$3,6,1)))</f>
        <v/>
      </c>
      <c r="H10" s="54">
        <f>IF($B10="","",SUMIFS(Erfassung!$E$6:$E$5005,Erfassung!$B$6:$B$5005,$A10,Erfassung!$A$6:$A$5005,"&gt;="&amp;DATE(Einstellungen!$C$3,6,1),Erfassung!$A$6:$A$5005,"&lt;"&amp;DATE(Einstellungen!$C$3,7,1)))</f>
        <v/>
      </c>
      <c r="I10" s="54">
        <f>IF($B10="","",SUMIFS(Erfassung!$E$6:$E$5005,Erfassung!$B$6:$B$5005,$A10,Erfassung!$A$6:$A$5005,"&gt;="&amp;DATE(Einstellungen!$C$3,7,1),Erfassung!$A$6:$A$5005,"&lt;"&amp;DATE(Einstellungen!$C$3,8,1)))</f>
        <v/>
      </c>
      <c r="J10" s="54">
        <f>IF($B10="","",SUMIFS(Erfassung!$E$6:$E$5005,Erfassung!$B$6:$B$5005,$A10,Erfassung!$A$6:$A$5005,"&gt;="&amp;DATE(Einstellungen!$C$3,8,1),Erfassung!$A$6:$A$5005,"&lt;"&amp;DATE(Einstellungen!$C$3,9,1)))</f>
        <v/>
      </c>
      <c r="K10" s="54">
        <f>IF($B10="","",SUMIFS(Erfassung!$E$6:$E$5005,Erfassung!$B$6:$B$5005,$A10,Erfassung!$A$6:$A$5005,"&gt;="&amp;DATE(Einstellungen!$C$3,9,1),Erfassung!$A$6:$A$5005,"&lt;"&amp;DATE(Einstellungen!$C$3,10,1)))</f>
        <v/>
      </c>
      <c r="L10" s="54">
        <f>IF($B10="","",SUMIFS(Erfassung!$E$6:$E$5005,Erfassung!$B$6:$B$5005,$A10,Erfassung!$A$6:$A$5005,"&gt;="&amp;DATE(Einstellungen!$C$3,10,1),Erfassung!$A$6:$A$5005,"&lt;"&amp;DATE(Einstellungen!$C$3,11,1)))</f>
        <v/>
      </c>
      <c r="M10" s="54">
        <f>IF($B10="","",SUMIFS(Erfassung!$E$6:$E$5005,Erfassung!$B$6:$B$5005,$A10,Erfassung!$A$6:$A$5005,"&gt;="&amp;DATE(Einstellungen!$C$3,11,1),Erfassung!$A$6:$A$5005,"&lt;"&amp;DATE(Einstellungen!$C$3,12,1)))</f>
        <v/>
      </c>
      <c r="N10" s="54">
        <f>IF($B10="","",SUMIFS(Erfassung!$E$6:$E$5005,Erfassung!$B$6:$B$5005,$A10,Erfassung!$A$6:$A$5005,"&gt;="&amp;DATE(Einstellungen!$C$3,12,1),Erfassung!$A$6:$A$5005,"&lt;"&amp;DATE(Einstellungen!$C$3,13,1)))</f>
        <v/>
      </c>
      <c r="O10" s="45">
        <f>IF($B10="","",SUM(C10:N10))</f>
        <v/>
      </c>
      <c r="P10" s="54">
        <f>IF($B10="","",SUMIFS(Erfassung!$G$6:$G$5005,Erfassung!$B$6:$B$5005,$A10,Erfassung!$A$6:$A$5005,"&gt;="&amp;DATE(Einstellungen!$C$3,1,1),Erfassung!$A$6:$A$5005,"&lt;"&amp;DATE(Einstellungen!$C$3,2,1)))</f>
        <v/>
      </c>
      <c r="Q10" s="54">
        <f>IF($B10="","",SUMIFS(Erfassung!$G$6:$G$5005,Erfassung!$B$6:$B$5005,$A10,Erfassung!$A$6:$A$5005,"&gt;="&amp;DATE(Einstellungen!$C$3,2,1),Erfassung!$A$6:$A$5005,"&lt;"&amp;DATE(Einstellungen!$C$3,3,1)))</f>
        <v/>
      </c>
      <c r="R10" s="54">
        <f>IF($B10="","",SUMIFS(Erfassung!$G$6:$G$5005,Erfassung!$B$6:$B$5005,$A10,Erfassung!$A$6:$A$5005,"&gt;="&amp;DATE(Einstellungen!$C$3,3,1),Erfassung!$A$6:$A$5005,"&lt;"&amp;DATE(Einstellungen!$C$3,4,1)))</f>
        <v/>
      </c>
      <c r="S10" s="54">
        <f>IF($B10="","",SUMIFS(Erfassung!$G$6:$G$5005,Erfassung!$B$6:$B$5005,$A10,Erfassung!$A$6:$A$5005,"&gt;="&amp;DATE(Einstellungen!$C$3,4,1),Erfassung!$A$6:$A$5005,"&lt;"&amp;DATE(Einstellungen!$C$3,5,1)))</f>
        <v/>
      </c>
      <c r="T10" s="54">
        <f>IF($B10="","",SUMIFS(Erfassung!$G$6:$G$5005,Erfassung!$B$6:$B$5005,$A10,Erfassung!$A$6:$A$5005,"&gt;="&amp;DATE(Einstellungen!$C$3,5,1),Erfassung!$A$6:$A$5005,"&lt;"&amp;DATE(Einstellungen!$C$3,6,1)))</f>
        <v/>
      </c>
      <c r="U10" s="54">
        <f>IF($B10="","",SUMIFS(Erfassung!$G$6:$G$5005,Erfassung!$B$6:$B$5005,$A10,Erfassung!$A$6:$A$5005,"&gt;="&amp;DATE(Einstellungen!$C$3,6,1),Erfassung!$A$6:$A$5005,"&lt;"&amp;DATE(Einstellungen!$C$3,7,1)))</f>
        <v/>
      </c>
      <c r="V10" s="54">
        <f>IF($B10="","",SUMIFS(Erfassung!$G$6:$G$5005,Erfassung!$B$6:$B$5005,$A10,Erfassung!$A$6:$A$5005,"&gt;="&amp;DATE(Einstellungen!$C$3,7,1),Erfassung!$A$6:$A$5005,"&lt;"&amp;DATE(Einstellungen!$C$3,8,1)))</f>
        <v/>
      </c>
      <c r="W10" s="54">
        <f>IF($B10="","",SUMIFS(Erfassung!$G$6:$G$5005,Erfassung!$B$6:$B$5005,$A10,Erfassung!$A$6:$A$5005,"&gt;="&amp;DATE(Einstellungen!$C$3,8,1),Erfassung!$A$6:$A$5005,"&lt;"&amp;DATE(Einstellungen!$C$3,9,1)))</f>
        <v/>
      </c>
      <c r="X10" s="54">
        <f>IF($B10="","",SUMIFS(Erfassung!$G$6:$G$5005,Erfassung!$B$6:$B$5005,$A10,Erfassung!$A$6:$A$5005,"&gt;="&amp;DATE(Einstellungen!$C$3,9,1),Erfassung!$A$6:$A$5005,"&lt;"&amp;DATE(Einstellungen!$C$3,10,1)))</f>
        <v/>
      </c>
      <c r="Y10" s="54">
        <f>IF($B10="","",SUMIFS(Erfassung!$G$6:$G$5005,Erfassung!$B$6:$B$5005,$A10,Erfassung!$A$6:$A$5005,"&gt;="&amp;DATE(Einstellungen!$C$3,10,1),Erfassung!$A$6:$A$5005,"&lt;"&amp;DATE(Einstellungen!$C$3,11,1)))</f>
        <v/>
      </c>
      <c r="Z10" s="54">
        <f>IF($B10="","",SUMIFS(Erfassung!$G$6:$G$5005,Erfassung!$B$6:$B$5005,$A10,Erfassung!$A$6:$A$5005,"&gt;="&amp;DATE(Einstellungen!$C$3,11,1),Erfassung!$A$6:$A$5005,"&lt;"&amp;DATE(Einstellungen!$C$3,12,1)))</f>
        <v/>
      </c>
      <c r="AA10" s="54">
        <f>IF($B10="","",SUMIFS(Erfassung!$G$6:$G$5005,Erfassung!$B$6:$B$5005,$A10,Erfassung!$A$6:$A$5005,"&gt;="&amp;DATE(Einstellungen!$C$3,12,1),Erfassung!$A$6:$A$5005,"&lt;"&amp;DATE(Einstellungen!$C$3,13,1)))</f>
        <v/>
      </c>
      <c r="AB10" s="45">
        <f>IF($B10="","",SUM(P10:AA10))</f>
        <v/>
      </c>
      <c r="AC10" s="38">
        <f>IF($B10="","",IF(O10+AB10&gt;0,AB10/(O10+AB10),""))</f>
        <v/>
      </c>
    </row>
    <row r="11">
      <c r="A11" s="56">
        <f>'KQuote Mitarbeiter'!A11</f>
        <v/>
      </c>
      <c r="B11" s="57">
        <f>'KQuote Mitarbeiter'!B11</f>
        <v/>
      </c>
      <c r="C11" s="54">
        <f>IF($B11="","",SUMIFS(Erfassung!$E$6:$E$5005,Erfassung!$B$6:$B$5005,$A11,Erfassung!$A$6:$A$5005,"&gt;="&amp;DATE(Einstellungen!$C$3,1,1),Erfassung!$A$6:$A$5005,"&lt;"&amp;DATE(Einstellungen!$C$3,2,1)))</f>
        <v/>
      </c>
      <c r="D11" s="54">
        <f>IF($B11="","",SUMIFS(Erfassung!$E$6:$E$5005,Erfassung!$B$6:$B$5005,$A11,Erfassung!$A$6:$A$5005,"&gt;="&amp;DATE(Einstellungen!$C$3,2,1),Erfassung!$A$6:$A$5005,"&lt;"&amp;DATE(Einstellungen!$C$3,3,1)))</f>
        <v/>
      </c>
      <c r="E11" s="54">
        <f>IF($B11="","",SUMIFS(Erfassung!$E$6:$E$5005,Erfassung!$B$6:$B$5005,$A11,Erfassung!$A$6:$A$5005,"&gt;="&amp;DATE(Einstellungen!$C$3,3,1),Erfassung!$A$6:$A$5005,"&lt;"&amp;DATE(Einstellungen!$C$3,4,1)))</f>
        <v/>
      </c>
      <c r="F11" s="54">
        <f>IF($B11="","",SUMIFS(Erfassung!$E$6:$E$5005,Erfassung!$B$6:$B$5005,$A11,Erfassung!$A$6:$A$5005,"&gt;="&amp;DATE(Einstellungen!$C$3,4,1),Erfassung!$A$6:$A$5005,"&lt;"&amp;DATE(Einstellungen!$C$3,5,1)))</f>
        <v/>
      </c>
      <c r="G11" s="54">
        <f>IF($B11="","",SUMIFS(Erfassung!$E$6:$E$5005,Erfassung!$B$6:$B$5005,$A11,Erfassung!$A$6:$A$5005,"&gt;="&amp;DATE(Einstellungen!$C$3,5,1),Erfassung!$A$6:$A$5005,"&lt;"&amp;DATE(Einstellungen!$C$3,6,1)))</f>
        <v/>
      </c>
      <c r="H11" s="54">
        <f>IF($B11="","",SUMIFS(Erfassung!$E$6:$E$5005,Erfassung!$B$6:$B$5005,$A11,Erfassung!$A$6:$A$5005,"&gt;="&amp;DATE(Einstellungen!$C$3,6,1),Erfassung!$A$6:$A$5005,"&lt;"&amp;DATE(Einstellungen!$C$3,7,1)))</f>
        <v/>
      </c>
      <c r="I11" s="54">
        <f>IF($B11="","",SUMIFS(Erfassung!$E$6:$E$5005,Erfassung!$B$6:$B$5005,$A11,Erfassung!$A$6:$A$5005,"&gt;="&amp;DATE(Einstellungen!$C$3,7,1),Erfassung!$A$6:$A$5005,"&lt;"&amp;DATE(Einstellungen!$C$3,8,1)))</f>
        <v/>
      </c>
      <c r="J11" s="54">
        <f>IF($B11="","",SUMIFS(Erfassung!$E$6:$E$5005,Erfassung!$B$6:$B$5005,$A11,Erfassung!$A$6:$A$5005,"&gt;="&amp;DATE(Einstellungen!$C$3,8,1),Erfassung!$A$6:$A$5005,"&lt;"&amp;DATE(Einstellungen!$C$3,9,1)))</f>
        <v/>
      </c>
      <c r="K11" s="54">
        <f>IF($B11="","",SUMIFS(Erfassung!$E$6:$E$5005,Erfassung!$B$6:$B$5005,$A11,Erfassung!$A$6:$A$5005,"&gt;="&amp;DATE(Einstellungen!$C$3,9,1),Erfassung!$A$6:$A$5005,"&lt;"&amp;DATE(Einstellungen!$C$3,10,1)))</f>
        <v/>
      </c>
      <c r="L11" s="54">
        <f>IF($B11="","",SUMIFS(Erfassung!$E$6:$E$5005,Erfassung!$B$6:$B$5005,$A11,Erfassung!$A$6:$A$5005,"&gt;="&amp;DATE(Einstellungen!$C$3,10,1),Erfassung!$A$6:$A$5005,"&lt;"&amp;DATE(Einstellungen!$C$3,11,1)))</f>
        <v/>
      </c>
      <c r="M11" s="54">
        <f>IF($B11="","",SUMIFS(Erfassung!$E$6:$E$5005,Erfassung!$B$6:$B$5005,$A11,Erfassung!$A$6:$A$5005,"&gt;="&amp;DATE(Einstellungen!$C$3,11,1),Erfassung!$A$6:$A$5005,"&lt;"&amp;DATE(Einstellungen!$C$3,12,1)))</f>
        <v/>
      </c>
      <c r="N11" s="54">
        <f>IF($B11="","",SUMIFS(Erfassung!$E$6:$E$5005,Erfassung!$B$6:$B$5005,$A11,Erfassung!$A$6:$A$5005,"&gt;="&amp;DATE(Einstellungen!$C$3,12,1),Erfassung!$A$6:$A$5005,"&lt;"&amp;DATE(Einstellungen!$C$3,13,1)))</f>
        <v/>
      </c>
      <c r="O11" s="45">
        <f>IF($B11="","",SUM(C11:N11))</f>
        <v/>
      </c>
      <c r="P11" s="54">
        <f>IF($B11="","",SUMIFS(Erfassung!$G$6:$G$5005,Erfassung!$B$6:$B$5005,$A11,Erfassung!$A$6:$A$5005,"&gt;="&amp;DATE(Einstellungen!$C$3,1,1),Erfassung!$A$6:$A$5005,"&lt;"&amp;DATE(Einstellungen!$C$3,2,1)))</f>
        <v/>
      </c>
      <c r="Q11" s="54">
        <f>IF($B11="","",SUMIFS(Erfassung!$G$6:$G$5005,Erfassung!$B$6:$B$5005,$A11,Erfassung!$A$6:$A$5005,"&gt;="&amp;DATE(Einstellungen!$C$3,2,1),Erfassung!$A$6:$A$5005,"&lt;"&amp;DATE(Einstellungen!$C$3,3,1)))</f>
        <v/>
      </c>
      <c r="R11" s="54">
        <f>IF($B11="","",SUMIFS(Erfassung!$G$6:$G$5005,Erfassung!$B$6:$B$5005,$A11,Erfassung!$A$6:$A$5005,"&gt;="&amp;DATE(Einstellungen!$C$3,3,1),Erfassung!$A$6:$A$5005,"&lt;"&amp;DATE(Einstellungen!$C$3,4,1)))</f>
        <v/>
      </c>
      <c r="S11" s="54">
        <f>IF($B11="","",SUMIFS(Erfassung!$G$6:$G$5005,Erfassung!$B$6:$B$5005,$A11,Erfassung!$A$6:$A$5005,"&gt;="&amp;DATE(Einstellungen!$C$3,4,1),Erfassung!$A$6:$A$5005,"&lt;"&amp;DATE(Einstellungen!$C$3,5,1)))</f>
        <v/>
      </c>
      <c r="T11" s="54">
        <f>IF($B11="","",SUMIFS(Erfassung!$G$6:$G$5005,Erfassung!$B$6:$B$5005,$A11,Erfassung!$A$6:$A$5005,"&gt;="&amp;DATE(Einstellungen!$C$3,5,1),Erfassung!$A$6:$A$5005,"&lt;"&amp;DATE(Einstellungen!$C$3,6,1)))</f>
        <v/>
      </c>
      <c r="U11" s="54">
        <f>IF($B11="","",SUMIFS(Erfassung!$G$6:$G$5005,Erfassung!$B$6:$B$5005,$A11,Erfassung!$A$6:$A$5005,"&gt;="&amp;DATE(Einstellungen!$C$3,6,1),Erfassung!$A$6:$A$5005,"&lt;"&amp;DATE(Einstellungen!$C$3,7,1)))</f>
        <v/>
      </c>
      <c r="V11" s="54">
        <f>IF($B11="","",SUMIFS(Erfassung!$G$6:$G$5005,Erfassung!$B$6:$B$5005,$A11,Erfassung!$A$6:$A$5005,"&gt;="&amp;DATE(Einstellungen!$C$3,7,1),Erfassung!$A$6:$A$5005,"&lt;"&amp;DATE(Einstellungen!$C$3,8,1)))</f>
        <v/>
      </c>
      <c r="W11" s="54">
        <f>IF($B11="","",SUMIFS(Erfassung!$G$6:$G$5005,Erfassung!$B$6:$B$5005,$A11,Erfassung!$A$6:$A$5005,"&gt;="&amp;DATE(Einstellungen!$C$3,8,1),Erfassung!$A$6:$A$5005,"&lt;"&amp;DATE(Einstellungen!$C$3,9,1)))</f>
        <v/>
      </c>
      <c r="X11" s="54">
        <f>IF($B11="","",SUMIFS(Erfassung!$G$6:$G$5005,Erfassung!$B$6:$B$5005,$A11,Erfassung!$A$6:$A$5005,"&gt;="&amp;DATE(Einstellungen!$C$3,9,1),Erfassung!$A$6:$A$5005,"&lt;"&amp;DATE(Einstellungen!$C$3,10,1)))</f>
        <v/>
      </c>
      <c r="Y11" s="54">
        <f>IF($B11="","",SUMIFS(Erfassung!$G$6:$G$5005,Erfassung!$B$6:$B$5005,$A11,Erfassung!$A$6:$A$5005,"&gt;="&amp;DATE(Einstellungen!$C$3,10,1),Erfassung!$A$6:$A$5005,"&lt;"&amp;DATE(Einstellungen!$C$3,11,1)))</f>
        <v/>
      </c>
      <c r="Z11" s="54">
        <f>IF($B11="","",SUMIFS(Erfassung!$G$6:$G$5005,Erfassung!$B$6:$B$5005,$A11,Erfassung!$A$6:$A$5005,"&gt;="&amp;DATE(Einstellungen!$C$3,11,1),Erfassung!$A$6:$A$5005,"&lt;"&amp;DATE(Einstellungen!$C$3,12,1)))</f>
        <v/>
      </c>
      <c r="AA11" s="54">
        <f>IF($B11="","",SUMIFS(Erfassung!$G$6:$G$5005,Erfassung!$B$6:$B$5005,$A11,Erfassung!$A$6:$A$5005,"&gt;="&amp;DATE(Einstellungen!$C$3,12,1),Erfassung!$A$6:$A$5005,"&lt;"&amp;DATE(Einstellungen!$C$3,13,1)))</f>
        <v/>
      </c>
      <c r="AB11" s="45">
        <f>IF($B11="","",SUM(P11:AA11))</f>
        <v/>
      </c>
      <c r="AC11" s="38">
        <f>IF($B11="","",IF(O11+AB11&gt;0,AB11/(O11+AB11),""))</f>
        <v/>
      </c>
    </row>
    <row r="12">
      <c r="A12" s="56">
        <f>'KQuote Mitarbeiter'!A12</f>
        <v/>
      </c>
      <c r="B12" s="57">
        <f>'KQuote Mitarbeiter'!B12</f>
        <v/>
      </c>
      <c r="C12" s="54">
        <f>IF($B12="","",SUMIFS(Erfassung!$E$6:$E$5005,Erfassung!$B$6:$B$5005,$A12,Erfassung!$A$6:$A$5005,"&gt;="&amp;DATE(Einstellungen!$C$3,1,1),Erfassung!$A$6:$A$5005,"&lt;"&amp;DATE(Einstellungen!$C$3,2,1)))</f>
        <v/>
      </c>
      <c r="D12" s="54">
        <f>IF($B12="","",SUMIFS(Erfassung!$E$6:$E$5005,Erfassung!$B$6:$B$5005,$A12,Erfassung!$A$6:$A$5005,"&gt;="&amp;DATE(Einstellungen!$C$3,2,1),Erfassung!$A$6:$A$5005,"&lt;"&amp;DATE(Einstellungen!$C$3,3,1)))</f>
        <v/>
      </c>
      <c r="E12" s="54">
        <f>IF($B12="","",SUMIFS(Erfassung!$E$6:$E$5005,Erfassung!$B$6:$B$5005,$A12,Erfassung!$A$6:$A$5005,"&gt;="&amp;DATE(Einstellungen!$C$3,3,1),Erfassung!$A$6:$A$5005,"&lt;"&amp;DATE(Einstellungen!$C$3,4,1)))</f>
        <v/>
      </c>
      <c r="F12" s="54">
        <f>IF($B12="","",SUMIFS(Erfassung!$E$6:$E$5005,Erfassung!$B$6:$B$5005,$A12,Erfassung!$A$6:$A$5005,"&gt;="&amp;DATE(Einstellungen!$C$3,4,1),Erfassung!$A$6:$A$5005,"&lt;"&amp;DATE(Einstellungen!$C$3,5,1)))</f>
        <v/>
      </c>
      <c r="G12" s="54">
        <f>IF($B12="","",SUMIFS(Erfassung!$E$6:$E$5005,Erfassung!$B$6:$B$5005,$A12,Erfassung!$A$6:$A$5005,"&gt;="&amp;DATE(Einstellungen!$C$3,5,1),Erfassung!$A$6:$A$5005,"&lt;"&amp;DATE(Einstellungen!$C$3,6,1)))</f>
        <v/>
      </c>
      <c r="H12" s="54">
        <f>IF($B12="","",SUMIFS(Erfassung!$E$6:$E$5005,Erfassung!$B$6:$B$5005,$A12,Erfassung!$A$6:$A$5005,"&gt;="&amp;DATE(Einstellungen!$C$3,6,1),Erfassung!$A$6:$A$5005,"&lt;"&amp;DATE(Einstellungen!$C$3,7,1)))</f>
        <v/>
      </c>
      <c r="I12" s="54">
        <f>IF($B12="","",SUMIFS(Erfassung!$E$6:$E$5005,Erfassung!$B$6:$B$5005,$A12,Erfassung!$A$6:$A$5005,"&gt;="&amp;DATE(Einstellungen!$C$3,7,1),Erfassung!$A$6:$A$5005,"&lt;"&amp;DATE(Einstellungen!$C$3,8,1)))</f>
        <v/>
      </c>
      <c r="J12" s="54">
        <f>IF($B12="","",SUMIFS(Erfassung!$E$6:$E$5005,Erfassung!$B$6:$B$5005,$A12,Erfassung!$A$6:$A$5005,"&gt;="&amp;DATE(Einstellungen!$C$3,8,1),Erfassung!$A$6:$A$5005,"&lt;"&amp;DATE(Einstellungen!$C$3,9,1)))</f>
        <v/>
      </c>
      <c r="K12" s="54">
        <f>IF($B12="","",SUMIFS(Erfassung!$E$6:$E$5005,Erfassung!$B$6:$B$5005,$A12,Erfassung!$A$6:$A$5005,"&gt;="&amp;DATE(Einstellungen!$C$3,9,1),Erfassung!$A$6:$A$5005,"&lt;"&amp;DATE(Einstellungen!$C$3,10,1)))</f>
        <v/>
      </c>
      <c r="L12" s="54">
        <f>IF($B12="","",SUMIFS(Erfassung!$E$6:$E$5005,Erfassung!$B$6:$B$5005,$A12,Erfassung!$A$6:$A$5005,"&gt;="&amp;DATE(Einstellungen!$C$3,10,1),Erfassung!$A$6:$A$5005,"&lt;"&amp;DATE(Einstellungen!$C$3,11,1)))</f>
        <v/>
      </c>
      <c r="M12" s="54">
        <f>IF($B12="","",SUMIFS(Erfassung!$E$6:$E$5005,Erfassung!$B$6:$B$5005,$A12,Erfassung!$A$6:$A$5005,"&gt;="&amp;DATE(Einstellungen!$C$3,11,1),Erfassung!$A$6:$A$5005,"&lt;"&amp;DATE(Einstellungen!$C$3,12,1)))</f>
        <v/>
      </c>
      <c r="N12" s="54">
        <f>IF($B12="","",SUMIFS(Erfassung!$E$6:$E$5005,Erfassung!$B$6:$B$5005,$A12,Erfassung!$A$6:$A$5005,"&gt;="&amp;DATE(Einstellungen!$C$3,12,1),Erfassung!$A$6:$A$5005,"&lt;"&amp;DATE(Einstellungen!$C$3,13,1)))</f>
        <v/>
      </c>
      <c r="O12" s="45">
        <f>IF($B12="","",SUM(C12:N12))</f>
        <v/>
      </c>
      <c r="P12" s="54">
        <f>IF($B12="","",SUMIFS(Erfassung!$G$6:$G$5005,Erfassung!$B$6:$B$5005,$A12,Erfassung!$A$6:$A$5005,"&gt;="&amp;DATE(Einstellungen!$C$3,1,1),Erfassung!$A$6:$A$5005,"&lt;"&amp;DATE(Einstellungen!$C$3,2,1)))</f>
        <v/>
      </c>
      <c r="Q12" s="54">
        <f>IF($B12="","",SUMIFS(Erfassung!$G$6:$G$5005,Erfassung!$B$6:$B$5005,$A12,Erfassung!$A$6:$A$5005,"&gt;="&amp;DATE(Einstellungen!$C$3,2,1),Erfassung!$A$6:$A$5005,"&lt;"&amp;DATE(Einstellungen!$C$3,3,1)))</f>
        <v/>
      </c>
      <c r="R12" s="54">
        <f>IF($B12="","",SUMIFS(Erfassung!$G$6:$G$5005,Erfassung!$B$6:$B$5005,$A12,Erfassung!$A$6:$A$5005,"&gt;="&amp;DATE(Einstellungen!$C$3,3,1),Erfassung!$A$6:$A$5005,"&lt;"&amp;DATE(Einstellungen!$C$3,4,1)))</f>
        <v/>
      </c>
      <c r="S12" s="54">
        <f>IF($B12="","",SUMIFS(Erfassung!$G$6:$G$5005,Erfassung!$B$6:$B$5005,$A12,Erfassung!$A$6:$A$5005,"&gt;="&amp;DATE(Einstellungen!$C$3,4,1),Erfassung!$A$6:$A$5005,"&lt;"&amp;DATE(Einstellungen!$C$3,5,1)))</f>
        <v/>
      </c>
      <c r="T12" s="54">
        <f>IF($B12="","",SUMIFS(Erfassung!$G$6:$G$5005,Erfassung!$B$6:$B$5005,$A12,Erfassung!$A$6:$A$5005,"&gt;="&amp;DATE(Einstellungen!$C$3,5,1),Erfassung!$A$6:$A$5005,"&lt;"&amp;DATE(Einstellungen!$C$3,6,1)))</f>
        <v/>
      </c>
      <c r="U12" s="54">
        <f>IF($B12="","",SUMIFS(Erfassung!$G$6:$G$5005,Erfassung!$B$6:$B$5005,$A12,Erfassung!$A$6:$A$5005,"&gt;="&amp;DATE(Einstellungen!$C$3,6,1),Erfassung!$A$6:$A$5005,"&lt;"&amp;DATE(Einstellungen!$C$3,7,1)))</f>
        <v/>
      </c>
      <c r="V12" s="54">
        <f>IF($B12="","",SUMIFS(Erfassung!$G$6:$G$5005,Erfassung!$B$6:$B$5005,$A12,Erfassung!$A$6:$A$5005,"&gt;="&amp;DATE(Einstellungen!$C$3,7,1),Erfassung!$A$6:$A$5005,"&lt;"&amp;DATE(Einstellungen!$C$3,8,1)))</f>
        <v/>
      </c>
      <c r="W12" s="54">
        <f>IF($B12="","",SUMIFS(Erfassung!$G$6:$G$5005,Erfassung!$B$6:$B$5005,$A12,Erfassung!$A$6:$A$5005,"&gt;="&amp;DATE(Einstellungen!$C$3,8,1),Erfassung!$A$6:$A$5005,"&lt;"&amp;DATE(Einstellungen!$C$3,9,1)))</f>
        <v/>
      </c>
      <c r="X12" s="54">
        <f>IF($B12="","",SUMIFS(Erfassung!$G$6:$G$5005,Erfassung!$B$6:$B$5005,$A12,Erfassung!$A$6:$A$5005,"&gt;="&amp;DATE(Einstellungen!$C$3,9,1),Erfassung!$A$6:$A$5005,"&lt;"&amp;DATE(Einstellungen!$C$3,10,1)))</f>
        <v/>
      </c>
      <c r="Y12" s="54">
        <f>IF($B12="","",SUMIFS(Erfassung!$G$6:$G$5005,Erfassung!$B$6:$B$5005,$A12,Erfassung!$A$6:$A$5005,"&gt;="&amp;DATE(Einstellungen!$C$3,10,1),Erfassung!$A$6:$A$5005,"&lt;"&amp;DATE(Einstellungen!$C$3,11,1)))</f>
        <v/>
      </c>
      <c r="Z12" s="54">
        <f>IF($B12="","",SUMIFS(Erfassung!$G$6:$G$5005,Erfassung!$B$6:$B$5005,$A12,Erfassung!$A$6:$A$5005,"&gt;="&amp;DATE(Einstellungen!$C$3,11,1),Erfassung!$A$6:$A$5005,"&lt;"&amp;DATE(Einstellungen!$C$3,12,1)))</f>
        <v/>
      </c>
      <c r="AA12" s="54">
        <f>IF($B12="","",SUMIFS(Erfassung!$G$6:$G$5005,Erfassung!$B$6:$B$5005,$A12,Erfassung!$A$6:$A$5005,"&gt;="&amp;DATE(Einstellungen!$C$3,12,1),Erfassung!$A$6:$A$5005,"&lt;"&amp;DATE(Einstellungen!$C$3,13,1)))</f>
        <v/>
      </c>
      <c r="AB12" s="45">
        <f>IF($B12="","",SUM(P12:AA12))</f>
        <v/>
      </c>
      <c r="AC12" s="38">
        <f>IF($B12="","",IF(O12+AB12&gt;0,AB12/(O12+AB12),""))</f>
        <v/>
      </c>
    </row>
    <row r="13">
      <c r="A13" s="56">
        <f>'KQuote Mitarbeiter'!A13</f>
        <v/>
      </c>
      <c r="B13" s="57">
        <f>'KQuote Mitarbeiter'!B13</f>
        <v/>
      </c>
      <c r="C13" s="54">
        <f>IF($B13="","",SUMIFS(Erfassung!$E$6:$E$5005,Erfassung!$B$6:$B$5005,$A13,Erfassung!$A$6:$A$5005,"&gt;="&amp;DATE(Einstellungen!$C$3,1,1),Erfassung!$A$6:$A$5005,"&lt;"&amp;DATE(Einstellungen!$C$3,2,1)))</f>
        <v/>
      </c>
      <c r="D13" s="54">
        <f>IF($B13="","",SUMIFS(Erfassung!$E$6:$E$5005,Erfassung!$B$6:$B$5005,$A13,Erfassung!$A$6:$A$5005,"&gt;="&amp;DATE(Einstellungen!$C$3,2,1),Erfassung!$A$6:$A$5005,"&lt;"&amp;DATE(Einstellungen!$C$3,3,1)))</f>
        <v/>
      </c>
      <c r="E13" s="54">
        <f>IF($B13="","",SUMIFS(Erfassung!$E$6:$E$5005,Erfassung!$B$6:$B$5005,$A13,Erfassung!$A$6:$A$5005,"&gt;="&amp;DATE(Einstellungen!$C$3,3,1),Erfassung!$A$6:$A$5005,"&lt;"&amp;DATE(Einstellungen!$C$3,4,1)))</f>
        <v/>
      </c>
      <c r="F13" s="54">
        <f>IF($B13="","",SUMIFS(Erfassung!$E$6:$E$5005,Erfassung!$B$6:$B$5005,$A13,Erfassung!$A$6:$A$5005,"&gt;="&amp;DATE(Einstellungen!$C$3,4,1),Erfassung!$A$6:$A$5005,"&lt;"&amp;DATE(Einstellungen!$C$3,5,1)))</f>
        <v/>
      </c>
      <c r="G13" s="54">
        <f>IF($B13="","",SUMIFS(Erfassung!$E$6:$E$5005,Erfassung!$B$6:$B$5005,$A13,Erfassung!$A$6:$A$5005,"&gt;="&amp;DATE(Einstellungen!$C$3,5,1),Erfassung!$A$6:$A$5005,"&lt;"&amp;DATE(Einstellungen!$C$3,6,1)))</f>
        <v/>
      </c>
      <c r="H13" s="54">
        <f>IF($B13="","",SUMIFS(Erfassung!$E$6:$E$5005,Erfassung!$B$6:$B$5005,$A13,Erfassung!$A$6:$A$5005,"&gt;="&amp;DATE(Einstellungen!$C$3,6,1),Erfassung!$A$6:$A$5005,"&lt;"&amp;DATE(Einstellungen!$C$3,7,1)))</f>
        <v/>
      </c>
      <c r="I13" s="54">
        <f>IF($B13="","",SUMIFS(Erfassung!$E$6:$E$5005,Erfassung!$B$6:$B$5005,$A13,Erfassung!$A$6:$A$5005,"&gt;="&amp;DATE(Einstellungen!$C$3,7,1),Erfassung!$A$6:$A$5005,"&lt;"&amp;DATE(Einstellungen!$C$3,8,1)))</f>
        <v/>
      </c>
      <c r="J13" s="54">
        <f>IF($B13="","",SUMIFS(Erfassung!$E$6:$E$5005,Erfassung!$B$6:$B$5005,$A13,Erfassung!$A$6:$A$5005,"&gt;="&amp;DATE(Einstellungen!$C$3,8,1),Erfassung!$A$6:$A$5005,"&lt;"&amp;DATE(Einstellungen!$C$3,9,1)))</f>
        <v/>
      </c>
      <c r="K13" s="54">
        <f>IF($B13="","",SUMIFS(Erfassung!$E$6:$E$5005,Erfassung!$B$6:$B$5005,$A13,Erfassung!$A$6:$A$5005,"&gt;="&amp;DATE(Einstellungen!$C$3,9,1),Erfassung!$A$6:$A$5005,"&lt;"&amp;DATE(Einstellungen!$C$3,10,1)))</f>
        <v/>
      </c>
      <c r="L13" s="54">
        <f>IF($B13="","",SUMIFS(Erfassung!$E$6:$E$5005,Erfassung!$B$6:$B$5005,$A13,Erfassung!$A$6:$A$5005,"&gt;="&amp;DATE(Einstellungen!$C$3,10,1),Erfassung!$A$6:$A$5005,"&lt;"&amp;DATE(Einstellungen!$C$3,11,1)))</f>
        <v/>
      </c>
      <c r="M13" s="54">
        <f>IF($B13="","",SUMIFS(Erfassung!$E$6:$E$5005,Erfassung!$B$6:$B$5005,$A13,Erfassung!$A$6:$A$5005,"&gt;="&amp;DATE(Einstellungen!$C$3,11,1),Erfassung!$A$6:$A$5005,"&lt;"&amp;DATE(Einstellungen!$C$3,12,1)))</f>
        <v/>
      </c>
      <c r="N13" s="54">
        <f>IF($B13="","",SUMIFS(Erfassung!$E$6:$E$5005,Erfassung!$B$6:$B$5005,$A13,Erfassung!$A$6:$A$5005,"&gt;="&amp;DATE(Einstellungen!$C$3,12,1),Erfassung!$A$6:$A$5005,"&lt;"&amp;DATE(Einstellungen!$C$3,13,1)))</f>
        <v/>
      </c>
      <c r="O13" s="45">
        <f>IF($B13="","",SUM(C13:N13))</f>
        <v/>
      </c>
      <c r="P13" s="54">
        <f>IF($B13="","",SUMIFS(Erfassung!$G$6:$G$5005,Erfassung!$B$6:$B$5005,$A13,Erfassung!$A$6:$A$5005,"&gt;="&amp;DATE(Einstellungen!$C$3,1,1),Erfassung!$A$6:$A$5005,"&lt;"&amp;DATE(Einstellungen!$C$3,2,1)))</f>
        <v/>
      </c>
      <c r="Q13" s="54">
        <f>IF($B13="","",SUMIFS(Erfassung!$G$6:$G$5005,Erfassung!$B$6:$B$5005,$A13,Erfassung!$A$6:$A$5005,"&gt;="&amp;DATE(Einstellungen!$C$3,2,1),Erfassung!$A$6:$A$5005,"&lt;"&amp;DATE(Einstellungen!$C$3,3,1)))</f>
        <v/>
      </c>
      <c r="R13" s="54">
        <f>IF($B13="","",SUMIFS(Erfassung!$G$6:$G$5005,Erfassung!$B$6:$B$5005,$A13,Erfassung!$A$6:$A$5005,"&gt;="&amp;DATE(Einstellungen!$C$3,3,1),Erfassung!$A$6:$A$5005,"&lt;"&amp;DATE(Einstellungen!$C$3,4,1)))</f>
        <v/>
      </c>
      <c r="S13" s="54">
        <f>IF($B13="","",SUMIFS(Erfassung!$G$6:$G$5005,Erfassung!$B$6:$B$5005,$A13,Erfassung!$A$6:$A$5005,"&gt;="&amp;DATE(Einstellungen!$C$3,4,1),Erfassung!$A$6:$A$5005,"&lt;"&amp;DATE(Einstellungen!$C$3,5,1)))</f>
        <v/>
      </c>
      <c r="T13" s="54">
        <f>IF($B13="","",SUMIFS(Erfassung!$G$6:$G$5005,Erfassung!$B$6:$B$5005,$A13,Erfassung!$A$6:$A$5005,"&gt;="&amp;DATE(Einstellungen!$C$3,5,1),Erfassung!$A$6:$A$5005,"&lt;"&amp;DATE(Einstellungen!$C$3,6,1)))</f>
        <v/>
      </c>
      <c r="U13" s="54">
        <f>IF($B13="","",SUMIFS(Erfassung!$G$6:$G$5005,Erfassung!$B$6:$B$5005,$A13,Erfassung!$A$6:$A$5005,"&gt;="&amp;DATE(Einstellungen!$C$3,6,1),Erfassung!$A$6:$A$5005,"&lt;"&amp;DATE(Einstellungen!$C$3,7,1)))</f>
        <v/>
      </c>
      <c r="V13" s="54">
        <f>IF($B13="","",SUMIFS(Erfassung!$G$6:$G$5005,Erfassung!$B$6:$B$5005,$A13,Erfassung!$A$6:$A$5005,"&gt;="&amp;DATE(Einstellungen!$C$3,7,1),Erfassung!$A$6:$A$5005,"&lt;"&amp;DATE(Einstellungen!$C$3,8,1)))</f>
        <v/>
      </c>
      <c r="W13" s="54">
        <f>IF($B13="","",SUMIFS(Erfassung!$G$6:$G$5005,Erfassung!$B$6:$B$5005,$A13,Erfassung!$A$6:$A$5005,"&gt;="&amp;DATE(Einstellungen!$C$3,8,1),Erfassung!$A$6:$A$5005,"&lt;"&amp;DATE(Einstellungen!$C$3,9,1)))</f>
        <v/>
      </c>
      <c r="X13" s="54">
        <f>IF($B13="","",SUMIFS(Erfassung!$G$6:$G$5005,Erfassung!$B$6:$B$5005,$A13,Erfassung!$A$6:$A$5005,"&gt;="&amp;DATE(Einstellungen!$C$3,9,1),Erfassung!$A$6:$A$5005,"&lt;"&amp;DATE(Einstellungen!$C$3,10,1)))</f>
        <v/>
      </c>
      <c r="Y13" s="54">
        <f>IF($B13="","",SUMIFS(Erfassung!$G$6:$G$5005,Erfassung!$B$6:$B$5005,$A13,Erfassung!$A$6:$A$5005,"&gt;="&amp;DATE(Einstellungen!$C$3,10,1),Erfassung!$A$6:$A$5005,"&lt;"&amp;DATE(Einstellungen!$C$3,11,1)))</f>
        <v/>
      </c>
      <c r="Z13" s="54">
        <f>IF($B13="","",SUMIFS(Erfassung!$G$6:$G$5005,Erfassung!$B$6:$B$5005,$A13,Erfassung!$A$6:$A$5005,"&gt;="&amp;DATE(Einstellungen!$C$3,11,1),Erfassung!$A$6:$A$5005,"&lt;"&amp;DATE(Einstellungen!$C$3,12,1)))</f>
        <v/>
      </c>
      <c r="AA13" s="54">
        <f>IF($B13="","",SUMIFS(Erfassung!$G$6:$G$5005,Erfassung!$B$6:$B$5005,$A13,Erfassung!$A$6:$A$5005,"&gt;="&amp;DATE(Einstellungen!$C$3,12,1),Erfassung!$A$6:$A$5005,"&lt;"&amp;DATE(Einstellungen!$C$3,13,1)))</f>
        <v/>
      </c>
      <c r="AB13" s="45">
        <f>IF($B13="","",SUM(P13:AA13))</f>
        <v/>
      </c>
      <c r="AC13" s="38">
        <f>IF($B13="","",IF(O13+AB13&gt;0,AB13/(O13+AB13),""))</f>
        <v/>
      </c>
    </row>
    <row r="14">
      <c r="A14" s="56">
        <f>'KQuote Mitarbeiter'!A14</f>
        <v/>
      </c>
      <c r="B14" s="57">
        <f>'KQuote Mitarbeiter'!B14</f>
        <v/>
      </c>
      <c r="C14" s="54">
        <f>IF($B14="","",SUMIFS(Erfassung!$E$6:$E$5005,Erfassung!$B$6:$B$5005,$A14,Erfassung!$A$6:$A$5005,"&gt;="&amp;DATE(Einstellungen!$C$3,1,1),Erfassung!$A$6:$A$5005,"&lt;"&amp;DATE(Einstellungen!$C$3,2,1)))</f>
        <v/>
      </c>
      <c r="D14" s="54">
        <f>IF($B14="","",SUMIFS(Erfassung!$E$6:$E$5005,Erfassung!$B$6:$B$5005,$A14,Erfassung!$A$6:$A$5005,"&gt;="&amp;DATE(Einstellungen!$C$3,2,1),Erfassung!$A$6:$A$5005,"&lt;"&amp;DATE(Einstellungen!$C$3,3,1)))</f>
        <v/>
      </c>
      <c r="E14" s="54">
        <f>IF($B14="","",SUMIFS(Erfassung!$E$6:$E$5005,Erfassung!$B$6:$B$5005,$A14,Erfassung!$A$6:$A$5005,"&gt;="&amp;DATE(Einstellungen!$C$3,3,1),Erfassung!$A$6:$A$5005,"&lt;"&amp;DATE(Einstellungen!$C$3,4,1)))</f>
        <v/>
      </c>
      <c r="F14" s="54">
        <f>IF($B14="","",SUMIFS(Erfassung!$E$6:$E$5005,Erfassung!$B$6:$B$5005,$A14,Erfassung!$A$6:$A$5005,"&gt;="&amp;DATE(Einstellungen!$C$3,4,1),Erfassung!$A$6:$A$5005,"&lt;"&amp;DATE(Einstellungen!$C$3,5,1)))</f>
        <v/>
      </c>
      <c r="G14" s="54">
        <f>IF($B14="","",SUMIFS(Erfassung!$E$6:$E$5005,Erfassung!$B$6:$B$5005,$A14,Erfassung!$A$6:$A$5005,"&gt;="&amp;DATE(Einstellungen!$C$3,5,1),Erfassung!$A$6:$A$5005,"&lt;"&amp;DATE(Einstellungen!$C$3,6,1)))</f>
        <v/>
      </c>
      <c r="H14" s="54">
        <f>IF($B14="","",SUMIFS(Erfassung!$E$6:$E$5005,Erfassung!$B$6:$B$5005,$A14,Erfassung!$A$6:$A$5005,"&gt;="&amp;DATE(Einstellungen!$C$3,6,1),Erfassung!$A$6:$A$5005,"&lt;"&amp;DATE(Einstellungen!$C$3,7,1)))</f>
        <v/>
      </c>
      <c r="I14" s="54">
        <f>IF($B14="","",SUMIFS(Erfassung!$E$6:$E$5005,Erfassung!$B$6:$B$5005,$A14,Erfassung!$A$6:$A$5005,"&gt;="&amp;DATE(Einstellungen!$C$3,7,1),Erfassung!$A$6:$A$5005,"&lt;"&amp;DATE(Einstellungen!$C$3,8,1)))</f>
        <v/>
      </c>
      <c r="J14" s="54">
        <f>IF($B14="","",SUMIFS(Erfassung!$E$6:$E$5005,Erfassung!$B$6:$B$5005,$A14,Erfassung!$A$6:$A$5005,"&gt;="&amp;DATE(Einstellungen!$C$3,8,1),Erfassung!$A$6:$A$5005,"&lt;"&amp;DATE(Einstellungen!$C$3,9,1)))</f>
        <v/>
      </c>
      <c r="K14" s="54">
        <f>IF($B14="","",SUMIFS(Erfassung!$E$6:$E$5005,Erfassung!$B$6:$B$5005,$A14,Erfassung!$A$6:$A$5005,"&gt;="&amp;DATE(Einstellungen!$C$3,9,1),Erfassung!$A$6:$A$5005,"&lt;"&amp;DATE(Einstellungen!$C$3,10,1)))</f>
        <v/>
      </c>
      <c r="L14" s="54">
        <f>IF($B14="","",SUMIFS(Erfassung!$E$6:$E$5005,Erfassung!$B$6:$B$5005,$A14,Erfassung!$A$6:$A$5005,"&gt;="&amp;DATE(Einstellungen!$C$3,10,1),Erfassung!$A$6:$A$5005,"&lt;"&amp;DATE(Einstellungen!$C$3,11,1)))</f>
        <v/>
      </c>
      <c r="M14" s="54">
        <f>IF($B14="","",SUMIFS(Erfassung!$E$6:$E$5005,Erfassung!$B$6:$B$5005,$A14,Erfassung!$A$6:$A$5005,"&gt;="&amp;DATE(Einstellungen!$C$3,11,1),Erfassung!$A$6:$A$5005,"&lt;"&amp;DATE(Einstellungen!$C$3,12,1)))</f>
        <v/>
      </c>
      <c r="N14" s="54">
        <f>IF($B14="","",SUMIFS(Erfassung!$E$6:$E$5005,Erfassung!$B$6:$B$5005,$A14,Erfassung!$A$6:$A$5005,"&gt;="&amp;DATE(Einstellungen!$C$3,12,1),Erfassung!$A$6:$A$5005,"&lt;"&amp;DATE(Einstellungen!$C$3,13,1)))</f>
        <v/>
      </c>
      <c r="O14" s="45">
        <f>IF($B14="","",SUM(C14:N14))</f>
        <v/>
      </c>
      <c r="P14" s="54">
        <f>IF($B14="","",SUMIFS(Erfassung!$G$6:$G$5005,Erfassung!$B$6:$B$5005,$A14,Erfassung!$A$6:$A$5005,"&gt;="&amp;DATE(Einstellungen!$C$3,1,1),Erfassung!$A$6:$A$5005,"&lt;"&amp;DATE(Einstellungen!$C$3,2,1)))</f>
        <v/>
      </c>
      <c r="Q14" s="54">
        <f>IF($B14="","",SUMIFS(Erfassung!$G$6:$G$5005,Erfassung!$B$6:$B$5005,$A14,Erfassung!$A$6:$A$5005,"&gt;="&amp;DATE(Einstellungen!$C$3,2,1),Erfassung!$A$6:$A$5005,"&lt;"&amp;DATE(Einstellungen!$C$3,3,1)))</f>
        <v/>
      </c>
      <c r="R14" s="54">
        <f>IF($B14="","",SUMIFS(Erfassung!$G$6:$G$5005,Erfassung!$B$6:$B$5005,$A14,Erfassung!$A$6:$A$5005,"&gt;="&amp;DATE(Einstellungen!$C$3,3,1),Erfassung!$A$6:$A$5005,"&lt;"&amp;DATE(Einstellungen!$C$3,4,1)))</f>
        <v/>
      </c>
      <c r="S14" s="54">
        <f>IF($B14="","",SUMIFS(Erfassung!$G$6:$G$5005,Erfassung!$B$6:$B$5005,$A14,Erfassung!$A$6:$A$5005,"&gt;="&amp;DATE(Einstellungen!$C$3,4,1),Erfassung!$A$6:$A$5005,"&lt;"&amp;DATE(Einstellungen!$C$3,5,1)))</f>
        <v/>
      </c>
      <c r="T14" s="54">
        <f>IF($B14="","",SUMIFS(Erfassung!$G$6:$G$5005,Erfassung!$B$6:$B$5005,$A14,Erfassung!$A$6:$A$5005,"&gt;="&amp;DATE(Einstellungen!$C$3,5,1),Erfassung!$A$6:$A$5005,"&lt;"&amp;DATE(Einstellungen!$C$3,6,1)))</f>
        <v/>
      </c>
      <c r="U14" s="54">
        <f>IF($B14="","",SUMIFS(Erfassung!$G$6:$G$5005,Erfassung!$B$6:$B$5005,$A14,Erfassung!$A$6:$A$5005,"&gt;="&amp;DATE(Einstellungen!$C$3,6,1),Erfassung!$A$6:$A$5005,"&lt;"&amp;DATE(Einstellungen!$C$3,7,1)))</f>
        <v/>
      </c>
      <c r="V14" s="54">
        <f>IF($B14="","",SUMIFS(Erfassung!$G$6:$G$5005,Erfassung!$B$6:$B$5005,$A14,Erfassung!$A$6:$A$5005,"&gt;="&amp;DATE(Einstellungen!$C$3,7,1),Erfassung!$A$6:$A$5005,"&lt;"&amp;DATE(Einstellungen!$C$3,8,1)))</f>
        <v/>
      </c>
      <c r="W14" s="54">
        <f>IF($B14="","",SUMIFS(Erfassung!$G$6:$G$5005,Erfassung!$B$6:$B$5005,$A14,Erfassung!$A$6:$A$5005,"&gt;="&amp;DATE(Einstellungen!$C$3,8,1),Erfassung!$A$6:$A$5005,"&lt;"&amp;DATE(Einstellungen!$C$3,9,1)))</f>
        <v/>
      </c>
      <c r="X14" s="54">
        <f>IF($B14="","",SUMIFS(Erfassung!$G$6:$G$5005,Erfassung!$B$6:$B$5005,$A14,Erfassung!$A$6:$A$5005,"&gt;="&amp;DATE(Einstellungen!$C$3,9,1),Erfassung!$A$6:$A$5005,"&lt;"&amp;DATE(Einstellungen!$C$3,10,1)))</f>
        <v/>
      </c>
      <c r="Y14" s="54">
        <f>IF($B14="","",SUMIFS(Erfassung!$G$6:$G$5005,Erfassung!$B$6:$B$5005,$A14,Erfassung!$A$6:$A$5005,"&gt;="&amp;DATE(Einstellungen!$C$3,10,1),Erfassung!$A$6:$A$5005,"&lt;"&amp;DATE(Einstellungen!$C$3,11,1)))</f>
        <v/>
      </c>
      <c r="Z14" s="54">
        <f>IF($B14="","",SUMIFS(Erfassung!$G$6:$G$5005,Erfassung!$B$6:$B$5005,$A14,Erfassung!$A$6:$A$5005,"&gt;="&amp;DATE(Einstellungen!$C$3,11,1),Erfassung!$A$6:$A$5005,"&lt;"&amp;DATE(Einstellungen!$C$3,12,1)))</f>
        <v/>
      </c>
      <c r="AA14" s="54">
        <f>IF($B14="","",SUMIFS(Erfassung!$G$6:$G$5005,Erfassung!$B$6:$B$5005,$A14,Erfassung!$A$6:$A$5005,"&gt;="&amp;DATE(Einstellungen!$C$3,12,1),Erfassung!$A$6:$A$5005,"&lt;"&amp;DATE(Einstellungen!$C$3,13,1)))</f>
        <v/>
      </c>
      <c r="AB14" s="45">
        <f>IF($B14="","",SUM(P14:AA14))</f>
        <v/>
      </c>
      <c r="AC14" s="38">
        <f>IF($B14="","",IF(O14+AB14&gt;0,AB14/(O14+AB14),""))</f>
        <v/>
      </c>
    </row>
    <row r="15">
      <c r="A15" s="56">
        <f>'KQuote Mitarbeiter'!A15</f>
        <v/>
      </c>
      <c r="B15" s="57">
        <f>'KQuote Mitarbeiter'!B15</f>
        <v/>
      </c>
      <c r="C15" s="54">
        <f>IF($B15="","",SUMIFS(Erfassung!$E$6:$E$5005,Erfassung!$B$6:$B$5005,$A15,Erfassung!$A$6:$A$5005,"&gt;="&amp;DATE(Einstellungen!$C$3,1,1),Erfassung!$A$6:$A$5005,"&lt;"&amp;DATE(Einstellungen!$C$3,2,1)))</f>
        <v/>
      </c>
      <c r="D15" s="54">
        <f>IF($B15="","",SUMIFS(Erfassung!$E$6:$E$5005,Erfassung!$B$6:$B$5005,$A15,Erfassung!$A$6:$A$5005,"&gt;="&amp;DATE(Einstellungen!$C$3,2,1),Erfassung!$A$6:$A$5005,"&lt;"&amp;DATE(Einstellungen!$C$3,3,1)))</f>
        <v/>
      </c>
      <c r="E15" s="54">
        <f>IF($B15="","",SUMIFS(Erfassung!$E$6:$E$5005,Erfassung!$B$6:$B$5005,$A15,Erfassung!$A$6:$A$5005,"&gt;="&amp;DATE(Einstellungen!$C$3,3,1),Erfassung!$A$6:$A$5005,"&lt;"&amp;DATE(Einstellungen!$C$3,4,1)))</f>
        <v/>
      </c>
      <c r="F15" s="54">
        <f>IF($B15="","",SUMIFS(Erfassung!$E$6:$E$5005,Erfassung!$B$6:$B$5005,$A15,Erfassung!$A$6:$A$5005,"&gt;="&amp;DATE(Einstellungen!$C$3,4,1),Erfassung!$A$6:$A$5005,"&lt;"&amp;DATE(Einstellungen!$C$3,5,1)))</f>
        <v/>
      </c>
      <c r="G15" s="54">
        <f>IF($B15="","",SUMIFS(Erfassung!$E$6:$E$5005,Erfassung!$B$6:$B$5005,$A15,Erfassung!$A$6:$A$5005,"&gt;="&amp;DATE(Einstellungen!$C$3,5,1),Erfassung!$A$6:$A$5005,"&lt;"&amp;DATE(Einstellungen!$C$3,6,1)))</f>
        <v/>
      </c>
      <c r="H15" s="54">
        <f>IF($B15="","",SUMIFS(Erfassung!$E$6:$E$5005,Erfassung!$B$6:$B$5005,$A15,Erfassung!$A$6:$A$5005,"&gt;="&amp;DATE(Einstellungen!$C$3,6,1),Erfassung!$A$6:$A$5005,"&lt;"&amp;DATE(Einstellungen!$C$3,7,1)))</f>
        <v/>
      </c>
      <c r="I15" s="54">
        <f>IF($B15="","",SUMIFS(Erfassung!$E$6:$E$5005,Erfassung!$B$6:$B$5005,$A15,Erfassung!$A$6:$A$5005,"&gt;="&amp;DATE(Einstellungen!$C$3,7,1),Erfassung!$A$6:$A$5005,"&lt;"&amp;DATE(Einstellungen!$C$3,8,1)))</f>
        <v/>
      </c>
      <c r="J15" s="54">
        <f>IF($B15="","",SUMIFS(Erfassung!$E$6:$E$5005,Erfassung!$B$6:$B$5005,$A15,Erfassung!$A$6:$A$5005,"&gt;="&amp;DATE(Einstellungen!$C$3,8,1),Erfassung!$A$6:$A$5005,"&lt;"&amp;DATE(Einstellungen!$C$3,9,1)))</f>
        <v/>
      </c>
      <c r="K15" s="54">
        <f>IF($B15="","",SUMIFS(Erfassung!$E$6:$E$5005,Erfassung!$B$6:$B$5005,$A15,Erfassung!$A$6:$A$5005,"&gt;="&amp;DATE(Einstellungen!$C$3,9,1),Erfassung!$A$6:$A$5005,"&lt;"&amp;DATE(Einstellungen!$C$3,10,1)))</f>
        <v/>
      </c>
      <c r="L15" s="54">
        <f>IF($B15="","",SUMIFS(Erfassung!$E$6:$E$5005,Erfassung!$B$6:$B$5005,$A15,Erfassung!$A$6:$A$5005,"&gt;="&amp;DATE(Einstellungen!$C$3,10,1),Erfassung!$A$6:$A$5005,"&lt;"&amp;DATE(Einstellungen!$C$3,11,1)))</f>
        <v/>
      </c>
      <c r="M15" s="54">
        <f>IF($B15="","",SUMIFS(Erfassung!$E$6:$E$5005,Erfassung!$B$6:$B$5005,$A15,Erfassung!$A$6:$A$5005,"&gt;="&amp;DATE(Einstellungen!$C$3,11,1),Erfassung!$A$6:$A$5005,"&lt;"&amp;DATE(Einstellungen!$C$3,12,1)))</f>
        <v/>
      </c>
      <c r="N15" s="54">
        <f>IF($B15="","",SUMIFS(Erfassung!$E$6:$E$5005,Erfassung!$B$6:$B$5005,$A15,Erfassung!$A$6:$A$5005,"&gt;="&amp;DATE(Einstellungen!$C$3,12,1),Erfassung!$A$6:$A$5005,"&lt;"&amp;DATE(Einstellungen!$C$3,13,1)))</f>
        <v/>
      </c>
      <c r="O15" s="45">
        <f>IF($B15="","",SUM(C15:N15))</f>
        <v/>
      </c>
      <c r="P15" s="54">
        <f>IF($B15="","",SUMIFS(Erfassung!$G$6:$G$5005,Erfassung!$B$6:$B$5005,$A15,Erfassung!$A$6:$A$5005,"&gt;="&amp;DATE(Einstellungen!$C$3,1,1),Erfassung!$A$6:$A$5005,"&lt;"&amp;DATE(Einstellungen!$C$3,2,1)))</f>
        <v/>
      </c>
      <c r="Q15" s="54">
        <f>IF($B15="","",SUMIFS(Erfassung!$G$6:$G$5005,Erfassung!$B$6:$B$5005,$A15,Erfassung!$A$6:$A$5005,"&gt;="&amp;DATE(Einstellungen!$C$3,2,1),Erfassung!$A$6:$A$5005,"&lt;"&amp;DATE(Einstellungen!$C$3,3,1)))</f>
        <v/>
      </c>
      <c r="R15" s="54">
        <f>IF($B15="","",SUMIFS(Erfassung!$G$6:$G$5005,Erfassung!$B$6:$B$5005,$A15,Erfassung!$A$6:$A$5005,"&gt;="&amp;DATE(Einstellungen!$C$3,3,1),Erfassung!$A$6:$A$5005,"&lt;"&amp;DATE(Einstellungen!$C$3,4,1)))</f>
        <v/>
      </c>
      <c r="S15" s="54">
        <f>IF($B15="","",SUMIFS(Erfassung!$G$6:$G$5005,Erfassung!$B$6:$B$5005,$A15,Erfassung!$A$6:$A$5005,"&gt;="&amp;DATE(Einstellungen!$C$3,4,1),Erfassung!$A$6:$A$5005,"&lt;"&amp;DATE(Einstellungen!$C$3,5,1)))</f>
        <v/>
      </c>
      <c r="T15" s="54">
        <f>IF($B15="","",SUMIFS(Erfassung!$G$6:$G$5005,Erfassung!$B$6:$B$5005,$A15,Erfassung!$A$6:$A$5005,"&gt;="&amp;DATE(Einstellungen!$C$3,5,1),Erfassung!$A$6:$A$5005,"&lt;"&amp;DATE(Einstellungen!$C$3,6,1)))</f>
        <v/>
      </c>
      <c r="U15" s="54">
        <f>IF($B15="","",SUMIFS(Erfassung!$G$6:$G$5005,Erfassung!$B$6:$B$5005,$A15,Erfassung!$A$6:$A$5005,"&gt;="&amp;DATE(Einstellungen!$C$3,6,1),Erfassung!$A$6:$A$5005,"&lt;"&amp;DATE(Einstellungen!$C$3,7,1)))</f>
        <v/>
      </c>
      <c r="V15" s="54">
        <f>IF($B15="","",SUMIFS(Erfassung!$G$6:$G$5005,Erfassung!$B$6:$B$5005,$A15,Erfassung!$A$6:$A$5005,"&gt;="&amp;DATE(Einstellungen!$C$3,7,1),Erfassung!$A$6:$A$5005,"&lt;"&amp;DATE(Einstellungen!$C$3,8,1)))</f>
        <v/>
      </c>
      <c r="W15" s="54">
        <f>IF($B15="","",SUMIFS(Erfassung!$G$6:$G$5005,Erfassung!$B$6:$B$5005,$A15,Erfassung!$A$6:$A$5005,"&gt;="&amp;DATE(Einstellungen!$C$3,8,1),Erfassung!$A$6:$A$5005,"&lt;"&amp;DATE(Einstellungen!$C$3,9,1)))</f>
        <v/>
      </c>
      <c r="X15" s="54">
        <f>IF($B15="","",SUMIFS(Erfassung!$G$6:$G$5005,Erfassung!$B$6:$B$5005,$A15,Erfassung!$A$6:$A$5005,"&gt;="&amp;DATE(Einstellungen!$C$3,9,1),Erfassung!$A$6:$A$5005,"&lt;"&amp;DATE(Einstellungen!$C$3,10,1)))</f>
        <v/>
      </c>
      <c r="Y15" s="54">
        <f>IF($B15="","",SUMIFS(Erfassung!$G$6:$G$5005,Erfassung!$B$6:$B$5005,$A15,Erfassung!$A$6:$A$5005,"&gt;="&amp;DATE(Einstellungen!$C$3,10,1),Erfassung!$A$6:$A$5005,"&lt;"&amp;DATE(Einstellungen!$C$3,11,1)))</f>
        <v/>
      </c>
      <c r="Z15" s="54">
        <f>IF($B15="","",SUMIFS(Erfassung!$G$6:$G$5005,Erfassung!$B$6:$B$5005,$A15,Erfassung!$A$6:$A$5005,"&gt;="&amp;DATE(Einstellungen!$C$3,11,1),Erfassung!$A$6:$A$5005,"&lt;"&amp;DATE(Einstellungen!$C$3,12,1)))</f>
        <v/>
      </c>
      <c r="AA15" s="54">
        <f>IF($B15="","",SUMIFS(Erfassung!$G$6:$G$5005,Erfassung!$B$6:$B$5005,$A15,Erfassung!$A$6:$A$5005,"&gt;="&amp;DATE(Einstellungen!$C$3,12,1),Erfassung!$A$6:$A$5005,"&lt;"&amp;DATE(Einstellungen!$C$3,13,1)))</f>
        <v/>
      </c>
      <c r="AB15" s="45">
        <f>IF($B15="","",SUM(P15:AA15))</f>
        <v/>
      </c>
      <c r="AC15" s="38">
        <f>IF($B15="","",IF(O15+AB15&gt;0,AB15/(O15+AB15),""))</f>
        <v/>
      </c>
    </row>
    <row r="16">
      <c r="A16" s="56">
        <f>'KQuote Mitarbeiter'!A16</f>
        <v/>
      </c>
      <c r="B16" s="57">
        <f>'KQuote Mitarbeiter'!B16</f>
        <v/>
      </c>
      <c r="C16" s="54">
        <f>IF($B16="","",SUMIFS(Erfassung!$E$6:$E$5005,Erfassung!$B$6:$B$5005,$A16,Erfassung!$A$6:$A$5005,"&gt;="&amp;DATE(Einstellungen!$C$3,1,1),Erfassung!$A$6:$A$5005,"&lt;"&amp;DATE(Einstellungen!$C$3,2,1)))</f>
        <v/>
      </c>
      <c r="D16" s="54">
        <f>IF($B16="","",SUMIFS(Erfassung!$E$6:$E$5005,Erfassung!$B$6:$B$5005,$A16,Erfassung!$A$6:$A$5005,"&gt;="&amp;DATE(Einstellungen!$C$3,2,1),Erfassung!$A$6:$A$5005,"&lt;"&amp;DATE(Einstellungen!$C$3,3,1)))</f>
        <v/>
      </c>
      <c r="E16" s="54">
        <f>IF($B16="","",SUMIFS(Erfassung!$E$6:$E$5005,Erfassung!$B$6:$B$5005,$A16,Erfassung!$A$6:$A$5005,"&gt;="&amp;DATE(Einstellungen!$C$3,3,1),Erfassung!$A$6:$A$5005,"&lt;"&amp;DATE(Einstellungen!$C$3,4,1)))</f>
        <v/>
      </c>
      <c r="F16" s="54">
        <f>IF($B16="","",SUMIFS(Erfassung!$E$6:$E$5005,Erfassung!$B$6:$B$5005,$A16,Erfassung!$A$6:$A$5005,"&gt;="&amp;DATE(Einstellungen!$C$3,4,1),Erfassung!$A$6:$A$5005,"&lt;"&amp;DATE(Einstellungen!$C$3,5,1)))</f>
        <v/>
      </c>
      <c r="G16" s="54">
        <f>IF($B16="","",SUMIFS(Erfassung!$E$6:$E$5005,Erfassung!$B$6:$B$5005,$A16,Erfassung!$A$6:$A$5005,"&gt;="&amp;DATE(Einstellungen!$C$3,5,1),Erfassung!$A$6:$A$5005,"&lt;"&amp;DATE(Einstellungen!$C$3,6,1)))</f>
        <v/>
      </c>
      <c r="H16" s="54">
        <f>IF($B16="","",SUMIFS(Erfassung!$E$6:$E$5005,Erfassung!$B$6:$B$5005,$A16,Erfassung!$A$6:$A$5005,"&gt;="&amp;DATE(Einstellungen!$C$3,6,1),Erfassung!$A$6:$A$5005,"&lt;"&amp;DATE(Einstellungen!$C$3,7,1)))</f>
        <v/>
      </c>
      <c r="I16" s="54">
        <f>IF($B16="","",SUMIFS(Erfassung!$E$6:$E$5005,Erfassung!$B$6:$B$5005,$A16,Erfassung!$A$6:$A$5005,"&gt;="&amp;DATE(Einstellungen!$C$3,7,1),Erfassung!$A$6:$A$5005,"&lt;"&amp;DATE(Einstellungen!$C$3,8,1)))</f>
        <v/>
      </c>
      <c r="J16" s="54">
        <f>IF($B16="","",SUMIFS(Erfassung!$E$6:$E$5005,Erfassung!$B$6:$B$5005,$A16,Erfassung!$A$6:$A$5005,"&gt;="&amp;DATE(Einstellungen!$C$3,8,1),Erfassung!$A$6:$A$5005,"&lt;"&amp;DATE(Einstellungen!$C$3,9,1)))</f>
        <v/>
      </c>
      <c r="K16" s="54">
        <f>IF($B16="","",SUMIFS(Erfassung!$E$6:$E$5005,Erfassung!$B$6:$B$5005,$A16,Erfassung!$A$6:$A$5005,"&gt;="&amp;DATE(Einstellungen!$C$3,9,1),Erfassung!$A$6:$A$5005,"&lt;"&amp;DATE(Einstellungen!$C$3,10,1)))</f>
        <v/>
      </c>
      <c r="L16" s="54">
        <f>IF($B16="","",SUMIFS(Erfassung!$E$6:$E$5005,Erfassung!$B$6:$B$5005,$A16,Erfassung!$A$6:$A$5005,"&gt;="&amp;DATE(Einstellungen!$C$3,10,1),Erfassung!$A$6:$A$5005,"&lt;"&amp;DATE(Einstellungen!$C$3,11,1)))</f>
        <v/>
      </c>
      <c r="M16" s="54">
        <f>IF($B16="","",SUMIFS(Erfassung!$E$6:$E$5005,Erfassung!$B$6:$B$5005,$A16,Erfassung!$A$6:$A$5005,"&gt;="&amp;DATE(Einstellungen!$C$3,11,1),Erfassung!$A$6:$A$5005,"&lt;"&amp;DATE(Einstellungen!$C$3,12,1)))</f>
        <v/>
      </c>
      <c r="N16" s="54">
        <f>IF($B16="","",SUMIFS(Erfassung!$E$6:$E$5005,Erfassung!$B$6:$B$5005,$A16,Erfassung!$A$6:$A$5005,"&gt;="&amp;DATE(Einstellungen!$C$3,12,1),Erfassung!$A$6:$A$5005,"&lt;"&amp;DATE(Einstellungen!$C$3,13,1)))</f>
        <v/>
      </c>
      <c r="O16" s="45">
        <f>IF($B16="","",SUM(C16:N16))</f>
        <v/>
      </c>
      <c r="P16" s="54">
        <f>IF($B16="","",SUMIFS(Erfassung!$G$6:$G$5005,Erfassung!$B$6:$B$5005,$A16,Erfassung!$A$6:$A$5005,"&gt;="&amp;DATE(Einstellungen!$C$3,1,1),Erfassung!$A$6:$A$5005,"&lt;"&amp;DATE(Einstellungen!$C$3,2,1)))</f>
        <v/>
      </c>
      <c r="Q16" s="54">
        <f>IF($B16="","",SUMIFS(Erfassung!$G$6:$G$5005,Erfassung!$B$6:$B$5005,$A16,Erfassung!$A$6:$A$5005,"&gt;="&amp;DATE(Einstellungen!$C$3,2,1),Erfassung!$A$6:$A$5005,"&lt;"&amp;DATE(Einstellungen!$C$3,3,1)))</f>
        <v/>
      </c>
      <c r="R16" s="54">
        <f>IF($B16="","",SUMIFS(Erfassung!$G$6:$G$5005,Erfassung!$B$6:$B$5005,$A16,Erfassung!$A$6:$A$5005,"&gt;="&amp;DATE(Einstellungen!$C$3,3,1),Erfassung!$A$6:$A$5005,"&lt;"&amp;DATE(Einstellungen!$C$3,4,1)))</f>
        <v/>
      </c>
      <c r="S16" s="54">
        <f>IF($B16="","",SUMIFS(Erfassung!$G$6:$G$5005,Erfassung!$B$6:$B$5005,$A16,Erfassung!$A$6:$A$5005,"&gt;="&amp;DATE(Einstellungen!$C$3,4,1),Erfassung!$A$6:$A$5005,"&lt;"&amp;DATE(Einstellungen!$C$3,5,1)))</f>
        <v/>
      </c>
      <c r="T16" s="54">
        <f>IF($B16="","",SUMIFS(Erfassung!$G$6:$G$5005,Erfassung!$B$6:$B$5005,$A16,Erfassung!$A$6:$A$5005,"&gt;="&amp;DATE(Einstellungen!$C$3,5,1),Erfassung!$A$6:$A$5005,"&lt;"&amp;DATE(Einstellungen!$C$3,6,1)))</f>
        <v/>
      </c>
      <c r="U16" s="54">
        <f>IF($B16="","",SUMIFS(Erfassung!$G$6:$G$5005,Erfassung!$B$6:$B$5005,$A16,Erfassung!$A$6:$A$5005,"&gt;="&amp;DATE(Einstellungen!$C$3,6,1),Erfassung!$A$6:$A$5005,"&lt;"&amp;DATE(Einstellungen!$C$3,7,1)))</f>
        <v/>
      </c>
      <c r="V16" s="54">
        <f>IF($B16="","",SUMIFS(Erfassung!$G$6:$G$5005,Erfassung!$B$6:$B$5005,$A16,Erfassung!$A$6:$A$5005,"&gt;="&amp;DATE(Einstellungen!$C$3,7,1),Erfassung!$A$6:$A$5005,"&lt;"&amp;DATE(Einstellungen!$C$3,8,1)))</f>
        <v/>
      </c>
      <c r="W16" s="54">
        <f>IF($B16="","",SUMIFS(Erfassung!$G$6:$G$5005,Erfassung!$B$6:$B$5005,$A16,Erfassung!$A$6:$A$5005,"&gt;="&amp;DATE(Einstellungen!$C$3,8,1),Erfassung!$A$6:$A$5005,"&lt;"&amp;DATE(Einstellungen!$C$3,9,1)))</f>
        <v/>
      </c>
      <c r="X16" s="54">
        <f>IF($B16="","",SUMIFS(Erfassung!$G$6:$G$5005,Erfassung!$B$6:$B$5005,$A16,Erfassung!$A$6:$A$5005,"&gt;="&amp;DATE(Einstellungen!$C$3,9,1),Erfassung!$A$6:$A$5005,"&lt;"&amp;DATE(Einstellungen!$C$3,10,1)))</f>
        <v/>
      </c>
      <c r="Y16" s="54">
        <f>IF($B16="","",SUMIFS(Erfassung!$G$6:$G$5005,Erfassung!$B$6:$B$5005,$A16,Erfassung!$A$6:$A$5005,"&gt;="&amp;DATE(Einstellungen!$C$3,10,1),Erfassung!$A$6:$A$5005,"&lt;"&amp;DATE(Einstellungen!$C$3,11,1)))</f>
        <v/>
      </c>
      <c r="Z16" s="54">
        <f>IF($B16="","",SUMIFS(Erfassung!$G$6:$G$5005,Erfassung!$B$6:$B$5005,$A16,Erfassung!$A$6:$A$5005,"&gt;="&amp;DATE(Einstellungen!$C$3,11,1),Erfassung!$A$6:$A$5005,"&lt;"&amp;DATE(Einstellungen!$C$3,12,1)))</f>
        <v/>
      </c>
      <c r="AA16" s="54">
        <f>IF($B16="","",SUMIFS(Erfassung!$G$6:$G$5005,Erfassung!$B$6:$B$5005,$A16,Erfassung!$A$6:$A$5005,"&gt;="&amp;DATE(Einstellungen!$C$3,12,1),Erfassung!$A$6:$A$5005,"&lt;"&amp;DATE(Einstellungen!$C$3,13,1)))</f>
        <v/>
      </c>
      <c r="AB16" s="45">
        <f>IF($B16="","",SUM(P16:AA16))</f>
        <v/>
      </c>
      <c r="AC16" s="38">
        <f>IF($B16="","",IF(O16+AB16&gt;0,AB16/(O16+AB16),""))</f>
        <v/>
      </c>
    </row>
    <row r="17">
      <c r="A17" s="56">
        <f>'KQuote Mitarbeiter'!A17</f>
        <v/>
      </c>
      <c r="B17" s="57">
        <f>'KQuote Mitarbeiter'!B17</f>
        <v/>
      </c>
      <c r="C17" s="54">
        <f>IF($B17="","",SUMIFS(Erfassung!$E$6:$E$5005,Erfassung!$B$6:$B$5005,$A17,Erfassung!$A$6:$A$5005,"&gt;="&amp;DATE(Einstellungen!$C$3,1,1),Erfassung!$A$6:$A$5005,"&lt;"&amp;DATE(Einstellungen!$C$3,2,1)))</f>
        <v/>
      </c>
      <c r="D17" s="54">
        <f>IF($B17="","",SUMIFS(Erfassung!$E$6:$E$5005,Erfassung!$B$6:$B$5005,$A17,Erfassung!$A$6:$A$5005,"&gt;="&amp;DATE(Einstellungen!$C$3,2,1),Erfassung!$A$6:$A$5005,"&lt;"&amp;DATE(Einstellungen!$C$3,3,1)))</f>
        <v/>
      </c>
      <c r="E17" s="54">
        <f>IF($B17="","",SUMIFS(Erfassung!$E$6:$E$5005,Erfassung!$B$6:$B$5005,$A17,Erfassung!$A$6:$A$5005,"&gt;="&amp;DATE(Einstellungen!$C$3,3,1),Erfassung!$A$6:$A$5005,"&lt;"&amp;DATE(Einstellungen!$C$3,4,1)))</f>
        <v/>
      </c>
      <c r="F17" s="54">
        <f>IF($B17="","",SUMIFS(Erfassung!$E$6:$E$5005,Erfassung!$B$6:$B$5005,$A17,Erfassung!$A$6:$A$5005,"&gt;="&amp;DATE(Einstellungen!$C$3,4,1),Erfassung!$A$6:$A$5005,"&lt;"&amp;DATE(Einstellungen!$C$3,5,1)))</f>
        <v/>
      </c>
      <c r="G17" s="54">
        <f>IF($B17="","",SUMIFS(Erfassung!$E$6:$E$5005,Erfassung!$B$6:$B$5005,$A17,Erfassung!$A$6:$A$5005,"&gt;="&amp;DATE(Einstellungen!$C$3,5,1),Erfassung!$A$6:$A$5005,"&lt;"&amp;DATE(Einstellungen!$C$3,6,1)))</f>
        <v/>
      </c>
      <c r="H17" s="54">
        <f>IF($B17="","",SUMIFS(Erfassung!$E$6:$E$5005,Erfassung!$B$6:$B$5005,$A17,Erfassung!$A$6:$A$5005,"&gt;="&amp;DATE(Einstellungen!$C$3,6,1),Erfassung!$A$6:$A$5005,"&lt;"&amp;DATE(Einstellungen!$C$3,7,1)))</f>
        <v/>
      </c>
      <c r="I17" s="54">
        <f>IF($B17="","",SUMIFS(Erfassung!$E$6:$E$5005,Erfassung!$B$6:$B$5005,$A17,Erfassung!$A$6:$A$5005,"&gt;="&amp;DATE(Einstellungen!$C$3,7,1),Erfassung!$A$6:$A$5005,"&lt;"&amp;DATE(Einstellungen!$C$3,8,1)))</f>
        <v/>
      </c>
      <c r="J17" s="54">
        <f>IF($B17="","",SUMIFS(Erfassung!$E$6:$E$5005,Erfassung!$B$6:$B$5005,$A17,Erfassung!$A$6:$A$5005,"&gt;="&amp;DATE(Einstellungen!$C$3,8,1),Erfassung!$A$6:$A$5005,"&lt;"&amp;DATE(Einstellungen!$C$3,9,1)))</f>
        <v/>
      </c>
      <c r="K17" s="54">
        <f>IF($B17="","",SUMIFS(Erfassung!$E$6:$E$5005,Erfassung!$B$6:$B$5005,$A17,Erfassung!$A$6:$A$5005,"&gt;="&amp;DATE(Einstellungen!$C$3,9,1),Erfassung!$A$6:$A$5005,"&lt;"&amp;DATE(Einstellungen!$C$3,10,1)))</f>
        <v/>
      </c>
      <c r="L17" s="54">
        <f>IF($B17="","",SUMIFS(Erfassung!$E$6:$E$5005,Erfassung!$B$6:$B$5005,$A17,Erfassung!$A$6:$A$5005,"&gt;="&amp;DATE(Einstellungen!$C$3,10,1),Erfassung!$A$6:$A$5005,"&lt;"&amp;DATE(Einstellungen!$C$3,11,1)))</f>
        <v/>
      </c>
      <c r="M17" s="54">
        <f>IF($B17="","",SUMIFS(Erfassung!$E$6:$E$5005,Erfassung!$B$6:$B$5005,$A17,Erfassung!$A$6:$A$5005,"&gt;="&amp;DATE(Einstellungen!$C$3,11,1),Erfassung!$A$6:$A$5005,"&lt;"&amp;DATE(Einstellungen!$C$3,12,1)))</f>
        <v/>
      </c>
      <c r="N17" s="54">
        <f>IF($B17="","",SUMIFS(Erfassung!$E$6:$E$5005,Erfassung!$B$6:$B$5005,$A17,Erfassung!$A$6:$A$5005,"&gt;="&amp;DATE(Einstellungen!$C$3,12,1),Erfassung!$A$6:$A$5005,"&lt;"&amp;DATE(Einstellungen!$C$3,13,1)))</f>
        <v/>
      </c>
      <c r="O17" s="45">
        <f>IF($B17="","",SUM(C17:N17))</f>
        <v/>
      </c>
      <c r="P17" s="54">
        <f>IF($B17="","",SUMIFS(Erfassung!$G$6:$G$5005,Erfassung!$B$6:$B$5005,$A17,Erfassung!$A$6:$A$5005,"&gt;="&amp;DATE(Einstellungen!$C$3,1,1),Erfassung!$A$6:$A$5005,"&lt;"&amp;DATE(Einstellungen!$C$3,2,1)))</f>
        <v/>
      </c>
      <c r="Q17" s="54">
        <f>IF($B17="","",SUMIFS(Erfassung!$G$6:$G$5005,Erfassung!$B$6:$B$5005,$A17,Erfassung!$A$6:$A$5005,"&gt;="&amp;DATE(Einstellungen!$C$3,2,1),Erfassung!$A$6:$A$5005,"&lt;"&amp;DATE(Einstellungen!$C$3,3,1)))</f>
        <v/>
      </c>
      <c r="R17" s="54">
        <f>IF($B17="","",SUMIFS(Erfassung!$G$6:$G$5005,Erfassung!$B$6:$B$5005,$A17,Erfassung!$A$6:$A$5005,"&gt;="&amp;DATE(Einstellungen!$C$3,3,1),Erfassung!$A$6:$A$5005,"&lt;"&amp;DATE(Einstellungen!$C$3,4,1)))</f>
        <v/>
      </c>
      <c r="S17" s="54">
        <f>IF($B17="","",SUMIFS(Erfassung!$G$6:$G$5005,Erfassung!$B$6:$B$5005,$A17,Erfassung!$A$6:$A$5005,"&gt;="&amp;DATE(Einstellungen!$C$3,4,1),Erfassung!$A$6:$A$5005,"&lt;"&amp;DATE(Einstellungen!$C$3,5,1)))</f>
        <v/>
      </c>
      <c r="T17" s="54">
        <f>IF($B17="","",SUMIFS(Erfassung!$G$6:$G$5005,Erfassung!$B$6:$B$5005,$A17,Erfassung!$A$6:$A$5005,"&gt;="&amp;DATE(Einstellungen!$C$3,5,1),Erfassung!$A$6:$A$5005,"&lt;"&amp;DATE(Einstellungen!$C$3,6,1)))</f>
        <v/>
      </c>
      <c r="U17" s="54">
        <f>IF($B17="","",SUMIFS(Erfassung!$G$6:$G$5005,Erfassung!$B$6:$B$5005,$A17,Erfassung!$A$6:$A$5005,"&gt;="&amp;DATE(Einstellungen!$C$3,6,1),Erfassung!$A$6:$A$5005,"&lt;"&amp;DATE(Einstellungen!$C$3,7,1)))</f>
        <v/>
      </c>
      <c r="V17" s="54">
        <f>IF($B17="","",SUMIFS(Erfassung!$G$6:$G$5005,Erfassung!$B$6:$B$5005,$A17,Erfassung!$A$6:$A$5005,"&gt;="&amp;DATE(Einstellungen!$C$3,7,1),Erfassung!$A$6:$A$5005,"&lt;"&amp;DATE(Einstellungen!$C$3,8,1)))</f>
        <v/>
      </c>
      <c r="W17" s="54">
        <f>IF($B17="","",SUMIFS(Erfassung!$G$6:$G$5005,Erfassung!$B$6:$B$5005,$A17,Erfassung!$A$6:$A$5005,"&gt;="&amp;DATE(Einstellungen!$C$3,8,1),Erfassung!$A$6:$A$5005,"&lt;"&amp;DATE(Einstellungen!$C$3,9,1)))</f>
        <v/>
      </c>
      <c r="X17" s="54">
        <f>IF($B17="","",SUMIFS(Erfassung!$G$6:$G$5005,Erfassung!$B$6:$B$5005,$A17,Erfassung!$A$6:$A$5005,"&gt;="&amp;DATE(Einstellungen!$C$3,9,1),Erfassung!$A$6:$A$5005,"&lt;"&amp;DATE(Einstellungen!$C$3,10,1)))</f>
        <v/>
      </c>
      <c r="Y17" s="54">
        <f>IF($B17="","",SUMIFS(Erfassung!$G$6:$G$5005,Erfassung!$B$6:$B$5005,$A17,Erfassung!$A$6:$A$5005,"&gt;="&amp;DATE(Einstellungen!$C$3,10,1),Erfassung!$A$6:$A$5005,"&lt;"&amp;DATE(Einstellungen!$C$3,11,1)))</f>
        <v/>
      </c>
      <c r="Z17" s="54">
        <f>IF($B17="","",SUMIFS(Erfassung!$G$6:$G$5005,Erfassung!$B$6:$B$5005,$A17,Erfassung!$A$6:$A$5005,"&gt;="&amp;DATE(Einstellungen!$C$3,11,1),Erfassung!$A$6:$A$5005,"&lt;"&amp;DATE(Einstellungen!$C$3,12,1)))</f>
        <v/>
      </c>
      <c r="AA17" s="54">
        <f>IF($B17="","",SUMIFS(Erfassung!$G$6:$G$5005,Erfassung!$B$6:$B$5005,$A17,Erfassung!$A$6:$A$5005,"&gt;="&amp;DATE(Einstellungen!$C$3,12,1),Erfassung!$A$6:$A$5005,"&lt;"&amp;DATE(Einstellungen!$C$3,13,1)))</f>
        <v/>
      </c>
      <c r="AB17" s="45">
        <f>IF($B17="","",SUM(P17:AA17))</f>
        <v/>
      </c>
      <c r="AC17" s="38">
        <f>IF($B17="","",IF(O17+AB17&gt;0,AB17/(O17+AB17),""))</f>
        <v/>
      </c>
    </row>
    <row r="18">
      <c r="A18" s="56">
        <f>'KQuote Mitarbeiter'!A18</f>
        <v/>
      </c>
      <c r="B18" s="57">
        <f>'KQuote Mitarbeiter'!B18</f>
        <v/>
      </c>
      <c r="C18" s="54">
        <f>IF($B18="","",SUMIFS(Erfassung!$E$6:$E$5005,Erfassung!$B$6:$B$5005,$A18,Erfassung!$A$6:$A$5005,"&gt;="&amp;DATE(Einstellungen!$C$3,1,1),Erfassung!$A$6:$A$5005,"&lt;"&amp;DATE(Einstellungen!$C$3,2,1)))</f>
        <v/>
      </c>
      <c r="D18" s="54">
        <f>IF($B18="","",SUMIFS(Erfassung!$E$6:$E$5005,Erfassung!$B$6:$B$5005,$A18,Erfassung!$A$6:$A$5005,"&gt;="&amp;DATE(Einstellungen!$C$3,2,1),Erfassung!$A$6:$A$5005,"&lt;"&amp;DATE(Einstellungen!$C$3,3,1)))</f>
        <v/>
      </c>
      <c r="E18" s="54">
        <f>IF($B18="","",SUMIFS(Erfassung!$E$6:$E$5005,Erfassung!$B$6:$B$5005,$A18,Erfassung!$A$6:$A$5005,"&gt;="&amp;DATE(Einstellungen!$C$3,3,1),Erfassung!$A$6:$A$5005,"&lt;"&amp;DATE(Einstellungen!$C$3,4,1)))</f>
        <v/>
      </c>
      <c r="F18" s="54">
        <f>IF($B18="","",SUMIFS(Erfassung!$E$6:$E$5005,Erfassung!$B$6:$B$5005,$A18,Erfassung!$A$6:$A$5005,"&gt;="&amp;DATE(Einstellungen!$C$3,4,1),Erfassung!$A$6:$A$5005,"&lt;"&amp;DATE(Einstellungen!$C$3,5,1)))</f>
        <v/>
      </c>
      <c r="G18" s="54">
        <f>IF($B18="","",SUMIFS(Erfassung!$E$6:$E$5005,Erfassung!$B$6:$B$5005,$A18,Erfassung!$A$6:$A$5005,"&gt;="&amp;DATE(Einstellungen!$C$3,5,1),Erfassung!$A$6:$A$5005,"&lt;"&amp;DATE(Einstellungen!$C$3,6,1)))</f>
        <v/>
      </c>
      <c r="H18" s="54">
        <f>IF($B18="","",SUMIFS(Erfassung!$E$6:$E$5005,Erfassung!$B$6:$B$5005,$A18,Erfassung!$A$6:$A$5005,"&gt;="&amp;DATE(Einstellungen!$C$3,6,1),Erfassung!$A$6:$A$5005,"&lt;"&amp;DATE(Einstellungen!$C$3,7,1)))</f>
        <v/>
      </c>
      <c r="I18" s="54">
        <f>IF($B18="","",SUMIFS(Erfassung!$E$6:$E$5005,Erfassung!$B$6:$B$5005,$A18,Erfassung!$A$6:$A$5005,"&gt;="&amp;DATE(Einstellungen!$C$3,7,1),Erfassung!$A$6:$A$5005,"&lt;"&amp;DATE(Einstellungen!$C$3,8,1)))</f>
        <v/>
      </c>
      <c r="J18" s="54">
        <f>IF($B18="","",SUMIFS(Erfassung!$E$6:$E$5005,Erfassung!$B$6:$B$5005,$A18,Erfassung!$A$6:$A$5005,"&gt;="&amp;DATE(Einstellungen!$C$3,8,1),Erfassung!$A$6:$A$5005,"&lt;"&amp;DATE(Einstellungen!$C$3,9,1)))</f>
        <v/>
      </c>
      <c r="K18" s="54">
        <f>IF($B18="","",SUMIFS(Erfassung!$E$6:$E$5005,Erfassung!$B$6:$B$5005,$A18,Erfassung!$A$6:$A$5005,"&gt;="&amp;DATE(Einstellungen!$C$3,9,1),Erfassung!$A$6:$A$5005,"&lt;"&amp;DATE(Einstellungen!$C$3,10,1)))</f>
        <v/>
      </c>
      <c r="L18" s="54">
        <f>IF($B18="","",SUMIFS(Erfassung!$E$6:$E$5005,Erfassung!$B$6:$B$5005,$A18,Erfassung!$A$6:$A$5005,"&gt;="&amp;DATE(Einstellungen!$C$3,10,1),Erfassung!$A$6:$A$5005,"&lt;"&amp;DATE(Einstellungen!$C$3,11,1)))</f>
        <v/>
      </c>
      <c r="M18" s="54">
        <f>IF($B18="","",SUMIFS(Erfassung!$E$6:$E$5005,Erfassung!$B$6:$B$5005,$A18,Erfassung!$A$6:$A$5005,"&gt;="&amp;DATE(Einstellungen!$C$3,11,1),Erfassung!$A$6:$A$5005,"&lt;"&amp;DATE(Einstellungen!$C$3,12,1)))</f>
        <v/>
      </c>
      <c r="N18" s="54">
        <f>IF($B18="","",SUMIFS(Erfassung!$E$6:$E$5005,Erfassung!$B$6:$B$5005,$A18,Erfassung!$A$6:$A$5005,"&gt;="&amp;DATE(Einstellungen!$C$3,12,1),Erfassung!$A$6:$A$5005,"&lt;"&amp;DATE(Einstellungen!$C$3,13,1)))</f>
        <v/>
      </c>
      <c r="O18" s="45">
        <f>IF($B18="","",SUM(C18:N18))</f>
        <v/>
      </c>
      <c r="P18" s="54">
        <f>IF($B18="","",SUMIFS(Erfassung!$G$6:$G$5005,Erfassung!$B$6:$B$5005,$A18,Erfassung!$A$6:$A$5005,"&gt;="&amp;DATE(Einstellungen!$C$3,1,1),Erfassung!$A$6:$A$5005,"&lt;"&amp;DATE(Einstellungen!$C$3,2,1)))</f>
        <v/>
      </c>
      <c r="Q18" s="54">
        <f>IF($B18="","",SUMIFS(Erfassung!$G$6:$G$5005,Erfassung!$B$6:$B$5005,$A18,Erfassung!$A$6:$A$5005,"&gt;="&amp;DATE(Einstellungen!$C$3,2,1),Erfassung!$A$6:$A$5005,"&lt;"&amp;DATE(Einstellungen!$C$3,3,1)))</f>
        <v/>
      </c>
      <c r="R18" s="54">
        <f>IF($B18="","",SUMIFS(Erfassung!$G$6:$G$5005,Erfassung!$B$6:$B$5005,$A18,Erfassung!$A$6:$A$5005,"&gt;="&amp;DATE(Einstellungen!$C$3,3,1),Erfassung!$A$6:$A$5005,"&lt;"&amp;DATE(Einstellungen!$C$3,4,1)))</f>
        <v/>
      </c>
      <c r="S18" s="54">
        <f>IF($B18="","",SUMIFS(Erfassung!$G$6:$G$5005,Erfassung!$B$6:$B$5005,$A18,Erfassung!$A$6:$A$5005,"&gt;="&amp;DATE(Einstellungen!$C$3,4,1),Erfassung!$A$6:$A$5005,"&lt;"&amp;DATE(Einstellungen!$C$3,5,1)))</f>
        <v/>
      </c>
      <c r="T18" s="54">
        <f>IF($B18="","",SUMIFS(Erfassung!$G$6:$G$5005,Erfassung!$B$6:$B$5005,$A18,Erfassung!$A$6:$A$5005,"&gt;="&amp;DATE(Einstellungen!$C$3,5,1),Erfassung!$A$6:$A$5005,"&lt;"&amp;DATE(Einstellungen!$C$3,6,1)))</f>
        <v/>
      </c>
      <c r="U18" s="54">
        <f>IF($B18="","",SUMIFS(Erfassung!$G$6:$G$5005,Erfassung!$B$6:$B$5005,$A18,Erfassung!$A$6:$A$5005,"&gt;="&amp;DATE(Einstellungen!$C$3,6,1),Erfassung!$A$6:$A$5005,"&lt;"&amp;DATE(Einstellungen!$C$3,7,1)))</f>
        <v/>
      </c>
      <c r="V18" s="54">
        <f>IF($B18="","",SUMIFS(Erfassung!$G$6:$G$5005,Erfassung!$B$6:$B$5005,$A18,Erfassung!$A$6:$A$5005,"&gt;="&amp;DATE(Einstellungen!$C$3,7,1),Erfassung!$A$6:$A$5005,"&lt;"&amp;DATE(Einstellungen!$C$3,8,1)))</f>
        <v/>
      </c>
      <c r="W18" s="54">
        <f>IF($B18="","",SUMIFS(Erfassung!$G$6:$G$5005,Erfassung!$B$6:$B$5005,$A18,Erfassung!$A$6:$A$5005,"&gt;="&amp;DATE(Einstellungen!$C$3,8,1),Erfassung!$A$6:$A$5005,"&lt;"&amp;DATE(Einstellungen!$C$3,9,1)))</f>
        <v/>
      </c>
      <c r="X18" s="54">
        <f>IF($B18="","",SUMIFS(Erfassung!$G$6:$G$5005,Erfassung!$B$6:$B$5005,$A18,Erfassung!$A$6:$A$5005,"&gt;="&amp;DATE(Einstellungen!$C$3,9,1),Erfassung!$A$6:$A$5005,"&lt;"&amp;DATE(Einstellungen!$C$3,10,1)))</f>
        <v/>
      </c>
      <c r="Y18" s="54">
        <f>IF($B18="","",SUMIFS(Erfassung!$G$6:$G$5005,Erfassung!$B$6:$B$5005,$A18,Erfassung!$A$6:$A$5005,"&gt;="&amp;DATE(Einstellungen!$C$3,10,1),Erfassung!$A$6:$A$5005,"&lt;"&amp;DATE(Einstellungen!$C$3,11,1)))</f>
        <v/>
      </c>
      <c r="Z18" s="54">
        <f>IF($B18="","",SUMIFS(Erfassung!$G$6:$G$5005,Erfassung!$B$6:$B$5005,$A18,Erfassung!$A$6:$A$5005,"&gt;="&amp;DATE(Einstellungen!$C$3,11,1),Erfassung!$A$6:$A$5005,"&lt;"&amp;DATE(Einstellungen!$C$3,12,1)))</f>
        <v/>
      </c>
      <c r="AA18" s="54">
        <f>IF($B18="","",SUMIFS(Erfassung!$G$6:$G$5005,Erfassung!$B$6:$B$5005,$A18,Erfassung!$A$6:$A$5005,"&gt;="&amp;DATE(Einstellungen!$C$3,12,1),Erfassung!$A$6:$A$5005,"&lt;"&amp;DATE(Einstellungen!$C$3,13,1)))</f>
        <v/>
      </c>
      <c r="AB18" s="45">
        <f>IF($B18="","",SUM(P18:AA18))</f>
        <v/>
      </c>
      <c r="AC18" s="38">
        <f>IF($B18="","",IF(O18+AB18&gt;0,AB18/(O18+AB18),""))</f>
        <v/>
      </c>
    </row>
    <row r="19">
      <c r="A19" s="56">
        <f>'KQuote Mitarbeiter'!A19</f>
        <v/>
      </c>
      <c r="B19" s="57">
        <f>'KQuote Mitarbeiter'!B19</f>
        <v/>
      </c>
      <c r="C19" s="54">
        <f>IF($B19="","",SUMIFS(Erfassung!$E$6:$E$5005,Erfassung!$B$6:$B$5005,$A19,Erfassung!$A$6:$A$5005,"&gt;="&amp;DATE(Einstellungen!$C$3,1,1),Erfassung!$A$6:$A$5005,"&lt;"&amp;DATE(Einstellungen!$C$3,2,1)))</f>
        <v/>
      </c>
      <c r="D19" s="54">
        <f>IF($B19="","",SUMIFS(Erfassung!$E$6:$E$5005,Erfassung!$B$6:$B$5005,$A19,Erfassung!$A$6:$A$5005,"&gt;="&amp;DATE(Einstellungen!$C$3,2,1),Erfassung!$A$6:$A$5005,"&lt;"&amp;DATE(Einstellungen!$C$3,3,1)))</f>
        <v/>
      </c>
      <c r="E19" s="54">
        <f>IF($B19="","",SUMIFS(Erfassung!$E$6:$E$5005,Erfassung!$B$6:$B$5005,$A19,Erfassung!$A$6:$A$5005,"&gt;="&amp;DATE(Einstellungen!$C$3,3,1),Erfassung!$A$6:$A$5005,"&lt;"&amp;DATE(Einstellungen!$C$3,4,1)))</f>
        <v/>
      </c>
      <c r="F19" s="54">
        <f>IF($B19="","",SUMIFS(Erfassung!$E$6:$E$5005,Erfassung!$B$6:$B$5005,$A19,Erfassung!$A$6:$A$5005,"&gt;="&amp;DATE(Einstellungen!$C$3,4,1),Erfassung!$A$6:$A$5005,"&lt;"&amp;DATE(Einstellungen!$C$3,5,1)))</f>
        <v/>
      </c>
      <c r="G19" s="54">
        <f>IF($B19="","",SUMIFS(Erfassung!$E$6:$E$5005,Erfassung!$B$6:$B$5005,$A19,Erfassung!$A$6:$A$5005,"&gt;="&amp;DATE(Einstellungen!$C$3,5,1),Erfassung!$A$6:$A$5005,"&lt;"&amp;DATE(Einstellungen!$C$3,6,1)))</f>
        <v/>
      </c>
      <c r="H19" s="54">
        <f>IF($B19="","",SUMIFS(Erfassung!$E$6:$E$5005,Erfassung!$B$6:$B$5005,$A19,Erfassung!$A$6:$A$5005,"&gt;="&amp;DATE(Einstellungen!$C$3,6,1),Erfassung!$A$6:$A$5005,"&lt;"&amp;DATE(Einstellungen!$C$3,7,1)))</f>
        <v/>
      </c>
      <c r="I19" s="54">
        <f>IF($B19="","",SUMIFS(Erfassung!$E$6:$E$5005,Erfassung!$B$6:$B$5005,$A19,Erfassung!$A$6:$A$5005,"&gt;="&amp;DATE(Einstellungen!$C$3,7,1),Erfassung!$A$6:$A$5005,"&lt;"&amp;DATE(Einstellungen!$C$3,8,1)))</f>
        <v/>
      </c>
      <c r="J19" s="54">
        <f>IF($B19="","",SUMIFS(Erfassung!$E$6:$E$5005,Erfassung!$B$6:$B$5005,$A19,Erfassung!$A$6:$A$5005,"&gt;="&amp;DATE(Einstellungen!$C$3,8,1),Erfassung!$A$6:$A$5005,"&lt;"&amp;DATE(Einstellungen!$C$3,9,1)))</f>
        <v/>
      </c>
      <c r="K19" s="54">
        <f>IF($B19="","",SUMIFS(Erfassung!$E$6:$E$5005,Erfassung!$B$6:$B$5005,$A19,Erfassung!$A$6:$A$5005,"&gt;="&amp;DATE(Einstellungen!$C$3,9,1),Erfassung!$A$6:$A$5005,"&lt;"&amp;DATE(Einstellungen!$C$3,10,1)))</f>
        <v/>
      </c>
      <c r="L19" s="54">
        <f>IF($B19="","",SUMIFS(Erfassung!$E$6:$E$5005,Erfassung!$B$6:$B$5005,$A19,Erfassung!$A$6:$A$5005,"&gt;="&amp;DATE(Einstellungen!$C$3,10,1),Erfassung!$A$6:$A$5005,"&lt;"&amp;DATE(Einstellungen!$C$3,11,1)))</f>
        <v/>
      </c>
      <c r="M19" s="54">
        <f>IF($B19="","",SUMIFS(Erfassung!$E$6:$E$5005,Erfassung!$B$6:$B$5005,$A19,Erfassung!$A$6:$A$5005,"&gt;="&amp;DATE(Einstellungen!$C$3,11,1),Erfassung!$A$6:$A$5005,"&lt;"&amp;DATE(Einstellungen!$C$3,12,1)))</f>
        <v/>
      </c>
      <c r="N19" s="54">
        <f>IF($B19="","",SUMIFS(Erfassung!$E$6:$E$5005,Erfassung!$B$6:$B$5005,$A19,Erfassung!$A$6:$A$5005,"&gt;="&amp;DATE(Einstellungen!$C$3,12,1),Erfassung!$A$6:$A$5005,"&lt;"&amp;DATE(Einstellungen!$C$3,13,1)))</f>
        <v/>
      </c>
      <c r="O19" s="45">
        <f>IF($B19="","",SUM(C19:N19))</f>
        <v/>
      </c>
      <c r="P19" s="54">
        <f>IF($B19="","",SUMIFS(Erfassung!$G$6:$G$5005,Erfassung!$B$6:$B$5005,$A19,Erfassung!$A$6:$A$5005,"&gt;="&amp;DATE(Einstellungen!$C$3,1,1),Erfassung!$A$6:$A$5005,"&lt;"&amp;DATE(Einstellungen!$C$3,2,1)))</f>
        <v/>
      </c>
      <c r="Q19" s="54">
        <f>IF($B19="","",SUMIFS(Erfassung!$G$6:$G$5005,Erfassung!$B$6:$B$5005,$A19,Erfassung!$A$6:$A$5005,"&gt;="&amp;DATE(Einstellungen!$C$3,2,1),Erfassung!$A$6:$A$5005,"&lt;"&amp;DATE(Einstellungen!$C$3,3,1)))</f>
        <v/>
      </c>
      <c r="R19" s="54">
        <f>IF($B19="","",SUMIFS(Erfassung!$G$6:$G$5005,Erfassung!$B$6:$B$5005,$A19,Erfassung!$A$6:$A$5005,"&gt;="&amp;DATE(Einstellungen!$C$3,3,1),Erfassung!$A$6:$A$5005,"&lt;"&amp;DATE(Einstellungen!$C$3,4,1)))</f>
        <v/>
      </c>
      <c r="S19" s="54">
        <f>IF($B19="","",SUMIFS(Erfassung!$G$6:$G$5005,Erfassung!$B$6:$B$5005,$A19,Erfassung!$A$6:$A$5005,"&gt;="&amp;DATE(Einstellungen!$C$3,4,1),Erfassung!$A$6:$A$5005,"&lt;"&amp;DATE(Einstellungen!$C$3,5,1)))</f>
        <v/>
      </c>
      <c r="T19" s="54">
        <f>IF($B19="","",SUMIFS(Erfassung!$G$6:$G$5005,Erfassung!$B$6:$B$5005,$A19,Erfassung!$A$6:$A$5005,"&gt;="&amp;DATE(Einstellungen!$C$3,5,1),Erfassung!$A$6:$A$5005,"&lt;"&amp;DATE(Einstellungen!$C$3,6,1)))</f>
        <v/>
      </c>
      <c r="U19" s="54">
        <f>IF($B19="","",SUMIFS(Erfassung!$G$6:$G$5005,Erfassung!$B$6:$B$5005,$A19,Erfassung!$A$6:$A$5005,"&gt;="&amp;DATE(Einstellungen!$C$3,6,1),Erfassung!$A$6:$A$5005,"&lt;"&amp;DATE(Einstellungen!$C$3,7,1)))</f>
        <v/>
      </c>
      <c r="V19" s="54">
        <f>IF($B19="","",SUMIFS(Erfassung!$G$6:$G$5005,Erfassung!$B$6:$B$5005,$A19,Erfassung!$A$6:$A$5005,"&gt;="&amp;DATE(Einstellungen!$C$3,7,1),Erfassung!$A$6:$A$5005,"&lt;"&amp;DATE(Einstellungen!$C$3,8,1)))</f>
        <v/>
      </c>
      <c r="W19" s="54">
        <f>IF($B19="","",SUMIFS(Erfassung!$G$6:$G$5005,Erfassung!$B$6:$B$5005,$A19,Erfassung!$A$6:$A$5005,"&gt;="&amp;DATE(Einstellungen!$C$3,8,1),Erfassung!$A$6:$A$5005,"&lt;"&amp;DATE(Einstellungen!$C$3,9,1)))</f>
        <v/>
      </c>
      <c r="X19" s="54">
        <f>IF($B19="","",SUMIFS(Erfassung!$G$6:$G$5005,Erfassung!$B$6:$B$5005,$A19,Erfassung!$A$6:$A$5005,"&gt;="&amp;DATE(Einstellungen!$C$3,9,1),Erfassung!$A$6:$A$5005,"&lt;"&amp;DATE(Einstellungen!$C$3,10,1)))</f>
        <v/>
      </c>
      <c r="Y19" s="54">
        <f>IF($B19="","",SUMIFS(Erfassung!$G$6:$G$5005,Erfassung!$B$6:$B$5005,$A19,Erfassung!$A$6:$A$5005,"&gt;="&amp;DATE(Einstellungen!$C$3,10,1),Erfassung!$A$6:$A$5005,"&lt;"&amp;DATE(Einstellungen!$C$3,11,1)))</f>
        <v/>
      </c>
      <c r="Z19" s="54">
        <f>IF($B19="","",SUMIFS(Erfassung!$G$6:$G$5005,Erfassung!$B$6:$B$5005,$A19,Erfassung!$A$6:$A$5005,"&gt;="&amp;DATE(Einstellungen!$C$3,11,1),Erfassung!$A$6:$A$5005,"&lt;"&amp;DATE(Einstellungen!$C$3,12,1)))</f>
        <v/>
      </c>
      <c r="AA19" s="54">
        <f>IF($B19="","",SUMIFS(Erfassung!$G$6:$G$5005,Erfassung!$B$6:$B$5005,$A19,Erfassung!$A$6:$A$5005,"&gt;="&amp;DATE(Einstellungen!$C$3,12,1),Erfassung!$A$6:$A$5005,"&lt;"&amp;DATE(Einstellungen!$C$3,13,1)))</f>
        <v/>
      </c>
      <c r="AB19" s="45">
        <f>IF($B19="","",SUM(P19:AA19))</f>
        <v/>
      </c>
      <c r="AC19" s="38">
        <f>IF($B19="","",IF(O19+AB19&gt;0,AB19/(O19+AB19),""))</f>
        <v/>
      </c>
    </row>
    <row r="20">
      <c r="A20" s="56">
        <f>'KQuote Mitarbeiter'!A20</f>
        <v/>
      </c>
      <c r="B20" s="57">
        <f>'KQuote Mitarbeiter'!B20</f>
        <v/>
      </c>
      <c r="C20" s="54">
        <f>IF($B20="","",SUMIFS(Erfassung!$E$6:$E$5005,Erfassung!$B$6:$B$5005,$A20,Erfassung!$A$6:$A$5005,"&gt;="&amp;DATE(Einstellungen!$C$3,1,1),Erfassung!$A$6:$A$5005,"&lt;"&amp;DATE(Einstellungen!$C$3,2,1)))</f>
        <v/>
      </c>
      <c r="D20" s="54">
        <f>IF($B20="","",SUMIFS(Erfassung!$E$6:$E$5005,Erfassung!$B$6:$B$5005,$A20,Erfassung!$A$6:$A$5005,"&gt;="&amp;DATE(Einstellungen!$C$3,2,1),Erfassung!$A$6:$A$5005,"&lt;"&amp;DATE(Einstellungen!$C$3,3,1)))</f>
        <v/>
      </c>
      <c r="E20" s="54">
        <f>IF($B20="","",SUMIFS(Erfassung!$E$6:$E$5005,Erfassung!$B$6:$B$5005,$A20,Erfassung!$A$6:$A$5005,"&gt;="&amp;DATE(Einstellungen!$C$3,3,1),Erfassung!$A$6:$A$5005,"&lt;"&amp;DATE(Einstellungen!$C$3,4,1)))</f>
        <v/>
      </c>
      <c r="F20" s="54">
        <f>IF($B20="","",SUMIFS(Erfassung!$E$6:$E$5005,Erfassung!$B$6:$B$5005,$A20,Erfassung!$A$6:$A$5005,"&gt;="&amp;DATE(Einstellungen!$C$3,4,1),Erfassung!$A$6:$A$5005,"&lt;"&amp;DATE(Einstellungen!$C$3,5,1)))</f>
        <v/>
      </c>
      <c r="G20" s="54">
        <f>IF($B20="","",SUMIFS(Erfassung!$E$6:$E$5005,Erfassung!$B$6:$B$5005,$A20,Erfassung!$A$6:$A$5005,"&gt;="&amp;DATE(Einstellungen!$C$3,5,1),Erfassung!$A$6:$A$5005,"&lt;"&amp;DATE(Einstellungen!$C$3,6,1)))</f>
        <v/>
      </c>
      <c r="H20" s="54">
        <f>IF($B20="","",SUMIFS(Erfassung!$E$6:$E$5005,Erfassung!$B$6:$B$5005,$A20,Erfassung!$A$6:$A$5005,"&gt;="&amp;DATE(Einstellungen!$C$3,6,1),Erfassung!$A$6:$A$5005,"&lt;"&amp;DATE(Einstellungen!$C$3,7,1)))</f>
        <v/>
      </c>
      <c r="I20" s="54">
        <f>IF($B20="","",SUMIFS(Erfassung!$E$6:$E$5005,Erfassung!$B$6:$B$5005,$A20,Erfassung!$A$6:$A$5005,"&gt;="&amp;DATE(Einstellungen!$C$3,7,1),Erfassung!$A$6:$A$5005,"&lt;"&amp;DATE(Einstellungen!$C$3,8,1)))</f>
        <v/>
      </c>
      <c r="J20" s="54">
        <f>IF($B20="","",SUMIFS(Erfassung!$E$6:$E$5005,Erfassung!$B$6:$B$5005,$A20,Erfassung!$A$6:$A$5005,"&gt;="&amp;DATE(Einstellungen!$C$3,8,1),Erfassung!$A$6:$A$5005,"&lt;"&amp;DATE(Einstellungen!$C$3,9,1)))</f>
        <v/>
      </c>
      <c r="K20" s="54">
        <f>IF($B20="","",SUMIFS(Erfassung!$E$6:$E$5005,Erfassung!$B$6:$B$5005,$A20,Erfassung!$A$6:$A$5005,"&gt;="&amp;DATE(Einstellungen!$C$3,9,1),Erfassung!$A$6:$A$5005,"&lt;"&amp;DATE(Einstellungen!$C$3,10,1)))</f>
        <v/>
      </c>
      <c r="L20" s="54">
        <f>IF($B20="","",SUMIFS(Erfassung!$E$6:$E$5005,Erfassung!$B$6:$B$5005,$A20,Erfassung!$A$6:$A$5005,"&gt;="&amp;DATE(Einstellungen!$C$3,10,1),Erfassung!$A$6:$A$5005,"&lt;"&amp;DATE(Einstellungen!$C$3,11,1)))</f>
        <v/>
      </c>
      <c r="M20" s="54">
        <f>IF($B20="","",SUMIFS(Erfassung!$E$6:$E$5005,Erfassung!$B$6:$B$5005,$A20,Erfassung!$A$6:$A$5005,"&gt;="&amp;DATE(Einstellungen!$C$3,11,1),Erfassung!$A$6:$A$5005,"&lt;"&amp;DATE(Einstellungen!$C$3,12,1)))</f>
        <v/>
      </c>
      <c r="N20" s="54">
        <f>IF($B20="","",SUMIFS(Erfassung!$E$6:$E$5005,Erfassung!$B$6:$B$5005,$A20,Erfassung!$A$6:$A$5005,"&gt;="&amp;DATE(Einstellungen!$C$3,12,1),Erfassung!$A$6:$A$5005,"&lt;"&amp;DATE(Einstellungen!$C$3,13,1)))</f>
        <v/>
      </c>
      <c r="O20" s="45">
        <f>IF($B20="","",SUM(C20:N20))</f>
        <v/>
      </c>
      <c r="P20" s="54">
        <f>IF($B20="","",SUMIFS(Erfassung!$G$6:$G$5005,Erfassung!$B$6:$B$5005,$A20,Erfassung!$A$6:$A$5005,"&gt;="&amp;DATE(Einstellungen!$C$3,1,1),Erfassung!$A$6:$A$5005,"&lt;"&amp;DATE(Einstellungen!$C$3,2,1)))</f>
        <v/>
      </c>
      <c r="Q20" s="54">
        <f>IF($B20="","",SUMIFS(Erfassung!$G$6:$G$5005,Erfassung!$B$6:$B$5005,$A20,Erfassung!$A$6:$A$5005,"&gt;="&amp;DATE(Einstellungen!$C$3,2,1),Erfassung!$A$6:$A$5005,"&lt;"&amp;DATE(Einstellungen!$C$3,3,1)))</f>
        <v/>
      </c>
      <c r="R20" s="54">
        <f>IF($B20="","",SUMIFS(Erfassung!$G$6:$G$5005,Erfassung!$B$6:$B$5005,$A20,Erfassung!$A$6:$A$5005,"&gt;="&amp;DATE(Einstellungen!$C$3,3,1),Erfassung!$A$6:$A$5005,"&lt;"&amp;DATE(Einstellungen!$C$3,4,1)))</f>
        <v/>
      </c>
      <c r="S20" s="54">
        <f>IF($B20="","",SUMIFS(Erfassung!$G$6:$G$5005,Erfassung!$B$6:$B$5005,$A20,Erfassung!$A$6:$A$5005,"&gt;="&amp;DATE(Einstellungen!$C$3,4,1),Erfassung!$A$6:$A$5005,"&lt;"&amp;DATE(Einstellungen!$C$3,5,1)))</f>
        <v/>
      </c>
      <c r="T20" s="54">
        <f>IF($B20="","",SUMIFS(Erfassung!$G$6:$G$5005,Erfassung!$B$6:$B$5005,$A20,Erfassung!$A$6:$A$5005,"&gt;="&amp;DATE(Einstellungen!$C$3,5,1),Erfassung!$A$6:$A$5005,"&lt;"&amp;DATE(Einstellungen!$C$3,6,1)))</f>
        <v/>
      </c>
      <c r="U20" s="54">
        <f>IF($B20="","",SUMIFS(Erfassung!$G$6:$G$5005,Erfassung!$B$6:$B$5005,$A20,Erfassung!$A$6:$A$5005,"&gt;="&amp;DATE(Einstellungen!$C$3,6,1),Erfassung!$A$6:$A$5005,"&lt;"&amp;DATE(Einstellungen!$C$3,7,1)))</f>
        <v/>
      </c>
      <c r="V20" s="54">
        <f>IF($B20="","",SUMIFS(Erfassung!$G$6:$G$5005,Erfassung!$B$6:$B$5005,$A20,Erfassung!$A$6:$A$5005,"&gt;="&amp;DATE(Einstellungen!$C$3,7,1),Erfassung!$A$6:$A$5005,"&lt;"&amp;DATE(Einstellungen!$C$3,8,1)))</f>
        <v/>
      </c>
      <c r="W20" s="54">
        <f>IF($B20="","",SUMIFS(Erfassung!$G$6:$G$5005,Erfassung!$B$6:$B$5005,$A20,Erfassung!$A$6:$A$5005,"&gt;="&amp;DATE(Einstellungen!$C$3,8,1),Erfassung!$A$6:$A$5005,"&lt;"&amp;DATE(Einstellungen!$C$3,9,1)))</f>
        <v/>
      </c>
      <c r="X20" s="54">
        <f>IF($B20="","",SUMIFS(Erfassung!$G$6:$G$5005,Erfassung!$B$6:$B$5005,$A20,Erfassung!$A$6:$A$5005,"&gt;="&amp;DATE(Einstellungen!$C$3,9,1),Erfassung!$A$6:$A$5005,"&lt;"&amp;DATE(Einstellungen!$C$3,10,1)))</f>
        <v/>
      </c>
      <c r="Y20" s="54">
        <f>IF($B20="","",SUMIFS(Erfassung!$G$6:$G$5005,Erfassung!$B$6:$B$5005,$A20,Erfassung!$A$6:$A$5005,"&gt;="&amp;DATE(Einstellungen!$C$3,10,1),Erfassung!$A$6:$A$5005,"&lt;"&amp;DATE(Einstellungen!$C$3,11,1)))</f>
        <v/>
      </c>
      <c r="Z20" s="54">
        <f>IF($B20="","",SUMIFS(Erfassung!$G$6:$G$5005,Erfassung!$B$6:$B$5005,$A20,Erfassung!$A$6:$A$5005,"&gt;="&amp;DATE(Einstellungen!$C$3,11,1),Erfassung!$A$6:$A$5005,"&lt;"&amp;DATE(Einstellungen!$C$3,12,1)))</f>
        <v/>
      </c>
      <c r="AA20" s="54">
        <f>IF($B20="","",SUMIFS(Erfassung!$G$6:$G$5005,Erfassung!$B$6:$B$5005,$A20,Erfassung!$A$6:$A$5005,"&gt;="&amp;DATE(Einstellungen!$C$3,12,1),Erfassung!$A$6:$A$5005,"&lt;"&amp;DATE(Einstellungen!$C$3,13,1)))</f>
        <v/>
      </c>
      <c r="AB20" s="45">
        <f>IF($B20="","",SUM(P20:AA20))</f>
        <v/>
      </c>
      <c r="AC20" s="38">
        <f>IF($B20="","",IF(O20+AB20&gt;0,AB20/(O20+AB20),""))</f>
        <v/>
      </c>
    </row>
    <row r="21">
      <c r="A21" s="56">
        <f>'KQuote Mitarbeiter'!A21</f>
        <v/>
      </c>
      <c r="B21" s="57">
        <f>'KQuote Mitarbeiter'!B21</f>
        <v/>
      </c>
      <c r="C21" s="54">
        <f>IF($B21="","",SUMIFS(Erfassung!$E$6:$E$5005,Erfassung!$B$6:$B$5005,$A21,Erfassung!$A$6:$A$5005,"&gt;="&amp;DATE(Einstellungen!$C$3,1,1),Erfassung!$A$6:$A$5005,"&lt;"&amp;DATE(Einstellungen!$C$3,2,1)))</f>
        <v/>
      </c>
      <c r="D21" s="54">
        <f>IF($B21="","",SUMIFS(Erfassung!$E$6:$E$5005,Erfassung!$B$6:$B$5005,$A21,Erfassung!$A$6:$A$5005,"&gt;="&amp;DATE(Einstellungen!$C$3,2,1),Erfassung!$A$6:$A$5005,"&lt;"&amp;DATE(Einstellungen!$C$3,3,1)))</f>
        <v/>
      </c>
      <c r="E21" s="54">
        <f>IF($B21="","",SUMIFS(Erfassung!$E$6:$E$5005,Erfassung!$B$6:$B$5005,$A21,Erfassung!$A$6:$A$5005,"&gt;="&amp;DATE(Einstellungen!$C$3,3,1),Erfassung!$A$6:$A$5005,"&lt;"&amp;DATE(Einstellungen!$C$3,4,1)))</f>
        <v/>
      </c>
      <c r="F21" s="54">
        <f>IF($B21="","",SUMIFS(Erfassung!$E$6:$E$5005,Erfassung!$B$6:$B$5005,$A21,Erfassung!$A$6:$A$5005,"&gt;="&amp;DATE(Einstellungen!$C$3,4,1),Erfassung!$A$6:$A$5005,"&lt;"&amp;DATE(Einstellungen!$C$3,5,1)))</f>
        <v/>
      </c>
      <c r="G21" s="54">
        <f>IF($B21="","",SUMIFS(Erfassung!$E$6:$E$5005,Erfassung!$B$6:$B$5005,$A21,Erfassung!$A$6:$A$5005,"&gt;="&amp;DATE(Einstellungen!$C$3,5,1),Erfassung!$A$6:$A$5005,"&lt;"&amp;DATE(Einstellungen!$C$3,6,1)))</f>
        <v/>
      </c>
      <c r="H21" s="54">
        <f>IF($B21="","",SUMIFS(Erfassung!$E$6:$E$5005,Erfassung!$B$6:$B$5005,$A21,Erfassung!$A$6:$A$5005,"&gt;="&amp;DATE(Einstellungen!$C$3,6,1),Erfassung!$A$6:$A$5005,"&lt;"&amp;DATE(Einstellungen!$C$3,7,1)))</f>
        <v/>
      </c>
      <c r="I21" s="54">
        <f>IF($B21="","",SUMIFS(Erfassung!$E$6:$E$5005,Erfassung!$B$6:$B$5005,$A21,Erfassung!$A$6:$A$5005,"&gt;="&amp;DATE(Einstellungen!$C$3,7,1),Erfassung!$A$6:$A$5005,"&lt;"&amp;DATE(Einstellungen!$C$3,8,1)))</f>
        <v/>
      </c>
      <c r="J21" s="54">
        <f>IF($B21="","",SUMIFS(Erfassung!$E$6:$E$5005,Erfassung!$B$6:$B$5005,$A21,Erfassung!$A$6:$A$5005,"&gt;="&amp;DATE(Einstellungen!$C$3,8,1),Erfassung!$A$6:$A$5005,"&lt;"&amp;DATE(Einstellungen!$C$3,9,1)))</f>
        <v/>
      </c>
      <c r="K21" s="54">
        <f>IF($B21="","",SUMIFS(Erfassung!$E$6:$E$5005,Erfassung!$B$6:$B$5005,$A21,Erfassung!$A$6:$A$5005,"&gt;="&amp;DATE(Einstellungen!$C$3,9,1),Erfassung!$A$6:$A$5005,"&lt;"&amp;DATE(Einstellungen!$C$3,10,1)))</f>
        <v/>
      </c>
      <c r="L21" s="54">
        <f>IF($B21="","",SUMIFS(Erfassung!$E$6:$E$5005,Erfassung!$B$6:$B$5005,$A21,Erfassung!$A$6:$A$5005,"&gt;="&amp;DATE(Einstellungen!$C$3,10,1),Erfassung!$A$6:$A$5005,"&lt;"&amp;DATE(Einstellungen!$C$3,11,1)))</f>
        <v/>
      </c>
      <c r="M21" s="54">
        <f>IF($B21="","",SUMIFS(Erfassung!$E$6:$E$5005,Erfassung!$B$6:$B$5005,$A21,Erfassung!$A$6:$A$5005,"&gt;="&amp;DATE(Einstellungen!$C$3,11,1),Erfassung!$A$6:$A$5005,"&lt;"&amp;DATE(Einstellungen!$C$3,12,1)))</f>
        <v/>
      </c>
      <c r="N21" s="54">
        <f>IF($B21="","",SUMIFS(Erfassung!$E$6:$E$5005,Erfassung!$B$6:$B$5005,$A21,Erfassung!$A$6:$A$5005,"&gt;="&amp;DATE(Einstellungen!$C$3,12,1),Erfassung!$A$6:$A$5005,"&lt;"&amp;DATE(Einstellungen!$C$3,13,1)))</f>
        <v/>
      </c>
      <c r="O21" s="45">
        <f>IF($B21="","",SUM(C21:N21))</f>
        <v/>
      </c>
      <c r="P21" s="54">
        <f>IF($B21="","",SUMIFS(Erfassung!$G$6:$G$5005,Erfassung!$B$6:$B$5005,$A21,Erfassung!$A$6:$A$5005,"&gt;="&amp;DATE(Einstellungen!$C$3,1,1),Erfassung!$A$6:$A$5005,"&lt;"&amp;DATE(Einstellungen!$C$3,2,1)))</f>
        <v/>
      </c>
      <c r="Q21" s="54">
        <f>IF($B21="","",SUMIFS(Erfassung!$G$6:$G$5005,Erfassung!$B$6:$B$5005,$A21,Erfassung!$A$6:$A$5005,"&gt;="&amp;DATE(Einstellungen!$C$3,2,1),Erfassung!$A$6:$A$5005,"&lt;"&amp;DATE(Einstellungen!$C$3,3,1)))</f>
        <v/>
      </c>
      <c r="R21" s="54">
        <f>IF($B21="","",SUMIFS(Erfassung!$G$6:$G$5005,Erfassung!$B$6:$B$5005,$A21,Erfassung!$A$6:$A$5005,"&gt;="&amp;DATE(Einstellungen!$C$3,3,1),Erfassung!$A$6:$A$5005,"&lt;"&amp;DATE(Einstellungen!$C$3,4,1)))</f>
        <v/>
      </c>
      <c r="S21" s="54">
        <f>IF($B21="","",SUMIFS(Erfassung!$G$6:$G$5005,Erfassung!$B$6:$B$5005,$A21,Erfassung!$A$6:$A$5005,"&gt;="&amp;DATE(Einstellungen!$C$3,4,1),Erfassung!$A$6:$A$5005,"&lt;"&amp;DATE(Einstellungen!$C$3,5,1)))</f>
        <v/>
      </c>
      <c r="T21" s="54">
        <f>IF($B21="","",SUMIFS(Erfassung!$G$6:$G$5005,Erfassung!$B$6:$B$5005,$A21,Erfassung!$A$6:$A$5005,"&gt;="&amp;DATE(Einstellungen!$C$3,5,1),Erfassung!$A$6:$A$5005,"&lt;"&amp;DATE(Einstellungen!$C$3,6,1)))</f>
        <v/>
      </c>
      <c r="U21" s="54">
        <f>IF($B21="","",SUMIFS(Erfassung!$G$6:$G$5005,Erfassung!$B$6:$B$5005,$A21,Erfassung!$A$6:$A$5005,"&gt;="&amp;DATE(Einstellungen!$C$3,6,1),Erfassung!$A$6:$A$5005,"&lt;"&amp;DATE(Einstellungen!$C$3,7,1)))</f>
        <v/>
      </c>
      <c r="V21" s="54">
        <f>IF($B21="","",SUMIFS(Erfassung!$G$6:$G$5005,Erfassung!$B$6:$B$5005,$A21,Erfassung!$A$6:$A$5005,"&gt;="&amp;DATE(Einstellungen!$C$3,7,1),Erfassung!$A$6:$A$5005,"&lt;"&amp;DATE(Einstellungen!$C$3,8,1)))</f>
        <v/>
      </c>
      <c r="W21" s="54">
        <f>IF($B21="","",SUMIFS(Erfassung!$G$6:$G$5005,Erfassung!$B$6:$B$5005,$A21,Erfassung!$A$6:$A$5005,"&gt;="&amp;DATE(Einstellungen!$C$3,8,1),Erfassung!$A$6:$A$5005,"&lt;"&amp;DATE(Einstellungen!$C$3,9,1)))</f>
        <v/>
      </c>
      <c r="X21" s="54">
        <f>IF($B21="","",SUMIFS(Erfassung!$G$6:$G$5005,Erfassung!$B$6:$B$5005,$A21,Erfassung!$A$6:$A$5005,"&gt;="&amp;DATE(Einstellungen!$C$3,9,1),Erfassung!$A$6:$A$5005,"&lt;"&amp;DATE(Einstellungen!$C$3,10,1)))</f>
        <v/>
      </c>
      <c r="Y21" s="54">
        <f>IF($B21="","",SUMIFS(Erfassung!$G$6:$G$5005,Erfassung!$B$6:$B$5005,$A21,Erfassung!$A$6:$A$5005,"&gt;="&amp;DATE(Einstellungen!$C$3,10,1),Erfassung!$A$6:$A$5005,"&lt;"&amp;DATE(Einstellungen!$C$3,11,1)))</f>
        <v/>
      </c>
      <c r="Z21" s="54">
        <f>IF($B21="","",SUMIFS(Erfassung!$G$6:$G$5005,Erfassung!$B$6:$B$5005,$A21,Erfassung!$A$6:$A$5005,"&gt;="&amp;DATE(Einstellungen!$C$3,11,1),Erfassung!$A$6:$A$5005,"&lt;"&amp;DATE(Einstellungen!$C$3,12,1)))</f>
        <v/>
      </c>
      <c r="AA21" s="54">
        <f>IF($B21="","",SUMIFS(Erfassung!$G$6:$G$5005,Erfassung!$B$6:$B$5005,$A21,Erfassung!$A$6:$A$5005,"&gt;="&amp;DATE(Einstellungen!$C$3,12,1),Erfassung!$A$6:$A$5005,"&lt;"&amp;DATE(Einstellungen!$C$3,13,1)))</f>
        <v/>
      </c>
      <c r="AB21" s="45">
        <f>IF($B21="","",SUM(P21:AA21))</f>
        <v/>
      </c>
      <c r="AC21" s="38">
        <f>IF($B21="","",IF(O21+AB21&gt;0,AB21/(O21+AB21),""))</f>
        <v/>
      </c>
    </row>
    <row r="22">
      <c r="A22" s="56">
        <f>'KQuote Mitarbeiter'!A22</f>
        <v/>
      </c>
      <c r="B22" s="57">
        <f>'KQuote Mitarbeiter'!B22</f>
        <v/>
      </c>
      <c r="C22" s="54">
        <f>IF($B22="","",SUMIFS(Erfassung!$E$6:$E$5005,Erfassung!$B$6:$B$5005,$A22,Erfassung!$A$6:$A$5005,"&gt;="&amp;DATE(Einstellungen!$C$3,1,1),Erfassung!$A$6:$A$5005,"&lt;"&amp;DATE(Einstellungen!$C$3,2,1)))</f>
        <v/>
      </c>
      <c r="D22" s="54">
        <f>IF($B22="","",SUMIFS(Erfassung!$E$6:$E$5005,Erfassung!$B$6:$B$5005,$A22,Erfassung!$A$6:$A$5005,"&gt;="&amp;DATE(Einstellungen!$C$3,2,1),Erfassung!$A$6:$A$5005,"&lt;"&amp;DATE(Einstellungen!$C$3,3,1)))</f>
        <v/>
      </c>
      <c r="E22" s="54">
        <f>IF($B22="","",SUMIFS(Erfassung!$E$6:$E$5005,Erfassung!$B$6:$B$5005,$A22,Erfassung!$A$6:$A$5005,"&gt;="&amp;DATE(Einstellungen!$C$3,3,1),Erfassung!$A$6:$A$5005,"&lt;"&amp;DATE(Einstellungen!$C$3,4,1)))</f>
        <v/>
      </c>
      <c r="F22" s="54">
        <f>IF($B22="","",SUMIFS(Erfassung!$E$6:$E$5005,Erfassung!$B$6:$B$5005,$A22,Erfassung!$A$6:$A$5005,"&gt;="&amp;DATE(Einstellungen!$C$3,4,1),Erfassung!$A$6:$A$5005,"&lt;"&amp;DATE(Einstellungen!$C$3,5,1)))</f>
        <v/>
      </c>
      <c r="G22" s="54">
        <f>IF($B22="","",SUMIFS(Erfassung!$E$6:$E$5005,Erfassung!$B$6:$B$5005,$A22,Erfassung!$A$6:$A$5005,"&gt;="&amp;DATE(Einstellungen!$C$3,5,1),Erfassung!$A$6:$A$5005,"&lt;"&amp;DATE(Einstellungen!$C$3,6,1)))</f>
        <v/>
      </c>
      <c r="H22" s="54">
        <f>IF($B22="","",SUMIFS(Erfassung!$E$6:$E$5005,Erfassung!$B$6:$B$5005,$A22,Erfassung!$A$6:$A$5005,"&gt;="&amp;DATE(Einstellungen!$C$3,6,1),Erfassung!$A$6:$A$5005,"&lt;"&amp;DATE(Einstellungen!$C$3,7,1)))</f>
        <v/>
      </c>
      <c r="I22" s="54">
        <f>IF($B22="","",SUMIFS(Erfassung!$E$6:$E$5005,Erfassung!$B$6:$B$5005,$A22,Erfassung!$A$6:$A$5005,"&gt;="&amp;DATE(Einstellungen!$C$3,7,1),Erfassung!$A$6:$A$5005,"&lt;"&amp;DATE(Einstellungen!$C$3,8,1)))</f>
        <v/>
      </c>
      <c r="J22" s="54">
        <f>IF($B22="","",SUMIFS(Erfassung!$E$6:$E$5005,Erfassung!$B$6:$B$5005,$A22,Erfassung!$A$6:$A$5005,"&gt;="&amp;DATE(Einstellungen!$C$3,8,1),Erfassung!$A$6:$A$5005,"&lt;"&amp;DATE(Einstellungen!$C$3,9,1)))</f>
        <v/>
      </c>
      <c r="K22" s="54">
        <f>IF($B22="","",SUMIFS(Erfassung!$E$6:$E$5005,Erfassung!$B$6:$B$5005,$A22,Erfassung!$A$6:$A$5005,"&gt;="&amp;DATE(Einstellungen!$C$3,9,1),Erfassung!$A$6:$A$5005,"&lt;"&amp;DATE(Einstellungen!$C$3,10,1)))</f>
        <v/>
      </c>
      <c r="L22" s="54">
        <f>IF($B22="","",SUMIFS(Erfassung!$E$6:$E$5005,Erfassung!$B$6:$B$5005,$A22,Erfassung!$A$6:$A$5005,"&gt;="&amp;DATE(Einstellungen!$C$3,10,1),Erfassung!$A$6:$A$5005,"&lt;"&amp;DATE(Einstellungen!$C$3,11,1)))</f>
        <v/>
      </c>
      <c r="M22" s="54">
        <f>IF($B22="","",SUMIFS(Erfassung!$E$6:$E$5005,Erfassung!$B$6:$B$5005,$A22,Erfassung!$A$6:$A$5005,"&gt;="&amp;DATE(Einstellungen!$C$3,11,1),Erfassung!$A$6:$A$5005,"&lt;"&amp;DATE(Einstellungen!$C$3,12,1)))</f>
        <v/>
      </c>
      <c r="N22" s="54">
        <f>IF($B22="","",SUMIFS(Erfassung!$E$6:$E$5005,Erfassung!$B$6:$B$5005,$A22,Erfassung!$A$6:$A$5005,"&gt;="&amp;DATE(Einstellungen!$C$3,12,1),Erfassung!$A$6:$A$5005,"&lt;"&amp;DATE(Einstellungen!$C$3,13,1)))</f>
        <v/>
      </c>
      <c r="O22" s="45">
        <f>IF($B22="","",SUM(C22:N22))</f>
        <v/>
      </c>
      <c r="P22" s="54">
        <f>IF($B22="","",SUMIFS(Erfassung!$G$6:$G$5005,Erfassung!$B$6:$B$5005,$A22,Erfassung!$A$6:$A$5005,"&gt;="&amp;DATE(Einstellungen!$C$3,1,1),Erfassung!$A$6:$A$5005,"&lt;"&amp;DATE(Einstellungen!$C$3,2,1)))</f>
        <v/>
      </c>
      <c r="Q22" s="54">
        <f>IF($B22="","",SUMIFS(Erfassung!$G$6:$G$5005,Erfassung!$B$6:$B$5005,$A22,Erfassung!$A$6:$A$5005,"&gt;="&amp;DATE(Einstellungen!$C$3,2,1),Erfassung!$A$6:$A$5005,"&lt;"&amp;DATE(Einstellungen!$C$3,3,1)))</f>
        <v/>
      </c>
      <c r="R22" s="54">
        <f>IF($B22="","",SUMIFS(Erfassung!$G$6:$G$5005,Erfassung!$B$6:$B$5005,$A22,Erfassung!$A$6:$A$5005,"&gt;="&amp;DATE(Einstellungen!$C$3,3,1),Erfassung!$A$6:$A$5005,"&lt;"&amp;DATE(Einstellungen!$C$3,4,1)))</f>
        <v/>
      </c>
      <c r="S22" s="54">
        <f>IF($B22="","",SUMIFS(Erfassung!$G$6:$G$5005,Erfassung!$B$6:$B$5005,$A22,Erfassung!$A$6:$A$5005,"&gt;="&amp;DATE(Einstellungen!$C$3,4,1),Erfassung!$A$6:$A$5005,"&lt;"&amp;DATE(Einstellungen!$C$3,5,1)))</f>
        <v/>
      </c>
      <c r="T22" s="54">
        <f>IF($B22="","",SUMIFS(Erfassung!$G$6:$G$5005,Erfassung!$B$6:$B$5005,$A22,Erfassung!$A$6:$A$5005,"&gt;="&amp;DATE(Einstellungen!$C$3,5,1),Erfassung!$A$6:$A$5005,"&lt;"&amp;DATE(Einstellungen!$C$3,6,1)))</f>
        <v/>
      </c>
      <c r="U22" s="54">
        <f>IF($B22="","",SUMIFS(Erfassung!$G$6:$G$5005,Erfassung!$B$6:$B$5005,$A22,Erfassung!$A$6:$A$5005,"&gt;="&amp;DATE(Einstellungen!$C$3,6,1),Erfassung!$A$6:$A$5005,"&lt;"&amp;DATE(Einstellungen!$C$3,7,1)))</f>
        <v/>
      </c>
      <c r="V22" s="54">
        <f>IF($B22="","",SUMIFS(Erfassung!$G$6:$G$5005,Erfassung!$B$6:$B$5005,$A22,Erfassung!$A$6:$A$5005,"&gt;="&amp;DATE(Einstellungen!$C$3,7,1),Erfassung!$A$6:$A$5005,"&lt;"&amp;DATE(Einstellungen!$C$3,8,1)))</f>
        <v/>
      </c>
      <c r="W22" s="54">
        <f>IF($B22="","",SUMIFS(Erfassung!$G$6:$G$5005,Erfassung!$B$6:$B$5005,$A22,Erfassung!$A$6:$A$5005,"&gt;="&amp;DATE(Einstellungen!$C$3,8,1),Erfassung!$A$6:$A$5005,"&lt;"&amp;DATE(Einstellungen!$C$3,9,1)))</f>
        <v/>
      </c>
      <c r="X22" s="54">
        <f>IF($B22="","",SUMIFS(Erfassung!$G$6:$G$5005,Erfassung!$B$6:$B$5005,$A22,Erfassung!$A$6:$A$5005,"&gt;="&amp;DATE(Einstellungen!$C$3,9,1),Erfassung!$A$6:$A$5005,"&lt;"&amp;DATE(Einstellungen!$C$3,10,1)))</f>
        <v/>
      </c>
      <c r="Y22" s="54">
        <f>IF($B22="","",SUMIFS(Erfassung!$G$6:$G$5005,Erfassung!$B$6:$B$5005,$A22,Erfassung!$A$6:$A$5005,"&gt;="&amp;DATE(Einstellungen!$C$3,10,1),Erfassung!$A$6:$A$5005,"&lt;"&amp;DATE(Einstellungen!$C$3,11,1)))</f>
        <v/>
      </c>
      <c r="Z22" s="54">
        <f>IF($B22="","",SUMIFS(Erfassung!$G$6:$G$5005,Erfassung!$B$6:$B$5005,$A22,Erfassung!$A$6:$A$5005,"&gt;="&amp;DATE(Einstellungen!$C$3,11,1),Erfassung!$A$6:$A$5005,"&lt;"&amp;DATE(Einstellungen!$C$3,12,1)))</f>
        <v/>
      </c>
      <c r="AA22" s="54">
        <f>IF($B22="","",SUMIFS(Erfassung!$G$6:$G$5005,Erfassung!$B$6:$B$5005,$A22,Erfassung!$A$6:$A$5005,"&gt;="&amp;DATE(Einstellungen!$C$3,12,1),Erfassung!$A$6:$A$5005,"&lt;"&amp;DATE(Einstellungen!$C$3,13,1)))</f>
        <v/>
      </c>
      <c r="AB22" s="45">
        <f>IF($B22="","",SUM(P22:AA22))</f>
        <v/>
      </c>
      <c r="AC22" s="38">
        <f>IF($B22="","",IF(O22+AB22&gt;0,AB22/(O22+AB22),""))</f>
        <v/>
      </c>
    </row>
    <row r="23">
      <c r="A23" s="56">
        <f>'KQuote Mitarbeiter'!A23</f>
        <v/>
      </c>
      <c r="B23" s="57">
        <f>'KQuote Mitarbeiter'!B23</f>
        <v/>
      </c>
      <c r="C23" s="54">
        <f>IF($B23="","",SUMIFS(Erfassung!$E$6:$E$5005,Erfassung!$B$6:$B$5005,$A23,Erfassung!$A$6:$A$5005,"&gt;="&amp;DATE(Einstellungen!$C$3,1,1),Erfassung!$A$6:$A$5005,"&lt;"&amp;DATE(Einstellungen!$C$3,2,1)))</f>
        <v/>
      </c>
      <c r="D23" s="54">
        <f>IF($B23="","",SUMIFS(Erfassung!$E$6:$E$5005,Erfassung!$B$6:$B$5005,$A23,Erfassung!$A$6:$A$5005,"&gt;="&amp;DATE(Einstellungen!$C$3,2,1),Erfassung!$A$6:$A$5005,"&lt;"&amp;DATE(Einstellungen!$C$3,3,1)))</f>
        <v/>
      </c>
      <c r="E23" s="54">
        <f>IF($B23="","",SUMIFS(Erfassung!$E$6:$E$5005,Erfassung!$B$6:$B$5005,$A23,Erfassung!$A$6:$A$5005,"&gt;="&amp;DATE(Einstellungen!$C$3,3,1),Erfassung!$A$6:$A$5005,"&lt;"&amp;DATE(Einstellungen!$C$3,4,1)))</f>
        <v/>
      </c>
      <c r="F23" s="54">
        <f>IF($B23="","",SUMIFS(Erfassung!$E$6:$E$5005,Erfassung!$B$6:$B$5005,$A23,Erfassung!$A$6:$A$5005,"&gt;="&amp;DATE(Einstellungen!$C$3,4,1),Erfassung!$A$6:$A$5005,"&lt;"&amp;DATE(Einstellungen!$C$3,5,1)))</f>
        <v/>
      </c>
      <c r="G23" s="54">
        <f>IF($B23="","",SUMIFS(Erfassung!$E$6:$E$5005,Erfassung!$B$6:$B$5005,$A23,Erfassung!$A$6:$A$5005,"&gt;="&amp;DATE(Einstellungen!$C$3,5,1),Erfassung!$A$6:$A$5005,"&lt;"&amp;DATE(Einstellungen!$C$3,6,1)))</f>
        <v/>
      </c>
      <c r="H23" s="54">
        <f>IF($B23="","",SUMIFS(Erfassung!$E$6:$E$5005,Erfassung!$B$6:$B$5005,$A23,Erfassung!$A$6:$A$5005,"&gt;="&amp;DATE(Einstellungen!$C$3,6,1),Erfassung!$A$6:$A$5005,"&lt;"&amp;DATE(Einstellungen!$C$3,7,1)))</f>
        <v/>
      </c>
      <c r="I23" s="54">
        <f>IF($B23="","",SUMIFS(Erfassung!$E$6:$E$5005,Erfassung!$B$6:$B$5005,$A23,Erfassung!$A$6:$A$5005,"&gt;="&amp;DATE(Einstellungen!$C$3,7,1),Erfassung!$A$6:$A$5005,"&lt;"&amp;DATE(Einstellungen!$C$3,8,1)))</f>
        <v/>
      </c>
      <c r="J23" s="54">
        <f>IF($B23="","",SUMIFS(Erfassung!$E$6:$E$5005,Erfassung!$B$6:$B$5005,$A23,Erfassung!$A$6:$A$5005,"&gt;="&amp;DATE(Einstellungen!$C$3,8,1),Erfassung!$A$6:$A$5005,"&lt;"&amp;DATE(Einstellungen!$C$3,9,1)))</f>
        <v/>
      </c>
      <c r="K23" s="54">
        <f>IF($B23="","",SUMIFS(Erfassung!$E$6:$E$5005,Erfassung!$B$6:$B$5005,$A23,Erfassung!$A$6:$A$5005,"&gt;="&amp;DATE(Einstellungen!$C$3,9,1),Erfassung!$A$6:$A$5005,"&lt;"&amp;DATE(Einstellungen!$C$3,10,1)))</f>
        <v/>
      </c>
      <c r="L23" s="54">
        <f>IF($B23="","",SUMIFS(Erfassung!$E$6:$E$5005,Erfassung!$B$6:$B$5005,$A23,Erfassung!$A$6:$A$5005,"&gt;="&amp;DATE(Einstellungen!$C$3,10,1),Erfassung!$A$6:$A$5005,"&lt;"&amp;DATE(Einstellungen!$C$3,11,1)))</f>
        <v/>
      </c>
      <c r="M23" s="54">
        <f>IF($B23="","",SUMIFS(Erfassung!$E$6:$E$5005,Erfassung!$B$6:$B$5005,$A23,Erfassung!$A$6:$A$5005,"&gt;="&amp;DATE(Einstellungen!$C$3,11,1),Erfassung!$A$6:$A$5005,"&lt;"&amp;DATE(Einstellungen!$C$3,12,1)))</f>
        <v/>
      </c>
      <c r="N23" s="54">
        <f>IF($B23="","",SUMIFS(Erfassung!$E$6:$E$5005,Erfassung!$B$6:$B$5005,$A23,Erfassung!$A$6:$A$5005,"&gt;="&amp;DATE(Einstellungen!$C$3,12,1),Erfassung!$A$6:$A$5005,"&lt;"&amp;DATE(Einstellungen!$C$3,13,1)))</f>
        <v/>
      </c>
      <c r="O23" s="45">
        <f>IF($B23="","",SUM(C23:N23))</f>
        <v/>
      </c>
      <c r="P23" s="54">
        <f>IF($B23="","",SUMIFS(Erfassung!$G$6:$G$5005,Erfassung!$B$6:$B$5005,$A23,Erfassung!$A$6:$A$5005,"&gt;="&amp;DATE(Einstellungen!$C$3,1,1),Erfassung!$A$6:$A$5005,"&lt;"&amp;DATE(Einstellungen!$C$3,2,1)))</f>
        <v/>
      </c>
      <c r="Q23" s="54">
        <f>IF($B23="","",SUMIFS(Erfassung!$G$6:$G$5005,Erfassung!$B$6:$B$5005,$A23,Erfassung!$A$6:$A$5005,"&gt;="&amp;DATE(Einstellungen!$C$3,2,1),Erfassung!$A$6:$A$5005,"&lt;"&amp;DATE(Einstellungen!$C$3,3,1)))</f>
        <v/>
      </c>
      <c r="R23" s="54">
        <f>IF($B23="","",SUMIFS(Erfassung!$G$6:$G$5005,Erfassung!$B$6:$B$5005,$A23,Erfassung!$A$6:$A$5005,"&gt;="&amp;DATE(Einstellungen!$C$3,3,1),Erfassung!$A$6:$A$5005,"&lt;"&amp;DATE(Einstellungen!$C$3,4,1)))</f>
        <v/>
      </c>
      <c r="S23" s="54">
        <f>IF($B23="","",SUMIFS(Erfassung!$G$6:$G$5005,Erfassung!$B$6:$B$5005,$A23,Erfassung!$A$6:$A$5005,"&gt;="&amp;DATE(Einstellungen!$C$3,4,1),Erfassung!$A$6:$A$5005,"&lt;"&amp;DATE(Einstellungen!$C$3,5,1)))</f>
        <v/>
      </c>
      <c r="T23" s="54">
        <f>IF($B23="","",SUMIFS(Erfassung!$G$6:$G$5005,Erfassung!$B$6:$B$5005,$A23,Erfassung!$A$6:$A$5005,"&gt;="&amp;DATE(Einstellungen!$C$3,5,1),Erfassung!$A$6:$A$5005,"&lt;"&amp;DATE(Einstellungen!$C$3,6,1)))</f>
        <v/>
      </c>
      <c r="U23" s="54">
        <f>IF($B23="","",SUMIFS(Erfassung!$G$6:$G$5005,Erfassung!$B$6:$B$5005,$A23,Erfassung!$A$6:$A$5005,"&gt;="&amp;DATE(Einstellungen!$C$3,6,1),Erfassung!$A$6:$A$5005,"&lt;"&amp;DATE(Einstellungen!$C$3,7,1)))</f>
        <v/>
      </c>
      <c r="V23" s="54">
        <f>IF($B23="","",SUMIFS(Erfassung!$G$6:$G$5005,Erfassung!$B$6:$B$5005,$A23,Erfassung!$A$6:$A$5005,"&gt;="&amp;DATE(Einstellungen!$C$3,7,1),Erfassung!$A$6:$A$5005,"&lt;"&amp;DATE(Einstellungen!$C$3,8,1)))</f>
        <v/>
      </c>
      <c r="W23" s="54">
        <f>IF($B23="","",SUMIFS(Erfassung!$G$6:$G$5005,Erfassung!$B$6:$B$5005,$A23,Erfassung!$A$6:$A$5005,"&gt;="&amp;DATE(Einstellungen!$C$3,8,1),Erfassung!$A$6:$A$5005,"&lt;"&amp;DATE(Einstellungen!$C$3,9,1)))</f>
        <v/>
      </c>
      <c r="X23" s="54">
        <f>IF($B23="","",SUMIFS(Erfassung!$G$6:$G$5005,Erfassung!$B$6:$B$5005,$A23,Erfassung!$A$6:$A$5005,"&gt;="&amp;DATE(Einstellungen!$C$3,9,1),Erfassung!$A$6:$A$5005,"&lt;"&amp;DATE(Einstellungen!$C$3,10,1)))</f>
        <v/>
      </c>
      <c r="Y23" s="54">
        <f>IF($B23="","",SUMIFS(Erfassung!$G$6:$G$5005,Erfassung!$B$6:$B$5005,$A23,Erfassung!$A$6:$A$5005,"&gt;="&amp;DATE(Einstellungen!$C$3,10,1),Erfassung!$A$6:$A$5005,"&lt;"&amp;DATE(Einstellungen!$C$3,11,1)))</f>
        <v/>
      </c>
      <c r="Z23" s="54">
        <f>IF($B23="","",SUMIFS(Erfassung!$G$6:$G$5005,Erfassung!$B$6:$B$5005,$A23,Erfassung!$A$6:$A$5005,"&gt;="&amp;DATE(Einstellungen!$C$3,11,1),Erfassung!$A$6:$A$5005,"&lt;"&amp;DATE(Einstellungen!$C$3,12,1)))</f>
        <v/>
      </c>
      <c r="AA23" s="54">
        <f>IF($B23="","",SUMIFS(Erfassung!$G$6:$G$5005,Erfassung!$B$6:$B$5005,$A23,Erfassung!$A$6:$A$5005,"&gt;="&amp;DATE(Einstellungen!$C$3,12,1),Erfassung!$A$6:$A$5005,"&lt;"&amp;DATE(Einstellungen!$C$3,13,1)))</f>
        <v/>
      </c>
      <c r="AB23" s="45">
        <f>IF($B23="","",SUM(P23:AA23))</f>
        <v/>
      </c>
      <c r="AC23" s="38">
        <f>IF($B23="","",IF(O23+AB23&gt;0,AB23/(O23+AB23),""))</f>
        <v/>
      </c>
    </row>
    <row r="24">
      <c r="A24" s="56">
        <f>'KQuote Mitarbeiter'!A24</f>
        <v/>
      </c>
      <c r="B24" s="57">
        <f>'KQuote Mitarbeiter'!B24</f>
        <v/>
      </c>
      <c r="C24" s="54">
        <f>IF($B24="","",SUMIFS(Erfassung!$E$6:$E$5005,Erfassung!$B$6:$B$5005,$A24,Erfassung!$A$6:$A$5005,"&gt;="&amp;DATE(Einstellungen!$C$3,1,1),Erfassung!$A$6:$A$5005,"&lt;"&amp;DATE(Einstellungen!$C$3,2,1)))</f>
        <v/>
      </c>
      <c r="D24" s="54">
        <f>IF($B24="","",SUMIFS(Erfassung!$E$6:$E$5005,Erfassung!$B$6:$B$5005,$A24,Erfassung!$A$6:$A$5005,"&gt;="&amp;DATE(Einstellungen!$C$3,2,1),Erfassung!$A$6:$A$5005,"&lt;"&amp;DATE(Einstellungen!$C$3,3,1)))</f>
        <v/>
      </c>
      <c r="E24" s="54">
        <f>IF($B24="","",SUMIFS(Erfassung!$E$6:$E$5005,Erfassung!$B$6:$B$5005,$A24,Erfassung!$A$6:$A$5005,"&gt;="&amp;DATE(Einstellungen!$C$3,3,1),Erfassung!$A$6:$A$5005,"&lt;"&amp;DATE(Einstellungen!$C$3,4,1)))</f>
        <v/>
      </c>
      <c r="F24" s="54">
        <f>IF($B24="","",SUMIFS(Erfassung!$E$6:$E$5005,Erfassung!$B$6:$B$5005,$A24,Erfassung!$A$6:$A$5005,"&gt;="&amp;DATE(Einstellungen!$C$3,4,1),Erfassung!$A$6:$A$5005,"&lt;"&amp;DATE(Einstellungen!$C$3,5,1)))</f>
        <v/>
      </c>
      <c r="G24" s="54">
        <f>IF($B24="","",SUMIFS(Erfassung!$E$6:$E$5005,Erfassung!$B$6:$B$5005,$A24,Erfassung!$A$6:$A$5005,"&gt;="&amp;DATE(Einstellungen!$C$3,5,1),Erfassung!$A$6:$A$5005,"&lt;"&amp;DATE(Einstellungen!$C$3,6,1)))</f>
        <v/>
      </c>
      <c r="H24" s="54">
        <f>IF($B24="","",SUMIFS(Erfassung!$E$6:$E$5005,Erfassung!$B$6:$B$5005,$A24,Erfassung!$A$6:$A$5005,"&gt;="&amp;DATE(Einstellungen!$C$3,6,1),Erfassung!$A$6:$A$5005,"&lt;"&amp;DATE(Einstellungen!$C$3,7,1)))</f>
        <v/>
      </c>
      <c r="I24" s="54">
        <f>IF($B24="","",SUMIFS(Erfassung!$E$6:$E$5005,Erfassung!$B$6:$B$5005,$A24,Erfassung!$A$6:$A$5005,"&gt;="&amp;DATE(Einstellungen!$C$3,7,1),Erfassung!$A$6:$A$5005,"&lt;"&amp;DATE(Einstellungen!$C$3,8,1)))</f>
        <v/>
      </c>
      <c r="J24" s="54">
        <f>IF($B24="","",SUMIFS(Erfassung!$E$6:$E$5005,Erfassung!$B$6:$B$5005,$A24,Erfassung!$A$6:$A$5005,"&gt;="&amp;DATE(Einstellungen!$C$3,8,1),Erfassung!$A$6:$A$5005,"&lt;"&amp;DATE(Einstellungen!$C$3,9,1)))</f>
        <v/>
      </c>
      <c r="K24" s="54">
        <f>IF($B24="","",SUMIFS(Erfassung!$E$6:$E$5005,Erfassung!$B$6:$B$5005,$A24,Erfassung!$A$6:$A$5005,"&gt;="&amp;DATE(Einstellungen!$C$3,9,1),Erfassung!$A$6:$A$5005,"&lt;"&amp;DATE(Einstellungen!$C$3,10,1)))</f>
        <v/>
      </c>
      <c r="L24" s="54">
        <f>IF($B24="","",SUMIFS(Erfassung!$E$6:$E$5005,Erfassung!$B$6:$B$5005,$A24,Erfassung!$A$6:$A$5005,"&gt;="&amp;DATE(Einstellungen!$C$3,10,1),Erfassung!$A$6:$A$5005,"&lt;"&amp;DATE(Einstellungen!$C$3,11,1)))</f>
        <v/>
      </c>
      <c r="M24" s="54">
        <f>IF($B24="","",SUMIFS(Erfassung!$E$6:$E$5005,Erfassung!$B$6:$B$5005,$A24,Erfassung!$A$6:$A$5005,"&gt;="&amp;DATE(Einstellungen!$C$3,11,1),Erfassung!$A$6:$A$5005,"&lt;"&amp;DATE(Einstellungen!$C$3,12,1)))</f>
        <v/>
      </c>
      <c r="N24" s="54">
        <f>IF($B24="","",SUMIFS(Erfassung!$E$6:$E$5005,Erfassung!$B$6:$B$5005,$A24,Erfassung!$A$6:$A$5005,"&gt;="&amp;DATE(Einstellungen!$C$3,12,1),Erfassung!$A$6:$A$5005,"&lt;"&amp;DATE(Einstellungen!$C$3,13,1)))</f>
        <v/>
      </c>
      <c r="O24" s="45">
        <f>IF($B24="","",SUM(C24:N24))</f>
        <v/>
      </c>
      <c r="P24" s="54">
        <f>IF($B24="","",SUMIFS(Erfassung!$G$6:$G$5005,Erfassung!$B$6:$B$5005,$A24,Erfassung!$A$6:$A$5005,"&gt;="&amp;DATE(Einstellungen!$C$3,1,1),Erfassung!$A$6:$A$5005,"&lt;"&amp;DATE(Einstellungen!$C$3,2,1)))</f>
        <v/>
      </c>
      <c r="Q24" s="54">
        <f>IF($B24="","",SUMIFS(Erfassung!$G$6:$G$5005,Erfassung!$B$6:$B$5005,$A24,Erfassung!$A$6:$A$5005,"&gt;="&amp;DATE(Einstellungen!$C$3,2,1),Erfassung!$A$6:$A$5005,"&lt;"&amp;DATE(Einstellungen!$C$3,3,1)))</f>
        <v/>
      </c>
      <c r="R24" s="54">
        <f>IF($B24="","",SUMIFS(Erfassung!$G$6:$G$5005,Erfassung!$B$6:$B$5005,$A24,Erfassung!$A$6:$A$5005,"&gt;="&amp;DATE(Einstellungen!$C$3,3,1),Erfassung!$A$6:$A$5005,"&lt;"&amp;DATE(Einstellungen!$C$3,4,1)))</f>
        <v/>
      </c>
      <c r="S24" s="54">
        <f>IF($B24="","",SUMIFS(Erfassung!$G$6:$G$5005,Erfassung!$B$6:$B$5005,$A24,Erfassung!$A$6:$A$5005,"&gt;="&amp;DATE(Einstellungen!$C$3,4,1),Erfassung!$A$6:$A$5005,"&lt;"&amp;DATE(Einstellungen!$C$3,5,1)))</f>
        <v/>
      </c>
      <c r="T24" s="54">
        <f>IF($B24="","",SUMIFS(Erfassung!$G$6:$G$5005,Erfassung!$B$6:$B$5005,$A24,Erfassung!$A$6:$A$5005,"&gt;="&amp;DATE(Einstellungen!$C$3,5,1),Erfassung!$A$6:$A$5005,"&lt;"&amp;DATE(Einstellungen!$C$3,6,1)))</f>
        <v/>
      </c>
      <c r="U24" s="54">
        <f>IF($B24="","",SUMIFS(Erfassung!$G$6:$G$5005,Erfassung!$B$6:$B$5005,$A24,Erfassung!$A$6:$A$5005,"&gt;="&amp;DATE(Einstellungen!$C$3,6,1),Erfassung!$A$6:$A$5005,"&lt;"&amp;DATE(Einstellungen!$C$3,7,1)))</f>
        <v/>
      </c>
      <c r="V24" s="54">
        <f>IF($B24="","",SUMIFS(Erfassung!$G$6:$G$5005,Erfassung!$B$6:$B$5005,$A24,Erfassung!$A$6:$A$5005,"&gt;="&amp;DATE(Einstellungen!$C$3,7,1),Erfassung!$A$6:$A$5005,"&lt;"&amp;DATE(Einstellungen!$C$3,8,1)))</f>
        <v/>
      </c>
      <c r="W24" s="54">
        <f>IF($B24="","",SUMIFS(Erfassung!$G$6:$G$5005,Erfassung!$B$6:$B$5005,$A24,Erfassung!$A$6:$A$5005,"&gt;="&amp;DATE(Einstellungen!$C$3,8,1),Erfassung!$A$6:$A$5005,"&lt;"&amp;DATE(Einstellungen!$C$3,9,1)))</f>
        <v/>
      </c>
      <c r="X24" s="54">
        <f>IF($B24="","",SUMIFS(Erfassung!$G$6:$G$5005,Erfassung!$B$6:$B$5005,$A24,Erfassung!$A$6:$A$5005,"&gt;="&amp;DATE(Einstellungen!$C$3,9,1),Erfassung!$A$6:$A$5005,"&lt;"&amp;DATE(Einstellungen!$C$3,10,1)))</f>
        <v/>
      </c>
      <c r="Y24" s="54">
        <f>IF($B24="","",SUMIFS(Erfassung!$G$6:$G$5005,Erfassung!$B$6:$B$5005,$A24,Erfassung!$A$6:$A$5005,"&gt;="&amp;DATE(Einstellungen!$C$3,10,1),Erfassung!$A$6:$A$5005,"&lt;"&amp;DATE(Einstellungen!$C$3,11,1)))</f>
        <v/>
      </c>
      <c r="Z24" s="54">
        <f>IF($B24="","",SUMIFS(Erfassung!$G$6:$G$5005,Erfassung!$B$6:$B$5005,$A24,Erfassung!$A$6:$A$5005,"&gt;="&amp;DATE(Einstellungen!$C$3,11,1),Erfassung!$A$6:$A$5005,"&lt;"&amp;DATE(Einstellungen!$C$3,12,1)))</f>
        <v/>
      </c>
      <c r="AA24" s="54">
        <f>IF($B24="","",SUMIFS(Erfassung!$G$6:$G$5005,Erfassung!$B$6:$B$5005,$A24,Erfassung!$A$6:$A$5005,"&gt;="&amp;DATE(Einstellungen!$C$3,12,1),Erfassung!$A$6:$A$5005,"&lt;"&amp;DATE(Einstellungen!$C$3,13,1)))</f>
        <v/>
      </c>
      <c r="AB24" s="45">
        <f>IF($B24="","",SUM(P24:AA24))</f>
        <v/>
      </c>
      <c r="AC24" s="38">
        <f>IF($B24="","",IF(O24+AB24&gt;0,AB24/(O24+AB24),""))</f>
        <v/>
      </c>
    </row>
    <row r="25">
      <c r="A25" s="56">
        <f>'KQuote Mitarbeiter'!A25</f>
        <v/>
      </c>
      <c r="B25" s="57">
        <f>'KQuote Mitarbeiter'!B25</f>
        <v/>
      </c>
      <c r="C25" s="54">
        <f>IF($B25="","",SUMIFS(Erfassung!$E$6:$E$5005,Erfassung!$B$6:$B$5005,$A25,Erfassung!$A$6:$A$5005,"&gt;="&amp;DATE(Einstellungen!$C$3,1,1),Erfassung!$A$6:$A$5005,"&lt;"&amp;DATE(Einstellungen!$C$3,2,1)))</f>
        <v/>
      </c>
      <c r="D25" s="54">
        <f>IF($B25="","",SUMIFS(Erfassung!$E$6:$E$5005,Erfassung!$B$6:$B$5005,$A25,Erfassung!$A$6:$A$5005,"&gt;="&amp;DATE(Einstellungen!$C$3,2,1),Erfassung!$A$6:$A$5005,"&lt;"&amp;DATE(Einstellungen!$C$3,3,1)))</f>
        <v/>
      </c>
      <c r="E25" s="54">
        <f>IF($B25="","",SUMIFS(Erfassung!$E$6:$E$5005,Erfassung!$B$6:$B$5005,$A25,Erfassung!$A$6:$A$5005,"&gt;="&amp;DATE(Einstellungen!$C$3,3,1),Erfassung!$A$6:$A$5005,"&lt;"&amp;DATE(Einstellungen!$C$3,4,1)))</f>
        <v/>
      </c>
      <c r="F25" s="54">
        <f>IF($B25="","",SUMIFS(Erfassung!$E$6:$E$5005,Erfassung!$B$6:$B$5005,$A25,Erfassung!$A$6:$A$5005,"&gt;="&amp;DATE(Einstellungen!$C$3,4,1),Erfassung!$A$6:$A$5005,"&lt;"&amp;DATE(Einstellungen!$C$3,5,1)))</f>
        <v/>
      </c>
      <c r="G25" s="54">
        <f>IF($B25="","",SUMIFS(Erfassung!$E$6:$E$5005,Erfassung!$B$6:$B$5005,$A25,Erfassung!$A$6:$A$5005,"&gt;="&amp;DATE(Einstellungen!$C$3,5,1),Erfassung!$A$6:$A$5005,"&lt;"&amp;DATE(Einstellungen!$C$3,6,1)))</f>
        <v/>
      </c>
      <c r="H25" s="54">
        <f>IF($B25="","",SUMIFS(Erfassung!$E$6:$E$5005,Erfassung!$B$6:$B$5005,$A25,Erfassung!$A$6:$A$5005,"&gt;="&amp;DATE(Einstellungen!$C$3,6,1),Erfassung!$A$6:$A$5005,"&lt;"&amp;DATE(Einstellungen!$C$3,7,1)))</f>
        <v/>
      </c>
      <c r="I25" s="54">
        <f>IF($B25="","",SUMIFS(Erfassung!$E$6:$E$5005,Erfassung!$B$6:$B$5005,$A25,Erfassung!$A$6:$A$5005,"&gt;="&amp;DATE(Einstellungen!$C$3,7,1),Erfassung!$A$6:$A$5005,"&lt;"&amp;DATE(Einstellungen!$C$3,8,1)))</f>
        <v/>
      </c>
      <c r="J25" s="54">
        <f>IF($B25="","",SUMIFS(Erfassung!$E$6:$E$5005,Erfassung!$B$6:$B$5005,$A25,Erfassung!$A$6:$A$5005,"&gt;="&amp;DATE(Einstellungen!$C$3,8,1),Erfassung!$A$6:$A$5005,"&lt;"&amp;DATE(Einstellungen!$C$3,9,1)))</f>
        <v/>
      </c>
      <c r="K25" s="54">
        <f>IF($B25="","",SUMIFS(Erfassung!$E$6:$E$5005,Erfassung!$B$6:$B$5005,$A25,Erfassung!$A$6:$A$5005,"&gt;="&amp;DATE(Einstellungen!$C$3,9,1),Erfassung!$A$6:$A$5005,"&lt;"&amp;DATE(Einstellungen!$C$3,10,1)))</f>
        <v/>
      </c>
      <c r="L25" s="54">
        <f>IF($B25="","",SUMIFS(Erfassung!$E$6:$E$5005,Erfassung!$B$6:$B$5005,$A25,Erfassung!$A$6:$A$5005,"&gt;="&amp;DATE(Einstellungen!$C$3,10,1),Erfassung!$A$6:$A$5005,"&lt;"&amp;DATE(Einstellungen!$C$3,11,1)))</f>
        <v/>
      </c>
      <c r="M25" s="54">
        <f>IF($B25="","",SUMIFS(Erfassung!$E$6:$E$5005,Erfassung!$B$6:$B$5005,$A25,Erfassung!$A$6:$A$5005,"&gt;="&amp;DATE(Einstellungen!$C$3,11,1),Erfassung!$A$6:$A$5005,"&lt;"&amp;DATE(Einstellungen!$C$3,12,1)))</f>
        <v/>
      </c>
      <c r="N25" s="54">
        <f>IF($B25="","",SUMIFS(Erfassung!$E$6:$E$5005,Erfassung!$B$6:$B$5005,$A25,Erfassung!$A$6:$A$5005,"&gt;="&amp;DATE(Einstellungen!$C$3,12,1),Erfassung!$A$6:$A$5005,"&lt;"&amp;DATE(Einstellungen!$C$3,13,1)))</f>
        <v/>
      </c>
      <c r="O25" s="45">
        <f>IF($B25="","",SUM(C25:N25))</f>
        <v/>
      </c>
      <c r="P25" s="54">
        <f>IF($B25="","",SUMIFS(Erfassung!$G$6:$G$5005,Erfassung!$B$6:$B$5005,$A25,Erfassung!$A$6:$A$5005,"&gt;="&amp;DATE(Einstellungen!$C$3,1,1),Erfassung!$A$6:$A$5005,"&lt;"&amp;DATE(Einstellungen!$C$3,2,1)))</f>
        <v/>
      </c>
      <c r="Q25" s="54">
        <f>IF($B25="","",SUMIFS(Erfassung!$G$6:$G$5005,Erfassung!$B$6:$B$5005,$A25,Erfassung!$A$6:$A$5005,"&gt;="&amp;DATE(Einstellungen!$C$3,2,1),Erfassung!$A$6:$A$5005,"&lt;"&amp;DATE(Einstellungen!$C$3,3,1)))</f>
        <v/>
      </c>
      <c r="R25" s="54">
        <f>IF($B25="","",SUMIFS(Erfassung!$G$6:$G$5005,Erfassung!$B$6:$B$5005,$A25,Erfassung!$A$6:$A$5005,"&gt;="&amp;DATE(Einstellungen!$C$3,3,1),Erfassung!$A$6:$A$5005,"&lt;"&amp;DATE(Einstellungen!$C$3,4,1)))</f>
        <v/>
      </c>
      <c r="S25" s="54">
        <f>IF($B25="","",SUMIFS(Erfassung!$G$6:$G$5005,Erfassung!$B$6:$B$5005,$A25,Erfassung!$A$6:$A$5005,"&gt;="&amp;DATE(Einstellungen!$C$3,4,1),Erfassung!$A$6:$A$5005,"&lt;"&amp;DATE(Einstellungen!$C$3,5,1)))</f>
        <v/>
      </c>
      <c r="T25" s="54">
        <f>IF($B25="","",SUMIFS(Erfassung!$G$6:$G$5005,Erfassung!$B$6:$B$5005,$A25,Erfassung!$A$6:$A$5005,"&gt;="&amp;DATE(Einstellungen!$C$3,5,1),Erfassung!$A$6:$A$5005,"&lt;"&amp;DATE(Einstellungen!$C$3,6,1)))</f>
        <v/>
      </c>
      <c r="U25" s="54">
        <f>IF($B25="","",SUMIFS(Erfassung!$G$6:$G$5005,Erfassung!$B$6:$B$5005,$A25,Erfassung!$A$6:$A$5005,"&gt;="&amp;DATE(Einstellungen!$C$3,6,1),Erfassung!$A$6:$A$5005,"&lt;"&amp;DATE(Einstellungen!$C$3,7,1)))</f>
        <v/>
      </c>
      <c r="V25" s="54">
        <f>IF($B25="","",SUMIFS(Erfassung!$G$6:$G$5005,Erfassung!$B$6:$B$5005,$A25,Erfassung!$A$6:$A$5005,"&gt;="&amp;DATE(Einstellungen!$C$3,7,1),Erfassung!$A$6:$A$5005,"&lt;"&amp;DATE(Einstellungen!$C$3,8,1)))</f>
        <v/>
      </c>
      <c r="W25" s="54">
        <f>IF($B25="","",SUMIFS(Erfassung!$G$6:$G$5005,Erfassung!$B$6:$B$5005,$A25,Erfassung!$A$6:$A$5005,"&gt;="&amp;DATE(Einstellungen!$C$3,8,1),Erfassung!$A$6:$A$5005,"&lt;"&amp;DATE(Einstellungen!$C$3,9,1)))</f>
        <v/>
      </c>
      <c r="X25" s="54">
        <f>IF($B25="","",SUMIFS(Erfassung!$G$6:$G$5005,Erfassung!$B$6:$B$5005,$A25,Erfassung!$A$6:$A$5005,"&gt;="&amp;DATE(Einstellungen!$C$3,9,1),Erfassung!$A$6:$A$5005,"&lt;"&amp;DATE(Einstellungen!$C$3,10,1)))</f>
        <v/>
      </c>
      <c r="Y25" s="54">
        <f>IF($B25="","",SUMIFS(Erfassung!$G$6:$G$5005,Erfassung!$B$6:$B$5005,$A25,Erfassung!$A$6:$A$5005,"&gt;="&amp;DATE(Einstellungen!$C$3,10,1),Erfassung!$A$6:$A$5005,"&lt;"&amp;DATE(Einstellungen!$C$3,11,1)))</f>
        <v/>
      </c>
      <c r="Z25" s="54">
        <f>IF($B25="","",SUMIFS(Erfassung!$G$6:$G$5005,Erfassung!$B$6:$B$5005,$A25,Erfassung!$A$6:$A$5005,"&gt;="&amp;DATE(Einstellungen!$C$3,11,1),Erfassung!$A$6:$A$5005,"&lt;"&amp;DATE(Einstellungen!$C$3,12,1)))</f>
        <v/>
      </c>
      <c r="AA25" s="54">
        <f>IF($B25="","",SUMIFS(Erfassung!$G$6:$G$5005,Erfassung!$B$6:$B$5005,$A25,Erfassung!$A$6:$A$5005,"&gt;="&amp;DATE(Einstellungen!$C$3,12,1),Erfassung!$A$6:$A$5005,"&lt;"&amp;DATE(Einstellungen!$C$3,13,1)))</f>
        <v/>
      </c>
      <c r="AB25" s="45">
        <f>IF($B25="","",SUM(P25:AA25))</f>
        <v/>
      </c>
      <c r="AC25" s="38">
        <f>IF($B25="","",IF(O25+AB25&gt;0,AB25/(O25+AB25),""))</f>
        <v/>
      </c>
    </row>
    <row r="26">
      <c r="A26" s="56">
        <f>'KQuote Mitarbeiter'!A26</f>
        <v/>
      </c>
      <c r="B26" s="57">
        <f>'KQuote Mitarbeiter'!B26</f>
        <v/>
      </c>
      <c r="C26" s="54">
        <f>IF($B26="","",SUMIFS(Erfassung!$E$6:$E$5005,Erfassung!$B$6:$B$5005,$A26,Erfassung!$A$6:$A$5005,"&gt;="&amp;DATE(Einstellungen!$C$3,1,1),Erfassung!$A$6:$A$5005,"&lt;"&amp;DATE(Einstellungen!$C$3,2,1)))</f>
        <v/>
      </c>
      <c r="D26" s="54">
        <f>IF($B26="","",SUMIFS(Erfassung!$E$6:$E$5005,Erfassung!$B$6:$B$5005,$A26,Erfassung!$A$6:$A$5005,"&gt;="&amp;DATE(Einstellungen!$C$3,2,1),Erfassung!$A$6:$A$5005,"&lt;"&amp;DATE(Einstellungen!$C$3,3,1)))</f>
        <v/>
      </c>
      <c r="E26" s="54">
        <f>IF($B26="","",SUMIFS(Erfassung!$E$6:$E$5005,Erfassung!$B$6:$B$5005,$A26,Erfassung!$A$6:$A$5005,"&gt;="&amp;DATE(Einstellungen!$C$3,3,1),Erfassung!$A$6:$A$5005,"&lt;"&amp;DATE(Einstellungen!$C$3,4,1)))</f>
        <v/>
      </c>
      <c r="F26" s="54">
        <f>IF($B26="","",SUMIFS(Erfassung!$E$6:$E$5005,Erfassung!$B$6:$B$5005,$A26,Erfassung!$A$6:$A$5005,"&gt;="&amp;DATE(Einstellungen!$C$3,4,1),Erfassung!$A$6:$A$5005,"&lt;"&amp;DATE(Einstellungen!$C$3,5,1)))</f>
        <v/>
      </c>
      <c r="G26" s="54">
        <f>IF($B26="","",SUMIFS(Erfassung!$E$6:$E$5005,Erfassung!$B$6:$B$5005,$A26,Erfassung!$A$6:$A$5005,"&gt;="&amp;DATE(Einstellungen!$C$3,5,1),Erfassung!$A$6:$A$5005,"&lt;"&amp;DATE(Einstellungen!$C$3,6,1)))</f>
        <v/>
      </c>
      <c r="H26" s="54">
        <f>IF($B26="","",SUMIFS(Erfassung!$E$6:$E$5005,Erfassung!$B$6:$B$5005,$A26,Erfassung!$A$6:$A$5005,"&gt;="&amp;DATE(Einstellungen!$C$3,6,1),Erfassung!$A$6:$A$5005,"&lt;"&amp;DATE(Einstellungen!$C$3,7,1)))</f>
        <v/>
      </c>
      <c r="I26" s="54">
        <f>IF($B26="","",SUMIFS(Erfassung!$E$6:$E$5005,Erfassung!$B$6:$B$5005,$A26,Erfassung!$A$6:$A$5005,"&gt;="&amp;DATE(Einstellungen!$C$3,7,1),Erfassung!$A$6:$A$5005,"&lt;"&amp;DATE(Einstellungen!$C$3,8,1)))</f>
        <v/>
      </c>
      <c r="J26" s="54">
        <f>IF($B26="","",SUMIFS(Erfassung!$E$6:$E$5005,Erfassung!$B$6:$B$5005,$A26,Erfassung!$A$6:$A$5005,"&gt;="&amp;DATE(Einstellungen!$C$3,8,1),Erfassung!$A$6:$A$5005,"&lt;"&amp;DATE(Einstellungen!$C$3,9,1)))</f>
        <v/>
      </c>
      <c r="K26" s="54">
        <f>IF($B26="","",SUMIFS(Erfassung!$E$6:$E$5005,Erfassung!$B$6:$B$5005,$A26,Erfassung!$A$6:$A$5005,"&gt;="&amp;DATE(Einstellungen!$C$3,9,1),Erfassung!$A$6:$A$5005,"&lt;"&amp;DATE(Einstellungen!$C$3,10,1)))</f>
        <v/>
      </c>
      <c r="L26" s="54">
        <f>IF($B26="","",SUMIFS(Erfassung!$E$6:$E$5005,Erfassung!$B$6:$B$5005,$A26,Erfassung!$A$6:$A$5005,"&gt;="&amp;DATE(Einstellungen!$C$3,10,1),Erfassung!$A$6:$A$5005,"&lt;"&amp;DATE(Einstellungen!$C$3,11,1)))</f>
        <v/>
      </c>
      <c r="M26" s="54">
        <f>IF($B26="","",SUMIFS(Erfassung!$E$6:$E$5005,Erfassung!$B$6:$B$5005,$A26,Erfassung!$A$6:$A$5005,"&gt;="&amp;DATE(Einstellungen!$C$3,11,1),Erfassung!$A$6:$A$5005,"&lt;"&amp;DATE(Einstellungen!$C$3,12,1)))</f>
        <v/>
      </c>
      <c r="N26" s="54">
        <f>IF($B26="","",SUMIFS(Erfassung!$E$6:$E$5005,Erfassung!$B$6:$B$5005,$A26,Erfassung!$A$6:$A$5005,"&gt;="&amp;DATE(Einstellungen!$C$3,12,1),Erfassung!$A$6:$A$5005,"&lt;"&amp;DATE(Einstellungen!$C$3,13,1)))</f>
        <v/>
      </c>
      <c r="O26" s="45">
        <f>IF($B26="","",SUM(C26:N26))</f>
        <v/>
      </c>
      <c r="P26" s="54">
        <f>IF($B26="","",SUMIFS(Erfassung!$G$6:$G$5005,Erfassung!$B$6:$B$5005,$A26,Erfassung!$A$6:$A$5005,"&gt;="&amp;DATE(Einstellungen!$C$3,1,1),Erfassung!$A$6:$A$5005,"&lt;"&amp;DATE(Einstellungen!$C$3,2,1)))</f>
        <v/>
      </c>
      <c r="Q26" s="54">
        <f>IF($B26="","",SUMIFS(Erfassung!$G$6:$G$5005,Erfassung!$B$6:$B$5005,$A26,Erfassung!$A$6:$A$5005,"&gt;="&amp;DATE(Einstellungen!$C$3,2,1),Erfassung!$A$6:$A$5005,"&lt;"&amp;DATE(Einstellungen!$C$3,3,1)))</f>
        <v/>
      </c>
      <c r="R26" s="54">
        <f>IF($B26="","",SUMIFS(Erfassung!$G$6:$G$5005,Erfassung!$B$6:$B$5005,$A26,Erfassung!$A$6:$A$5005,"&gt;="&amp;DATE(Einstellungen!$C$3,3,1),Erfassung!$A$6:$A$5005,"&lt;"&amp;DATE(Einstellungen!$C$3,4,1)))</f>
        <v/>
      </c>
      <c r="S26" s="54">
        <f>IF($B26="","",SUMIFS(Erfassung!$G$6:$G$5005,Erfassung!$B$6:$B$5005,$A26,Erfassung!$A$6:$A$5005,"&gt;="&amp;DATE(Einstellungen!$C$3,4,1),Erfassung!$A$6:$A$5005,"&lt;"&amp;DATE(Einstellungen!$C$3,5,1)))</f>
        <v/>
      </c>
      <c r="T26" s="54">
        <f>IF($B26="","",SUMIFS(Erfassung!$G$6:$G$5005,Erfassung!$B$6:$B$5005,$A26,Erfassung!$A$6:$A$5005,"&gt;="&amp;DATE(Einstellungen!$C$3,5,1),Erfassung!$A$6:$A$5005,"&lt;"&amp;DATE(Einstellungen!$C$3,6,1)))</f>
        <v/>
      </c>
      <c r="U26" s="54">
        <f>IF($B26="","",SUMIFS(Erfassung!$G$6:$G$5005,Erfassung!$B$6:$B$5005,$A26,Erfassung!$A$6:$A$5005,"&gt;="&amp;DATE(Einstellungen!$C$3,6,1),Erfassung!$A$6:$A$5005,"&lt;"&amp;DATE(Einstellungen!$C$3,7,1)))</f>
        <v/>
      </c>
      <c r="V26" s="54">
        <f>IF($B26="","",SUMIFS(Erfassung!$G$6:$G$5005,Erfassung!$B$6:$B$5005,$A26,Erfassung!$A$6:$A$5005,"&gt;="&amp;DATE(Einstellungen!$C$3,7,1),Erfassung!$A$6:$A$5005,"&lt;"&amp;DATE(Einstellungen!$C$3,8,1)))</f>
        <v/>
      </c>
      <c r="W26" s="54">
        <f>IF($B26="","",SUMIFS(Erfassung!$G$6:$G$5005,Erfassung!$B$6:$B$5005,$A26,Erfassung!$A$6:$A$5005,"&gt;="&amp;DATE(Einstellungen!$C$3,8,1),Erfassung!$A$6:$A$5005,"&lt;"&amp;DATE(Einstellungen!$C$3,9,1)))</f>
        <v/>
      </c>
      <c r="X26" s="54">
        <f>IF($B26="","",SUMIFS(Erfassung!$G$6:$G$5005,Erfassung!$B$6:$B$5005,$A26,Erfassung!$A$6:$A$5005,"&gt;="&amp;DATE(Einstellungen!$C$3,9,1),Erfassung!$A$6:$A$5005,"&lt;"&amp;DATE(Einstellungen!$C$3,10,1)))</f>
        <v/>
      </c>
      <c r="Y26" s="54">
        <f>IF($B26="","",SUMIFS(Erfassung!$G$6:$G$5005,Erfassung!$B$6:$B$5005,$A26,Erfassung!$A$6:$A$5005,"&gt;="&amp;DATE(Einstellungen!$C$3,10,1),Erfassung!$A$6:$A$5005,"&lt;"&amp;DATE(Einstellungen!$C$3,11,1)))</f>
        <v/>
      </c>
      <c r="Z26" s="54">
        <f>IF($B26="","",SUMIFS(Erfassung!$G$6:$G$5005,Erfassung!$B$6:$B$5005,$A26,Erfassung!$A$6:$A$5005,"&gt;="&amp;DATE(Einstellungen!$C$3,11,1),Erfassung!$A$6:$A$5005,"&lt;"&amp;DATE(Einstellungen!$C$3,12,1)))</f>
        <v/>
      </c>
      <c r="AA26" s="54">
        <f>IF($B26="","",SUMIFS(Erfassung!$G$6:$G$5005,Erfassung!$B$6:$B$5005,$A26,Erfassung!$A$6:$A$5005,"&gt;="&amp;DATE(Einstellungen!$C$3,12,1),Erfassung!$A$6:$A$5005,"&lt;"&amp;DATE(Einstellungen!$C$3,13,1)))</f>
        <v/>
      </c>
      <c r="AB26" s="45">
        <f>IF($B26="","",SUM(P26:AA26))</f>
        <v/>
      </c>
      <c r="AC26" s="38">
        <f>IF($B26="","",IF(O26+AB26&gt;0,AB26/(O26+AB26),""))</f>
        <v/>
      </c>
    </row>
    <row r="27">
      <c r="A27" s="56">
        <f>'KQuote Mitarbeiter'!A27</f>
        <v/>
      </c>
      <c r="B27" s="57">
        <f>'KQuote Mitarbeiter'!B27</f>
        <v/>
      </c>
      <c r="C27" s="54">
        <f>IF($B27="","",SUMIFS(Erfassung!$E$6:$E$5005,Erfassung!$B$6:$B$5005,$A27,Erfassung!$A$6:$A$5005,"&gt;="&amp;DATE(Einstellungen!$C$3,1,1),Erfassung!$A$6:$A$5005,"&lt;"&amp;DATE(Einstellungen!$C$3,2,1)))</f>
        <v/>
      </c>
      <c r="D27" s="54">
        <f>IF($B27="","",SUMIFS(Erfassung!$E$6:$E$5005,Erfassung!$B$6:$B$5005,$A27,Erfassung!$A$6:$A$5005,"&gt;="&amp;DATE(Einstellungen!$C$3,2,1),Erfassung!$A$6:$A$5005,"&lt;"&amp;DATE(Einstellungen!$C$3,3,1)))</f>
        <v/>
      </c>
      <c r="E27" s="54">
        <f>IF($B27="","",SUMIFS(Erfassung!$E$6:$E$5005,Erfassung!$B$6:$B$5005,$A27,Erfassung!$A$6:$A$5005,"&gt;="&amp;DATE(Einstellungen!$C$3,3,1),Erfassung!$A$6:$A$5005,"&lt;"&amp;DATE(Einstellungen!$C$3,4,1)))</f>
        <v/>
      </c>
      <c r="F27" s="54">
        <f>IF($B27="","",SUMIFS(Erfassung!$E$6:$E$5005,Erfassung!$B$6:$B$5005,$A27,Erfassung!$A$6:$A$5005,"&gt;="&amp;DATE(Einstellungen!$C$3,4,1),Erfassung!$A$6:$A$5005,"&lt;"&amp;DATE(Einstellungen!$C$3,5,1)))</f>
        <v/>
      </c>
      <c r="G27" s="54">
        <f>IF($B27="","",SUMIFS(Erfassung!$E$6:$E$5005,Erfassung!$B$6:$B$5005,$A27,Erfassung!$A$6:$A$5005,"&gt;="&amp;DATE(Einstellungen!$C$3,5,1),Erfassung!$A$6:$A$5005,"&lt;"&amp;DATE(Einstellungen!$C$3,6,1)))</f>
        <v/>
      </c>
      <c r="H27" s="54">
        <f>IF($B27="","",SUMIFS(Erfassung!$E$6:$E$5005,Erfassung!$B$6:$B$5005,$A27,Erfassung!$A$6:$A$5005,"&gt;="&amp;DATE(Einstellungen!$C$3,6,1),Erfassung!$A$6:$A$5005,"&lt;"&amp;DATE(Einstellungen!$C$3,7,1)))</f>
        <v/>
      </c>
      <c r="I27" s="54">
        <f>IF($B27="","",SUMIFS(Erfassung!$E$6:$E$5005,Erfassung!$B$6:$B$5005,$A27,Erfassung!$A$6:$A$5005,"&gt;="&amp;DATE(Einstellungen!$C$3,7,1),Erfassung!$A$6:$A$5005,"&lt;"&amp;DATE(Einstellungen!$C$3,8,1)))</f>
        <v/>
      </c>
      <c r="J27" s="54">
        <f>IF($B27="","",SUMIFS(Erfassung!$E$6:$E$5005,Erfassung!$B$6:$B$5005,$A27,Erfassung!$A$6:$A$5005,"&gt;="&amp;DATE(Einstellungen!$C$3,8,1),Erfassung!$A$6:$A$5005,"&lt;"&amp;DATE(Einstellungen!$C$3,9,1)))</f>
        <v/>
      </c>
      <c r="K27" s="54">
        <f>IF($B27="","",SUMIFS(Erfassung!$E$6:$E$5005,Erfassung!$B$6:$B$5005,$A27,Erfassung!$A$6:$A$5005,"&gt;="&amp;DATE(Einstellungen!$C$3,9,1),Erfassung!$A$6:$A$5005,"&lt;"&amp;DATE(Einstellungen!$C$3,10,1)))</f>
        <v/>
      </c>
      <c r="L27" s="54">
        <f>IF($B27="","",SUMIFS(Erfassung!$E$6:$E$5005,Erfassung!$B$6:$B$5005,$A27,Erfassung!$A$6:$A$5005,"&gt;="&amp;DATE(Einstellungen!$C$3,10,1),Erfassung!$A$6:$A$5005,"&lt;"&amp;DATE(Einstellungen!$C$3,11,1)))</f>
        <v/>
      </c>
      <c r="M27" s="54">
        <f>IF($B27="","",SUMIFS(Erfassung!$E$6:$E$5005,Erfassung!$B$6:$B$5005,$A27,Erfassung!$A$6:$A$5005,"&gt;="&amp;DATE(Einstellungen!$C$3,11,1),Erfassung!$A$6:$A$5005,"&lt;"&amp;DATE(Einstellungen!$C$3,12,1)))</f>
        <v/>
      </c>
      <c r="N27" s="54">
        <f>IF($B27="","",SUMIFS(Erfassung!$E$6:$E$5005,Erfassung!$B$6:$B$5005,$A27,Erfassung!$A$6:$A$5005,"&gt;="&amp;DATE(Einstellungen!$C$3,12,1),Erfassung!$A$6:$A$5005,"&lt;"&amp;DATE(Einstellungen!$C$3,13,1)))</f>
        <v/>
      </c>
      <c r="O27" s="45">
        <f>IF($B27="","",SUM(C27:N27))</f>
        <v/>
      </c>
      <c r="P27" s="54">
        <f>IF($B27="","",SUMIFS(Erfassung!$G$6:$G$5005,Erfassung!$B$6:$B$5005,$A27,Erfassung!$A$6:$A$5005,"&gt;="&amp;DATE(Einstellungen!$C$3,1,1),Erfassung!$A$6:$A$5005,"&lt;"&amp;DATE(Einstellungen!$C$3,2,1)))</f>
        <v/>
      </c>
      <c r="Q27" s="54">
        <f>IF($B27="","",SUMIFS(Erfassung!$G$6:$G$5005,Erfassung!$B$6:$B$5005,$A27,Erfassung!$A$6:$A$5005,"&gt;="&amp;DATE(Einstellungen!$C$3,2,1),Erfassung!$A$6:$A$5005,"&lt;"&amp;DATE(Einstellungen!$C$3,3,1)))</f>
        <v/>
      </c>
      <c r="R27" s="54">
        <f>IF($B27="","",SUMIFS(Erfassung!$G$6:$G$5005,Erfassung!$B$6:$B$5005,$A27,Erfassung!$A$6:$A$5005,"&gt;="&amp;DATE(Einstellungen!$C$3,3,1),Erfassung!$A$6:$A$5005,"&lt;"&amp;DATE(Einstellungen!$C$3,4,1)))</f>
        <v/>
      </c>
      <c r="S27" s="54">
        <f>IF($B27="","",SUMIFS(Erfassung!$G$6:$G$5005,Erfassung!$B$6:$B$5005,$A27,Erfassung!$A$6:$A$5005,"&gt;="&amp;DATE(Einstellungen!$C$3,4,1),Erfassung!$A$6:$A$5005,"&lt;"&amp;DATE(Einstellungen!$C$3,5,1)))</f>
        <v/>
      </c>
      <c r="T27" s="54">
        <f>IF($B27="","",SUMIFS(Erfassung!$G$6:$G$5005,Erfassung!$B$6:$B$5005,$A27,Erfassung!$A$6:$A$5005,"&gt;="&amp;DATE(Einstellungen!$C$3,5,1),Erfassung!$A$6:$A$5005,"&lt;"&amp;DATE(Einstellungen!$C$3,6,1)))</f>
        <v/>
      </c>
      <c r="U27" s="54">
        <f>IF($B27="","",SUMIFS(Erfassung!$G$6:$G$5005,Erfassung!$B$6:$B$5005,$A27,Erfassung!$A$6:$A$5005,"&gt;="&amp;DATE(Einstellungen!$C$3,6,1),Erfassung!$A$6:$A$5005,"&lt;"&amp;DATE(Einstellungen!$C$3,7,1)))</f>
        <v/>
      </c>
      <c r="V27" s="54">
        <f>IF($B27="","",SUMIFS(Erfassung!$G$6:$G$5005,Erfassung!$B$6:$B$5005,$A27,Erfassung!$A$6:$A$5005,"&gt;="&amp;DATE(Einstellungen!$C$3,7,1),Erfassung!$A$6:$A$5005,"&lt;"&amp;DATE(Einstellungen!$C$3,8,1)))</f>
        <v/>
      </c>
      <c r="W27" s="54">
        <f>IF($B27="","",SUMIFS(Erfassung!$G$6:$G$5005,Erfassung!$B$6:$B$5005,$A27,Erfassung!$A$6:$A$5005,"&gt;="&amp;DATE(Einstellungen!$C$3,8,1),Erfassung!$A$6:$A$5005,"&lt;"&amp;DATE(Einstellungen!$C$3,9,1)))</f>
        <v/>
      </c>
      <c r="X27" s="54">
        <f>IF($B27="","",SUMIFS(Erfassung!$G$6:$G$5005,Erfassung!$B$6:$B$5005,$A27,Erfassung!$A$6:$A$5005,"&gt;="&amp;DATE(Einstellungen!$C$3,9,1),Erfassung!$A$6:$A$5005,"&lt;"&amp;DATE(Einstellungen!$C$3,10,1)))</f>
        <v/>
      </c>
      <c r="Y27" s="54">
        <f>IF($B27="","",SUMIFS(Erfassung!$G$6:$G$5005,Erfassung!$B$6:$B$5005,$A27,Erfassung!$A$6:$A$5005,"&gt;="&amp;DATE(Einstellungen!$C$3,10,1),Erfassung!$A$6:$A$5005,"&lt;"&amp;DATE(Einstellungen!$C$3,11,1)))</f>
        <v/>
      </c>
      <c r="Z27" s="54">
        <f>IF($B27="","",SUMIFS(Erfassung!$G$6:$G$5005,Erfassung!$B$6:$B$5005,$A27,Erfassung!$A$6:$A$5005,"&gt;="&amp;DATE(Einstellungen!$C$3,11,1),Erfassung!$A$6:$A$5005,"&lt;"&amp;DATE(Einstellungen!$C$3,12,1)))</f>
        <v/>
      </c>
      <c r="AA27" s="54">
        <f>IF($B27="","",SUMIFS(Erfassung!$G$6:$G$5005,Erfassung!$B$6:$B$5005,$A27,Erfassung!$A$6:$A$5005,"&gt;="&amp;DATE(Einstellungen!$C$3,12,1),Erfassung!$A$6:$A$5005,"&lt;"&amp;DATE(Einstellungen!$C$3,13,1)))</f>
        <v/>
      </c>
      <c r="AB27" s="45">
        <f>IF($B27="","",SUM(P27:AA27))</f>
        <v/>
      </c>
      <c r="AC27" s="38">
        <f>IF($B27="","",IF(O27+AB27&gt;0,AB27/(O27+AB27),""))</f>
        <v/>
      </c>
    </row>
    <row r="28">
      <c r="A28" s="56">
        <f>'KQuote Mitarbeiter'!A28</f>
        <v/>
      </c>
      <c r="B28" s="57">
        <f>'KQuote Mitarbeiter'!B28</f>
        <v/>
      </c>
      <c r="C28" s="54">
        <f>IF($B28="","",SUMIFS(Erfassung!$E$6:$E$5005,Erfassung!$B$6:$B$5005,$A28,Erfassung!$A$6:$A$5005,"&gt;="&amp;DATE(Einstellungen!$C$3,1,1),Erfassung!$A$6:$A$5005,"&lt;"&amp;DATE(Einstellungen!$C$3,2,1)))</f>
        <v/>
      </c>
      <c r="D28" s="54">
        <f>IF($B28="","",SUMIFS(Erfassung!$E$6:$E$5005,Erfassung!$B$6:$B$5005,$A28,Erfassung!$A$6:$A$5005,"&gt;="&amp;DATE(Einstellungen!$C$3,2,1),Erfassung!$A$6:$A$5005,"&lt;"&amp;DATE(Einstellungen!$C$3,3,1)))</f>
        <v/>
      </c>
      <c r="E28" s="54">
        <f>IF($B28="","",SUMIFS(Erfassung!$E$6:$E$5005,Erfassung!$B$6:$B$5005,$A28,Erfassung!$A$6:$A$5005,"&gt;="&amp;DATE(Einstellungen!$C$3,3,1),Erfassung!$A$6:$A$5005,"&lt;"&amp;DATE(Einstellungen!$C$3,4,1)))</f>
        <v/>
      </c>
      <c r="F28" s="54">
        <f>IF($B28="","",SUMIFS(Erfassung!$E$6:$E$5005,Erfassung!$B$6:$B$5005,$A28,Erfassung!$A$6:$A$5005,"&gt;="&amp;DATE(Einstellungen!$C$3,4,1),Erfassung!$A$6:$A$5005,"&lt;"&amp;DATE(Einstellungen!$C$3,5,1)))</f>
        <v/>
      </c>
      <c r="G28" s="54">
        <f>IF($B28="","",SUMIFS(Erfassung!$E$6:$E$5005,Erfassung!$B$6:$B$5005,$A28,Erfassung!$A$6:$A$5005,"&gt;="&amp;DATE(Einstellungen!$C$3,5,1),Erfassung!$A$6:$A$5005,"&lt;"&amp;DATE(Einstellungen!$C$3,6,1)))</f>
        <v/>
      </c>
      <c r="H28" s="54">
        <f>IF($B28="","",SUMIFS(Erfassung!$E$6:$E$5005,Erfassung!$B$6:$B$5005,$A28,Erfassung!$A$6:$A$5005,"&gt;="&amp;DATE(Einstellungen!$C$3,6,1),Erfassung!$A$6:$A$5005,"&lt;"&amp;DATE(Einstellungen!$C$3,7,1)))</f>
        <v/>
      </c>
      <c r="I28" s="54">
        <f>IF($B28="","",SUMIFS(Erfassung!$E$6:$E$5005,Erfassung!$B$6:$B$5005,$A28,Erfassung!$A$6:$A$5005,"&gt;="&amp;DATE(Einstellungen!$C$3,7,1),Erfassung!$A$6:$A$5005,"&lt;"&amp;DATE(Einstellungen!$C$3,8,1)))</f>
        <v/>
      </c>
      <c r="J28" s="54">
        <f>IF($B28="","",SUMIFS(Erfassung!$E$6:$E$5005,Erfassung!$B$6:$B$5005,$A28,Erfassung!$A$6:$A$5005,"&gt;="&amp;DATE(Einstellungen!$C$3,8,1),Erfassung!$A$6:$A$5005,"&lt;"&amp;DATE(Einstellungen!$C$3,9,1)))</f>
        <v/>
      </c>
      <c r="K28" s="54">
        <f>IF($B28="","",SUMIFS(Erfassung!$E$6:$E$5005,Erfassung!$B$6:$B$5005,$A28,Erfassung!$A$6:$A$5005,"&gt;="&amp;DATE(Einstellungen!$C$3,9,1),Erfassung!$A$6:$A$5005,"&lt;"&amp;DATE(Einstellungen!$C$3,10,1)))</f>
        <v/>
      </c>
      <c r="L28" s="54">
        <f>IF($B28="","",SUMIFS(Erfassung!$E$6:$E$5005,Erfassung!$B$6:$B$5005,$A28,Erfassung!$A$6:$A$5005,"&gt;="&amp;DATE(Einstellungen!$C$3,10,1),Erfassung!$A$6:$A$5005,"&lt;"&amp;DATE(Einstellungen!$C$3,11,1)))</f>
        <v/>
      </c>
      <c r="M28" s="54">
        <f>IF($B28="","",SUMIFS(Erfassung!$E$6:$E$5005,Erfassung!$B$6:$B$5005,$A28,Erfassung!$A$6:$A$5005,"&gt;="&amp;DATE(Einstellungen!$C$3,11,1),Erfassung!$A$6:$A$5005,"&lt;"&amp;DATE(Einstellungen!$C$3,12,1)))</f>
        <v/>
      </c>
      <c r="N28" s="54">
        <f>IF($B28="","",SUMIFS(Erfassung!$E$6:$E$5005,Erfassung!$B$6:$B$5005,$A28,Erfassung!$A$6:$A$5005,"&gt;="&amp;DATE(Einstellungen!$C$3,12,1),Erfassung!$A$6:$A$5005,"&lt;"&amp;DATE(Einstellungen!$C$3,13,1)))</f>
        <v/>
      </c>
      <c r="O28" s="45">
        <f>IF($B28="","",SUM(C28:N28))</f>
        <v/>
      </c>
      <c r="P28" s="54">
        <f>IF($B28="","",SUMIFS(Erfassung!$G$6:$G$5005,Erfassung!$B$6:$B$5005,$A28,Erfassung!$A$6:$A$5005,"&gt;="&amp;DATE(Einstellungen!$C$3,1,1),Erfassung!$A$6:$A$5005,"&lt;"&amp;DATE(Einstellungen!$C$3,2,1)))</f>
        <v/>
      </c>
      <c r="Q28" s="54">
        <f>IF($B28="","",SUMIFS(Erfassung!$G$6:$G$5005,Erfassung!$B$6:$B$5005,$A28,Erfassung!$A$6:$A$5005,"&gt;="&amp;DATE(Einstellungen!$C$3,2,1),Erfassung!$A$6:$A$5005,"&lt;"&amp;DATE(Einstellungen!$C$3,3,1)))</f>
        <v/>
      </c>
      <c r="R28" s="54">
        <f>IF($B28="","",SUMIFS(Erfassung!$G$6:$G$5005,Erfassung!$B$6:$B$5005,$A28,Erfassung!$A$6:$A$5005,"&gt;="&amp;DATE(Einstellungen!$C$3,3,1),Erfassung!$A$6:$A$5005,"&lt;"&amp;DATE(Einstellungen!$C$3,4,1)))</f>
        <v/>
      </c>
      <c r="S28" s="54">
        <f>IF($B28="","",SUMIFS(Erfassung!$G$6:$G$5005,Erfassung!$B$6:$B$5005,$A28,Erfassung!$A$6:$A$5005,"&gt;="&amp;DATE(Einstellungen!$C$3,4,1),Erfassung!$A$6:$A$5005,"&lt;"&amp;DATE(Einstellungen!$C$3,5,1)))</f>
        <v/>
      </c>
      <c r="T28" s="54">
        <f>IF($B28="","",SUMIFS(Erfassung!$G$6:$G$5005,Erfassung!$B$6:$B$5005,$A28,Erfassung!$A$6:$A$5005,"&gt;="&amp;DATE(Einstellungen!$C$3,5,1),Erfassung!$A$6:$A$5005,"&lt;"&amp;DATE(Einstellungen!$C$3,6,1)))</f>
        <v/>
      </c>
      <c r="U28" s="54">
        <f>IF($B28="","",SUMIFS(Erfassung!$G$6:$G$5005,Erfassung!$B$6:$B$5005,$A28,Erfassung!$A$6:$A$5005,"&gt;="&amp;DATE(Einstellungen!$C$3,6,1),Erfassung!$A$6:$A$5005,"&lt;"&amp;DATE(Einstellungen!$C$3,7,1)))</f>
        <v/>
      </c>
      <c r="V28" s="54">
        <f>IF($B28="","",SUMIFS(Erfassung!$G$6:$G$5005,Erfassung!$B$6:$B$5005,$A28,Erfassung!$A$6:$A$5005,"&gt;="&amp;DATE(Einstellungen!$C$3,7,1),Erfassung!$A$6:$A$5005,"&lt;"&amp;DATE(Einstellungen!$C$3,8,1)))</f>
        <v/>
      </c>
      <c r="W28" s="54">
        <f>IF($B28="","",SUMIFS(Erfassung!$G$6:$G$5005,Erfassung!$B$6:$B$5005,$A28,Erfassung!$A$6:$A$5005,"&gt;="&amp;DATE(Einstellungen!$C$3,8,1),Erfassung!$A$6:$A$5005,"&lt;"&amp;DATE(Einstellungen!$C$3,9,1)))</f>
        <v/>
      </c>
      <c r="X28" s="54">
        <f>IF($B28="","",SUMIFS(Erfassung!$G$6:$G$5005,Erfassung!$B$6:$B$5005,$A28,Erfassung!$A$6:$A$5005,"&gt;="&amp;DATE(Einstellungen!$C$3,9,1),Erfassung!$A$6:$A$5005,"&lt;"&amp;DATE(Einstellungen!$C$3,10,1)))</f>
        <v/>
      </c>
      <c r="Y28" s="54">
        <f>IF($B28="","",SUMIFS(Erfassung!$G$6:$G$5005,Erfassung!$B$6:$B$5005,$A28,Erfassung!$A$6:$A$5005,"&gt;="&amp;DATE(Einstellungen!$C$3,10,1),Erfassung!$A$6:$A$5005,"&lt;"&amp;DATE(Einstellungen!$C$3,11,1)))</f>
        <v/>
      </c>
      <c r="Z28" s="54">
        <f>IF($B28="","",SUMIFS(Erfassung!$G$6:$G$5005,Erfassung!$B$6:$B$5005,$A28,Erfassung!$A$6:$A$5005,"&gt;="&amp;DATE(Einstellungen!$C$3,11,1),Erfassung!$A$6:$A$5005,"&lt;"&amp;DATE(Einstellungen!$C$3,12,1)))</f>
        <v/>
      </c>
      <c r="AA28" s="54">
        <f>IF($B28="","",SUMIFS(Erfassung!$G$6:$G$5005,Erfassung!$B$6:$B$5005,$A28,Erfassung!$A$6:$A$5005,"&gt;="&amp;DATE(Einstellungen!$C$3,12,1),Erfassung!$A$6:$A$5005,"&lt;"&amp;DATE(Einstellungen!$C$3,13,1)))</f>
        <v/>
      </c>
      <c r="AB28" s="45">
        <f>IF($B28="","",SUM(P28:AA28))</f>
        <v/>
      </c>
      <c r="AC28" s="38">
        <f>IF($B28="","",IF(O28+AB28&gt;0,AB28/(O28+AB28),""))</f>
        <v/>
      </c>
    </row>
    <row r="29">
      <c r="A29" s="56">
        <f>'KQuote Mitarbeiter'!A29</f>
        <v/>
      </c>
      <c r="B29" s="57">
        <f>'KQuote Mitarbeiter'!B29</f>
        <v/>
      </c>
      <c r="C29" s="54">
        <f>IF($B29="","",SUMIFS(Erfassung!$E$6:$E$5005,Erfassung!$B$6:$B$5005,$A29,Erfassung!$A$6:$A$5005,"&gt;="&amp;DATE(Einstellungen!$C$3,1,1),Erfassung!$A$6:$A$5005,"&lt;"&amp;DATE(Einstellungen!$C$3,2,1)))</f>
        <v/>
      </c>
      <c r="D29" s="54">
        <f>IF($B29="","",SUMIFS(Erfassung!$E$6:$E$5005,Erfassung!$B$6:$B$5005,$A29,Erfassung!$A$6:$A$5005,"&gt;="&amp;DATE(Einstellungen!$C$3,2,1),Erfassung!$A$6:$A$5005,"&lt;"&amp;DATE(Einstellungen!$C$3,3,1)))</f>
        <v/>
      </c>
      <c r="E29" s="54">
        <f>IF($B29="","",SUMIFS(Erfassung!$E$6:$E$5005,Erfassung!$B$6:$B$5005,$A29,Erfassung!$A$6:$A$5005,"&gt;="&amp;DATE(Einstellungen!$C$3,3,1),Erfassung!$A$6:$A$5005,"&lt;"&amp;DATE(Einstellungen!$C$3,4,1)))</f>
        <v/>
      </c>
      <c r="F29" s="54">
        <f>IF($B29="","",SUMIFS(Erfassung!$E$6:$E$5005,Erfassung!$B$6:$B$5005,$A29,Erfassung!$A$6:$A$5005,"&gt;="&amp;DATE(Einstellungen!$C$3,4,1),Erfassung!$A$6:$A$5005,"&lt;"&amp;DATE(Einstellungen!$C$3,5,1)))</f>
        <v/>
      </c>
      <c r="G29" s="54">
        <f>IF($B29="","",SUMIFS(Erfassung!$E$6:$E$5005,Erfassung!$B$6:$B$5005,$A29,Erfassung!$A$6:$A$5005,"&gt;="&amp;DATE(Einstellungen!$C$3,5,1),Erfassung!$A$6:$A$5005,"&lt;"&amp;DATE(Einstellungen!$C$3,6,1)))</f>
        <v/>
      </c>
      <c r="H29" s="54">
        <f>IF($B29="","",SUMIFS(Erfassung!$E$6:$E$5005,Erfassung!$B$6:$B$5005,$A29,Erfassung!$A$6:$A$5005,"&gt;="&amp;DATE(Einstellungen!$C$3,6,1),Erfassung!$A$6:$A$5005,"&lt;"&amp;DATE(Einstellungen!$C$3,7,1)))</f>
        <v/>
      </c>
      <c r="I29" s="54">
        <f>IF($B29="","",SUMIFS(Erfassung!$E$6:$E$5005,Erfassung!$B$6:$B$5005,$A29,Erfassung!$A$6:$A$5005,"&gt;="&amp;DATE(Einstellungen!$C$3,7,1),Erfassung!$A$6:$A$5005,"&lt;"&amp;DATE(Einstellungen!$C$3,8,1)))</f>
        <v/>
      </c>
      <c r="J29" s="54">
        <f>IF($B29="","",SUMIFS(Erfassung!$E$6:$E$5005,Erfassung!$B$6:$B$5005,$A29,Erfassung!$A$6:$A$5005,"&gt;="&amp;DATE(Einstellungen!$C$3,8,1),Erfassung!$A$6:$A$5005,"&lt;"&amp;DATE(Einstellungen!$C$3,9,1)))</f>
        <v/>
      </c>
      <c r="K29" s="54">
        <f>IF($B29="","",SUMIFS(Erfassung!$E$6:$E$5005,Erfassung!$B$6:$B$5005,$A29,Erfassung!$A$6:$A$5005,"&gt;="&amp;DATE(Einstellungen!$C$3,9,1),Erfassung!$A$6:$A$5005,"&lt;"&amp;DATE(Einstellungen!$C$3,10,1)))</f>
        <v/>
      </c>
      <c r="L29" s="54">
        <f>IF($B29="","",SUMIFS(Erfassung!$E$6:$E$5005,Erfassung!$B$6:$B$5005,$A29,Erfassung!$A$6:$A$5005,"&gt;="&amp;DATE(Einstellungen!$C$3,10,1),Erfassung!$A$6:$A$5005,"&lt;"&amp;DATE(Einstellungen!$C$3,11,1)))</f>
        <v/>
      </c>
      <c r="M29" s="54">
        <f>IF($B29="","",SUMIFS(Erfassung!$E$6:$E$5005,Erfassung!$B$6:$B$5005,$A29,Erfassung!$A$6:$A$5005,"&gt;="&amp;DATE(Einstellungen!$C$3,11,1),Erfassung!$A$6:$A$5005,"&lt;"&amp;DATE(Einstellungen!$C$3,12,1)))</f>
        <v/>
      </c>
      <c r="N29" s="54">
        <f>IF($B29="","",SUMIFS(Erfassung!$E$6:$E$5005,Erfassung!$B$6:$B$5005,$A29,Erfassung!$A$6:$A$5005,"&gt;="&amp;DATE(Einstellungen!$C$3,12,1),Erfassung!$A$6:$A$5005,"&lt;"&amp;DATE(Einstellungen!$C$3,13,1)))</f>
        <v/>
      </c>
      <c r="O29" s="45">
        <f>IF($B29="","",SUM(C29:N29))</f>
        <v/>
      </c>
      <c r="P29" s="54">
        <f>IF($B29="","",SUMIFS(Erfassung!$G$6:$G$5005,Erfassung!$B$6:$B$5005,$A29,Erfassung!$A$6:$A$5005,"&gt;="&amp;DATE(Einstellungen!$C$3,1,1),Erfassung!$A$6:$A$5005,"&lt;"&amp;DATE(Einstellungen!$C$3,2,1)))</f>
        <v/>
      </c>
      <c r="Q29" s="54">
        <f>IF($B29="","",SUMIFS(Erfassung!$G$6:$G$5005,Erfassung!$B$6:$B$5005,$A29,Erfassung!$A$6:$A$5005,"&gt;="&amp;DATE(Einstellungen!$C$3,2,1),Erfassung!$A$6:$A$5005,"&lt;"&amp;DATE(Einstellungen!$C$3,3,1)))</f>
        <v/>
      </c>
      <c r="R29" s="54">
        <f>IF($B29="","",SUMIFS(Erfassung!$G$6:$G$5005,Erfassung!$B$6:$B$5005,$A29,Erfassung!$A$6:$A$5005,"&gt;="&amp;DATE(Einstellungen!$C$3,3,1),Erfassung!$A$6:$A$5005,"&lt;"&amp;DATE(Einstellungen!$C$3,4,1)))</f>
        <v/>
      </c>
      <c r="S29" s="54">
        <f>IF($B29="","",SUMIFS(Erfassung!$G$6:$G$5005,Erfassung!$B$6:$B$5005,$A29,Erfassung!$A$6:$A$5005,"&gt;="&amp;DATE(Einstellungen!$C$3,4,1),Erfassung!$A$6:$A$5005,"&lt;"&amp;DATE(Einstellungen!$C$3,5,1)))</f>
        <v/>
      </c>
      <c r="T29" s="54">
        <f>IF($B29="","",SUMIFS(Erfassung!$G$6:$G$5005,Erfassung!$B$6:$B$5005,$A29,Erfassung!$A$6:$A$5005,"&gt;="&amp;DATE(Einstellungen!$C$3,5,1),Erfassung!$A$6:$A$5005,"&lt;"&amp;DATE(Einstellungen!$C$3,6,1)))</f>
        <v/>
      </c>
      <c r="U29" s="54">
        <f>IF($B29="","",SUMIFS(Erfassung!$G$6:$G$5005,Erfassung!$B$6:$B$5005,$A29,Erfassung!$A$6:$A$5005,"&gt;="&amp;DATE(Einstellungen!$C$3,6,1),Erfassung!$A$6:$A$5005,"&lt;"&amp;DATE(Einstellungen!$C$3,7,1)))</f>
        <v/>
      </c>
      <c r="V29" s="54">
        <f>IF($B29="","",SUMIFS(Erfassung!$G$6:$G$5005,Erfassung!$B$6:$B$5005,$A29,Erfassung!$A$6:$A$5005,"&gt;="&amp;DATE(Einstellungen!$C$3,7,1),Erfassung!$A$6:$A$5005,"&lt;"&amp;DATE(Einstellungen!$C$3,8,1)))</f>
        <v/>
      </c>
      <c r="W29" s="54">
        <f>IF($B29="","",SUMIFS(Erfassung!$G$6:$G$5005,Erfassung!$B$6:$B$5005,$A29,Erfassung!$A$6:$A$5005,"&gt;="&amp;DATE(Einstellungen!$C$3,8,1),Erfassung!$A$6:$A$5005,"&lt;"&amp;DATE(Einstellungen!$C$3,9,1)))</f>
        <v/>
      </c>
      <c r="X29" s="54">
        <f>IF($B29="","",SUMIFS(Erfassung!$G$6:$G$5005,Erfassung!$B$6:$B$5005,$A29,Erfassung!$A$6:$A$5005,"&gt;="&amp;DATE(Einstellungen!$C$3,9,1),Erfassung!$A$6:$A$5005,"&lt;"&amp;DATE(Einstellungen!$C$3,10,1)))</f>
        <v/>
      </c>
      <c r="Y29" s="54">
        <f>IF($B29="","",SUMIFS(Erfassung!$G$6:$G$5005,Erfassung!$B$6:$B$5005,$A29,Erfassung!$A$6:$A$5005,"&gt;="&amp;DATE(Einstellungen!$C$3,10,1),Erfassung!$A$6:$A$5005,"&lt;"&amp;DATE(Einstellungen!$C$3,11,1)))</f>
        <v/>
      </c>
      <c r="Z29" s="54">
        <f>IF($B29="","",SUMIFS(Erfassung!$G$6:$G$5005,Erfassung!$B$6:$B$5005,$A29,Erfassung!$A$6:$A$5005,"&gt;="&amp;DATE(Einstellungen!$C$3,11,1),Erfassung!$A$6:$A$5005,"&lt;"&amp;DATE(Einstellungen!$C$3,12,1)))</f>
        <v/>
      </c>
      <c r="AA29" s="54">
        <f>IF($B29="","",SUMIFS(Erfassung!$G$6:$G$5005,Erfassung!$B$6:$B$5005,$A29,Erfassung!$A$6:$A$5005,"&gt;="&amp;DATE(Einstellungen!$C$3,12,1),Erfassung!$A$6:$A$5005,"&lt;"&amp;DATE(Einstellungen!$C$3,13,1)))</f>
        <v/>
      </c>
      <c r="AB29" s="45">
        <f>IF($B29="","",SUM(P29:AA29))</f>
        <v/>
      </c>
      <c r="AC29" s="38">
        <f>IF($B29="","",IF(O29+AB29&gt;0,AB29/(O29+AB29),""))</f>
        <v/>
      </c>
    </row>
    <row r="30">
      <c r="A30" s="56">
        <f>'KQuote Mitarbeiter'!A30</f>
        <v/>
      </c>
      <c r="B30" s="57">
        <f>'KQuote Mitarbeiter'!B30</f>
        <v/>
      </c>
      <c r="C30" s="54">
        <f>IF($B30="","",SUMIFS(Erfassung!$E$6:$E$5005,Erfassung!$B$6:$B$5005,$A30,Erfassung!$A$6:$A$5005,"&gt;="&amp;DATE(Einstellungen!$C$3,1,1),Erfassung!$A$6:$A$5005,"&lt;"&amp;DATE(Einstellungen!$C$3,2,1)))</f>
        <v/>
      </c>
      <c r="D30" s="54">
        <f>IF($B30="","",SUMIFS(Erfassung!$E$6:$E$5005,Erfassung!$B$6:$B$5005,$A30,Erfassung!$A$6:$A$5005,"&gt;="&amp;DATE(Einstellungen!$C$3,2,1),Erfassung!$A$6:$A$5005,"&lt;"&amp;DATE(Einstellungen!$C$3,3,1)))</f>
        <v/>
      </c>
      <c r="E30" s="54">
        <f>IF($B30="","",SUMIFS(Erfassung!$E$6:$E$5005,Erfassung!$B$6:$B$5005,$A30,Erfassung!$A$6:$A$5005,"&gt;="&amp;DATE(Einstellungen!$C$3,3,1),Erfassung!$A$6:$A$5005,"&lt;"&amp;DATE(Einstellungen!$C$3,4,1)))</f>
        <v/>
      </c>
      <c r="F30" s="54">
        <f>IF($B30="","",SUMIFS(Erfassung!$E$6:$E$5005,Erfassung!$B$6:$B$5005,$A30,Erfassung!$A$6:$A$5005,"&gt;="&amp;DATE(Einstellungen!$C$3,4,1),Erfassung!$A$6:$A$5005,"&lt;"&amp;DATE(Einstellungen!$C$3,5,1)))</f>
        <v/>
      </c>
      <c r="G30" s="54">
        <f>IF($B30="","",SUMIFS(Erfassung!$E$6:$E$5005,Erfassung!$B$6:$B$5005,$A30,Erfassung!$A$6:$A$5005,"&gt;="&amp;DATE(Einstellungen!$C$3,5,1),Erfassung!$A$6:$A$5005,"&lt;"&amp;DATE(Einstellungen!$C$3,6,1)))</f>
        <v/>
      </c>
      <c r="H30" s="54">
        <f>IF($B30="","",SUMIFS(Erfassung!$E$6:$E$5005,Erfassung!$B$6:$B$5005,$A30,Erfassung!$A$6:$A$5005,"&gt;="&amp;DATE(Einstellungen!$C$3,6,1),Erfassung!$A$6:$A$5005,"&lt;"&amp;DATE(Einstellungen!$C$3,7,1)))</f>
        <v/>
      </c>
      <c r="I30" s="54">
        <f>IF($B30="","",SUMIFS(Erfassung!$E$6:$E$5005,Erfassung!$B$6:$B$5005,$A30,Erfassung!$A$6:$A$5005,"&gt;="&amp;DATE(Einstellungen!$C$3,7,1),Erfassung!$A$6:$A$5005,"&lt;"&amp;DATE(Einstellungen!$C$3,8,1)))</f>
        <v/>
      </c>
      <c r="J30" s="54">
        <f>IF($B30="","",SUMIFS(Erfassung!$E$6:$E$5005,Erfassung!$B$6:$B$5005,$A30,Erfassung!$A$6:$A$5005,"&gt;="&amp;DATE(Einstellungen!$C$3,8,1),Erfassung!$A$6:$A$5005,"&lt;"&amp;DATE(Einstellungen!$C$3,9,1)))</f>
        <v/>
      </c>
      <c r="K30" s="54">
        <f>IF($B30="","",SUMIFS(Erfassung!$E$6:$E$5005,Erfassung!$B$6:$B$5005,$A30,Erfassung!$A$6:$A$5005,"&gt;="&amp;DATE(Einstellungen!$C$3,9,1),Erfassung!$A$6:$A$5005,"&lt;"&amp;DATE(Einstellungen!$C$3,10,1)))</f>
        <v/>
      </c>
      <c r="L30" s="54">
        <f>IF($B30="","",SUMIFS(Erfassung!$E$6:$E$5005,Erfassung!$B$6:$B$5005,$A30,Erfassung!$A$6:$A$5005,"&gt;="&amp;DATE(Einstellungen!$C$3,10,1),Erfassung!$A$6:$A$5005,"&lt;"&amp;DATE(Einstellungen!$C$3,11,1)))</f>
        <v/>
      </c>
      <c r="M30" s="54">
        <f>IF($B30="","",SUMIFS(Erfassung!$E$6:$E$5005,Erfassung!$B$6:$B$5005,$A30,Erfassung!$A$6:$A$5005,"&gt;="&amp;DATE(Einstellungen!$C$3,11,1),Erfassung!$A$6:$A$5005,"&lt;"&amp;DATE(Einstellungen!$C$3,12,1)))</f>
        <v/>
      </c>
      <c r="N30" s="54">
        <f>IF($B30="","",SUMIFS(Erfassung!$E$6:$E$5005,Erfassung!$B$6:$B$5005,$A30,Erfassung!$A$6:$A$5005,"&gt;="&amp;DATE(Einstellungen!$C$3,12,1),Erfassung!$A$6:$A$5005,"&lt;"&amp;DATE(Einstellungen!$C$3,13,1)))</f>
        <v/>
      </c>
      <c r="O30" s="45">
        <f>IF($B30="","",SUM(C30:N30))</f>
        <v/>
      </c>
      <c r="P30" s="54">
        <f>IF($B30="","",SUMIFS(Erfassung!$G$6:$G$5005,Erfassung!$B$6:$B$5005,$A30,Erfassung!$A$6:$A$5005,"&gt;="&amp;DATE(Einstellungen!$C$3,1,1),Erfassung!$A$6:$A$5005,"&lt;"&amp;DATE(Einstellungen!$C$3,2,1)))</f>
        <v/>
      </c>
      <c r="Q30" s="54">
        <f>IF($B30="","",SUMIFS(Erfassung!$G$6:$G$5005,Erfassung!$B$6:$B$5005,$A30,Erfassung!$A$6:$A$5005,"&gt;="&amp;DATE(Einstellungen!$C$3,2,1),Erfassung!$A$6:$A$5005,"&lt;"&amp;DATE(Einstellungen!$C$3,3,1)))</f>
        <v/>
      </c>
      <c r="R30" s="54">
        <f>IF($B30="","",SUMIFS(Erfassung!$G$6:$G$5005,Erfassung!$B$6:$B$5005,$A30,Erfassung!$A$6:$A$5005,"&gt;="&amp;DATE(Einstellungen!$C$3,3,1),Erfassung!$A$6:$A$5005,"&lt;"&amp;DATE(Einstellungen!$C$3,4,1)))</f>
        <v/>
      </c>
      <c r="S30" s="54">
        <f>IF($B30="","",SUMIFS(Erfassung!$G$6:$G$5005,Erfassung!$B$6:$B$5005,$A30,Erfassung!$A$6:$A$5005,"&gt;="&amp;DATE(Einstellungen!$C$3,4,1),Erfassung!$A$6:$A$5005,"&lt;"&amp;DATE(Einstellungen!$C$3,5,1)))</f>
        <v/>
      </c>
      <c r="T30" s="54">
        <f>IF($B30="","",SUMIFS(Erfassung!$G$6:$G$5005,Erfassung!$B$6:$B$5005,$A30,Erfassung!$A$6:$A$5005,"&gt;="&amp;DATE(Einstellungen!$C$3,5,1),Erfassung!$A$6:$A$5005,"&lt;"&amp;DATE(Einstellungen!$C$3,6,1)))</f>
        <v/>
      </c>
      <c r="U30" s="54">
        <f>IF($B30="","",SUMIFS(Erfassung!$G$6:$G$5005,Erfassung!$B$6:$B$5005,$A30,Erfassung!$A$6:$A$5005,"&gt;="&amp;DATE(Einstellungen!$C$3,6,1),Erfassung!$A$6:$A$5005,"&lt;"&amp;DATE(Einstellungen!$C$3,7,1)))</f>
        <v/>
      </c>
      <c r="V30" s="54">
        <f>IF($B30="","",SUMIFS(Erfassung!$G$6:$G$5005,Erfassung!$B$6:$B$5005,$A30,Erfassung!$A$6:$A$5005,"&gt;="&amp;DATE(Einstellungen!$C$3,7,1),Erfassung!$A$6:$A$5005,"&lt;"&amp;DATE(Einstellungen!$C$3,8,1)))</f>
        <v/>
      </c>
      <c r="W30" s="54">
        <f>IF($B30="","",SUMIFS(Erfassung!$G$6:$G$5005,Erfassung!$B$6:$B$5005,$A30,Erfassung!$A$6:$A$5005,"&gt;="&amp;DATE(Einstellungen!$C$3,8,1),Erfassung!$A$6:$A$5005,"&lt;"&amp;DATE(Einstellungen!$C$3,9,1)))</f>
        <v/>
      </c>
      <c r="X30" s="54">
        <f>IF($B30="","",SUMIFS(Erfassung!$G$6:$G$5005,Erfassung!$B$6:$B$5005,$A30,Erfassung!$A$6:$A$5005,"&gt;="&amp;DATE(Einstellungen!$C$3,9,1),Erfassung!$A$6:$A$5005,"&lt;"&amp;DATE(Einstellungen!$C$3,10,1)))</f>
        <v/>
      </c>
      <c r="Y30" s="54">
        <f>IF($B30="","",SUMIFS(Erfassung!$G$6:$G$5005,Erfassung!$B$6:$B$5005,$A30,Erfassung!$A$6:$A$5005,"&gt;="&amp;DATE(Einstellungen!$C$3,10,1),Erfassung!$A$6:$A$5005,"&lt;"&amp;DATE(Einstellungen!$C$3,11,1)))</f>
        <v/>
      </c>
      <c r="Z30" s="54">
        <f>IF($B30="","",SUMIFS(Erfassung!$G$6:$G$5005,Erfassung!$B$6:$B$5005,$A30,Erfassung!$A$6:$A$5005,"&gt;="&amp;DATE(Einstellungen!$C$3,11,1),Erfassung!$A$6:$A$5005,"&lt;"&amp;DATE(Einstellungen!$C$3,12,1)))</f>
        <v/>
      </c>
      <c r="AA30" s="54">
        <f>IF($B30="","",SUMIFS(Erfassung!$G$6:$G$5005,Erfassung!$B$6:$B$5005,$A30,Erfassung!$A$6:$A$5005,"&gt;="&amp;DATE(Einstellungen!$C$3,12,1),Erfassung!$A$6:$A$5005,"&lt;"&amp;DATE(Einstellungen!$C$3,13,1)))</f>
        <v/>
      </c>
      <c r="AB30" s="45">
        <f>IF($B30="","",SUM(P30:AA30))</f>
        <v/>
      </c>
      <c r="AC30" s="38">
        <f>IF($B30="","",IF(O30+AB30&gt;0,AB30/(O30+AB30),""))</f>
        <v/>
      </c>
    </row>
    <row r="31">
      <c r="A31" s="56">
        <f>'KQuote Mitarbeiter'!A31</f>
        <v/>
      </c>
      <c r="B31" s="57">
        <f>'KQuote Mitarbeiter'!B31</f>
        <v/>
      </c>
      <c r="C31" s="54">
        <f>IF($B31="","",SUMIFS(Erfassung!$E$6:$E$5005,Erfassung!$B$6:$B$5005,$A31,Erfassung!$A$6:$A$5005,"&gt;="&amp;DATE(Einstellungen!$C$3,1,1),Erfassung!$A$6:$A$5005,"&lt;"&amp;DATE(Einstellungen!$C$3,2,1)))</f>
        <v/>
      </c>
      <c r="D31" s="54">
        <f>IF($B31="","",SUMIFS(Erfassung!$E$6:$E$5005,Erfassung!$B$6:$B$5005,$A31,Erfassung!$A$6:$A$5005,"&gt;="&amp;DATE(Einstellungen!$C$3,2,1),Erfassung!$A$6:$A$5005,"&lt;"&amp;DATE(Einstellungen!$C$3,3,1)))</f>
        <v/>
      </c>
      <c r="E31" s="54">
        <f>IF($B31="","",SUMIFS(Erfassung!$E$6:$E$5005,Erfassung!$B$6:$B$5005,$A31,Erfassung!$A$6:$A$5005,"&gt;="&amp;DATE(Einstellungen!$C$3,3,1),Erfassung!$A$6:$A$5005,"&lt;"&amp;DATE(Einstellungen!$C$3,4,1)))</f>
        <v/>
      </c>
      <c r="F31" s="54">
        <f>IF($B31="","",SUMIFS(Erfassung!$E$6:$E$5005,Erfassung!$B$6:$B$5005,$A31,Erfassung!$A$6:$A$5005,"&gt;="&amp;DATE(Einstellungen!$C$3,4,1),Erfassung!$A$6:$A$5005,"&lt;"&amp;DATE(Einstellungen!$C$3,5,1)))</f>
        <v/>
      </c>
      <c r="G31" s="54">
        <f>IF($B31="","",SUMIFS(Erfassung!$E$6:$E$5005,Erfassung!$B$6:$B$5005,$A31,Erfassung!$A$6:$A$5005,"&gt;="&amp;DATE(Einstellungen!$C$3,5,1),Erfassung!$A$6:$A$5005,"&lt;"&amp;DATE(Einstellungen!$C$3,6,1)))</f>
        <v/>
      </c>
      <c r="H31" s="54">
        <f>IF($B31="","",SUMIFS(Erfassung!$E$6:$E$5005,Erfassung!$B$6:$B$5005,$A31,Erfassung!$A$6:$A$5005,"&gt;="&amp;DATE(Einstellungen!$C$3,6,1),Erfassung!$A$6:$A$5005,"&lt;"&amp;DATE(Einstellungen!$C$3,7,1)))</f>
        <v/>
      </c>
      <c r="I31" s="54">
        <f>IF($B31="","",SUMIFS(Erfassung!$E$6:$E$5005,Erfassung!$B$6:$B$5005,$A31,Erfassung!$A$6:$A$5005,"&gt;="&amp;DATE(Einstellungen!$C$3,7,1),Erfassung!$A$6:$A$5005,"&lt;"&amp;DATE(Einstellungen!$C$3,8,1)))</f>
        <v/>
      </c>
      <c r="J31" s="54">
        <f>IF($B31="","",SUMIFS(Erfassung!$E$6:$E$5005,Erfassung!$B$6:$B$5005,$A31,Erfassung!$A$6:$A$5005,"&gt;="&amp;DATE(Einstellungen!$C$3,8,1),Erfassung!$A$6:$A$5005,"&lt;"&amp;DATE(Einstellungen!$C$3,9,1)))</f>
        <v/>
      </c>
      <c r="K31" s="54">
        <f>IF($B31="","",SUMIFS(Erfassung!$E$6:$E$5005,Erfassung!$B$6:$B$5005,$A31,Erfassung!$A$6:$A$5005,"&gt;="&amp;DATE(Einstellungen!$C$3,9,1),Erfassung!$A$6:$A$5005,"&lt;"&amp;DATE(Einstellungen!$C$3,10,1)))</f>
        <v/>
      </c>
      <c r="L31" s="54">
        <f>IF($B31="","",SUMIFS(Erfassung!$E$6:$E$5005,Erfassung!$B$6:$B$5005,$A31,Erfassung!$A$6:$A$5005,"&gt;="&amp;DATE(Einstellungen!$C$3,10,1),Erfassung!$A$6:$A$5005,"&lt;"&amp;DATE(Einstellungen!$C$3,11,1)))</f>
        <v/>
      </c>
      <c r="M31" s="54">
        <f>IF($B31="","",SUMIFS(Erfassung!$E$6:$E$5005,Erfassung!$B$6:$B$5005,$A31,Erfassung!$A$6:$A$5005,"&gt;="&amp;DATE(Einstellungen!$C$3,11,1),Erfassung!$A$6:$A$5005,"&lt;"&amp;DATE(Einstellungen!$C$3,12,1)))</f>
        <v/>
      </c>
      <c r="N31" s="54">
        <f>IF($B31="","",SUMIFS(Erfassung!$E$6:$E$5005,Erfassung!$B$6:$B$5005,$A31,Erfassung!$A$6:$A$5005,"&gt;="&amp;DATE(Einstellungen!$C$3,12,1),Erfassung!$A$6:$A$5005,"&lt;"&amp;DATE(Einstellungen!$C$3,13,1)))</f>
        <v/>
      </c>
      <c r="O31" s="45">
        <f>IF($B31="","",SUM(C31:N31))</f>
        <v/>
      </c>
      <c r="P31" s="54">
        <f>IF($B31="","",SUMIFS(Erfassung!$G$6:$G$5005,Erfassung!$B$6:$B$5005,$A31,Erfassung!$A$6:$A$5005,"&gt;="&amp;DATE(Einstellungen!$C$3,1,1),Erfassung!$A$6:$A$5005,"&lt;"&amp;DATE(Einstellungen!$C$3,2,1)))</f>
        <v/>
      </c>
      <c r="Q31" s="54">
        <f>IF($B31="","",SUMIFS(Erfassung!$G$6:$G$5005,Erfassung!$B$6:$B$5005,$A31,Erfassung!$A$6:$A$5005,"&gt;="&amp;DATE(Einstellungen!$C$3,2,1),Erfassung!$A$6:$A$5005,"&lt;"&amp;DATE(Einstellungen!$C$3,3,1)))</f>
        <v/>
      </c>
      <c r="R31" s="54">
        <f>IF($B31="","",SUMIFS(Erfassung!$G$6:$G$5005,Erfassung!$B$6:$B$5005,$A31,Erfassung!$A$6:$A$5005,"&gt;="&amp;DATE(Einstellungen!$C$3,3,1),Erfassung!$A$6:$A$5005,"&lt;"&amp;DATE(Einstellungen!$C$3,4,1)))</f>
        <v/>
      </c>
      <c r="S31" s="54">
        <f>IF($B31="","",SUMIFS(Erfassung!$G$6:$G$5005,Erfassung!$B$6:$B$5005,$A31,Erfassung!$A$6:$A$5005,"&gt;="&amp;DATE(Einstellungen!$C$3,4,1),Erfassung!$A$6:$A$5005,"&lt;"&amp;DATE(Einstellungen!$C$3,5,1)))</f>
        <v/>
      </c>
      <c r="T31" s="54">
        <f>IF($B31="","",SUMIFS(Erfassung!$G$6:$G$5005,Erfassung!$B$6:$B$5005,$A31,Erfassung!$A$6:$A$5005,"&gt;="&amp;DATE(Einstellungen!$C$3,5,1),Erfassung!$A$6:$A$5005,"&lt;"&amp;DATE(Einstellungen!$C$3,6,1)))</f>
        <v/>
      </c>
      <c r="U31" s="54">
        <f>IF($B31="","",SUMIFS(Erfassung!$G$6:$G$5005,Erfassung!$B$6:$B$5005,$A31,Erfassung!$A$6:$A$5005,"&gt;="&amp;DATE(Einstellungen!$C$3,6,1),Erfassung!$A$6:$A$5005,"&lt;"&amp;DATE(Einstellungen!$C$3,7,1)))</f>
        <v/>
      </c>
      <c r="V31" s="54">
        <f>IF($B31="","",SUMIFS(Erfassung!$G$6:$G$5005,Erfassung!$B$6:$B$5005,$A31,Erfassung!$A$6:$A$5005,"&gt;="&amp;DATE(Einstellungen!$C$3,7,1),Erfassung!$A$6:$A$5005,"&lt;"&amp;DATE(Einstellungen!$C$3,8,1)))</f>
        <v/>
      </c>
      <c r="W31" s="54">
        <f>IF($B31="","",SUMIFS(Erfassung!$G$6:$G$5005,Erfassung!$B$6:$B$5005,$A31,Erfassung!$A$6:$A$5005,"&gt;="&amp;DATE(Einstellungen!$C$3,8,1),Erfassung!$A$6:$A$5005,"&lt;"&amp;DATE(Einstellungen!$C$3,9,1)))</f>
        <v/>
      </c>
      <c r="X31" s="54">
        <f>IF($B31="","",SUMIFS(Erfassung!$G$6:$G$5005,Erfassung!$B$6:$B$5005,$A31,Erfassung!$A$6:$A$5005,"&gt;="&amp;DATE(Einstellungen!$C$3,9,1),Erfassung!$A$6:$A$5005,"&lt;"&amp;DATE(Einstellungen!$C$3,10,1)))</f>
        <v/>
      </c>
      <c r="Y31" s="54">
        <f>IF($B31="","",SUMIFS(Erfassung!$G$6:$G$5005,Erfassung!$B$6:$B$5005,$A31,Erfassung!$A$6:$A$5005,"&gt;="&amp;DATE(Einstellungen!$C$3,10,1),Erfassung!$A$6:$A$5005,"&lt;"&amp;DATE(Einstellungen!$C$3,11,1)))</f>
        <v/>
      </c>
      <c r="Z31" s="54">
        <f>IF($B31="","",SUMIFS(Erfassung!$G$6:$G$5005,Erfassung!$B$6:$B$5005,$A31,Erfassung!$A$6:$A$5005,"&gt;="&amp;DATE(Einstellungen!$C$3,11,1),Erfassung!$A$6:$A$5005,"&lt;"&amp;DATE(Einstellungen!$C$3,12,1)))</f>
        <v/>
      </c>
      <c r="AA31" s="54">
        <f>IF($B31="","",SUMIFS(Erfassung!$G$6:$G$5005,Erfassung!$B$6:$B$5005,$A31,Erfassung!$A$6:$A$5005,"&gt;="&amp;DATE(Einstellungen!$C$3,12,1),Erfassung!$A$6:$A$5005,"&lt;"&amp;DATE(Einstellungen!$C$3,13,1)))</f>
        <v/>
      </c>
      <c r="AB31" s="45">
        <f>IF($B31="","",SUM(P31:AA31))</f>
        <v/>
      </c>
      <c r="AC31" s="38">
        <f>IF($B31="","",IF(O31+AB31&gt;0,AB31/(O31+AB31),""))</f>
        <v/>
      </c>
    </row>
    <row r="32">
      <c r="A32" s="56">
        <f>'KQuote Mitarbeiter'!A32</f>
        <v/>
      </c>
      <c r="B32" s="57">
        <f>'KQuote Mitarbeiter'!B32</f>
        <v/>
      </c>
      <c r="C32" s="54">
        <f>IF($B32="","",SUMIFS(Erfassung!$E$6:$E$5005,Erfassung!$B$6:$B$5005,$A32,Erfassung!$A$6:$A$5005,"&gt;="&amp;DATE(Einstellungen!$C$3,1,1),Erfassung!$A$6:$A$5005,"&lt;"&amp;DATE(Einstellungen!$C$3,2,1)))</f>
        <v/>
      </c>
      <c r="D32" s="54">
        <f>IF($B32="","",SUMIFS(Erfassung!$E$6:$E$5005,Erfassung!$B$6:$B$5005,$A32,Erfassung!$A$6:$A$5005,"&gt;="&amp;DATE(Einstellungen!$C$3,2,1),Erfassung!$A$6:$A$5005,"&lt;"&amp;DATE(Einstellungen!$C$3,3,1)))</f>
        <v/>
      </c>
      <c r="E32" s="54">
        <f>IF($B32="","",SUMIFS(Erfassung!$E$6:$E$5005,Erfassung!$B$6:$B$5005,$A32,Erfassung!$A$6:$A$5005,"&gt;="&amp;DATE(Einstellungen!$C$3,3,1),Erfassung!$A$6:$A$5005,"&lt;"&amp;DATE(Einstellungen!$C$3,4,1)))</f>
        <v/>
      </c>
      <c r="F32" s="54">
        <f>IF($B32="","",SUMIFS(Erfassung!$E$6:$E$5005,Erfassung!$B$6:$B$5005,$A32,Erfassung!$A$6:$A$5005,"&gt;="&amp;DATE(Einstellungen!$C$3,4,1),Erfassung!$A$6:$A$5005,"&lt;"&amp;DATE(Einstellungen!$C$3,5,1)))</f>
        <v/>
      </c>
      <c r="G32" s="54">
        <f>IF($B32="","",SUMIFS(Erfassung!$E$6:$E$5005,Erfassung!$B$6:$B$5005,$A32,Erfassung!$A$6:$A$5005,"&gt;="&amp;DATE(Einstellungen!$C$3,5,1),Erfassung!$A$6:$A$5005,"&lt;"&amp;DATE(Einstellungen!$C$3,6,1)))</f>
        <v/>
      </c>
      <c r="H32" s="54">
        <f>IF($B32="","",SUMIFS(Erfassung!$E$6:$E$5005,Erfassung!$B$6:$B$5005,$A32,Erfassung!$A$6:$A$5005,"&gt;="&amp;DATE(Einstellungen!$C$3,6,1),Erfassung!$A$6:$A$5005,"&lt;"&amp;DATE(Einstellungen!$C$3,7,1)))</f>
        <v/>
      </c>
      <c r="I32" s="54">
        <f>IF($B32="","",SUMIFS(Erfassung!$E$6:$E$5005,Erfassung!$B$6:$B$5005,$A32,Erfassung!$A$6:$A$5005,"&gt;="&amp;DATE(Einstellungen!$C$3,7,1),Erfassung!$A$6:$A$5005,"&lt;"&amp;DATE(Einstellungen!$C$3,8,1)))</f>
        <v/>
      </c>
      <c r="J32" s="54">
        <f>IF($B32="","",SUMIFS(Erfassung!$E$6:$E$5005,Erfassung!$B$6:$B$5005,$A32,Erfassung!$A$6:$A$5005,"&gt;="&amp;DATE(Einstellungen!$C$3,8,1),Erfassung!$A$6:$A$5005,"&lt;"&amp;DATE(Einstellungen!$C$3,9,1)))</f>
        <v/>
      </c>
      <c r="K32" s="54">
        <f>IF($B32="","",SUMIFS(Erfassung!$E$6:$E$5005,Erfassung!$B$6:$B$5005,$A32,Erfassung!$A$6:$A$5005,"&gt;="&amp;DATE(Einstellungen!$C$3,9,1),Erfassung!$A$6:$A$5005,"&lt;"&amp;DATE(Einstellungen!$C$3,10,1)))</f>
        <v/>
      </c>
      <c r="L32" s="54">
        <f>IF($B32="","",SUMIFS(Erfassung!$E$6:$E$5005,Erfassung!$B$6:$B$5005,$A32,Erfassung!$A$6:$A$5005,"&gt;="&amp;DATE(Einstellungen!$C$3,10,1),Erfassung!$A$6:$A$5005,"&lt;"&amp;DATE(Einstellungen!$C$3,11,1)))</f>
        <v/>
      </c>
      <c r="M32" s="54">
        <f>IF($B32="","",SUMIFS(Erfassung!$E$6:$E$5005,Erfassung!$B$6:$B$5005,$A32,Erfassung!$A$6:$A$5005,"&gt;="&amp;DATE(Einstellungen!$C$3,11,1),Erfassung!$A$6:$A$5005,"&lt;"&amp;DATE(Einstellungen!$C$3,12,1)))</f>
        <v/>
      </c>
      <c r="N32" s="54">
        <f>IF($B32="","",SUMIFS(Erfassung!$E$6:$E$5005,Erfassung!$B$6:$B$5005,$A32,Erfassung!$A$6:$A$5005,"&gt;="&amp;DATE(Einstellungen!$C$3,12,1),Erfassung!$A$6:$A$5005,"&lt;"&amp;DATE(Einstellungen!$C$3,13,1)))</f>
        <v/>
      </c>
      <c r="O32" s="45">
        <f>IF($B32="","",SUM(C32:N32))</f>
        <v/>
      </c>
      <c r="P32" s="54">
        <f>IF($B32="","",SUMIFS(Erfassung!$G$6:$G$5005,Erfassung!$B$6:$B$5005,$A32,Erfassung!$A$6:$A$5005,"&gt;="&amp;DATE(Einstellungen!$C$3,1,1),Erfassung!$A$6:$A$5005,"&lt;"&amp;DATE(Einstellungen!$C$3,2,1)))</f>
        <v/>
      </c>
      <c r="Q32" s="54">
        <f>IF($B32="","",SUMIFS(Erfassung!$G$6:$G$5005,Erfassung!$B$6:$B$5005,$A32,Erfassung!$A$6:$A$5005,"&gt;="&amp;DATE(Einstellungen!$C$3,2,1),Erfassung!$A$6:$A$5005,"&lt;"&amp;DATE(Einstellungen!$C$3,3,1)))</f>
        <v/>
      </c>
      <c r="R32" s="54">
        <f>IF($B32="","",SUMIFS(Erfassung!$G$6:$G$5005,Erfassung!$B$6:$B$5005,$A32,Erfassung!$A$6:$A$5005,"&gt;="&amp;DATE(Einstellungen!$C$3,3,1),Erfassung!$A$6:$A$5005,"&lt;"&amp;DATE(Einstellungen!$C$3,4,1)))</f>
        <v/>
      </c>
      <c r="S32" s="54">
        <f>IF($B32="","",SUMIFS(Erfassung!$G$6:$G$5005,Erfassung!$B$6:$B$5005,$A32,Erfassung!$A$6:$A$5005,"&gt;="&amp;DATE(Einstellungen!$C$3,4,1),Erfassung!$A$6:$A$5005,"&lt;"&amp;DATE(Einstellungen!$C$3,5,1)))</f>
        <v/>
      </c>
      <c r="T32" s="54">
        <f>IF($B32="","",SUMIFS(Erfassung!$G$6:$G$5005,Erfassung!$B$6:$B$5005,$A32,Erfassung!$A$6:$A$5005,"&gt;="&amp;DATE(Einstellungen!$C$3,5,1),Erfassung!$A$6:$A$5005,"&lt;"&amp;DATE(Einstellungen!$C$3,6,1)))</f>
        <v/>
      </c>
      <c r="U32" s="54">
        <f>IF($B32="","",SUMIFS(Erfassung!$G$6:$G$5005,Erfassung!$B$6:$B$5005,$A32,Erfassung!$A$6:$A$5005,"&gt;="&amp;DATE(Einstellungen!$C$3,6,1),Erfassung!$A$6:$A$5005,"&lt;"&amp;DATE(Einstellungen!$C$3,7,1)))</f>
        <v/>
      </c>
      <c r="V32" s="54">
        <f>IF($B32="","",SUMIFS(Erfassung!$G$6:$G$5005,Erfassung!$B$6:$B$5005,$A32,Erfassung!$A$6:$A$5005,"&gt;="&amp;DATE(Einstellungen!$C$3,7,1),Erfassung!$A$6:$A$5005,"&lt;"&amp;DATE(Einstellungen!$C$3,8,1)))</f>
        <v/>
      </c>
      <c r="W32" s="54">
        <f>IF($B32="","",SUMIFS(Erfassung!$G$6:$G$5005,Erfassung!$B$6:$B$5005,$A32,Erfassung!$A$6:$A$5005,"&gt;="&amp;DATE(Einstellungen!$C$3,8,1),Erfassung!$A$6:$A$5005,"&lt;"&amp;DATE(Einstellungen!$C$3,9,1)))</f>
        <v/>
      </c>
      <c r="X32" s="54">
        <f>IF($B32="","",SUMIFS(Erfassung!$G$6:$G$5005,Erfassung!$B$6:$B$5005,$A32,Erfassung!$A$6:$A$5005,"&gt;="&amp;DATE(Einstellungen!$C$3,9,1),Erfassung!$A$6:$A$5005,"&lt;"&amp;DATE(Einstellungen!$C$3,10,1)))</f>
        <v/>
      </c>
      <c r="Y32" s="54">
        <f>IF($B32="","",SUMIFS(Erfassung!$G$6:$G$5005,Erfassung!$B$6:$B$5005,$A32,Erfassung!$A$6:$A$5005,"&gt;="&amp;DATE(Einstellungen!$C$3,10,1),Erfassung!$A$6:$A$5005,"&lt;"&amp;DATE(Einstellungen!$C$3,11,1)))</f>
        <v/>
      </c>
      <c r="Z32" s="54">
        <f>IF($B32="","",SUMIFS(Erfassung!$G$6:$G$5005,Erfassung!$B$6:$B$5005,$A32,Erfassung!$A$6:$A$5005,"&gt;="&amp;DATE(Einstellungen!$C$3,11,1),Erfassung!$A$6:$A$5005,"&lt;"&amp;DATE(Einstellungen!$C$3,12,1)))</f>
        <v/>
      </c>
      <c r="AA32" s="54">
        <f>IF($B32="","",SUMIFS(Erfassung!$G$6:$G$5005,Erfassung!$B$6:$B$5005,$A32,Erfassung!$A$6:$A$5005,"&gt;="&amp;DATE(Einstellungen!$C$3,12,1),Erfassung!$A$6:$A$5005,"&lt;"&amp;DATE(Einstellungen!$C$3,13,1)))</f>
        <v/>
      </c>
      <c r="AB32" s="45">
        <f>IF($B32="","",SUM(P32:AA32))</f>
        <v/>
      </c>
      <c r="AC32" s="38">
        <f>IF($B32="","",IF(O32+AB32&gt;0,AB32/(O32+AB32),""))</f>
        <v/>
      </c>
    </row>
    <row r="33">
      <c r="A33" s="56">
        <f>'KQuote Mitarbeiter'!A33</f>
        <v/>
      </c>
      <c r="B33" s="57">
        <f>'KQuote Mitarbeiter'!B33</f>
        <v/>
      </c>
      <c r="C33" s="54">
        <f>IF($B33="","",SUMIFS(Erfassung!$E$6:$E$5005,Erfassung!$B$6:$B$5005,$A33,Erfassung!$A$6:$A$5005,"&gt;="&amp;DATE(Einstellungen!$C$3,1,1),Erfassung!$A$6:$A$5005,"&lt;"&amp;DATE(Einstellungen!$C$3,2,1)))</f>
        <v/>
      </c>
      <c r="D33" s="54">
        <f>IF($B33="","",SUMIFS(Erfassung!$E$6:$E$5005,Erfassung!$B$6:$B$5005,$A33,Erfassung!$A$6:$A$5005,"&gt;="&amp;DATE(Einstellungen!$C$3,2,1),Erfassung!$A$6:$A$5005,"&lt;"&amp;DATE(Einstellungen!$C$3,3,1)))</f>
        <v/>
      </c>
      <c r="E33" s="54">
        <f>IF($B33="","",SUMIFS(Erfassung!$E$6:$E$5005,Erfassung!$B$6:$B$5005,$A33,Erfassung!$A$6:$A$5005,"&gt;="&amp;DATE(Einstellungen!$C$3,3,1),Erfassung!$A$6:$A$5005,"&lt;"&amp;DATE(Einstellungen!$C$3,4,1)))</f>
        <v/>
      </c>
      <c r="F33" s="54">
        <f>IF($B33="","",SUMIFS(Erfassung!$E$6:$E$5005,Erfassung!$B$6:$B$5005,$A33,Erfassung!$A$6:$A$5005,"&gt;="&amp;DATE(Einstellungen!$C$3,4,1),Erfassung!$A$6:$A$5005,"&lt;"&amp;DATE(Einstellungen!$C$3,5,1)))</f>
        <v/>
      </c>
      <c r="G33" s="54">
        <f>IF($B33="","",SUMIFS(Erfassung!$E$6:$E$5005,Erfassung!$B$6:$B$5005,$A33,Erfassung!$A$6:$A$5005,"&gt;="&amp;DATE(Einstellungen!$C$3,5,1),Erfassung!$A$6:$A$5005,"&lt;"&amp;DATE(Einstellungen!$C$3,6,1)))</f>
        <v/>
      </c>
      <c r="H33" s="54">
        <f>IF($B33="","",SUMIFS(Erfassung!$E$6:$E$5005,Erfassung!$B$6:$B$5005,$A33,Erfassung!$A$6:$A$5005,"&gt;="&amp;DATE(Einstellungen!$C$3,6,1),Erfassung!$A$6:$A$5005,"&lt;"&amp;DATE(Einstellungen!$C$3,7,1)))</f>
        <v/>
      </c>
      <c r="I33" s="54">
        <f>IF($B33="","",SUMIFS(Erfassung!$E$6:$E$5005,Erfassung!$B$6:$B$5005,$A33,Erfassung!$A$6:$A$5005,"&gt;="&amp;DATE(Einstellungen!$C$3,7,1),Erfassung!$A$6:$A$5005,"&lt;"&amp;DATE(Einstellungen!$C$3,8,1)))</f>
        <v/>
      </c>
      <c r="J33" s="54">
        <f>IF($B33="","",SUMIFS(Erfassung!$E$6:$E$5005,Erfassung!$B$6:$B$5005,$A33,Erfassung!$A$6:$A$5005,"&gt;="&amp;DATE(Einstellungen!$C$3,8,1),Erfassung!$A$6:$A$5005,"&lt;"&amp;DATE(Einstellungen!$C$3,9,1)))</f>
        <v/>
      </c>
      <c r="K33" s="54">
        <f>IF($B33="","",SUMIFS(Erfassung!$E$6:$E$5005,Erfassung!$B$6:$B$5005,$A33,Erfassung!$A$6:$A$5005,"&gt;="&amp;DATE(Einstellungen!$C$3,9,1),Erfassung!$A$6:$A$5005,"&lt;"&amp;DATE(Einstellungen!$C$3,10,1)))</f>
        <v/>
      </c>
      <c r="L33" s="54">
        <f>IF($B33="","",SUMIFS(Erfassung!$E$6:$E$5005,Erfassung!$B$6:$B$5005,$A33,Erfassung!$A$6:$A$5005,"&gt;="&amp;DATE(Einstellungen!$C$3,10,1),Erfassung!$A$6:$A$5005,"&lt;"&amp;DATE(Einstellungen!$C$3,11,1)))</f>
        <v/>
      </c>
      <c r="M33" s="54">
        <f>IF($B33="","",SUMIFS(Erfassung!$E$6:$E$5005,Erfassung!$B$6:$B$5005,$A33,Erfassung!$A$6:$A$5005,"&gt;="&amp;DATE(Einstellungen!$C$3,11,1),Erfassung!$A$6:$A$5005,"&lt;"&amp;DATE(Einstellungen!$C$3,12,1)))</f>
        <v/>
      </c>
      <c r="N33" s="54">
        <f>IF($B33="","",SUMIFS(Erfassung!$E$6:$E$5005,Erfassung!$B$6:$B$5005,$A33,Erfassung!$A$6:$A$5005,"&gt;="&amp;DATE(Einstellungen!$C$3,12,1),Erfassung!$A$6:$A$5005,"&lt;"&amp;DATE(Einstellungen!$C$3,13,1)))</f>
        <v/>
      </c>
      <c r="O33" s="45">
        <f>IF($B33="","",SUM(C33:N33))</f>
        <v/>
      </c>
      <c r="P33" s="54">
        <f>IF($B33="","",SUMIFS(Erfassung!$G$6:$G$5005,Erfassung!$B$6:$B$5005,$A33,Erfassung!$A$6:$A$5005,"&gt;="&amp;DATE(Einstellungen!$C$3,1,1),Erfassung!$A$6:$A$5005,"&lt;"&amp;DATE(Einstellungen!$C$3,2,1)))</f>
        <v/>
      </c>
      <c r="Q33" s="54">
        <f>IF($B33="","",SUMIFS(Erfassung!$G$6:$G$5005,Erfassung!$B$6:$B$5005,$A33,Erfassung!$A$6:$A$5005,"&gt;="&amp;DATE(Einstellungen!$C$3,2,1),Erfassung!$A$6:$A$5005,"&lt;"&amp;DATE(Einstellungen!$C$3,3,1)))</f>
        <v/>
      </c>
      <c r="R33" s="54">
        <f>IF($B33="","",SUMIFS(Erfassung!$G$6:$G$5005,Erfassung!$B$6:$B$5005,$A33,Erfassung!$A$6:$A$5005,"&gt;="&amp;DATE(Einstellungen!$C$3,3,1),Erfassung!$A$6:$A$5005,"&lt;"&amp;DATE(Einstellungen!$C$3,4,1)))</f>
        <v/>
      </c>
      <c r="S33" s="54">
        <f>IF($B33="","",SUMIFS(Erfassung!$G$6:$G$5005,Erfassung!$B$6:$B$5005,$A33,Erfassung!$A$6:$A$5005,"&gt;="&amp;DATE(Einstellungen!$C$3,4,1),Erfassung!$A$6:$A$5005,"&lt;"&amp;DATE(Einstellungen!$C$3,5,1)))</f>
        <v/>
      </c>
      <c r="T33" s="54">
        <f>IF($B33="","",SUMIFS(Erfassung!$G$6:$G$5005,Erfassung!$B$6:$B$5005,$A33,Erfassung!$A$6:$A$5005,"&gt;="&amp;DATE(Einstellungen!$C$3,5,1),Erfassung!$A$6:$A$5005,"&lt;"&amp;DATE(Einstellungen!$C$3,6,1)))</f>
        <v/>
      </c>
      <c r="U33" s="54">
        <f>IF($B33="","",SUMIFS(Erfassung!$G$6:$G$5005,Erfassung!$B$6:$B$5005,$A33,Erfassung!$A$6:$A$5005,"&gt;="&amp;DATE(Einstellungen!$C$3,6,1),Erfassung!$A$6:$A$5005,"&lt;"&amp;DATE(Einstellungen!$C$3,7,1)))</f>
        <v/>
      </c>
      <c r="V33" s="54">
        <f>IF($B33="","",SUMIFS(Erfassung!$G$6:$G$5005,Erfassung!$B$6:$B$5005,$A33,Erfassung!$A$6:$A$5005,"&gt;="&amp;DATE(Einstellungen!$C$3,7,1),Erfassung!$A$6:$A$5005,"&lt;"&amp;DATE(Einstellungen!$C$3,8,1)))</f>
        <v/>
      </c>
      <c r="W33" s="54">
        <f>IF($B33="","",SUMIFS(Erfassung!$G$6:$G$5005,Erfassung!$B$6:$B$5005,$A33,Erfassung!$A$6:$A$5005,"&gt;="&amp;DATE(Einstellungen!$C$3,8,1),Erfassung!$A$6:$A$5005,"&lt;"&amp;DATE(Einstellungen!$C$3,9,1)))</f>
        <v/>
      </c>
      <c r="X33" s="54">
        <f>IF($B33="","",SUMIFS(Erfassung!$G$6:$G$5005,Erfassung!$B$6:$B$5005,$A33,Erfassung!$A$6:$A$5005,"&gt;="&amp;DATE(Einstellungen!$C$3,9,1),Erfassung!$A$6:$A$5005,"&lt;"&amp;DATE(Einstellungen!$C$3,10,1)))</f>
        <v/>
      </c>
      <c r="Y33" s="54">
        <f>IF($B33="","",SUMIFS(Erfassung!$G$6:$G$5005,Erfassung!$B$6:$B$5005,$A33,Erfassung!$A$6:$A$5005,"&gt;="&amp;DATE(Einstellungen!$C$3,10,1),Erfassung!$A$6:$A$5005,"&lt;"&amp;DATE(Einstellungen!$C$3,11,1)))</f>
        <v/>
      </c>
      <c r="Z33" s="54">
        <f>IF($B33="","",SUMIFS(Erfassung!$G$6:$G$5005,Erfassung!$B$6:$B$5005,$A33,Erfassung!$A$6:$A$5005,"&gt;="&amp;DATE(Einstellungen!$C$3,11,1),Erfassung!$A$6:$A$5005,"&lt;"&amp;DATE(Einstellungen!$C$3,12,1)))</f>
        <v/>
      </c>
      <c r="AA33" s="54">
        <f>IF($B33="","",SUMIFS(Erfassung!$G$6:$G$5005,Erfassung!$B$6:$B$5005,$A33,Erfassung!$A$6:$A$5005,"&gt;="&amp;DATE(Einstellungen!$C$3,12,1),Erfassung!$A$6:$A$5005,"&lt;"&amp;DATE(Einstellungen!$C$3,13,1)))</f>
        <v/>
      </c>
      <c r="AB33" s="45">
        <f>IF($B33="","",SUM(P33:AA33))</f>
        <v/>
      </c>
      <c r="AC33" s="38">
        <f>IF($B33="","",IF(O33+AB33&gt;0,AB33/(O33+AB33),""))</f>
        <v/>
      </c>
    </row>
    <row r="34">
      <c r="A34" s="56">
        <f>'KQuote Mitarbeiter'!A34</f>
        <v/>
      </c>
      <c r="B34" s="57">
        <f>'KQuote Mitarbeiter'!B34</f>
        <v/>
      </c>
      <c r="C34" s="54">
        <f>IF($B34="","",SUMIFS(Erfassung!$E$6:$E$5005,Erfassung!$B$6:$B$5005,$A34,Erfassung!$A$6:$A$5005,"&gt;="&amp;DATE(Einstellungen!$C$3,1,1),Erfassung!$A$6:$A$5005,"&lt;"&amp;DATE(Einstellungen!$C$3,2,1)))</f>
        <v/>
      </c>
      <c r="D34" s="54">
        <f>IF($B34="","",SUMIFS(Erfassung!$E$6:$E$5005,Erfassung!$B$6:$B$5005,$A34,Erfassung!$A$6:$A$5005,"&gt;="&amp;DATE(Einstellungen!$C$3,2,1),Erfassung!$A$6:$A$5005,"&lt;"&amp;DATE(Einstellungen!$C$3,3,1)))</f>
        <v/>
      </c>
      <c r="E34" s="54">
        <f>IF($B34="","",SUMIFS(Erfassung!$E$6:$E$5005,Erfassung!$B$6:$B$5005,$A34,Erfassung!$A$6:$A$5005,"&gt;="&amp;DATE(Einstellungen!$C$3,3,1),Erfassung!$A$6:$A$5005,"&lt;"&amp;DATE(Einstellungen!$C$3,4,1)))</f>
        <v/>
      </c>
      <c r="F34" s="54">
        <f>IF($B34="","",SUMIFS(Erfassung!$E$6:$E$5005,Erfassung!$B$6:$B$5005,$A34,Erfassung!$A$6:$A$5005,"&gt;="&amp;DATE(Einstellungen!$C$3,4,1),Erfassung!$A$6:$A$5005,"&lt;"&amp;DATE(Einstellungen!$C$3,5,1)))</f>
        <v/>
      </c>
      <c r="G34" s="54">
        <f>IF($B34="","",SUMIFS(Erfassung!$E$6:$E$5005,Erfassung!$B$6:$B$5005,$A34,Erfassung!$A$6:$A$5005,"&gt;="&amp;DATE(Einstellungen!$C$3,5,1),Erfassung!$A$6:$A$5005,"&lt;"&amp;DATE(Einstellungen!$C$3,6,1)))</f>
        <v/>
      </c>
      <c r="H34" s="54">
        <f>IF($B34="","",SUMIFS(Erfassung!$E$6:$E$5005,Erfassung!$B$6:$B$5005,$A34,Erfassung!$A$6:$A$5005,"&gt;="&amp;DATE(Einstellungen!$C$3,6,1),Erfassung!$A$6:$A$5005,"&lt;"&amp;DATE(Einstellungen!$C$3,7,1)))</f>
        <v/>
      </c>
      <c r="I34" s="54">
        <f>IF($B34="","",SUMIFS(Erfassung!$E$6:$E$5005,Erfassung!$B$6:$B$5005,$A34,Erfassung!$A$6:$A$5005,"&gt;="&amp;DATE(Einstellungen!$C$3,7,1),Erfassung!$A$6:$A$5005,"&lt;"&amp;DATE(Einstellungen!$C$3,8,1)))</f>
        <v/>
      </c>
      <c r="J34" s="54">
        <f>IF($B34="","",SUMIFS(Erfassung!$E$6:$E$5005,Erfassung!$B$6:$B$5005,$A34,Erfassung!$A$6:$A$5005,"&gt;="&amp;DATE(Einstellungen!$C$3,8,1),Erfassung!$A$6:$A$5005,"&lt;"&amp;DATE(Einstellungen!$C$3,9,1)))</f>
        <v/>
      </c>
      <c r="K34" s="54">
        <f>IF($B34="","",SUMIFS(Erfassung!$E$6:$E$5005,Erfassung!$B$6:$B$5005,$A34,Erfassung!$A$6:$A$5005,"&gt;="&amp;DATE(Einstellungen!$C$3,9,1),Erfassung!$A$6:$A$5005,"&lt;"&amp;DATE(Einstellungen!$C$3,10,1)))</f>
        <v/>
      </c>
      <c r="L34" s="54">
        <f>IF($B34="","",SUMIFS(Erfassung!$E$6:$E$5005,Erfassung!$B$6:$B$5005,$A34,Erfassung!$A$6:$A$5005,"&gt;="&amp;DATE(Einstellungen!$C$3,10,1),Erfassung!$A$6:$A$5005,"&lt;"&amp;DATE(Einstellungen!$C$3,11,1)))</f>
        <v/>
      </c>
      <c r="M34" s="54">
        <f>IF($B34="","",SUMIFS(Erfassung!$E$6:$E$5005,Erfassung!$B$6:$B$5005,$A34,Erfassung!$A$6:$A$5005,"&gt;="&amp;DATE(Einstellungen!$C$3,11,1),Erfassung!$A$6:$A$5005,"&lt;"&amp;DATE(Einstellungen!$C$3,12,1)))</f>
        <v/>
      </c>
      <c r="N34" s="54">
        <f>IF($B34="","",SUMIFS(Erfassung!$E$6:$E$5005,Erfassung!$B$6:$B$5005,$A34,Erfassung!$A$6:$A$5005,"&gt;="&amp;DATE(Einstellungen!$C$3,12,1),Erfassung!$A$6:$A$5005,"&lt;"&amp;DATE(Einstellungen!$C$3,13,1)))</f>
        <v/>
      </c>
      <c r="O34" s="45">
        <f>IF($B34="","",SUM(C34:N34))</f>
        <v/>
      </c>
      <c r="P34" s="54">
        <f>IF($B34="","",SUMIFS(Erfassung!$G$6:$G$5005,Erfassung!$B$6:$B$5005,$A34,Erfassung!$A$6:$A$5005,"&gt;="&amp;DATE(Einstellungen!$C$3,1,1),Erfassung!$A$6:$A$5005,"&lt;"&amp;DATE(Einstellungen!$C$3,2,1)))</f>
        <v/>
      </c>
      <c r="Q34" s="54">
        <f>IF($B34="","",SUMIFS(Erfassung!$G$6:$G$5005,Erfassung!$B$6:$B$5005,$A34,Erfassung!$A$6:$A$5005,"&gt;="&amp;DATE(Einstellungen!$C$3,2,1),Erfassung!$A$6:$A$5005,"&lt;"&amp;DATE(Einstellungen!$C$3,3,1)))</f>
        <v/>
      </c>
      <c r="R34" s="54">
        <f>IF($B34="","",SUMIFS(Erfassung!$G$6:$G$5005,Erfassung!$B$6:$B$5005,$A34,Erfassung!$A$6:$A$5005,"&gt;="&amp;DATE(Einstellungen!$C$3,3,1),Erfassung!$A$6:$A$5005,"&lt;"&amp;DATE(Einstellungen!$C$3,4,1)))</f>
        <v/>
      </c>
      <c r="S34" s="54">
        <f>IF($B34="","",SUMIFS(Erfassung!$G$6:$G$5005,Erfassung!$B$6:$B$5005,$A34,Erfassung!$A$6:$A$5005,"&gt;="&amp;DATE(Einstellungen!$C$3,4,1),Erfassung!$A$6:$A$5005,"&lt;"&amp;DATE(Einstellungen!$C$3,5,1)))</f>
        <v/>
      </c>
      <c r="T34" s="54">
        <f>IF($B34="","",SUMIFS(Erfassung!$G$6:$G$5005,Erfassung!$B$6:$B$5005,$A34,Erfassung!$A$6:$A$5005,"&gt;="&amp;DATE(Einstellungen!$C$3,5,1),Erfassung!$A$6:$A$5005,"&lt;"&amp;DATE(Einstellungen!$C$3,6,1)))</f>
        <v/>
      </c>
      <c r="U34" s="54">
        <f>IF($B34="","",SUMIFS(Erfassung!$G$6:$G$5005,Erfassung!$B$6:$B$5005,$A34,Erfassung!$A$6:$A$5005,"&gt;="&amp;DATE(Einstellungen!$C$3,6,1),Erfassung!$A$6:$A$5005,"&lt;"&amp;DATE(Einstellungen!$C$3,7,1)))</f>
        <v/>
      </c>
      <c r="V34" s="54">
        <f>IF($B34="","",SUMIFS(Erfassung!$G$6:$G$5005,Erfassung!$B$6:$B$5005,$A34,Erfassung!$A$6:$A$5005,"&gt;="&amp;DATE(Einstellungen!$C$3,7,1),Erfassung!$A$6:$A$5005,"&lt;"&amp;DATE(Einstellungen!$C$3,8,1)))</f>
        <v/>
      </c>
      <c r="W34" s="54">
        <f>IF($B34="","",SUMIFS(Erfassung!$G$6:$G$5005,Erfassung!$B$6:$B$5005,$A34,Erfassung!$A$6:$A$5005,"&gt;="&amp;DATE(Einstellungen!$C$3,8,1),Erfassung!$A$6:$A$5005,"&lt;"&amp;DATE(Einstellungen!$C$3,9,1)))</f>
        <v/>
      </c>
      <c r="X34" s="54">
        <f>IF($B34="","",SUMIFS(Erfassung!$G$6:$G$5005,Erfassung!$B$6:$B$5005,$A34,Erfassung!$A$6:$A$5005,"&gt;="&amp;DATE(Einstellungen!$C$3,9,1),Erfassung!$A$6:$A$5005,"&lt;"&amp;DATE(Einstellungen!$C$3,10,1)))</f>
        <v/>
      </c>
      <c r="Y34" s="54">
        <f>IF($B34="","",SUMIFS(Erfassung!$G$6:$G$5005,Erfassung!$B$6:$B$5005,$A34,Erfassung!$A$6:$A$5005,"&gt;="&amp;DATE(Einstellungen!$C$3,10,1),Erfassung!$A$6:$A$5005,"&lt;"&amp;DATE(Einstellungen!$C$3,11,1)))</f>
        <v/>
      </c>
      <c r="Z34" s="54">
        <f>IF($B34="","",SUMIFS(Erfassung!$G$6:$G$5005,Erfassung!$B$6:$B$5005,$A34,Erfassung!$A$6:$A$5005,"&gt;="&amp;DATE(Einstellungen!$C$3,11,1),Erfassung!$A$6:$A$5005,"&lt;"&amp;DATE(Einstellungen!$C$3,12,1)))</f>
        <v/>
      </c>
      <c r="AA34" s="54">
        <f>IF($B34="","",SUMIFS(Erfassung!$G$6:$G$5005,Erfassung!$B$6:$B$5005,$A34,Erfassung!$A$6:$A$5005,"&gt;="&amp;DATE(Einstellungen!$C$3,12,1),Erfassung!$A$6:$A$5005,"&lt;"&amp;DATE(Einstellungen!$C$3,13,1)))</f>
        <v/>
      </c>
      <c r="AB34" s="45">
        <f>IF($B34="","",SUM(P34:AA34))</f>
        <v/>
      </c>
      <c r="AC34" s="38">
        <f>IF($B34="","",IF(O34+AB34&gt;0,AB34/(O34+AB34),""))</f>
        <v/>
      </c>
    </row>
    <row r="35">
      <c r="A35" s="56">
        <f>'KQuote Mitarbeiter'!A35</f>
        <v/>
      </c>
      <c r="B35" s="57">
        <f>'KQuote Mitarbeiter'!B35</f>
        <v/>
      </c>
      <c r="C35" s="54">
        <f>IF($B35="","",SUMIFS(Erfassung!$E$6:$E$5005,Erfassung!$B$6:$B$5005,$A35,Erfassung!$A$6:$A$5005,"&gt;="&amp;DATE(Einstellungen!$C$3,1,1),Erfassung!$A$6:$A$5005,"&lt;"&amp;DATE(Einstellungen!$C$3,2,1)))</f>
        <v/>
      </c>
      <c r="D35" s="54">
        <f>IF($B35="","",SUMIFS(Erfassung!$E$6:$E$5005,Erfassung!$B$6:$B$5005,$A35,Erfassung!$A$6:$A$5005,"&gt;="&amp;DATE(Einstellungen!$C$3,2,1),Erfassung!$A$6:$A$5005,"&lt;"&amp;DATE(Einstellungen!$C$3,3,1)))</f>
        <v/>
      </c>
      <c r="E35" s="54">
        <f>IF($B35="","",SUMIFS(Erfassung!$E$6:$E$5005,Erfassung!$B$6:$B$5005,$A35,Erfassung!$A$6:$A$5005,"&gt;="&amp;DATE(Einstellungen!$C$3,3,1),Erfassung!$A$6:$A$5005,"&lt;"&amp;DATE(Einstellungen!$C$3,4,1)))</f>
        <v/>
      </c>
      <c r="F35" s="54">
        <f>IF($B35="","",SUMIFS(Erfassung!$E$6:$E$5005,Erfassung!$B$6:$B$5005,$A35,Erfassung!$A$6:$A$5005,"&gt;="&amp;DATE(Einstellungen!$C$3,4,1),Erfassung!$A$6:$A$5005,"&lt;"&amp;DATE(Einstellungen!$C$3,5,1)))</f>
        <v/>
      </c>
      <c r="G35" s="54">
        <f>IF($B35="","",SUMIFS(Erfassung!$E$6:$E$5005,Erfassung!$B$6:$B$5005,$A35,Erfassung!$A$6:$A$5005,"&gt;="&amp;DATE(Einstellungen!$C$3,5,1),Erfassung!$A$6:$A$5005,"&lt;"&amp;DATE(Einstellungen!$C$3,6,1)))</f>
        <v/>
      </c>
      <c r="H35" s="54">
        <f>IF($B35="","",SUMIFS(Erfassung!$E$6:$E$5005,Erfassung!$B$6:$B$5005,$A35,Erfassung!$A$6:$A$5005,"&gt;="&amp;DATE(Einstellungen!$C$3,6,1),Erfassung!$A$6:$A$5005,"&lt;"&amp;DATE(Einstellungen!$C$3,7,1)))</f>
        <v/>
      </c>
      <c r="I35" s="54">
        <f>IF($B35="","",SUMIFS(Erfassung!$E$6:$E$5005,Erfassung!$B$6:$B$5005,$A35,Erfassung!$A$6:$A$5005,"&gt;="&amp;DATE(Einstellungen!$C$3,7,1),Erfassung!$A$6:$A$5005,"&lt;"&amp;DATE(Einstellungen!$C$3,8,1)))</f>
        <v/>
      </c>
      <c r="J35" s="54">
        <f>IF($B35="","",SUMIFS(Erfassung!$E$6:$E$5005,Erfassung!$B$6:$B$5005,$A35,Erfassung!$A$6:$A$5005,"&gt;="&amp;DATE(Einstellungen!$C$3,8,1),Erfassung!$A$6:$A$5005,"&lt;"&amp;DATE(Einstellungen!$C$3,9,1)))</f>
        <v/>
      </c>
      <c r="K35" s="54">
        <f>IF($B35="","",SUMIFS(Erfassung!$E$6:$E$5005,Erfassung!$B$6:$B$5005,$A35,Erfassung!$A$6:$A$5005,"&gt;="&amp;DATE(Einstellungen!$C$3,9,1),Erfassung!$A$6:$A$5005,"&lt;"&amp;DATE(Einstellungen!$C$3,10,1)))</f>
        <v/>
      </c>
      <c r="L35" s="54">
        <f>IF($B35="","",SUMIFS(Erfassung!$E$6:$E$5005,Erfassung!$B$6:$B$5005,$A35,Erfassung!$A$6:$A$5005,"&gt;="&amp;DATE(Einstellungen!$C$3,10,1),Erfassung!$A$6:$A$5005,"&lt;"&amp;DATE(Einstellungen!$C$3,11,1)))</f>
        <v/>
      </c>
      <c r="M35" s="54">
        <f>IF($B35="","",SUMIFS(Erfassung!$E$6:$E$5005,Erfassung!$B$6:$B$5005,$A35,Erfassung!$A$6:$A$5005,"&gt;="&amp;DATE(Einstellungen!$C$3,11,1),Erfassung!$A$6:$A$5005,"&lt;"&amp;DATE(Einstellungen!$C$3,12,1)))</f>
        <v/>
      </c>
      <c r="N35" s="54">
        <f>IF($B35="","",SUMIFS(Erfassung!$E$6:$E$5005,Erfassung!$B$6:$B$5005,$A35,Erfassung!$A$6:$A$5005,"&gt;="&amp;DATE(Einstellungen!$C$3,12,1),Erfassung!$A$6:$A$5005,"&lt;"&amp;DATE(Einstellungen!$C$3,13,1)))</f>
        <v/>
      </c>
      <c r="O35" s="45">
        <f>IF($B35="","",SUM(C35:N35))</f>
        <v/>
      </c>
      <c r="P35" s="54">
        <f>IF($B35="","",SUMIFS(Erfassung!$G$6:$G$5005,Erfassung!$B$6:$B$5005,$A35,Erfassung!$A$6:$A$5005,"&gt;="&amp;DATE(Einstellungen!$C$3,1,1),Erfassung!$A$6:$A$5005,"&lt;"&amp;DATE(Einstellungen!$C$3,2,1)))</f>
        <v/>
      </c>
      <c r="Q35" s="54">
        <f>IF($B35="","",SUMIFS(Erfassung!$G$6:$G$5005,Erfassung!$B$6:$B$5005,$A35,Erfassung!$A$6:$A$5005,"&gt;="&amp;DATE(Einstellungen!$C$3,2,1),Erfassung!$A$6:$A$5005,"&lt;"&amp;DATE(Einstellungen!$C$3,3,1)))</f>
        <v/>
      </c>
      <c r="R35" s="54">
        <f>IF($B35="","",SUMIFS(Erfassung!$G$6:$G$5005,Erfassung!$B$6:$B$5005,$A35,Erfassung!$A$6:$A$5005,"&gt;="&amp;DATE(Einstellungen!$C$3,3,1),Erfassung!$A$6:$A$5005,"&lt;"&amp;DATE(Einstellungen!$C$3,4,1)))</f>
        <v/>
      </c>
      <c r="S35" s="54">
        <f>IF($B35="","",SUMIFS(Erfassung!$G$6:$G$5005,Erfassung!$B$6:$B$5005,$A35,Erfassung!$A$6:$A$5005,"&gt;="&amp;DATE(Einstellungen!$C$3,4,1),Erfassung!$A$6:$A$5005,"&lt;"&amp;DATE(Einstellungen!$C$3,5,1)))</f>
        <v/>
      </c>
      <c r="T35" s="54">
        <f>IF($B35="","",SUMIFS(Erfassung!$G$6:$G$5005,Erfassung!$B$6:$B$5005,$A35,Erfassung!$A$6:$A$5005,"&gt;="&amp;DATE(Einstellungen!$C$3,5,1),Erfassung!$A$6:$A$5005,"&lt;"&amp;DATE(Einstellungen!$C$3,6,1)))</f>
        <v/>
      </c>
      <c r="U35" s="54">
        <f>IF($B35="","",SUMIFS(Erfassung!$G$6:$G$5005,Erfassung!$B$6:$B$5005,$A35,Erfassung!$A$6:$A$5005,"&gt;="&amp;DATE(Einstellungen!$C$3,6,1),Erfassung!$A$6:$A$5005,"&lt;"&amp;DATE(Einstellungen!$C$3,7,1)))</f>
        <v/>
      </c>
      <c r="V35" s="54">
        <f>IF($B35="","",SUMIFS(Erfassung!$G$6:$G$5005,Erfassung!$B$6:$B$5005,$A35,Erfassung!$A$6:$A$5005,"&gt;="&amp;DATE(Einstellungen!$C$3,7,1),Erfassung!$A$6:$A$5005,"&lt;"&amp;DATE(Einstellungen!$C$3,8,1)))</f>
        <v/>
      </c>
      <c r="W35" s="54">
        <f>IF($B35="","",SUMIFS(Erfassung!$G$6:$G$5005,Erfassung!$B$6:$B$5005,$A35,Erfassung!$A$6:$A$5005,"&gt;="&amp;DATE(Einstellungen!$C$3,8,1),Erfassung!$A$6:$A$5005,"&lt;"&amp;DATE(Einstellungen!$C$3,9,1)))</f>
        <v/>
      </c>
      <c r="X35" s="54">
        <f>IF($B35="","",SUMIFS(Erfassung!$G$6:$G$5005,Erfassung!$B$6:$B$5005,$A35,Erfassung!$A$6:$A$5005,"&gt;="&amp;DATE(Einstellungen!$C$3,9,1),Erfassung!$A$6:$A$5005,"&lt;"&amp;DATE(Einstellungen!$C$3,10,1)))</f>
        <v/>
      </c>
      <c r="Y35" s="54">
        <f>IF($B35="","",SUMIFS(Erfassung!$G$6:$G$5005,Erfassung!$B$6:$B$5005,$A35,Erfassung!$A$6:$A$5005,"&gt;="&amp;DATE(Einstellungen!$C$3,10,1),Erfassung!$A$6:$A$5005,"&lt;"&amp;DATE(Einstellungen!$C$3,11,1)))</f>
        <v/>
      </c>
      <c r="Z35" s="54">
        <f>IF($B35="","",SUMIFS(Erfassung!$G$6:$G$5005,Erfassung!$B$6:$B$5005,$A35,Erfassung!$A$6:$A$5005,"&gt;="&amp;DATE(Einstellungen!$C$3,11,1),Erfassung!$A$6:$A$5005,"&lt;"&amp;DATE(Einstellungen!$C$3,12,1)))</f>
        <v/>
      </c>
      <c r="AA35" s="54">
        <f>IF($B35="","",SUMIFS(Erfassung!$G$6:$G$5005,Erfassung!$B$6:$B$5005,$A35,Erfassung!$A$6:$A$5005,"&gt;="&amp;DATE(Einstellungen!$C$3,12,1),Erfassung!$A$6:$A$5005,"&lt;"&amp;DATE(Einstellungen!$C$3,13,1)))</f>
        <v/>
      </c>
      <c r="AB35" s="45">
        <f>IF($B35="","",SUM(P35:AA35))</f>
        <v/>
      </c>
      <c r="AC35" s="38">
        <f>IF($B35="","",IF(O35+AB35&gt;0,AB35/(O35+AB35),""))</f>
        <v/>
      </c>
    </row>
    <row r="36">
      <c r="A36" s="56">
        <f>'KQuote Mitarbeiter'!A36</f>
        <v/>
      </c>
      <c r="B36" s="57">
        <f>'KQuote Mitarbeiter'!B36</f>
        <v/>
      </c>
      <c r="C36" s="54">
        <f>IF($B36="","",SUMIFS(Erfassung!$E$6:$E$5005,Erfassung!$B$6:$B$5005,$A36,Erfassung!$A$6:$A$5005,"&gt;="&amp;DATE(Einstellungen!$C$3,1,1),Erfassung!$A$6:$A$5005,"&lt;"&amp;DATE(Einstellungen!$C$3,2,1)))</f>
        <v/>
      </c>
      <c r="D36" s="54">
        <f>IF($B36="","",SUMIFS(Erfassung!$E$6:$E$5005,Erfassung!$B$6:$B$5005,$A36,Erfassung!$A$6:$A$5005,"&gt;="&amp;DATE(Einstellungen!$C$3,2,1),Erfassung!$A$6:$A$5005,"&lt;"&amp;DATE(Einstellungen!$C$3,3,1)))</f>
        <v/>
      </c>
      <c r="E36" s="54">
        <f>IF($B36="","",SUMIFS(Erfassung!$E$6:$E$5005,Erfassung!$B$6:$B$5005,$A36,Erfassung!$A$6:$A$5005,"&gt;="&amp;DATE(Einstellungen!$C$3,3,1),Erfassung!$A$6:$A$5005,"&lt;"&amp;DATE(Einstellungen!$C$3,4,1)))</f>
        <v/>
      </c>
      <c r="F36" s="54">
        <f>IF($B36="","",SUMIFS(Erfassung!$E$6:$E$5005,Erfassung!$B$6:$B$5005,$A36,Erfassung!$A$6:$A$5005,"&gt;="&amp;DATE(Einstellungen!$C$3,4,1),Erfassung!$A$6:$A$5005,"&lt;"&amp;DATE(Einstellungen!$C$3,5,1)))</f>
        <v/>
      </c>
      <c r="G36" s="54">
        <f>IF($B36="","",SUMIFS(Erfassung!$E$6:$E$5005,Erfassung!$B$6:$B$5005,$A36,Erfassung!$A$6:$A$5005,"&gt;="&amp;DATE(Einstellungen!$C$3,5,1),Erfassung!$A$6:$A$5005,"&lt;"&amp;DATE(Einstellungen!$C$3,6,1)))</f>
        <v/>
      </c>
      <c r="H36" s="54">
        <f>IF($B36="","",SUMIFS(Erfassung!$E$6:$E$5005,Erfassung!$B$6:$B$5005,$A36,Erfassung!$A$6:$A$5005,"&gt;="&amp;DATE(Einstellungen!$C$3,6,1),Erfassung!$A$6:$A$5005,"&lt;"&amp;DATE(Einstellungen!$C$3,7,1)))</f>
        <v/>
      </c>
      <c r="I36" s="54">
        <f>IF($B36="","",SUMIFS(Erfassung!$E$6:$E$5005,Erfassung!$B$6:$B$5005,$A36,Erfassung!$A$6:$A$5005,"&gt;="&amp;DATE(Einstellungen!$C$3,7,1),Erfassung!$A$6:$A$5005,"&lt;"&amp;DATE(Einstellungen!$C$3,8,1)))</f>
        <v/>
      </c>
      <c r="J36" s="54">
        <f>IF($B36="","",SUMIFS(Erfassung!$E$6:$E$5005,Erfassung!$B$6:$B$5005,$A36,Erfassung!$A$6:$A$5005,"&gt;="&amp;DATE(Einstellungen!$C$3,8,1),Erfassung!$A$6:$A$5005,"&lt;"&amp;DATE(Einstellungen!$C$3,9,1)))</f>
        <v/>
      </c>
      <c r="K36" s="54">
        <f>IF($B36="","",SUMIFS(Erfassung!$E$6:$E$5005,Erfassung!$B$6:$B$5005,$A36,Erfassung!$A$6:$A$5005,"&gt;="&amp;DATE(Einstellungen!$C$3,9,1),Erfassung!$A$6:$A$5005,"&lt;"&amp;DATE(Einstellungen!$C$3,10,1)))</f>
        <v/>
      </c>
      <c r="L36" s="54">
        <f>IF($B36="","",SUMIFS(Erfassung!$E$6:$E$5005,Erfassung!$B$6:$B$5005,$A36,Erfassung!$A$6:$A$5005,"&gt;="&amp;DATE(Einstellungen!$C$3,10,1),Erfassung!$A$6:$A$5005,"&lt;"&amp;DATE(Einstellungen!$C$3,11,1)))</f>
        <v/>
      </c>
      <c r="M36" s="54">
        <f>IF($B36="","",SUMIFS(Erfassung!$E$6:$E$5005,Erfassung!$B$6:$B$5005,$A36,Erfassung!$A$6:$A$5005,"&gt;="&amp;DATE(Einstellungen!$C$3,11,1),Erfassung!$A$6:$A$5005,"&lt;"&amp;DATE(Einstellungen!$C$3,12,1)))</f>
        <v/>
      </c>
      <c r="N36" s="54">
        <f>IF($B36="","",SUMIFS(Erfassung!$E$6:$E$5005,Erfassung!$B$6:$B$5005,$A36,Erfassung!$A$6:$A$5005,"&gt;="&amp;DATE(Einstellungen!$C$3,12,1),Erfassung!$A$6:$A$5005,"&lt;"&amp;DATE(Einstellungen!$C$3,13,1)))</f>
        <v/>
      </c>
      <c r="O36" s="45">
        <f>IF($B36="","",SUM(C36:N36))</f>
        <v/>
      </c>
      <c r="P36" s="54">
        <f>IF($B36="","",SUMIFS(Erfassung!$G$6:$G$5005,Erfassung!$B$6:$B$5005,$A36,Erfassung!$A$6:$A$5005,"&gt;="&amp;DATE(Einstellungen!$C$3,1,1),Erfassung!$A$6:$A$5005,"&lt;"&amp;DATE(Einstellungen!$C$3,2,1)))</f>
        <v/>
      </c>
      <c r="Q36" s="54">
        <f>IF($B36="","",SUMIFS(Erfassung!$G$6:$G$5005,Erfassung!$B$6:$B$5005,$A36,Erfassung!$A$6:$A$5005,"&gt;="&amp;DATE(Einstellungen!$C$3,2,1),Erfassung!$A$6:$A$5005,"&lt;"&amp;DATE(Einstellungen!$C$3,3,1)))</f>
        <v/>
      </c>
      <c r="R36" s="54">
        <f>IF($B36="","",SUMIFS(Erfassung!$G$6:$G$5005,Erfassung!$B$6:$B$5005,$A36,Erfassung!$A$6:$A$5005,"&gt;="&amp;DATE(Einstellungen!$C$3,3,1),Erfassung!$A$6:$A$5005,"&lt;"&amp;DATE(Einstellungen!$C$3,4,1)))</f>
        <v/>
      </c>
      <c r="S36" s="54">
        <f>IF($B36="","",SUMIFS(Erfassung!$G$6:$G$5005,Erfassung!$B$6:$B$5005,$A36,Erfassung!$A$6:$A$5005,"&gt;="&amp;DATE(Einstellungen!$C$3,4,1),Erfassung!$A$6:$A$5005,"&lt;"&amp;DATE(Einstellungen!$C$3,5,1)))</f>
        <v/>
      </c>
      <c r="T36" s="54">
        <f>IF($B36="","",SUMIFS(Erfassung!$G$6:$G$5005,Erfassung!$B$6:$B$5005,$A36,Erfassung!$A$6:$A$5005,"&gt;="&amp;DATE(Einstellungen!$C$3,5,1),Erfassung!$A$6:$A$5005,"&lt;"&amp;DATE(Einstellungen!$C$3,6,1)))</f>
        <v/>
      </c>
      <c r="U36" s="54">
        <f>IF($B36="","",SUMIFS(Erfassung!$G$6:$G$5005,Erfassung!$B$6:$B$5005,$A36,Erfassung!$A$6:$A$5005,"&gt;="&amp;DATE(Einstellungen!$C$3,6,1),Erfassung!$A$6:$A$5005,"&lt;"&amp;DATE(Einstellungen!$C$3,7,1)))</f>
        <v/>
      </c>
      <c r="V36" s="54">
        <f>IF($B36="","",SUMIFS(Erfassung!$G$6:$G$5005,Erfassung!$B$6:$B$5005,$A36,Erfassung!$A$6:$A$5005,"&gt;="&amp;DATE(Einstellungen!$C$3,7,1),Erfassung!$A$6:$A$5005,"&lt;"&amp;DATE(Einstellungen!$C$3,8,1)))</f>
        <v/>
      </c>
      <c r="W36" s="54">
        <f>IF($B36="","",SUMIFS(Erfassung!$G$6:$G$5005,Erfassung!$B$6:$B$5005,$A36,Erfassung!$A$6:$A$5005,"&gt;="&amp;DATE(Einstellungen!$C$3,8,1),Erfassung!$A$6:$A$5005,"&lt;"&amp;DATE(Einstellungen!$C$3,9,1)))</f>
        <v/>
      </c>
      <c r="X36" s="54">
        <f>IF($B36="","",SUMIFS(Erfassung!$G$6:$G$5005,Erfassung!$B$6:$B$5005,$A36,Erfassung!$A$6:$A$5005,"&gt;="&amp;DATE(Einstellungen!$C$3,9,1),Erfassung!$A$6:$A$5005,"&lt;"&amp;DATE(Einstellungen!$C$3,10,1)))</f>
        <v/>
      </c>
      <c r="Y36" s="54">
        <f>IF($B36="","",SUMIFS(Erfassung!$G$6:$G$5005,Erfassung!$B$6:$B$5005,$A36,Erfassung!$A$6:$A$5005,"&gt;="&amp;DATE(Einstellungen!$C$3,10,1),Erfassung!$A$6:$A$5005,"&lt;"&amp;DATE(Einstellungen!$C$3,11,1)))</f>
        <v/>
      </c>
      <c r="Z36" s="54">
        <f>IF($B36="","",SUMIFS(Erfassung!$G$6:$G$5005,Erfassung!$B$6:$B$5005,$A36,Erfassung!$A$6:$A$5005,"&gt;="&amp;DATE(Einstellungen!$C$3,11,1),Erfassung!$A$6:$A$5005,"&lt;"&amp;DATE(Einstellungen!$C$3,12,1)))</f>
        <v/>
      </c>
      <c r="AA36" s="54">
        <f>IF($B36="","",SUMIFS(Erfassung!$G$6:$G$5005,Erfassung!$B$6:$B$5005,$A36,Erfassung!$A$6:$A$5005,"&gt;="&amp;DATE(Einstellungen!$C$3,12,1),Erfassung!$A$6:$A$5005,"&lt;"&amp;DATE(Einstellungen!$C$3,13,1)))</f>
        <v/>
      </c>
      <c r="AB36" s="45">
        <f>IF($B36="","",SUM(P36:AA36))</f>
        <v/>
      </c>
      <c r="AC36" s="38">
        <f>IF($B36="","",IF(O36+AB36&gt;0,AB36/(O36+AB36),""))</f>
        <v/>
      </c>
    </row>
    <row r="37">
      <c r="A37" s="56">
        <f>'KQuote Mitarbeiter'!A37</f>
        <v/>
      </c>
      <c r="B37" s="57">
        <f>'KQuote Mitarbeiter'!B37</f>
        <v/>
      </c>
      <c r="C37" s="54">
        <f>IF($B37="","",SUMIFS(Erfassung!$E$6:$E$5005,Erfassung!$B$6:$B$5005,$A37,Erfassung!$A$6:$A$5005,"&gt;="&amp;DATE(Einstellungen!$C$3,1,1),Erfassung!$A$6:$A$5005,"&lt;"&amp;DATE(Einstellungen!$C$3,2,1)))</f>
        <v/>
      </c>
      <c r="D37" s="54">
        <f>IF($B37="","",SUMIFS(Erfassung!$E$6:$E$5005,Erfassung!$B$6:$B$5005,$A37,Erfassung!$A$6:$A$5005,"&gt;="&amp;DATE(Einstellungen!$C$3,2,1),Erfassung!$A$6:$A$5005,"&lt;"&amp;DATE(Einstellungen!$C$3,3,1)))</f>
        <v/>
      </c>
      <c r="E37" s="54">
        <f>IF($B37="","",SUMIFS(Erfassung!$E$6:$E$5005,Erfassung!$B$6:$B$5005,$A37,Erfassung!$A$6:$A$5005,"&gt;="&amp;DATE(Einstellungen!$C$3,3,1),Erfassung!$A$6:$A$5005,"&lt;"&amp;DATE(Einstellungen!$C$3,4,1)))</f>
        <v/>
      </c>
      <c r="F37" s="54">
        <f>IF($B37="","",SUMIFS(Erfassung!$E$6:$E$5005,Erfassung!$B$6:$B$5005,$A37,Erfassung!$A$6:$A$5005,"&gt;="&amp;DATE(Einstellungen!$C$3,4,1),Erfassung!$A$6:$A$5005,"&lt;"&amp;DATE(Einstellungen!$C$3,5,1)))</f>
        <v/>
      </c>
      <c r="G37" s="54">
        <f>IF($B37="","",SUMIFS(Erfassung!$E$6:$E$5005,Erfassung!$B$6:$B$5005,$A37,Erfassung!$A$6:$A$5005,"&gt;="&amp;DATE(Einstellungen!$C$3,5,1),Erfassung!$A$6:$A$5005,"&lt;"&amp;DATE(Einstellungen!$C$3,6,1)))</f>
        <v/>
      </c>
      <c r="H37" s="54">
        <f>IF($B37="","",SUMIFS(Erfassung!$E$6:$E$5005,Erfassung!$B$6:$B$5005,$A37,Erfassung!$A$6:$A$5005,"&gt;="&amp;DATE(Einstellungen!$C$3,6,1),Erfassung!$A$6:$A$5005,"&lt;"&amp;DATE(Einstellungen!$C$3,7,1)))</f>
        <v/>
      </c>
      <c r="I37" s="54">
        <f>IF($B37="","",SUMIFS(Erfassung!$E$6:$E$5005,Erfassung!$B$6:$B$5005,$A37,Erfassung!$A$6:$A$5005,"&gt;="&amp;DATE(Einstellungen!$C$3,7,1),Erfassung!$A$6:$A$5005,"&lt;"&amp;DATE(Einstellungen!$C$3,8,1)))</f>
        <v/>
      </c>
      <c r="J37" s="54">
        <f>IF($B37="","",SUMIFS(Erfassung!$E$6:$E$5005,Erfassung!$B$6:$B$5005,$A37,Erfassung!$A$6:$A$5005,"&gt;="&amp;DATE(Einstellungen!$C$3,8,1),Erfassung!$A$6:$A$5005,"&lt;"&amp;DATE(Einstellungen!$C$3,9,1)))</f>
        <v/>
      </c>
      <c r="K37" s="54">
        <f>IF($B37="","",SUMIFS(Erfassung!$E$6:$E$5005,Erfassung!$B$6:$B$5005,$A37,Erfassung!$A$6:$A$5005,"&gt;="&amp;DATE(Einstellungen!$C$3,9,1),Erfassung!$A$6:$A$5005,"&lt;"&amp;DATE(Einstellungen!$C$3,10,1)))</f>
        <v/>
      </c>
      <c r="L37" s="54">
        <f>IF($B37="","",SUMIFS(Erfassung!$E$6:$E$5005,Erfassung!$B$6:$B$5005,$A37,Erfassung!$A$6:$A$5005,"&gt;="&amp;DATE(Einstellungen!$C$3,10,1),Erfassung!$A$6:$A$5005,"&lt;"&amp;DATE(Einstellungen!$C$3,11,1)))</f>
        <v/>
      </c>
      <c r="M37" s="54">
        <f>IF($B37="","",SUMIFS(Erfassung!$E$6:$E$5005,Erfassung!$B$6:$B$5005,$A37,Erfassung!$A$6:$A$5005,"&gt;="&amp;DATE(Einstellungen!$C$3,11,1),Erfassung!$A$6:$A$5005,"&lt;"&amp;DATE(Einstellungen!$C$3,12,1)))</f>
        <v/>
      </c>
      <c r="N37" s="54">
        <f>IF($B37="","",SUMIFS(Erfassung!$E$6:$E$5005,Erfassung!$B$6:$B$5005,$A37,Erfassung!$A$6:$A$5005,"&gt;="&amp;DATE(Einstellungen!$C$3,12,1),Erfassung!$A$6:$A$5005,"&lt;"&amp;DATE(Einstellungen!$C$3,13,1)))</f>
        <v/>
      </c>
      <c r="O37" s="45">
        <f>IF($B37="","",SUM(C37:N37))</f>
        <v/>
      </c>
      <c r="P37" s="54">
        <f>IF($B37="","",SUMIFS(Erfassung!$G$6:$G$5005,Erfassung!$B$6:$B$5005,$A37,Erfassung!$A$6:$A$5005,"&gt;="&amp;DATE(Einstellungen!$C$3,1,1),Erfassung!$A$6:$A$5005,"&lt;"&amp;DATE(Einstellungen!$C$3,2,1)))</f>
        <v/>
      </c>
      <c r="Q37" s="54">
        <f>IF($B37="","",SUMIFS(Erfassung!$G$6:$G$5005,Erfassung!$B$6:$B$5005,$A37,Erfassung!$A$6:$A$5005,"&gt;="&amp;DATE(Einstellungen!$C$3,2,1),Erfassung!$A$6:$A$5005,"&lt;"&amp;DATE(Einstellungen!$C$3,3,1)))</f>
        <v/>
      </c>
      <c r="R37" s="54">
        <f>IF($B37="","",SUMIFS(Erfassung!$G$6:$G$5005,Erfassung!$B$6:$B$5005,$A37,Erfassung!$A$6:$A$5005,"&gt;="&amp;DATE(Einstellungen!$C$3,3,1),Erfassung!$A$6:$A$5005,"&lt;"&amp;DATE(Einstellungen!$C$3,4,1)))</f>
        <v/>
      </c>
      <c r="S37" s="54">
        <f>IF($B37="","",SUMIFS(Erfassung!$G$6:$G$5005,Erfassung!$B$6:$B$5005,$A37,Erfassung!$A$6:$A$5005,"&gt;="&amp;DATE(Einstellungen!$C$3,4,1),Erfassung!$A$6:$A$5005,"&lt;"&amp;DATE(Einstellungen!$C$3,5,1)))</f>
        <v/>
      </c>
      <c r="T37" s="54">
        <f>IF($B37="","",SUMIFS(Erfassung!$G$6:$G$5005,Erfassung!$B$6:$B$5005,$A37,Erfassung!$A$6:$A$5005,"&gt;="&amp;DATE(Einstellungen!$C$3,5,1),Erfassung!$A$6:$A$5005,"&lt;"&amp;DATE(Einstellungen!$C$3,6,1)))</f>
        <v/>
      </c>
      <c r="U37" s="54">
        <f>IF($B37="","",SUMIFS(Erfassung!$G$6:$G$5005,Erfassung!$B$6:$B$5005,$A37,Erfassung!$A$6:$A$5005,"&gt;="&amp;DATE(Einstellungen!$C$3,6,1),Erfassung!$A$6:$A$5005,"&lt;"&amp;DATE(Einstellungen!$C$3,7,1)))</f>
        <v/>
      </c>
      <c r="V37" s="54">
        <f>IF($B37="","",SUMIFS(Erfassung!$G$6:$G$5005,Erfassung!$B$6:$B$5005,$A37,Erfassung!$A$6:$A$5005,"&gt;="&amp;DATE(Einstellungen!$C$3,7,1),Erfassung!$A$6:$A$5005,"&lt;"&amp;DATE(Einstellungen!$C$3,8,1)))</f>
        <v/>
      </c>
      <c r="W37" s="54">
        <f>IF($B37="","",SUMIFS(Erfassung!$G$6:$G$5005,Erfassung!$B$6:$B$5005,$A37,Erfassung!$A$6:$A$5005,"&gt;="&amp;DATE(Einstellungen!$C$3,8,1),Erfassung!$A$6:$A$5005,"&lt;"&amp;DATE(Einstellungen!$C$3,9,1)))</f>
        <v/>
      </c>
      <c r="X37" s="54">
        <f>IF($B37="","",SUMIFS(Erfassung!$G$6:$G$5005,Erfassung!$B$6:$B$5005,$A37,Erfassung!$A$6:$A$5005,"&gt;="&amp;DATE(Einstellungen!$C$3,9,1),Erfassung!$A$6:$A$5005,"&lt;"&amp;DATE(Einstellungen!$C$3,10,1)))</f>
        <v/>
      </c>
      <c r="Y37" s="54">
        <f>IF($B37="","",SUMIFS(Erfassung!$G$6:$G$5005,Erfassung!$B$6:$B$5005,$A37,Erfassung!$A$6:$A$5005,"&gt;="&amp;DATE(Einstellungen!$C$3,10,1),Erfassung!$A$6:$A$5005,"&lt;"&amp;DATE(Einstellungen!$C$3,11,1)))</f>
        <v/>
      </c>
      <c r="Z37" s="54">
        <f>IF($B37="","",SUMIFS(Erfassung!$G$6:$G$5005,Erfassung!$B$6:$B$5005,$A37,Erfassung!$A$6:$A$5005,"&gt;="&amp;DATE(Einstellungen!$C$3,11,1),Erfassung!$A$6:$A$5005,"&lt;"&amp;DATE(Einstellungen!$C$3,12,1)))</f>
        <v/>
      </c>
      <c r="AA37" s="54">
        <f>IF($B37="","",SUMIFS(Erfassung!$G$6:$G$5005,Erfassung!$B$6:$B$5005,$A37,Erfassung!$A$6:$A$5005,"&gt;="&amp;DATE(Einstellungen!$C$3,12,1),Erfassung!$A$6:$A$5005,"&lt;"&amp;DATE(Einstellungen!$C$3,13,1)))</f>
        <v/>
      </c>
      <c r="AB37" s="45">
        <f>IF($B37="","",SUM(P37:AA37))</f>
        <v/>
      </c>
      <c r="AC37" s="38">
        <f>IF($B37="","",IF(O37+AB37&gt;0,AB37/(O37+AB37),""))</f>
        <v/>
      </c>
    </row>
    <row r="38">
      <c r="A38" s="56">
        <f>'KQuote Mitarbeiter'!A38</f>
        <v/>
      </c>
      <c r="B38" s="57">
        <f>'KQuote Mitarbeiter'!B38</f>
        <v/>
      </c>
      <c r="C38" s="54">
        <f>IF($B38="","",SUMIFS(Erfassung!$E$6:$E$5005,Erfassung!$B$6:$B$5005,$A38,Erfassung!$A$6:$A$5005,"&gt;="&amp;DATE(Einstellungen!$C$3,1,1),Erfassung!$A$6:$A$5005,"&lt;"&amp;DATE(Einstellungen!$C$3,2,1)))</f>
        <v/>
      </c>
      <c r="D38" s="54">
        <f>IF($B38="","",SUMIFS(Erfassung!$E$6:$E$5005,Erfassung!$B$6:$B$5005,$A38,Erfassung!$A$6:$A$5005,"&gt;="&amp;DATE(Einstellungen!$C$3,2,1),Erfassung!$A$6:$A$5005,"&lt;"&amp;DATE(Einstellungen!$C$3,3,1)))</f>
        <v/>
      </c>
      <c r="E38" s="54">
        <f>IF($B38="","",SUMIFS(Erfassung!$E$6:$E$5005,Erfassung!$B$6:$B$5005,$A38,Erfassung!$A$6:$A$5005,"&gt;="&amp;DATE(Einstellungen!$C$3,3,1),Erfassung!$A$6:$A$5005,"&lt;"&amp;DATE(Einstellungen!$C$3,4,1)))</f>
        <v/>
      </c>
      <c r="F38" s="54">
        <f>IF($B38="","",SUMIFS(Erfassung!$E$6:$E$5005,Erfassung!$B$6:$B$5005,$A38,Erfassung!$A$6:$A$5005,"&gt;="&amp;DATE(Einstellungen!$C$3,4,1),Erfassung!$A$6:$A$5005,"&lt;"&amp;DATE(Einstellungen!$C$3,5,1)))</f>
        <v/>
      </c>
      <c r="G38" s="54">
        <f>IF($B38="","",SUMIFS(Erfassung!$E$6:$E$5005,Erfassung!$B$6:$B$5005,$A38,Erfassung!$A$6:$A$5005,"&gt;="&amp;DATE(Einstellungen!$C$3,5,1),Erfassung!$A$6:$A$5005,"&lt;"&amp;DATE(Einstellungen!$C$3,6,1)))</f>
        <v/>
      </c>
      <c r="H38" s="54">
        <f>IF($B38="","",SUMIFS(Erfassung!$E$6:$E$5005,Erfassung!$B$6:$B$5005,$A38,Erfassung!$A$6:$A$5005,"&gt;="&amp;DATE(Einstellungen!$C$3,6,1),Erfassung!$A$6:$A$5005,"&lt;"&amp;DATE(Einstellungen!$C$3,7,1)))</f>
        <v/>
      </c>
      <c r="I38" s="54">
        <f>IF($B38="","",SUMIFS(Erfassung!$E$6:$E$5005,Erfassung!$B$6:$B$5005,$A38,Erfassung!$A$6:$A$5005,"&gt;="&amp;DATE(Einstellungen!$C$3,7,1),Erfassung!$A$6:$A$5005,"&lt;"&amp;DATE(Einstellungen!$C$3,8,1)))</f>
        <v/>
      </c>
      <c r="J38" s="54">
        <f>IF($B38="","",SUMIFS(Erfassung!$E$6:$E$5005,Erfassung!$B$6:$B$5005,$A38,Erfassung!$A$6:$A$5005,"&gt;="&amp;DATE(Einstellungen!$C$3,8,1),Erfassung!$A$6:$A$5005,"&lt;"&amp;DATE(Einstellungen!$C$3,9,1)))</f>
        <v/>
      </c>
      <c r="K38" s="54">
        <f>IF($B38="","",SUMIFS(Erfassung!$E$6:$E$5005,Erfassung!$B$6:$B$5005,$A38,Erfassung!$A$6:$A$5005,"&gt;="&amp;DATE(Einstellungen!$C$3,9,1),Erfassung!$A$6:$A$5005,"&lt;"&amp;DATE(Einstellungen!$C$3,10,1)))</f>
        <v/>
      </c>
      <c r="L38" s="54">
        <f>IF($B38="","",SUMIFS(Erfassung!$E$6:$E$5005,Erfassung!$B$6:$B$5005,$A38,Erfassung!$A$6:$A$5005,"&gt;="&amp;DATE(Einstellungen!$C$3,10,1),Erfassung!$A$6:$A$5005,"&lt;"&amp;DATE(Einstellungen!$C$3,11,1)))</f>
        <v/>
      </c>
      <c r="M38" s="54">
        <f>IF($B38="","",SUMIFS(Erfassung!$E$6:$E$5005,Erfassung!$B$6:$B$5005,$A38,Erfassung!$A$6:$A$5005,"&gt;="&amp;DATE(Einstellungen!$C$3,11,1),Erfassung!$A$6:$A$5005,"&lt;"&amp;DATE(Einstellungen!$C$3,12,1)))</f>
        <v/>
      </c>
      <c r="N38" s="54">
        <f>IF($B38="","",SUMIFS(Erfassung!$E$6:$E$5005,Erfassung!$B$6:$B$5005,$A38,Erfassung!$A$6:$A$5005,"&gt;="&amp;DATE(Einstellungen!$C$3,12,1),Erfassung!$A$6:$A$5005,"&lt;"&amp;DATE(Einstellungen!$C$3,13,1)))</f>
        <v/>
      </c>
      <c r="O38" s="45">
        <f>IF($B38="","",SUM(C38:N38))</f>
        <v/>
      </c>
      <c r="P38" s="54">
        <f>IF($B38="","",SUMIFS(Erfassung!$G$6:$G$5005,Erfassung!$B$6:$B$5005,$A38,Erfassung!$A$6:$A$5005,"&gt;="&amp;DATE(Einstellungen!$C$3,1,1),Erfassung!$A$6:$A$5005,"&lt;"&amp;DATE(Einstellungen!$C$3,2,1)))</f>
        <v/>
      </c>
      <c r="Q38" s="54">
        <f>IF($B38="","",SUMIFS(Erfassung!$G$6:$G$5005,Erfassung!$B$6:$B$5005,$A38,Erfassung!$A$6:$A$5005,"&gt;="&amp;DATE(Einstellungen!$C$3,2,1),Erfassung!$A$6:$A$5005,"&lt;"&amp;DATE(Einstellungen!$C$3,3,1)))</f>
        <v/>
      </c>
      <c r="R38" s="54">
        <f>IF($B38="","",SUMIFS(Erfassung!$G$6:$G$5005,Erfassung!$B$6:$B$5005,$A38,Erfassung!$A$6:$A$5005,"&gt;="&amp;DATE(Einstellungen!$C$3,3,1),Erfassung!$A$6:$A$5005,"&lt;"&amp;DATE(Einstellungen!$C$3,4,1)))</f>
        <v/>
      </c>
      <c r="S38" s="54">
        <f>IF($B38="","",SUMIFS(Erfassung!$G$6:$G$5005,Erfassung!$B$6:$B$5005,$A38,Erfassung!$A$6:$A$5005,"&gt;="&amp;DATE(Einstellungen!$C$3,4,1),Erfassung!$A$6:$A$5005,"&lt;"&amp;DATE(Einstellungen!$C$3,5,1)))</f>
        <v/>
      </c>
      <c r="T38" s="54">
        <f>IF($B38="","",SUMIFS(Erfassung!$G$6:$G$5005,Erfassung!$B$6:$B$5005,$A38,Erfassung!$A$6:$A$5005,"&gt;="&amp;DATE(Einstellungen!$C$3,5,1),Erfassung!$A$6:$A$5005,"&lt;"&amp;DATE(Einstellungen!$C$3,6,1)))</f>
        <v/>
      </c>
      <c r="U38" s="54">
        <f>IF($B38="","",SUMIFS(Erfassung!$G$6:$G$5005,Erfassung!$B$6:$B$5005,$A38,Erfassung!$A$6:$A$5005,"&gt;="&amp;DATE(Einstellungen!$C$3,6,1),Erfassung!$A$6:$A$5005,"&lt;"&amp;DATE(Einstellungen!$C$3,7,1)))</f>
        <v/>
      </c>
      <c r="V38" s="54">
        <f>IF($B38="","",SUMIFS(Erfassung!$G$6:$G$5005,Erfassung!$B$6:$B$5005,$A38,Erfassung!$A$6:$A$5005,"&gt;="&amp;DATE(Einstellungen!$C$3,7,1),Erfassung!$A$6:$A$5005,"&lt;"&amp;DATE(Einstellungen!$C$3,8,1)))</f>
        <v/>
      </c>
      <c r="W38" s="54">
        <f>IF($B38="","",SUMIFS(Erfassung!$G$6:$G$5005,Erfassung!$B$6:$B$5005,$A38,Erfassung!$A$6:$A$5005,"&gt;="&amp;DATE(Einstellungen!$C$3,8,1),Erfassung!$A$6:$A$5005,"&lt;"&amp;DATE(Einstellungen!$C$3,9,1)))</f>
        <v/>
      </c>
      <c r="X38" s="54">
        <f>IF($B38="","",SUMIFS(Erfassung!$G$6:$G$5005,Erfassung!$B$6:$B$5005,$A38,Erfassung!$A$6:$A$5005,"&gt;="&amp;DATE(Einstellungen!$C$3,9,1),Erfassung!$A$6:$A$5005,"&lt;"&amp;DATE(Einstellungen!$C$3,10,1)))</f>
        <v/>
      </c>
      <c r="Y38" s="54">
        <f>IF($B38="","",SUMIFS(Erfassung!$G$6:$G$5005,Erfassung!$B$6:$B$5005,$A38,Erfassung!$A$6:$A$5005,"&gt;="&amp;DATE(Einstellungen!$C$3,10,1),Erfassung!$A$6:$A$5005,"&lt;"&amp;DATE(Einstellungen!$C$3,11,1)))</f>
        <v/>
      </c>
      <c r="Z38" s="54">
        <f>IF($B38="","",SUMIFS(Erfassung!$G$6:$G$5005,Erfassung!$B$6:$B$5005,$A38,Erfassung!$A$6:$A$5005,"&gt;="&amp;DATE(Einstellungen!$C$3,11,1),Erfassung!$A$6:$A$5005,"&lt;"&amp;DATE(Einstellungen!$C$3,12,1)))</f>
        <v/>
      </c>
      <c r="AA38" s="54">
        <f>IF($B38="","",SUMIFS(Erfassung!$G$6:$G$5005,Erfassung!$B$6:$B$5005,$A38,Erfassung!$A$6:$A$5005,"&gt;="&amp;DATE(Einstellungen!$C$3,12,1),Erfassung!$A$6:$A$5005,"&lt;"&amp;DATE(Einstellungen!$C$3,13,1)))</f>
        <v/>
      </c>
      <c r="AB38" s="45">
        <f>IF($B38="","",SUM(P38:AA38))</f>
        <v/>
      </c>
      <c r="AC38" s="38">
        <f>IF($B38="","",IF(O38+AB38&gt;0,AB38/(O38+AB38),""))</f>
        <v/>
      </c>
    </row>
    <row r="39">
      <c r="A39" s="56">
        <f>'KQuote Mitarbeiter'!A39</f>
        <v/>
      </c>
      <c r="B39" s="57">
        <f>'KQuote Mitarbeiter'!B39</f>
        <v/>
      </c>
      <c r="C39" s="54">
        <f>IF($B39="","",SUMIFS(Erfassung!$E$6:$E$5005,Erfassung!$B$6:$B$5005,$A39,Erfassung!$A$6:$A$5005,"&gt;="&amp;DATE(Einstellungen!$C$3,1,1),Erfassung!$A$6:$A$5005,"&lt;"&amp;DATE(Einstellungen!$C$3,2,1)))</f>
        <v/>
      </c>
      <c r="D39" s="54">
        <f>IF($B39="","",SUMIFS(Erfassung!$E$6:$E$5005,Erfassung!$B$6:$B$5005,$A39,Erfassung!$A$6:$A$5005,"&gt;="&amp;DATE(Einstellungen!$C$3,2,1),Erfassung!$A$6:$A$5005,"&lt;"&amp;DATE(Einstellungen!$C$3,3,1)))</f>
        <v/>
      </c>
      <c r="E39" s="54">
        <f>IF($B39="","",SUMIFS(Erfassung!$E$6:$E$5005,Erfassung!$B$6:$B$5005,$A39,Erfassung!$A$6:$A$5005,"&gt;="&amp;DATE(Einstellungen!$C$3,3,1),Erfassung!$A$6:$A$5005,"&lt;"&amp;DATE(Einstellungen!$C$3,4,1)))</f>
        <v/>
      </c>
      <c r="F39" s="54">
        <f>IF($B39="","",SUMIFS(Erfassung!$E$6:$E$5005,Erfassung!$B$6:$B$5005,$A39,Erfassung!$A$6:$A$5005,"&gt;="&amp;DATE(Einstellungen!$C$3,4,1),Erfassung!$A$6:$A$5005,"&lt;"&amp;DATE(Einstellungen!$C$3,5,1)))</f>
        <v/>
      </c>
      <c r="G39" s="54">
        <f>IF($B39="","",SUMIFS(Erfassung!$E$6:$E$5005,Erfassung!$B$6:$B$5005,$A39,Erfassung!$A$6:$A$5005,"&gt;="&amp;DATE(Einstellungen!$C$3,5,1),Erfassung!$A$6:$A$5005,"&lt;"&amp;DATE(Einstellungen!$C$3,6,1)))</f>
        <v/>
      </c>
      <c r="H39" s="54">
        <f>IF($B39="","",SUMIFS(Erfassung!$E$6:$E$5005,Erfassung!$B$6:$B$5005,$A39,Erfassung!$A$6:$A$5005,"&gt;="&amp;DATE(Einstellungen!$C$3,6,1),Erfassung!$A$6:$A$5005,"&lt;"&amp;DATE(Einstellungen!$C$3,7,1)))</f>
        <v/>
      </c>
      <c r="I39" s="54">
        <f>IF($B39="","",SUMIFS(Erfassung!$E$6:$E$5005,Erfassung!$B$6:$B$5005,$A39,Erfassung!$A$6:$A$5005,"&gt;="&amp;DATE(Einstellungen!$C$3,7,1),Erfassung!$A$6:$A$5005,"&lt;"&amp;DATE(Einstellungen!$C$3,8,1)))</f>
        <v/>
      </c>
      <c r="J39" s="54">
        <f>IF($B39="","",SUMIFS(Erfassung!$E$6:$E$5005,Erfassung!$B$6:$B$5005,$A39,Erfassung!$A$6:$A$5005,"&gt;="&amp;DATE(Einstellungen!$C$3,8,1),Erfassung!$A$6:$A$5005,"&lt;"&amp;DATE(Einstellungen!$C$3,9,1)))</f>
        <v/>
      </c>
      <c r="K39" s="54">
        <f>IF($B39="","",SUMIFS(Erfassung!$E$6:$E$5005,Erfassung!$B$6:$B$5005,$A39,Erfassung!$A$6:$A$5005,"&gt;="&amp;DATE(Einstellungen!$C$3,9,1),Erfassung!$A$6:$A$5005,"&lt;"&amp;DATE(Einstellungen!$C$3,10,1)))</f>
        <v/>
      </c>
      <c r="L39" s="54">
        <f>IF($B39="","",SUMIFS(Erfassung!$E$6:$E$5005,Erfassung!$B$6:$B$5005,$A39,Erfassung!$A$6:$A$5005,"&gt;="&amp;DATE(Einstellungen!$C$3,10,1),Erfassung!$A$6:$A$5005,"&lt;"&amp;DATE(Einstellungen!$C$3,11,1)))</f>
        <v/>
      </c>
      <c r="M39" s="54">
        <f>IF($B39="","",SUMIFS(Erfassung!$E$6:$E$5005,Erfassung!$B$6:$B$5005,$A39,Erfassung!$A$6:$A$5005,"&gt;="&amp;DATE(Einstellungen!$C$3,11,1),Erfassung!$A$6:$A$5005,"&lt;"&amp;DATE(Einstellungen!$C$3,12,1)))</f>
        <v/>
      </c>
      <c r="N39" s="54">
        <f>IF($B39="","",SUMIFS(Erfassung!$E$6:$E$5005,Erfassung!$B$6:$B$5005,$A39,Erfassung!$A$6:$A$5005,"&gt;="&amp;DATE(Einstellungen!$C$3,12,1),Erfassung!$A$6:$A$5005,"&lt;"&amp;DATE(Einstellungen!$C$3,13,1)))</f>
        <v/>
      </c>
      <c r="O39" s="45">
        <f>IF($B39="","",SUM(C39:N39))</f>
        <v/>
      </c>
      <c r="P39" s="54">
        <f>IF($B39="","",SUMIFS(Erfassung!$G$6:$G$5005,Erfassung!$B$6:$B$5005,$A39,Erfassung!$A$6:$A$5005,"&gt;="&amp;DATE(Einstellungen!$C$3,1,1),Erfassung!$A$6:$A$5005,"&lt;"&amp;DATE(Einstellungen!$C$3,2,1)))</f>
        <v/>
      </c>
      <c r="Q39" s="54">
        <f>IF($B39="","",SUMIFS(Erfassung!$G$6:$G$5005,Erfassung!$B$6:$B$5005,$A39,Erfassung!$A$6:$A$5005,"&gt;="&amp;DATE(Einstellungen!$C$3,2,1),Erfassung!$A$6:$A$5005,"&lt;"&amp;DATE(Einstellungen!$C$3,3,1)))</f>
        <v/>
      </c>
      <c r="R39" s="54">
        <f>IF($B39="","",SUMIFS(Erfassung!$G$6:$G$5005,Erfassung!$B$6:$B$5005,$A39,Erfassung!$A$6:$A$5005,"&gt;="&amp;DATE(Einstellungen!$C$3,3,1),Erfassung!$A$6:$A$5005,"&lt;"&amp;DATE(Einstellungen!$C$3,4,1)))</f>
        <v/>
      </c>
      <c r="S39" s="54">
        <f>IF($B39="","",SUMIFS(Erfassung!$G$6:$G$5005,Erfassung!$B$6:$B$5005,$A39,Erfassung!$A$6:$A$5005,"&gt;="&amp;DATE(Einstellungen!$C$3,4,1),Erfassung!$A$6:$A$5005,"&lt;"&amp;DATE(Einstellungen!$C$3,5,1)))</f>
        <v/>
      </c>
      <c r="T39" s="54">
        <f>IF($B39="","",SUMIFS(Erfassung!$G$6:$G$5005,Erfassung!$B$6:$B$5005,$A39,Erfassung!$A$6:$A$5005,"&gt;="&amp;DATE(Einstellungen!$C$3,5,1),Erfassung!$A$6:$A$5005,"&lt;"&amp;DATE(Einstellungen!$C$3,6,1)))</f>
        <v/>
      </c>
      <c r="U39" s="54">
        <f>IF($B39="","",SUMIFS(Erfassung!$G$6:$G$5005,Erfassung!$B$6:$B$5005,$A39,Erfassung!$A$6:$A$5005,"&gt;="&amp;DATE(Einstellungen!$C$3,6,1),Erfassung!$A$6:$A$5005,"&lt;"&amp;DATE(Einstellungen!$C$3,7,1)))</f>
        <v/>
      </c>
      <c r="V39" s="54">
        <f>IF($B39="","",SUMIFS(Erfassung!$G$6:$G$5005,Erfassung!$B$6:$B$5005,$A39,Erfassung!$A$6:$A$5005,"&gt;="&amp;DATE(Einstellungen!$C$3,7,1),Erfassung!$A$6:$A$5005,"&lt;"&amp;DATE(Einstellungen!$C$3,8,1)))</f>
        <v/>
      </c>
      <c r="W39" s="54">
        <f>IF($B39="","",SUMIFS(Erfassung!$G$6:$G$5005,Erfassung!$B$6:$B$5005,$A39,Erfassung!$A$6:$A$5005,"&gt;="&amp;DATE(Einstellungen!$C$3,8,1),Erfassung!$A$6:$A$5005,"&lt;"&amp;DATE(Einstellungen!$C$3,9,1)))</f>
        <v/>
      </c>
      <c r="X39" s="54">
        <f>IF($B39="","",SUMIFS(Erfassung!$G$6:$G$5005,Erfassung!$B$6:$B$5005,$A39,Erfassung!$A$6:$A$5005,"&gt;="&amp;DATE(Einstellungen!$C$3,9,1),Erfassung!$A$6:$A$5005,"&lt;"&amp;DATE(Einstellungen!$C$3,10,1)))</f>
        <v/>
      </c>
      <c r="Y39" s="54">
        <f>IF($B39="","",SUMIFS(Erfassung!$G$6:$G$5005,Erfassung!$B$6:$B$5005,$A39,Erfassung!$A$6:$A$5005,"&gt;="&amp;DATE(Einstellungen!$C$3,10,1),Erfassung!$A$6:$A$5005,"&lt;"&amp;DATE(Einstellungen!$C$3,11,1)))</f>
        <v/>
      </c>
      <c r="Z39" s="54">
        <f>IF($B39="","",SUMIFS(Erfassung!$G$6:$G$5005,Erfassung!$B$6:$B$5005,$A39,Erfassung!$A$6:$A$5005,"&gt;="&amp;DATE(Einstellungen!$C$3,11,1),Erfassung!$A$6:$A$5005,"&lt;"&amp;DATE(Einstellungen!$C$3,12,1)))</f>
        <v/>
      </c>
      <c r="AA39" s="54">
        <f>IF($B39="","",SUMIFS(Erfassung!$G$6:$G$5005,Erfassung!$B$6:$B$5005,$A39,Erfassung!$A$6:$A$5005,"&gt;="&amp;DATE(Einstellungen!$C$3,12,1),Erfassung!$A$6:$A$5005,"&lt;"&amp;DATE(Einstellungen!$C$3,13,1)))</f>
        <v/>
      </c>
      <c r="AB39" s="45">
        <f>IF($B39="","",SUM(P39:AA39))</f>
        <v/>
      </c>
      <c r="AC39" s="38">
        <f>IF($B39="","",IF(O39+AB39&gt;0,AB39/(O39+AB39),""))</f>
        <v/>
      </c>
    </row>
    <row r="40">
      <c r="A40" s="56">
        <f>'KQuote Mitarbeiter'!A40</f>
        <v/>
      </c>
      <c r="B40" s="57">
        <f>'KQuote Mitarbeiter'!B40</f>
        <v/>
      </c>
      <c r="C40" s="54">
        <f>IF($B40="","",SUMIFS(Erfassung!$E$6:$E$5005,Erfassung!$B$6:$B$5005,$A40,Erfassung!$A$6:$A$5005,"&gt;="&amp;DATE(Einstellungen!$C$3,1,1),Erfassung!$A$6:$A$5005,"&lt;"&amp;DATE(Einstellungen!$C$3,2,1)))</f>
        <v/>
      </c>
      <c r="D40" s="54">
        <f>IF($B40="","",SUMIFS(Erfassung!$E$6:$E$5005,Erfassung!$B$6:$B$5005,$A40,Erfassung!$A$6:$A$5005,"&gt;="&amp;DATE(Einstellungen!$C$3,2,1),Erfassung!$A$6:$A$5005,"&lt;"&amp;DATE(Einstellungen!$C$3,3,1)))</f>
        <v/>
      </c>
      <c r="E40" s="54">
        <f>IF($B40="","",SUMIFS(Erfassung!$E$6:$E$5005,Erfassung!$B$6:$B$5005,$A40,Erfassung!$A$6:$A$5005,"&gt;="&amp;DATE(Einstellungen!$C$3,3,1),Erfassung!$A$6:$A$5005,"&lt;"&amp;DATE(Einstellungen!$C$3,4,1)))</f>
        <v/>
      </c>
      <c r="F40" s="54">
        <f>IF($B40="","",SUMIFS(Erfassung!$E$6:$E$5005,Erfassung!$B$6:$B$5005,$A40,Erfassung!$A$6:$A$5005,"&gt;="&amp;DATE(Einstellungen!$C$3,4,1),Erfassung!$A$6:$A$5005,"&lt;"&amp;DATE(Einstellungen!$C$3,5,1)))</f>
        <v/>
      </c>
      <c r="G40" s="54">
        <f>IF($B40="","",SUMIFS(Erfassung!$E$6:$E$5005,Erfassung!$B$6:$B$5005,$A40,Erfassung!$A$6:$A$5005,"&gt;="&amp;DATE(Einstellungen!$C$3,5,1),Erfassung!$A$6:$A$5005,"&lt;"&amp;DATE(Einstellungen!$C$3,6,1)))</f>
        <v/>
      </c>
      <c r="H40" s="54">
        <f>IF($B40="","",SUMIFS(Erfassung!$E$6:$E$5005,Erfassung!$B$6:$B$5005,$A40,Erfassung!$A$6:$A$5005,"&gt;="&amp;DATE(Einstellungen!$C$3,6,1),Erfassung!$A$6:$A$5005,"&lt;"&amp;DATE(Einstellungen!$C$3,7,1)))</f>
        <v/>
      </c>
      <c r="I40" s="54">
        <f>IF($B40="","",SUMIFS(Erfassung!$E$6:$E$5005,Erfassung!$B$6:$B$5005,$A40,Erfassung!$A$6:$A$5005,"&gt;="&amp;DATE(Einstellungen!$C$3,7,1),Erfassung!$A$6:$A$5005,"&lt;"&amp;DATE(Einstellungen!$C$3,8,1)))</f>
        <v/>
      </c>
      <c r="J40" s="54">
        <f>IF($B40="","",SUMIFS(Erfassung!$E$6:$E$5005,Erfassung!$B$6:$B$5005,$A40,Erfassung!$A$6:$A$5005,"&gt;="&amp;DATE(Einstellungen!$C$3,8,1),Erfassung!$A$6:$A$5005,"&lt;"&amp;DATE(Einstellungen!$C$3,9,1)))</f>
        <v/>
      </c>
      <c r="K40" s="54">
        <f>IF($B40="","",SUMIFS(Erfassung!$E$6:$E$5005,Erfassung!$B$6:$B$5005,$A40,Erfassung!$A$6:$A$5005,"&gt;="&amp;DATE(Einstellungen!$C$3,9,1),Erfassung!$A$6:$A$5005,"&lt;"&amp;DATE(Einstellungen!$C$3,10,1)))</f>
        <v/>
      </c>
      <c r="L40" s="54">
        <f>IF($B40="","",SUMIFS(Erfassung!$E$6:$E$5005,Erfassung!$B$6:$B$5005,$A40,Erfassung!$A$6:$A$5005,"&gt;="&amp;DATE(Einstellungen!$C$3,10,1),Erfassung!$A$6:$A$5005,"&lt;"&amp;DATE(Einstellungen!$C$3,11,1)))</f>
        <v/>
      </c>
      <c r="M40" s="54">
        <f>IF($B40="","",SUMIFS(Erfassung!$E$6:$E$5005,Erfassung!$B$6:$B$5005,$A40,Erfassung!$A$6:$A$5005,"&gt;="&amp;DATE(Einstellungen!$C$3,11,1),Erfassung!$A$6:$A$5005,"&lt;"&amp;DATE(Einstellungen!$C$3,12,1)))</f>
        <v/>
      </c>
      <c r="N40" s="54">
        <f>IF($B40="","",SUMIFS(Erfassung!$E$6:$E$5005,Erfassung!$B$6:$B$5005,$A40,Erfassung!$A$6:$A$5005,"&gt;="&amp;DATE(Einstellungen!$C$3,12,1),Erfassung!$A$6:$A$5005,"&lt;"&amp;DATE(Einstellungen!$C$3,13,1)))</f>
        <v/>
      </c>
      <c r="O40" s="45">
        <f>IF($B40="","",SUM(C40:N40))</f>
        <v/>
      </c>
      <c r="P40" s="54">
        <f>IF($B40="","",SUMIFS(Erfassung!$G$6:$G$5005,Erfassung!$B$6:$B$5005,$A40,Erfassung!$A$6:$A$5005,"&gt;="&amp;DATE(Einstellungen!$C$3,1,1),Erfassung!$A$6:$A$5005,"&lt;"&amp;DATE(Einstellungen!$C$3,2,1)))</f>
        <v/>
      </c>
      <c r="Q40" s="54">
        <f>IF($B40="","",SUMIFS(Erfassung!$G$6:$G$5005,Erfassung!$B$6:$B$5005,$A40,Erfassung!$A$6:$A$5005,"&gt;="&amp;DATE(Einstellungen!$C$3,2,1),Erfassung!$A$6:$A$5005,"&lt;"&amp;DATE(Einstellungen!$C$3,3,1)))</f>
        <v/>
      </c>
      <c r="R40" s="54">
        <f>IF($B40="","",SUMIFS(Erfassung!$G$6:$G$5005,Erfassung!$B$6:$B$5005,$A40,Erfassung!$A$6:$A$5005,"&gt;="&amp;DATE(Einstellungen!$C$3,3,1),Erfassung!$A$6:$A$5005,"&lt;"&amp;DATE(Einstellungen!$C$3,4,1)))</f>
        <v/>
      </c>
      <c r="S40" s="54">
        <f>IF($B40="","",SUMIFS(Erfassung!$G$6:$G$5005,Erfassung!$B$6:$B$5005,$A40,Erfassung!$A$6:$A$5005,"&gt;="&amp;DATE(Einstellungen!$C$3,4,1),Erfassung!$A$6:$A$5005,"&lt;"&amp;DATE(Einstellungen!$C$3,5,1)))</f>
        <v/>
      </c>
      <c r="T40" s="54">
        <f>IF($B40="","",SUMIFS(Erfassung!$G$6:$G$5005,Erfassung!$B$6:$B$5005,$A40,Erfassung!$A$6:$A$5005,"&gt;="&amp;DATE(Einstellungen!$C$3,5,1),Erfassung!$A$6:$A$5005,"&lt;"&amp;DATE(Einstellungen!$C$3,6,1)))</f>
        <v/>
      </c>
      <c r="U40" s="54">
        <f>IF($B40="","",SUMIFS(Erfassung!$G$6:$G$5005,Erfassung!$B$6:$B$5005,$A40,Erfassung!$A$6:$A$5005,"&gt;="&amp;DATE(Einstellungen!$C$3,6,1),Erfassung!$A$6:$A$5005,"&lt;"&amp;DATE(Einstellungen!$C$3,7,1)))</f>
        <v/>
      </c>
      <c r="V40" s="54">
        <f>IF($B40="","",SUMIFS(Erfassung!$G$6:$G$5005,Erfassung!$B$6:$B$5005,$A40,Erfassung!$A$6:$A$5005,"&gt;="&amp;DATE(Einstellungen!$C$3,7,1),Erfassung!$A$6:$A$5005,"&lt;"&amp;DATE(Einstellungen!$C$3,8,1)))</f>
        <v/>
      </c>
      <c r="W40" s="54">
        <f>IF($B40="","",SUMIFS(Erfassung!$G$6:$G$5005,Erfassung!$B$6:$B$5005,$A40,Erfassung!$A$6:$A$5005,"&gt;="&amp;DATE(Einstellungen!$C$3,8,1),Erfassung!$A$6:$A$5005,"&lt;"&amp;DATE(Einstellungen!$C$3,9,1)))</f>
        <v/>
      </c>
      <c r="X40" s="54">
        <f>IF($B40="","",SUMIFS(Erfassung!$G$6:$G$5005,Erfassung!$B$6:$B$5005,$A40,Erfassung!$A$6:$A$5005,"&gt;="&amp;DATE(Einstellungen!$C$3,9,1),Erfassung!$A$6:$A$5005,"&lt;"&amp;DATE(Einstellungen!$C$3,10,1)))</f>
        <v/>
      </c>
      <c r="Y40" s="54">
        <f>IF($B40="","",SUMIFS(Erfassung!$G$6:$G$5005,Erfassung!$B$6:$B$5005,$A40,Erfassung!$A$6:$A$5005,"&gt;="&amp;DATE(Einstellungen!$C$3,10,1),Erfassung!$A$6:$A$5005,"&lt;"&amp;DATE(Einstellungen!$C$3,11,1)))</f>
        <v/>
      </c>
      <c r="Z40" s="54">
        <f>IF($B40="","",SUMIFS(Erfassung!$G$6:$G$5005,Erfassung!$B$6:$B$5005,$A40,Erfassung!$A$6:$A$5005,"&gt;="&amp;DATE(Einstellungen!$C$3,11,1),Erfassung!$A$6:$A$5005,"&lt;"&amp;DATE(Einstellungen!$C$3,12,1)))</f>
        <v/>
      </c>
      <c r="AA40" s="54">
        <f>IF($B40="","",SUMIFS(Erfassung!$G$6:$G$5005,Erfassung!$B$6:$B$5005,$A40,Erfassung!$A$6:$A$5005,"&gt;="&amp;DATE(Einstellungen!$C$3,12,1),Erfassung!$A$6:$A$5005,"&lt;"&amp;DATE(Einstellungen!$C$3,13,1)))</f>
        <v/>
      </c>
      <c r="AB40" s="45">
        <f>IF($B40="","",SUM(P40:AA40))</f>
        <v/>
      </c>
      <c r="AC40" s="38">
        <f>IF($B40="","",IF(O40+AB40&gt;0,AB40/(O40+AB40),""))</f>
        <v/>
      </c>
    </row>
    <row r="41">
      <c r="A41" s="56">
        <f>'KQuote Mitarbeiter'!A41</f>
        <v/>
      </c>
      <c r="B41" s="57">
        <f>'KQuote Mitarbeiter'!B41</f>
        <v/>
      </c>
      <c r="C41" s="54">
        <f>IF($B41="","",SUMIFS(Erfassung!$E$6:$E$5005,Erfassung!$B$6:$B$5005,$A41,Erfassung!$A$6:$A$5005,"&gt;="&amp;DATE(Einstellungen!$C$3,1,1),Erfassung!$A$6:$A$5005,"&lt;"&amp;DATE(Einstellungen!$C$3,2,1)))</f>
        <v/>
      </c>
      <c r="D41" s="54">
        <f>IF($B41="","",SUMIFS(Erfassung!$E$6:$E$5005,Erfassung!$B$6:$B$5005,$A41,Erfassung!$A$6:$A$5005,"&gt;="&amp;DATE(Einstellungen!$C$3,2,1),Erfassung!$A$6:$A$5005,"&lt;"&amp;DATE(Einstellungen!$C$3,3,1)))</f>
        <v/>
      </c>
      <c r="E41" s="54">
        <f>IF($B41="","",SUMIFS(Erfassung!$E$6:$E$5005,Erfassung!$B$6:$B$5005,$A41,Erfassung!$A$6:$A$5005,"&gt;="&amp;DATE(Einstellungen!$C$3,3,1),Erfassung!$A$6:$A$5005,"&lt;"&amp;DATE(Einstellungen!$C$3,4,1)))</f>
        <v/>
      </c>
      <c r="F41" s="54">
        <f>IF($B41="","",SUMIFS(Erfassung!$E$6:$E$5005,Erfassung!$B$6:$B$5005,$A41,Erfassung!$A$6:$A$5005,"&gt;="&amp;DATE(Einstellungen!$C$3,4,1),Erfassung!$A$6:$A$5005,"&lt;"&amp;DATE(Einstellungen!$C$3,5,1)))</f>
        <v/>
      </c>
      <c r="G41" s="54">
        <f>IF($B41="","",SUMIFS(Erfassung!$E$6:$E$5005,Erfassung!$B$6:$B$5005,$A41,Erfassung!$A$6:$A$5005,"&gt;="&amp;DATE(Einstellungen!$C$3,5,1),Erfassung!$A$6:$A$5005,"&lt;"&amp;DATE(Einstellungen!$C$3,6,1)))</f>
        <v/>
      </c>
      <c r="H41" s="54">
        <f>IF($B41="","",SUMIFS(Erfassung!$E$6:$E$5005,Erfassung!$B$6:$B$5005,$A41,Erfassung!$A$6:$A$5005,"&gt;="&amp;DATE(Einstellungen!$C$3,6,1),Erfassung!$A$6:$A$5005,"&lt;"&amp;DATE(Einstellungen!$C$3,7,1)))</f>
        <v/>
      </c>
      <c r="I41" s="54">
        <f>IF($B41="","",SUMIFS(Erfassung!$E$6:$E$5005,Erfassung!$B$6:$B$5005,$A41,Erfassung!$A$6:$A$5005,"&gt;="&amp;DATE(Einstellungen!$C$3,7,1),Erfassung!$A$6:$A$5005,"&lt;"&amp;DATE(Einstellungen!$C$3,8,1)))</f>
        <v/>
      </c>
      <c r="J41" s="54">
        <f>IF($B41="","",SUMIFS(Erfassung!$E$6:$E$5005,Erfassung!$B$6:$B$5005,$A41,Erfassung!$A$6:$A$5005,"&gt;="&amp;DATE(Einstellungen!$C$3,8,1),Erfassung!$A$6:$A$5005,"&lt;"&amp;DATE(Einstellungen!$C$3,9,1)))</f>
        <v/>
      </c>
      <c r="K41" s="54">
        <f>IF($B41="","",SUMIFS(Erfassung!$E$6:$E$5005,Erfassung!$B$6:$B$5005,$A41,Erfassung!$A$6:$A$5005,"&gt;="&amp;DATE(Einstellungen!$C$3,9,1),Erfassung!$A$6:$A$5005,"&lt;"&amp;DATE(Einstellungen!$C$3,10,1)))</f>
        <v/>
      </c>
      <c r="L41" s="54">
        <f>IF($B41="","",SUMIFS(Erfassung!$E$6:$E$5005,Erfassung!$B$6:$B$5005,$A41,Erfassung!$A$6:$A$5005,"&gt;="&amp;DATE(Einstellungen!$C$3,10,1),Erfassung!$A$6:$A$5005,"&lt;"&amp;DATE(Einstellungen!$C$3,11,1)))</f>
        <v/>
      </c>
      <c r="M41" s="54">
        <f>IF($B41="","",SUMIFS(Erfassung!$E$6:$E$5005,Erfassung!$B$6:$B$5005,$A41,Erfassung!$A$6:$A$5005,"&gt;="&amp;DATE(Einstellungen!$C$3,11,1),Erfassung!$A$6:$A$5005,"&lt;"&amp;DATE(Einstellungen!$C$3,12,1)))</f>
        <v/>
      </c>
      <c r="N41" s="54">
        <f>IF($B41="","",SUMIFS(Erfassung!$E$6:$E$5005,Erfassung!$B$6:$B$5005,$A41,Erfassung!$A$6:$A$5005,"&gt;="&amp;DATE(Einstellungen!$C$3,12,1),Erfassung!$A$6:$A$5005,"&lt;"&amp;DATE(Einstellungen!$C$3,13,1)))</f>
        <v/>
      </c>
      <c r="O41" s="45">
        <f>IF($B41="","",SUM(C41:N41))</f>
        <v/>
      </c>
      <c r="P41" s="54">
        <f>IF($B41="","",SUMIFS(Erfassung!$G$6:$G$5005,Erfassung!$B$6:$B$5005,$A41,Erfassung!$A$6:$A$5005,"&gt;="&amp;DATE(Einstellungen!$C$3,1,1),Erfassung!$A$6:$A$5005,"&lt;"&amp;DATE(Einstellungen!$C$3,2,1)))</f>
        <v/>
      </c>
      <c r="Q41" s="54">
        <f>IF($B41="","",SUMIFS(Erfassung!$G$6:$G$5005,Erfassung!$B$6:$B$5005,$A41,Erfassung!$A$6:$A$5005,"&gt;="&amp;DATE(Einstellungen!$C$3,2,1),Erfassung!$A$6:$A$5005,"&lt;"&amp;DATE(Einstellungen!$C$3,3,1)))</f>
        <v/>
      </c>
      <c r="R41" s="54">
        <f>IF($B41="","",SUMIFS(Erfassung!$G$6:$G$5005,Erfassung!$B$6:$B$5005,$A41,Erfassung!$A$6:$A$5005,"&gt;="&amp;DATE(Einstellungen!$C$3,3,1),Erfassung!$A$6:$A$5005,"&lt;"&amp;DATE(Einstellungen!$C$3,4,1)))</f>
        <v/>
      </c>
      <c r="S41" s="54">
        <f>IF($B41="","",SUMIFS(Erfassung!$G$6:$G$5005,Erfassung!$B$6:$B$5005,$A41,Erfassung!$A$6:$A$5005,"&gt;="&amp;DATE(Einstellungen!$C$3,4,1),Erfassung!$A$6:$A$5005,"&lt;"&amp;DATE(Einstellungen!$C$3,5,1)))</f>
        <v/>
      </c>
      <c r="T41" s="54">
        <f>IF($B41="","",SUMIFS(Erfassung!$G$6:$G$5005,Erfassung!$B$6:$B$5005,$A41,Erfassung!$A$6:$A$5005,"&gt;="&amp;DATE(Einstellungen!$C$3,5,1),Erfassung!$A$6:$A$5005,"&lt;"&amp;DATE(Einstellungen!$C$3,6,1)))</f>
        <v/>
      </c>
      <c r="U41" s="54">
        <f>IF($B41="","",SUMIFS(Erfassung!$G$6:$G$5005,Erfassung!$B$6:$B$5005,$A41,Erfassung!$A$6:$A$5005,"&gt;="&amp;DATE(Einstellungen!$C$3,6,1),Erfassung!$A$6:$A$5005,"&lt;"&amp;DATE(Einstellungen!$C$3,7,1)))</f>
        <v/>
      </c>
      <c r="V41" s="54">
        <f>IF($B41="","",SUMIFS(Erfassung!$G$6:$G$5005,Erfassung!$B$6:$B$5005,$A41,Erfassung!$A$6:$A$5005,"&gt;="&amp;DATE(Einstellungen!$C$3,7,1),Erfassung!$A$6:$A$5005,"&lt;"&amp;DATE(Einstellungen!$C$3,8,1)))</f>
        <v/>
      </c>
      <c r="W41" s="54">
        <f>IF($B41="","",SUMIFS(Erfassung!$G$6:$G$5005,Erfassung!$B$6:$B$5005,$A41,Erfassung!$A$6:$A$5005,"&gt;="&amp;DATE(Einstellungen!$C$3,8,1),Erfassung!$A$6:$A$5005,"&lt;"&amp;DATE(Einstellungen!$C$3,9,1)))</f>
        <v/>
      </c>
      <c r="X41" s="54">
        <f>IF($B41="","",SUMIFS(Erfassung!$G$6:$G$5005,Erfassung!$B$6:$B$5005,$A41,Erfassung!$A$6:$A$5005,"&gt;="&amp;DATE(Einstellungen!$C$3,9,1),Erfassung!$A$6:$A$5005,"&lt;"&amp;DATE(Einstellungen!$C$3,10,1)))</f>
        <v/>
      </c>
      <c r="Y41" s="54">
        <f>IF($B41="","",SUMIFS(Erfassung!$G$6:$G$5005,Erfassung!$B$6:$B$5005,$A41,Erfassung!$A$6:$A$5005,"&gt;="&amp;DATE(Einstellungen!$C$3,10,1),Erfassung!$A$6:$A$5005,"&lt;"&amp;DATE(Einstellungen!$C$3,11,1)))</f>
        <v/>
      </c>
      <c r="Z41" s="54">
        <f>IF($B41="","",SUMIFS(Erfassung!$G$6:$G$5005,Erfassung!$B$6:$B$5005,$A41,Erfassung!$A$6:$A$5005,"&gt;="&amp;DATE(Einstellungen!$C$3,11,1),Erfassung!$A$6:$A$5005,"&lt;"&amp;DATE(Einstellungen!$C$3,12,1)))</f>
        <v/>
      </c>
      <c r="AA41" s="54">
        <f>IF($B41="","",SUMIFS(Erfassung!$G$6:$G$5005,Erfassung!$B$6:$B$5005,$A41,Erfassung!$A$6:$A$5005,"&gt;="&amp;DATE(Einstellungen!$C$3,12,1),Erfassung!$A$6:$A$5005,"&lt;"&amp;DATE(Einstellungen!$C$3,13,1)))</f>
        <v/>
      </c>
      <c r="AB41" s="45">
        <f>IF($B41="","",SUM(P41:AA41))</f>
        <v/>
      </c>
      <c r="AC41" s="38">
        <f>IF($B41="","",IF(O41+AB41&gt;0,AB41/(O41+AB41),""))</f>
        <v/>
      </c>
    </row>
    <row r="42">
      <c r="A42" s="56">
        <f>'KQuote Mitarbeiter'!A42</f>
        <v/>
      </c>
      <c r="B42" s="57">
        <f>'KQuote Mitarbeiter'!B42</f>
        <v/>
      </c>
      <c r="C42" s="54">
        <f>IF($B42="","",SUMIFS(Erfassung!$E$6:$E$5005,Erfassung!$B$6:$B$5005,$A42,Erfassung!$A$6:$A$5005,"&gt;="&amp;DATE(Einstellungen!$C$3,1,1),Erfassung!$A$6:$A$5005,"&lt;"&amp;DATE(Einstellungen!$C$3,2,1)))</f>
        <v/>
      </c>
      <c r="D42" s="54">
        <f>IF($B42="","",SUMIFS(Erfassung!$E$6:$E$5005,Erfassung!$B$6:$B$5005,$A42,Erfassung!$A$6:$A$5005,"&gt;="&amp;DATE(Einstellungen!$C$3,2,1),Erfassung!$A$6:$A$5005,"&lt;"&amp;DATE(Einstellungen!$C$3,3,1)))</f>
        <v/>
      </c>
      <c r="E42" s="54">
        <f>IF($B42="","",SUMIFS(Erfassung!$E$6:$E$5005,Erfassung!$B$6:$B$5005,$A42,Erfassung!$A$6:$A$5005,"&gt;="&amp;DATE(Einstellungen!$C$3,3,1),Erfassung!$A$6:$A$5005,"&lt;"&amp;DATE(Einstellungen!$C$3,4,1)))</f>
        <v/>
      </c>
      <c r="F42" s="54">
        <f>IF($B42="","",SUMIFS(Erfassung!$E$6:$E$5005,Erfassung!$B$6:$B$5005,$A42,Erfassung!$A$6:$A$5005,"&gt;="&amp;DATE(Einstellungen!$C$3,4,1),Erfassung!$A$6:$A$5005,"&lt;"&amp;DATE(Einstellungen!$C$3,5,1)))</f>
        <v/>
      </c>
      <c r="G42" s="54">
        <f>IF($B42="","",SUMIFS(Erfassung!$E$6:$E$5005,Erfassung!$B$6:$B$5005,$A42,Erfassung!$A$6:$A$5005,"&gt;="&amp;DATE(Einstellungen!$C$3,5,1),Erfassung!$A$6:$A$5005,"&lt;"&amp;DATE(Einstellungen!$C$3,6,1)))</f>
        <v/>
      </c>
      <c r="H42" s="54">
        <f>IF($B42="","",SUMIFS(Erfassung!$E$6:$E$5005,Erfassung!$B$6:$B$5005,$A42,Erfassung!$A$6:$A$5005,"&gt;="&amp;DATE(Einstellungen!$C$3,6,1),Erfassung!$A$6:$A$5005,"&lt;"&amp;DATE(Einstellungen!$C$3,7,1)))</f>
        <v/>
      </c>
      <c r="I42" s="54">
        <f>IF($B42="","",SUMIFS(Erfassung!$E$6:$E$5005,Erfassung!$B$6:$B$5005,$A42,Erfassung!$A$6:$A$5005,"&gt;="&amp;DATE(Einstellungen!$C$3,7,1),Erfassung!$A$6:$A$5005,"&lt;"&amp;DATE(Einstellungen!$C$3,8,1)))</f>
        <v/>
      </c>
      <c r="J42" s="54">
        <f>IF($B42="","",SUMIFS(Erfassung!$E$6:$E$5005,Erfassung!$B$6:$B$5005,$A42,Erfassung!$A$6:$A$5005,"&gt;="&amp;DATE(Einstellungen!$C$3,8,1),Erfassung!$A$6:$A$5005,"&lt;"&amp;DATE(Einstellungen!$C$3,9,1)))</f>
        <v/>
      </c>
      <c r="K42" s="54">
        <f>IF($B42="","",SUMIFS(Erfassung!$E$6:$E$5005,Erfassung!$B$6:$B$5005,$A42,Erfassung!$A$6:$A$5005,"&gt;="&amp;DATE(Einstellungen!$C$3,9,1),Erfassung!$A$6:$A$5005,"&lt;"&amp;DATE(Einstellungen!$C$3,10,1)))</f>
        <v/>
      </c>
      <c r="L42" s="54">
        <f>IF($B42="","",SUMIFS(Erfassung!$E$6:$E$5005,Erfassung!$B$6:$B$5005,$A42,Erfassung!$A$6:$A$5005,"&gt;="&amp;DATE(Einstellungen!$C$3,10,1),Erfassung!$A$6:$A$5005,"&lt;"&amp;DATE(Einstellungen!$C$3,11,1)))</f>
        <v/>
      </c>
      <c r="M42" s="54">
        <f>IF($B42="","",SUMIFS(Erfassung!$E$6:$E$5005,Erfassung!$B$6:$B$5005,$A42,Erfassung!$A$6:$A$5005,"&gt;="&amp;DATE(Einstellungen!$C$3,11,1),Erfassung!$A$6:$A$5005,"&lt;"&amp;DATE(Einstellungen!$C$3,12,1)))</f>
        <v/>
      </c>
      <c r="N42" s="54">
        <f>IF($B42="","",SUMIFS(Erfassung!$E$6:$E$5005,Erfassung!$B$6:$B$5005,$A42,Erfassung!$A$6:$A$5005,"&gt;="&amp;DATE(Einstellungen!$C$3,12,1),Erfassung!$A$6:$A$5005,"&lt;"&amp;DATE(Einstellungen!$C$3,13,1)))</f>
        <v/>
      </c>
      <c r="O42" s="45">
        <f>IF($B42="","",SUM(C42:N42))</f>
        <v/>
      </c>
      <c r="P42" s="54">
        <f>IF($B42="","",SUMIFS(Erfassung!$G$6:$G$5005,Erfassung!$B$6:$B$5005,$A42,Erfassung!$A$6:$A$5005,"&gt;="&amp;DATE(Einstellungen!$C$3,1,1),Erfassung!$A$6:$A$5005,"&lt;"&amp;DATE(Einstellungen!$C$3,2,1)))</f>
        <v/>
      </c>
      <c r="Q42" s="54">
        <f>IF($B42="","",SUMIFS(Erfassung!$G$6:$G$5005,Erfassung!$B$6:$B$5005,$A42,Erfassung!$A$6:$A$5005,"&gt;="&amp;DATE(Einstellungen!$C$3,2,1),Erfassung!$A$6:$A$5005,"&lt;"&amp;DATE(Einstellungen!$C$3,3,1)))</f>
        <v/>
      </c>
      <c r="R42" s="54">
        <f>IF($B42="","",SUMIFS(Erfassung!$G$6:$G$5005,Erfassung!$B$6:$B$5005,$A42,Erfassung!$A$6:$A$5005,"&gt;="&amp;DATE(Einstellungen!$C$3,3,1),Erfassung!$A$6:$A$5005,"&lt;"&amp;DATE(Einstellungen!$C$3,4,1)))</f>
        <v/>
      </c>
      <c r="S42" s="54">
        <f>IF($B42="","",SUMIFS(Erfassung!$G$6:$G$5005,Erfassung!$B$6:$B$5005,$A42,Erfassung!$A$6:$A$5005,"&gt;="&amp;DATE(Einstellungen!$C$3,4,1),Erfassung!$A$6:$A$5005,"&lt;"&amp;DATE(Einstellungen!$C$3,5,1)))</f>
        <v/>
      </c>
      <c r="T42" s="54">
        <f>IF($B42="","",SUMIFS(Erfassung!$G$6:$G$5005,Erfassung!$B$6:$B$5005,$A42,Erfassung!$A$6:$A$5005,"&gt;="&amp;DATE(Einstellungen!$C$3,5,1),Erfassung!$A$6:$A$5005,"&lt;"&amp;DATE(Einstellungen!$C$3,6,1)))</f>
        <v/>
      </c>
      <c r="U42" s="54">
        <f>IF($B42="","",SUMIFS(Erfassung!$G$6:$G$5005,Erfassung!$B$6:$B$5005,$A42,Erfassung!$A$6:$A$5005,"&gt;="&amp;DATE(Einstellungen!$C$3,6,1),Erfassung!$A$6:$A$5005,"&lt;"&amp;DATE(Einstellungen!$C$3,7,1)))</f>
        <v/>
      </c>
      <c r="V42" s="54">
        <f>IF($B42="","",SUMIFS(Erfassung!$G$6:$G$5005,Erfassung!$B$6:$B$5005,$A42,Erfassung!$A$6:$A$5005,"&gt;="&amp;DATE(Einstellungen!$C$3,7,1),Erfassung!$A$6:$A$5005,"&lt;"&amp;DATE(Einstellungen!$C$3,8,1)))</f>
        <v/>
      </c>
      <c r="W42" s="54">
        <f>IF($B42="","",SUMIFS(Erfassung!$G$6:$G$5005,Erfassung!$B$6:$B$5005,$A42,Erfassung!$A$6:$A$5005,"&gt;="&amp;DATE(Einstellungen!$C$3,8,1),Erfassung!$A$6:$A$5005,"&lt;"&amp;DATE(Einstellungen!$C$3,9,1)))</f>
        <v/>
      </c>
      <c r="X42" s="54">
        <f>IF($B42="","",SUMIFS(Erfassung!$G$6:$G$5005,Erfassung!$B$6:$B$5005,$A42,Erfassung!$A$6:$A$5005,"&gt;="&amp;DATE(Einstellungen!$C$3,9,1),Erfassung!$A$6:$A$5005,"&lt;"&amp;DATE(Einstellungen!$C$3,10,1)))</f>
        <v/>
      </c>
      <c r="Y42" s="54">
        <f>IF($B42="","",SUMIFS(Erfassung!$G$6:$G$5005,Erfassung!$B$6:$B$5005,$A42,Erfassung!$A$6:$A$5005,"&gt;="&amp;DATE(Einstellungen!$C$3,10,1),Erfassung!$A$6:$A$5005,"&lt;"&amp;DATE(Einstellungen!$C$3,11,1)))</f>
        <v/>
      </c>
      <c r="Z42" s="54">
        <f>IF($B42="","",SUMIFS(Erfassung!$G$6:$G$5005,Erfassung!$B$6:$B$5005,$A42,Erfassung!$A$6:$A$5005,"&gt;="&amp;DATE(Einstellungen!$C$3,11,1),Erfassung!$A$6:$A$5005,"&lt;"&amp;DATE(Einstellungen!$C$3,12,1)))</f>
        <v/>
      </c>
      <c r="AA42" s="54">
        <f>IF($B42="","",SUMIFS(Erfassung!$G$6:$G$5005,Erfassung!$B$6:$B$5005,$A42,Erfassung!$A$6:$A$5005,"&gt;="&amp;DATE(Einstellungen!$C$3,12,1),Erfassung!$A$6:$A$5005,"&lt;"&amp;DATE(Einstellungen!$C$3,13,1)))</f>
        <v/>
      </c>
      <c r="AB42" s="45">
        <f>IF($B42="","",SUM(P42:AA42))</f>
        <v/>
      </c>
      <c r="AC42" s="38">
        <f>IF($B42="","",IF(O42+AB42&gt;0,AB42/(O42+AB42),""))</f>
        <v/>
      </c>
    </row>
    <row r="43">
      <c r="A43" s="56">
        <f>'KQuote Mitarbeiter'!A43</f>
        <v/>
      </c>
      <c r="B43" s="57">
        <f>'KQuote Mitarbeiter'!B43</f>
        <v/>
      </c>
      <c r="C43" s="54">
        <f>IF($B43="","",SUMIFS(Erfassung!$E$6:$E$5005,Erfassung!$B$6:$B$5005,$A43,Erfassung!$A$6:$A$5005,"&gt;="&amp;DATE(Einstellungen!$C$3,1,1),Erfassung!$A$6:$A$5005,"&lt;"&amp;DATE(Einstellungen!$C$3,2,1)))</f>
        <v/>
      </c>
      <c r="D43" s="54">
        <f>IF($B43="","",SUMIFS(Erfassung!$E$6:$E$5005,Erfassung!$B$6:$B$5005,$A43,Erfassung!$A$6:$A$5005,"&gt;="&amp;DATE(Einstellungen!$C$3,2,1),Erfassung!$A$6:$A$5005,"&lt;"&amp;DATE(Einstellungen!$C$3,3,1)))</f>
        <v/>
      </c>
      <c r="E43" s="54">
        <f>IF($B43="","",SUMIFS(Erfassung!$E$6:$E$5005,Erfassung!$B$6:$B$5005,$A43,Erfassung!$A$6:$A$5005,"&gt;="&amp;DATE(Einstellungen!$C$3,3,1),Erfassung!$A$6:$A$5005,"&lt;"&amp;DATE(Einstellungen!$C$3,4,1)))</f>
        <v/>
      </c>
      <c r="F43" s="54">
        <f>IF($B43="","",SUMIFS(Erfassung!$E$6:$E$5005,Erfassung!$B$6:$B$5005,$A43,Erfassung!$A$6:$A$5005,"&gt;="&amp;DATE(Einstellungen!$C$3,4,1),Erfassung!$A$6:$A$5005,"&lt;"&amp;DATE(Einstellungen!$C$3,5,1)))</f>
        <v/>
      </c>
      <c r="G43" s="54">
        <f>IF($B43="","",SUMIFS(Erfassung!$E$6:$E$5005,Erfassung!$B$6:$B$5005,$A43,Erfassung!$A$6:$A$5005,"&gt;="&amp;DATE(Einstellungen!$C$3,5,1),Erfassung!$A$6:$A$5005,"&lt;"&amp;DATE(Einstellungen!$C$3,6,1)))</f>
        <v/>
      </c>
      <c r="H43" s="54">
        <f>IF($B43="","",SUMIFS(Erfassung!$E$6:$E$5005,Erfassung!$B$6:$B$5005,$A43,Erfassung!$A$6:$A$5005,"&gt;="&amp;DATE(Einstellungen!$C$3,6,1),Erfassung!$A$6:$A$5005,"&lt;"&amp;DATE(Einstellungen!$C$3,7,1)))</f>
        <v/>
      </c>
      <c r="I43" s="54">
        <f>IF($B43="","",SUMIFS(Erfassung!$E$6:$E$5005,Erfassung!$B$6:$B$5005,$A43,Erfassung!$A$6:$A$5005,"&gt;="&amp;DATE(Einstellungen!$C$3,7,1),Erfassung!$A$6:$A$5005,"&lt;"&amp;DATE(Einstellungen!$C$3,8,1)))</f>
        <v/>
      </c>
      <c r="J43" s="54">
        <f>IF($B43="","",SUMIFS(Erfassung!$E$6:$E$5005,Erfassung!$B$6:$B$5005,$A43,Erfassung!$A$6:$A$5005,"&gt;="&amp;DATE(Einstellungen!$C$3,8,1),Erfassung!$A$6:$A$5005,"&lt;"&amp;DATE(Einstellungen!$C$3,9,1)))</f>
        <v/>
      </c>
      <c r="K43" s="54">
        <f>IF($B43="","",SUMIFS(Erfassung!$E$6:$E$5005,Erfassung!$B$6:$B$5005,$A43,Erfassung!$A$6:$A$5005,"&gt;="&amp;DATE(Einstellungen!$C$3,9,1),Erfassung!$A$6:$A$5005,"&lt;"&amp;DATE(Einstellungen!$C$3,10,1)))</f>
        <v/>
      </c>
      <c r="L43" s="54">
        <f>IF($B43="","",SUMIFS(Erfassung!$E$6:$E$5005,Erfassung!$B$6:$B$5005,$A43,Erfassung!$A$6:$A$5005,"&gt;="&amp;DATE(Einstellungen!$C$3,10,1),Erfassung!$A$6:$A$5005,"&lt;"&amp;DATE(Einstellungen!$C$3,11,1)))</f>
        <v/>
      </c>
      <c r="M43" s="54">
        <f>IF($B43="","",SUMIFS(Erfassung!$E$6:$E$5005,Erfassung!$B$6:$B$5005,$A43,Erfassung!$A$6:$A$5005,"&gt;="&amp;DATE(Einstellungen!$C$3,11,1),Erfassung!$A$6:$A$5005,"&lt;"&amp;DATE(Einstellungen!$C$3,12,1)))</f>
        <v/>
      </c>
      <c r="N43" s="54">
        <f>IF($B43="","",SUMIFS(Erfassung!$E$6:$E$5005,Erfassung!$B$6:$B$5005,$A43,Erfassung!$A$6:$A$5005,"&gt;="&amp;DATE(Einstellungen!$C$3,12,1),Erfassung!$A$6:$A$5005,"&lt;"&amp;DATE(Einstellungen!$C$3,13,1)))</f>
        <v/>
      </c>
      <c r="O43" s="45">
        <f>IF($B43="","",SUM(C43:N43))</f>
        <v/>
      </c>
      <c r="P43" s="54">
        <f>IF($B43="","",SUMIFS(Erfassung!$G$6:$G$5005,Erfassung!$B$6:$B$5005,$A43,Erfassung!$A$6:$A$5005,"&gt;="&amp;DATE(Einstellungen!$C$3,1,1),Erfassung!$A$6:$A$5005,"&lt;"&amp;DATE(Einstellungen!$C$3,2,1)))</f>
        <v/>
      </c>
      <c r="Q43" s="54">
        <f>IF($B43="","",SUMIFS(Erfassung!$G$6:$G$5005,Erfassung!$B$6:$B$5005,$A43,Erfassung!$A$6:$A$5005,"&gt;="&amp;DATE(Einstellungen!$C$3,2,1),Erfassung!$A$6:$A$5005,"&lt;"&amp;DATE(Einstellungen!$C$3,3,1)))</f>
        <v/>
      </c>
      <c r="R43" s="54">
        <f>IF($B43="","",SUMIFS(Erfassung!$G$6:$G$5005,Erfassung!$B$6:$B$5005,$A43,Erfassung!$A$6:$A$5005,"&gt;="&amp;DATE(Einstellungen!$C$3,3,1),Erfassung!$A$6:$A$5005,"&lt;"&amp;DATE(Einstellungen!$C$3,4,1)))</f>
        <v/>
      </c>
      <c r="S43" s="54">
        <f>IF($B43="","",SUMIFS(Erfassung!$G$6:$G$5005,Erfassung!$B$6:$B$5005,$A43,Erfassung!$A$6:$A$5005,"&gt;="&amp;DATE(Einstellungen!$C$3,4,1),Erfassung!$A$6:$A$5005,"&lt;"&amp;DATE(Einstellungen!$C$3,5,1)))</f>
        <v/>
      </c>
      <c r="T43" s="54">
        <f>IF($B43="","",SUMIFS(Erfassung!$G$6:$G$5005,Erfassung!$B$6:$B$5005,$A43,Erfassung!$A$6:$A$5005,"&gt;="&amp;DATE(Einstellungen!$C$3,5,1),Erfassung!$A$6:$A$5005,"&lt;"&amp;DATE(Einstellungen!$C$3,6,1)))</f>
        <v/>
      </c>
      <c r="U43" s="54">
        <f>IF($B43="","",SUMIFS(Erfassung!$G$6:$G$5005,Erfassung!$B$6:$B$5005,$A43,Erfassung!$A$6:$A$5005,"&gt;="&amp;DATE(Einstellungen!$C$3,6,1),Erfassung!$A$6:$A$5005,"&lt;"&amp;DATE(Einstellungen!$C$3,7,1)))</f>
        <v/>
      </c>
      <c r="V43" s="54">
        <f>IF($B43="","",SUMIFS(Erfassung!$G$6:$G$5005,Erfassung!$B$6:$B$5005,$A43,Erfassung!$A$6:$A$5005,"&gt;="&amp;DATE(Einstellungen!$C$3,7,1),Erfassung!$A$6:$A$5005,"&lt;"&amp;DATE(Einstellungen!$C$3,8,1)))</f>
        <v/>
      </c>
      <c r="W43" s="54">
        <f>IF($B43="","",SUMIFS(Erfassung!$G$6:$G$5005,Erfassung!$B$6:$B$5005,$A43,Erfassung!$A$6:$A$5005,"&gt;="&amp;DATE(Einstellungen!$C$3,8,1),Erfassung!$A$6:$A$5005,"&lt;"&amp;DATE(Einstellungen!$C$3,9,1)))</f>
        <v/>
      </c>
      <c r="X43" s="54">
        <f>IF($B43="","",SUMIFS(Erfassung!$G$6:$G$5005,Erfassung!$B$6:$B$5005,$A43,Erfassung!$A$6:$A$5005,"&gt;="&amp;DATE(Einstellungen!$C$3,9,1),Erfassung!$A$6:$A$5005,"&lt;"&amp;DATE(Einstellungen!$C$3,10,1)))</f>
        <v/>
      </c>
      <c r="Y43" s="54">
        <f>IF($B43="","",SUMIFS(Erfassung!$G$6:$G$5005,Erfassung!$B$6:$B$5005,$A43,Erfassung!$A$6:$A$5005,"&gt;="&amp;DATE(Einstellungen!$C$3,10,1),Erfassung!$A$6:$A$5005,"&lt;"&amp;DATE(Einstellungen!$C$3,11,1)))</f>
        <v/>
      </c>
      <c r="Z43" s="54">
        <f>IF($B43="","",SUMIFS(Erfassung!$G$6:$G$5005,Erfassung!$B$6:$B$5005,$A43,Erfassung!$A$6:$A$5005,"&gt;="&amp;DATE(Einstellungen!$C$3,11,1),Erfassung!$A$6:$A$5005,"&lt;"&amp;DATE(Einstellungen!$C$3,12,1)))</f>
        <v/>
      </c>
      <c r="AA43" s="54">
        <f>IF($B43="","",SUMIFS(Erfassung!$G$6:$G$5005,Erfassung!$B$6:$B$5005,$A43,Erfassung!$A$6:$A$5005,"&gt;="&amp;DATE(Einstellungen!$C$3,12,1),Erfassung!$A$6:$A$5005,"&lt;"&amp;DATE(Einstellungen!$C$3,13,1)))</f>
        <v/>
      </c>
      <c r="AB43" s="45">
        <f>IF($B43="","",SUM(P43:AA43))</f>
        <v/>
      </c>
      <c r="AC43" s="38">
        <f>IF($B43="","",IF(O43+AB43&gt;0,AB43/(O43+AB43),""))</f>
        <v/>
      </c>
    </row>
    <row r="44">
      <c r="A44" s="56">
        <f>'KQuote Mitarbeiter'!A44</f>
        <v/>
      </c>
      <c r="B44" s="57">
        <f>'KQuote Mitarbeiter'!B44</f>
        <v/>
      </c>
      <c r="C44" s="54">
        <f>IF($B44="","",SUMIFS(Erfassung!$E$6:$E$5005,Erfassung!$B$6:$B$5005,$A44,Erfassung!$A$6:$A$5005,"&gt;="&amp;DATE(Einstellungen!$C$3,1,1),Erfassung!$A$6:$A$5005,"&lt;"&amp;DATE(Einstellungen!$C$3,2,1)))</f>
        <v/>
      </c>
      <c r="D44" s="54">
        <f>IF($B44="","",SUMIFS(Erfassung!$E$6:$E$5005,Erfassung!$B$6:$B$5005,$A44,Erfassung!$A$6:$A$5005,"&gt;="&amp;DATE(Einstellungen!$C$3,2,1),Erfassung!$A$6:$A$5005,"&lt;"&amp;DATE(Einstellungen!$C$3,3,1)))</f>
        <v/>
      </c>
      <c r="E44" s="54">
        <f>IF($B44="","",SUMIFS(Erfassung!$E$6:$E$5005,Erfassung!$B$6:$B$5005,$A44,Erfassung!$A$6:$A$5005,"&gt;="&amp;DATE(Einstellungen!$C$3,3,1),Erfassung!$A$6:$A$5005,"&lt;"&amp;DATE(Einstellungen!$C$3,4,1)))</f>
        <v/>
      </c>
      <c r="F44" s="54">
        <f>IF($B44="","",SUMIFS(Erfassung!$E$6:$E$5005,Erfassung!$B$6:$B$5005,$A44,Erfassung!$A$6:$A$5005,"&gt;="&amp;DATE(Einstellungen!$C$3,4,1),Erfassung!$A$6:$A$5005,"&lt;"&amp;DATE(Einstellungen!$C$3,5,1)))</f>
        <v/>
      </c>
      <c r="G44" s="54">
        <f>IF($B44="","",SUMIFS(Erfassung!$E$6:$E$5005,Erfassung!$B$6:$B$5005,$A44,Erfassung!$A$6:$A$5005,"&gt;="&amp;DATE(Einstellungen!$C$3,5,1),Erfassung!$A$6:$A$5005,"&lt;"&amp;DATE(Einstellungen!$C$3,6,1)))</f>
        <v/>
      </c>
      <c r="H44" s="54">
        <f>IF($B44="","",SUMIFS(Erfassung!$E$6:$E$5005,Erfassung!$B$6:$B$5005,$A44,Erfassung!$A$6:$A$5005,"&gt;="&amp;DATE(Einstellungen!$C$3,6,1),Erfassung!$A$6:$A$5005,"&lt;"&amp;DATE(Einstellungen!$C$3,7,1)))</f>
        <v/>
      </c>
      <c r="I44" s="54">
        <f>IF($B44="","",SUMIFS(Erfassung!$E$6:$E$5005,Erfassung!$B$6:$B$5005,$A44,Erfassung!$A$6:$A$5005,"&gt;="&amp;DATE(Einstellungen!$C$3,7,1),Erfassung!$A$6:$A$5005,"&lt;"&amp;DATE(Einstellungen!$C$3,8,1)))</f>
        <v/>
      </c>
      <c r="J44" s="54">
        <f>IF($B44="","",SUMIFS(Erfassung!$E$6:$E$5005,Erfassung!$B$6:$B$5005,$A44,Erfassung!$A$6:$A$5005,"&gt;="&amp;DATE(Einstellungen!$C$3,8,1),Erfassung!$A$6:$A$5005,"&lt;"&amp;DATE(Einstellungen!$C$3,9,1)))</f>
        <v/>
      </c>
      <c r="K44" s="54">
        <f>IF($B44="","",SUMIFS(Erfassung!$E$6:$E$5005,Erfassung!$B$6:$B$5005,$A44,Erfassung!$A$6:$A$5005,"&gt;="&amp;DATE(Einstellungen!$C$3,9,1),Erfassung!$A$6:$A$5005,"&lt;"&amp;DATE(Einstellungen!$C$3,10,1)))</f>
        <v/>
      </c>
      <c r="L44" s="54">
        <f>IF($B44="","",SUMIFS(Erfassung!$E$6:$E$5005,Erfassung!$B$6:$B$5005,$A44,Erfassung!$A$6:$A$5005,"&gt;="&amp;DATE(Einstellungen!$C$3,10,1),Erfassung!$A$6:$A$5005,"&lt;"&amp;DATE(Einstellungen!$C$3,11,1)))</f>
        <v/>
      </c>
      <c r="M44" s="54">
        <f>IF($B44="","",SUMIFS(Erfassung!$E$6:$E$5005,Erfassung!$B$6:$B$5005,$A44,Erfassung!$A$6:$A$5005,"&gt;="&amp;DATE(Einstellungen!$C$3,11,1),Erfassung!$A$6:$A$5005,"&lt;"&amp;DATE(Einstellungen!$C$3,12,1)))</f>
        <v/>
      </c>
      <c r="N44" s="54">
        <f>IF($B44="","",SUMIFS(Erfassung!$E$6:$E$5005,Erfassung!$B$6:$B$5005,$A44,Erfassung!$A$6:$A$5005,"&gt;="&amp;DATE(Einstellungen!$C$3,12,1),Erfassung!$A$6:$A$5005,"&lt;"&amp;DATE(Einstellungen!$C$3,13,1)))</f>
        <v/>
      </c>
      <c r="O44" s="45">
        <f>IF($B44="","",SUM(C44:N44))</f>
        <v/>
      </c>
      <c r="P44" s="54">
        <f>IF($B44="","",SUMIFS(Erfassung!$G$6:$G$5005,Erfassung!$B$6:$B$5005,$A44,Erfassung!$A$6:$A$5005,"&gt;="&amp;DATE(Einstellungen!$C$3,1,1),Erfassung!$A$6:$A$5005,"&lt;"&amp;DATE(Einstellungen!$C$3,2,1)))</f>
        <v/>
      </c>
      <c r="Q44" s="54">
        <f>IF($B44="","",SUMIFS(Erfassung!$G$6:$G$5005,Erfassung!$B$6:$B$5005,$A44,Erfassung!$A$6:$A$5005,"&gt;="&amp;DATE(Einstellungen!$C$3,2,1),Erfassung!$A$6:$A$5005,"&lt;"&amp;DATE(Einstellungen!$C$3,3,1)))</f>
        <v/>
      </c>
      <c r="R44" s="54">
        <f>IF($B44="","",SUMIFS(Erfassung!$G$6:$G$5005,Erfassung!$B$6:$B$5005,$A44,Erfassung!$A$6:$A$5005,"&gt;="&amp;DATE(Einstellungen!$C$3,3,1),Erfassung!$A$6:$A$5005,"&lt;"&amp;DATE(Einstellungen!$C$3,4,1)))</f>
        <v/>
      </c>
      <c r="S44" s="54">
        <f>IF($B44="","",SUMIFS(Erfassung!$G$6:$G$5005,Erfassung!$B$6:$B$5005,$A44,Erfassung!$A$6:$A$5005,"&gt;="&amp;DATE(Einstellungen!$C$3,4,1),Erfassung!$A$6:$A$5005,"&lt;"&amp;DATE(Einstellungen!$C$3,5,1)))</f>
        <v/>
      </c>
      <c r="T44" s="54">
        <f>IF($B44="","",SUMIFS(Erfassung!$G$6:$G$5005,Erfassung!$B$6:$B$5005,$A44,Erfassung!$A$6:$A$5005,"&gt;="&amp;DATE(Einstellungen!$C$3,5,1),Erfassung!$A$6:$A$5005,"&lt;"&amp;DATE(Einstellungen!$C$3,6,1)))</f>
        <v/>
      </c>
      <c r="U44" s="54">
        <f>IF($B44="","",SUMIFS(Erfassung!$G$6:$G$5005,Erfassung!$B$6:$B$5005,$A44,Erfassung!$A$6:$A$5005,"&gt;="&amp;DATE(Einstellungen!$C$3,6,1),Erfassung!$A$6:$A$5005,"&lt;"&amp;DATE(Einstellungen!$C$3,7,1)))</f>
        <v/>
      </c>
      <c r="V44" s="54">
        <f>IF($B44="","",SUMIFS(Erfassung!$G$6:$G$5005,Erfassung!$B$6:$B$5005,$A44,Erfassung!$A$6:$A$5005,"&gt;="&amp;DATE(Einstellungen!$C$3,7,1),Erfassung!$A$6:$A$5005,"&lt;"&amp;DATE(Einstellungen!$C$3,8,1)))</f>
        <v/>
      </c>
      <c r="W44" s="54">
        <f>IF($B44="","",SUMIFS(Erfassung!$G$6:$G$5005,Erfassung!$B$6:$B$5005,$A44,Erfassung!$A$6:$A$5005,"&gt;="&amp;DATE(Einstellungen!$C$3,8,1),Erfassung!$A$6:$A$5005,"&lt;"&amp;DATE(Einstellungen!$C$3,9,1)))</f>
        <v/>
      </c>
      <c r="X44" s="54">
        <f>IF($B44="","",SUMIFS(Erfassung!$G$6:$G$5005,Erfassung!$B$6:$B$5005,$A44,Erfassung!$A$6:$A$5005,"&gt;="&amp;DATE(Einstellungen!$C$3,9,1),Erfassung!$A$6:$A$5005,"&lt;"&amp;DATE(Einstellungen!$C$3,10,1)))</f>
        <v/>
      </c>
      <c r="Y44" s="54">
        <f>IF($B44="","",SUMIFS(Erfassung!$G$6:$G$5005,Erfassung!$B$6:$B$5005,$A44,Erfassung!$A$6:$A$5005,"&gt;="&amp;DATE(Einstellungen!$C$3,10,1),Erfassung!$A$6:$A$5005,"&lt;"&amp;DATE(Einstellungen!$C$3,11,1)))</f>
        <v/>
      </c>
      <c r="Z44" s="54">
        <f>IF($B44="","",SUMIFS(Erfassung!$G$6:$G$5005,Erfassung!$B$6:$B$5005,$A44,Erfassung!$A$6:$A$5005,"&gt;="&amp;DATE(Einstellungen!$C$3,11,1),Erfassung!$A$6:$A$5005,"&lt;"&amp;DATE(Einstellungen!$C$3,12,1)))</f>
        <v/>
      </c>
      <c r="AA44" s="54">
        <f>IF($B44="","",SUMIFS(Erfassung!$G$6:$G$5005,Erfassung!$B$6:$B$5005,$A44,Erfassung!$A$6:$A$5005,"&gt;="&amp;DATE(Einstellungen!$C$3,12,1),Erfassung!$A$6:$A$5005,"&lt;"&amp;DATE(Einstellungen!$C$3,13,1)))</f>
        <v/>
      </c>
      <c r="AB44" s="45">
        <f>IF($B44="","",SUM(P44:AA44))</f>
        <v/>
      </c>
      <c r="AC44" s="38">
        <f>IF($B44="","",IF(O44+AB44&gt;0,AB44/(O44+AB44),""))</f>
        <v/>
      </c>
    </row>
    <row r="45">
      <c r="A45" s="56">
        <f>'KQuote Mitarbeiter'!A45</f>
        <v/>
      </c>
      <c r="B45" s="57">
        <f>'KQuote Mitarbeiter'!B45</f>
        <v/>
      </c>
      <c r="C45" s="54">
        <f>IF($B45="","",SUMIFS(Erfassung!$E$6:$E$5005,Erfassung!$B$6:$B$5005,$A45,Erfassung!$A$6:$A$5005,"&gt;="&amp;DATE(Einstellungen!$C$3,1,1),Erfassung!$A$6:$A$5005,"&lt;"&amp;DATE(Einstellungen!$C$3,2,1)))</f>
        <v/>
      </c>
      <c r="D45" s="54">
        <f>IF($B45="","",SUMIFS(Erfassung!$E$6:$E$5005,Erfassung!$B$6:$B$5005,$A45,Erfassung!$A$6:$A$5005,"&gt;="&amp;DATE(Einstellungen!$C$3,2,1),Erfassung!$A$6:$A$5005,"&lt;"&amp;DATE(Einstellungen!$C$3,3,1)))</f>
        <v/>
      </c>
      <c r="E45" s="54">
        <f>IF($B45="","",SUMIFS(Erfassung!$E$6:$E$5005,Erfassung!$B$6:$B$5005,$A45,Erfassung!$A$6:$A$5005,"&gt;="&amp;DATE(Einstellungen!$C$3,3,1),Erfassung!$A$6:$A$5005,"&lt;"&amp;DATE(Einstellungen!$C$3,4,1)))</f>
        <v/>
      </c>
      <c r="F45" s="54">
        <f>IF($B45="","",SUMIFS(Erfassung!$E$6:$E$5005,Erfassung!$B$6:$B$5005,$A45,Erfassung!$A$6:$A$5005,"&gt;="&amp;DATE(Einstellungen!$C$3,4,1),Erfassung!$A$6:$A$5005,"&lt;"&amp;DATE(Einstellungen!$C$3,5,1)))</f>
        <v/>
      </c>
      <c r="G45" s="54">
        <f>IF($B45="","",SUMIFS(Erfassung!$E$6:$E$5005,Erfassung!$B$6:$B$5005,$A45,Erfassung!$A$6:$A$5005,"&gt;="&amp;DATE(Einstellungen!$C$3,5,1),Erfassung!$A$6:$A$5005,"&lt;"&amp;DATE(Einstellungen!$C$3,6,1)))</f>
        <v/>
      </c>
      <c r="H45" s="54">
        <f>IF($B45="","",SUMIFS(Erfassung!$E$6:$E$5005,Erfassung!$B$6:$B$5005,$A45,Erfassung!$A$6:$A$5005,"&gt;="&amp;DATE(Einstellungen!$C$3,6,1),Erfassung!$A$6:$A$5005,"&lt;"&amp;DATE(Einstellungen!$C$3,7,1)))</f>
        <v/>
      </c>
      <c r="I45" s="54">
        <f>IF($B45="","",SUMIFS(Erfassung!$E$6:$E$5005,Erfassung!$B$6:$B$5005,$A45,Erfassung!$A$6:$A$5005,"&gt;="&amp;DATE(Einstellungen!$C$3,7,1),Erfassung!$A$6:$A$5005,"&lt;"&amp;DATE(Einstellungen!$C$3,8,1)))</f>
        <v/>
      </c>
      <c r="J45" s="54">
        <f>IF($B45="","",SUMIFS(Erfassung!$E$6:$E$5005,Erfassung!$B$6:$B$5005,$A45,Erfassung!$A$6:$A$5005,"&gt;="&amp;DATE(Einstellungen!$C$3,8,1),Erfassung!$A$6:$A$5005,"&lt;"&amp;DATE(Einstellungen!$C$3,9,1)))</f>
        <v/>
      </c>
      <c r="K45" s="54">
        <f>IF($B45="","",SUMIFS(Erfassung!$E$6:$E$5005,Erfassung!$B$6:$B$5005,$A45,Erfassung!$A$6:$A$5005,"&gt;="&amp;DATE(Einstellungen!$C$3,9,1),Erfassung!$A$6:$A$5005,"&lt;"&amp;DATE(Einstellungen!$C$3,10,1)))</f>
        <v/>
      </c>
      <c r="L45" s="54">
        <f>IF($B45="","",SUMIFS(Erfassung!$E$6:$E$5005,Erfassung!$B$6:$B$5005,$A45,Erfassung!$A$6:$A$5005,"&gt;="&amp;DATE(Einstellungen!$C$3,10,1),Erfassung!$A$6:$A$5005,"&lt;"&amp;DATE(Einstellungen!$C$3,11,1)))</f>
        <v/>
      </c>
      <c r="M45" s="54">
        <f>IF($B45="","",SUMIFS(Erfassung!$E$6:$E$5005,Erfassung!$B$6:$B$5005,$A45,Erfassung!$A$6:$A$5005,"&gt;="&amp;DATE(Einstellungen!$C$3,11,1),Erfassung!$A$6:$A$5005,"&lt;"&amp;DATE(Einstellungen!$C$3,12,1)))</f>
        <v/>
      </c>
      <c r="N45" s="54">
        <f>IF($B45="","",SUMIFS(Erfassung!$E$6:$E$5005,Erfassung!$B$6:$B$5005,$A45,Erfassung!$A$6:$A$5005,"&gt;="&amp;DATE(Einstellungen!$C$3,12,1),Erfassung!$A$6:$A$5005,"&lt;"&amp;DATE(Einstellungen!$C$3,13,1)))</f>
        <v/>
      </c>
      <c r="O45" s="45">
        <f>IF($B45="","",SUM(C45:N45))</f>
        <v/>
      </c>
      <c r="P45" s="54">
        <f>IF($B45="","",SUMIFS(Erfassung!$G$6:$G$5005,Erfassung!$B$6:$B$5005,$A45,Erfassung!$A$6:$A$5005,"&gt;="&amp;DATE(Einstellungen!$C$3,1,1),Erfassung!$A$6:$A$5005,"&lt;"&amp;DATE(Einstellungen!$C$3,2,1)))</f>
        <v/>
      </c>
      <c r="Q45" s="54">
        <f>IF($B45="","",SUMIFS(Erfassung!$G$6:$G$5005,Erfassung!$B$6:$B$5005,$A45,Erfassung!$A$6:$A$5005,"&gt;="&amp;DATE(Einstellungen!$C$3,2,1),Erfassung!$A$6:$A$5005,"&lt;"&amp;DATE(Einstellungen!$C$3,3,1)))</f>
        <v/>
      </c>
      <c r="R45" s="54">
        <f>IF($B45="","",SUMIFS(Erfassung!$G$6:$G$5005,Erfassung!$B$6:$B$5005,$A45,Erfassung!$A$6:$A$5005,"&gt;="&amp;DATE(Einstellungen!$C$3,3,1),Erfassung!$A$6:$A$5005,"&lt;"&amp;DATE(Einstellungen!$C$3,4,1)))</f>
        <v/>
      </c>
      <c r="S45" s="54">
        <f>IF($B45="","",SUMIFS(Erfassung!$G$6:$G$5005,Erfassung!$B$6:$B$5005,$A45,Erfassung!$A$6:$A$5005,"&gt;="&amp;DATE(Einstellungen!$C$3,4,1),Erfassung!$A$6:$A$5005,"&lt;"&amp;DATE(Einstellungen!$C$3,5,1)))</f>
        <v/>
      </c>
      <c r="T45" s="54">
        <f>IF($B45="","",SUMIFS(Erfassung!$G$6:$G$5005,Erfassung!$B$6:$B$5005,$A45,Erfassung!$A$6:$A$5005,"&gt;="&amp;DATE(Einstellungen!$C$3,5,1),Erfassung!$A$6:$A$5005,"&lt;"&amp;DATE(Einstellungen!$C$3,6,1)))</f>
        <v/>
      </c>
      <c r="U45" s="54">
        <f>IF($B45="","",SUMIFS(Erfassung!$G$6:$G$5005,Erfassung!$B$6:$B$5005,$A45,Erfassung!$A$6:$A$5005,"&gt;="&amp;DATE(Einstellungen!$C$3,6,1),Erfassung!$A$6:$A$5005,"&lt;"&amp;DATE(Einstellungen!$C$3,7,1)))</f>
        <v/>
      </c>
      <c r="V45" s="54">
        <f>IF($B45="","",SUMIFS(Erfassung!$G$6:$G$5005,Erfassung!$B$6:$B$5005,$A45,Erfassung!$A$6:$A$5005,"&gt;="&amp;DATE(Einstellungen!$C$3,7,1),Erfassung!$A$6:$A$5005,"&lt;"&amp;DATE(Einstellungen!$C$3,8,1)))</f>
        <v/>
      </c>
      <c r="W45" s="54">
        <f>IF($B45="","",SUMIFS(Erfassung!$G$6:$G$5005,Erfassung!$B$6:$B$5005,$A45,Erfassung!$A$6:$A$5005,"&gt;="&amp;DATE(Einstellungen!$C$3,8,1),Erfassung!$A$6:$A$5005,"&lt;"&amp;DATE(Einstellungen!$C$3,9,1)))</f>
        <v/>
      </c>
      <c r="X45" s="54">
        <f>IF($B45="","",SUMIFS(Erfassung!$G$6:$G$5005,Erfassung!$B$6:$B$5005,$A45,Erfassung!$A$6:$A$5005,"&gt;="&amp;DATE(Einstellungen!$C$3,9,1),Erfassung!$A$6:$A$5005,"&lt;"&amp;DATE(Einstellungen!$C$3,10,1)))</f>
        <v/>
      </c>
      <c r="Y45" s="54">
        <f>IF($B45="","",SUMIFS(Erfassung!$G$6:$G$5005,Erfassung!$B$6:$B$5005,$A45,Erfassung!$A$6:$A$5005,"&gt;="&amp;DATE(Einstellungen!$C$3,10,1),Erfassung!$A$6:$A$5005,"&lt;"&amp;DATE(Einstellungen!$C$3,11,1)))</f>
        <v/>
      </c>
      <c r="Z45" s="54">
        <f>IF($B45="","",SUMIFS(Erfassung!$G$6:$G$5005,Erfassung!$B$6:$B$5005,$A45,Erfassung!$A$6:$A$5005,"&gt;="&amp;DATE(Einstellungen!$C$3,11,1),Erfassung!$A$6:$A$5005,"&lt;"&amp;DATE(Einstellungen!$C$3,12,1)))</f>
        <v/>
      </c>
      <c r="AA45" s="54">
        <f>IF($B45="","",SUMIFS(Erfassung!$G$6:$G$5005,Erfassung!$B$6:$B$5005,$A45,Erfassung!$A$6:$A$5005,"&gt;="&amp;DATE(Einstellungen!$C$3,12,1),Erfassung!$A$6:$A$5005,"&lt;"&amp;DATE(Einstellungen!$C$3,13,1)))</f>
        <v/>
      </c>
      <c r="AB45" s="45">
        <f>IF($B45="","",SUM(P45:AA45))</f>
        <v/>
      </c>
      <c r="AC45" s="38">
        <f>IF($B45="","",IF(O45+AB45&gt;0,AB45/(O45+AB45),""))</f>
        <v/>
      </c>
    </row>
    <row r="46">
      <c r="A46" s="56">
        <f>'KQuote Mitarbeiter'!A46</f>
        <v/>
      </c>
      <c r="B46" s="57">
        <f>'KQuote Mitarbeiter'!B46</f>
        <v/>
      </c>
      <c r="C46" s="54">
        <f>IF($B46="","",SUMIFS(Erfassung!$E$6:$E$5005,Erfassung!$B$6:$B$5005,$A46,Erfassung!$A$6:$A$5005,"&gt;="&amp;DATE(Einstellungen!$C$3,1,1),Erfassung!$A$6:$A$5005,"&lt;"&amp;DATE(Einstellungen!$C$3,2,1)))</f>
        <v/>
      </c>
      <c r="D46" s="54">
        <f>IF($B46="","",SUMIFS(Erfassung!$E$6:$E$5005,Erfassung!$B$6:$B$5005,$A46,Erfassung!$A$6:$A$5005,"&gt;="&amp;DATE(Einstellungen!$C$3,2,1),Erfassung!$A$6:$A$5005,"&lt;"&amp;DATE(Einstellungen!$C$3,3,1)))</f>
        <v/>
      </c>
      <c r="E46" s="54">
        <f>IF($B46="","",SUMIFS(Erfassung!$E$6:$E$5005,Erfassung!$B$6:$B$5005,$A46,Erfassung!$A$6:$A$5005,"&gt;="&amp;DATE(Einstellungen!$C$3,3,1),Erfassung!$A$6:$A$5005,"&lt;"&amp;DATE(Einstellungen!$C$3,4,1)))</f>
        <v/>
      </c>
      <c r="F46" s="54">
        <f>IF($B46="","",SUMIFS(Erfassung!$E$6:$E$5005,Erfassung!$B$6:$B$5005,$A46,Erfassung!$A$6:$A$5005,"&gt;="&amp;DATE(Einstellungen!$C$3,4,1),Erfassung!$A$6:$A$5005,"&lt;"&amp;DATE(Einstellungen!$C$3,5,1)))</f>
        <v/>
      </c>
      <c r="G46" s="54">
        <f>IF($B46="","",SUMIFS(Erfassung!$E$6:$E$5005,Erfassung!$B$6:$B$5005,$A46,Erfassung!$A$6:$A$5005,"&gt;="&amp;DATE(Einstellungen!$C$3,5,1),Erfassung!$A$6:$A$5005,"&lt;"&amp;DATE(Einstellungen!$C$3,6,1)))</f>
        <v/>
      </c>
      <c r="H46" s="54">
        <f>IF($B46="","",SUMIFS(Erfassung!$E$6:$E$5005,Erfassung!$B$6:$B$5005,$A46,Erfassung!$A$6:$A$5005,"&gt;="&amp;DATE(Einstellungen!$C$3,6,1),Erfassung!$A$6:$A$5005,"&lt;"&amp;DATE(Einstellungen!$C$3,7,1)))</f>
        <v/>
      </c>
      <c r="I46" s="54">
        <f>IF($B46="","",SUMIFS(Erfassung!$E$6:$E$5005,Erfassung!$B$6:$B$5005,$A46,Erfassung!$A$6:$A$5005,"&gt;="&amp;DATE(Einstellungen!$C$3,7,1),Erfassung!$A$6:$A$5005,"&lt;"&amp;DATE(Einstellungen!$C$3,8,1)))</f>
        <v/>
      </c>
      <c r="J46" s="54">
        <f>IF($B46="","",SUMIFS(Erfassung!$E$6:$E$5005,Erfassung!$B$6:$B$5005,$A46,Erfassung!$A$6:$A$5005,"&gt;="&amp;DATE(Einstellungen!$C$3,8,1),Erfassung!$A$6:$A$5005,"&lt;"&amp;DATE(Einstellungen!$C$3,9,1)))</f>
        <v/>
      </c>
      <c r="K46" s="54">
        <f>IF($B46="","",SUMIFS(Erfassung!$E$6:$E$5005,Erfassung!$B$6:$B$5005,$A46,Erfassung!$A$6:$A$5005,"&gt;="&amp;DATE(Einstellungen!$C$3,9,1),Erfassung!$A$6:$A$5005,"&lt;"&amp;DATE(Einstellungen!$C$3,10,1)))</f>
        <v/>
      </c>
      <c r="L46" s="54">
        <f>IF($B46="","",SUMIFS(Erfassung!$E$6:$E$5005,Erfassung!$B$6:$B$5005,$A46,Erfassung!$A$6:$A$5005,"&gt;="&amp;DATE(Einstellungen!$C$3,10,1),Erfassung!$A$6:$A$5005,"&lt;"&amp;DATE(Einstellungen!$C$3,11,1)))</f>
        <v/>
      </c>
      <c r="M46" s="54">
        <f>IF($B46="","",SUMIFS(Erfassung!$E$6:$E$5005,Erfassung!$B$6:$B$5005,$A46,Erfassung!$A$6:$A$5005,"&gt;="&amp;DATE(Einstellungen!$C$3,11,1),Erfassung!$A$6:$A$5005,"&lt;"&amp;DATE(Einstellungen!$C$3,12,1)))</f>
        <v/>
      </c>
      <c r="N46" s="54">
        <f>IF($B46="","",SUMIFS(Erfassung!$E$6:$E$5005,Erfassung!$B$6:$B$5005,$A46,Erfassung!$A$6:$A$5005,"&gt;="&amp;DATE(Einstellungen!$C$3,12,1),Erfassung!$A$6:$A$5005,"&lt;"&amp;DATE(Einstellungen!$C$3,13,1)))</f>
        <v/>
      </c>
      <c r="O46" s="45">
        <f>IF($B46="","",SUM(C46:N46))</f>
        <v/>
      </c>
      <c r="P46" s="54">
        <f>IF($B46="","",SUMIFS(Erfassung!$G$6:$G$5005,Erfassung!$B$6:$B$5005,$A46,Erfassung!$A$6:$A$5005,"&gt;="&amp;DATE(Einstellungen!$C$3,1,1),Erfassung!$A$6:$A$5005,"&lt;"&amp;DATE(Einstellungen!$C$3,2,1)))</f>
        <v/>
      </c>
      <c r="Q46" s="54">
        <f>IF($B46="","",SUMIFS(Erfassung!$G$6:$G$5005,Erfassung!$B$6:$B$5005,$A46,Erfassung!$A$6:$A$5005,"&gt;="&amp;DATE(Einstellungen!$C$3,2,1),Erfassung!$A$6:$A$5005,"&lt;"&amp;DATE(Einstellungen!$C$3,3,1)))</f>
        <v/>
      </c>
      <c r="R46" s="54">
        <f>IF($B46="","",SUMIFS(Erfassung!$G$6:$G$5005,Erfassung!$B$6:$B$5005,$A46,Erfassung!$A$6:$A$5005,"&gt;="&amp;DATE(Einstellungen!$C$3,3,1),Erfassung!$A$6:$A$5005,"&lt;"&amp;DATE(Einstellungen!$C$3,4,1)))</f>
        <v/>
      </c>
      <c r="S46" s="54">
        <f>IF($B46="","",SUMIFS(Erfassung!$G$6:$G$5005,Erfassung!$B$6:$B$5005,$A46,Erfassung!$A$6:$A$5005,"&gt;="&amp;DATE(Einstellungen!$C$3,4,1),Erfassung!$A$6:$A$5005,"&lt;"&amp;DATE(Einstellungen!$C$3,5,1)))</f>
        <v/>
      </c>
      <c r="T46" s="54">
        <f>IF($B46="","",SUMIFS(Erfassung!$G$6:$G$5005,Erfassung!$B$6:$B$5005,$A46,Erfassung!$A$6:$A$5005,"&gt;="&amp;DATE(Einstellungen!$C$3,5,1),Erfassung!$A$6:$A$5005,"&lt;"&amp;DATE(Einstellungen!$C$3,6,1)))</f>
        <v/>
      </c>
      <c r="U46" s="54">
        <f>IF($B46="","",SUMIFS(Erfassung!$G$6:$G$5005,Erfassung!$B$6:$B$5005,$A46,Erfassung!$A$6:$A$5005,"&gt;="&amp;DATE(Einstellungen!$C$3,6,1),Erfassung!$A$6:$A$5005,"&lt;"&amp;DATE(Einstellungen!$C$3,7,1)))</f>
        <v/>
      </c>
      <c r="V46" s="54">
        <f>IF($B46="","",SUMIFS(Erfassung!$G$6:$G$5005,Erfassung!$B$6:$B$5005,$A46,Erfassung!$A$6:$A$5005,"&gt;="&amp;DATE(Einstellungen!$C$3,7,1),Erfassung!$A$6:$A$5005,"&lt;"&amp;DATE(Einstellungen!$C$3,8,1)))</f>
        <v/>
      </c>
      <c r="W46" s="54">
        <f>IF($B46="","",SUMIFS(Erfassung!$G$6:$G$5005,Erfassung!$B$6:$B$5005,$A46,Erfassung!$A$6:$A$5005,"&gt;="&amp;DATE(Einstellungen!$C$3,8,1),Erfassung!$A$6:$A$5005,"&lt;"&amp;DATE(Einstellungen!$C$3,9,1)))</f>
        <v/>
      </c>
      <c r="X46" s="54">
        <f>IF($B46="","",SUMIFS(Erfassung!$G$6:$G$5005,Erfassung!$B$6:$B$5005,$A46,Erfassung!$A$6:$A$5005,"&gt;="&amp;DATE(Einstellungen!$C$3,9,1),Erfassung!$A$6:$A$5005,"&lt;"&amp;DATE(Einstellungen!$C$3,10,1)))</f>
        <v/>
      </c>
      <c r="Y46" s="54">
        <f>IF($B46="","",SUMIFS(Erfassung!$G$6:$G$5005,Erfassung!$B$6:$B$5005,$A46,Erfassung!$A$6:$A$5005,"&gt;="&amp;DATE(Einstellungen!$C$3,10,1),Erfassung!$A$6:$A$5005,"&lt;"&amp;DATE(Einstellungen!$C$3,11,1)))</f>
        <v/>
      </c>
      <c r="Z46" s="54">
        <f>IF($B46="","",SUMIFS(Erfassung!$G$6:$G$5005,Erfassung!$B$6:$B$5005,$A46,Erfassung!$A$6:$A$5005,"&gt;="&amp;DATE(Einstellungen!$C$3,11,1),Erfassung!$A$6:$A$5005,"&lt;"&amp;DATE(Einstellungen!$C$3,12,1)))</f>
        <v/>
      </c>
      <c r="AA46" s="54">
        <f>IF($B46="","",SUMIFS(Erfassung!$G$6:$G$5005,Erfassung!$B$6:$B$5005,$A46,Erfassung!$A$6:$A$5005,"&gt;="&amp;DATE(Einstellungen!$C$3,12,1),Erfassung!$A$6:$A$5005,"&lt;"&amp;DATE(Einstellungen!$C$3,13,1)))</f>
        <v/>
      </c>
      <c r="AB46" s="45">
        <f>IF($B46="","",SUM(P46:AA46))</f>
        <v/>
      </c>
      <c r="AC46" s="38">
        <f>IF($B46="","",IF(O46+AB46&gt;0,AB46/(O46+AB46),""))</f>
        <v/>
      </c>
    </row>
    <row r="47">
      <c r="A47" s="56">
        <f>'KQuote Mitarbeiter'!A47</f>
        <v/>
      </c>
      <c r="B47" s="57">
        <f>'KQuote Mitarbeiter'!B47</f>
        <v/>
      </c>
      <c r="C47" s="54">
        <f>IF($B47="","",SUMIFS(Erfassung!$E$6:$E$5005,Erfassung!$B$6:$B$5005,$A47,Erfassung!$A$6:$A$5005,"&gt;="&amp;DATE(Einstellungen!$C$3,1,1),Erfassung!$A$6:$A$5005,"&lt;"&amp;DATE(Einstellungen!$C$3,2,1)))</f>
        <v/>
      </c>
      <c r="D47" s="54">
        <f>IF($B47="","",SUMIFS(Erfassung!$E$6:$E$5005,Erfassung!$B$6:$B$5005,$A47,Erfassung!$A$6:$A$5005,"&gt;="&amp;DATE(Einstellungen!$C$3,2,1),Erfassung!$A$6:$A$5005,"&lt;"&amp;DATE(Einstellungen!$C$3,3,1)))</f>
        <v/>
      </c>
      <c r="E47" s="54">
        <f>IF($B47="","",SUMIFS(Erfassung!$E$6:$E$5005,Erfassung!$B$6:$B$5005,$A47,Erfassung!$A$6:$A$5005,"&gt;="&amp;DATE(Einstellungen!$C$3,3,1),Erfassung!$A$6:$A$5005,"&lt;"&amp;DATE(Einstellungen!$C$3,4,1)))</f>
        <v/>
      </c>
      <c r="F47" s="54">
        <f>IF($B47="","",SUMIFS(Erfassung!$E$6:$E$5005,Erfassung!$B$6:$B$5005,$A47,Erfassung!$A$6:$A$5005,"&gt;="&amp;DATE(Einstellungen!$C$3,4,1),Erfassung!$A$6:$A$5005,"&lt;"&amp;DATE(Einstellungen!$C$3,5,1)))</f>
        <v/>
      </c>
      <c r="G47" s="54">
        <f>IF($B47="","",SUMIFS(Erfassung!$E$6:$E$5005,Erfassung!$B$6:$B$5005,$A47,Erfassung!$A$6:$A$5005,"&gt;="&amp;DATE(Einstellungen!$C$3,5,1),Erfassung!$A$6:$A$5005,"&lt;"&amp;DATE(Einstellungen!$C$3,6,1)))</f>
        <v/>
      </c>
      <c r="H47" s="54">
        <f>IF($B47="","",SUMIFS(Erfassung!$E$6:$E$5005,Erfassung!$B$6:$B$5005,$A47,Erfassung!$A$6:$A$5005,"&gt;="&amp;DATE(Einstellungen!$C$3,6,1),Erfassung!$A$6:$A$5005,"&lt;"&amp;DATE(Einstellungen!$C$3,7,1)))</f>
        <v/>
      </c>
      <c r="I47" s="54">
        <f>IF($B47="","",SUMIFS(Erfassung!$E$6:$E$5005,Erfassung!$B$6:$B$5005,$A47,Erfassung!$A$6:$A$5005,"&gt;="&amp;DATE(Einstellungen!$C$3,7,1),Erfassung!$A$6:$A$5005,"&lt;"&amp;DATE(Einstellungen!$C$3,8,1)))</f>
        <v/>
      </c>
      <c r="J47" s="54">
        <f>IF($B47="","",SUMIFS(Erfassung!$E$6:$E$5005,Erfassung!$B$6:$B$5005,$A47,Erfassung!$A$6:$A$5005,"&gt;="&amp;DATE(Einstellungen!$C$3,8,1),Erfassung!$A$6:$A$5005,"&lt;"&amp;DATE(Einstellungen!$C$3,9,1)))</f>
        <v/>
      </c>
      <c r="K47" s="54">
        <f>IF($B47="","",SUMIFS(Erfassung!$E$6:$E$5005,Erfassung!$B$6:$B$5005,$A47,Erfassung!$A$6:$A$5005,"&gt;="&amp;DATE(Einstellungen!$C$3,9,1),Erfassung!$A$6:$A$5005,"&lt;"&amp;DATE(Einstellungen!$C$3,10,1)))</f>
        <v/>
      </c>
      <c r="L47" s="54">
        <f>IF($B47="","",SUMIFS(Erfassung!$E$6:$E$5005,Erfassung!$B$6:$B$5005,$A47,Erfassung!$A$6:$A$5005,"&gt;="&amp;DATE(Einstellungen!$C$3,10,1),Erfassung!$A$6:$A$5005,"&lt;"&amp;DATE(Einstellungen!$C$3,11,1)))</f>
        <v/>
      </c>
      <c r="M47" s="54">
        <f>IF($B47="","",SUMIFS(Erfassung!$E$6:$E$5005,Erfassung!$B$6:$B$5005,$A47,Erfassung!$A$6:$A$5005,"&gt;="&amp;DATE(Einstellungen!$C$3,11,1),Erfassung!$A$6:$A$5005,"&lt;"&amp;DATE(Einstellungen!$C$3,12,1)))</f>
        <v/>
      </c>
      <c r="N47" s="54">
        <f>IF($B47="","",SUMIFS(Erfassung!$E$6:$E$5005,Erfassung!$B$6:$B$5005,$A47,Erfassung!$A$6:$A$5005,"&gt;="&amp;DATE(Einstellungen!$C$3,12,1),Erfassung!$A$6:$A$5005,"&lt;"&amp;DATE(Einstellungen!$C$3,13,1)))</f>
        <v/>
      </c>
      <c r="O47" s="45">
        <f>IF($B47="","",SUM(C47:N47))</f>
        <v/>
      </c>
      <c r="P47" s="54">
        <f>IF($B47="","",SUMIFS(Erfassung!$G$6:$G$5005,Erfassung!$B$6:$B$5005,$A47,Erfassung!$A$6:$A$5005,"&gt;="&amp;DATE(Einstellungen!$C$3,1,1),Erfassung!$A$6:$A$5005,"&lt;"&amp;DATE(Einstellungen!$C$3,2,1)))</f>
        <v/>
      </c>
      <c r="Q47" s="54">
        <f>IF($B47="","",SUMIFS(Erfassung!$G$6:$G$5005,Erfassung!$B$6:$B$5005,$A47,Erfassung!$A$6:$A$5005,"&gt;="&amp;DATE(Einstellungen!$C$3,2,1),Erfassung!$A$6:$A$5005,"&lt;"&amp;DATE(Einstellungen!$C$3,3,1)))</f>
        <v/>
      </c>
      <c r="R47" s="54">
        <f>IF($B47="","",SUMIFS(Erfassung!$G$6:$G$5005,Erfassung!$B$6:$B$5005,$A47,Erfassung!$A$6:$A$5005,"&gt;="&amp;DATE(Einstellungen!$C$3,3,1),Erfassung!$A$6:$A$5005,"&lt;"&amp;DATE(Einstellungen!$C$3,4,1)))</f>
        <v/>
      </c>
      <c r="S47" s="54">
        <f>IF($B47="","",SUMIFS(Erfassung!$G$6:$G$5005,Erfassung!$B$6:$B$5005,$A47,Erfassung!$A$6:$A$5005,"&gt;="&amp;DATE(Einstellungen!$C$3,4,1),Erfassung!$A$6:$A$5005,"&lt;"&amp;DATE(Einstellungen!$C$3,5,1)))</f>
        <v/>
      </c>
      <c r="T47" s="54">
        <f>IF($B47="","",SUMIFS(Erfassung!$G$6:$G$5005,Erfassung!$B$6:$B$5005,$A47,Erfassung!$A$6:$A$5005,"&gt;="&amp;DATE(Einstellungen!$C$3,5,1),Erfassung!$A$6:$A$5005,"&lt;"&amp;DATE(Einstellungen!$C$3,6,1)))</f>
        <v/>
      </c>
      <c r="U47" s="54">
        <f>IF($B47="","",SUMIFS(Erfassung!$G$6:$G$5005,Erfassung!$B$6:$B$5005,$A47,Erfassung!$A$6:$A$5005,"&gt;="&amp;DATE(Einstellungen!$C$3,6,1),Erfassung!$A$6:$A$5005,"&lt;"&amp;DATE(Einstellungen!$C$3,7,1)))</f>
        <v/>
      </c>
      <c r="V47" s="54">
        <f>IF($B47="","",SUMIFS(Erfassung!$G$6:$G$5005,Erfassung!$B$6:$B$5005,$A47,Erfassung!$A$6:$A$5005,"&gt;="&amp;DATE(Einstellungen!$C$3,7,1),Erfassung!$A$6:$A$5005,"&lt;"&amp;DATE(Einstellungen!$C$3,8,1)))</f>
        <v/>
      </c>
      <c r="W47" s="54">
        <f>IF($B47="","",SUMIFS(Erfassung!$G$6:$G$5005,Erfassung!$B$6:$B$5005,$A47,Erfassung!$A$6:$A$5005,"&gt;="&amp;DATE(Einstellungen!$C$3,8,1),Erfassung!$A$6:$A$5005,"&lt;"&amp;DATE(Einstellungen!$C$3,9,1)))</f>
        <v/>
      </c>
      <c r="X47" s="54">
        <f>IF($B47="","",SUMIFS(Erfassung!$G$6:$G$5005,Erfassung!$B$6:$B$5005,$A47,Erfassung!$A$6:$A$5005,"&gt;="&amp;DATE(Einstellungen!$C$3,9,1),Erfassung!$A$6:$A$5005,"&lt;"&amp;DATE(Einstellungen!$C$3,10,1)))</f>
        <v/>
      </c>
      <c r="Y47" s="54">
        <f>IF($B47="","",SUMIFS(Erfassung!$G$6:$G$5005,Erfassung!$B$6:$B$5005,$A47,Erfassung!$A$6:$A$5005,"&gt;="&amp;DATE(Einstellungen!$C$3,10,1),Erfassung!$A$6:$A$5005,"&lt;"&amp;DATE(Einstellungen!$C$3,11,1)))</f>
        <v/>
      </c>
      <c r="Z47" s="54">
        <f>IF($B47="","",SUMIFS(Erfassung!$G$6:$G$5005,Erfassung!$B$6:$B$5005,$A47,Erfassung!$A$6:$A$5005,"&gt;="&amp;DATE(Einstellungen!$C$3,11,1),Erfassung!$A$6:$A$5005,"&lt;"&amp;DATE(Einstellungen!$C$3,12,1)))</f>
        <v/>
      </c>
      <c r="AA47" s="54">
        <f>IF($B47="","",SUMIFS(Erfassung!$G$6:$G$5005,Erfassung!$B$6:$B$5005,$A47,Erfassung!$A$6:$A$5005,"&gt;="&amp;DATE(Einstellungen!$C$3,12,1),Erfassung!$A$6:$A$5005,"&lt;"&amp;DATE(Einstellungen!$C$3,13,1)))</f>
        <v/>
      </c>
      <c r="AB47" s="45">
        <f>IF($B47="","",SUM(P47:AA47))</f>
        <v/>
      </c>
      <c r="AC47" s="38">
        <f>IF($B47="","",IF(O47+AB47&gt;0,AB47/(O47+AB47),""))</f>
        <v/>
      </c>
    </row>
    <row r="48">
      <c r="A48" s="56">
        <f>'KQuote Mitarbeiter'!A48</f>
        <v/>
      </c>
      <c r="B48" s="57">
        <f>'KQuote Mitarbeiter'!B48</f>
        <v/>
      </c>
      <c r="C48" s="54">
        <f>IF($B48="","",SUMIFS(Erfassung!$E$6:$E$5005,Erfassung!$B$6:$B$5005,$A48,Erfassung!$A$6:$A$5005,"&gt;="&amp;DATE(Einstellungen!$C$3,1,1),Erfassung!$A$6:$A$5005,"&lt;"&amp;DATE(Einstellungen!$C$3,2,1)))</f>
        <v/>
      </c>
      <c r="D48" s="54">
        <f>IF($B48="","",SUMIFS(Erfassung!$E$6:$E$5005,Erfassung!$B$6:$B$5005,$A48,Erfassung!$A$6:$A$5005,"&gt;="&amp;DATE(Einstellungen!$C$3,2,1),Erfassung!$A$6:$A$5005,"&lt;"&amp;DATE(Einstellungen!$C$3,3,1)))</f>
        <v/>
      </c>
      <c r="E48" s="54">
        <f>IF($B48="","",SUMIFS(Erfassung!$E$6:$E$5005,Erfassung!$B$6:$B$5005,$A48,Erfassung!$A$6:$A$5005,"&gt;="&amp;DATE(Einstellungen!$C$3,3,1),Erfassung!$A$6:$A$5005,"&lt;"&amp;DATE(Einstellungen!$C$3,4,1)))</f>
        <v/>
      </c>
      <c r="F48" s="54">
        <f>IF($B48="","",SUMIFS(Erfassung!$E$6:$E$5005,Erfassung!$B$6:$B$5005,$A48,Erfassung!$A$6:$A$5005,"&gt;="&amp;DATE(Einstellungen!$C$3,4,1),Erfassung!$A$6:$A$5005,"&lt;"&amp;DATE(Einstellungen!$C$3,5,1)))</f>
        <v/>
      </c>
      <c r="G48" s="54">
        <f>IF($B48="","",SUMIFS(Erfassung!$E$6:$E$5005,Erfassung!$B$6:$B$5005,$A48,Erfassung!$A$6:$A$5005,"&gt;="&amp;DATE(Einstellungen!$C$3,5,1),Erfassung!$A$6:$A$5005,"&lt;"&amp;DATE(Einstellungen!$C$3,6,1)))</f>
        <v/>
      </c>
      <c r="H48" s="54">
        <f>IF($B48="","",SUMIFS(Erfassung!$E$6:$E$5005,Erfassung!$B$6:$B$5005,$A48,Erfassung!$A$6:$A$5005,"&gt;="&amp;DATE(Einstellungen!$C$3,6,1),Erfassung!$A$6:$A$5005,"&lt;"&amp;DATE(Einstellungen!$C$3,7,1)))</f>
        <v/>
      </c>
      <c r="I48" s="54">
        <f>IF($B48="","",SUMIFS(Erfassung!$E$6:$E$5005,Erfassung!$B$6:$B$5005,$A48,Erfassung!$A$6:$A$5005,"&gt;="&amp;DATE(Einstellungen!$C$3,7,1),Erfassung!$A$6:$A$5005,"&lt;"&amp;DATE(Einstellungen!$C$3,8,1)))</f>
        <v/>
      </c>
      <c r="J48" s="54">
        <f>IF($B48="","",SUMIFS(Erfassung!$E$6:$E$5005,Erfassung!$B$6:$B$5005,$A48,Erfassung!$A$6:$A$5005,"&gt;="&amp;DATE(Einstellungen!$C$3,8,1),Erfassung!$A$6:$A$5005,"&lt;"&amp;DATE(Einstellungen!$C$3,9,1)))</f>
        <v/>
      </c>
      <c r="K48" s="54">
        <f>IF($B48="","",SUMIFS(Erfassung!$E$6:$E$5005,Erfassung!$B$6:$B$5005,$A48,Erfassung!$A$6:$A$5005,"&gt;="&amp;DATE(Einstellungen!$C$3,9,1),Erfassung!$A$6:$A$5005,"&lt;"&amp;DATE(Einstellungen!$C$3,10,1)))</f>
        <v/>
      </c>
      <c r="L48" s="54">
        <f>IF($B48="","",SUMIFS(Erfassung!$E$6:$E$5005,Erfassung!$B$6:$B$5005,$A48,Erfassung!$A$6:$A$5005,"&gt;="&amp;DATE(Einstellungen!$C$3,10,1),Erfassung!$A$6:$A$5005,"&lt;"&amp;DATE(Einstellungen!$C$3,11,1)))</f>
        <v/>
      </c>
      <c r="M48" s="54">
        <f>IF($B48="","",SUMIFS(Erfassung!$E$6:$E$5005,Erfassung!$B$6:$B$5005,$A48,Erfassung!$A$6:$A$5005,"&gt;="&amp;DATE(Einstellungen!$C$3,11,1),Erfassung!$A$6:$A$5005,"&lt;"&amp;DATE(Einstellungen!$C$3,12,1)))</f>
        <v/>
      </c>
      <c r="N48" s="54">
        <f>IF($B48="","",SUMIFS(Erfassung!$E$6:$E$5005,Erfassung!$B$6:$B$5005,$A48,Erfassung!$A$6:$A$5005,"&gt;="&amp;DATE(Einstellungen!$C$3,12,1),Erfassung!$A$6:$A$5005,"&lt;"&amp;DATE(Einstellungen!$C$3,13,1)))</f>
        <v/>
      </c>
      <c r="O48" s="45">
        <f>IF($B48="","",SUM(C48:N48))</f>
        <v/>
      </c>
      <c r="P48" s="54">
        <f>IF($B48="","",SUMIFS(Erfassung!$G$6:$G$5005,Erfassung!$B$6:$B$5005,$A48,Erfassung!$A$6:$A$5005,"&gt;="&amp;DATE(Einstellungen!$C$3,1,1),Erfassung!$A$6:$A$5005,"&lt;"&amp;DATE(Einstellungen!$C$3,2,1)))</f>
        <v/>
      </c>
      <c r="Q48" s="54">
        <f>IF($B48="","",SUMIFS(Erfassung!$G$6:$G$5005,Erfassung!$B$6:$B$5005,$A48,Erfassung!$A$6:$A$5005,"&gt;="&amp;DATE(Einstellungen!$C$3,2,1),Erfassung!$A$6:$A$5005,"&lt;"&amp;DATE(Einstellungen!$C$3,3,1)))</f>
        <v/>
      </c>
      <c r="R48" s="54">
        <f>IF($B48="","",SUMIFS(Erfassung!$G$6:$G$5005,Erfassung!$B$6:$B$5005,$A48,Erfassung!$A$6:$A$5005,"&gt;="&amp;DATE(Einstellungen!$C$3,3,1),Erfassung!$A$6:$A$5005,"&lt;"&amp;DATE(Einstellungen!$C$3,4,1)))</f>
        <v/>
      </c>
      <c r="S48" s="54">
        <f>IF($B48="","",SUMIFS(Erfassung!$G$6:$G$5005,Erfassung!$B$6:$B$5005,$A48,Erfassung!$A$6:$A$5005,"&gt;="&amp;DATE(Einstellungen!$C$3,4,1),Erfassung!$A$6:$A$5005,"&lt;"&amp;DATE(Einstellungen!$C$3,5,1)))</f>
        <v/>
      </c>
      <c r="T48" s="54">
        <f>IF($B48="","",SUMIFS(Erfassung!$G$6:$G$5005,Erfassung!$B$6:$B$5005,$A48,Erfassung!$A$6:$A$5005,"&gt;="&amp;DATE(Einstellungen!$C$3,5,1),Erfassung!$A$6:$A$5005,"&lt;"&amp;DATE(Einstellungen!$C$3,6,1)))</f>
        <v/>
      </c>
      <c r="U48" s="54">
        <f>IF($B48="","",SUMIFS(Erfassung!$G$6:$G$5005,Erfassung!$B$6:$B$5005,$A48,Erfassung!$A$6:$A$5005,"&gt;="&amp;DATE(Einstellungen!$C$3,6,1),Erfassung!$A$6:$A$5005,"&lt;"&amp;DATE(Einstellungen!$C$3,7,1)))</f>
        <v/>
      </c>
      <c r="V48" s="54">
        <f>IF($B48="","",SUMIFS(Erfassung!$G$6:$G$5005,Erfassung!$B$6:$B$5005,$A48,Erfassung!$A$6:$A$5005,"&gt;="&amp;DATE(Einstellungen!$C$3,7,1),Erfassung!$A$6:$A$5005,"&lt;"&amp;DATE(Einstellungen!$C$3,8,1)))</f>
        <v/>
      </c>
      <c r="W48" s="54">
        <f>IF($B48="","",SUMIFS(Erfassung!$G$6:$G$5005,Erfassung!$B$6:$B$5005,$A48,Erfassung!$A$6:$A$5005,"&gt;="&amp;DATE(Einstellungen!$C$3,8,1),Erfassung!$A$6:$A$5005,"&lt;"&amp;DATE(Einstellungen!$C$3,9,1)))</f>
        <v/>
      </c>
      <c r="X48" s="54">
        <f>IF($B48="","",SUMIFS(Erfassung!$G$6:$G$5005,Erfassung!$B$6:$B$5005,$A48,Erfassung!$A$6:$A$5005,"&gt;="&amp;DATE(Einstellungen!$C$3,9,1),Erfassung!$A$6:$A$5005,"&lt;"&amp;DATE(Einstellungen!$C$3,10,1)))</f>
        <v/>
      </c>
      <c r="Y48" s="54">
        <f>IF($B48="","",SUMIFS(Erfassung!$G$6:$G$5005,Erfassung!$B$6:$B$5005,$A48,Erfassung!$A$6:$A$5005,"&gt;="&amp;DATE(Einstellungen!$C$3,10,1),Erfassung!$A$6:$A$5005,"&lt;"&amp;DATE(Einstellungen!$C$3,11,1)))</f>
        <v/>
      </c>
      <c r="Z48" s="54">
        <f>IF($B48="","",SUMIFS(Erfassung!$G$6:$G$5005,Erfassung!$B$6:$B$5005,$A48,Erfassung!$A$6:$A$5005,"&gt;="&amp;DATE(Einstellungen!$C$3,11,1),Erfassung!$A$6:$A$5005,"&lt;"&amp;DATE(Einstellungen!$C$3,12,1)))</f>
        <v/>
      </c>
      <c r="AA48" s="54">
        <f>IF($B48="","",SUMIFS(Erfassung!$G$6:$G$5005,Erfassung!$B$6:$B$5005,$A48,Erfassung!$A$6:$A$5005,"&gt;="&amp;DATE(Einstellungen!$C$3,12,1),Erfassung!$A$6:$A$5005,"&lt;"&amp;DATE(Einstellungen!$C$3,13,1)))</f>
        <v/>
      </c>
      <c r="AB48" s="45">
        <f>IF($B48="","",SUM(P48:AA48))</f>
        <v/>
      </c>
      <c r="AC48" s="38">
        <f>IF($B48="","",IF(O48+AB48&gt;0,AB48/(O48+AB48),""))</f>
        <v/>
      </c>
    </row>
    <row r="49">
      <c r="A49" s="56">
        <f>'KQuote Mitarbeiter'!A49</f>
        <v/>
      </c>
      <c r="B49" s="57">
        <f>'KQuote Mitarbeiter'!B49</f>
        <v/>
      </c>
      <c r="C49" s="54">
        <f>IF($B49="","",SUMIFS(Erfassung!$E$6:$E$5005,Erfassung!$B$6:$B$5005,$A49,Erfassung!$A$6:$A$5005,"&gt;="&amp;DATE(Einstellungen!$C$3,1,1),Erfassung!$A$6:$A$5005,"&lt;"&amp;DATE(Einstellungen!$C$3,2,1)))</f>
        <v/>
      </c>
      <c r="D49" s="54">
        <f>IF($B49="","",SUMIFS(Erfassung!$E$6:$E$5005,Erfassung!$B$6:$B$5005,$A49,Erfassung!$A$6:$A$5005,"&gt;="&amp;DATE(Einstellungen!$C$3,2,1),Erfassung!$A$6:$A$5005,"&lt;"&amp;DATE(Einstellungen!$C$3,3,1)))</f>
        <v/>
      </c>
      <c r="E49" s="54">
        <f>IF($B49="","",SUMIFS(Erfassung!$E$6:$E$5005,Erfassung!$B$6:$B$5005,$A49,Erfassung!$A$6:$A$5005,"&gt;="&amp;DATE(Einstellungen!$C$3,3,1),Erfassung!$A$6:$A$5005,"&lt;"&amp;DATE(Einstellungen!$C$3,4,1)))</f>
        <v/>
      </c>
      <c r="F49" s="54">
        <f>IF($B49="","",SUMIFS(Erfassung!$E$6:$E$5005,Erfassung!$B$6:$B$5005,$A49,Erfassung!$A$6:$A$5005,"&gt;="&amp;DATE(Einstellungen!$C$3,4,1),Erfassung!$A$6:$A$5005,"&lt;"&amp;DATE(Einstellungen!$C$3,5,1)))</f>
        <v/>
      </c>
      <c r="G49" s="54">
        <f>IF($B49="","",SUMIFS(Erfassung!$E$6:$E$5005,Erfassung!$B$6:$B$5005,$A49,Erfassung!$A$6:$A$5005,"&gt;="&amp;DATE(Einstellungen!$C$3,5,1),Erfassung!$A$6:$A$5005,"&lt;"&amp;DATE(Einstellungen!$C$3,6,1)))</f>
        <v/>
      </c>
      <c r="H49" s="54">
        <f>IF($B49="","",SUMIFS(Erfassung!$E$6:$E$5005,Erfassung!$B$6:$B$5005,$A49,Erfassung!$A$6:$A$5005,"&gt;="&amp;DATE(Einstellungen!$C$3,6,1),Erfassung!$A$6:$A$5005,"&lt;"&amp;DATE(Einstellungen!$C$3,7,1)))</f>
        <v/>
      </c>
      <c r="I49" s="54">
        <f>IF($B49="","",SUMIFS(Erfassung!$E$6:$E$5005,Erfassung!$B$6:$B$5005,$A49,Erfassung!$A$6:$A$5005,"&gt;="&amp;DATE(Einstellungen!$C$3,7,1),Erfassung!$A$6:$A$5005,"&lt;"&amp;DATE(Einstellungen!$C$3,8,1)))</f>
        <v/>
      </c>
      <c r="J49" s="54">
        <f>IF($B49="","",SUMIFS(Erfassung!$E$6:$E$5005,Erfassung!$B$6:$B$5005,$A49,Erfassung!$A$6:$A$5005,"&gt;="&amp;DATE(Einstellungen!$C$3,8,1),Erfassung!$A$6:$A$5005,"&lt;"&amp;DATE(Einstellungen!$C$3,9,1)))</f>
        <v/>
      </c>
      <c r="K49" s="54">
        <f>IF($B49="","",SUMIFS(Erfassung!$E$6:$E$5005,Erfassung!$B$6:$B$5005,$A49,Erfassung!$A$6:$A$5005,"&gt;="&amp;DATE(Einstellungen!$C$3,9,1),Erfassung!$A$6:$A$5005,"&lt;"&amp;DATE(Einstellungen!$C$3,10,1)))</f>
        <v/>
      </c>
      <c r="L49" s="54">
        <f>IF($B49="","",SUMIFS(Erfassung!$E$6:$E$5005,Erfassung!$B$6:$B$5005,$A49,Erfassung!$A$6:$A$5005,"&gt;="&amp;DATE(Einstellungen!$C$3,10,1),Erfassung!$A$6:$A$5005,"&lt;"&amp;DATE(Einstellungen!$C$3,11,1)))</f>
        <v/>
      </c>
      <c r="M49" s="54">
        <f>IF($B49="","",SUMIFS(Erfassung!$E$6:$E$5005,Erfassung!$B$6:$B$5005,$A49,Erfassung!$A$6:$A$5005,"&gt;="&amp;DATE(Einstellungen!$C$3,11,1),Erfassung!$A$6:$A$5005,"&lt;"&amp;DATE(Einstellungen!$C$3,12,1)))</f>
        <v/>
      </c>
      <c r="N49" s="54">
        <f>IF($B49="","",SUMIFS(Erfassung!$E$6:$E$5005,Erfassung!$B$6:$B$5005,$A49,Erfassung!$A$6:$A$5005,"&gt;="&amp;DATE(Einstellungen!$C$3,12,1),Erfassung!$A$6:$A$5005,"&lt;"&amp;DATE(Einstellungen!$C$3,13,1)))</f>
        <v/>
      </c>
      <c r="O49" s="45">
        <f>IF($B49="","",SUM(C49:N49))</f>
        <v/>
      </c>
      <c r="P49" s="54">
        <f>IF($B49="","",SUMIFS(Erfassung!$G$6:$G$5005,Erfassung!$B$6:$B$5005,$A49,Erfassung!$A$6:$A$5005,"&gt;="&amp;DATE(Einstellungen!$C$3,1,1),Erfassung!$A$6:$A$5005,"&lt;"&amp;DATE(Einstellungen!$C$3,2,1)))</f>
        <v/>
      </c>
      <c r="Q49" s="54">
        <f>IF($B49="","",SUMIFS(Erfassung!$G$6:$G$5005,Erfassung!$B$6:$B$5005,$A49,Erfassung!$A$6:$A$5005,"&gt;="&amp;DATE(Einstellungen!$C$3,2,1),Erfassung!$A$6:$A$5005,"&lt;"&amp;DATE(Einstellungen!$C$3,3,1)))</f>
        <v/>
      </c>
      <c r="R49" s="54">
        <f>IF($B49="","",SUMIFS(Erfassung!$G$6:$G$5005,Erfassung!$B$6:$B$5005,$A49,Erfassung!$A$6:$A$5005,"&gt;="&amp;DATE(Einstellungen!$C$3,3,1),Erfassung!$A$6:$A$5005,"&lt;"&amp;DATE(Einstellungen!$C$3,4,1)))</f>
        <v/>
      </c>
      <c r="S49" s="54">
        <f>IF($B49="","",SUMIFS(Erfassung!$G$6:$G$5005,Erfassung!$B$6:$B$5005,$A49,Erfassung!$A$6:$A$5005,"&gt;="&amp;DATE(Einstellungen!$C$3,4,1),Erfassung!$A$6:$A$5005,"&lt;"&amp;DATE(Einstellungen!$C$3,5,1)))</f>
        <v/>
      </c>
      <c r="T49" s="54">
        <f>IF($B49="","",SUMIFS(Erfassung!$G$6:$G$5005,Erfassung!$B$6:$B$5005,$A49,Erfassung!$A$6:$A$5005,"&gt;="&amp;DATE(Einstellungen!$C$3,5,1),Erfassung!$A$6:$A$5005,"&lt;"&amp;DATE(Einstellungen!$C$3,6,1)))</f>
        <v/>
      </c>
      <c r="U49" s="54">
        <f>IF($B49="","",SUMIFS(Erfassung!$G$6:$G$5005,Erfassung!$B$6:$B$5005,$A49,Erfassung!$A$6:$A$5005,"&gt;="&amp;DATE(Einstellungen!$C$3,6,1),Erfassung!$A$6:$A$5005,"&lt;"&amp;DATE(Einstellungen!$C$3,7,1)))</f>
        <v/>
      </c>
      <c r="V49" s="54">
        <f>IF($B49="","",SUMIFS(Erfassung!$G$6:$G$5005,Erfassung!$B$6:$B$5005,$A49,Erfassung!$A$6:$A$5005,"&gt;="&amp;DATE(Einstellungen!$C$3,7,1),Erfassung!$A$6:$A$5005,"&lt;"&amp;DATE(Einstellungen!$C$3,8,1)))</f>
        <v/>
      </c>
      <c r="W49" s="54">
        <f>IF($B49="","",SUMIFS(Erfassung!$G$6:$G$5005,Erfassung!$B$6:$B$5005,$A49,Erfassung!$A$6:$A$5005,"&gt;="&amp;DATE(Einstellungen!$C$3,8,1),Erfassung!$A$6:$A$5005,"&lt;"&amp;DATE(Einstellungen!$C$3,9,1)))</f>
        <v/>
      </c>
      <c r="X49" s="54">
        <f>IF($B49="","",SUMIFS(Erfassung!$G$6:$G$5005,Erfassung!$B$6:$B$5005,$A49,Erfassung!$A$6:$A$5005,"&gt;="&amp;DATE(Einstellungen!$C$3,9,1),Erfassung!$A$6:$A$5005,"&lt;"&amp;DATE(Einstellungen!$C$3,10,1)))</f>
        <v/>
      </c>
      <c r="Y49" s="54">
        <f>IF($B49="","",SUMIFS(Erfassung!$G$6:$G$5005,Erfassung!$B$6:$B$5005,$A49,Erfassung!$A$6:$A$5005,"&gt;="&amp;DATE(Einstellungen!$C$3,10,1),Erfassung!$A$6:$A$5005,"&lt;"&amp;DATE(Einstellungen!$C$3,11,1)))</f>
        <v/>
      </c>
      <c r="Z49" s="54">
        <f>IF($B49="","",SUMIFS(Erfassung!$G$6:$G$5005,Erfassung!$B$6:$B$5005,$A49,Erfassung!$A$6:$A$5005,"&gt;="&amp;DATE(Einstellungen!$C$3,11,1),Erfassung!$A$6:$A$5005,"&lt;"&amp;DATE(Einstellungen!$C$3,12,1)))</f>
        <v/>
      </c>
      <c r="AA49" s="54">
        <f>IF($B49="","",SUMIFS(Erfassung!$G$6:$G$5005,Erfassung!$B$6:$B$5005,$A49,Erfassung!$A$6:$A$5005,"&gt;="&amp;DATE(Einstellungen!$C$3,12,1),Erfassung!$A$6:$A$5005,"&lt;"&amp;DATE(Einstellungen!$C$3,13,1)))</f>
        <v/>
      </c>
      <c r="AB49" s="45">
        <f>IF($B49="","",SUM(P49:AA49))</f>
        <v/>
      </c>
      <c r="AC49" s="38">
        <f>IF($B49="","",IF(O49+AB49&gt;0,AB49/(O49+AB49),""))</f>
        <v/>
      </c>
    </row>
    <row r="50">
      <c r="A50" s="56">
        <f>'KQuote Mitarbeiter'!A50</f>
        <v/>
      </c>
      <c r="B50" s="57">
        <f>'KQuote Mitarbeiter'!B50</f>
        <v/>
      </c>
      <c r="C50" s="54">
        <f>IF($B50="","",SUMIFS(Erfassung!$E$6:$E$5005,Erfassung!$B$6:$B$5005,$A50,Erfassung!$A$6:$A$5005,"&gt;="&amp;DATE(Einstellungen!$C$3,1,1),Erfassung!$A$6:$A$5005,"&lt;"&amp;DATE(Einstellungen!$C$3,2,1)))</f>
        <v/>
      </c>
      <c r="D50" s="54">
        <f>IF($B50="","",SUMIFS(Erfassung!$E$6:$E$5005,Erfassung!$B$6:$B$5005,$A50,Erfassung!$A$6:$A$5005,"&gt;="&amp;DATE(Einstellungen!$C$3,2,1),Erfassung!$A$6:$A$5005,"&lt;"&amp;DATE(Einstellungen!$C$3,3,1)))</f>
        <v/>
      </c>
      <c r="E50" s="54">
        <f>IF($B50="","",SUMIFS(Erfassung!$E$6:$E$5005,Erfassung!$B$6:$B$5005,$A50,Erfassung!$A$6:$A$5005,"&gt;="&amp;DATE(Einstellungen!$C$3,3,1),Erfassung!$A$6:$A$5005,"&lt;"&amp;DATE(Einstellungen!$C$3,4,1)))</f>
        <v/>
      </c>
      <c r="F50" s="54">
        <f>IF($B50="","",SUMIFS(Erfassung!$E$6:$E$5005,Erfassung!$B$6:$B$5005,$A50,Erfassung!$A$6:$A$5005,"&gt;="&amp;DATE(Einstellungen!$C$3,4,1),Erfassung!$A$6:$A$5005,"&lt;"&amp;DATE(Einstellungen!$C$3,5,1)))</f>
        <v/>
      </c>
      <c r="G50" s="54">
        <f>IF($B50="","",SUMIFS(Erfassung!$E$6:$E$5005,Erfassung!$B$6:$B$5005,$A50,Erfassung!$A$6:$A$5005,"&gt;="&amp;DATE(Einstellungen!$C$3,5,1),Erfassung!$A$6:$A$5005,"&lt;"&amp;DATE(Einstellungen!$C$3,6,1)))</f>
        <v/>
      </c>
      <c r="H50" s="54">
        <f>IF($B50="","",SUMIFS(Erfassung!$E$6:$E$5005,Erfassung!$B$6:$B$5005,$A50,Erfassung!$A$6:$A$5005,"&gt;="&amp;DATE(Einstellungen!$C$3,6,1),Erfassung!$A$6:$A$5005,"&lt;"&amp;DATE(Einstellungen!$C$3,7,1)))</f>
        <v/>
      </c>
      <c r="I50" s="54">
        <f>IF($B50="","",SUMIFS(Erfassung!$E$6:$E$5005,Erfassung!$B$6:$B$5005,$A50,Erfassung!$A$6:$A$5005,"&gt;="&amp;DATE(Einstellungen!$C$3,7,1),Erfassung!$A$6:$A$5005,"&lt;"&amp;DATE(Einstellungen!$C$3,8,1)))</f>
        <v/>
      </c>
      <c r="J50" s="54">
        <f>IF($B50="","",SUMIFS(Erfassung!$E$6:$E$5005,Erfassung!$B$6:$B$5005,$A50,Erfassung!$A$6:$A$5005,"&gt;="&amp;DATE(Einstellungen!$C$3,8,1),Erfassung!$A$6:$A$5005,"&lt;"&amp;DATE(Einstellungen!$C$3,9,1)))</f>
        <v/>
      </c>
      <c r="K50" s="54">
        <f>IF($B50="","",SUMIFS(Erfassung!$E$6:$E$5005,Erfassung!$B$6:$B$5005,$A50,Erfassung!$A$6:$A$5005,"&gt;="&amp;DATE(Einstellungen!$C$3,9,1),Erfassung!$A$6:$A$5005,"&lt;"&amp;DATE(Einstellungen!$C$3,10,1)))</f>
        <v/>
      </c>
      <c r="L50" s="54">
        <f>IF($B50="","",SUMIFS(Erfassung!$E$6:$E$5005,Erfassung!$B$6:$B$5005,$A50,Erfassung!$A$6:$A$5005,"&gt;="&amp;DATE(Einstellungen!$C$3,10,1),Erfassung!$A$6:$A$5005,"&lt;"&amp;DATE(Einstellungen!$C$3,11,1)))</f>
        <v/>
      </c>
      <c r="M50" s="54">
        <f>IF($B50="","",SUMIFS(Erfassung!$E$6:$E$5005,Erfassung!$B$6:$B$5005,$A50,Erfassung!$A$6:$A$5005,"&gt;="&amp;DATE(Einstellungen!$C$3,11,1),Erfassung!$A$6:$A$5005,"&lt;"&amp;DATE(Einstellungen!$C$3,12,1)))</f>
        <v/>
      </c>
      <c r="N50" s="54">
        <f>IF($B50="","",SUMIFS(Erfassung!$E$6:$E$5005,Erfassung!$B$6:$B$5005,$A50,Erfassung!$A$6:$A$5005,"&gt;="&amp;DATE(Einstellungen!$C$3,12,1),Erfassung!$A$6:$A$5005,"&lt;"&amp;DATE(Einstellungen!$C$3,13,1)))</f>
        <v/>
      </c>
      <c r="O50" s="45">
        <f>IF($B50="","",SUM(C50:N50))</f>
        <v/>
      </c>
      <c r="P50" s="54">
        <f>IF($B50="","",SUMIFS(Erfassung!$G$6:$G$5005,Erfassung!$B$6:$B$5005,$A50,Erfassung!$A$6:$A$5005,"&gt;="&amp;DATE(Einstellungen!$C$3,1,1),Erfassung!$A$6:$A$5005,"&lt;"&amp;DATE(Einstellungen!$C$3,2,1)))</f>
        <v/>
      </c>
      <c r="Q50" s="54">
        <f>IF($B50="","",SUMIFS(Erfassung!$G$6:$G$5005,Erfassung!$B$6:$B$5005,$A50,Erfassung!$A$6:$A$5005,"&gt;="&amp;DATE(Einstellungen!$C$3,2,1),Erfassung!$A$6:$A$5005,"&lt;"&amp;DATE(Einstellungen!$C$3,3,1)))</f>
        <v/>
      </c>
      <c r="R50" s="54">
        <f>IF($B50="","",SUMIFS(Erfassung!$G$6:$G$5005,Erfassung!$B$6:$B$5005,$A50,Erfassung!$A$6:$A$5005,"&gt;="&amp;DATE(Einstellungen!$C$3,3,1),Erfassung!$A$6:$A$5005,"&lt;"&amp;DATE(Einstellungen!$C$3,4,1)))</f>
        <v/>
      </c>
      <c r="S50" s="54">
        <f>IF($B50="","",SUMIFS(Erfassung!$G$6:$G$5005,Erfassung!$B$6:$B$5005,$A50,Erfassung!$A$6:$A$5005,"&gt;="&amp;DATE(Einstellungen!$C$3,4,1),Erfassung!$A$6:$A$5005,"&lt;"&amp;DATE(Einstellungen!$C$3,5,1)))</f>
        <v/>
      </c>
      <c r="T50" s="54">
        <f>IF($B50="","",SUMIFS(Erfassung!$G$6:$G$5005,Erfassung!$B$6:$B$5005,$A50,Erfassung!$A$6:$A$5005,"&gt;="&amp;DATE(Einstellungen!$C$3,5,1),Erfassung!$A$6:$A$5005,"&lt;"&amp;DATE(Einstellungen!$C$3,6,1)))</f>
        <v/>
      </c>
      <c r="U50" s="54">
        <f>IF($B50="","",SUMIFS(Erfassung!$G$6:$G$5005,Erfassung!$B$6:$B$5005,$A50,Erfassung!$A$6:$A$5005,"&gt;="&amp;DATE(Einstellungen!$C$3,6,1),Erfassung!$A$6:$A$5005,"&lt;"&amp;DATE(Einstellungen!$C$3,7,1)))</f>
        <v/>
      </c>
      <c r="V50" s="54">
        <f>IF($B50="","",SUMIFS(Erfassung!$G$6:$G$5005,Erfassung!$B$6:$B$5005,$A50,Erfassung!$A$6:$A$5005,"&gt;="&amp;DATE(Einstellungen!$C$3,7,1),Erfassung!$A$6:$A$5005,"&lt;"&amp;DATE(Einstellungen!$C$3,8,1)))</f>
        <v/>
      </c>
      <c r="W50" s="54">
        <f>IF($B50="","",SUMIFS(Erfassung!$G$6:$G$5005,Erfassung!$B$6:$B$5005,$A50,Erfassung!$A$6:$A$5005,"&gt;="&amp;DATE(Einstellungen!$C$3,8,1),Erfassung!$A$6:$A$5005,"&lt;"&amp;DATE(Einstellungen!$C$3,9,1)))</f>
        <v/>
      </c>
      <c r="X50" s="54">
        <f>IF($B50="","",SUMIFS(Erfassung!$G$6:$G$5005,Erfassung!$B$6:$B$5005,$A50,Erfassung!$A$6:$A$5005,"&gt;="&amp;DATE(Einstellungen!$C$3,9,1),Erfassung!$A$6:$A$5005,"&lt;"&amp;DATE(Einstellungen!$C$3,10,1)))</f>
        <v/>
      </c>
      <c r="Y50" s="54">
        <f>IF($B50="","",SUMIFS(Erfassung!$G$6:$G$5005,Erfassung!$B$6:$B$5005,$A50,Erfassung!$A$6:$A$5005,"&gt;="&amp;DATE(Einstellungen!$C$3,10,1),Erfassung!$A$6:$A$5005,"&lt;"&amp;DATE(Einstellungen!$C$3,11,1)))</f>
        <v/>
      </c>
      <c r="Z50" s="54">
        <f>IF($B50="","",SUMIFS(Erfassung!$G$6:$G$5005,Erfassung!$B$6:$B$5005,$A50,Erfassung!$A$6:$A$5005,"&gt;="&amp;DATE(Einstellungen!$C$3,11,1),Erfassung!$A$6:$A$5005,"&lt;"&amp;DATE(Einstellungen!$C$3,12,1)))</f>
        <v/>
      </c>
      <c r="AA50" s="54">
        <f>IF($B50="","",SUMIFS(Erfassung!$G$6:$G$5005,Erfassung!$B$6:$B$5005,$A50,Erfassung!$A$6:$A$5005,"&gt;="&amp;DATE(Einstellungen!$C$3,12,1),Erfassung!$A$6:$A$5005,"&lt;"&amp;DATE(Einstellungen!$C$3,13,1)))</f>
        <v/>
      </c>
      <c r="AB50" s="45">
        <f>IF($B50="","",SUM(P50:AA50))</f>
        <v/>
      </c>
      <c r="AC50" s="38">
        <f>IF($B50="","",IF(O50+AB50&gt;0,AB50/(O50+AB50),""))</f>
        <v/>
      </c>
    </row>
    <row r="51">
      <c r="A51" s="56">
        <f>'KQuote Mitarbeiter'!A51</f>
        <v/>
      </c>
      <c r="B51" s="57">
        <f>'KQuote Mitarbeiter'!B51</f>
        <v/>
      </c>
      <c r="C51" s="54">
        <f>IF($B51="","",SUMIFS(Erfassung!$E$6:$E$5005,Erfassung!$B$6:$B$5005,$A51,Erfassung!$A$6:$A$5005,"&gt;="&amp;DATE(Einstellungen!$C$3,1,1),Erfassung!$A$6:$A$5005,"&lt;"&amp;DATE(Einstellungen!$C$3,2,1)))</f>
        <v/>
      </c>
      <c r="D51" s="54">
        <f>IF($B51="","",SUMIFS(Erfassung!$E$6:$E$5005,Erfassung!$B$6:$B$5005,$A51,Erfassung!$A$6:$A$5005,"&gt;="&amp;DATE(Einstellungen!$C$3,2,1),Erfassung!$A$6:$A$5005,"&lt;"&amp;DATE(Einstellungen!$C$3,3,1)))</f>
        <v/>
      </c>
      <c r="E51" s="54">
        <f>IF($B51="","",SUMIFS(Erfassung!$E$6:$E$5005,Erfassung!$B$6:$B$5005,$A51,Erfassung!$A$6:$A$5005,"&gt;="&amp;DATE(Einstellungen!$C$3,3,1),Erfassung!$A$6:$A$5005,"&lt;"&amp;DATE(Einstellungen!$C$3,4,1)))</f>
        <v/>
      </c>
      <c r="F51" s="54">
        <f>IF($B51="","",SUMIFS(Erfassung!$E$6:$E$5005,Erfassung!$B$6:$B$5005,$A51,Erfassung!$A$6:$A$5005,"&gt;="&amp;DATE(Einstellungen!$C$3,4,1),Erfassung!$A$6:$A$5005,"&lt;"&amp;DATE(Einstellungen!$C$3,5,1)))</f>
        <v/>
      </c>
      <c r="G51" s="54">
        <f>IF($B51="","",SUMIFS(Erfassung!$E$6:$E$5005,Erfassung!$B$6:$B$5005,$A51,Erfassung!$A$6:$A$5005,"&gt;="&amp;DATE(Einstellungen!$C$3,5,1),Erfassung!$A$6:$A$5005,"&lt;"&amp;DATE(Einstellungen!$C$3,6,1)))</f>
        <v/>
      </c>
      <c r="H51" s="54">
        <f>IF($B51="","",SUMIFS(Erfassung!$E$6:$E$5005,Erfassung!$B$6:$B$5005,$A51,Erfassung!$A$6:$A$5005,"&gt;="&amp;DATE(Einstellungen!$C$3,6,1),Erfassung!$A$6:$A$5005,"&lt;"&amp;DATE(Einstellungen!$C$3,7,1)))</f>
        <v/>
      </c>
      <c r="I51" s="54">
        <f>IF($B51="","",SUMIFS(Erfassung!$E$6:$E$5005,Erfassung!$B$6:$B$5005,$A51,Erfassung!$A$6:$A$5005,"&gt;="&amp;DATE(Einstellungen!$C$3,7,1),Erfassung!$A$6:$A$5005,"&lt;"&amp;DATE(Einstellungen!$C$3,8,1)))</f>
        <v/>
      </c>
      <c r="J51" s="54">
        <f>IF($B51="","",SUMIFS(Erfassung!$E$6:$E$5005,Erfassung!$B$6:$B$5005,$A51,Erfassung!$A$6:$A$5005,"&gt;="&amp;DATE(Einstellungen!$C$3,8,1),Erfassung!$A$6:$A$5005,"&lt;"&amp;DATE(Einstellungen!$C$3,9,1)))</f>
        <v/>
      </c>
      <c r="K51" s="54">
        <f>IF($B51="","",SUMIFS(Erfassung!$E$6:$E$5005,Erfassung!$B$6:$B$5005,$A51,Erfassung!$A$6:$A$5005,"&gt;="&amp;DATE(Einstellungen!$C$3,9,1),Erfassung!$A$6:$A$5005,"&lt;"&amp;DATE(Einstellungen!$C$3,10,1)))</f>
        <v/>
      </c>
      <c r="L51" s="54">
        <f>IF($B51="","",SUMIFS(Erfassung!$E$6:$E$5005,Erfassung!$B$6:$B$5005,$A51,Erfassung!$A$6:$A$5005,"&gt;="&amp;DATE(Einstellungen!$C$3,10,1),Erfassung!$A$6:$A$5005,"&lt;"&amp;DATE(Einstellungen!$C$3,11,1)))</f>
        <v/>
      </c>
      <c r="M51" s="54">
        <f>IF($B51="","",SUMIFS(Erfassung!$E$6:$E$5005,Erfassung!$B$6:$B$5005,$A51,Erfassung!$A$6:$A$5005,"&gt;="&amp;DATE(Einstellungen!$C$3,11,1),Erfassung!$A$6:$A$5005,"&lt;"&amp;DATE(Einstellungen!$C$3,12,1)))</f>
        <v/>
      </c>
      <c r="N51" s="54">
        <f>IF($B51="","",SUMIFS(Erfassung!$E$6:$E$5005,Erfassung!$B$6:$B$5005,$A51,Erfassung!$A$6:$A$5005,"&gt;="&amp;DATE(Einstellungen!$C$3,12,1),Erfassung!$A$6:$A$5005,"&lt;"&amp;DATE(Einstellungen!$C$3,13,1)))</f>
        <v/>
      </c>
      <c r="O51" s="45">
        <f>IF($B51="","",SUM(C51:N51))</f>
        <v/>
      </c>
      <c r="P51" s="54">
        <f>IF($B51="","",SUMIFS(Erfassung!$G$6:$G$5005,Erfassung!$B$6:$B$5005,$A51,Erfassung!$A$6:$A$5005,"&gt;="&amp;DATE(Einstellungen!$C$3,1,1),Erfassung!$A$6:$A$5005,"&lt;"&amp;DATE(Einstellungen!$C$3,2,1)))</f>
        <v/>
      </c>
      <c r="Q51" s="54">
        <f>IF($B51="","",SUMIFS(Erfassung!$G$6:$G$5005,Erfassung!$B$6:$B$5005,$A51,Erfassung!$A$6:$A$5005,"&gt;="&amp;DATE(Einstellungen!$C$3,2,1),Erfassung!$A$6:$A$5005,"&lt;"&amp;DATE(Einstellungen!$C$3,3,1)))</f>
        <v/>
      </c>
      <c r="R51" s="54">
        <f>IF($B51="","",SUMIFS(Erfassung!$G$6:$G$5005,Erfassung!$B$6:$B$5005,$A51,Erfassung!$A$6:$A$5005,"&gt;="&amp;DATE(Einstellungen!$C$3,3,1),Erfassung!$A$6:$A$5005,"&lt;"&amp;DATE(Einstellungen!$C$3,4,1)))</f>
        <v/>
      </c>
      <c r="S51" s="54">
        <f>IF($B51="","",SUMIFS(Erfassung!$G$6:$G$5005,Erfassung!$B$6:$B$5005,$A51,Erfassung!$A$6:$A$5005,"&gt;="&amp;DATE(Einstellungen!$C$3,4,1),Erfassung!$A$6:$A$5005,"&lt;"&amp;DATE(Einstellungen!$C$3,5,1)))</f>
        <v/>
      </c>
      <c r="T51" s="54">
        <f>IF($B51="","",SUMIFS(Erfassung!$G$6:$G$5005,Erfassung!$B$6:$B$5005,$A51,Erfassung!$A$6:$A$5005,"&gt;="&amp;DATE(Einstellungen!$C$3,5,1),Erfassung!$A$6:$A$5005,"&lt;"&amp;DATE(Einstellungen!$C$3,6,1)))</f>
        <v/>
      </c>
      <c r="U51" s="54">
        <f>IF($B51="","",SUMIFS(Erfassung!$G$6:$G$5005,Erfassung!$B$6:$B$5005,$A51,Erfassung!$A$6:$A$5005,"&gt;="&amp;DATE(Einstellungen!$C$3,6,1),Erfassung!$A$6:$A$5005,"&lt;"&amp;DATE(Einstellungen!$C$3,7,1)))</f>
        <v/>
      </c>
      <c r="V51" s="54">
        <f>IF($B51="","",SUMIFS(Erfassung!$G$6:$G$5005,Erfassung!$B$6:$B$5005,$A51,Erfassung!$A$6:$A$5005,"&gt;="&amp;DATE(Einstellungen!$C$3,7,1),Erfassung!$A$6:$A$5005,"&lt;"&amp;DATE(Einstellungen!$C$3,8,1)))</f>
        <v/>
      </c>
      <c r="W51" s="54">
        <f>IF($B51="","",SUMIFS(Erfassung!$G$6:$G$5005,Erfassung!$B$6:$B$5005,$A51,Erfassung!$A$6:$A$5005,"&gt;="&amp;DATE(Einstellungen!$C$3,8,1),Erfassung!$A$6:$A$5005,"&lt;"&amp;DATE(Einstellungen!$C$3,9,1)))</f>
        <v/>
      </c>
      <c r="X51" s="54">
        <f>IF($B51="","",SUMIFS(Erfassung!$G$6:$G$5005,Erfassung!$B$6:$B$5005,$A51,Erfassung!$A$6:$A$5005,"&gt;="&amp;DATE(Einstellungen!$C$3,9,1),Erfassung!$A$6:$A$5005,"&lt;"&amp;DATE(Einstellungen!$C$3,10,1)))</f>
        <v/>
      </c>
      <c r="Y51" s="54">
        <f>IF($B51="","",SUMIFS(Erfassung!$G$6:$G$5005,Erfassung!$B$6:$B$5005,$A51,Erfassung!$A$6:$A$5005,"&gt;="&amp;DATE(Einstellungen!$C$3,10,1),Erfassung!$A$6:$A$5005,"&lt;"&amp;DATE(Einstellungen!$C$3,11,1)))</f>
        <v/>
      </c>
      <c r="Z51" s="54">
        <f>IF($B51="","",SUMIFS(Erfassung!$G$6:$G$5005,Erfassung!$B$6:$B$5005,$A51,Erfassung!$A$6:$A$5005,"&gt;="&amp;DATE(Einstellungen!$C$3,11,1),Erfassung!$A$6:$A$5005,"&lt;"&amp;DATE(Einstellungen!$C$3,12,1)))</f>
        <v/>
      </c>
      <c r="AA51" s="54">
        <f>IF($B51="","",SUMIFS(Erfassung!$G$6:$G$5005,Erfassung!$B$6:$B$5005,$A51,Erfassung!$A$6:$A$5005,"&gt;="&amp;DATE(Einstellungen!$C$3,12,1),Erfassung!$A$6:$A$5005,"&lt;"&amp;DATE(Einstellungen!$C$3,13,1)))</f>
        <v/>
      </c>
      <c r="AB51" s="45">
        <f>IF($B51="","",SUM(P51:AA51))</f>
        <v/>
      </c>
      <c r="AC51" s="38">
        <f>IF($B51="","",IF(O51+AB51&gt;0,AB51/(O51+AB51),""))</f>
        <v/>
      </c>
    </row>
    <row r="52">
      <c r="A52" s="56">
        <f>'KQuote Mitarbeiter'!A52</f>
        <v/>
      </c>
      <c r="B52" s="57">
        <f>'KQuote Mitarbeiter'!B52</f>
        <v/>
      </c>
      <c r="C52" s="54">
        <f>IF($B52="","",SUMIFS(Erfassung!$E$6:$E$5005,Erfassung!$B$6:$B$5005,$A52,Erfassung!$A$6:$A$5005,"&gt;="&amp;DATE(Einstellungen!$C$3,1,1),Erfassung!$A$6:$A$5005,"&lt;"&amp;DATE(Einstellungen!$C$3,2,1)))</f>
        <v/>
      </c>
      <c r="D52" s="54">
        <f>IF($B52="","",SUMIFS(Erfassung!$E$6:$E$5005,Erfassung!$B$6:$B$5005,$A52,Erfassung!$A$6:$A$5005,"&gt;="&amp;DATE(Einstellungen!$C$3,2,1),Erfassung!$A$6:$A$5005,"&lt;"&amp;DATE(Einstellungen!$C$3,3,1)))</f>
        <v/>
      </c>
      <c r="E52" s="54">
        <f>IF($B52="","",SUMIFS(Erfassung!$E$6:$E$5005,Erfassung!$B$6:$B$5005,$A52,Erfassung!$A$6:$A$5005,"&gt;="&amp;DATE(Einstellungen!$C$3,3,1),Erfassung!$A$6:$A$5005,"&lt;"&amp;DATE(Einstellungen!$C$3,4,1)))</f>
        <v/>
      </c>
      <c r="F52" s="54">
        <f>IF($B52="","",SUMIFS(Erfassung!$E$6:$E$5005,Erfassung!$B$6:$B$5005,$A52,Erfassung!$A$6:$A$5005,"&gt;="&amp;DATE(Einstellungen!$C$3,4,1),Erfassung!$A$6:$A$5005,"&lt;"&amp;DATE(Einstellungen!$C$3,5,1)))</f>
        <v/>
      </c>
      <c r="G52" s="54">
        <f>IF($B52="","",SUMIFS(Erfassung!$E$6:$E$5005,Erfassung!$B$6:$B$5005,$A52,Erfassung!$A$6:$A$5005,"&gt;="&amp;DATE(Einstellungen!$C$3,5,1),Erfassung!$A$6:$A$5005,"&lt;"&amp;DATE(Einstellungen!$C$3,6,1)))</f>
        <v/>
      </c>
      <c r="H52" s="54">
        <f>IF($B52="","",SUMIFS(Erfassung!$E$6:$E$5005,Erfassung!$B$6:$B$5005,$A52,Erfassung!$A$6:$A$5005,"&gt;="&amp;DATE(Einstellungen!$C$3,6,1),Erfassung!$A$6:$A$5005,"&lt;"&amp;DATE(Einstellungen!$C$3,7,1)))</f>
        <v/>
      </c>
      <c r="I52" s="54">
        <f>IF($B52="","",SUMIFS(Erfassung!$E$6:$E$5005,Erfassung!$B$6:$B$5005,$A52,Erfassung!$A$6:$A$5005,"&gt;="&amp;DATE(Einstellungen!$C$3,7,1),Erfassung!$A$6:$A$5005,"&lt;"&amp;DATE(Einstellungen!$C$3,8,1)))</f>
        <v/>
      </c>
      <c r="J52" s="54">
        <f>IF($B52="","",SUMIFS(Erfassung!$E$6:$E$5005,Erfassung!$B$6:$B$5005,$A52,Erfassung!$A$6:$A$5005,"&gt;="&amp;DATE(Einstellungen!$C$3,8,1),Erfassung!$A$6:$A$5005,"&lt;"&amp;DATE(Einstellungen!$C$3,9,1)))</f>
        <v/>
      </c>
      <c r="K52" s="54">
        <f>IF($B52="","",SUMIFS(Erfassung!$E$6:$E$5005,Erfassung!$B$6:$B$5005,$A52,Erfassung!$A$6:$A$5005,"&gt;="&amp;DATE(Einstellungen!$C$3,9,1),Erfassung!$A$6:$A$5005,"&lt;"&amp;DATE(Einstellungen!$C$3,10,1)))</f>
        <v/>
      </c>
      <c r="L52" s="54">
        <f>IF($B52="","",SUMIFS(Erfassung!$E$6:$E$5005,Erfassung!$B$6:$B$5005,$A52,Erfassung!$A$6:$A$5005,"&gt;="&amp;DATE(Einstellungen!$C$3,10,1),Erfassung!$A$6:$A$5005,"&lt;"&amp;DATE(Einstellungen!$C$3,11,1)))</f>
        <v/>
      </c>
      <c r="M52" s="54">
        <f>IF($B52="","",SUMIFS(Erfassung!$E$6:$E$5005,Erfassung!$B$6:$B$5005,$A52,Erfassung!$A$6:$A$5005,"&gt;="&amp;DATE(Einstellungen!$C$3,11,1),Erfassung!$A$6:$A$5005,"&lt;"&amp;DATE(Einstellungen!$C$3,12,1)))</f>
        <v/>
      </c>
      <c r="N52" s="54">
        <f>IF($B52="","",SUMIFS(Erfassung!$E$6:$E$5005,Erfassung!$B$6:$B$5005,$A52,Erfassung!$A$6:$A$5005,"&gt;="&amp;DATE(Einstellungen!$C$3,12,1),Erfassung!$A$6:$A$5005,"&lt;"&amp;DATE(Einstellungen!$C$3,13,1)))</f>
        <v/>
      </c>
      <c r="O52" s="45">
        <f>IF($B52="","",SUM(C52:N52))</f>
        <v/>
      </c>
      <c r="P52" s="54">
        <f>IF($B52="","",SUMIFS(Erfassung!$G$6:$G$5005,Erfassung!$B$6:$B$5005,$A52,Erfassung!$A$6:$A$5005,"&gt;="&amp;DATE(Einstellungen!$C$3,1,1),Erfassung!$A$6:$A$5005,"&lt;"&amp;DATE(Einstellungen!$C$3,2,1)))</f>
        <v/>
      </c>
      <c r="Q52" s="54">
        <f>IF($B52="","",SUMIFS(Erfassung!$G$6:$G$5005,Erfassung!$B$6:$B$5005,$A52,Erfassung!$A$6:$A$5005,"&gt;="&amp;DATE(Einstellungen!$C$3,2,1),Erfassung!$A$6:$A$5005,"&lt;"&amp;DATE(Einstellungen!$C$3,3,1)))</f>
        <v/>
      </c>
      <c r="R52" s="54">
        <f>IF($B52="","",SUMIFS(Erfassung!$G$6:$G$5005,Erfassung!$B$6:$B$5005,$A52,Erfassung!$A$6:$A$5005,"&gt;="&amp;DATE(Einstellungen!$C$3,3,1),Erfassung!$A$6:$A$5005,"&lt;"&amp;DATE(Einstellungen!$C$3,4,1)))</f>
        <v/>
      </c>
      <c r="S52" s="54">
        <f>IF($B52="","",SUMIFS(Erfassung!$G$6:$G$5005,Erfassung!$B$6:$B$5005,$A52,Erfassung!$A$6:$A$5005,"&gt;="&amp;DATE(Einstellungen!$C$3,4,1),Erfassung!$A$6:$A$5005,"&lt;"&amp;DATE(Einstellungen!$C$3,5,1)))</f>
        <v/>
      </c>
      <c r="T52" s="54">
        <f>IF($B52="","",SUMIFS(Erfassung!$G$6:$G$5005,Erfassung!$B$6:$B$5005,$A52,Erfassung!$A$6:$A$5005,"&gt;="&amp;DATE(Einstellungen!$C$3,5,1),Erfassung!$A$6:$A$5005,"&lt;"&amp;DATE(Einstellungen!$C$3,6,1)))</f>
        <v/>
      </c>
      <c r="U52" s="54">
        <f>IF($B52="","",SUMIFS(Erfassung!$G$6:$G$5005,Erfassung!$B$6:$B$5005,$A52,Erfassung!$A$6:$A$5005,"&gt;="&amp;DATE(Einstellungen!$C$3,6,1),Erfassung!$A$6:$A$5005,"&lt;"&amp;DATE(Einstellungen!$C$3,7,1)))</f>
        <v/>
      </c>
      <c r="V52" s="54">
        <f>IF($B52="","",SUMIFS(Erfassung!$G$6:$G$5005,Erfassung!$B$6:$B$5005,$A52,Erfassung!$A$6:$A$5005,"&gt;="&amp;DATE(Einstellungen!$C$3,7,1),Erfassung!$A$6:$A$5005,"&lt;"&amp;DATE(Einstellungen!$C$3,8,1)))</f>
        <v/>
      </c>
      <c r="W52" s="54">
        <f>IF($B52="","",SUMIFS(Erfassung!$G$6:$G$5005,Erfassung!$B$6:$B$5005,$A52,Erfassung!$A$6:$A$5005,"&gt;="&amp;DATE(Einstellungen!$C$3,8,1),Erfassung!$A$6:$A$5005,"&lt;"&amp;DATE(Einstellungen!$C$3,9,1)))</f>
        <v/>
      </c>
      <c r="X52" s="54">
        <f>IF($B52="","",SUMIFS(Erfassung!$G$6:$G$5005,Erfassung!$B$6:$B$5005,$A52,Erfassung!$A$6:$A$5005,"&gt;="&amp;DATE(Einstellungen!$C$3,9,1),Erfassung!$A$6:$A$5005,"&lt;"&amp;DATE(Einstellungen!$C$3,10,1)))</f>
        <v/>
      </c>
      <c r="Y52" s="54">
        <f>IF($B52="","",SUMIFS(Erfassung!$G$6:$G$5005,Erfassung!$B$6:$B$5005,$A52,Erfassung!$A$6:$A$5005,"&gt;="&amp;DATE(Einstellungen!$C$3,10,1),Erfassung!$A$6:$A$5005,"&lt;"&amp;DATE(Einstellungen!$C$3,11,1)))</f>
        <v/>
      </c>
      <c r="Z52" s="54">
        <f>IF($B52="","",SUMIFS(Erfassung!$G$6:$G$5005,Erfassung!$B$6:$B$5005,$A52,Erfassung!$A$6:$A$5005,"&gt;="&amp;DATE(Einstellungen!$C$3,11,1),Erfassung!$A$6:$A$5005,"&lt;"&amp;DATE(Einstellungen!$C$3,12,1)))</f>
        <v/>
      </c>
      <c r="AA52" s="54">
        <f>IF($B52="","",SUMIFS(Erfassung!$G$6:$G$5005,Erfassung!$B$6:$B$5005,$A52,Erfassung!$A$6:$A$5005,"&gt;="&amp;DATE(Einstellungen!$C$3,12,1),Erfassung!$A$6:$A$5005,"&lt;"&amp;DATE(Einstellungen!$C$3,13,1)))</f>
        <v/>
      </c>
      <c r="AB52" s="45">
        <f>IF($B52="","",SUM(P52:AA52))</f>
        <v/>
      </c>
      <c r="AC52" s="38">
        <f>IF($B52="","",IF(O52+AB52&gt;0,AB52/(O52+AB52),""))</f>
        <v/>
      </c>
    </row>
    <row r="53">
      <c r="A53" s="56">
        <f>'KQuote Mitarbeiter'!A53</f>
        <v/>
      </c>
      <c r="B53" s="57">
        <f>'KQuote Mitarbeiter'!B53</f>
        <v/>
      </c>
      <c r="C53" s="54">
        <f>IF($B53="","",SUMIFS(Erfassung!$E$6:$E$5005,Erfassung!$B$6:$B$5005,$A53,Erfassung!$A$6:$A$5005,"&gt;="&amp;DATE(Einstellungen!$C$3,1,1),Erfassung!$A$6:$A$5005,"&lt;"&amp;DATE(Einstellungen!$C$3,2,1)))</f>
        <v/>
      </c>
      <c r="D53" s="54">
        <f>IF($B53="","",SUMIFS(Erfassung!$E$6:$E$5005,Erfassung!$B$6:$B$5005,$A53,Erfassung!$A$6:$A$5005,"&gt;="&amp;DATE(Einstellungen!$C$3,2,1),Erfassung!$A$6:$A$5005,"&lt;"&amp;DATE(Einstellungen!$C$3,3,1)))</f>
        <v/>
      </c>
      <c r="E53" s="54">
        <f>IF($B53="","",SUMIFS(Erfassung!$E$6:$E$5005,Erfassung!$B$6:$B$5005,$A53,Erfassung!$A$6:$A$5005,"&gt;="&amp;DATE(Einstellungen!$C$3,3,1),Erfassung!$A$6:$A$5005,"&lt;"&amp;DATE(Einstellungen!$C$3,4,1)))</f>
        <v/>
      </c>
      <c r="F53" s="54">
        <f>IF($B53="","",SUMIFS(Erfassung!$E$6:$E$5005,Erfassung!$B$6:$B$5005,$A53,Erfassung!$A$6:$A$5005,"&gt;="&amp;DATE(Einstellungen!$C$3,4,1),Erfassung!$A$6:$A$5005,"&lt;"&amp;DATE(Einstellungen!$C$3,5,1)))</f>
        <v/>
      </c>
      <c r="G53" s="54">
        <f>IF($B53="","",SUMIFS(Erfassung!$E$6:$E$5005,Erfassung!$B$6:$B$5005,$A53,Erfassung!$A$6:$A$5005,"&gt;="&amp;DATE(Einstellungen!$C$3,5,1),Erfassung!$A$6:$A$5005,"&lt;"&amp;DATE(Einstellungen!$C$3,6,1)))</f>
        <v/>
      </c>
      <c r="H53" s="54">
        <f>IF($B53="","",SUMIFS(Erfassung!$E$6:$E$5005,Erfassung!$B$6:$B$5005,$A53,Erfassung!$A$6:$A$5005,"&gt;="&amp;DATE(Einstellungen!$C$3,6,1),Erfassung!$A$6:$A$5005,"&lt;"&amp;DATE(Einstellungen!$C$3,7,1)))</f>
        <v/>
      </c>
      <c r="I53" s="54">
        <f>IF($B53="","",SUMIFS(Erfassung!$E$6:$E$5005,Erfassung!$B$6:$B$5005,$A53,Erfassung!$A$6:$A$5005,"&gt;="&amp;DATE(Einstellungen!$C$3,7,1),Erfassung!$A$6:$A$5005,"&lt;"&amp;DATE(Einstellungen!$C$3,8,1)))</f>
        <v/>
      </c>
      <c r="J53" s="54">
        <f>IF($B53="","",SUMIFS(Erfassung!$E$6:$E$5005,Erfassung!$B$6:$B$5005,$A53,Erfassung!$A$6:$A$5005,"&gt;="&amp;DATE(Einstellungen!$C$3,8,1),Erfassung!$A$6:$A$5005,"&lt;"&amp;DATE(Einstellungen!$C$3,9,1)))</f>
        <v/>
      </c>
      <c r="K53" s="54">
        <f>IF($B53="","",SUMIFS(Erfassung!$E$6:$E$5005,Erfassung!$B$6:$B$5005,$A53,Erfassung!$A$6:$A$5005,"&gt;="&amp;DATE(Einstellungen!$C$3,9,1),Erfassung!$A$6:$A$5005,"&lt;"&amp;DATE(Einstellungen!$C$3,10,1)))</f>
        <v/>
      </c>
      <c r="L53" s="54">
        <f>IF($B53="","",SUMIFS(Erfassung!$E$6:$E$5005,Erfassung!$B$6:$B$5005,$A53,Erfassung!$A$6:$A$5005,"&gt;="&amp;DATE(Einstellungen!$C$3,10,1),Erfassung!$A$6:$A$5005,"&lt;"&amp;DATE(Einstellungen!$C$3,11,1)))</f>
        <v/>
      </c>
      <c r="M53" s="54">
        <f>IF($B53="","",SUMIFS(Erfassung!$E$6:$E$5005,Erfassung!$B$6:$B$5005,$A53,Erfassung!$A$6:$A$5005,"&gt;="&amp;DATE(Einstellungen!$C$3,11,1),Erfassung!$A$6:$A$5005,"&lt;"&amp;DATE(Einstellungen!$C$3,12,1)))</f>
        <v/>
      </c>
      <c r="N53" s="54">
        <f>IF($B53="","",SUMIFS(Erfassung!$E$6:$E$5005,Erfassung!$B$6:$B$5005,$A53,Erfassung!$A$6:$A$5005,"&gt;="&amp;DATE(Einstellungen!$C$3,12,1),Erfassung!$A$6:$A$5005,"&lt;"&amp;DATE(Einstellungen!$C$3,13,1)))</f>
        <v/>
      </c>
      <c r="O53" s="45">
        <f>IF($B53="","",SUM(C53:N53))</f>
        <v/>
      </c>
      <c r="P53" s="54">
        <f>IF($B53="","",SUMIFS(Erfassung!$G$6:$G$5005,Erfassung!$B$6:$B$5005,$A53,Erfassung!$A$6:$A$5005,"&gt;="&amp;DATE(Einstellungen!$C$3,1,1),Erfassung!$A$6:$A$5005,"&lt;"&amp;DATE(Einstellungen!$C$3,2,1)))</f>
        <v/>
      </c>
      <c r="Q53" s="54">
        <f>IF($B53="","",SUMIFS(Erfassung!$G$6:$G$5005,Erfassung!$B$6:$B$5005,$A53,Erfassung!$A$6:$A$5005,"&gt;="&amp;DATE(Einstellungen!$C$3,2,1),Erfassung!$A$6:$A$5005,"&lt;"&amp;DATE(Einstellungen!$C$3,3,1)))</f>
        <v/>
      </c>
      <c r="R53" s="54">
        <f>IF($B53="","",SUMIFS(Erfassung!$G$6:$G$5005,Erfassung!$B$6:$B$5005,$A53,Erfassung!$A$6:$A$5005,"&gt;="&amp;DATE(Einstellungen!$C$3,3,1),Erfassung!$A$6:$A$5005,"&lt;"&amp;DATE(Einstellungen!$C$3,4,1)))</f>
        <v/>
      </c>
      <c r="S53" s="54">
        <f>IF($B53="","",SUMIFS(Erfassung!$G$6:$G$5005,Erfassung!$B$6:$B$5005,$A53,Erfassung!$A$6:$A$5005,"&gt;="&amp;DATE(Einstellungen!$C$3,4,1),Erfassung!$A$6:$A$5005,"&lt;"&amp;DATE(Einstellungen!$C$3,5,1)))</f>
        <v/>
      </c>
      <c r="T53" s="54">
        <f>IF($B53="","",SUMIFS(Erfassung!$G$6:$G$5005,Erfassung!$B$6:$B$5005,$A53,Erfassung!$A$6:$A$5005,"&gt;="&amp;DATE(Einstellungen!$C$3,5,1),Erfassung!$A$6:$A$5005,"&lt;"&amp;DATE(Einstellungen!$C$3,6,1)))</f>
        <v/>
      </c>
      <c r="U53" s="54">
        <f>IF($B53="","",SUMIFS(Erfassung!$G$6:$G$5005,Erfassung!$B$6:$B$5005,$A53,Erfassung!$A$6:$A$5005,"&gt;="&amp;DATE(Einstellungen!$C$3,6,1),Erfassung!$A$6:$A$5005,"&lt;"&amp;DATE(Einstellungen!$C$3,7,1)))</f>
        <v/>
      </c>
      <c r="V53" s="54">
        <f>IF($B53="","",SUMIFS(Erfassung!$G$6:$G$5005,Erfassung!$B$6:$B$5005,$A53,Erfassung!$A$6:$A$5005,"&gt;="&amp;DATE(Einstellungen!$C$3,7,1),Erfassung!$A$6:$A$5005,"&lt;"&amp;DATE(Einstellungen!$C$3,8,1)))</f>
        <v/>
      </c>
      <c r="W53" s="54">
        <f>IF($B53="","",SUMIFS(Erfassung!$G$6:$G$5005,Erfassung!$B$6:$B$5005,$A53,Erfassung!$A$6:$A$5005,"&gt;="&amp;DATE(Einstellungen!$C$3,8,1),Erfassung!$A$6:$A$5005,"&lt;"&amp;DATE(Einstellungen!$C$3,9,1)))</f>
        <v/>
      </c>
      <c r="X53" s="54">
        <f>IF($B53="","",SUMIFS(Erfassung!$G$6:$G$5005,Erfassung!$B$6:$B$5005,$A53,Erfassung!$A$6:$A$5005,"&gt;="&amp;DATE(Einstellungen!$C$3,9,1),Erfassung!$A$6:$A$5005,"&lt;"&amp;DATE(Einstellungen!$C$3,10,1)))</f>
        <v/>
      </c>
      <c r="Y53" s="54">
        <f>IF($B53="","",SUMIFS(Erfassung!$G$6:$G$5005,Erfassung!$B$6:$B$5005,$A53,Erfassung!$A$6:$A$5005,"&gt;="&amp;DATE(Einstellungen!$C$3,10,1),Erfassung!$A$6:$A$5005,"&lt;"&amp;DATE(Einstellungen!$C$3,11,1)))</f>
        <v/>
      </c>
      <c r="Z53" s="54">
        <f>IF($B53="","",SUMIFS(Erfassung!$G$6:$G$5005,Erfassung!$B$6:$B$5005,$A53,Erfassung!$A$6:$A$5005,"&gt;="&amp;DATE(Einstellungen!$C$3,11,1),Erfassung!$A$6:$A$5005,"&lt;"&amp;DATE(Einstellungen!$C$3,12,1)))</f>
        <v/>
      </c>
      <c r="AA53" s="54">
        <f>IF($B53="","",SUMIFS(Erfassung!$G$6:$G$5005,Erfassung!$B$6:$B$5005,$A53,Erfassung!$A$6:$A$5005,"&gt;="&amp;DATE(Einstellungen!$C$3,12,1),Erfassung!$A$6:$A$5005,"&lt;"&amp;DATE(Einstellungen!$C$3,13,1)))</f>
        <v/>
      </c>
      <c r="AB53" s="45">
        <f>IF($B53="","",SUM(P53:AA53))</f>
        <v/>
      </c>
      <c r="AC53" s="38">
        <f>IF($B53="","",IF(O53+AB53&gt;0,AB53/(O53+AB53),""))</f>
        <v/>
      </c>
    </row>
    <row r="54">
      <c r="A54" s="56">
        <f>'KQuote Mitarbeiter'!A54</f>
        <v/>
      </c>
      <c r="B54" s="57">
        <f>'KQuote Mitarbeiter'!B54</f>
        <v/>
      </c>
      <c r="C54" s="54">
        <f>IF($B54="","",SUMIFS(Erfassung!$E$6:$E$5005,Erfassung!$B$6:$B$5005,$A54,Erfassung!$A$6:$A$5005,"&gt;="&amp;DATE(Einstellungen!$C$3,1,1),Erfassung!$A$6:$A$5005,"&lt;"&amp;DATE(Einstellungen!$C$3,2,1)))</f>
        <v/>
      </c>
      <c r="D54" s="54">
        <f>IF($B54="","",SUMIFS(Erfassung!$E$6:$E$5005,Erfassung!$B$6:$B$5005,$A54,Erfassung!$A$6:$A$5005,"&gt;="&amp;DATE(Einstellungen!$C$3,2,1),Erfassung!$A$6:$A$5005,"&lt;"&amp;DATE(Einstellungen!$C$3,3,1)))</f>
        <v/>
      </c>
      <c r="E54" s="54">
        <f>IF($B54="","",SUMIFS(Erfassung!$E$6:$E$5005,Erfassung!$B$6:$B$5005,$A54,Erfassung!$A$6:$A$5005,"&gt;="&amp;DATE(Einstellungen!$C$3,3,1),Erfassung!$A$6:$A$5005,"&lt;"&amp;DATE(Einstellungen!$C$3,4,1)))</f>
        <v/>
      </c>
      <c r="F54" s="54">
        <f>IF($B54="","",SUMIFS(Erfassung!$E$6:$E$5005,Erfassung!$B$6:$B$5005,$A54,Erfassung!$A$6:$A$5005,"&gt;="&amp;DATE(Einstellungen!$C$3,4,1),Erfassung!$A$6:$A$5005,"&lt;"&amp;DATE(Einstellungen!$C$3,5,1)))</f>
        <v/>
      </c>
      <c r="G54" s="54">
        <f>IF($B54="","",SUMIFS(Erfassung!$E$6:$E$5005,Erfassung!$B$6:$B$5005,$A54,Erfassung!$A$6:$A$5005,"&gt;="&amp;DATE(Einstellungen!$C$3,5,1),Erfassung!$A$6:$A$5005,"&lt;"&amp;DATE(Einstellungen!$C$3,6,1)))</f>
        <v/>
      </c>
      <c r="H54" s="54">
        <f>IF($B54="","",SUMIFS(Erfassung!$E$6:$E$5005,Erfassung!$B$6:$B$5005,$A54,Erfassung!$A$6:$A$5005,"&gt;="&amp;DATE(Einstellungen!$C$3,6,1),Erfassung!$A$6:$A$5005,"&lt;"&amp;DATE(Einstellungen!$C$3,7,1)))</f>
        <v/>
      </c>
      <c r="I54" s="54">
        <f>IF($B54="","",SUMIFS(Erfassung!$E$6:$E$5005,Erfassung!$B$6:$B$5005,$A54,Erfassung!$A$6:$A$5005,"&gt;="&amp;DATE(Einstellungen!$C$3,7,1),Erfassung!$A$6:$A$5005,"&lt;"&amp;DATE(Einstellungen!$C$3,8,1)))</f>
        <v/>
      </c>
      <c r="J54" s="54">
        <f>IF($B54="","",SUMIFS(Erfassung!$E$6:$E$5005,Erfassung!$B$6:$B$5005,$A54,Erfassung!$A$6:$A$5005,"&gt;="&amp;DATE(Einstellungen!$C$3,8,1),Erfassung!$A$6:$A$5005,"&lt;"&amp;DATE(Einstellungen!$C$3,9,1)))</f>
        <v/>
      </c>
      <c r="K54" s="54">
        <f>IF($B54="","",SUMIFS(Erfassung!$E$6:$E$5005,Erfassung!$B$6:$B$5005,$A54,Erfassung!$A$6:$A$5005,"&gt;="&amp;DATE(Einstellungen!$C$3,9,1),Erfassung!$A$6:$A$5005,"&lt;"&amp;DATE(Einstellungen!$C$3,10,1)))</f>
        <v/>
      </c>
      <c r="L54" s="54">
        <f>IF($B54="","",SUMIFS(Erfassung!$E$6:$E$5005,Erfassung!$B$6:$B$5005,$A54,Erfassung!$A$6:$A$5005,"&gt;="&amp;DATE(Einstellungen!$C$3,10,1),Erfassung!$A$6:$A$5005,"&lt;"&amp;DATE(Einstellungen!$C$3,11,1)))</f>
        <v/>
      </c>
      <c r="M54" s="54">
        <f>IF($B54="","",SUMIFS(Erfassung!$E$6:$E$5005,Erfassung!$B$6:$B$5005,$A54,Erfassung!$A$6:$A$5005,"&gt;="&amp;DATE(Einstellungen!$C$3,11,1),Erfassung!$A$6:$A$5005,"&lt;"&amp;DATE(Einstellungen!$C$3,12,1)))</f>
        <v/>
      </c>
      <c r="N54" s="54">
        <f>IF($B54="","",SUMIFS(Erfassung!$E$6:$E$5005,Erfassung!$B$6:$B$5005,$A54,Erfassung!$A$6:$A$5005,"&gt;="&amp;DATE(Einstellungen!$C$3,12,1),Erfassung!$A$6:$A$5005,"&lt;"&amp;DATE(Einstellungen!$C$3,13,1)))</f>
        <v/>
      </c>
      <c r="O54" s="45">
        <f>IF($B54="","",SUM(C54:N54))</f>
        <v/>
      </c>
      <c r="P54" s="54">
        <f>IF($B54="","",SUMIFS(Erfassung!$G$6:$G$5005,Erfassung!$B$6:$B$5005,$A54,Erfassung!$A$6:$A$5005,"&gt;="&amp;DATE(Einstellungen!$C$3,1,1),Erfassung!$A$6:$A$5005,"&lt;"&amp;DATE(Einstellungen!$C$3,2,1)))</f>
        <v/>
      </c>
      <c r="Q54" s="54">
        <f>IF($B54="","",SUMIFS(Erfassung!$G$6:$G$5005,Erfassung!$B$6:$B$5005,$A54,Erfassung!$A$6:$A$5005,"&gt;="&amp;DATE(Einstellungen!$C$3,2,1),Erfassung!$A$6:$A$5005,"&lt;"&amp;DATE(Einstellungen!$C$3,3,1)))</f>
        <v/>
      </c>
      <c r="R54" s="54">
        <f>IF($B54="","",SUMIFS(Erfassung!$G$6:$G$5005,Erfassung!$B$6:$B$5005,$A54,Erfassung!$A$6:$A$5005,"&gt;="&amp;DATE(Einstellungen!$C$3,3,1),Erfassung!$A$6:$A$5005,"&lt;"&amp;DATE(Einstellungen!$C$3,4,1)))</f>
        <v/>
      </c>
      <c r="S54" s="54">
        <f>IF($B54="","",SUMIFS(Erfassung!$G$6:$G$5005,Erfassung!$B$6:$B$5005,$A54,Erfassung!$A$6:$A$5005,"&gt;="&amp;DATE(Einstellungen!$C$3,4,1),Erfassung!$A$6:$A$5005,"&lt;"&amp;DATE(Einstellungen!$C$3,5,1)))</f>
        <v/>
      </c>
      <c r="T54" s="54">
        <f>IF($B54="","",SUMIFS(Erfassung!$G$6:$G$5005,Erfassung!$B$6:$B$5005,$A54,Erfassung!$A$6:$A$5005,"&gt;="&amp;DATE(Einstellungen!$C$3,5,1),Erfassung!$A$6:$A$5005,"&lt;"&amp;DATE(Einstellungen!$C$3,6,1)))</f>
        <v/>
      </c>
      <c r="U54" s="54">
        <f>IF($B54="","",SUMIFS(Erfassung!$G$6:$G$5005,Erfassung!$B$6:$B$5005,$A54,Erfassung!$A$6:$A$5005,"&gt;="&amp;DATE(Einstellungen!$C$3,6,1),Erfassung!$A$6:$A$5005,"&lt;"&amp;DATE(Einstellungen!$C$3,7,1)))</f>
        <v/>
      </c>
      <c r="V54" s="54">
        <f>IF($B54="","",SUMIFS(Erfassung!$G$6:$G$5005,Erfassung!$B$6:$B$5005,$A54,Erfassung!$A$6:$A$5005,"&gt;="&amp;DATE(Einstellungen!$C$3,7,1),Erfassung!$A$6:$A$5005,"&lt;"&amp;DATE(Einstellungen!$C$3,8,1)))</f>
        <v/>
      </c>
      <c r="W54" s="54">
        <f>IF($B54="","",SUMIFS(Erfassung!$G$6:$G$5005,Erfassung!$B$6:$B$5005,$A54,Erfassung!$A$6:$A$5005,"&gt;="&amp;DATE(Einstellungen!$C$3,8,1),Erfassung!$A$6:$A$5005,"&lt;"&amp;DATE(Einstellungen!$C$3,9,1)))</f>
        <v/>
      </c>
      <c r="X54" s="54">
        <f>IF($B54="","",SUMIFS(Erfassung!$G$6:$G$5005,Erfassung!$B$6:$B$5005,$A54,Erfassung!$A$6:$A$5005,"&gt;="&amp;DATE(Einstellungen!$C$3,9,1),Erfassung!$A$6:$A$5005,"&lt;"&amp;DATE(Einstellungen!$C$3,10,1)))</f>
        <v/>
      </c>
      <c r="Y54" s="54">
        <f>IF($B54="","",SUMIFS(Erfassung!$G$6:$G$5005,Erfassung!$B$6:$B$5005,$A54,Erfassung!$A$6:$A$5005,"&gt;="&amp;DATE(Einstellungen!$C$3,10,1),Erfassung!$A$6:$A$5005,"&lt;"&amp;DATE(Einstellungen!$C$3,11,1)))</f>
        <v/>
      </c>
      <c r="Z54" s="54">
        <f>IF($B54="","",SUMIFS(Erfassung!$G$6:$G$5005,Erfassung!$B$6:$B$5005,$A54,Erfassung!$A$6:$A$5005,"&gt;="&amp;DATE(Einstellungen!$C$3,11,1),Erfassung!$A$6:$A$5005,"&lt;"&amp;DATE(Einstellungen!$C$3,12,1)))</f>
        <v/>
      </c>
      <c r="AA54" s="54">
        <f>IF($B54="","",SUMIFS(Erfassung!$G$6:$G$5005,Erfassung!$B$6:$B$5005,$A54,Erfassung!$A$6:$A$5005,"&gt;="&amp;DATE(Einstellungen!$C$3,12,1),Erfassung!$A$6:$A$5005,"&lt;"&amp;DATE(Einstellungen!$C$3,13,1)))</f>
        <v/>
      </c>
      <c r="AB54" s="45">
        <f>IF($B54="","",SUM(P54:AA54))</f>
        <v/>
      </c>
      <c r="AC54" s="38">
        <f>IF($B54="","",IF(O54+AB54&gt;0,AB54/(O54+AB54),""))</f>
        <v/>
      </c>
    </row>
    <row r="55">
      <c r="A55" s="56">
        <f>'KQuote Mitarbeiter'!A55</f>
        <v/>
      </c>
      <c r="B55" s="57">
        <f>'KQuote Mitarbeiter'!B55</f>
        <v/>
      </c>
      <c r="C55" s="54">
        <f>IF($B55="","",SUMIFS(Erfassung!$E$6:$E$5005,Erfassung!$B$6:$B$5005,$A55,Erfassung!$A$6:$A$5005,"&gt;="&amp;DATE(Einstellungen!$C$3,1,1),Erfassung!$A$6:$A$5005,"&lt;"&amp;DATE(Einstellungen!$C$3,2,1)))</f>
        <v/>
      </c>
      <c r="D55" s="54">
        <f>IF($B55="","",SUMIFS(Erfassung!$E$6:$E$5005,Erfassung!$B$6:$B$5005,$A55,Erfassung!$A$6:$A$5005,"&gt;="&amp;DATE(Einstellungen!$C$3,2,1),Erfassung!$A$6:$A$5005,"&lt;"&amp;DATE(Einstellungen!$C$3,3,1)))</f>
        <v/>
      </c>
      <c r="E55" s="54">
        <f>IF($B55="","",SUMIFS(Erfassung!$E$6:$E$5005,Erfassung!$B$6:$B$5005,$A55,Erfassung!$A$6:$A$5005,"&gt;="&amp;DATE(Einstellungen!$C$3,3,1),Erfassung!$A$6:$A$5005,"&lt;"&amp;DATE(Einstellungen!$C$3,4,1)))</f>
        <v/>
      </c>
      <c r="F55" s="54">
        <f>IF($B55="","",SUMIFS(Erfassung!$E$6:$E$5005,Erfassung!$B$6:$B$5005,$A55,Erfassung!$A$6:$A$5005,"&gt;="&amp;DATE(Einstellungen!$C$3,4,1),Erfassung!$A$6:$A$5005,"&lt;"&amp;DATE(Einstellungen!$C$3,5,1)))</f>
        <v/>
      </c>
      <c r="G55" s="54">
        <f>IF($B55="","",SUMIFS(Erfassung!$E$6:$E$5005,Erfassung!$B$6:$B$5005,$A55,Erfassung!$A$6:$A$5005,"&gt;="&amp;DATE(Einstellungen!$C$3,5,1),Erfassung!$A$6:$A$5005,"&lt;"&amp;DATE(Einstellungen!$C$3,6,1)))</f>
        <v/>
      </c>
      <c r="H55" s="54">
        <f>IF($B55="","",SUMIFS(Erfassung!$E$6:$E$5005,Erfassung!$B$6:$B$5005,$A55,Erfassung!$A$6:$A$5005,"&gt;="&amp;DATE(Einstellungen!$C$3,6,1),Erfassung!$A$6:$A$5005,"&lt;"&amp;DATE(Einstellungen!$C$3,7,1)))</f>
        <v/>
      </c>
      <c r="I55" s="54">
        <f>IF($B55="","",SUMIFS(Erfassung!$E$6:$E$5005,Erfassung!$B$6:$B$5005,$A55,Erfassung!$A$6:$A$5005,"&gt;="&amp;DATE(Einstellungen!$C$3,7,1),Erfassung!$A$6:$A$5005,"&lt;"&amp;DATE(Einstellungen!$C$3,8,1)))</f>
        <v/>
      </c>
      <c r="J55" s="54">
        <f>IF($B55="","",SUMIFS(Erfassung!$E$6:$E$5005,Erfassung!$B$6:$B$5005,$A55,Erfassung!$A$6:$A$5005,"&gt;="&amp;DATE(Einstellungen!$C$3,8,1),Erfassung!$A$6:$A$5005,"&lt;"&amp;DATE(Einstellungen!$C$3,9,1)))</f>
        <v/>
      </c>
      <c r="K55" s="54">
        <f>IF($B55="","",SUMIFS(Erfassung!$E$6:$E$5005,Erfassung!$B$6:$B$5005,$A55,Erfassung!$A$6:$A$5005,"&gt;="&amp;DATE(Einstellungen!$C$3,9,1),Erfassung!$A$6:$A$5005,"&lt;"&amp;DATE(Einstellungen!$C$3,10,1)))</f>
        <v/>
      </c>
      <c r="L55" s="54">
        <f>IF($B55="","",SUMIFS(Erfassung!$E$6:$E$5005,Erfassung!$B$6:$B$5005,$A55,Erfassung!$A$6:$A$5005,"&gt;="&amp;DATE(Einstellungen!$C$3,10,1),Erfassung!$A$6:$A$5005,"&lt;"&amp;DATE(Einstellungen!$C$3,11,1)))</f>
        <v/>
      </c>
      <c r="M55" s="54">
        <f>IF($B55="","",SUMIFS(Erfassung!$E$6:$E$5005,Erfassung!$B$6:$B$5005,$A55,Erfassung!$A$6:$A$5005,"&gt;="&amp;DATE(Einstellungen!$C$3,11,1),Erfassung!$A$6:$A$5005,"&lt;"&amp;DATE(Einstellungen!$C$3,12,1)))</f>
        <v/>
      </c>
      <c r="N55" s="54">
        <f>IF($B55="","",SUMIFS(Erfassung!$E$6:$E$5005,Erfassung!$B$6:$B$5005,$A55,Erfassung!$A$6:$A$5005,"&gt;="&amp;DATE(Einstellungen!$C$3,12,1),Erfassung!$A$6:$A$5005,"&lt;"&amp;DATE(Einstellungen!$C$3,13,1)))</f>
        <v/>
      </c>
      <c r="O55" s="45">
        <f>IF($B55="","",SUM(C55:N55))</f>
        <v/>
      </c>
      <c r="P55" s="54">
        <f>IF($B55="","",SUMIFS(Erfassung!$G$6:$G$5005,Erfassung!$B$6:$B$5005,$A55,Erfassung!$A$6:$A$5005,"&gt;="&amp;DATE(Einstellungen!$C$3,1,1),Erfassung!$A$6:$A$5005,"&lt;"&amp;DATE(Einstellungen!$C$3,2,1)))</f>
        <v/>
      </c>
      <c r="Q55" s="54">
        <f>IF($B55="","",SUMIFS(Erfassung!$G$6:$G$5005,Erfassung!$B$6:$B$5005,$A55,Erfassung!$A$6:$A$5005,"&gt;="&amp;DATE(Einstellungen!$C$3,2,1),Erfassung!$A$6:$A$5005,"&lt;"&amp;DATE(Einstellungen!$C$3,3,1)))</f>
        <v/>
      </c>
      <c r="R55" s="54">
        <f>IF($B55="","",SUMIFS(Erfassung!$G$6:$G$5005,Erfassung!$B$6:$B$5005,$A55,Erfassung!$A$6:$A$5005,"&gt;="&amp;DATE(Einstellungen!$C$3,3,1),Erfassung!$A$6:$A$5005,"&lt;"&amp;DATE(Einstellungen!$C$3,4,1)))</f>
        <v/>
      </c>
      <c r="S55" s="54">
        <f>IF($B55="","",SUMIFS(Erfassung!$G$6:$G$5005,Erfassung!$B$6:$B$5005,$A55,Erfassung!$A$6:$A$5005,"&gt;="&amp;DATE(Einstellungen!$C$3,4,1),Erfassung!$A$6:$A$5005,"&lt;"&amp;DATE(Einstellungen!$C$3,5,1)))</f>
        <v/>
      </c>
      <c r="T55" s="54">
        <f>IF($B55="","",SUMIFS(Erfassung!$G$6:$G$5005,Erfassung!$B$6:$B$5005,$A55,Erfassung!$A$6:$A$5005,"&gt;="&amp;DATE(Einstellungen!$C$3,5,1),Erfassung!$A$6:$A$5005,"&lt;"&amp;DATE(Einstellungen!$C$3,6,1)))</f>
        <v/>
      </c>
      <c r="U55" s="54">
        <f>IF($B55="","",SUMIFS(Erfassung!$G$6:$G$5005,Erfassung!$B$6:$B$5005,$A55,Erfassung!$A$6:$A$5005,"&gt;="&amp;DATE(Einstellungen!$C$3,6,1),Erfassung!$A$6:$A$5005,"&lt;"&amp;DATE(Einstellungen!$C$3,7,1)))</f>
        <v/>
      </c>
      <c r="V55" s="54">
        <f>IF($B55="","",SUMIFS(Erfassung!$G$6:$G$5005,Erfassung!$B$6:$B$5005,$A55,Erfassung!$A$6:$A$5005,"&gt;="&amp;DATE(Einstellungen!$C$3,7,1),Erfassung!$A$6:$A$5005,"&lt;"&amp;DATE(Einstellungen!$C$3,8,1)))</f>
        <v/>
      </c>
      <c r="W55" s="54">
        <f>IF($B55="","",SUMIFS(Erfassung!$G$6:$G$5005,Erfassung!$B$6:$B$5005,$A55,Erfassung!$A$6:$A$5005,"&gt;="&amp;DATE(Einstellungen!$C$3,8,1),Erfassung!$A$6:$A$5005,"&lt;"&amp;DATE(Einstellungen!$C$3,9,1)))</f>
        <v/>
      </c>
      <c r="X55" s="54">
        <f>IF($B55="","",SUMIFS(Erfassung!$G$6:$G$5005,Erfassung!$B$6:$B$5005,$A55,Erfassung!$A$6:$A$5005,"&gt;="&amp;DATE(Einstellungen!$C$3,9,1),Erfassung!$A$6:$A$5005,"&lt;"&amp;DATE(Einstellungen!$C$3,10,1)))</f>
        <v/>
      </c>
      <c r="Y55" s="54">
        <f>IF($B55="","",SUMIFS(Erfassung!$G$6:$G$5005,Erfassung!$B$6:$B$5005,$A55,Erfassung!$A$6:$A$5005,"&gt;="&amp;DATE(Einstellungen!$C$3,10,1),Erfassung!$A$6:$A$5005,"&lt;"&amp;DATE(Einstellungen!$C$3,11,1)))</f>
        <v/>
      </c>
      <c r="Z55" s="54">
        <f>IF($B55="","",SUMIFS(Erfassung!$G$6:$G$5005,Erfassung!$B$6:$B$5005,$A55,Erfassung!$A$6:$A$5005,"&gt;="&amp;DATE(Einstellungen!$C$3,11,1),Erfassung!$A$6:$A$5005,"&lt;"&amp;DATE(Einstellungen!$C$3,12,1)))</f>
        <v/>
      </c>
      <c r="AA55" s="54">
        <f>IF($B55="","",SUMIFS(Erfassung!$G$6:$G$5005,Erfassung!$B$6:$B$5005,$A55,Erfassung!$A$6:$A$5005,"&gt;="&amp;DATE(Einstellungen!$C$3,12,1),Erfassung!$A$6:$A$5005,"&lt;"&amp;DATE(Einstellungen!$C$3,13,1)))</f>
        <v/>
      </c>
      <c r="AB55" s="45">
        <f>IF($B55="","",SUM(P55:AA55))</f>
        <v/>
      </c>
      <c r="AC55" s="38">
        <f>IF($B55="","",IF(O55+AB55&gt;0,AB55/(O55+AB55),""))</f>
        <v/>
      </c>
    </row>
    <row r="56">
      <c r="A56" s="56">
        <f>'KQuote Mitarbeiter'!A56</f>
        <v/>
      </c>
      <c r="B56" s="57">
        <f>'KQuote Mitarbeiter'!B56</f>
        <v/>
      </c>
      <c r="C56" s="54">
        <f>IF($B56="","",SUMIFS(Erfassung!$E$6:$E$5005,Erfassung!$B$6:$B$5005,$A56,Erfassung!$A$6:$A$5005,"&gt;="&amp;DATE(Einstellungen!$C$3,1,1),Erfassung!$A$6:$A$5005,"&lt;"&amp;DATE(Einstellungen!$C$3,2,1)))</f>
        <v/>
      </c>
      <c r="D56" s="54">
        <f>IF($B56="","",SUMIFS(Erfassung!$E$6:$E$5005,Erfassung!$B$6:$B$5005,$A56,Erfassung!$A$6:$A$5005,"&gt;="&amp;DATE(Einstellungen!$C$3,2,1),Erfassung!$A$6:$A$5005,"&lt;"&amp;DATE(Einstellungen!$C$3,3,1)))</f>
        <v/>
      </c>
      <c r="E56" s="54">
        <f>IF($B56="","",SUMIFS(Erfassung!$E$6:$E$5005,Erfassung!$B$6:$B$5005,$A56,Erfassung!$A$6:$A$5005,"&gt;="&amp;DATE(Einstellungen!$C$3,3,1),Erfassung!$A$6:$A$5005,"&lt;"&amp;DATE(Einstellungen!$C$3,4,1)))</f>
        <v/>
      </c>
      <c r="F56" s="54">
        <f>IF($B56="","",SUMIFS(Erfassung!$E$6:$E$5005,Erfassung!$B$6:$B$5005,$A56,Erfassung!$A$6:$A$5005,"&gt;="&amp;DATE(Einstellungen!$C$3,4,1),Erfassung!$A$6:$A$5005,"&lt;"&amp;DATE(Einstellungen!$C$3,5,1)))</f>
        <v/>
      </c>
      <c r="G56" s="54">
        <f>IF($B56="","",SUMIFS(Erfassung!$E$6:$E$5005,Erfassung!$B$6:$B$5005,$A56,Erfassung!$A$6:$A$5005,"&gt;="&amp;DATE(Einstellungen!$C$3,5,1),Erfassung!$A$6:$A$5005,"&lt;"&amp;DATE(Einstellungen!$C$3,6,1)))</f>
        <v/>
      </c>
      <c r="H56" s="54">
        <f>IF($B56="","",SUMIFS(Erfassung!$E$6:$E$5005,Erfassung!$B$6:$B$5005,$A56,Erfassung!$A$6:$A$5005,"&gt;="&amp;DATE(Einstellungen!$C$3,6,1),Erfassung!$A$6:$A$5005,"&lt;"&amp;DATE(Einstellungen!$C$3,7,1)))</f>
        <v/>
      </c>
      <c r="I56" s="54">
        <f>IF($B56="","",SUMIFS(Erfassung!$E$6:$E$5005,Erfassung!$B$6:$B$5005,$A56,Erfassung!$A$6:$A$5005,"&gt;="&amp;DATE(Einstellungen!$C$3,7,1),Erfassung!$A$6:$A$5005,"&lt;"&amp;DATE(Einstellungen!$C$3,8,1)))</f>
        <v/>
      </c>
      <c r="J56" s="54">
        <f>IF($B56="","",SUMIFS(Erfassung!$E$6:$E$5005,Erfassung!$B$6:$B$5005,$A56,Erfassung!$A$6:$A$5005,"&gt;="&amp;DATE(Einstellungen!$C$3,8,1),Erfassung!$A$6:$A$5005,"&lt;"&amp;DATE(Einstellungen!$C$3,9,1)))</f>
        <v/>
      </c>
      <c r="K56" s="54">
        <f>IF($B56="","",SUMIFS(Erfassung!$E$6:$E$5005,Erfassung!$B$6:$B$5005,$A56,Erfassung!$A$6:$A$5005,"&gt;="&amp;DATE(Einstellungen!$C$3,9,1),Erfassung!$A$6:$A$5005,"&lt;"&amp;DATE(Einstellungen!$C$3,10,1)))</f>
        <v/>
      </c>
      <c r="L56" s="54">
        <f>IF($B56="","",SUMIFS(Erfassung!$E$6:$E$5005,Erfassung!$B$6:$B$5005,$A56,Erfassung!$A$6:$A$5005,"&gt;="&amp;DATE(Einstellungen!$C$3,10,1),Erfassung!$A$6:$A$5005,"&lt;"&amp;DATE(Einstellungen!$C$3,11,1)))</f>
        <v/>
      </c>
      <c r="M56" s="54">
        <f>IF($B56="","",SUMIFS(Erfassung!$E$6:$E$5005,Erfassung!$B$6:$B$5005,$A56,Erfassung!$A$6:$A$5005,"&gt;="&amp;DATE(Einstellungen!$C$3,11,1),Erfassung!$A$6:$A$5005,"&lt;"&amp;DATE(Einstellungen!$C$3,12,1)))</f>
        <v/>
      </c>
      <c r="N56" s="54">
        <f>IF($B56="","",SUMIFS(Erfassung!$E$6:$E$5005,Erfassung!$B$6:$B$5005,$A56,Erfassung!$A$6:$A$5005,"&gt;="&amp;DATE(Einstellungen!$C$3,12,1),Erfassung!$A$6:$A$5005,"&lt;"&amp;DATE(Einstellungen!$C$3,13,1)))</f>
        <v/>
      </c>
      <c r="O56" s="45">
        <f>IF($B56="","",SUM(C56:N56))</f>
        <v/>
      </c>
      <c r="P56" s="54">
        <f>IF($B56="","",SUMIFS(Erfassung!$G$6:$G$5005,Erfassung!$B$6:$B$5005,$A56,Erfassung!$A$6:$A$5005,"&gt;="&amp;DATE(Einstellungen!$C$3,1,1),Erfassung!$A$6:$A$5005,"&lt;"&amp;DATE(Einstellungen!$C$3,2,1)))</f>
        <v/>
      </c>
      <c r="Q56" s="54">
        <f>IF($B56="","",SUMIFS(Erfassung!$G$6:$G$5005,Erfassung!$B$6:$B$5005,$A56,Erfassung!$A$6:$A$5005,"&gt;="&amp;DATE(Einstellungen!$C$3,2,1),Erfassung!$A$6:$A$5005,"&lt;"&amp;DATE(Einstellungen!$C$3,3,1)))</f>
        <v/>
      </c>
      <c r="R56" s="54">
        <f>IF($B56="","",SUMIFS(Erfassung!$G$6:$G$5005,Erfassung!$B$6:$B$5005,$A56,Erfassung!$A$6:$A$5005,"&gt;="&amp;DATE(Einstellungen!$C$3,3,1),Erfassung!$A$6:$A$5005,"&lt;"&amp;DATE(Einstellungen!$C$3,4,1)))</f>
        <v/>
      </c>
      <c r="S56" s="54">
        <f>IF($B56="","",SUMIFS(Erfassung!$G$6:$G$5005,Erfassung!$B$6:$B$5005,$A56,Erfassung!$A$6:$A$5005,"&gt;="&amp;DATE(Einstellungen!$C$3,4,1),Erfassung!$A$6:$A$5005,"&lt;"&amp;DATE(Einstellungen!$C$3,5,1)))</f>
        <v/>
      </c>
      <c r="T56" s="54">
        <f>IF($B56="","",SUMIFS(Erfassung!$G$6:$G$5005,Erfassung!$B$6:$B$5005,$A56,Erfassung!$A$6:$A$5005,"&gt;="&amp;DATE(Einstellungen!$C$3,5,1),Erfassung!$A$6:$A$5005,"&lt;"&amp;DATE(Einstellungen!$C$3,6,1)))</f>
        <v/>
      </c>
      <c r="U56" s="54">
        <f>IF($B56="","",SUMIFS(Erfassung!$G$6:$G$5005,Erfassung!$B$6:$B$5005,$A56,Erfassung!$A$6:$A$5005,"&gt;="&amp;DATE(Einstellungen!$C$3,6,1),Erfassung!$A$6:$A$5005,"&lt;"&amp;DATE(Einstellungen!$C$3,7,1)))</f>
        <v/>
      </c>
      <c r="V56" s="54">
        <f>IF($B56="","",SUMIFS(Erfassung!$G$6:$G$5005,Erfassung!$B$6:$B$5005,$A56,Erfassung!$A$6:$A$5005,"&gt;="&amp;DATE(Einstellungen!$C$3,7,1),Erfassung!$A$6:$A$5005,"&lt;"&amp;DATE(Einstellungen!$C$3,8,1)))</f>
        <v/>
      </c>
      <c r="W56" s="54">
        <f>IF($B56="","",SUMIFS(Erfassung!$G$6:$G$5005,Erfassung!$B$6:$B$5005,$A56,Erfassung!$A$6:$A$5005,"&gt;="&amp;DATE(Einstellungen!$C$3,8,1),Erfassung!$A$6:$A$5005,"&lt;"&amp;DATE(Einstellungen!$C$3,9,1)))</f>
        <v/>
      </c>
      <c r="X56" s="54">
        <f>IF($B56="","",SUMIFS(Erfassung!$G$6:$G$5005,Erfassung!$B$6:$B$5005,$A56,Erfassung!$A$6:$A$5005,"&gt;="&amp;DATE(Einstellungen!$C$3,9,1),Erfassung!$A$6:$A$5005,"&lt;"&amp;DATE(Einstellungen!$C$3,10,1)))</f>
        <v/>
      </c>
      <c r="Y56" s="54">
        <f>IF($B56="","",SUMIFS(Erfassung!$G$6:$G$5005,Erfassung!$B$6:$B$5005,$A56,Erfassung!$A$6:$A$5005,"&gt;="&amp;DATE(Einstellungen!$C$3,10,1),Erfassung!$A$6:$A$5005,"&lt;"&amp;DATE(Einstellungen!$C$3,11,1)))</f>
        <v/>
      </c>
      <c r="Z56" s="54">
        <f>IF($B56="","",SUMIFS(Erfassung!$G$6:$G$5005,Erfassung!$B$6:$B$5005,$A56,Erfassung!$A$6:$A$5005,"&gt;="&amp;DATE(Einstellungen!$C$3,11,1),Erfassung!$A$6:$A$5005,"&lt;"&amp;DATE(Einstellungen!$C$3,12,1)))</f>
        <v/>
      </c>
      <c r="AA56" s="54">
        <f>IF($B56="","",SUMIFS(Erfassung!$G$6:$G$5005,Erfassung!$B$6:$B$5005,$A56,Erfassung!$A$6:$A$5005,"&gt;="&amp;DATE(Einstellungen!$C$3,12,1),Erfassung!$A$6:$A$5005,"&lt;"&amp;DATE(Einstellungen!$C$3,13,1)))</f>
        <v/>
      </c>
      <c r="AB56" s="45">
        <f>IF($B56="","",SUM(P56:AA56))</f>
        <v/>
      </c>
      <c r="AC56" s="38">
        <f>IF($B56="","",IF(O56+AB56&gt;0,AB56/(O56+AB56),""))</f>
        <v/>
      </c>
    </row>
    <row r="57">
      <c r="A57" s="56">
        <f>'KQuote Mitarbeiter'!A57</f>
        <v/>
      </c>
      <c r="B57" s="57">
        <f>'KQuote Mitarbeiter'!B57</f>
        <v/>
      </c>
      <c r="C57" s="54">
        <f>IF($B57="","",SUMIFS(Erfassung!$E$6:$E$5005,Erfassung!$B$6:$B$5005,$A57,Erfassung!$A$6:$A$5005,"&gt;="&amp;DATE(Einstellungen!$C$3,1,1),Erfassung!$A$6:$A$5005,"&lt;"&amp;DATE(Einstellungen!$C$3,2,1)))</f>
        <v/>
      </c>
      <c r="D57" s="54">
        <f>IF($B57="","",SUMIFS(Erfassung!$E$6:$E$5005,Erfassung!$B$6:$B$5005,$A57,Erfassung!$A$6:$A$5005,"&gt;="&amp;DATE(Einstellungen!$C$3,2,1),Erfassung!$A$6:$A$5005,"&lt;"&amp;DATE(Einstellungen!$C$3,3,1)))</f>
        <v/>
      </c>
      <c r="E57" s="54">
        <f>IF($B57="","",SUMIFS(Erfassung!$E$6:$E$5005,Erfassung!$B$6:$B$5005,$A57,Erfassung!$A$6:$A$5005,"&gt;="&amp;DATE(Einstellungen!$C$3,3,1),Erfassung!$A$6:$A$5005,"&lt;"&amp;DATE(Einstellungen!$C$3,4,1)))</f>
        <v/>
      </c>
      <c r="F57" s="54">
        <f>IF($B57="","",SUMIFS(Erfassung!$E$6:$E$5005,Erfassung!$B$6:$B$5005,$A57,Erfassung!$A$6:$A$5005,"&gt;="&amp;DATE(Einstellungen!$C$3,4,1),Erfassung!$A$6:$A$5005,"&lt;"&amp;DATE(Einstellungen!$C$3,5,1)))</f>
        <v/>
      </c>
      <c r="G57" s="54">
        <f>IF($B57="","",SUMIFS(Erfassung!$E$6:$E$5005,Erfassung!$B$6:$B$5005,$A57,Erfassung!$A$6:$A$5005,"&gt;="&amp;DATE(Einstellungen!$C$3,5,1),Erfassung!$A$6:$A$5005,"&lt;"&amp;DATE(Einstellungen!$C$3,6,1)))</f>
        <v/>
      </c>
      <c r="H57" s="54">
        <f>IF($B57="","",SUMIFS(Erfassung!$E$6:$E$5005,Erfassung!$B$6:$B$5005,$A57,Erfassung!$A$6:$A$5005,"&gt;="&amp;DATE(Einstellungen!$C$3,6,1),Erfassung!$A$6:$A$5005,"&lt;"&amp;DATE(Einstellungen!$C$3,7,1)))</f>
        <v/>
      </c>
      <c r="I57" s="54">
        <f>IF($B57="","",SUMIFS(Erfassung!$E$6:$E$5005,Erfassung!$B$6:$B$5005,$A57,Erfassung!$A$6:$A$5005,"&gt;="&amp;DATE(Einstellungen!$C$3,7,1),Erfassung!$A$6:$A$5005,"&lt;"&amp;DATE(Einstellungen!$C$3,8,1)))</f>
        <v/>
      </c>
      <c r="J57" s="54">
        <f>IF($B57="","",SUMIFS(Erfassung!$E$6:$E$5005,Erfassung!$B$6:$B$5005,$A57,Erfassung!$A$6:$A$5005,"&gt;="&amp;DATE(Einstellungen!$C$3,8,1),Erfassung!$A$6:$A$5005,"&lt;"&amp;DATE(Einstellungen!$C$3,9,1)))</f>
        <v/>
      </c>
      <c r="K57" s="54">
        <f>IF($B57="","",SUMIFS(Erfassung!$E$6:$E$5005,Erfassung!$B$6:$B$5005,$A57,Erfassung!$A$6:$A$5005,"&gt;="&amp;DATE(Einstellungen!$C$3,9,1),Erfassung!$A$6:$A$5005,"&lt;"&amp;DATE(Einstellungen!$C$3,10,1)))</f>
        <v/>
      </c>
      <c r="L57" s="54">
        <f>IF($B57="","",SUMIFS(Erfassung!$E$6:$E$5005,Erfassung!$B$6:$B$5005,$A57,Erfassung!$A$6:$A$5005,"&gt;="&amp;DATE(Einstellungen!$C$3,10,1),Erfassung!$A$6:$A$5005,"&lt;"&amp;DATE(Einstellungen!$C$3,11,1)))</f>
        <v/>
      </c>
      <c r="M57" s="54">
        <f>IF($B57="","",SUMIFS(Erfassung!$E$6:$E$5005,Erfassung!$B$6:$B$5005,$A57,Erfassung!$A$6:$A$5005,"&gt;="&amp;DATE(Einstellungen!$C$3,11,1),Erfassung!$A$6:$A$5005,"&lt;"&amp;DATE(Einstellungen!$C$3,12,1)))</f>
        <v/>
      </c>
      <c r="N57" s="54">
        <f>IF($B57="","",SUMIFS(Erfassung!$E$6:$E$5005,Erfassung!$B$6:$B$5005,$A57,Erfassung!$A$6:$A$5005,"&gt;="&amp;DATE(Einstellungen!$C$3,12,1),Erfassung!$A$6:$A$5005,"&lt;"&amp;DATE(Einstellungen!$C$3,13,1)))</f>
        <v/>
      </c>
      <c r="O57" s="45">
        <f>IF($B57="","",SUM(C57:N57))</f>
        <v/>
      </c>
      <c r="P57" s="54">
        <f>IF($B57="","",SUMIFS(Erfassung!$G$6:$G$5005,Erfassung!$B$6:$B$5005,$A57,Erfassung!$A$6:$A$5005,"&gt;="&amp;DATE(Einstellungen!$C$3,1,1),Erfassung!$A$6:$A$5005,"&lt;"&amp;DATE(Einstellungen!$C$3,2,1)))</f>
        <v/>
      </c>
      <c r="Q57" s="54">
        <f>IF($B57="","",SUMIFS(Erfassung!$G$6:$G$5005,Erfassung!$B$6:$B$5005,$A57,Erfassung!$A$6:$A$5005,"&gt;="&amp;DATE(Einstellungen!$C$3,2,1),Erfassung!$A$6:$A$5005,"&lt;"&amp;DATE(Einstellungen!$C$3,3,1)))</f>
        <v/>
      </c>
      <c r="R57" s="54">
        <f>IF($B57="","",SUMIFS(Erfassung!$G$6:$G$5005,Erfassung!$B$6:$B$5005,$A57,Erfassung!$A$6:$A$5005,"&gt;="&amp;DATE(Einstellungen!$C$3,3,1),Erfassung!$A$6:$A$5005,"&lt;"&amp;DATE(Einstellungen!$C$3,4,1)))</f>
        <v/>
      </c>
      <c r="S57" s="54">
        <f>IF($B57="","",SUMIFS(Erfassung!$G$6:$G$5005,Erfassung!$B$6:$B$5005,$A57,Erfassung!$A$6:$A$5005,"&gt;="&amp;DATE(Einstellungen!$C$3,4,1),Erfassung!$A$6:$A$5005,"&lt;"&amp;DATE(Einstellungen!$C$3,5,1)))</f>
        <v/>
      </c>
      <c r="T57" s="54">
        <f>IF($B57="","",SUMIFS(Erfassung!$G$6:$G$5005,Erfassung!$B$6:$B$5005,$A57,Erfassung!$A$6:$A$5005,"&gt;="&amp;DATE(Einstellungen!$C$3,5,1),Erfassung!$A$6:$A$5005,"&lt;"&amp;DATE(Einstellungen!$C$3,6,1)))</f>
        <v/>
      </c>
      <c r="U57" s="54">
        <f>IF($B57="","",SUMIFS(Erfassung!$G$6:$G$5005,Erfassung!$B$6:$B$5005,$A57,Erfassung!$A$6:$A$5005,"&gt;="&amp;DATE(Einstellungen!$C$3,6,1),Erfassung!$A$6:$A$5005,"&lt;"&amp;DATE(Einstellungen!$C$3,7,1)))</f>
        <v/>
      </c>
      <c r="V57" s="54">
        <f>IF($B57="","",SUMIFS(Erfassung!$G$6:$G$5005,Erfassung!$B$6:$B$5005,$A57,Erfassung!$A$6:$A$5005,"&gt;="&amp;DATE(Einstellungen!$C$3,7,1),Erfassung!$A$6:$A$5005,"&lt;"&amp;DATE(Einstellungen!$C$3,8,1)))</f>
        <v/>
      </c>
      <c r="W57" s="54">
        <f>IF($B57="","",SUMIFS(Erfassung!$G$6:$G$5005,Erfassung!$B$6:$B$5005,$A57,Erfassung!$A$6:$A$5005,"&gt;="&amp;DATE(Einstellungen!$C$3,8,1),Erfassung!$A$6:$A$5005,"&lt;"&amp;DATE(Einstellungen!$C$3,9,1)))</f>
        <v/>
      </c>
      <c r="X57" s="54">
        <f>IF($B57="","",SUMIFS(Erfassung!$G$6:$G$5005,Erfassung!$B$6:$B$5005,$A57,Erfassung!$A$6:$A$5005,"&gt;="&amp;DATE(Einstellungen!$C$3,9,1),Erfassung!$A$6:$A$5005,"&lt;"&amp;DATE(Einstellungen!$C$3,10,1)))</f>
        <v/>
      </c>
      <c r="Y57" s="54">
        <f>IF($B57="","",SUMIFS(Erfassung!$G$6:$G$5005,Erfassung!$B$6:$B$5005,$A57,Erfassung!$A$6:$A$5005,"&gt;="&amp;DATE(Einstellungen!$C$3,10,1),Erfassung!$A$6:$A$5005,"&lt;"&amp;DATE(Einstellungen!$C$3,11,1)))</f>
        <v/>
      </c>
      <c r="Z57" s="54">
        <f>IF($B57="","",SUMIFS(Erfassung!$G$6:$G$5005,Erfassung!$B$6:$B$5005,$A57,Erfassung!$A$6:$A$5005,"&gt;="&amp;DATE(Einstellungen!$C$3,11,1),Erfassung!$A$6:$A$5005,"&lt;"&amp;DATE(Einstellungen!$C$3,12,1)))</f>
        <v/>
      </c>
      <c r="AA57" s="54">
        <f>IF($B57="","",SUMIFS(Erfassung!$G$6:$G$5005,Erfassung!$B$6:$B$5005,$A57,Erfassung!$A$6:$A$5005,"&gt;="&amp;DATE(Einstellungen!$C$3,12,1),Erfassung!$A$6:$A$5005,"&lt;"&amp;DATE(Einstellungen!$C$3,13,1)))</f>
        <v/>
      </c>
      <c r="AB57" s="45">
        <f>IF($B57="","",SUM(P57:AA57))</f>
        <v/>
      </c>
      <c r="AC57" s="38">
        <f>IF($B57="","",IF(O57+AB57&gt;0,AB57/(O57+AB57),""))</f>
        <v/>
      </c>
    </row>
    <row r="58">
      <c r="A58" s="56">
        <f>'KQuote Mitarbeiter'!A58</f>
        <v/>
      </c>
      <c r="B58" s="57">
        <f>'KQuote Mitarbeiter'!B58</f>
        <v/>
      </c>
      <c r="C58" s="54">
        <f>IF($B58="","",SUMIFS(Erfassung!$E$6:$E$5005,Erfassung!$B$6:$B$5005,$A58,Erfassung!$A$6:$A$5005,"&gt;="&amp;DATE(Einstellungen!$C$3,1,1),Erfassung!$A$6:$A$5005,"&lt;"&amp;DATE(Einstellungen!$C$3,2,1)))</f>
        <v/>
      </c>
      <c r="D58" s="54">
        <f>IF($B58="","",SUMIFS(Erfassung!$E$6:$E$5005,Erfassung!$B$6:$B$5005,$A58,Erfassung!$A$6:$A$5005,"&gt;="&amp;DATE(Einstellungen!$C$3,2,1),Erfassung!$A$6:$A$5005,"&lt;"&amp;DATE(Einstellungen!$C$3,3,1)))</f>
        <v/>
      </c>
      <c r="E58" s="54">
        <f>IF($B58="","",SUMIFS(Erfassung!$E$6:$E$5005,Erfassung!$B$6:$B$5005,$A58,Erfassung!$A$6:$A$5005,"&gt;="&amp;DATE(Einstellungen!$C$3,3,1),Erfassung!$A$6:$A$5005,"&lt;"&amp;DATE(Einstellungen!$C$3,4,1)))</f>
        <v/>
      </c>
      <c r="F58" s="54">
        <f>IF($B58="","",SUMIFS(Erfassung!$E$6:$E$5005,Erfassung!$B$6:$B$5005,$A58,Erfassung!$A$6:$A$5005,"&gt;="&amp;DATE(Einstellungen!$C$3,4,1),Erfassung!$A$6:$A$5005,"&lt;"&amp;DATE(Einstellungen!$C$3,5,1)))</f>
        <v/>
      </c>
      <c r="G58" s="54">
        <f>IF($B58="","",SUMIFS(Erfassung!$E$6:$E$5005,Erfassung!$B$6:$B$5005,$A58,Erfassung!$A$6:$A$5005,"&gt;="&amp;DATE(Einstellungen!$C$3,5,1),Erfassung!$A$6:$A$5005,"&lt;"&amp;DATE(Einstellungen!$C$3,6,1)))</f>
        <v/>
      </c>
      <c r="H58" s="54">
        <f>IF($B58="","",SUMIFS(Erfassung!$E$6:$E$5005,Erfassung!$B$6:$B$5005,$A58,Erfassung!$A$6:$A$5005,"&gt;="&amp;DATE(Einstellungen!$C$3,6,1),Erfassung!$A$6:$A$5005,"&lt;"&amp;DATE(Einstellungen!$C$3,7,1)))</f>
        <v/>
      </c>
      <c r="I58" s="54">
        <f>IF($B58="","",SUMIFS(Erfassung!$E$6:$E$5005,Erfassung!$B$6:$B$5005,$A58,Erfassung!$A$6:$A$5005,"&gt;="&amp;DATE(Einstellungen!$C$3,7,1),Erfassung!$A$6:$A$5005,"&lt;"&amp;DATE(Einstellungen!$C$3,8,1)))</f>
        <v/>
      </c>
      <c r="J58" s="54">
        <f>IF($B58="","",SUMIFS(Erfassung!$E$6:$E$5005,Erfassung!$B$6:$B$5005,$A58,Erfassung!$A$6:$A$5005,"&gt;="&amp;DATE(Einstellungen!$C$3,8,1),Erfassung!$A$6:$A$5005,"&lt;"&amp;DATE(Einstellungen!$C$3,9,1)))</f>
        <v/>
      </c>
      <c r="K58" s="54">
        <f>IF($B58="","",SUMIFS(Erfassung!$E$6:$E$5005,Erfassung!$B$6:$B$5005,$A58,Erfassung!$A$6:$A$5005,"&gt;="&amp;DATE(Einstellungen!$C$3,9,1),Erfassung!$A$6:$A$5005,"&lt;"&amp;DATE(Einstellungen!$C$3,10,1)))</f>
        <v/>
      </c>
      <c r="L58" s="54">
        <f>IF($B58="","",SUMIFS(Erfassung!$E$6:$E$5005,Erfassung!$B$6:$B$5005,$A58,Erfassung!$A$6:$A$5005,"&gt;="&amp;DATE(Einstellungen!$C$3,10,1),Erfassung!$A$6:$A$5005,"&lt;"&amp;DATE(Einstellungen!$C$3,11,1)))</f>
        <v/>
      </c>
      <c r="M58" s="54">
        <f>IF($B58="","",SUMIFS(Erfassung!$E$6:$E$5005,Erfassung!$B$6:$B$5005,$A58,Erfassung!$A$6:$A$5005,"&gt;="&amp;DATE(Einstellungen!$C$3,11,1),Erfassung!$A$6:$A$5005,"&lt;"&amp;DATE(Einstellungen!$C$3,12,1)))</f>
        <v/>
      </c>
      <c r="N58" s="54">
        <f>IF($B58="","",SUMIFS(Erfassung!$E$6:$E$5005,Erfassung!$B$6:$B$5005,$A58,Erfassung!$A$6:$A$5005,"&gt;="&amp;DATE(Einstellungen!$C$3,12,1),Erfassung!$A$6:$A$5005,"&lt;"&amp;DATE(Einstellungen!$C$3,13,1)))</f>
        <v/>
      </c>
      <c r="O58" s="45">
        <f>IF($B58="","",SUM(C58:N58))</f>
        <v/>
      </c>
      <c r="P58" s="54">
        <f>IF($B58="","",SUMIFS(Erfassung!$G$6:$G$5005,Erfassung!$B$6:$B$5005,$A58,Erfassung!$A$6:$A$5005,"&gt;="&amp;DATE(Einstellungen!$C$3,1,1),Erfassung!$A$6:$A$5005,"&lt;"&amp;DATE(Einstellungen!$C$3,2,1)))</f>
        <v/>
      </c>
      <c r="Q58" s="54">
        <f>IF($B58="","",SUMIFS(Erfassung!$G$6:$G$5005,Erfassung!$B$6:$B$5005,$A58,Erfassung!$A$6:$A$5005,"&gt;="&amp;DATE(Einstellungen!$C$3,2,1),Erfassung!$A$6:$A$5005,"&lt;"&amp;DATE(Einstellungen!$C$3,3,1)))</f>
        <v/>
      </c>
      <c r="R58" s="54">
        <f>IF($B58="","",SUMIFS(Erfassung!$G$6:$G$5005,Erfassung!$B$6:$B$5005,$A58,Erfassung!$A$6:$A$5005,"&gt;="&amp;DATE(Einstellungen!$C$3,3,1),Erfassung!$A$6:$A$5005,"&lt;"&amp;DATE(Einstellungen!$C$3,4,1)))</f>
        <v/>
      </c>
      <c r="S58" s="54">
        <f>IF($B58="","",SUMIFS(Erfassung!$G$6:$G$5005,Erfassung!$B$6:$B$5005,$A58,Erfassung!$A$6:$A$5005,"&gt;="&amp;DATE(Einstellungen!$C$3,4,1),Erfassung!$A$6:$A$5005,"&lt;"&amp;DATE(Einstellungen!$C$3,5,1)))</f>
        <v/>
      </c>
      <c r="T58" s="54">
        <f>IF($B58="","",SUMIFS(Erfassung!$G$6:$G$5005,Erfassung!$B$6:$B$5005,$A58,Erfassung!$A$6:$A$5005,"&gt;="&amp;DATE(Einstellungen!$C$3,5,1),Erfassung!$A$6:$A$5005,"&lt;"&amp;DATE(Einstellungen!$C$3,6,1)))</f>
        <v/>
      </c>
      <c r="U58" s="54">
        <f>IF($B58="","",SUMIFS(Erfassung!$G$6:$G$5005,Erfassung!$B$6:$B$5005,$A58,Erfassung!$A$6:$A$5005,"&gt;="&amp;DATE(Einstellungen!$C$3,6,1),Erfassung!$A$6:$A$5005,"&lt;"&amp;DATE(Einstellungen!$C$3,7,1)))</f>
        <v/>
      </c>
      <c r="V58" s="54">
        <f>IF($B58="","",SUMIFS(Erfassung!$G$6:$G$5005,Erfassung!$B$6:$B$5005,$A58,Erfassung!$A$6:$A$5005,"&gt;="&amp;DATE(Einstellungen!$C$3,7,1),Erfassung!$A$6:$A$5005,"&lt;"&amp;DATE(Einstellungen!$C$3,8,1)))</f>
        <v/>
      </c>
      <c r="W58" s="54">
        <f>IF($B58="","",SUMIFS(Erfassung!$G$6:$G$5005,Erfassung!$B$6:$B$5005,$A58,Erfassung!$A$6:$A$5005,"&gt;="&amp;DATE(Einstellungen!$C$3,8,1),Erfassung!$A$6:$A$5005,"&lt;"&amp;DATE(Einstellungen!$C$3,9,1)))</f>
        <v/>
      </c>
      <c r="X58" s="54">
        <f>IF($B58="","",SUMIFS(Erfassung!$G$6:$G$5005,Erfassung!$B$6:$B$5005,$A58,Erfassung!$A$6:$A$5005,"&gt;="&amp;DATE(Einstellungen!$C$3,9,1),Erfassung!$A$6:$A$5005,"&lt;"&amp;DATE(Einstellungen!$C$3,10,1)))</f>
        <v/>
      </c>
      <c r="Y58" s="54">
        <f>IF($B58="","",SUMIFS(Erfassung!$G$6:$G$5005,Erfassung!$B$6:$B$5005,$A58,Erfassung!$A$6:$A$5005,"&gt;="&amp;DATE(Einstellungen!$C$3,10,1),Erfassung!$A$6:$A$5005,"&lt;"&amp;DATE(Einstellungen!$C$3,11,1)))</f>
        <v/>
      </c>
      <c r="Z58" s="54">
        <f>IF($B58="","",SUMIFS(Erfassung!$G$6:$G$5005,Erfassung!$B$6:$B$5005,$A58,Erfassung!$A$6:$A$5005,"&gt;="&amp;DATE(Einstellungen!$C$3,11,1),Erfassung!$A$6:$A$5005,"&lt;"&amp;DATE(Einstellungen!$C$3,12,1)))</f>
        <v/>
      </c>
      <c r="AA58" s="54">
        <f>IF($B58="","",SUMIFS(Erfassung!$G$6:$G$5005,Erfassung!$B$6:$B$5005,$A58,Erfassung!$A$6:$A$5005,"&gt;="&amp;DATE(Einstellungen!$C$3,12,1),Erfassung!$A$6:$A$5005,"&lt;"&amp;DATE(Einstellungen!$C$3,13,1)))</f>
        <v/>
      </c>
      <c r="AB58" s="45">
        <f>IF($B58="","",SUM(P58:AA58))</f>
        <v/>
      </c>
      <c r="AC58" s="38">
        <f>IF($B58="","",IF(O58+AB58&gt;0,AB58/(O58+AB58),""))</f>
        <v/>
      </c>
    </row>
    <row r="59">
      <c r="A59" s="56">
        <f>'KQuote Mitarbeiter'!A59</f>
        <v/>
      </c>
      <c r="B59" s="57">
        <f>'KQuote Mitarbeiter'!B59</f>
        <v/>
      </c>
      <c r="C59" s="54">
        <f>IF($B59="","",SUMIFS(Erfassung!$E$6:$E$5005,Erfassung!$B$6:$B$5005,$A59,Erfassung!$A$6:$A$5005,"&gt;="&amp;DATE(Einstellungen!$C$3,1,1),Erfassung!$A$6:$A$5005,"&lt;"&amp;DATE(Einstellungen!$C$3,2,1)))</f>
        <v/>
      </c>
      <c r="D59" s="54">
        <f>IF($B59="","",SUMIFS(Erfassung!$E$6:$E$5005,Erfassung!$B$6:$B$5005,$A59,Erfassung!$A$6:$A$5005,"&gt;="&amp;DATE(Einstellungen!$C$3,2,1),Erfassung!$A$6:$A$5005,"&lt;"&amp;DATE(Einstellungen!$C$3,3,1)))</f>
        <v/>
      </c>
      <c r="E59" s="54">
        <f>IF($B59="","",SUMIFS(Erfassung!$E$6:$E$5005,Erfassung!$B$6:$B$5005,$A59,Erfassung!$A$6:$A$5005,"&gt;="&amp;DATE(Einstellungen!$C$3,3,1),Erfassung!$A$6:$A$5005,"&lt;"&amp;DATE(Einstellungen!$C$3,4,1)))</f>
        <v/>
      </c>
      <c r="F59" s="54">
        <f>IF($B59="","",SUMIFS(Erfassung!$E$6:$E$5005,Erfassung!$B$6:$B$5005,$A59,Erfassung!$A$6:$A$5005,"&gt;="&amp;DATE(Einstellungen!$C$3,4,1),Erfassung!$A$6:$A$5005,"&lt;"&amp;DATE(Einstellungen!$C$3,5,1)))</f>
        <v/>
      </c>
      <c r="G59" s="54">
        <f>IF($B59="","",SUMIFS(Erfassung!$E$6:$E$5005,Erfassung!$B$6:$B$5005,$A59,Erfassung!$A$6:$A$5005,"&gt;="&amp;DATE(Einstellungen!$C$3,5,1),Erfassung!$A$6:$A$5005,"&lt;"&amp;DATE(Einstellungen!$C$3,6,1)))</f>
        <v/>
      </c>
      <c r="H59" s="54">
        <f>IF($B59="","",SUMIFS(Erfassung!$E$6:$E$5005,Erfassung!$B$6:$B$5005,$A59,Erfassung!$A$6:$A$5005,"&gt;="&amp;DATE(Einstellungen!$C$3,6,1),Erfassung!$A$6:$A$5005,"&lt;"&amp;DATE(Einstellungen!$C$3,7,1)))</f>
        <v/>
      </c>
      <c r="I59" s="54">
        <f>IF($B59="","",SUMIFS(Erfassung!$E$6:$E$5005,Erfassung!$B$6:$B$5005,$A59,Erfassung!$A$6:$A$5005,"&gt;="&amp;DATE(Einstellungen!$C$3,7,1),Erfassung!$A$6:$A$5005,"&lt;"&amp;DATE(Einstellungen!$C$3,8,1)))</f>
        <v/>
      </c>
      <c r="J59" s="54">
        <f>IF($B59="","",SUMIFS(Erfassung!$E$6:$E$5005,Erfassung!$B$6:$B$5005,$A59,Erfassung!$A$6:$A$5005,"&gt;="&amp;DATE(Einstellungen!$C$3,8,1),Erfassung!$A$6:$A$5005,"&lt;"&amp;DATE(Einstellungen!$C$3,9,1)))</f>
        <v/>
      </c>
      <c r="K59" s="54">
        <f>IF($B59="","",SUMIFS(Erfassung!$E$6:$E$5005,Erfassung!$B$6:$B$5005,$A59,Erfassung!$A$6:$A$5005,"&gt;="&amp;DATE(Einstellungen!$C$3,9,1),Erfassung!$A$6:$A$5005,"&lt;"&amp;DATE(Einstellungen!$C$3,10,1)))</f>
        <v/>
      </c>
      <c r="L59" s="54">
        <f>IF($B59="","",SUMIFS(Erfassung!$E$6:$E$5005,Erfassung!$B$6:$B$5005,$A59,Erfassung!$A$6:$A$5005,"&gt;="&amp;DATE(Einstellungen!$C$3,10,1),Erfassung!$A$6:$A$5005,"&lt;"&amp;DATE(Einstellungen!$C$3,11,1)))</f>
        <v/>
      </c>
      <c r="M59" s="54">
        <f>IF($B59="","",SUMIFS(Erfassung!$E$6:$E$5005,Erfassung!$B$6:$B$5005,$A59,Erfassung!$A$6:$A$5005,"&gt;="&amp;DATE(Einstellungen!$C$3,11,1),Erfassung!$A$6:$A$5005,"&lt;"&amp;DATE(Einstellungen!$C$3,12,1)))</f>
        <v/>
      </c>
      <c r="N59" s="54">
        <f>IF($B59="","",SUMIFS(Erfassung!$E$6:$E$5005,Erfassung!$B$6:$B$5005,$A59,Erfassung!$A$6:$A$5005,"&gt;="&amp;DATE(Einstellungen!$C$3,12,1),Erfassung!$A$6:$A$5005,"&lt;"&amp;DATE(Einstellungen!$C$3,13,1)))</f>
        <v/>
      </c>
      <c r="O59" s="45">
        <f>IF($B59="","",SUM(C59:N59))</f>
        <v/>
      </c>
      <c r="P59" s="54">
        <f>IF($B59="","",SUMIFS(Erfassung!$G$6:$G$5005,Erfassung!$B$6:$B$5005,$A59,Erfassung!$A$6:$A$5005,"&gt;="&amp;DATE(Einstellungen!$C$3,1,1),Erfassung!$A$6:$A$5005,"&lt;"&amp;DATE(Einstellungen!$C$3,2,1)))</f>
        <v/>
      </c>
      <c r="Q59" s="54">
        <f>IF($B59="","",SUMIFS(Erfassung!$G$6:$G$5005,Erfassung!$B$6:$B$5005,$A59,Erfassung!$A$6:$A$5005,"&gt;="&amp;DATE(Einstellungen!$C$3,2,1),Erfassung!$A$6:$A$5005,"&lt;"&amp;DATE(Einstellungen!$C$3,3,1)))</f>
        <v/>
      </c>
      <c r="R59" s="54">
        <f>IF($B59="","",SUMIFS(Erfassung!$G$6:$G$5005,Erfassung!$B$6:$B$5005,$A59,Erfassung!$A$6:$A$5005,"&gt;="&amp;DATE(Einstellungen!$C$3,3,1),Erfassung!$A$6:$A$5005,"&lt;"&amp;DATE(Einstellungen!$C$3,4,1)))</f>
        <v/>
      </c>
      <c r="S59" s="54">
        <f>IF($B59="","",SUMIFS(Erfassung!$G$6:$G$5005,Erfassung!$B$6:$B$5005,$A59,Erfassung!$A$6:$A$5005,"&gt;="&amp;DATE(Einstellungen!$C$3,4,1),Erfassung!$A$6:$A$5005,"&lt;"&amp;DATE(Einstellungen!$C$3,5,1)))</f>
        <v/>
      </c>
      <c r="T59" s="54">
        <f>IF($B59="","",SUMIFS(Erfassung!$G$6:$G$5005,Erfassung!$B$6:$B$5005,$A59,Erfassung!$A$6:$A$5005,"&gt;="&amp;DATE(Einstellungen!$C$3,5,1),Erfassung!$A$6:$A$5005,"&lt;"&amp;DATE(Einstellungen!$C$3,6,1)))</f>
        <v/>
      </c>
      <c r="U59" s="54">
        <f>IF($B59="","",SUMIFS(Erfassung!$G$6:$G$5005,Erfassung!$B$6:$B$5005,$A59,Erfassung!$A$6:$A$5005,"&gt;="&amp;DATE(Einstellungen!$C$3,6,1),Erfassung!$A$6:$A$5005,"&lt;"&amp;DATE(Einstellungen!$C$3,7,1)))</f>
        <v/>
      </c>
      <c r="V59" s="54">
        <f>IF($B59="","",SUMIFS(Erfassung!$G$6:$G$5005,Erfassung!$B$6:$B$5005,$A59,Erfassung!$A$6:$A$5005,"&gt;="&amp;DATE(Einstellungen!$C$3,7,1),Erfassung!$A$6:$A$5005,"&lt;"&amp;DATE(Einstellungen!$C$3,8,1)))</f>
        <v/>
      </c>
      <c r="W59" s="54">
        <f>IF($B59="","",SUMIFS(Erfassung!$G$6:$G$5005,Erfassung!$B$6:$B$5005,$A59,Erfassung!$A$6:$A$5005,"&gt;="&amp;DATE(Einstellungen!$C$3,8,1),Erfassung!$A$6:$A$5005,"&lt;"&amp;DATE(Einstellungen!$C$3,9,1)))</f>
        <v/>
      </c>
      <c r="X59" s="54">
        <f>IF($B59="","",SUMIFS(Erfassung!$G$6:$G$5005,Erfassung!$B$6:$B$5005,$A59,Erfassung!$A$6:$A$5005,"&gt;="&amp;DATE(Einstellungen!$C$3,9,1),Erfassung!$A$6:$A$5005,"&lt;"&amp;DATE(Einstellungen!$C$3,10,1)))</f>
        <v/>
      </c>
      <c r="Y59" s="54">
        <f>IF($B59="","",SUMIFS(Erfassung!$G$6:$G$5005,Erfassung!$B$6:$B$5005,$A59,Erfassung!$A$6:$A$5005,"&gt;="&amp;DATE(Einstellungen!$C$3,10,1),Erfassung!$A$6:$A$5005,"&lt;"&amp;DATE(Einstellungen!$C$3,11,1)))</f>
        <v/>
      </c>
      <c r="Z59" s="54">
        <f>IF($B59="","",SUMIFS(Erfassung!$G$6:$G$5005,Erfassung!$B$6:$B$5005,$A59,Erfassung!$A$6:$A$5005,"&gt;="&amp;DATE(Einstellungen!$C$3,11,1),Erfassung!$A$6:$A$5005,"&lt;"&amp;DATE(Einstellungen!$C$3,12,1)))</f>
        <v/>
      </c>
      <c r="AA59" s="54">
        <f>IF($B59="","",SUMIFS(Erfassung!$G$6:$G$5005,Erfassung!$B$6:$B$5005,$A59,Erfassung!$A$6:$A$5005,"&gt;="&amp;DATE(Einstellungen!$C$3,12,1),Erfassung!$A$6:$A$5005,"&lt;"&amp;DATE(Einstellungen!$C$3,13,1)))</f>
        <v/>
      </c>
      <c r="AB59" s="45">
        <f>IF($B59="","",SUM(P59:AA59))</f>
        <v/>
      </c>
      <c r="AC59" s="38">
        <f>IF($B59="","",IF(O59+AB59&gt;0,AB59/(O59+AB59),""))</f>
        <v/>
      </c>
    </row>
    <row r="60">
      <c r="A60" s="56">
        <f>'KQuote Mitarbeiter'!A60</f>
        <v/>
      </c>
      <c r="B60" s="57">
        <f>'KQuote Mitarbeiter'!B60</f>
        <v/>
      </c>
      <c r="C60" s="54">
        <f>IF($B60="","",SUMIFS(Erfassung!$E$6:$E$5005,Erfassung!$B$6:$B$5005,$A60,Erfassung!$A$6:$A$5005,"&gt;="&amp;DATE(Einstellungen!$C$3,1,1),Erfassung!$A$6:$A$5005,"&lt;"&amp;DATE(Einstellungen!$C$3,2,1)))</f>
        <v/>
      </c>
      <c r="D60" s="54">
        <f>IF($B60="","",SUMIFS(Erfassung!$E$6:$E$5005,Erfassung!$B$6:$B$5005,$A60,Erfassung!$A$6:$A$5005,"&gt;="&amp;DATE(Einstellungen!$C$3,2,1),Erfassung!$A$6:$A$5005,"&lt;"&amp;DATE(Einstellungen!$C$3,3,1)))</f>
        <v/>
      </c>
      <c r="E60" s="54">
        <f>IF($B60="","",SUMIFS(Erfassung!$E$6:$E$5005,Erfassung!$B$6:$B$5005,$A60,Erfassung!$A$6:$A$5005,"&gt;="&amp;DATE(Einstellungen!$C$3,3,1),Erfassung!$A$6:$A$5005,"&lt;"&amp;DATE(Einstellungen!$C$3,4,1)))</f>
        <v/>
      </c>
      <c r="F60" s="54">
        <f>IF($B60="","",SUMIFS(Erfassung!$E$6:$E$5005,Erfassung!$B$6:$B$5005,$A60,Erfassung!$A$6:$A$5005,"&gt;="&amp;DATE(Einstellungen!$C$3,4,1),Erfassung!$A$6:$A$5005,"&lt;"&amp;DATE(Einstellungen!$C$3,5,1)))</f>
        <v/>
      </c>
      <c r="G60" s="54">
        <f>IF($B60="","",SUMIFS(Erfassung!$E$6:$E$5005,Erfassung!$B$6:$B$5005,$A60,Erfassung!$A$6:$A$5005,"&gt;="&amp;DATE(Einstellungen!$C$3,5,1),Erfassung!$A$6:$A$5005,"&lt;"&amp;DATE(Einstellungen!$C$3,6,1)))</f>
        <v/>
      </c>
      <c r="H60" s="54">
        <f>IF($B60="","",SUMIFS(Erfassung!$E$6:$E$5005,Erfassung!$B$6:$B$5005,$A60,Erfassung!$A$6:$A$5005,"&gt;="&amp;DATE(Einstellungen!$C$3,6,1),Erfassung!$A$6:$A$5005,"&lt;"&amp;DATE(Einstellungen!$C$3,7,1)))</f>
        <v/>
      </c>
      <c r="I60" s="54">
        <f>IF($B60="","",SUMIFS(Erfassung!$E$6:$E$5005,Erfassung!$B$6:$B$5005,$A60,Erfassung!$A$6:$A$5005,"&gt;="&amp;DATE(Einstellungen!$C$3,7,1),Erfassung!$A$6:$A$5005,"&lt;"&amp;DATE(Einstellungen!$C$3,8,1)))</f>
        <v/>
      </c>
      <c r="J60" s="54">
        <f>IF($B60="","",SUMIFS(Erfassung!$E$6:$E$5005,Erfassung!$B$6:$B$5005,$A60,Erfassung!$A$6:$A$5005,"&gt;="&amp;DATE(Einstellungen!$C$3,8,1),Erfassung!$A$6:$A$5005,"&lt;"&amp;DATE(Einstellungen!$C$3,9,1)))</f>
        <v/>
      </c>
      <c r="K60" s="54">
        <f>IF($B60="","",SUMIFS(Erfassung!$E$6:$E$5005,Erfassung!$B$6:$B$5005,$A60,Erfassung!$A$6:$A$5005,"&gt;="&amp;DATE(Einstellungen!$C$3,9,1),Erfassung!$A$6:$A$5005,"&lt;"&amp;DATE(Einstellungen!$C$3,10,1)))</f>
        <v/>
      </c>
      <c r="L60" s="54">
        <f>IF($B60="","",SUMIFS(Erfassung!$E$6:$E$5005,Erfassung!$B$6:$B$5005,$A60,Erfassung!$A$6:$A$5005,"&gt;="&amp;DATE(Einstellungen!$C$3,10,1),Erfassung!$A$6:$A$5005,"&lt;"&amp;DATE(Einstellungen!$C$3,11,1)))</f>
        <v/>
      </c>
      <c r="M60" s="54">
        <f>IF($B60="","",SUMIFS(Erfassung!$E$6:$E$5005,Erfassung!$B$6:$B$5005,$A60,Erfassung!$A$6:$A$5005,"&gt;="&amp;DATE(Einstellungen!$C$3,11,1),Erfassung!$A$6:$A$5005,"&lt;"&amp;DATE(Einstellungen!$C$3,12,1)))</f>
        <v/>
      </c>
      <c r="N60" s="54">
        <f>IF($B60="","",SUMIFS(Erfassung!$E$6:$E$5005,Erfassung!$B$6:$B$5005,$A60,Erfassung!$A$6:$A$5005,"&gt;="&amp;DATE(Einstellungen!$C$3,12,1),Erfassung!$A$6:$A$5005,"&lt;"&amp;DATE(Einstellungen!$C$3,13,1)))</f>
        <v/>
      </c>
      <c r="O60" s="45">
        <f>IF($B60="","",SUM(C60:N60))</f>
        <v/>
      </c>
      <c r="P60" s="54">
        <f>IF($B60="","",SUMIFS(Erfassung!$G$6:$G$5005,Erfassung!$B$6:$B$5005,$A60,Erfassung!$A$6:$A$5005,"&gt;="&amp;DATE(Einstellungen!$C$3,1,1),Erfassung!$A$6:$A$5005,"&lt;"&amp;DATE(Einstellungen!$C$3,2,1)))</f>
        <v/>
      </c>
      <c r="Q60" s="54">
        <f>IF($B60="","",SUMIFS(Erfassung!$G$6:$G$5005,Erfassung!$B$6:$B$5005,$A60,Erfassung!$A$6:$A$5005,"&gt;="&amp;DATE(Einstellungen!$C$3,2,1),Erfassung!$A$6:$A$5005,"&lt;"&amp;DATE(Einstellungen!$C$3,3,1)))</f>
        <v/>
      </c>
      <c r="R60" s="54">
        <f>IF($B60="","",SUMIFS(Erfassung!$G$6:$G$5005,Erfassung!$B$6:$B$5005,$A60,Erfassung!$A$6:$A$5005,"&gt;="&amp;DATE(Einstellungen!$C$3,3,1),Erfassung!$A$6:$A$5005,"&lt;"&amp;DATE(Einstellungen!$C$3,4,1)))</f>
        <v/>
      </c>
      <c r="S60" s="54">
        <f>IF($B60="","",SUMIFS(Erfassung!$G$6:$G$5005,Erfassung!$B$6:$B$5005,$A60,Erfassung!$A$6:$A$5005,"&gt;="&amp;DATE(Einstellungen!$C$3,4,1),Erfassung!$A$6:$A$5005,"&lt;"&amp;DATE(Einstellungen!$C$3,5,1)))</f>
        <v/>
      </c>
      <c r="T60" s="54">
        <f>IF($B60="","",SUMIFS(Erfassung!$G$6:$G$5005,Erfassung!$B$6:$B$5005,$A60,Erfassung!$A$6:$A$5005,"&gt;="&amp;DATE(Einstellungen!$C$3,5,1),Erfassung!$A$6:$A$5005,"&lt;"&amp;DATE(Einstellungen!$C$3,6,1)))</f>
        <v/>
      </c>
      <c r="U60" s="54">
        <f>IF($B60="","",SUMIFS(Erfassung!$G$6:$G$5005,Erfassung!$B$6:$B$5005,$A60,Erfassung!$A$6:$A$5005,"&gt;="&amp;DATE(Einstellungen!$C$3,6,1),Erfassung!$A$6:$A$5005,"&lt;"&amp;DATE(Einstellungen!$C$3,7,1)))</f>
        <v/>
      </c>
      <c r="V60" s="54">
        <f>IF($B60="","",SUMIFS(Erfassung!$G$6:$G$5005,Erfassung!$B$6:$B$5005,$A60,Erfassung!$A$6:$A$5005,"&gt;="&amp;DATE(Einstellungen!$C$3,7,1),Erfassung!$A$6:$A$5005,"&lt;"&amp;DATE(Einstellungen!$C$3,8,1)))</f>
        <v/>
      </c>
      <c r="W60" s="54">
        <f>IF($B60="","",SUMIFS(Erfassung!$G$6:$G$5005,Erfassung!$B$6:$B$5005,$A60,Erfassung!$A$6:$A$5005,"&gt;="&amp;DATE(Einstellungen!$C$3,8,1),Erfassung!$A$6:$A$5005,"&lt;"&amp;DATE(Einstellungen!$C$3,9,1)))</f>
        <v/>
      </c>
      <c r="X60" s="54">
        <f>IF($B60="","",SUMIFS(Erfassung!$G$6:$G$5005,Erfassung!$B$6:$B$5005,$A60,Erfassung!$A$6:$A$5005,"&gt;="&amp;DATE(Einstellungen!$C$3,9,1),Erfassung!$A$6:$A$5005,"&lt;"&amp;DATE(Einstellungen!$C$3,10,1)))</f>
        <v/>
      </c>
      <c r="Y60" s="54">
        <f>IF($B60="","",SUMIFS(Erfassung!$G$6:$G$5005,Erfassung!$B$6:$B$5005,$A60,Erfassung!$A$6:$A$5005,"&gt;="&amp;DATE(Einstellungen!$C$3,10,1),Erfassung!$A$6:$A$5005,"&lt;"&amp;DATE(Einstellungen!$C$3,11,1)))</f>
        <v/>
      </c>
      <c r="Z60" s="54">
        <f>IF($B60="","",SUMIFS(Erfassung!$G$6:$G$5005,Erfassung!$B$6:$B$5005,$A60,Erfassung!$A$6:$A$5005,"&gt;="&amp;DATE(Einstellungen!$C$3,11,1),Erfassung!$A$6:$A$5005,"&lt;"&amp;DATE(Einstellungen!$C$3,12,1)))</f>
        <v/>
      </c>
      <c r="AA60" s="54">
        <f>IF($B60="","",SUMIFS(Erfassung!$G$6:$G$5005,Erfassung!$B$6:$B$5005,$A60,Erfassung!$A$6:$A$5005,"&gt;="&amp;DATE(Einstellungen!$C$3,12,1),Erfassung!$A$6:$A$5005,"&lt;"&amp;DATE(Einstellungen!$C$3,13,1)))</f>
        <v/>
      </c>
      <c r="AB60" s="45">
        <f>IF($B60="","",SUM(P60:AA60))</f>
        <v/>
      </c>
      <c r="AC60" s="38">
        <f>IF($B60="","",IF(O60+AB60&gt;0,AB60/(O60+AB60),""))</f>
        <v/>
      </c>
    </row>
    <row r="61">
      <c r="A61" s="56">
        <f>'KQuote Mitarbeiter'!A61</f>
        <v/>
      </c>
      <c r="B61" s="57">
        <f>'KQuote Mitarbeiter'!B61</f>
        <v/>
      </c>
      <c r="C61" s="54">
        <f>IF($B61="","",SUMIFS(Erfassung!$E$6:$E$5005,Erfassung!$B$6:$B$5005,$A61,Erfassung!$A$6:$A$5005,"&gt;="&amp;DATE(Einstellungen!$C$3,1,1),Erfassung!$A$6:$A$5005,"&lt;"&amp;DATE(Einstellungen!$C$3,2,1)))</f>
        <v/>
      </c>
      <c r="D61" s="54">
        <f>IF($B61="","",SUMIFS(Erfassung!$E$6:$E$5005,Erfassung!$B$6:$B$5005,$A61,Erfassung!$A$6:$A$5005,"&gt;="&amp;DATE(Einstellungen!$C$3,2,1),Erfassung!$A$6:$A$5005,"&lt;"&amp;DATE(Einstellungen!$C$3,3,1)))</f>
        <v/>
      </c>
      <c r="E61" s="54">
        <f>IF($B61="","",SUMIFS(Erfassung!$E$6:$E$5005,Erfassung!$B$6:$B$5005,$A61,Erfassung!$A$6:$A$5005,"&gt;="&amp;DATE(Einstellungen!$C$3,3,1),Erfassung!$A$6:$A$5005,"&lt;"&amp;DATE(Einstellungen!$C$3,4,1)))</f>
        <v/>
      </c>
      <c r="F61" s="54">
        <f>IF($B61="","",SUMIFS(Erfassung!$E$6:$E$5005,Erfassung!$B$6:$B$5005,$A61,Erfassung!$A$6:$A$5005,"&gt;="&amp;DATE(Einstellungen!$C$3,4,1),Erfassung!$A$6:$A$5005,"&lt;"&amp;DATE(Einstellungen!$C$3,5,1)))</f>
        <v/>
      </c>
      <c r="G61" s="54">
        <f>IF($B61="","",SUMIFS(Erfassung!$E$6:$E$5005,Erfassung!$B$6:$B$5005,$A61,Erfassung!$A$6:$A$5005,"&gt;="&amp;DATE(Einstellungen!$C$3,5,1),Erfassung!$A$6:$A$5005,"&lt;"&amp;DATE(Einstellungen!$C$3,6,1)))</f>
        <v/>
      </c>
      <c r="H61" s="54">
        <f>IF($B61="","",SUMIFS(Erfassung!$E$6:$E$5005,Erfassung!$B$6:$B$5005,$A61,Erfassung!$A$6:$A$5005,"&gt;="&amp;DATE(Einstellungen!$C$3,6,1),Erfassung!$A$6:$A$5005,"&lt;"&amp;DATE(Einstellungen!$C$3,7,1)))</f>
        <v/>
      </c>
      <c r="I61" s="54">
        <f>IF($B61="","",SUMIFS(Erfassung!$E$6:$E$5005,Erfassung!$B$6:$B$5005,$A61,Erfassung!$A$6:$A$5005,"&gt;="&amp;DATE(Einstellungen!$C$3,7,1),Erfassung!$A$6:$A$5005,"&lt;"&amp;DATE(Einstellungen!$C$3,8,1)))</f>
        <v/>
      </c>
      <c r="J61" s="54">
        <f>IF($B61="","",SUMIFS(Erfassung!$E$6:$E$5005,Erfassung!$B$6:$B$5005,$A61,Erfassung!$A$6:$A$5005,"&gt;="&amp;DATE(Einstellungen!$C$3,8,1),Erfassung!$A$6:$A$5005,"&lt;"&amp;DATE(Einstellungen!$C$3,9,1)))</f>
        <v/>
      </c>
      <c r="K61" s="54">
        <f>IF($B61="","",SUMIFS(Erfassung!$E$6:$E$5005,Erfassung!$B$6:$B$5005,$A61,Erfassung!$A$6:$A$5005,"&gt;="&amp;DATE(Einstellungen!$C$3,9,1),Erfassung!$A$6:$A$5005,"&lt;"&amp;DATE(Einstellungen!$C$3,10,1)))</f>
        <v/>
      </c>
      <c r="L61" s="54">
        <f>IF($B61="","",SUMIFS(Erfassung!$E$6:$E$5005,Erfassung!$B$6:$B$5005,$A61,Erfassung!$A$6:$A$5005,"&gt;="&amp;DATE(Einstellungen!$C$3,10,1),Erfassung!$A$6:$A$5005,"&lt;"&amp;DATE(Einstellungen!$C$3,11,1)))</f>
        <v/>
      </c>
      <c r="M61" s="54">
        <f>IF($B61="","",SUMIFS(Erfassung!$E$6:$E$5005,Erfassung!$B$6:$B$5005,$A61,Erfassung!$A$6:$A$5005,"&gt;="&amp;DATE(Einstellungen!$C$3,11,1),Erfassung!$A$6:$A$5005,"&lt;"&amp;DATE(Einstellungen!$C$3,12,1)))</f>
        <v/>
      </c>
      <c r="N61" s="54">
        <f>IF($B61="","",SUMIFS(Erfassung!$E$6:$E$5005,Erfassung!$B$6:$B$5005,$A61,Erfassung!$A$6:$A$5005,"&gt;="&amp;DATE(Einstellungen!$C$3,12,1),Erfassung!$A$6:$A$5005,"&lt;"&amp;DATE(Einstellungen!$C$3,13,1)))</f>
        <v/>
      </c>
      <c r="O61" s="45">
        <f>IF($B61="","",SUM(C61:N61))</f>
        <v/>
      </c>
      <c r="P61" s="54">
        <f>IF($B61="","",SUMIFS(Erfassung!$G$6:$G$5005,Erfassung!$B$6:$B$5005,$A61,Erfassung!$A$6:$A$5005,"&gt;="&amp;DATE(Einstellungen!$C$3,1,1),Erfassung!$A$6:$A$5005,"&lt;"&amp;DATE(Einstellungen!$C$3,2,1)))</f>
        <v/>
      </c>
      <c r="Q61" s="54">
        <f>IF($B61="","",SUMIFS(Erfassung!$G$6:$G$5005,Erfassung!$B$6:$B$5005,$A61,Erfassung!$A$6:$A$5005,"&gt;="&amp;DATE(Einstellungen!$C$3,2,1),Erfassung!$A$6:$A$5005,"&lt;"&amp;DATE(Einstellungen!$C$3,3,1)))</f>
        <v/>
      </c>
      <c r="R61" s="54">
        <f>IF($B61="","",SUMIFS(Erfassung!$G$6:$G$5005,Erfassung!$B$6:$B$5005,$A61,Erfassung!$A$6:$A$5005,"&gt;="&amp;DATE(Einstellungen!$C$3,3,1),Erfassung!$A$6:$A$5005,"&lt;"&amp;DATE(Einstellungen!$C$3,4,1)))</f>
        <v/>
      </c>
      <c r="S61" s="54">
        <f>IF($B61="","",SUMIFS(Erfassung!$G$6:$G$5005,Erfassung!$B$6:$B$5005,$A61,Erfassung!$A$6:$A$5005,"&gt;="&amp;DATE(Einstellungen!$C$3,4,1),Erfassung!$A$6:$A$5005,"&lt;"&amp;DATE(Einstellungen!$C$3,5,1)))</f>
        <v/>
      </c>
      <c r="T61" s="54">
        <f>IF($B61="","",SUMIFS(Erfassung!$G$6:$G$5005,Erfassung!$B$6:$B$5005,$A61,Erfassung!$A$6:$A$5005,"&gt;="&amp;DATE(Einstellungen!$C$3,5,1),Erfassung!$A$6:$A$5005,"&lt;"&amp;DATE(Einstellungen!$C$3,6,1)))</f>
        <v/>
      </c>
      <c r="U61" s="54">
        <f>IF($B61="","",SUMIFS(Erfassung!$G$6:$G$5005,Erfassung!$B$6:$B$5005,$A61,Erfassung!$A$6:$A$5005,"&gt;="&amp;DATE(Einstellungen!$C$3,6,1),Erfassung!$A$6:$A$5005,"&lt;"&amp;DATE(Einstellungen!$C$3,7,1)))</f>
        <v/>
      </c>
      <c r="V61" s="54">
        <f>IF($B61="","",SUMIFS(Erfassung!$G$6:$G$5005,Erfassung!$B$6:$B$5005,$A61,Erfassung!$A$6:$A$5005,"&gt;="&amp;DATE(Einstellungen!$C$3,7,1),Erfassung!$A$6:$A$5005,"&lt;"&amp;DATE(Einstellungen!$C$3,8,1)))</f>
        <v/>
      </c>
      <c r="W61" s="54">
        <f>IF($B61="","",SUMIFS(Erfassung!$G$6:$G$5005,Erfassung!$B$6:$B$5005,$A61,Erfassung!$A$6:$A$5005,"&gt;="&amp;DATE(Einstellungen!$C$3,8,1),Erfassung!$A$6:$A$5005,"&lt;"&amp;DATE(Einstellungen!$C$3,9,1)))</f>
        <v/>
      </c>
      <c r="X61" s="54">
        <f>IF($B61="","",SUMIFS(Erfassung!$G$6:$G$5005,Erfassung!$B$6:$B$5005,$A61,Erfassung!$A$6:$A$5005,"&gt;="&amp;DATE(Einstellungen!$C$3,9,1),Erfassung!$A$6:$A$5005,"&lt;"&amp;DATE(Einstellungen!$C$3,10,1)))</f>
        <v/>
      </c>
      <c r="Y61" s="54">
        <f>IF($B61="","",SUMIFS(Erfassung!$G$6:$G$5005,Erfassung!$B$6:$B$5005,$A61,Erfassung!$A$6:$A$5005,"&gt;="&amp;DATE(Einstellungen!$C$3,10,1),Erfassung!$A$6:$A$5005,"&lt;"&amp;DATE(Einstellungen!$C$3,11,1)))</f>
        <v/>
      </c>
      <c r="Z61" s="54">
        <f>IF($B61="","",SUMIFS(Erfassung!$G$6:$G$5005,Erfassung!$B$6:$B$5005,$A61,Erfassung!$A$6:$A$5005,"&gt;="&amp;DATE(Einstellungen!$C$3,11,1),Erfassung!$A$6:$A$5005,"&lt;"&amp;DATE(Einstellungen!$C$3,12,1)))</f>
        <v/>
      </c>
      <c r="AA61" s="54">
        <f>IF($B61="","",SUMIFS(Erfassung!$G$6:$G$5005,Erfassung!$B$6:$B$5005,$A61,Erfassung!$A$6:$A$5005,"&gt;="&amp;DATE(Einstellungen!$C$3,12,1),Erfassung!$A$6:$A$5005,"&lt;"&amp;DATE(Einstellungen!$C$3,13,1)))</f>
        <v/>
      </c>
      <c r="AB61" s="45">
        <f>IF($B61="","",SUM(P61:AA61))</f>
        <v/>
      </c>
      <c r="AC61" s="38">
        <f>IF($B61="","",IF(O61+AB61&gt;0,AB61/(O61+AB61),""))</f>
        <v/>
      </c>
    </row>
    <row r="62">
      <c r="A62" s="56">
        <f>'KQuote Mitarbeiter'!A62</f>
        <v/>
      </c>
      <c r="B62" s="57">
        <f>'KQuote Mitarbeiter'!B62</f>
        <v/>
      </c>
      <c r="C62" s="54">
        <f>IF($B62="","",SUMIFS(Erfassung!$E$6:$E$5005,Erfassung!$B$6:$B$5005,$A62,Erfassung!$A$6:$A$5005,"&gt;="&amp;DATE(Einstellungen!$C$3,1,1),Erfassung!$A$6:$A$5005,"&lt;"&amp;DATE(Einstellungen!$C$3,2,1)))</f>
        <v/>
      </c>
      <c r="D62" s="54">
        <f>IF($B62="","",SUMIFS(Erfassung!$E$6:$E$5005,Erfassung!$B$6:$B$5005,$A62,Erfassung!$A$6:$A$5005,"&gt;="&amp;DATE(Einstellungen!$C$3,2,1),Erfassung!$A$6:$A$5005,"&lt;"&amp;DATE(Einstellungen!$C$3,3,1)))</f>
        <v/>
      </c>
      <c r="E62" s="54">
        <f>IF($B62="","",SUMIFS(Erfassung!$E$6:$E$5005,Erfassung!$B$6:$B$5005,$A62,Erfassung!$A$6:$A$5005,"&gt;="&amp;DATE(Einstellungen!$C$3,3,1),Erfassung!$A$6:$A$5005,"&lt;"&amp;DATE(Einstellungen!$C$3,4,1)))</f>
        <v/>
      </c>
      <c r="F62" s="54">
        <f>IF($B62="","",SUMIFS(Erfassung!$E$6:$E$5005,Erfassung!$B$6:$B$5005,$A62,Erfassung!$A$6:$A$5005,"&gt;="&amp;DATE(Einstellungen!$C$3,4,1),Erfassung!$A$6:$A$5005,"&lt;"&amp;DATE(Einstellungen!$C$3,5,1)))</f>
        <v/>
      </c>
      <c r="G62" s="54">
        <f>IF($B62="","",SUMIFS(Erfassung!$E$6:$E$5005,Erfassung!$B$6:$B$5005,$A62,Erfassung!$A$6:$A$5005,"&gt;="&amp;DATE(Einstellungen!$C$3,5,1),Erfassung!$A$6:$A$5005,"&lt;"&amp;DATE(Einstellungen!$C$3,6,1)))</f>
        <v/>
      </c>
      <c r="H62" s="54">
        <f>IF($B62="","",SUMIFS(Erfassung!$E$6:$E$5005,Erfassung!$B$6:$B$5005,$A62,Erfassung!$A$6:$A$5005,"&gt;="&amp;DATE(Einstellungen!$C$3,6,1),Erfassung!$A$6:$A$5005,"&lt;"&amp;DATE(Einstellungen!$C$3,7,1)))</f>
        <v/>
      </c>
      <c r="I62" s="54">
        <f>IF($B62="","",SUMIFS(Erfassung!$E$6:$E$5005,Erfassung!$B$6:$B$5005,$A62,Erfassung!$A$6:$A$5005,"&gt;="&amp;DATE(Einstellungen!$C$3,7,1),Erfassung!$A$6:$A$5005,"&lt;"&amp;DATE(Einstellungen!$C$3,8,1)))</f>
        <v/>
      </c>
      <c r="J62" s="54">
        <f>IF($B62="","",SUMIFS(Erfassung!$E$6:$E$5005,Erfassung!$B$6:$B$5005,$A62,Erfassung!$A$6:$A$5005,"&gt;="&amp;DATE(Einstellungen!$C$3,8,1),Erfassung!$A$6:$A$5005,"&lt;"&amp;DATE(Einstellungen!$C$3,9,1)))</f>
        <v/>
      </c>
      <c r="K62" s="54">
        <f>IF($B62="","",SUMIFS(Erfassung!$E$6:$E$5005,Erfassung!$B$6:$B$5005,$A62,Erfassung!$A$6:$A$5005,"&gt;="&amp;DATE(Einstellungen!$C$3,9,1),Erfassung!$A$6:$A$5005,"&lt;"&amp;DATE(Einstellungen!$C$3,10,1)))</f>
        <v/>
      </c>
      <c r="L62" s="54">
        <f>IF($B62="","",SUMIFS(Erfassung!$E$6:$E$5005,Erfassung!$B$6:$B$5005,$A62,Erfassung!$A$6:$A$5005,"&gt;="&amp;DATE(Einstellungen!$C$3,10,1),Erfassung!$A$6:$A$5005,"&lt;"&amp;DATE(Einstellungen!$C$3,11,1)))</f>
        <v/>
      </c>
      <c r="M62" s="54">
        <f>IF($B62="","",SUMIFS(Erfassung!$E$6:$E$5005,Erfassung!$B$6:$B$5005,$A62,Erfassung!$A$6:$A$5005,"&gt;="&amp;DATE(Einstellungen!$C$3,11,1),Erfassung!$A$6:$A$5005,"&lt;"&amp;DATE(Einstellungen!$C$3,12,1)))</f>
        <v/>
      </c>
      <c r="N62" s="54">
        <f>IF($B62="","",SUMIFS(Erfassung!$E$6:$E$5005,Erfassung!$B$6:$B$5005,$A62,Erfassung!$A$6:$A$5005,"&gt;="&amp;DATE(Einstellungen!$C$3,12,1),Erfassung!$A$6:$A$5005,"&lt;"&amp;DATE(Einstellungen!$C$3,13,1)))</f>
        <v/>
      </c>
      <c r="O62" s="45">
        <f>IF($B62="","",SUM(C62:N62))</f>
        <v/>
      </c>
      <c r="P62" s="54">
        <f>IF($B62="","",SUMIFS(Erfassung!$G$6:$G$5005,Erfassung!$B$6:$B$5005,$A62,Erfassung!$A$6:$A$5005,"&gt;="&amp;DATE(Einstellungen!$C$3,1,1),Erfassung!$A$6:$A$5005,"&lt;"&amp;DATE(Einstellungen!$C$3,2,1)))</f>
        <v/>
      </c>
      <c r="Q62" s="54">
        <f>IF($B62="","",SUMIFS(Erfassung!$G$6:$G$5005,Erfassung!$B$6:$B$5005,$A62,Erfassung!$A$6:$A$5005,"&gt;="&amp;DATE(Einstellungen!$C$3,2,1),Erfassung!$A$6:$A$5005,"&lt;"&amp;DATE(Einstellungen!$C$3,3,1)))</f>
        <v/>
      </c>
      <c r="R62" s="54">
        <f>IF($B62="","",SUMIFS(Erfassung!$G$6:$G$5005,Erfassung!$B$6:$B$5005,$A62,Erfassung!$A$6:$A$5005,"&gt;="&amp;DATE(Einstellungen!$C$3,3,1),Erfassung!$A$6:$A$5005,"&lt;"&amp;DATE(Einstellungen!$C$3,4,1)))</f>
        <v/>
      </c>
      <c r="S62" s="54">
        <f>IF($B62="","",SUMIFS(Erfassung!$G$6:$G$5005,Erfassung!$B$6:$B$5005,$A62,Erfassung!$A$6:$A$5005,"&gt;="&amp;DATE(Einstellungen!$C$3,4,1),Erfassung!$A$6:$A$5005,"&lt;"&amp;DATE(Einstellungen!$C$3,5,1)))</f>
        <v/>
      </c>
      <c r="T62" s="54">
        <f>IF($B62="","",SUMIFS(Erfassung!$G$6:$G$5005,Erfassung!$B$6:$B$5005,$A62,Erfassung!$A$6:$A$5005,"&gt;="&amp;DATE(Einstellungen!$C$3,5,1),Erfassung!$A$6:$A$5005,"&lt;"&amp;DATE(Einstellungen!$C$3,6,1)))</f>
        <v/>
      </c>
      <c r="U62" s="54">
        <f>IF($B62="","",SUMIFS(Erfassung!$G$6:$G$5005,Erfassung!$B$6:$B$5005,$A62,Erfassung!$A$6:$A$5005,"&gt;="&amp;DATE(Einstellungen!$C$3,6,1),Erfassung!$A$6:$A$5005,"&lt;"&amp;DATE(Einstellungen!$C$3,7,1)))</f>
        <v/>
      </c>
      <c r="V62" s="54">
        <f>IF($B62="","",SUMIFS(Erfassung!$G$6:$G$5005,Erfassung!$B$6:$B$5005,$A62,Erfassung!$A$6:$A$5005,"&gt;="&amp;DATE(Einstellungen!$C$3,7,1),Erfassung!$A$6:$A$5005,"&lt;"&amp;DATE(Einstellungen!$C$3,8,1)))</f>
        <v/>
      </c>
      <c r="W62" s="54">
        <f>IF($B62="","",SUMIFS(Erfassung!$G$6:$G$5005,Erfassung!$B$6:$B$5005,$A62,Erfassung!$A$6:$A$5005,"&gt;="&amp;DATE(Einstellungen!$C$3,8,1),Erfassung!$A$6:$A$5005,"&lt;"&amp;DATE(Einstellungen!$C$3,9,1)))</f>
        <v/>
      </c>
      <c r="X62" s="54">
        <f>IF($B62="","",SUMIFS(Erfassung!$G$6:$G$5005,Erfassung!$B$6:$B$5005,$A62,Erfassung!$A$6:$A$5005,"&gt;="&amp;DATE(Einstellungen!$C$3,9,1),Erfassung!$A$6:$A$5005,"&lt;"&amp;DATE(Einstellungen!$C$3,10,1)))</f>
        <v/>
      </c>
      <c r="Y62" s="54">
        <f>IF($B62="","",SUMIFS(Erfassung!$G$6:$G$5005,Erfassung!$B$6:$B$5005,$A62,Erfassung!$A$6:$A$5005,"&gt;="&amp;DATE(Einstellungen!$C$3,10,1),Erfassung!$A$6:$A$5005,"&lt;"&amp;DATE(Einstellungen!$C$3,11,1)))</f>
        <v/>
      </c>
      <c r="Z62" s="54">
        <f>IF($B62="","",SUMIFS(Erfassung!$G$6:$G$5005,Erfassung!$B$6:$B$5005,$A62,Erfassung!$A$6:$A$5005,"&gt;="&amp;DATE(Einstellungen!$C$3,11,1),Erfassung!$A$6:$A$5005,"&lt;"&amp;DATE(Einstellungen!$C$3,12,1)))</f>
        <v/>
      </c>
      <c r="AA62" s="54">
        <f>IF($B62="","",SUMIFS(Erfassung!$G$6:$G$5005,Erfassung!$B$6:$B$5005,$A62,Erfassung!$A$6:$A$5005,"&gt;="&amp;DATE(Einstellungen!$C$3,12,1),Erfassung!$A$6:$A$5005,"&lt;"&amp;DATE(Einstellungen!$C$3,13,1)))</f>
        <v/>
      </c>
      <c r="AB62" s="45">
        <f>IF($B62="","",SUM(P62:AA62))</f>
        <v/>
      </c>
      <c r="AC62" s="38">
        <f>IF($B62="","",IF(O62+AB62&gt;0,AB62/(O62+AB62),""))</f>
        <v/>
      </c>
    </row>
    <row r="63">
      <c r="A63" s="56">
        <f>'KQuote Mitarbeiter'!A63</f>
        <v/>
      </c>
      <c r="B63" s="57">
        <f>'KQuote Mitarbeiter'!B63</f>
        <v/>
      </c>
      <c r="C63" s="54">
        <f>IF($B63="","",SUMIFS(Erfassung!$E$6:$E$5005,Erfassung!$B$6:$B$5005,$A63,Erfassung!$A$6:$A$5005,"&gt;="&amp;DATE(Einstellungen!$C$3,1,1),Erfassung!$A$6:$A$5005,"&lt;"&amp;DATE(Einstellungen!$C$3,2,1)))</f>
        <v/>
      </c>
      <c r="D63" s="54">
        <f>IF($B63="","",SUMIFS(Erfassung!$E$6:$E$5005,Erfassung!$B$6:$B$5005,$A63,Erfassung!$A$6:$A$5005,"&gt;="&amp;DATE(Einstellungen!$C$3,2,1),Erfassung!$A$6:$A$5005,"&lt;"&amp;DATE(Einstellungen!$C$3,3,1)))</f>
        <v/>
      </c>
      <c r="E63" s="54">
        <f>IF($B63="","",SUMIFS(Erfassung!$E$6:$E$5005,Erfassung!$B$6:$B$5005,$A63,Erfassung!$A$6:$A$5005,"&gt;="&amp;DATE(Einstellungen!$C$3,3,1),Erfassung!$A$6:$A$5005,"&lt;"&amp;DATE(Einstellungen!$C$3,4,1)))</f>
        <v/>
      </c>
      <c r="F63" s="54">
        <f>IF($B63="","",SUMIFS(Erfassung!$E$6:$E$5005,Erfassung!$B$6:$B$5005,$A63,Erfassung!$A$6:$A$5005,"&gt;="&amp;DATE(Einstellungen!$C$3,4,1),Erfassung!$A$6:$A$5005,"&lt;"&amp;DATE(Einstellungen!$C$3,5,1)))</f>
        <v/>
      </c>
      <c r="G63" s="54">
        <f>IF($B63="","",SUMIFS(Erfassung!$E$6:$E$5005,Erfassung!$B$6:$B$5005,$A63,Erfassung!$A$6:$A$5005,"&gt;="&amp;DATE(Einstellungen!$C$3,5,1),Erfassung!$A$6:$A$5005,"&lt;"&amp;DATE(Einstellungen!$C$3,6,1)))</f>
        <v/>
      </c>
      <c r="H63" s="54">
        <f>IF($B63="","",SUMIFS(Erfassung!$E$6:$E$5005,Erfassung!$B$6:$B$5005,$A63,Erfassung!$A$6:$A$5005,"&gt;="&amp;DATE(Einstellungen!$C$3,6,1),Erfassung!$A$6:$A$5005,"&lt;"&amp;DATE(Einstellungen!$C$3,7,1)))</f>
        <v/>
      </c>
      <c r="I63" s="54">
        <f>IF($B63="","",SUMIFS(Erfassung!$E$6:$E$5005,Erfassung!$B$6:$B$5005,$A63,Erfassung!$A$6:$A$5005,"&gt;="&amp;DATE(Einstellungen!$C$3,7,1),Erfassung!$A$6:$A$5005,"&lt;"&amp;DATE(Einstellungen!$C$3,8,1)))</f>
        <v/>
      </c>
      <c r="J63" s="54">
        <f>IF($B63="","",SUMIFS(Erfassung!$E$6:$E$5005,Erfassung!$B$6:$B$5005,$A63,Erfassung!$A$6:$A$5005,"&gt;="&amp;DATE(Einstellungen!$C$3,8,1),Erfassung!$A$6:$A$5005,"&lt;"&amp;DATE(Einstellungen!$C$3,9,1)))</f>
        <v/>
      </c>
      <c r="K63" s="54">
        <f>IF($B63="","",SUMIFS(Erfassung!$E$6:$E$5005,Erfassung!$B$6:$B$5005,$A63,Erfassung!$A$6:$A$5005,"&gt;="&amp;DATE(Einstellungen!$C$3,9,1),Erfassung!$A$6:$A$5005,"&lt;"&amp;DATE(Einstellungen!$C$3,10,1)))</f>
        <v/>
      </c>
      <c r="L63" s="54">
        <f>IF($B63="","",SUMIFS(Erfassung!$E$6:$E$5005,Erfassung!$B$6:$B$5005,$A63,Erfassung!$A$6:$A$5005,"&gt;="&amp;DATE(Einstellungen!$C$3,10,1),Erfassung!$A$6:$A$5005,"&lt;"&amp;DATE(Einstellungen!$C$3,11,1)))</f>
        <v/>
      </c>
      <c r="M63" s="54">
        <f>IF($B63="","",SUMIFS(Erfassung!$E$6:$E$5005,Erfassung!$B$6:$B$5005,$A63,Erfassung!$A$6:$A$5005,"&gt;="&amp;DATE(Einstellungen!$C$3,11,1),Erfassung!$A$6:$A$5005,"&lt;"&amp;DATE(Einstellungen!$C$3,12,1)))</f>
        <v/>
      </c>
      <c r="N63" s="54">
        <f>IF($B63="","",SUMIFS(Erfassung!$E$6:$E$5005,Erfassung!$B$6:$B$5005,$A63,Erfassung!$A$6:$A$5005,"&gt;="&amp;DATE(Einstellungen!$C$3,12,1),Erfassung!$A$6:$A$5005,"&lt;"&amp;DATE(Einstellungen!$C$3,13,1)))</f>
        <v/>
      </c>
      <c r="O63" s="45">
        <f>IF($B63="","",SUM(C63:N63))</f>
        <v/>
      </c>
      <c r="P63" s="54">
        <f>IF($B63="","",SUMIFS(Erfassung!$G$6:$G$5005,Erfassung!$B$6:$B$5005,$A63,Erfassung!$A$6:$A$5005,"&gt;="&amp;DATE(Einstellungen!$C$3,1,1),Erfassung!$A$6:$A$5005,"&lt;"&amp;DATE(Einstellungen!$C$3,2,1)))</f>
        <v/>
      </c>
      <c r="Q63" s="54">
        <f>IF($B63="","",SUMIFS(Erfassung!$G$6:$G$5005,Erfassung!$B$6:$B$5005,$A63,Erfassung!$A$6:$A$5005,"&gt;="&amp;DATE(Einstellungen!$C$3,2,1),Erfassung!$A$6:$A$5005,"&lt;"&amp;DATE(Einstellungen!$C$3,3,1)))</f>
        <v/>
      </c>
      <c r="R63" s="54">
        <f>IF($B63="","",SUMIFS(Erfassung!$G$6:$G$5005,Erfassung!$B$6:$B$5005,$A63,Erfassung!$A$6:$A$5005,"&gt;="&amp;DATE(Einstellungen!$C$3,3,1),Erfassung!$A$6:$A$5005,"&lt;"&amp;DATE(Einstellungen!$C$3,4,1)))</f>
        <v/>
      </c>
      <c r="S63" s="54">
        <f>IF($B63="","",SUMIFS(Erfassung!$G$6:$G$5005,Erfassung!$B$6:$B$5005,$A63,Erfassung!$A$6:$A$5005,"&gt;="&amp;DATE(Einstellungen!$C$3,4,1),Erfassung!$A$6:$A$5005,"&lt;"&amp;DATE(Einstellungen!$C$3,5,1)))</f>
        <v/>
      </c>
      <c r="T63" s="54">
        <f>IF($B63="","",SUMIFS(Erfassung!$G$6:$G$5005,Erfassung!$B$6:$B$5005,$A63,Erfassung!$A$6:$A$5005,"&gt;="&amp;DATE(Einstellungen!$C$3,5,1),Erfassung!$A$6:$A$5005,"&lt;"&amp;DATE(Einstellungen!$C$3,6,1)))</f>
        <v/>
      </c>
      <c r="U63" s="54">
        <f>IF($B63="","",SUMIFS(Erfassung!$G$6:$G$5005,Erfassung!$B$6:$B$5005,$A63,Erfassung!$A$6:$A$5005,"&gt;="&amp;DATE(Einstellungen!$C$3,6,1),Erfassung!$A$6:$A$5005,"&lt;"&amp;DATE(Einstellungen!$C$3,7,1)))</f>
        <v/>
      </c>
      <c r="V63" s="54">
        <f>IF($B63="","",SUMIFS(Erfassung!$G$6:$G$5005,Erfassung!$B$6:$B$5005,$A63,Erfassung!$A$6:$A$5005,"&gt;="&amp;DATE(Einstellungen!$C$3,7,1),Erfassung!$A$6:$A$5005,"&lt;"&amp;DATE(Einstellungen!$C$3,8,1)))</f>
        <v/>
      </c>
      <c r="W63" s="54">
        <f>IF($B63="","",SUMIFS(Erfassung!$G$6:$G$5005,Erfassung!$B$6:$B$5005,$A63,Erfassung!$A$6:$A$5005,"&gt;="&amp;DATE(Einstellungen!$C$3,8,1),Erfassung!$A$6:$A$5005,"&lt;"&amp;DATE(Einstellungen!$C$3,9,1)))</f>
        <v/>
      </c>
      <c r="X63" s="54">
        <f>IF($B63="","",SUMIFS(Erfassung!$G$6:$G$5005,Erfassung!$B$6:$B$5005,$A63,Erfassung!$A$6:$A$5005,"&gt;="&amp;DATE(Einstellungen!$C$3,9,1),Erfassung!$A$6:$A$5005,"&lt;"&amp;DATE(Einstellungen!$C$3,10,1)))</f>
        <v/>
      </c>
      <c r="Y63" s="54">
        <f>IF($B63="","",SUMIFS(Erfassung!$G$6:$G$5005,Erfassung!$B$6:$B$5005,$A63,Erfassung!$A$6:$A$5005,"&gt;="&amp;DATE(Einstellungen!$C$3,10,1),Erfassung!$A$6:$A$5005,"&lt;"&amp;DATE(Einstellungen!$C$3,11,1)))</f>
        <v/>
      </c>
      <c r="Z63" s="54">
        <f>IF($B63="","",SUMIFS(Erfassung!$G$6:$G$5005,Erfassung!$B$6:$B$5005,$A63,Erfassung!$A$6:$A$5005,"&gt;="&amp;DATE(Einstellungen!$C$3,11,1),Erfassung!$A$6:$A$5005,"&lt;"&amp;DATE(Einstellungen!$C$3,12,1)))</f>
        <v/>
      </c>
      <c r="AA63" s="54">
        <f>IF($B63="","",SUMIFS(Erfassung!$G$6:$G$5005,Erfassung!$B$6:$B$5005,$A63,Erfassung!$A$6:$A$5005,"&gt;="&amp;DATE(Einstellungen!$C$3,12,1),Erfassung!$A$6:$A$5005,"&lt;"&amp;DATE(Einstellungen!$C$3,13,1)))</f>
        <v/>
      </c>
      <c r="AB63" s="45">
        <f>IF($B63="","",SUM(P63:AA63))</f>
        <v/>
      </c>
      <c r="AC63" s="38">
        <f>IF($B63="","",IF(O63+AB63&gt;0,AB63/(O63+AB63),""))</f>
        <v/>
      </c>
    </row>
    <row r="64">
      <c r="A64" s="56">
        <f>'KQuote Mitarbeiter'!A64</f>
        <v/>
      </c>
      <c r="B64" s="57">
        <f>'KQuote Mitarbeiter'!B64</f>
        <v/>
      </c>
      <c r="C64" s="54">
        <f>IF($B64="","",SUMIFS(Erfassung!$E$6:$E$5005,Erfassung!$B$6:$B$5005,$A64,Erfassung!$A$6:$A$5005,"&gt;="&amp;DATE(Einstellungen!$C$3,1,1),Erfassung!$A$6:$A$5005,"&lt;"&amp;DATE(Einstellungen!$C$3,2,1)))</f>
        <v/>
      </c>
      <c r="D64" s="54">
        <f>IF($B64="","",SUMIFS(Erfassung!$E$6:$E$5005,Erfassung!$B$6:$B$5005,$A64,Erfassung!$A$6:$A$5005,"&gt;="&amp;DATE(Einstellungen!$C$3,2,1),Erfassung!$A$6:$A$5005,"&lt;"&amp;DATE(Einstellungen!$C$3,3,1)))</f>
        <v/>
      </c>
      <c r="E64" s="54">
        <f>IF($B64="","",SUMIFS(Erfassung!$E$6:$E$5005,Erfassung!$B$6:$B$5005,$A64,Erfassung!$A$6:$A$5005,"&gt;="&amp;DATE(Einstellungen!$C$3,3,1),Erfassung!$A$6:$A$5005,"&lt;"&amp;DATE(Einstellungen!$C$3,4,1)))</f>
        <v/>
      </c>
      <c r="F64" s="54">
        <f>IF($B64="","",SUMIFS(Erfassung!$E$6:$E$5005,Erfassung!$B$6:$B$5005,$A64,Erfassung!$A$6:$A$5005,"&gt;="&amp;DATE(Einstellungen!$C$3,4,1),Erfassung!$A$6:$A$5005,"&lt;"&amp;DATE(Einstellungen!$C$3,5,1)))</f>
        <v/>
      </c>
      <c r="G64" s="54">
        <f>IF($B64="","",SUMIFS(Erfassung!$E$6:$E$5005,Erfassung!$B$6:$B$5005,$A64,Erfassung!$A$6:$A$5005,"&gt;="&amp;DATE(Einstellungen!$C$3,5,1),Erfassung!$A$6:$A$5005,"&lt;"&amp;DATE(Einstellungen!$C$3,6,1)))</f>
        <v/>
      </c>
      <c r="H64" s="54">
        <f>IF($B64="","",SUMIFS(Erfassung!$E$6:$E$5005,Erfassung!$B$6:$B$5005,$A64,Erfassung!$A$6:$A$5005,"&gt;="&amp;DATE(Einstellungen!$C$3,6,1),Erfassung!$A$6:$A$5005,"&lt;"&amp;DATE(Einstellungen!$C$3,7,1)))</f>
        <v/>
      </c>
      <c r="I64" s="54">
        <f>IF($B64="","",SUMIFS(Erfassung!$E$6:$E$5005,Erfassung!$B$6:$B$5005,$A64,Erfassung!$A$6:$A$5005,"&gt;="&amp;DATE(Einstellungen!$C$3,7,1),Erfassung!$A$6:$A$5005,"&lt;"&amp;DATE(Einstellungen!$C$3,8,1)))</f>
        <v/>
      </c>
      <c r="J64" s="54">
        <f>IF($B64="","",SUMIFS(Erfassung!$E$6:$E$5005,Erfassung!$B$6:$B$5005,$A64,Erfassung!$A$6:$A$5005,"&gt;="&amp;DATE(Einstellungen!$C$3,8,1),Erfassung!$A$6:$A$5005,"&lt;"&amp;DATE(Einstellungen!$C$3,9,1)))</f>
        <v/>
      </c>
      <c r="K64" s="54">
        <f>IF($B64="","",SUMIFS(Erfassung!$E$6:$E$5005,Erfassung!$B$6:$B$5005,$A64,Erfassung!$A$6:$A$5005,"&gt;="&amp;DATE(Einstellungen!$C$3,9,1),Erfassung!$A$6:$A$5005,"&lt;"&amp;DATE(Einstellungen!$C$3,10,1)))</f>
        <v/>
      </c>
      <c r="L64" s="54">
        <f>IF($B64="","",SUMIFS(Erfassung!$E$6:$E$5005,Erfassung!$B$6:$B$5005,$A64,Erfassung!$A$6:$A$5005,"&gt;="&amp;DATE(Einstellungen!$C$3,10,1),Erfassung!$A$6:$A$5005,"&lt;"&amp;DATE(Einstellungen!$C$3,11,1)))</f>
        <v/>
      </c>
      <c r="M64" s="54">
        <f>IF($B64="","",SUMIFS(Erfassung!$E$6:$E$5005,Erfassung!$B$6:$B$5005,$A64,Erfassung!$A$6:$A$5005,"&gt;="&amp;DATE(Einstellungen!$C$3,11,1),Erfassung!$A$6:$A$5005,"&lt;"&amp;DATE(Einstellungen!$C$3,12,1)))</f>
        <v/>
      </c>
      <c r="N64" s="54">
        <f>IF($B64="","",SUMIFS(Erfassung!$E$6:$E$5005,Erfassung!$B$6:$B$5005,$A64,Erfassung!$A$6:$A$5005,"&gt;="&amp;DATE(Einstellungen!$C$3,12,1),Erfassung!$A$6:$A$5005,"&lt;"&amp;DATE(Einstellungen!$C$3,13,1)))</f>
        <v/>
      </c>
      <c r="O64" s="45">
        <f>IF($B64="","",SUM(C64:N64))</f>
        <v/>
      </c>
      <c r="P64" s="54">
        <f>IF($B64="","",SUMIFS(Erfassung!$G$6:$G$5005,Erfassung!$B$6:$B$5005,$A64,Erfassung!$A$6:$A$5005,"&gt;="&amp;DATE(Einstellungen!$C$3,1,1),Erfassung!$A$6:$A$5005,"&lt;"&amp;DATE(Einstellungen!$C$3,2,1)))</f>
        <v/>
      </c>
      <c r="Q64" s="54">
        <f>IF($B64="","",SUMIFS(Erfassung!$G$6:$G$5005,Erfassung!$B$6:$B$5005,$A64,Erfassung!$A$6:$A$5005,"&gt;="&amp;DATE(Einstellungen!$C$3,2,1),Erfassung!$A$6:$A$5005,"&lt;"&amp;DATE(Einstellungen!$C$3,3,1)))</f>
        <v/>
      </c>
      <c r="R64" s="54">
        <f>IF($B64="","",SUMIFS(Erfassung!$G$6:$G$5005,Erfassung!$B$6:$B$5005,$A64,Erfassung!$A$6:$A$5005,"&gt;="&amp;DATE(Einstellungen!$C$3,3,1),Erfassung!$A$6:$A$5005,"&lt;"&amp;DATE(Einstellungen!$C$3,4,1)))</f>
        <v/>
      </c>
      <c r="S64" s="54">
        <f>IF($B64="","",SUMIFS(Erfassung!$G$6:$G$5005,Erfassung!$B$6:$B$5005,$A64,Erfassung!$A$6:$A$5005,"&gt;="&amp;DATE(Einstellungen!$C$3,4,1),Erfassung!$A$6:$A$5005,"&lt;"&amp;DATE(Einstellungen!$C$3,5,1)))</f>
        <v/>
      </c>
      <c r="T64" s="54">
        <f>IF($B64="","",SUMIFS(Erfassung!$G$6:$G$5005,Erfassung!$B$6:$B$5005,$A64,Erfassung!$A$6:$A$5005,"&gt;="&amp;DATE(Einstellungen!$C$3,5,1),Erfassung!$A$6:$A$5005,"&lt;"&amp;DATE(Einstellungen!$C$3,6,1)))</f>
        <v/>
      </c>
      <c r="U64" s="54">
        <f>IF($B64="","",SUMIFS(Erfassung!$G$6:$G$5005,Erfassung!$B$6:$B$5005,$A64,Erfassung!$A$6:$A$5005,"&gt;="&amp;DATE(Einstellungen!$C$3,6,1),Erfassung!$A$6:$A$5005,"&lt;"&amp;DATE(Einstellungen!$C$3,7,1)))</f>
        <v/>
      </c>
      <c r="V64" s="54">
        <f>IF($B64="","",SUMIFS(Erfassung!$G$6:$G$5005,Erfassung!$B$6:$B$5005,$A64,Erfassung!$A$6:$A$5005,"&gt;="&amp;DATE(Einstellungen!$C$3,7,1),Erfassung!$A$6:$A$5005,"&lt;"&amp;DATE(Einstellungen!$C$3,8,1)))</f>
        <v/>
      </c>
      <c r="W64" s="54">
        <f>IF($B64="","",SUMIFS(Erfassung!$G$6:$G$5005,Erfassung!$B$6:$B$5005,$A64,Erfassung!$A$6:$A$5005,"&gt;="&amp;DATE(Einstellungen!$C$3,8,1),Erfassung!$A$6:$A$5005,"&lt;"&amp;DATE(Einstellungen!$C$3,9,1)))</f>
        <v/>
      </c>
      <c r="X64" s="54">
        <f>IF($B64="","",SUMIFS(Erfassung!$G$6:$G$5005,Erfassung!$B$6:$B$5005,$A64,Erfassung!$A$6:$A$5005,"&gt;="&amp;DATE(Einstellungen!$C$3,9,1),Erfassung!$A$6:$A$5005,"&lt;"&amp;DATE(Einstellungen!$C$3,10,1)))</f>
        <v/>
      </c>
      <c r="Y64" s="54">
        <f>IF($B64="","",SUMIFS(Erfassung!$G$6:$G$5005,Erfassung!$B$6:$B$5005,$A64,Erfassung!$A$6:$A$5005,"&gt;="&amp;DATE(Einstellungen!$C$3,10,1),Erfassung!$A$6:$A$5005,"&lt;"&amp;DATE(Einstellungen!$C$3,11,1)))</f>
        <v/>
      </c>
      <c r="Z64" s="54">
        <f>IF($B64="","",SUMIFS(Erfassung!$G$6:$G$5005,Erfassung!$B$6:$B$5005,$A64,Erfassung!$A$6:$A$5005,"&gt;="&amp;DATE(Einstellungen!$C$3,11,1),Erfassung!$A$6:$A$5005,"&lt;"&amp;DATE(Einstellungen!$C$3,12,1)))</f>
        <v/>
      </c>
      <c r="AA64" s="54">
        <f>IF($B64="","",SUMIFS(Erfassung!$G$6:$G$5005,Erfassung!$B$6:$B$5005,$A64,Erfassung!$A$6:$A$5005,"&gt;="&amp;DATE(Einstellungen!$C$3,12,1),Erfassung!$A$6:$A$5005,"&lt;"&amp;DATE(Einstellungen!$C$3,13,1)))</f>
        <v/>
      </c>
      <c r="AB64" s="45">
        <f>IF($B64="","",SUM(P64:AA64))</f>
        <v/>
      </c>
      <c r="AC64" s="38">
        <f>IF($B64="","",IF(O64+AB64&gt;0,AB64/(O64+AB64),""))</f>
        <v/>
      </c>
    </row>
    <row r="65">
      <c r="A65" s="56">
        <f>'KQuote Mitarbeiter'!A65</f>
        <v/>
      </c>
      <c r="B65" s="57">
        <f>'KQuote Mitarbeiter'!B65</f>
        <v/>
      </c>
      <c r="C65" s="54">
        <f>IF($B65="","",SUMIFS(Erfassung!$E$6:$E$5005,Erfassung!$B$6:$B$5005,$A65,Erfassung!$A$6:$A$5005,"&gt;="&amp;DATE(Einstellungen!$C$3,1,1),Erfassung!$A$6:$A$5005,"&lt;"&amp;DATE(Einstellungen!$C$3,2,1)))</f>
        <v/>
      </c>
      <c r="D65" s="54">
        <f>IF($B65="","",SUMIFS(Erfassung!$E$6:$E$5005,Erfassung!$B$6:$B$5005,$A65,Erfassung!$A$6:$A$5005,"&gt;="&amp;DATE(Einstellungen!$C$3,2,1),Erfassung!$A$6:$A$5005,"&lt;"&amp;DATE(Einstellungen!$C$3,3,1)))</f>
        <v/>
      </c>
      <c r="E65" s="54">
        <f>IF($B65="","",SUMIFS(Erfassung!$E$6:$E$5005,Erfassung!$B$6:$B$5005,$A65,Erfassung!$A$6:$A$5005,"&gt;="&amp;DATE(Einstellungen!$C$3,3,1),Erfassung!$A$6:$A$5005,"&lt;"&amp;DATE(Einstellungen!$C$3,4,1)))</f>
        <v/>
      </c>
      <c r="F65" s="54">
        <f>IF($B65="","",SUMIFS(Erfassung!$E$6:$E$5005,Erfassung!$B$6:$B$5005,$A65,Erfassung!$A$6:$A$5005,"&gt;="&amp;DATE(Einstellungen!$C$3,4,1),Erfassung!$A$6:$A$5005,"&lt;"&amp;DATE(Einstellungen!$C$3,5,1)))</f>
        <v/>
      </c>
      <c r="G65" s="54">
        <f>IF($B65="","",SUMIFS(Erfassung!$E$6:$E$5005,Erfassung!$B$6:$B$5005,$A65,Erfassung!$A$6:$A$5005,"&gt;="&amp;DATE(Einstellungen!$C$3,5,1),Erfassung!$A$6:$A$5005,"&lt;"&amp;DATE(Einstellungen!$C$3,6,1)))</f>
        <v/>
      </c>
      <c r="H65" s="54">
        <f>IF($B65="","",SUMIFS(Erfassung!$E$6:$E$5005,Erfassung!$B$6:$B$5005,$A65,Erfassung!$A$6:$A$5005,"&gt;="&amp;DATE(Einstellungen!$C$3,6,1),Erfassung!$A$6:$A$5005,"&lt;"&amp;DATE(Einstellungen!$C$3,7,1)))</f>
        <v/>
      </c>
      <c r="I65" s="54">
        <f>IF($B65="","",SUMIFS(Erfassung!$E$6:$E$5005,Erfassung!$B$6:$B$5005,$A65,Erfassung!$A$6:$A$5005,"&gt;="&amp;DATE(Einstellungen!$C$3,7,1),Erfassung!$A$6:$A$5005,"&lt;"&amp;DATE(Einstellungen!$C$3,8,1)))</f>
        <v/>
      </c>
      <c r="J65" s="54">
        <f>IF($B65="","",SUMIFS(Erfassung!$E$6:$E$5005,Erfassung!$B$6:$B$5005,$A65,Erfassung!$A$6:$A$5005,"&gt;="&amp;DATE(Einstellungen!$C$3,8,1),Erfassung!$A$6:$A$5005,"&lt;"&amp;DATE(Einstellungen!$C$3,9,1)))</f>
        <v/>
      </c>
      <c r="K65" s="54">
        <f>IF($B65="","",SUMIFS(Erfassung!$E$6:$E$5005,Erfassung!$B$6:$B$5005,$A65,Erfassung!$A$6:$A$5005,"&gt;="&amp;DATE(Einstellungen!$C$3,9,1),Erfassung!$A$6:$A$5005,"&lt;"&amp;DATE(Einstellungen!$C$3,10,1)))</f>
        <v/>
      </c>
      <c r="L65" s="54">
        <f>IF($B65="","",SUMIFS(Erfassung!$E$6:$E$5005,Erfassung!$B$6:$B$5005,$A65,Erfassung!$A$6:$A$5005,"&gt;="&amp;DATE(Einstellungen!$C$3,10,1),Erfassung!$A$6:$A$5005,"&lt;"&amp;DATE(Einstellungen!$C$3,11,1)))</f>
        <v/>
      </c>
      <c r="M65" s="54">
        <f>IF($B65="","",SUMIFS(Erfassung!$E$6:$E$5005,Erfassung!$B$6:$B$5005,$A65,Erfassung!$A$6:$A$5005,"&gt;="&amp;DATE(Einstellungen!$C$3,11,1),Erfassung!$A$6:$A$5005,"&lt;"&amp;DATE(Einstellungen!$C$3,12,1)))</f>
        <v/>
      </c>
      <c r="N65" s="54">
        <f>IF($B65="","",SUMIFS(Erfassung!$E$6:$E$5005,Erfassung!$B$6:$B$5005,$A65,Erfassung!$A$6:$A$5005,"&gt;="&amp;DATE(Einstellungen!$C$3,12,1),Erfassung!$A$6:$A$5005,"&lt;"&amp;DATE(Einstellungen!$C$3,13,1)))</f>
        <v/>
      </c>
      <c r="O65" s="45">
        <f>IF($B65="","",SUM(C65:N65))</f>
        <v/>
      </c>
      <c r="P65" s="54">
        <f>IF($B65="","",SUMIFS(Erfassung!$G$6:$G$5005,Erfassung!$B$6:$B$5005,$A65,Erfassung!$A$6:$A$5005,"&gt;="&amp;DATE(Einstellungen!$C$3,1,1),Erfassung!$A$6:$A$5005,"&lt;"&amp;DATE(Einstellungen!$C$3,2,1)))</f>
        <v/>
      </c>
      <c r="Q65" s="54">
        <f>IF($B65="","",SUMIFS(Erfassung!$G$6:$G$5005,Erfassung!$B$6:$B$5005,$A65,Erfassung!$A$6:$A$5005,"&gt;="&amp;DATE(Einstellungen!$C$3,2,1),Erfassung!$A$6:$A$5005,"&lt;"&amp;DATE(Einstellungen!$C$3,3,1)))</f>
        <v/>
      </c>
      <c r="R65" s="54">
        <f>IF($B65="","",SUMIFS(Erfassung!$G$6:$G$5005,Erfassung!$B$6:$B$5005,$A65,Erfassung!$A$6:$A$5005,"&gt;="&amp;DATE(Einstellungen!$C$3,3,1),Erfassung!$A$6:$A$5005,"&lt;"&amp;DATE(Einstellungen!$C$3,4,1)))</f>
        <v/>
      </c>
      <c r="S65" s="54">
        <f>IF($B65="","",SUMIFS(Erfassung!$G$6:$G$5005,Erfassung!$B$6:$B$5005,$A65,Erfassung!$A$6:$A$5005,"&gt;="&amp;DATE(Einstellungen!$C$3,4,1),Erfassung!$A$6:$A$5005,"&lt;"&amp;DATE(Einstellungen!$C$3,5,1)))</f>
        <v/>
      </c>
      <c r="T65" s="54">
        <f>IF($B65="","",SUMIFS(Erfassung!$G$6:$G$5005,Erfassung!$B$6:$B$5005,$A65,Erfassung!$A$6:$A$5005,"&gt;="&amp;DATE(Einstellungen!$C$3,5,1),Erfassung!$A$6:$A$5005,"&lt;"&amp;DATE(Einstellungen!$C$3,6,1)))</f>
        <v/>
      </c>
      <c r="U65" s="54">
        <f>IF($B65="","",SUMIFS(Erfassung!$G$6:$G$5005,Erfassung!$B$6:$B$5005,$A65,Erfassung!$A$6:$A$5005,"&gt;="&amp;DATE(Einstellungen!$C$3,6,1),Erfassung!$A$6:$A$5005,"&lt;"&amp;DATE(Einstellungen!$C$3,7,1)))</f>
        <v/>
      </c>
      <c r="V65" s="54">
        <f>IF($B65="","",SUMIFS(Erfassung!$G$6:$G$5005,Erfassung!$B$6:$B$5005,$A65,Erfassung!$A$6:$A$5005,"&gt;="&amp;DATE(Einstellungen!$C$3,7,1),Erfassung!$A$6:$A$5005,"&lt;"&amp;DATE(Einstellungen!$C$3,8,1)))</f>
        <v/>
      </c>
      <c r="W65" s="54">
        <f>IF($B65="","",SUMIFS(Erfassung!$G$6:$G$5005,Erfassung!$B$6:$B$5005,$A65,Erfassung!$A$6:$A$5005,"&gt;="&amp;DATE(Einstellungen!$C$3,8,1),Erfassung!$A$6:$A$5005,"&lt;"&amp;DATE(Einstellungen!$C$3,9,1)))</f>
        <v/>
      </c>
      <c r="X65" s="54">
        <f>IF($B65="","",SUMIFS(Erfassung!$G$6:$G$5005,Erfassung!$B$6:$B$5005,$A65,Erfassung!$A$6:$A$5005,"&gt;="&amp;DATE(Einstellungen!$C$3,9,1),Erfassung!$A$6:$A$5005,"&lt;"&amp;DATE(Einstellungen!$C$3,10,1)))</f>
        <v/>
      </c>
      <c r="Y65" s="54">
        <f>IF($B65="","",SUMIFS(Erfassung!$G$6:$G$5005,Erfassung!$B$6:$B$5005,$A65,Erfassung!$A$6:$A$5005,"&gt;="&amp;DATE(Einstellungen!$C$3,10,1),Erfassung!$A$6:$A$5005,"&lt;"&amp;DATE(Einstellungen!$C$3,11,1)))</f>
        <v/>
      </c>
      <c r="Z65" s="54">
        <f>IF($B65="","",SUMIFS(Erfassung!$G$6:$G$5005,Erfassung!$B$6:$B$5005,$A65,Erfassung!$A$6:$A$5005,"&gt;="&amp;DATE(Einstellungen!$C$3,11,1),Erfassung!$A$6:$A$5005,"&lt;"&amp;DATE(Einstellungen!$C$3,12,1)))</f>
        <v/>
      </c>
      <c r="AA65" s="54">
        <f>IF($B65="","",SUMIFS(Erfassung!$G$6:$G$5005,Erfassung!$B$6:$B$5005,$A65,Erfassung!$A$6:$A$5005,"&gt;="&amp;DATE(Einstellungen!$C$3,12,1),Erfassung!$A$6:$A$5005,"&lt;"&amp;DATE(Einstellungen!$C$3,13,1)))</f>
        <v/>
      </c>
      <c r="AB65" s="45">
        <f>IF($B65="","",SUM(P65:AA65))</f>
        <v/>
      </c>
      <c r="AC65" s="38">
        <f>IF($B65="","",IF(O65+AB65&gt;0,AB65/(O65+AB65),""))</f>
        <v/>
      </c>
    </row>
    <row r="66">
      <c r="A66" s="56">
        <f>'KQuote Mitarbeiter'!A66</f>
        <v/>
      </c>
      <c r="B66" s="57">
        <f>'KQuote Mitarbeiter'!B66</f>
        <v/>
      </c>
      <c r="C66" s="54">
        <f>IF($B66="","",SUMIFS(Erfassung!$E$6:$E$5005,Erfassung!$B$6:$B$5005,$A66,Erfassung!$A$6:$A$5005,"&gt;="&amp;DATE(Einstellungen!$C$3,1,1),Erfassung!$A$6:$A$5005,"&lt;"&amp;DATE(Einstellungen!$C$3,2,1)))</f>
        <v/>
      </c>
      <c r="D66" s="54">
        <f>IF($B66="","",SUMIFS(Erfassung!$E$6:$E$5005,Erfassung!$B$6:$B$5005,$A66,Erfassung!$A$6:$A$5005,"&gt;="&amp;DATE(Einstellungen!$C$3,2,1),Erfassung!$A$6:$A$5005,"&lt;"&amp;DATE(Einstellungen!$C$3,3,1)))</f>
        <v/>
      </c>
      <c r="E66" s="54">
        <f>IF($B66="","",SUMIFS(Erfassung!$E$6:$E$5005,Erfassung!$B$6:$B$5005,$A66,Erfassung!$A$6:$A$5005,"&gt;="&amp;DATE(Einstellungen!$C$3,3,1),Erfassung!$A$6:$A$5005,"&lt;"&amp;DATE(Einstellungen!$C$3,4,1)))</f>
        <v/>
      </c>
      <c r="F66" s="54">
        <f>IF($B66="","",SUMIFS(Erfassung!$E$6:$E$5005,Erfassung!$B$6:$B$5005,$A66,Erfassung!$A$6:$A$5005,"&gt;="&amp;DATE(Einstellungen!$C$3,4,1),Erfassung!$A$6:$A$5005,"&lt;"&amp;DATE(Einstellungen!$C$3,5,1)))</f>
        <v/>
      </c>
      <c r="G66" s="54">
        <f>IF($B66="","",SUMIFS(Erfassung!$E$6:$E$5005,Erfassung!$B$6:$B$5005,$A66,Erfassung!$A$6:$A$5005,"&gt;="&amp;DATE(Einstellungen!$C$3,5,1),Erfassung!$A$6:$A$5005,"&lt;"&amp;DATE(Einstellungen!$C$3,6,1)))</f>
        <v/>
      </c>
      <c r="H66" s="54">
        <f>IF($B66="","",SUMIFS(Erfassung!$E$6:$E$5005,Erfassung!$B$6:$B$5005,$A66,Erfassung!$A$6:$A$5005,"&gt;="&amp;DATE(Einstellungen!$C$3,6,1),Erfassung!$A$6:$A$5005,"&lt;"&amp;DATE(Einstellungen!$C$3,7,1)))</f>
        <v/>
      </c>
      <c r="I66" s="54">
        <f>IF($B66="","",SUMIFS(Erfassung!$E$6:$E$5005,Erfassung!$B$6:$B$5005,$A66,Erfassung!$A$6:$A$5005,"&gt;="&amp;DATE(Einstellungen!$C$3,7,1),Erfassung!$A$6:$A$5005,"&lt;"&amp;DATE(Einstellungen!$C$3,8,1)))</f>
        <v/>
      </c>
      <c r="J66" s="54">
        <f>IF($B66="","",SUMIFS(Erfassung!$E$6:$E$5005,Erfassung!$B$6:$B$5005,$A66,Erfassung!$A$6:$A$5005,"&gt;="&amp;DATE(Einstellungen!$C$3,8,1),Erfassung!$A$6:$A$5005,"&lt;"&amp;DATE(Einstellungen!$C$3,9,1)))</f>
        <v/>
      </c>
      <c r="K66" s="54">
        <f>IF($B66="","",SUMIFS(Erfassung!$E$6:$E$5005,Erfassung!$B$6:$B$5005,$A66,Erfassung!$A$6:$A$5005,"&gt;="&amp;DATE(Einstellungen!$C$3,9,1),Erfassung!$A$6:$A$5005,"&lt;"&amp;DATE(Einstellungen!$C$3,10,1)))</f>
        <v/>
      </c>
      <c r="L66" s="54">
        <f>IF($B66="","",SUMIFS(Erfassung!$E$6:$E$5005,Erfassung!$B$6:$B$5005,$A66,Erfassung!$A$6:$A$5005,"&gt;="&amp;DATE(Einstellungen!$C$3,10,1),Erfassung!$A$6:$A$5005,"&lt;"&amp;DATE(Einstellungen!$C$3,11,1)))</f>
        <v/>
      </c>
      <c r="M66" s="54">
        <f>IF($B66="","",SUMIFS(Erfassung!$E$6:$E$5005,Erfassung!$B$6:$B$5005,$A66,Erfassung!$A$6:$A$5005,"&gt;="&amp;DATE(Einstellungen!$C$3,11,1),Erfassung!$A$6:$A$5005,"&lt;"&amp;DATE(Einstellungen!$C$3,12,1)))</f>
        <v/>
      </c>
      <c r="N66" s="54">
        <f>IF($B66="","",SUMIFS(Erfassung!$E$6:$E$5005,Erfassung!$B$6:$B$5005,$A66,Erfassung!$A$6:$A$5005,"&gt;="&amp;DATE(Einstellungen!$C$3,12,1),Erfassung!$A$6:$A$5005,"&lt;"&amp;DATE(Einstellungen!$C$3,13,1)))</f>
        <v/>
      </c>
      <c r="O66" s="45">
        <f>IF($B66="","",SUM(C66:N66))</f>
        <v/>
      </c>
      <c r="P66" s="54">
        <f>IF($B66="","",SUMIFS(Erfassung!$G$6:$G$5005,Erfassung!$B$6:$B$5005,$A66,Erfassung!$A$6:$A$5005,"&gt;="&amp;DATE(Einstellungen!$C$3,1,1),Erfassung!$A$6:$A$5005,"&lt;"&amp;DATE(Einstellungen!$C$3,2,1)))</f>
        <v/>
      </c>
      <c r="Q66" s="54">
        <f>IF($B66="","",SUMIFS(Erfassung!$G$6:$G$5005,Erfassung!$B$6:$B$5005,$A66,Erfassung!$A$6:$A$5005,"&gt;="&amp;DATE(Einstellungen!$C$3,2,1),Erfassung!$A$6:$A$5005,"&lt;"&amp;DATE(Einstellungen!$C$3,3,1)))</f>
        <v/>
      </c>
      <c r="R66" s="54">
        <f>IF($B66="","",SUMIFS(Erfassung!$G$6:$G$5005,Erfassung!$B$6:$B$5005,$A66,Erfassung!$A$6:$A$5005,"&gt;="&amp;DATE(Einstellungen!$C$3,3,1),Erfassung!$A$6:$A$5005,"&lt;"&amp;DATE(Einstellungen!$C$3,4,1)))</f>
        <v/>
      </c>
      <c r="S66" s="54">
        <f>IF($B66="","",SUMIFS(Erfassung!$G$6:$G$5005,Erfassung!$B$6:$B$5005,$A66,Erfassung!$A$6:$A$5005,"&gt;="&amp;DATE(Einstellungen!$C$3,4,1),Erfassung!$A$6:$A$5005,"&lt;"&amp;DATE(Einstellungen!$C$3,5,1)))</f>
        <v/>
      </c>
      <c r="T66" s="54">
        <f>IF($B66="","",SUMIFS(Erfassung!$G$6:$G$5005,Erfassung!$B$6:$B$5005,$A66,Erfassung!$A$6:$A$5005,"&gt;="&amp;DATE(Einstellungen!$C$3,5,1),Erfassung!$A$6:$A$5005,"&lt;"&amp;DATE(Einstellungen!$C$3,6,1)))</f>
        <v/>
      </c>
      <c r="U66" s="54">
        <f>IF($B66="","",SUMIFS(Erfassung!$G$6:$G$5005,Erfassung!$B$6:$B$5005,$A66,Erfassung!$A$6:$A$5005,"&gt;="&amp;DATE(Einstellungen!$C$3,6,1),Erfassung!$A$6:$A$5005,"&lt;"&amp;DATE(Einstellungen!$C$3,7,1)))</f>
        <v/>
      </c>
      <c r="V66" s="54">
        <f>IF($B66="","",SUMIFS(Erfassung!$G$6:$G$5005,Erfassung!$B$6:$B$5005,$A66,Erfassung!$A$6:$A$5005,"&gt;="&amp;DATE(Einstellungen!$C$3,7,1),Erfassung!$A$6:$A$5005,"&lt;"&amp;DATE(Einstellungen!$C$3,8,1)))</f>
        <v/>
      </c>
      <c r="W66" s="54">
        <f>IF($B66="","",SUMIFS(Erfassung!$G$6:$G$5005,Erfassung!$B$6:$B$5005,$A66,Erfassung!$A$6:$A$5005,"&gt;="&amp;DATE(Einstellungen!$C$3,8,1),Erfassung!$A$6:$A$5005,"&lt;"&amp;DATE(Einstellungen!$C$3,9,1)))</f>
        <v/>
      </c>
      <c r="X66" s="54">
        <f>IF($B66="","",SUMIFS(Erfassung!$G$6:$G$5005,Erfassung!$B$6:$B$5005,$A66,Erfassung!$A$6:$A$5005,"&gt;="&amp;DATE(Einstellungen!$C$3,9,1),Erfassung!$A$6:$A$5005,"&lt;"&amp;DATE(Einstellungen!$C$3,10,1)))</f>
        <v/>
      </c>
      <c r="Y66" s="54">
        <f>IF($B66="","",SUMIFS(Erfassung!$G$6:$G$5005,Erfassung!$B$6:$B$5005,$A66,Erfassung!$A$6:$A$5005,"&gt;="&amp;DATE(Einstellungen!$C$3,10,1),Erfassung!$A$6:$A$5005,"&lt;"&amp;DATE(Einstellungen!$C$3,11,1)))</f>
        <v/>
      </c>
      <c r="Z66" s="54">
        <f>IF($B66="","",SUMIFS(Erfassung!$G$6:$G$5005,Erfassung!$B$6:$B$5005,$A66,Erfassung!$A$6:$A$5005,"&gt;="&amp;DATE(Einstellungen!$C$3,11,1),Erfassung!$A$6:$A$5005,"&lt;"&amp;DATE(Einstellungen!$C$3,12,1)))</f>
        <v/>
      </c>
      <c r="AA66" s="54">
        <f>IF($B66="","",SUMIFS(Erfassung!$G$6:$G$5005,Erfassung!$B$6:$B$5005,$A66,Erfassung!$A$6:$A$5005,"&gt;="&amp;DATE(Einstellungen!$C$3,12,1),Erfassung!$A$6:$A$5005,"&lt;"&amp;DATE(Einstellungen!$C$3,13,1)))</f>
        <v/>
      </c>
      <c r="AB66" s="45">
        <f>IF($B66="","",SUM(P66:AA66))</f>
        <v/>
      </c>
      <c r="AC66" s="38">
        <f>IF($B66="","",IF(O66+AB66&gt;0,AB66/(O66+AB66),""))</f>
        <v/>
      </c>
    </row>
    <row r="67">
      <c r="A67" s="56">
        <f>'KQuote Mitarbeiter'!A67</f>
        <v/>
      </c>
      <c r="B67" s="57">
        <f>'KQuote Mitarbeiter'!B67</f>
        <v/>
      </c>
      <c r="C67" s="54">
        <f>IF($B67="","",SUMIFS(Erfassung!$E$6:$E$5005,Erfassung!$B$6:$B$5005,$A67,Erfassung!$A$6:$A$5005,"&gt;="&amp;DATE(Einstellungen!$C$3,1,1),Erfassung!$A$6:$A$5005,"&lt;"&amp;DATE(Einstellungen!$C$3,2,1)))</f>
        <v/>
      </c>
      <c r="D67" s="54">
        <f>IF($B67="","",SUMIFS(Erfassung!$E$6:$E$5005,Erfassung!$B$6:$B$5005,$A67,Erfassung!$A$6:$A$5005,"&gt;="&amp;DATE(Einstellungen!$C$3,2,1),Erfassung!$A$6:$A$5005,"&lt;"&amp;DATE(Einstellungen!$C$3,3,1)))</f>
        <v/>
      </c>
      <c r="E67" s="54">
        <f>IF($B67="","",SUMIFS(Erfassung!$E$6:$E$5005,Erfassung!$B$6:$B$5005,$A67,Erfassung!$A$6:$A$5005,"&gt;="&amp;DATE(Einstellungen!$C$3,3,1),Erfassung!$A$6:$A$5005,"&lt;"&amp;DATE(Einstellungen!$C$3,4,1)))</f>
        <v/>
      </c>
      <c r="F67" s="54">
        <f>IF($B67="","",SUMIFS(Erfassung!$E$6:$E$5005,Erfassung!$B$6:$B$5005,$A67,Erfassung!$A$6:$A$5005,"&gt;="&amp;DATE(Einstellungen!$C$3,4,1),Erfassung!$A$6:$A$5005,"&lt;"&amp;DATE(Einstellungen!$C$3,5,1)))</f>
        <v/>
      </c>
      <c r="G67" s="54">
        <f>IF($B67="","",SUMIFS(Erfassung!$E$6:$E$5005,Erfassung!$B$6:$B$5005,$A67,Erfassung!$A$6:$A$5005,"&gt;="&amp;DATE(Einstellungen!$C$3,5,1),Erfassung!$A$6:$A$5005,"&lt;"&amp;DATE(Einstellungen!$C$3,6,1)))</f>
        <v/>
      </c>
      <c r="H67" s="54">
        <f>IF($B67="","",SUMIFS(Erfassung!$E$6:$E$5005,Erfassung!$B$6:$B$5005,$A67,Erfassung!$A$6:$A$5005,"&gt;="&amp;DATE(Einstellungen!$C$3,6,1),Erfassung!$A$6:$A$5005,"&lt;"&amp;DATE(Einstellungen!$C$3,7,1)))</f>
        <v/>
      </c>
      <c r="I67" s="54">
        <f>IF($B67="","",SUMIFS(Erfassung!$E$6:$E$5005,Erfassung!$B$6:$B$5005,$A67,Erfassung!$A$6:$A$5005,"&gt;="&amp;DATE(Einstellungen!$C$3,7,1),Erfassung!$A$6:$A$5005,"&lt;"&amp;DATE(Einstellungen!$C$3,8,1)))</f>
        <v/>
      </c>
      <c r="J67" s="54">
        <f>IF($B67="","",SUMIFS(Erfassung!$E$6:$E$5005,Erfassung!$B$6:$B$5005,$A67,Erfassung!$A$6:$A$5005,"&gt;="&amp;DATE(Einstellungen!$C$3,8,1),Erfassung!$A$6:$A$5005,"&lt;"&amp;DATE(Einstellungen!$C$3,9,1)))</f>
        <v/>
      </c>
      <c r="K67" s="54">
        <f>IF($B67="","",SUMIFS(Erfassung!$E$6:$E$5005,Erfassung!$B$6:$B$5005,$A67,Erfassung!$A$6:$A$5005,"&gt;="&amp;DATE(Einstellungen!$C$3,9,1),Erfassung!$A$6:$A$5005,"&lt;"&amp;DATE(Einstellungen!$C$3,10,1)))</f>
        <v/>
      </c>
      <c r="L67" s="54">
        <f>IF($B67="","",SUMIFS(Erfassung!$E$6:$E$5005,Erfassung!$B$6:$B$5005,$A67,Erfassung!$A$6:$A$5005,"&gt;="&amp;DATE(Einstellungen!$C$3,10,1),Erfassung!$A$6:$A$5005,"&lt;"&amp;DATE(Einstellungen!$C$3,11,1)))</f>
        <v/>
      </c>
      <c r="M67" s="54">
        <f>IF($B67="","",SUMIFS(Erfassung!$E$6:$E$5005,Erfassung!$B$6:$B$5005,$A67,Erfassung!$A$6:$A$5005,"&gt;="&amp;DATE(Einstellungen!$C$3,11,1),Erfassung!$A$6:$A$5005,"&lt;"&amp;DATE(Einstellungen!$C$3,12,1)))</f>
        <v/>
      </c>
      <c r="N67" s="54">
        <f>IF($B67="","",SUMIFS(Erfassung!$E$6:$E$5005,Erfassung!$B$6:$B$5005,$A67,Erfassung!$A$6:$A$5005,"&gt;="&amp;DATE(Einstellungen!$C$3,12,1),Erfassung!$A$6:$A$5005,"&lt;"&amp;DATE(Einstellungen!$C$3,13,1)))</f>
        <v/>
      </c>
      <c r="O67" s="45">
        <f>IF($B67="","",SUM(C67:N67))</f>
        <v/>
      </c>
      <c r="P67" s="54">
        <f>IF($B67="","",SUMIFS(Erfassung!$G$6:$G$5005,Erfassung!$B$6:$B$5005,$A67,Erfassung!$A$6:$A$5005,"&gt;="&amp;DATE(Einstellungen!$C$3,1,1),Erfassung!$A$6:$A$5005,"&lt;"&amp;DATE(Einstellungen!$C$3,2,1)))</f>
        <v/>
      </c>
      <c r="Q67" s="54">
        <f>IF($B67="","",SUMIFS(Erfassung!$G$6:$G$5005,Erfassung!$B$6:$B$5005,$A67,Erfassung!$A$6:$A$5005,"&gt;="&amp;DATE(Einstellungen!$C$3,2,1),Erfassung!$A$6:$A$5005,"&lt;"&amp;DATE(Einstellungen!$C$3,3,1)))</f>
        <v/>
      </c>
      <c r="R67" s="54">
        <f>IF($B67="","",SUMIFS(Erfassung!$G$6:$G$5005,Erfassung!$B$6:$B$5005,$A67,Erfassung!$A$6:$A$5005,"&gt;="&amp;DATE(Einstellungen!$C$3,3,1),Erfassung!$A$6:$A$5005,"&lt;"&amp;DATE(Einstellungen!$C$3,4,1)))</f>
        <v/>
      </c>
      <c r="S67" s="54">
        <f>IF($B67="","",SUMIFS(Erfassung!$G$6:$G$5005,Erfassung!$B$6:$B$5005,$A67,Erfassung!$A$6:$A$5005,"&gt;="&amp;DATE(Einstellungen!$C$3,4,1),Erfassung!$A$6:$A$5005,"&lt;"&amp;DATE(Einstellungen!$C$3,5,1)))</f>
        <v/>
      </c>
      <c r="T67" s="54">
        <f>IF($B67="","",SUMIFS(Erfassung!$G$6:$G$5005,Erfassung!$B$6:$B$5005,$A67,Erfassung!$A$6:$A$5005,"&gt;="&amp;DATE(Einstellungen!$C$3,5,1),Erfassung!$A$6:$A$5005,"&lt;"&amp;DATE(Einstellungen!$C$3,6,1)))</f>
        <v/>
      </c>
      <c r="U67" s="54">
        <f>IF($B67="","",SUMIFS(Erfassung!$G$6:$G$5005,Erfassung!$B$6:$B$5005,$A67,Erfassung!$A$6:$A$5005,"&gt;="&amp;DATE(Einstellungen!$C$3,6,1),Erfassung!$A$6:$A$5005,"&lt;"&amp;DATE(Einstellungen!$C$3,7,1)))</f>
        <v/>
      </c>
      <c r="V67" s="54">
        <f>IF($B67="","",SUMIFS(Erfassung!$G$6:$G$5005,Erfassung!$B$6:$B$5005,$A67,Erfassung!$A$6:$A$5005,"&gt;="&amp;DATE(Einstellungen!$C$3,7,1),Erfassung!$A$6:$A$5005,"&lt;"&amp;DATE(Einstellungen!$C$3,8,1)))</f>
        <v/>
      </c>
      <c r="W67" s="54">
        <f>IF($B67="","",SUMIFS(Erfassung!$G$6:$G$5005,Erfassung!$B$6:$B$5005,$A67,Erfassung!$A$6:$A$5005,"&gt;="&amp;DATE(Einstellungen!$C$3,8,1),Erfassung!$A$6:$A$5005,"&lt;"&amp;DATE(Einstellungen!$C$3,9,1)))</f>
        <v/>
      </c>
      <c r="X67" s="54">
        <f>IF($B67="","",SUMIFS(Erfassung!$G$6:$G$5005,Erfassung!$B$6:$B$5005,$A67,Erfassung!$A$6:$A$5005,"&gt;="&amp;DATE(Einstellungen!$C$3,9,1),Erfassung!$A$6:$A$5005,"&lt;"&amp;DATE(Einstellungen!$C$3,10,1)))</f>
        <v/>
      </c>
      <c r="Y67" s="54">
        <f>IF($B67="","",SUMIFS(Erfassung!$G$6:$G$5005,Erfassung!$B$6:$B$5005,$A67,Erfassung!$A$6:$A$5005,"&gt;="&amp;DATE(Einstellungen!$C$3,10,1),Erfassung!$A$6:$A$5005,"&lt;"&amp;DATE(Einstellungen!$C$3,11,1)))</f>
        <v/>
      </c>
      <c r="Z67" s="54">
        <f>IF($B67="","",SUMIFS(Erfassung!$G$6:$G$5005,Erfassung!$B$6:$B$5005,$A67,Erfassung!$A$6:$A$5005,"&gt;="&amp;DATE(Einstellungen!$C$3,11,1),Erfassung!$A$6:$A$5005,"&lt;"&amp;DATE(Einstellungen!$C$3,12,1)))</f>
        <v/>
      </c>
      <c r="AA67" s="54">
        <f>IF($B67="","",SUMIFS(Erfassung!$G$6:$G$5005,Erfassung!$B$6:$B$5005,$A67,Erfassung!$A$6:$A$5005,"&gt;="&amp;DATE(Einstellungen!$C$3,12,1),Erfassung!$A$6:$A$5005,"&lt;"&amp;DATE(Einstellungen!$C$3,13,1)))</f>
        <v/>
      </c>
      <c r="AB67" s="45">
        <f>IF($B67="","",SUM(P67:AA67))</f>
        <v/>
      </c>
      <c r="AC67" s="38">
        <f>IF($B67="","",IF(O67+AB67&gt;0,AB67/(O67+AB67),""))</f>
        <v/>
      </c>
    </row>
    <row r="68">
      <c r="A68" s="56">
        <f>'KQuote Mitarbeiter'!A68</f>
        <v/>
      </c>
      <c r="B68" s="57">
        <f>'KQuote Mitarbeiter'!B68</f>
        <v/>
      </c>
      <c r="C68" s="54">
        <f>IF($B68="","",SUMIFS(Erfassung!$E$6:$E$5005,Erfassung!$B$6:$B$5005,$A68,Erfassung!$A$6:$A$5005,"&gt;="&amp;DATE(Einstellungen!$C$3,1,1),Erfassung!$A$6:$A$5005,"&lt;"&amp;DATE(Einstellungen!$C$3,2,1)))</f>
        <v/>
      </c>
      <c r="D68" s="54">
        <f>IF($B68="","",SUMIFS(Erfassung!$E$6:$E$5005,Erfassung!$B$6:$B$5005,$A68,Erfassung!$A$6:$A$5005,"&gt;="&amp;DATE(Einstellungen!$C$3,2,1),Erfassung!$A$6:$A$5005,"&lt;"&amp;DATE(Einstellungen!$C$3,3,1)))</f>
        <v/>
      </c>
      <c r="E68" s="54">
        <f>IF($B68="","",SUMIFS(Erfassung!$E$6:$E$5005,Erfassung!$B$6:$B$5005,$A68,Erfassung!$A$6:$A$5005,"&gt;="&amp;DATE(Einstellungen!$C$3,3,1),Erfassung!$A$6:$A$5005,"&lt;"&amp;DATE(Einstellungen!$C$3,4,1)))</f>
        <v/>
      </c>
      <c r="F68" s="54">
        <f>IF($B68="","",SUMIFS(Erfassung!$E$6:$E$5005,Erfassung!$B$6:$B$5005,$A68,Erfassung!$A$6:$A$5005,"&gt;="&amp;DATE(Einstellungen!$C$3,4,1),Erfassung!$A$6:$A$5005,"&lt;"&amp;DATE(Einstellungen!$C$3,5,1)))</f>
        <v/>
      </c>
      <c r="G68" s="54">
        <f>IF($B68="","",SUMIFS(Erfassung!$E$6:$E$5005,Erfassung!$B$6:$B$5005,$A68,Erfassung!$A$6:$A$5005,"&gt;="&amp;DATE(Einstellungen!$C$3,5,1),Erfassung!$A$6:$A$5005,"&lt;"&amp;DATE(Einstellungen!$C$3,6,1)))</f>
        <v/>
      </c>
      <c r="H68" s="54">
        <f>IF($B68="","",SUMIFS(Erfassung!$E$6:$E$5005,Erfassung!$B$6:$B$5005,$A68,Erfassung!$A$6:$A$5005,"&gt;="&amp;DATE(Einstellungen!$C$3,6,1),Erfassung!$A$6:$A$5005,"&lt;"&amp;DATE(Einstellungen!$C$3,7,1)))</f>
        <v/>
      </c>
      <c r="I68" s="54">
        <f>IF($B68="","",SUMIFS(Erfassung!$E$6:$E$5005,Erfassung!$B$6:$B$5005,$A68,Erfassung!$A$6:$A$5005,"&gt;="&amp;DATE(Einstellungen!$C$3,7,1),Erfassung!$A$6:$A$5005,"&lt;"&amp;DATE(Einstellungen!$C$3,8,1)))</f>
        <v/>
      </c>
      <c r="J68" s="54">
        <f>IF($B68="","",SUMIFS(Erfassung!$E$6:$E$5005,Erfassung!$B$6:$B$5005,$A68,Erfassung!$A$6:$A$5005,"&gt;="&amp;DATE(Einstellungen!$C$3,8,1),Erfassung!$A$6:$A$5005,"&lt;"&amp;DATE(Einstellungen!$C$3,9,1)))</f>
        <v/>
      </c>
      <c r="K68" s="54">
        <f>IF($B68="","",SUMIFS(Erfassung!$E$6:$E$5005,Erfassung!$B$6:$B$5005,$A68,Erfassung!$A$6:$A$5005,"&gt;="&amp;DATE(Einstellungen!$C$3,9,1),Erfassung!$A$6:$A$5005,"&lt;"&amp;DATE(Einstellungen!$C$3,10,1)))</f>
        <v/>
      </c>
      <c r="L68" s="54">
        <f>IF($B68="","",SUMIFS(Erfassung!$E$6:$E$5005,Erfassung!$B$6:$B$5005,$A68,Erfassung!$A$6:$A$5005,"&gt;="&amp;DATE(Einstellungen!$C$3,10,1),Erfassung!$A$6:$A$5005,"&lt;"&amp;DATE(Einstellungen!$C$3,11,1)))</f>
        <v/>
      </c>
      <c r="M68" s="54">
        <f>IF($B68="","",SUMIFS(Erfassung!$E$6:$E$5005,Erfassung!$B$6:$B$5005,$A68,Erfassung!$A$6:$A$5005,"&gt;="&amp;DATE(Einstellungen!$C$3,11,1),Erfassung!$A$6:$A$5005,"&lt;"&amp;DATE(Einstellungen!$C$3,12,1)))</f>
        <v/>
      </c>
      <c r="N68" s="54">
        <f>IF($B68="","",SUMIFS(Erfassung!$E$6:$E$5005,Erfassung!$B$6:$B$5005,$A68,Erfassung!$A$6:$A$5005,"&gt;="&amp;DATE(Einstellungen!$C$3,12,1),Erfassung!$A$6:$A$5005,"&lt;"&amp;DATE(Einstellungen!$C$3,13,1)))</f>
        <v/>
      </c>
      <c r="O68" s="45">
        <f>IF($B68="","",SUM(C68:N68))</f>
        <v/>
      </c>
      <c r="P68" s="54">
        <f>IF($B68="","",SUMIFS(Erfassung!$G$6:$G$5005,Erfassung!$B$6:$B$5005,$A68,Erfassung!$A$6:$A$5005,"&gt;="&amp;DATE(Einstellungen!$C$3,1,1),Erfassung!$A$6:$A$5005,"&lt;"&amp;DATE(Einstellungen!$C$3,2,1)))</f>
        <v/>
      </c>
      <c r="Q68" s="54">
        <f>IF($B68="","",SUMIFS(Erfassung!$G$6:$G$5005,Erfassung!$B$6:$B$5005,$A68,Erfassung!$A$6:$A$5005,"&gt;="&amp;DATE(Einstellungen!$C$3,2,1),Erfassung!$A$6:$A$5005,"&lt;"&amp;DATE(Einstellungen!$C$3,3,1)))</f>
        <v/>
      </c>
      <c r="R68" s="54">
        <f>IF($B68="","",SUMIFS(Erfassung!$G$6:$G$5005,Erfassung!$B$6:$B$5005,$A68,Erfassung!$A$6:$A$5005,"&gt;="&amp;DATE(Einstellungen!$C$3,3,1),Erfassung!$A$6:$A$5005,"&lt;"&amp;DATE(Einstellungen!$C$3,4,1)))</f>
        <v/>
      </c>
      <c r="S68" s="54">
        <f>IF($B68="","",SUMIFS(Erfassung!$G$6:$G$5005,Erfassung!$B$6:$B$5005,$A68,Erfassung!$A$6:$A$5005,"&gt;="&amp;DATE(Einstellungen!$C$3,4,1),Erfassung!$A$6:$A$5005,"&lt;"&amp;DATE(Einstellungen!$C$3,5,1)))</f>
        <v/>
      </c>
      <c r="T68" s="54">
        <f>IF($B68="","",SUMIFS(Erfassung!$G$6:$G$5005,Erfassung!$B$6:$B$5005,$A68,Erfassung!$A$6:$A$5005,"&gt;="&amp;DATE(Einstellungen!$C$3,5,1),Erfassung!$A$6:$A$5005,"&lt;"&amp;DATE(Einstellungen!$C$3,6,1)))</f>
        <v/>
      </c>
      <c r="U68" s="54">
        <f>IF($B68="","",SUMIFS(Erfassung!$G$6:$G$5005,Erfassung!$B$6:$B$5005,$A68,Erfassung!$A$6:$A$5005,"&gt;="&amp;DATE(Einstellungen!$C$3,6,1),Erfassung!$A$6:$A$5005,"&lt;"&amp;DATE(Einstellungen!$C$3,7,1)))</f>
        <v/>
      </c>
      <c r="V68" s="54">
        <f>IF($B68="","",SUMIFS(Erfassung!$G$6:$G$5005,Erfassung!$B$6:$B$5005,$A68,Erfassung!$A$6:$A$5005,"&gt;="&amp;DATE(Einstellungen!$C$3,7,1),Erfassung!$A$6:$A$5005,"&lt;"&amp;DATE(Einstellungen!$C$3,8,1)))</f>
        <v/>
      </c>
      <c r="W68" s="54">
        <f>IF($B68="","",SUMIFS(Erfassung!$G$6:$G$5005,Erfassung!$B$6:$B$5005,$A68,Erfassung!$A$6:$A$5005,"&gt;="&amp;DATE(Einstellungen!$C$3,8,1),Erfassung!$A$6:$A$5005,"&lt;"&amp;DATE(Einstellungen!$C$3,9,1)))</f>
        <v/>
      </c>
      <c r="X68" s="54">
        <f>IF($B68="","",SUMIFS(Erfassung!$G$6:$G$5005,Erfassung!$B$6:$B$5005,$A68,Erfassung!$A$6:$A$5005,"&gt;="&amp;DATE(Einstellungen!$C$3,9,1),Erfassung!$A$6:$A$5005,"&lt;"&amp;DATE(Einstellungen!$C$3,10,1)))</f>
        <v/>
      </c>
      <c r="Y68" s="54">
        <f>IF($B68="","",SUMIFS(Erfassung!$G$6:$G$5005,Erfassung!$B$6:$B$5005,$A68,Erfassung!$A$6:$A$5005,"&gt;="&amp;DATE(Einstellungen!$C$3,10,1),Erfassung!$A$6:$A$5005,"&lt;"&amp;DATE(Einstellungen!$C$3,11,1)))</f>
        <v/>
      </c>
      <c r="Z68" s="54">
        <f>IF($B68="","",SUMIFS(Erfassung!$G$6:$G$5005,Erfassung!$B$6:$B$5005,$A68,Erfassung!$A$6:$A$5005,"&gt;="&amp;DATE(Einstellungen!$C$3,11,1),Erfassung!$A$6:$A$5005,"&lt;"&amp;DATE(Einstellungen!$C$3,12,1)))</f>
        <v/>
      </c>
      <c r="AA68" s="54">
        <f>IF($B68="","",SUMIFS(Erfassung!$G$6:$G$5005,Erfassung!$B$6:$B$5005,$A68,Erfassung!$A$6:$A$5005,"&gt;="&amp;DATE(Einstellungen!$C$3,12,1),Erfassung!$A$6:$A$5005,"&lt;"&amp;DATE(Einstellungen!$C$3,13,1)))</f>
        <v/>
      </c>
      <c r="AB68" s="45">
        <f>IF($B68="","",SUM(P68:AA68))</f>
        <v/>
      </c>
      <c r="AC68" s="38">
        <f>IF($B68="","",IF(O68+AB68&gt;0,AB68/(O68+AB68),""))</f>
        <v/>
      </c>
    </row>
    <row r="69">
      <c r="A69" s="56">
        <f>'KQuote Mitarbeiter'!A69</f>
        <v/>
      </c>
      <c r="B69" s="57">
        <f>'KQuote Mitarbeiter'!B69</f>
        <v/>
      </c>
      <c r="C69" s="54">
        <f>IF($B69="","",SUMIFS(Erfassung!$E$6:$E$5005,Erfassung!$B$6:$B$5005,$A69,Erfassung!$A$6:$A$5005,"&gt;="&amp;DATE(Einstellungen!$C$3,1,1),Erfassung!$A$6:$A$5005,"&lt;"&amp;DATE(Einstellungen!$C$3,2,1)))</f>
        <v/>
      </c>
      <c r="D69" s="54">
        <f>IF($B69="","",SUMIFS(Erfassung!$E$6:$E$5005,Erfassung!$B$6:$B$5005,$A69,Erfassung!$A$6:$A$5005,"&gt;="&amp;DATE(Einstellungen!$C$3,2,1),Erfassung!$A$6:$A$5005,"&lt;"&amp;DATE(Einstellungen!$C$3,3,1)))</f>
        <v/>
      </c>
      <c r="E69" s="54">
        <f>IF($B69="","",SUMIFS(Erfassung!$E$6:$E$5005,Erfassung!$B$6:$B$5005,$A69,Erfassung!$A$6:$A$5005,"&gt;="&amp;DATE(Einstellungen!$C$3,3,1),Erfassung!$A$6:$A$5005,"&lt;"&amp;DATE(Einstellungen!$C$3,4,1)))</f>
        <v/>
      </c>
      <c r="F69" s="54">
        <f>IF($B69="","",SUMIFS(Erfassung!$E$6:$E$5005,Erfassung!$B$6:$B$5005,$A69,Erfassung!$A$6:$A$5005,"&gt;="&amp;DATE(Einstellungen!$C$3,4,1),Erfassung!$A$6:$A$5005,"&lt;"&amp;DATE(Einstellungen!$C$3,5,1)))</f>
        <v/>
      </c>
      <c r="G69" s="54">
        <f>IF($B69="","",SUMIFS(Erfassung!$E$6:$E$5005,Erfassung!$B$6:$B$5005,$A69,Erfassung!$A$6:$A$5005,"&gt;="&amp;DATE(Einstellungen!$C$3,5,1),Erfassung!$A$6:$A$5005,"&lt;"&amp;DATE(Einstellungen!$C$3,6,1)))</f>
        <v/>
      </c>
      <c r="H69" s="54">
        <f>IF($B69="","",SUMIFS(Erfassung!$E$6:$E$5005,Erfassung!$B$6:$B$5005,$A69,Erfassung!$A$6:$A$5005,"&gt;="&amp;DATE(Einstellungen!$C$3,6,1),Erfassung!$A$6:$A$5005,"&lt;"&amp;DATE(Einstellungen!$C$3,7,1)))</f>
        <v/>
      </c>
      <c r="I69" s="54">
        <f>IF($B69="","",SUMIFS(Erfassung!$E$6:$E$5005,Erfassung!$B$6:$B$5005,$A69,Erfassung!$A$6:$A$5005,"&gt;="&amp;DATE(Einstellungen!$C$3,7,1),Erfassung!$A$6:$A$5005,"&lt;"&amp;DATE(Einstellungen!$C$3,8,1)))</f>
        <v/>
      </c>
      <c r="J69" s="54">
        <f>IF($B69="","",SUMIFS(Erfassung!$E$6:$E$5005,Erfassung!$B$6:$B$5005,$A69,Erfassung!$A$6:$A$5005,"&gt;="&amp;DATE(Einstellungen!$C$3,8,1),Erfassung!$A$6:$A$5005,"&lt;"&amp;DATE(Einstellungen!$C$3,9,1)))</f>
        <v/>
      </c>
      <c r="K69" s="54">
        <f>IF($B69="","",SUMIFS(Erfassung!$E$6:$E$5005,Erfassung!$B$6:$B$5005,$A69,Erfassung!$A$6:$A$5005,"&gt;="&amp;DATE(Einstellungen!$C$3,9,1),Erfassung!$A$6:$A$5005,"&lt;"&amp;DATE(Einstellungen!$C$3,10,1)))</f>
        <v/>
      </c>
      <c r="L69" s="54">
        <f>IF($B69="","",SUMIFS(Erfassung!$E$6:$E$5005,Erfassung!$B$6:$B$5005,$A69,Erfassung!$A$6:$A$5005,"&gt;="&amp;DATE(Einstellungen!$C$3,10,1),Erfassung!$A$6:$A$5005,"&lt;"&amp;DATE(Einstellungen!$C$3,11,1)))</f>
        <v/>
      </c>
      <c r="M69" s="54">
        <f>IF($B69="","",SUMIFS(Erfassung!$E$6:$E$5005,Erfassung!$B$6:$B$5005,$A69,Erfassung!$A$6:$A$5005,"&gt;="&amp;DATE(Einstellungen!$C$3,11,1),Erfassung!$A$6:$A$5005,"&lt;"&amp;DATE(Einstellungen!$C$3,12,1)))</f>
        <v/>
      </c>
      <c r="N69" s="54">
        <f>IF($B69="","",SUMIFS(Erfassung!$E$6:$E$5005,Erfassung!$B$6:$B$5005,$A69,Erfassung!$A$6:$A$5005,"&gt;="&amp;DATE(Einstellungen!$C$3,12,1),Erfassung!$A$6:$A$5005,"&lt;"&amp;DATE(Einstellungen!$C$3,13,1)))</f>
        <v/>
      </c>
      <c r="O69" s="45">
        <f>IF($B69="","",SUM(C69:N69))</f>
        <v/>
      </c>
      <c r="P69" s="54">
        <f>IF($B69="","",SUMIFS(Erfassung!$G$6:$G$5005,Erfassung!$B$6:$B$5005,$A69,Erfassung!$A$6:$A$5005,"&gt;="&amp;DATE(Einstellungen!$C$3,1,1),Erfassung!$A$6:$A$5005,"&lt;"&amp;DATE(Einstellungen!$C$3,2,1)))</f>
        <v/>
      </c>
      <c r="Q69" s="54">
        <f>IF($B69="","",SUMIFS(Erfassung!$G$6:$G$5005,Erfassung!$B$6:$B$5005,$A69,Erfassung!$A$6:$A$5005,"&gt;="&amp;DATE(Einstellungen!$C$3,2,1),Erfassung!$A$6:$A$5005,"&lt;"&amp;DATE(Einstellungen!$C$3,3,1)))</f>
        <v/>
      </c>
      <c r="R69" s="54">
        <f>IF($B69="","",SUMIFS(Erfassung!$G$6:$G$5005,Erfassung!$B$6:$B$5005,$A69,Erfassung!$A$6:$A$5005,"&gt;="&amp;DATE(Einstellungen!$C$3,3,1),Erfassung!$A$6:$A$5005,"&lt;"&amp;DATE(Einstellungen!$C$3,4,1)))</f>
        <v/>
      </c>
      <c r="S69" s="54">
        <f>IF($B69="","",SUMIFS(Erfassung!$G$6:$G$5005,Erfassung!$B$6:$B$5005,$A69,Erfassung!$A$6:$A$5005,"&gt;="&amp;DATE(Einstellungen!$C$3,4,1),Erfassung!$A$6:$A$5005,"&lt;"&amp;DATE(Einstellungen!$C$3,5,1)))</f>
        <v/>
      </c>
      <c r="T69" s="54">
        <f>IF($B69="","",SUMIFS(Erfassung!$G$6:$G$5005,Erfassung!$B$6:$B$5005,$A69,Erfassung!$A$6:$A$5005,"&gt;="&amp;DATE(Einstellungen!$C$3,5,1),Erfassung!$A$6:$A$5005,"&lt;"&amp;DATE(Einstellungen!$C$3,6,1)))</f>
        <v/>
      </c>
      <c r="U69" s="54">
        <f>IF($B69="","",SUMIFS(Erfassung!$G$6:$G$5005,Erfassung!$B$6:$B$5005,$A69,Erfassung!$A$6:$A$5005,"&gt;="&amp;DATE(Einstellungen!$C$3,6,1),Erfassung!$A$6:$A$5005,"&lt;"&amp;DATE(Einstellungen!$C$3,7,1)))</f>
        <v/>
      </c>
      <c r="V69" s="54">
        <f>IF($B69="","",SUMIFS(Erfassung!$G$6:$G$5005,Erfassung!$B$6:$B$5005,$A69,Erfassung!$A$6:$A$5005,"&gt;="&amp;DATE(Einstellungen!$C$3,7,1),Erfassung!$A$6:$A$5005,"&lt;"&amp;DATE(Einstellungen!$C$3,8,1)))</f>
        <v/>
      </c>
      <c r="W69" s="54">
        <f>IF($B69="","",SUMIFS(Erfassung!$G$6:$G$5005,Erfassung!$B$6:$B$5005,$A69,Erfassung!$A$6:$A$5005,"&gt;="&amp;DATE(Einstellungen!$C$3,8,1),Erfassung!$A$6:$A$5005,"&lt;"&amp;DATE(Einstellungen!$C$3,9,1)))</f>
        <v/>
      </c>
      <c r="X69" s="54">
        <f>IF($B69="","",SUMIFS(Erfassung!$G$6:$G$5005,Erfassung!$B$6:$B$5005,$A69,Erfassung!$A$6:$A$5005,"&gt;="&amp;DATE(Einstellungen!$C$3,9,1),Erfassung!$A$6:$A$5005,"&lt;"&amp;DATE(Einstellungen!$C$3,10,1)))</f>
        <v/>
      </c>
      <c r="Y69" s="54">
        <f>IF($B69="","",SUMIFS(Erfassung!$G$6:$G$5005,Erfassung!$B$6:$B$5005,$A69,Erfassung!$A$6:$A$5005,"&gt;="&amp;DATE(Einstellungen!$C$3,10,1),Erfassung!$A$6:$A$5005,"&lt;"&amp;DATE(Einstellungen!$C$3,11,1)))</f>
        <v/>
      </c>
      <c r="Z69" s="54">
        <f>IF($B69="","",SUMIFS(Erfassung!$G$6:$G$5005,Erfassung!$B$6:$B$5005,$A69,Erfassung!$A$6:$A$5005,"&gt;="&amp;DATE(Einstellungen!$C$3,11,1),Erfassung!$A$6:$A$5005,"&lt;"&amp;DATE(Einstellungen!$C$3,12,1)))</f>
        <v/>
      </c>
      <c r="AA69" s="54">
        <f>IF($B69="","",SUMIFS(Erfassung!$G$6:$G$5005,Erfassung!$B$6:$B$5005,$A69,Erfassung!$A$6:$A$5005,"&gt;="&amp;DATE(Einstellungen!$C$3,12,1),Erfassung!$A$6:$A$5005,"&lt;"&amp;DATE(Einstellungen!$C$3,13,1)))</f>
        <v/>
      </c>
      <c r="AB69" s="45">
        <f>IF($B69="","",SUM(P69:AA69))</f>
        <v/>
      </c>
      <c r="AC69" s="38">
        <f>IF($B69="","",IF(O69+AB69&gt;0,AB69/(O69+AB69),""))</f>
        <v/>
      </c>
    </row>
    <row r="70">
      <c r="A70" s="56">
        <f>'KQuote Mitarbeiter'!A70</f>
        <v/>
      </c>
      <c r="B70" s="57">
        <f>'KQuote Mitarbeiter'!B70</f>
        <v/>
      </c>
      <c r="C70" s="54">
        <f>IF($B70="","",SUMIFS(Erfassung!$E$6:$E$5005,Erfassung!$B$6:$B$5005,$A70,Erfassung!$A$6:$A$5005,"&gt;="&amp;DATE(Einstellungen!$C$3,1,1),Erfassung!$A$6:$A$5005,"&lt;"&amp;DATE(Einstellungen!$C$3,2,1)))</f>
        <v/>
      </c>
      <c r="D70" s="54">
        <f>IF($B70="","",SUMIFS(Erfassung!$E$6:$E$5005,Erfassung!$B$6:$B$5005,$A70,Erfassung!$A$6:$A$5005,"&gt;="&amp;DATE(Einstellungen!$C$3,2,1),Erfassung!$A$6:$A$5005,"&lt;"&amp;DATE(Einstellungen!$C$3,3,1)))</f>
        <v/>
      </c>
      <c r="E70" s="54">
        <f>IF($B70="","",SUMIFS(Erfassung!$E$6:$E$5005,Erfassung!$B$6:$B$5005,$A70,Erfassung!$A$6:$A$5005,"&gt;="&amp;DATE(Einstellungen!$C$3,3,1),Erfassung!$A$6:$A$5005,"&lt;"&amp;DATE(Einstellungen!$C$3,4,1)))</f>
        <v/>
      </c>
      <c r="F70" s="54">
        <f>IF($B70="","",SUMIFS(Erfassung!$E$6:$E$5005,Erfassung!$B$6:$B$5005,$A70,Erfassung!$A$6:$A$5005,"&gt;="&amp;DATE(Einstellungen!$C$3,4,1),Erfassung!$A$6:$A$5005,"&lt;"&amp;DATE(Einstellungen!$C$3,5,1)))</f>
        <v/>
      </c>
      <c r="G70" s="54">
        <f>IF($B70="","",SUMIFS(Erfassung!$E$6:$E$5005,Erfassung!$B$6:$B$5005,$A70,Erfassung!$A$6:$A$5005,"&gt;="&amp;DATE(Einstellungen!$C$3,5,1),Erfassung!$A$6:$A$5005,"&lt;"&amp;DATE(Einstellungen!$C$3,6,1)))</f>
        <v/>
      </c>
      <c r="H70" s="54">
        <f>IF($B70="","",SUMIFS(Erfassung!$E$6:$E$5005,Erfassung!$B$6:$B$5005,$A70,Erfassung!$A$6:$A$5005,"&gt;="&amp;DATE(Einstellungen!$C$3,6,1),Erfassung!$A$6:$A$5005,"&lt;"&amp;DATE(Einstellungen!$C$3,7,1)))</f>
        <v/>
      </c>
      <c r="I70" s="54">
        <f>IF($B70="","",SUMIFS(Erfassung!$E$6:$E$5005,Erfassung!$B$6:$B$5005,$A70,Erfassung!$A$6:$A$5005,"&gt;="&amp;DATE(Einstellungen!$C$3,7,1),Erfassung!$A$6:$A$5005,"&lt;"&amp;DATE(Einstellungen!$C$3,8,1)))</f>
        <v/>
      </c>
      <c r="J70" s="54">
        <f>IF($B70="","",SUMIFS(Erfassung!$E$6:$E$5005,Erfassung!$B$6:$B$5005,$A70,Erfassung!$A$6:$A$5005,"&gt;="&amp;DATE(Einstellungen!$C$3,8,1),Erfassung!$A$6:$A$5005,"&lt;"&amp;DATE(Einstellungen!$C$3,9,1)))</f>
        <v/>
      </c>
      <c r="K70" s="54">
        <f>IF($B70="","",SUMIFS(Erfassung!$E$6:$E$5005,Erfassung!$B$6:$B$5005,$A70,Erfassung!$A$6:$A$5005,"&gt;="&amp;DATE(Einstellungen!$C$3,9,1),Erfassung!$A$6:$A$5005,"&lt;"&amp;DATE(Einstellungen!$C$3,10,1)))</f>
        <v/>
      </c>
      <c r="L70" s="54">
        <f>IF($B70="","",SUMIFS(Erfassung!$E$6:$E$5005,Erfassung!$B$6:$B$5005,$A70,Erfassung!$A$6:$A$5005,"&gt;="&amp;DATE(Einstellungen!$C$3,10,1),Erfassung!$A$6:$A$5005,"&lt;"&amp;DATE(Einstellungen!$C$3,11,1)))</f>
        <v/>
      </c>
      <c r="M70" s="54">
        <f>IF($B70="","",SUMIFS(Erfassung!$E$6:$E$5005,Erfassung!$B$6:$B$5005,$A70,Erfassung!$A$6:$A$5005,"&gt;="&amp;DATE(Einstellungen!$C$3,11,1),Erfassung!$A$6:$A$5005,"&lt;"&amp;DATE(Einstellungen!$C$3,12,1)))</f>
        <v/>
      </c>
      <c r="N70" s="54">
        <f>IF($B70="","",SUMIFS(Erfassung!$E$6:$E$5005,Erfassung!$B$6:$B$5005,$A70,Erfassung!$A$6:$A$5005,"&gt;="&amp;DATE(Einstellungen!$C$3,12,1),Erfassung!$A$6:$A$5005,"&lt;"&amp;DATE(Einstellungen!$C$3,13,1)))</f>
        <v/>
      </c>
      <c r="O70" s="45">
        <f>IF($B70="","",SUM(C70:N70))</f>
        <v/>
      </c>
      <c r="P70" s="54">
        <f>IF($B70="","",SUMIFS(Erfassung!$G$6:$G$5005,Erfassung!$B$6:$B$5005,$A70,Erfassung!$A$6:$A$5005,"&gt;="&amp;DATE(Einstellungen!$C$3,1,1),Erfassung!$A$6:$A$5005,"&lt;"&amp;DATE(Einstellungen!$C$3,2,1)))</f>
        <v/>
      </c>
      <c r="Q70" s="54">
        <f>IF($B70="","",SUMIFS(Erfassung!$G$6:$G$5005,Erfassung!$B$6:$B$5005,$A70,Erfassung!$A$6:$A$5005,"&gt;="&amp;DATE(Einstellungen!$C$3,2,1),Erfassung!$A$6:$A$5005,"&lt;"&amp;DATE(Einstellungen!$C$3,3,1)))</f>
        <v/>
      </c>
      <c r="R70" s="54">
        <f>IF($B70="","",SUMIFS(Erfassung!$G$6:$G$5005,Erfassung!$B$6:$B$5005,$A70,Erfassung!$A$6:$A$5005,"&gt;="&amp;DATE(Einstellungen!$C$3,3,1),Erfassung!$A$6:$A$5005,"&lt;"&amp;DATE(Einstellungen!$C$3,4,1)))</f>
        <v/>
      </c>
      <c r="S70" s="54">
        <f>IF($B70="","",SUMIFS(Erfassung!$G$6:$G$5005,Erfassung!$B$6:$B$5005,$A70,Erfassung!$A$6:$A$5005,"&gt;="&amp;DATE(Einstellungen!$C$3,4,1),Erfassung!$A$6:$A$5005,"&lt;"&amp;DATE(Einstellungen!$C$3,5,1)))</f>
        <v/>
      </c>
      <c r="T70" s="54">
        <f>IF($B70="","",SUMIFS(Erfassung!$G$6:$G$5005,Erfassung!$B$6:$B$5005,$A70,Erfassung!$A$6:$A$5005,"&gt;="&amp;DATE(Einstellungen!$C$3,5,1),Erfassung!$A$6:$A$5005,"&lt;"&amp;DATE(Einstellungen!$C$3,6,1)))</f>
        <v/>
      </c>
      <c r="U70" s="54">
        <f>IF($B70="","",SUMIFS(Erfassung!$G$6:$G$5005,Erfassung!$B$6:$B$5005,$A70,Erfassung!$A$6:$A$5005,"&gt;="&amp;DATE(Einstellungen!$C$3,6,1),Erfassung!$A$6:$A$5005,"&lt;"&amp;DATE(Einstellungen!$C$3,7,1)))</f>
        <v/>
      </c>
      <c r="V70" s="54">
        <f>IF($B70="","",SUMIFS(Erfassung!$G$6:$G$5005,Erfassung!$B$6:$B$5005,$A70,Erfassung!$A$6:$A$5005,"&gt;="&amp;DATE(Einstellungen!$C$3,7,1),Erfassung!$A$6:$A$5005,"&lt;"&amp;DATE(Einstellungen!$C$3,8,1)))</f>
        <v/>
      </c>
      <c r="W70" s="54">
        <f>IF($B70="","",SUMIFS(Erfassung!$G$6:$G$5005,Erfassung!$B$6:$B$5005,$A70,Erfassung!$A$6:$A$5005,"&gt;="&amp;DATE(Einstellungen!$C$3,8,1),Erfassung!$A$6:$A$5005,"&lt;"&amp;DATE(Einstellungen!$C$3,9,1)))</f>
        <v/>
      </c>
      <c r="X70" s="54">
        <f>IF($B70="","",SUMIFS(Erfassung!$G$6:$G$5005,Erfassung!$B$6:$B$5005,$A70,Erfassung!$A$6:$A$5005,"&gt;="&amp;DATE(Einstellungen!$C$3,9,1),Erfassung!$A$6:$A$5005,"&lt;"&amp;DATE(Einstellungen!$C$3,10,1)))</f>
        <v/>
      </c>
      <c r="Y70" s="54">
        <f>IF($B70="","",SUMIFS(Erfassung!$G$6:$G$5005,Erfassung!$B$6:$B$5005,$A70,Erfassung!$A$6:$A$5005,"&gt;="&amp;DATE(Einstellungen!$C$3,10,1),Erfassung!$A$6:$A$5005,"&lt;"&amp;DATE(Einstellungen!$C$3,11,1)))</f>
        <v/>
      </c>
      <c r="Z70" s="54">
        <f>IF($B70="","",SUMIFS(Erfassung!$G$6:$G$5005,Erfassung!$B$6:$B$5005,$A70,Erfassung!$A$6:$A$5005,"&gt;="&amp;DATE(Einstellungen!$C$3,11,1),Erfassung!$A$6:$A$5005,"&lt;"&amp;DATE(Einstellungen!$C$3,12,1)))</f>
        <v/>
      </c>
      <c r="AA70" s="54">
        <f>IF($B70="","",SUMIFS(Erfassung!$G$6:$G$5005,Erfassung!$B$6:$B$5005,$A70,Erfassung!$A$6:$A$5005,"&gt;="&amp;DATE(Einstellungen!$C$3,12,1),Erfassung!$A$6:$A$5005,"&lt;"&amp;DATE(Einstellungen!$C$3,13,1)))</f>
        <v/>
      </c>
      <c r="AB70" s="45">
        <f>IF($B70="","",SUM(P70:AA70))</f>
        <v/>
      </c>
      <c r="AC70" s="38">
        <f>IF($B70="","",IF(O70+AB70&gt;0,AB70/(O70+AB70),""))</f>
        <v/>
      </c>
    </row>
    <row r="71">
      <c r="A71" s="56">
        <f>'KQuote Mitarbeiter'!A71</f>
        <v/>
      </c>
      <c r="B71" s="57">
        <f>'KQuote Mitarbeiter'!B71</f>
        <v/>
      </c>
      <c r="C71" s="54">
        <f>IF($B71="","",SUMIFS(Erfassung!$E$6:$E$5005,Erfassung!$B$6:$B$5005,$A71,Erfassung!$A$6:$A$5005,"&gt;="&amp;DATE(Einstellungen!$C$3,1,1),Erfassung!$A$6:$A$5005,"&lt;"&amp;DATE(Einstellungen!$C$3,2,1)))</f>
        <v/>
      </c>
      <c r="D71" s="54">
        <f>IF($B71="","",SUMIFS(Erfassung!$E$6:$E$5005,Erfassung!$B$6:$B$5005,$A71,Erfassung!$A$6:$A$5005,"&gt;="&amp;DATE(Einstellungen!$C$3,2,1),Erfassung!$A$6:$A$5005,"&lt;"&amp;DATE(Einstellungen!$C$3,3,1)))</f>
        <v/>
      </c>
      <c r="E71" s="54">
        <f>IF($B71="","",SUMIFS(Erfassung!$E$6:$E$5005,Erfassung!$B$6:$B$5005,$A71,Erfassung!$A$6:$A$5005,"&gt;="&amp;DATE(Einstellungen!$C$3,3,1),Erfassung!$A$6:$A$5005,"&lt;"&amp;DATE(Einstellungen!$C$3,4,1)))</f>
        <v/>
      </c>
      <c r="F71" s="54">
        <f>IF($B71="","",SUMIFS(Erfassung!$E$6:$E$5005,Erfassung!$B$6:$B$5005,$A71,Erfassung!$A$6:$A$5005,"&gt;="&amp;DATE(Einstellungen!$C$3,4,1),Erfassung!$A$6:$A$5005,"&lt;"&amp;DATE(Einstellungen!$C$3,5,1)))</f>
        <v/>
      </c>
      <c r="G71" s="54">
        <f>IF($B71="","",SUMIFS(Erfassung!$E$6:$E$5005,Erfassung!$B$6:$B$5005,$A71,Erfassung!$A$6:$A$5005,"&gt;="&amp;DATE(Einstellungen!$C$3,5,1),Erfassung!$A$6:$A$5005,"&lt;"&amp;DATE(Einstellungen!$C$3,6,1)))</f>
        <v/>
      </c>
      <c r="H71" s="54">
        <f>IF($B71="","",SUMIFS(Erfassung!$E$6:$E$5005,Erfassung!$B$6:$B$5005,$A71,Erfassung!$A$6:$A$5005,"&gt;="&amp;DATE(Einstellungen!$C$3,6,1),Erfassung!$A$6:$A$5005,"&lt;"&amp;DATE(Einstellungen!$C$3,7,1)))</f>
        <v/>
      </c>
      <c r="I71" s="54">
        <f>IF($B71="","",SUMIFS(Erfassung!$E$6:$E$5005,Erfassung!$B$6:$B$5005,$A71,Erfassung!$A$6:$A$5005,"&gt;="&amp;DATE(Einstellungen!$C$3,7,1),Erfassung!$A$6:$A$5005,"&lt;"&amp;DATE(Einstellungen!$C$3,8,1)))</f>
        <v/>
      </c>
      <c r="J71" s="54">
        <f>IF($B71="","",SUMIFS(Erfassung!$E$6:$E$5005,Erfassung!$B$6:$B$5005,$A71,Erfassung!$A$6:$A$5005,"&gt;="&amp;DATE(Einstellungen!$C$3,8,1),Erfassung!$A$6:$A$5005,"&lt;"&amp;DATE(Einstellungen!$C$3,9,1)))</f>
        <v/>
      </c>
      <c r="K71" s="54">
        <f>IF($B71="","",SUMIFS(Erfassung!$E$6:$E$5005,Erfassung!$B$6:$B$5005,$A71,Erfassung!$A$6:$A$5005,"&gt;="&amp;DATE(Einstellungen!$C$3,9,1),Erfassung!$A$6:$A$5005,"&lt;"&amp;DATE(Einstellungen!$C$3,10,1)))</f>
        <v/>
      </c>
      <c r="L71" s="54">
        <f>IF($B71="","",SUMIFS(Erfassung!$E$6:$E$5005,Erfassung!$B$6:$B$5005,$A71,Erfassung!$A$6:$A$5005,"&gt;="&amp;DATE(Einstellungen!$C$3,10,1),Erfassung!$A$6:$A$5005,"&lt;"&amp;DATE(Einstellungen!$C$3,11,1)))</f>
        <v/>
      </c>
      <c r="M71" s="54">
        <f>IF($B71="","",SUMIFS(Erfassung!$E$6:$E$5005,Erfassung!$B$6:$B$5005,$A71,Erfassung!$A$6:$A$5005,"&gt;="&amp;DATE(Einstellungen!$C$3,11,1),Erfassung!$A$6:$A$5005,"&lt;"&amp;DATE(Einstellungen!$C$3,12,1)))</f>
        <v/>
      </c>
      <c r="N71" s="54">
        <f>IF($B71="","",SUMIFS(Erfassung!$E$6:$E$5005,Erfassung!$B$6:$B$5005,$A71,Erfassung!$A$6:$A$5005,"&gt;="&amp;DATE(Einstellungen!$C$3,12,1),Erfassung!$A$6:$A$5005,"&lt;"&amp;DATE(Einstellungen!$C$3,13,1)))</f>
        <v/>
      </c>
      <c r="O71" s="45">
        <f>IF($B71="","",SUM(C71:N71))</f>
        <v/>
      </c>
      <c r="P71" s="54">
        <f>IF($B71="","",SUMIFS(Erfassung!$G$6:$G$5005,Erfassung!$B$6:$B$5005,$A71,Erfassung!$A$6:$A$5005,"&gt;="&amp;DATE(Einstellungen!$C$3,1,1),Erfassung!$A$6:$A$5005,"&lt;"&amp;DATE(Einstellungen!$C$3,2,1)))</f>
        <v/>
      </c>
      <c r="Q71" s="54">
        <f>IF($B71="","",SUMIFS(Erfassung!$G$6:$G$5005,Erfassung!$B$6:$B$5005,$A71,Erfassung!$A$6:$A$5005,"&gt;="&amp;DATE(Einstellungen!$C$3,2,1),Erfassung!$A$6:$A$5005,"&lt;"&amp;DATE(Einstellungen!$C$3,3,1)))</f>
        <v/>
      </c>
      <c r="R71" s="54">
        <f>IF($B71="","",SUMIFS(Erfassung!$G$6:$G$5005,Erfassung!$B$6:$B$5005,$A71,Erfassung!$A$6:$A$5005,"&gt;="&amp;DATE(Einstellungen!$C$3,3,1),Erfassung!$A$6:$A$5005,"&lt;"&amp;DATE(Einstellungen!$C$3,4,1)))</f>
        <v/>
      </c>
      <c r="S71" s="54">
        <f>IF($B71="","",SUMIFS(Erfassung!$G$6:$G$5005,Erfassung!$B$6:$B$5005,$A71,Erfassung!$A$6:$A$5005,"&gt;="&amp;DATE(Einstellungen!$C$3,4,1),Erfassung!$A$6:$A$5005,"&lt;"&amp;DATE(Einstellungen!$C$3,5,1)))</f>
        <v/>
      </c>
      <c r="T71" s="54">
        <f>IF($B71="","",SUMIFS(Erfassung!$G$6:$G$5005,Erfassung!$B$6:$B$5005,$A71,Erfassung!$A$6:$A$5005,"&gt;="&amp;DATE(Einstellungen!$C$3,5,1),Erfassung!$A$6:$A$5005,"&lt;"&amp;DATE(Einstellungen!$C$3,6,1)))</f>
        <v/>
      </c>
      <c r="U71" s="54">
        <f>IF($B71="","",SUMIFS(Erfassung!$G$6:$G$5005,Erfassung!$B$6:$B$5005,$A71,Erfassung!$A$6:$A$5005,"&gt;="&amp;DATE(Einstellungen!$C$3,6,1),Erfassung!$A$6:$A$5005,"&lt;"&amp;DATE(Einstellungen!$C$3,7,1)))</f>
        <v/>
      </c>
      <c r="V71" s="54">
        <f>IF($B71="","",SUMIFS(Erfassung!$G$6:$G$5005,Erfassung!$B$6:$B$5005,$A71,Erfassung!$A$6:$A$5005,"&gt;="&amp;DATE(Einstellungen!$C$3,7,1),Erfassung!$A$6:$A$5005,"&lt;"&amp;DATE(Einstellungen!$C$3,8,1)))</f>
        <v/>
      </c>
      <c r="W71" s="54">
        <f>IF($B71="","",SUMIFS(Erfassung!$G$6:$G$5005,Erfassung!$B$6:$B$5005,$A71,Erfassung!$A$6:$A$5005,"&gt;="&amp;DATE(Einstellungen!$C$3,8,1),Erfassung!$A$6:$A$5005,"&lt;"&amp;DATE(Einstellungen!$C$3,9,1)))</f>
        <v/>
      </c>
      <c r="X71" s="54">
        <f>IF($B71="","",SUMIFS(Erfassung!$G$6:$G$5005,Erfassung!$B$6:$B$5005,$A71,Erfassung!$A$6:$A$5005,"&gt;="&amp;DATE(Einstellungen!$C$3,9,1),Erfassung!$A$6:$A$5005,"&lt;"&amp;DATE(Einstellungen!$C$3,10,1)))</f>
        <v/>
      </c>
      <c r="Y71" s="54">
        <f>IF($B71="","",SUMIFS(Erfassung!$G$6:$G$5005,Erfassung!$B$6:$B$5005,$A71,Erfassung!$A$6:$A$5005,"&gt;="&amp;DATE(Einstellungen!$C$3,10,1),Erfassung!$A$6:$A$5005,"&lt;"&amp;DATE(Einstellungen!$C$3,11,1)))</f>
        <v/>
      </c>
      <c r="Z71" s="54">
        <f>IF($B71="","",SUMIFS(Erfassung!$G$6:$G$5005,Erfassung!$B$6:$B$5005,$A71,Erfassung!$A$6:$A$5005,"&gt;="&amp;DATE(Einstellungen!$C$3,11,1),Erfassung!$A$6:$A$5005,"&lt;"&amp;DATE(Einstellungen!$C$3,12,1)))</f>
        <v/>
      </c>
      <c r="AA71" s="54">
        <f>IF($B71="","",SUMIFS(Erfassung!$G$6:$G$5005,Erfassung!$B$6:$B$5005,$A71,Erfassung!$A$6:$A$5005,"&gt;="&amp;DATE(Einstellungen!$C$3,12,1),Erfassung!$A$6:$A$5005,"&lt;"&amp;DATE(Einstellungen!$C$3,13,1)))</f>
        <v/>
      </c>
      <c r="AB71" s="45">
        <f>IF($B71="","",SUM(P71:AA71))</f>
        <v/>
      </c>
      <c r="AC71" s="38">
        <f>IF($B71="","",IF(O71+AB71&gt;0,AB71/(O71+AB71),""))</f>
        <v/>
      </c>
    </row>
    <row r="72">
      <c r="A72" s="56">
        <f>'KQuote Mitarbeiter'!A72</f>
        <v/>
      </c>
      <c r="B72" s="57">
        <f>'KQuote Mitarbeiter'!B72</f>
        <v/>
      </c>
      <c r="C72" s="54">
        <f>IF($B72="","",SUMIFS(Erfassung!$E$6:$E$5005,Erfassung!$B$6:$B$5005,$A72,Erfassung!$A$6:$A$5005,"&gt;="&amp;DATE(Einstellungen!$C$3,1,1),Erfassung!$A$6:$A$5005,"&lt;"&amp;DATE(Einstellungen!$C$3,2,1)))</f>
        <v/>
      </c>
      <c r="D72" s="54">
        <f>IF($B72="","",SUMIFS(Erfassung!$E$6:$E$5005,Erfassung!$B$6:$B$5005,$A72,Erfassung!$A$6:$A$5005,"&gt;="&amp;DATE(Einstellungen!$C$3,2,1),Erfassung!$A$6:$A$5005,"&lt;"&amp;DATE(Einstellungen!$C$3,3,1)))</f>
        <v/>
      </c>
      <c r="E72" s="54">
        <f>IF($B72="","",SUMIFS(Erfassung!$E$6:$E$5005,Erfassung!$B$6:$B$5005,$A72,Erfassung!$A$6:$A$5005,"&gt;="&amp;DATE(Einstellungen!$C$3,3,1),Erfassung!$A$6:$A$5005,"&lt;"&amp;DATE(Einstellungen!$C$3,4,1)))</f>
        <v/>
      </c>
      <c r="F72" s="54">
        <f>IF($B72="","",SUMIFS(Erfassung!$E$6:$E$5005,Erfassung!$B$6:$B$5005,$A72,Erfassung!$A$6:$A$5005,"&gt;="&amp;DATE(Einstellungen!$C$3,4,1),Erfassung!$A$6:$A$5005,"&lt;"&amp;DATE(Einstellungen!$C$3,5,1)))</f>
        <v/>
      </c>
      <c r="G72" s="54">
        <f>IF($B72="","",SUMIFS(Erfassung!$E$6:$E$5005,Erfassung!$B$6:$B$5005,$A72,Erfassung!$A$6:$A$5005,"&gt;="&amp;DATE(Einstellungen!$C$3,5,1),Erfassung!$A$6:$A$5005,"&lt;"&amp;DATE(Einstellungen!$C$3,6,1)))</f>
        <v/>
      </c>
      <c r="H72" s="54">
        <f>IF($B72="","",SUMIFS(Erfassung!$E$6:$E$5005,Erfassung!$B$6:$B$5005,$A72,Erfassung!$A$6:$A$5005,"&gt;="&amp;DATE(Einstellungen!$C$3,6,1),Erfassung!$A$6:$A$5005,"&lt;"&amp;DATE(Einstellungen!$C$3,7,1)))</f>
        <v/>
      </c>
      <c r="I72" s="54">
        <f>IF($B72="","",SUMIFS(Erfassung!$E$6:$E$5005,Erfassung!$B$6:$B$5005,$A72,Erfassung!$A$6:$A$5005,"&gt;="&amp;DATE(Einstellungen!$C$3,7,1),Erfassung!$A$6:$A$5005,"&lt;"&amp;DATE(Einstellungen!$C$3,8,1)))</f>
        <v/>
      </c>
      <c r="J72" s="54">
        <f>IF($B72="","",SUMIFS(Erfassung!$E$6:$E$5005,Erfassung!$B$6:$B$5005,$A72,Erfassung!$A$6:$A$5005,"&gt;="&amp;DATE(Einstellungen!$C$3,8,1),Erfassung!$A$6:$A$5005,"&lt;"&amp;DATE(Einstellungen!$C$3,9,1)))</f>
        <v/>
      </c>
      <c r="K72" s="54">
        <f>IF($B72="","",SUMIFS(Erfassung!$E$6:$E$5005,Erfassung!$B$6:$B$5005,$A72,Erfassung!$A$6:$A$5005,"&gt;="&amp;DATE(Einstellungen!$C$3,9,1),Erfassung!$A$6:$A$5005,"&lt;"&amp;DATE(Einstellungen!$C$3,10,1)))</f>
        <v/>
      </c>
      <c r="L72" s="54">
        <f>IF($B72="","",SUMIFS(Erfassung!$E$6:$E$5005,Erfassung!$B$6:$B$5005,$A72,Erfassung!$A$6:$A$5005,"&gt;="&amp;DATE(Einstellungen!$C$3,10,1),Erfassung!$A$6:$A$5005,"&lt;"&amp;DATE(Einstellungen!$C$3,11,1)))</f>
        <v/>
      </c>
      <c r="M72" s="54">
        <f>IF($B72="","",SUMIFS(Erfassung!$E$6:$E$5005,Erfassung!$B$6:$B$5005,$A72,Erfassung!$A$6:$A$5005,"&gt;="&amp;DATE(Einstellungen!$C$3,11,1),Erfassung!$A$6:$A$5005,"&lt;"&amp;DATE(Einstellungen!$C$3,12,1)))</f>
        <v/>
      </c>
      <c r="N72" s="54">
        <f>IF($B72="","",SUMIFS(Erfassung!$E$6:$E$5005,Erfassung!$B$6:$B$5005,$A72,Erfassung!$A$6:$A$5005,"&gt;="&amp;DATE(Einstellungen!$C$3,12,1),Erfassung!$A$6:$A$5005,"&lt;"&amp;DATE(Einstellungen!$C$3,13,1)))</f>
        <v/>
      </c>
      <c r="O72" s="45">
        <f>IF($B72="","",SUM(C72:N72))</f>
        <v/>
      </c>
      <c r="P72" s="54">
        <f>IF($B72="","",SUMIFS(Erfassung!$G$6:$G$5005,Erfassung!$B$6:$B$5005,$A72,Erfassung!$A$6:$A$5005,"&gt;="&amp;DATE(Einstellungen!$C$3,1,1),Erfassung!$A$6:$A$5005,"&lt;"&amp;DATE(Einstellungen!$C$3,2,1)))</f>
        <v/>
      </c>
      <c r="Q72" s="54">
        <f>IF($B72="","",SUMIFS(Erfassung!$G$6:$G$5005,Erfassung!$B$6:$B$5005,$A72,Erfassung!$A$6:$A$5005,"&gt;="&amp;DATE(Einstellungen!$C$3,2,1),Erfassung!$A$6:$A$5005,"&lt;"&amp;DATE(Einstellungen!$C$3,3,1)))</f>
        <v/>
      </c>
      <c r="R72" s="54">
        <f>IF($B72="","",SUMIFS(Erfassung!$G$6:$G$5005,Erfassung!$B$6:$B$5005,$A72,Erfassung!$A$6:$A$5005,"&gt;="&amp;DATE(Einstellungen!$C$3,3,1),Erfassung!$A$6:$A$5005,"&lt;"&amp;DATE(Einstellungen!$C$3,4,1)))</f>
        <v/>
      </c>
      <c r="S72" s="54">
        <f>IF($B72="","",SUMIFS(Erfassung!$G$6:$G$5005,Erfassung!$B$6:$B$5005,$A72,Erfassung!$A$6:$A$5005,"&gt;="&amp;DATE(Einstellungen!$C$3,4,1),Erfassung!$A$6:$A$5005,"&lt;"&amp;DATE(Einstellungen!$C$3,5,1)))</f>
        <v/>
      </c>
      <c r="T72" s="54">
        <f>IF($B72="","",SUMIFS(Erfassung!$G$6:$G$5005,Erfassung!$B$6:$B$5005,$A72,Erfassung!$A$6:$A$5005,"&gt;="&amp;DATE(Einstellungen!$C$3,5,1),Erfassung!$A$6:$A$5005,"&lt;"&amp;DATE(Einstellungen!$C$3,6,1)))</f>
        <v/>
      </c>
      <c r="U72" s="54">
        <f>IF($B72="","",SUMIFS(Erfassung!$G$6:$G$5005,Erfassung!$B$6:$B$5005,$A72,Erfassung!$A$6:$A$5005,"&gt;="&amp;DATE(Einstellungen!$C$3,6,1),Erfassung!$A$6:$A$5005,"&lt;"&amp;DATE(Einstellungen!$C$3,7,1)))</f>
        <v/>
      </c>
      <c r="V72" s="54">
        <f>IF($B72="","",SUMIFS(Erfassung!$G$6:$G$5005,Erfassung!$B$6:$B$5005,$A72,Erfassung!$A$6:$A$5005,"&gt;="&amp;DATE(Einstellungen!$C$3,7,1),Erfassung!$A$6:$A$5005,"&lt;"&amp;DATE(Einstellungen!$C$3,8,1)))</f>
        <v/>
      </c>
      <c r="W72" s="54">
        <f>IF($B72="","",SUMIFS(Erfassung!$G$6:$G$5005,Erfassung!$B$6:$B$5005,$A72,Erfassung!$A$6:$A$5005,"&gt;="&amp;DATE(Einstellungen!$C$3,8,1),Erfassung!$A$6:$A$5005,"&lt;"&amp;DATE(Einstellungen!$C$3,9,1)))</f>
        <v/>
      </c>
      <c r="X72" s="54">
        <f>IF($B72="","",SUMIFS(Erfassung!$G$6:$G$5005,Erfassung!$B$6:$B$5005,$A72,Erfassung!$A$6:$A$5005,"&gt;="&amp;DATE(Einstellungen!$C$3,9,1),Erfassung!$A$6:$A$5005,"&lt;"&amp;DATE(Einstellungen!$C$3,10,1)))</f>
        <v/>
      </c>
      <c r="Y72" s="54">
        <f>IF($B72="","",SUMIFS(Erfassung!$G$6:$G$5005,Erfassung!$B$6:$B$5005,$A72,Erfassung!$A$6:$A$5005,"&gt;="&amp;DATE(Einstellungen!$C$3,10,1),Erfassung!$A$6:$A$5005,"&lt;"&amp;DATE(Einstellungen!$C$3,11,1)))</f>
        <v/>
      </c>
      <c r="Z72" s="54">
        <f>IF($B72="","",SUMIFS(Erfassung!$G$6:$G$5005,Erfassung!$B$6:$B$5005,$A72,Erfassung!$A$6:$A$5005,"&gt;="&amp;DATE(Einstellungen!$C$3,11,1),Erfassung!$A$6:$A$5005,"&lt;"&amp;DATE(Einstellungen!$C$3,12,1)))</f>
        <v/>
      </c>
      <c r="AA72" s="54">
        <f>IF($B72="","",SUMIFS(Erfassung!$G$6:$G$5005,Erfassung!$B$6:$B$5005,$A72,Erfassung!$A$6:$A$5005,"&gt;="&amp;DATE(Einstellungen!$C$3,12,1),Erfassung!$A$6:$A$5005,"&lt;"&amp;DATE(Einstellungen!$C$3,13,1)))</f>
        <v/>
      </c>
      <c r="AB72" s="45">
        <f>IF($B72="","",SUM(P72:AA72))</f>
        <v/>
      </c>
      <c r="AC72" s="38">
        <f>IF($B72="","",IF(O72+AB72&gt;0,AB72/(O72+AB72),""))</f>
        <v/>
      </c>
    </row>
    <row r="73">
      <c r="A73" s="56">
        <f>'KQuote Mitarbeiter'!A73</f>
        <v/>
      </c>
      <c r="B73" s="57">
        <f>'KQuote Mitarbeiter'!B73</f>
        <v/>
      </c>
      <c r="C73" s="54">
        <f>IF($B73="","",SUMIFS(Erfassung!$E$6:$E$5005,Erfassung!$B$6:$B$5005,$A73,Erfassung!$A$6:$A$5005,"&gt;="&amp;DATE(Einstellungen!$C$3,1,1),Erfassung!$A$6:$A$5005,"&lt;"&amp;DATE(Einstellungen!$C$3,2,1)))</f>
        <v/>
      </c>
      <c r="D73" s="54">
        <f>IF($B73="","",SUMIFS(Erfassung!$E$6:$E$5005,Erfassung!$B$6:$B$5005,$A73,Erfassung!$A$6:$A$5005,"&gt;="&amp;DATE(Einstellungen!$C$3,2,1),Erfassung!$A$6:$A$5005,"&lt;"&amp;DATE(Einstellungen!$C$3,3,1)))</f>
        <v/>
      </c>
      <c r="E73" s="54">
        <f>IF($B73="","",SUMIFS(Erfassung!$E$6:$E$5005,Erfassung!$B$6:$B$5005,$A73,Erfassung!$A$6:$A$5005,"&gt;="&amp;DATE(Einstellungen!$C$3,3,1),Erfassung!$A$6:$A$5005,"&lt;"&amp;DATE(Einstellungen!$C$3,4,1)))</f>
        <v/>
      </c>
      <c r="F73" s="54">
        <f>IF($B73="","",SUMIFS(Erfassung!$E$6:$E$5005,Erfassung!$B$6:$B$5005,$A73,Erfassung!$A$6:$A$5005,"&gt;="&amp;DATE(Einstellungen!$C$3,4,1),Erfassung!$A$6:$A$5005,"&lt;"&amp;DATE(Einstellungen!$C$3,5,1)))</f>
        <v/>
      </c>
      <c r="G73" s="54">
        <f>IF($B73="","",SUMIFS(Erfassung!$E$6:$E$5005,Erfassung!$B$6:$B$5005,$A73,Erfassung!$A$6:$A$5005,"&gt;="&amp;DATE(Einstellungen!$C$3,5,1),Erfassung!$A$6:$A$5005,"&lt;"&amp;DATE(Einstellungen!$C$3,6,1)))</f>
        <v/>
      </c>
      <c r="H73" s="54">
        <f>IF($B73="","",SUMIFS(Erfassung!$E$6:$E$5005,Erfassung!$B$6:$B$5005,$A73,Erfassung!$A$6:$A$5005,"&gt;="&amp;DATE(Einstellungen!$C$3,6,1),Erfassung!$A$6:$A$5005,"&lt;"&amp;DATE(Einstellungen!$C$3,7,1)))</f>
        <v/>
      </c>
      <c r="I73" s="54">
        <f>IF($B73="","",SUMIFS(Erfassung!$E$6:$E$5005,Erfassung!$B$6:$B$5005,$A73,Erfassung!$A$6:$A$5005,"&gt;="&amp;DATE(Einstellungen!$C$3,7,1),Erfassung!$A$6:$A$5005,"&lt;"&amp;DATE(Einstellungen!$C$3,8,1)))</f>
        <v/>
      </c>
      <c r="J73" s="54">
        <f>IF($B73="","",SUMIFS(Erfassung!$E$6:$E$5005,Erfassung!$B$6:$B$5005,$A73,Erfassung!$A$6:$A$5005,"&gt;="&amp;DATE(Einstellungen!$C$3,8,1),Erfassung!$A$6:$A$5005,"&lt;"&amp;DATE(Einstellungen!$C$3,9,1)))</f>
        <v/>
      </c>
      <c r="K73" s="54">
        <f>IF($B73="","",SUMIFS(Erfassung!$E$6:$E$5005,Erfassung!$B$6:$B$5005,$A73,Erfassung!$A$6:$A$5005,"&gt;="&amp;DATE(Einstellungen!$C$3,9,1),Erfassung!$A$6:$A$5005,"&lt;"&amp;DATE(Einstellungen!$C$3,10,1)))</f>
        <v/>
      </c>
      <c r="L73" s="54">
        <f>IF($B73="","",SUMIFS(Erfassung!$E$6:$E$5005,Erfassung!$B$6:$B$5005,$A73,Erfassung!$A$6:$A$5005,"&gt;="&amp;DATE(Einstellungen!$C$3,10,1),Erfassung!$A$6:$A$5005,"&lt;"&amp;DATE(Einstellungen!$C$3,11,1)))</f>
        <v/>
      </c>
      <c r="M73" s="54">
        <f>IF($B73="","",SUMIFS(Erfassung!$E$6:$E$5005,Erfassung!$B$6:$B$5005,$A73,Erfassung!$A$6:$A$5005,"&gt;="&amp;DATE(Einstellungen!$C$3,11,1),Erfassung!$A$6:$A$5005,"&lt;"&amp;DATE(Einstellungen!$C$3,12,1)))</f>
        <v/>
      </c>
      <c r="N73" s="54">
        <f>IF($B73="","",SUMIFS(Erfassung!$E$6:$E$5005,Erfassung!$B$6:$B$5005,$A73,Erfassung!$A$6:$A$5005,"&gt;="&amp;DATE(Einstellungen!$C$3,12,1),Erfassung!$A$6:$A$5005,"&lt;"&amp;DATE(Einstellungen!$C$3,13,1)))</f>
        <v/>
      </c>
      <c r="O73" s="45">
        <f>IF($B73="","",SUM(C73:N73))</f>
        <v/>
      </c>
      <c r="P73" s="54">
        <f>IF($B73="","",SUMIFS(Erfassung!$G$6:$G$5005,Erfassung!$B$6:$B$5005,$A73,Erfassung!$A$6:$A$5005,"&gt;="&amp;DATE(Einstellungen!$C$3,1,1),Erfassung!$A$6:$A$5005,"&lt;"&amp;DATE(Einstellungen!$C$3,2,1)))</f>
        <v/>
      </c>
      <c r="Q73" s="54">
        <f>IF($B73="","",SUMIFS(Erfassung!$G$6:$G$5005,Erfassung!$B$6:$B$5005,$A73,Erfassung!$A$6:$A$5005,"&gt;="&amp;DATE(Einstellungen!$C$3,2,1),Erfassung!$A$6:$A$5005,"&lt;"&amp;DATE(Einstellungen!$C$3,3,1)))</f>
        <v/>
      </c>
      <c r="R73" s="54">
        <f>IF($B73="","",SUMIFS(Erfassung!$G$6:$G$5005,Erfassung!$B$6:$B$5005,$A73,Erfassung!$A$6:$A$5005,"&gt;="&amp;DATE(Einstellungen!$C$3,3,1),Erfassung!$A$6:$A$5005,"&lt;"&amp;DATE(Einstellungen!$C$3,4,1)))</f>
        <v/>
      </c>
      <c r="S73" s="54">
        <f>IF($B73="","",SUMIFS(Erfassung!$G$6:$G$5005,Erfassung!$B$6:$B$5005,$A73,Erfassung!$A$6:$A$5005,"&gt;="&amp;DATE(Einstellungen!$C$3,4,1),Erfassung!$A$6:$A$5005,"&lt;"&amp;DATE(Einstellungen!$C$3,5,1)))</f>
        <v/>
      </c>
      <c r="T73" s="54">
        <f>IF($B73="","",SUMIFS(Erfassung!$G$6:$G$5005,Erfassung!$B$6:$B$5005,$A73,Erfassung!$A$6:$A$5005,"&gt;="&amp;DATE(Einstellungen!$C$3,5,1),Erfassung!$A$6:$A$5005,"&lt;"&amp;DATE(Einstellungen!$C$3,6,1)))</f>
        <v/>
      </c>
      <c r="U73" s="54">
        <f>IF($B73="","",SUMIFS(Erfassung!$G$6:$G$5005,Erfassung!$B$6:$B$5005,$A73,Erfassung!$A$6:$A$5005,"&gt;="&amp;DATE(Einstellungen!$C$3,6,1),Erfassung!$A$6:$A$5005,"&lt;"&amp;DATE(Einstellungen!$C$3,7,1)))</f>
        <v/>
      </c>
      <c r="V73" s="54">
        <f>IF($B73="","",SUMIFS(Erfassung!$G$6:$G$5005,Erfassung!$B$6:$B$5005,$A73,Erfassung!$A$6:$A$5005,"&gt;="&amp;DATE(Einstellungen!$C$3,7,1),Erfassung!$A$6:$A$5005,"&lt;"&amp;DATE(Einstellungen!$C$3,8,1)))</f>
        <v/>
      </c>
      <c r="W73" s="54">
        <f>IF($B73="","",SUMIFS(Erfassung!$G$6:$G$5005,Erfassung!$B$6:$B$5005,$A73,Erfassung!$A$6:$A$5005,"&gt;="&amp;DATE(Einstellungen!$C$3,8,1),Erfassung!$A$6:$A$5005,"&lt;"&amp;DATE(Einstellungen!$C$3,9,1)))</f>
        <v/>
      </c>
      <c r="X73" s="54">
        <f>IF($B73="","",SUMIFS(Erfassung!$G$6:$G$5005,Erfassung!$B$6:$B$5005,$A73,Erfassung!$A$6:$A$5005,"&gt;="&amp;DATE(Einstellungen!$C$3,9,1),Erfassung!$A$6:$A$5005,"&lt;"&amp;DATE(Einstellungen!$C$3,10,1)))</f>
        <v/>
      </c>
      <c r="Y73" s="54">
        <f>IF($B73="","",SUMIFS(Erfassung!$G$6:$G$5005,Erfassung!$B$6:$B$5005,$A73,Erfassung!$A$6:$A$5005,"&gt;="&amp;DATE(Einstellungen!$C$3,10,1),Erfassung!$A$6:$A$5005,"&lt;"&amp;DATE(Einstellungen!$C$3,11,1)))</f>
        <v/>
      </c>
      <c r="Z73" s="54">
        <f>IF($B73="","",SUMIFS(Erfassung!$G$6:$G$5005,Erfassung!$B$6:$B$5005,$A73,Erfassung!$A$6:$A$5005,"&gt;="&amp;DATE(Einstellungen!$C$3,11,1),Erfassung!$A$6:$A$5005,"&lt;"&amp;DATE(Einstellungen!$C$3,12,1)))</f>
        <v/>
      </c>
      <c r="AA73" s="54">
        <f>IF($B73="","",SUMIFS(Erfassung!$G$6:$G$5005,Erfassung!$B$6:$B$5005,$A73,Erfassung!$A$6:$A$5005,"&gt;="&amp;DATE(Einstellungen!$C$3,12,1),Erfassung!$A$6:$A$5005,"&lt;"&amp;DATE(Einstellungen!$C$3,13,1)))</f>
        <v/>
      </c>
      <c r="AB73" s="45">
        <f>IF($B73="","",SUM(P73:AA73))</f>
        <v/>
      </c>
      <c r="AC73" s="38">
        <f>IF($B73="","",IF(O73+AB73&gt;0,AB73/(O73+AB73),""))</f>
        <v/>
      </c>
    </row>
    <row r="74">
      <c r="A74" s="56">
        <f>'KQuote Mitarbeiter'!A74</f>
        <v/>
      </c>
      <c r="B74" s="57">
        <f>'KQuote Mitarbeiter'!B74</f>
        <v/>
      </c>
      <c r="C74" s="54">
        <f>IF($B74="","",SUMIFS(Erfassung!$E$6:$E$5005,Erfassung!$B$6:$B$5005,$A74,Erfassung!$A$6:$A$5005,"&gt;="&amp;DATE(Einstellungen!$C$3,1,1),Erfassung!$A$6:$A$5005,"&lt;"&amp;DATE(Einstellungen!$C$3,2,1)))</f>
        <v/>
      </c>
      <c r="D74" s="54">
        <f>IF($B74="","",SUMIFS(Erfassung!$E$6:$E$5005,Erfassung!$B$6:$B$5005,$A74,Erfassung!$A$6:$A$5005,"&gt;="&amp;DATE(Einstellungen!$C$3,2,1),Erfassung!$A$6:$A$5005,"&lt;"&amp;DATE(Einstellungen!$C$3,3,1)))</f>
        <v/>
      </c>
      <c r="E74" s="54">
        <f>IF($B74="","",SUMIFS(Erfassung!$E$6:$E$5005,Erfassung!$B$6:$B$5005,$A74,Erfassung!$A$6:$A$5005,"&gt;="&amp;DATE(Einstellungen!$C$3,3,1),Erfassung!$A$6:$A$5005,"&lt;"&amp;DATE(Einstellungen!$C$3,4,1)))</f>
        <v/>
      </c>
      <c r="F74" s="54">
        <f>IF($B74="","",SUMIFS(Erfassung!$E$6:$E$5005,Erfassung!$B$6:$B$5005,$A74,Erfassung!$A$6:$A$5005,"&gt;="&amp;DATE(Einstellungen!$C$3,4,1),Erfassung!$A$6:$A$5005,"&lt;"&amp;DATE(Einstellungen!$C$3,5,1)))</f>
        <v/>
      </c>
      <c r="G74" s="54">
        <f>IF($B74="","",SUMIFS(Erfassung!$E$6:$E$5005,Erfassung!$B$6:$B$5005,$A74,Erfassung!$A$6:$A$5005,"&gt;="&amp;DATE(Einstellungen!$C$3,5,1),Erfassung!$A$6:$A$5005,"&lt;"&amp;DATE(Einstellungen!$C$3,6,1)))</f>
        <v/>
      </c>
      <c r="H74" s="54">
        <f>IF($B74="","",SUMIFS(Erfassung!$E$6:$E$5005,Erfassung!$B$6:$B$5005,$A74,Erfassung!$A$6:$A$5005,"&gt;="&amp;DATE(Einstellungen!$C$3,6,1),Erfassung!$A$6:$A$5005,"&lt;"&amp;DATE(Einstellungen!$C$3,7,1)))</f>
        <v/>
      </c>
      <c r="I74" s="54">
        <f>IF($B74="","",SUMIFS(Erfassung!$E$6:$E$5005,Erfassung!$B$6:$B$5005,$A74,Erfassung!$A$6:$A$5005,"&gt;="&amp;DATE(Einstellungen!$C$3,7,1),Erfassung!$A$6:$A$5005,"&lt;"&amp;DATE(Einstellungen!$C$3,8,1)))</f>
        <v/>
      </c>
      <c r="J74" s="54">
        <f>IF($B74="","",SUMIFS(Erfassung!$E$6:$E$5005,Erfassung!$B$6:$B$5005,$A74,Erfassung!$A$6:$A$5005,"&gt;="&amp;DATE(Einstellungen!$C$3,8,1),Erfassung!$A$6:$A$5005,"&lt;"&amp;DATE(Einstellungen!$C$3,9,1)))</f>
        <v/>
      </c>
      <c r="K74" s="54">
        <f>IF($B74="","",SUMIFS(Erfassung!$E$6:$E$5005,Erfassung!$B$6:$B$5005,$A74,Erfassung!$A$6:$A$5005,"&gt;="&amp;DATE(Einstellungen!$C$3,9,1),Erfassung!$A$6:$A$5005,"&lt;"&amp;DATE(Einstellungen!$C$3,10,1)))</f>
        <v/>
      </c>
      <c r="L74" s="54">
        <f>IF($B74="","",SUMIFS(Erfassung!$E$6:$E$5005,Erfassung!$B$6:$B$5005,$A74,Erfassung!$A$6:$A$5005,"&gt;="&amp;DATE(Einstellungen!$C$3,10,1),Erfassung!$A$6:$A$5005,"&lt;"&amp;DATE(Einstellungen!$C$3,11,1)))</f>
        <v/>
      </c>
      <c r="M74" s="54">
        <f>IF($B74="","",SUMIFS(Erfassung!$E$6:$E$5005,Erfassung!$B$6:$B$5005,$A74,Erfassung!$A$6:$A$5005,"&gt;="&amp;DATE(Einstellungen!$C$3,11,1),Erfassung!$A$6:$A$5005,"&lt;"&amp;DATE(Einstellungen!$C$3,12,1)))</f>
        <v/>
      </c>
      <c r="N74" s="54">
        <f>IF($B74="","",SUMIFS(Erfassung!$E$6:$E$5005,Erfassung!$B$6:$B$5005,$A74,Erfassung!$A$6:$A$5005,"&gt;="&amp;DATE(Einstellungen!$C$3,12,1),Erfassung!$A$6:$A$5005,"&lt;"&amp;DATE(Einstellungen!$C$3,13,1)))</f>
        <v/>
      </c>
      <c r="O74" s="45">
        <f>IF($B74="","",SUM(C74:N74))</f>
        <v/>
      </c>
      <c r="P74" s="54">
        <f>IF($B74="","",SUMIFS(Erfassung!$G$6:$G$5005,Erfassung!$B$6:$B$5005,$A74,Erfassung!$A$6:$A$5005,"&gt;="&amp;DATE(Einstellungen!$C$3,1,1),Erfassung!$A$6:$A$5005,"&lt;"&amp;DATE(Einstellungen!$C$3,2,1)))</f>
        <v/>
      </c>
      <c r="Q74" s="54">
        <f>IF($B74="","",SUMIFS(Erfassung!$G$6:$G$5005,Erfassung!$B$6:$B$5005,$A74,Erfassung!$A$6:$A$5005,"&gt;="&amp;DATE(Einstellungen!$C$3,2,1),Erfassung!$A$6:$A$5005,"&lt;"&amp;DATE(Einstellungen!$C$3,3,1)))</f>
        <v/>
      </c>
      <c r="R74" s="54">
        <f>IF($B74="","",SUMIFS(Erfassung!$G$6:$G$5005,Erfassung!$B$6:$B$5005,$A74,Erfassung!$A$6:$A$5005,"&gt;="&amp;DATE(Einstellungen!$C$3,3,1),Erfassung!$A$6:$A$5005,"&lt;"&amp;DATE(Einstellungen!$C$3,4,1)))</f>
        <v/>
      </c>
      <c r="S74" s="54">
        <f>IF($B74="","",SUMIFS(Erfassung!$G$6:$G$5005,Erfassung!$B$6:$B$5005,$A74,Erfassung!$A$6:$A$5005,"&gt;="&amp;DATE(Einstellungen!$C$3,4,1),Erfassung!$A$6:$A$5005,"&lt;"&amp;DATE(Einstellungen!$C$3,5,1)))</f>
        <v/>
      </c>
      <c r="T74" s="54">
        <f>IF($B74="","",SUMIFS(Erfassung!$G$6:$G$5005,Erfassung!$B$6:$B$5005,$A74,Erfassung!$A$6:$A$5005,"&gt;="&amp;DATE(Einstellungen!$C$3,5,1),Erfassung!$A$6:$A$5005,"&lt;"&amp;DATE(Einstellungen!$C$3,6,1)))</f>
        <v/>
      </c>
      <c r="U74" s="54">
        <f>IF($B74="","",SUMIFS(Erfassung!$G$6:$G$5005,Erfassung!$B$6:$B$5005,$A74,Erfassung!$A$6:$A$5005,"&gt;="&amp;DATE(Einstellungen!$C$3,6,1),Erfassung!$A$6:$A$5005,"&lt;"&amp;DATE(Einstellungen!$C$3,7,1)))</f>
        <v/>
      </c>
      <c r="V74" s="54">
        <f>IF($B74="","",SUMIFS(Erfassung!$G$6:$G$5005,Erfassung!$B$6:$B$5005,$A74,Erfassung!$A$6:$A$5005,"&gt;="&amp;DATE(Einstellungen!$C$3,7,1),Erfassung!$A$6:$A$5005,"&lt;"&amp;DATE(Einstellungen!$C$3,8,1)))</f>
        <v/>
      </c>
      <c r="W74" s="54">
        <f>IF($B74="","",SUMIFS(Erfassung!$G$6:$G$5005,Erfassung!$B$6:$B$5005,$A74,Erfassung!$A$6:$A$5005,"&gt;="&amp;DATE(Einstellungen!$C$3,8,1),Erfassung!$A$6:$A$5005,"&lt;"&amp;DATE(Einstellungen!$C$3,9,1)))</f>
        <v/>
      </c>
      <c r="X74" s="54">
        <f>IF($B74="","",SUMIFS(Erfassung!$G$6:$G$5005,Erfassung!$B$6:$B$5005,$A74,Erfassung!$A$6:$A$5005,"&gt;="&amp;DATE(Einstellungen!$C$3,9,1),Erfassung!$A$6:$A$5005,"&lt;"&amp;DATE(Einstellungen!$C$3,10,1)))</f>
        <v/>
      </c>
      <c r="Y74" s="54">
        <f>IF($B74="","",SUMIFS(Erfassung!$G$6:$G$5005,Erfassung!$B$6:$B$5005,$A74,Erfassung!$A$6:$A$5005,"&gt;="&amp;DATE(Einstellungen!$C$3,10,1),Erfassung!$A$6:$A$5005,"&lt;"&amp;DATE(Einstellungen!$C$3,11,1)))</f>
        <v/>
      </c>
      <c r="Z74" s="54">
        <f>IF($B74="","",SUMIFS(Erfassung!$G$6:$G$5005,Erfassung!$B$6:$B$5005,$A74,Erfassung!$A$6:$A$5005,"&gt;="&amp;DATE(Einstellungen!$C$3,11,1),Erfassung!$A$6:$A$5005,"&lt;"&amp;DATE(Einstellungen!$C$3,12,1)))</f>
        <v/>
      </c>
      <c r="AA74" s="54">
        <f>IF($B74="","",SUMIFS(Erfassung!$G$6:$G$5005,Erfassung!$B$6:$B$5005,$A74,Erfassung!$A$6:$A$5005,"&gt;="&amp;DATE(Einstellungen!$C$3,12,1),Erfassung!$A$6:$A$5005,"&lt;"&amp;DATE(Einstellungen!$C$3,13,1)))</f>
        <v/>
      </c>
      <c r="AB74" s="45">
        <f>IF($B74="","",SUM(P74:AA74))</f>
        <v/>
      </c>
      <c r="AC74" s="38">
        <f>IF($B74="","",IF(O74+AB74&gt;0,AB74/(O74+AB74),""))</f>
        <v/>
      </c>
    </row>
    <row r="75">
      <c r="A75" s="56">
        <f>'KQuote Mitarbeiter'!A75</f>
        <v/>
      </c>
      <c r="B75" s="57">
        <f>'KQuote Mitarbeiter'!B75</f>
        <v/>
      </c>
      <c r="C75" s="54">
        <f>IF($B75="","",SUMIFS(Erfassung!$E$6:$E$5005,Erfassung!$B$6:$B$5005,$A75,Erfassung!$A$6:$A$5005,"&gt;="&amp;DATE(Einstellungen!$C$3,1,1),Erfassung!$A$6:$A$5005,"&lt;"&amp;DATE(Einstellungen!$C$3,2,1)))</f>
        <v/>
      </c>
      <c r="D75" s="54">
        <f>IF($B75="","",SUMIFS(Erfassung!$E$6:$E$5005,Erfassung!$B$6:$B$5005,$A75,Erfassung!$A$6:$A$5005,"&gt;="&amp;DATE(Einstellungen!$C$3,2,1),Erfassung!$A$6:$A$5005,"&lt;"&amp;DATE(Einstellungen!$C$3,3,1)))</f>
        <v/>
      </c>
      <c r="E75" s="54">
        <f>IF($B75="","",SUMIFS(Erfassung!$E$6:$E$5005,Erfassung!$B$6:$B$5005,$A75,Erfassung!$A$6:$A$5005,"&gt;="&amp;DATE(Einstellungen!$C$3,3,1),Erfassung!$A$6:$A$5005,"&lt;"&amp;DATE(Einstellungen!$C$3,4,1)))</f>
        <v/>
      </c>
      <c r="F75" s="54">
        <f>IF($B75="","",SUMIFS(Erfassung!$E$6:$E$5005,Erfassung!$B$6:$B$5005,$A75,Erfassung!$A$6:$A$5005,"&gt;="&amp;DATE(Einstellungen!$C$3,4,1),Erfassung!$A$6:$A$5005,"&lt;"&amp;DATE(Einstellungen!$C$3,5,1)))</f>
        <v/>
      </c>
      <c r="G75" s="54">
        <f>IF($B75="","",SUMIFS(Erfassung!$E$6:$E$5005,Erfassung!$B$6:$B$5005,$A75,Erfassung!$A$6:$A$5005,"&gt;="&amp;DATE(Einstellungen!$C$3,5,1),Erfassung!$A$6:$A$5005,"&lt;"&amp;DATE(Einstellungen!$C$3,6,1)))</f>
        <v/>
      </c>
      <c r="H75" s="54">
        <f>IF($B75="","",SUMIFS(Erfassung!$E$6:$E$5005,Erfassung!$B$6:$B$5005,$A75,Erfassung!$A$6:$A$5005,"&gt;="&amp;DATE(Einstellungen!$C$3,6,1),Erfassung!$A$6:$A$5005,"&lt;"&amp;DATE(Einstellungen!$C$3,7,1)))</f>
        <v/>
      </c>
      <c r="I75" s="54">
        <f>IF($B75="","",SUMIFS(Erfassung!$E$6:$E$5005,Erfassung!$B$6:$B$5005,$A75,Erfassung!$A$6:$A$5005,"&gt;="&amp;DATE(Einstellungen!$C$3,7,1),Erfassung!$A$6:$A$5005,"&lt;"&amp;DATE(Einstellungen!$C$3,8,1)))</f>
        <v/>
      </c>
      <c r="J75" s="54">
        <f>IF($B75="","",SUMIFS(Erfassung!$E$6:$E$5005,Erfassung!$B$6:$B$5005,$A75,Erfassung!$A$6:$A$5005,"&gt;="&amp;DATE(Einstellungen!$C$3,8,1),Erfassung!$A$6:$A$5005,"&lt;"&amp;DATE(Einstellungen!$C$3,9,1)))</f>
        <v/>
      </c>
      <c r="K75" s="54">
        <f>IF($B75="","",SUMIFS(Erfassung!$E$6:$E$5005,Erfassung!$B$6:$B$5005,$A75,Erfassung!$A$6:$A$5005,"&gt;="&amp;DATE(Einstellungen!$C$3,9,1),Erfassung!$A$6:$A$5005,"&lt;"&amp;DATE(Einstellungen!$C$3,10,1)))</f>
        <v/>
      </c>
      <c r="L75" s="54">
        <f>IF($B75="","",SUMIFS(Erfassung!$E$6:$E$5005,Erfassung!$B$6:$B$5005,$A75,Erfassung!$A$6:$A$5005,"&gt;="&amp;DATE(Einstellungen!$C$3,10,1),Erfassung!$A$6:$A$5005,"&lt;"&amp;DATE(Einstellungen!$C$3,11,1)))</f>
        <v/>
      </c>
      <c r="M75" s="54">
        <f>IF($B75="","",SUMIFS(Erfassung!$E$6:$E$5005,Erfassung!$B$6:$B$5005,$A75,Erfassung!$A$6:$A$5005,"&gt;="&amp;DATE(Einstellungen!$C$3,11,1),Erfassung!$A$6:$A$5005,"&lt;"&amp;DATE(Einstellungen!$C$3,12,1)))</f>
        <v/>
      </c>
      <c r="N75" s="54">
        <f>IF($B75="","",SUMIFS(Erfassung!$E$6:$E$5005,Erfassung!$B$6:$B$5005,$A75,Erfassung!$A$6:$A$5005,"&gt;="&amp;DATE(Einstellungen!$C$3,12,1),Erfassung!$A$6:$A$5005,"&lt;"&amp;DATE(Einstellungen!$C$3,13,1)))</f>
        <v/>
      </c>
      <c r="O75" s="45">
        <f>IF($B75="","",SUM(C75:N75))</f>
        <v/>
      </c>
      <c r="P75" s="54">
        <f>IF($B75="","",SUMIFS(Erfassung!$G$6:$G$5005,Erfassung!$B$6:$B$5005,$A75,Erfassung!$A$6:$A$5005,"&gt;="&amp;DATE(Einstellungen!$C$3,1,1),Erfassung!$A$6:$A$5005,"&lt;"&amp;DATE(Einstellungen!$C$3,2,1)))</f>
        <v/>
      </c>
      <c r="Q75" s="54">
        <f>IF($B75="","",SUMIFS(Erfassung!$G$6:$G$5005,Erfassung!$B$6:$B$5005,$A75,Erfassung!$A$6:$A$5005,"&gt;="&amp;DATE(Einstellungen!$C$3,2,1),Erfassung!$A$6:$A$5005,"&lt;"&amp;DATE(Einstellungen!$C$3,3,1)))</f>
        <v/>
      </c>
      <c r="R75" s="54">
        <f>IF($B75="","",SUMIFS(Erfassung!$G$6:$G$5005,Erfassung!$B$6:$B$5005,$A75,Erfassung!$A$6:$A$5005,"&gt;="&amp;DATE(Einstellungen!$C$3,3,1),Erfassung!$A$6:$A$5005,"&lt;"&amp;DATE(Einstellungen!$C$3,4,1)))</f>
        <v/>
      </c>
      <c r="S75" s="54">
        <f>IF($B75="","",SUMIFS(Erfassung!$G$6:$G$5005,Erfassung!$B$6:$B$5005,$A75,Erfassung!$A$6:$A$5005,"&gt;="&amp;DATE(Einstellungen!$C$3,4,1),Erfassung!$A$6:$A$5005,"&lt;"&amp;DATE(Einstellungen!$C$3,5,1)))</f>
        <v/>
      </c>
      <c r="T75" s="54">
        <f>IF($B75="","",SUMIFS(Erfassung!$G$6:$G$5005,Erfassung!$B$6:$B$5005,$A75,Erfassung!$A$6:$A$5005,"&gt;="&amp;DATE(Einstellungen!$C$3,5,1),Erfassung!$A$6:$A$5005,"&lt;"&amp;DATE(Einstellungen!$C$3,6,1)))</f>
        <v/>
      </c>
      <c r="U75" s="54">
        <f>IF($B75="","",SUMIFS(Erfassung!$G$6:$G$5005,Erfassung!$B$6:$B$5005,$A75,Erfassung!$A$6:$A$5005,"&gt;="&amp;DATE(Einstellungen!$C$3,6,1),Erfassung!$A$6:$A$5005,"&lt;"&amp;DATE(Einstellungen!$C$3,7,1)))</f>
        <v/>
      </c>
      <c r="V75" s="54">
        <f>IF($B75="","",SUMIFS(Erfassung!$G$6:$G$5005,Erfassung!$B$6:$B$5005,$A75,Erfassung!$A$6:$A$5005,"&gt;="&amp;DATE(Einstellungen!$C$3,7,1),Erfassung!$A$6:$A$5005,"&lt;"&amp;DATE(Einstellungen!$C$3,8,1)))</f>
        <v/>
      </c>
      <c r="W75" s="54">
        <f>IF($B75="","",SUMIFS(Erfassung!$G$6:$G$5005,Erfassung!$B$6:$B$5005,$A75,Erfassung!$A$6:$A$5005,"&gt;="&amp;DATE(Einstellungen!$C$3,8,1),Erfassung!$A$6:$A$5005,"&lt;"&amp;DATE(Einstellungen!$C$3,9,1)))</f>
        <v/>
      </c>
      <c r="X75" s="54">
        <f>IF($B75="","",SUMIFS(Erfassung!$G$6:$G$5005,Erfassung!$B$6:$B$5005,$A75,Erfassung!$A$6:$A$5005,"&gt;="&amp;DATE(Einstellungen!$C$3,9,1),Erfassung!$A$6:$A$5005,"&lt;"&amp;DATE(Einstellungen!$C$3,10,1)))</f>
        <v/>
      </c>
      <c r="Y75" s="54">
        <f>IF($B75="","",SUMIFS(Erfassung!$G$6:$G$5005,Erfassung!$B$6:$B$5005,$A75,Erfassung!$A$6:$A$5005,"&gt;="&amp;DATE(Einstellungen!$C$3,10,1),Erfassung!$A$6:$A$5005,"&lt;"&amp;DATE(Einstellungen!$C$3,11,1)))</f>
        <v/>
      </c>
      <c r="Z75" s="54">
        <f>IF($B75="","",SUMIFS(Erfassung!$G$6:$G$5005,Erfassung!$B$6:$B$5005,$A75,Erfassung!$A$6:$A$5005,"&gt;="&amp;DATE(Einstellungen!$C$3,11,1),Erfassung!$A$6:$A$5005,"&lt;"&amp;DATE(Einstellungen!$C$3,12,1)))</f>
        <v/>
      </c>
      <c r="AA75" s="54">
        <f>IF($B75="","",SUMIFS(Erfassung!$G$6:$G$5005,Erfassung!$B$6:$B$5005,$A75,Erfassung!$A$6:$A$5005,"&gt;="&amp;DATE(Einstellungen!$C$3,12,1),Erfassung!$A$6:$A$5005,"&lt;"&amp;DATE(Einstellungen!$C$3,13,1)))</f>
        <v/>
      </c>
      <c r="AB75" s="45">
        <f>IF($B75="","",SUM(P75:AA75))</f>
        <v/>
      </c>
      <c r="AC75" s="38">
        <f>IF($B75="","",IF(O75+AB75&gt;0,AB75/(O75+AB75),""))</f>
        <v/>
      </c>
    </row>
    <row r="76">
      <c r="A76" s="56">
        <f>'KQuote Mitarbeiter'!A76</f>
        <v/>
      </c>
      <c r="B76" s="57">
        <f>'KQuote Mitarbeiter'!B76</f>
        <v/>
      </c>
      <c r="C76" s="54">
        <f>IF($B76="","",SUMIFS(Erfassung!$E$6:$E$5005,Erfassung!$B$6:$B$5005,$A76,Erfassung!$A$6:$A$5005,"&gt;="&amp;DATE(Einstellungen!$C$3,1,1),Erfassung!$A$6:$A$5005,"&lt;"&amp;DATE(Einstellungen!$C$3,2,1)))</f>
        <v/>
      </c>
      <c r="D76" s="54">
        <f>IF($B76="","",SUMIFS(Erfassung!$E$6:$E$5005,Erfassung!$B$6:$B$5005,$A76,Erfassung!$A$6:$A$5005,"&gt;="&amp;DATE(Einstellungen!$C$3,2,1),Erfassung!$A$6:$A$5005,"&lt;"&amp;DATE(Einstellungen!$C$3,3,1)))</f>
        <v/>
      </c>
      <c r="E76" s="54">
        <f>IF($B76="","",SUMIFS(Erfassung!$E$6:$E$5005,Erfassung!$B$6:$B$5005,$A76,Erfassung!$A$6:$A$5005,"&gt;="&amp;DATE(Einstellungen!$C$3,3,1),Erfassung!$A$6:$A$5005,"&lt;"&amp;DATE(Einstellungen!$C$3,4,1)))</f>
        <v/>
      </c>
      <c r="F76" s="54">
        <f>IF($B76="","",SUMIFS(Erfassung!$E$6:$E$5005,Erfassung!$B$6:$B$5005,$A76,Erfassung!$A$6:$A$5005,"&gt;="&amp;DATE(Einstellungen!$C$3,4,1),Erfassung!$A$6:$A$5005,"&lt;"&amp;DATE(Einstellungen!$C$3,5,1)))</f>
        <v/>
      </c>
      <c r="G76" s="54">
        <f>IF($B76="","",SUMIFS(Erfassung!$E$6:$E$5005,Erfassung!$B$6:$B$5005,$A76,Erfassung!$A$6:$A$5005,"&gt;="&amp;DATE(Einstellungen!$C$3,5,1),Erfassung!$A$6:$A$5005,"&lt;"&amp;DATE(Einstellungen!$C$3,6,1)))</f>
        <v/>
      </c>
      <c r="H76" s="54">
        <f>IF($B76="","",SUMIFS(Erfassung!$E$6:$E$5005,Erfassung!$B$6:$B$5005,$A76,Erfassung!$A$6:$A$5005,"&gt;="&amp;DATE(Einstellungen!$C$3,6,1),Erfassung!$A$6:$A$5005,"&lt;"&amp;DATE(Einstellungen!$C$3,7,1)))</f>
        <v/>
      </c>
      <c r="I76" s="54">
        <f>IF($B76="","",SUMIFS(Erfassung!$E$6:$E$5005,Erfassung!$B$6:$B$5005,$A76,Erfassung!$A$6:$A$5005,"&gt;="&amp;DATE(Einstellungen!$C$3,7,1),Erfassung!$A$6:$A$5005,"&lt;"&amp;DATE(Einstellungen!$C$3,8,1)))</f>
        <v/>
      </c>
      <c r="J76" s="54">
        <f>IF($B76="","",SUMIFS(Erfassung!$E$6:$E$5005,Erfassung!$B$6:$B$5005,$A76,Erfassung!$A$6:$A$5005,"&gt;="&amp;DATE(Einstellungen!$C$3,8,1),Erfassung!$A$6:$A$5005,"&lt;"&amp;DATE(Einstellungen!$C$3,9,1)))</f>
        <v/>
      </c>
      <c r="K76" s="54">
        <f>IF($B76="","",SUMIFS(Erfassung!$E$6:$E$5005,Erfassung!$B$6:$B$5005,$A76,Erfassung!$A$6:$A$5005,"&gt;="&amp;DATE(Einstellungen!$C$3,9,1),Erfassung!$A$6:$A$5005,"&lt;"&amp;DATE(Einstellungen!$C$3,10,1)))</f>
        <v/>
      </c>
      <c r="L76" s="54">
        <f>IF($B76="","",SUMIFS(Erfassung!$E$6:$E$5005,Erfassung!$B$6:$B$5005,$A76,Erfassung!$A$6:$A$5005,"&gt;="&amp;DATE(Einstellungen!$C$3,10,1),Erfassung!$A$6:$A$5005,"&lt;"&amp;DATE(Einstellungen!$C$3,11,1)))</f>
        <v/>
      </c>
      <c r="M76" s="54">
        <f>IF($B76="","",SUMIFS(Erfassung!$E$6:$E$5005,Erfassung!$B$6:$B$5005,$A76,Erfassung!$A$6:$A$5005,"&gt;="&amp;DATE(Einstellungen!$C$3,11,1),Erfassung!$A$6:$A$5005,"&lt;"&amp;DATE(Einstellungen!$C$3,12,1)))</f>
        <v/>
      </c>
      <c r="N76" s="54">
        <f>IF($B76="","",SUMIFS(Erfassung!$E$6:$E$5005,Erfassung!$B$6:$B$5005,$A76,Erfassung!$A$6:$A$5005,"&gt;="&amp;DATE(Einstellungen!$C$3,12,1),Erfassung!$A$6:$A$5005,"&lt;"&amp;DATE(Einstellungen!$C$3,13,1)))</f>
        <v/>
      </c>
      <c r="O76" s="45">
        <f>IF($B76="","",SUM(C76:N76))</f>
        <v/>
      </c>
      <c r="P76" s="54">
        <f>IF($B76="","",SUMIFS(Erfassung!$G$6:$G$5005,Erfassung!$B$6:$B$5005,$A76,Erfassung!$A$6:$A$5005,"&gt;="&amp;DATE(Einstellungen!$C$3,1,1),Erfassung!$A$6:$A$5005,"&lt;"&amp;DATE(Einstellungen!$C$3,2,1)))</f>
        <v/>
      </c>
      <c r="Q76" s="54">
        <f>IF($B76="","",SUMIFS(Erfassung!$G$6:$G$5005,Erfassung!$B$6:$B$5005,$A76,Erfassung!$A$6:$A$5005,"&gt;="&amp;DATE(Einstellungen!$C$3,2,1),Erfassung!$A$6:$A$5005,"&lt;"&amp;DATE(Einstellungen!$C$3,3,1)))</f>
        <v/>
      </c>
      <c r="R76" s="54">
        <f>IF($B76="","",SUMIFS(Erfassung!$G$6:$G$5005,Erfassung!$B$6:$B$5005,$A76,Erfassung!$A$6:$A$5005,"&gt;="&amp;DATE(Einstellungen!$C$3,3,1),Erfassung!$A$6:$A$5005,"&lt;"&amp;DATE(Einstellungen!$C$3,4,1)))</f>
        <v/>
      </c>
      <c r="S76" s="54">
        <f>IF($B76="","",SUMIFS(Erfassung!$G$6:$G$5005,Erfassung!$B$6:$B$5005,$A76,Erfassung!$A$6:$A$5005,"&gt;="&amp;DATE(Einstellungen!$C$3,4,1),Erfassung!$A$6:$A$5005,"&lt;"&amp;DATE(Einstellungen!$C$3,5,1)))</f>
        <v/>
      </c>
      <c r="T76" s="54">
        <f>IF($B76="","",SUMIFS(Erfassung!$G$6:$G$5005,Erfassung!$B$6:$B$5005,$A76,Erfassung!$A$6:$A$5005,"&gt;="&amp;DATE(Einstellungen!$C$3,5,1),Erfassung!$A$6:$A$5005,"&lt;"&amp;DATE(Einstellungen!$C$3,6,1)))</f>
        <v/>
      </c>
      <c r="U76" s="54">
        <f>IF($B76="","",SUMIFS(Erfassung!$G$6:$G$5005,Erfassung!$B$6:$B$5005,$A76,Erfassung!$A$6:$A$5005,"&gt;="&amp;DATE(Einstellungen!$C$3,6,1),Erfassung!$A$6:$A$5005,"&lt;"&amp;DATE(Einstellungen!$C$3,7,1)))</f>
        <v/>
      </c>
      <c r="V76" s="54">
        <f>IF($B76="","",SUMIFS(Erfassung!$G$6:$G$5005,Erfassung!$B$6:$B$5005,$A76,Erfassung!$A$6:$A$5005,"&gt;="&amp;DATE(Einstellungen!$C$3,7,1),Erfassung!$A$6:$A$5005,"&lt;"&amp;DATE(Einstellungen!$C$3,8,1)))</f>
        <v/>
      </c>
      <c r="W76" s="54">
        <f>IF($B76="","",SUMIFS(Erfassung!$G$6:$G$5005,Erfassung!$B$6:$B$5005,$A76,Erfassung!$A$6:$A$5005,"&gt;="&amp;DATE(Einstellungen!$C$3,8,1),Erfassung!$A$6:$A$5005,"&lt;"&amp;DATE(Einstellungen!$C$3,9,1)))</f>
        <v/>
      </c>
      <c r="X76" s="54">
        <f>IF($B76="","",SUMIFS(Erfassung!$G$6:$G$5005,Erfassung!$B$6:$B$5005,$A76,Erfassung!$A$6:$A$5005,"&gt;="&amp;DATE(Einstellungen!$C$3,9,1),Erfassung!$A$6:$A$5005,"&lt;"&amp;DATE(Einstellungen!$C$3,10,1)))</f>
        <v/>
      </c>
      <c r="Y76" s="54">
        <f>IF($B76="","",SUMIFS(Erfassung!$G$6:$G$5005,Erfassung!$B$6:$B$5005,$A76,Erfassung!$A$6:$A$5005,"&gt;="&amp;DATE(Einstellungen!$C$3,10,1),Erfassung!$A$6:$A$5005,"&lt;"&amp;DATE(Einstellungen!$C$3,11,1)))</f>
        <v/>
      </c>
      <c r="Z76" s="54">
        <f>IF($B76="","",SUMIFS(Erfassung!$G$6:$G$5005,Erfassung!$B$6:$B$5005,$A76,Erfassung!$A$6:$A$5005,"&gt;="&amp;DATE(Einstellungen!$C$3,11,1),Erfassung!$A$6:$A$5005,"&lt;"&amp;DATE(Einstellungen!$C$3,12,1)))</f>
        <v/>
      </c>
      <c r="AA76" s="54">
        <f>IF($B76="","",SUMIFS(Erfassung!$G$6:$G$5005,Erfassung!$B$6:$B$5005,$A76,Erfassung!$A$6:$A$5005,"&gt;="&amp;DATE(Einstellungen!$C$3,12,1),Erfassung!$A$6:$A$5005,"&lt;"&amp;DATE(Einstellungen!$C$3,13,1)))</f>
        <v/>
      </c>
      <c r="AB76" s="45">
        <f>IF($B76="","",SUM(P76:AA76))</f>
        <v/>
      </c>
      <c r="AC76" s="38">
        <f>IF($B76="","",IF(O76+AB76&gt;0,AB76/(O76+AB76),""))</f>
        <v/>
      </c>
    </row>
    <row r="77">
      <c r="A77" s="56">
        <f>'KQuote Mitarbeiter'!A77</f>
        <v/>
      </c>
      <c r="B77" s="57">
        <f>'KQuote Mitarbeiter'!B77</f>
        <v/>
      </c>
      <c r="C77" s="54">
        <f>IF($B77="","",SUMIFS(Erfassung!$E$6:$E$5005,Erfassung!$B$6:$B$5005,$A77,Erfassung!$A$6:$A$5005,"&gt;="&amp;DATE(Einstellungen!$C$3,1,1),Erfassung!$A$6:$A$5005,"&lt;"&amp;DATE(Einstellungen!$C$3,2,1)))</f>
        <v/>
      </c>
      <c r="D77" s="54">
        <f>IF($B77="","",SUMIFS(Erfassung!$E$6:$E$5005,Erfassung!$B$6:$B$5005,$A77,Erfassung!$A$6:$A$5005,"&gt;="&amp;DATE(Einstellungen!$C$3,2,1),Erfassung!$A$6:$A$5005,"&lt;"&amp;DATE(Einstellungen!$C$3,3,1)))</f>
        <v/>
      </c>
      <c r="E77" s="54">
        <f>IF($B77="","",SUMIFS(Erfassung!$E$6:$E$5005,Erfassung!$B$6:$B$5005,$A77,Erfassung!$A$6:$A$5005,"&gt;="&amp;DATE(Einstellungen!$C$3,3,1),Erfassung!$A$6:$A$5005,"&lt;"&amp;DATE(Einstellungen!$C$3,4,1)))</f>
        <v/>
      </c>
      <c r="F77" s="54">
        <f>IF($B77="","",SUMIFS(Erfassung!$E$6:$E$5005,Erfassung!$B$6:$B$5005,$A77,Erfassung!$A$6:$A$5005,"&gt;="&amp;DATE(Einstellungen!$C$3,4,1),Erfassung!$A$6:$A$5005,"&lt;"&amp;DATE(Einstellungen!$C$3,5,1)))</f>
        <v/>
      </c>
      <c r="G77" s="54">
        <f>IF($B77="","",SUMIFS(Erfassung!$E$6:$E$5005,Erfassung!$B$6:$B$5005,$A77,Erfassung!$A$6:$A$5005,"&gt;="&amp;DATE(Einstellungen!$C$3,5,1),Erfassung!$A$6:$A$5005,"&lt;"&amp;DATE(Einstellungen!$C$3,6,1)))</f>
        <v/>
      </c>
      <c r="H77" s="54">
        <f>IF($B77="","",SUMIFS(Erfassung!$E$6:$E$5005,Erfassung!$B$6:$B$5005,$A77,Erfassung!$A$6:$A$5005,"&gt;="&amp;DATE(Einstellungen!$C$3,6,1),Erfassung!$A$6:$A$5005,"&lt;"&amp;DATE(Einstellungen!$C$3,7,1)))</f>
        <v/>
      </c>
      <c r="I77" s="54">
        <f>IF($B77="","",SUMIFS(Erfassung!$E$6:$E$5005,Erfassung!$B$6:$B$5005,$A77,Erfassung!$A$6:$A$5005,"&gt;="&amp;DATE(Einstellungen!$C$3,7,1),Erfassung!$A$6:$A$5005,"&lt;"&amp;DATE(Einstellungen!$C$3,8,1)))</f>
        <v/>
      </c>
      <c r="J77" s="54">
        <f>IF($B77="","",SUMIFS(Erfassung!$E$6:$E$5005,Erfassung!$B$6:$B$5005,$A77,Erfassung!$A$6:$A$5005,"&gt;="&amp;DATE(Einstellungen!$C$3,8,1),Erfassung!$A$6:$A$5005,"&lt;"&amp;DATE(Einstellungen!$C$3,9,1)))</f>
        <v/>
      </c>
      <c r="K77" s="54">
        <f>IF($B77="","",SUMIFS(Erfassung!$E$6:$E$5005,Erfassung!$B$6:$B$5005,$A77,Erfassung!$A$6:$A$5005,"&gt;="&amp;DATE(Einstellungen!$C$3,9,1),Erfassung!$A$6:$A$5005,"&lt;"&amp;DATE(Einstellungen!$C$3,10,1)))</f>
        <v/>
      </c>
      <c r="L77" s="54">
        <f>IF($B77="","",SUMIFS(Erfassung!$E$6:$E$5005,Erfassung!$B$6:$B$5005,$A77,Erfassung!$A$6:$A$5005,"&gt;="&amp;DATE(Einstellungen!$C$3,10,1),Erfassung!$A$6:$A$5005,"&lt;"&amp;DATE(Einstellungen!$C$3,11,1)))</f>
        <v/>
      </c>
      <c r="M77" s="54">
        <f>IF($B77="","",SUMIFS(Erfassung!$E$6:$E$5005,Erfassung!$B$6:$B$5005,$A77,Erfassung!$A$6:$A$5005,"&gt;="&amp;DATE(Einstellungen!$C$3,11,1),Erfassung!$A$6:$A$5005,"&lt;"&amp;DATE(Einstellungen!$C$3,12,1)))</f>
        <v/>
      </c>
      <c r="N77" s="54">
        <f>IF($B77="","",SUMIFS(Erfassung!$E$6:$E$5005,Erfassung!$B$6:$B$5005,$A77,Erfassung!$A$6:$A$5005,"&gt;="&amp;DATE(Einstellungen!$C$3,12,1),Erfassung!$A$6:$A$5005,"&lt;"&amp;DATE(Einstellungen!$C$3,13,1)))</f>
        <v/>
      </c>
      <c r="O77" s="45">
        <f>IF($B77="","",SUM(C77:N77))</f>
        <v/>
      </c>
      <c r="P77" s="54">
        <f>IF($B77="","",SUMIFS(Erfassung!$G$6:$G$5005,Erfassung!$B$6:$B$5005,$A77,Erfassung!$A$6:$A$5005,"&gt;="&amp;DATE(Einstellungen!$C$3,1,1),Erfassung!$A$6:$A$5005,"&lt;"&amp;DATE(Einstellungen!$C$3,2,1)))</f>
        <v/>
      </c>
      <c r="Q77" s="54">
        <f>IF($B77="","",SUMIFS(Erfassung!$G$6:$G$5005,Erfassung!$B$6:$B$5005,$A77,Erfassung!$A$6:$A$5005,"&gt;="&amp;DATE(Einstellungen!$C$3,2,1),Erfassung!$A$6:$A$5005,"&lt;"&amp;DATE(Einstellungen!$C$3,3,1)))</f>
        <v/>
      </c>
      <c r="R77" s="54">
        <f>IF($B77="","",SUMIFS(Erfassung!$G$6:$G$5005,Erfassung!$B$6:$B$5005,$A77,Erfassung!$A$6:$A$5005,"&gt;="&amp;DATE(Einstellungen!$C$3,3,1),Erfassung!$A$6:$A$5005,"&lt;"&amp;DATE(Einstellungen!$C$3,4,1)))</f>
        <v/>
      </c>
      <c r="S77" s="54">
        <f>IF($B77="","",SUMIFS(Erfassung!$G$6:$G$5005,Erfassung!$B$6:$B$5005,$A77,Erfassung!$A$6:$A$5005,"&gt;="&amp;DATE(Einstellungen!$C$3,4,1),Erfassung!$A$6:$A$5005,"&lt;"&amp;DATE(Einstellungen!$C$3,5,1)))</f>
        <v/>
      </c>
      <c r="T77" s="54">
        <f>IF($B77="","",SUMIFS(Erfassung!$G$6:$G$5005,Erfassung!$B$6:$B$5005,$A77,Erfassung!$A$6:$A$5005,"&gt;="&amp;DATE(Einstellungen!$C$3,5,1),Erfassung!$A$6:$A$5005,"&lt;"&amp;DATE(Einstellungen!$C$3,6,1)))</f>
        <v/>
      </c>
      <c r="U77" s="54">
        <f>IF($B77="","",SUMIFS(Erfassung!$G$6:$G$5005,Erfassung!$B$6:$B$5005,$A77,Erfassung!$A$6:$A$5005,"&gt;="&amp;DATE(Einstellungen!$C$3,6,1),Erfassung!$A$6:$A$5005,"&lt;"&amp;DATE(Einstellungen!$C$3,7,1)))</f>
        <v/>
      </c>
      <c r="V77" s="54">
        <f>IF($B77="","",SUMIFS(Erfassung!$G$6:$G$5005,Erfassung!$B$6:$B$5005,$A77,Erfassung!$A$6:$A$5005,"&gt;="&amp;DATE(Einstellungen!$C$3,7,1),Erfassung!$A$6:$A$5005,"&lt;"&amp;DATE(Einstellungen!$C$3,8,1)))</f>
        <v/>
      </c>
      <c r="W77" s="54">
        <f>IF($B77="","",SUMIFS(Erfassung!$G$6:$G$5005,Erfassung!$B$6:$B$5005,$A77,Erfassung!$A$6:$A$5005,"&gt;="&amp;DATE(Einstellungen!$C$3,8,1),Erfassung!$A$6:$A$5005,"&lt;"&amp;DATE(Einstellungen!$C$3,9,1)))</f>
        <v/>
      </c>
      <c r="X77" s="54">
        <f>IF($B77="","",SUMIFS(Erfassung!$G$6:$G$5005,Erfassung!$B$6:$B$5005,$A77,Erfassung!$A$6:$A$5005,"&gt;="&amp;DATE(Einstellungen!$C$3,9,1),Erfassung!$A$6:$A$5005,"&lt;"&amp;DATE(Einstellungen!$C$3,10,1)))</f>
        <v/>
      </c>
      <c r="Y77" s="54">
        <f>IF($B77="","",SUMIFS(Erfassung!$G$6:$G$5005,Erfassung!$B$6:$B$5005,$A77,Erfassung!$A$6:$A$5005,"&gt;="&amp;DATE(Einstellungen!$C$3,10,1),Erfassung!$A$6:$A$5005,"&lt;"&amp;DATE(Einstellungen!$C$3,11,1)))</f>
        <v/>
      </c>
      <c r="Z77" s="54">
        <f>IF($B77="","",SUMIFS(Erfassung!$G$6:$G$5005,Erfassung!$B$6:$B$5005,$A77,Erfassung!$A$6:$A$5005,"&gt;="&amp;DATE(Einstellungen!$C$3,11,1),Erfassung!$A$6:$A$5005,"&lt;"&amp;DATE(Einstellungen!$C$3,12,1)))</f>
        <v/>
      </c>
      <c r="AA77" s="54">
        <f>IF($B77="","",SUMIFS(Erfassung!$G$6:$G$5005,Erfassung!$B$6:$B$5005,$A77,Erfassung!$A$6:$A$5005,"&gt;="&amp;DATE(Einstellungen!$C$3,12,1),Erfassung!$A$6:$A$5005,"&lt;"&amp;DATE(Einstellungen!$C$3,13,1)))</f>
        <v/>
      </c>
      <c r="AB77" s="45">
        <f>IF($B77="","",SUM(P77:AA77))</f>
        <v/>
      </c>
      <c r="AC77" s="38">
        <f>IF($B77="","",IF(O77+AB77&gt;0,AB77/(O77+AB77),""))</f>
        <v/>
      </c>
    </row>
    <row r="78">
      <c r="A78" s="56">
        <f>'KQuote Mitarbeiter'!A78</f>
        <v/>
      </c>
      <c r="B78" s="57">
        <f>'KQuote Mitarbeiter'!B78</f>
        <v/>
      </c>
      <c r="C78" s="54">
        <f>IF($B78="","",SUMIFS(Erfassung!$E$6:$E$5005,Erfassung!$B$6:$B$5005,$A78,Erfassung!$A$6:$A$5005,"&gt;="&amp;DATE(Einstellungen!$C$3,1,1),Erfassung!$A$6:$A$5005,"&lt;"&amp;DATE(Einstellungen!$C$3,2,1)))</f>
        <v/>
      </c>
      <c r="D78" s="54">
        <f>IF($B78="","",SUMIFS(Erfassung!$E$6:$E$5005,Erfassung!$B$6:$B$5005,$A78,Erfassung!$A$6:$A$5005,"&gt;="&amp;DATE(Einstellungen!$C$3,2,1),Erfassung!$A$6:$A$5005,"&lt;"&amp;DATE(Einstellungen!$C$3,3,1)))</f>
        <v/>
      </c>
      <c r="E78" s="54">
        <f>IF($B78="","",SUMIFS(Erfassung!$E$6:$E$5005,Erfassung!$B$6:$B$5005,$A78,Erfassung!$A$6:$A$5005,"&gt;="&amp;DATE(Einstellungen!$C$3,3,1),Erfassung!$A$6:$A$5005,"&lt;"&amp;DATE(Einstellungen!$C$3,4,1)))</f>
        <v/>
      </c>
      <c r="F78" s="54">
        <f>IF($B78="","",SUMIFS(Erfassung!$E$6:$E$5005,Erfassung!$B$6:$B$5005,$A78,Erfassung!$A$6:$A$5005,"&gt;="&amp;DATE(Einstellungen!$C$3,4,1),Erfassung!$A$6:$A$5005,"&lt;"&amp;DATE(Einstellungen!$C$3,5,1)))</f>
        <v/>
      </c>
      <c r="G78" s="54">
        <f>IF($B78="","",SUMIFS(Erfassung!$E$6:$E$5005,Erfassung!$B$6:$B$5005,$A78,Erfassung!$A$6:$A$5005,"&gt;="&amp;DATE(Einstellungen!$C$3,5,1),Erfassung!$A$6:$A$5005,"&lt;"&amp;DATE(Einstellungen!$C$3,6,1)))</f>
        <v/>
      </c>
      <c r="H78" s="54">
        <f>IF($B78="","",SUMIFS(Erfassung!$E$6:$E$5005,Erfassung!$B$6:$B$5005,$A78,Erfassung!$A$6:$A$5005,"&gt;="&amp;DATE(Einstellungen!$C$3,6,1),Erfassung!$A$6:$A$5005,"&lt;"&amp;DATE(Einstellungen!$C$3,7,1)))</f>
        <v/>
      </c>
      <c r="I78" s="54">
        <f>IF($B78="","",SUMIFS(Erfassung!$E$6:$E$5005,Erfassung!$B$6:$B$5005,$A78,Erfassung!$A$6:$A$5005,"&gt;="&amp;DATE(Einstellungen!$C$3,7,1),Erfassung!$A$6:$A$5005,"&lt;"&amp;DATE(Einstellungen!$C$3,8,1)))</f>
        <v/>
      </c>
      <c r="J78" s="54">
        <f>IF($B78="","",SUMIFS(Erfassung!$E$6:$E$5005,Erfassung!$B$6:$B$5005,$A78,Erfassung!$A$6:$A$5005,"&gt;="&amp;DATE(Einstellungen!$C$3,8,1),Erfassung!$A$6:$A$5005,"&lt;"&amp;DATE(Einstellungen!$C$3,9,1)))</f>
        <v/>
      </c>
      <c r="K78" s="54">
        <f>IF($B78="","",SUMIFS(Erfassung!$E$6:$E$5005,Erfassung!$B$6:$B$5005,$A78,Erfassung!$A$6:$A$5005,"&gt;="&amp;DATE(Einstellungen!$C$3,9,1),Erfassung!$A$6:$A$5005,"&lt;"&amp;DATE(Einstellungen!$C$3,10,1)))</f>
        <v/>
      </c>
      <c r="L78" s="54">
        <f>IF($B78="","",SUMIFS(Erfassung!$E$6:$E$5005,Erfassung!$B$6:$B$5005,$A78,Erfassung!$A$6:$A$5005,"&gt;="&amp;DATE(Einstellungen!$C$3,10,1),Erfassung!$A$6:$A$5005,"&lt;"&amp;DATE(Einstellungen!$C$3,11,1)))</f>
        <v/>
      </c>
      <c r="M78" s="54">
        <f>IF($B78="","",SUMIFS(Erfassung!$E$6:$E$5005,Erfassung!$B$6:$B$5005,$A78,Erfassung!$A$6:$A$5005,"&gt;="&amp;DATE(Einstellungen!$C$3,11,1),Erfassung!$A$6:$A$5005,"&lt;"&amp;DATE(Einstellungen!$C$3,12,1)))</f>
        <v/>
      </c>
      <c r="N78" s="54">
        <f>IF($B78="","",SUMIFS(Erfassung!$E$6:$E$5005,Erfassung!$B$6:$B$5005,$A78,Erfassung!$A$6:$A$5005,"&gt;="&amp;DATE(Einstellungen!$C$3,12,1),Erfassung!$A$6:$A$5005,"&lt;"&amp;DATE(Einstellungen!$C$3,13,1)))</f>
        <v/>
      </c>
      <c r="O78" s="45">
        <f>IF($B78="","",SUM(C78:N78))</f>
        <v/>
      </c>
      <c r="P78" s="54">
        <f>IF($B78="","",SUMIFS(Erfassung!$G$6:$G$5005,Erfassung!$B$6:$B$5005,$A78,Erfassung!$A$6:$A$5005,"&gt;="&amp;DATE(Einstellungen!$C$3,1,1),Erfassung!$A$6:$A$5005,"&lt;"&amp;DATE(Einstellungen!$C$3,2,1)))</f>
        <v/>
      </c>
      <c r="Q78" s="54">
        <f>IF($B78="","",SUMIFS(Erfassung!$G$6:$G$5005,Erfassung!$B$6:$B$5005,$A78,Erfassung!$A$6:$A$5005,"&gt;="&amp;DATE(Einstellungen!$C$3,2,1),Erfassung!$A$6:$A$5005,"&lt;"&amp;DATE(Einstellungen!$C$3,3,1)))</f>
        <v/>
      </c>
      <c r="R78" s="54">
        <f>IF($B78="","",SUMIFS(Erfassung!$G$6:$G$5005,Erfassung!$B$6:$B$5005,$A78,Erfassung!$A$6:$A$5005,"&gt;="&amp;DATE(Einstellungen!$C$3,3,1),Erfassung!$A$6:$A$5005,"&lt;"&amp;DATE(Einstellungen!$C$3,4,1)))</f>
        <v/>
      </c>
      <c r="S78" s="54">
        <f>IF($B78="","",SUMIFS(Erfassung!$G$6:$G$5005,Erfassung!$B$6:$B$5005,$A78,Erfassung!$A$6:$A$5005,"&gt;="&amp;DATE(Einstellungen!$C$3,4,1),Erfassung!$A$6:$A$5005,"&lt;"&amp;DATE(Einstellungen!$C$3,5,1)))</f>
        <v/>
      </c>
      <c r="T78" s="54">
        <f>IF($B78="","",SUMIFS(Erfassung!$G$6:$G$5005,Erfassung!$B$6:$B$5005,$A78,Erfassung!$A$6:$A$5005,"&gt;="&amp;DATE(Einstellungen!$C$3,5,1),Erfassung!$A$6:$A$5005,"&lt;"&amp;DATE(Einstellungen!$C$3,6,1)))</f>
        <v/>
      </c>
      <c r="U78" s="54">
        <f>IF($B78="","",SUMIFS(Erfassung!$G$6:$G$5005,Erfassung!$B$6:$B$5005,$A78,Erfassung!$A$6:$A$5005,"&gt;="&amp;DATE(Einstellungen!$C$3,6,1),Erfassung!$A$6:$A$5005,"&lt;"&amp;DATE(Einstellungen!$C$3,7,1)))</f>
        <v/>
      </c>
      <c r="V78" s="54">
        <f>IF($B78="","",SUMIFS(Erfassung!$G$6:$G$5005,Erfassung!$B$6:$B$5005,$A78,Erfassung!$A$6:$A$5005,"&gt;="&amp;DATE(Einstellungen!$C$3,7,1),Erfassung!$A$6:$A$5005,"&lt;"&amp;DATE(Einstellungen!$C$3,8,1)))</f>
        <v/>
      </c>
      <c r="W78" s="54">
        <f>IF($B78="","",SUMIFS(Erfassung!$G$6:$G$5005,Erfassung!$B$6:$B$5005,$A78,Erfassung!$A$6:$A$5005,"&gt;="&amp;DATE(Einstellungen!$C$3,8,1),Erfassung!$A$6:$A$5005,"&lt;"&amp;DATE(Einstellungen!$C$3,9,1)))</f>
        <v/>
      </c>
      <c r="X78" s="54">
        <f>IF($B78="","",SUMIFS(Erfassung!$G$6:$G$5005,Erfassung!$B$6:$B$5005,$A78,Erfassung!$A$6:$A$5005,"&gt;="&amp;DATE(Einstellungen!$C$3,9,1),Erfassung!$A$6:$A$5005,"&lt;"&amp;DATE(Einstellungen!$C$3,10,1)))</f>
        <v/>
      </c>
      <c r="Y78" s="54">
        <f>IF($B78="","",SUMIFS(Erfassung!$G$6:$G$5005,Erfassung!$B$6:$B$5005,$A78,Erfassung!$A$6:$A$5005,"&gt;="&amp;DATE(Einstellungen!$C$3,10,1),Erfassung!$A$6:$A$5005,"&lt;"&amp;DATE(Einstellungen!$C$3,11,1)))</f>
        <v/>
      </c>
      <c r="Z78" s="54">
        <f>IF($B78="","",SUMIFS(Erfassung!$G$6:$G$5005,Erfassung!$B$6:$B$5005,$A78,Erfassung!$A$6:$A$5005,"&gt;="&amp;DATE(Einstellungen!$C$3,11,1),Erfassung!$A$6:$A$5005,"&lt;"&amp;DATE(Einstellungen!$C$3,12,1)))</f>
        <v/>
      </c>
      <c r="AA78" s="54">
        <f>IF($B78="","",SUMIFS(Erfassung!$G$6:$G$5005,Erfassung!$B$6:$B$5005,$A78,Erfassung!$A$6:$A$5005,"&gt;="&amp;DATE(Einstellungen!$C$3,12,1),Erfassung!$A$6:$A$5005,"&lt;"&amp;DATE(Einstellungen!$C$3,13,1)))</f>
        <v/>
      </c>
      <c r="AB78" s="45">
        <f>IF($B78="","",SUM(P78:AA78))</f>
        <v/>
      </c>
      <c r="AC78" s="38">
        <f>IF($B78="","",IF(O78+AB78&gt;0,AB78/(O78+AB78),""))</f>
        <v/>
      </c>
    </row>
    <row r="79">
      <c r="A79" s="56">
        <f>'KQuote Mitarbeiter'!A79</f>
        <v/>
      </c>
      <c r="B79" s="57">
        <f>'KQuote Mitarbeiter'!B79</f>
        <v/>
      </c>
      <c r="C79" s="54">
        <f>IF($B79="","",SUMIFS(Erfassung!$E$6:$E$5005,Erfassung!$B$6:$B$5005,$A79,Erfassung!$A$6:$A$5005,"&gt;="&amp;DATE(Einstellungen!$C$3,1,1),Erfassung!$A$6:$A$5005,"&lt;"&amp;DATE(Einstellungen!$C$3,2,1)))</f>
        <v/>
      </c>
      <c r="D79" s="54">
        <f>IF($B79="","",SUMIFS(Erfassung!$E$6:$E$5005,Erfassung!$B$6:$B$5005,$A79,Erfassung!$A$6:$A$5005,"&gt;="&amp;DATE(Einstellungen!$C$3,2,1),Erfassung!$A$6:$A$5005,"&lt;"&amp;DATE(Einstellungen!$C$3,3,1)))</f>
        <v/>
      </c>
      <c r="E79" s="54">
        <f>IF($B79="","",SUMIFS(Erfassung!$E$6:$E$5005,Erfassung!$B$6:$B$5005,$A79,Erfassung!$A$6:$A$5005,"&gt;="&amp;DATE(Einstellungen!$C$3,3,1),Erfassung!$A$6:$A$5005,"&lt;"&amp;DATE(Einstellungen!$C$3,4,1)))</f>
        <v/>
      </c>
      <c r="F79" s="54">
        <f>IF($B79="","",SUMIFS(Erfassung!$E$6:$E$5005,Erfassung!$B$6:$B$5005,$A79,Erfassung!$A$6:$A$5005,"&gt;="&amp;DATE(Einstellungen!$C$3,4,1),Erfassung!$A$6:$A$5005,"&lt;"&amp;DATE(Einstellungen!$C$3,5,1)))</f>
        <v/>
      </c>
      <c r="G79" s="54">
        <f>IF($B79="","",SUMIFS(Erfassung!$E$6:$E$5005,Erfassung!$B$6:$B$5005,$A79,Erfassung!$A$6:$A$5005,"&gt;="&amp;DATE(Einstellungen!$C$3,5,1),Erfassung!$A$6:$A$5005,"&lt;"&amp;DATE(Einstellungen!$C$3,6,1)))</f>
        <v/>
      </c>
      <c r="H79" s="54">
        <f>IF($B79="","",SUMIFS(Erfassung!$E$6:$E$5005,Erfassung!$B$6:$B$5005,$A79,Erfassung!$A$6:$A$5005,"&gt;="&amp;DATE(Einstellungen!$C$3,6,1),Erfassung!$A$6:$A$5005,"&lt;"&amp;DATE(Einstellungen!$C$3,7,1)))</f>
        <v/>
      </c>
      <c r="I79" s="54">
        <f>IF($B79="","",SUMIFS(Erfassung!$E$6:$E$5005,Erfassung!$B$6:$B$5005,$A79,Erfassung!$A$6:$A$5005,"&gt;="&amp;DATE(Einstellungen!$C$3,7,1),Erfassung!$A$6:$A$5005,"&lt;"&amp;DATE(Einstellungen!$C$3,8,1)))</f>
        <v/>
      </c>
      <c r="J79" s="54">
        <f>IF($B79="","",SUMIFS(Erfassung!$E$6:$E$5005,Erfassung!$B$6:$B$5005,$A79,Erfassung!$A$6:$A$5005,"&gt;="&amp;DATE(Einstellungen!$C$3,8,1),Erfassung!$A$6:$A$5005,"&lt;"&amp;DATE(Einstellungen!$C$3,9,1)))</f>
        <v/>
      </c>
      <c r="K79" s="54">
        <f>IF($B79="","",SUMIFS(Erfassung!$E$6:$E$5005,Erfassung!$B$6:$B$5005,$A79,Erfassung!$A$6:$A$5005,"&gt;="&amp;DATE(Einstellungen!$C$3,9,1),Erfassung!$A$6:$A$5005,"&lt;"&amp;DATE(Einstellungen!$C$3,10,1)))</f>
        <v/>
      </c>
      <c r="L79" s="54">
        <f>IF($B79="","",SUMIFS(Erfassung!$E$6:$E$5005,Erfassung!$B$6:$B$5005,$A79,Erfassung!$A$6:$A$5005,"&gt;="&amp;DATE(Einstellungen!$C$3,10,1),Erfassung!$A$6:$A$5005,"&lt;"&amp;DATE(Einstellungen!$C$3,11,1)))</f>
        <v/>
      </c>
      <c r="M79" s="54">
        <f>IF($B79="","",SUMIFS(Erfassung!$E$6:$E$5005,Erfassung!$B$6:$B$5005,$A79,Erfassung!$A$6:$A$5005,"&gt;="&amp;DATE(Einstellungen!$C$3,11,1),Erfassung!$A$6:$A$5005,"&lt;"&amp;DATE(Einstellungen!$C$3,12,1)))</f>
        <v/>
      </c>
      <c r="N79" s="54">
        <f>IF($B79="","",SUMIFS(Erfassung!$E$6:$E$5005,Erfassung!$B$6:$B$5005,$A79,Erfassung!$A$6:$A$5005,"&gt;="&amp;DATE(Einstellungen!$C$3,12,1),Erfassung!$A$6:$A$5005,"&lt;"&amp;DATE(Einstellungen!$C$3,13,1)))</f>
        <v/>
      </c>
      <c r="O79" s="45">
        <f>IF($B79="","",SUM(C79:N79))</f>
        <v/>
      </c>
      <c r="P79" s="54">
        <f>IF($B79="","",SUMIFS(Erfassung!$G$6:$G$5005,Erfassung!$B$6:$B$5005,$A79,Erfassung!$A$6:$A$5005,"&gt;="&amp;DATE(Einstellungen!$C$3,1,1),Erfassung!$A$6:$A$5005,"&lt;"&amp;DATE(Einstellungen!$C$3,2,1)))</f>
        <v/>
      </c>
      <c r="Q79" s="54">
        <f>IF($B79="","",SUMIFS(Erfassung!$G$6:$G$5005,Erfassung!$B$6:$B$5005,$A79,Erfassung!$A$6:$A$5005,"&gt;="&amp;DATE(Einstellungen!$C$3,2,1),Erfassung!$A$6:$A$5005,"&lt;"&amp;DATE(Einstellungen!$C$3,3,1)))</f>
        <v/>
      </c>
      <c r="R79" s="54">
        <f>IF($B79="","",SUMIFS(Erfassung!$G$6:$G$5005,Erfassung!$B$6:$B$5005,$A79,Erfassung!$A$6:$A$5005,"&gt;="&amp;DATE(Einstellungen!$C$3,3,1),Erfassung!$A$6:$A$5005,"&lt;"&amp;DATE(Einstellungen!$C$3,4,1)))</f>
        <v/>
      </c>
      <c r="S79" s="54">
        <f>IF($B79="","",SUMIFS(Erfassung!$G$6:$G$5005,Erfassung!$B$6:$B$5005,$A79,Erfassung!$A$6:$A$5005,"&gt;="&amp;DATE(Einstellungen!$C$3,4,1),Erfassung!$A$6:$A$5005,"&lt;"&amp;DATE(Einstellungen!$C$3,5,1)))</f>
        <v/>
      </c>
      <c r="T79" s="54">
        <f>IF($B79="","",SUMIFS(Erfassung!$G$6:$G$5005,Erfassung!$B$6:$B$5005,$A79,Erfassung!$A$6:$A$5005,"&gt;="&amp;DATE(Einstellungen!$C$3,5,1),Erfassung!$A$6:$A$5005,"&lt;"&amp;DATE(Einstellungen!$C$3,6,1)))</f>
        <v/>
      </c>
      <c r="U79" s="54">
        <f>IF($B79="","",SUMIFS(Erfassung!$G$6:$G$5005,Erfassung!$B$6:$B$5005,$A79,Erfassung!$A$6:$A$5005,"&gt;="&amp;DATE(Einstellungen!$C$3,6,1),Erfassung!$A$6:$A$5005,"&lt;"&amp;DATE(Einstellungen!$C$3,7,1)))</f>
        <v/>
      </c>
      <c r="V79" s="54">
        <f>IF($B79="","",SUMIFS(Erfassung!$G$6:$G$5005,Erfassung!$B$6:$B$5005,$A79,Erfassung!$A$6:$A$5005,"&gt;="&amp;DATE(Einstellungen!$C$3,7,1),Erfassung!$A$6:$A$5005,"&lt;"&amp;DATE(Einstellungen!$C$3,8,1)))</f>
        <v/>
      </c>
      <c r="W79" s="54">
        <f>IF($B79="","",SUMIFS(Erfassung!$G$6:$G$5005,Erfassung!$B$6:$B$5005,$A79,Erfassung!$A$6:$A$5005,"&gt;="&amp;DATE(Einstellungen!$C$3,8,1),Erfassung!$A$6:$A$5005,"&lt;"&amp;DATE(Einstellungen!$C$3,9,1)))</f>
        <v/>
      </c>
      <c r="X79" s="54">
        <f>IF($B79="","",SUMIFS(Erfassung!$G$6:$G$5005,Erfassung!$B$6:$B$5005,$A79,Erfassung!$A$6:$A$5005,"&gt;="&amp;DATE(Einstellungen!$C$3,9,1),Erfassung!$A$6:$A$5005,"&lt;"&amp;DATE(Einstellungen!$C$3,10,1)))</f>
        <v/>
      </c>
      <c r="Y79" s="54">
        <f>IF($B79="","",SUMIFS(Erfassung!$G$6:$G$5005,Erfassung!$B$6:$B$5005,$A79,Erfassung!$A$6:$A$5005,"&gt;="&amp;DATE(Einstellungen!$C$3,10,1),Erfassung!$A$6:$A$5005,"&lt;"&amp;DATE(Einstellungen!$C$3,11,1)))</f>
        <v/>
      </c>
      <c r="Z79" s="54">
        <f>IF($B79="","",SUMIFS(Erfassung!$G$6:$G$5005,Erfassung!$B$6:$B$5005,$A79,Erfassung!$A$6:$A$5005,"&gt;="&amp;DATE(Einstellungen!$C$3,11,1),Erfassung!$A$6:$A$5005,"&lt;"&amp;DATE(Einstellungen!$C$3,12,1)))</f>
        <v/>
      </c>
      <c r="AA79" s="54">
        <f>IF($B79="","",SUMIFS(Erfassung!$G$6:$G$5005,Erfassung!$B$6:$B$5005,$A79,Erfassung!$A$6:$A$5005,"&gt;="&amp;DATE(Einstellungen!$C$3,12,1),Erfassung!$A$6:$A$5005,"&lt;"&amp;DATE(Einstellungen!$C$3,13,1)))</f>
        <v/>
      </c>
      <c r="AB79" s="45">
        <f>IF($B79="","",SUM(P79:AA79))</f>
        <v/>
      </c>
      <c r="AC79" s="38">
        <f>IF($B79="","",IF(O79+AB79&gt;0,AB79/(O79+AB79),""))</f>
        <v/>
      </c>
    </row>
    <row r="80">
      <c r="A80" s="56">
        <f>'KQuote Mitarbeiter'!A80</f>
        <v/>
      </c>
      <c r="B80" s="57">
        <f>'KQuote Mitarbeiter'!B80</f>
        <v/>
      </c>
      <c r="C80" s="54">
        <f>IF($B80="","",SUMIFS(Erfassung!$E$6:$E$5005,Erfassung!$B$6:$B$5005,$A80,Erfassung!$A$6:$A$5005,"&gt;="&amp;DATE(Einstellungen!$C$3,1,1),Erfassung!$A$6:$A$5005,"&lt;"&amp;DATE(Einstellungen!$C$3,2,1)))</f>
        <v/>
      </c>
      <c r="D80" s="54">
        <f>IF($B80="","",SUMIFS(Erfassung!$E$6:$E$5005,Erfassung!$B$6:$B$5005,$A80,Erfassung!$A$6:$A$5005,"&gt;="&amp;DATE(Einstellungen!$C$3,2,1),Erfassung!$A$6:$A$5005,"&lt;"&amp;DATE(Einstellungen!$C$3,3,1)))</f>
        <v/>
      </c>
      <c r="E80" s="54">
        <f>IF($B80="","",SUMIFS(Erfassung!$E$6:$E$5005,Erfassung!$B$6:$B$5005,$A80,Erfassung!$A$6:$A$5005,"&gt;="&amp;DATE(Einstellungen!$C$3,3,1),Erfassung!$A$6:$A$5005,"&lt;"&amp;DATE(Einstellungen!$C$3,4,1)))</f>
        <v/>
      </c>
      <c r="F80" s="54">
        <f>IF($B80="","",SUMIFS(Erfassung!$E$6:$E$5005,Erfassung!$B$6:$B$5005,$A80,Erfassung!$A$6:$A$5005,"&gt;="&amp;DATE(Einstellungen!$C$3,4,1),Erfassung!$A$6:$A$5005,"&lt;"&amp;DATE(Einstellungen!$C$3,5,1)))</f>
        <v/>
      </c>
      <c r="G80" s="54">
        <f>IF($B80="","",SUMIFS(Erfassung!$E$6:$E$5005,Erfassung!$B$6:$B$5005,$A80,Erfassung!$A$6:$A$5005,"&gt;="&amp;DATE(Einstellungen!$C$3,5,1),Erfassung!$A$6:$A$5005,"&lt;"&amp;DATE(Einstellungen!$C$3,6,1)))</f>
        <v/>
      </c>
      <c r="H80" s="54">
        <f>IF($B80="","",SUMIFS(Erfassung!$E$6:$E$5005,Erfassung!$B$6:$B$5005,$A80,Erfassung!$A$6:$A$5005,"&gt;="&amp;DATE(Einstellungen!$C$3,6,1),Erfassung!$A$6:$A$5005,"&lt;"&amp;DATE(Einstellungen!$C$3,7,1)))</f>
        <v/>
      </c>
      <c r="I80" s="54">
        <f>IF($B80="","",SUMIFS(Erfassung!$E$6:$E$5005,Erfassung!$B$6:$B$5005,$A80,Erfassung!$A$6:$A$5005,"&gt;="&amp;DATE(Einstellungen!$C$3,7,1),Erfassung!$A$6:$A$5005,"&lt;"&amp;DATE(Einstellungen!$C$3,8,1)))</f>
        <v/>
      </c>
      <c r="J80" s="54">
        <f>IF($B80="","",SUMIFS(Erfassung!$E$6:$E$5005,Erfassung!$B$6:$B$5005,$A80,Erfassung!$A$6:$A$5005,"&gt;="&amp;DATE(Einstellungen!$C$3,8,1),Erfassung!$A$6:$A$5005,"&lt;"&amp;DATE(Einstellungen!$C$3,9,1)))</f>
        <v/>
      </c>
      <c r="K80" s="54">
        <f>IF($B80="","",SUMIFS(Erfassung!$E$6:$E$5005,Erfassung!$B$6:$B$5005,$A80,Erfassung!$A$6:$A$5005,"&gt;="&amp;DATE(Einstellungen!$C$3,9,1),Erfassung!$A$6:$A$5005,"&lt;"&amp;DATE(Einstellungen!$C$3,10,1)))</f>
        <v/>
      </c>
      <c r="L80" s="54">
        <f>IF($B80="","",SUMIFS(Erfassung!$E$6:$E$5005,Erfassung!$B$6:$B$5005,$A80,Erfassung!$A$6:$A$5005,"&gt;="&amp;DATE(Einstellungen!$C$3,10,1),Erfassung!$A$6:$A$5005,"&lt;"&amp;DATE(Einstellungen!$C$3,11,1)))</f>
        <v/>
      </c>
      <c r="M80" s="54">
        <f>IF($B80="","",SUMIFS(Erfassung!$E$6:$E$5005,Erfassung!$B$6:$B$5005,$A80,Erfassung!$A$6:$A$5005,"&gt;="&amp;DATE(Einstellungen!$C$3,11,1),Erfassung!$A$6:$A$5005,"&lt;"&amp;DATE(Einstellungen!$C$3,12,1)))</f>
        <v/>
      </c>
      <c r="N80" s="54">
        <f>IF($B80="","",SUMIFS(Erfassung!$E$6:$E$5005,Erfassung!$B$6:$B$5005,$A80,Erfassung!$A$6:$A$5005,"&gt;="&amp;DATE(Einstellungen!$C$3,12,1),Erfassung!$A$6:$A$5005,"&lt;"&amp;DATE(Einstellungen!$C$3,13,1)))</f>
        <v/>
      </c>
      <c r="O80" s="45">
        <f>IF($B80="","",SUM(C80:N80))</f>
        <v/>
      </c>
      <c r="P80" s="54">
        <f>IF($B80="","",SUMIFS(Erfassung!$G$6:$G$5005,Erfassung!$B$6:$B$5005,$A80,Erfassung!$A$6:$A$5005,"&gt;="&amp;DATE(Einstellungen!$C$3,1,1),Erfassung!$A$6:$A$5005,"&lt;"&amp;DATE(Einstellungen!$C$3,2,1)))</f>
        <v/>
      </c>
      <c r="Q80" s="54">
        <f>IF($B80="","",SUMIFS(Erfassung!$G$6:$G$5005,Erfassung!$B$6:$B$5005,$A80,Erfassung!$A$6:$A$5005,"&gt;="&amp;DATE(Einstellungen!$C$3,2,1),Erfassung!$A$6:$A$5005,"&lt;"&amp;DATE(Einstellungen!$C$3,3,1)))</f>
        <v/>
      </c>
      <c r="R80" s="54">
        <f>IF($B80="","",SUMIFS(Erfassung!$G$6:$G$5005,Erfassung!$B$6:$B$5005,$A80,Erfassung!$A$6:$A$5005,"&gt;="&amp;DATE(Einstellungen!$C$3,3,1),Erfassung!$A$6:$A$5005,"&lt;"&amp;DATE(Einstellungen!$C$3,4,1)))</f>
        <v/>
      </c>
      <c r="S80" s="54">
        <f>IF($B80="","",SUMIFS(Erfassung!$G$6:$G$5005,Erfassung!$B$6:$B$5005,$A80,Erfassung!$A$6:$A$5005,"&gt;="&amp;DATE(Einstellungen!$C$3,4,1),Erfassung!$A$6:$A$5005,"&lt;"&amp;DATE(Einstellungen!$C$3,5,1)))</f>
        <v/>
      </c>
      <c r="T80" s="54">
        <f>IF($B80="","",SUMIFS(Erfassung!$G$6:$G$5005,Erfassung!$B$6:$B$5005,$A80,Erfassung!$A$6:$A$5005,"&gt;="&amp;DATE(Einstellungen!$C$3,5,1),Erfassung!$A$6:$A$5005,"&lt;"&amp;DATE(Einstellungen!$C$3,6,1)))</f>
        <v/>
      </c>
      <c r="U80" s="54">
        <f>IF($B80="","",SUMIFS(Erfassung!$G$6:$G$5005,Erfassung!$B$6:$B$5005,$A80,Erfassung!$A$6:$A$5005,"&gt;="&amp;DATE(Einstellungen!$C$3,6,1),Erfassung!$A$6:$A$5005,"&lt;"&amp;DATE(Einstellungen!$C$3,7,1)))</f>
        <v/>
      </c>
      <c r="V80" s="54">
        <f>IF($B80="","",SUMIFS(Erfassung!$G$6:$G$5005,Erfassung!$B$6:$B$5005,$A80,Erfassung!$A$6:$A$5005,"&gt;="&amp;DATE(Einstellungen!$C$3,7,1),Erfassung!$A$6:$A$5005,"&lt;"&amp;DATE(Einstellungen!$C$3,8,1)))</f>
        <v/>
      </c>
      <c r="W80" s="54">
        <f>IF($B80="","",SUMIFS(Erfassung!$G$6:$G$5005,Erfassung!$B$6:$B$5005,$A80,Erfassung!$A$6:$A$5005,"&gt;="&amp;DATE(Einstellungen!$C$3,8,1),Erfassung!$A$6:$A$5005,"&lt;"&amp;DATE(Einstellungen!$C$3,9,1)))</f>
        <v/>
      </c>
      <c r="X80" s="54">
        <f>IF($B80="","",SUMIFS(Erfassung!$G$6:$G$5005,Erfassung!$B$6:$B$5005,$A80,Erfassung!$A$6:$A$5005,"&gt;="&amp;DATE(Einstellungen!$C$3,9,1),Erfassung!$A$6:$A$5005,"&lt;"&amp;DATE(Einstellungen!$C$3,10,1)))</f>
        <v/>
      </c>
      <c r="Y80" s="54">
        <f>IF($B80="","",SUMIFS(Erfassung!$G$6:$G$5005,Erfassung!$B$6:$B$5005,$A80,Erfassung!$A$6:$A$5005,"&gt;="&amp;DATE(Einstellungen!$C$3,10,1),Erfassung!$A$6:$A$5005,"&lt;"&amp;DATE(Einstellungen!$C$3,11,1)))</f>
        <v/>
      </c>
      <c r="Z80" s="54">
        <f>IF($B80="","",SUMIFS(Erfassung!$G$6:$G$5005,Erfassung!$B$6:$B$5005,$A80,Erfassung!$A$6:$A$5005,"&gt;="&amp;DATE(Einstellungen!$C$3,11,1),Erfassung!$A$6:$A$5005,"&lt;"&amp;DATE(Einstellungen!$C$3,12,1)))</f>
        <v/>
      </c>
      <c r="AA80" s="54">
        <f>IF($B80="","",SUMIFS(Erfassung!$G$6:$G$5005,Erfassung!$B$6:$B$5005,$A80,Erfassung!$A$6:$A$5005,"&gt;="&amp;DATE(Einstellungen!$C$3,12,1),Erfassung!$A$6:$A$5005,"&lt;"&amp;DATE(Einstellungen!$C$3,13,1)))</f>
        <v/>
      </c>
      <c r="AB80" s="45">
        <f>IF($B80="","",SUM(P80:AA80))</f>
        <v/>
      </c>
      <c r="AC80" s="38">
        <f>IF($B80="","",IF(O80+AB80&gt;0,AB80/(O80+AB80),""))</f>
        <v/>
      </c>
    </row>
    <row r="81">
      <c r="A81" s="56">
        <f>'KQuote Mitarbeiter'!A81</f>
        <v/>
      </c>
      <c r="B81" s="57">
        <f>'KQuote Mitarbeiter'!B81</f>
        <v/>
      </c>
      <c r="C81" s="54">
        <f>IF($B81="","",SUMIFS(Erfassung!$E$6:$E$5005,Erfassung!$B$6:$B$5005,$A81,Erfassung!$A$6:$A$5005,"&gt;="&amp;DATE(Einstellungen!$C$3,1,1),Erfassung!$A$6:$A$5005,"&lt;"&amp;DATE(Einstellungen!$C$3,2,1)))</f>
        <v/>
      </c>
      <c r="D81" s="54">
        <f>IF($B81="","",SUMIFS(Erfassung!$E$6:$E$5005,Erfassung!$B$6:$B$5005,$A81,Erfassung!$A$6:$A$5005,"&gt;="&amp;DATE(Einstellungen!$C$3,2,1),Erfassung!$A$6:$A$5005,"&lt;"&amp;DATE(Einstellungen!$C$3,3,1)))</f>
        <v/>
      </c>
      <c r="E81" s="54">
        <f>IF($B81="","",SUMIFS(Erfassung!$E$6:$E$5005,Erfassung!$B$6:$B$5005,$A81,Erfassung!$A$6:$A$5005,"&gt;="&amp;DATE(Einstellungen!$C$3,3,1),Erfassung!$A$6:$A$5005,"&lt;"&amp;DATE(Einstellungen!$C$3,4,1)))</f>
        <v/>
      </c>
      <c r="F81" s="54">
        <f>IF($B81="","",SUMIFS(Erfassung!$E$6:$E$5005,Erfassung!$B$6:$B$5005,$A81,Erfassung!$A$6:$A$5005,"&gt;="&amp;DATE(Einstellungen!$C$3,4,1),Erfassung!$A$6:$A$5005,"&lt;"&amp;DATE(Einstellungen!$C$3,5,1)))</f>
        <v/>
      </c>
      <c r="G81" s="54">
        <f>IF($B81="","",SUMIFS(Erfassung!$E$6:$E$5005,Erfassung!$B$6:$B$5005,$A81,Erfassung!$A$6:$A$5005,"&gt;="&amp;DATE(Einstellungen!$C$3,5,1),Erfassung!$A$6:$A$5005,"&lt;"&amp;DATE(Einstellungen!$C$3,6,1)))</f>
        <v/>
      </c>
      <c r="H81" s="54">
        <f>IF($B81="","",SUMIFS(Erfassung!$E$6:$E$5005,Erfassung!$B$6:$B$5005,$A81,Erfassung!$A$6:$A$5005,"&gt;="&amp;DATE(Einstellungen!$C$3,6,1),Erfassung!$A$6:$A$5005,"&lt;"&amp;DATE(Einstellungen!$C$3,7,1)))</f>
        <v/>
      </c>
      <c r="I81" s="54">
        <f>IF($B81="","",SUMIFS(Erfassung!$E$6:$E$5005,Erfassung!$B$6:$B$5005,$A81,Erfassung!$A$6:$A$5005,"&gt;="&amp;DATE(Einstellungen!$C$3,7,1),Erfassung!$A$6:$A$5005,"&lt;"&amp;DATE(Einstellungen!$C$3,8,1)))</f>
        <v/>
      </c>
      <c r="J81" s="54">
        <f>IF($B81="","",SUMIFS(Erfassung!$E$6:$E$5005,Erfassung!$B$6:$B$5005,$A81,Erfassung!$A$6:$A$5005,"&gt;="&amp;DATE(Einstellungen!$C$3,8,1),Erfassung!$A$6:$A$5005,"&lt;"&amp;DATE(Einstellungen!$C$3,9,1)))</f>
        <v/>
      </c>
      <c r="K81" s="54">
        <f>IF($B81="","",SUMIFS(Erfassung!$E$6:$E$5005,Erfassung!$B$6:$B$5005,$A81,Erfassung!$A$6:$A$5005,"&gt;="&amp;DATE(Einstellungen!$C$3,9,1),Erfassung!$A$6:$A$5005,"&lt;"&amp;DATE(Einstellungen!$C$3,10,1)))</f>
        <v/>
      </c>
      <c r="L81" s="54">
        <f>IF($B81="","",SUMIFS(Erfassung!$E$6:$E$5005,Erfassung!$B$6:$B$5005,$A81,Erfassung!$A$6:$A$5005,"&gt;="&amp;DATE(Einstellungen!$C$3,10,1),Erfassung!$A$6:$A$5005,"&lt;"&amp;DATE(Einstellungen!$C$3,11,1)))</f>
        <v/>
      </c>
      <c r="M81" s="54">
        <f>IF($B81="","",SUMIFS(Erfassung!$E$6:$E$5005,Erfassung!$B$6:$B$5005,$A81,Erfassung!$A$6:$A$5005,"&gt;="&amp;DATE(Einstellungen!$C$3,11,1),Erfassung!$A$6:$A$5005,"&lt;"&amp;DATE(Einstellungen!$C$3,12,1)))</f>
        <v/>
      </c>
      <c r="N81" s="54">
        <f>IF($B81="","",SUMIFS(Erfassung!$E$6:$E$5005,Erfassung!$B$6:$B$5005,$A81,Erfassung!$A$6:$A$5005,"&gt;="&amp;DATE(Einstellungen!$C$3,12,1),Erfassung!$A$6:$A$5005,"&lt;"&amp;DATE(Einstellungen!$C$3,13,1)))</f>
        <v/>
      </c>
      <c r="O81" s="45">
        <f>IF($B81="","",SUM(C81:N81))</f>
        <v/>
      </c>
      <c r="P81" s="54">
        <f>IF($B81="","",SUMIFS(Erfassung!$G$6:$G$5005,Erfassung!$B$6:$B$5005,$A81,Erfassung!$A$6:$A$5005,"&gt;="&amp;DATE(Einstellungen!$C$3,1,1),Erfassung!$A$6:$A$5005,"&lt;"&amp;DATE(Einstellungen!$C$3,2,1)))</f>
        <v/>
      </c>
      <c r="Q81" s="54">
        <f>IF($B81="","",SUMIFS(Erfassung!$G$6:$G$5005,Erfassung!$B$6:$B$5005,$A81,Erfassung!$A$6:$A$5005,"&gt;="&amp;DATE(Einstellungen!$C$3,2,1),Erfassung!$A$6:$A$5005,"&lt;"&amp;DATE(Einstellungen!$C$3,3,1)))</f>
        <v/>
      </c>
      <c r="R81" s="54">
        <f>IF($B81="","",SUMIFS(Erfassung!$G$6:$G$5005,Erfassung!$B$6:$B$5005,$A81,Erfassung!$A$6:$A$5005,"&gt;="&amp;DATE(Einstellungen!$C$3,3,1),Erfassung!$A$6:$A$5005,"&lt;"&amp;DATE(Einstellungen!$C$3,4,1)))</f>
        <v/>
      </c>
      <c r="S81" s="54">
        <f>IF($B81="","",SUMIFS(Erfassung!$G$6:$G$5005,Erfassung!$B$6:$B$5005,$A81,Erfassung!$A$6:$A$5005,"&gt;="&amp;DATE(Einstellungen!$C$3,4,1),Erfassung!$A$6:$A$5005,"&lt;"&amp;DATE(Einstellungen!$C$3,5,1)))</f>
        <v/>
      </c>
      <c r="T81" s="54">
        <f>IF($B81="","",SUMIFS(Erfassung!$G$6:$G$5005,Erfassung!$B$6:$B$5005,$A81,Erfassung!$A$6:$A$5005,"&gt;="&amp;DATE(Einstellungen!$C$3,5,1),Erfassung!$A$6:$A$5005,"&lt;"&amp;DATE(Einstellungen!$C$3,6,1)))</f>
        <v/>
      </c>
      <c r="U81" s="54">
        <f>IF($B81="","",SUMIFS(Erfassung!$G$6:$G$5005,Erfassung!$B$6:$B$5005,$A81,Erfassung!$A$6:$A$5005,"&gt;="&amp;DATE(Einstellungen!$C$3,6,1),Erfassung!$A$6:$A$5005,"&lt;"&amp;DATE(Einstellungen!$C$3,7,1)))</f>
        <v/>
      </c>
      <c r="V81" s="54">
        <f>IF($B81="","",SUMIFS(Erfassung!$G$6:$G$5005,Erfassung!$B$6:$B$5005,$A81,Erfassung!$A$6:$A$5005,"&gt;="&amp;DATE(Einstellungen!$C$3,7,1),Erfassung!$A$6:$A$5005,"&lt;"&amp;DATE(Einstellungen!$C$3,8,1)))</f>
        <v/>
      </c>
      <c r="W81" s="54">
        <f>IF($B81="","",SUMIFS(Erfassung!$G$6:$G$5005,Erfassung!$B$6:$B$5005,$A81,Erfassung!$A$6:$A$5005,"&gt;="&amp;DATE(Einstellungen!$C$3,8,1),Erfassung!$A$6:$A$5005,"&lt;"&amp;DATE(Einstellungen!$C$3,9,1)))</f>
        <v/>
      </c>
      <c r="X81" s="54">
        <f>IF($B81="","",SUMIFS(Erfassung!$G$6:$G$5005,Erfassung!$B$6:$B$5005,$A81,Erfassung!$A$6:$A$5005,"&gt;="&amp;DATE(Einstellungen!$C$3,9,1),Erfassung!$A$6:$A$5005,"&lt;"&amp;DATE(Einstellungen!$C$3,10,1)))</f>
        <v/>
      </c>
      <c r="Y81" s="54">
        <f>IF($B81="","",SUMIFS(Erfassung!$G$6:$G$5005,Erfassung!$B$6:$B$5005,$A81,Erfassung!$A$6:$A$5005,"&gt;="&amp;DATE(Einstellungen!$C$3,10,1),Erfassung!$A$6:$A$5005,"&lt;"&amp;DATE(Einstellungen!$C$3,11,1)))</f>
        <v/>
      </c>
      <c r="Z81" s="54">
        <f>IF($B81="","",SUMIFS(Erfassung!$G$6:$G$5005,Erfassung!$B$6:$B$5005,$A81,Erfassung!$A$6:$A$5005,"&gt;="&amp;DATE(Einstellungen!$C$3,11,1),Erfassung!$A$6:$A$5005,"&lt;"&amp;DATE(Einstellungen!$C$3,12,1)))</f>
        <v/>
      </c>
      <c r="AA81" s="54">
        <f>IF($B81="","",SUMIFS(Erfassung!$G$6:$G$5005,Erfassung!$B$6:$B$5005,$A81,Erfassung!$A$6:$A$5005,"&gt;="&amp;DATE(Einstellungen!$C$3,12,1),Erfassung!$A$6:$A$5005,"&lt;"&amp;DATE(Einstellungen!$C$3,13,1)))</f>
        <v/>
      </c>
      <c r="AB81" s="45">
        <f>IF($B81="","",SUM(P81:AA81))</f>
        <v/>
      </c>
      <c r="AC81" s="38">
        <f>IF($B81="","",IF(O81+AB81&gt;0,AB81/(O81+AB81),""))</f>
        <v/>
      </c>
    </row>
    <row r="82">
      <c r="A82" s="56">
        <f>'KQuote Mitarbeiter'!A82</f>
        <v/>
      </c>
      <c r="B82" s="57">
        <f>'KQuote Mitarbeiter'!B82</f>
        <v/>
      </c>
      <c r="C82" s="54">
        <f>IF($B82="","",SUMIFS(Erfassung!$E$6:$E$5005,Erfassung!$B$6:$B$5005,$A82,Erfassung!$A$6:$A$5005,"&gt;="&amp;DATE(Einstellungen!$C$3,1,1),Erfassung!$A$6:$A$5005,"&lt;"&amp;DATE(Einstellungen!$C$3,2,1)))</f>
        <v/>
      </c>
      <c r="D82" s="54">
        <f>IF($B82="","",SUMIFS(Erfassung!$E$6:$E$5005,Erfassung!$B$6:$B$5005,$A82,Erfassung!$A$6:$A$5005,"&gt;="&amp;DATE(Einstellungen!$C$3,2,1),Erfassung!$A$6:$A$5005,"&lt;"&amp;DATE(Einstellungen!$C$3,3,1)))</f>
        <v/>
      </c>
      <c r="E82" s="54">
        <f>IF($B82="","",SUMIFS(Erfassung!$E$6:$E$5005,Erfassung!$B$6:$B$5005,$A82,Erfassung!$A$6:$A$5005,"&gt;="&amp;DATE(Einstellungen!$C$3,3,1),Erfassung!$A$6:$A$5005,"&lt;"&amp;DATE(Einstellungen!$C$3,4,1)))</f>
        <v/>
      </c>
      <c r="F82" s="54">
        <f>IF($B82="","",SUMIFS(Erfassung!$E$6:$E$5005,Erfassung!$B$6:$B$5005,$A82,Erfassung!$A$6:$A$5005,"&gt;="&amp;DATE(Einstellungen!$C$3,4,1),Erfassung!$A$6:$A$5005,"&lt;"&amp;DATE(Einstellungen!$C$3,5,1)))</f>
        <v/>
      </c>
      <c r="G82" s="54">
        <f>IF($B82="","",SUMIFS(Erfassung!$E$6:$E$5005,Erfassung!$B$6:$B$5005,$A82,Erfassung!$A$6:$A$5005,"&gt;="&amp;DATE(Einstellungen!$C$3,5,1),Erfassung!$A$6:$A$5005,"&lt;"&amp;DATE(Einstellungen!$C$3,6,1)))</f>
        <v/>
      </c>
      <c r="H82" s="54">
        <f>IF($B82="","",SUMIFS(Erfassung!$E$6:$E$5005,Erfassung!$B$6:$B$5005,$A82,Erfassung!$A$6:$A$5005,"&gt;="&amp;DATE(Einstellungen!$C$3,6,1),Erfassung!$A$6:$A$5005,"&lt;"&amp;DATE(Einstellungen!$C$3,7,1)))</f>
        <v/>
      </c>
      <c r="I82" s="54">
        <f>IF($B82="","",SUMIFS(Erfassung!$E$6:$E$5005,Erfassung!$B$6:$B$5005,$A82,Erfassung!$A$6:$A$5005,"&gt;="&amp;DATE(Einstellungen!$C$3,7,1),Erfassung!$A$6:$A$5005,"&lt;"&amp;DATE(Einstellungen!$C$3,8,1)))</f>
        <v/>
      </c>
      <c r="J82" s="54">
        <f>IF($B82="","",SUMIFS(Erfassung!$E$6:$E$5005,Erfassung!$B$6:$B$5005,$A82,Erfassung!$A$6:$A$5005,"&gt;="&amp;DATE(Einstellungen!$C$3,8,1),Erfassung!$A$6:$A$5005,"&lt;"&amp;DATE(Einstellungen!$C$3,9,1)))</f>
        <v/>
      </c>
      <c r="K82" s="54">
        <f>IF($B82="","",SUMIFS(Erfassung!$E$6:$E$5005,Erfassung!$B$6:$B$5005,$A82,Erfassung!$A$6:$A$5005,"&gt;="&amp;DATE(Einstellungen!$C$3,9,1),Erfassung!$A$6:$A$5005,"&lt;"&amp;DATE(Einstellungen!$C$3,10,1)))</f>
        <v/>
      </c>
      <c r="L82" s="54">
        <f>IF($B82="","",SUMIFS(Erfassung!$E$6:$E$5005,Erfassung!$B$6:$B$5005,$A82,Erfassung!$A$6:$A$5005,"&gt;="&amp;DATE(Einstellungen!$C$3,10,1),Erfassung!$A$6:$A$5005,"&lt;"&amp;DATE(Einstellungen!$C$3,11,1)))</f>
        <v/>
      </c>
      <c r="M82" s="54">
        <f>IF($B82="","",SUMIFS(Erfassung!$E$6:$E$5005,Erfassung!$B$6:$B$5005,$A82,Erfassung!$A$6:$A$5005,"&gt;="&amp;DATE(Einstellungen!$C$3,11,1),Erfassung!$A$6:$A$5005,"&lt;"&amp;DATE(Einstellungen!$C$3,12,1)))</f>
        <v/>
      </c>
      <c r="N82" s="54">
        <f>IF($B82="","",SUMIFS(Erfassung!$E$6:$E$5005,Erfassung!$B$6:$B$5005,$A82,Erfassung!$A$6:$A$5005,"&gt;="&amp;DATE(Einstellungen!$C$3,12,1),Erfassung!$A$6:$A$5005,"&lt;"&amp;DATE(Einstellungen!$C$3,13,1)))</f>
        <v/>
      </c>
      <c r="O82" s="45">
        <f>IF($B82="","",SUM(C82:N82))</f>
        <v/>
      </c>
      <c r="P82" s="54">
        <f>IF($B82="","",SUMIFS(Erfassung!$G$6:$G$5005,Erfassung!$B$6:$B$5005,$A82,Erfassung!$A$6:$A$5005,"&gt;="&amp;DATE(Einstellungen!$C$3,1,1),Erfassung!$A$6:$A$5005,"&lt;"&amp;DATE(Einstellungen!$C$3,2,1)))</f>
        <v/>
      </c>
      <c r="Q82" s="54">
        <f>IF($B82="","",SUMIFS(Erfassung!$G$6:$G$5005,Erfassung!$B$6:$B$5005,$A82,Erfassung!$A$6:$A$5005,"&gt;="&amp;DATE(Einstellungen!$C$3,2,1),Erfassung!$A$6:$A$5005,"&lt;"&amp;DATE(Einstellungen!$C$3,3,1)))</f>
        <v/>
      </c>
      <c r="R82" s="54">
        <f>IF($B82="","",SUMIFS(Erfassung!$G$6:$G$5005,Erfassung!$B$6:$B$5005,$A82,Erfassung!$A$6:$A$5005,"&gt;="&amp;DATE(Einstellungen!$C$3,3,1),Erfassung!$A$6:$A$5005,"&lt;"&amp;DATE(Einstellungen!$C$3,4,1)))</f>
        <v/>
      </c>
      <c r="S82" s="54">
        <f>IF($B82="","",SUMIFS(Erfassung!$G$6:$G$5005,Erfassung!$B$6:$B$5005,$A82,Erfassung!$A$6:$A$5005,"&gt;="&amp;DATE(Einstellungen!$C$3,4,1),Erfassung!$A$6:$A$5005,"&lt;"&amp;DATE(Einstellungen!$C$3,5,1)))</f>
        <v/>
      </c>
      <c r="T82" s="54">
        <f>IF($B82="","",SUMIFS(Erfassung!$G$6:$G$5005,Erfassung!$B$6:$B$5005,$A82,Erfassung!$A$6:$A$5005,"&gt;="&amp;DATE(Einstellungen!$C$3,5,1),Erfassung!$A$6:$A$5005,"&lt;"&amp;DATE(Einstellungen!$C$3,6,1)))</f>
        <v/>
      </c>
      <c r="U82" s="54">
        <f>IF($B82="","",SUMIFS(Erfassung!$G$6:$G$5005,Erfassung!$B$6:$B$5005,$A82,Erfassung!$A$6:$A$5005,"&gt;="&amp;DATE(Einstellungen!$C$3,6,1),Erfassung!$A$6:$A$5005,"&lt;"&amp;DATE(Einstellungen!$C$3,7,1)))</f>
        <v/>
      </c>
      <c r="V82" s="54">
        <f>IF($B82="","",SUMIFS(Erfassung!$G$6:$G$5005,Erfassung!$B$6:$B$5005,$A82,Erfassung!$A$6:$A$5005,"&gt;="&amp;DATE(Einstellungen!$C$3,7,1),Erfassung!$A$6:$A$5005,"&lt;"&amp;DATE(Einstellungen!$C$3,8,1)))</f>
        <v/>
      </c>
      <c r="W82" s="54">
        <f>IF($B82="","",SUMIFS(Erfassung!$G$6:$G$5005,Erfassung!$B$6:$B$5005,$A82,Erfassung!$A$6:$A$5005,"&gt;="&amp;DATE(Einstellungen!$C$3,8,1),Erfassung!$A$6:$A$5005,"&lt;"&amp;DATE(Einstellungen!$C$3,9,1)))</f>
        <v/>
      </c>
      <c r="X82" s="54">
        <f>IF($B82="","",SUMIFS(Erfassung!$G$6:$G$5005,Erfassung!$B$6:$B$5005,$A82,Erfassung!$A$6:$A$5005,"&gt;="&amp;DATE(Einstellungen!$C$3,9,1),Erfassung!$A$6:$A$5005,"&lt;"&amp;DATE(Einstellungen!$C$3,10,1)))</f>
        <v/>
      </c>
      <c r="Y82" s="54">
        <f>IF($B82="","",SUMIFS(Erfassung!$G$6:$G$5005,Erfassung!$B$6:$B$5005,$A82,Erfassung!$A$6:$A$5005,"&gt;="&amp;DATE(Einstellungen!$C$3,10,1),Erfassung!$A$6:$A$5005,"&lt;"&amp;DATE(Einstellungen!$C$3,11,1)))</f>
        <v/>
      </c>
      <c r="Z82" s="54">
        <f>IF($B82="","",SUMIFS(Erfassung!$G$6:$G$5005,Erfassung!$B$6:$B$5005,$A82,Erfassung!$A$6:$A$5005,"&gt;="&amp;DATE(Einstellungen!$C$3,11,1),Erfassung!$A$6:$A$5005,"&lt;"&amp;DATE(Einstellungen!$C$3,12,1)))</f>
        <v/>
      </c>
      <c r="AA82" s="54">
        <f>IF($B82="","",SUMIFS(Erfassung!$G$6:$G$5005,Erfassung!$B$6:$B$5005,$A82,Erfassung!$A$6:$A$5005,"&gt;="&amp;DATE(Einstellungen!$C$3,12,1),Erfassung!$A$6:$A$5005,"&lt;"&amp;DATE(Einstellungen!$C$3,13,1)))</f>
        <v/>
      </c>
      <c r="AB82" s="45">
        <f>IF($B82="","",SUM(P82:AA82))</f>
        <v/>
      </c>
      <c r="AC82" s="38">
        <f>IF($B82="","",IF(O82+AB82&gt;0,AB82/(O82+AB82),""))</f>
        <v/>
      </c>
    </row>
    <row r="83">
      <c r="A83" s="56">
        <f>'KQuote Mitarbeiter'!A83</f>
        <v/>
      </c>
      <c r="B83" s="57">
        <f>'KQuote Mitarbeiter'!B83</f>
        <v/>
      </c>
      <c r="C83" s="54">
        <f>IF($B83="","",SUMIFS(Erfassung!$E$6:$E$5005,Erfassung!$B$6:$B$5005,$A83,Erfassung!$A$6:$A$5005,"&gt;="&amp;DATE(Einstellungen!$C$3,1,1),Erfassung!$A$6:$A$5005,"&lt;"&amp;DATE(Einstellungen!$C$3,2,1)))</f>
        <v/>
      </c>
      <c r="D83" s="54">
        <f>IF($B83="","",SUMIFS(Erfassung!$E$6:$E$5005,Erfassung!$B$6:$B$5005,$A83,Erfassung!$A$6:$A$5005,"&gt;="&amp;DATE(Einstellungen!$C$3,2,1),Erfassung!$A$6:$A$5005,"&lt;"&amp;DATE(Einstellungen!$C$3,3,1)))</f>
        <v/>
      </c>
      <c r="E83" s="54">
        <f>IF($B83="","",SUMIFS(Erfassung!$E$6:$E$5005,Erfassung!$B$6:$B$5005,$A83,Erfassung!$A$6:$A$5005,"&gt;="&amp;DATE(Einstellungen!$C$3,3,1),Erfassung!$A$6:$A$5005,"&lt;"&amp;DATE(Einstellungen!$C$3,4,1)))</f>
        <v/>
      </c>
      <c r="F83" s="54">
        <f>IF($B83="","",SUMIFS(Erfassung!$E$6:$E$5005,Erfassung!$B$6:$B$5005,$A83,Erfassung!$A$6:$A$5005,"&gt;="&amp;DATE(Einstellungen!$C$3,4,1),Erfassung!$A$6:$A$5005,"&lt;"&amp;DATE(Einstellungen!$C$3,5,1)))</f>
        <v/>
      </c>
      <c r="G83" s="54">
        <f>IF($B83="","",SUMIFS(Erfassung!$E$6:$E$5005,Erfassung!$B$6:$B$5005,$A83,Erfassung!$A$6:$A$5005,"&gt;="&amp;DATE(Einstellungen!$C$3,5,1),Erfassung!$A$6:$A$5005,"&lt;"&amp;DATE(Einstellungen!$C$3,6,1)))</f>
        <v/>
      </c>
      <c r="H83" s="54">
        <f>IF($B83="","",SUMIFS(Erfassung!$E$6:$E$5005,Erfassung!$B$6:$B$5005,$A83,Erfassung!$A$6:$A$5005,"&gt;="&amp;DATE(Einstellungen!$C$3,6,1),Erfassung!$A$6:$A$5005,"&lt;"&amp;DATE(Einstellungen!$C$3,7,1)))</f>
        <v/>
      </c>
      <c r="I83" s="54">
        <f>IF($B83="","",SUMIFS(Erfassung!$E$6:$E$5005,Erfassung!$B$6:$B$5005,$A83,Erfassung!$A$6:$A$5005,"&gt;="&amp;DATE(Einstellungen!$C$3,7,1),Erfassung!$A$6:$A$5005,"&lt;"&amp;DATE(Einstellungen!$C$3,8,1)))</f>
        <v/>
      </c>
      <c r="J83" s="54">
        <f>IF($B83="","",SUMIFS(Erfassung!$E$6:$E$5005,Erfassung!$B$6:$B$5005,$A83,Erfassung!$A$6:$A$5005,"&gt;="&amp;DATE(Einstellungen!$C$3,8,1),Erfassung!$A$6:$A$5005,"&lt;"&amp;DATE(Einstellungen!$C$3,9,1)))</f>
        <v/>
      </c>
      <c r="K83" s="54">
        <f>IF($B83="","",SUMIFS(Erfassung!$E$6:$E$5005,Erfassung!$B$6:$B$5005,$A83,Erfassung!$A$6:$A$5005,"&gt;="&amp;DATE(Einstellungen!$C$3,9,1),Erfassung!$A$6:$A$5005,"&lt;"&amp;DATE(Einstellungen!$C$3,10,1)))</f>
        <v/>
      </c>
      <c r="L83" s="54">
        <f>IF($B83="","",SUMIFS(Erfassung!$E$6:$E$5005,Erfassung!$B$6:$B$5005,$A83,Erfassung!$A$6:$A$5005,"&gt;="&amp;DATE(Einstellungen!$C$3,10,1),Erfassung!$A$6:$A$5005,"&lt;"&amp;DATE(Einstellungen!$C$3,11,1)))</f>
        <v/>
      </c>
      <c r="M83" s="54">
        <f>IF($B83="","",SUMIFS(Erfassung!$E$6:$E$5005,Erfassung!$B$6:$B$5005,$A83,Erfassung!$A$6:$A$5005,"&gt;="&amp;DATE(Einstellungen!$C$3,11,1),Erfassung!$A$6:$A$5005,"&lt;"&amp;DATE(Einstellungen!$C$3,12,1)))</f>
        <v/>
      </c>
      <c r="N83" s="54">
        <f>IF($B83="","",SUMIFS(Erfassung!$E$6:$E$5005,Erfassung!$B$6:$B$5005,$A83,Erfassung!$A$6:$A$5005,"&gt;="&amp;DATE(Einstellungen!$C$3,12,1),Erfassung!$A$6:$A$5005,"&lt;"&amp;DATE(Einstellungen!$C$3,13,1)))</f>
        <v/>
      </c>
      <c r="O83" s="45">
        <f>IF($B83="","",SUM(C83:N83))</f>
        <v/>
      </c>
      <c r="P83" s="54">
        <f>IF($B83="","",SUMIFS(Erfassung!$G$6:$G$5005,Erfassung!$B$6:$B$5005,$A83,Erfassung!$A$6:$A$5005,"&gt;="&amp;DATE(Einstellungen!$C$3,1,1),Erfassung!$A$6:$A$5005,"&lt;"&amp;DATE(Einstellungen!$C$3,2,1)))</f>
        <v/>
      </c>
      <c r="Q83" s="54">
        <f>IF($B83="","",SUMIFS(Erfassung!$G$6:$G$5005,Erfassung!$B$6:$B$5005,$A83,Erfassung!$A$6:$A$5005,"&gt;="&amp;DATE(Einstellungen!$C$3,2,1),Erfassung!$A$6:$A$5005,"&lt;"&amp;DATE(Einstellungen!$C$3,3,1)))</f>
        <v/>
      </c>
      <c r="R83" s="54">
        <f>IF($B83="","",SUMIFS(Erfassung!$G$6:$G$5005,Erfassung!$B$6:$B$5005,$A83,Erfassung!$A$6:$A$5005,"&gt;="&amp;DATE(Einstellungen!$C$3,3,1),Erfassung!$A$6:$A$5005,"&lt;"&amp;DATE(Einstellungen!$C$3,4,1)))</f>
        <v/>
      </c>
      <c r="S83" s="54">
        <f>IF($B83="","",SUMIFS(Erfassung!$G$6:$G$5005,Erfassung!$B$6:$B$5005,$A83,Erfassung!$A$6:$A$5005,"&gt;="&amp;DATE(Einstellungen!$C$3,4,1),Erfassung!$A$6:$A$5005,"&lt;"&amp;DATE(Einstellungen!$C$3,5,1)))</f>
        <v/>
      </c>
      <c r="T83" s="54">
        <f>IF($B83="","",SUMIFS(Erfassung!$G$6:$G$5005,Erfassung!$B$6:$B$5005,$A83,Erfassung!$A$6:$A$5005,"&gt;="&amp;DATE(Einstellungen!$C$3,5,1),Erfassung!$A$6:$A$5005,"&lt;"&amp;DATE(Einstellungen!$C$3,6,1)))</f>
        <v/>
      </c>
      <c r="U83" s="54">
        <f>IF($B83="","",SUMIFS(Erfassung!$G$6:$G$5005,Erfassung!$B$6:$B$5005,$A83,Erfassung!$A$6:$A$5005,"&gt;="&amp;DATE(Einstellungen!$C$3,6,1),Erfassung!$A$6:$A$5005,"&lt;"&amp;DATE(Einstellungen!$C$3,7,1)))</f>
        <v/>
      </c>
      <c r="V83" s="54">
        <f>IF($B83="","",SUMIFS(Erfassung!$G$6:$G$5005,Erfassung!$B$6:$B$5005,$A83,Erfassung!$A$6:$A$5005,"&gt;="&amp;DATE(Einstellungen!$C$3,7,1),Erfassung!$A$6:$A$5005,"&lt;"&amp;DATE(Einstellungen!$C$3,8,1)))</f>
        <v/>
      </c>
      <c r="W83" s="54">
        <f>IF($B83="","",SUMIFS(Erfassung!$G$6:$G$5005,Erfassung!$B$6:$B$5005,$A83,Erfassung!$A$6:$A$5005,"&gt;="&amp;DATE(Einstellungen!$C$3,8,1),Erfassung!$A$6:$A$5005,"&lt;"&amp;DATE(Einstellungen!$C$3,9,1)))</f>
        <v/>
      </c>
      <c r="X83" s="54">
        <f>IF($B83="","",SUMIFS(Erfassung!$G$6:$G$5005,Erfassung!$B$6:$B$5005,$A83,Erfassung!$A$6:$A$5005,"&gt;="&amp;DATE(Einstellungen!$C$3,9,1),Erfassung!$A$6:$A$5005,"&lt;"&amp;DATE(Einstellungen!$C$3,10,1)))</f>
        <v/>
      </c>
      <c r="Y83" s="54">
        <f>IF($B83="","",SUMIFS(Erfassung!$G$6:$G$5005,Erfassung!$B$6:$B$5005,$A83,Erfassung!$A$6:$A$5005,"&gt;="&amp;DATE(Einstellungen!$C$3,10,1),Erfassung!$A$6:$A$5005,"&lt;"&amp;DATE(Einstellungen!$C$3,11,1)))</f>
        <v/>
      </c>
      <c r="Z83" s="54">
        <f>IF($B83="","",SUMIFS(Erfassung!$G$6:$G$5005,Erfassung!$B$6:$B$5005,$A83,Erfassung!$A$6:$A$5005,"&gt;="&amp;DATE(Einstellungen!$C$3,11,1),Erfassung!$A$6:$A$5005,"&lt;"&amp;DATE(Einstellungen!$C$3,12,1)))</f>
        <v/>
      </c>
      <c r="AA83" s="54">
        <f>IF($B83="","",SUMIFS(Erfassung!$G$6:$G$5005,Erfassung!$B$6:$B$5005,$A83,Erfassung!$A$6:$A$5005,"&gt;="&amp;DATE(Einstellungen!$C$3,12,1),Erfassung!$A$6:$A$5005,"&lt;"&amp;DATE(Einstellungen!$C$3,13,1)))</f>
        <v/>
      </c>
      <c r="AB83" s="45">
        <f>IF($B83="","",SUM(P83:AA83))</f>
        <v/>
      </c>
      <c r="AC83" s="38">
        <f>IF($B83="","",IF(O83+AB83&gt;0,AB83/(O83+AB83),""))</f>
        <v/>
      </c>
    </row>
    <row r="84">
      <c r="A84" s="56">
        <f>'KQuote Mitarbeiter'!A84</f>
        <v/>
      </c>
      <c r="B84" s="57">
        <f>'KQuote Mitarbeiter'!B84</f>
        <v/>
      </c>
      <c r="C84" s="54">
        <f>IF($B84="","",SUMIFS(Erfassung!$E$6:$E$5005,Erfassung!$B$6:$B$5005,$A84,Erfassung!$A$6:$A$5005,"&gt;="&amp;DATE(Einstellungen!$C$3,1,1),Erfassung!$A$6:$A$5005,"&lt;"&amp;DATE(Einstellungen!$C$3,2,1)))</f>
        <v/>
      </c>
      <c r="D84" s="54">
        <f>IF($B84="","",SUMIFS(Erfassung!$E$6:$E$5005,Erfassung!$B$6:$B$5005,$A84,Erfassung!$A$6:$A$5005,"&gt;="&amp;DATE(Einstellungen!$C$3,2,1),Erfassung!$A$6:$A$5005,"&lt;"&amp;DATE(Einstellungen!$C$3,3,1)))</f>
        <v/>
      </c>
      <c r="E84" s="54">
        <f>IF($B84="","",SUMIFS(Erfassung!$E$6:$E$5005,Erfassung!$B$6:$B$5005,$A84,Erfassung!$A$6:$A$5005,"&gt;="&amp;DATE(Einstellungen!$C$3,3,1),Erfassung!$A$6:$A$5005,"&lt;"&amp;DATE(Einstellungen!$C$3,4,1)))</f>
        <v/>
      </c>
      <c r="F84" s="54">
        <f>IF($B84="","",SUMIFS(Erfassung!$E$6:$E$5005,Erfassung!$B$6:$B$5005,$A84,Erfassung!$A$6:$A$5005,"&gt;="&amp;DATE(Einstellungen!$C$3,4,1),Erfassung!$A$6:$A$5005,"&lt;"&amp;DATE(Einstellungen!$C$3,5,1)))</f>
        <v/>
      </c>
      <c r="G84" s="54">
        <f>IF($B84="","",SUMIFS(Erfassung!$E$6:$E$5005,Erfassung!$B$6:$B$5005,$A84,Erfassung!$A$6:$A$5005,"&gt;="&amp;DATE(Einstellungen!$C$3,5,1),Erfassung!$A$6:$A$5005,"&lt;"&amp;DATE(Einstellungen!$C$3,6,1)))</f>
        <v/>
      </c>
      <c r="H84" s="54">
        <f>IF($B84="","",SUMIFS(Erfassung!$E$6:$E$5005,Erfassung!$B$6:$B$5005,$A84,Erfassung!$A$6:$A$5005,"&gt;="&amp;DATE(Einstellungen!$C$3,6,1),Erfassung!$A$6:$A$5005,"&lt;"&amp;DATE(Einstellungen!$C$3,7,1)))</f>
        <v/>
      </c>
      <c r="I84" s="54">
        <f>IF($B84="","",SUMIFS(Erfassung!$E$6:$E$5005,Erfassung!$B$6:$B$5005,$A84,Erfassung!$A$6:$A$5005,"&gt;="&amp;DATE(Einstellungen!$C$3,7,1),Erfassung!$A$6:$A$5005,"&lt;"&amp;DATE(Einstellungen!$C$3,8,1)))</f>
        <v/>
      </c>
      <c r="J84" s="54">
        <f>IF($B84="","",SUMIFS(Erfassung!$E$6:$E$5005,Erfassung!$B$6:$B$5005,$A84,Erfassung!$A$6:$A$5005,"&gt;="&amp;DATE(Einstellungen!$C$3,8,1),Erfassung!$A$6:$A$5005,"&lt;"&amp;DATE(Einstellungen!$C$3,9,1)))</f>
        <v/>
      </c>
      <c r="K84" s="54">
        <f>IF($B84="","",SUMIFS(Erfassung!$E$6:$E$5005,Erfassung!$B$6:$B$5005,$A84,Erfassung!$A$6:$A$5005,"&gt;="&amp;DATE(Einstellungen!$C$3,9,1),Erfassung!$A$6:$A$5005,"&lt;"&amp;DATE(Einstellungen!$C$3,10,1)))</f>
        <v/>
      </c>
      <c r="L84" s="54">
        <f>IF($B84="","",SUMIFS(Erfassung!$E$6:$E$5005,Erfassung!$B$6:$B$5005,$A84,Erfassung!$A$6:$A$5005,"&gt;="&amp;DATE(Einstellungen!$C$3,10,1),Erfassung!$A$6:$A$5005,"&lt;"&amp;DATE(Einstellungen!$C$3,11,1)))</f>
        <v/>
      </c>
      <c r="M84" s="54">
        <f>IF($B84="","",SUMIFS(Erfassung!$E$6:$E$5005,Erfassung!$B$6:$B$5005,$A84,Erfassung!$A$6:$A$5005,"&gt;="&amp;DATE(Einstellungen!$C$3,11,1),Erfassung!$A$6:$A$5005,"&lt;"&amp;DATE(Einstellungen!$C$3,12,1)))</f>
        <v/>
      </c>
      <c r="N84" s="54">
        <f>IF($B84="","",SUMIFS(Erfassung!$E$6:$E$5005,Erfassung!$B$6:$B$5005,$A84,Erfassung!$A$6:$A$5005,"&gt;="&amp;DATE(Einstellungen!$C$3,12,1),Erfassung!$A$6:$A$5005,"&lt;"&amp;DATE(Einstellungen!$C$3,13,1)))</f>
        <v/>
      </c>
      <c r="O84" s="45">
        <f>IF($B84="","",SUM(C84:N84))</f>
        <v/>
      </c>
      <c r="P84" s="54">
        <f>IF($B84="","",SUMIFS(Erfassung!$G$6:$G$5005,Erfassung!$B$6:$B$5005,$A84,Erfassung!$A$6:$A$5005,"&gt;="&amp;DATE(Einstellungen!$C$3,1,1),Erfassung!$A$6:$A$5005,"&lt;"&amp;DATE(Einstellungen!$C$3,2,1)))</f>
        <v/>
      </c>
      <c r="Q84" s="54">
        <f>IF($B84="","",SUMIFS(Erfassung!$G$6:$G$5005,Erfassung!$B$6:$B$5005,$A84,Erfassung!$A$6:$A$5005,"&gt;="&amp;DATE(Einstellungen!$C$3,2,1),Erfassung!$A$6:$A$5005,"&lt;"&amp;DATE(Einstellungen!$C$3,3,1)))</f>
        <v/>
      </c>
      <c r="R84" s="54">
        <f>IF($B84="","",SUMIFS(Erfassung!$G$6:$G$5005,Erfassung!$B$6:$B$5005,$A84,Erfassung!$A$6:$A$5005,"&gt;="&amp;DATE(Einstellungen!$C$3,3,1),Erfassung!$A$6:$A$5005,"&lt;"&amp;DATE(Einstellungen!$C$3,4,1)))</f>
        <v/>
      </c>
      <c r="S84" s="54">
        <f>IF($B84="","",SUMIFS(Erfassung!$G$6:$G$5005,Erfassung!$B$6:$B$5005,$A84,Erfassung!$A$6:$A$5005,"&gt;="&amp;DATE(Einstellungen!$C$3,4,1),Erfassung!$A$6:$A$5005,"&lt;"&amp;DATE(Einstellungen!$C$3,5,1)))</f>
        <v/>
      </c>
      <c r="T84" s="54">
        <f>IF($B84="","",SUMIFS(Erfassung!$G$6:$G$5005,Erfassung!$B$6:$B$5005,$A84,Erfassung!$A$6:$A$5005,"&gt;="&amp;DATE(Einstellungen!$C$3,5,1),Erfassung!$A$6:$A$5005,"&lt;"&amp;DATE(Einstellungen!$C$3,6,1)))</f>
        <v/>
      </c>
      <c r="U84" s="54">
        <f>IF($B84="","",SUMIFS(Erfassung!$G$6:$G$5005,Erfassung!$B$6:$B$5005,$A84,Erfassung!$A$6:$A$5005,"&gt;="&amp;DATE(Einstellungen!$C$3,6,1),Erfassung!$A$6:$A$5005,"&lt;"&amp;DATE(Einstellungen!$C$3,7,1)))</f>
        <v/>
      </c>
      <c r="V84" s="54">
        <f>IF($B84="","",SUMIFS(Erfassung!$G$6:$G$5005,Erfassung!$B$6:$B$5005,$A84,Erfassung!$A$6:$A$5005,"&gt;="&amp;DATE(Einstellungen!$C$3,7,1),Erfassung!$A$6:$A$5005,"&lt;"&amp;DATE(Einstellungen!$C$3,8,1)))</f>
        <v/>
      </c>
      <c r="W84" s="54">
        <f>IF($B84="","",SUMIFS(Erfassung!$G$6:$G$5005,Erfassung!$B$6:$B$5005,$A84,Erfassung!$A$6:$A$5005,"&gt;="&amp;DATE(Einstellungen!$C$3,8,1),Erfassung!$A$6:$A$5005,"&lt;"&amp;DATE(Einstellungen!$C$3,9,1)))</f>
        <v/>
      </c>
      <c r="X84" s="54">
        <f>IF($B84="","",SUMIFS(Erfassung!$G$6:$G$5005,Erfassung!$B$6:$B$5005,$A84,Erfassung!$A$6:$A$5005,"&gt;="&amp;DATE(Einstellungen!$C$3,9,1),Erfassung!$A$6:$A$5005,"&lt;"&amp;DATE(Einstellungen!$C$3,10,1)))</f>
        <v/>
      </c>
      <c r="Y84" s="54">
        <f>IF($B84="","",SUMIFS(Erfassung!$G$6:$G$5005,Erfassung!$B$6:$B$5005,$A84,Erfassung!$A$6:$A$5005,"&gt;="&amp;DATE(Einstellungen!$C$3,10,1),Erfassung!$A$6:$A$5005,"&lt;"&amp;DATE(Einstellungen!$C$3,11,1)))</f>
        <v/>
      </c>
      <c r="Z84" s="54">
        <f>IF($B84="","",SUMIFS(Erfassung!$G$6:$G$5005,Erfassung!$B$6:$B$5005,$A84,Erfassung!$A$6:$A$5005,"&gt;="&amp;DATE(Einstellungen!$C$3,11,1),Erfassung!$A$6:$A$5005,"&lt;"&amp;DATE(Einstellungen!$C$3,12,1)))</f>
        <v/>
      </c>
      <c r="AA84" s="54">
        <f>IF($B84="","",SUMIFS(Erfassung!$G$6:$G$5005,Erfassung!$B$6:$B$5005,$A84,Erfassung!$A$6:$A$5005,"&gt;="&amp;DATE(Einstellungen!$C$3,12,1),Erfassung!$A$6:$A$5005,"&lt;"&amp;DATE(Einstellungen!$C$3,13,1)))</f>
        <v/>
      </c>
      <c r="AB84" s="45">
        <f>IF($B84="","",SUM(P84:AA84))</f>
        <v/>
      </c>
      <c r="AC84" s="38">
        <f>IF($B84="","",IF(O84+AB84&gt;0,AB84/(O84+AB84),""))</f>
        <v/>
      </c>
    </row>
    <row r="85">
      <c r="A85" s="56">
        <f>'KQuote Mitarbeiter'!A85</f>
        <v/>
      </c>
      <c r="B85" s="57">
        <f>'KQuote Mitarbeiter'!B85</f>
        <v/>
      </c>
      <c r="C85" s="54">
        <f>IF($B85="","",SUMIFS(Erfassung!$E$6:$E$5005,Erfassung!$B$6:$B$5005,$A85,Erfassung!$A$6:$A$5005,"&gt;="&amp;DATE(Einstellungen!$C$3,1,1),Erfassung!$A$6:$A$5005,"&lt;"&amp;DATE(Einstellungen!$C$3,2,1)))</f>
        <v/>
      </c>
      <c r="D85" s="54">
        <f>IF($B85="","",SUMIFS(Erfassung!$E$6:$E$5005,Erfassung!$B$6:$B$5005,$A85,Erfassung!$A$6:$A$5005,"&gt;="&amp;DATE(Einstellungen!$C$3,2,1),Erfassung!$A$6:$A$5005,"&lt;"&amp;DATE(Einstellungen!$C$3,3,1)))</f>
        <v/>
      </c>
      <c r="E85" s="54">
        <f>IF($B85="","",SUMIFS(Erfassung!$E$6:$E$5005,Erfassung!$B$6:$B$5005,$A85,Erfassung!$A$6:$A$5005,"&gt;="&amp;DATE(Einstellungen!$C$3,3,1),Erfassung!$A$6:$A$5005,"&lt;"&amp;DATE(Einstellungen!$C$3,4,1)))</f>
        <v/>
      </c>
      <c r="F85" s="54">
        <f>IF($B85="","",SUMIFS(Erfassung!$E$6:$E$5005,Erfassung!$B$6:$B$5005,$A85,Erfassung!$A$6:$A$5005,"&gt;="&amp;DATE(Einstellungen!$C$3,4,1),Erfassung!$A$6:$A$5005,"&lt;"&amp;DATE(Einstellungen!$C$3,5,1)))</f>
        <v/>
      </c>
      <c r="G85" s="54">
        <f>IF($B85="","",SUMIFS(Erfassung!$E$6:$E$5005,Erfassung!$B$6:$B$5005,$A85,Erfassung!$A$6:$A$5005,"&gt;="&amp;DATE(Einstellungen!$C$3,5,1),Erfassung!$A$6:$A$5005,"&lt;"&amp;DATE(Einstellungen!$C$3,6,1)))</f>
        <v/>
      </c>
      <c r="H85" s="54">
        <f>IF($B85="","",SUMIFS(Erfassung!$E$6:$E$5005,Erfassung!$B$6:$B$5005,$A85,Erfassung!$A$6:$A$5005,"&gt;="&amp;DATE(Einstellungen!$C$3,6,1),Erfassung!$A$6:$A$5005,"&lt;"&amp;DATE(Einstellungen!$C$3,7,1)))</f>
        <v/>
      </c>
      <c r="I85" s="54">
        <f>IF($B85="","",SUMIFS(Erfassung!$E$6:$E$5005,Erfassung!$B$6:$B$5005,$A85,Erfassung!$A$6:$A$5005,"&gt;="&amp;DATE(Einstellungen!$C$3,7,1),Erfassung!$A$6:$A$5005,"&lt;"&amp;DATE(Einstellungen!$C$3,8,1)))</f>
        <v/>
      </c>
      <c r="J85" s="54">
        <f>IF($B85="","",SUMIFS(Erfassung!$E$6:$E$5005,Erfassung!$B$6:$B$5005,$A85,Erfassung!$A$6:$A$5005,"&gt;="&amp;DATE(Einstellungen!$C$3,8,1),Erfassung!$A$6:$A$5005,"&lt;"&amp;DATE(Einstellungen!$C$3,9,1)))</f>
        <v/>
      </c>
      <c r="K85" s="54">
        <f>IF($B85="","",SUMIFS(Erfassung!$E$6:$E$5005,Erfassung!$B$6:$B$5005,$A85,Erfassung!$A$6:$A$5005,"&gt;="&amp;DATE(Einstellungen!$C$3,9,1),Erfassung!$A$6:$A$5005,"&lt;"&amp;DATE(Einstellungen!$C$3,10,1)))</f>
        <v/>
      </c>
      <c r="L85" s="54">
        <f>IF($B85="","",SUMIFS(Erfassung!$E$6:$E$5005,Erfassung!$B$6:$B$5005,$A85,Erfassung!$A$6:$A$5005,"&gt;="&amp;DATE(Einstellungen!$C$3,10,1),Erfassung!$A$6:$A$5005,"&lt;"&amp;DATE(Einstellungen!$C$3,11,1)))</f>
        <v/>
      </c>
      <c r="M85" s="54">
        <f>IF($B85="","",SUMIFS(Erfassung!$E$6:$E$5005,Erfassung!$B$6:$B$5005,$A85,Erfassung!$A$6:$A$5005,"&gt;="&amp;DATE(Einstellungen!$C$3,11,1),Erfassung!$A$6:$A$5005,"&lt;"&amp;DATE(Einstellungen!$C$3,12,1)))</f>
        <v/>
      </c>
      <c r="N85" s="54">
        <f>IF($B85="","",SUMIFS(Erfassung!$E$6:$E$5005,Erfassung!$B$6:$B$5005,$A85,Erfassung!$A$6:$A$5005,"&gt;="&amp;DATE(Einstellungen!$C$3,12,1),Erfassung!$A$6:$A$5005,"&lt;"&amp;DATE(Einstellungen!$C$3,13,1)))</f>
        <v/>
      </c>
      <c r="O85" s="45">
        <f>IF($B85="","",SUM(C85:N85))</f>
        <v/>
      </c>
      <c r="P85" s="54">
        <f>IF($B85="","",SUMIFS(Erfassung!$G$6:$G$5005,Erfassung!$B$6:$B$5005,$A85,Erfassung!$A$6:$A$5005,"&gt;="&amp;DATE(Einstellungen!$C$3,1,1),Erfassung!$A$6:$A$5005,"&lt;"&amp;DATE(Einstellungen!$C$3,2,1)))</f>
        <v/>
      </c>
      <c r="Q85" s="54">
        <f>IF($B85="","",SUMIFS(Erfassung!$G$6:$G$5005,Erfassung!$B$6:$B$5005,$A85,Erfassung!$A$6:$A$5005,"&gt;="&amp;DATE(Einstellungen!$C$3,2,1),Erfassung!$A$6:$A$5005,"&lt;"&amp;DATE(Einstellungen!$C$3,3,1)))</f>
        <v/>
      </c>
      <c r="R85" s="54">
        <f>IF($B85="","",SUMIFS(Erfassung!$G$6:$G$5005,Erfassung!$B$6:$B$5005,$A85,Erfassung!$A$6:$A$5005,"&gt;="&amp;DATE(Einstellungen!$C$3,3,1),Erfassung!$A$6:$A$5005,"&lt;"&amp;DATE(Einstellungen!$C$3,4,1)))</f>
        <v/>
      </c>
      <c r="S85" s="54">
        <f>IF($B85="","",SUMIFS(Erfassung!$G$6:$G$5005,Erfassung!$B$6:$B$5005,$A85,Erfassung!$A$6:$A$5005,"&gt;="&amp;DATE(Einstellungen!$C$3,4,1),Erfassung!$A$6:$A$5005,"&lt;"&amp;DATE(Einstellungen!$C$3,5,1)))</f>
        <v/>
      </c>
      <c r="T85" s="54">
        <f>IF($B85="","",SUMIFS(Erfassung!$G$6:$G$5005,Erfassung!$B$6:$B$5005,$A85,Erfassung!$A$6:$A$5005,"&gt;="&amp;DATE(Einstellungen!$C$3,5,1),Erfassung!$A$6:$A$5005,"&lt;"&amp;DATE(Einstellungen!$C$3,6,1)))</f>
        <v/>
      </c>
      <c r="U85" s="54">
        <f>IF($B85="","",SUMIFS(Erfassung!$G$6:$G$5005,Erfassung!$B$6:$B$5005,$A85,Erfassung!$A$6:$A$5005,"&gt;="&amp;DATE(Einstellungen!$C$3,6,1),Erfassung!$A$6:$A$5005,"&lt;"&amp;DATE(Einstellungen!$C$3,7,1)))</f>
        <v/>
      </c>
      <c r="V85" s="54">
        <f>IF($B85="","",SUMIFS(Erfassung!$G$6:$G$5005,Erfassung!$B$6:$B$5005,$A85,Erfassung!$A$6:$A$5005,"&gt;="&amp;DATE(Einstellungen!$C$3,7,1),Erfassung!$A$6:$A$5005,"&lt;"&amp;DATE(Einstellungen!$C$3,8,1)))</f>
        <v/>
      </c>
      <c r="W85" s="54">
        <f>IF($B85="","",SUMIFS(Erfassung!$G$6:$G$5005,Erfassung!$B$6:$B$5005,$A85,Erfassung!$A$6:$A$5005,"&gt;="&amp;DATE(Einstellungen!$C$3,8,1),Erfassung!$A$6:$A$5005,"&lt;"&amp;DATE(Einstellungen!$C$3,9,1)))</f>
        <v/>
      </c>
      <c r="X85" s="54">
        <f>IF($B85="","",SUMIFS(Erfassung!$G$6:$G$5005,Erfassung!$B$6:$B$5005,$A85,Erfassung!$A$6:$A$5005,"&gt;="&amp;DATE(Einstellungen!$C$3,9,1),Erfassung!$A$6:$A$5005,"&lt;"&amp;DATE(Einstellungen!$C$3,10,1)))</f>
        <v/>
      </c>
      <c r="Y85" s="54">
        <f>IF($B85="","",SUMIFS(Erfassung!$G$6:$G$5005,Erfassung!$B$6:$B$5005,$A85,Erfassung!$A$6:$A$5005,"&gt;="&amp;DATE(Einstellungen!$C$3,10,1),Erfassung!$A$6:$A$5005,"&lt;"&amp;DATE(Einstellungen!$C$3,11,1)))</f>
        <v/>
      </c>
      <c r="Z85" s="54">
        <f>IF($B85="","",SUMIFS(Erfassung!$G$6:$G$5005,Erfassung!$B$6:$B$5005,$A85,Erfassung!$A$6:$A$5005,"&gt;="&amp;DATE(Einstellungen!$C$3,11,1),Erfassung!$A$6:$A$5005,"&lt;"&amp;DATE(Einstellungen!$C$3,12,1)))</f>
        <v/>
      </c>
      <c r="AA85" s="54">
        <f>IF($B85="","",SUMIFS(Erfassung!$G$6:$G$5005,Erfassung!$B$6:$B$5005,$A85,Erfassung!$A$6:$A$5005,"&gt;="&amp;DATE(Einstellungen!$C$3,12,1),Erfassung!$A$6:$A$5005,"&lt;"&amp;DATE(Einstellungen!$C$3,13,1)))</f>
        <v/>
      </c>
      <c r="AB85" s="45">
        <f>IF($B85="","",SUM(P85:AA85))</f>
        <v/>
      </c>
      <c r="AC85" s="38">
        <f>IF($B85="","",IF(O85+AB85&gt;0,AB85/(O85+AB85),""))</f>
        <v/>
      </c>
    </row>
    <row r="86">
      <c r="A86" s="56">
        <f>'KQuote Mitarbeiter'!A86</f>
        <v/>
      </c>
      <c r="B86" s="57">
        <f>'KQuote Mitarbeiter'!B86</f>
        <v/>
      </c>
      <c r="C86" s="54">
        <f>IF($B86="","",SUMIFS(Erfassung!$E$6:$E$5005,Erfassung!$B$6:$B$5005,$A86,Erfassung!$A$6:$A$5005,"&gt;="&amp;DATE(Einstellungen!$C$3,1,1),Erfassung!$A$6:$A$5005,"&lt;"&amp;DATE(Einstellungen!$C$3,2,1)))</f>
        <v/>
      </c>
      <c r="D86" s="54">
        <f>IF($B86="","",SUMIFS(Erfassung!$E$6:$E$5005,Erfassung!$B$6:$B$5005,$A86,Erfassung!$A$6:$A$5005,"&gt;="&amp;DATE(Einstellungen!$C$3,2,1),Erfassung!$A$6:$A$5005,"&lt;"&amp;DATE(Einstellungen!$C$3,3,1)))</f>
        <v/>
      </c>
      <c r="E86" s="54">
        <f>IF($B86="","",SUMIFS(Erfassung!$E$6:$E$5005,Erfassung!$B$6:$B$5005,$A86,Erfassung!$A$6:$A$5005,"&gt;="&amp;DATE(Einstellungen!$C$3,3,1),Erfassung!$A$6:$A$5005,"&lt;"&amp;DATE(Einstellungen!$C$3,4,1)))</f>
        <v/>
      </c>
      <c r="F86" s="54">
        <f>IF($B86="","",SUMIFS(Erfassung!$E$6:$E$5005,Erfassung!$B$6:$B$5005,$A86,Erfassung!$A$6:$A$5005,"&gt;="&amp;DATE(Einstellungen!$C$3,4,1),Erfassung!$A$6:$A$5005,"&lt;"&amp;DATE(Einstellungen!$C$3,5,1)))</f>
        <v/>
      </c>
      <c r="G86" s="54">
        <f>IF($B86="","",SUMIFS(Erfassung!$E$6:$E$5005,Erfassung!$B$6:$B$5005,$A86,Erfassung!$A$6:$A$5005,"&gt;="&amp;DATE(Einstellungen!$C$3,5,1),Erfassung!$A$6:$A$5005,"&lt;"&amp;DATE(Einstellungen!$C$3,6,1)))</f>
        <v/>
      </c>
      <c r="H86" s="54">
        <f>IF($B86="","",SUMIFS(Erfassung!$E$6:$E$5005,Erfassung!$B$6:$B$5005,$A86,Erfassung!$A$6:$A$5005,"&gt;="&amp;DATE(Einstellungen!$C$3,6,1),Erfassung!$A$6:$A$5005,"&lt;"&amp;DATE(Einstellungen!$C$3,7,1)))</f>
        <v/>
      </c>
      <c r="I86" s="54">
        <f>IF($B86="","",SUMIFS(Erfassung!$E$6:$E$5005,Erfassung!$B$6:$B$5005,$A86,Erfassung!$A$6:$A$5005,"&gt;="&amp;DATE(Einstellungen!$C$3,7,1),Erfassung!$A$6:$A$5005,"&lt;"&amp;DATE(Einstellungen!$C$3,8,1)))</f>
        <v/>
      </c>
      <c r="J86" s="54">
        <f>IF($B86="","",SUMIFS(Erfassung!$E$6:$E$5005,Erfassung!$B$6:$B$5005,$A86,Erfassung!$A$6:$A$5005,"&gt;="&amp;DATE(Einstellungen!$C$3,8,1),Erfassung!$A$6:$A$5005,"&lt;"&amp;DATE(Einstellungen!$C$3,9,1)))</f>
        <v/>
      </c>
      <c r="K86" s="54">
        <f>IF($B86="","",SUMIFS(Erfassung!$E$6:$E$5005,Erfassung!$B$6:$B$5005,$A86,Erfassung!$A$6:$A$5005,"&gt;="&amp;DATE(Einstellungen!$C$3,9,1),Erfassung!$A$6:$A$5005,"&lt;"&amp;DATE(Einstellungen!$C$3,10,1)))</f>
        <v/>
      </c>
      <c r="L86" s="54">
        <f>IF($B86="","",SUMIFS(Erfassung!$E$6:$E$5005,Erfassung!$B$6:$B$5005,$A86,Erfassung!$A$6:$A$5005,"&gt;="&amp;DATE(Einstellungen!$C$3,10,1),Erfassung!$A$6:$A$5005,"&lt;"&amp;DATE(Einstellungen!$C$3,11,1)))</f>
        <v/>
      </c>
      <c r="M86" s="54">
        <f>IF($B86="","",SUMIFS(Erfassung!$E$6:$E$5005,Erfassung!$B$6:$B$5005,$A86,Erfassung!$A$6:$A$5005,"&gt;="&amp;DATE(Einstellungen!$C$3,11,1),Erfassung!$A$6:$A$5005,"&lt;"&amp;DATE(Einstellungen!$C$3,12,1)))</f>
        <v/>
      </c>
      <c r="N86" s="54">
        <f>IF($B86="","",SUMIFS(Erfassung!$E$6:$E$5005,Erfassung!$B$6:$B$5005,$A86,Erfassung!$A$6:$A$5005,"&gt;="&amp;DATE(Einstellungen!$C$3,12,1),Erfassung!$A$6:$A$5005,"&lt;"&amp;DATE(Einstellungen!$C$3,13,1)))</f>
        <v/>
      </c>
      <c r="O86" s="45">
        <f>IF($B86="","",SUM(C86:N86))</f>
        <v/>
      </c>
      <c r="P86" s="54">
        <f>IF($B86="","",SUMIFS(Erfassung!$G$6:$G$5005,Erfassung!$B$6:$B$5005,$A86,Erfassung!$A$6:$A$5005,"&gt;="&amp;DATE(Einstellungen!$C$3,1,1),Erfassung!$A$6:$A$5005,"&lt;"&amp;DATE(Einstellungen!$C$3,2,1)))</f>
        <v/>
      </c>
      <c r="Q86" s="54">
        <f>IF($B86="","",SUMIFS(Erfassung!$G$6:$G$5005,Erfassung!$B$6:$B$5005,$A86,Erfassung!$A$6:$A$5005,"&gt;="&amp;DATE(Einstellungen!$C$3,2,1),Erfassung!$A$6:$A$5005,"&lt;"&amp;DATE(Einstellungen!$C$3,3,1)))</f>
        <v/>
      </c>
      <c r="R86" s="54">
        <f>IF($B86="","",SUMIFS(Erfassung!$G$6:$G$5005,Erfassung!$B$6:$B$5005,$A86,Erfassung!$A$6:$A$5005,"&gt;="&amp;DATE(Einstellungen!$C$3,3,1),Erfassung!$A$6:$A$5005,"&lt;"&amp;DATE(Einstellungen!$C$3,4,1)))</f>
        <v/>
      </c>
      <c r="S86" s="54">
        <f>IF($B86="","",SUMIFS(Erfassung!$G$6:$G$5005,Erfassung!$B$6:$B$5005,$A86,Erfassung!$A$6:$A$5005,"&gt;="&amp;DATE(Einstellungen!$C$3,4,1),Erfassung!$A$6:$A$5005,"&lt;"&amp;DATE(Einstellungen!$C$3,5,1)))</f>
        <v/>
      </c>
      <c r="T86" s="54">
        <f>IF($B86="","",SUMIFS(Erfassung!$G$6:$G$5005,Erfassung!$B$6:$B$5005,$A86,Erfassung!$A$6:$A$5005,"&gt;="&amp;DATE(Einstellungen!$C$3,5,1),Erfassung!$A$6:$A$5005,"&lt;"&amp;DATE(Einstellungen!$C$3,6,1)))</f>
        <v/>
      </c>
      <c r="U86" s="54">
        <f>IF($B86="","",SUMIFS(Erfassung!$G$6:$G$5005,Erfassung!$B$6:$B$5005,$A86,Erfassung!$A$6:$A$5005,"&gt;="&amp;DATE(Einstellungen!$C$3,6,1),Erfassung!$A$6:$A$5005,"&lt;"&amp;DATE(Einstellungen!$C$3,7,1)))</f>
        <v/>
      </c>
      <c r="V86" s="54">
        <f>IF($B86="","",SUMIFS(Erfassung!$G$6:$G$5005,Erfassung!$B$6:$B$5005,$A86,Erfassung!$A$6:$A$5005,"&gt;="&amp;DATE(Einstellungen!$C$3,7,1),Erfassung!$A$6:$A$5005,"&lt;"&amp;DATE(Einstellungen!$C$3,8,1)))</f>
        <v/>
      </c>
      <c r="W86" s="54">
        <f>IF($B86="","",SUMIFS(Erfassung!$G$6:$G$5005,Erfassung!$B$6:$B$5005,$A86,Erfassung!$A$6:$A$5005,"&gt;="&amp;DATE(Einstellungen!$C$3,8,1),Erfassung!$A$6:$A$5005,"&lt;"&amp;DATE(Einstellungen!$C$3,9,1)))</f>
        <v/>
      </c>
      <c r="X86" s="54">
        <f>IF($B86="","",SUMIFS(Erfassung!$G$6:$G$5005,Erfassung!$B$6:$B$5005,$A86,Erfassung!$A$6:$A$5005,"&gt;="&amp;DATE(Einstellungen!$C$3,9,1),Erfassung!$A$6:$A$5005,"&lt;"&amp;DATE(Einstellungen!$C$3,10,1)))</f>
        <v/>
      </c>
      <c r="Y86" s="54">
        <f>IF($B86="","",SUMIFS(Erfassung!$G$6:$G$5005,Erfassung!$B$6:$B$5005,$A86,Erfassung!$A$6:$A$5005,"&gt;="&amp;DATE(Einstellungen!$C$3,10,1),Erfassung!$A$6:$A$5005,"&lt;"&amp;DATE(Einstellungen!$C$3,11,1)))</f>
        <v/>
      </c>
      <c r="Z86" s="54">
        <f>IF($B86="","",SUMIFS(Erfassung!$G$6:$G$5005,Erfassung!$B$6:$B$5005,$A86,Erfassung!$A$6:$A$5005,"&gt;="&amp;DATE(Einstellungen!$C$3,11,1),Erfassung!$A$6:$A$5005,"&lt;"&amp;DATE(Einstellungen!$C$3,12,1)))</f>
        <v/>
      </c>
      <c r="AA86" s="54">
        <f>IF($B86="","",SUMIFS(Erfassung!$G$6:$G$5005,Erfassung!$B$6:$B$5005,$A86,Erfassung!$A$6:$A$5005,"&gt;="&amp;DATE(Einstellungen!$C$3,12,1),Erfassung!$A$6:$A$5005,"&lt;"&amp;DATE(Einstellungen!$C$3,13,1)))</f>
        <v/>
      </c>
      <c r="AB86" s="45">
        <f>IF($B86="","",SUM(P86:AA86))</f>
        <v/>
      </c>
      <c r="AC86" s="38">
        <f>IF($B86="","",IF(O86+AB86&gt;0,AB86/(O86+AB86),""))</f>
        <v/>
      </c>
    </row>
    <row r="87">
      <c r="A87" s="56">
        <f>'KQuote Mitarbeiter'!A87</f>
        <v/>
      </c>
      <c r="B87" s="57">
        <f>'KQuote Mitarbeiter'!B87</f>
        <v/>
      </c>
      <c r="C87" s="54">
        <f>IF($B87="","",SUMIFS(Erfassung!$E$6:$E$5005,Erfassung!$B$6:$B$5005,$A87,Erfassung!$A$6:$A$5005,"&gt;="&amp;DATE(Einstellungen!$C$3,1,1),Erfassung!$A$6:$A$5005,"&lt;"&amp;DATE(Einstellungen!$C$3,2,1)))</f>
        <v/>
      </c>
      <c r="D87" s="54">
        <f>IF($B87="","",SUMIFS(Erfassung!$E$6:$E$5005,Erfassung!$B$6:$B$5005,$A87,Erfassung!$A$6:$A$5005,"&gt;="&amp;DATE(Einstellungen!$C$3,2,1),Erfassung!$A$6:$A$5005,"&lt;"&amp;DATE(Einstellungen!$C$3,3,1)))</f>
        <v/>
      </c>
      <c r="E87" s="54">
        <f>IF($B87="","",SUMIFS(Erfassung!$E$6:$E$5005,Erfassung!$B$6:$B$5005,$A87,Erfassung!$A$6:$A$5005,"&gt;="&amp;DATE(Einstellungen!$C$3,3,1),Erfassung!$A$6:$A$5005,"&lt;"&amp;DATE(Einstellungen!$C$3,4,1)))</f>
        <v/>
      </c>
      <c r="F87" s="54">
        <f>IF($B87="","",SUMIFS(Erfassung!$E$6:$E$5005,Erfassung!$B$6:$B$5005,$A87,Erfassung!$A$6:$A$5005,"&gt;="&amp;DATE(Einstellungen!$C$3,4,1),Erfassung!$A$6:$A$5005,"&lt;"&amp;DATE(Einstellungen!$C$3,5,1)))</f>
        <v/>
      </c>
      <c r="G87" s="54">
        <f>IF($B87="","",SUMIFS(Erfassung!$E$6:$E$5005,Erfassung!$B$6:$B$5005,$A87,Erfassung!$A$6:$A$5005,"&gt;="&amp;DATE(Einstellungen!$C$3,5,1),Erfassung!$A$6:$A$5005,"&lt;"&amp;DATE(Einstellungen!$C$3,6,1)))</f>
        <v/>
      </c>
      <c r="H87" s="54">
        <f>IF($B87="","",SUMIFS(Erfassung!$E$6:$E$5005,Erfassung!$B$6:$B$5005,$A87,Erfassung!$A$6:$A$5005,"&gt;="&amp;DATE(Einstellungen!$C$3,6,1),Erfassung!$A$6:$A$5005,"&lt;"&amp;DATE(Einstellungen!$C$3,7,1)))</f>
        <v/>
      </c>
      <c r="I87" s="54">
        <f>IF($B87="","",SUMIFS(Erfassung!$E$6:$E$5005,Erfassung!$B$6:$B$5005,$A87,Erfassung!$A$6:$A$5005,"&gt;="&amp;DATE(Einstellungen!$C$3,7,1),Erfassung!$A$6:$A$5005,"&lt;"&amp;DATE(Einstellungen!$C$3,8,1)))</f>
        <v/>
      </c>
      <c r="J87" s="54">
        <f>IF($B87="","",SUMIFS(Erfassung!$E$6:$E$5005,Erfassung!$B$6:$B$5005,$A87,Erfassung!$A$6:$A$5005,"&gt;="&amp;DATE(Einstellungen!$C$3,8,1),Erfassung!$A$6:$A$5005,"&lt;"&amp;DATE(Einstellungen!$C$3,9,1)))</f>
        <v/>
      </c>
      <c r="K87" s="54">
        <f>IF($B87="","",SUMIFS(Erfassung!$E$6:$E$5005,Erfassung!$B$6:$B$5005,$A87,Erfassung!$A$6:$A$5005,"&gt;="&amp;DATE(Einstellungen!$C$3,9,1),Erfassung!$A$6:$A$5005,"&lt;"&amp;DATE(Einstellungen!$C$3,10,1)))</f>
        <v/>
      </c>
      <c r="L87" s="54">
        <f>IF($B87="","",SUMIFS(Erfassung!$E$6:$E$5005,Erfassung!$B$6:$B$5005,$A87,Erfassung!$A$6:$A$5005,"&gt;="&amp;DATE(Einstellungen!$C$3,10,1),Erfassung!$A$6:$A$5005,"&lt;"&amp;DATE(Einstellungen!$C$3,11,1)))</f>
        <v/>
      </c>
      <c r="M87" s="54">
        <f>IF($B87="","",SUMIFS(Erfassung!$E$6:$E$5005,Erfassung!$B$6:$B$5005,$A87,Erfassung!$A$6:$A$5005,"&gt;="&amp;DATE(Einstellungen!$C$3,11,1),Erfassung!$A$6:$A$5005,"&lt;"&amp;DATE(Einstellungen!$C$3,12,1)))</f>
        <v/>
      </c>
      <c r="N87" s="54">
        <f>IF($B87="","",SUMIFS(Erfassung!$E$6:$E$5005,Erfassung!$B$6:$B$5005,$A87,Erfassung!$A$6:$A$5005,"&gt;="&amp;DATE(Einstellungen!$C$3,12,1),Erfassung!$A$6:$A$5005,"&lt;"&amp;DATE(Einstellungen!$C$3,13,1)))</f>
        <v/>
      </c>
      <c r="O87" s="45">
        <f>IF($B87="","",SUM(C87:N87))</f>
        <v/>
      </c>
      <c r="P87" s="54">
        <f>IF($B87="","",SUMIFS(Erfassung!$G$6:$G$5005,Erfassung!$B$6:$B$5005,$A87,Erfassung!$A$6:$A$5005,"&gt;="&amp;DATE(Einstellungen!$C$3,1,1),Erfassung!$A$6:$A$5005,"&lt;"&amp;DATE(Einstellungen!$C$3,2,1)))</f>
        <v/>
      </c>
      <c r="Q87" s="54">
        <f>IF($B87="","",SUMIFS(Erfassung!$G$6:$G$5005,Erfassung!$B$6:$B$5005,$A87,Erfassung!$A$6:$A$5005,"&gt;="&amp;DATE(Einstellungen!$C$3,2,1),Erfassung!$A$6:$A$5005,"&lt;"&amp;DATE(Einstellungen!$C$3,3,1)))</f>
        <v/>
      </c>
      <c r="R87" s="54">
        <f>IF($B87="","",SUMIFS(Erfassung!$G$6:$G$5005,Erfassung!$B$6:$B$5005,$A87,Erfassung!$A$6:$A$5005,"&gt;="&amp;DATE(Einstellungen!$C$3,3,1),Erfassung!$A$6:$A$5005,"&lt;"&amp;DATE(Einstellungen!$C$3,4,1)))</f>
        <v/>
      </c>
      <c r="S87" s="54">
        <f>IF($B87="","",SUMIFS(Erfassung!$G$6:$G$5005,Erfassung!$B$6:$B$5005,$A87,Erfassung!$A$6:$A$5005,"&gt;="&amp;DATE(Einstellungen!$C$3,4,1),Erfassung!$A$6:$A$5005,"&lt;"&amp;DATE(Einstellungen!$C$3,5,1)))</f>
        <v/>
      </c>
      <c r="T87" s="54">
        <f>IF($B87="","",SUMIFS(Erfassung!$G$6:$G$5005,Erfassung!$B$6:$B$5005,$A87,Erfassung!$A$6:$A$5005,"&gt;="&amp;DATE(Einstellungen!$C$3,5,1),Erfassung!$A$6:$A$5005,"&lt;"&amp;DATE(Einstellungen!$C$3,6,1)))</f>
        <v/>
      </c>
      <c r="U87" s="54">
        <f>IF($B87="","",SUMIFS(Erfassung!$G$6:$G$5005,Erfassung!$B$6:$B$5005,$A87,Erfassung!$A$6:$A$5005,"&gt;="&amp;DATE(Einstellungen!$C$3,6,1),Erfassung!$A$6:$A$5005,"&lt;"&amp;DATE(Einstellungen!$C$3,7,1)))</f>
        <v/>
      </c>
      <c r="V87" s="54">
        <f>IF($B87="","",SUMIFS(Erfassung!$G$6:$G$5005,Erfassung!$B$6:$B$5005,$A87,Erfassung!$A$6:$A$5005,"&gt;="&amp;DATE(Einstellungen!$C$3,7,1),Erfassung!$A$6:$A$5005,"&lt;"&amp;DATE(Einstellungen!$C$3,8,1)))</f>
        <v/>
      </c>
      <c r="W87" s="54">
        <f>IF($B87="","",SUMIFS(Erfassung!$G$6:$G$5005,Erfassung!$B$6:$B$5005,$A87,Erfassung!$A$6:$A$5005,"&gt;="&amp;DATE(Einstellungen!$C$3,8,1),Erfassung!$A$6:$A$5005,"&lt;"&amp;DATE(Einstellungen!$C$3,9,1)))</f>
        <v/>
      </c>
      <c r="X87" s="54">
        <f>IF($B87="","",SUMIFS(Erfassung!$G$6:$G$5005,Erfassung!$B$6:$B$5005,$A87,Erfassung!$A$6:$A$5005,"&gt;="&amp;DATE(Einstellungen!$C$3,9,1),Erfassung!$A$6:$A$5005,"&lt;"&amp;DATE(Einstellungen!$C$3,10,1)))</f>
        <v/>
      </c>
      <c r="Y87" s="54">
        <f>IF($B87="","",SUMIFS(Erfassung!$G$6:$G$5005,Erfassung!$B$6:$B$5005,$A87,Erfassung!$A$6:$A$5005,"&gt;="&amp;DATE(Einstellungen!$C$3,10,1),Erfassung!$A$6:$A$5005,"&lt;"&amp;DATE(Einstellungen!$C$3,11,1)))</f>
        <v/>
      </c>
      <c r="Z87" s="54">
        <f>IF($B87="","",SUMIFS(Erfassung!$G$6:$G$5005,Erfassung!$B$6:$B$5005,$A87,Erfassung!$A$6:$A$5005,"&gt;="&amp;DATE(Einstellungen!$C$3,11,1),Erfassung!$A$6:$A$5005,"&lt;"&amp;DATE(Einstellungen!$C$3,12,1)))</f>
        <v/>
      </c>
      <c r="AA87" s="54">
        <f>IF($B87="","",SUMIFS(Erfassung!$G$6:$G$5005,Erfassung!$B$6:$B$5005,$A87,Erfassung!$A$6:$A$5005,"&gt;="&amp;DATE(Einstellungen!$C$3,12,1),Erfassung!$A$6:$A$5005,"&lt;"&amp;DATE(Einstellungen!$C$3,13,1)))</f>
        <v/>
      </c>
      <c r="AB87" s="45">
        <f>IF($B87="","",SUM(P87:AA87))</f>
        <v/>
      </c>
      <c r="AC87" s="38">
        <f>IF($B87="","",IF(O87+AB87&gt;0,AB87/(O87+AB87),""))</f>
        <v/>
      </c>
    </row>
    <row r="88">
      <c r="A88" s="56">
        <f>'KQuote Mitarbeiter'!A88</f>
        <v/>
      </c>
      <c r="B88" s="57">
        <f>'KQuote Mitarbeiter'!B88</f>
        <v/>
      </c>
      <c r="C88" s="54">
        <f>IF($B88="","",SUMIFS(Erfassung!$E$6:$E$5005,Erfassung!$B$6:$B$5005,$A88,Erfassung!$A$6:$A$5005,"&gt;="&amp;DATE(Einstellungen!$C$3,1,1),Erfassung!$A$6:$A$5005,"&lt;"&amp;DATE(Einstellungen!$C$3,2,1)))</f>
        <v/>
      </c>
      <c r="D88" s="54">
        <f>IF($B88="","",SUMIFS(Erfassung!$E$6:$E$5005,Erfassung!$B$6:$B$5005,$A88,Erfassung!$A$6:$A$5005,"&gt;="&amp;DATE(Einstellungen!$C$3,2,1),Erfassung!$A$6:$A$5005,"&lt;"&amp;DATE(Einstellungen!$C$3,3,1)))</f>
        <v/>
      </c>
      <c r="E88" s="54">
        <f>IF($B88="","",SUMIFS(Erfassung!$E$6:$E$5005,Erfassung!$B$6:$B$5005,$A88,Erfassung!$A$6:$A$5005,"&gt;="&amp;DATE(Einstellungen!$C$3,3,1),Erfassung!$A$6:$A$5005,"&lt;"&amp;DATE(Einstellungen!$C$3,4,1)))</f>
        <v/>
      </c>
      <c r="F88" s="54">
        <f>IF($B88="","",SUMIFS(Erfassung!$E$6:$E$5005,Erfassung!$B$6:$B$5005,$A88,Erfassung!$A$6:$A$5005,"&gt;="&amp;DATE(Einstellungen!$C$3,4,1),Erfassung!$A$6:$A$5005,"&lt;"&amp;DATE(Einstellungen!$C$3,5,1)))</f>
        <v/>
      </c>
      <c r="G88" s="54">
        <f>IF($B88="","",SUMIFS(Erfassung!$E$6:$E$5005,Erfassung!$B$6:$B$5005,$A88,Erfassung!$A$6:$A$5005,"&gt;="&amp;DATE(Einstellungen!$C$3,5,1),Erfassung!$A$6:$A$5005,"&lt;"&amp;DATE(Einstellungen!$C$3,6,1)))</f>
        <v/>
      </c>
      <c r="H88" s="54">
        <f>IF($B88="","",SUMIFS(Erfassung!$E$6:$E$5005,Erfassung!$B$6:$B$5005,$A88,Erfassung!$A$6:$A$5005,"&gt;="&amp;DATE(Einstellungen!$C$3,6,1),Erfassung!$A$6:$A$5005,"&lt;"&amp;DATE(Einstellungen!$C$3,7,1)))</f>
        <v/>
      </c>
      <c r="I88" s="54">
        <f>IF($B88="","",SUMIFS(Erfassung!$E$6:$E$5005,Erfassung!$B$6:$B$5005,$A88,Erfassung!$A$6:$A$5005,"&gt;="&amp;DATE(Einstellungen!$C$3,7,1),Erfassung!$A$6:$A$5005,"&lt;"&amp;DATE(Einstellungen!$C$3,8,1)))</f>
        <v/>
      </c>
      <c r="J88" s="54">
        <f>IF($B88="","",SUMIFS(Erfassung!$E$6:$E$5005,Erfassung!$B$6:$B$5005,$A88,Erfassung!$A$6:$A$5005,"&gt;="&amp;DATE(Einstellungen!$C$3,8,1),Erfassung!$A$6:$A$5005,"&lt;"&amp;DATE(Einstellungen!$C$3,9,1)))</f>
        <v/>
      </c>
      <c r="K88" s="54">
        <f>IF($B88="","",SUMIFS(Erfassung!$E$6:$E$5005,Erfassung!$B$6:$B$5005,$A88,Erfassung!$A$6:$A$5005,"&gt;="&amp;DATE(Einstellungen!$C$3,9,1),Erfassung!$A$6:$A$5005,"&lt;"&amp;DATE(Einstellungen!$C$3,10,1)))</f>
        <v/>
      </c>
      <c r="L88" s="54">
        <f>IF($B88="","",SUMIFS(Erfassung!$E$6:$E$5005,Erfassung!$B$6:$B$5005,$A88,Erfassung!$A$6:$A$5005,"&gt;="&amp;DATE(Einstellungen!$C$3,10,1),Erfassung!$A$6:$A$5005,"&lt;"&amp;DATE(Einstellungen!$C$3,11,1)))</f>
        <v/>
      </c>
      <c r="M88" s="54">
        <f>IF($B88="","",SUMIFS(Erfassung!$E$6:$E$5005,Erfassung!$B$6:$B$5005,$A88,Erfassung!$A$6:$A$5005,"&gt;="&amp;DATE(Einstellungen!$C$3,11,1),Erfassung!$A$6:$A$5005,"&lt;"&amp;DATE(Einstellungen!$C$3,12,1)))</f>
        <v/>
      </c>
      <c r="N88" s="54">
        <f>IF($B88="","",SUMIFS(Erfassung!$E$6:$E$5005,Erfassung!$B$6:$B$5005,$A88,Erfassung!$A$6:$A$5005,"&gt;="&amp;DATE(Einstellungen!$C$3,12,1),Erfassung!$A$6:$A$5005,"&lt;"&amp;DATE(Einstellungen!$C$3,13,1)))</f>
        <v/>
      </c>
      <c r="O88" s="45">
        <f>IF($B88="","",SUM(C88:N88))</f>
        <v/>
      </c>
      <c r="P88" s="54">
        <f>IF($B88="","",SUMIFS(Erfassung!$G$6:$G$5005,Erfassung!$B$6:$B$5005,$A88,Erfassung!$A$6:$A$5005,"&gt;="&amp;DATE(Einstellungen!$C$3,1,1),Erfassung!$A$6:$A$5005,"&lt;"&amp;DATE(Einstellungen!$C$3,2,1)))</f>
        <v/>
      </c>
      <c r="Q88" s="54">
        <f>IF($B88="","",SUMIFS(Erfassung!$G$6:$G$5005,Erfassung!$B$6:$B$5005,$A88,Erfassung!$A$6:$A$5005,"&gt;="&amp;DATE(Einstellungen!$C$3,2,1),Erfassung!$A$6:$A$5005,"&lt;"&amp;DATE(Einstellungen!$C$3,3,1)))</f>
        <v/>
      </c>
      <c r="R88" s="54">
        <f>IF($B88="","",SUMIFS(Erfassung!$G$6:$G$5005,Erfassung!$B$6:$B$5005,$A88,Erfassung!$A$6:$A$5005,"&gt;="&amp;DATE(Einstellungen!$C$3,3,1),Erfassung!$A$6:$A$5005,"&lt;"&amp;DATE(Einstellungen!$C$3,4,1)))</f>
        <v/>
      </c>
      <c r="S88" s="54">
        <f>IF($B88="","",SUMIFS(Erfassung!$G$6:$G$5005,Erfassung!$B$6:$B$5005,$A88,Erfassung!$A$6:$A$5005,"&gt;="&amp;DATE(Einstellungen!$C$3,4,1),Erfassung!$A$6:$A$5005,"&lt;"&amp;DATE(Einstellungen!$C$3,5,1)))</f>
        <v/>
      </c>
      <c r="T88" s="54">
        <f>IF($B88="","",SUMIFS(Erfassung!$G$6:$G$5005,Erfassung!$B$6:$B$5005,$A88,Erfassung!$A$6:$A$5005,"&gt;="&amp;DATE(Einstellungen!$C$3,5,1),Erfassung!$A$6:$A$5005,"&lt;"&amp;DATE(Einstellungen!$C$3,6,1)))</f>
        <v/>
      </c>
      <c r="U88" s="54">
        <f>IF($B88="","",SUMIFS(Erfassung!$G$6:$G$5005,Erfassung!$B$6:$B$5005,$A88,Erfassung!$A$6:$A$5005,"&gt;="&amp;DATE(Einstellungen!$C$3,6,1),Erfassung!$A$6:$A$5005,"&lt;"&amp;DATE(Einstellungen!$C$3,7,1)))</f>
        <v/>
      </c>
      <c r="V88" s="54">
        <f>IF($B88="","",SUMIFS(Erfassung!$G$6:$G$5005,Erfassung!$B$6:$B$5005,$A88,Erfassung!$A$6:$A$5005,"&gt;="&amp;DATE(Einstellungen!$C$3,7,1),Erfassung!$A$6:$A$5005,"&lt;"&amp;DATE(Einstellungen!$C$3,8,1)))</f>
        <v/>
      </c>
      <c r="W88" s="54">
        <f>IF($B88="","",SUMIFS(Erfassung!$G$6:$G$5005,Erfassung!$B$6:$B$5005,$A88,Erfassung!$A$6:$A$5005,"&gt;="&amp;DATE(Einstellungen!$C$3,8,1),Erfassung!$A$6:$A$5005,"&lt;"&amp;DATE(Einstellungen!$C$3,9,1)))</f>
        <v/>
      </c>
      <c r="X88" s="54">
        <f>IF($B88="","",SUMIFS(Erfassung!$G$6:$G$5005,Erfassung!$B$6:$B$5005,$A88,Erfassung!$A$6:$A$5005,"&gt;="&amp;DATE(Einstellungen!$C$3,9,1),Erfassung!$A$6:$A$5005,"&lt;"&amp;DATE(Einstellungen!$C$3,10,1)))</f>
        <v/>
      </c>
      <c r="Y88" s="54">
        <f>IF($B88="","",SUMIFS(Erfassung!$G$6:$G$5005,Erfassung!$B$6:$B$5005,$A88,Erfassung!$A$6:$A$5005,"&gt;="&amp;DATE(Einstellungen!$C$3,10,1),Erfassung!$A$6:$A$5005,"&lt;"&amp;DATE(Einstellungen!$C$3,11,1)))</f>
        <v/>
      </c>
      <c r="Z88" s="54">
        <f>IF($B88="","",SUMIFS(Erfassung!$G$6:$G$5005,Erfassung!$B$6:$B$5005,$A88,Erfassung!$A$6:$A$5005,"&gt;="&amp;DATE(Einstellungen!$C$3,11,1),Erfassung!$A$6:$A$5005,"&lt;"&amp;DATE(Einstellungen!$C$3,12,1)))</f>
        <v/>
      </c>
      <c r="AA88" s="54">
        <f>IF($B88="","",SUMIFS(Erfassung!$G$6:$G$5005,Erfassung!$B$6:$B$5005,$A88,Erfassung!$A$6:$A$5005,"&gt;="&amp;DATE(Einstellungen!$C$3,12,1),Erfassung!$A$6:$A$5005,"&lt;"&amp;DATE(Einstellungen!$C$3,13,1)))</f>
        <v/>
      </c>
      <c r="AB88" s="45">
        <f>IF($B88="","",SUM(P88:AA88))</f>
        <v/>
      </c>
      <c r="AC88" s="38">
        <f>IF($B88="","",IF(O88+AB88&gt;0,AB88/(O88+AB88),""))</f>
        <v/>
      </c>
    </row>
    <row r="89">
      <c r="A89" s="56">
        <f>'KQuote Mitarbeiter'!A89</f>
        <v/>
      </c>
      <c r="B89" s="57">
        <f>'KQuote Mitarbeiter'!B89</f>
        <v/>
      </c>
      <c r="C89" s="54">
        <f>IF($B89="","",SUMIFS(Erfassung!$E$6:$E$5005,Erfassung!$B$6:$B$5005,$A89,Erfassung!$A$6:$A$5005,"&gt;="&amp;DATE(Einstellungen!$C$3,1,1),Erfassung!$A$6:$A$5005,"&lt;"&amp;DATE(Einstellungen!$C$3,2,1)))</f>
        <v/>
      </c>
      <c r="D89" s="54">
        <f>IF($B89="","",SUMIFS(Erfassung!$E$6:$E$5005,Erfassung!$B$6:$B$5005,$A89,Erfassung!$A$6:$A$5005,"&gt;="&amp;DATE(Einstellungen!$C$3,2,1),Erfassung!$A$6:$A$5005,"&lt;"&amp;DATE(Einstellungen!$C$3,3,1)))</f>
        <v/>
      </c>
      <c r="E89" s="54">
        <f>IF($B89="","",SUMIFS(Erfassung!$E$6:$E$5005,Erfassung!$B$6:$B$5005,$A89,Erfassung!$A$6:$A$5005,"&gt;="&amp;DATE(Einstellungen!$C$3,3,1),Erfassung!$A$6:$A$5005,"&lt;"&amp;DATE(Einstellungen!$C$3,4,1)))</f>
        <v/>
      </c>
      <c r="F89" s="54">
        <f>IF($B89="","",SUMIFS(Erfassung!$E$6:$E$5005,Erfassung!$B$6:$B$5005,$A89,Erfassung!$A$6:$A$5005,"&gt;="&amp;DATE(Einstellungen!$C$3,4,1),Erfassung!$A$6:$A$5005,"&lt;"&amp;DATE(Einstellungen!$C$3,5,1)))</f>
        <v/>
      </c>
      <c r="G89" s="54">
        <f>IF($B89="","",SUMIFS(Erfassung!$E$6:$E$5005,Erfassung!$B$6:$B$5005,$A89,Erfassung!$A$6:$A$5005,"&gt;="&amp;DATE(Einstellungen!$C$3,5,1),Erfassung!$A$6:$A$5005,"&lt;"&amp;DATE(Einstellungen!$C$3,6,1)))</f>
        <v/>
      </c>
      <c r="H89" s="54">
        <f>IF($B89="","",SUMIFS(Erfassung!$E$6:$E$5005,Erfassung!$B$6:$B$5005,$A89,Erfassung!$A$6:$A$5005,"&gt;="&amp;DATE(Einstellungen!$C$3,6,1),Erfassung!$A$6:$A$5005,"&lt;"&amp;DATE(Einstellungen!$C$3,7,1)))</f>
        <v/>
      </c>
      <c r="I89" s="54">
        <f>IF($B89="","",SUMIFS(Erfassung!$E$6:$E$5005,Erfassung!$B$6:$B$5005,$A89,Erfassung!$A$6:$A$5005,"&gt;="&amp;DATE(Einstellungen!$C$3,7,1),Erfassung!$A$6:$A$5005,"&lt;"&amp;DATE(Einstellungen!$C$3,8,1)))</f>
        <v/>
      </c>
      <c r="J89" s="54">
        <f>IF($B89="","",SUMIFS(Erfassung!$E$6:$E$5005,Erfassung!$B$6:$B$5005,$A89,Erfassung!$A$6:$A$5005,"&gt;="&amp;DATE(Einstellungen!$C$3,8,1),Erfassung!$A$6:$A$5005,"&lt;"&amp;DATE(Einstellungen!$C$3,9,1)))</f>
        <v/>
      </c>
      <c r="K89" s="54">
        <f>IF($B89="","",SUMIFS(Erfassung!$E$6:$E$5005,Erfassung!$B$6:$B$5005,$A89,Erfassung!$A$6:$A$5005,"&gt;="&amp;DATE(Einstellungen!$C$3,9,1),Erfassung!$A$6:$A$5005,"&lt;"&amp;DATE(Einstellungen!$C$3,10,1)))</f>
        <v/>
      </c>
      <c r="L89" s="54">
        <f>IF($B89="","",SUMIFS(Erfassung!$E$6:$E$5005,Erfassung!$B$6:$B$5005,$A89,Erfassung!$A$6:$A$5005,"&gt;="&amp;DATE(Einstellungen!$C$3,10,1),Erfassung!$A$6:$A$5005,"&lt;"&amp;DATE(Einstellungen!$C$3,11,1)))</f>
        <v/>
      </c>
      <c r="M89" s="54">
        <f>IF($B89="","",SUMIFS(Erfassung!$E$6:$E$5005,Erfassung!$B$6:$B$5005,$A89,Erfassung!$A$6:$A$5005,"&gt;="&amp;DATE(Einstellungen!$C$3,11,1),Erfassung!$A$6:$A$5005,"&lt;"&amp;DATE(Einstellungen!$C$3,12,1)))</f>
        <v/>
      </c>
      <c r="N89" s="54">
        <f>IF($B89="","",SUMIFS(Erfassung!$E$6:$E$5005,Erfassung!$B$6:$B$5005,$A89,Erfassung!$A$6:$A$5005,"&gt;="&amp;DATE(Einstellungen!$C$3,12,1),Erfassung!$A$6:$A$5005,"&lt;"&amp;DATE(Einstellungen!$C$3,13,1)))</f>
        <v/>
      </c>
      <c r="O89" s="45">
        <f>IF($B89="","",SUM(C89:N89))</f>
        <v/>
      </c>
      <c r="P89" s="54">
        <f>IF($B89="","",SUMIFS(Erfassung!$G$6:$G$5005,Erfassung!$B$6:$B$5005,$A89,Erfassung!$A$6:$A$5005,"&gt;="&amp;DATE(Einstellungen!$C$3,1,1),Erfassung!$A$6:$A$5005,"&lt;"&amp;DATE(Einstellungen!$C$3,2,1)))</f>
        <v/>
      </c>
      <c r="Q89" s="54">
        <f>IF($B89="","",SUMIFS(Erfassung!$G$6:$G$5005,Erfassung!$B$6:$B$5005,$A89,Erfassung!$A$6:$A$5005,"&gt;="&amp;DATE(Einstellungen!$C$3,2,1),Erfassung!$A$6:$A$5005,"&lt;"&amp;DATE(Einstellungen!$C$3,3,1)))</f>
        <v/>
      </c>
      <c r="R89" s="54">
        <f>IF($B89="","",SUMIFS(Erfassung!$G$6:$G$5005,Erfassung!$B$6:$B$5005,$A89,Erfassung!$A$6:$A$5005,"&gt;="&amp;DATE(Einstellungen!$C$3,3,1),Erfassung!$A$6:$A$5005,"&lt;"&amp;DATE(Einstellungen!$C$3,4,1)))</f>
        <v/>
      </c>
      <c r="S89" s="54">
        <f>IF($B89="","",SUMIFS(Erfassung!$G$6:$G$5005,Erfassung!$B$6:$B$5005,$A89,Erfassung!$A$6:$A$5005,"&gt;="&amp;DATE(Einstellungen!$C$3,4,1),Erfassung!$A$6:$A$5005,"&lt;"&amp;DATE(Einstellungen!$C$3,5,1)))</f>
        <v/>
      </c>
      <c r="T89" s="54">
        <f>IF($B89="","",SUMIFS(Erfassung!$G$6:$G$5005,Erfassung!$B$6:$B$5005,$A89,Erfassung!$A$6:$A$5005,"&gt;="&amp;DATE(Einstellungen!$C$3,5,1),Erfassung!$A$6:$A$5005,"&lt;"&amp;DATE(Einstellungen!$C$3,6,1)))</f>
        <v/>
      </c>
      <c r="U89" s="54">
        <f>IF($B89="","",SUMIFS(Erfassung!$G$6:$G$5005,Erfassung!$B$6:$B$5005,$A89,Erfassung!$A$6:$A$5005,"&gt;="&amp;DATE(Einstellungen!$C$3,6,1),Erfassung!$A$6:$A$5005,"&lt;"&amp;DATE(Einstellungen!$C$3,7,1)))</f>
        <v/>
      </c>
      <c r="V89" s="54">
        <f>IF($B89="","",SUMIFS(Erfassung!$G$6:$G$5005,Erfassung!$B$6:$B$5005,$A89,Erfassung!$A$6:$A$5005,"&gt;="&amp;DATE(Einstellungen!$C$3,7,1),Erfassung!$A$6:$A$5005,"&lt;"&amp;DATE(Einstellungen!$C$3,8,1)))</f>
        <v/>
      </c>
      <c r="W89" s="54">
        <f>IF($B89="","",SUMIFS(Erfassung!$G$6:$G$5005,Erfassung!$B$6:$B$5005,$A89,Erfassung!$A$6:$A$5005,"&gt;="&amp;DATE(Einstellungen!$C$3,8,1),Erfassung!$A$6:$A$5005,"&lt;"&amp;DATE(Einstellungen!$C$3,9,1)))</f>
        <v/>
      </c>
      <c r="X89" s="54">
        <f>IF($B89="","",SUMIFS(Erfassung!$G$6:$G$5005,Erfassung!$B$6:$B$5005,$A89,Erfassung!$A$6:$A$5005,"&gt;="&amp;DATE(Einstellungen!$C$3,9,1),Erfassung!$A$6:$A$5005,"&lt;"&amp;DATE(Einstellungen!$C$3,10,1)))</f>
        <v/>
      </c>
      <c r="Y89" s="54">
        <f>IF($B89="","",SUMIFS(Erfassung!$G$6:$G$5005,Erfassung!$B$6:$B$5005,$A89,Erfassung!$A$6:$A$5005,"&gt;="&amp;DATE(Einstellungen!$C$3,10,1),Erfassung!$A$6:$A$5005,"&lt;"&amp;DATE(Einstellungen!$C$3,11,1)))</f>
        <v/>
      </c>
      <c r="Z89" s="54">
        <f>IF($B89="","",SUMIFS(Erfassung!$G$6:$G$5005,Erfassung!$B$6:$B$5005,$A89,Erfassung!$A$6:$A$5005,"&gt;="&amp;DATE(Einstellungen!$C$3,11,1),Erfassung!$A$6:$A$5005,"&lt;"&amp;DATE(Einstellungen!$C$3,12,1)))</f>
        <v/>
      </c>
      <c r="AA89" s="54">
        <f>IF($B89="","",SUMIFS(Erfassung!$G$6:$G$5005,Erfassung!$B$6:$B$5005,$A89,Erfassung!$A$6:$A$5005,"&gt;="&amp;DATE(Einstellungen!$C$3,12,1),Erfassung!$A$6:$A$5005,"&lt;"&amp;DATE(Einstellungen!$C$3,13,1)))</f>
        <v/>
      </c>
      <c r="AB89" s="45">
        <f>IF($B89="","",SUM(P89:AA89))</f>
        <v/>
      </c>
      <c r="AC89" s="38">
        <f>IF($B89="","",IF(O89+AB89&gt;0,AB89/(O89+AB89),""))</f>
        <v/>
      </c>
    </row>
    <row r="90">
      <c r="A90" s="56">
        <f>'KQuote Mitarbeiter'!A90</f>
        <v/>
      </c>
      <c r="B90" s="57">
        <f>'KQuote Mitarbeiter'!B90</f>
        <v/>
      </c>
      <c r="C90" s="54">
        <f>IF($B90="","",SUMIFS(Erfassung!$E$6:$E$5005,Erfassung!$B$6:$B$5005,$A90,Erfassung!$A$6:$A$5005,"&gt;="&amp;DATE(Einstellungen!$C$3,1,1),Erfassung!$A$6:$A$5005,"&lt;"&amp;DATE(Einstellungen!$C$3,2,1)))</f>
        <v/>
      </c>
      <c r="D90" s="54">
        <f>IF($B90="","",SUMIFS(Erfassung!$E$6:$E$5005,Erfassung!$B$6:$B$5005,$A90,Erfassung!$A$6:$A$5005,"&gt;="&amp;DATE(Einstellungen!$C$3,2,1),Erfassung!$A$6:$A$5005,"&lt;"&amp;DATE(Einstellungen!$C$3,3,1)))</f>
        <v/>
      </c>
      <c r="E90" s="54">
        <f>IF($B90="","",SUMIFS(Erfassung!$E$6:$E$5005,Erfassung!$B$6:$B$5005,$A90,Erfassung!$A$6:$A$5005,"&gt;="&amp;DATE(Einstellungen!$C$3,3,1),Erfassung!$A$6:$A$5005,"&lt;"&amp;DATE(Einstellungen!$C$3,4,1)))</f>
        <v/>
      </c>
      <c r="F90" s="54">
        <f>IF($B90="","",SUMIFS(Erfassung!$E$6:$E$5005,Erfassung!$B$6:$B$5005,$A90,Erfassung!$A$6:$A$5005,"&gt;="&amp;DATE(Einstellungen!$C$3,4,1),Erfassung!$A$6:$A$5005,"&lt;"&amp;DATE(Einstellungen!$C$3,5,1)))</f>
        <v/>
      </c>
      <c r="G90" s="54">
        <f>IF($B90="","",SUMIFS(Erfassung!$E$6:$E$5005,Erfassung!$B$6:$B$5005,$A90,Erfassung!$A$6:$A$5005,"&gt;="&amp;DATE(Einstellungen!$C$3,5,1),Erfassung!$A$6:$A$5005,"&lt;"&amp;DATE(Einstellungen!$C$3,6,1)))</f>
        <v/>
      </c>
      <c r="H90" s="54">
        <f>IF($B90="","",SUMIFS(Erfassung!$E$6:$E$5005,Erfassung!$B$6:$B$5005,$A90,Erfassung!$A$6:$A$5005,"&gt;="&amp;DATE(Einstellungen!$C$3,6,1),Erfassung!$A$6:$A$5005,"&lt;"&amp;DATE(Einstellungen!$C$3,7,1)))</f>
        <v/>
      </c>
      <c r="I90" s="54">
        <f>IF($B90="","",SUMIFS(Erfassung!$E$6:$E$5005,Erfassung!$B$6:$B$5005,$A90,Erfassung!$A$6:$A$5005,"&gt;="&amp;DATE(Einstellungen!$C$3,7,1),Erfassung!$A$6:$A$5005,"&lt;"&amp;DATE(Einstellungen!$C$3,8,1)))</f>
        <v/>
      </c>
      <c r="J90" s="54">
        <f>IF($B90="","",SUMIFS(Erfassung!$E$6:$E$5005,Erfassung!$B$6:$B$5005,$A90,Erfassung!$A$6:$A$5005,"&gt;="&amp;DATE(Einstellungen!$C$3,8,1),Erfassung!$A$6:$A$5005,"&lt;"&amp;DATE(Einstellungen!$C$3,9,1)))</f>
        <v/>
      </c>
      <c r="K90" s="54">
        <f>IF($B90="","",SUMIFS(Erfassung!$E$6:$E$5005,Erfassung!$B$6:$B$5005,$A90,Erfassung!$A$6:$A$5005,"&gt;="&amp;DATE(Einstellungen!$C$3,9,1),Erfassung!$A$6:$A$5005,"&lt;"&amp;DATE(Einstellungen!$C$3,10,1)))</f>
        <v/>
      </c>
      <c r="L90" s="54">
        <f>IF($B90="","",SUMIFS(Erfassung!$E$6:$E$5005,Erfassung!$B$6:$B$5005,$A90,Erfassung!$A$6:$A$5005,"&gt;="&amp;DATE(Einstellungen!$C$3,10,1),Erfassung!$A$6:$A$5005,"&lt;"&amp;DATE(Einstellungen!$C$3,11,1)))</f>
        <v/>
      </c>
      <c r="M90" s="54">
        <f>IF($B90="","",SUMIFS(Erfassung!$E$6:$E$5005,Erfassung!$B$6:$B$5005,$A90,Erfassung!$A$6:$A$5005,"&gt;="&amp;DATE(Einstellungen!$C$3,11,1),Erfassung!$A$6:$A$5005,"&lt;"&amp;DATE(Einstellungen!$C$3,12,1)))</f>
        <v/>
      </c>
      <c r="N90" s="54">
        <f>IF($B90="","",SUMIFS(Erfassung!$E$6:$E$5005,Erfassung!$B$6:$B$5005,$A90,Erfassung!$A$6:$A$5005,"&gt;="&amp;DATE(Einstellungen!$C$3,12,1),Erfassung!$A$6:$A$5005,"&lt;"&amp;DATE(Einstellungen!$C$3,13,1)))</f>
        <v/>
      </c>
      <c r="O90" s="45">
        <f>IF($B90="","",SUM(C90:N90))</f>
        <v/>
      </c>
      <c r="P90" s="54">
        <f>IF($B90="","",SUMIFS(Erfassung!$G$6:$G$5005,Erfassung!$B$6:$B$5005,$A90,Erfassung!$A$6:$A$5005,"&gt;="&amp;DATE(Einstellungen!$C$3,1,1),Erfassung!$A$6:$A$5005,"&lt;"&amp;DATE(Einstellungen!$C$3,2,1)))</f>
        <v/>
      </c>
      <c r="Q90" s="54">
        <f>IF($B90="","",SUMIFS(Erfassung!$G$6:$G$5005,Erfassung!$B$6:$B$5005,$A90,Erfassung!$A$6:$A$5005,"&gt;="&amp;DATE(Einstellungen!$C$3,2,1),Erfassung!$A$6:$A$5005,"&lt;"&amp;DATE(Einstellungen!$C$3,3,1)))</f>
        <v/>
      </c>
      <c r="R90" s="54">
        <f>IF($B90="","",SUMIFS(Erfassung!$G$6:$G$5005,Erfassung!$B$6:$B$5005,$A90,Erfassung!$A$6:$A$5005,"&gt;="&amp;DATE(Einstellungen!$C$3,3,1),Erfassung!$A$6:$A$5005,"&lt;"&amp;DATE(Einstellungen!$C$3,4,1)))</f>
        <v/>
      </c>
      <c r="S90" s="54">
        <f>IF($B90="","",SUMIFS(Erfassung!$G$6:$G$5005,Erfassung!$B$6:$B$5005,$A90,Erfassung!$A$6:$A$5005,"&gt;="&amp;DATE(Einstellungen!$C$3,4,1),Erfassung!$A$6:$A$5005,"&lt;"&amp;DATE(Einstellungen!$C$3,5,1)))</f>
        <v/>
      </c>
      <c r="T90" s="54">
        <f>IF($B90="","",SUMIFS(Erfassung!$G$6:$G$5005,Erfassung!$B$6:$B$5005,$A90,Erfassung!$A$6:$A$5005,"&gt;="&amp;DATE(Einstellungen!$C$3,5,1),Erfassung!$A$6:$A$5005,"&lt;"&amp;DATE(Einstellungen!$C$3,6,1)))</f>
        <v/>
      </c>
      <c r="U90" s="54">
        <f>IF($B90="","",SUMIFS(Erfassung!$G$6:$G$5005,Erfassung!$B$6:$B$5005,$A90,Erfassung!$A$6:$A$5005,"&gt;="&amp;DATE(Einstellungen!$C$3,6,1),Erfassung!$A$6:$A$5005,"&lt;"&amp;DATE(Einstellungen!$C$3,7,1)))</f>
        <v/>
      </c>
      <c r="V90" s="54">
        <f>IF($B90="","",SUMIFS(Erfassung!$G$6:$G$5005,Erfassung!$B$6:$B$5005,$A90,Erfassung!$A$6:$A$5005,"&gt;="&amp;DATE(Einstellungen!$C$3,7,1),Erfassung!$A$6:$A$5005,"&lt;"&amp;DATE(Einstellungen!$C$3,8,1)))</f>
        <v/>
      </c>
      <c r="W90" s="54">
        <f>IF($B90="","",SUMIFS(Erfassung!$G$6:$G$5005,Erfassung!$B$6:$B$5005,$A90,Erfassung!$A$6:$A$5005,"&gt;="&amp;DATE(Einstellungen!$C$3,8,1),Erfassung!$A$6:$A$5005,"&lt;"&amp;DATE(Einstellungen!$C$3,9,1)))</f>
        <v/>
      </c>
      <c r="X90" s="54">
        <f>IF($B90="","",SUMIFS(Erfassung!$G$6:$G$5005,Erfassung!$B$6:$B$5005,$A90,Erfassung!$A$6:$A$5005,"&gt;="&amp;DATE(Einstellungen!$C$3,9,1),Erfassung!$A$6:$A$5005,"&lt;"&amp;DATE(Einstellungen!$C$3,10,1)))</f>
        <v/>
      </c>
      <c r="Y90" s="54">
        <f>IF($B90="","",SUMIFS(Erfassung!$G$6:$G$5005,Erfassung!$B$6:$B$5005,$A90,Erfassung!$A$6:$A$5005,"&gt;="&amp;DATE(Einstellungen!$C$3,10,1),Erfassung!$A$6:$A$5005,"&lt;"&amp;DATE(Einstellungen!$C$3,11,1)))</f>
        <v/>
      </c>
      <c r="Z90" s="54">
        <f>IF($B90="","",SUMIFS(Erfassung!$G$6:$G$5005,Erfassung!$B$6:$B$5005,$A90,Erfassung!$A$6:$A$5005,"&gt;="&amp;DATE(Einstellungen!$C$3,11,1),Erfassung!$A$6:$A$5005,"&lt;"&amp;DATE(Einstellungen!$C$3,12,1)))</f>
        <v/>
      </c>
      <c r="AA90" s="54">
        <f>IF($B90="","",SUMIFS(Erfassung!$G$6:$G$5005,Erfassung!$B$6:$B$5005,$A90,Erfassung!$A$6:$A$5005,"&gt;="&amp;DATE(Einstellungen!$C$3,12,1),Erfassung!$A$6:$A$5005,"&lt;"&amp;DATE(Einstellungen!$C$3,13,1)))</f>
        <v/>
      </c>
      <c r="AB90" s="45">
        <f>IF($B90="","",SUM(P90:AA90))</f>
        <v/>
      </c>
      <c r="AC90" s="38">
        <f>IF($B90="","",IF(O90+AB90&gt;0,AB90/(O90+AB90),""))</f>
        <v/>
      </c>
    </row>
    <row r="91">
      <c r="A91" s="56">
        <f>'KQuote Mitarbeiter'!A91</f>
        <v/>
      </c>
      <c r="B91" s="57">
        <f>'KQuote Mitarbeiter'!B91</f>
        <v/>
      </c>
      <c r="C91" s="54">
        <f>IF($B91="","",SUMIFS(Erfassung!$E$6:$E$5005,Erfassung!$B$6:$B$5005,$A91,Erfassung!$A$6:$A$5005,"&gt;="&amp;DATE(Einstellungen!$C$3,1,1),Erfassung!$A$6:$A$5005,"&lt;"&amp;DATE(Einstellungen!$C$3,2,1)))</f>
        <v/>
      </c>
      <c r="D91" s="54">
        <f>IF($B91="","",SUMIFS(Erfassung!$E$6:$E$5005,Erfassung!$B$6:$B$5005,$A91,Erfassung!$A$6:$A$5005,"&gt;="&amp;DATE(Einstellungen!$C$3,2,1),Erfassung!$A$6:$A$5005,"&lt;"&amp;DATE(Einstellungen!$C$3,3,1)))</f>
        <v/>
      </c>
      <c r="E91" s="54">
        <f>IF($B91="","",SUMIFS(Erfassung!$E$6:$E$5005,Erfassung!$B$6:$B$5005,$A91,Erfassung!$A$6:$A$5005,"&gt;="&amp;DATE(Einstellungen!$C$3,3,1),Erfassung!$A$6:$A$5005,"&lt;"&amp;DATE(Einstellungen!$C$3,4,1)))</f>
        <v/>
      </c>
      <c r="F91" s="54">
        <f>IF($B91="","",SUMIFS(Erfassung!$E$6:$E$5005,Erfassung!$B$6:$B$5005,$A91,Erfassung!$A$6:$A$5005,"&gt;="&amp;DATE(Einstellungen!$C$3,4,1),Erfassung!$A$6:$A$5005,"&lt;"&amp;DATE(Einstellungen!$C$3,5,1)))</f>
        <v/>
      </c>
      <c r="G91" s="54">
        <f>IF($B91="","",SUMIFS(Erfassung!$E$6:$E$5005,Erfassung!$B$6:$B$5005,$A91,Erfassung!$A$6:$A$5005,"&gt;="&amp;DATE(Einstellungen!$C$3,5,1),Erfassung!$A$6:$A$5005,"&lt;"&amp;DATE(Einstellungen!$C$3,6,1)))</f>
        <v/>
      </c>
      <c r="H91" s="54">
        <f>IF($B91="","",SUMIFS(Erfassung!$E$6:$E$5005,Erfassung!$B$6:$B$5005,$A91,Erfassung!$A$6:$A$5005,"&gt;="&amp;DATE(Einstellungen!$C$3,6,1),Erfassung!$A$6:$A$5005,"&lt;"&amp;DATE(Einstellungen!$C$3,7,1)))</f>
        <v/>
      </c>
      <c r="I91" s="54">
        <f>IF($B91="","",SUMIFS(Erfassung!$E$6:$E$5005,Erfassung!$B$6:$B$5005,$A91,Erfassung!$A$6:$A$5005,"&gt;="&amp;DATE(Einstellungen!$C$3,7,1),Erfassung!$A$6:$A$5005,"&lt;"&amp;DATE(Einstellungen!$C$3,8,1)))</f>
        <v/>
      </c>
      <c r="J91" s="54">
        <f>IF($B91="","",SUMIFS(Erfassung!$E$6:$E$5005,Erfassung!$B$6:$B$5005,$A91,Erfassung!$A$6:$A$5005,"&gt;="&amp;DATE(Einstellungen!$C$3,8,1),Erfassung!$A$6:$A$5005,"&lt;"&amp;DATE(Einstellungen!$C$3,9,1)))</f>
        <v/>
      </c>
      <c r="K91" s="54">
        <f>IF($B91="","",SUMIFS(Erfassung!$E$6:$E$5005,Erfassung!$B$6:$B$5005,$A91,Erfassung!$A$6:$A$5005,"&gt;="&amp;DATE(Einstellungen!$C$3,9,1),Erfassung!$A$6:$A$5005,"&lt;"&amp;DATE(Einstellungen!$C$3,10,1)))</f>
        <v/>
      </c>
      <c r="L91" s="54">
        <f>IF($B91="","",SUMIFS(Erfassung!$E$6:$E$5005,Erfassung!$B$6:$B$5005,$A91,Erfassung!$A$6:$A$5005,"&gt;="&amp;DATE(Einstellungen!$C$3,10,1),Erfassung!$A$6:$A$5005,"&lt;"&amp;DATE(Einstellungen!$C$3,11,1)))</f>
        <v/>
      </c>
      <c r="M91" s="54">
        <f>IF($B91="","",SUMIFS(Erfassung!$E$6:$E$5005,Erfassung!$B$6:$B$5005,$A91,Erfassung!$A$6:$A$5005,"&gt;="&amp;DATE(Einstellungen!$C$3,11,1),Erfassung!$A$6:$A$5005,"&lt;"&amp;DATE(Einstellungen!$C$3,12,1)))</f>
        <v/>
      </c>
      <c r="N91" s="54">
        <f>IF($B91="","",SUMIFS(Erfassung!$E$6:$E$5005,Erfassung!$B$6:$B$5005,$A91,Erfassung!$A$6:$A$5005,"&gt;="&amp;DATE(Einstellungen!$C$3,12,1),Erfassung!$A$6:$A$5005,"&lt;"&amp;DATE(Einstellungen!$C$3,13,1)))</f>
        <v/>
      </c>
      <c r="O91" s="45">
        <f>IF($B91="","",SUM(C91:N91))</f>
        <v/>
      </c>
      <c r="P91" s="54">
        <f>IF($B91="","",SUMIFS(Erfassung!$G$6:$G$5005,Erfassung!$B$6:$B$5005,$A91,Erfassung!$A$6:$A$5005,"&gt;="&amp;DATE(Einstellungen!$C$3,1,1),Erfassung!$A$6:$A$5005,"&lt;"&amp;DATE(Einstellungen!$C$3,2,1)))</f>
        <v/>
      </c>
      <c r="Q91" s="54">
        <f>IF($B91="","",SUMIFS(Erfassung!$G$6:$G$5005,Erfassung!$B$6:$B$5005,$A91,Erfassung!$A$6:$A$5005,"&gt;="&amp;DATE(Einstellungen!$C$3,2,1),Erfassung!$A$6:$A$5005,"&lt;"&amp;DATE(Einstellungen!$C$3,3,1)))</f>
        <v/>
      </c>
      <c r="R91" s="54">
        <f>IF($B91="","",SUMIFS(Erfassung!$G$6:$G$5005,Erfassung!$B$6:$B$5005,$A91,Erfassung!$A$6:$A$5005,"&gt;="&amp;DATE(Einstellungen!$C$3,3,1),Erfassung!$A$6:$A$5005,"&lt;"&amp;DATE(Einstellungen!$C$3,4,1)))</f>
        <v/>
      </c>
      <c r="S91" s="54">
        <f>IF($B91="","",SUMIFS(Erfassung!$G$6:$G$5005,Erfassung!$B$6:$B$5005,$A91,Erfassung!$A$6:$A$5005,"&gt;="&amp;DATE(Einstellungen!$C$3,4,1),Erfassung!$A$6:$A$5005,"&lt;"&amp;DATE(Einstellungen!$C$3,5,1)))</f>
        <v/>
      </c>
      <c r="T91" s="54">
        <f>IF($B91="","",SUMIFS(Erfassung!$G$6:$G$5005,Erfassung!$B$6:$B$5005,$A91,Erfassung!$A$6:$A$5005,"&gt;="&amp;DATE(Einstellungen!$C$3,5,1),Erfassung!$A$6:$A$5005,"&lt;"&amp;DATE(Einstellungen!$C$3,6,1)))</f>
        <v/>
      </c>
      <c r="U91" s="54">
        <f>IF($B91="","",SUMIFS(Erfassung!$G$6:$G$5005,Erfassung!$B$6:$B$5005,$A91,Erfassung!$A$6:$A$5005,"&gt;="&amp;DATE(Einstellungen!$C$3,6,1),Erfassung!$A$6:$A$5005,"&lt;"&amp;DATE(Einstellungen!$C$3,7,1)))</f>
        <v/>
      </c>
      <c r="V91" s="54">
        <f>IF($B91="","",SUMIFS(Erfassung!$G$6:$G$5005,Erfassung!$B$6:$B$5005,$A91,Erfassung!$A$6:$A$5005,"&gt;="&amp;DATE(Einstellungen!$C$3,7,1),Erfassung!$A$6:$A$5005,"&lt;"&amp;DATE(Einstellungen!$C$3,8,1)))</f>
        <v/>
      </c>
      <c r="W91" s="54">
        <f>IF($B91="","",SUMIFS(Erfassung!$G$6:$G$5005,Erfassung!$B$6:$B$5005,$A91,Erfassung!$A$6:$A$5005,"&gt;="&amp;DATE(Einstellungen!$C$3,8,1),Erfassung!$A$6:$A$5005,"&lt;"&amp;DATE(Einstellungen!$C$3,9,1)))</f>
        <v/>
      </c>
      <c r="X91" s="54">
        <f>IF($B91="","",SUMIFS(Erfassung!$G$6:$G$5005,Erfassung!$B$6:$B$5005,$A91,Erfassung!$A$6:$A$5005,"&gt;="&amp;DATE(Einstellungen!$C$3,9,1),Erfassung!$A$6:$A$5005,"&lt;"&amp;DATE(Einstellungen!$C$3,10,1)))</f>
        <v/>
      </c>
      <c r="Y91" s="54">
        <f>IF($B91="","",SUMIFS(Erfassung!$G$6:$G$5005,Erfassung!$B$6:$B$5005,$A91,Erfassung!$A$6:$A$5005,"&gt;="&amp;DATE(Einstellungen!$C$3,10,1),Erfassung!$A$6:$A$5005,"&lt;"&amp;DATE(Einstellungen!$C$3,11,1)))</f>
        <v/>
      </c>
      <c r="Z91" s="54">
        <f>IF($B91="","",SUMIFS(Erfassung!$G$6:$G$5005,Erfassung!$B$6:$B$5005,$A91,Erfassung!$A$6:$A$5005,"&gt;="&amp;DATE(Einstellungen!$C$3,11,1),Erfassung!$A$6:$A$5005,"&lt;"&amp;DATE(Einstellungen!$C$3,12,1)))</f>
        <v/>
      </c>
      <c r="AA91" s="54">
        <f>IF($B91="","",SUMIFS(Erfassung!$G$6:$G$5005,Erfassung!$B$6:$B$5005,$A91,Erfassung!$A$6:$A$5005,"&gt;="&amp;DATE(Einstellungen!$C$3,12,1),Erfassung!$A$6:$A$5005,"&lt;"&amp;DATE(Einstellungen!$C$3,13,1)))</f>
        <v/>
      </c>
      <c r="AB91" s="45">
        <f>IF($B91="","",SUM(P91:AA91))</f>
        <v/>
      </c>
      <c r="AC91" s="38">
        <f>IF($B91="","",IF(O91+AB91&gt;0,AB91/(O91+AB91),""))</f>
        <v/>
      </c>
    </row>
    <row r="92">
      <c r="A92" s="56">
        <f>'KQuote Mitarbeiter'!A92</f>
        <v/>
      </c>
      <c r="B92" s="57">
        <f>'KQuote Mitarbeiter'!B92</f>
        <v/>
      </c>
      <c r="C92" s="54">
        <f>IF($B92="","",SUMIFS(Erfassung!$E$6:$E$5005,Erfassung!$B$6:$B$5005,$A92,Erfassung!$A$6:$A$5005,"&gt;="&amp;DATE(Einstellungen!$C$3,1,1),Erfassung!$A$6:$A$5005,"&lt;"&amp;DATE(Einstellungen!$C$3,2,1)))</f>
        <v/>
      </c>
      <c r="D92" s="54">
        <f>IF($B92="","",SUMIFS(Erfassung!$E$6:$E$5005,Erfassung!$B$6:$B$5005,$A92,Erfassung!$A$6:$A$5005,"&gt;="&amp;DATE(Einstellungen!$C$3,2,1),Erfassung!$A$6:$A$5005,"&lt;"&amp;DATE(Einstellungen!$C$3,3,1)))</f>
        <v/>
      </c>
      <c r="E92" s="54">
        <f>IF($B92="","",SUMIFS(Erfassung!$E$6:$E$5005,Erfassung!$B$6:$B$5005,$A92,Erfassung!$A$6:$A$5005,"&gt;="&amp;DATE(Einstellungen!$C$3,3,1),Erfassung!$A$6:$A$5005,"&lt;"&amp;DATE(Einstellungen!$C$3,4,1)))</f>
        <v/>
      </c>
      <c r="F92" s="54">
        <f>IF($B92="","",SUMIFS(Erfassung!$E$6:$E$5005,Erfassung!$B$6:$B$5005,$A92,Erfassung!$A$6:$A$5005,"&gt;="&amp;DATE(Einstellungen!$C$3,4,1),Erfassung!$A$6:$A$5005,"&lt;"&amp;DATE(Einstellungen!$C$3,5,1)))</f>
        <v/>
      </c>
      <c r="G92" s="54">
        <f>IF($B92="","",SUMIFS(Erfassung!$E$6:$E$5005,Erfassung!$B$6:$B$5005,$A92,Erfassung!$A$6:$A$5005,"&gt;="&amp;DATE(Einstellungen!$C$3,5,1),Erfassung!$A$6:$A$5005,"&lt;"&amp;DATE(Einstellungen!$C$3,6,1)))</f>
        <v/>
      </c>
      <c r="H92" s="54">
        <f>IF($B92="","",SUMIFS(Erfassung!$E$6:$E$5005,Erfassung!$B$6:$B$5005,$A92,Erfassung!$A$6:$A$5005,"&gt;="&amp;DATE(Einstellungen!$C$3,6,1),Erfassung!$A$6:$A$5005,"&lt;"&amp;DATE(Einstellungen!$C$3,7,1)))</f>
        <v/>
      </c>
      <c r="I92" s="54">
        <f>IF($B92="","",SUMIFS(Erfassung!$E$6:$E$5005,Erfassung!$B$6:$B$5005,$A92,Erfassung!$A$6:$A$5005,"&gt;="&amp;DATE(Einstellungen!$C$3,7,1),Erfassung!$A$6:$A$5005,"&lt;"&amp;DATE(Einstellungen!$C$3,8,1)))</f>
        <v/>
      </c>
      <c r="J92" s="54">
        <f>IF($B92="","",SUMIFS(Erfassung!$E$6:$E$5005,Erfassung!$B$6:$B$5005,$A92,Erfassung!$A$6:$A$5005,"&gt;="&amp;DATE(Einstellungen!$C$3,8,1),Erfassung!$A$6:$A$5005,"&lt;"&amp;DATE(Einstellungen!$C$3,9,1)))</f>
        <v/>
      </c>
      <c r="K92" s="54">
        <f>IF($B92="","",SUMIFS(Erfassung!$E$6:$E$5005,Erfassung!$B$6:$B$5005,$A92,Erfassung!$A$6:$A$5005,"&gt;="&amp;DATE(Einstellungen!$C$3,9,1),Erfassung!$A$6:$A$5005,"&lt;"&amp;DATE(Einstellungen!$C$3,10,1)))</f>
        <v/>
      </c>
      <c r="L92" s="54">
        <f>IF($B92="","",SUMIFS(Erfassung!$E$6:$E$5005,Erfassung!$B$6:$B$5005,$A92,Erfassung!$A$6:$A$5005,"&gt;="&amp;DATE(Einstellungen!$C$3,10,1),Erfassung!$A$6:$A$5005,"&lt;"&amp;DATE(Einstellungen!$C$3,11,1)))</f>
        <v/>
      </c>
      <c r="M92" s="54">
        <f>IF($B92="","",SUMIFS(Erfassung!$E$6:$E$5005,Erfassung!$B$6:$B$5005,$A92,Erfassung!$A$6:$A$5005,"&gt;="&amp;DATE(Einstellungen!$C$3,11,1),Erfassung!$A$6:$A$5005,"&lt;"&amp;DATE(Einstellungen!$C$3,12,1)))</f>
        <v/>
      </c>
      <c r="N92" s="54">
        <f>IF($B92="","",SUMIFS(Erfassung!$E$6:$E$5005,Erfassung!$B$6:$B$5005,$A92,Erfassung!$A$6:$A$5005,"&gt;="&amp;DATE(Einstellungen!$C$3,12,1),Erfassung!$A$6:$A$5005,"&lt;"&amp;DATE(Einstellungen!$C$3,13,1)))</f>
        <v/>
      </c>
      <c r="O92" s="45">
        <f>IF($B92="","",SUM(C92:N92))</f>
        <v/>
      </c>
      <c r="P92" s="54">
        <f>IF($B92="","",SUMIFS(Erfassung!$G$6:$G$5005,Erfassung!$B$6:$B$5005,$A92,Erfassung!$A$6:$A$5005,"&gt;="&amp;DATE(Einstellungen!$C$3,1,1),Erfassung!$A$6:$A$5005,"&lt;"&amp;DATE(Einstellungen!$C$3,2,1)))</f>
        <v/>
      </c>
      <c r="Q92" s="54">
        <f>IF($B92="","",SUMIFS(Erfassung!$G$6:$G$5005,Erfassung!$B$6:$B$5005,$A92,Erfassung!$A$6:$A$5005,"&gt;="&amp;DATE(Einstellungen!$C$3,2,1),Erfassung!$A$6:$A$5005,"&lt;"&amp;DATE(Einstellungen!$C$3,3,1)))</f>
        <v/>
      </c>
      <c r="R92" s="54">
        <f>IF($B92="","",SUMIFS(Erfassung!$G$6:$G$5005,Erfassung!$B$6:$B$5005,$A92,Erfassung!$A$6:$A$5005,"&gt;="&amp;DATE(Einstellungen!$C$3,3,1),Erfassung!$A$6:$A$5005,"&lt;"&amp;DATE(Einstellungen!$C$3,4,1)))</f>
        <v/>
      </c>
      <c r="S92" s="54">
        <f>IF($B92="","",SUMIFS(Erfassung!$G$6:$G$5005,Erfassung!$B$6:$B$5005,$A92,Erfassung!$A$6:$A$5005,"&gt;="&amp;DATE(Einstellungen!$C$3,4,1),Erfassung!$A$6:$A$5005,"&lt;"&amp;DATE(Einstellungen!$C$3,5,1)))</f>
        <v/>
      </c>
      <c r="T92" s="54">
        <f>IF($B92="","",SUMIFS(Erfassung!$G$6:$G$5005,Erfassung!$B$6:$B$5005,$A92,Erfassung!$A$6:$A$5005,"&gt;="&amp;DATE(Einstellungen!$C$3,5,1),Erfassung!$A$6:$A$5005,"&lt;"&amp;DATE(Einstellungen!$C$3,6,1)))</f>
        <v/>
      </c>
      <c r="U92" s="54">
        <f>IF($B92="","",SUMIFS(Erfassung!$G$6:$G$5005,Erfassung!$B$6:$B$5005,$A92,Erfassung!$A$6:$A$5005,"&gt;="&amp;DATE(Einstellungen!$C$3,6,1),Erfassung!$A$6:$A$5005,"&lt;"&amp;DATE(Einstellungen!$C$3,7,1)))</f>
        <v/>
      </c>
      <c r="V92" s="54">
        <f>IF($B92="","",SUMIFS(Erfassung!$G$6:$G$5005,Erfassung!$B$6:$B$5005,$A92,Erfassung!$A$6:$A$5005,"&gt;="&amp;DATE(Einstellungen!$C$3,7,1),Erfassung!$A$6:$A$5005,"&lt;"&amp;DATE(Einstellungen!$C$3,8,1)))</f>
        <v/>
      </c>
      <c r="W92" s="54">
        <f>IF($B92="","",SUMIFS(Erfassung!$G$6:$G$5005,Erfassung!$B$6:$B$5005,$A92,Erfassung!$A$6:$A$5005,"&gt;="&amp;DATE(Einstellungen!$C$3,8,1),Erfassung!$A$6:$A$5005,"&lt;"&amp;DATE(Einstellungen!$C$3,9,1)))</f>
        <v/>
      </c>
      <c r="X92" s="54">
        <f>IF($B92="","",SUMIFS(Erfassung!$G$6:$G$5005,Erfassung!$B$6:$B$5005,$A92,Erfassung!$A$6:$A$5005,"&gt;="&amp;DATE(Einstellungen!$C$3,9,1),Erfassung!$A$6:$A$5005,"&lt;"&amp;DATE(Einstellungen!$C$3,10,1)))</f>
        <v/>
      </c>
      <c r="Y92" s="54">
        <f>IF($B92="","",SUMIFS(Erfassung!$G$6:$G$5005,Erfassung!$B$6:$B$5005,$A92,Erfassung!$A$6:$A$5005,"&gt;="&amp;DATE(Einstellungen!$C$3,10,1),Erfassung!$A$6:$A$5005,"&lt;"&amp;DATE(Einstellungen!$C$3,11,1)))</f>
        <v/>
      </c>
      <c r="Z92" s="54">
        <f>IF($B92="","",SUMIFS(Erfassung!$G$6:$G$5005,Erfassung!$B$6:$B$5005,$A92,Erfassung!$A$6:$A$5005,"&gt;="&amp;DATE(Einstellungen!$C$3,11,1),Erfassung!$A$6:$A$5005,"&lt;"&amp;DATE(Einstellungen!$C$3,12,1)))</f>
        <v/>
      </c>
      <c r="AA92" s="54">
        <f>IF($B92="","",SUMIFS(Erfassung!$G$6:$G$5005,Erfassung!$B$6:$B$5005,$A92,Erfassung!$A$6:$A$5005,"&gt;="&amp;DATE(Einstellungen!$C$3,12,1),Erfassung!$A$6:$A$5005,"&lt;"&amp;DATE(Einstellungen!$C$3,13,1)))</f>
        <v/>
      </c>
      <c r="AB92" s="45">
        <f>IF($B92="","",SUM(P92:AA92))</f>
        <v/>
      </c>
      <c r="AC92" s="38">
        <f>IF($B92="","",IF(O92+AB92&gt;0,AB92/(O92+AB92),""))</f>
        <v/>
      </c>
    </row>
    <row r="93">
      <c r="A93" s="56">
        <f>'KQuote Mitarbeiter'!A93</f>
        <v/>
      </c>
      <c r="B93" s="57">
        <f>'KQuote Mitarbeiter'!B93</f>
        <v/>
      </c>
      <c r="C93" s="54">
        <f>IF($B93="","",SUMIFS(Erfassung!$E$6:$E$5005,Erfassung!$B$6:$B$5005,$A93,Erfassung!$A$6:$A$5005,"&gt;="&amp;DATE(Einstellungen!$C$3,1,1),Erfassung!$A$6:$A$5005,"&lt;"&amp;DATE(Einstellungen!$C$3,2,1)))</f>
        <v/>
      </c>
      <c r="D93" s="54">
        <f>IF($B93="","",SUMIFS(Erfassung!$E$6:$E$5005,Erfassung!$B$6:$B$5005,$A93,Erfassung!$A$6:$A$5005,"&gt;="&amp;DATE(Einstellungen!$C$3,2,1),Erfassung!$A$6:$A$5005,"&lt;"&amp;DATE(Einstellungen!$C$3,3,1)))</f>
        <v/>
      </c>
      <c r="E93" s="54">
        <f>IF($B93="","",SUMIFS(Erfassung!$E$6:$E$5005,Erfassung!$B$6:$B$5005,$A93,Erfassung!$A$6:$A$5005,"&gt;="&amp;DATE(Einstellungen!$C$3,3,1),Erfassung!$A$6:$A$5005,"&lt;"&amp;DATE(Einstellungen!$C$3,4,1)))</f>
        <v/>
      </c>
      <c r="F93" s="54">
        <f>IF($B93="","",SUMIFS(Erfassung!$E$6:$E$5005,Erfassung!$B$6:$B$5005,$A93,Erfassung!$A$6:$A$5005,"&gt;="&amp;DATE(Einstellungen!$C$3,4,1),Erfassung!$A$6:$A$5005,"&lt;"&amp;DATE(Einstellungen!$C$3,5,1)))</f>
        <v/>
      </c>
      <c r="G93" s="54">
        <f>IF($B93="","",SUMIFS(Erfassung!$E$6:$E$5005,Erfassung!$B$6:$B$5005,$A93,Erfassung!$A$6:$A$5005,"&gt;="&amp;DATE(Einstellungen!$C$3,5,1),Erfassung!$A$6:$A$5005,"&lt;"&amp;DATE(Einstellungen!$C$3,6,1)))</f>
        <v/>
      </c>
      <c r="H93" s="54">
        <f>IF($B93="","",SUMIFS(Erfassung!$E$6:$E$5005,Erfassung!$B$6:$B$5005,$A93,Erfassung!$A$6:$A$5005,"&gt;="&amp;DATE(Einstellungen!$C$3,6,1),Erfassung!$A$6:$A$5005,"&lt;"&amp;DATE(Einstellungen!$C$3,7,1)))</f>
        <v/>
      </c>
      <c r="I93" s="54">
        <f>IF($B93="","",SUMIFS(Erfassung!$E$6:$E$5005,Erfassung!$B$6:$B$5005,$A93,Erfassung!$A$6:$A$5005,"&gt;="&amp;DATE(Einstellungen!$C$3,7,1),Erfassung!$A$6:$A$5005,"&lt;"&amp;DATE(Einstellungen!$C$3,8,1)))</f>
        <v/>
      </c>
      <c r="J93" s="54">
        <f>IF($B93="","",SUMIFS(Erfassung!$E$6:$E$5005,Erfassung!$B$6:$B$5005,$A93,Erfassung!$A$6:$A$5005,"&gt;="&amp;DATE(Einstellungen!$C$3,8,1),Erfassung!$A$6:$A$5005,"&lt;"&amp;DATE(Einstellungen!$C$3,9,1)))</f>
        <v/>
      </c>
      <c r="K93" s="54">
        <f>IF($B93="","",SUMIFS(Erfassung!$E$6:$E$5005,Erfassung!$B$6:$B$5005,$A93,Erfassung!$A$6:$A$5005,"&gt;="&amp;DATE(Einstellungen!$C$3,9,1),Erfassung!$A$6:$A$5005,"&lt;"&amp;DATE(Einstellungen!$C$3,10,1)))</f>
        <v/>
      </c>
      <c r="L93" s="54">
        <f>IF($B93="","",SUMIFS(Erfassung!$E$6:$E$5005,Erfassung!$B$6:$B$5005,$A93,Erfassung!$A$6:$A$5005,"&gt;="&amp;DATE(Einstellungen!$C$3,10,1),Erfassung!$A$6:$A$5005,"&lt;"&amp;DATE(Einstellungen!$C$3,11,1)))</f>
        <v/>
      </c>
      <c r="M93" s="54">
        <f>IF($B93="","",SUMIFS(Erfassung!$E$6:$E$5005,Erfassung!$B$6:$B$5005,$A93,Erfassung!$A$6:$A$5005,"&gt;="&amp;DATE(Einstellungen!$C$3,11,1),Erfassung!$A$6:$A$5005,"&lt;"&amp;DATE(Einstellungen!$C$3,12,1)))</f>
        <v/>
      </c>
      <c r="N93" s="54">
        <f>IF($B93="","",SUMIFS(Erfassung!$E$6:$E$5005,Erfassung!$B$6:$B$5005,$A93,Erfassung!$A$6:$A$5005,"&gt;="&amp;DATE(Einstellungen!$C$3,12,1),Erfassung!$A$6:$A$5005,"&lt;"&amp;DATE(Einstellungen!$C$3,13,1)))</f>
        <v/>
      </c>
      <c r="O93" s="45">
        <f>IF($B93="","",SUM(C93:N93))</f>
        <v/>
      </c>
      <c r="P93" s="54">
        <f>IF($B93="","",SUMIFS(Erfassung!$G$6:$G$5005,Erfassung!$B$6:$B$5005,$A93,Erfassung!$A$6:$A$5005,"&gt;="&amp;DATE(Einstellungen!$C$3,1,1),Erfassung!$A$6:$A$5005,"&lt;"&amp;DATE(Einstellungen!$C$3,2,1)))</f>
        <v/>
      </c>
      <c r="Q93" s="54">
        <f>IF($B93="","",SUMIFS(Erfassung!$G$6:$G$5005,Erfassung!$B$6:$B$5005,$A93,Erfassung!$A$6:$A$5005,"&gt;="&amp;DATE(Einstellungen!$C$3,2,1),Erfassung!$A$6:$A$5005,"&lt;"&amp;DATE(Einstellungen!$C$3,3,1)))</f>
        <v/>
      </c>
      <c r="R93" s="54">
        <f>IF($B93="","",SUMIFS(Erfassung!$G$6:$G$5005,Erfassung!$B$6:$B$5005,$A93,Erfassung!$A$6:$A$5005,"&gt;="&amp;DATE(Einstellungen!$C$3,3,1),Erfassung!$A$6:$A$5005,"&lt;"&amp;DATE(Einstellungen!$C$3,4,1)))</f>
        <v/>
      </c>
      <c r="S93" s="54">
        <f>IF($B93="","",SUMIFS(Erfassung!$G$6:$G$5005,Erfassung!$B$6:$B$5005,$A93,Erfassung!$A$6:$A$5005,"&gt;="&amp;DATE(Einstellungen!$C$3,4,1),Erfassung!$A$6:$A$5005,"&lt;"&amp;DATE(Einstellungen!$C$3,5,1)))</f>
        <v/>
      </c>
      <c r="T93" s="54">
        <f>IF($B93="","",SUMIFS(Erfassung!$G$6:$G$5005,Erfassung!$B$6:$B$5005,$A93,Erfassung!$A$6:$A$5005,"&gt;="&amp;DATE(Einstellungen!$C$3,5,1),Erfassung!$A$6:$A$5005,"&lt;"&amp;DATE(Einstellungen!$C$3,6,1)))</f>
        <v/>
      </c>
      <c r="U93" s="54">
        <f>IF($B93="","",SUMIFS(Erfassung!$G$6:$G$5005,Erfassung!$B$6:$B$5005,$A93,Erfassung!$A$6:$A$5005,"&gt;="&amp;DATE(Einstellungen!$C$3,6,1),Erfassung!$A$6:$A$5005,"&lt;"&amp;DATE(Einstellungen!$C$3,7,1)))</f>
        <v/>
      </c>
      <c r="V93" s="54">
        <f>IF($B93="","",SUMIFS(Erfassung!$G$6:$G$5005,Erfassung!$B$6:$B$5005,$A93,Erfassung!$A$6:$A$5005,"&gt;="&amp;DATE(Einstellungen!$C$3,7,1),Erfassung!$A$6:$A$5005,"&lt;"&amp;DATE(Einstellungen!$C$3,8,1)))</f>
        <v/>
      </c>
      <c r="W93" s="54">
        <f>IF($B93="","",SUMIFS(Erfassung!$G$6:$G$5005,Erfassung!$B$6:$B$5005,$A93,Erfassung!$A$6:$A$5005,"&gt;="&amp;DATE(Einstellungen!$C$3,8,1),Erfassung!$A$6:$A$5005,"&lt;"&amp;DATE(Einstellungen!$C$3,9,1)))</f>
        <v/>
      </c>
      <c r="X93" s="54">
        <f>IF($B93="","",SUMIFS(Erfassung!$G$6:$G$5005,Erfassung!$B$6:$B$5005,$A93,Erfassung!$A$6:$A$5005,"&gt;="&amp;DATE(Einstellungen!$C$3,9,1),Erfassung!$A$6:$A$5005,"&lt;"&amp;DATE(Einstellungen!$C$3,10,1)))</f>
        <v/>
      </c>
      <c r="Y93" s="54">
        <f>IF($B93="","",SUMIFS(Erfassung!$G$6:$G$5005,Erfassung!$B$6:$B$5005,$A93,Erfassung!$A$6:$A$5005,"&gt;="&amp;DATE(Einstellungen!$C$3,10,1),Erfassung!$A$6:$A$5005,"&lt;"&amp;DATE(Einstellungen!$C$3,11,1)))</f>
        <v/>
      </c>
      <c r="Z93" s="54">
        <f>IF($B93="","",SUMIFS(Erfassung!$G$6:$G$5005,Erfassung!$B$6:$B$5005,$A93,Erfassung!$A$6:$A$5005,"&gt;="&amp;DATE(Einstellungen!$C$3,11,1),Erfassung!$A$6:$A$5005,"&lt;"&amp;DATE(Einstellungen!$C$3,12,1)))</f>
        <v/>
      </c>
      <c r="AA93" s="54">
        <f>IF($B93="","",SUMIFS(Erfassung!$G$6:$G$5005,Erfassung!$B$6:$B$5005,$A93,Erfassung!$A$6:$A$5005,"&gt;="&amp;DATE(Einstellungen!$C$3,12,1),Erfassung!$A$6:$A$5005,"&lt;"&amp;DATE(Einstellungen!$C$3,13,1)))</f>
        <v/>
      </c>
      <c r="AB93" s="45">
        <f>IF($B93="","",SUM(P93:AA93))</f>
        <v/>
      </c>
      <c r="AC93" s="38">
        <f>IF($B93="","",IF(O93+AB93&gt;0,AB93/(O93+AB93),""))</f>
        <v/>
      </c>
    </row>
    <row r="94">
      <c r="A94" s="56">
        <f>'KQuote Mitarbeiter'!A94</f>
        <v/>
      </c>
      <c r="B94" s="57">
        <f>'KQuote Mitarbeiter'!B94</f>
        <v/>
      </c>
      <c r="C94" s="54">
        <f>IF($B94="","",SUMIFS(Erfassung!$E$6:$E$5005,Erfassung!$B$6:$B$5005,$A94,Erfassung!$A$6:$A$5005,"&gt;="&amp;DATE(Einstellungen!$C$3,1,1),Erfassung!$A$6:$A$5005,"&lt;"&amp;DATE(Einstellungen!$C$3,2,1)))</f>
        <v/>
      </c>
      <c r="D94" s="54">
        <f>IF($B94="","",SUMIFS(Erfassung!$E$6:$E$5005,Erfassung!$B$6:$B$5005,$A94,Erfassung!$A$6:$A$5005,"&gt;="&amp;DATE(Einstellungen!$C$3,2,1),Erfassung!$A$6:$A$5005,"&lt;"&amp;DATE(Einstellungen!$C$3,3,1)))</f>
        <v/>
      </c>
      <c r="E94" s="54">
        <f>IF($B94="","",SUMIFS(Erfassung!$E$6:$E$5005,Erfassung!$B$6:$B$5005,$A94,Erfassung!$A$6:$A$5005,"&gt;="&amp;DATE(Einstellungen!$C$3,3,1),Erfassung!$A$6:$A$5005,"&lt;"&amp;DATE(Einstellungen!$C$3,4,1)))</f>
        <v/>
      </c>
      <c r="F94" s="54">
        <f>IF($B94="","",SUMIFS(Erfassung!$E$6:$E$5005,Erfassung!$B$6:$B$5005,$A94,Erfassung!$A$6:$A$5005,"&gt;="&amp;DATE(Einstellungen!$C$3,4,1),Erfassung!$A$6:$A$5005,"&lt;"&amp;DATE(Einstellungen!$C$3,5,1)))</f>
        <v/>
      </c>
      <c r="G94" s="54">
        <f>IF($B94="","",SUMIFS(Erfassung!$E$6:$E$5005,Erfassung!$B$6:$B$5005,$A94,Erfassung!$A$6:$A$5005,"&gt;="&amp;DATE(Einstellungen!$C$3,5,1),Erfassung!$A$6:$A$5005,"&lt;"&amp;DATE(Einstellungen!$C$3,6,1)))</f>
        <v/>
      </c>
      <c r="H94" s="54">
        <f>IF($B94="","",SUMIFS(Erfassung!$E$6:$E$5005,Erfassung!$B$6:$B$5005,$A94,Erfassung!$A$6:$A$5005,"&gt;="&amp;DATE(Einstellungen!$C$3,6,1),Erfassung!$A$6:$A$5005,"&lt;"&amp;DATE(Einstellungen!$C$3,7,1)))</f>
        <v/>
      </c>
      <c r="I94" s="54">
        <f>IF($B94="","",SUMIFS(Erfassung!$E$6:$E$5005,Erfassung!$B$6:$B$5005,$A94,Erfassung!$A$6:$A$5005,"&gt;="&amp;DATE(Einstellungen!$C$3,7,1),Erfassung!$A$6:$A$5005,"&lt;"&amp;DATE(Einstellungen!$C$3,8,1)))</f>
        <v/>
      </c>
      <c r="J94" s="54">
        <f>IF($B94="","",SUMIFS(Erfassung!$E$6:$E$5005,Erfassung!$B$6:$B$5005,$A94,Erfassung!$A$6:$A$5005,"&gt;="&amp;DATE(Einstellungen!$C$3,8,1),Erfassung!$A$6:$A$5005,"&lt;"&amp;DATE(Einstellungen!$C$3,9,1)))</f>
        <v/>
      </c>
      <c r="K94" s="54">
        <f>IF($B94="","",SUMIFS(Erfassung!$E$6:$E$5005,Erfassung!$B$6:$B$5005,$A94,Erfassung!$A$6:$A$5005,"&gt;="&amp;DATE(Einstellungen!$C$3,9,1),Erfassung!$A$6:$A$5005,"&lt;"&amp;DATE(Einstellungen!$C$3,10,1)))</f>
        <v/>
      </c>
      <c r="L94" s="54">
        <f>IF($B94="","",SUMIFS(Erfassung!$E$6:$E$5005,Erfassung!$B$6:$B$5005,$A94,Erfassung!$A$6:$A$5005,"&gt;="&amp;DATE(Einstellungen!$C$3,10,1),Erfassung!$A$6:$A$5005,"&lt;"&amp;DATE(Einstellungen!$C$3,11,1)))</f>
        <v/>
      </c>
      <c r="M94" s="54">
        <f>IF($B94="","",SUMIFS(Erfassung!$E$6:$E$5005,Erfassung!$B$6:$B$5005,$A94,Erfassung!$A$6:$A$5005,"&gt;="&amp;DATE(Einstellungen!$C$3,11,1),Erfassung!$A$6:$A$5005,"&lt;"&amp;DATE(Einstellungen!$C$3,12,1)))</f>
        <v/>
      </c>
      <c r="N94" s="54">
        <f>IF($B94="","",SUMIFS(Erfassung!$E$6:$E$5005,Erfassung!$B$6:$B$5005,$A94,Erfassung!$A$6:$A$5005,"&gt;="&amp;DATE(Einstellungen!$C$3,12,1),Erfassung!$A$6:$A$5005,"&lt;"&amp;DATE(Einstellungen!$C$3,13,1)))</f>
        <v/>
      </c>
      <c r="O94" s="45">
        <f>IF($B94="","",SUM(C94:N94))</f>
        <v/>
      </c>
      <c r="P94" s="54">
        <f>IF($B94="","",SUMIFS(Erfassung!$G$6:$G$5005,Erfassung!$B$6:$B$5005,$A94,Erfassung!$A$6:$A$5005,"&gt;="&amp;DATE(Einstellungen!$C$3,1,1),Erfassung!$A$6:$A$5005,"&lt;"&amp;DATE(Einstellungen!$C$3,2,1)))</f>
        <v/>
      </c>
      <c r="Q94" s="54">
        <f>IF($B94="","",SUMIFS(Erfassung!$G$6:$G$5005,Erfassung!$B$6:$B$5005,$A94,Erfassung!$A$6:$A$5005,"&gt;="&amp;DATE(Einstellungen!$C$3,2,1),Erfassung!$A$6:$A$5005,"&lt;"&amp;DATE(Einstellungen!$C$3,3,1)))</f>
        <v/>
      </c>
      <c r="R94" s="54">
        <f>IF($B94="","",SUMIFS(Erfassung!$G$6:$G$5005,Erfassung!$B$6:$B$5005,$A94,Erfassung!$A$6:$A$5005,"&gt;="&amp;DATE(Einstellungen!$C$3,3,1),Erfassung!$A$6:$A$5005,"&lt;"&amp;DATE(Einstellungen!$C$3,4,1)))</f>
        <v/>
      </c>
      <c r="S94" s="54">
        <f>IF($B94="","",SUMIFS(Erfassung!$G$6:$G$5005,Erfassung!$B$6:$B$5005,$A94,Erfassung!$A$6:$A$5005,"&gt;="&amp;DATE(Einstellungen!$C$3,4,1),Erfassung!$A$6:$A$5005,"&lt;"&amp;DATE(Einstellungen!$C$3,5,1)))</f>
        <v/>
      </c>
      <c r="T94" s="54">
        <f>IF($B94="","",SUMIFS(Erfassung!$G$6:$G$5005,Erfassung!$B$6:$B$5005,$A94,Erfassung!$A$6:$A$5005,"&gt;="&amp;DATE(Einstellungen!$C$3,5,1),Erfassung!$A$6:$A$5005,"&lt;"&amp;DATE(Einstellungen!$C$3,6,1)))</f>
        <v/>
      </c>
      <c r="U94" s="54">
        <f>IF($B94="","",SUMIFS(Erfassung!$G$6:$G$5005,Erfassung!$B$6:$B$5005,$A94,Erfassung!$A$6:$A$5005,"&gt;="&amp;DATE(Einstellungen!$C$3,6,1),Erfassung!$A$6:$A$5005,"&lt;"&amp;DATE(Einstellungen!$C$3,7,1)))</f>
        <v/>
      </c>
      <c r="V94" s="54">
        <f>IF($B94="","",SUMIFS(Erfassung!$G$6:$G$5005,Erfassung!$B$6:$B$5005,$A94,Erfassung!$A$6:$A$5005,"&gt;="&amp;DATE(Einstellungen!$C$3,7,1),Erfassung!$A$6:$A$5005,"&lt;"&amp;DATE(Einstellungen!$C$3,8,1)))</f>
        <v/>
      </c>
      <c r="W94" s="54">
        <f>IF($B94="","",SUMIFS(Erfassung!$G$6:$G$5005,Erfassung!$B$6:$B$5005,$A94,Erfassung!$A$6:$A$5005,"&gt;="&amp;DATE(Einstellungen!$C$3,8,1),Erfassung!$A$6:$A$5005,"&lt;"&amp;DATE(Einstellungen!$C$3,9,1)))</f>
        <v/>
      </c>
      <c r="X94" s="54">
        <f>IF($B94="","",SUMIFS(Erfassung!$G$6:$G$5005,Erfassung!$B$6:$B$5005,$A94,Erfassung!$A$6:$A$5005,"&gt;="&amp;DATE(Einstellungen!$C$3,9,1),Erfassung!$A$6:$A$5005,"&lt;"&amp;DATE(Einstellungen!$C$3,10,1)))</f>
        <v/>
      </c>
      <c r="Y94" s="54">
        <f>IF($B94="","",SUMIFS(Erfassung!$G$6:$G$5005,Erfassung!$B$6:$B$5005,$A94,Erfassung!$A$6:$A$5005,"&gt;="&amp;DATE(Einstellungen!$C$3,10,1),Erfassung!$A$6:$A$5005,"&lt;"&amp;DATE(Einstellungen!$C$3,11,1)))</f>
        <v/>
      </c>
      <c r="Z94" s="54">
        <f>IF($B94="","",SUMIFS(Erfassung!$G$6:$G$5005,Erfassung!$B$6:$B$5005,$A94,Erfassung!$A$6:$A$5005,"&gt;="&amp;DATE(Einstellungen!$C$3,11,1),Erfassung!$A$6:$A$5005,"&lt;"&amp;DATE(Einstellungen!$C$3,12,1)))</f>
        <v/>
      </c>
      <c r="AA94" s="54">
        <f>IF($B94="","",SUMIFS(Erfassung!$G$6:$G$5005,Erfassung!$B$6:$B$5005,$A94,Erfassung!$A$6:$A$5005,"&gt;="&amp;DATE(Einstellungen!$C$3,12,1),Erfassung!$A$6:$A$5005,"&lt;"&amp;DATE(Einstellungen!$C$3,13,1)))</f>
        <v/>
      </c>
      <c r="AB94" s="45">
        <f>IF($B94="","",SUM(P94:AA94))</f>
        <v/>
      </c>
      <c r="AC94" s="38">
        <f>IF($B94="","",IF(O94+AB94&gt;0,AB94/(O94+AB94),""))</f>
        <v/>
      </c>
    </row>
    <row r="95">
      <c r="A95" s="56">
        <f>'KQuote Mitarbeiter'!A95</f>
        <v/>
      </c>
      <c r="B95" s="57">
        <f>'KQuote Mitarbeiter'!B95</f>
        <v/>
      </c>
      <c r="C95" s="54">
        <f>IF($B95="","",SUMIFS(Erfassung!$E$6:$E$5005,Erfassung!$B$6:$B$5005,$A95,Erfassung!$A$6:$A$5005,"&gt;="&amp;DATE(Einstellungen!$C$3,1,1),Erfassung!$A$6:$A$5005,"&lt;"&amp;DATE(Einstellungen!$C$3,2,1)))</f>
        <v/>
      </c>
      <c r="D95" s="54">
        <f>IF($B95="","",SUMIFS(Erfassung!$E$6:$E$5005,Erfassung!$B$6:$B$5005,$A95,Erfassung!$A$6:$A$5005,"&gt;="&amp;DATE(Einstellungen!$C$3,2,1),Erfassung!$A$6:$A$5005,"&lt;"&amp;DATE(Einstellungen!$C$3,3,1)))</f>
        <v/>
      </c>
      <c r="E95" s="54">
        <f>IF($B95="","",SUMIFS(Erfassung!$E$6:$E$5005,Erfassung!$B$6:$B$5005,$A95,Erfassung!$A$6:$A$5005,"&gt;="&amp;DATE(Einstellungen!$C$3,3,1),Erfassung!$A$6:$A$5005,"&lt;"&amp;DATE(Einstellungen!$C$3,4,1)))</f>
        <v/>
      </c>
      <c r="F95" s="54">
        <f>IF($B95="","",SUMIFS(Erfassung!$E$6:$E$5005,Erfassung!$B$6:$B$5005,$A95,Erfassung!$A$6:$A$5005,"&gt;="&amp;DATE(Einstellungen!$C$3,4,1),Erfassung!$A$6:$A$5005,"&lt;"&amp;DATE(Einstellungen!$C$3,5,1)))</f>
        <v/>
      </c>
      <c r="G95" s="54">
        <f>IF($B95="","",SUMIFS(Erfassung!$E$6:$E$5005,Erfassung!$B$6:$B$5005,$A95,Erfassung!$A$6:$A$5005,"&gt;="&amp;DATE(Einstellungen!$C$3,5,1),Erfassung!$A$6:$A$5005,"&lt;"&amp;DATE(Einstellungen!$C$3,6,1)))</f>
        <v/>
      </c>
      <c r="H95" s="54">
        <f>IF($B95="","",SUMIFS(Erfassung!$E$6:$E$5005,Erfassung!$B$6:$B$5005,$A95,Erfassung!$A$6:$A$5005,"&gt;="&amp;DATE(Einstellungen!$C$3,6,1),Erfassung!$A$6:$A$5005,"&lt;"&amp;DATE(Einstellungen!$C$3,7,1)))</f>
        <v/>
      </c>
      <c r="I95" s="54">
        <f>IF($B95="","",SUMIFS(Erfassung!$E$6:$E$5005,Erfassung!$B$6:$B$5005,$A95,Erfassung!$A$6:$A$5005,"&gt;="&amp;DATE(Einstellungen!$C$3,7,1),Erfassung!$A$6:$A$5005,"&lt;"&amp;DATE(Einstellungen!$C$3,8,1)))</f>
        <v/>
      </c>
      <c r="J95" s="54">
        <f>IF($B95="","",SUMIFS(Erfassung!$E$6:$E$5005,Erfassung!$B$6:$B$5005,$A95,Erfassung!$A$6:$A$5005,"&gt;="&amp;DATE(Einstellungen!$C$3,8,1),Erfassung!$A$6:$A$5005,"&lt;"&amp;DATE(Einstellungen!$C$3,9,1)))</f>
        <v/>
      </c>
      <c r="K95" s="54">
        <f>IF($B95="","",SUMIFS(Erfassung!$E$6:$E$5005,Erfassung!$B$6:$B$5005,$A95,Erfassung!$A$6:$A$5005,"&gt;="&amp;DATE(Einstellungen!$C$3,9,1),Erfassung!$A$6:$A$5005,"&lt;"&amp;DATE(Einstellungen!$C$3,10,1)))</f>
        <v/>
      </c>
      <c r="L95" s="54">
        <f>IF($B95="","",SUMIFS(Erfassung!$E$6:$E$5005,Erfassung!$B$6:$B$5005,$A95,Erfassung!$A$6:$A$5005,"&gt;="&amp;DATE(Einstellungen!$C$3,10,1),Erfassung!$A$6:$A$5005,"&lt;"&amp;DATE(Einstellungen!$C$3,11,1)))</f>
        <v/>
      </c>
      <c r="M95" s="54">
        <f>IF($B95="","",SUMIFS(Erfassung!$E$6:$E$5005,Erfassung!$B$6:$B$5005,$A95,Erfassung!$A$6:$A$5005,"&gt;="&amp;DATE(Einstellungen!$C$3,11,1),Erfassung!$A$6:$A$5005,"&lt;"&amp;DATE(Einstellungen!$C$3,12,1)))</f>
        <v/>
      </c>
      <c r="N95" s="54">
        <f>IF($B95="","",SUMIFS(Erfassung!$E$6:$E$5005,Erfassung!$B$6:$B$5005,$A95,Erfassung!$A$6:$A$5005,"&gt;="&amp;DATE(Einstellungen!$C$3,12,1),Erfassung!$A$6:$A$5005,"&lt;"&amp;DATE(Einstellungen!$C$3,13,1)))</f>
        <v/>
      </c>
      <c r="O95" s="45">
        <f>IF($B95="","",SUM(C95:N95))</f>
        <v/>
      </c>
      <c r="P95" s="54">
        <f>IF($B95="","",SUMIFS(Erfassung!$G$6:$G$5005,Erfassung!$B$6:$B$5005,$A95,Erfassung!$A$6:$A$5005,"&gt;="&amp;DATE(Einstellungen!$C$3,1,1),Erfassung!$A$6:$A$5005,"&lt;"&amp;DATE(Einstellungen!$C$3,2,1)))</f>
        <v/>
      </c>
      <c r="Q95" s="54">
        <f>IF($B95="","",SUMIFS(Erfassung!$G$6:$G$5005,Erfassung!$B$6:$B$5005,$A95,Erfassung!$A$6:$A$5005,"&gt;="&amp;DATE(Einstellungen!$C$3,2,1),Erfassung!$A$6:$A$5005,"&lt;"&amp;DATE(Einstellungen!$C$3,3,1)))</f>
        <v/>
      </c>
      <c r="R95" s="54">
        <f>IF($B95="","",SUMIFS(Erfassung!$G$6:$G$5005,Erfassung!$B$6:$B$5005,$A95,Erfassung!$A$6:$A$5005,"&gt;="&amp;DATE(Einstellungen!$C$3,3,1),Erfassung!$A$6:$A$5005,"&lt;"&amp;DATE(Einstellungen!$C$3,4,1)))</f>
        <v/>
      </c>
      <c r="S95" s="54">
        <f>IF($B95="","",SUMIFS(Erfassung!$G$6:$G$5005,Erfassung!$B$6:$B$5005,$A95,Erfassung!$A$6:$A$5005,"&gt;="&amp;DATE(Einstellungen!$C$3,4,1),Erfassung!$A$6:$A$5005,"&lt;"&amp;DATE(Einstellungen!$C$3,5,1)))</f>
        <v/>
      </c>
      <c r="T95" s="54">
        <f>IF($B95="","",SUMIFS(Erfassung!$G$6:$G$5005,Erfassung!$B$6:$B$5005,$A95,Erfassung!$A$6:$A$5005,"&gt;="&amp;DATE(Einstellungen!$C$3,5,1),Erfassung!$A$6:$A$5005,"&lt;"&amp;DATE(Einstellungen!$C$3,6,1)))</f>
        <v/>
      </c>
      <c r="U95" s="54">
        <f>IF($B95="","",SUMIFS(Erfassung!$G$6:$G$5005,Erfassung!$B$6:$B$5005,$A95,Erfassung!$A$6:$A$5005,"&gt;="&amp;DATE(Einstellungen!$C$3,6,1),Erfassung!$A$6:$A$5005,"&lt;"&amp;DATE(Einstellungen!$C$3,7,1)))</f>
        <v/>
      </c>
      <c r="V95" s="54">
        <f>IF($B95="","",SUMIFS(Erfassung!$G$6:$G$5005,Erfassung!$B$6:$B$5005,$A95,Erfassung!$A$6:$A$5005,"&gt;="&amp;DATE(Einstellungen!$C$3,7,1),Erfassung!$A$6:$A$5005,"&lt;"&amp;DATE(Einstellungen!$C$3,8,1)))</f>
        <v/>
      </c>
      <c r="W95" s="54">
        <f>IF($B95="","",SUMIFS(Erfassung!$G$6:$G$5005,Erfassung!$B$6:$B$5005,$A95,Erfassung!$A$6:$A$5005,"&gt;="&amp;DATE(Einstellungen!$C$3,8,1),Erfassung!$A$6:$A$5005,"&lt;"&amp;DATE(Einstellungen!$C$3,9,1)))</f>
        <v/>
      </c>
      <c r="X95" s="54">
        <f>IF($B95="","",SUMIFS(Erfassung!$G$6:$G$5005,Erfassung!$B$6:$B$5005,$A95,Erfassung!$A$6:$A$5005,"&gt;="&amp;DATE(Einstellungen!$C$3,9,1),Erfassung!$A$6:$A$5005,"&lt;"&amp;DATE(Einstellungen!$C$3,10,1)))</f>
        <v/>
      </c>
      <c r="Y95" s="54">
        <f>IF($B95="","",SUMIFS(Erfassung!$G$6:$G$5005,Erfassung!$B$6:$B$5005,$A95,Erfassung!$A$6:$A$5005,"&gt;="&amp;DATE(Einstellungen!$C$3,10,1),Erfassung!$A$6:$A$5005,"&lt;"&amp;DATE(Einstellungen!$C$3,11,1)))</f>
        <v/>
      </c>
      <c r="Z95" s="54">
        <f>IF($B95="","",SUMIFS(Erfassung!$G$6:$G$5005,Erfassung!$B$6:$B$5005,$A95,Erfassung!$A$6:$A$5005,"&gt;="&amp;DATE(Einstellungen!$C$3,11,1),Erfassung!$A$6:$A$5005,"&lt;"&amp;DATE(Einstellungen!$C$3,12,1)))</f>
        <v/>
      </c>
      <c r="AA95" s="54">
        <f>IF($B95="","",SUMIFS(Erfassung!$G$6:$G$5005,Erfassung!$B$6:$B$5005,$A95,Erfassung!$A$6:$A$5005,"&gt;="&amp;DATE(Einstellungen!$C$3,12,1),Erfassung!$A$6:$A$5005,"&lt;"&amp;DATE(Einstellungen!$C$3,13,1)))</f>
        <v/>
      </c>
      <c r="AB95" s="45">
        <f>IF($B95="","",SUM(P95:AA95))</f>
        <v/>
      </c>
      <c r="AC95" s="38">
        <f>IF($B95="","",IF(O95+AB95&gt;0,AB95/(O95+AB95),""))</f>
        <v/>
      </c>
    </row>
    <row r="96">
      <c r="A96" s="56">
        <f>'KQuote Mitarbeiter'!A96</f>
        <v/>
      </c>
      <c r="B96" s="57">
        <f>'KQuote Mitarbeiter'!B96</f>
        <v/>
      </c>
      <c r="C96" s="54">
        <f>IF($B96="","",SUMIFS(Erfassung!$E$6:$E$5005,Erfassung!$B$6:$B$5005,$A96,Erfassung!$A$6:$A$5005,"&gt;="&amp;DATE(Einstellungen!$C$3,1,1),Erfassung!$A$6:$A$5005,"&lt;"&amp;DATE(Einstellungen!$C$3,2,1)))</f>
        <v/>
      </c>
      <c r="D96" s="54">
        <f>IF($B96="","",SUMIFS(Erfassung!$E$6:$E$5005,Erfassung!$B$6:$B$5005,$A96,Erfassung!$A$6:$A$5005,"&gt;="&amp;DATE(Einstellungen!$C$3,2,1),Erfassung!$A$6:$A$5005,"&lt;"&amp;DATE(Einstellungen!$C$3,3,1)))</f>
        <v/>
      </c>
      <c r="E96" s="54">
        <f>IF($B96="","",SUMIFS(Erfassung!$E$6:$E$5005,Erfassung!$B$6:$B$5005,$A96,Erfassung!$A$6:$A$5005,"&gt;="&amp;DATE(Einstellungen!$C$3,3,1),Erfassung!$A$6:$A$5005,"&lt;"&amp;DATE(Einstellungen!$C$3,4,1)))</f>
        <v/>
      </c>
      <c r="F96" s="54">
        <f>IF($B96="","",SUMIFS(Erfassung!$E$6:$E$5005,Erfassung!$B$6:$B$5005,$A96,Erfassung!$A$6:$A$5005,"&gt;="&amp;DATE(Einstellungen!$C$3,4,1),Erfassung!$A$6:$A$5005,"&lt;"&amp;DATE(Einstellungen!$C$3,5,1)))</f>
        <v/>
      </c>
      <c r="G96" s="54">
        <f>IF($B96="","",SUMIFS(Erfassung!$E$6:$E$5005,Erfassung!$B$6:$B$5005,$A96,Erfassung!$A$6:$A$5005,"&gt;="&amp;DATE(Einstellungen!$C$3,5,1),Erfassung!$A$6:$A$5005,"&lt;"&amp;DATE(Einstellungen!$C$3,6,1)))</f>
        <v/>
      </c>
      <c r="H96" s="54">
        <f>IF($B96="","",SUMIFS(Erfassung!$E$6:$E$5005,Erfassung!$B$6:$B$5005,$A96,Erfassung!$A$6:$A$5005,"&gt;="&amp;DATE(Einstellungen!$C$3,6,1),Erfassung!$A$6:$A$5005,"&lt;"&amp;DATE(Einstellungen!$C$3,7,1)))</f>
        <v/>
      </c>
      <c r="I96" s="54">
        <f>IF($B96="","",SUMIFS(Erfassung!$E$6:$E$5005,Erfassung!$B$6:$B$5005,$A96,Erfassung!$A$6:$A$5005,"&gt;="&amp;DATE(Einstellungen!$C$3,7,1),Erfassung!$A$6:$A$5005,"&lt;"&amp;DATE(Einstellungen!$C$3,8,1)))</f>
        <v/>
      </c>
      <c r="J96" s="54">
        <f>IF($B96="","",SUMIFS(Erfassung!$E$6:$E$5005,Erfassung!$B$6:$B$5005,$A96,Erfassung!$A$6:$A$5005,"&gt;="&amp;DATE(Einstellungen!$C$3,8,1),Erfassung!$A$6:$A$5005,"&lt;"&amp;DATE(Einstellungen!$C$3,9,1)))</f>
        <v/>
      </c>
      <c r="K96" s="54">
        <f>IF($B96="","",SUMIFS(Erfassung!$E$6:$E$5005,Erfassung!$B$6:$B$5005,$A96,Erfassung!$A$6:$A$5005,"&gt;="&amp;DATE(Einstellungen!$C$3,9,1),Erfassung!$A$6:$A$5005,"&lt;"&amp;DATE(Einstellungen!$C$3,10,1)))</f>
        <v/>
      </c>
      <c r="L96" s="54">
        <f>IF($B96="","",SUMIFS(Erfassung!$E$6:$E$5005,Erfassung!$B$6:$B$5005,$A96,Erfassung!$A$6:$A$5005,"&gt;="&amp;DATE(Einstellungen!$C$3,10,1),Erfassung!$A$6:$A$5005,"&lt;"&amp;DATE(Einstellungen!$C$3,11,1)))</f>
        <v/>
      </c>
      <c r="M96" s="54">
        <f>IF($B96="","",SUMIFS(Erfassung!$E$6:$E$5005,Erfassung!$B$6:$B$5005,$A96,Erfassung!$A$6:$A$5005,"&gt;="&amp;DATE(Einstellungen!$C$3,11,1),Erfassung!$A$6:$A$5005,"&lt;"&amp;DATE(Einstellungen!$C$3,12,1)))</f>
        <v/>
      </c>
      <c r="N96" s="54">
        <f>IF($B96="","",SUMIFS(Erfassung!$E$6:$E$5005,Erfassung!$B$6:$B$5005,$A96,Erfassung!$A$6:$A$5005,"&gt;="&amp;DATE(Einstellungen!$C$3,12,1),Erfassung!$A$6:$A$5005,"&lt;"&amp;DATE(Einstellungen!$C$3,13,1)))</f>
        <v/>
      </c>
      <c r="O96" s="45">
        <f>IF($B96="","",SUM(C96:N96))</f>
        <v/>
      </c>
      <c r="P96" s="54">
        <f>IF($B96="","",SUMIFS(Erfassung!$G$6:$G$5005,Erfassung!$B$6:$B$5005,$A96,Erfassung!$A$6:$A$5005,"&gt;="&amp;DATE(Einstellungen!$C$3,1,1),Erfassung!$A$6:$A$5005,"&lt;"&amp;DATE(Einstellungen!$C$3,2,1)))</f>
        <v/>
      </c>
      <c r="Q96" s="54">
        <f>IF($B96="","",SUMIFS(Erfassung!$G$6:$G$5005,Erfassung!$B$6:$B$5005,$A96,Erfassung!$A$6:$A$5005,"&gt;="&amp;DATE(Einstellungen!$C$3,2,1),Erfassung!$A$6:$A$5005,"&lt;"&amp;DATE(Einstellungen!$C$3,3,1)))</f>
        <v/>
      </c>
      <c r="R96" s="54">
        <f>IF($B96="","",SUMIFS(Erfassung!$G$6:$G$5005,Erfassung!$B$6:$B$5005,$A96,Erfassung!$A$6:$A$5005,"&gt;="&amp;DATE(Einstellungen!$C$3,3,1),Erfassung!$A$6:$A$5005,"&lt;"&amp;DATE(Einstellungen!$C$3,4,1)))</f>
        <v/>
      </c>
      <c r="S96" s="54">
        <f>IF($B96="","",SUMIFS(Erfassung!$G$6:$G$5005,Erfassung!$B$6:$B$5005,$A96,Erfassung!$A$6:$A$5005,"&gt;="&amp;DATE(Einstellungen!$C$3,4,1),Erfassung!$A$6:$A$5005,"&lt;"&amp;DATE(Einstellungen!$C$3,5,1)))</f>
        <v/>
      </c>
      <c r="T96" s="54">
        <f>IF($B96="","",SUMIFS(Erfassung!$G$6:$G$5005,Erfassung!$B$6:$B$5005,$A96,Erfassung!$A$6:$A$5005,"&gt;="&amp;DATE(Einstellungen!$C$3,5,1),Erfassung!$A$6:$A$5005,"&lt;"&amp;DATE(Einstellungen!$C$3,6,1)))</f>
        <v/>
      </c>
      <c r="U96" s="54">
        <f>IF($B96="","",SUMIFS(Erfassung!$G$6:$G$5005,Erfassung!$B$6:$B$5005,$A96,Erfassung!$A$6:$A$5005,"&gt;="&amp;DATE(Einstellungen!$C$3,6,1),Erfassung!$A$6:$A$5005,"&lt;"&amp;DATE(Einstellungen!$C$3,7,1)))</f>
        <v/>
      </c>
      <c r="V96" s="54">
        <f>IF($B96="","",SUMIFS(Erfassung!$G$6:$G$5005,Erfassung!$B$6:$B$5005,$A96,Erfassung!$A$6:$A$5005,"&gt;="&amp;DATE(Einstellungen!$C$3,7,1),Erfassung!$A$6:$A$5005,"&lt;"&amp;DATE(Einstellungen!$C$3,8,1)))</f>
        <v/>
      </c>
      <c r="W96" s="54">
        <f>IF($B96="","",SUMIFS(Erfassung!$G$6:$G$5005,Erfassung!$B$6:$B$5005,$A96,Erfassung!$A$6:$A$5005,"&gt;="&amp;DATE(Einstellungen!$C$3,8,1),Erfassung!$A$6:$A$5005,"&lt;"&amp;DATE(Einstellungen!$C$3,9,1)))</f>
        <v/>
      </c>
      <c r="X96" s="54">
        <f>IF($B96="","",SUMIFS(Erfassung!$G$6:$G$5005,Erfassung!$B$6:$B$5005,$A96,Erfassung!$A$6:$A$5005,"&gt;="&amp;DATE(Einstellungen!$C$3,9,1),Erfassung!$A$6:$A$5005,"&lt;"&amp;DATE(Einstellungen!$C$3,10,1)))</f>
        <v/>
      </c>
      <c r="Y96" s="54">
        <f>IF($B96="","",SUMIFS(Erfassung!$G$6:$G$5005,Erfassung!$B$6:$B$5005,$A96,Erfassung!$A$6:$A$5005,"&gt;="&amp;DATE(Einstellungen!$C$3,10,1),Erfassung!$A$6:$A$5005,"&lt;"&amp;DATE(Einstellungen!$C$3,11,1)))</f>
        <v/>
      </c>
      <c r="Z96" s="54">
        <f>IF($B96="","",SUMIFS(Erfassung!$G$6:$G$5005,Erfassung!$B$6:$B$5005,$A96,Erfassung!$A$6:$A$5005,"&gt;="&amp;DATE(Einstellungen!$C$3,11,1),Erfassung!$A$6:$A$5005,"&lt;"&amp;DATE(Einstellungen!$C$3,12,1)))</f>
        <v/>
      </c>
      <c r="AA96" s="54">
        <f>IF($B96="","",SUMIFS(Erfassung!$G$6:$G$5005,Erfassung!$B$6:$B$5005,$A96,Erfassung!$A$6:$A$5005,"&gt;="&amp;DATE(Einstellungen!$C$3,12,1),Erfassung!$A$6:$A$5005,"&lt;"&amp;DATE(Einstellungen!$C$3,13,1)))</f>
        <v/>
      </c>
      <c r="AB96" s="45">
        <f>IF($B96="","",SUM(P96:AA96))</f>
        <v/>
      </c>
      <c r="AC96" s="38">
        <f>IF($B96="","",IF(O96+AB96&gt;0,AB96/(O96+AB96),""))</f>
        <v/>
      </c>
    </row>
    <row r="97">
      <c r="A97" s="56">
        <f>'KQuote Mitarbeiter'!A97</f>
        <v/>
      </c>
      <c r="B97" s="57">
        <f>'KQuote Mitarbeiter'!B97</f>
        <v/>
      </c>
      <c r="C97" s="54">
        <f>IF($B97="","",SUMIFS(Erfassung!$E$6:$E$5005,Erfassung!$B$6:$B$5005,$A97,Erfassung!$A$6:$A$5005,"&gt;="&amp;DATE(Einstellungen!$C$3,1,1),Erfassung!$A$6:$A$5005,"&lt;"&amp;DATE(Einstellungen!$C$3,2,1)))</f>
        <v/>
      </c>
      <c r="D97" s="54">
        <f>IF($B97="","",SUMIFS(Erfassung!$E$6:$E$5005,Erfassung!$B$6:$B$5005,$A97,Erfassung!$A$6:$A$5005,"&gt;="&amp;DATE(Einstellungen!$C$3,2,1),Erfassung!$A$6:$A$5005,"&lt;"&amp;DATE(Einstellungen!$C$3,3,1)))</f>
        <v/>
      </c>
      <c r="E97" s="54">
        <f>IF($B97="","",SUMIFS(Erfassung!$E$6:$E$5005,Erfassung!$B$6:$B$5005,$A97,Erfassung!$A$6:$A$5005,"&gt;="&amp;DATE(Einstellungen!$C$3,3,1),Erfassung!$A$6:$A$5005,"&lt;"&amp;DATE(Einstellungen!$C$3,4,1)))</f>
        <v/>
      </c>
      <c r="F97" s="54">
        <f>IF($B97="","",SUMIFS(Erfassung!$E$6:$E$5005,Erfassung!$B$6:$B$5005,$A97,Erfassung!$A$6:$A$5005,"&gt;="&amp;DATE(Einstellungen!$C$3,4,1),Erfassung!$A$6:$A$5005,"&lt;"&amp;DATE(Einstellungen!$C$3,5,1)))</f>
        <v/>
      </c>
      <c r="G97" s="54">
        <f>IF($B97="","",SUMIFS(Erfassung!$E$6:$E$5005,Erfassung!$B$6:$B$5005,$A97,Erfassung!$A$6:$A$5005,"&gt;="&amp;DATE(Einstellungen!$C$3,5,1),Erfassung!$A$6:$A$5005,"&lt;"&amp;DATE(Einstellungen!$C$3,6,1)))</f>
        <v/>
      </c>
      <c r="H97" s="54">
        <f>IF($B97="","",SUMIFS(Erfassung!$E$6:$E$5005,Erfassung!$B$6:$B$5005,$A97,Erfassung!$A$6:$A$5005,"&gt;="&amp;DATE(Einstellungen!$C$3,6,1),Erfassung!$A$6:$A$5005,"&lt;"&amp;DATE(Einstellungen!$C$3,7,1)))</f>
        <v/>
      </c>
      <c r="I97" s="54">
        <f>IF($B97="","",SUMIFS(Erfassung!$E$6:$E$5005,Erfassung!$B$6:$B$5005,$A97,Erfassung!$A$6:$A$5005,"&gt;="&amp;DATE(Einstellungen!$C$3,7,1),Erfassung!$A$6:$A$5005,"&lt;"&amp;DATE(Einstellungen!$C$3,8,1)))</f>
        <v/>
      </c>
      <c r="J97" s="54">
        <f>IF($B97="","",SUMIFS(Erfassung!$E$6:$E$5005,Erfassung!$B$6:$B$5005,$A97,Erfassung!$A$6:$A$5005,"&gt;="&amp;DATE(Einstellungen!$C$3,8,1),Erfassung!$A$6:$A$5005,"&lt;"&amp;DATE(Einstellungen!$C$3,9,1)))</f>
        <v/>
      </c>
      <c r="K97" s="54">
        <f>IF($B97="","",SUMIFS(Erfassung!$E$6:$E$5005,Erfassung!$B$6:$B$5005,$A97,Erfassung!$A$6:$A$5005,"&gt;="&amp;DATE(Einstellungen!$C$3,9,1),Erfassung!$A$6:$A$5005,"&lt;"&amp;DATE(Einstellungen!$C$3,10,1)))</f>
        <v/>
      </c>
      <c r="L97" s="54">
        <f>IF($B97="","",SUMIFS(Erfassung!$E$6:$E$5005,Erfassung!$B$6:$B$5005,$A97,Erfassung!$A$6:$A$5005,"&gt;="&amp;DATE(Einstellungen!$C$3,10,1),Erfassung!$A$6:$A$5005,"&lt;"&amp;DATE(Einstellungen!$C$3,11,1)))</f>
        <v/>
      </c>
      <c r="M97" s="54">
        <f>IF($B97="","",SUMIFS(Erfassung!$E$6:$E$5005,Erfassung!$B$6:$B$5005,$A97,Erfassung!$A$6:$A$5005,"&gt;="&amp;DATE(Einstellungen!$C$3,11,1),Erfassung!$A$6:$A$5005,"&lt;"&amp;DATE(Einstellungen!$C$3,12,1)))</f>
        <v/>
      </c>
      <c r="N97" s="54">
        <f>IF($B97="","",SUMIFS(Erfassung!$E$6:$E$5005,Erfassung!$B$6:$B$5005,$A97,Erfassung!$A$6:$A$5005,"&gt;="&amp;DATE(Einstellungen!$C$3,12,1),Erfassung!$A$6:$A$5005,"&lt;"&amp;DATE(Einstellungen!$C$3,13,1)))</f>
        <v/>
      </c>
      <c r="O97" s="45">
        <f>IF($B97="","",SUM(C97:N97))</f>
        <v/>
      </c>
      <c r="P97" s="54">
        <f>IF($B97="","",SUMIFS(Erfassung!$G$6:$G$5005,Erfassung!$B$6:$B$5005,$A97,Erfassung!$A$6:$A$5005,"&gt;="&amp;DATE(Einstellungen!$C$3,1,1),Erfassung!$A$6:$A$5005,"&lt;"&amp;DATE(Einstellungen!$C$3,2,1)))</f>
        <v/>
      </c>
      <c r="Q97" s="54">
        <f>IF($B97="","",SUMIFS(Erfassung!$G$6:$G$5005,Erfassung!$B$6:$B$5005,$A97,Erfassung!$A$6:$A$5005,"&gt;="&amp;DATE(Einstellungen!$C$3,2,1),Erfassung!$A$6:$A$5005,"&lt;"&amp;DATE(Einstellungen!$C$3,3,1)))</f>
        <v/>
      </c>
      <c r="R97" s="54">
        <f>IF($B97="","",SUMIFS(Erfassung!$G$6:$G$5005,Erfassung!$B$6:$B$5005,$A97,Erfassung!$A$6:$A$5005,"&gt;="&amp;DATE(Einstellungen!$C$3,3,1),Erfassung!$A$6:$A$5005,"&lt;"&amp;DATE(Einstellungen!$C$3,4,1)))</f>
        <v/>
      </c>
      <c r="S97" s="54">
        <f>IF($B97="","",SUMIFS(Erfassung!$G$6:$G$5005,Erfassung!$B$6:$B$5005,$A97,Erfassung!$A$6:$A$5005,"&gt;="&amp;DATE(Einstellungen!$C$3,4,1),Erfassung!$A$6:$A$5005,"&lt;"&amp;DATE(Einstellungen!$C$3,5,1)))</f>
        <v/>
      </c>
      <c r="T97" s="54">
        <f>IF($B97="","",SUMIFS(Erfassung!$G$6:$G$5005,Erfassung!$B$6:$B$5005,$A97,Erfassung!$A$6:$A$5005,"&gt;="&amp;DATE(Einstellungen!$C$3,5,1),Erfassung!$A$6:$A$5005,"&lt;"&amp;DATE(Einstellungen!$C$3,6,1)))</f>
        <v/>
      </c>
      <c r="U97" s="54">
        <f>IF($B97="","",SUMIFS(Erfassung!$G$6:$G$5005,Erfassung!$B$6:$B$5005,$A97,Erfassung!$A$6:$A$5005,"&gt;="&amp;DATE(Einstellungen!$C$3,6,1),Erfassung!$A$6:$A$5005,"&lt;"&amp;DATE(Einstellungen!$C$3,7,1)))</f>
        <v/>
      </c>
      <c r="V97" s="54">
        <f>IF($B97="","",SUMIFS(Erfassung!$G$6:$G$5005,Erfassung!$B$6:$B$5005,$A97,Erfassung!$A$6:$A$5005,"&gt;="&amp;DATE(Einstellungen!$C$3,7,1),Erfassung!$A$6:$A$5005,"&lt;"&amp;DATE(Einstellungen!$C$3,8,1)))</f>
        <v/>
      </c>
      <c r="W97" s="54">
        <f>IF($B97="","",SUMIFS(Erfassung!$G$6:$G$5005,Erfassung!$B$6:$B$5005,$A97,Erfassung!$A$6:$A$5005,"&gt;="&amp;DATE(Einstellungen!$C$3,8,1),Erfassung!$A$6:$A$5005,"&lt;"&amp;DATE(Einstellungen!$C$3,9,1)))</f>
        <v/>
      </c>
      <c r="X97" s="54">
        <f>IF($B97="","",SUMIFS(Erfassung!$G$6:$G$5005,Erfassung!$B$6:$B$5005,$A97,Erfassung!$A$6:$A$5005,"&gt;="&amp;DATE(Einstellungen!$C$3,9,1),Erfassung!$A$6:$A$5005,"&lt;"&amp;DATE(Einstellungen!$C$3,10,1)))</f>
        <v/>
      </c>
      <c r="Y97" s="54">
        <f>IF($B97="","",SUMIFS(Erfassung!$G$6:$G$5005,Erfassung!$B$6:$B$5005,$A97,Erfassung!$A$6:$A$5005,"&gt;="&amp;DATE(Einstellungen!$C$3,10,1),Erfassung!$A$6:$A$5005,"&lt;"&amp;DATE(Einstellungen!$C$3,11,1)))</f>
        <v/>
      </c>
      <c r="Z97" s="54">
        <f>IF($B97="","",SUMIFS(Erfassung!$G$6:$G$5005,Erfassung!$B$6:$B$5005,$A97,Erfassung!$A$6:$A$5005,"&gt;="&amp;DATE(Einstellungen!$C$3,11,1),Erfassung!$A$6:$A$5005,"&lt;"&amp;DATE(Einstellungen!$C$3,12,1)))</f>
        <v/>
      </c>
      <c r="AA97" s="54">
        <f>IF($B97="","",SUMIFS(Erfassung!$G$6:$G$5005,Erfassung!$B$6:$B$5005,$A97,Erfassung!$A$6:$A$5005,"&gt;="&amp;DATE(Einstellungen!$C$3,12,1),Erfassung!$A$6:$A$5005,"&lt;"&amp;DATE(Einstellungen!$C$3,13,1)))</f>
        <v/>
      </c>
      <c r="AB97" s="45">
        <f>IF($B97="","",SUM(P97:AA97))</f>
        <v/>
      </c>
      <c r="AC97" s="38">
        <f>IF($B97="","",IF(O97+AB97&gt;0,AB97/(O97+AB97),""))</f>
        <v/>
      </c>
    </row>
    <row r="98">
      <c r="A98" s="56">
        <f>'KQuote Mitarbeiter'!A98</f>
        <v/>
      </c>
      <c r="B98" s="57">
        <f>'KQuote Mitarbeiter'!B98</f>
        <v/>
      </c>
      <c r="C98" s="54">
        <f>IF($B98="","",SUMIFS(Erfassung!$E$6:$E$5005,Erfassung!$B$6:$B$5005,$A98,Erfassung!$A$6:$A$5005,"&gt;="&amp;DATE(Einstellungen!$C$3,1,1),Erfassung!$A$6:$A$5005,"&lt;"&amp;DATE(Einstellungen!$C$3,2,1)))</f>
        <v/>
      </c>
      <c r="D98" s="54">
        <f>IF($B98="","",SUMIFS(Erfassung!$E$6:$E$5005,Erfassung!$B$6:$B$5005,$A98,Erfassung!$A$6:$A$5005,"&gt;="&amp;DATE(Einstellungen!$C$3,2,1),Erfassung!$A$6:$A$5005,"&lt;"&amp;DATE(Einstellungen!$C$3,3,1)))</f>
        <v/>
      </c>
      <c r="E98" s="54">
        <f>IF($B98="","",SUMIFS(Erfassung!$E$6:$E$5005,Erfassung!$B$6:$B$5005,$A98,Erfassung!$A$6:$A$5005,"&gt;="&amp;DATE(Einstellungen!$C$3,3,1),Erfassung!$A$6:$A$5005,"&lt;"&amp;DATE(Einstellungen!$C$3,4,1)))</f>
        <v/>
      </c>
      <c r="F98" s="54">
        <f>IF($B98="","",SUMIFS(Erfassung!$E$6:$E$5005,Erfassung!$B$6:$B$5005,$A98,Erfassung!$A$6:$A$5005,"&gt;="&amp;DATE(Einstellungen!$C$3,4,1),Erfassung!$A$6:$A$5005,"&lt;"&amp;DATE(Einstellungen!$C$3,5,1)))</f>
        <v/>
      </c>
      <c r="G98" s="54">
        <f>IF($B98="","",SUMIFS(Erfassung!$E$6:$E$5005,Erfassung!$B$6:$B$5005,$A98,Erfassung!$A$6:$A$5005,"&gt;="&amp;DATE(Einstellungen!$C$3,5,1),Erfassung!$A$6:$A$5005,"&lt;"&amp;DATE(Einstellungen!$C$3,6,1)))</f>
        <v/>
      </c>
      <c r="H98" s="54">
        <f>IF($B98="","",SUMIFS(Erfassung!$E$6:$E$5005,Erfassung!$B$6:$B$5005,$A98,Erfassung!$A$6:$A$5005,"&gt;="&amp;DATE(Einstellungen!$C$3,6,1),Erfassung!$A$6:$A$5005,"&lt;"&amp;DATE(Einstellungen!$C$3,7,1)))</f>
        <v/>
      </c>
      <c r="I98" s="54">
        <f>IF($B98="","",SUMIFS(Erfassung!$E$6:$E$5005,Erfassung!$B$6:$B$5005,$A98,Erfassung!$A$6:$A$5005,"&gt;="&amp;DATE(Einstellungen!$C$3,7,1),Erfassung!$A$6:$A$5005,"&lt;"&amp;DATE(Einstellungen!$C$3,8,1)))</f>
        <v/>
      </c>
      <c r="J98" s="54">
        <f>IF($B98="","",SUMIFS(Erfassung!$E$6:$E$5005,Erfassung!$B$6:$B$5005,$A98,Erfassung!$A$6:$A$5005,"&gt;="&amp;DATE(Einstellungen!$C$3,8,1),Erfassung!$A$6:$A$5005,"&lt;"&amp;DATE(Einstellungen!$C$3,9,1)))</f>
        <v/>
      </c>
      <c r="K98" s="54">
        <f>IF($B98="","",SUMIFS(Erfassung!$E$6:$E$5005,Erfassung!$B$6:$B$5005,$A98,Erfassung!$A$6:$A$5005,"&gt;="&amp;DATE(Einstellungen!$C$3,9,1),Erfassung!$A$6:$A$5005,"&lt;"&amp;DATE(Einstellungen!$C$3,10,1)))</f>
        <v/>
      </c>
      <c r="L98" s="54">
        <f>IF($B98="","",SUMIFS(Erfassung!$E$6:$E$5005,Erfassung!$B$6:$B$5005,$A98,Erfassung!$A$6:$A$5005,"&gt;="&amp;DATE(Einstellungen!$C$3,10,1),Erfassung!$A$6:$A$5005,"&lt;"&amp;DATE(Einstellungen!$C$3,11,1)))</f>
        <v/>
      </c>
      <c r="M98" s="54">
        <f>IF($B98="","",SUMIFS(Erfassung!$E$6:$E$5005,Erfassung!$B$6:$B$5005,$A98,Erfassung!$A$6:$A$5005,"&gt;="&amp;DATE(Einstellungen!$C$3,11,1),Erfassung!$A$6:$A$5005,"&lt;"&amp;DATE(Einstellungen!$C$3,12,1)))</f>
        <v/>
      </c>
      <c r="N98" s="54">
        <f>IF($B98="","",SUMIFS(Erfassung!$E$6:$E$5005,Erfassung!$B$6:$B$5005,$A98,Erfassung!$A$6:$A$5005,"&gt;="&amp;DATE(Einstellungen!$C$3,12,1),Erfassung!$A$6:$A$5005,"&lt;"&amp;DATE(Einstellungen!$C$3,13,1)))</f>
        <v/>
      </c>
      <c r="O98" s="45">
        <f>IF($B98="","",SUM(C98:N98))</f>
        <v/>
      </c>
      <c r="P98" s="54">
        <f>IF($B98="","",SUMIFS(Erfassung!$G$6:$G$5005,Erfassung!$B$6:$B$5005,$A98,Erfassung!$A$6:$A$5005,"&gt;="&amp;DATE(Einstellungen!$C$3,1,1),Erfassung!$A$6:$A$5005,"&lt;"&amp;DATE(Einstellungen!$C$3,2,1)))</f>
        <v/>
      </c>
      <c r="Q98" s="54">
        <f>IF($B98="","",SUMIFS(Erfassung!$G$6:$G$5005,Erfassung!$B$6:$B$5005,$A98,Erfassung!$A$6:$A$5005,"&gt;="&amp;DATE(Einstellungen!$C$3,2,1),Erfassung!$A$6:$A$5005,"&lt;"&amp;DATE(Einstellungen!$C$3,3,1)))</f>
        <v/>
      </c>
      <c r="R98" s="54">
        <f>IF($B98="","",SUMIFS(Erfassung!$G$6:$G$5005,Erfassung!$B$6:$B$5005,$A98,Erfassung!$A$6:$A$5005,"&gt;="&amp;DATE(Einstellungen!$C$3,3,1),Erfassung!$A$6:$A$5005,"&lt;"&amp;DATE(Einstellungen!$C$3,4,1)))</f>
        <v/>
      </c>
      <c r="S98" s="54">
        <f>IF($B98="","",SUMIFS(Erfassung!$G$6:$G$5005,Erfassung!$B$6:$B$5005,$A98,Erfassung!$A$6:$A$5005,"&gt;="&amp;DATE(Einstellungen!$C$3,4,1),Erfassung!$A$6:$A$5005,"&lt;"&amp;DATE(Einstellungen!$C$3,5,1)))</f>
        <v/>
      </c>
      <c r="T98" s="54">
        <f>IF($B98="","",SUMIFS(Erfassung!$G$6:$G$5005,Erfassung!$B$6:$B$5005,$A98,Erfassung!$A$6:$A$5005,"&gt;="&amp;DATE(Einstellungen!$C$3,5,1),Erfassung!$A$6:$A$5005,"&lt;"&amp;DATE(Einstellungen!$C$3,6,1)))</f>
        <v/>
      </c>
      <c r="U98" s="54">
        <f>IF($B98="","",SUMIFS(Erfassung!$G$6:$G$5005,Erfassung!$B$6:$B$5005,$A98,Erfassung!$A$6:$A$5005,"&gt;="&amp;DATE(Einstellungen!$C$3,6,1),Erfassung!$A$6:$A$5005,"&lt;"&amp;DATE(Einstellungen!$C$3,7,1)))</f>
        <v/>
      </c>
      <c r="V98" s="54">
        <f>IF($B98="","",SUMIFS(Erfassung!$G$6:$G$5005,Erfassung!$B$6:$B$5005,$A98,Erfassung!$A$6:$A$5005,"&gt;="&amp;DATE(Einstellungen!$C$3,7,1),Erfassung!$A$6:$A$5005,"&lt;"&amp;DATE(Einstellungen!$C$3,8,1)))</f>
        <v/>
      </c>
      <c r="W98" s="54">
        <f>IF($B98="","",SUMIFS(Erfassung!$G$6:$G$5005,Erfassung!$B$6:$B$5005,$A98,Erfassung!$A$6:$A$5005,"&gt;="&amp;DATE(Einstellungen!$C$3,8,1),Erfassung!$A$6:$A$5005,"&lt;"&amp;DATE(Einstellungen!$C$3,9,1)))</f>
        <v/>
      </c>
      <c r="X98" s="54">
        <f>IF($B98="","",SUMIFS(Erfassung!$G$6:$G$5005,Erfassung!$B$6:$B$5005,$A98,Erfassung!$A$6:$A$5005,"&gt;="&amp;DATE(Einstellungen!$C$3,9,1),Erfassung!$A$6:$A$5005,"&lt;"&amp;DATE(Einstellungen!$C$3,10,1)))</f>
        <v/>
      </c>
      <c r="Y98" s="54">
        <f>IF($B98="","",SUMIFS(Erfassung!$G$6:$G$5005,Erfassung!$B$6:$B$5005,$A98,Erfassung!$A$6:$A$5005,"&gt;="&amp;DATE(Einstellungen!$C$3,10,1),Erfassung!$A$6:$A$5005,"&lt;"&amp;DATE(Einstellungen!$C$3,11,1)))</f>
        <v/>
      </c>
      <c r="Z98" s="54">
        <f>IF($B98="","",SUMIFS(Erfassung!$G$6:$G$5005,Erfassung!$B$6:$B$5005,$A98,Erfassung!$A$6:$A$5005,"&gt;="&amp;DATE(Einstellungen!$C$3,11,1),Erfassung!$A$6:$A$5005,"&lt;"&amp;DATE(Einstellungen!$C$3,12,1)))</f>
        <v/>
      </c>
      <c r="AA98" s="54">
        <f>IF($B98="","",SUMIFS(Erfassung!$G$6:$G$5005,Erfassung!$B$6:$B$5005,$A98,Erfassung!$A$6:$A$5005,"&gt;="&amp;DATE(Einstellungen!$C$3,12,1),Erfassung!$A$6:$A$5005,"&lt;"&amp;DATE(Einstellungen!$C$3,13,1)))</f>
        <v/>
      </c>
      <c r="AB98" s="45">
        <f>IF($B98="","",SUM(P98:AA98))</f>
        <v/>
      </c>
      <c r="AC98" s="38">
        <f>IF($B98="","",IF(O98+AB98&gt;0,AB98/(O98+AB98),""))</f>
        <v/>
      </c>
    </row>
    <row r="99">
      <c r="A99" s="56">
        <f>'KQuote Mitarbeiter'!A99</f>
        <v/>
      </c>
      <c r="B99" s="57">
        <f>'KQuote Mitarbeiter'!B99</f>
        <v/>
      </c>
      <c r="C99" s="54">
        <f>IF($B99="","",SUMIFS(Erfassung!$E$6:$E$5005,Erfassung!$B$6:$B$5005,$A99,Erfassung!$A$6:$A$5005,"&gt;="&amp;DATE(Einstellungen!$C$3,1,1),Erfassung!$A$6:$A$5005,"&lt;"&amp;DATE(Einstellungen!$C$3,2,1)))</f>
        <v/>
      </c>
      <c r="D99" s="54">
        <f>IF($B99="","",SUMIFS(Erfassung!$E$6:$E$5005,Erfassung!$B$6:$B$5005,$A99,Erfassung!$A$6:$A$5005,"&gt;="&amp;DATE(Einstellungen!$C$3,2,1),Erfassung!$A$6:$A$5005,"&lt;"&amp;DATE(Einstellungen!$C$3,3,1)))</f>
        <v/>
      </c>
      <c r="E99" s="54">
        <f>IF($B99="","",SUMIFS(Erfassung!$E$6:$E$5005,Erfassung!$B$6:$B$5005,$A99,Erfassung!$A$6:$A$5005,"&gt;="&amp;DATE(Einstellungen!$C$3,3,1),Erfassung!$A$6:$A$5005,"&lt;"&amp;DATE(Einstellungen!$C$3,4,1)))</f>
        <v/>
      </c>
      <c r="F99" s="54">
        <f>IF($B99="","",SUMIFS(Erfassung!$E$6:$E$5005,Erfassung!$B$6:$B$5005,$A99,Erfassung!$A$6:$A$5005,"&gt;="&amp;DATE(Einstellungen!$C$3,4,1),Erfassung!$A$6:$A$5005,"&lt;"&amp;DATE(Einstellungen!$C$3,5,1)))</f>
        <v/>
      </c>
      <c r="G99" s="54">
        <f>IF($B99="","",SUMIFS(Erfassung!$E$6:$E$5005,Erfassung!$B$6:$B$5005,$A99,Erfassung!$A$6:$A$5005,"&gt;="&amp;DATE(Einstellungen!$C$3,5,1),Erfassung!$A$6:$A$5005,"&lt;"&amp;DATE(Einstellungen!$C$3,6,1)))</f>
        <v/>
      </c>
      <c r="H99" s="54">
        <f>IF($B99="","",SUMIFS(Erfassung!$E$6:$E$5005,Erfassung!$B$6:$B$5005,$A99,Erfassung!$A$6:$A$5005,"&gt;="&amp;DATE(Einstellungen!$C$3,6,1),Erfassung!$A$6:$A$5005,"&lt;"&amp;DATE(Einstellungen!$C$3,7,1)))</f>
        <v/>
      </c>
      <c r="I99" s="54">
        <f>IF($B99="","",SUMIFS(Erfassung!$E$6:$E$5005,Erfassung!$B$6:$B$5005,$A99,Erfassung!$A$6:$A$5005,"&gt;="&amp;DATE(Einstellungen!$C$3,7,1),Erfassung!$A$6:$A$5005,"&lt;"&amp;DATE(Einstellungen!$C$3,8,1)))</f>
        <v/>
      </c>
      <c r="J99" s="54">
        <f>IF($B99="","",SUMIFS(Erfassung!$E$6:$E$5005,Erfassung!$B$6:$B$5005,$A99,Erfassung!$A$6:$A$5005,"&gt;="&amp;DATE(Einstellungen!$C$3,8,1),Erfassung!$A$6:$A$5005,"&lt;"&amp;DATE(Einstellungen!$C$3,9,1)))</f>
        <v/>
      </c>
      <c r="K99" s="54">
        <f>IF($B99="","",SUMIFS(Erfassung!$E$6:$E$5005,Erfassung!$B$6:$B$5005,$A99,Erfassung!$A$6:$A$5005,"&gt;="&amp;DATE(Einstellungen!$C$3,9,1),Erfassung!$A$6:$A$5005,"&lt;"&amp;DATE(Einstellungen!$C$3,10,1)))</f>
        <v/>
      </c>
      <c r="L99" s="54">
        <f>IF($B99="","",SUMIFS(Erfassung!$E$6:$E$5005,Erfassung!$B$6:$B$5005,$A99,Erfassung!$A$6:$A$5005,"&gt;="&amp;DATE(Einstellungen!$C$3,10,1),Erfassung!$A$6:$A$5005,"&lt;"&amp;DATE(Einstellungen!$C$3,11,1)))</f>
        <v/>
      </c>
      <c r="M99" s="54">
        <f>IF($B99="","",SUMIFS(Erfassung!$E$6:$E$5005,Erfassung!$B$6:$B$5005,$A99,Erfassung!$A$6:$A$5005,"&gt;="&amp;DATE(Einstellungen!$C$3,11,1),Erfassung!$A$6:$A$5005,"&lt;"&amp;DATE(Einstellungen!$C$3,12,1)))</f>
        <v/>
      </c>
      <c r="N99" s="54">
        <f>IF($B99="","",SUMIFS(Erfassung!$E$6:$E$5005,Erfassung!$B$6:$B$5005,$A99,Erfassung!$A$6:$A$5005,"&gt;="&amp;DATE(Einstellungen!$C$3,12,1),Erfassung!$A$6:$A$5005,"&lt;"&amp;DATE(Einstellungen!$C$3,13,1)))</f>
        <v/>
      </c>
      <c r="O99" s="45">
        <f>IF($B99="","",SUM(C99:N99))</f>
        <v/>
      </c>
      <c r="P99" s="54">
        <f>IF($B99="","",SUMIFS(Erfassung!$G$6:$G$5005,Erfassung!$B$6:$B$5005,$A99,Erfassung!$A$6:$A$5005,"&gt;="&amp;DATE(Einstellungen!$C$3,1,1),Erfassung!$A$6:$A$5005,"&lt;"&amp;DATE(Einstellungen!$C$3,2,1)))</f>
        <v/>
      </c>
      <c r="Q99" s="54">
        <f>IF($B99="","",SUMIFS(Erfassung!$G$6:$G$5005,Erfassung!$B$6:$B$5005,$A99,Erfassung!$A$6:$A$5005,"&gt;="&amp;DATE(Einstellungen!$C$3,2,1),Erfassung!$A$6:$A$5005,"&lt;"&amp;DATE(Einstellungen!$C$3,3,1)))</f>
        <v/>
      </c>
      <c r="R99" s="54">
        <f>IF($B99="","",SUMIFS(Erfassung!$G$6:$G$5005,Erfassung!$B$6:$B$5005,$A99,Erfassung!$A$6:$A$5005,"&gt;="&amp;DATE(Einstellungen!$C$3,3,1),Erfassung!$A$6:$A$5005,"&lt;"&amp;DATE(Einstellungen!$C$3,4,1)))</f>
        <v/>
      </c>
      <c r="S99" s="54">
        <f>IF($B99="","",SUMIFS(Erfassung!$G$6:$G$5005,Erfassung!$B$6:$B$5005,$A99,Erfassung!$A$6:$A$5005,"&gt;="&amp;DATE(Einstellungen!$C$3,4,1),Erfassung!$A$6:$A$5005,"&lt;"&amp;DATE(Einstellungen!$C$3,5,1)))</f>
        <v/>
      </c>
      <c r="T99" s="54">
        <f>IF($B99="","",SUMIFS(Erfassung!$G$6:$G$5005,Erfassung!$B$6:$B$5005,$A99,Erfassung!$A$6:$A$5005,"&gt;="&amp;DATE(Einstellungen!$C$3,5,1),Erfassung!$A$6:$A$5005,"&lt;"&amp;DATE(Einstellungen!$C$3,6,1)))</f>
        <v/>
      </c>
      <c r="U99" s="54">
        <f>IF($B99="","",SUMIFS(Erfassung!$G$6:$G$5005,Erfassung!$B$6:$B$5005,$A99,Erfassung!$A$6:$A$5005,"&gt;="&amp;DATE(Einstellungen!$C$3,6,1),Erfassung!$A$6:$A$5005,"&lt;"&amp;DATE(Einstellungen!$C$3,7,1)))</f>
        <v/>
      </c>
      <c r="V99" s="54">
        <f>IF($B99="","",SUMIFS(Erfassung!$G$6:$G$5005,Erfassung!$B$6:$B$5005,$A99,Erfassung!$A$6:$A$5005,"&gt;="&amp;DATE(Einstellungen!$C$3,7,1),Erfassung!$A$6:$A$5005,"&lt;"&amp;DATE(Einstellungen!$C$3,8,1)))</f>
        <v/>
      </c>
      <c r="W99" s="54">
        <f>IF($B99="","",SUMIFS(Erfassung!$G$6:$G$5005,Erfassung!$B$6:$B$5005,$A99,Erfassung!$A$6:$A$5005,"&gt;="&amp;DATE(Einstellungen!$C$3,8,1),Erfassung!$A$6:$A$5005,"&lt;"&amp;DATE(Einstellungen!$C$3,9,1)))</f>
        <v/>
      </c>
      <c r="X99" s="54">
        <f>IF($B99="","",SUMIFS(Erfassung!$G$6:$G$5005,Erfassung!$B$6:$B$5005,$A99,Erfassung!$A$6:$A$5005,"&gt;="&amp;DATE(Einstellungen!$C$3,9,1),Erfassung!$A$6:$A$5005,"&lt;"&amp;DATE(Einstellungen!$C$3,10,1)))</f>
        <v/>
      </c>
      <c r="Y99" s="54">
        <f>IF($B99="","",SUMIFS(Erfassung!$G$6:$G$5005,Erfassung!$B$6:$B$5005,$A99,Erfassung!$A$6:$A$5005,"&gt;="&amp;DATE(Einstellungen!$C$3,10,1),Erfassung!$A$6:$A$5005,"&lt;"&amp;DATE(Einstellungen!$C$3,11,1)))</f>
        <v/>
      </c>
      <c r="Z99" s="54">
        <f>IF($B99="","",SUMIFS(Erfassung!$G$6:$G$5005,Erfassung!$B$6:$B$5005,$A99,Erfassung!$A$6:$A$5005,"&gt;="&amp;DATE(Einstellungen!$C$3,11,1),Erfassung!$A$6:$A$5005,"&lt;"&amp;DATE(Einstellungen!$C$3,12,1)))</f>
        <v/>
      </c>
      <c r="AA99" s="54">
        <f>IF($B99="","",SUMIFS(Erfassung!$G$6:$G$5005,Erfassung!$B$6:$B$5005,$A99,Erfassung!$A$6:$A$5005,"&gt;="&amp;DATE(Einstellungen!$C$3,12,1),Erfassung!$A$6:$A$5005,"&lt;"&amp;DATE(Einstellungen!$C$3,13,1)))</f>
        <v/>
      </c>
      <c r="AB99" s="45">
        <f>IF($B99="","",SUM(P99:AA99))</f>
        <v/>
      </c>
      <c r="AC99" s="38">
        <f>IF($B99="","",IF(O99+AB99&gt;0,AB99/(O99+AB99),""))</f>
        <v/>
      </c>
    </row>
    <row r="100">
      <c r="A100" s="56">
        <f>'KQuote Mitarbeiter'!A100</f>
        <v/>
      </c>
      <c r="B100" s="57">
        <f>'KQuote Mitarbeiter'!B100</f>
        <v/>
      </c>
      <c r="C100" s="54">
        <f>IF($B100="","",SUMIFS(Erfassung!$E$6:$E$5005,Erfassung!$B$6:$B$5005,$A100,Erfassung!$A$6:$A$5005,"&gt;="&amp;DATE(Einstellungen!$C$3,1,1),Erfassung!$A$6:$A$5005,"&lt;"&amp;DATE(Einstellungen!$C$3,2,1)))</f>
        <v/>
      </c>
      <c r="D100" s="54">
        <f>IF($B100="","",SUMIFS(Erfassung!$E$6:$E$5005,Erfassung!$B$6:$B$5005,$A100,Erfassung!$A$6:$A$5005,"&gt;="&amp;DATE(Einstellungen!$C$3,2,1),Erfassung!$A$6:$A$5005,"&lt;"&amp;DATE(Einstellungen!$C$3,3,1)))</f>
        <v/>
      </c>
      <c r="E100" s="54">
        <f>IF($B100="","",SUMIFS(Erfassung!$E$6:$E$5005,Erfassung!$B$6:$B$5005,$A100,Erfassung!$A$6:$A$5005,"&gt;="&amp;DATE(Einstellungen!$C$3,3,1),Erfassung!$A$6:$A$5005,"&lt;"&amp;DATE(Einstellungen!$C$3,4,1)))</f>
        <v/>
      </c>
      <c r="F100" s="54">
        <f>IF($B100="","",SUMIFS(Erfassung!$E$6:$E$5005,Erfassung!$B$6:$B$5005,$A100,Erfassung!$A$6:$A$5005,"&gt;="&amp;DATE(Einstellungen!$C$3,4,1),Erfassung!$A$6:$A$5005,"&lt;"&amp;DATE(Einstellungen!$C$3,5,1)))</f>
        <v/>
      </c>
      <c r="G100" s="54">
        <f>IF($B100="","",SUMIFS(Erfassung!$E$6:$E$5005,Erfassung!$B$6:$B$5005,$A100,Erfassung!$A$6:$A$5005,"&gt;="&amp;DATE(Einstellungen!$C$3,5,1),Erfassung!$A$6:$A$5005,"&lt;"&amp;DATE(Einstellungen!$C$3,6,1)))</f>
        <v/>
      </c>
      <c r="H100" s="54">
        <f>IF($B100="","",SUMIFS(Erfassung!$E$6:$E$5005,Erfassung!$B$6:$B$5005,$A100,Erfassung!$A$6:$A$5005,"&gt;="&amp;DATE(Einstellungen!$C$3,6,1),Erfassung!$A$6:$A$5005,"&lt;"&amp;DATE(Einstellungen!$C$3,7,1)))</f>
        <v/>
      </c>
      <c r="I100" s="54">
        <f>IF($B100="","",SUMIFS(Erfassung!$E$6:$E$5005,Erfassung!$B$6:$B$5005,$A100,Erfassung!$A$6:$A$5005,"&gt;="&amp;DATE(Einstellungen!$C$3,7,1),Erfassung!$A$6:$A$5005,"&lt;"&amp;DATE(Einstellungen!$C$3,8,1)))</f>
        <v/>
      </c>
      <c r="J100" s="54">
        <f>IF($B100="","",SUMIFS(Erfassung!$E$6:$E$5005,Erfassung!$B$6:$B$5005,$A100,Erfassung!$A$6:$A$5005,"&gt;="&amp;DATE(Einstellungen!$C$3,8,1),Erfassung!$A$6:$A$5005,"&lt;"&amp;DATE(Einstellungen!$C$3,9,1)))</f>
        <v/>
      </c>
      <c r="K100" s="54">
        <f>IF($B100="","",SUMIFS(Erfassung!$E$6:$E$5005,Erfassung!$B$6:$B$5005,$A100,Erfassung!$A$6:$A$5005,"&gt;="&amp;DATE(Einstellungen!$C$3,9,1),Erfassung!$A$6:$A$5005,"&lt;"&amp;DATE(Einstellungen!$C$3,10,1)))</f>
        <v/>
      </c>
      <c r="L100" s="54">
        <f>IF($B100="","",SUMIFS(Erfassung!$E$6:$E$5005,Erfassung!$B$6:$B$5005,$A100,Erfassung!$A$6:$A$5005,"&gt;="&amp;DATE(Einstellungen!$C$3,10,1),Erfassung!$A$6:$A$5005,"&lt;"&amp;DATE(Einstellungen!$C$3,11,1)))</f>
        <v/>
      </c>
      <c r="M100" s="54">
        <f>IF($B100="","",SUMIFS(Erfassung!$E$6:$E$5005,Erfassung!$B$6:$B$5005,$A100,Erfassung!$A$6:$A$5005,"&gt;="&amp;DATE(Einstellungen!$C$3,11,1),Erfassung!$A$6:$A$5005,"&lt;"&amp;DATE(Einstellungen!$C$3,12,1)))</f>
        <v/>
      </c>
      <c r="N100" s="54">
        <f>IF($B100="","",SUMIFS(Erfassung!$E$6:$E$5005,Erfassung!$B$6:$B$5005,$A100,Erfassung!$A$6:$A$5005,"&gt;="&amp;DATE(Einstellungen!$C$3,12,1),Erfassung!$A$6:$A$5005,"&lt;"&amp;DATE(Einstellungen!$C$3,13,1)))</f>
        <v/>
      </c>
      <c r="O100" s="45">
        <f>IF($B100="","",SUM(C100:N100))</f>
        <v/>
      </c>
      <c r="P100" s="54">
        <f>IF($B100="","",SUMIFS(Erfassung!$G$6:$G$5005,Erfassung!$B$6:$B$5005,$A100,Erfassung!$A$6:$A$5005,"&gt;="&amp;DATE(Einstellungen!$C$3,1,1),Erfassung!$A$6:$A$5005,"&lt;"&amp;DATE(Einstellungen!$C$3,2,1)))</f>
        <v/>
      </c>
      <c r="Q100" s="54">
        <f>IF($B100="","",SUMIFS(Erfassung!$G$6:$G$5005,Erfassung!$B$6:$B$5005,$A100,Erfassung!$A$6:$A$5005,"&gt;="&amp;DATE(Einstellungen!$C$3,2,1),Erfassung!$A$6:$A$5005,"&lt;"&amp;DATE(Einstellungen!$C$3,3,1)))</f>
        <v/>
      </c>
      <c r="R100" s="54">
        <f>IF($B100="","",SUMIFS(Erfassung!$G$6:$G$5005,Erfassung!$B$6:$B$5005,$A100,Erfassung!$A$6:$A$5005,"&gt;="&amp;DATE(Einstellungen!$C$3,3,1),Erfassung!$A$6:$A$5005,"&lt;"&amp;DATE(Einstellungen!$C$3,4,1)))</f>
        <v/>
      </c>
      <c r="S100" s="54">
        <f>IF($B100="","",SUMIFS(Erfassung!$G$6:$G$5005,Erfassung!$B$6:$B$5005,$A100,Erfassung!$A$6:$A$5005,"&gt;="&amp;DATE(Einstellungen!$C$3,4,1),Erfassung!$A$6:$A$5005,"&lt;"&amp;DATE(Einstellungen!$C$3,5,1)))</f>
        <v/>
      </c>
      <c r="T100" s="54">
        <f>IF($B100="","",SUMIFS(Erfassung!$G$6:$G$5005,Erfassung!$B$6:$B$5005,$A100,Erfassung!$A$6:$A$5005,"&gt;="&amp;DATE(Einstellungen!$C$3,5,1),Erfassung!$A$6:$A$5005,"&lt;"&amp;DATE(Einstellungen!$C$3,6,1)))</f>
        <v/>
      </c>
      <c r="U100" s="54">
        <f>IF($B100="","",SUMIFS(Erfassung!$G$6:$G$5005,Erfassung!$B$6:$B$5005,$A100,Erfassung!$A$6:$A$5005,"&gt;="&amp;DATE(Einstellungen!$C$3,6,1),Erfassung!$A$6:$A$5005,"&lt;"&amp;DATE(Einstellungen!$C$3,7,1)))</f>
        <v/>
      </c>
      <c r="V100" s="54">
        <f>IF($B100="","",SUMIFS(Erfassung!$G$6:$G$5005,Erfassung!$B$6:$B$5005,$A100,Erfassung!$A$6:$A$5005,"&gt;="&amp;DATE(Einstellungen!$C$3,7,1),Erfassung!$A$6:$A$5005,"&lt;"&amp;DATE(Einstellungen!$C$3,8,1)))</f>
        <v/>
      </c>
      <c r="W100" s="54">
        <f>IF($B100="","",SUMIFS(Erfassung!$G$6:$G$5005,Erfassung!$B$6:$B$5005,$A100,Erfassung!$A$6:$A$5005,"&gt;="&amp;DATE(Einstellungen!$C$3,8,1),Erfassung!$A$6:$A$5005,"&lt;"&amp;DATE(Einstellungen!$C$3,9,1)))</f>
        <v/>
      </c>
      <c r="X100" s="54">
        <f>IF($B100="","",SUMIFS(Erfassung!$G$6:$G$5005,Erfassung!$B$6:$B$5005,$A100,Erfassung!$A$6:$A$5005,"&gt;="&amp;DATE(Einstellungen!$C$3,9,1),Erfassung!$A$6:$A$5005,"&lt;"&amp;DATE(Einstellungen!$C$3,10,1)))</f>
        <v/>
      </c>
      <c r="Y100" s="54">
        <f>IF($B100="","",SUMIFS(Erfassung!$G$6:$G$5005,Erfassung!$B$6:$B$5005,$A100,Erfassung!$A$6:$A$5005,"&gt;="&amp;DATE(Einstellungen!$C$3,10,1),Erfassung!$A$6:$A$5005,"&lt;"&amp;DATE(Einstellungen!$C$3,11,1)))</f>
        <v/>
      </c>
      <c r="Z100" s="54">
        <f>IF($B100="","",SUMIFS(Erfassung!$G$6:$G$5005,Erfassung!$B$6:$B$5005,$A100,Erfassung!$A$6:$A$5005,"&gt;="&amp;DATE(Einstellungen!$C$3,11,1),Erfassung!$A$6:$A$5005,"&lt;"&amp;DATE(Einstellungen!$C$3,12,1)))</f>
        <v/>
      </c>
      <c r="AA100" s="54">
        <f>IF($B100="","",SUMIFS(Erfassung!$G$6:$G$5005,Erfassung!$B$6:$B$5005,$A100,Erfassung!$A$6:$A$5005,"&gt;="&amp;DATE(Einstellungen!$C$3,12,1),Erfassung!$A$6:$A$5005,"&lt;"&amp;DATE(Einstellungen!$C$3,13,1)))</f>
        <v/>
      </c>
      <c r="AB100" s="45">
        <f>IF($B100="","",SUM(P100:AA100))</f>
        <v/>
      </c>
      <c r="AC100" s="38">
        <f>IF($B100="","",IF(O100+AB100&gt;0,AB100/(O100+AB100),""))</f>
        <v/>
      </c>
    </row>
    <row r="101">
      <c r="A101" s="56">
        <f>'KQuote Mitarbeiter'!A101</f>
        <v/>
      </c>
      <c r="B101" s="57">
        <f>'KQuote Mitarbeiter'!B101</f>
        <v/>
      </c>
      <c r="C101" s="54">
        <f>IF($B101="","",SUMIFS(Erfassung!$E$6:$E$5005,Erfassung!$B$6:$B$5005,$A101,Erfassung!$A$6:$A$5005,"&gt;="&amp;DATE(Einstellungen!$C$3,1,1),Erfassung!$A$6:$A$5005,"&lt;"&amp;DATE(Einstellungen!$C$3,2,1)))</f>
        <v/>
      </c>
      <c r="D101" s="54">
        <f>IF($B101="","",SUMIFS(Erfassung!$E$6:$E$5005,Erfassung!$B$6:$B$5005,$A101,Erfassung!$A$6:$A$5005,"&gt;="&amp;DATE(Einstellungen!$C$3,2,1),Erfassung!$A$6:$A$5005,"&lt;"&amp;DATE(Einstellungen!$C$3,3,1)))</f>
        <v/>
      </c>
      <c r="E101" s="54">
        <f>IF($B101="","",SUMIFS(Erfassung!$E$6:$E$5005,Erfassung!$B$6:$B$5005,$A101,Erfassung!$A$6:$A$5005,"&gt;="&amp;DATE(Einstellungen!$C$3,3,1),Erfassung!$A$6:$A$5005,"&lt;"&amp;DATE(Einstellungen!$C$3,4,1)))</f>
        <v/>
      </c>
      <c r="F101" s="54">
        <f>IF($B101="","",SUMIFS(Erfassung!$E$6:$E$5005,Erfassung!$B$6:$B$5005,$A101,Erfassung!$A$6:$A$5005,"&gt;="&amp;DATE(Einstellungen!$C$3,4,1),Erfassung!$A$6:$A$5005,"&lt;"&amp;DATE(Einstellungen!$C$3,5,1)))</f>
        <v/>
      </c>
      <c r="G101" s="54">
        <f>IF($B101="","",SUMIFS(Erfassung!$E$6:$E$5005,Erfassung!$B$6:$B$5005,$A101,Erfassung!$A$6:$A$5005,"&gt;="&amp;DATE(Einstellungen!$C$3,5,1),Erfassung!$A$6:$A$5005,"&lt;"&amp;DATE(Einstellungen!$C$3,6,1)))</f>
        <v/>
      </c>
      <c r="H101" s="54">
        <f>IF($B101="","",SUMIFS(Erfassung!$E$6:$E$5005,Erfassung!$B$6:$B$5005,$A101,Erfassung!$A$6:$A$5005,"&gt;="&amp;DATE(Einstellungen!$C$3,6,1),Erfassung!$A$6:$A$5005,"&lt;"&amp;DATE(Einstellungen!$C$3,7,1)))</f>
        <v/>
      </c>
      <c r="I101" s="54">
        <f>IF($B101="","",SUMIFS(Erfassung!$E$6:$E$5005,Erfassung!$B$6:$B$5005,$A101,Erfassung!$A$6:$A$5005,"&gt;="&amp;DATE(Einstellungen!$C$3,7,1),Erfassung!$A$6:$A$5005,"&lt;"&amp;DATE(Einstellungen!$C$3,8,1)))</f>
        <v/>
      </c>
      <c r="J101" s="54">
        <f>IF($B101="","",SUMIFS(Erfassung!$E$6:$E$5005,Erfassung!$B$6:$B$5005,$A101,Erfassung!$A$6:$A$5005,"&gt;="&amp;DATE(Einstellungen!$C$3,8,1),Erfassung!$A$6:$A$5005,"&lt;"&amp;DATE(Einstellungen!$C$3,9,1)))</f>
        <v/>
      </c>
      <c r="K101" s="54">
        <f>IF($B101="","",SUMIFS(Erfassung!$E$6:$E$5005,Erfassung!$B$6:$B$5005,$A101,Erfassung!$A$6:$A$5005,"&gt;="&amp;DATE(Einstellungen!$C$3,9,1),Erfassung!$A$6:$A$5005,"&lt;"&amp;DATE(Einstellungen!$C$3,10,1)))</f>
        <v/>
      </c>
      <c r="L101" s="54">
        <f>IF($B101="","",SUMIFS(Erfassung!$E$6:$E$5005,Erfassung!$B$6:$B$5005,$A101,Erfassung!$A$6:$A$5005,"&gt;="&amp;DATE(Einstellungen!$C$3,10,1),Erfassung!$A$6:$A$5005,"&lt;"&amp;DATE(Einstellungen!$C$3,11,1)))</f>
        <v/>
      </c>
      <c r="M101" s="54">
        <f>IF($B101="","",SUMIFS(Erfassung!$E$6:$E$5005,Erfassung!$B$6:$B$5005,$A101,Erfassung!$A$6:$A$5005,"&gt;="&amp;DATE(Einstellungen!$C$3,11,1),Erfassung!$A$6:$A$5005,"&lt;"&amp;DATE(Einstellungen!$C$3,12,1)))</f>
        <v/>
      </c>
      <c r="N101" s="54">
        <f>IF($B101="","",SUMIFS(Erfassung!$E$6:$E$5005,Erfassung!$B$6:$B$5005,$A101,Erfassung!$A$6:$A$5005,"&gt;="&amp;DATE(Einstellungen!$C$3,12,1),Erfassung!$A$6:$A$5005,"&lt;"&amp;DATE(Einstellungen!$C$3,13,1)))</f>
        <v/>
      </c>
      <c r="O101" s="45">
        <f>IF($B101="","",SUM(C101:N101))</f>
        <v/>
      </c>
      <c r="P101" s="54">
        <f>IF($B101="","",SUMIFS(Erfassung!$G$6:$G$5005,Erfassung!$B$6:$B$5005,$A101,Erfassung!$A$6:$A$5005,"&gt;="&amp;DATE(Einstellungen!$C$3,1,1),Erfassung!$A$6:$A$5005,"&lt;"&amp;DATE(Einstellungen!$C$3,2,1)))</f>
        <v/>
      </c>
      <c r="Q101" s="54">
        <f>IF($B101="","",SUMIFS(Erfassung!$G$6:$G$5005,Erfassung!$B$6:$B$5005,$A101,Erfassung!$A$6:$A$5005,"&gt;="&amp;DATE(Einstellungen!$C$3,2,1),Erfassung!$A$6:$A$5005,"&lt;"&amp;DATE(Einstellungen!$C$3,3,1)))</f>
        <v/>
      </c>
      <c r="R101" s="54">
        <f>IF($B101="","",SUMIFS(Erfassung!$G$6:$G$5005,Erfassung!$B$6:$B$5005,$A101,Erfassung!$A$6:$A$5005,"&gt;="&amp;DATE(Einstellungen!$C$3,3,1),Erfassung!$A$6:$A$5005,"&lt;"&amp;DATE(Einstellungen!$C$3,4,1)))</f>
        <v/>
      </c>
      <c r="S101" s="54">
        <f>IF($B101="","",SUMIFS(Erfassung!$G$6:$G$5005,Erfassung!$B$6:$B$5005,$A101,Erfassung!$A$6:$A$5005,"&gt;="&amp;DATE(Einstellungen!$C$3,4,1),Erfassung!$A$6:$A$5005,"&lt;"&amp;DATE(Einstellungen!$C$3,5,1)))</f>
        <v/>
      </c>
      <c r="T101" s="54">
        <f>IF($B101="","",SUMIFS(Erfassung!$G$6:$G$5005,Erfassung!$B$6:$B$5005,$A101,Erfassung!$A$6:$A$5005,"&gt;="&amp;DATE(Einstellungen!$C$3,5,1),Erfassung!$A$6:$A$5005,"&lt;"&amp;DATE(Einstellungen!$C$3,6,1)))</f>
        <v/>
      </c>
      <c r="U101" s="54">
        <f>IF($B101="","",SUMIFS(Erfassung!$G$6:$G$5005,Erfassung!$B$6:$B$5005,$A101,Erfassung!$A$6:$A$5005,"&gt;="&amp;DATE(Einstellungen!$C$3,6,1),Erfassung!$A$6:$A$5005,"&lt;"&amp;DATE(Einstellungen!$C$3,7,1)))</f>
        <v/>
      </c>
      <c r="V101" s="54">
        <f>IF($B101="","",SUMIFS(Erfassung!$G$6:$G$5005,Erfassung!$B$6:$B$5005,$A101,Erfassung!$A$6:$A$5005,"&gt;="&amp;DATE(Einstellungen!$C$3,7,1),Erfassung!$A$6:$A$5005,"&lt;"&amp;DATE(Einstellungen!$C$3,8,1)))</f>
        <v/>
      </c>
      <c r="W101" s="54">
        <f>IF($B101="","",SUMIFS(Erfassung!$G$6:$G$5005,Erfassung!$B$6:$B$5005,$A101,Erfassung!$A$6:$A$5005,"&gt;="&amp;DATE(Einstellungen!$C$3,8,1),Erfassung!$A$6:$A$5005,"&lt;"&amp;DATE(Einstellungen!$C$3,9,1)))</f>
        <v/>
      </c>
      <c r="X101" s="54">
        <f>IF($B101="","",SUMIFS(Erfassung!$G$6:$G$5005,Erfassung!$B$6:$B$5005,$A101,Erfassung!$A$6:$A$5005,"&gt;="&amp;DATE(Einstellungen!$C$3,9,1),Erfassung!$A$6:$A$5005,"&lt;"&amp;DATE(Einstellungen!$C$3,10,1)))</f>
        <v/>
      </c>
      <c r="Y101" s="54">
        <f>IF($B101="","",SUMIFS(Erfassung!$G$6:$G$5005,Erfassung!$B$6:$B$5005,$A101,Erfassung!$A$6:$A$5005,"&gt;="&amp;DATE(Einstellungen!$C$3,10,1),Erfassung!$A$6:$A$5005,"&lt;"&amp;DATE(Einstellungen!$C$3,11,1)))</f>
        <v/>
      </c>
      <c r="Z101" s="54">
        <f>IF($B101="","",SUMIFS(Erfassung!$G$6:$G$5005,Erfassung!$B$6:$B$5005,$A101,Erfassung!$A$6:$A$5005,"&gt;="&amp;DATE(Einstellungen!$C$3,11,1),Erfassung!$A$6:$A$5005,"&lt;"&amp;DATE(Einstellungen!$C$3,12,1)))</f>
        <v/>
      </c>
      <c r="AA101" s="54">
        <f>IF($B101="","",SUMIFS(Erfassung!$G$6:$G$5005,Erfassung!$B$6:$B$5005,$A101,Erfassung!$A$6:$A$5005,"&gt;="&amp;DATE(Einstellungen!$C$3,12,1),Erfassung!$A$6:$A$5005,"&lt;"&amp;DATE(Einstellungen!$C$3,13,1)))</f>
        <v/>
      </c>
      <c r="AB101" s="45">
        <f>IF($B101="","",SUM(P101:AA101))</f>
        <v/>
      </c>
      <c r="AC101" s="38">
        <f>IF($B101="","",IF(O101+AB101&gt;0,AB101/(O101+AB101),""))</f>
        <v/>
      </c>
    </row>
    <row r="102">
      <c r="A102" s="56">
        <f>'KQuote Mitarbeiter'!A102</f>
        <v/>
      </c>
      <c r="B102" s="57">
        <f>'KQuote Mitarbeiter'!B102</f>
        <v/>
      </c>
      <c r="C102" s="54">
        <f>IF($B102="","",SUMIFS(Erfassung!$E$6:$E$5005,Erfassung!$B$6:$B$5005,$A102,Erfassung!$A$6:$A$5005,"&gt;="&amp;DATE(Einstellungen!$C$3,1,1),Erfassung!$A$6:$A$5005,"&lt;"&amp;DATE(Einstellungen!$C$3,2,1)))</f>
        <v/>
      </c>
      <c r="D102" s="54">
        <f>IF($B102="","",SUMIFS(Erfassung!$E$6:$E$5005,Erfassung!$B$6:$B$5005,$A102,Erfassung!$A$6:$A$5005,"&gt;="&amp;DATE(Einstellungen!$C$3,2,1),Erfassung!$A$6:$A$5005,"&lt;"&amp;DATE(Einstellungen!$C$3,3,1)))</f>
        <v/>
      </c>
      <c r="E102" s="54">
        <f>IF($B102="","",SUMIFS(Erfassung!$E$6:$E$5005,Erfassung!$B$6:$B$5005,$A102,Erfassung!$A$6:$A$5005,"&gt;="&amp;DATE(Einstellungen!$C$3,3,1),Erfassung!$A$6:$A$5005,"&lt;"&amp;DATE(Einstellungen!$C$3,4,1)))</f>
        <v/>
      </c>
      <c r="F102" s="54">
        <f>IF($B102="","",SUMIFS(Erfassung!$E$6:$E$5005,Erfassung!$B$6:$B$5005,$A102,Erfassung!$A$6:$A$5005,"&gt;="&amp;DATE(Einstellungen!$C$3,4,1),Erfassung!$A$6:$A$5005,"&lt;"&amp;DATE(Einstellungen!$C$3,5,1)))</f>
        <v/>
      </c>
      <c r="G102" s="54">
        <f>IF($B102="","",SUMIFS(Erfassung!$E$6:$E$5005,Erfassung!$B$6:$B$5005,$A102,Erfassung!$A$6:$A$5005,"&gt;="&amp;DATE(Einstellungen!$C$3,5,1),Erfassung!$A$6:$A$5005,"&lt;"&amp;DATE(Einstellungen!$C$3,6,1)))</f>
        <v/>
      </c>
      <c r="H102" s="54">
        <f>IF($B102="","",SUMIFS(Erfassung!$E$6:$E$5005,Erfassung!$B$6:$B$5005,$A102,Erfassung!$A$6:$A$5005,"&gt;="&amp;DATE(Einstellungen!$C$3,6,1),Erfassung!$A$6:$A$5005,"&lt;"&amp;DATE(Einstellungen!$C$3,7,1)))</f>
        <v/>
      </c>
      <c r="I102" s="54">
        <f>IF($B102="","",SUMIFS(Erfassung!$E$6:$E$5005,Erfassung!$B$6:$B$5005,$A102,Erfassung!$A$6:$A$5005,"&gt;="&amp;DATE(Einstellungen!$C$3,7,1),Erfassung!$A$6:$A$5005,"&lt;"&amp;DATE(Einstellungen!$C$3,8,1)))</f>
        <v/>
      </c>
      <c r="J102" s="54">
        <f>IF($B102="","",SUMIFS(Erfassung!$E$6:$E$5005,Erfassung!$B$6:$B$5005,$A102,Erfassung!$A$6:$A$5005,"&gt;="&amp;DATE(Einstellungen!$C$3,8,1),Erfassung!$A$6:$A$5005,"&lt;"&amp;DATE(Einstellungen!$C$3,9,1)))</f>
        <v/>
      </c>
      <c r="K102" s="54">
        <f>IF($B102="","",SUMIFS(Erfassung!$E$6:$E$5005,Erfassung!$B$6:$B$5005,$A102,Erfassung!$A$6:$A$5005,"&gt;="&amp;DATE(Einstellungen!$C$3,9,1),Erfassung!$A$6:$A$5005,"&lt;"&amp;DATE(Einstellungen!$C$3,10,1)))</f>
        <v/>
      </c>
      <c r="L102" s="54">
        <f>IF($B102="","",SUMIFS(Erfassung!$E$6:$E$5005,Erfassung!$B$6:$B$5005,$A102,Erfassung!$A$6:$A$5005,"&gt;="&amp;DATE(Einstellungen!$C$3,10,1),Erfassung!$A$6:$A$5005,"&lt;"&amp;DATE(Einstellungen!$C$3,11,1)))</f>
        <v/>
      </c>
      <c r="M102" s="54">
        <f>IF($B102="","",SUMIFS(Erfassung!$E$6:$E$5005,Erfassung!$B$6:$B$5005,$A102,Erfassung!$A$6:$A$5005,"&gt;="&amp;DATE(Einstellungen!$C$3,11,1),Erfassung!$A$6:$A$5005,"&lt;"&amp;DATE(Einstellungen!$C$3,12,1)))</f>
        <v/>
      </c>
      <c r="N102" s="54">
        <f>IF($B102="","",SUMIFS(Erfassung!$E$6:$E$5005,Erfassung!$B$6:$B$5005,$A102,Erfassung!$A$6:$A$5005,"&gt;="&amp;DATE(Einstellungen!$C$3,12,1),Erfassung!$A$6:$A$5005,"&lt;"&amp;DATE(Einstellungen!$C$3,13,1)))</f>
        <v/>
      </c>
      <c r="O102" s="45">
        <f>IF($B102="","",SUM(C102:N102))</f>
        <v/>
      </c>
      <c r="P102" s="54">
        <f>IF($B102="","",SUMIFS(Erfassung!$G$6:$G$5005,Erfassung!$B$6:$B$5005,$A102,Erfassung!$A$6:$A$5005,"&gt;="&amp;DATE(Einstellungen!$C$3,1,1),Erfassung!$A$6:$A$5005,"&lt;"&amp;DATE(Einstellungen!$C$3,2,1)))</f>
        <v/>
      </c>
      <c r="Q102" s="54">
        <f>IF($B102="","",SUMIFS(Erfassung!$G$6:$G$5005,Erfassung!$B$6:$B$5005,$A102,Erfassung!$A$6:$A$5005,"&gt;="&amp;DATE(Einstellungen!$C$3,2,1),Erfassung!$A$6:$A$5005,"&lt;"&amp;DATE(Einstellungen!$C$3,3,1)))</f>
        <v/>
      </c>
      <c r="R102" s="54">
        <f>IF($B102="","",SUMIFS(Erfassung!$G$6:$G$5005,Erfassung!$B$6:$B$5005,$A102,Erfassung!$A$6:$A$5005,"&gt;="&amp;DATE(Einstellungen!$C$3,3,1),Erfassung!$A$6:$A$5005,"&lt;"&amp;DATE(Einstellungen!$C$3,4,1)))</f>
        <v/>
      </c>
      <c r="S102" s="54">
        <f>IF($B102="","",SUMIFS(Erfassung!$G$6:$G$5005,Erfassung!$B$6:$B$5005,$A102,Erfassung!$A$6:$A$5005,"&gt;="&amp;DATE(Einstellungen!$C$3,4,1),Erfassung!$A$6:$A$5005,"&lt;"&amp;DATE(Einstellungen!$C$3,5,1)))</f>
        <v/>
      </c>
      <c r="T102" s="54">
        <f>IF($B102="","",SUMIFS(Erfassung!$G$6:$G$5005,Erfassung!$B$6:$B$5005,$A102,Erfassung!$A$6:$A$5005,"&gt;="&amp;DATE(Einstellungen!$C$3,5,1),Erfassung!$A$6:$A$5005,"&lt;"&amp;DATE(Einstellungen!$C$3,6,1)))</f>
        <v/>
      </c>
      <c r="U102" s="54">
        <f>IF($B102="","",SUMIFS(Erfassung!$G$6:$G$5005,Erfassung!$B$6:$B$5005,$A102,Erfassung!$A$6:$A$5005,"&gt;="&amp;DATE(Einstellungen!$C$3,6,1),Erfassung!$A$6:$A$5005,"&lt;"&amp;DATE(Einstellungen!$C$3,7,1)))</f>
        <v/>
      </c>
      <c r="V102" s="54">
        <f>IF($B102="","",SUMIFS(Erfassung!$G$6:$G$5005,Erfassung!$B$6:$B$5005,$A102,Erfassung!$A$6:$A$5005,"&gt;="&amp;DATE(Einstellungen!$C$3,7,1),Erfassung!$A$6:$A$5005,"&lt;"&amp;DATE(Einstellungen!$C$3,8,1)))</f>
        <v/>
      </c>
      <c r="W102" s="54">
        <f>IF($B102="","",SUMIFS(Erfassung!$G$6:$G$5005,Erfassung!$B$6:$B$5005,$A102,Erfassung!$A$6:$A$5005,"&gt;="&amp;DATE(Einstellungen!$C$3,8,1),Erfassung!$A$6:$A$5005,"&lt;"&amp;DATE(Einstellungen!$C$3,9,1)))</f>
        <v/>
      </c>
      <c r="X102" s="54">
        <f>IF($B102="","",SUMIFS(Erfassung!$G$6:$G$5005,Erfassung!$B$6:$B$5005,$A102,Erfassung!$A$6:$A$5005,"&gt;="&amp;DATE(Einstellungen!$C$3,9,1),Erfassung!$A$6:$A$5005,"&lt;"&amp;DATE(Einstellungen!$C$3,10,1)))</f>
        <v/>
      </c>
      <c r="Y102" s="54">
        <f>IF($B102="","",SUMIFS(Erfassung!$G$6:$G$5005,Erfassung!$B$6:$B$5005,$A102,Erfassung!$A$6:$A$5005,"&gt;="&amp;DATE(Einstellungen!$C$3,10,1),Erfassung!$A$6:$A$5005,"&lt;"&amp;DATE(Einstellungen!$C$3,11,1)))</f>
        <v/>
      </c>
      <c r="Z102" s="54">
        <f>IF($B102="","",SUMIFS(Erfassung!$G$6:$G$5005,Erfassung!$B$6:$B$5005,$A102,Erfassung!$A$6:$A$5005,"&gt;="&amp;DATE(Einstellungen!$C$3,11,1),Erfassung!$A$6:$A$5005,"&lt;"&amp;DATE(Einstellungen!$C$3,12,1)))</f>
        <v/>
      </c>
      <c r="AA102" s="54">
        <f>IF($B102="","",SUMIFS(Erfassung!$G$6:$G$5005,Erfassung!$B$6:$B$5005,$A102,Erfassung!$A$6:$A$5005,"&gt;="&amp;DATE(Einstellungen!$C$3,12,1),Erfassung!$A$6:$A$5005,"&lt;"&amp;DATE(Einstellungen!$C$3,13,1)))</f>
        <v/>
      </c>
      <c r="AB102" s="45">
        <f>IF($B102="","",SUM(P102:AA102))</f>
        <v/>
      </c>
      <c r="AC102" s="38">
        <f>IF($B102="","",IF(O102+AB102&gt;0,AB102/(O102+AB102),""))</f>
        <v/>
      </c>
    </row>
    <row r="103">
      <c r="A103" s="56">
        <f>'KQuote Mitarbeiter'!A103</f>
        <v/>
      </c>
      <c r="B103" s="57">
        <f>'KQuote Mitarbeiter'!B103</f>
        <v/>
      </c>
      <c r="C103" s="54">
        <f>IF($B103="","",SUMIFS(Erfassung!$E$6:$E$5005,Erfassung!$B$6:$B$5005,$A103,Erfassung!$A$6:$A$5005,"&gt;="&amp;DATE(Einstellungen!$C$3,1,1),Erfassung!$A$6:$A$5005,"&lt;"&amp;DATE(Einstellungen!$C$3,2,1)))</f>
        <v/>
      </c>
      <c r="D103" s="54">
        <f>IF($B103="","",SUMIFS(Erfassung!$E$6:$E$5005,Erfassung!$B$6:$B$5005,$A103,Erfassung!$A$6:$A$5005,"&gt;="&amp;DATE(Einstellungen!$C$3,2,1),Erfassung!$A$6:$A$5005,"&lt;"&amp;DATE(Einstellungen!$C$3,3,1)))</f>
        <v/>
      </c>
      <c r="E103" s="54">
        <f>IF($B103="","",SUMIFS(Erfassung!$E$6:$E$5005,Erfassung!$B$6:$B$5005,$A103,Erfassung!$A$6:$A$5005,"&gt;="&amp;DATE(Einstellungen!$C$3,3,1),Erfassung!$A$6:$A$5005,"&lt;"&amp;DATE(Einstellungen!$C$3,4,1)))</f>
        <v/>
      </c>
      <c r="F103" s="54">
        <f>IF($B103="","",SUMIFS(Erfassung!$E$6:$E$5005,Erfassung!$B$6:$B$5005,$A103,Erfassung!$A$6:$A$5005,"&gt;="&amp;DATE(Einstellungen!$C$3,4,1),Erfassung!$A$6:$A$5005,"&lt;"&amp;DATE(Einstellungen!$C$3,5,1)))</f>
        <v/>
      </c>
      <c r="G103" s="54">
        <f>IF($B103="","",SUMIFS(Erfassung!$E$6:$E$5005,Erfassung!$B$6:$B$5005,$A103,Erfassung!$A$6:$A$5005,"&gt;="&amp;DATE(Einstellungen!$C$3,5,1),Erfassung!$A$6:$A$5005,"&lt;"&amp;DATE(Einstellungen!$C$3,6,1)))</f>
        <v/>
      </c>
      <c r="H103" s="54">
        <f>IF($B103="","",SUMIFS(Erfassung!$E$6:$E$5005,Erfassung!$B$6:$B$5005,$A103,Erfassung!$A$6:$A$5005,"&gt;="&amp;DATE(Einstellungen!$C$3,6,1),Erfassung!$A$6:$A$5005,"&lt;"&amp;DATE(Einstellungen!$C$3,7,1)))</f>
        <v/>
      </c>
      <c r="I103" s="54">
        <f>IF($B103="","",SUMIFS(Erfassung!$E$6:$E$5005,Erfassung!$B$6:$B$5005,$A103,Erfassung!$A$6:$A$5005,"&gt;="&amp;DATE(Einstellungen!$C$3,7,1),Erfassung!$A$6:$A$5005,"&lt;"&amp;DATE(Einstellungen!$C$3,8,1)))</f>
        <v/>
      </c>
      <c r="J103" s="54">
        <f>IF($B103="","",SUMIFS(Erfassung!$E$6:$E$5005,Erfassung!$B$6:$B$5005,$A103,Erfassung!$A$6:$A$5005,"&gt;="&amp;DATE(Einstellungen!$C$3,8,1),Erfassung!$A$6:$A$5005,"&lt;"&amp;DATE(Einstellungen!$C$3,9,1)))</f>
        <v/>
      </c>
      <c r="K103" s="54">
        <f>IF($B103="","",SUMIFS(Erfassung!$E$6:$E$5005,Erfassung!$B$6:$B$5005,$A103,Erfassung!$A$6:$A$5005,"&gt;="&amp;DATE(Einstellungen!$C$3,9,1),Erfassung!$A$6:$A$5005,"&lt;"&amp;DATE(Einstellungen!$C$3,10,1)))</f>
        <v/>
      </c>
      <c r="L103" s="54">
        <f>IF($B103="","",SUMIFS(Erfassung!$E$6:$E$5005,Erfassung!$B$6:$B$5005,$A103,Erfassung!$A$6:$A$5005,"&gt;="&amp;DATE(Einstellungen!$C$3,10,1),Erfassung!$A$6:$A$5005,"&lt;"&amp;DATE(Einstellungen!$C$3,11,1)))</f>
        <v/>
      </c>
      <c r="M103" s="54">
        <f>IF($B103="","",SUMIFS(Erfassung!$E$6:$E$5005,Erfassung!$B$6:$B$5005,$A103,Erfassung!$A$6:$A$5005,"&gt;="&amp;DATE(Einstellungen!$C$3,11,1),Erfassung!$A$6:$A$5005,"&lt;"&amp;DATE(Einstellungen!$C$3,12,1)))</f>
        <v/>
      </c>
      <c r="N103" s="54">
        <f>IF($B103="","",SUMIFS(Erfassung!$E$6:$E$5005,Erfassung!$B$6:$B$5005,$A103,Erfassung!$A$6:$A$5005,"&gt;="&amp;DATE(Einstellungen!$C$3,12,1),Erfassung!$A$6:$A$5005,"&lt;"&amp;DATE(Einstellungen!$C$3,13,1)))</f>
        <v/>
      </c>
      <c r="O103" s="45">
        <f>IF($B103="","",SUM(C103:N103))</f>
        <v/>
      </c>
      <c r="P103" s="54">
        <f>IF($B103="","",SUMIFS(Erfassung!$G$6:$G$5005,Erfassung!$B$6:$B$5005,$A103,Erfassung!$A$6:$A$5005,"&gt;="&amp;DATE(Einstellungen!$C$3,1,1),Erfassung!$A$6:$A$5005,"&lt;"&amp;DATE(Einstellungen!$C$3,2,1)))</f>
        <v/>
      </c>
      <c r="Q103" s="54">
        <f>IF($B103="","",SUMIFS(Erfassung!$G$6:$G$5005,Erfassung!$B$6:$B$5005,$A103,Erfassung!$A$6:$A$5005,"&gt;="&amp;DATE(Einstellungen!$C$3,2,1),Erfassung!$A$6:$A$5005,"&lt;"&amp;DATE(Einstellungen!$C$3,3,1)))</f>
        <v/>
      </c>
      <c r="R103" s="54">
        <f>IF($B103="","",SUMIFS(Erfassung!$G$6:$G$5005,Erfassung!$B$6:$B$5005,$A103,Erfassung!$A$6:$A$5005,"&gt;="&amp;DATE(Einstellungen!$C$3,3,1),Erfassung!$A$6:$A$5005,"&lt;"&amp;DATE(Einstellungen!$C$3,4,1)))</f>
        <v/>
      </c>
      <c r="S103" s="54">
        <f>IF($B103="","",SUMIFS(Erfassung!$G$6:$G$5005,Erfassung!$B$6:$B$5005,$A103,Erfassung!$A$6:$A$5005,"&gt;="&amp;DATE(Einstellungen!$C$3,4,1),Erfassung!$A$6:$A$5005,"&lt;"&amp;DATE(Einstellungen!$C$3,5,1)))</f>
        <v/>
      </c>
      <c r="T103" s="54">
        <f>IF($B103="","",SUMIFS(Erfassung!$G$6:$G$5005,Erfassung!$B$6:$B$5005,$A103,Erfassung!$A$6:$A$5005,"&gt;="&amp;DATE(Einstellungen!$C$3,5,1),Erfassung!$A$6:$A$5005,"&lt;"&amp;DATE(Einstellungen!$C$3,6,1)))</f>
        <v/>
      </c>
      <c r="U103" s="54">
        <f>IF($B103="","",SUMIFS(Erfassung!$G$6:$G$5005,Erfassung!$B$6:$B$5005,$A103,Erfassung!$A$6:$A$5005,"&gt;="&amp;DATE(Einstellungen!$C$3,6,1),Erfassung!$A$6:$A$5005,"&lt;"&amp;DATE(Einstellungen!$C$3,7,1)))</f>
        <v/>
      </c>
      <c r="V103" s="54">
        <f>IF($B103="","",SUMIFS(Erfassung!$G$6:$G$5005,Erfassung!$B$6:$B$5005,$A103,Erfassung!$A$6:$A$5005,"&gt;="&amp;DATE(Einstellungen!$C$3,7,1),Erfassung!$A$6:$A$5005,"&lt;"&amp;DATE(Einstellungen!$C$3,8,1)))</f>
        <v/>
      </c>
      <c r="W103" s="54">
        <f>IF($B103="","",SUMIFS(Erfassung!$G$6:$G$5005,Erfassung!$B$6:$B$5005,$A103,Erfassung!$A$6:$A$5005,"&gt;="&amp;DATE(Einstellungen!$C$3,8,1),Erfassung!$A$6:$A$5005,"&lt;"&amp;DATE(Einstellungen!$C$3,9,1)))</f>
        <v/>
      </c>
      <c r="X103" s="54">
        <f>IF($B103="","",SUMIFS(Erfassung!$G$6:$G$5005,Erfassung!$B$6:$B$5005,$A103,Erfassung!$A$6:$A$5005,"&gt;="&amp;DATE(Einstellungen!$C$3,9,1),Erfassung!$A$6:$A$5005,"&lt;"&amp;DATE(Einstellungen!$C$3,10,1)))</f>
        <v/>
      </c>
      <c r="Y103" s="54">
        <f>IF($B103="","",SUMIFS(Erfassung!$G$6:$G$5005,Erfassung!$B$6:$B$5005,$A103,Erfassung!$A$6:$A$5005,"&gt;="&amp;DATE(Einstellungen!$C$3,10,1),Erfassung!$A$6:$A$5005,"&lt;"&amp;DATE(Einstellungen!$C$3,11,1)))</f>
        <v/>
      </c>
      <c r="Z103" s="54">
        <f>IF($B103="","",SUMIFS(Erfassung!$G$6:$G$5005,Erfassung!$B$6:$B$5005,$A103,Erfassung!$A$6:$A$5005,"&gt;="&amp;DATE(Einstellungen!$C$3,11,1),Erfassung!$A$6:$A$5005,"&lt;"&amp;DATE(Einstellungen!$C$3,12,1)))</f>
        <v/>
      </c>
      <c r="AA103" s="54">
        <f>IF($B103="","",SUMIFS(Erfassung!$G$6:$G$5005,Erfassung!$B$6:$B$5005,$A103,Erfassung!$A$6:$A$5005,"&gt;="&amp;DATE(Einstellungen!$C$3,12,1),Erfassung!$A$6:$A$5005,"&lt;"&amp;DATE(Einstellungen!$C$3,13,1)))</f>
        <v/>
      </c>
      <c r="AB103" s="45">
        <f>IF($B103="","",SUM(P103:AA103))</f>
        <v/>
      </c>
      <c r="AC103" s="38">
        <f>IF($B103="","",IF(O103+AB103&gt;0,AB103/(O103+AB103),""))</f>
        <v/>
      </c>
    </row>
    <row r="104">
      <c r="A104" s="56">
        <f>'KQuote Mitarbeiter'!A104</f>
        <v/>
      </c>
      <c r="B104" s="57">
        <f>'KQuote Mitarbeiter'!B104</f>
        <v/>
      </c>
      <c r="C104" s="54">
        <f>IF($B104="","",SUMIFS(Erfassung!$E$6:$E$5005,Erfassung!$B$6:$B$5005,$A104,Erfassung!$A$6:$A$5005,"&gt;="&amp;DATE(Einstellungen!$C$3,1,1),Erfassung!$A$6:$A$5005,"&lt;"&amp;DATE(Einstellungen!$C$3,2,1)))</f>
        <v/>
      </c>
      <c r="D104" s="54">
        <f>IF($B104="","",SUMIFS(Erfassung!$E$6:$E$5005,Erfassung!$B$6:$B$5005,$A104,Erfassung!$A$6:$A$5005,"&gt;="&amp;DATE(Einstellungen!$C$3,2,1),Erfassung!$A$6:$A$5005,"&lt;"&amp;DATE(Einstellungen!$C$3,3,1)))</f>
        <v/>
      </c>
      <c r="E104" s="54">
        <f>IF($B104="","",SUMIFS(Erfassung!$E$6:$E$5005,Erfassung!$B$6:$B$5005,$A104,Erfassung!$A$6:$A$5005,"&gt;="&amp;DATE(Einstellungen!$C$3,3,1),Erfassung!$A$6:$A$5005,"&lt;"&amp;DATE(Einstellungen!$C$3,4,1)))</f>
        <v/>
      </c>
      <c r="F104" s="54">
        <f>IF($B104="","",SUMIFS(Erfassung!$E$6:$E$5005,Erfassung!$B$6:$B$5005,$A104,Erfassung!$A$6:$A$5005,"&gt;="&amp;DATE(Einstellungen!$C$3,4,1),Erfassung!$A$6:$A$5005,"&lt;"&amp;DATE(Einstellungen!$C$3,5,1)))</f>
        <v/>
      </c>
      <c r="G104" s="54">
        <f>IF($B104="","",SUMIFS(Erfassung!$E$6:$E$5005,Erfassung!$B$6:$B$5005,$A104,Erfassung!$A$6:$A$5005,"&gt;="&amp;DATE(Einstellungen!$C$3,5,1),Erfassung!$A$6:$A$5005,"&lt;"&amp;DATE(Einstellungen!$C$3,6,1)))</f>
        <v/>
      </c>
      <c r="H104" s="54">
        <f>IF($B104="","",SUMIFS(Erfassung!$E$6:$E$5005,Erfassung!$B$6:$B$5005,$A104,Erfassung!$A$6:$A$5005,"&gt;="&amp;DATE(Einstellungen!$C$3,6,1),Erfassung!$A$6:$A$5005,"&lt;"&amp;DATE(Einstellungen!$C$3,7,1)))</f>
        <v/>
      </c>
      <c r="I104" s="54">
        <f>IF($B104="","",SUMIFS(Erfassung!$E$6:$E$5005,Erfassung!$B$6:$B$5005,$A104,Erfassung!$A$6:$A$5005,"&gt;="&amp;DATE(Einstellungen!$C$3,7,1),Erfassung!$A$6:$A$5005,"&lt;"&amp;DATE(Einstellungen!$C$3,8,1)))</f>
        <v/>
      </c>
      <c r="J104" s="54">
        <f>IF($B104="","",SUMIFS(Erfassung!$E$6:$E$5005,Erfassung!$B$6:$B$5005,$A104,Erfassung!$A$6:$A$5005,"&gt;="&amp;DATE(Einstellungen!$C$3,8,1),Erfassung!$A$6:$A$5005,"&lt;"&amp;DATE(Einstellungen!$C$3,9,1)))</f>
        <v/>
      </c>
      <c r="K104" s="54">
        <f>IF($B104="","",SUMIFS(Erfassung!$E$6:$E$5005,Erfassung!$B$6:$B$5005,$A104,Erfassung!$A$6:$A$5005,"&gt;="&amp;DATE(Einstellungen!$C$3,9,1),Erfassung!$A$6:$A$5005,"&lt;"&amp;DATE(Einstellungen!$C$3,10,1)))</f>
        <v/>
      </c>
      <c r="L104" s="54">
        <f>IF($B104="","",SUMIFS(Erfassung!$E$6:$E$5005,Erfassung!$B$6:$B$5005,$A104,Erfassung!$A$6:$A$5005,"&gt;="&amp;DATE(Einstellungen!$C$3,10,1),Erfassung!$A$6:$A$5005,"&lt;"&amp;DATE(Einstellungen!$C$3,11,1)))</f>
        <v/>
      </c>
      <c r="M104" s="54">
        <f>IF($B104="","",SUMIFS(Erfassung!$E$6:$E$5005,Erfassung!$B$6:$B$5005,$A104,Erfassung!$A$6:$A$5005,"&gt;="&amp;DATE(Einstellungen!$C$3,11,1),Erfassung!$A$6:$A$5005,"&lt;"&amp;DATE(Einstellungen!$C$3,12,1)))</f>
        <v/>
      </c>
      <c r="N104" s="54">
        <f>IF($B104="","",SUMIFS(Erfassung!$E$6:$E$5005,Erfassung!$B$6:$B$5005,$A104,Erfassung!$A$6:$A$5005,"&gt;="&amp;DATE(Einstellungen!$C$3,12,1),Erfassung!$A$6:$A$5005,"&lt;"&amp;DATE(Einstellungen!$C$3,13,1)))</f>
        <v/>
      </c>
      <c r="O104" s="45">
        <f>IF($B104="","",SUM(C104:N104))</f>
        <v/>
      </c>
      <c r="P104" s="54">
        <f>IF($B104="","",SUMIFS(Erfassung!$G$6:$G$5005,Erfassung!$B$6:$B$5005,$A104,Erfassung!$A$6:$A$5005,"&gt;="&amp;DATE(Einstellungen!$C$3,1,1),Erfassung!$A$6:$A$5005,"&lt;"&amp;DATE(Einstellungen!$C$3,2,1)))</f>
        <v/>
      </c>
      <c r="Q104" s="54">
        <f>IF($B104="","",SUMIFS(Erfassung!$G$6:$G$5005,Erfassung!$B$6:$B$5005,$A104,Erfassung!$A$6:$A$5005,"&gt;="&amp;DATE(Einstellungen!$C$3,2,1),Erfassung!$A$6:$A$5005,"&lt;"&amp;DATE(Einstellungen!$C$3,3,1)))</f>
        <v/>
      </c>
      <c r="R104" s="54">
        <f>IF($B104="","",SUMIFS(Erfassung!$G$6:$G$5005,Erfassung!$B$6:$B$5005,$A104,Erfassung!$A$6:$A$5005,"&gt;="&amp;DATE(Einstellungen!$C$3,3,1),Erfassung!$A$6:$A$5005,"&lt;"&amp;DATE(Einstellungen!$C$3,4,1)))</f>
        <v/>
      </c>
      <c r="S104" s="54">
        <f>IF($B104="","",SUMIFS(Erfassung!$G$6:$G$5005,Erfassung!$B$6:$B$5005,$A104,Erfassung!$A$6:$A$5005,"&gt;="&amp;DATE(Einstellungen!$C$3,4,1),Erfassung!$A$6:$A$5005,"&lt;"&amp;DATE(Einstellungen!$C$3,5,1)))</f>
        <v/>
      </c>
      <c r="T104" s="54">
        <f>IF($B104="","",SUMIFS(Erfassung!$G$6:$G$5005,Erfassung!$B$6:$B$5005,$A104,Erfassung!$A$6:$A$5005,"&gt;="&amp;DATE(Einstellungen!$C$3,5,1),Erfassung!$A$6:$A$5005,"&lt;"&amp;DATE(Einstellungen!$C$3,6,1)))</f>
        <v/>
      </c>
      <c r="U104" s="54">
        <f>IF($B104="","",SUMIFS(Erfassung!$G$6:$G$5005,Erfassung!$B$6:$B$5005,$A104,Erfassung!$A$6:$A$5005,"&gt;="&amp;DATE(Einstellungen!$C$3,6,1),Erfassung!$A$6:$A$5005,"&lt;"&amp;DATE(Einstellungen!$C$3,7,1)))</f>
        <v/>
      </c>
      <c r="V104" s="54">
        <f>IF($B104="","",SUMIFS(Erfassung!$G$6:$G$5005,Erfassung!$B$6:$B$5005,$A104,Erfassung!$A$6:$A$5005,"&gt;="&amp;DATE(Einstellungen!$C$3,7,1),Erfassung!$A$6:$A$5005,"&lt;"&amp;DATE(Einstellungen!$C$3,8,1)))</f>
        <v/>
      </c>
      <c r="W104" s="54">
        <f>IF($B104="","",SUMIFS(Erfassung!$G$6:$G$5005,Erfassung!$B$6:$B$5005,$A104,Erfassung!$A$6:$A$5005,"&gt;="&amp;DATE(Einstellungen!$C$3,8,1),Erfassung!$A$6:$A$5005,"&lt;"&amp;DATE(Einstellungen!$C$3,9,1)))</f>
        <v/>
      </c>
      <c r="X104" s="54">
        <f>IF($B104="","",SUMIFS(Erfassung!$G$6:$G$5005,Erfassung!$B$6:$B$5005,$A104,Erfassung!$A$6:$A$5005,"&gt;="&amp;DATE(Einstellungen!$C$3,9,1),Erfassung!$A$6:$A$5005,"&lt;"&amp;DATE(Einstellungen!$C$3,10,1)))</f>
        <v/>
      </c>
      <c r="Y104" s="54">
        <f>IF($B104="","",SUMIFS(Erfassung!$G$6:$G$5005,Erfassung!$B$6:$B$5005,$A104,Erfassung!$A$6:$A$5005,"&gt;="&amp;DATE(Einstellungen!$C$3,10,1),Erfassung!$A$6:$A$5005,"&lt;"&amp;DATE(Einstellungen!$C$3,11,1)))</f>
        <v/>
      </c>
      <c r="Z104" s="54">
        <f>IF($B104="","",SUMIFS(Erfassung!$G$6:$G$5005,Erfassung!$B$6:$B$5005,$A104,Erfassung!$A$6:$A$5005,"&gt;="&amp;DATE(Einstellungen!$C$3,11,1),Erfassung!$A$6:$A$5005,"&lt;"&amp;DATE(Einstellungen!$C$3,12,1)))</f>
        <v/>
      </c>
      <c r="AA104" s="54">
        <f>IF($B104="","",SUMIFS(Erfassung!$G$6:$G$5005,Erfassung!$B$6:$B$5005,$A104,Erfassung!$A$6:$A$5005,"&gt;="&amp;DATE(Einstellungen!$C$3,12,1),Erfassung!$A$6:$A$5005,"&lt;"&amp;DATE(Einstellungen!$C$3,13,1)))</f>
        <v/>
      </c>
      <c r="AB104" s="45">
        <f>IF($B104="","",SUM(P104:AA104))</f>
        <v/>
      </c>
      <c r="AC104" s="38">
        <f>IF($B104="","",IF(O104+AB104&gt;0,AB104/(O104+AB104),""))</f>
        <v/>
      </c>
    </row>
    <row r="105">
      <c r="A105" s="56">
        <f>'KQuote Mitarbeiter'!A105</f>
        <v/>
      </c>
      <c r="B105" s="57">
        <f>'KQuote Mitarbeiter'!B105</f>
        <v/>
      </c>
      <c r="C105" s="54">
        <f>IF($B105="","",SUMIFS(Erfassung!$E$6:$E$5005,Erfassung!$B$6:$B$5005,$A105,Erfassung!$A$6:$A$5005,"&gt;="&amp;DATE(Einstellungen!$C$3,1,1),Erfassung!$A$6:$A$5005,"&lt;"&amp;DATE(Einstellungen!$C$3,2,1)))</f>
        <v/>
      </c>
      <c r="D105" s="54">
        <f>IF($B105="","",SUMIFS(Erfassung!$E$6:$E$5005,Erfassung!$B$6:$B$5005,$A105,Erfassung!$A$6:$A$5005,"&gt;="&amp;DATE(Einstellungen!$C$3,2,1),Erfassung!$A$6:$A$5005,"&lt;"&amp;DATE(Einstellungen!$C$3,3,1)))</f>
        <v/>
      </c>
      <c r="E105" s="54">
        <f>IF($B105="","",SUMIFS(Erfassung!$E$6:$E$5005,Erfassung!$B$6:$B$5005,$A105,Erfassung!$A$6:$A$5005,"&gt;="&amp;DATE(Einstellungen!$C$3,3,1),Erfassung!$A$6:$A$5005,"&lt;"&amp;DATE(Einstellungen!$C$3,4,1)))</f>
        <v/>
      </c>
      <c r="F105" s="54">
        <f>IF($B105="","",SUMIFS(Erfassung!$E$6:$E$5005,Erfassung!$B$6:$B$5005,$A105,Erfassung!$A$6:$A$5005,"&gt;="&amp;DATE(Einstellungen!$C$3,4,1),Erfassung!$A$6:$A$5005,"&lt;"&amp;DATE(Einstellungen!$C$3,5,1)))</f>
        <v/>
      </c>
      <c r="G105" s="54">
        <f>IF($B105="","",SUMIFS(Erfassung!$E$6:$E$5005,Erfassung!$B$6:$B$5005,$A105,Erfassung!$A$6:$A$5005,"&gt;="&amp;DATE(Einstellungen!$C$3,5,1),Erfassung!$A$6:$A$5005,"&lt;"&amp;DATE(Einstellungen!$C$3,6,1)))</f>
        <v/>
      </c>
      <c r="H105" s="54">
        <f>IF($B105="","",SUMIFS(Erfassung!$E$6:$E$5005,Erfassung!$B$6:$B$5005,$A105,Erfassung!$A$6:$A$5005,"&gt;="&amp;DATE(Einstellungen!$C$3,6,1),Erfassung!$A$6:$A$5005,"&lt;"&amp;DATE(Einstellungen!$C$3,7,1)))</f>
        <v/>
      </c>
      <c r="I105" s="54">
        <f>IF($B105="","",SUMIFS(Erfassung!$E$6:$E$5005,Erfassung!$B$6:$B$5005,$A105,Erfassung!$A$6:$A$5005,"&gt;="&amp;DATE(Einstellungen!$C$3,7,1),Erfassung!$A$6:$A$5005,"&lt;"&amp;DATE(Einstellungen!$C$3,8,1)))</f>
        <v/>
      </c>
      <c r="J105" s="54">
        <f>IF($B105="","",SUMIFS(Erfassung!$E$6:$E$5005,Erfassung!$B$6:$B$5005,$A105,Erfassung!$A$6:$A$5005,"&gt;="&amp;DATE(Einstellungen!$C$3,8,1),Erfassung!$A$6:$A$5005,"&lt;"&amp;DATE(Einstellungen!$C$3,9,1)))</f>
        <v/>
      </c>
      <c r="K105" s="54">
        <f>IF($B105="","",SUMIFS(Erfassung!$E$6:$E$5005,Erfassung!$B$6:$B$5005,$A105,Erfassung!$A$6:$A$5005,"&gt;="&amp;DATE(Einstellungen!$C$3,9,1),Erfassung!$A$6:$A$5005,"&lt;"&amp;DATE(Einstellungen!$C$3,10,1)))</f>
        <v/>
      </c>
      <c r="L105" s="54">
        <f>IF($B105="","",SUMIFS(Erfassung!$E$6:$E$5005,Erfassung!$B$6:$B$5005,$A105,Erfassung!$A$6:$A$5005,"&gt;="&amp;DATE(Einstellungen!$C$3,10,1),Erfassung!$A$6:$A$5005,"&lt;"&amp;DATE(Einstellungen!$C$3,11,1)))</f>
        <v/>
      </c>
      <c r="M105" s="54">
        <f>IF($B105="","",SUMIFS(Erfassung!$E$6:$E$5005,Erfassung!$B$6:$B$5005,$A105,Erfassung!$A$6:$A$5005,"&gt;="&amp;DATE(Einstellungen!$C$3,11,1),Erfassung!$A$6:$A$5005,"&lt;"&amp;DATE(Einstellungen!$C$3,12,1)))</f>
        <v/>
      </c>
      <c r="N105" s="54">
        <f>IF($B105="","",SUMIFS(Erfassung!$E$6:$E$5005,Erfassung!$B$6:$B$5005,$A105,Erfassung!$A$6:$A$5005,"&gt;="&amp;DATE(Einstellungen!$C$3,12,1),Erfassung!$A$6:$A$5005,"&lt;"&amp;DATE(Einstellungen!$C$3,13,1)))</f>
        <v/>
      </c>
      <c r="O105" s="45">
        <f>IF($B105="","",SUM(C105:N105))</f>
        <v/>
      </c>
      <c r="P105" s="54">
        <f>IF($B105="","",SUMIFS(Erfassung!$G$6:$G$5005,Erfassung!$B$6:$B$5005,$A105,Erfassung!$A$6:$A$5005,"&gt;="&amp;DATE(Einstellungen!$C$3,1,1),Erfassung!$A$6:$A$5005,"&lt;"&amp;DATE(Einstellungen!$C$3,2,1)))</f>
        <v/>
      </c>
      <c r="Q105" s="54">
        <f>IF($B105="","",SUMIFS(Erfassung!$G$6:$G$5005,Erfassung!$B$6:$B$5005,$A105,Erfassung!$A$6:$A$5005,"&gt;="&amp;DATE(Einstellungen!$C$3,2,1),Erfassung!$A$6:$A$5005,"&lt;"&amp;DATE(Einstellungen!$C$3,3,1)))</f>
        <v/>
      </c>
      <c r="R105" s="54">
        <f>IF($B105="","",SUMIFS(Erfassung!$G$6:$G$5005,Erfassung!$B$6:$B$5005,$A105,Erfassung!$A$6:$A$5005,"&gt;="&amp;DATE(Einstellungen!$C$3,3,1),Erfassung!$A$6:$A$5005,"&lt;"&amp;DATE(Einstellungen!$C$3,4,1)))</f>
        <v/>
      </c>
      <c r="S105" s="54">
        <f>IF($B105="","",SUMIFS(Erfassung!$G$6:$G$5005,Erfassung!$B$6:$B$5005,$A105,Erfassung!$A$6:$A$5005,"&gt;="&amp;DATE(Einstellungen!$C$3,4,1),Erfassung!$A$6:$A$5005,"&lt;"&amp;DATE(Einstellungen!$C$3,5,1)))</f>
        <v/>
      </c>
      <c r="T105" s="54">
        <f>IF($B105="","",SUMIFS(Erfassung!$G$6:$G$5005,Erfassung!$B$6:$B$5005,$A105,Erfassung!$A$6:$A$5005,"&gt;="&amp;DATE(Einstellungen!$C$3,5,1),Erfassung!$A$6:$A$5005,"&lt;"&amp;DATE(Einstellungen!$C$3,6,1)))</f>
        <v/>
      </c>
      <c r="U105" s="54">
        <f>IF($B105="","",SUMIFS(Erfassung!$G$6:$G$5005,Erfassung!$B$6:$B$5005,$A105,Erfassung!$A$6:$A$5005,"&gt;="&amp;DATE(Einstellungen!$C$3,6,1),Erfassung!$A$6:$A$5005,"&lt;"&amp;DATE(Einstellungen!$C$3,7,1)))</f>
        <v/>
      </c>
      <c r="V105" s="54">
        <f>IF($B105="","",SUMIFS(Erfassung!$G$6:$G$5005,Erfassung!$B$6:$B$5005,$A105,Erfassung!$A$6:$A$5005,"&gt;="&amp;DATE(Einstellungen!$C$3,7,1),Erfassung!$A$6:$A$5005,"&lt;"&amp;DATE(Einstellungen!$C$3,8,1)))</f>
        <v/>
      </c>
      <c r="W105" s="54">
        <f>IF($B105="","",SUMIFS(Erfassung!$G$6:$G$5005,Erfassung!$B$6:$B$5005,$A105,Erfassung!$A$6:$A$5005,"&gt;="&amp;DATE(Einstellungen!$C$3,8,1),Erfassung!$A$6:$A$5005,"&lt;"&amp;DATE(Einstellungen!$C$3,9,1)))</f>
        <v/>
      </c>
      <c r="X105" s="54">
        <f>IF($B105="","",SUMIFS(Erfassung!$G$6:$G$5005,Erfassung!$B$6:$B$5005,$A105,Erfassung!$A$6:$A$5005,"&gt;="&amp;DATE(Einstellungen!$C$3,9,1),Erfassung!$A$6:$A$5005,"&lt;"&amp;DATE(Einstellungen!$C$3,10,1)))</f>
        <v/>
      </c>
      <c r="Y105" s="54">
        <f>IF($B105="","",SUMIFS(Erfassung!$G$6:$G$5005,Erfassung!$B$6:$B$5005,$A105,Erfassung!$A$6:$A$5005,"&gt;="&amp;DATE(Einstellungen!$C$3,10,1),Erfassung!$A$6:$A$5005,"&lt;"&amp;DATE(Einstellungen!$C$3,11,1)))</f>
        <v/>
      </c>
      <c r="Z105" s="54">
        <f>IF($B105="","",SUMIFS(Erfassung!$G$6:$G$5005,Erfassung!$B$6:$B$5005,$A105,Erfassung!$A$6:$A$5005,"&gt;="&amp;DATE(Einstellungen!$C$3,11,1),Erfassung!$A$6:$A$5005,"&lt;"&amp;DATE(Einstellungen!$C$3,12,1)))</f>
        <v/>
      </c>
      <c r="AA105" s="54">
        <f>IF($B105="","",SUMIFS(Erfassung!$G$6:$G$5005,Erfassung!$B$6:$B$5005,$A105,Erfassung!$A$6:$A$5005,"&gt;="&amp;DATE(Einstellungen!$C$3,12,1),Erfassung!$A$6:$A$5005,"&lt;"&amp;DATE(Einstellungen!$C$3,13,1)))</f>
        <v/>
      </c>
      <c r="AB105" s="45">
        <f>IF($B105="","",SUM(P105:AA105))</f>
        <v/>
      </c>
      <c r="AC105" s="38">
        <f>IF($B105="","",IF(O105+AB105&gt;0,AB105/(O105+AB105),""))</f>
        <v/>
      </c>
    </row>
    <row r="106">
      <c r="A106" s="56">
        <f>'KQuote Mitarbeiter'!A106</f>
        <v/>
      </c>
      <c r="B106" s="57">
        <f>'KQuote Mitarbeiter'!B106</f>
        <v/>
      </c>
      <c r="C106" s="54">
        <f>IF($B106="","",SUMIFS(Erfassung!$E$6:$E$5005,Erfassung!$B$6:$B$5005,$A106,Erfassung!$A$6:$A$5005,"&gt;="&amp;DATE(Einstellungen!$C$3,1,1),Erfassung!$A$6:$A$5005,"&lt;"&amp;DATE(Einstellungen!$C$3,2,1)))</f>
        <v/>
      </c>
      <c r="D106" s="54">
        <f>IF($B106="","",SUMIFS(Erfassung!$E$6:$E$5005,Erfassung!$B$6:$B$5005,$A106,Erfassung!$A$6:$A$5005,"&gt;="&amp;DATE(Einstellungen!$C$3,2,1),Erfassung!$A$6:$A$5005,"&lt;"&amp;DATE(Einstellungen!$C$3,3,1)))</f>
        <v/>
      </c>
      <c r="E106" s="54">
        <f>IF($B106="","",SUMIFS(Erfassung!$E$6:$E$5005,Erfassung!$B$6:$B$5005,$A106,Erfassung!$A$6:$A$5005,"&gt;="&amp;DATE(Einstellungen!$C$3,3,1),Erfassung!$A$6:$A$5005,"&lt;"&amp;DATE(Einstellungen!$C$3,4,1)))</f>
        <v/>
      </c>
      <c r="F106" s="54">
        <f>IF($B106="","",SUMIFS(Erfassung!$E$6:$E$5005,Erfassung!$B$6:$B$5005,$A106,Erfassung!$A$6:$A$5005,"&gt;="&amp;DATE(Einstellungen!$C$3,4,1),Erfassung!$A$6:$A$5005,"&lt;"&amp;DATE(Einstellungen!$C$3,5,1)))</f>
        <v/>
      </c>
      <c r="G106" s="54">
        <f>IF($B106="","",SUMIFS(Erfassung!$E$6:$E$5005,Erfassung!$B$6:$B$5005,$A106,Erfassung!$A$6:$A$5005,"&gt;="&amp;DATE(Einstellungen!$C$3,5,1),Erfassung!$A$6:$A$5005,"&lt;"&amp;DATE(Einstellungen!$C$3,6,1)))</f>
        <v/>
      </c>
      <c r="H106" s="54">
        <f>IF($B106="","",SUMIFS(Erfassung!$E$6:$E$5005,Erfassung!$B$6:$B$5005,$A106,Erfassung!$A$6:$A$5005,"&gt;="&amp;DATE(Einstellungen!$C$3,6,1),Erfassung!$A$6:$A$5005,"&lt;"&amp;DATE(Einstellungen!$C$3,7,1)))</f>
        <v/>
      </c>
      <c r="I106" s="54">
        <f>IF($B106="","",SUMIFS(Erfassung!$E$6:$E$5005,Erfassung!$B$6:$B$5005,$A106,Erfassung!$A$6:$A$5005,"&gt;="&amp;DATE(Einstellungen!$C$3,7,1),Erfassung!$A$6:$A$5005,"&lt;"&amp;DATE(Einstellungen!$C$3,8,1)))</f>
        <v/>
      </c>
      <c r="J106" s="54">
        <f>IF($B106="","",SUMIFS(Erfassung!$E$6:$E$5005,Erfassung!$B$6:$B$5005,$A106,Erfassung!$A$6:$A$5005,"&gt;="&amp;DATE(Einstellungen!$C$3,8,1),Erfassung!$A$6:$A$5005,"&lt;"&amp;DATE(Einstellungen!$C$3,9,1)))</f>
        <v/>
      </c>
      <c r="K106" s="54">
        <f>IF($B106="","",SUMIFS(Erfassung!$E$6:$E$5005,Erfassung!$B$6:$B$5005,$A106,Erfassung!$A$6:$A$5005,"&gt;="&amp;DATE(Einstellungen!$C$3,9,1),Erfassung!$A$6:$A$5005,"&lt;"&amp;DATE(Einstellungen!$C$3,10,1)))</f>
        <v/>
      </c>
      <c r="L106" s="54">
        <f>IF($B106="","",SUMIFS(Erfassung!$E$6:$E$5005,Erfassung!$B$6:$B$5005,$A106,Erfassung!$A$6:$A$5005,"&gt;="&amp;DATE(Einstellungen!$C$3,10,1),Erfassung!$A$6:$A$5005,"&lt;"&amp;DATE(Einstellungen!$C$3,11,1)))</f>
        <v/>
      </c>
      <c r="M106" s="54">
        <f>IF($B106="","",SUMIFS(Erfassung!$E$6:$E$5005,Erfassung!$B$6:$B$5005,$A106,Erfassung!$A$6:$A$5005,"&gt;="&amp;DATE(Einstellungen!$C$3,11,1),Erfassung!$A$6:$A$5005,"&lt;"&amp;DATE(Einstellungen!$C$3,12,1)))</f>
        <v/>
      </c>
      <c r="N106" s="54">
        <f>IF($B106="","",SUMIFS(Erfassung!$E$6:$E$5005,Erfassung!$B$6:$B$5005,$A106,Erfassung!$A$6:$A$5005,"&gt;="&amp;DATE(Einstellungen!$C$3,12,1),Erfassung!$A$6:$A$5005,"&lt;"&amp;DATE(Einstellungen!$C$3,13,1)))</f>
        <v/>
      </c>
      <c r="O106" s="45">
        <f>IF($B106="","",SUM(C106:N106))</f>
        <v/>
      </c>
      <c r="P106" s="54">
        <f>IF($B106="","",SUMIFS(Erfassung!$G$6:$G$5005,Erfassung!$B$6:$B$5005,$A106,Erfassung!$A$6:$A$5005,"&gt;="&amp;DATE(Einstellungen!$C$3,1,1),Erfassung!$A$6:$A$5005,"&lt;"&amp;DATE(Einstellungen!$C$3,2,1)))</f>
        <v/>
      </c>
      <c r="Q106" s="54">
        <f>IF($B106="","",SUMIFS(Erfassung!$G$6:$G$5005,Erfassung!$B$6:$B$5005,$A106,Erfassung!$A$6:$A$5005,"&gt;="&amp;DATE(Einstellungen!$C$3,2,1),Erfassung!$A$6:$A$5005,"&lt;"&amp;DATE(Einstellungen!$C$3,3,1)))</f>
        <v/>
      </c>
      <c r="R106" s="54">
        <f>IF($B106="","",SUMIFS(Erfassung!$G$6:$G$5005,Erfassung!$B$6:$B$5005,$A106,Erfassung!$A$6:$A$5005,"&gt;="&amp;DATE(Einstellungen!$C$3,3,1),Erfassung!$A$6:$A$5005,"&lt;"&amp;DATE(Einstellungen!$C$3,4,1)))</f>
        <v/>
      </c>
      <c r="S106" s="54">
        <f>IF($B106="","",SUMIFS(Erfassung!$G$6:$G$5005,Erfassung!$B$6:$B$5005,$A106,Erfassung!$A$6:$A$5005,"&gt;="&amp;DATE(Einstellungen!$C$3,4,1),Erfassung!$A$6:$A$5005,"&lt;"&amp;DATE(Einstellungen!$C$3,5,1)))</f>
        <v/>
      </c>
      <c r="T106" s="54">
        <f>IF($B106="","",SUMIFS(Erfassung!$G$6:$G$5005,Erfassung!$B$6:$B$5005,$A106,Erfassung!$A$6:$A$5005,"&gt;="&amp;DATE(Einstellungen!$C$3,5,1),Erfassung!$A$6:$A$5005,"&lt;"&amp;DATE(Einstellungen!$C$3,6,1)))</f>
        <v/>
      </c>
      <c r="U106" s="54">
        <f>IF($B106="","",SUMIFS(Erfassung!$G$6:$G$5005,Erfassung!$B$6:$B$5005,$A106,Erfassung!$A$6:$A$5005,"&gt;="&amp;DATE(Einstellungen!$C$3,6,1),Erfassung!$A$6:$A$5005,"&lt;"&amp;DATE(Einstellungen!$C$3,7,1)))</f>
        <v/>
      </c>
      <c r="V106" s="54">
        <f>IF($B106="","",SUMIFS(Erfassung!$G$6:$G$5005,Erfassung!$B$6:$B$5005,$A106,Erfassung!$A$6:$A$5005,"&gt;="&amp;DATE(Einstellungen!$C$3,7,1),Erfassung!$A$6:$A$5005,"&lt;"&amp;DATE(Einstellungen!$C$3,8,1)))</f>
        <v/>
      </c>
      <c r="W106" s="54">
        <f>IF($B106="","",SUMIFS(Erfassung!$G$6:$G$5005,Erfassung!$B$6:$B$5005,$A106,Erfassung!$A$6:$A$5005,"&gt;="&amp;DATE(Einstellungen!$C$3,8,1),Erfassung!$A$6:$A$5005,"&lt;"&amp;DATE(Einstellungen!$C$3,9,1)))</f>
        <v/>
      </c>
      <c r="X106" s="54">
        <f>IF($B106="","",SUMIFS(Erfassung!$G$6:$G$5005,Erfassung!$B$6:$B$5005,$A106,Erfassung!$A$6:$A$5005,"&gt;="&amp;DATE(Einstellungen!$C$3,9,1),Erfassung!$A$6:$A$5005,"&lt;"&amp;DATE(Einstellungen!$C$3,10,1)))</f>
        <v/>
      </c>
      <c r="Y106" s="54">
        <f>IF($B106="","",SUMIFS(Erfassung!$G$6:$G$5005,Erfassung!$B$6:$B$5005,$A106,Erfassung!$A$6:$A$5005,"&gt;="&amp;DATE(Einstellungen!$C$3,10,1),Erfassung!$A$6:$A$5005,"&lt;"&amp;DATE(Einstellungen!$C$3,11,1)))</f>
        <v/>
      </c>
      <c r="Z106" s="54">
        <f>IF($B106="","",SUMIFS(Erfassung!$G$6:$G$5005,Erfassung!$B$6:$B$5005,$A106,Erfassung!$A$6:$A$5005,"&gt;="&amp;DATE(Einstellungen!$C$3,11,1),Erfassung!$A$6:$A$5005,"&lt;"&amp;DATE(Einstellungen!$C$3,12,1)))</f>
        <v/>
      </c>
      <c r="AA106" s="54">
        <f>IF($B106="","",SUMIFS(Erfassung!$G$6:$G$5005,Erfassung!$B$6:$B$5005,$A106,Erfassung!$A$6:$A$5005,"&gt;="&amp;DATE(Einstellungen!$C$3,12,1),Erfassung!$A$6:$A$5005,"&lt;"&amp;DATE(Einstellungen!$C$3,13,1)))</f>
        <v/>
      </c>
      <c r="AB106" s="45">
        <f>IF($B106="","",SUM(P106:AA106))</f>
        <v/>
      </c>
      <c r="AC106" s="38">
        <f>IF($B106="","",IF(O106+AB106&gt;0,AB106/(O106+AB106),""))</f>
        <v/>
      </c>
    </row>
    <row r="107">
      <c r="A107" s="56">
        <f>'KQuote Mitarbeiter'!A107</f>
        <v/>
      </c>
      <c r="B107" s="57">
        <f>'KQuote Mitarbeiter'!B107</f>
        <v/>
      </c>
      <c r="C107" s="54">
        <f>IF($B107="","",SUMIFS(Erfassung!$E$6:$E$5005,Erfassung!$B$6:$B$5005,$A107,Erfassung!$A$6:$A$5005,"&gt;="&amp;DATE(Einstellungen!$C$3,1,1),Erfassung!$A$6:$A$5005,"&lt;"&amp;DATE(Einstellungen!$C$3,2,1)))</f>
        <v/>
      </c>
      <c r="D107" s="54">
        <f>IF($B107="","",SUMIFS(Erfassung!$E$6:$E$5005,Erfassung!$B$6:$B$5005,$A107,Erfassung!$A$6:$A$5005,"&gt;="&amp;DATE(Einstellungen!$C$3,2,1),Erfassung!$A$6:$A$5005,"&lt;"&amp;DATE(Einstellungen!$C$3,3,1)))</f>
        <v/>
      </c>
      <c r="E107" s="54">
        <f>IF($B107="","",SUMIFS(Erfassung!$E$6:$E$5005,Erfassung!$B$6:$B$5005,$A107,Erfassung!$A$6:$A$5005,"&gt;="&amp;DATE(Einstellungen!$C$3,3,1),Erfassung!$A$6:$A$5005,"&lt;"&amp;DATE(Einstellungen!$C$3,4,1)))</f>
        <v/>
      </c>
      <c r="F107" s="54">
        <f>IF($B107="","",SUMIFS(Erfassung!$E$6:$E$5005,Erfassung!$B$6:$B$5005,$A107,Erfassung!$A$6:$A$5005,"&gt;="&amp;DATE(Einstellungen!$C$3,4,1),Erfassung!$A$6:$A$5005,"&lt;"&amp;DATE(Einstellungen!$C$3,5,1)))</f>
        <v/>
      </c>
      <c r="G107" s="54">
        <f>IF($B107="","",SUMIFS(Erfassung!$E$6:$E$5005,Erfassung!$B$6:$B$5005,$A107,Erfassung!$A$6:$A$5005,"&gt;="&amp;DATE(Einstellungen!$C$3,5,1),Erfassung!$A$6:$A$5005,"&lt;"&amp;DATE(Einstellungen!$C$3,6,1)))</f>
        <v/>
      </c>
      <c r="H107" s="54">
        <f>IF($B107="","",SUMIFS(Erfassung!$E$6:$E$5005,Erfassung!$B$6:$B$5005,$A107,Erfassung!$A$6:$A$5005,"&gt;="&amp;DATE(Einstellungen!$C$3,6,1),Erfassung!$A$6:$A$5005,"&lt;"&amp;DATE(Einstellungen!$C$3,7,1)))</f>
        <v/>
      </c>
      <c r="I107" s="54">
        <f>IF($B107="","",SUMIFS(Erfassung!$E$6:$E$5005,Erfassung!$B$6:$B$5005,$A107,Erfassung!$A$6:$A$5005,"&gt;="&amp;DATE(Einstellungen!$C$3,7,1),Erfassung!$A$6:$A$5005,"&lt;"&amp;DATE(Einstellungen!$C$3,8,1)))</f>
        <v/>
      </c>
      <c r="J107" s="54">
        <f>IF($B107="","",SUMIFS(Erfassung!$E$6:$E$5005,Erfassung!$B$6:$B$5005,$A107,Erfassung!$A$6:$A$5005,"&gt;="&amp;DATE(Einstellungen!$C$3,8,1),Erfassung!$A$6:$A$5005,"&lt;"&amp;DATE(Einstellungen!$C$3,9,1)))</f>
        <v/>
      </c>
      <c r="K107" s="54">
        <f>IF($B107="","",SUMIFS(Erfassung!$E$6:$E$5005,Erfassung!$B$6:$B$5005,$A107,Erfassung!$A$6:$A$5005,"&gt;="&amp;DATE(Einstellungen!$C$3,9,1),Erfassung!$A$6:$A$5005,"&lt;"&amp;DATE(Einstellungen!$C$3,10,1)))</f>
        <v/>
      </c>
      <c r="L107" s="54">
        <f>IF($B107="","",SUMIFS(Erfassung!$E$6:$E$5005,Erfassung!$B$6:$B$5005,$A107,Erfassung!$A$6:$A$5005,"&gt;="&amp;DATE(Einstellungen!$C$3,10,1),Erfassung!$A$6:$A$5005,"&lt;"&amp;DATE(Einstellungen!$C$3,11,1)))</f>
        <v/>
      </c>
      <c r="M107" s="54">
        <f>IF($B107="","",SUMIFS(Erfassung!$E$6:$E$5005,Erfassung!$B$6:$B$5005,$A107,Erfassung!$A$6:$A$5005,"&gt;="&amp;DATE(Einstellungen!$C$3,11,1),Erfassung!$A$6:$A$5005,"&lt;"&amp;DATE(Einstellungen!$C$3,12,1)))</f>
        <v/>
      </c>
      <c r="N107" s="54">
        <f>IF($B107="","",SUMIFS(Erfassung!$E$6:$E$5005,Erfassung!$B$6:$B$5005,$A107,Erfassung!$A$6:$A$5005,"&gt;="&amp;DATE(Einstellungen!$C$3,12,1),Erfassung!$A$6:$A$5005,"&lt;"&amp;DATE(Einstellungen!$C$3,13,1)))</f>
        <v/>
      </c>
      <c r="O107" s="45">
        <f>IF($B107="","",SUM(C107:N107))</f>
        <v/>
      </c>
      <c r="P107" s="54">
        <f>IF($B107="","",SUMIFS(Erfassung!$G$6:$G$5005,Erfassung!$B$6:$B$5005,$A107,Erfassung!$A$6:$A$5005,"&gt;="&amp;DATE(Einstellungen!$C$3,1,1),Erfassung!$A$6:$A$5005,"&lt;"&amp;DATE(Einstellungen!$C$3,2,1)))</f>
        <v/>
      </c>
      <c r="Q107" s="54">
        <f>IF($B107="","",SUMIFS(Erfassung!$G$6:$G$5005,Erfassung!$B$6:$B$5005,$A107,Erfassung!$A$6:$A$5005,"&gt;="&amp;DATE(Einstellungen!$C$3,2,1),Erfassung!$A$6:$A$5005,"&lt;"&amp;DATE(Einstellungen!$C$3,3,1)))</f>
        <v/>
      </c>
      <c r="R107" s="54">
        <f>IF($B107="","",SUMIFS(Erfassung!$G$6:$G$5005,Erfassung!$B$6:$B$5005,$A107,Erfassung!$A$6:$A$5005,"&gt;="&amp;DATE(Einstellungen!$C$3,3,1),Erfassung!$A$6:$A$5005,"&lt;"&amp;DATE(Einstellungen!$C$3,4,1)))</f>
        <v/>
      </c>
      <c r="S107" s="54">
        <f>IF($B107="","",SUMIFS(Erfassung!$G$6:$G$5005,Erfassung!$B$6:$B$5005,$A107,Erfassung!$A$6:$A$5005,"&gt;="&amp;DATE(Einstellungen!$C$3,4,1),Erfassung!$A$6:$A$5005,"&lt;"&amp;DATE(Einstellungen!$C$3,5,1)))</f>
        <v/>
      </c>
      <c r="T107" s="54">
        <f>IF($B107="","",SUMIFS(Erfassung!$G$6:$G$5005,Erfassung!$B$6:$B$5005,$A107,Erfassung!$A$6:$A$5005,"&gt;="&amp;DATE(Einstellungen!$C$3,5,1),Erfassung!$A$6:$A$5005,"&lt;"&amp;DATE(Einstellungen!$C$3,6,1)))</f>
        <v/>
      </c>
      <c r="U107" s="54">
        <f>IF($B107="","",SUMIFS(Erfassung!$G$6:$G$5005,Erfassung!$B$6:$B$5005,$A107,Erfassung!$A$6:$A$5005,"&gt;="&amp;DATE(Einstellungen!$C$3,6,1),Erfassung!$A$6:$A$5005,"&lt;"&amp;DATE(Einstellungen!$C$3,7,1)))</f>
        <v/>
      </c>
      <c r="V107" s="54">
        <f>IF($B107="","",SUMIFS(Erfassung!$G$6:$G$5005,Erfassung!$B$6:$B$5005,$A107,Erfassung!$A$6:$A$5005,"&gt;="&amp;DATE(Einstellungen!$C$3,7,1),Erfassung!$A$6:$A$5005,"&lt;"&amp;DATE(Einstellungen!$C$3,8,1)))</f>
        <v/>
      </c>
      <c r="W107" s="54">
        <f>IF($B107="","",SUMIFS(Erfassung!$G$6:$G$5005,Erfassung!$B$6:$B$5005,$A107,Erfassung!$A$6:$A$5005,"&gt;="&amp;DATE(Einstellungen!$C$3,8,1),Erfassung!$A$6:$A$5005,"&lt;"&amp;DATE(Einstellungen!$C$3,9,1)))</f>
        <v/>
      </c>
      <c r="X107" s="54">
        <f>IF($B107="","",SUMIFS(Erfassung!$G$6:$G$5005,Erfassung!$B$6:$B$5005,$A107,Erfassung!$A$6:$A$5005,"&gt;="&amp;DATE(Einstellungen!$C$3,9,1),Erfassung!$A$6:$A$5005,"&lt;"&amp;DATE(Einstellungen!$C$3,10,1)))</f>
        <v/>
      </c>
      <c r="Y107" s="54">
        <f>IF($B107="","",SUMIFS(Erfassung!$G$6:$G$5005,Erfassung!$B$6:$B$5005,$A107,Erfassung!$A$6:$A$5005,"&gt;="&amp;DATE(Einstellungen!$C$3,10,1),Erfassung!$A$6:$A$5005,"&lt;"&amp;DATE(Einstellungen!$C$3,11,1)))</f>
        <v/>
      </c>
      <c r="Z107" s="54">
        <f>IF($B107="","",SUMIFS(Erfassung!$G$6:$G$5005,Erfassung!$B$6:$B$5005,$A107,Erfassung!$A$6:$A$5005,"&gt;="&amp;DATE(Einstellungen!$C$3,11,1),Erfassung!$A$6:$A$5005,"&lt;"&amp;DATE(Einstellungen!$C$3,12,1)))</f>
        <v/>
      </c>
      <c r="AA107" s="54">
        <f>IF($B107="","",SUMIFS(Erfassung!$G$6:$G$5005,Erfassung!$B$6:$B$5005,$A107,Erfassung!$A$6:$A$5005,"&gt;="&amp;DATE(Einstellungen!$C$3,12,1),Erfassung!$A$6:$A$5005,"&lt;"&amp;DATE(Einstellungen!$C$3,13,1)))</f>
        <v/>
      </c>
      <c r="AB107" s="45">
        <f>IF($B107="","",SUM(P107:AA107))</f>
        <v/>
      </c>
      <c r="AC107" s="38">
        <f>IF($B107="","",IF(O107+AB107&gt;0,AB107/(O107+AB107),""))</f>
        <v/>
      </c>
    </row>
    <row r="108">
      <c r="A108" s="56">
        <f>'KQuote Mitarbeiter'!A108</f>
        <v/>
      </c>
      <c r="B108" s="57">
        <f>'KQuote Mitarbeiter'!B108</f>
        <v/>
      </c>
      <c r="C108" s="54">
        <f>IF($B108="","",SUMIFS(Erfassung!$E$6:$E$5005,Erfassung!$B$6:$B$5005,$A108,Erfassung!$A$6:$A$5005,"&gt;="&amp;DATE(Einstellungen!$C$3,1,1),Erfassung!$A$6:$A$5005,"&lt;"&amp;DATE(Einstellungen!$C$3,2,1)))</f>
        <v/>
      </c>
      <c r="D108" s="54">
        <f>IF($B108="","",SUMIFS(Erfassung!$E$6:$E$5005,Erfassung!$B$6:$B$5005,$A108,Erfassung!$A$6:$A$5005,"&gt;="&amp;DATE(Einstellungen!$C$3,2,1),Erfassung!$A$6:$A$5005,"&lt;"&amp;DATE(Einstellungen!$C$3,3,1)))</f>
        <v/>
      </c>
      <c r="E108" s="54">
        <f>IF($B108="","",SUMIFS(Erfassung!$E$6:$E$5005,Erfassung!$B$6:$B$5005,$A108,Erfassung!$A$6:$A$5005,"&gt;="&amp;DATE(Einstellungen!$C$3,3,1),Erfassung!$A$6:$A$5005,"&lt;"&amp;DATE(Einstellungen!$C$3,4,1)))</f>
        <v/>
      </c>
      <c r="F108" s="54">
        <f>IF($B108="","",SUMIFS(Erfassung!$E$6:$E$5005,Erfassung!$B$6:$B$5005,$A108,Erfassung!$A$6:$A$5005,"&gt;="&amp;DATE(Einstellungen!$C$3,4,1),Erfassung!$A$6:$A$5005,"&lt;"&amp;DATE(Einstellungen!$C$3,5,1)))</f>
        <v/>
      </c>
      <c r="G108" s="54">
        <f>IF($B108="","",SUMIFS(Erfassung!$E$6:$E$5005,Erfassung!$B$6:$B$5005,$A108,Erfassung!$A$6:$A$5005,"&gt;="&amp;DATE(Einstellungen!$C$3,5,1),Erfassung!$A$6:$A$5005,"&lt;"&amp;DATE(Einstellungen!$C$3,6,1)))</f>
        <v/>
      </c>
      <c r="H108" s="54">
        <f>IF($B108="","",SUMIFS(Erfassung!$E$6:$E$5005,Erfassung!$B$6:$B$5005,$A108,Erfassung!$A$6:$A$5005,"&gt;="&amp;DATE(Einstellungen!$C$3,6,1),Erfassung!$A$6:$A$5005,"&lt;"&amp;DATE(Einstellungen!$C$3,7,1)))</f>
        <v/>
      </c>
      <c r="I108" s="54">
        <f>IF($B108="","",SUMIFS(Erfassung!$E$6:$E$5005,Erfassung!$B$6:$B$5005,$A108,Erfassung!$A$6:$A$5005,"&gt;="&amp;DATE(Einstellungen!$C$3,7,1),Erfassung!$A$6:$A$5005,"&lt;"&amp;DATE(Einstellungen!$C$3,8,1)))</f>
        <v/>
      </c>
      <c r="J108" s="54">
        <f>IF($B108="","",SUMIFS(Erfassung!$E$6:$E$5005,Erfassung!$B$6:$B$5005,$A108,Erfassung!$A$6:$A$5005,"&gt;="&amp;DATE(Einstellungen!$C$3,8,1),Erfassung!$A$6:$A$5005,"&lt;"&amp;DATE(Einstellungen!$C$3,9,1)))</f>
        <v/>
      </c>
      <c r="K108" s="54">
        <f>IF($B108="","",SUMIFS(Erfassung!$E$6:$E$5005,Erfassung!$B$6:$B$5005,$A108,Erfassung!$A$6:$A$5005,"&gt;="&amp;DATE(Einstellungen!$C$3,9,1),Erfassung!$A$6:$A$5005,"&lt;"&amp;DATE(Einstellungen!$C$3,10,1)))</f>
        <v/>
      </c>
      <c r="L108" s="54">
        <f>IF($B108="","",SUMIFS(Erfassung!$E$6:$E$5005,Erfassung!$B$6:$B$5005,$A108,Erfassung!$A$6:$A$5005,"&gt;="&amp;DATE(Einstellungen!$C$3,10,1),Erfassung!$A$6:$A$5005,"&lt;"&amp;DATE(Einstellungen!$C$3,11,1)))</f>
        <v/>
      </c>
      <c r="M108" s="54">
        <f>IF($B108="","",SUMIFS(Erfassung!$E$6:$E$5005,Erfassung!$B$6:$B$5005,$A108,Erfassung!$A$6:$A$5005,"&gt;="&amp;DATE(Einstellungen!$C$3,11,1),Erfassung!$A$6:$A$5005,"&lt;"&amp;DATE(Einstellungen!$C$3,12,1)))</f>
        <v/>
      </c>
      <c r="N108" s="54">
        <f>IF($B108="","",SUMIFS(Erfassung!$E$6:$E$5005,Erfassung!$B$6:$B$5005,$A108,Erfassung!$A$6:$A$5005,"&gt;="&amp;DATE(Einstellungen!$C$3,12,1),Erfassung!$A$6:$A$5005,"&lt;"&amp;DATE(Einstellungen!$C$3,13,1)))</f>
        <v/>
      </c>
      <c r="O108" s="45">
        <f>IF($B108="","",SUM(C108:N108))</f>
        <v/>
      </c>
      <c r="P108" s="54">
        <f>IF($B108="","",SUMIFS(Erfassung!$G$6:$G$5005,Erfassung!$B$6:$B$5005,$A108,Erfassung!$A$6:$A$5005,"&gt;="&amp;DATE(Einstellungen!$C$3,1,1),Erfassung!$A$6:$A$5005,"&lt;"&amp;DATE(Einstellungen!$C$3,2,1)))</f>
        <v/>
      </c>
      <c r="Q108" s="54">
        <f>IF($B108="","",SUMIFS(Erfassung!$G$6:$G$5005,Erfassung!$B$6:$B$5005,$A108,Erfassung!$A$6:$A$5005,"&gt;="&amp;DATE(Einstellungen!$C$3,2,1),Erfassung!$A$6:$A$5005,"&lt;"&amp;DATE(Einstellungen!$C$3,3,1)))</f>
        <v/>
      </c>
      <c r="R108" s="54">
        <f>IF($B108="","",SUMIFS(Erfassung!$G$6:$G$5005,Erfassung!$B$6:$B$5005,$A108,Erfassung!$A$6:$A$5005,"&gt;="&amp;DATE(Einstellungen!$C$3,3,1),Erfassung!$A$6:$A$5005,"&lt;"&amp;DATE(Einstellungen!$C$3,4,1)))</f>
        <v/>
      </c>
      <c r="S108" s="54">
        <f>IF($B108="","",SUMIFS(Erfassung!$G$6:$G$5005,Erfassung!$B$6:$B$5005,$A108,Erfassung!$A$6:$A$5005,"&gt;="&amp;DATE(Einstellungen!$C$3,4,1),Erfassung!$A$6:$A$5005,"&lt;"&amp;DATE(Einstellungen!$C$3,5,1)))</f>
        <v/>
      </c>
      <c r="T108" s="54">
        <f>IF($B108="","",SUMIFS(Erfassung!$G$6:$G$5005,Erfassung!$B$6:$B$5005,$A108,Erfassung!$A$6:$A$5005,"&gt;="&amp;DATE(Einstellungen!$C$3,5,1),Erfassung!$A$6:$A$5005,"&lt;"&amp;DATE(Einstellungen!$C$3,6,1)))</f>
        <v/>
      </c>
      <c r="U108" s="54">
        <f>IF($B108="","",SUMIFS(Erfassung!$G$6:$G$5005,Erfassung!$B$6:$B$5005,$A108,Erfassung!$A$6:$A$5005,"&gt;="&amp;DATE(Einstellungen!$C$3,6,1),Erfassung!$A$6:$A$5005,"&lt;"&amp;DATE(Einstellungen!$C$3,7,1)))</f>
        <v/>
      </c>
      <c r="V108" s="54">
        <f>IF($B108="","",SUMIFS(Erfassung!$G$6:$G$5005,Erfassung!$B$6:$B$5005,$A108,Erfassung!$A$6:$A$5005,"&gt;="&amp;DATE(Einstellungen!$C$3,7,1),Erfassung!$A$6:$A$5005,"&lt;"&amp;DATE(Einstellungen!$C$3,8,1)))</f>
        <v/>
      </c>
      <c r="W108" s="54">
        <f>IF($B108="","",SUMIFS(Erfassung!$G$6:$G$5005,Erfassung!$B$6:$B$5005,$A108,Erfassung!$A$6:$A$5005,"&gt;="&amp;DATE(Einstellungen!$C$3,8,1),Erfassung!$A$6:$A$5005,"&lt;"&amp;DATE(Einstellungen!$C$3,9,1)))</f>
        <v/>
      </c>
      <c r="X108" s="54">
        <f>IF($B108="","",SUMIFS(Erfassung!$G$6:$G$5005,Erfassung!$B$6:$B$5005,$A108,Erfassung!$A$6:$A$5005,"&gt;="&amp;DATE(Einstellungen!$C$3,9,1),Erfassung!$A$6:$A$5005,"&lt;"&amp;DATE(Einstellungen!$C$3,10,1)))</f>
        <v/>
      </c>
      <c r="Y108" s="54">
        <f>IF($B108="","",SUMIFS(Erfassung!$G$6:$G$5005,Erfassung!$B$6:$B$5005,$A108,Erfassung!$A$6:$A$5005,"&gt;="&amp;DATE(Einstellungen!$C$3,10,1),Erfassung!$A$6:$A$5005,"&lt;"&amp;DATE(Einstellungen!$C$3,11,1)))</f>
        <v/>
      </c>
      <c r="Z108" s="54">
        <f>IF($B108="","",SUMIFS(Erfassung!$G$6:$G$5005,Erfassung!$B$6:$B$5005,$A108,Erfassung!$A$6:$A$5005,"&gt;="&amp;DATE(Einstellungen!$C$3,11,1),Erfassung!$A$6:$A$5005,"&lt;"&amp;DATE(Einstellungen!$C$3,12,1)))</f>
        <v/>
      </c>
      <c r="AA108" s="54">
        <f>IF($B108="","",SUMIFS(Erfassung!$G$6:$G$5005,Erfassung!$B$6:$B$5005,$A108,Erfassung!$A$6:$A$5005,"&gt;="&amp;DATE(Einstellungen!$C$3,12,1),Erfassung!$A$6:$A$5005,"&lt;"&amp;DATE(Einstellungen!$C$3,13,1)))</f>
        <v/>
      </c>
      <c r="AB108" s="45">
        <f>IF($B108="","",SUM(P108:AA108))</f>
        <v/>
      </c>
      <c r="AC108" s="38">
        <f>IF($B108="","",IF(O108+AB108&gt;0,AB108/(O108+AB108),""))</f>
        <v/>
      </c>
    </row>
    <row r="109">
      <c r="A109" s="56">
        <f>'KQuote Mitarbeiter'!A109</f>
        <v/>
      </c>
      <c r="B109" s="57">
        <f>'KQuote Mitarbeiter'!B109</f>
        <v/>
      </c>
      <c r="C109" s="54">
        <f>IF($B109="","",SUMIFS(Erfassung!$E$6:$E$5005,Erfassung!$B$6:$B$5005,$A109,Erfassung!$A$6:$A$5005,"&gt;="&amp;DATE(Einstellungen!$C$3,1,1),Erfassung!$A$6:$A$5005,"&lt;"&amp;DATE(Einstellungen!$C$3,2,1)))</f>
        <v/>
      </c>
      <c r="D109" s="54">
        <f>IF($B109="","",SUMIFS(Erfassung!$E$6:$E$5005,Erfassung!$B$6:$B$5005,$A109,Erfassung!$A$6:$A$5005,"&gt;="&amp;DATE(Einstellungen!$C$3,2,1),Erfassung!$A$6:$A$5005,"&lt;"&amp;DATE(Einstellungen!$C$3,3,1)))</f>
        <v/>
      </c>
      <c r="E109" s="54">
        <f>IF($B109="","",SUMIFS(Erfassung!$E$6:$E$5005,Erfassung!$B$6:$B$5005,$A109,Erfassung!$A$6:$A$5005,"&gt;="&amp;DATE(Einstellungen!$C$3,3,1),Erfassung!$A$6:$A$5005,"&lt;"&amp;DATE(Einstellungen!$C$3,4,1)))</f>
        <v/>
      </c>
      <c r="F109" s="54">
        <f>IF($B109="","",SUMIFS(Erfassung!$E$6:$E$5005,Erfassung!$B$6:$B$5005,$A109,Erfassung!$A$6:$A$5005,"&gt;="&amp;DATE(Einstellungen!$C$3,4,1),Erfassung!$A$6:$A$5005,"&lt;"&amp;DATE(Einstellungen!$C$3,5,1)))</f>
        <v/>
      </c>
      <c r="G109" s="54">
        <f>IF($B109="","",SUMIFS(Erfassung!$E$6:$E$5005,Erfassung!$B$6:$B$5005,$A109,Erfassung!$A$6:$A$5005,"&gt;="&amp;DATE(Einstellungen!$C$3,5,1),Erfassung!$A$6:$A$5005,"&lt;"&amp;DATE(Einstellungen!$C$3,6,1)))</f>
        <v/>
      </c>
      <c r="H109" s="54">
        <f>IF($B109="","",SUMIFS(Erfassung!$E$6:$E$5005,Erfassung!$B$6:$B$5005,$A109,Erfassung!$A$6:$A$5005,"&gt;="&amp;DATE(Einstellungen!$C$3,6,1),Erfassung!$A$6:$A$5005,"&lt;"&amp;DATE(Einstellungen!$C$3,7,1)))</f>
        <v/>
      </c>
      <c r="I109" s="54">
        <f>IF($B109="","",SUMIFS(Erfassung!$E$6:$E$5005,Erfassung!$B$6:$B$5005,$A109,Erfassung!$A$6:$A$5005,"&gt;="&amp;DATE(Einstellungen!$C$3,7,1),Erfassung!$A$6:$A$5005,"&lt;"&amp;DATE(Einstellungen!$C$3,8,1)))</f>
        <v/>
      </c>
      <c r="J109" s="54">
        <f>IF($B109="","",SUMIFS(Erfassung!$E$6:$E$5005,Erfassung!$B$6:$B$5005,$A109,Erfassung!$A$6:$A$5005,"&gt;="&amp;DATE(Einstellungen!$C$3,8,1),Erfassung!$A$6:$A$5005,"&lt;"&amp;DATE(Einstellungen!$C$3,9,1)))</f>
        <v/>
      </c>
      <c r="K109" s="54">
        <f>IF($B109="","",SUMIFS(Erfassung!$E$6:$E$5005,Erfassung!$B$6:$B$5005,$A109,Erfassung!$A$6:$A$5005,"&gt;="&amp;DATE(Einstellungen!$C$3,9,1),Erfassung!$A$6:$A$5005,"&lt;"&amp;DATE(Einstellungen!$C$3,10,1)))</f>
        <v/>
      </c>
      <c r="L109" s="54">
        <f>IF($B109="","",SUMIFS(Erfassung!$E$6:$E$5005,Erfassung!$B$6:$B$5005,$A109,Erfassung!$A$6:$A$5005,"&gt;="&amp;DATE(Einstellungen!$C$3,10,1),Erfassung!$A$6:$A$5005,"&lt;"&amp;DATE(Einstellungen!$C$3,11,1)))</f>
        <v/>
      </c>
      <c r="M109" s="54">
        <f>IF($B109="","",SUMIFS(Erfassung!$E$6:$E$5005,Erfassung!$B$6:$B$5005,$A109,Erfassung!$A$6:$A$5005,"&gt;="&amp;DATE(Einstellungen!$C$3,11,1),Erfassung!$A$6:$A$5005,"&lt;"&amp;DATE(Einstellungen!$C$3,12,1)))</f>
        <v/>
      </c>
      <c r="N109" s="54">
        <f>IF($B109="","",SUMIFS(Erfassung!$E$6:$E$5005,Erfassung!$B$6:$B$5005,$A109,Erfassung!$A$6:$A$5005,"&gt;="&amp;DATE(Einstellungen!$C$3,12,1),Erfassung!$A$6:$A$5005,"&lt;"&amp;DATE(Einstellungen!$C$3,13,1)))</f>
        <v/>
      </c>
      <c r="O109" s="45">
        <f>IF($B109="","",SUM(C109:N109))</f>
        <v/>
      </c>
      <c r="P109" s="54">
        <f>IF($B109="","",SUMIFS(Erfassung!$G$6:$G$5005,Erfassung!$B$6:$B$5005,$A109,Erfassung!$A$6:$A$5005,"&gt;="&amp;DATE(Einstellungen!$C$3,1,1),Erfassung!$A$6:$A$5005,"&lt;"&amp;DATE(Einstellungen!$C$3,2,1)))</f>
        <v/>
      </c>
      <c r="Q109" s="54">
        <f>IF($B109="","",SUMIFS(Erfassung!$G$6:$G$5005,Erfassung!$B$6:$B$5005,$A109,Erfassung!$A$6:$A$5005,"&gt;="&amp;DATE(Einstellungen!$C$3,2,1),Erfassung!$A$6:$A$5005,"&lt;"&amp;DATE(Einstellungen!$C$3,3,1)))</f>
        <v/>
      </c>
      <c r="R109" s="54">
        <f>IF($B109="","",SUMIFS(Erfassung!$G$6:$G$5005,Erfassung!$B$6:$B$5005,$A109,Erfassung!$A$6:$A$5005,"&gt;="&amp;DATE(Einstellungen!$C$3,3,1),Erfassung!$A$6:$A$5005,"&lt;"&amp;DATE(Einstellungen!$C$3,4,1)))</f>
        <v/>
      </c>
      <c r="S109" s="54">
        <f>IF($B109="","",SUMIFS(Erfassung!$G$6:$G$5005,Erfassung!$B$6:$B$5005,$A109,Erfassung!$A$6:$A$5005,"&gt;="&amp;DATE(Einstellungen!$C$3,4,1),Erfassung!$A$6:$A$5005,"&lt;"&amp;DATE(Einstellungen!$C$3,5,1)))</f>
        <v/>
      </c>
      <c r="T109" s="54">
        <f>IF($B109="","",SUMIFS(Erfassung!$G$6:$G$5005,Erfassung!$B$6:$B$5005,$A109,Erfassung!$A$6:$A$5005,"&gt;="&amp;DATE(Einstellungen!$C$3,5,1),Erfassung!$A$6:$A$5005,"&lt;"&amp;DATE(Einstellungen!$C$3,6,1)))</f>
        <v/>
      </c>
      <c r="U109" s="54">
        <f>IF($B109="","",SUMIFS(Erfassung!$G$6:$G$5005,Erfassung!$B$6:$B$5005,$A109,Erfassung!$A$6:$A$5005,"&gt;="&amp;DATE(Einstellungen!$C$3,6,1),Erfassung!$A$6:$A$5005,"&lt;"&amp;DATE(Einstellungen!$C$3,7,1)))</f>
        <v/>
      </c>
      <c r="V109" s="54">
        <f>IF($B109="","",SUMIFS(Erfassung!$G$6:$G$5005,Erfassung!$B$6:$B$5005,$A109,Erfassung!$A$6:$A$5005,"&gt;="&amp;DATE(Einstellungen!$C$3,7,1),Erfassung!$A$6:$A$5005,"&lt;"&amp;DATE(Einstellungen!$C$3,8,1)))</f>
        <v/>
      </c>
      <c r="W109" s="54">
        <f>IF($B109="","",SUMIFS(Erfassung!$G$6:$G$5005,Erfassung!$B$6:$B$5005,$A109,Erfassung!$A$6:$A$5005,"&gt;="&amp;DATE(Einstellungen!$C$3,8,1),Erfassung!$A$6:$A$5005,"&lt;"&amp;DATE(Einstellungen!$C$3,9,1)))</f>
        <v/>
      </c>
      <c r="X109" s="54">
        <f>IF($B109="","",SUMIFS(Erfassung!$G$6:$G$5005,Erfassung!$B$6:$B$5005,$A109,Erfassung!$A$6:$A$5005,"&gt;="&amp;DATE(Einstellungen!$C$3,9,1),Erfassung!$A$6:$A$5005,"&lt;"&amp;DATE(Einstellungen!$C$3,10,1)))</f>
        <v/>
      </c>
      <c r="Y109" s="54">
        <f>IF($B109="","",SUMIFS(Erfassung!$G$6:$G$5005,Erfassung!$B$6:$B$5005,$A109,Erfassung!$A$6:$A$5005,"&gt;="&amp;DATE(Einstellungen!$C$3,10,1),Erfassung!$A$6:$A$5005,"&lt;"&amp;DATE(Einstellungen!$C$3,11,1)))</f>
        <v/>
      </c>
      <c r="Z109" s="54">
        <f>IF($B109="","",SUMIFS(Erfassung!$G$6:$G$5005,Erfassung!$B$6:$B$5005,$A109,Erfassung!$A$6:$A$5005,"&gt;="&amp;DATE(Einstellungen!$C$3,11,1),Erfassung!$A$6:$A$5005,"&lt;"&amp;DATE(Einstellungen!$C$3,12,1)))</f>
        <v/>
      </c>
      <c r="AA109" s="54">
        <f>IF($B109="","",SUMIFS(Erfassung!$G$6:$G$5005,Erfassung!$B$6:$B$5005,$A109,Erfassung!$A$6:$A$5005,"&gt;="&amp;DATE(Einstellungen!$C$3,12,1),Erfassung!$A$6:$A$5005,"&lt;"&amp;DATE(Einstellungen!$C$3,13,1)))</f>
        <v/>
      </c>
      <c r="AB109" s="45">
        <f>IF($B109="","",SUM(P109:AA109))</f>
        <v/>
      </c>
      <c r="AC109" s="38">
        <f>IF($B109="","",IF(O109+AB109&gt;0,AB109/(O109+AB109),""))</f>
        <v/>
      </c>
    </row>
    <row r="110">
      <c r="A110" s="56">
        <f>'KQuote Mitarbeiter'!A110</f>
        <v/>
      </c>
      <c r="B110" s="57">
        <f>'KQuote Mitarbeiter'!B110</f>
        <v/>
      </c>
      <c r="C110" s="54">
        <f>IF($B110="","",SUMIFS(Erfassung!$E$6:$E$5005,Erfassung!$B$6:$B$5005,$A110,Erfassung!$A$6:$A$5005,"&gt;="&amp;DATE(Einstellungen!$C$3,1,1),Erfassung!$A$6:$A$5005,"&lt;"&amp;DATE(Einstellungen!$C$3,2,1)))</f>
        <v/>
      </c>
      <c r="D110" s="54">
        <f>IF($B110="","",SUMIFS(Erfassung!$E$6:$E$5005,Erfassung!$B$6:$B$5005,$A110,Erfassung!$A$6:$A$5005,"&gt;="&amp;DATE(Einstellungen!$C$3,2,1),Erfassung!$A$6:$A$5005,"&lt;"&amp;DATE(Einstellungen!$C$3,3,1)))</f>
        <v/>
      </c>
      <c r="E110" s="54">
        <f>IF($B110="","",SUMIFS(Erfassung!$E$6:$E$5005,Erfassung!$B$6:$B$5005,$A110,Erfassung!$A$6:$A$5005,"&gt;="&amp;DATE(Einstellungen!$C$3,3,1),Erfassung!$A$6:$A$5005,"&lt;"&amp;DATE(Einstellungen!$C$3,4,1)))</f>
        <v/>
      </c>
      <c r="F110" s="54">
        <f>IF($B110="","",SUMIFS(Erfassung!$E$6:$E$5005,Erfassung!$B$6:$B$5005,$A110,Erfassung!$A$6:$A$5005,"&gt;="&amp;DATE(Einstellungen!$C$3,4,1),Erfassung!$A$6:$A$5005,"&lt;"&amp;DATE(Einstellungen!$C$3,5,1)))</f>
        <v/>
      </c>
      <c r="G110" s="54">
        <f>IF($B110="","",SUMIFS(Erfassung!$E$6:$E$5005,Erfassung!$B$6:$B$5005,$A110,Erfassung!$A$6:$A$5005,"&gt;="&amp;DATE(Einstellungen!$C$3,5,1),Erfassung!$A$6:$A$5005,"&lt;"&amp;DATE(Einstellungen!$C$3,6,1)))</f>
        <v/>
      </c>
      <c r="H110" s="54">
        <f>IF($B110="","",SUMIFS(Erfassung!$E$6:$E$5005,Erfassung!$B$6:$B$5005,$A110,Erfassung!$A$6:$A$5005,"&gt;="&amp;DATE(Einstellungen!$C$3,6,1),Erfassung!$A$6:$A$5005,"&lt;"&amp;DATE(Einstellungen!$C$3,7,1)))</f>
        <v/>
      </c>
      <c r="I110" s="54">
        <f>IF($B110="","",SUMIFS(Erfassung!$E$6:$E$5005,Erfassung!$B$6:$B$5005,$A110,Erfassung!$A$6:$A$5005,"&gt;="&amp;DATE(Einstellungen!$C$3,7,1),Erfassung!$A$6:$A$5005,"&lt;"&amp;DATE(Einstellungen!$C$3,8,1)))</f>
        <v/>
      </c>
      <c r="J110" s="54">
        <f>IF($B110="","",SUMIFS(Erfassung!$E$6:$E$5005,Erfassung!$B$6:$B$5005,$A110,Erfassung!$A$6:$A$5005,"&gt;="&amp;DATE(Einstellungen!$C$3,8,1),Erfassung!$A$6:$A$5005,"&lt;"&amp;DATE(Einstellungen!$C$3,9,1)))</f>
        <v/>
      </c>
      <c r="K110" s="54">
        <f>IF($B110="","",SUMIFS(Erfassung!$E$6:$E$5005,Erfassung!$B$6:$B$5005,$A110,Erfassung!$A$6:$A$5005,"&gt;="&amp;DATE(Einstellungen!$C$3,9,1),Erfassung!$A$6:$A$5005,"&lt;"&amp;DATE(Einstellungen!$C$3,10,1)))</f>
        <v/>
      </c>
      <c r="L110" s="54">
        <f>IF($B110="","",SUMIFS(Erfassung!$E$6:$E$5005,Erfassung!$B$6:$B$5005,$A110,Erfassung!$A$6:$A$5005,"&gt;="&amp;DATE(Einstellungen!$C$3,10,1),Erfassung!$A$6:$A$5005,"&lt;"&amp;DATE(Einstellungen!$C$3,11,1)))</f>
        <v/>
      </c>
      <c r="M110" s="54">
        <f>IF($B110="","",SUMIFS(Erfassung!$E$6:$E$5005,Erfassung!$B$6:$B$5005,$A110,Erfassung!$A$6:$A$5005,"&gt;="&amp;DATE(Einstellungen!$C$3,11,1),Erfassung!$A$6:$A$5005,"&lt;"&amp;DATE(Einstellungen!$C$3,12,1)))</f>
        <v/>
      </c>
      <c r="N110" s="54">
        <f>IF($B110="","",SUMIFS(Erfassung!$E$6:$E$5005,Erfassung!$B$6:$B$5005,$A110,Erfassung!$A$6:$A$5005,"&gt;="&amp;DATE(Einstellungen!$C$3,12,1),Erfassung!$A$6:$A$5005,"&lt;"&amp;DATE(Einstellungen!$C$3,13,1)))</f>
        <v/>
      </c>
      <c r="O110" s="45">
        <f>IF($B110="","",SUM(C110:N110))</f>
        <v/>
      </c>
      <c r="P110" s="54">
        <f>IF($B110="","",SUMIFS(Erfassung!$G$6:$G$5005,Erfassung!$B$6:$B$5005,$A110,Erfassung!$A$6:$A$5005,"&gt;="&amp;DATE(Einstellungen!$C$3,1,1),Erfassung!$A$6:$A$5005,"&lt;"&amp;DATE(Einstellungen!$C$3,2,1)))</f>
        <v/>
      </c>
      <c r="Q110" s="54">
        <f>IF($B110="","",SUMIFS(Erfassung!$G$6:$G$5005,Erfassung!$B$6:$B$5005,$A110,Erfassung!$A$6:$A$5005,"&gt;="&amp;DATE(Einstellungen!$C$3,2,1),Erfassung!$A$6:$A$5005,"&lt;"&amp;DATE(Einstellungen!$C$3,3,1)))</f>
        <v/>
      </c>
      <c r="R110" s="54">
        <f>IF($B110="","",SUMIFS(Erfassung!$G$6:$G$5005,Erfassung!$B$6:$B$5005,$A110,Erfassung!$A$6:$A$5005,"&gt;="&amp;DATE(Einstellungen!$C$3,3,1),Erfassung!$A$6:$A$5005,"&lt;"&amp;DATE(Einstellungen!$C$3,4,1)))</f>
        <v/>
      </c>
      <c r="S110" s="54">
        <f>IF($B110="","",SUMIFS(Erfassung!$G$6:$G$5005,Erfassung!$B$6:$B$5005,$A110,Erfassung!$A$6:$A$5005,"&gt;="&amp;DATE(Einstellungen!$C$3,4,1),Erfassung!$A$6:$A$5005,"&lt;"&amp;DATE(Einstellungen!$C$3,5,1)))</f>
        <v/>
      </c>
      <c r="T110" s="54">
        <f>IF($B110="","",SUMIFS(Erfassung!$G$6:$G$5005,Erfassung!$B$6:$B$5005,$A110,Erfassung!$A$6:$A$5005,"&gt;="&amp;DATE(Einstellungen!$C$3,5,1),Erfassung!$A$6:$A$5005,"&lt;"&amp;DATE(Einstellungen!$C$3,6,1)))</f>
        <v/>
      </c>
      <c r="U110" s="54">
        <f>IF($B110="","",SUMIFS(Erfassung!$G$6:$G$5005,Erfassung!$B$6:$B$5005,$A110,Erfassung!$A$6:$A$5005,"&gt;="&amp;DATE(Einstellungen!$C$3,6,1),Erfassung!$A$6:$A$5005,"&lt;"&amp;DATE(Einstellungen!$C$3,7,1)))</f>
        <v/>
      </c>
      <c r="V110" s="54">
        <f>IF($B110="","",SUMIFS(Erfassung!$G$6:$G$5005,Erfassung!$B$6:$B$5005,$A110,Erfassung!$A$6:$A$5005,"&gt;="&amp;DATE(Einstellungen!$C$3,7,1),Erfassung!$A$6:$A$5005,"&lt;"&amp;DATE(Einstellungen!$C$3,8,1)))</f>
        <v/>
      </c>
      <c r="W110" s="54">
        <f>IF($B110="","",SUMIFS(Erfassung!$G$6:$G$5005,Erfassung!$B$6:$B$5005,$A110,Erfassung!$A$6:$A$5005,"&gt;="&amp;DATE(Einstellungen!$C$3,8,1),Erfassung!$A$6:$A$5005,"&lt;"&amp;DATE(Einstellungen!$C$3,9,1)))</f>
        <v/>
      </c>
      <c r="X110" s="54">
        <f>IF($B110="","",SUMIFS(Erfassung!$G$6:$G$5005,Erfassung!$B$6:$B$5005,$A110,Erfassung!$A$6:$A$5005,"&gt;="&amp;DATE(Einstellungen!$C$3,9,1),Erfassung!$A$6:$A$5005,"&lt;"&amp;DATE(Einstellungen!$C$3,10,1)))</f>
        <v/>
      </c>
      <c r="Y110" s="54">
        <f>IF($B110="","",SUMIFS(Erfassung!$G$6:$G$5005,Erfassung!$B$6:$B$5005,$A110,Erfassung!$A$6:$A$5005,"&gt;="&amp;DATE(Einstellungen!$C$3,10,1),Erfassung!$A$6:$A$5005,"&lt;"&amp;DATE(Einstellungen!$C$3,11,1)))</f>
        <v/>
      </c>
      <c r="Z110" s="54">
        <f>IF($B110="","",SUMIFS(Erfassung!$G$6:$G$5005,Erfassung!$B$6:$B$5005,$A110,Erfassung!$A$6:$A$5005,"&gt;="&amp;DATE(Einstellungen!$C$3,11,1),Erfassung!$A$6:$A$5005,"&lt;"&amp;DATE(Einstellungen!$C$3,12,1)))</f>
        <v/>
      </c>
      <c r="AA110" s="54">
        <f>IF($B110="","",SUMIFS(Erfassung!$G$6:$G$5005,Erfassung!$B$6:$B$5005,$A110,Erfassung!$A$6:$A$5005,"&gt;="&amp;DATE(Einstellungen!$C$3,12,1),Erfassung!$A$6:$A$5005,"&lt;"&amp;DATE(Einstellungen!$C$3,13,1)))</f>
        <v/>
      </c>
      <c r="AB110" s="45">
        <f>IF($B110="","",SUM(P110:AA110))</f>
        <v/>
      </c>
      <c r="AC110" s="38">
        <f>IF($B110="","",IF(O110+AB110&gt;0,AB110/(O110+AB110),""))</f>
        <v/>
      </c>
    </row>
    <row r="111">
      <c r="A111" s="56">
        <f>'KQuote Mitarbeiter'!A111</f>
        <v/>
      </c>
      <c r="B111" s="57">
        <f>'KQuote Mitarbeiter'!B111</f>
        <v/>
      </c>
      <c r="C111" s="54">
        <f>IF($B111="","",SUMIFS(Erfassung!$E$6:$E$5005,Erfassung!$B$6:$B$5005,$A111,Erfassung!$A$6:$A$5005,"&gt;="&amp;DATE(Einstellungen!$C$3,1,1),Erfassung!$A$6:$A$5005,"&lt;"&amp;DATE(Einstellungen!$C$3,2,1)))</f>
        <v/>
      </c>
      <c r="D111" s="54">
        <f>IF($B111="","",SUMIFS(Erfassung!$E$6:$E$5005,Erfassung!$B$6:$B$5005,$A111,Erfassung!$A$6:$A$5005,"&gt;="&amp;DATE(Einstellungen!$C$3,2,1),Erfassung!$A$6:$A$5005,"&lt;"&amp;DATE(Einstellungen!$C$3,3,1)))</f>
        <v/>
      </c>
      <c r="E111" s="54">
        <f>IF($B111="","",SUMIFS(Erfassung!$E$6:$E$5005,Erfassung!$B$6:$B$5005,$A111,Erfassung!$A$6:$A$5005,"&gt;="&amp;DATE(Einstellungen!$C$3,3,1),Erfassung!$A$6:$A$5005,"&lt;"&amp;DATE(Einstellungen!$C$3,4,1)))</f>
        <v/>
      </c>
      <c r="F111" s="54">
        <f>IF($B111="","",SUMIFS(Erfassung!$E$6:$E$5005,Erfassung!$B$6:$B$5005,$A111,Erfassung!$A$6:$A$5005,"&gt;="&amp;DATE(Einstellungen!$C$3,4,1),Erfassung!$A$6:$A$5005,"&lt;"&amp;DATE(Einstellungen!$C$3,5,1)))</f>
        <v/>
      </c>
      <c r="G111" s="54">
        <f>IF($B111="","",SUMIFS(Erfassung!$E$6:$E$5005,Erfassung!$B$6:$B$5005,$A111,Erfassung!$A$6:$A$5005,"&gt;="&amp;DATE(Einstellungen!$C$3,5,1),Erfassung!$A$6:$A$5005,"&lt;"&amp;DATE(Einstellungen!$C$3,6,1)))</f>
        <v/>
      </c>
      <c r="H111" s="54">
        <f>IF($B111="","",SUMIFS(Erfassung!$E$6:$E$5005,Erfassung!$B$6:$B$5005,$A111,Erfassung!$A$6:$A$5005,"&gt;="&amp;DATE(Einstellungen!$C$3,6,1),Erfassung!$A$6:$A$5005,"&lt;"&amp;DATE(Einstellungen!$C$3,7,1)))</f>
        <v/>
      </c>
      <c r="I111" s="54">
        <f>IF($B111="","",SUMIFS(Erfassung!$E$6:$E$5005,Erfassung!$B$6:$B$5005,$A111,Erfassung!$A$6:$A$5005,"&gt;="&amp;DATE(Einstellungen!$C$3,7,1),Erfassung!$A$6:$A$5005,"&lt;"&amp;DATE(Einstellungen!$C$3,8,1)))</f>
        <v/>
      </c>
      <c r="J111" s="54">
        <f>IF($B111="","",SUMIFS(Erfassung!$E$6:$E$5005,Erfassung!$B$6:$B$5005,$A111,Erfassung!$A$6:$A$5005,"&gt;="&amp;DATE(Einstellungen!$C$3,8,1),Erfassung!$A$6:$A$5005,"&lt;"&amp;DATE(Einstellungen!$C$3,9,1)))</f>
        <v/>
      </c>
      <c r="K111" s="54">
        <f>IF($B111="","",SUMIFS(Erfassung!$E$6:$E$5005,Erfassung!$B$6:$B$5005,$A111,Erfassung!$A$6:$A$5005,"&gt;="&amp;DATE(Einstellungen!$C$3,9,1),Erfassung!$A$6:$A$5005,"&lt;"&amp;DATE(Einstellungen!$C$3,10,1)))</f>
        <v/>
      </c>
      <c r="L111" s="54">
        <f>IF($B111="","",SUMIFS(Erfassung!$E$6:$E$5005,Erfassung!$B$6:$B$5005,$A111,Erfassung!$A$6:$A$5005,"&gt;="&amp;DATE(Einstellungen!$C$3,10,1),Erfassung!$A$6:$A$5005,"&lt;"&amp;DATE(Einstellungen!$C$3,11,1)))</f>
        <v/>
      </c>
      <c r="M111" s="54">
        <f>IF($B111="","",SUMIFS(Erfassung!$E$6:$E$5005,Erfassung!$B$6:$B$5005,$A111,Erfassung!$A$6:$A$5005,"&gt;="&amp;DATE(Einstellungen!$C$3,11,1),Erfassung!$A$6:$A$5005,"&lt;"&amp;DATE(Einstellungen!$C$3,12,1)))</f>
        <v/>
      </c>
      <c r="N111" s="54">
        <f>IF($B111="","",SUMIFS(Erfassung!$E$6:$E$5005,Erfassung!$B$6:$B$5005,$A111,Erfassung!$A$6:$A$5005,"&gt;="&amp;DATE(Einstellungen!$C$3,12,1),Erfassung!$A$6:$A$5005,"&lt;"&amp;DATE(Einstellungen!$C$3,13,1)))</f>
        <v/>
      </c>
      <c r="O111" s="45">
        <f>IF($B111="","",SUM(C111:N111))</f>
        <v/>
      </c>
      <c r="P111" s="54">
        <f>IF($B111="","",SUMIFS(Erfassung!$G$6:$G$5005,Erfassung!$B$6:$B$5005,$A111,Erfassung!$A$6:$A$5005,"&gt;="&amp;DATE(Einstellungen!$C$3,1,1),Erfassung!$A$6:$A$5005,"&lt;"&amp;DATE(Einstellungen!$C$3,2,1)))</f>
        <v/>
      </c>
      <c r="Q111" s="54">
        <f>IF($B111="","",SUMIFS(Erfassung!$G$6:$G$5005,Erfassung!$B$6:$B$5005,$A111,Erfassung!$A$6:$A$5005,"&gt;="&amp;DATE(Einstellungen!$C$3,2,1),Erfassung!$A$6:$A$5005,"&lt;"&amp;DATE(Einstellungen!$C$3,3,1)))</f>
        <v/>
      </c>
      <c r="R111" s="54">
        <f>IF($B111="","",SUMIFS(Erfassung!$G$6:$G$5005,Erfassung!$B$6:$B$5005,$A111,Erfassung!$A$6:$A$5005,"&gt;="&amp;DATE(Einstellungen!$C$3,3,1),Erfassung!$A$6:$A$5005,"&lt;"&amp;DATE(Einstellungen!$C$3,4,1)))</f>
        <v/>
      </c>
      <c r="S111" s="54">
        <f>IF($B111="","",SUMIFS(Erfassung!$G$6:$G$5005,Erfassung!$B$6:$B$5005,$A111,Erfassung!$A$6:$A$5005,"&gt;="&amp;DATE(Einstellungen!$C$3,4,1),Erfassung!$A$6:$A$5005,"&lt;"&amp;DATE(Einstellungen!$C$3,5,1)))</f>
        <v/>
      </c>
      <c r="T111" s="54">
        <f>IF($B111="","",SUMIFS(Erfassung!$G$6:$G$5005,Erfassung!$B$6:$B$5005,$A111,Erfassung!$A$6:$A$5005,"&gt;="&amp;DATE(Einstellungen!$C$3,5,1),Erfassung!$A$6:$A$5005,"&lt;"&amp;DATE(Einstellungen!$C$3,6,1)))</f>
        <v/>
      </c>
      <c r="U111" s="54">
        <f>IF($B111="","",SUMIFS(Erfassung!$G$6:$G$5005,Erfassung!$B$6:$B$5005,$A111,Erfassung!$A$6:$A$5005,"&gt;="&amp;DATE(Einstellungen!$C$3,6,1),Erfassung!$A$6:$A$5005,"&lt;"&amp;DATE(Einstellungen!$C$3,7,1)))</f>
        <v/>
      </c>
      <c r="V111" s="54">
        <f>IF($B111="","",SUMIFS(Erfassung!$G$6:$G$5005,Erfassung!$B$6:$B$5005,$A111,Erfassung!$A$6:$A$5005,"&gt;="&amp;DATE(Einstellungen!$C$3,7,1),Erfassung!$A$6:$A$5005,"&lt;"&amp;DATE(Einstellungen!$C$3,8,1)))</f>
        <v/>
      </c>
      <c r="W111" s="54">
        <f>IF($B111="","",SUMIFS(Erfassung!$G$6:$G$5005,Erfassung!$B$6:$B$5005,$A111,Erfassung!$A$6:$A$5005,"&gt;="&amp;DATE(Einstellungen!$C$3,8,1),Erfassung!$A$6:$A$5005,"&lt;"&amp;DATE(Einstellungen!$C$3,9,1)))</f>
        <v/>
      </c>
      <c r="X111" s="54">
        <f>IF($B111="","",SUMIFS(Erfassung!$G$6:$G$5005,Erfassung!$B$6:$B$5005,$A111,Erfassung!$A$6:$A$5005,"&gt;="&amp;DATE(Einstellungen!$C$3,9,1),Erfassung!$A$6:$A$5005,"&lt;"&amp;DATE(Einstellungen!$C$3,10,1)))</f>
        <v/>
      </c>
      <c r="Y111" s="54">
        <f>IF($B111="","",SUMIFS(Erfassung!$G$6:$G$5005,Erfassung!$B$6:$B$5005,$A111,Erfassung!$A$6:$A$5005,"&gt;="&amp;DATE(Einstellungen!$C$3,10,1),Erfassung!$A$6:$A$5005,"&lt;"&amp;DATE(Einstellungen!$C$3,11,1)))</f>
        <v/>
      </c>
      <c r="Z111" s="54">
        <f>IF($B111="","",SUMIFS(Erfassung!$G$6:$G$5005,Erfassung!$B$6:$B$5005,$A111,Erfassung!$A$6:$A$5005,"&gt;="&amp;DATE(Einstellungen!$C$3,11,1),Erfassung!$A$6:$A$5005,"&lt;"&amp;DATE(Einstellungen!$C$3,12,1)))</f>
        <v/>
      </c>
      <c r="AA111" s="54">
        <f>IF($B111="","",SUMIFS(Erfassung!$G$6:$G$5005,Erfassung!$B$6:$B$5005,$A111,Erfassung!$A$6:$A$5005,"&gt;="&amp;DATE(Einstellungen!$C$3,12,1),Erfassung!$A$6:$A$5005,"&lt;"&amp;DATE(Einstellungen!$C$3,13,1)))</f>
        <v/>
      </c>
      <c r="AB111" s="45">
        <f>IF($B111="","",SUM(P111:AA111))</f>
        <v/>
      </c>
      <c r="AC111" s="38">
        <f>IF($B111="","",IF(O111+AB111&gt;0,AB111/(O111+AB111),""))</f>
        <v/>
      </c>
    </row>
    <row r="112">
      <c r="A112" s="56">
        <f>'KQuote Mitarbeiter'!A112</f>
        <v/>
      </c>
      <c r="B112" s="57">
        <f>'KQuote Mitarbeiter'!B112</f>
        <v/>
      </c>
      <c r="C112" s="54">
        <f>IF($B112="","",SUMIFS(Erfassung!$E$6:$E$5005,Erfassung!$B$6:$B$5005,$A112,Erfassung!$A$6:$A$5005,"&gt;="&amp;DATE(Einstellungen!$C$3,1,1),Erfassung!$A$6:$A$5005,"&lt;"&amp;DATE(Einstellungen!$C$3,2,1)))</f>
        <v/>
      </c>
      <c r="D112" s="54">
        <f>IF($B112="","",SUMIFS(Erfassung!$E$6:$E$5005,Erfassung!$B$6:$B$5005,$A112,Erfassung!$A$6:$A$5005,"&gt;="&amp;DATE(Einstellungen!$C$3,2,1),Erfassung!$A$6:$A$5005,"&lt;"&amp;DATE(Einstellungen!$C$3,3,1)))</f>
        <v/>
      </c>
      <c r="E112" s="54">
        <f>IF($B112="","",SUMIFS(Erfassung!$E$6:$E$5005,Erfassung!$B$6:$B$5005,$A112,Erfassung!$A$6:$A$5005,"&gt;="&amp;DATE(Einstellungen!$C$3,3,1),Erfassung!$A$6:$A$5005,"&lt;"&amp;DATE(Einstellungen!$C$3,4,1)))</f>
        <v/>
      </c>
      <c r="F112" s="54">
        <f>IF($B112="","",SUMIFS(Erfassung!$E$6:$E$5005,Erfassung!$B$6:$B$5005,$A112,Erfassung!$A$6:$A$5005,"&gt;="&amp;DATE(Einstellungen!$C$3,4,1),Erfassung!$A$6:$A$5005,"&lt;"&amp;DATE(Einstellungen!$C$3,5,1)))</f>
        <v/>
      </c>
      <c r="G112" s="54">
        <f>IF($B112="","",SUMIFS(Erfassung!$E$6:$E$5005,Erfassung!$B$6:$B$5005,$A112,Erfassung!$A$6:$A$5005,"&gt;="&amp;DATE(Einstellungen!$C$3,5,1),Erfassung!$A$6:$A$5005,"&lt;"&amp;DATE(Einstellungen!$C$3,6,1)))</f>
        <v/>
      </c>
      <c r="H112" s="54">
        <f>IF($B112="","",SUMIFS(Erfassung!$E$6:$E$5005,Erfassung!$B$6:$B$5005,$A112,Erfassung!$A$6:$A$5005,"&gt;="&amp;DATE(Einstellungen!$C$3,6,1),Erfassung!$A$6:$A$5005,"&lt;"&amp;DATE(Einstellungen!$C$3,7,1)))</f>
        <v/>
      </c>
      <c r="I112" s="54">
        <f>IF($B112="","",SUMIFS(Erfassung!$E$6:$E$5005,Erfassung!$B$6:$B$5005,$A112,Erfassung!$A$6:$A$5005,"&gt;="&amp;DATE(Einstellungen!$C$3,7,1),Erfassung!$A$6:$A$5005,"&lt;"&amp;DATE(Einstellungen!$C$3,8,1)))</f>
        <v/>
      </c>
      <c r="J112" s="54">
        <f>IF($B112="","",SUMIFS(Erfassung!$E$6:$E$5005,Erfassung!$B$6:$B$5005,$A112,Erfassung!$A$6:$A$5005,"&gt;="&amp;DATE(Einstellungen!$C$3,8,1),Erfassung!$A$6:$A$5005,"&lt;"&amp;DATE(Einstellungen!$C$3,9,1)))</f>
        <v/>
      </c>
      <c r="K112" s="54">
        <f>IF($B112="","",SUMIFS(Erfassung!$E$6:$E$5005,Erfassung!$B$6:$B$5005,$A112,Erfassung!$A$6:$A$5005,"&gt;="&amp;DATE(Einstellungen!$C$3,9,1),Erfassung!$A$6:$A$5005,"&lt;"&amp;DATE(Einstellungen!$C$3,10,1)))</f>
        <v/>
      </c>
      <c r="L112" s="54">
        <f>IF($B112="","",SUMIFS(Erfassung!$E$6:$E$5005,Erfassung!$B$6:$B$5005,$A112,Erfassung!$A$6:$A$5005,"&gt;="&amp;DATE(Einstellungen!$C$3,10,1),Erfassung!$A$6:$A$5005,"&lt;"&amp;DATE(Einstellungen!$C$3,11,1)))</f>
        <v/>
      </c>
      <c r="M112" s="54">
        <f>IF($B112="","",SUMIFS(Erfassung!$E$6:$E$5005,Erfassung!$B$6:$B$5005,$A112,Erfassung!$A$6:$A$5005,"&gt;="&amp;DATE(Einstellungen!$C$3,11,1),Erfassung!$A$6:$A$5005,"&lt;"&amp;DATE(Einstellungen!$C$3,12,1)))</f>
        <v/>
      </c>
      <c r="N112" s="54">
        <f>IF($B112="","",SUMIFS(Erfassung!$E$6:$E$5005,Erfassung!$B$6:$B$5005,$A112,Erfassung!$A$6:$A$5005,"&gt;="&amp;DATE(Einstellungen!$C$3,12,1),Erfassung!$A$6:$A$5005,"&lt;"&amp;DATE(Einstellungen!$C$3,13,1)))</f>
        <v/>
      </c>
      <c r="O112" s="45">
        <f>IF($B112="","",SUM(C112:N112))</f>
        <v/>
      </c>
      <c r="P112" s="54">
        <f>IF($B112="","",SUMIFS(Erfassung!$G$6:$G$5005,Erfassung!$B$6:$B$5005,$A112,Erfassung!$A$6:$A$5005,"&gt;="&amp;DATE(Einstellungen!$C$3,1,1),Erfassung!$A$6:$A$5005,"&lt;"&amp;DATE(Einstellungen!$C$3,2,1)))</f>
        <v/>
      </c>
      <c r="Q112" s="54">
        <f>IF($B112="","",SUMIFS(Erfassung!$G$6:$G$5005,Erfassung!$B$6:$B$5005,$A112,Erfassung!$A$6:$A$5005,"&gt;="&amp;DATE(Einstellungen!$C$3,2,1),Erfassung!$A$6:$A$5005,"&lt;"&amp;DATE(Einstellungen!$C$3,3,1)))</f>
        <v/>
      </c>
      <c r="R112" s="54">
        <f>IF($B112="","",SUMIFS(Erfassung!$G$6:$G$5005,Erfassung!$B$6:$B$5005,$A112,Erfassung!$A$6:$A$5005,"&gt;="&amp;DATE(Einstellungen!$C$3,3,1),Erfassung!$A$6:$A$5005,"&lt;"&amp;DATE(Einstellungen!$C$3,4,1)))</f>
        <v/>
      </c>
      <c r="S112" s="54">
        <f>IF($B112="","",SUMIFS(Erfassung!$G$6:$G$5005,Erfassung!$B$6:$B$5005,$A112,Erfassung!$A$6:$A$5005,"&gt;="&amp;DATE(Einstellungen!$C$3,4,1),Erfassung!$A$6:$A$5005,"&lt;"&amp;DATE(Einstellungen!$C$3,5,1)))</f>
        <v/>
      </c>
      <c r="T112" s="54">
        <f>IF($B112="","",SUMIFS(Erfassung!$G$6:$G$5005,Erfassung!$B$6:$B$5005,$A112,Erfassung!$A$6:$A$5005,"&gt;="&amp;DATE(Einstellungen!$C$3,5,1),Erfassung!$A$6:$A$5005,"&lt;"&amp;DATE(Einstellungen!$C$3,6,1)))</f>
        <v/>
      </c>
      <c r="U112" s="54">
        <f>IF($B112="","",SUMIFS(Erfassung!$G$6:$G$5005,Erfassung!$B$6:$B$5005,$A112,Erfassung!$A$6:$A$5005,"&gt;="&amp;DATE(Einstellungen!$C$3,6,1),Erfassung!$A$6:$A$5005,"&lt;"&amp;DATE(Einstellungen!$C$3,7,1)))</f>
        <v/>
      </c>
      <c r="V112" s="54">
        <f>IF($B112="","",SUMIFS(Erfassung!$G$6:$G$5005,Erfassung!$B$6:$B$5005,$A112,Erfassung!$A$6:$A$5005,"&gt;="&amp;DATE(Einstellungen!$C$3,7,1),Erfassung!$A$6:$A$5005,"&lt;"&amp;DATE(Einstellungen!$C$3,8,1)))</f>
        <v/>
      </c>
      <c r="W112" s="54">
        <f>IF($B112="","",SUMIFS(Erfassung!$G$6:$G$5005,Erfassung!$B$6:$B$5005,$A112,Erfassung!$A$6:$A$5005,"&gt;="&amp;DATE(Einstellungen!$C$3,8,1),Erfassung!$A$6:$A$5005,"&lt;"&amp;DATE(Einstellungen!$C$3,9,1)))</f>
        <v/>
      </c>
      <c r="X112" s="54">
        <f>IF($B112="","",SUMIFS(Erfassung!$G$6:$G$5005,Erfassung!$B$6:$B$5005,$A112,Erfassung!$A$6:$A$5005,"&gt;="&amp;DATE(Einstellungen!$C$3,9,1),Erfassung!$A$6:$A$5005,"&lt;"&amp;DATE(Einstellungen!$C$3,10,1)))</f>
        <v/>
      </c>
      <c r="Y112" s="54">
        <f>IF($B112="","",SUMIFS(Erfassung!$G$6:$G$5005,Erfassung!$B$6:$B$5005,$A112,Erfassung!$A$6:$A$5005,"&gt;="&amp;DATE(Einstellungen!$C$3,10,1),Erfassung!$A$6:$A$5005,"&lt;"&amp;DATE(Einstellungen!$C$3,11,1)))</f>
        <v/>
      </c>
      <c r="Z112" s="54">
        <f>IF($B112="","",SUMIFS(Erfassung!$G$6:$G$5005,Erfassung!$B$6:$B$5005,$A112,Erfassung!$A$6:$A$5005,"&gt;="&amp;DATE(Einstellungen!$C$3,11,1),Erfassung!$A$6:$A$5005,"&lt;"&amp;DATE(Einstellungen!$C$3,12,1)))</f>
        <v/>
      </c>
      <c r="AA112" s="54">
        <f>IF($B112="","",SUMIFS(Erfassung!$G$6:$G$5005,Erfassung!$B$6:$B$5005,$A112,Erfassung!$A$6:$A$5005,"&gt;="&amp;DATE(Einstellungen!$C$3,12,1),Erfassung!$A$6:$A$5005,"&lt;"&amp;DATE(Einstellungen!$C$3,13,1)))</f>
        <v/>
      </c>
      <c r="AB112" s="45">
        <f>IF($B112="","",SUM(P112:AA112))</f>
        <v/>
      </c>
      <c r="AC112" s="38">
        <f>IF($B112="","",IF(O112+AB112&gt;0,AB112/(O112+AB112),""))</f>
        <v/>
      </c>
    </row>
    <row r="113">
      <c r="A113" s="56">
        <f>'KQuote Mitarbeiter'!A113</f>
        <v/>
      </c>
      <c r="B113" s="57">
        <f>'KQuote Mitarbeiter'!B113</f>
        <v/>
      </c>
      <c r="C113" s="54">
        <f>IF($B113="","",SUMIFS(Erfassung!$E$6:$E$5005,Erfassung!$B$6:$B$5005,$A113,Erfassung!$A$6:$A$5005,"&gt;="&amp;DATE(Einstellungen!$C$3,1,1),Erfassung!$A$6:$A$5005,"&lt;"&amp;DATE(Einstellungen!$C$3,2,1)))</f>
        <v/>
      </c>
      <c r="D113" s="54">
        <f>IF($B113="","",SUMIFS(Erfassung!$E$6:$E$5005,Erfassung!$B$6:$B$5005,$A113,Erfassung!$A$6:$A$5005,"&gt;="&amp;DATE(Einstellungen!$C$3,2,1),Erfassung!$A$6:$A$5005,"&lt;"&amp;DATE(Einstellungen!$C$3,3,1)))</f>
        <v/>
      </c>
      <c r="E113" s="54">
        <f>IF($B113="","",SUMIFS(Erfassung!$E$6:$E$5005,Erfassung!$B$6:$B$5005,$A113,Erfassung!$A$6:$A$5005,"&gt;="&amp;DATE(Einstellungen!$C$3,3,1),Erfassung!$A$6:$A$5005,"&lt;"&amp;DATE(Einstellungen!$C$3,4,1)))</f>
        <v/>
      </c>
      <c r="F113" s="54">
        <f>IF($B113="","",SUMIFS(Erfassung!$E$6:$E$5005,Erfassung!$B$6:$B$5005,$A113,Erfassung!$A$6:$A$5005,"&gt;="&amp;DATE(Einstellungen!$C$3,4,1),Erfassung!$A$6:$A$5005,"&lt;"&amp;DATE(Einstellungen!$C$3,5,1)))</f>
        <v/>
      </c>
      <c r="G113" s="54">
        <f>IF($B113="","",SUMIFS(Erfassung!$E$6:$E$5005,Erfassung!$B$6:$B$5005,$A113,Erfassung!$A$6:$A$5005,"&gt;="&amp;DATE(Einstellungen!$C$3,5,1),Erfassung!$A$6:$A$5005,"&lt;"&amp;DATE(Einstellungen!$C$3,6,1)))</f>
        <v/>
      </c>
      <c r="H113" s="54">
        <f>IF($B113="","",SUMIFS(Erfassung!$E$6:$E$5005,Erfassung!$B$6:$B$5005,$A113,Erfassung!$A$6:$A$5005,"&gt;="&amp;DATE(Einstellungen!$C$3,6,1),Erfassung!$A$6:$A$5005,"&lt;"&amp;DATE(Einstellungen!$C$3,7,1)))</f>
        <v/>
      </c>
      <c r="I113" s="54">
        <f>IF($B113="","",SUMIFS(Erfassung!$E$6:$E$5005,Erfassung!$B$6:$B$5005,$A113,Erfassung!$A$6:$A$5005,"&gt;="&amp;DATE(Einstellungen!$C$3,7,1),Erfassung!$A$6:$A$5005,"&lt;"&amp;DATE(Einstellungen!$C$3,8,1)))</f>
        <v/>
      </c>
      <c r="J113" s="54">
        <f>IF($B113="","",SUMIFS(Erfassung!$E$6:$E$5005,Erfassung!$B$6:$B$5005,$A113,Erfassung!$A$6:$A$5005,"&gt;="&amp;DATE(Einstellungen!$C$3,8,1),Erfassung!$A$6:$A$5005,"&lt;"&amp;DATE(Einstellungen!$C$3,9,1)))</f>
        <v/>
      </c>
      <c r="K113" s="54">
        <f>IF($B113="","",SUMIFS(Erfassung!$E$6:$E$5005,Erfassung!$B$6:$B$5005,$A113,Erfassung!$A$6:$A$5005,"&gt;="&amp;DATE(Einstellungen!$C$3,9,1),Erfassung!$A$6:$A$5005,"&lt;"&amp;DATE(Einstellungen!$C$3,10,1)))</f>
        <v/>
      </c>
      <c r="L113" s="54">
        <f>IF($B113="","",SUMIFS(Erfassung!$E$6:$E$5005,Erfassung!$B$6:$B$5005,$A113,Erfassung!$A$6:$A$5005,"&gt;="&amp;DATE(Einstellungen!$C$3,10,1),Erfassung!$A$6:$A$5005,"&lt;"&amp;DATE(Einstellungen!$C$3,11,1)))</f>
        <v/>
      </c>
      <c r="M113" s="54">
        <f>IF($B113="","",SUMIFS(Erfassung!$E$6:$E$5005,Erfassung!$B$6:$B$5005,$A113,Erfassung!$A$6:$A$5005,"&gt;="&amp;DATE(Einstellungen!$C$3,11,1),Erfassung!$A$6:$A$5005,"&lt;"&amp;DATE(Einstellungen!$C$3,12,1)))</f>
        <v/>
      </c>
      <c r="N113" s="54">
        <f>IF($B113="","",SUMIFS(Erfassung!$E$6:$E$5005,Erfassung!$B$6:$B$5005,$A113,Erfassung!$A$6:$A$5005,"&gt;="&amp;DATE(Einstellungen!$C$3,12,1),Erfassung!$A$6:$A$5005,"&lt;"&amp;DATE(Einstellungen!$C$3,13,1)))</f>
        <v/>
      </c>
      <c r="O113" s="45">
        <f>IF($B113="","",SUM(C113:N113))</f>
        <v/>
      </c>
      <c r="P113" s="54">
        <f>IF($B113="","",SUMIFS(Erfassung!$G$6:$G$5005,Erfassung!$B$6:$B$5005,$A113,Erfassung!$A$6:$A$5005,"&gt;="&amp;DATE(Einstellungen!$C$3,1,1),Erfassung!$A$6:$A$5005,"&lt;"&amp;DATE(Einstellungen!$C$3,2,1)))</f>
        <v/>
      </c>
      <c r="Q113" s="54">
        <f>IF($B113="","",SUMIFS(Erfassung!$G$6:$G$5005,Erfassung!$B$6:$B$5005,$A113,Erfassung!$A$6:$A$5005,"&gt;="&amp;DATE(Einstellungen!$C$3,2,1),Erfassung!$A$6:$A$5005,"&lt;"&amp;DATE(Einstellungen!$C$3,3,1)))</f>
        <v/>
      </c>
      <c r="R113" s="54">
        <f>IF($B113="","",SUMIFS(Erfassung!$G$6:$G$5005,Erfassung!$B$6:$B$5005,$A113,Erfassung!$A$6:$A$5005,"&gt;="&amp;DATE(Einstellungen!$C$3,3,1),Erfassung!$A$6:$A$5005,"&lt;"&amp;DATE(Einstellungen!$C$3,4,1)))</f>
        <v/>
      </c>
      <c r="S113" s="54">
        <f>IF($B113="","",SUMIFS(Erfassung!$G$6:$G$5005,Erfassung!$B$6:$B$5005,$A113,Erfassung!$A$6:$A$5005,"&gt;="&amp;DATE(Einstellungen!$C$3,4,1),Erfassung!$A$6:$A$5005,"&lt;"&amp;DATE(Einstellungen!$C$3,5,1)))</f>
        <v/>
      </c>
      <c r="T113" s="54">
        <f>IF($B113="","",SUMIFS(Erfassung!$G$6:$G$5005,Erfassung!$B$6:$B$5005,$A113,Erfassung!$A$6:$A$5005,"&gt;="&amp;DATE(Einstellungen!$C$3,5,1),Erfassung!$A$6:$A$5005,"&lt;"&amp;DATE(Einstellungen!$C$3,6,1)))</f>
        <v/>
      </c>
      <c r="U113" s="54">
        <f>IF($B113="","",SUMIFS(Erfassung!$G$6:$G$5005,Erfassung!$B$6:$B$5005,$A113,Erfassung!$A$6:$A$5005,"&gt;="&amp;DATE(Einstellungen!$C$3,6,1),Erfassung!$A$6:$A$5005,"&lt;"&amp;DATE(Einstellungen!$C$3,7,1)))</f>
        <v/>
      </c>
      <c r="V113" s="54">
        <f>IF($B113="","",SUMIFS(Erfassung!$G$6:$G$5005,Erfassung!$B$6:$B$5005,$A113,Erfassung!$A$6:$A$5005,"&gt;="&amp;DATE(Einstellungen!$C$3,7,1),Erfassung!$A$6:$A$5005,"&lt;"&amp;DATE(Einstellungen!$C$3,8,1)))</f>
        <v/>
      </c>
      <c r="W113" s="54">
        <f>IF($B113="","",SUMIFS(Erfassung!$G$6:$G$5005,Erfassung!$B$6:$B$5005,$A113,Erfassung!$A$6:$A$5005,"&gt;="&amp;DATE(Einstellungen!$C$3,8,1),Erfassung!$A$6:$A$5005,"&lt;"&amp;DATE(Einstellungen!$C$3,9,1)))</f>
        <v/>
      </c>
      <c r="X113" s="54">
        <f>IF($B113="","",SUMIFS(Erfassung!$G$6:$G$5005,Erfassung!$B$6:$B$5005,$A113,Erfassung!$A$6:$A$5005,"&gt;="&amp;DATE(Einstellungen!$C$3,9,1),Erfassung!$A$6:$A$5005,"&lt;"&amp;DATE(Einstellungen!$C$3,10,1)))</f>
        <v/>
      </c>
      <c r="Y113" s="54">
        <f>IF($B113="","",SUMIFS(Erfassung!$G$6:$G$5005,Erfassung!$B$6:$B$5005,$A113,Erfassung!$A$6:$A$5005,"&gt;="&amp;DATE(Einstellungen!$C$3,10,1),Erfassung!$A$6:$A$5005,"&lt;"&amp;DATE(Einstellungen!$C$3,11,1)))</f>
        <v/>
      </c>
      <c r="Z113" s="54">
        <f>IF($B113="","",SUMIFS(Erfassung!$G$6:$G$5005,Erfassung!$B$6:$B$5005,$A113,Erfassung!$A$6:$A$5005,"&gt;="&amp;DATE(Einstellungen!$C$3,11,1),Erfassung!$A$6:$A$5005,"&lt;"&amp;DATE(Einstellungen!$C$3,12,1)))</f>
        <v/>
      </c>
      <c r="AA113" s="54">
        <f>IF($B113="","",SUMIFS(Erfassung!$G$6:$G$5005,Erfassung!$B$6:$B$5005,$A113,Erfassung!$A$6:$A$5005,"&gt;="&amp;DATE(Einstellungen!$C$3,12,1),Erfassung!$A$6:$A$5005,"&lt;"&amp;DATE(Einstellungen!$C$3,13,1)))</f>
        <v/>
      </c>
      <c r="AB113" s="45">
        <f>IF($B113="","",SUM(P113:AA113))</f>
        <v/>
      </c>
      <c r="AC113" s="38">
        <f>IF($B113="","",IF(O113+AB113&gt;0,AB113/(O113+AB113),""))</f>
        <v/>
      </c>
    </row>
    <row r="114">
      <c r="A114" s="56">
        <f>'KQuote Mitarbeiter'!A114</f>
        <v/>
      </c>
      <c r="B114" s="57">
        <f>'KQuote Mitarbeiter'!B114</f>
        <v/>
      </c>
      <c r="C114" s="54">
        <f>IF($B114="","",SUMIFS(Erfassung!$E$6:$E$5005,Erfassung!$B$6:$B$5005,$A114,Erfassung!$A$6:$A$5005,"&gt;="&amp;DATE(Einstellungen!$C$3,1,1),Erfassung!$A$6:$A$5005,"&lt;"&amp;DATE(Einstellungen!$C$3,2,1)))</f>
        <v/>
      </c>
      <c r="D114" s="54">
        <f>IF($B114="","",SUMIFS(Erfassung!$E$6:$E$5005,Erfassung!$B$6:$B$5005,$A114,Erfassung!$A$6:$A$5005,"&gt;="&amp;DATE(Einstellungen!$C$3,2,1),Erfassung!$A$6:$A$5005,"&lt;"&amp;DATE(Einstellungen!$C$3,3,1)))</f>
        <v/>
      </c>
      <c r="E114" s="54">
        <f>IF($B114="","",SUMIFS(Erfassung!$E$6:$E$5005,Erfassung!$B$6:$B$5005,$A114,Erfassung!$A$6:$A$5005,"&gt;="&amp;DATE(Einstellungen!$C$3,3,1),Erfassung!$A$6:$A$5005,"&lt;"&amp;DATE(Einstellungen!$C$3,4,1)))</f>
        <v/>
      </c>
      <c r="F114" s="54">
        <f>IF($B114="","",SUMIFS(Erfassung!$E$6:$E$5005,Erfassung!$B$6:$B$5005,$A114,Erfassung!$A$6:$A$5005,"&gt;="&amp;DATE(Einstellungen!$C$3,4,1),Erfassung!$A$6:$A$5005,"&lt;"&amp;DATE(Einstellungen!$C$3,5,1)))</f>
        <v/>
      </c>
      <c r="G114" s="54">
        <f>IF($B114="","",SUMIFS(Erfassung!$E$6:$E$5005,Erfassung!$B$6:$B$5005,$A114,Erfassung!$A$6:$A$5005,"&gt;="&amp;DATE(Einstellungen!$C$3,5,1),Erfassung!$A$6:$A$5005,"&lt;"&amp;DATE(Einstellungen!$C$3,6,1)))</f>
        <v/>
      </c>
      <c r="H114" s="54">
        <f>IF($B114="","",SUMIFS(Erfassung!$E$6:$E$5005,Erfassung!$B$6:$B$5005,$A114,Erfassung!$A$6:$A$5005,"&gt;="&amp;DATE(Einstellungen!$C$3,6,1),Erfassung!$A$6:$A$5005,"&lt;"&amp;DATE(Einstellungen!$C$3,7,1)))</f>
        <v/>
      </c>
      <c r="I114" s="54">
        <f>IF($B114="","",SUMIFS(Erfassung!$E$6:$E$5005,Erfassung!$B$6:$B$5005,$A114,Erfassung!$A$6:$A$5005,"&gt;="&amp;DATE(Einstellungen!$C$3,7,1),Erfassung!$A$6:$A$5005,"&lt;"&amp;DATE(Einstellungen!$C$3,8,1)))</f>
        <v/>
      </c>
      <c r="J114" s="54">
        <f>IF($B114="","",SUMIFS(Erfassung!$E$6:$E$5005,Erfassung!$B$6:$B$5005,$A114,Erfassung!$A$6:$A$5005,"&gt;="&amp;DATE(Einstellungen!$C$3,8,1),Erfassung!$A$6:$A$5005,"&lt;"&amp;DATE(Einstellungen!$C$3,9,1)))</f>
        <v/>
      </c>
      <c r="K114" s="54">
        <f>IF($B114="","",SUMIFS(Erfassung!$E$6:$E$5005,Erfassung!$B$6:$B$5005,$A114,Erfassung!$A$6:$A$5005,"&gt;="&amp;DATE(Einstellungen!$C$3,9,1),Erfassung!$A$6:$A$5005,"&lt;"&amp;DATE(Einstellungen!$C$3,10,1)))</f>
        <v/>
      </c>
      <c r="L114" s="54">
        <f>IF($B114="","",SUMIFS(Erfassung!$E$6:$E$5005,Erfassung!$B$6:$B$5005,$A114,Erfassung!$A$6:$A$5005,"&gt;="&amp;DATE(Einstellungen!$C$3,10,1),Erfassung!$A$6:$A$5005,"&lt;"&amp;DATE(Einstellungen!$C$3,11,1)))</f>
        <v/>
      </c>
      <c r="M114" s="54">
        <f>IF($B114="","",SUMIFS(Erfassung!$E$6:$E$5005,Erfassung!$B$6:$B$5005,$A114,Erfassung!$A$6:$A$5005,"&gt;="&amp;DATE(Einstellungen!$C$3,11,1),Erfassung!$A$6:$A$5005,"&lt;"&amp;DATE(Einstellungen!$C$3,12,1)))</f>
        <v/>
      </c>
      <c r="N114" s="54">
        <f>IF($B114="","",SUMIFS(Erfassung!$E$6:$E$5005,Erfassung!$B$6:$B$5005,$A114,Erfassung!$A$6:$A$5005,"&gt;="&amp;DATE(Einstellungen!$C$3,12,1),Erfassung!$A$6:$A$5005,"&lt;"&amp;DATE(Einstellungen!$C$3,13,1)))</f>
        <v/>
      </c>
      <c r="O114" s="45">
        <f>IF($B114="","",SUM(C114:N114))</f>
        <v/>
      </c>
      <c r="P114" s="54">
        <f>IF($B114="","",SUMIFS(Erfassung!$G$6:$G$5005,Erfassung!$B$6:$B$5005,$A114,Erfassung!$A$6:$A$5005,"&gt;="&amp;DATE(Einstellungen!$C$3,1,1),Erfassung!$A$6:$A$5005,"&lt;"&amp;DATE(Einstellungen!$C$3,2,1)))</f>
        <v/>
      </c>
      <c r="Q114" s="54">
        <f>IF($B114="","",SUMIFS(Erfassung!$G$6:$G$5005,Erfassung!$B$6:$B$5005,$A114,Erfassung!$A$6:$A$5005,"&gt;="&amp;DATE(Einstellungen!$C$3,2,1),Erfassung!$A$6:$A$5005,"&lt;"&amp;DATE(Einstellungen!$C$3,3,1)))</f>
        <v/>
      </c>
      <c r="R114" s="54">
        <f>IF($B114="","",SUMIFS(Erfassung!$G$6:$G$5005,Erfassung!$B$6:$B$5005,$A114,Erfassung!$A$6:$A$5005,"&gt;="&amp;DATE(Einstellungen!$C$3,3,1),Erfassung!$A$6:$A$5005,"&lt;"&amp;DATE(Einstellungen!$C$3,4,1)))</f>
        <v/>
      </c>
      <c r="S114" s="54">
        <f>IF($B114="","",SUMIFS(Erfassung!$G$6:$G$5005,Erfassung!$B$6:$B$5005,$A114,Erfassung!$A$6:$A$5005,"&gt;="&amp;DATE(Einstellungen!$C$3,4,1),Erfassung!$A$6:$A$5005,"&lt;"&amp;DATE(Einstellungen!$C$3,5,1)))</f>
        <v/>
      </c>
      <c r="T114" s="54">
        <f>IF($B114="","",SUMIFS(Erfassung!$G$6:$G$5005,Erfassung!$B$6:$B$5005,$A114,Erfassung!$A$6:$A$5005,"&gt;="&amp;DATE(Einstellungen!$C$3,5,1),Erfassung!$A$6:$A$5005,"&lt;"&amp;DATE(Einstellungen!$C$3,6,1)))</f>
        <v/>
      </c>
      <c r="U114" s="54">
        <f>IF($B114="","",SUMIFS(Erfassung!$G$6:$G$5005,Erfassung!$B$6:$B$5005,$A114,Erfassung!$A$6:$A$5005,"&gt;="&amp;DATE(Einstellungen!$C$3,6,1),Erfassung!$A$6:$A$5005,"&lt;"&amp;DATE(Einstellungen!$C$3,7,1)))</f>
        <v/>
      </c>
      <c r="V114" s="54">
        <f>IF($B114="","",SUMIFS(Erfassung!$G$6:$G$5005,Erfassung!$B$6:$B$5005,$A114,Erfassung!$A$6:$A$5005,"&gt;="&amp;DATE(Einstellungen!$C$3,7,1),Erfassung!$A$6:$A$5005,"&lt;"&amp;DATE(Einstellungen!$C$3,8,1)))</f>
        <v/>
      </c>
      <c r="W114" s="54">
        <f>IF($B114="","",SUMIFS(Erfassung!$G$6:$G$5005,Erfassung!$B$6:$B$5005,$A114,Erfassung!$A$6:$A$5005,"&gt;="&amp;DATE(Einstellungen!$C$3,8,1),Erfassung!$A$6:$A$5005,"&lt;"&amp;DATE(Einstellungen!$C$3,9,1)))</f>
        <v/>
      </c>
      <c r="X114" s="54">
        <f>IF($B114="","",SUMIFS(Erfassung!$G$6:$G$5005,Erfassung!$B$6:$B$5005,$A114,Erfassung!$A$6:$A$5005,"&gt;="&amp;DATE(Einstellungen!$C$3,9,1),Erfassung!$A$6:$A$5005,"&lt;"&amp;DATE(Einstellungen!$C$3,10,1)))</f>
        <v/>
      </c>
      <c r="Y114" s="54">
        <f>IF($B114="","",SUMIFS(Erfassung!$G$6:$G$5005,Erfassung!$B$6:$B$5005,$A114,Erfassung!$A$6:$A$5005,"&gt;="&amp;DATE(Einstellungen!$C$3,10,1),Erfassung!$A$6:$A$5005,"&lt;"&amp;DATE(Einstellungen!$C$3,11,1)))</f>
        <v/>
      </c>
      <c r="Z114" s="54">
        <f>IF($B114="","",SUMIFS(Erfassung!$G$6:$G$5005,Erfassung!$B$6:$B$5005,$A114,Erfassung!$A$6:$A$5005,"&gt;="&amp;DATE(Einstellungen!$C$3,11,1),Erfassung!$A$6:$A$5005,"&lt;"&amp;DATE(Einstellungen!$C$3,12,1)))</f>
        <v/>
      </c>
      <c r="AA114" s="54">
        <f>IF($B114="","",SUMIFS(Erfassung!$G$6:$G$5005,Erfassung!$B$6:$B$5005,$A114,Erfassung!$A$6:$A$5005,"&gt;="&amp;DATE(Einstellungen!$C$3,12,1),Erfassung!$A$6:$A$5005,"&lt;"&amp;DATE(Einstellungen!$C$3,13,1)))</f>
        <v/>
      </c>
      <c r="AB114" s="45">
        <f>IF($B114="","",SUM(P114:AA114))</f>
        <v/>
      </c>
      <c r="AC114" s="38">
        <f>IF($B114="","",IF(O114+AB114&gt;0,AB114/(O114+AB114),""))</f>
        <v/>
      </c>
    </row>
    <row r="115">
      <c r="A115" s="56">
        <f>'KQuote Mitarbeiter'!A115</f>
        <v/>
      </c>
      <c r="B115" s="57">
        <f>'KQuote Mitarbeiter'!B115</f>
        <v/>
      </c>
      <c r="C115" s="54">
        <f>IF($B115="","",SUMIFS(Erfassung!$E$6:$E$5005,Erfassung!$B$6:$B$5005,$A115,Erfassung!$A$6:$A$5005,"&gt;="&amp;DATE(Einstellungen!$C$3,1,1),Erfassung!$A$6:$A$5005,"&lt;"&amp;DATE(Einstellungen!$C$3,2,1)))</f>
        <v/>
      </c>
      <c r="D115" s="54">
        <f>IF($B115="","",SUMIFS(Erfassung!$E$6:$E$5005,Erfassung!$B$6:$B$5005,$A115,Erfassung!$A$6:$A$5005,"&gt;="&amp;DATE(Einstellungen!$C$3,2,1),Erfassung!$A$6:$A$5005,"&lt;"&amp;DATE(Einstellungen!$C$3,3,1)))</f>
        <v/>
      </c>
      <c r="E115" s="54">
        <f>IF($B115="","",SUMIFS(Erfassung!$E$6:$E$5005,Erfassung!$B$6:$B$5005,$A115,Erfassung!$A$6:$A$5005,"&gt;="&amp;DATE(Einstellungen!$C$3,3,1),Erfassung!$A$6:$A$5005,"&lt;"&amp;DATE(Einstellungen!$C$3,4,1)))</f>
        <v/>
      </c>
      <c r="F115" s="54">
        <f>IF($B115="","",SUMIFS(Erfassung!$E$6:$E$5005,Erfassung!$B$6:$B$5005,$A115,Erfassung!$A$6:$A$5005,"&gt;="&amp;DATE(Einstellungen!$C$3,4,1),Erfassung!$A$6:$A$5005,"&lt;"&amp;DATE(Einstellungen!$C$3,5,1)))</f>
        <v/>
      </c>
      <c r="G115" s="54">
        <f>IF($B115="","",SUMIFS(Erfassung!$E$6:$E$5005,Erfassung!$B$6:$B$5005,$A115,Erfassung!$A$6:$A$5005,"&gt;="&amp;DATE(Einstellungen!$C$3,5,1),Erfassung!$A$6:$A$5005,"&lt;"&amp;DATE(Einstellungen!$C$3,6,1)))</f>
        <v/>
      </c>
      <c r="H115" s="54">
        <f>IF($B115="","",SUMIFS(Erfassung!$E$6:$E$5005,Erfassung!$B$6:$B$5005,$A115,Erfassung!$A$6:$A$5005,"&gt;="&amp;DATE(Einstellungen!$C$3,6,1),Erfassung!$A$6:$A$5005,"&lt;"&amp;DATE(Einstellungen!$C$3,7,1)))</f>
        <v/>
      </c>
      <c r="I115" s="54">
        <f>IF($B115="","",SUMIFS(Erfassung!$E$6:$E$5005,Erfassung!$B$6:$B$5005,$A115,Erfassung!$A$6:$A$5005,"&gt;="&amp;DATE(Einstellungen!$C$3,7,1),Erfassung!$A$6:$A$5005,"&lt;"&amp;DATE(Einstellungen!$C$3,8,1)))</f>
        <v/>
      </c>
      <c r="J115" s="54">
        <f>IF($B115="","",SUMIFS(Erfassung!$E$6:$E$5005,Erfassung!$B$6:$B$5005,$A115,Erfassung!$A$6:$A$5005,"&gt;="&amp;DATE(Einstellungen!$C$3,8,1),Erfassung!$A$6:$A$5005,"&lt;"&amp;DATE(Einstellungen!$C$3,9,1)))</f>
        <v/>
      </c>
      <c r="K115" s="54">
        <f>IF($B115="","",SUMIFS(Erfassung!$E$6:$E$5005,Erfassung!$B$6:$B$5005,$A115,Erfassung!$A$6:$A$5005,"&gt;="&amp;DATE(Einstellungen!$C$3,9,1),Erfassung!$A$6:$A$5005,"&lt;"&amp;DATE(Einstellungen!$C$3,10,1)))</f>
        <v/>
      </c>
      <c r="L115" s="54">
        <f>IF($B115="","",SUMIFS(Erfassung!$E$6:$E$5005,Erfassung!$B$6:$B$5005,$A115,Erfassung!$A$6:$A$5005,"&gt;="&amp;DATE(Einstellungen!$C$3,10,1),Erfassung!$A$6:$A$5005,"&lt;"&amp;DATE(Einstellungen!$C$3,11,1)))</f>
        <v/>
      </c>
      <c r="M115" s="54">
        <f>IF($B115="","",SUMIFS(Erfassung!$E$6:$E$5005,Erfassung!$B$6:$B$5005,$A115,Erfassung!$A$6:$A$5005,"&gt;="&amp;DATE(Einstellungen!$C$3,11,1),Erfassung!$A$6:$A$5005,"&lt;"&amp;DATE(Einstellungen!$C$3,12,1)))</f>
        <v/>
      </c>
      <c r="N115" s="54">
        <f>IF($B115="","",SUMIFS(Erfassung!$E$6:$E$5005,Erfassung!$B$6:$B$5005,$A115,Erfassung!$A$6:$A$5005,"&gt;="&amp;DATE(Einstellungen!$C$3,12,1),Erfassung!$A$6:$A$5005,"&lt;"&amp;DATE(Einstellungen!$C$3,13,1)))</f>
        <v/>
      </c>
      <c r="O115" s="45">
        <f>IF($B115="","",SUM(C115:N115))</f>
        <v/>
      </c>
      <c r="P115" s="54">
        <f>IF($B115="","",SUMIFS(Erfassung!$G$6:$G$5005,Erfassung!$B$6:$B$5005,$A115,Erfassung!$A$6:$A$5005,"&gt;="&amp;DATE(Einstellungen!$C$3,1,1),Erfassung!$A$6:$A$5005,"&lt;"&amp;DATE(Einstellungen!$C$3,2,1)))</f>
        <v/>
      </c>
      <c r="Q115" s="54">
        <f>IF($B115="","",SUMIFS(Erfassung!$G$6:$G$5005,Erfassung!$B$6:$B$5005,$A115,Erfassung!$A$6:$A$5005,"&gt;="&amp;DATE(Einstellungen!$C$3,2,1),Erfassung!$A$6:$A$5005,"&lt;"&amp;DATE(Einstellungen!$C$3,3,1)))</f>
        <v/>
      </c>
      <c r="R115" s="54">
        <f>IF($B115="","",SUMIFS(Erfassung!$G$6:$G$5005,Erfassung!$B$6:$B$5005,$A115,Erfassung!$A$6:$A$5005,"&gt;="&amp;DATE(Einstellungen!$C$3,3,1),Erfassung!$A$6:$A$5005,"&lt;"&amp;DATE(Einstellungen!$C$3,4,1)))</f>
        <v/>
      </c>
      <c r="S115" s="54">
        <f>IF($B115="","",SUMIFS(Erfassung!$G$6:$G$5005,Erfassung!$B$6:$B$5005,$A115,Erfassung!$A$6:$A$5005,"&gt;="&amp;DATE(Einstellungen!$C$3,4,1),Erfassung!$A$6:$A$5005,"&lt;"&amp;DATE(Einstellungen!$C$3,5,1)))</f>
        <v/>
      </c>
      <c r="T115" s="54">
        <f>IF($B115="","",SUMIFS(Erfassung!$G$6:$G$5005,Erfassung!$B$6:$B$5005,$A115,Erfassung!$A$6:$A$5005,"&gt;="&amp;DATE(Einstellungen!$C$3,5,1),Erfassung!$A$6:$A$5005,"&lt;"&amp;DATE(Einstellungen!$C$3,6,1)))</f>
        <v/>
      </c>
      <c r="U115" s="54">
        <f>IF($B115="","",SUMIFS(Erfassung!$G$6:$G$5005,Erfassung!$B$6:$B$5005,$A115,Erfassung!$A$6:$A$5005,"&gt;="&amp;DATE(Einstellungen!$C$3,6,1),Erfassung!$A$6:$A$5005,"&lt;"&amp;DATE(Einstellungen!$C$3,7,1)))</f>
        <v/>
      </c>
      <c r="V115" s="54">
        <f>IF($B115="","",SUMIFS(Erfassung!$G$6:$G$5005,Erfassung!$B$6:$B$5005,$A115,Erfassung!$A$6:$A$5005,"&gt;="&amp;DATE(Einstellungen!$C$3,7,1),Erfassung!$A$6:$A$5005,"&lt;"&amp;DATE(Einstellungen!$C$3,8,1)))</f>
        <v/>
      </c>
      <c r="W115" s="54">
        <f>IF($B115="","",SUMIFS(Erfassung!$G$6:$G$5005,Erfassung!$B$6:$B$5005,$A115,Erfassung!$A$6:$A$5005,"&gt;="&amp;DATE(Einstellungen!$C$3,8,1),Erfassung!$A$6:$A$5005,"&lt;"&amp;DATE(Einstellungen!$C$3,9,1)))</f>
        <v/>
      </c>
      <c r="X115" s="54">
        <f>IF($B115="","",SUMIFS(Erfassung!$G$6:$G$5005,Erfassung!$B$6:$B$5005,$A115,Erfassung!$A$6:$A$5005,"&gt;="&amp;DATE(Einstellungen!$C$3,9,1),Erfassung!$A$6:$A$5005,"&lt;"&amp;DATE(Einstellungen!$C$3,10,1)))</f>
        <v/>
      </c>
      <c r="Y115" s="54">
        <f>IF($B115="","",SUMIFS(Erfassung!$G$6:$G$5005,Erfassung!$B$6:$B$5005,$A115,Erfassung!$A$6:$A$5005,"&gt;="&amp;DATE(Einstellungen!$C$3,10,1),Erfassung!$A$6:$A$5005,"&lt;"&amp;DATE(Einstellungen!$C$3,11,1)))</f>
        <v/>
      </c>
      <c r="Z115" s="54">
        <f>IF($B115="","",SUMIFS(Erfassung!$G$6:$G$5005,Erfassung!$B$6:$B$5005,$A115,Erfassung!$A$6:$A$5005,"&gt;="&amp;DATE(Einstellungen!$C$3,11,1),Erfassung!$A$6:$A$5005,"&lt;"&amp;DATE(Einstellungen!$C$3,12,1)))</f>
        <v/>
      </c>
      <c r="AA115" s="54">
        <f>IF($B115="","",SUMIFS(Erfassung!$G$6:$G$5005,Erfassung!$B$6:$B$5005,$A115,Erfassung!$A$6:$A$5005,"&gt;="&amp;DATE(Einstellungen!$C$3,12,1),Erfassung!$A$6:$A$5005,"&lt;"&amp;DATE(Einstellungen!$C$3,13,1)))</f>
        <v/>
      </c>
      <c r="AB115" s="45">
        <f>IF($B115="","",SUM(P115:AA115))</f>
        <v/>
      </c>
      <c r="AC115" s="38">
        <f>IF($B115="","",IF(O115+AB115&gt;0,AB115/(O115+AB115),""))</f>
        <v/>
      </c>
    </row>
    <row r="116">
      <c r="A116" s="56">
        <f>'KQuote Mitarbeiter'!A116</f>
        <v/>
      </c>
      <c r="B116" s="57">
        <f>'KQuote Mitarbeiter'!B116</f>
        <v/>
      </c>
      <c r="C116" s="54">
        <f>IF($B116="","",SUMIFS(Erfassung!$E$6:$E$5005,Erfassung!$B$6:$B$5005,$A116,Erfassung!$A$6:$A$5005,"&gt;="&amp;DATE(Einstellungen!$C$3,1,1),Erfassung!$A$6:$A$5005,"&lt;"&amp;DATE(Einstellungen!$C$3,2,1)))</f>
        <v/>
      </c>
      <c r="D116" s="54">
        <f>IF($B116="","",SUMIFS(Erfassung!$E$6:$E$5005,Erfassung!$B$6:$B$5005,$A116,Erfassung!$A$6:$A$5005,"&gt;="&amp;DATE(Einstellungen!$C$3,2,1),Erfassung!$A$6:$A$5005,"&lt;"&amp;DATE(Einstellungen!$C$3,3,1)))</f>
        <v/>
      </c>
      <c r="E116" s="54">
        <f>IF($B116="","",SUMIFS(Erfassung!$E$6:$E$5005,Erfassung!$B$6:$B$5005,$A116,Erfassung!$A$6:$A$5005,"&gt;="&amp;DATE(Einstellungen!$C$3,3,1),Erfassung!$A$6:$A$5005,"&lt;"&amp;DATE(Einstellungen!$C$3,4,1)))</f>
        <v/>
      </c>
      <c r="F116" s="54">
        <f>IF($B116="","",SUMIFS(Erfassung!$E$6:$E$5005,Erfassung!$B$6:$B$5005,$A116,Erfassung!$A$6:$A$5005,"&gt;="&amp;DATE(Einstellungen!$C$3,4,1),Erfassung!$A$6:$A$5005,"&lt;"&amp;DATE(Einstellungen!$C$3,5,1)))</f>
        <v/>
      </c>
      <c r="G116" s="54">
        <f>IF($B116="","",SUMIFS(Erfassung!$E$6:$E$5005,Erfassung!$B$6:$B$5005,$A116,Erfassung!$A$6:$A$5005,"&gt;="&amp;DATE(Einstellungen!$C$3,5,1),Erfassung!$A$6:$A$5005,"&lt;"&amp;DATE(Einstellungen!$C$3,6,1)))</f>
        <v/>
      </c>
      <c r="H116" s="54">
        <f>IF($B116="","",SUMIFS(Erfassung!$E$6:$E$5005,Erfassung!$B$6:$B$5005,$A116,Erfassung!$A$6:$A$5005,"&gt;="&amp;DATE(Einstellungen!$C$3,6,1),Erfassung!$A$6:$A$5005,"&lt;"&amp;DATE(Einstellungen!$C$3,7,1)))</f>
        <v/>
      </c>
      <c r="I116" s="54">
        <f>IF($B116="","",SUMIFS(Erfassung!$E$6:$E$5005,Erfassung!$B$6:$B$5005,$A116,Erfassung!$A$6:$A$5005,"&gt;="&amp;DATE(Einstellungen!$C$3,7,1),Erfassung!$A$6:$A$5005,"&lt;"&amp;DATE(Einstellungen!$C$3,8,1)))</f>
        <v/>
      </c>
      <c r="J116" s="54">
        <f>IF($B116="","",SUMIFS(Erfassung!$E$6:$E$5005,Erfassung!$B$6:$B$5005,$A116,Erfassung!$A$6:$A$5005,"&gt;="&amp;DATE(Einstellungen!$C$3,8,1),Erfassung!$A$6:$A$5005,"&lt;"&amp;DATE(Einstellungen!$C$3,9,1)))</f>
        <v/>
      </c>
      <c r="K116" s="54">
        <f>IF($B116="","",SUMIFS(Erfassung!$E$6:$E$5005,Erfassung!$B$6:$B$5005,$A116,Erfassung!$A$6:$A$5005,"&gt;="&amp;DATE(Einstellungen!$C$3,9,1),Erfassung!$A$6:$A$5005,"&lt;"&amp;DATE(Einstellungen!$C$3,10,1)))</f>
        <v/>
      </c>
      <c r="L116" s="54">
        <f>IF($B116="","",SUMIFS(Erfassung!$E$6:$E$5005,Erfassung!$B$6:$B$5005,$A116,Erfassung!$A$6:$A$5005,"&gt;="&amp;DATE(Einstellungen!$C$3,10,1),Erfassung!$A$6:$A$5005,"&lt;"&amp;DATE(Einstellungen!$C$3,11,1)))</f>
        <v/>
      </c>
      <c r="M116" s="54">
        <f>IF($B116="","",SUMIFS(Erfassung!$E$6:$E$5005,Erfassung!$B$6:$B$5005,$A116,Erfassung!$A$6:$A$5005,"&gt;="&amp;DATE(Einstellungen!$C$3,11,1),Erfassung!$A$6:$A$5005,"&lt;"&amp;DATE(Einstellungen!$C$3,12,1)))</f>
        <v/>
      </c>
      <c r="N116" s="54">
        <f>IF($B116="","",SUMIFS(Erfassung!$E$6:$E$5005,Erfassung!$B$6:$B$5005,$A116,Erfassung!$A$6:$A$5005,"&gt;="&amp;DATE(Einstellungen!$C$3,12,1),Erfassung!$A$6:$A$5005,"&lt;"&amp;DATE(Einstellungen!$C$3,13,1)))</f>
        <v/>
      </c>
      <c r="O116" s="45">
        <f>IF($B116="","",SUM(C116:N116))</f>
        <v/>
      </c>
      <c r="P116" s="54">
        <f>IF($B116="","",SUMIFS(Erfassung!$G$6:$G$5005,Erfassung!$B$6:$B$5005,$A116,Erfassung!$A$6:$A$5005,"&gt;="&amp;DATE(Einstellungen!$C$3,1,1),Erfassung!$A$6:$A$5005,"&lt;"&amp;DATE(Einstellungen!$C$3,2,1)))</f>
        <v/>
      </c>
      <c r="Q116" s="54">
        <f>IF($B116="","",SUMIFS(Erfassung!$G$6:$G$5005,Erfassung!$B$6:$B$5005,$A116,Erfassung!$A$6:$A$5005,"&gt;="&amp;DATE(Einstellungen!$C$3,2,1),Erfassung!$A$6:$A$5005,"&lt;"&amp;DATE(Einstellungen!$C$3,3,1)))</f>
        <v/>
      </c>
      <c r="R116" s="54">
        <f>IF($B116="","",SUMIFS(Erfassung!$G$6:$G$5005,Erfassung!$B$6:$B$5005,$A116,Erfassung!$A$6:$A$5005,"&gt;="&amp;DATE(Einstellungen!$C$3,3,1),Erfassung!$A$6:$A$5005,"&lt;"&amp;DATE(Einstellungen!$C$3,4,1)))</f>
        <v/>
      </c>
      <c r="S116" s="54">
        <f>IF($B116="","",SUMIFS(Erfassung!$G$6:$G$5005,Erfassung!$B$6:$B$5005,$A116,Erfassung!$A$6:$A$5005,"&gt;="&amp;DATE(Einstellungen!$C$3,4,1),Erfassung!$A$6:$A$5005,"&lt;"&amp;DATE(Einstellungen!$C$3,5,1)))</f>
        <v/>
      </c>
      <c r="T116" s="54">
        <f>IF($B116="","",SUMIFS(Erfassung!$G$6:$G$5005,Erfassung!$B$6:$B$5005,$A116,Erfassung!$A$6:$A$5005,"&gt;="&amp;DATE(Einstellungen!$C$3,5,1),Erfassung!$A$6:$A$5005,"&lt;"&amp;DATE(Einstellungen!$C$3,6,1)))</f>
        <v/>
      </c>
      <c r="U116" s="54">
        <f>IF($B116="","",SUMIFS(Erfassung!$G$6:$G$5005,Erfassung!$B$6:$B$5005,$A116,Erfassung!$A$6:$A$5005,"&gt;="&amp;DATE(Einstellungen!$C$3,6,1),Erfassung!$A$6:$A$5005,"&lt;"&amp;DATE(Einstellungen!$C$3,7,1)))</f>
        <v/>
      </c>
      <c r="V116" s="54">
        <f>IF($B116="","",SUMIFS(Erfassung!$G$6:$G$5005,Erfassung!$B$6:$B$5005,$A116,Erfassung!$A$6:$A$5005,"&gt;="&amp;DATE(Einstellungen!$C$3,7,1),Erfassung!$A$6:$A$5005,"&lt;"&amp;DATE(Einstellungen!$C$3,8,1)))</f>
        <v/>
      </c>
      <c r="W116" s="54">
        <f>IF($B116="","",SUMIFS(Erfassung!$G$6:$G$5005,Erfassung!$B$6:$B$5005,$A116,Erfassung!$A$6:$A$5005,"&gt;="&amp;DATE(Einstellungen!$C$3,8,1),Erfassung!$A$6:$A$5005,"&lt;"&amp;DATE(Einstellungen!$C$3,9,1)))</f>
        <v/>
      </c>
      <c r="X116" s="54">
        <f>IF($B116="","",SUMIFS(Erfassung!$G$6:$G$5005,Erfassung!$B$6:$B$5005,$A116,Erfassung!$A$6:$A$5005,"&gt;="&amp;DATE(Einstellungen!$C$3,9,1),Erfassung!$A$6:$A$5005,"&lt;"&amp;DATE(Einstellungen!$C$3,10,1)))</f>
        <v/>
      </c>
      <c r="Y116" s="54">
        <f>IF($B116="","",SUMIFS(Erfassung!$G$6:$G$5005,Erfassung!$B$6:$B$5005,$A116,Erfassung!$A$6:$A$5005,"&gt;="&amp;DATE(Einstellungen!$C$3,10,1),Erfassung!$A$6:$A$5005,"&lt;"&amp;DATE(Einstellungen!$C$3,11,1)))</f>
        <v/>
      </c>
      <c r="Z116" s="54">
        <f>IF($B116="","",SUMIFS(Erfassung!$G$6:$G$5005,Erfassung!$B$6:$B$5005,$A116,Erfassung!$A$6:$A$5005,"&gt;="&amp;DATE(Einstellungen!$C$3,11,1),Erfassung!$A$6:$A$5005,"&lt;"&amp;DATE(Einstellungen!$C$3,12,1)))</f>
        <v/>
      </c>
      <c r="AA116" s="54">
        <f>IF($B116="","",SUMIFS(Erfassung!$G$6:$G$5005,Erfassung!$B$6:$B$5005,$A116,Erfassung!$A$6:$A$5005,"&gt;="&amp;DATE(Einstellungen!$C$3,12,1),Erfassung!$A$6:$A$5005,"&lt;"&amp;DATE(Einstellungen!$C$3,13,1)))</f>
        <v/>
      </c>
      <c r="AB116" s="45">
        <f>IF($B116="","",SUM(P116:AA116))</f>
        <v/>
      </c>
      <c r="AC116" s="38">
        <f>IF($B116="","",IF(O116+AB116&gt;0,AB116/(O116+AB116),""))</f>
        <v/>
      </c>
    </row>
    <row r="117">
      <c r="A117" s="56">
        <f>'KQuote Mitarbeiter'!A117</f>
        <v/>
      </c>
      <c r="B117" s="57">
        <f>'KQuote Mitarbeiter'!B117</f>
        <v/>
      </c>
      <c r="C117" s="54">
        <f>IF($B117="","",SUMIFS(Erfassung!$E$6:$E$5005,Erfassung!$B$6:$B$5005,$A117,Erfassung!$A$6:$A$5005,"&gt;="&amp;DATE(Einstellungen!$C$3,1,1),Erfassung!$A$6:$A$5005,"&lt;"&amp;DATE(Einstellungen!$C$3,2,1)))</f>
        <v/>
      </c>
      <c r="D117" s="54">
        <f>IF($B117="","",SUMIFS(Erfassung!$E$6:$E$5005,Erfassung!$B$6:$B$5005,$A117,Erfassung!$A$6:$A$5005,"&gt;="&amp;DATE(Einstellungen!$C$3,2,1),Erfassung!$A$6:$A$5005,"&lt;"&amp;DATE(Einstellungen!$C$3,3,1)))</f>
        <v/>
      </c>
      <c r="E117" s="54">
        <f>IF($B117="","",SUMIFS(Erfassung!$E$6:$E$5005,Erfassung!$B$6:$B$5005,$A117,Erfassung!$A$6:$A$5005,"&gt;="&amp;DATE(Einstellungen!$C$3,3,1),Erfassung!$A$6:$A$5005,"&lt;"&amp;DATE(Einstellungen!$C$3,4,1)))</f>
        <v/>
      </c>
      <c r="F117" s="54">
        <f>IF($B117="","",SUMIFS(Erfassung!$E$6:$E$5005,Erfassung!$B$6:$B$5005,$A117,Erfassung!$A$6:$A$5005,"&gt;="&amp;DATE(Einstellungen!$C$3,4,1),Erfassung!$A$6:$A$5005,"&lt;"&amp;DATE(Einstellungen!$C$3,5,1)))</f>
        <v/>
      </c>
      <c r="G117" s="54">
        <f>IF($B117="","",SUMIFS(Erfassung!$E$6:$E$5005,Erfassung!$B$6:$B$5005,$A117,Erfassung!$A$6:$A$5005,"&gt;="&amp;DATE(Einstellungen!$C$3,5,1),Erfassung!$A$6:$A$5005,"&lt;"&amp;DATE(Einstellungen!$C$3,6,1)))</f>
        <v/>
      </c>
      <c r="H117" s="54">
        <f>IF($B117="","",SUMIFS(Erfassung!$E$6:$E$5005,Erfassung!$B$6:$B$5005,$A117,Erfassung!$A$6:$A$5005,"&gt;="&amp;DATE(Einstellungen!$C$3,6,1),Erfassung!$A$6:$A$5005,"&lt;"&amp;DATE(Einstellungen!$C$3,7,1)))</f>
        <v/>
      </c>
      <c r="I117" s="54">
        <f>IF($B117="","",SUMIFS(Erfassung!$E$6:$E$5005,Erfassung!$B$6:$B$5005,$A117,Erfassung!$A$6:$A$5005,"&gt;="&amp;DATE(Einstellungen!$C$3,7,1),Erfassung!$A$6:$A$5005,"&lt;"&amp;DATE(Einstellungen!$C$3,8,1)))</f>
        <v/>
      </c>
      <c r="J117" s="54">
        <f>IF($B117="","",SUMIFS(Erfassung!$E$6:$E$5005,Erfassung!$B$6:$B$5005,$A117,Erfassung!$A$6:$A$5005,"&gt;="&amp;DATE(Einstellungen!$C$3,8,1),Erfassung!$A$6:$A$5005,"&lt;"&amp;DATE(Einstellungen!$C$3,9,1)))</f>
        <v/>
      </c>
      <c r="K117" s="54">
        <f>IF($B117="","",SUMIFS(Erfassung!$E$6:$E$5005,Erfassung!$B$6:$B$5005,$A117,Erfassung!$A$6:$A$5005,"&gt;="&amp;DATE(Einstellungen!$C$3,9,1),Erfassung!$A$6:$A$5005,"&lt;"&amp;DATE(Einstellungen!$C$3,10,1)))</f>
        <v/>
      </c>
      <c r="L117" s="54">
        <f>IF($B117="","",SUMIFS(Erfassung!$E$6:$E$5005,Erfassung!$B$6:$B$5005,$A117,Erfassung!$A$6:$A$5005,"&gt;="&amp;DATE(Einstellungen!$C$3,10,1),Erfassung!$A$6:$A$5005,"&lt;"&amp;DATE(Einstellungen!$C$3,11,1)))</f>
        <v/>
      </c>
      <c r="M117" s="54">
        <f>IF($B117="","",SUMIFS(Erfassung!$E$6:$E$5005,Erfassung!$B$6:$B$5005,$A117,Erfassung!$A$6:$A$5005,"&gt;="&amp;DATE(Einstellungen!$C$3,11,1),Erfassung!$A$6:$A$5005,"&lt;"&amp;DATE(Einstellungen!$C$3,12,1)))</f>
        <v/>
      </c>
      <c r="N117" s="54">
        <f>IF($B117="","",SUMIFS(Erfassung!$E$6:$E$5005,Erfassung!$B$6:$B$5005,$A117,Erfassung!$A$6:$A$5005,"&gt;="&amp;DATE(Einstellungen!$C$3,12,1),Erfassung!$A$6:$A$5005,"&lt;"&amp;DATE(Einstellungen!$C$3,13,1)))</f>
        <v/>
      </c>
      <c r="O117" s="45">
        <f>IF($B117="","",SUM(C117:N117))</f>
        <v/>
      </c>
      <c r="P117" s="54">
        <f>IF($B117="","",SUMIFS(Erfassung!$G$6:$G$5005,Erfassung!$B$6:$B$5005,$A117,Erfassung!$A$6:$A$5005,"&gt;="&amp;DATE(Einstellungen!$C$3,1,1),Erfassung!$A$6:$A$5005,"&lt;"&amp;DATE(Einstellungen!$C$3,2,1)))</f>
        <v/>
      </c>
      <c r="Q117" s="54">
        <f>IF($B117="","",SUMIFS(Erfassung!$G$6:$G$5005,Erfassung!$B$6:$B$5005,$A117,Erfassung!$A$6:$A$5005,"&gt;="&amp;DATE(Einstellungen!$C$3,2,1),Erfassung!$A$6:$A$5005,"&lt;"&amp;DATE(Einstellungen!$C$3,3,1)))</f>
        <v/>
      </c>
      <c r="R117" s="54">
        <f>IF($B117="","",SUMIFS(Erfassung!$G$6:$G$5005,Erfassung!$B$6:$B$5005,$A117,Erfassung!$A$6:$A$5005,"&gt;="&amp;DATE(Einstellungen!$C$3,3,1),Erfassung!$A$6:$A$5005,"&lt;"&amp;DATE(Einstellungen!$C$3,4,1)))</f>
        <v/>
      </c>
      <c r="S117" s="54">
        <f>IF($B117="","",SUMIFS(Erfassung!$G$6:$G$5005,Erfassung!$B$6:$B$5005,$A117,Erfassung!$A$6:$A$5005,"&gt;="&amp;DATE(Einstellungen!$C$3,4,1),Erfassung!$A$6:$A$5005,"&lt;"&amp;DATE(Einstellungen!$C$3,5,1)))</f>
        <v/>
      </c>
      <c r="T117" s="54">
        <f>IF($B117="","",SUMIFS(Erfassung!$G$6:$G$5005,Erfassung!$B$6:$B$5005,$A117,Erfassung!$A$6:$A$5005,"&gt;="&amp;DATE(Einstellungen!$C$3,5,1),Erfassung!$A$6:$A$5005,"&lt;"&amp;DATE(Einstellungen!$C$3,6,1)))</f>
        <v/>
      </c>
      <c r="U117" s="54">
        <f>IF($B117="","",SUMIFS(Erfassung!$G$6:$G$5005,Erfassung!$B$6:$B$5005,$A117,Erfassung!$A$6:$A$5005,"&gt;="&amp;DATE(Einstellungen!$C$3,6,1),Erfassung!$A$6:$A$5005,"&lt;"&amp;DATE(Einstellungen!$C$3,7,1)))</f>
        <v/>
      </c>
      <c r="V117" s="54">
        <f>IF($B117="","",SUMIFS(Erfassung!$G$6:$G$5005,Erfassung!$B$6:$B$5005,$A117,Erfassung!$A$6:$A$5005,"&gt;="&amp;DATE(Einstellungen!$C$3,7,1),Erfassung!$A$6:$A$5005,"&lt;"&amp;DATE(Einstellungen!$C$3,8,1)))</f>
        <v/>
      </c>
      <c r="W117" s="54">
        <f>IF($B117="","",SUMIFS(Erfassung!$G$6:$G$5005,Erfassung!$B$6:$B$5005,$A117,Erfassung!$A$6:$A$5005,"&gt;="&amp;DATE(Einstellungen!$C$3,8,1),Erfassung!$A$6:$A$5005,"&lt;"&amp;DATE(Einstellungen!$C$3,9,1)))</f>
        <v/>
      </c>
      <c r="X117" s="54">
        <f>IF($B117="","",SUMIFS(Erfassung!$G$6:$G$5005,Erfassung!$B$6:$B$5005,$A117,Erfassung!$A$6:$A$5005,"&gt;="&amp;DATE(Einstellungen!$C$3,9,1),Erfassung!$A$6:$A$5005,"&lt;"&amp;DATE(Einstellungen!$C$3,10,1)))</f>
        <v/>
      </c>
      <c r="Y117" s="54">
        <f>IF($B117="","",SUMIFS(Erfassung!$G$6:$G$5005,Erfassung!$B$6:$B$5005,$A117,Erfassung!$A$6:$A$5005,"&gt;="&amp;DATE(Einstellungen!$C$3,10,1),Erfassung!$A$6:$A$5005,"&lt;"&amp;DATE(Einstellungen!$C$3,11,1)))</f>
        <v/>
      </c>
      <c r="Z117" s="54">
        <f>IF($B117="","",SUMIFS(Erfassung!$G$6:$G$5005,Erfassung!$B$6:$B$5005,$A117,Erfassung!$A$6:$A$5005,"&gt;="&amp;DATE(Einstellungen!$C$3,11,1),Erfassung!$A$6:$A$5005,"&lt;"&amp;DATE(Einstellungen!$C$3,12,1)))</f>
        <v/>
      </c>
      <c r="AA117" s="54">
        <f>IF($B117="","",SUMIFS(Erfassung!$G$6:$G$5005,Erfassung!$B$6:$B$5005,$A117,Erfassung!$A$6:$A$5005,"&gt;="&amp;DATE(Einstellungen!$C$3,12,1),Erfassung!$A$6:$A$5005,"&lt;"&amp;DATE(Einstellungen!$C$3,13,1)))</f>
        <v/>
      </c>
      <c r="AB117" s="45">
        <f>IF($B117="","",SUM(P117:AA117))</f>
        <v/>
      </c>
      <c r="AC117" s="38">
        <f>IF($B117="","",IF(O117+AB117&gt;0,AB117/(O117+AB117),""))</f>
        <v/>
      </c>
    </row>
    <row r="118">
      <c r="A118" s="56">
        <f>'KQuote Mitarbeiter'!A118</f>
        <v/>
      </c>
      <c r="B118" s="57">
        <f>'KQuote Mitarbeiter'!B118</f>
        <v/>
      </c>
      <c r="C118" s="54">
        <f>IF($B118="","",SUMIFS(Erfassung!$E$6:$E$5005,Erfassung!$B$6:$B$5005,$A118,Erfassung!$A$6:$A$5005,"&gt;="&amp;DATE(Einstellungen!$C$3,1,1),Erfassung!$A$6:$A$5005,"&lt;"&amp;DATE(Einstellungen!$C$3,2,1)))</f>
        <v/>
      </c>
      <c r="D118" s="54">
        <f>IF($B118="","",SUMIFS(Erfassung!$E$6:$E$5005,Erfassung!$B$6:$B$5005,$A118,Erfassung!$A$6:$A$5005,"&gt;="&amp;DATE(Einstellungen!$C$3,2,1),Erfassung!$A$6:$A$5005,"&lt;"&amp;DATE(Einstellungen!$C$3,3,1)))</f>
        <v/>
      </c>
      <c r="E118" s="54">
        <f>IF($B118="","",SUMIFS(Erfassung!$E$6:$E$5005,Erfassung!$B$6:$B$5005,$A118,Erfassung!$A$6:$A$5005,"&gt;="&amp;DATE(Einstellungen!$C$3,3,1),Erfassung!$A$6:$A$5005,"&lt;"&amp;DATE(Einstellungen!$C$3,4,1)))</f>
        <v/>
      </c>
      <c r="F118" s="54">
        <f>IF($B118="","",SUMIFS(Erfassung!$E$6:$E$5005,Erfassung!$B$6:$B$5005,$A118,Erfassung!$A$6:$A$5005,"&gt;="&amp;DATE(Einstellungen!$C$3,4,1),Erfassung!$A$6:$A$5005,"&lt;"&amp;DATE(Einstellungen!$C$3,5,1)))</f>
        <v/>
      </c>
      <c r="G118" s="54">
        <f>IF($B118="","",SUMIFS(Erfassung!$E$6:$E$5005,Erfassung!$B$6:$B$5005,$A118,Erfassung!$A$6:$A$5005,"&gt;="&amp;DATE(Einstellungen!$C$3,5,1),Erfassung!$A$6:$A$5005,"&lt;"&amp;DATE(Einstellungen!$C$3,6,1)))</f>
        <v/>
      </c>
      <c r="H118" s="54">
        <f>IF($B118="","",SUMIFS(Erfassung!$E$6:$E$5005,Erfassung!$B$6:$B$5005,$A118,Erfassung!$A$6:$A$5005,"&gt;="&amp;DATE(Einstellungen!$C$3,6,1),Erfassung!$A$6:$A$5005,"&lt;"&amp;DATE(Einstellungen!$C$3,7,1)))</f>
        <v/>
      </c>
      <c r="I118" s="54">
        <f>IF($B118="","",SUMIFS(Erfassung!$E$6:$E$5005,Erfassung!$B$6:$B$5005,$A118,Erfassung!$A$6:$A$5005,"&gt;="&amp;DATE(Einstellungen!$C$3,7,1),Erfassung!$A$6:$A$5005,"&lt;"&amp;DATE(Einstellungen!$C$3,8,1)))</f>
        <v/>
      </c>
      <c r="J118" s="54">
        <f>IF($B118="","",SUMIFS(Erfassung!$E$6:$E$5005,Erfassung!$B$6:$B$5005,$A118,Erfassung!$A$6:$A$5005,"&gt;="&amp;DATE(Einstellungen!$C$3,8,1),Erfassung!$A$6:$A$5005,"&lt;"&amp;DATE(Einstellungen!$C$3,9,1)))</f>
        <v/>
      </c>
      <c r="K118" s="54">
        <f>IF($B118="","",SUMIFS(Erfassung!$E$6:$E$5005,Erfassung!$B$6:$B$5005,$A118,Erfassung!$A$6:$A$5005,"&gt;="&amp;DATE(Einstellungen!$C$3,9,1),Erfassung!$A$6:$A$5005,"&lt;"&amp;DATE(Einstellungen!$C$3,10,1)))</f>
        <v/>
      </c>
      <c r="L118" s="54">
        <f>IF($B118="","",SUMIFS(Erfassung!$E$6:$E$5005,Erfassung!$B$6:$B$5005,$A118,Erfassung!$A$6:$A$5005,"&gt;="&amp;DATE(Einstellungen!$C$3,10,1),Erfassung!$A$6:$A$5005,"&lt;"&amp;DATE(Einstellungen!$C$3,11,1)))</f>
        <v/>
      </c>
      <c r="M118" s="54">
        <f>IF($B118="","",SUMIFS(Erfassung!$E$6:$E$5005,Erfassung!$B$6:$B$5005,$A118,Erfassung!$A$6:$A$5005,"&gt;="&amp;DATE(Einstellungen!$C$3,11,1),Erfassung!$A$6:$A$5005,"&lt;"&amp;DATE(Einstellungen!$C$3,12,1)))</f>
        <v/>
      </c>
      <c r="N118" s="54">
        <f>IF($B118="","",SUMIFS(Erfassung!$E$6:$E$5005,Erfassung!$B$6:$B$5005,$A118,Erfassung!$A$6:$A$5005,"&gt;="&amp;DATE(Einstellungen!$C$3,12,1),Erfassung!$A$6:$A$5005,"&lt;"&amp;DATE(Einstellungen!$C$3,13,1)))</f>
        <v/>
      </c>
      <c r="O118" s="45">
        <f>IF($B118="","",SUM(C118:N118))</f>
        <v/>
      </c>
      <c r="P118" s="54">
        <f>IF($B118="","",SUMIFS(Erfassung!$G$6:$G$5005,Erfassung!$B$6:$B$5005,$A118,Erfassung!$A$6:$A$5005,"&gt;="&amp;DATE(Einstellungen!$C$3,1,1),Erfassung!$A$6:$A$5005,"&lt;"&amp;DATE(Einstellungen!$C$3,2,1)))</f>
        <v/>
      </c>
      <c r="Q118" s="54">
        <f>IF($B118="","",SUMIFS(Erfassung!$G$6:$G$5005,Erfassung!$B$6:$B$5005,$A118,Erfassung!$A$6:$A$5005,"&gt;="&amp;DATE(Einstellungen!$C$3,2,1),Erfassung!$A$6:$A$5005,"&lt;"&amp;DATE(Einstellungen!$C$3,3,1)))</f>
        <v/>
      </c>
      <c r="R118" s="54">
        <f>IF($B118="","",SUMIFS(Erfassung!$G$6:$G$5005,Erfassung!$B$6:$B$5005,$A118,Erfassung!$A$6:$A$5005,"&gt;="&amp;DATE(Einstellungen!$C$3,3,1),Erfassung!$A$6:$A$5005,"&lt;"&amp;DATE(Einstellungen!$C$3,4,1)))</f>
        <v/>
      </c>
      <c r="S118" s="54">
        <f>IF($B118="","",SUMIFS(Erfassung!$G$6:$G$5005,Erfassung!$B$6:$B$5005,$A118,Erfassung!$A$6:$A$5005,"&gt;="&amp;DATE(Einstellungen!$C$3,4,1),Erfassung!$A$6:$A$5005,"&lt;"&amp;DATE(Einstellungen!$C$3,5,1)))</f>
        <v/>
      </c>
      <c r="T118" s="54">
        <f>IF($B118="","",SUMIFS(Erfassung!$G$6:$G$5005,Erfassung!$B$6:$B$5005,$A118,Erfassung!$A$6:$A$5005,"&gt;="&amp;DATE(Einstellungen!$C$3,5,1),Erfassung!$A$6:$A$5005,"&lt;"&amp;DATE(Einstellungen!$C$3,6,1)))</f>
        <v/>
      </c>
      <c r="U118" s="54">
        <f>IF($B118="","",SUMIFS(Erfassung!$G$6:$G$5005,Erfassung!$B$6:$B$5005,$A118,Erfassung!$A$6:$A$5005,"&gt;="&amp;DATE(Einstellungen!$C$3,6,1),Erfassung!$A$6:$A$5005,"&lt;"&amp;DATE(Einstellungen!$C$3,7,1)))</f>
        <v/>
      </c>
      <c r="V118" s="54">
        <f>IF($B118="","",SUMIFS(Erfassung!$G$6:$G$5005,Erfassung!$B$6:$B$5005,$A118,Erfassung!$A$6:$A$5005,"&gt;="&amp;DATE(Einstellungen!$C$3,7,1),Erfassung!$A$6:$A$5005,"&lt;"&amp;DATE(Einstellungen!$C$3,8,1)))</f>
        <v/>
      </c>
      <c r="W118" s="54">
        <f>IF($B118="","",SUMIFS(Erfassung!$G$6:$G$5005,Erfassung!$B$6:$B$5005,$A118,Erfassung!$A$6:$A$5005,"&gt;="&amp;DATE(Einstellungen!$C$3,8,1),Erfassung!$A$6:$A$5005,"&lt;"&amp;DATE(Einstellungen!$C$3,9,1)))</f>
        <v/>
      </c>
      <c r="X118" s="54">
        <f>IF($B118="","",SUMIFS(Erfassung!$G$6:$G$5005,Erfassung!$B$6:$B$5005,$A118,Erfassung!$A$6:$A$5005,"&gt;="&amp;DATE(Einstellungen!$C$3,9,1),Erfassung!$A$6:$A$5005,"&lt;"&amp;DATE(Einstellungen!$C$3,10,1)))</f>
        <v/>
      </c>
      <c r="Y118" s="54">
        <f>IF($B118="","",SUMIFS(Erfassung!$G$6:$G$5005,Erfassung!$B$6:$B$5005,$A118,Erfassung!$A$6:$A$5005,"&gt;="&amp;DATE(Einstellungen!$C$3,10,1),Erfassung!$A$6:$A$5005,"&lt;"&amp;DATE(Einstellungen!$C$3,11,1)))</f>
        <v/>
      </c>
      <c r="Z118" s="54">
        <f>IF($B118="","",SUMIFS(Erfassung!$G$6:$G$5005,Erfassung!$B$6:$B$5005,$A118,Erfassung!$A$6:$A$5005,"&gt;="&amp;DATE(Einstellungen!$C$3,11,1),Erfassung!$A$6:$A$5005,"&lt;"&amp;DATE(Einstellungen!$C$3,12,1)))</f>
        <v/>
      </c>
      <c r="AA118" s="54">
        <f>IF($B118="","",SUMIFS(Erfassung!$G$6:$G$5005,Erfassung!$B$6:$B$5005,$A118,Erfassung!$A$6:$A$5005,"&gt;="&amp;DATE(Einstellungen!$C$3,12,1),Erfassung!$A$6:$A$5005,"&lt;"&amp;DATE(Einstellungen!$C$3,13,1)))</f>
        <v/>
      </c>
      <c r="AB118" s="45">
        <f>IF($B118="","",SUM(P118:AA118))</f>
        <v/>
      </c>
      <c r="AC118" s="38">
        <f>IF($B118="","",IF(O118+AB118&gt;0,AB118/(O118+AB118),""))</f>
        <v/>
      </c>
    </row>
    <row r="119">
      <c r="A119" s="56">
        <f>'KQuote Mitarbeiter'!A119</f>
        <v/>
      </c>
      <c r="B119" s="57">
        <f>'KQuote Mitarbeiter'!B119</f>
        <v/>
      </c>
      <c r="C119" s="54">
        <f>IF($B119="","",SUMIFS(Erfassung!$E$6:$E$5005,Erfassung!$B$6:$B$5005,$A119,Erfassung!$A$6:$A$5005,"&gt;="&amp;DATE(Einstellungen!$C$3,1,1),Erfassung!$A$6:$A$5005,"&lt;"&amp;DATE(Einstellungen!$C$3,2,1)))</f>
        <v/>
      </c>
      <c r="D119" s="54">
        <f>IF($B119="","",SUMIFS(Erfassung!$E$6:$E$5005,Erfassung!$B$6:$B$5005,$A119,Erfassung!$A$6:$A$5005,"&gt;="&amp;DATE(Einstellungen!$C$3,2,1),Erfassung!$A$6:$A$5005,"&lt;"&amp;DATE(Einstellungen!$C$3,3,1)))</f>
        <v/>
      </c>
      <c r="E119" s="54">
        <f>IF($B119="","",SUMIFS(Erfassung!$E$6:$E$5005,Erfassung!$B$6:$B$5005,$A119,Erfassung!$A$6:$A$5005,"&gt;="&amp;DATE(Einstellungen!$C$3,3,1),Erfassung!$A$6:$A$5005,"&lt;"&amp;DATE(Einstellungen!$C$3,4,1)))</f>
        <v/>
      </c>
      <c r="F119" s="54">
        <f>IF($B119="","",SUMIFS(Erfassung!$E$6:$E$5005,Erfassung!$B$6:$B$5005,$A119,Erfassung!$A$6:$A$5005,"&gt;="&amp;DATE(Einstellungen!$C$3,4,1),Erfassung!$A$6:$A$5005,"&lt;"&amp;DATE(Einstellungen!$C$3,5,1)))</f>
        <v/>
      </c>
      <c r="G119" s="54">
        <f>IF($B119="","",SUMIFS(Erfassung!$E$6:$E$5005,Erfassung!$B$6:$B$5005,$A119,Erfassung!$A$6:$A$5005,"&gt;="&amp;DATE(Einstellungen!$C$3,5,1),Erfassung!$A$6:$A$5005,"&lt;"&amp;DATE(Einstellungen!$C$3,6,1)))</f>
        <v/>
      </c>
      <c r="H119" s="54">
        <f>IF($B119="","",SUMIFS(Erfassung!$E$6:$E$5005,Erfassung!$B$6:$B$5005,$A119,Erfassung!$A$6:$A$5005,"&gt;="&amp;DATE(Einstellungen!$C$3,6,1),Erfassung!$A$6:$A$5005,"&lt;"&amp;DATE(Einstellungen!$C$3,7,1)))</f>
        <v/>
      </c>
      <c r="I119" s="54">
        <f>IF($B119="","",SUMIFS(Erfassung!$E$6:$E$5005,Erfassung!$B$6:$B$5005,$A119,Erfassung!$A$6:$A$5005,"&gt;="&amp;DATE(Einstellungen!$C$3,7,1),Erfassung!$A$6:$A$5005,"&lt;"&amp;DATE(Einstellungen!$C$3,8,1)))</f>
        <v/>
      </c>
      <c r="J119" s="54">
        <f>IF($B119="","",SUMIFS(Erfassung!$E$6:$E$5005,Erfassung!$B$6:$B$5005,$A119,Erfassung!$A$6:$A$5005,"&gt;="&amp;DATE(Einstellungen!$C$3,8,1),Erfassung!$A$6:$A$5005,"&lt;"&amp;DATE(Einstellungen!$C$3,9,1)))</f>
        <v/>
      </c>
      <c r="K119" s="54">
        <f>IF($B119="","",SUMIFS(Erfassung!$E$6:$E$5005,Erfassung!$B$6:$B$5005,$A119,Erfassung!$A$6:$A$5005,"&gt;="&amp;DATE(Einstellungen!$C$3,9,1),Erfassung!$A$6:$A$5005,"&lt;"&amp;DATE(Einstellungen!$C$3,10,1)))</f>
        <v/>
      </c>
      <c r="L119" s="54">
        <f>IF($B119="","",SUMIFS(Erfassung!$E$6:$E$5005,Erfassung!$B$6:$B$5005,$A119,Erfassung!$A$6:$A$5005,"&gt;="&amp;DATE(Einstellungen!$C$3,10,1),Erfassung!$A$6:$A$5005,"&lt;"&amp;DATE(Einstellungen!$C$3,11,1)))</f>
        <v/>
      </c>
      <c r="M119" s="54">
        <f>IF($B119="","",SUMIFS(Erfassung!$E$6:$E$5005,Erfassung!$B$6:$B$5005,$A119,Erfassung!$A$6:$A$5005,"&gt;="&amp;DATE(Einstellungen!$C$3,11,1),Erfassung!$A$6:$A$5005,"&lt;"&amp;DATE(Einstellungen!$C$3,12,1)))</f>
        <v/>
      </c>
      <c r="N119" s="54">
        <f>IF($B119="","",SUMIFS(Erfassung!$E$6:$E$5005,Erfassung!$B$6:$B$5005,$A119,Erfassung!$A$6:$A$5005,"&gt;="&amp;DATE(Einstellungen!$C$3,12,1),Erfassung!$A$6:$A$5005,"&lt;"&amp;DATE(Einstellungen!$C$3,13,1)))</f>
        <v/>
      </c>
      <c r="O119" s="45">
        <f>IF($B119="","",SUM(C119:N119))</f>
        <v/>
      </c>
      <c r="P119" s="54">
        <f>IF($B119="","",SUMIFS(Erfassung!$G$6:$G$5005,Erfassung!$B$6:$B$5005,$A119,Erfassung!$A$6:$A$5005,"&gt;="&amp;DATE(Einstellungen!$C$3,1,1),Erfassung!$A$6:$A$5005,"&lt;"&amp;DATE(Einstellungen!$C$3,2,1)))</f>
        <v/>
      </c>
      <c r="Q119" s="54">
        <f>IF($B119="","",SUMIFS(Erfassung!$G$6:$G$5005,Erfassung!$B$6:$B$5005,$A119,Erfassung!$A$6:$A$5005,"&gt;="&amp;DATE(Einstellungen!$C$3,2,1),Erfassung!$A$6:$A$5005,"&lt;"&amp;DATE(Einstellungen!$C$3,3,1)))</f>
        <v/>
      </c>
      <c r="R119" s="54">
        <f>IF($B119="","",SUMIFS(Erfassung!$G$6:$G$5005,Erfassung!$B$6:$B$5005,$A119,Erfassung!$A$6:$A$5005,"&gt;="&amp;DATE(Einstellungen!$C$3,3,1),Erfassung!$A$6:$A$5005,"&lt;"&amp;DATE(Einstellungen!$C$3,4,1)))</f>
        <v/>
      </c>
      <c r="S119" s="54">
        <f>IF($B119="","",SUMIFS(Erfassung!$G$6:$G$5005,Erfassung!$B$6:$B$5005,$A119,Erfassung!$A$6:$A$5005,"&gt;="&amp;DATE(Einstellungen!$C$3,4,1),Erfassung!$A$6:$A$5005,"&lt;"&amp;DATE(Einstellungen!$C$3,5,1)))</f>
        <v/>
      </c>
      <c r="T119" s="54">
        <f>IF($B119="","",SUMIFS(Erfassung!$G$6:$G$5005,Erfassung!$B$6:$B$5005,$A119,Erfassung!$A$6:$A$5005,"&gt;="&amp;DATE(Einstellungen!$C$3,5,1),Erfassung!$A$6:$A$5005,"&lt;"&amp;DATE(Einstellungen!$C$3,6,1)))</f>
        <v/>
      </c>
      <c r="U119" s="54">
        <f>IF($B119="","",SUMIFS(Erfassung!$G$6:$G$5005,Erfassung!$B$6:$B$5005,$A119,Erfassung!$A$6:$A$5005,"&gt;="&amp;DATE(Einstellungen!$C$3,6,1),Erfassung!$A$6:$A$5005,"&lt;"&amp;DATE(Einstellungen!$C$3,7,1)))</f>
        <v/>
      </c>
      <c r="V119" s="54">
        <f>IF($B119="","",SUMIFS(Erfassung!$G$6:$G$5005,Erfassung!$B$6:$B$5005,$A119,Erfassung!$A$6:$A$5005,"&gt;="&amp;DATE(Einstellungen!$C$3,7,1),Erfassung!$A$6:$A$5005,"&lt;"&amp;DATE(Einstellungen!$C$3,8,1)))</f>
        <v/>
      </c>
      <c r="W119" s="54">
        <f>IF($B119="","",SUMIFS(Erfassung!$G$6:$G$5005,Erfassung!$B$6:$B$5005,$A119,Erfassung!$A$6:$A$5005,"&gt;="&amp;DATE(Einstellungen!$C$3,8,1),Erfassung!$A$6:$A$5005,"&lt;"&amp;DATE(Einstellungen!$C$3,9,1)))</f>
        <v/>
      </c>
      <c r="X119" s="54">
        <f>IF($B119="","",SUMIFS(Erfassung!$G$6:$G$5005,Erfassung!$B$6:$B$5005,$A119,Erfassung!$A$6:$A$5005,"&gt;="&amp;DATE(Einstellungen!$C$3,9,1),Erfassung!$A$6:$A$5005,"&lt;"&amp;DATE(Einstellungen!$C$3,10,1)))</f>
        <v/>
      </c>
      <c r="Y119" s="54">
        <f>IF($B119="","",SUMIFS(Erfassung!$G$6:$G$5005,Erfassung!$B$6:$B$5005,$A119,Erfassung!$A$6:$A$5005,"&gt;="&amp;DATE(Einstellungen!$C$3,10,1),Erfassung!$A$6:$A$5005,"&lt;"&amp;DATE(Einstellungen!$C$3,11,1)))</f>
        <v/>
      </c>
      <c r="Z119" s="54">
        <f>IF($B119="","",SUMIFS(Erfassung!$G$6:$G$5005,Erfassung!$B$6:$B$5005,$A119,Erfassung!$A$6:$A$5005,"&gt;="&amp;DATE(Einstellungen!$C$3,11,1),Erfassung!$A$6:$A$5005,"&lt;"&amp;DATE(Einstellungen!$C$3,12,1)))</f>
        <v/>
      </c>
      <c r="AA119" s="54">
        <f>IF($B119="","",SUMIFS(Erfassung!$G$6:$G$5005,Erfassung!$B$6:$B$5005,$A119,Erfassung!$A$6:$A$5005,"&gt;="&amp;DATE(Einstellungen!$C$3,12,1),Erfassung!$A$6:$A$5005,"&lt;"&amp;DATE(Einstellungen!$C$3,13,1)))</f>
        <v/>
      </c>
      <c r="AB119" s="45">
        <f>IF($B119="","",SUM(P119:AA119))</f>
        <v/>
      </c>
      <c r="AC119" s="38">
        <f>IF($B119="","",IF(O119+AB119&gt;0,AB119/(O119+AB119),""))</f>
        <v/>
      </c>
    </row>
    <row r="120">
      <c r="A120" s="56">
        <f>'KQuote Mitarbeiter'!A120</f>
        <v/>
      </c>
      <c r="B120" s="57">
        <f>'KQuote Mitarbeiter'!B120</f>
        <v/>
      </c>
      <c r="C120" s="54">
        <f>IF($B120="","",SUMIFS(Erfassung!$E$6:$E$5005,Erfassung!$B$6:$B$5005,$A120,Erfassung!$A$6:$A$5005,"&gt;="&amp;DATE(Einstellungen!$C$3,1,1),Erfassung!$A$6:$A$5005,"&lt;"&amp;DATE(Einstellungen!$C$3,2,1)))</f>
        <v/>
      </c>
      <c r="D120" s="54">
        <f>IF($B120="","",SUMIFS(Erfassung!$E$6:$E$5005,Erfassung!$B$6:$B$5005,$A120,Erfassung!$A$6:$A$5005,"&gt;="&amp;DATE(Einstellungen!$C$3,2,1),Erfassung!$A$6:$A$5005,"&lt;"&amp;DATE(Einstellungen!$C$3,3,1)))</f>
        <v/>
      </c>
      <c r="E120" s="54">
        <f>IF($B120="","",SUMIFS(Erfassung!$E$6:$E$5005,Erfassung!$B$6:$B$5005,$A120,Erfassung!$A$6:$A$5005,"&gt;="&amp;DATE(Einstellungen!$C$3,3,1),Erfassung!$A$6:$A$5005,"&lt;"&amp;DATE(Einstellungen!$C$3,4,1)))</f>
        <v/>
      </c>
      <c r="F120" s="54">
        <f>IF($B120="","",SUMIFS(Erfassung!$E$6:$E$5005,Erfassung!$B$6:$B$5005,$A120,Erfassung!$A$6:$A$5005,"&gt;="&amp;DATE(Einstellungen!$C$3,4,1),Erfassung!$A$6:$A$5005,"&lt;"&amp;DATE(Einstellungen!$C$3,5,1)))</f>
        <v/>
      </c>
      <c r="G120" s="54">
        <f>IF($B120="","",SUMIFS(Erfassung!$E$6:$E$5005,Erfassung!$B$6:$B$5005,$A120,Erfassung!$A$6:$A$5005,"&gt;="&amp;DATE(Einstellungen!$C$3,5,1),Erfassung!$A$6:$A$5005,"&lt;"&amp;DATE(Einstellungen!$C$3,6,1)))</f>
        <v/>
      </c>
      <c r="H120" s="54">
        <f>IF($B120="","",SUMIFS(Erfassung!$E$6:$E$5005,Erfassung!$B$6:$B$5005,$A120,Erfassung!$A$6:$A$5005,"&gt;="&amp;DATE(Einstellungen!$C$3,6,1),Erfassung!$A$6:$A$5005,"&lt;"&amp;DATE(Einstellungen!$C$3,7,1)))</f>
        <v/>
      </c>
      <c r="I120" s="54">
        <f>IF($B120="","",SUMIFS(Erfassung!$E$6:$E$5005,Erfassung!$B$6:$B$5005,$A120,Erfassung!$A$6:$A$5005,"&gt;="&amp;DATE(Einstellungen!$C$3,7,1),Erfassung!$A$6:$A$5005,"&lt;"&amp;DATE(Einstellungen!$C$3,8,1)))</f>
        <v/>
      </c>
      <c r="J120" s="54">
        <f>IF($B120="","",SUMIFS(Erfassung!$E$6:$E$5005,Erfassung!$B$6:$B$5005,$A120,Erfassung!$A$6:$A$5005,"&gt;="&amp;DATE(Einstellungen!$C$3,8,1),Erfassung!$A$6:$A$5005,"&lt;"&amp;DATE(Einstellungen!$C$3,9,1)))</f>
        <v/>
      </c>
      <c r="K120" s="54">
        <f>IF($B120="","",SUMIFS(Erfassung!$E$6:$E$5005,Erfassung!$B$6:$B$5005,$A120,Erfassung!$A$6:$A$5005,"&gt;="&amp;DATE(Einstellungen!$C$3,9,1),Erfassung!$A$6:$A$5005,"&lt;"&amp;DATE(Einstellungen!$C$3,10,1)))</f>
        <v/>
      </c>
      <c r="L120" s="54">
        <f>IF($B120="","",SUMIFS(Erfassung!$E$6:$E$5005,Erfassung!$B$6:$B$5005,$A120,Erfassung!$A$6:$A$5005,"&gt;="&amp;DATE(Einstellungen!$C$3,10,1),Erfassung!$A$6:$A$5005,"&lt;"&amp;DATE(Einstellungen!$C$3,11,1)))</f>
        <v/>
      </c>
      <c r="M120" s="54">
        <f>IF($B120="","",SUMIFS(Erfassung!$E$6:$E$5005,Erfassung!$B$6:$B$5005,$A120,Erfassung!$A$6:$A$5005,"&gt;="&amp;DATE(Einstellungen!$C$3,11,1),Erfassung!$A$6:$A$5005,"&lt;"&amp;DATE(Einstellungen!$C$3,12,1)))</f>
        <v/>
      </c>
      <c r="N120" s="54">
        <f>IF($B120="","",SUMIFS(Erfassung!$E$6:$E$5005,Erfassung!$B$6:$B$5005,$A120,Erfassung!$A$6:$A$5005,"&gt;="&amp;DATE(Einstellungen!$C$3,12,1),Erfassung!$A$6:$A$5005,"&lt;"&amp;DATE(Einstellungen!$C$3,13,1)))</f>
        <v/>
      </c>
      <c r="O120" s="45">
        <f>IF($B120="","",SUM(C120:N120))</f>
        <v/>
      </c>
      <c r="P120" s="54">
        <f>IF($B120="","",SUMIFS(Erfassung!$G$6:$G$5005,Erfassung!$B$6:$B$5005,$A120,Erfassung!$A$6:$A$5005,"&gt;="&amp;DATE(Einstellungen!$C$3,1,1),Erfassung!$A$6:$A$5005,"&lt;"&amp;DATE(Einstellungen!$C$3,2,1)))</f>
        <v/>
      </c>
      <c r="Q120" s="54">
        <f>IF($B120="","",SUMIFS(Erfassung!$G$6:$G$5005,Erfassung!$B$6:$B$5005,$A120,Erfassung!$A$6:$A$5005,"&gt;="&amp;DATE(Einstellungen!$C$3,2,1),Erfassung!$A$6:$A$5005,"&lt;"&amp;DATE(Einstellungen!$C$3,3,1)))</f>
        <v/>
      </c>
      <c r="R120" s="54">
        <f>IF($B120="","",SUMIFS(Erfassung!$G$6:$G$5005,Erfassung!$B$6:$B$5005,$A120,Erfassung!$A$6:$A$5005,"&gt;="&amp;DATE(Einstellungen!$C$3,3,1),Erfassung!$A$6:$A$5005,"&lt;"&amp;DATE(Einstellungen!$C$3,4,1)))</f>
        <v/>
      </c>
      <c r="S120" s="54">
        <f>IF($B120="","",SUMIFS(Erfassung!$G$6:$G$5005,Erfassung!$B$6:$B$5005,$A120,Erfassung!$A$6:$A$5005,"&gt;="&amp;DATE(Einstellungen!$C$3,4,1),Erfassung!$A$6:$A$5005,"&lt;"&amp;DATE(Einstellungen!$C$3,5,1)))</f>
        <v/>
      </c>
      <c r="T120" s="54">
        <f>IF($B120="","",SUMIFS(Erfassung!$G$6:$G$5005,Erfassung!$B$6:$B$5005,$A120,Erfassung!$A$6:$A$5005,"&gt;="&amp;DATE(Einstellungen!$C$3,5,1),Erfassung!$A$6:$A$5005,"&lt;"&amp;DATE(Einstellungen!$C$3,6,1)))</f>
        <v/>
      </c>
      <c r="U120" s="54">
        <f>IF($B120="","",SUMIFS(Erfassung!$G$6:$G$5005,Erfassung!$B$6:$B$5005,$A120,Erfassung!$A$6:$A$5005,"&gt;="&amp;DATE(Einstellungen!$C$3,6,1),Erfassung!$A$6:$A$5005,"&lt;"&amp;DATE(Einstellungen!$C$3,7,1)))</f>
        <v/>
      </c>
      <c r="V120" s="54">
        <f>IF($B120="","",SUMIFS(Erfassung!$G$6:$G$5005,Erfassung!$B$6:$B$5005,$A120,Erfassung!$A$6:$A$5005,"&gt;="&amp;DATE(Einstellungen!$C$3,7,1),Erfassung!$A$6:$A$5005,"&lt;"&amp;DATE(Einstellungen!$C$3,8,1)))</f>
        <v/>
      </c>
      <c r="W120" s="54">
        <f>IF($B120="","",SUMIFS(Erfassung!$G$6:$G$5005,Erfassung!$B$6:$B$5005,$A120,Erfassung!$A$6:$A$5005,"&gt;="&amp;DATE(Einstellungen!$C$3,8,1),Erfassung!$A$6:$A$5005,"&lt;"&amp;DATE(Einstellungen!$C$3,9,1)))</f>
        <v/>
      </c>
      <c r="X120" s="54">
        <f>IF($B120="","",SUMIFS(Erfassung!$G$6:$G$5005,Erfassung!$B$6:$B$5005,$A120,Erfassung!$A$6:$A$5005,"&gt;="&amp;DATE(Einstellungen!$C$3,9,1),Erfassung!$A$6:$A$5005,"&lt;"&amp;DATE(Einstellungen!$C$3,10,1)))</f>
        <v/>
      </c>
      <c r="Y120" s="54">
        <f>IF($B120="","",SUMIFS(Erfassung!$G$6:$G$5005,Erfassung!$B$6:$B$5005,$A120,Erfassung!$A$6:$A$5005,"&gt;="&amp;DATE(Einstellungen!$C$3,10,1),Erfassung!$A$6:$A$5005,"&lt;"&amp;DATE(Einstellungen!$C$3,11,1)))</f>
        <v/>
      </c>
      <c r="Z120" s="54">
        <f>IF($B120="","",SUMIFS(Erfassung!$G$6:$G$5005,Erfassung!$B$6:$B$5005,$A120,Erfassung!$A$6:$A$5005,"&gt;="&amp;DATE(Einstellungen!$C$3,11,1),Erfassung!$A$6:$A$5005,"&lt;"&amp;DATE(Einstellungen!$C$3,12,1)))</f>
        <v/>
      </c>
      <c r="AA120" s="54">
        <f>IF($B120="","",SUMIFS(Erfassung!$G$6:$G$5005,Erfassung!$B$6:$B$5005,$A120,Erfassung!$A$6:$A$5005,"&gt;="&amp;DATE(Einstellungen!$C$3,12,1),Erfassung!$A$6:$A$5005,"&lt;"&amp;DATE(Einstellungen!$C$3,13,1)))</f>
        <v/>
      </c>
      <c r="AB120" s="45">
        <f>IF($B120="","",SUM(P120:AA120))</f>
        <v/>
      </c>
      <c r="AC120" s="38">
        <f>IF($B120="","",IF(O120+AB120&gt;0,AB120/(O120+AB120),""))</f>
        <v/>
      </c>
    </row>
    <row r="121">
      <c r="A121" s="56">
        <f>'KQuote Mitarbeiter'!A121</f>
        <v/>
      </c>
      <c r="B121" s="57">
        <f>'KQuote Mitarbeiter'!B121</f>
        <v/>
      </c>
      <c r="C121" s="54">
        <f>IF($B121="","",SUMIFS(Erfassung!$E$6:$E$5005,Erfassung!$B$6:$B$5005,$A121,Erfassung!$A$6:$A$5005,"&gt;="&amp;DATE(Einstellungen!$C$3,1,1),Erfassung!$A$6:$A$5005,"&lt;"&amp;DATE(Einstellungen!$C$3,2,1)))</f>
        <v/>
      </c>
      <c r="D121" s="54">
        <f>IF($B121="","",SUMIFS(Erfassung!$E$6:$E$5005,Erfassung!$B$6:$B$5005,$A121,Erfassung!$A$6:$A$5005,"&gt;="&amp;DATE(Einstellungen!$C$3,2,1),Erfassung!$A$6:$A$5005,"&lt;"&amp;DATE(Einstellungen!$C$3,3,1)))</f>
        <v/>
      </c>
      <c r="E121" s="54">
        <f>IF($B121="","",SUMIFS(Erfassung!$E$6:$E$5005,Erfassung!$B$6:$B$5005,$A121,Erfassung!$A$6:$A$5005,"&gt;="&amp;DATE(Einstellungen!$C$3,3,1),Erfassung!$A$6:$A$5005,"&lt;"&amp;DATE(Einstellungen!$C$3,4,1)))</f>
        <v/>
      </c>
      <c r="F121" s="54">
        <f>IF($B121="","",SUMIFS(Erfassung!$E$6:$E$5005,Erfassung!$B$6:$B$5005,$A121,Erfassung!$A$6:$A$5005,"&gt;="&amp;DATE(Einstellungen!$C$3,4,1),Erfassung!$A$6:$A$5005,"&lt;"&amp;DATE(Einstellungen!$C$3,5,1)))</f>
        <v/>
      </c>
      <c r="G121" s="54">
        <f>IF($B121="","",SUMIFS(Erfassung!$E$6:$E$5005,Erfassung!$B$6:$B$5005,$A121,Erfassung!$A$6:$A$5005,"&gt;="&amp;DATE(Einstellungen!$C$3,5,1),Erfassung!$A$6:$A$5005,"&lt;"&amp;DATE(Einstellungen!$C$3,6,1)))</f>
        <v/>
      </c>
      <c r="H121" s="54">
        <f>IF($B121="","",SUMIFS(Erfassung!$E$6:$E$5005,Erfassung!$B$6:$B$5005,$A121,Erfassung!$A$6:$A$5005,"&gt;="&amp;DATE(Einstellungen!$C$3,6,1),Erfassung!$A$6:$A$5005,"&lt;"&amp;DATE(Einstellungen!$C$3,7,1)))</f>
        <v/>
      </c>
      <c r="I121" s="54">
        <f>IF($B121="","",SUMIFS(Erfassung!$E$6:$E$5005,Erfassung!$B$6:$B$5005,$A121,Erfassung!$A$6:$A$5005,"&gt;="&amp;DATE(Einstellungen!$C$3,7,1),Erfassung!$A$6:$A$5005,"&lt;"&amp;DATE(Einstellungen!$C$3,8,1)))</f>
        <v/>
      </c>
      <c r="J121" s="54">
        <f>IF($B121="","",SUMIFS(Erfassung!$E$6:$E$5005,Erfassung!$B$6:$B$5005,$A121,Erfassung!$A$6:$A$5005,"&gt;="&amp;DATE(Einstellungen!$C$3,8,1),Erfassung!$A$6:$A$5005,"&lt;"&amp;DATE(Einstellungen!$C$3,9,1)))</f>
        <v/>
      </c>
      <c r="K121" s="54">
        <f>IF($B121="","",SUMIFS(Erfassung!$E$6:$E$5005,Erfassung!$B$6:$B$5005,$A121,Erfassung!$A$6:$A$5005,"&gt;="&amp;DATE(Einstellungen!$C$3,9,1),Erfassung!$A$6:$A$5005,"&lt;"&amp;DATE(Einstellungen!$C$3,10,1)))</f>
        <v/>
      </c>
      <c r="L121" s="54">
        <f>IF($B121="","",SUMIFS(Erfassung!$E$6:$E$5005,Erfassung!$B$6:$B$5005,$A121,Erfassung!$A$6:$A$5005,"&gt;="&amp;DATE(Einstellungen!$C$3,10,1),Erfassung!$A$6:$A$5005,"&lt;"&amp;DATE(Einstellungen!$C$3,11,1)))</f>
        <v/>
      </c>
      <c r="M121" s="54">
        <f>IF($B121="","",SUMIFS(Erfassung!$E$6:$E$5005,Erfassung!$B$6:$B$5005,$A121,Erfassung!$A$6:$A$5005,"&gt;="&amp;DATE(Einstellungen!$C$3,11,1),Erfassung!$A$6:$A$5005,"&lt;"&amp;DATE(Einstellungen!$C$3,12,1)))</f>
        <v/>
      </c>
      <c r="N121" s="54">
        <f>IF($B121="","",SUMIFS(Erfassung!$E$6:$E$5005,Erfassung!$B$6:$B$5005,$A121,Erfassung!$A$6:$A$5005,"&gt;="&amp;DATE(Einstellungen!$C$3,12,1),Erfassung!$A$6:$A$5005,"&lt;"&amp;DATE(Einstellungen!$C$3,13,1)))</f>
        <v/>
      </c>
      <c r="O121" s="45">
        <f>IF($B121="","",SUM(C121:N121))</f>
        <v/>
      </c>
      <c r="P121" s="54">
        <f>IF($B121="","",SUMIFS(Erfassung!$G$6:$G$5005,Erfassung!$B$6:$B$5005,$A121,Erfassung!$A$6:$A$5005,"&gt;="&amp;DATE(Einstellungen!$C$3,1,1),Erfassung!$A$6:$A$5005,"&lt;"&amp;DATE(Einstellungen!$C$3,2,1)))</f>
        <v/>
      </c>
      <c r="Q121" s="54">
        <f>IF($B121="","",SUMIFS(Erfassung!$G$6:$G$5005,Erfassung!$B$6:$B$5005,$A121,Erfassung!$A$6:$A$5005,"&gt;="&amp;DATE(Einstellungen!$C$3,2,1),Erfassung!$A$6:$A$5005,"&lt;"&amp;DATE(Einstellungen!$C$3,3,1)))</f>
        <v/>
      </c>
      <c r="R121" s="54">
        <f>IF($B121="","",SUMIFS(Erfassung!$G$6:$G$5005,Erfassung!$B$6:$B$5005,$A121,Erfassung!$A$6:$A$5005,"&gt;="&amp;DATE(Einstellungen!$C$3,3,1),Erfassung!$A$6:$A$5005,"&lt;"&amp;DATE(Einstellungen!$C$3,4,1)))</f>
        <v/>
      </c>
      <c r="S121" s="54">
        <f>IF($B121="","",SUMIFS(Erfassung!$G$6:$G$5005,Erfassung!$B$6:$B$5005,$A121,Erfassung!$A$6:$A$5005,"&gt;="&amp;DATE(Einstellungen!$C$3,4,1),Erfassung!$A$6:$A$5005,"&lt;"&amp;DATE(Einstellungen!$C$3,5,1)))</f>
        <v/>
      </c>
      <c r="T121" s="54">
        <f>IF($B121="","",SUMIFS(Erfassung!$G$6:$G$5005,Erfassung!$B$6:$B$5005,$A121,Erfassung!$A$6:$A$5005,"&gt;="&amp;DATE(Einstellungen!$C$3,5,1),Erfassung!$A$6:$A$5005,"&lt;"&amp;DATE(Einstellungen!$C$3,6,1)))</f>
        <v/>
      </c>
      <c r="U121" s="54">
        <f>IF($B121="","",SUMIFS(Erfassung!$G$6:$G$5005,Erfassung!$B$6:$B$5005,$A121,Erfassung!$A$6:$A$5005,"&gt;="&amp;DATE(Einstellungen!$C$3,6,1),Erfassung!$A$6:$A$5005,"&lt;"&amp;DATE(Einstellungen!$C$3,7,1)))</f>
        <v/>
      </c>
      <c r="V121" s="54">
        <f>IF($B121="","",SUMIFS(Erfassung!$G$6:$G$5005,Erfassung!$B$6:$B$5005,$A121,Erfassung!$A$6:$A$5005,"&gt;="&amp;DATE(Einstellungen!$C$3,7,1),Erfassung!$A$6:$A$5005,"&lt;"&amp;DATE(Einstellungen!$C$3,8,1)))</f>
        <v/>
      </c>
      <c r="W121" s="54">
        <f>IF($B121="","",SUMIFS(Erfassung!$G$6:$G$5005,Erfassung!$B$6:$B$5005,$A121,Erfassung!$A$6:$A$5005,"&gt;="&amp;DATE(Einstellungen!$C$3,8,1),Erfassung!$A$6:$A$5005,"&lt;"&amp;DATE(Einstellungen!$C$3,9,1)))</f>
        <v/>
      </c>
      <c r="X121" s="54">
        <f>IF($B121="","",SUMIFS(Erfassung!$G$6:$G$5005,Erfassung!$B$6:$B$5005,$A121,Erfassung!$A$6:$A$5005,"&gt;="&amp;DATE(Einstellungen!$C$3,9,1),Erfassung!$A$6:$A$5005,"&lt;"&amp;DATE(Einstellungen!$C$3,10,1)))</f>
        <v/>
      </c>
      <c r="Y121" s="54">
        <f>IF($B121="","",SUMIFS(Erfassung!$G$6:$G$5005,Erfassung!$B$6:$B$5005,$A121,Erfassung!$A$6:$A$5005,"&gt;="&amp;DATE(Einstellungen!$C$3,10,1),Erfassung!$A$6:$A$5005,"&lt;"&amp;DATE(Einstellungen!$C$3,11,1)))</f>
        <v/>
      </c>
      <c r="Z121" s="54">
        <f>IF($B121="","",SUMIFS(Erfassung!$G$6:$G$5005,Erfassung!$B$6:$B$5005,$A121,Erfassung!$A$6:$A$5005,"&gt;="&amp;DATE(Einstellungen!$C$3,11,1),Erfassung!$A$6:$A$5005,"&lt;"&amp;DATE(Einstellungen!$C$3,12,1)))</f>
        <v/>
      </c>
      <c r="AA121" s="54">
        <f>IF($B121="","",SUMIFS(Erfassung!$G$6:$G$5005,Erfassung!$B$6:$B$5005,$A121,Erfassung!$A$6:$A$5005,"&gt;="&amp;DATE(Einstellungen!$C$3,12,1),Erfassung!$A$6:$A$5005,"&lt;"&amp;DATE(Einstellungen!$C$3,13,1)))</f>
        <v/>
      </c>
      <c r="AB121" s="45">
        <f>IF($B121="","",SUM(P121:AA121))</f>
        <v/>
      </c>
      <c r="AC121" s="38">
        <f>IF($B121="","",IF(O121+AB121&gt;0,AB121/(O121+AB121),""))</f>
        <v/>
      </c>
    </row>
    <row r="122">
      <c r="A122" s="56">
        <f>'KQuote Mitarbeiter'!A122</f>
        <v/>
      </c>
      <c r="B122" s="57">
        <f>'KQuote Mitarbeiter'!B122</f>
        <v/>
      </c>
      <c r="C122" s="54">
        <f>IF($B122="","",SUMIFS(Erfassung!$E$6:$E$5005,Erfassung!$B$6:$B$5005,$A122,Erfassung!$A$6:$A$5005,"&gt;="&amp;DATE(Einstellungen!$C$3,1,1),Erfassung!$A$6:$A$5005,"&lt;"&amp;DATE(Einstellungen!$C$3,2,1)))</f>
        <v/>
      </c>
      <c r="D122" s="54">
        <f>IF($B122="","",SUMIFS(Erfassung!$E$6:$E$5005,Erfassung!$B$6:$B$5005,$A122,Erfassung!$A$6:$A$5005,"&gt;="&amp;DATE(Einstellungen!$C$3,2,1),Erfassung!$A$6:$A$5005,"&lt;"&amp;DATE(Einstellungen!$C$3,3,1)))</f>
        <v/>
      </c>
      <c r="E122" s="54">
        <f>IF($B122="","",SUMIFS(Erfassung!$E$6:$E$5005,Erfassung!$B$6:$B$5005,$A122,Erfassung!$A$6:$A$5005,"&gt;="&amp;DATE(Einstellungen!$C$3,3,1),Erfassung!$A$6:$A$5005,"&lt;"&amp;DATE(Einstellungen!$C$3,4,1)))</f>
        <v/>
      </c>
      <c r="F122" s="54">
        <f>IF($B122="","",SUMIFS(Erfassung!$E$6:$E$5005,Erfassung!$B$6:$B$5005,$A122,Erfassung!$A$6:$A$5005,"&gt;="&amp;DATE(Einstellungen!$C$3,4,1),Erfassung!$A$6:$A$5005,"&lt;"&amp;DATE(Einstellungen!$C$3,5,1)))</f>
        <v/>
      </c>
      <c r="G122" s="54">
        <f>IF($B122="","",SUMIFS(Erfassung!$E$6:$E$5005,Erfassung!$B$6:$B$5005,$A122,Erfassung!$A$6:$A$5005,"&gt;="&amp;DATE(Einstellungen!$C$3,5,1),Erfassung!$A$6:$A$5005,"&lt;"&amp;DATE(Einstellungen!$C$3,6,1)))</f>
        <v/>
      </c>
      <c r="H122" s="54">
        <f>IF($B122="","",SUMIFS(Erfassung!$E$6:$E$5005,Erfassung!$B$6:$B$5005,$A122,Erfassung!$A$6:$A$5005,"&gt;="&amp;DATE(Einstellungen!$C$3,6,1),Erfassung!$A$6:$A$5005,"&lt;"&amp;DATE(Einstellungen!$C$3,7,1)))</f>
        <v/>
      </c>
      <c r="I122" s="54">
        <f>IF($B122="","",SUMIFS(Erfassung!$E$6:$E$5005,Erfassung!$B$6:$B$5005,$A122,Erfassung!$A$6:$A$5005,"&gt;="&amp;DATE(Einstellungen!$C$3,7,1),Erfassung!$A$6:$A$5005,"&lt;"&amp;DATE(Einstellungen!$C$3,8,1)))</f>
        <v/>
      </c>
      <c r="J122" s="54">
        <f>IF($B122="","",SUMIFS(Erfassung!$E$6:$E$5005,Erfassung!$B$6:$B$5005,$A122,Erfassung!$A$6:$A$5005,"&gt;="&amp;DATE(Einstellungen!$C$3,8,1),Erfassung!$A$6:$A$5005,"&lt;"&amp;DATE(Einstellungen!$C$3,9,1)))</f>
        <v/>
      </c>
      <c r="K122" s="54">
        <f>IF($B122="","",SUMIFS(Erfassung!$E$6:$E$5005,Erfassung!$B$6:$B$5005,$A122,Erfassung!$A$6:$A$5005,"&gt;="&amp;DATE(Einstellungen!$C$3,9,1),Erfassung!$A$6:$A$5005,"&lt;"&amp;DATE(Einstellungen!$C$3,10,1)))</f>
        <v/>
      </c>
      <c r="L122" s="54">
        <f>IF($B122="","",SUMIFS(Erfassung!$E$6:$E$5005,Erfassung!$B$6:$B$5005,$A122,Erfassung!$A$6:$A$5005,"&gt;="&amp;DATE(Einstellungen!$C$3,10,1),Erfassung!$A$6:$A$5005,"&lt;"&amp;DATE(Einstellungen!$C$3,11,1)))</f>
        <v/>
      </c>
      <c r="M122" s="54">
        <f>IF($B122="","",SUMIFS(Erfassung!$E$6:$E$5005,Erfassung!$B$6:$B$5005,$A122,Erfassung!$A$6:$A$5005,"&gt;="&amp;DATE(Einstellungen!$C$3,11,1),Erfassung!$A$6:$A$5005,"&lt;"&amp;DATE(Einstellungen!$C$3,12,1)))</f>
        <v/>
      </c>
      <c r="N122" s="54">
        <f>IF($B122="","",SUMIFS(Erfassung!$E$6:$E$5005,Erfassung!$B$6:$B$5005,$A122,Erfassung!$A$6:$A$5005,"&gt;="&amp;DATE(Einstellungen!$C$3,12,1),Erfassung!$A$6:$A$5005,"&lt;"&amp;DATE(Einstellungen!$C$3,13,1)))</f>
        <v/>
      </c>
      <c r="O122" s="45">
        <f>IF($B122="","",SUM(C122:N122))</f>
        <v/>
      </c>
      <c r="P122" s="54">
        <f>IF($B122="","",SUMIFS(Erfassung!$G$6:$G$5005,Erfassung!$B$6:$B$5005,$A122,Erfassung!$A$6:$A$5005,"&gt;="&amp;DATE(Einstellungen!$C$3,1,1),Erfassung!$A$6:$A$5005,"&lt;"&amp;DATE(Einstellungen!$C$3,2,1)))</f>
        <v/>
      </c>
      <c r="Q122" s="54">
        <f>IF($B122="","",SUMIFS(Erfassung!$G$6:$G$5005,Erfassung!$B$6:$B$5005,$A122,Erfassung!$A$6:$A$5005,"&gt;="&amp;DATE(Einstellungen!$C$3,2,1),Erfassung!$A$6:$A$5005,"&lt;"&amp;DATE(Einstellungen!$C$3,3,1)))</f>
        <v/>
      </c>
      <c r="R122" s="54">
        <f>IF($B122="","",SUMIFS(Erfassung!$G$6:$G$5005,Erfassung!$B$6:$B$5005,$A122,Erfassung!$A$6:$A$5005,"&gt;="&amp;DATE(Einstellungen!$C$3,3,1),Erfassung!$A$6:$A$5005,"&lt;"&amp;DATE(Einstellungen!$C$3,4,1)))</f>
        <v/>
      </c>
      <c r="S122" s="54">
        <f>IF($B122="","",SUMIFS(Erfassung!$G$6:$G$5005,Erfassung!$B$6:$B$5005,$A122,Erfassung!$A$6:$A$5005,"&gt;="&amp;DATE(Einstellungen!$C$3,4,1),Erfassung!$A$6:$A$5005,"&lt;"&amp;DATE(Einstellungen!$C$3,5,1)))</f>
        <v/>
      </c>
      <c r="T122" s="54">
        <f>IF($B122="","",SUMIFS(Erfassung!$G$6:$G$5005,Erfassung!$B$6:$B$5005,$A122,Erfassung!$A$6:$A$5005,"&gt;="&amp;DATE(Einstellungen!$C$3,5,1),Erfassung!$A$6:$A$5005,"&lt;"&amp;DATE(Einstellungen!$C$3,6,1)))</f>
        <v/>
      </c>
      <c r="U122" s="54">
        <f>IF($B122="","",SUMIFS(Erfassung!$G$6:$G$5005,Erfassung!$B$6:$B$5005,$A122,Erfassung!$A$6:$A$5005,"&gt;="&amp;DATE(Einstellungen!$C$3,6,1),Erfassung!$A$6:$A$5005,"&lt;"&amp;DATE(Einstellungen!$C$3,7,1)))</f>
        <v/>
      </c>
      <c r="V122" s="54">
        <f>IF($B122="","",SUMIFS(Erfassung!$G$6:$G$5005,Erfassung!$B$6:$B$5005,$A122,Erfassung!$A$6:$A$5005,"&gt;="&amp;DATE(Einstellungen!$C$3,7,1),Erfassung!$A$6:$A$5005,"&lt;"&amp;DATE(Einstellungen!$C$3,8,1)))</f>
        <v/>
      </c>
      <c r="W122" s="54">
        <f>IF($B122="","",SUMIFS(Erfassung!$G$6:$G$5005,Erfassung!$B$6:$B$5005,$A122,Erfassung!$A$6:$A$5005,"&gt;="&amp;DATE(Einstellungen!$C$3,8,1),Erfassung!$A$6:$A$5005,"&lt;"&amp;DATE(Einstellungen!$C$3,9,1)))</f>
        <v/>
      </c>
      <c r="X122" s="54">
        <f>IF($B122="","",SUMIFS(Erfassung!$G$6:$G$5005,Erfassung!$B$6:$B$5005,$A122,Erfassung!$A$6:$A$5005,"&gt;="&amp;DATE(Einstellungen!$C$3,9,1),Erfassung!$A$6:$A$5005,"&lt;"&amp;DATE(Einstellungen!$C$3,10,1)))</f>
        <v/>
      </c>
      <c r="Y122" s="54">
        <f>IF($B122="","",SUMIFS(Erfassung!$G$6:$G$5005,Erfassung!$B$6:$B$5005,$A122,Erfassung!$A$6:$A$5005,"&gt;="&amp;DATE(Einstellungen!$C$3,10,1),Erfassung!$A$6:$A$5005,"&lt;"&amp;DATE(Einstellungen!$C$3,11,1)))</f>
        <v/>
      </c>
      <c r="Z122" s="54">
        <f>IF($B122="","",SUMIFS(Erfassung!$G$6:$G$5005,Erfassung!$B$6:$B$5005,$A122,Erfassung!$A$6:$A$5005,"&gt;="&amp;DATE(Einstellungen!$C$3,11,1),Erfassung!$A$6:$A$5005,"&lt;"&amp;DATE(Einstellungen!$C$3,12,1)))</f>
        <v/>
      </c>
      <c r="AA122" s="54">
        <f>IF($B122="","",SUMIFS(Erfassung!$G$6:$G$5005,Erfassung!$B$6:$B$5005,$A122,Erfassung!$A$6:$A$5005,"&gt;="&amp;DATE(Einstellungen!$C$3,12,1),Erfassung!$A$6:$A$5005,"&lt;"&amp;DATE(Einstellungen!$C$3,13,1)))</f>
        <v/>
      </c>
      <c r="AB122" s="45">
        <f>IF($B122="","",SUM(P122:AA122))</f>
        <v/>
      </c>
      <c r="AC122" s="38">
        <f>IF($B122="","",IF(O122+AB122&gt;0,AB122/(O122+AB122),""))</f>
        <v/>
      </c>
    </row>
    <row r="123">
      <c r="A123" s="56">
        <f>'KQuote Mitarbeiter'!A123</f>
        <v/>
      </c>
      <c r="B123" s="57">
        <f>'KQuote Mitarbeiter'!B123</f>
        <v/>
      </c>
      <c r="C123" s="54">
        <f>IF($B123="","",SUMIFS(Erfassung!$E$6:$E$5005,Erfassung!$B$6:$B$5005,$A123,Erfassung!$A$6:$A$5005,"&gt;="&amp;DATE(Einstellungen!$C$3,1,1),Erfassung!$A$6:$A$5005,"&lt;"&amp;DATE(Einstellungen!$C$3,2,1)))</f>
        <v/>
      </c>
      <c r="D123" s="54">
        <f>IF($B123="","",SUMIFS(Erfassung!$E$6:$E$5005,Erfassung!$B$6:$B$5005,$A123,Erfassung!$A$6:$A$5005,"&gt;="&amp;DATE(Einstellungen!$C$3,2,1),Erfassung!$A$6:$A$5005,"&lt;"&amp;DATE(Einstellungen!$C$3,3,1)))</f>
        <v/>
      </c>
      <c r="E123" s="54">
        <f>IF($B123="","",SUMIFS(Erfassung!$E$6:$E$5005,Erfassung!$B$6:$B$5005,$A123,Erfassung!$A$6:$A$5005,"&gt;="&amp;DATE(Einstellungen!$C$3,3,1),Erfassung!$A$6:$A$5005,"&lt;"&amp;DATE(Einstellungen!$C$3,4,1)))</f>
        <v/>
      </c>
      <c r="F123" s="54">
        <f>IF($B123="","",SUMIFS(Erfassung!$E$6:$E$5005,Erfassung!$B$6:$B$5005,$A123,Erfassung!$A$6:$A$5005,"&gt;="&amp;DATE(Einstellungen!$C$3,4,1),Erfassung!$A$6:$A$5005,"&lt;"&amp;DATE(Einstellungen!$C$3,5,1)))</f>
        <v/>
      </c>
      <c r="G123" s="54">
        <f>IF($B123="","",SUMIFS(Erfassung!$E$6:$E$5005,Erfassung!$B$6:$B$5005,$A123,Erfassung!$A$6:$A$5005,"&gt;="&amp;DATE(Einstellungen!$C$3,5,1),Erfassung!$A$6:$A$5005,"&lt;"&amp;DATE(Einstellungen!$C$3,6,1)))</f>
        <v/>
      </c>
      <c r="H123" s="54">
        <f>IF($B123="","",SUMIFS(Erfassung!$E$6:$E$5005,Erfassung!$B$6:$B$5005,$A123,Erfassung!$A$6:$A$5005,"&gt;="&amp;DATE(Einstellungen!$C$3,6,1),Erfassung!$A$6:$A$5005,"&lt;"&amp;DATE(Einstellungen!$C$3,7,1)))</f>
        <v/>
      </c>
      <c r="I123" s="54">
        <f>IF($B123="","",SUMIFS(Erfassung!$E$6:$E$5005,Erfassung!$B$6:$B$5005,$A123,Erfassung!$A$6:$A$5005,"&gt;="&amp;DATE(Einstellungen!$C$3,7,1),Erfassung!$A$6:$A$5005,"&lt;"&amp;DATE(Einstellungen!$C$3,8,1)))</f>
        <v/>
      </c>
      <c r="J123" s="54">
        <f>IF($B123="","",SUMIFS(Erfassung!$E$6:$E$5005,Erfassung!$B$6:$B$5005,$A123,Erfassung!$A$6:$A$5005,"&gt;="&amp;DATE(Einstellungen!$C$3,8,1),Erfassung!$A$6:$A$5005,"&lt;"&amp;DATE(Einstellungen!$C$3,9,1)))</f>
        <v/>
      </c>
      <c r="K123" s="54">
        <f>IF($B123="","",SUMIFS(Erfassung!$E$6:$E$5005,Erfassung!$B$6:$B$5005,$A123,Erfassung!$A$6:$A$5005,"&gt;="&amp;DATE(Einstellungen!$C$3,9,1),Erfassung!$A$6:$A$5005,"&lt;"&amp;DATE(Einstellungen!$C$3,10,1)))</f>
        <v/>
      </c>
      <c r="L123" s="54">
        <f>IF($B123="","",SUMIFS(Erfassung!$E$6:$E$5005,Erfassung!$B$6:$B$5005,$A123,Erfassung!$A$6:$A$5005,"&gt;="&amp;DATE(Einstellungen!$C$3,10,1),Erfassung!$A$6:$A$5005,"&lt;"&amp;DATE(Einstellungen!$C$3,11,1)))</f>
        <v/>
      </c>
      <c r="M123" s="54">
        <f>IF($B123="","",SUMIFS(Erfassung!$E$6:$E$5005,Erfassung!$B$6:$B$5005,$A123,Erfassung!$A$6:$A$5005,"&gt;="&amp;DATE(Einstellungen!$C$3,11,1),Erfassung!$A$6:$A$5005,"&lt;"&amp;DATE(Einstellungen!$C$3,12,1)))</f>
        <v/>
      </c>
      <c r="N123" s="54">
        <f>IF($B123="","",SUMIFS(Erfassung!$E$6:$E$5005,Erfassung!$B$6:$B$5005,$A123,Erfassung!$A$6:$A$5005,"&gt;="&amp;DATE(Einstellungen!$C$3,12,1),Erfassung!$A$6:$A$5005,"&lt;"&amp;DATE(Einstellungen!$C$3,13,1)))</f>
        <v/>
      </c>
      <c r="O123" s="45">
        <f>IF($B123="","",SUM(C123:N123))</f>
        <v/>
      </c>
      <c r="P123" s="54">
        <f>IF($B123="","",SUMIFS(Erfassung!$G$6:$G$5005,Erfassung!$B$6:$B$5005,$A123,Erfassung!$A$6:$A$5005,"&gt;="&amp;DATE(Einstellungen!$C$3,1,1),Erfassung!$A$6:$A$5005,"&lt;"&amp;DATE(Einstellungen!$C$3,2,1)))</f>
        <v/>
      </c>
      <c r="Q123" s="54">
        <f>IF($B123="","",SUMIFS(Erfassung!$G$6:$G$5005,Erfassung!$B$6:$B$5005,$A123,Erfassung!$A$6:$A$5005,"&gt;="&amp;DATE(Einstellungen!$C$3,2,1),Erfassung!$A$6:$A$5005,"&lt;"&amp;DATE(Einstellungen!$C$3,3,1)))</f>
        <v/>
      </c>
      <c r="R123" s="54">
        <f>IF($B123="","",SUMIFS(Erfassung!$G$6:$G$5005,Erfassung!$B$6:$B$5005,$A123,Erfassung!$A$6:$A$5005,"&gt;="&amp;DATE(Einstellungen!$C$3,3,1),Erfassung!$A$6:$A$5005,"&lt;"&amp;DATE(Einstellungen!$C$3,4,1)))</f>
        <v/>
      </c>
      <c r="S123" s="54">
        <f>IF($B123="","",SUMIFS(Erfassung!$G$6:$G$5005,Erfassung!$B$6:$B$5005,$A123,Erfassung!$A$6:$A$5005,"&gt;="&amp;DATE(Einstellungen!$C$3,4,1),Erfassung!$A$6:$A$5005,"&lt;"&amp;DATE(Einstellungen!$C$3,5,1)))</f>
        <v/>
      </c>
      <c r="T123" s="54">
        <f>IF($B123="","",SUMIFS(Erfassung!$G$6:$G$5005,Erfassung!$B$6:$B$5005,$A123,Erfassung!$A$6:$A$5005,"&gt;="&amp;DATE(Einstellungen!$C$3,5,1),Erfassung!$A$6:$A$5005,"&lt;"&amp;DATE(Einstellungen!$C$3,6,1)))</f>
        <v/>
      </c>
      <c r="U123" s="54">
        <f>IF($B123="","",SUMIFS(Erfassung!$G$6:$G$5005,Erfassung!$B$6:$B$5005,$A123,Erfassung!$A$6:$A$5005,"&gt;="&amp;DATE(Einstellungen!$C$3,6,1),Erfassung!$A$6:$A$5005,"&lt;"&amp;DATE(Einstellungen!$C$3,7,1)))</f>
        <v/>
      </c>
      <c r="V123" s="54">
        <f>IF($B123="","",SUMIFS(Erfassung!$G$6:$G$5005,Erfassung!$B$6:$B$5005,$A123,Erfassung!$A$6:$A$5005,"&gt;="&amp;DATE(Einstellungen!$C$3,7,1),Erfassung!$A$6:$A$5005,"&lt;"&amp;DATE(Einstellungen!$C$3,8,1)))</f>
        <v/>
      </c>
      <c r="W123" s="54">
        <f>IF($B123="","",SUMIFS(Erfassung!$G$6:$G$5005,Erfassung!$B$6:$B$5005,$A123,Erfassung!$A$6:$A$5005,"&gt;="&amp;DATE(Einstellungen!$C$3,8,1),Erfassung!$A$6:$A$5005,"&lt;"&amp;DATE(Einstellungen!$C$3,9,1)))</f>
        <v/>
      </c>
      <c r="X123" s="54">
        <f>IF($B123="","",SUMIFS(Erfassung!$G$6:$G$5005,Erfassung!$B$6:$B$5005,$A123,Erfassung!$A$6:$A$5005,"&gt;="&amp;DATE(Einstellungen!$C$3,9,1),Erfassung!$A$6:$A$5005,"&lt;"&amp;DATE(Einstellungen!$C$3,10,1)))</f>
        <v/>
      </c>
      <c r="Y123" s="54">
        <f>IF($B123="","",SUMIFS(Erfassung!$G$6:$G$5005,Erfassung!$B$6:$B$5005,$A123,Erfassung!$A$6:$A$5005,"&gt;="&amp;DATE(Einstellungen!$C$3,10,1),Erfassung!$A$6:$A$5005,"&lt;"&amp;DATE(Einstellungen!$C$3,11,1)))</f>
        <v/>
      </c>
      <c r="Z123" s="54">
        <f>IF($B123="","",SUMIFS(Erfassung!$G$6:$G$5005,Erfassung!$B$6:$B$5005,$A123,Erfassung!$A$6:$A$5005,"&gt;="&amp;DATE(Einstellungen!$C$3,11,1),Erfassung!$A$6:$A$5005,"&lt;"&amp;DATE(Einstellungen!$C$3,12,1)))</f>
        <v/>
      </c>
      <c r="AA123" s="54">
        <f>IF($B123="","",SUMIFS(Erfassung!$G$6:$G$5005,Erfassung!$B$6:$B$5005,$A123,Erfassung!$A$6:$A$5005,"&gt;="&amp;DATE(Einstellungen!$C$3,12,1),Erfassung!$A$6:$A$5005,"&lt;"&amp;DATE(Einstellungen!$C$3,13,1)))</f>
        <v/>
      </c>
      <c r="AB123" s="45">
        <f>IF($B123="","",SUM(P123:AA123))</f>
        <v/>
      </c>
      <c r="AC123" s="38">
        <f>IF($B123="","",IF(O123+AB123&gt;0,AB123/(O123+AB123),""))</f>
        <v/>
      </c>
    </row>
    <row r="124">
      <c r="A124" s="56">
        <f>'KQuote Mitarbeiter'!A124</f>
        <v/>
      </c>
      <c r="B124" s="57">
        <f>'KQuote Mitarbeiter'!B124</f>
        <v/>
      </c>
      <c r="C124" s="54">
        <f>IF($B124="","",SUMIFS(Erfassung!$E$6:$E$5005,Erfassung!$B$6:$B$5005,$A124,Erfassung!$A$6:$A$5005,"&gt;="&amp;DATE(Einstellungen!$C$3,1,1),Erfassung!$A$6:$A$5005,"&lt;"&amp;DATE(Einstellungen!$C$3,2,1)))</f>
        <v/>
      </c>
      <c r="D124" s="54">
        <f>IF($B124="","",SUMIFS(Erfassung!$E$6:$E$5005,Erfassung!$B$6:$B$5005,$A124,Erfassung!$A$6:$A$5005,"&gt;="&amp;DATE(Einstellungen!$C$3,2,1),Erfassung!$A$6:$A$5005,"&lt;"&amp;DATE(Einstellungen!$C$3,3,1)))</f>
        <v/>
      </c>
      <c r="E124" s="54">
        <f>IF($B124="","",SUMIFS(Erfassung!$E$6:$E$5005,Erfassung!$B$6:$B$5005,$A124,Erfassung!$A$6:$A$5005,"&gt;="&amp;DATE(Einstellungen!$C$3,3,1),Erfassung!$A$6:$A$5005,"&lt;"&amp;DATE(Einstellungen!$C$3,4,1)))</f>
        <v/>
      </c>
      <c r="F124" s="54">
        <f>IF($B124="","",SUMIFS(Erfassung!$E$6:$E$5005,Erfassung!$B$6:$B$5005,$A124,Erfassung!$A$6:$A$5005,"&gt;="&amp;DATE(Einstellungen!$C$3,4,1),Erfassung!$A$6:$A$5005,"&lt;"&amp;DATE(Einstellungen!$C$3,5,1)))</f>
        <v/>
      </c>
      <c r="G124" s="54">
        <f>IF($B124="","",SUMIFS(Erfassung!$E$6:$E$5005,Erfassung!$B$6:$B$5005,$A124,Erfassung!$A$6:$A$5005,"&gt;="&amp;DATE(Einstellungen!$C$3,5,1),Erfassung!$A$6:$A$5005,"&lt;"&amp;DATE(Einstellungen!$C$3,6,1)))</f>
        <v/>
      </c>
      <c r="H124" s="54">
        <f>IF($B124="","",SUMIFS(Erfassung!$E$6:$E$5005,Erfassung!$B$6:$B$5005,$A124,Erfassung!$A$6:$A$5005,"&gt;="&amp;DATE(Einstellungen!$C$3,6,1),Erfassung!$A$6:$A$5005,"&lt;"&amp;DATE(Einstellungen!$C$3,7,1)))</f>
        <v/>
      </c>
      <c r="I124" s="54">
        <f>IF($B124="","",SUMIFS(Erfassung!$E$6:$E$5005,Erfassung!$B$6:$B$5005,$A124,Erfassung!$A$6:$A$5005,"&gt;="&amp;DATE(Einstellungen!$C$3,7,1),Erfassung!$A$6:$A$5005,"&lt;"&amp;DATE(Einstellungen!$C$3,8,1)))</f>
        <v/>
      </c>
      <c r="J124" s="54">
        <f>IF($B124="","",SUMIFS(Erfassung!$E$6:$E$5005,Erfassung!$B$6:$B$5005,$A124,Erfassung!$A$6:$A$5005,"&gt;="&amp;DATE(Einstellungen!$C$3,8,1),Erfassung!$A$6:$A$5005,"&lt;"&amp;DATE(Einstellungen!$C$3,9,1)))</f>
        <v/>
      </c>
      <c r="K124" s="54">
        <f>IF($B124="","",SUMIFS(Erfassung!$E$6:$E$5005,Erfassung!$B$6:$B$5005,$A124,Erfassung!$A$6:$A$5005,"&gt;="&amp;DATE(Einstellungen!$C$3,9,1),Erfassung!$A$6:$A$5005,"&lt;"&amp;DATE(Einstellungen!$C$3,10,1)))</f>
        <v/>
      </c>
      <c r="L124" s="54">
        <f>IF($B124="","",SUMIFS(Erfassung!$E$6:$E$5005,Erfassung!$B$6:$B$5005,$A124,Erfassung!$A$6:$A$5005,"&gt;="&amp;DATE(Einstellungen!$C$3,10,1),Erfassung!$A$6:$A$5005,"&lt;"&amp;DATE(Einstellungen!$C$3,11,1)))</f>
        <v/>
      </c>
      <c r="M124" s="54">
        <f>IF($B124="","",SUMIFS(Erfassung!$E$6:$E$5005,Erfassung!$B$6:$B$5005,$A124,Erfassung!$A$6:$A$5005,"&gt;="&amp;DATE(Einstellungen!$C$3,11,1),Erfassung!$A$6:$A$5005,"&lt;"&amp;DATE(Einstellungen!$C$3,12,1)))</f>
        <v/>
      </c>
      <c r="N124" s="54">
        <f>IF($B124="","",SUMIFS(Erfassung!$E$6:$E$5005,Erfassung!$B$6:$B$5005,$A124,Erfassung!$A$6:$A$5005,"&gt;="&amp;DATE(Einstellungen!$C$3,12,1),Erfassung!$A$6:$A$5005,"&lt;"&amp;DATE(Einstellungen!$C$3,13,1)))</f>
        <v/>
      </c>
      <c r="O124" s="45">
        <f>IF($B124="","",SUM(C124:N124))</f>
        <v/>
      </c>
      <c r="P124" s="54">
        <f>IF($B124="","",SUMIFS(Erfassung!$G$6:$G$5005,Erfassung!$B$6:$B$5005,$A124,Erfassung!$A$6:$A$5005,"&gt;="&amp;DATE(Einstellungen!$C$3,1,1),Erfassung!$A$6:$A$5005,"&lt;"&amp;DATE(Einstellungen!$C$3,2,1)))</f>
        <v/>
      </c>
      <c r="Q124" s="54">
        <f>IF($B124="","",SUMIFS(Erfassung!$G$6:$G$5005,Erfassung!$B$6:$B$5005,$A124,Erfassung!$A$6:$A$5005,"&gt;="&amp;DATE(Einstellungen!$C$3,2,1),Erfassung!$A$6:$A$5005,"&lt;"&amp;DATE(Einstellungen!$C$3,3,1)))</f>
        <v/>
      </c>
      <c r="R124" s="54">
        <f>IF($B124="","",SUMIFS(Erfassung!$G$6:$G$5005,Erfassung!$B$6:$B$5005,$A124,Erfassung!$A$6:$A$5005,"&gt;="&amp;DATE(Einstellungen!$C$3,3,1),Erfassung!$A$6:$A$5005,"&lt;"&amp;DATE(Einstellungen!$C$3,4,1)))</f>
        <v/>
      </c>
      <c r="S124" s="54">
        <f>IF($B124="","",SUMIFS(Erfassung!$G$6:$G$5005,Erfassung!$B$6:$B$5005,$A124,Erfassung!$A$6:$A$5005,"&gt;="&amp;DATE(Einstellungen!$C$3,4,1),Erfassung!$A$6:$A$5005,"&lt;"&amp;DATE(Einstellungen!$C$3,5,1)))</f>
        <v/>
      </c>
      <c r="T124" s="54">
        <f>IF($B124="","",SUMIFS(Erfassung!$G$6:$G$5005,Erfassung!$B$6:$B$5005,$A124,Erfassung!$A$6:$A$5005,"&gt;="&amp;DATE(Einstellungen!$C$3,5,1),Erfassung!$A$6:$A$5005,"&lt;"&amp;DATE(Einstellungen!$C$3,6,1)))</f>
        <v/>
      </c>
      <c r="U124" s="54">
        <f>IF($B124="","",SUMIFS(Erfassung!$G$6:$G$5005,Erfassung!$B$6:$B$5005,$A124,Erfassung!$A$6:$A$5005,"&gt;="&amp;DATE(Einstellungen!$C$3,6,1),Erfassung!$A$6:$A$5005,"&lt;"&amp;DATE(Einstellungen!$C$3,7,1)))</f>
        <v/>
      </c>
      <c r="V124" s="54">
        <f>IF($B124="","",SUMIFS(Erfassung!$G$6:$G$5005,Erfassung!$B$6:$B$5005,$A124,Erfassung!$A$6:$A$5005,"&gt;="&amp;DATE(Einstellungen!$C$3,7,1),Erfassung!$A$6:$A$5005,"&lt;"&amp;DATE(Einstellungen!$C$3,8,1)))</f>
        <v/>
      </c>
      <c r="W124" s="54">
        <f>IF($B124="","",SUMIFS(Erfassung!$G$6:$G$5005,Erfassung!$B$6:$B$5005,$A124,Erfassung!$A$6:$A$5005,"&gt;="&amp;DATE(Einstellungen!$C$3,8,1),Erfassung!$A$6:$A$5005,"&lt;"&amp;DATE(Einstellungen!$C$3,9,1)))</f>
        <v/>
      </c>
      <c r="X124" s="54">
        <f>IF($B124="","",SUMIFS(Erfassung!$G$6:$G$5005,Erfassung!$B$6:$B$5005,$A124,Erfassung!$A$6:$A$5005,"&gt;="&amp;DATE(Einstellungen!$C$3,9,1),Erfassung!$A$6:$A$5005,"&lt;"&amp;DATE(Einstellungen!$C$3,10,1)))</f>
        <v/>
      </c>
      <c r="Y124" s="54">
        <f>IF($B124="","",SUMIFS(Erfassung!$G$6:$G$5005,Erfassung!$B$6:$B$5005,$A124,Erfassung!$A$6:$A$5005,"&gt;="&amp;DATE(Einstellungen!$C$3,10,1),Erfassung!$A$6:$A$5005,"&lt;"&amp;DATE(Einstellungen!$C$3,11,1)))</f>
        <v/>
      </c>
      <c r="Z124" s="54">
        <f>IF($B124="","",SUMIFS(Erfassung!$G$6:$G$5005,Erfassung!$B$6:$B$5005,$A124,Erfassung!$A$6:$A$5005,"&gt;="&amp;DATE(Einstellungen!$C$3,11,1),Erfassung!$A$6:$A$5005,"&lt;"&amp;DATE(Einstellungen!$C$3,12,1)))</f>
        <v/>
      </c>
      <c r="AA124" s="54">
        <f>IF($B124="","",SUMIFS(Erfassung!$G$6:$G$5005,Erfassung!$B$6:$B$5005,$A124,Erfassung!$A$6:$A$5005,"&gt;="&amp;DATE(Einstellungen!$C$3,12,1),Erfassung!$A$6:$A$5005,"&lt;"&amp;DATE(Einstellungen!$C$3,13,1)))</f>
        <v/>
      </c>
      <c r="AB124" s="45">
        <f>IF($B124="","",SUM(P124:AA124))</f>
        <v/>
      </c>
      <c r="AC124" s="38">
        <f>IF($B124="","",IF(O124+AB124&gt;0,AB124/(O124+AB124),""))</f>
        <v/>
      </c>
    </row>
    <row r="125">
      <c r="A125" s="56">
        <f>'KQuote Mitarbeiter'!A125</f>
        <v/>
      </c>
      <c r="B125" s="57">
        <f>'KQuote Mitarbeiter'!B125</f>
        <v/>
      </c>
      <c r="C125" s="54">
        <f>IF($B125="","",SUMIFS(Erfassung!$E$6:$E$5005,Erfassung!$B$6:$B$5005,$A125,Erfassung!$A$6:$A$5005,"&gt;="&amp;DATE(Einstellungen!$C$3,1,1),Erfassung!$A$6:$A$5005,"&lt;"&amp;DATE(Einstellungen!$C$3,2,1)))</f>
        <v/>
      </c>
      <c r="D125" s="54">
        <f>IF($B125="","",SUMIFS(Erfassung!$E$6:$E$5005,Erfassung!$B$6:$B$5005,$A125,Erfassung!$A$6:$A$5005,"&gt;="&amp;DATE(Einstellungen!$C$3,2,1),Erfassung!$A$6:$A$5005,"&lt;"&amp;DATE(Einstellungen!$C$3,3,1)))</f>
        <v/>
      </c>
      <c r="E125" s="54">
        <f>IF($B125="","",SUMIFS(Erfassung!$E$6:$E$5005,Erfassung!$B$6:$B$5005,$A125,Erfassung!$A$6:$A$5005,"&gt;="&amp;DATE(Einstellungen!$C$3,3,1),Erfassung!$A$6:$A$5005,"&lt;"&amp;DATE(Einstellungen!$C$3,4,1)))</f>
        <v/>
      </c>
      <c r="F125" s="54">
        <f>IF($B125="","",SUMIFS(Erfassung!$E$6:$E$5005,Erfassung!$B$6:$B$5005,$A125,Erfassung!$A$6:$A$5005,"&gt;="&amp;DATE(Einstellungen!$C$3,4,1),Erfassung!$A$6:$A$5005,"&lt;"&amp;DATE(Einstellungen!$C$3,5,1)))</f>
        <v/>
      </c>
      <c r="G125" s="54">
        <f>IF($B125="","",SUMIFS(Erfassung!$E$6:$E$5005,Erfassung!$B$6:$B$5005,$A125,Erfassung!$A$6:$A$5005,"&gt;="&amp;DATE(Einstellungen!$C$3,5,1),Erfassung!$A$6:$A$5005,"&lt;"&amp;DATE(Einstellungen!$C$3,6,1)))</f>
        <v/>
      </c>
      <c r="H125" s="54">
        <f>IF($B125="","",SUMIFS(Erfassung!$E$6:$E$5005,Erfassung!$B$6:$B$5005,$A125,Erfassung!$A$6:$A$5005,"&gt;="&amp;DATE(Einstellungen!$C$3,6,1),Erfassung!$A$6:$A$5005,"&lt;"&amp;DATE(Einstellungen!$C$3,7,1)))</f>
        <v/>
      </c>
      <c r="I125" s="54">
        <f>IF($B125="","",SUMIFS(Erfassung!$E$6:$E$5005,Erfassung!$B$6:$B$5005,$A125,Erfassung!$A$6:$A$5005,"&gt;="&amp;DATE(Einstellungen!$C$3,7,1),Erfassung!$A$6:$A$5005,"&lt;"&amp;DATE(Einstellungen!$C$3,8,1)))</f>
        <v/>
      </c>
      <c r="J125" s="54">
        <f>IF($B125="","",SUMIFS(Erfassung!$E$6:$E$5005,Erfassung!$B$6:$B$5005,$A125,Erfassung!$A$6:$A$5005,"&gt;="&amp;DATE(Einstellungen!$C$3,8,1),Erfassung!$A$6:$A$5005,"&lt;"&amp;DATE(Einstellungen!$C$3,9,1)))</f>
        <v/>
      </c>
      <c r="K125" s="54">
        <f>IF($B125="","",SUMIFS(Erfassung!$E$6:$E$5005,Erfassung!$B$6:$B$5005,$A125,Erfassung!$A$6:$A$5005,"&gt;="&amp;DATE(Einstellungen!$C$3,9,1),Erfassung!$A$6:$A$5005,"&lt;"&amp;DATE(Einstellungen!$C$3,10,1)))</f>
        <v/>
      </c>
      <c r="L125" s="54">
        <f>IF($B125="","",SUMIFS(Erfassung!$E$6:$E$5005,Erfassung!$B$6:$B$5005,$A125,Erfassung!$A$6:$A$5005,"&gt;="&amp;DATE(Einstellungen!$C$3,10,1),Erfassung!$A$6:$A$5005,"&lt;"&amp;DATE(Einstellungen!$C$3,11,1)))</f>
        <v/>
      </c>
      <c r="M125" s="54">
        <f>IF($B125="","",SUMIFS(Erfassung!$E$6:$E$5005,Erfassung!$B$6:$B$5005,$A125,Erfassung!$A$6:$A$5005,"&gt;="&amp;DATE(Einstellungen!$C$3,11,1),Erfassung!$A$6:$A$5005,"&lt;"&amp;DATE(Einstellungen!$C$3,12,1)))</f>
        <v/>
      </c>
      <c r="N125" s="54">
        <f>IF($B125="","",SUMIFS(Erfassung!$E$6:$E$5005,Erfassung!$B$6:$B$5005,$A125,Erfassung!$A$6:$A$5005,"&gt;="&amp;DATE(Einstellungen!$C$3,12,1),Erfassung!$A$6:$A$5005,"&lt;"&amp;DATE(Einstellungen!$C$3,13,1)))</f>
        <v/>
      </c>
      <c r="O125" s="45">
        <f>IF($B125="","",SUM(C125:N125))</f>
        <v/>
      </c>
      <c r="P125" s="54">
        <f>IF($B125="","",SUMIFS(Erfassung!$G$6:$G$5005,Erfassung!$B$6:$B$5005,$A125,Erfassung!$A$6:$A$5005,"&gt;="&amp;DATE(Einstellungen!$C$3,1,1),Erfassung!$A$6:$A$5005,"&lt;"&amp;DATE(Einstellungen!$C$3,2,1)))</f>
        <v/>
      </c>
      <c r="Q125" s="54">
        <f>IF($B125="","",SUMIFS(Erfassung!$G$6:$G$5005,Erfassung!$B$6:$B$5005,$A125,Erfassung!$A$6:$A$5005,"&gt;="&amp;DATE(Einstellungen!$C$3,2,1),Erfassung!$A$6:$A$5005,"&lt;"&amp;DATE(Einstellungen!$C$3,3,1)))</f>
        <v/>
      </c>
      <c r="R125" s="54">
        <f>IF($B125="","",SUMIFS(Erfassung!$G$6:$G$5005,Erfassung!$B$6:$B$5005,$A125,Erfassung!$A$6:$A$5005,"&gt;="&amp;DATE(Einstellungen!$C$3,3,1),Erfassung!$A$6:$A$5005,"&lt;"&amp;DATE(Einstellungen!$C$3,4,1)))</f>
        <v/>
      </c>
      <c r="S125" s="54">
        <f>IF($B125="","",SUMIFS(Erfassung!$G$6:$G$5005,Erfassung!$B$6:$B$5005,$A125,Erfassung!$A$6:$A$5005,"&gt;="&amp;DATE(Einstellungen!$C$3,4,1),Erfassung!$A$6:$A$5005,"&lt;"&amp;DATE(Einstellungen!$C$3,5,1)))</f>
        <v/>
      </c>
      <c r="T125" s="54">
        <f>IF($B125="","",SUMIFS(Erfassung!$G$6:$G$5005,Erfassung!$B$6:$B$5005,$A125,Erfassung!$A$6:$A$5005,"&gt;="&amp;DATE(Einstellungen!$C$3,5,1),Erfassung!$A$6:$A$5005,"&lt;"&amp;DATE(Einstellungen!$C$3,6,1)))</f>
        <v/>
      </c>
      <c r="U125" s="54">
        <f>IF($B125="","",SUMIFS(Erfassung!$G$6:$G$5005,Erfassung!$B$6:$B$5005,$A125,Erfassung!$A$6:$A$5005,"&gt;="&amp;DATE(Einstellungen!$C$3,6,1),Erfassung!$A$6:$A$5005,"&lt;"&amp;DATE(Einstellungen!$C$3,7,1)))</f>
        <v/>
      </c>
      <c r="V125" s="54">
        <f>IF($B125="","",SUMIFS(Erfassung!$G$6:$G$5005,Erfassung!$B$6:$B$5005,$A125,Erfassung!$A$6:$A$5005,"&gt;="&amp;DATE(Einstellungen!$C$3,7,1),Erfassung!$A$6:$A$5005,"&lt;"&amp;DATE(Einstellungen!$C$3,8,1)))</f>
        <v/>
      </c>
      <c r="W125" s="54">
        <f>IF($B125="","",SUMIFS(Erfassung!$G$6:$G$5005,Erfassung!$B$6:$B$5005,$A125,Erfassung!$A$6:$A$5005,"&gt;="&amp;DATE(Einstellungen!$C$3,8,1),Erfassung!$A$6:$A$5005,"&lt;"&amp;DATE(Einstellungen!$C$3,9,1)))</f>
        <v/>
      </c>
      <c r="X125" s="54">
        <f>IF($B125="","",SUMIFS(Erfassung!$G$6:$G$5005,Erfassung!$B$6:$B$5005,$A125,Erfassung!$A$6:$A$5005,"&gt;="&amp;DATE(Einstellungen!$C$3,9,1),Erfassung!$A$6:$A$5005,"&lt;"&amp;DATE(Einstellungen!$C$3,10,1)))</f>
        <v/>
      </c>
      <c r="Y125" s="54">
        <f>IF($B125="","",SUMIFS(Erfassung!$G$6:$G$5005,Erfassung!$B$6:$B$5005,$A125,Erfassung!$A$6:$A$5005,"&gt;="&amp;DATE(Einstellungen!$C$3,10,1),Erfassung!$A$6:$A$5005,"&lt;"&amp;DATE(Einstellungen!$C$3,11,1)))</f>
        <v/>
      </c>
      <c r="Z125" s="54">
        <f>IF($B125="","",SUMIFS(Erfassung!$G$6:$G$5005,Erfassung!$B$6:$B$5005,$A125,Erfassung!$A$6:$A$5005,"&gt;="&amp;DATE(Einstellungen!$C$3,11,1),Erfassung!$A$6:$A$5005,"&lt;"&amp;DATE(Einstellungen!$C$3,12,1)))</f>
        <v/>
      </c>
      <c r="AA125" s="54">
        <f>IF($B125="","",SUMIFS(Erfassung!$G$6:$G$5005,Erfassung!$B$6:$B$5005,$A125,Erfassung!$A$6:$A$5005,"&gt;="&amp;DATE(Einstellungen!$C$3,12,1),Erfassung!$A$6:$A$5005,"&lt;"&amp;DATE(Einstellungen!$C$3,13,1)))</f>
        <v/>
      </c>
      <c r="AB125" s="45">
        <f>IF($B125="","",SUM(P125:AA125))</f>
        <v/>
      </c>
      <c r="AC125" s="38">
        <f>IF($B125="","",IF(O125+AB125&gt;0,AB125/(O125+AB125),""))</f>
        <v/>
      </c>
    </row>
    <row r="126">
      <c r="A126" s="56">
        <f>'KQuote Mitarbeiter'!A126</f>
        <v/>
      </c>
      <c r="B126" s="57">
        <f>'KQuote Mitarbeiter'!B126</f>
        <v/>
      </c>
      <c r="C126" s="54">
        <f>IF($B126="","",SUMIFS(Erfassung!$E$6:$E$5005,Erfassung!$B$6:$B$5005,$A126,Erfassung!$A$6:$A$5005,"&gt;="&amp;DATE(Einstellungen!$C$3,1,1),Erfassung!$A$6:$A$5005,"&lt;"&amp;DATE(Einstellungen!$C$3,2,1)))</f>
        <v/>
      </c>
      <c r="D126" s="54">
        <f>IF($B126="","",SUMIFS(Erfassung!$E$6:$E$5005,Erfassung!$B$6:$B$5005,$A126,Erfassung!$A$6:$A$5005,"&gt;="&amp;DATE(Einstellungen!$C$3,2,1),Erfassung!$A$6:$A$5005,"&lt;"&amp;DATE(Einstellungen!$C$3,3,1)))</f>
        <v/>
      </c>
      <c r="E126" s="54">
        <f>IF($B126="","",SUMIFS(Erfassung!$E$6:$E$5005,Erfassung!$B$6:$B$5005,$A126,Erfassung!$A$6:$A$5005,"&gt;="&amp;DATE(Einstellungen!$C$3,3,1),Erfassung!$A$6:$A$5005,"&lt;"&amp;DATE(Einstellungen!$C$3,4,1)))</f>
        <v/>
      </c>
      <c r="F126" s="54">
        <f>IF($B126="","",SUMIFS(Erfassung!$E$6:$E$5005,Erfassung!$B$6:$B$5005,$A126,Erfassung!$A$6:$A$5005,"&gt;="&amp;DATE(Einstellungen!$C$3,4,1),Erfassung!$A$6:$A$5005,"&lt;"&amp;DATE(Einstellungen!$C$3,5,1)))</f>
        <v/>
      </c>
      <c r="G126" s="54">
        <f>IF($B126="","",SUMIFS(Erfassung!$E$6:$E$5005,Erfassung!$B$6:$B$5005,$A126,Erfassung!$A$6:$A$5005,"&gt;="&amp;DATE(Einstellungen!$C$3,5,1),Erfassung!$A$6:$A$5005,"&lt;"&amp;DATE(Einstellungen!$C$3,6,1)))</f>
        <v/>
      </c>
      <c r="H126" s="54">
        <f>IF($B126="","",SUMIFS(Erfassung!$E$6:$E$5005,Erfassung!$B$6:$B$5005,$A126,Erfassung!$A$6:$A$5005,"&gt;="&amp;DATE(Einstellungen!$C$3,6,1),Erfassung!$A$6:$A$5005,"&lt;"&amp;DATE(Einstellungen!$C$3,7,1)))</f>
        <v/>
      </c>
      <c r="I126" s="54">
        <f>IF($B126="","",SUMIFS(Erfassung!$E$6:$E$5005,Erfassung!$B$6:$B$5005,$A126,Erfassung!$A$6:$A$5005,"&gt;="&amp;DATE(Einstellungen!$C$3,7,1),Erfassung!$A$6:$A$5005,"&lt;"&amp;DATE(Einstellungen!$C$3,8,1)))</f>
        <v/>
      </c>
      <c r="J126" s="54">
        <f>IF($B126="","",SUMIFS(Erfassung!$E$6:$E$5005,Erfassung!$B$6:$B$5005,$A126,Erfassung!$A$6:$A$5005,"&gt;="&amp;DATE(Einstellungen!$C$3,8,1),Erfassung!$A$6:$A$5005,"&lt;"&amp;DATE(Einstellungen!$C$3,9,1)))</f>
        <v/>
      </c>
      <c r="K126" s="54">
        <f>IF($B126="","",SUMIFS(Erfassung!$E$6:$E$5005,Erfassung!$B$6:$B$5005,$A126,Erfassung!$A$6:$A$5005,"&gt;="&amp;DATE(Einstellungen!$C$3,9,1),Erfassung!$A$6:$A$5005,"&lt;"&amp;DATE(Einstellungen!$C$3,10,1)))</f>
        <v/>
      </c>
      <c r="L126" s="54">
        <f>IF($B126="","",SUMIFS(Erfassung!$E$6:$E$5005,Erfassung!$B$6:$B$5005,$A126,Erfassung!$A$6:$A$5005,"&gt;="&amp;DATE(Einstellungen!$C$3,10,1),Erfassung!$A$6:$A$5005,"&lt;"&amp;DATE(Einstellungen!$C$3,11,1)))</f>
        <v/>
      </c>
      <c r="M126" s="54">
        <f>IF($B126="","",SUMIFS(Erfassung!$E$6:$E$5005,Erfassung!$B$6:$B$5005,$A126,Erfassung!$A$6:$A$5005,"&gt;="&amp;DATE(Einstellungen!$C$3,11,1),Erfassung!$A$6:$A$5005,"&lt;"&amp;DATE(Einstellungen!$C$3,12,1)))</f>
        <v/>
      </c>
      <c r="N126" s="54">
        <f>IF($B126="","",SUMIFS(Erfassung!$E$6:$E$5005,Erfassung!$B$6:$B$5005,$A126,Erfassung!$A$6:$A$5005,"&gt;="&amp;DATE(Einstellungen!$C$3,12,1),Erfassung!$A$6:$A$5005,"&lt;"&amp;DATE(Einstellungen!$C$3,13,1)))</f>
        <v/>
      </c>
      <c r="O126" s="45">
        <f>IF($B126="","",SUM(C126:N126))</f>
        <v/>
      </c>
      <c r="P126" s="54">
        <f>IF($B126="","",SUMIFS(Erfassung!$G$6:$G$5005,Erfassung!$B$6:$B$5005,$A126,Erfassung!$A$6:$A$5005,"&gt;="&amp;DATE(Einstellungen!$C$3,1,1),Erfassung!$A$6:$A$5005,"&lt;"&amp;DATE(Einstellungen!$C$3,2,1)))</f>
        <v/>
      </c>
      <c r="Q126" s="54">
        <f>IF($B126="","",SUMIFS(Erfassung!$G$6:$G$5005,Erfassung!$B$6:$B$5005,$A126,Erfassung!$A$6:$A$5005,"&gt;="&amp;DATE(Einstellungen!$C$3,2,1),Erfassung!$A$6:$A$5005,"&lt;"&amp;DATE(Einstellungen!$C$3,3,1)))</f>
        <v/>
      </c>
      <c r="R126" s="54">
        <f>IF($B126="","",SUMIFS(Erfassung!$G$6:$G$5005,Erfassung!$B$6:$B$5005,$A126,Erfassung!$A$6:$A$5005,"&gt;="&amp;DATE(Einstellungen!$C$3,3,1),Erfassung!$A$6:$A$5005,"&lt;"&amp;DATE(Einstellungen!$C$3,4,1)))</f>
        <v/>
      </c>
      <c r="S126" s="54">
        <f>IF($B126="","",SUMIFS(Erfassung!$G$6:$G$5005,Erfassung!$B$6:$B$5005,$A126,Erfassung!$A$6:$A$5005,"&gt;="&amp;DATE(Einstellungen!$C$3,4,1),Erfassung!$A$6:$A$5005,"&lt;"&amp;DATE(Einstellungen!$C$3,5,1)))</f>
        <v/>
      </c>
      <c r="T126" s="54">
        <f>IF($B126="","",SUMIFS(Erfassung!$G$6:$G$5005,Erfassung!$B$6:$B$5005,$A126,Erfassung!$A$6:$A$5005,"&gt;="&amp;DATE(Einstellungen!$C$3,5,1),Erfassung!$A$6:$A$5005,"&lt;"&amp;DATE(Einstellungen!$C$3,6,1)))</f>
        <v/>
      </c>
      <c r="U126" s="54">
        <f>IF($B126="","",SUMIFS(Erfassung!$G$6:$G$5005,Erfassung!$B$6:$B$5005,$A126,Erfassung!$A$6:$A$5005,"&gt;="&amp;DATE(Einstellungen!$C$3,6,1),Erfassung!$A$6:$A$5005,"&lt;"&amp;DATE(Einstellungen!$C$3,7,1)))</f>
        <v/>
      </c>
      <c r="V126" s="54">
        <f>IF($B126="","",SUMIFS(Erfassung!$G$6:$G$5005,Erfassung!$B$6:$B$5005,$A126,Erfassung!$A$6:$A$5005,"&gt;="&amp;DATE(Einstellungen!$C$3,7,1),Erfassung!$A$6:$A$5005,"&lt;"&amp;DATE(Einstellungen!$C$3,8,1)))</f>
        <v/>
      </c>
      <c r="W126" s="54">
        <f>IF($B126="","",SUMIFS(Erfassung!$G$6:$G$5005,Erfassung!$B$6:$B$5005,$A126,Erfassung!$A$6:$A$5005,"&gt;="&amp;DATE(Einstellungen!$C$3,8,1),Erfassung!$A$6:$A$5005,"&lt;"&amp;DATE(Einstellungen!$C$3,9,1)))</f>
        <v/>
      </c>
      <c r="X126" s="54">
        <f>IF($B126="","",SUMIFS(Erfassung!$G$6:$G$5005,Erfassung!$B$6:$B$5005,$A126,Erfassung!$A$6:$A$5005,"&gt;="&amp;DATE(Einstellungen!$C$3,9,1),Erfassung!$A$6:$A$5005,"&lt;"&amp;DATE(Einstellungen!$C$3,10,1)))</f>
        <v/>
      </c>
      <c r="Y126" s="54">
        <f>IF($B126="","",SUMIFS(Erfassung!$G$6:$G$5005,Erfassung!$B$6:$B$5005,$A126,Erfassung!$A$6:$A$5005,"&gt;="&amp;DATE(Einstellungen!$C$3,10,1),Erfassung!$A$6:$A$5005,"&lt;"&amp;DATE(Einstellungen!$C$3,11,1)))</f>
        <v/>
      </c>
      <c r="Z126" s="54">
        <f>IF($B126="","",SUMIFS(Erfassung!$G$6:$G$5005,Erfassung!$B$6:$B$5005,$A126,Erfassung!$A$6:$A$5005,"&gt;="&amp;DATE(Einstellungen!$C$3,11,1),Erfassung!$A$6:$A$5005,"&lt;"&amp;DATE(Einstellungen!$C$3,12,1)))</f>
        <v/>
      </c>
      <c r="AA126" s="54">
        <f>IF($B126="","",SUMIFS(Erfassung!$G$6:$G$5005,Erfassung!$B$6:$B$5005,$A126,Erfassung!$A$6:$A$5005,"&gt;="&amp;DATE(Einstellungen!$C$3,12,1),Erfassung!$A$6:$A$5005,"&lt;"&amp;DATE(Einstellungen!$C$3,13,1)))</f>
        <v/>
      </c>
      <c r="AB126" s="45">
        <f>IF($B126="","",SUM(P126:AA126))</f>
        <v/>
      </c>
      <c r="AC126" s="38">
        <f>IF($B126="","",IF(O126+AB126&gt;0,AB126/(O126+AB126),""))</f>
        <v/>
      </c>
    </row>
    <row r="127">
      <c r="A127" s="56">
        <f>'KQuote Mitarbeiter'!A127</f>
        <v/>
      </c>
      <c r="B127" s="57">
        <f>'KQuote Mitarbeiter'!B127</f>
        <v/>
      </c>
      <c r="C127" s="54">
        <f>IF($B127="","",SUMIFS(Erfassung!$E$6:$E$5005,Erfassung!$B$6:$B$5005,$A127,Erfassung!$A$6:$A$5005,"&gt;="&amp;DATE(Einstellungen!$C$3,1,1),Erfassung!$A$6:$A$5005,"&lt;"&amp;DATE(Einstellungen!$C$3,2,1)))</f>
        <v/>
      </c>
      <c r="D127" s="54">
        <f>IF($B127="","",SUMIFS(Erfassung!$E$6:$E$5005,Erfassung!$B$6:$B$5005,$A127,Erfassung!$A$6:$A$5005,"&gt;="&amp;DATE(Einstellungen!$C$3,2,1),Erfassung!$A$6:$A$5005,"&lt;"&amp;DATE(Einstellungen!$C$3,3,1)))</f>
        <v/>
      </c>
      <c r="E127" s="54">
        <f>IF($B127="","",SUMIFS(Erfassung!$E$6:$E$5005,Erfassung!$B$6:$B$5005,$A127,Erfassung!$A$6:$A$5005,"&gt;="&amp;DATE(Einstellungen!$C$3,3,1),Erfassung!$A$6:$A$5005,"&lt;"&amp;DATE(Einstellungen!$C$3,4,1)))</f>
        <v/>
      </c>
      <c r="F127" s="54">
        <f>IF($B127="","",SUMIFS(Erfassung!$E$6:$E$5005,Erfassung!$B$6:$B$5005,$A127,Erfassung!$A$6:$A$5005,"&gt;="&amp;DATE(Einstellungen!$C$3,4,1),Erfassung!$A$6:$A$5005,"&lt;"&amp;DATE(Einstellungen!$C$3,5,1)))</f>
        <v/>
      </c>
      <c r="G127" s="54">
        <f>IF($B127="","",SUMIFS(Erfassung!$E$6:$E$5005,Erfassung!$B$6:$B$5005,$A127,Erfassung!$A$6:$A$5005,"&gt;="&amp;DATE(Einstellungen!$C$3,5,1),Erfassung!$A$6:$A$5005,"&lt;"&amp;DATE(Einstellungen!$C$3,6,1)))</f>
        <v/>
      </c>
      <c r="H127" s="54">
        <f>IF($B127="","",SUMIFS(Erfassung!$E$6:$E$5005,Erfassung!$B$6:$B$5005,$A127,Erfassung!$A$6:$A$5005,"&gt;="&amp;DATE(Einstellungen!$C$3,6,1),Erfassung!$A$6:$A$5005,"&lt;"&amp;DATE(Einstellungen!$C$3,7,1)))</f>
        <v/>
      </c>
      <c r="I127" s="54">
        <f>IF($B127="","",SUMIFS(Erfassung!$E$6:$E$5005,Erfassung!$B$6:$B$5005,$A127,Erfassung!$A$6:$A$5005,"&gt;="&amp;DATE(Einstellungen!$C$3,7,1),Erfassung!$A$6:$A$5005,"&lt;"&amp;DATE(Einstellungen!$C$3,8,1)))</f>
        <v/>
      </c>
      <c r="J127" s="54">
        <f>IF($B127="","",SUMIFS(Erfassung!$E$6:$E$5005,Erfassung!$B$6:$B$5005,$A127,Erfassung!$A$6:$A$5005,"&gt;="&amp;DATE(Einstellungen!$C$3,8,1),Erfassung!$A$6:$A$5005,"&lt;"&amp;DATE(Einstellungen!$C$3,9,1)))</f>
        <v/>
      </c>
      <c r="K127" s="54">
        <f>IF($B127="","",SUMIFS(Erfassung!$E$6:$E$5005,Erfassung!$B$6:$B$5005,$A127,Erfassung!$A$6:$A$5005,"&gt;="&amp;DATE(Einstellungen!$C$3,9,1),Erfassung!$A$6:$A$5005,"&lt;"&amp;DATE(Einstellungen!$C$3,10,1)))</f>
        <v/>
      </c>
      <c r="L127" s="54">
        <f>IF($B127="","",SUMIFS(Erfassung!$E$6:$E$5005,Erfassung!$B$6:$B$5005,$A127,Erfassung!$A$6:$A$5005,"&gt;="&amp;DATE(Einstellungen!$C$3,10,1),Erfassung!$A$6:$A$5005,"&lt;"&amp;DATE(Einstellungen!$C$3,11,1)))</f>
        <v/>
      </c>
      <c r="M127" s="54">
        <f>IF($B127="","",SUMIFS(Erfassung!$E$6:$E$5005,Erfassung!$B$6:$B$5005,$A127,Erfassung!$A$6:$A$5005,"&gt;="&amp;DATE(Einstellungen!$C$3,11,1),Erfassung!$A$6:$A$5005,"&lt;"&amp;DATE(Einstellungen!$C$3,12,1)))</f>
        <v/>
      </c>
      <c r="N127" s="54">
        <f>IF($B127="","",SUMIFS(Erfassung!$E$6:$E$5005,Erfassung!$B$6:$B$5005,$A127,Erfassung!$A$6:$A$5005,"&gt;="&amp;DATE(Einstellungen!$C$3,12,1),Erfassung!$A$6:$A$5005,"&lt;"&amp;DATE(Einstellungen!$C$3,13,1)))</f>
        <v/>
      </c>
      <c r="O127" s="45">
        <f>IF($B127="","",SUM(C127:N127))</f>
        <v/>
      </c>
      <c r="P127" s="54">
        <f>IF($B127="","",SUMIFS(Erfassung!$G$6:$G$5005,Erfassung!$B$6:$B$5005,$A127,Erfassung!$A$6:$A$5005,"&gt;="&amp;DATE(Einstellungen!$C$3,1,1),Erfassung!$A$6:$A$5005,"&lt;"&amp;DATE(Einstellungen!$C$3,2,1)))</f>
        <v/>
      </c>
      <c r="Q127" s="54">
        <f>IF($B127="","",SUMIFS(Erfassung!$G$6:$G$5005,Erfassung!$B$6:$B$5005,$A127,Erfassung!$A$6:$A$5005,"&gt;="&amp;DATE(Einstellungen!$C$3,2,1),Erfassung!$A$6:$A$5005,"&lt;"&amp;DATE(Einstellungen!$C$3,3,1)))</f>
        <v/>
      </c>
      <c r="R127" s="54">
        <f>IF($B127="","",SUMIFS(Erfassung!$G$6:$G$5005,Erfassung!$B$6:$B$5005,$A127,Erfassung!$A$6:$A$5005,"&gt;="&amp;DATE(Einstellungen!$C$3,3,1),Erfassung!$A$6:$A$5005,"&lt;"&amp;DATE(Einstellungen!$C$3,4,1)))</f>
        <v/>
      </c>
      <c r="S127" s="54">
        <f>IF($B127="","",SUMIFS(Erfassung!$G$6:$G$5005,Erfassung!$B$6:$B$5005,$A127,Erfassung!$A$6:$A$5005,"&gt;="&amp;DATE(Einstellungen!$C$3,4,1),Erfassung!$A$6:$A$5005,"&lt;"&amp;DATE(Einstellungen!$C$3,5,1)))</f>
        <v/>
      </c>
      <c r="T127" s="54">
        <f>IF($B127="","",SUMIFS(Erfassung!$G$6:$G$5005,Erfassung!$B$6:$B$5005,$A127,Erfassung!$A$6:$A$5005,"&gt;="&amp;DATE(Einstellungen!$C$3,5,1),Erfassung!$A$6:$A$5005,"&lt;"&amp;DATE(Einstellungen!$C$3,6,1)))</f>
        <v/>
      </c>
      <c r="U127" s="54">
        <f>IF($B127="","",SUMIFS(Erfassung!$G$6:$G$5005,Erfassung!$B$6:$B$5005,$A127,Erfassung!$A$6:$A$5005,"&gt;="&amp;DATE(Einstellungen!$C$3,6,1),Erfassung!$A$6:$A$5005,"&lt;"&amp;DATE(Einstellungen!$C$3,7,1)))</f>
        <v/>
      </c>
      <c r="V127" s="54">
        <f>IF($B127="","",SUMIFS(Erfassung!$G$6:$G$5005,Erfassung!$B$6:$B$5005,$A127,Erfassung!$A$6:$A$5005,"&gt;="&amp;DATE(Einstellungen!$C$3,7,1),Erfassung!$A$6:$A$5005,"&lt;"&amp;DATE(Einstellungen!$C$3,8,1)))</f>
        <v/>
      </c>
      <c r="W127" s="54">
        <f>IF($B127="","",SUMIFS(Erfassung!$G$6:$G$5005,Erfassung!$B$6:$B$5005,$A127,Erfassung!$A$6:$A$5005,"&gt;="&amp;DATE(Einstellungen!$C$3,8,1),Erfassung!$A$6:$A$5005,"&lt;"&amp;DATE(Einstellungen!$C$3,9,1)))</f>
        <v/>
      </c>
      <c r="X127" s="54">
        <f>IF($B127="","",SUMIFS(Erfassung!$G$6:$G$5005,Erfassung!$B$6:$B$5005,$A127,Erfassung!$A$6:$A$5005,"&gt;="&amp;DATE(Einstellungen!$C$3,9,1),Erfassung!$A$6:$A$5005,"&lt;"&amp;DATE(Einstellungen!$C$3,10,1)))</f>
        <v/>
      </c>
      <c r="Y127" s="54">
        <f>IF($B127="","",SUMIFS(Erfassung!$G$6:$G$5005,Erfassung!$B$6:$B$5005,$A127,Erfassung!$A$6:$A$5005,"&gt;="&amp;DATE(Einstellungen!$C$3,10,1),Erfassung!$A$6:$A$5005,"&lt;"&amp;DATE(Einstellungen!$C$3,11,1)))</f>
        <v/>
      </c>
      <c r="Z127" s="54">
        <f>IF($B127="","",SUMIFS(Erfassung!$G$6:$G$5005,Erfassung!$B$6:$B$5005,$A127,Erfassung!$A$6:$A$5005,"&gt;="&amp;DATE(Einstellungen!$C$3,11,1),Erfassung!$A$6:$A$5005,"&lt;"&amp;DATE(Einstellungen!$C$3,12,1)))</f>
        <v/>
      </c>
      <c r="AA127" s="54">
        <f>IF($B127="","",SUMIFS(Erfassung!$G$6:$G$5005,Erfassung!$B$6:$B$5005,$A127,Erfassung!$A$6:$A$5005,"&gt;="&amp;DATE(Einstellungen!$C$3,12,1),Erfassung!$A$6:$A$5005,"&lt;"&amp;DATE(Einstellungen!$C$3,13,1)))</f>
        <v/>
      </c>
      <c r="AB127" s="45">
        <f>IF($B127="","",SUM(P127:AA127))</f>
        <v/>
      </c>
      <c r="AC127" s="38">
        <f>IF($B127="","",IF(O127+AB127&gt;0,AB127/(O127+AB127),""))</f>
        <v/>
      </c>
    </row>
    <row r="128">
      <c r="A128" s="56">
        <f>'KQuote Mitarbeiter'!A128</f>
        <v/>
      </c>
      <c r="B128" s="57">
        <f>'KQuote Mitarbeiter'!B128</f>
        <v/>
      </c>
      <c r="C128" s="54">
        <f>IF($B128="","",SUMIFS(Erfassung!$E$6:$E$5005,Erfassung!$B$6:$B$5005,$A128,Erfassung!$A$6:$A$5005,"&gt;="&amp;DATE(Einstellungen!$C$3,1,1),Erfassung!$A$6:$A$5005,"&lt;"&amp;DATE(Einstellungen!$C$3,2,1)))</f>
        <v/>
      </c>
      <c r="D128" s="54">
        <f>IF($B128="","",SUMIFS(Erfassung!$E$6:$E$5005,Erfassung!$B$6:$B$5005,$A128,Erfassung!$A$6:$A$5005,"&gt;="&amp;DATE(Einstellungen!$C$3,2,1),Erfassung!$A$6:$A$5005,"&lt;"&amp;DATE(Einstellungen!$C$3,3,1)))</f>
        <v/>
      </c>
      <c r="E128" s="54">
        <f>IF($B128="","",SUMIFS(Erfassung!$E$6:$E$5005,Erfassung!$B$6:$B$5005,$A128,Erfassung!$A$6:$A$5005,"&gt;="&amp;DATE(Einstellungen!$C$3,3,1),Erfassung!$A$6:$A$5005,"&lt;"&amp;DATE(Einstellungen!$C$3,4,1)))</f>
        <v/>
      </c>
      <c r="F128" s="54">
        <f>IF($B128="","",SUMIFS(Erfassung!$E$6:$E$5005,Erfassung!$B$6:$B$5005,$A128,Erfassung!$A$6:$A$5005,"&gt;="&amp;DATE(Einstellungen!$C$3,4,1),Erfassung!$A$6:$A$5005,"&lt;"&amp;DATE(Einstellungen!$C$3,5,1)))</f>
        <v/>
      </c>
      <c r="G128" s="54">
        <f>IF($B128="","",SUMIFS(Erfassung!$E$6:$E$5005,Erfassung!$B$6:$B$5005,$A128,Erfassung!$A$6:$A$5005,"&gt;="&amp;DATE(Einstellungen!$C$3,5,1),Erfassung!$A$6:$A$5005,"&lt;"&amp;DATE(Einstellungen!$C$3,6,1)))</f>
        <v/>
      </c>
      <c r="H128" s="54">
        <f>IF($B128="","",SUMIFS(Erfassung!$E$6:$E$5005,Erfassung!$B$6:$B$5005,$A128,Erfassung!$A$6:$A$5005,"&gt;="&amp;DATE(Einstellungen!$C$3,6,1),Erfassung!$A$6:$A$5005,"&lt;"&amp;DATE(Einstellungen!$C$3,7,1)))</f>
        <v/>
      </c>
      <c r="I128" s="54">
        <f>IF($B128="","",SUMIFS(Erfassung!$E$6:$E$5005,Erfassung!$B$6:$B$5005,$A128,Erfassung!$A$6:$A$5005,"&gt;="&amp;DATE(Einstellungen!$C$3,7,1),Erfassung!$A$6:$A$5005,"&lt;"&amp;DATE(Einstellungen!$C$3,8,1)))</f>
        <v/>
      </c>
      <c r="J128" s="54">
        <f>IF($B128="","",SUMIFS(Erfassung!$E$6:$E$5005,Erfassung!$B$6:$B$5005,$A128,Erfassung!$A$6:$A$5005,"&gt;="&amp;DATE(Einstellungen!$C$3,8,1),Erfassung!$A$6:$A$5005,"&lt;"&amp;DATE(Einstellungen!$C$3,9,1)))</f>
        <v/>
      </c>
      <c r="K128" s="54">
        <f>IF($B128="","",SUMIFS(Erfassung!$E$6:$E$5005,Erfassung!$B$6:$B$5005,$A128,Erfassung!$A$6:$A$5005,"&gt;="&amp;DATE(Einstellungen!$C$3,9,1),Erfassung!$A$6:$A$5005,"&lt;"&amp;DATE(Einstellungen!$C$3,10,1)))</f>
        <v/>
      </c>
      <c r="L128" s="54">
        <f>IF($B128="","",SUMIFS(Erfassung!$E$6:$E$5005,Erfassung!$B$6:$B$5005,$A128,Erfassung!$A$6:$A$5005,"&gt;="&amp;DATE(Einstellungen!$C$3,10,1),Erfassung!$A$6:$A$5005,"&lt;"&amp;DATE(Einstellungen!$C$3,11,1)))</f>
        <v/>
      </c>
      <c r="M128" s="54">
        <f>IF($B128="","",SUMIFS(Erfassung!$E$6:$E$5005,Erfassung!$B$6:$B$5005,$A128,Erfassung!$A$6:$A$5005,"&gt;="&amp;DATE(Einstellungen!$C$3,11,1),Erfassung!$A$6:$A$5005,"&lt;"&amp;DATE(Einstellungen!$C$3,12,1)))</f>
        <v/>
      </c>
      <c r="N128" s="54">
        <f>IF($B128="","",SUMIFS(Erfassung!$E$6:$E$5005,Erfassung!$B$6:$B$5005,$A128,Erfassung!$A$6:$A$5005,"&gt;="&amp;DATE(Einstellungen!$C$3,12,1),Erfassung!$A$6:$A$5005,"&lt;"&amp;DATE(Einstellungen!$C$3,13,1)))</f>
        <v/>
      </c>
      <c r="O128" s="45">
        <f>IF($B128="","",SUM(C128:N128))</f>
        <v/>
      </c>
      <c r="P128" s="54">
        <f>IF($B128="","",SUMIFS(Erfassung!$G$6:$G$5005,Erfassung!$B$6:$B$5005,$A128,Erfassung!$A$6:$A$5005,"&gt;="&amp;DATE(Einstellungen!$C$3,1,1),Erfassung!$A$6:$A$5005,"&lt;"&amp;DATE(Einstellungen!$C$3,2,1)))</f>
        <v/>
      </c>
      <c r="Q128" s="54">
        <f>IF($B128="","",SUMIFS(Erfassung!$G$6:$G$5005,Erfassung!$B$6:$B$5005,$A128,Erfassung!$A$6:$A$5005,"&gt;="&amp;DATE(Einstellungen!$C$3,2,1),Erfassung!$A$6:$A$5005,"&lt;"&amp;DATE(Einstellungen!$C$3,3,1)))</f>
        <v/>
      </c>
      <c r="R128" s="54">
        <f>IF($B128="","",SUMIFS(Erfassung!$G$6:$G$5005,Erfassung!$B$6:$B$5005,$A128,Erfassung!$A$6:$A$5005,"&gt;="&amp;DATE(Einstellungen!$C$3,3,1),Erfassung!$A$6:$A$5005,"&lt;"&amp;DATE(Einstellungen!$C$3,4,1)))</f>
        <v/>
      </c>
      <c r="S128" s="54">
        <f>IF($B128="","",SUMIFS(Erfassung!$G$6:$G$5005,Erfassung!$B$6:$B$5005,$A128,Erfassung!$A$6:$A$5005,"&gt;="&amp;DATE(Einstellungen!$C$3,4,1),Erfassung!$A$6:$A$5005,"&lt;"&amp;DATE(Einstellungen!$C$3,5,1)))</f>
        <v/>
      </c>
      <c r="T128" s="54">
        <f>IF($B128="","",SUMIFS(Erfassung!$G$6:$G$5005,Erfassung!$B$6:$B$5005,$A128,Erfassung!$A$6:$A$5005,"&gt;="&amp;DATE(Einstellungen!$C$3,5,1),Erfassung!$A$6:$A$5005,"&lt;"&amp;DATE(Einstellungen!$C$3,6,1)))</f>
        <v/>
      </c>
      <c r="U128" s="54">
        <f>IF($B128="","",SUMIFS(Erfassung!$G$6:$G$5005,Erfassung!$B$6:$B$5005,$A128,Erfassung!$A$6:$A$5005,"&gt;="&amp;DATE(Einstellungen!$C$3,6,1),Erfassung!$A$6:$A$5005,"&lt;"&amp;DATE(Einstellungen!$C$3,7,1)))</f>
        <v/>
      </c>
      <c r="V128" s="54">
        <f>IF($B128="","",SUMIFS(Erfassung!$G$6:$G$5005,Erfassung!$B$6:$B$5005,$A128,Erfassung!$A$6:$A$5005,"&gt;="&amp;DATE(Einstellungen!$C$3,7,1),Erfassung!$A$6:$A$5005,"&lt;"&amp;DATE(Einstellungen!$C$3,8,1)))</f>
        <v/>
      </c>
      <c r="W128" s="54">
        <f>IF($B128="","",SUMIFS(Erfassung!$G$6:$G$5005,Erfassung!$B$6:$B$5005,$A128,Erfassung!$A$6:$A$5005,"&gt;="&amp;DATE(Einstellungen!$C$3,8,1),Erfassung!$A$6:$A$5005,"&lt;"&amp;DATE(Einstellungen!$C$3,9,1)))</f>
        <v/>
      </c>
      <c r="X128" s="54">
        <f>IF($B128="","",SUMIFS(Erfassung!$G$6:$G$5005,Erfassung!$B$6:$B$5005,$A128,Erfassung!$A$6:$A$5005,"&gt;="&amp;DATE(Einstellungen!$C$3,9,1),Erfassung!$A$6:$A$5005,"&lt;"&amp;DATE(Einstellungen!$C$3,10,1)))</f>
        <v/>
      </c>
      <c r="Y128" s="54">
        <f>IF($B128="","",SUMIFS(Erfassung!$G$6:$G$5005,Erfassung!$B$6:$B$5005,$A128,Erfassung!$A$6:$A$5005,"&gt;="&amp;DATE(Einstellungen!$C$3,10,1),Erfassung!$A$6:$A$5005,"&lt;"&amp;DATE(Einstellungen!$C$3,11,1)))</f>
        <v/>
      </c>
      <c r="Z128" s="54">
        <f>IF($B128="","",SUMIFS(Erfassung!$G$6:$G$5005,Erfassung!$B$6:$B$5005,$A128,Erfassung!$A$6:$A$5005,"&gt;="&amp;DATE(Einstellungen!$C$3,11,1),Erfassung!$A$6:$A$5005,"&lt;"&amp;DATE(Einstellungen!$C$3,12,1)))</f>
        <v/>
      </c>
      <c r="AA128" s="54">
        <f>IF($B128="","",SUMIFS(Erfassung!$G$6:$G$5005,Erfassung!$B$6:$B$5005,$A128,Erfassung!$A$6:$A$5005,"&gt;="&amp;DATE(Einstellungen!$C$3,12,1),Erfassung!$A$6:$A$5005,"&lt;"&amp;DATE(Einstellungen!$C$3,13,1)))</f>
        <v/>
      </c>
      <c r="AB128" s="45">
        <f>IF($B128="","",SUM(P128:AA128))</f>
        <v/>
      </c>
      <c r="AC128" s="38">
        <f>IF($B128="","",IF(O128+AB128&gt;0,AB128/(O128+AB128),""))</f>
        <v/>
      </c>
    </row>
    <row r="129">
      <c r="A129" s="56">
        <f>'KQuote Mitarbeiter'!A129</f>
        <v/>
      </c>
      <c r="B129" s="57">
        <f>'KQuote Mitarbeiter'!B129</f>
        <v/>
      </c>
      <c r="C129" s="54">
        <f>IF($B129="","",SUMIFS(Erfassung!$E$6:$E$5005,Erfassung!$B$6:$B$5005,$A129,Erfassung!$A$6:$A$5005,"&gt;="&amp;DATE(Einstellungen!$C$3,1,1),Erfassung!$A$6:$A$5005,"&lt;"&amp;DATE(Einstellungen!$C$3,2,1)))</f>
        <v/>
      </c>
      <c r="D129" s="54">
        <f>IF($B129="","",SUMIFS(Erfassung!$E$6:$E$5005,Erfassung!$B$6:$B$5005,$A129,Erfassung!$A$6:$A$5005,"&gt;="&amp;DATE(Einstellungen!$C$3,2,1),Erfassung!$A$6:$A$5005,"&lt;"&amp;DATE(Einstellungen!$C$3,3,1)))</f>
        <v/>
      </c>
      <c r="E129" s="54">
        <f>IF($B129="","",SUMIFS(Erfassung!$E$6:$E$5005,Erfassung!$B$6:$B$5005,$A129,Erfassung!$A$6:$A$5005,"&gt;="&amp;DATE(Einstellungen!$C$3,3,1),Erfassung!$A$6:$A$5005,"&lt;"&amp;DATE(Einstellungen!$C$3,4,1)))</f>
        <v/>
      </c>
      <c r="F129" s="54">
        <f>IF($B129="","",SUMIFS(Erfassung!$E$6:$E$5005,Erfassung!$B$6:$B$5005,$A129,Erfassung!$A$6:$A$5005,"&gt;="&amp;DATE(Einstellungen!$C$3,4,1),Erfassung!$A$6:$A$5005,"&lt;"&amp;DATE(Einstellungen!$C$3,5,1)))</f>
        <v/>
      </c>
      <c r="G129" s="54">
        <f>IF($B129="","",SUMIFS(Erfassung!$E$6:$E$5005,Erfassung!$B$6:$B$5005,$A129,Erfassung!$A$6:$A$5005,"&gt;="&amp;DATE(Einstellungen!$C$3,5,1),Erfassung!$A$6:$A$5005,"&lt;"&amp;DATE(Einstellungen!$C$3,6,1)))</f>
        <v/>
      </c>
      <c r="H129" s="54">
        <f>IF($B129="","",SUMIFS(Erfassung!$E$6:$E$5005,Erfassung!$B$6:$B$5005,$A129,Erfassung!$A$6:$A$5005,"&gt;="&amp;DATE(Einstellungen!$C$3,6,1),Erfassung!$A$6:$A$5005,"&lt;"&amp;DATE(Einstellungen!$C$3,7,1)))</f>
        <v/>
      </c>
      <c r="I129" s="54">
        <f>IF($B129="","",SUMIFS(Erfassung!$E$6:$E$5005,Erfassung!$B$6:$B$5005,$A129,Erfassung!$A$6:$A$5005,"&gt;="&amp;DATE(Einstellungen!$C$3,7,1),Erfassung!$A$6:$A$5005,"&lt;"&amp;DATE(Einstellungen!$C$3,8,1)))</f>
        <v/>
      </c>
      <c r="J129" s="54">
        <f>IF($B129="","",SUMIFS(Erfassung!$E$6:$E$5005,Erfassung!$B$6:$B$5005,$A129,Erfassung!$A$6:$A$5005,"&gt;="&amp;DATE(Einstellungen!$C$3,8,1),Erfassung!$A$6:$A$5005,"&lt;"&amp;DATE(Einstellungen!$C$3,9,1)))</f>
        <v/>
      </c>
      <c r="K129" s="54">
        <f>IF($B129="","",SUMIFS(Erfassung!$E$6:$E$5005,Erfassung!$B$6:$B$5005,$A129,Erfassung!$A$6:$A$5005,"&gt;="&amp;DATE(Einstellungen!$C$3,9,1),Erfassung!$A$6:$A$5005,"&lt;"&amp;DATE(Einstellungen!$C$3,10,1)))</f>
        <v/>
      </c>
      <c r="L129" s="54">
        <f>IF($B129="","",SUMIFS(Erfassung!$E$6:$E$5005,Erfassung!$B$6:$B$5005,$A129,Erfassung!$A$6:$A$5005,"&gt;="&amp;DATE(Einstellungen!$C$3,10,1),Erfassung!$A$6:$A$5005,"&lt;"&amp;DATE(Einstellungen!$C$3,11,1)))</f>
        <v/>
      </c>
      <c r="M129" s="54">
        <f>IF($B129="","",SUMIFS(Erfassung!$E$6:$E$5005,Erfassung!$B$6:$B$5005,$A129,Erfassung!$A$6:$A$5005,"&gt;="&amp;DATE(Einstellungen!$C$3,11,1),Erfassung!$A$6:$A$5005,"&lt;"&amp;DATE(Einstellungen!$C$3,12,1)))</f>
        <v/>
      </c>
      <c r="N129" s="54">
        <f>IF($B129="","",SUMIFS(Erfassung!$E$6:$E$5005,Erfassung!$B$6:$B$5005,$A129,Erfassung!$A$6:$A$5005,"&gt;="&amp;DATE(Einstellungen!$C$3,12,1),Erfassung!$A$6:$A$5005,"&lt;"&amp;DATE(Einstellungen!$C$3,13,1)))</f>
        <v/>
      </c>
      <c r="O129" s="45">
        <f>IF($B129="","",SUM(C129:N129))</f>
        <v/>
      </c>
      <c r="P129" s="54">
        <f>IF($B129="","",SUMIFS(Erfassung!$G$6:$G$5005,Erfassung!$B$6:$B$5005,$A129,Erfassung!$A$6:$A$5005,"&gt;="&amp;DATE(Einstellungen!$C$3,1,1),Erfassung!$A$6:$A$5005,"&lt;"&amp;DATE(Einstellungen!$C$3,2,1)))</f>
        <v/>
      </c>
      <c r="Q129" s="54">
        <f>IF($B129="","",SUMIFS(Erfassung!$G$6:$G$5005,Erfassung!$B$6:$B$5005,$A129,Erfassung!$A$6:$A$5005,"&gt;="&amp;DATE(Einstellungen!$C$3,2,1),Erfassung!$A$6:$A$5005,"&lt;"&amp;DATE(Einstellungen!$C$3,3,1)))</f>
        <v/>
      </c>
      <c r="R129" s="54">
        <f>IF($B129="","",SUMIFS(Erfassung!$G$6:$G$5005,Erfassung!$B$6:$B$5005,$A129,Erfassung!$A$6:$A$5005,"&gt;="&amp;DATE(Einstellungen!$C$3,3,1),Erfassung!$A$6:$A$5005,"&lt;"&amp;DATE(Einstellungen!$C$3,4,1)))</f>
        <v/>
      </c>
      <c r="S129" s="54">
        <f>IF($B129="","",SUMIFS(Erfassung!$G$6:$G$5005,Erfassung!$B$6:$B$5005,$A129,Erfassung!$A$6:$A$5005,"&gt;="&amp;DATE(Einstellungen!$C$3,4,1),Erfassung!$A$6:$A$5005,"&lt;"&amp;DATE(Einstellungen!$C$3,5,1)))</f>
        <v/>
      </c>
      <c r="T129" s="54">
        <f>IF($B129="","",SUMIFS(Erfassung!$G$6:$G$5005,Erfassung!$B$6:$B$5005,$A129,Erfassung!$A$6:$A$5005,"&gt;="&amp;DATE(Einstellungen!$C$3,5,1),Erfassung!$A$6:$A$5005,"&lt;"&amp;DATE(Einstellungen!$C$3,6,1)))</f>
        <v/>
      </c>
      <c r="U129" s="54">
        <f>IF($B129="","",SUMIFS(Erfassung!$G$6:$G$5005,Erfassung!$B$6:$B$5005,$A129,Erfassung!$A$6:$A$5005,"&gt;="&amp;DATE(Einstellungen!$C$3,6,1),Erfassung!$A$6:$A$5005,"&lt;"&amp;DATE(Einstellungen!$C$3,7,1)))</f>
        <v/>
      </c>
      <c r="V129" s="54">
        <f>IF($B129="","",SUMIFS(Erfassung!$G$6:$G$5005,Erfassung!$B$6:$B$5005,$A129,Erfassung!$A$6:$A$5005,"&gt;="&amp;DATE(Einstellungen!$C$3,7,1),Erfassung!$A$6:$A$5005,"&lt;"&amp;DATE(Einstellungen!$C$3,8,1)))</f>
        <v/>
      </c>
      <c r="W129" s="54">
        <f>IF($B129="","",SUMIFS(Erfassung!$G$6:$G$5005,Erfassung!$B$6:$B$5005,$A129,Erfassung!$A$6:$A$5005,"&gt;="&amp;DATE(Einstellungen!$C$3,8,1),Erfassung!$A$6:$A$5005,"&lt;"&amp;DATE(Einstellungen!$C$3,9,1)))</f>
        <v/>
      </c>
      <c r="X129" s="54">
        <f>IF($B129="","",SUMIFS(Erfassung!$G$6:$G$5005,Erfassung!$B$6:$B$5005,$A129,Erfassung!$A$6:$A$5005,"&gt;="&amp;DATE(Einstellungen!$C$3,9,1),Erfassung!$A$6:$A$5005,"&lt;"&amp;DATE(Einstellungen!$C$3,10,1)))</f>
        <v/>
      </c>
      <c r="Y129" s="54">
        <f>IF($B129="","",SUMIFS(Erfassung!$G$6:$G$5005,Erfassung!$B$6:$B$5005,$A129,Erfassung!$A$6:$A$5005,"&gt;="&amp;DATE(Einstellungen!$C$3,10,1),Erfassung!$A$6:$A$5005,"&lt;"&amp;DATE(Einstellungen!$C$3,11,1)))</f>
        <v/>
      </c>
      <c r="Z129" s="54">
        <f>IF($B129="","",SUMIFS(Erfassung!$G$6:$G$5005,Erfassung!$B$6:$B$5005,$A129,Erfassung!$A$6:$A$5005,"&gt;="&amp;DATE(Einstellungen!$C$3,11,1),Erfassung!$A$6:$A$5005,"&lt;"&amp;DATE(Einstellungen!$C$3,12,1)))</f>
        <v/>
      </c>
      <c r="AA129" s="54">
        <f>IF($B129="","",SUMIFS(Erfassung!$G$6:$G$5005,Erfassung!$B$6:$B$5005,$A129,Erfassung!$A$6:$A$5005,"&gt;="&amp;DATE(Einstellungen!$C$3,12,1),Erfassung!$A$6:$A$5005,"&lt;"&amp;DATE(Einstellungen!$C$3,13,1)))</f>
        <v/>
      </c>
      <c r="AB129" s="45">
        <f>IF($B129="","",SUM(P129:AA129))</f>
        <v/>
      </c>
      <c r="AC129" s="38">
        <f>IF($B129="","",IF(O129+AB129&gt;0,AB129/(O129+AB129),""))</f>
        <v/>
      </c>
    </row>
    <row r="130">
      <c r="A130" s="56">
        <f>'KQuote Mitarbeiter'!A130</f>
        <v/>
      </c>
      <c r="B130" s="57">
        <f>'KQuote Mitarbeiter'!B130</f>
        <v/>
      </c>
      <c r="C130" s="54">
        <f>IF($B130="","",SUMIFS(Erfassung!$E$6:$E$5005,Erfassung!$B$6:$B$5005,$A130,Erfassung!$A$6:$A$5005,"&gt;="&amp;DATE(Einstellungen!$C$3,1,1),Erfassung!$A$6:$A$5005,"&lt;"&amp;DATE(Einstellungen!$C$3,2,1)))</f>
        <v/>
      </c>
      <c r="D130" s="54">
        <f>IF($B130="","",SUMIFS(Erfassung!$E$6:$E$5005,Erfassung!$B$6:$B$5005,$A130,Erfassung!$A$6:$A$5005,"&gt;="&amp;DATE(Einstellungen!$C$3,2,1),Erfassung!$A$6:$A$5005,"&lt;"&amp;DATE(Einstellungen!$C$3,3,1)))</f>
        <v/>
      </c>
      <c r="E130" s="54">
        <f>IF($B130="","",SUMIFS(Erfassung!$E$6:$E$5005,Erfassung!$B$6:$B$5005,$A130,Erfassung!$A$6:$A$5005,"&gt;="&amp;DATE(Einstellungen!$C$3,3,1),Erfassung!$A$6:$A$5005,"&lt;"&amp;DATE(Einstellungen!$C$3,4,1)))</f>
        <v/>
      </c>
      <c r="F130" s="54">
        <f>IF($B130="","",SUMIFS(Erfassung!$E$6:$E$5005,Erfassung!$B$6:$B$5005,$A130,Erfassung!$A$6:$A$5005,"&gt;="&amp;DATE(Einstellungen!$C$3,4,1),Erfassung!$A$6:$A$5005,"&lt;"&amp;DATE(Einstellungen!$C$3,5,1)))</f>
        <v/>
      </c>
      <c r="G130" s="54">
        <f>IF($B130="","",SUMIFS(Erfassung!$E$6:$E$5005,Erfassung!$B$6:$B$5005,$A130,Erfassung!$A$6:$A$5005,"&gt;="&amp;DATE(Einstellungen!$C$3,5,1),Erfassung!$A$6:$A$5005,"&lt;"&amp;DATE(Einstellungen!$C$3,6,1)))</f>
        <v/>
      </c>
      <c r="H130" s="54">
        <f>IF($B130="","",SUMIFS(Erfassung!$E$6:$E$5005,Erfassung!$B$6:$B$5005,$A130,Erfassung!$A$6:$A$5005,"&gt;="&amp;DATE(Einstellungen!$C$3,6,1),Erfassung!$A$6:$A$5005,"&lt;"&amp;DATE(Einstellungen!$C$3,7,1)))</f>
        <v/>
      </c>
      <c r="I130" s="54">
        <f>IF($B130="","",SUMIFS(Erfassung!$E$6:$E$5005,Erfassung!$B$6:$B$5005,$A130,Erfassung!$A$6:$A$5005,"&gt;="&amp;DATE(Einstellungen!$C$3,7,1),Erfassung!$A$6:$A$5005,"&lt;"&amp;DATE(Einstellungen!$C$3,8,1)))</f>
        <v/>
      </c>
      <c r="J130" s="54">
        <f>IF($B130="","",SUMIFS(Erfassung!$E$6:$E$5005,Erfassung!$B$6:$B$5005,$A130,Erfassung!$A$6:$A$5005,"&gt;="&amp;DATE(Einstellungen!$C$3,8,1),Erfassung!$A$6:$A$5005,"&lt;"&amp;DATE(Einstellungen!$C$3,9,1)))</f>
        <v/>
      </c>
      <c r="K130" s="54">
        <f>IF($B130="","",SUMIFS(Erfassung!$E$6:$E$5005,Erfassung!$B$6:$B$5005,$A130,Erfassung!$A$6:$A$5005,"&gt;="&amp;DATE(Einstellungen!$C$3,9,1),Erfassung!$A$6:$A$5005,"&lt;"&amp;DATE(Einstellungen!$C$3,10,1)))</f>
        <v/>
      </c>
      <c r="L130" s="54">
        <f>IF($B130="","",SUMIFS(Erfassung!$E$6:$E$5005,Erfassung!$B$6:$B$5005,$A130,Erfassung!$A$6:$A$5005,"&gt;="&amp;DATE(Einstellungen!$C$3,10,1),Erfassung!$A$6:$A$5005,"&lt;"&amp;DATE(Einstellungen!$C$3,11,1)))</f>
        <v/>
      </c>
      <c r="M130" s="54">
        <f>IF($B130="","",SUMIFS(Erfassung!$E$6:$E$5005,Erfassung!$B$6:$B$5005,$A130,Erfassung!$A$6:$A$5005,"&gt;="&amp;DATE(Einstellungen!$C$3,11,1),Erfassung!$A$6:$A$5005,"&lt;"&amp;DATE(Einstellungen!$C$3,12,1)))</f>
        <v/>
      </c>
      <c r="N130" s="54">
        <f>IF($B130="","",SUMIFS(Erfassung!$E$6:$E$5005,Erfassung!$B$6:$B$5005,$A130,Erfassung!$A$6:$A$5005,"&gt;="&amp;DATE(Einstellungen!$C$3,12,1),Erfassung!$A$6:$A$5005,"&lt;"&amp;DATE(Einstellungen!$C$3,13,1)))</f>
        <v/>
      </c>
      <c r="O130" s="45">
        <f>IF($B130="","",SUM(C130:N130))</f>
        <v/>
      </c>
      <c r="P130" s="54">
        <f>IF($B130="","",SUMIFS(Erfassung!$G$6:$G$5005,Erfassung!$B$6:$B$5005,$A130,Erfassung!$A$6:$A$5005,"&gt;="&amp;DATE(Einstellungen!$C$3,1,1),Erfassung!$A$6:$A$5005,"&lt;"&amp;DATE(Einstellungen!$C$3,2,1)))</f>
        <v/>
      </c>
      <c r="Q130" s="54">
        <f>IF($B130="","",SUMIFS(Erfassung!$G$6:$G$5005,Erfassung!$B$6:$B$5005,$A130,Erfassung!$A$6:$A$5005,"&gt;="&amp;DATE(Einstellungen!$C$3,2,1),Erfassung!$A$6:$A$5005,"&lt;"&amp;DATE(Einstellungen!$C$3,3,1)))</f>
        <v/>
      </c>
      <c r="R130" s="54">
        <f>IF($B130="","",SUMIFS(Erfassung!$G$6:$G$5005,Erfassung!$B$6:$B$5005,$A130,Erfassung!$A$6:$A$5005,"&gt;="&amp;DATE(Einstellungen!$C$3,3,1),Erfassung!$A$6:$A$5005,"&lt;"&amp;DATE(Einstellungen!$C$3,4,1)))</f>
        <v/>
      </c>
      <c r="S130" s="54">
        <f>IF($B130="","",SUMIFS(Erfassung!$G$6:$G$5005,Erfassung!$B$6:$B$5005,$A130,Erfassung!$A$6:$A$5005,"&gt;="&amp;DATE(Einstellungen!$C$3,4,1),Erfassung!$A$6:$A$5005,"&lt;"&amp;DATE(Einstellungen!$C$3,5,1)))</f>
        <v/>
      </c>
      <c r="T130" s="54">
        <f>IF($B130="","",SUMIFS(Erfassung!$G$6:$G$5005,Erfassung!$B$6:$B$5005,$A130,Erfassung!$A$6:$A$5005,"&gt;="&amp;DATE(Einstellungen!$C$3,5,1),Erfassung!$A$6:$A$5005,"&lt;"&amp;DATE(Einstellungen!$C$3,6,1)))</f>
        <v/>
      </c>
      <c r="U130" s="54">
        <f>IF($B130="","",SUMIFS(Erfassung!$G$6:$G$5005,Erfassung!$B$6:$B$5005,$A130,Erfassung!$A$6:$A$5005,"&gt;="&amp;DATE(Einstellungen!$C$3,6,1),Erfassung!$A$6:$A$5005,"&lt;"&amp;DATE(Einstellungen!$C$3,7,1)))</f>
        <v/>
      </c>
      <c r="V130" s="54">
        <f>IF($B130="","",SUMIFS(Erfassung!$G$6:$G$5005,Erfassung!$B$6:$B$5005,$A130,Erfassung!$A$6:$A$5005,"&gt;="&amp;DATE(Einstellungen!$C$3,7,1),Erfassung!$A$6:$A$5005,"&lt;"&amp;DATE(Einstellungen!$C$3,8,1)))</f>
        <v/>
      </c>
      <c r="W130" s="54">
        <f>IF($B130="","",SUMIFS(Erfassung!$G$6:$G$5005,Erfassung!$B$6:$B$5005,$A130,Erfassung!$A$6:$A$5005,"&gt;="&amp;DATE(Einstellungen!$C$3,8,1),Erfassung!$A$6:$A$5005,"&lt;"&amp;DATE(Einstellungen!$C$3,9,1)))</f>
        <v/>
      </c>
      <c r="X130" s="54">
        <f>IF($B130="","",SUMIFS(Erfassung!$G$6:$G$5005,Erfassung!$B$6:$B$5005,$A130,Erfassung!$A$6:$A$5005,"&gt;="&amp;DATE(Einstellungen!$C$3,9,1),Erfassung!$A$6:$A$5005,"&lt;"&amp;DATE(Einstellungen!$C$3,10,1)))</f>
        <v/>
      </c>
      <c r="Y130" s="54">
        <f>IF($B130="","",SUMIFS(Erfassung!$G$6:$G$5005,Erfassung!$B$6:$B$5005,$A130,Erfassung!$A$6:$A$5005,"&gt;="&amp;DATE(Einstellungen!$C$3,10,1),Erfassung!$A$6:$A$5005,"&lt;"&amp;DATE(Einstellungen!$C$3,11,1)))</f>
        <v/>
      </c>
      <c r="Z130" s="54">
        <f>IF($B130="","",SUMIFS(Erfassung!$G$6:$G$5005,Erfassung!$B$6:$B$5005,$A130,Erfassung!$A$6:$A$5005,"&gt;="&amp;DATE(Einstellungen!$C$3,11,1),Erfassung!$A$6:$A$5005,"&lt;"&amp;DATE(Einstellungen!$C$3,12,1)))</f>
        <v/>
      </c>
      <c r="AA130" s="54">
        <f>IF($B130="","",SUMIFS(Erfassung!$G$6:$G$5005,Erfassung!$B$6:$B$5005,$A130,Erfassung!$A$6:$A$5005,"&gt;="&amp;DATE(Einstellungen!$C$3,12,1),Erfassung!$A$6:$A$5005,"&lt;"&amp;DATE(Einstellungen!$C$3,13,1)))</f>
        <v/>
      </c>
      <c r="AB130" s="45">
        <f>IF($B130="","",SUM(P130:AA130))</f>
        <v/>
      </c>
      <c r="AC130" s="38">
        <f>IF($B130="","",IF(O130+AB130&gt;0,AB130/(O130+AB130),""))</f>
        <v/>
      </c>
    </row>
    <row r="131">
      <c r="A131" s="56">
        <f>'KQuote Mitarbeiter'!A131</f>
        <v/>
      </c>
      <c r="B131" s="57">
        <f>'KQuote Mitarbeiter'!B131</f>
        <v/>
      </c>
      <c r="C131" s="54">
        <f>IF($B131="","",SUMIFS(Erfassung!$E$6:$E$5005,Erfassung!$B$6:$B$5005,$A131,Erfassung!$A$6:$A$5005,"&gt;="&amp;DATE(Einstellungen!$C$3,1,1),Erfassung!$A$6:$A$5005,"&lt;"&amp;DATE(Einstellungen!$C$3,2,1)))</f>
        <v/>
      </c>
      <c r="D131" s="54">
        <f>IF($B131="","",SUMIFS(Erfassung!$E$6:$E$5005,Erfassung!$B$6:$B$5005,$A131,Erfassung!$A$6:$A$5005,"&gt;="&amp;DATE(Einstellungen!$C$3,2,1),Erfassung!$A$6:$A$5005,"&lt;"&amp;DATE(Einstellungen!$C$3,3,1)))</f>
        <v/>
      </c>
      <c r="E131" s="54">
        <f>IF($B131="","",SUMIFS(Erfassung!$E$6:$E$5005,Erfassung!$B$6:$B$5005,$A131,Erfassung!$A$6:$A$5005,"&gt;="&amp;DATE(Einstellungen!$C$3,3,1),Erfassung!$A$6:$A$5005,"&lt;"&amp;DATE(Einstellungen!$C$3,4,1)))</f>
        <v/>
      </c>
      <c r="F131" s="54">
        <f>IF($B131="","",SUMIFS(Erfassung!$E$6:$E$5005,Erfassung!$B$6:$B$5005,$A131,Erfassung!$A$6:$A$5005,"&gt;="&amp;DATE(Einstellungen!$C$3,4,1),Erfassung!$A$6:$A$5005,"&lt;"&amp;DATE(Einstellungen!$C$3,5,1)))</f>
        <v/>
      </c>
      <c r="G131" s="54">
        <f>IF($B131="","",SUMIFS(Erfassung!$E$6:$E$5005,Erfassung!$B$6:$B$5005,$A131,Erfassung!$A$6:$A$5005,"&gt;="&amp;DATE(Einstellungen!$C$3,5,1),Erfassung!$A$6:$A$5005,"&lt;"&amp;DATE(Einstellungen!$C$3,6,1)))</f>
        <v/>
      </c>
      <c r="H131" s="54">
        <f>IF($B131="","",SUMIFS(Erfassung!$E$6:$E$5005,Erfassung!$B$6:$B$5005,$A131,Erfassung!$A$6:$A$5005,"&gt;="&amp;DATE(Einstellungen!$C$3,6,1),Erfassung!$A$6:$A$5005,"&lt;"&amp;DATE(Einstellungen!$C$3,7,1)))</f>
        <v/>
      </c>
      <c r="I131" s="54">
        <f>IF($B131="","",SUMIFS(Erfassung!$E$6:$E$5005,Erfassung!$B$6:$B$5005,$A131,Erfassung!$A$6:$A$5005,"&gt;="&amp;DATE(Einstellungen!$C$3,7,1),Erfassung!$A$6:$A$5005,"&lt;"&amp;DATE(Einstellungen!$C$3,8,1)))</f>
        <v/>
      </c>
      <c r="J131" s="54">
        <f>IF($B131="","",SUMIFS(Erfassung!$E$6:$E$5005,Erfassung!$B$6:$B$5005,$A131,Erfassung!$A$6:$A$5005,"&gt;="&amp;DATE(Einstellungen!$C$3,8,1),Erfassung!$A$6:$A$5005,"&lt;"&amp;DATE(Einstellungen!$C$3,9,1)))</f>
        <v/>
      </c>
      <c r="K131" s="54">
        <f>IF($B131="","",SUMIFS(Erfassung!$E$6:$E$5005,Erfassung!$B$6:$B$5005,$A131,Erfassung!$A$6:$A$5005,"&gt;="&amp;DATE(Einstellungen!$C$3,9,1),Erfassung!$A$6:$A$5005,"&lt;"&amp;DATE(Einstellungen!$C$3,10,1)))</f>
        <v/>
      </c>
      <c r="L131" s="54">
        <f>IF($B131="","",SUMIFS(Erfassung!$E$6:$E$5005,Erfassung!$B$6:$B$5005,$A131,Erfassung!$A$6:$A$5005,"&gt;="&amp;DATE(Einstellungen!$C$3,10,1),Erfassung!$A$6:$A$5005,"&lt;"&amp;DATE(Einstellungen!$C$3,11,1)))</f>
        <v/>
      </c>
      <c r="M131" s="54">
        <f>IF($B131="","",SUMIFS(Erfassung!$E$6:$E$5005,Erfassung!$B$6:$B$5005,$A131,Erfassung!$A$6:$A$5005,"&gt;="&amp;DATE(Einstellungen!$C$3,11,1),Erfassung!$A$6:$A$5005,"&lt;"&amp;DATE(Einstellungen!$C$3,12,1)))</f>
        <v/>
      </c>
      <c r="N131" s="54">
        <f>IF($B131="","",SUMIFS(Erfassung!$E$6:$E$5005,Erfassung!$B$6:$B$5005,$A131,Erfassung!$A$6:$A$5005,"&gt;="&amp;DATE(Einstellungen!$C$3,12,1),Erfassung!$A$6:$A$5005,"&lt;"&amp;DATE(Einstellungen!$C$3,13,1)))</f>
        <v/>
      </c>
      <c r="O131" s="45">
        <f>IF($B131="","",SUM(C131:N131))</f>
        <v/>
      </c>
      <c r="P131" s="54">
        <f>IF($B131="","",SUMIFS(Erfassung!$G$6:$G$5005,Erfassung!$B$6:$B$5005,$A131,Erfassung!$A$6:$A$5005,"&gt;="&amp;DATE(Einstellungen!$C$3,1,1),Erfassung!$A$6:$A$5005,"&lt;"&amp;DATE(Einstellungen!$C$3,2,1)))</f>
        <v/>
      </c>
      <c r="Q131" s="54">
        <f>IF($B131="","",SUMIFS(Erfassung!$G$6:$G$5005,Erfassung!$B$6:$B$5005,$A131,Erfassung!$A$6:$A$5005,"&gt;="&amp;DATE(Einstellungen!$C$3,2,1),Erfassung!$A$6:$A$5005,"&lt;"&amp;DATE(Einstellungen!$C$3,3,1)))</f>
        <v/>
      </c>
      <c r="R131" s="54">
        <f>IF($B131="","",SUMIFS(Erfassung!$G$6:$G$5005,Erfassung!$B$6:$B$5005,$A131,Erfassung!$A$6:$A$5005,"&gt;="&amp;DATE(Einstellungen!$C$3,3,1),Erfassung!$A$6:$A$5005,"&lt;"&amp;DATE(Einstellungen!$C$3,4,1)))</f>
        <v/>
      </c>
      <c r="S131" s="54">
        <f>IF($B131="","",SUMIFS(Erfassung!$G$6:$G$5005,Erfassung!$B$6:$B$5005,$A131,Erfassung!$A$6:$A$5005,"&gt;="&amp;DATE(Einstellungen!$C$3,4,1),Erfassung!$A$6:$A$5005,"&lt;"&amp;DATE(Einstellungen!$C$3,5,1)))</f>
        <v/>
      </c>
      <c r="T131" s="54">
        <f>IF($B131="","",SUMIFS(Erfassung!$G$6:$G$5005,Erfassung!$B$6:$B$5005,$A131,Erfassung!$A$6:$A$5005,"&gt;="&amp;DATE(Einstellungen!$C$3,5,1),Erfassung!$A$6:$A$5005,"&lt;"&amp;DATE(Einstellungen!$C$3,6,1)))</f>
        <v/>
      </c>
      <c r="U131" s="54">
        <f>IF($B131="","",SUMIFS(Erfassung!$G$6:$G$5005,Erfassung!$B$6:$B$5005,$A131,Erfassung!$A$6:$A$5005,"&gt;="&amp;DATE(Einstellungen!$C$3,6,1),Erfassung!$A$6:$A$5005,"&lt;"&amp;DATE(Einstellungen!$C$3,7,1)))</f>
        <v/>
      </c>
      <c r="V131" s="54">
        <f>IF($B131="","",SUMIFS(Erfassung!$G$6:$G$5005,Erfassung!$B$6:$B$5005,$A131,Erfassung!$A$6:$A$5005,"&gt;="&amp;DATE(Einstellungen!$C$3,7,1),Erfassung!$A$6:$A$5005,"&lt;"&amp;DATE(Einstellungen!$C$3,8,1)))</f>
        <v/>
      </c>
      <c r="W131" s="54">
        <f>IF($B131="","",SUMIFS(Erfassung!$G$6:$G$5005,Erfassung!$B$6:$B$5005,$A131,Erfassung!$A$6:$A$5005,"&gt;="&amp;DATE(Einstellungen!$C$3,8,1),Erfassung!$A$6:$A$5005,"&lt;"&amp;DATE(Einstellungen!$C$3,9,1)))</f>
        <v/>
      </c>
      <c r="X131" s="54">
        <f>IF($B131="","",SUMIFS(Erfassung!$G$6:$G$5005,Erfassung!$B$6:$B$5005,$A131,Erfassung!$A$6:$A$5005,"&gt;="&amp;DATE(Einstellungen!$C$3,9,1),Erfassung!$A$6:$A$5005,"&lt;"&amp;DATE(Einstellungen!$C$3,10,1)))</f>
        <v/>
      </c>
      <c r="Y131" s="54">
        <f>IF($B131="","",SUMIFS(Erfassung!$G$6:$G$5005,Erfassung!$B$6:$B$5005,$A131,Erfassung!$A$6:$A$5005,"&gt;="&amp;DATE(Einstellungen!$C$3,10,1),Erfassung!$A$6:$A$5005,"&lt;"&amp;DATE(Einstellungen!$C$3,11,1)))</f>
        <v/>
      </c>
      <c r="Z131" s="54">
        <f>IF($B131="","",SUMIFS(Erfassung!$G$6:$G$5005,Erfassung!$B$6:$B$5005,$A131,Erfassung!$A$6:$A$5005,"&gt;="&amp;DATE(Einstellungen!$C$3,11,1),Erfassung!$A$6:$A$5005,"&lt;"&amp;DATE(Einstellungen!$C$3,12,1)))</f>
        <v/>
      </c>
      <c r="AA131" s="54">
        <f>IF($B131="","",SUMIFS(Erfassung!$G$6:$G$5005,Erfassung!$B$6:$B$5005,$A131,Erfassung!$A$6:$A$5005,"&gt;="&amp;DATE(Einstellungen!$C$3,12,1),Erfassung!$A$6:$A$5005,"&lt;"&amp;DATE(Einstellungen!$C$3,13,1)))</f>
        <v/>
      </c>
      <c r="AB131" s="45">
        <f>IF($B131="","",SUM(P131:AA131))</f>
        <v/>
      </c>
      <c r="AC131" s="38">
        <f>IF($B131="","",IF(O131+AB131&gt;0,AB131/(O131+AB131),""))</f>
        <v/>
      </c>
    </row>
    <row r="132">
      <c r="A132" s="56">
        <f>'KQuote Mitarbeiter'!A132</f>
        <v/>
      </c>
      <c r="B132" s="57">
        <f>'KQuote Mitarbeiter'!B132</f>
        <v/>
      </c>
      <c r="C132" s="54">
        <f>IF($B132="","",SUMIFS(Erfassung!$E$6:$E$5005,Erfassung!$B$6:$B$5005,$A132,Erfassung!$A$6:$A$5005,"&gt;="&amp;DATE(Einstellungen!$C$3,1,1),Erfassung!$A$6:$A$5005,"&lt;"&amp;DATE(Einstellungen!$C$3,2,1)))</f>
        <v/>
      </c>
      <c r="D132" s="54">
        <f>IF($B132="","",SUMIFS(Erfassung!$E$6:$E$5005,Erfassung!$B$6:$B$5005,$A132,Erfassung!$A$6:$A$5005,"&gt;="&amp;DATE(Einstellungen!$C$3,2,1),Erfassung!$A$6:$A$5005,"&lt;"&amp;DATE(Einstellungen!$C$3,3,1)))</f>
        <v/>
      </c>
      <c r="E132" s="54">
        <f>IF($B132="","",SUMIFS(Erfassung!$E$6:$E$5005,Erfassung!$B$6:$B$5005,$A132,Erfassung!$A$6:$A$5005,"&gt;="&amp;DATE(Einstellungen!$C$3,3,1),Erfassung!$A$6:$A$5005,"&lt;"&amp;DATE(Einstellungen!$C$3,4,1)))</f>
        <v/>
      </c>
      <c r="F132" s="54">
        <f>IF($B132="","",SUMIFS(Erfassung!$E$6:$E$5005,Erfassung!$B$6:$B$5005,$A132,Erfassung!$A$6:$A$5005,"&gt;="&amp;DATE(Einstellungen!$C$3,4,1),Erfassung!$A$6:$A$5005,"&lt;"&amp;DATE(Einstellungen!$C$3,5,1)))</f>
        <v/>
      </c>
      <c r="G132" s="54">
        <f>IF($B132="","",SUMIFS(Erfassung!$E$6:$E$5005,Erfassung!$B$6:$B$5005,$A132,Erfassung!$A$6:$A$5005,"&gt;="&amp;DATE(Einstellungen!$C$3,5,1),Erfassung!$A$6:$A$5005,"&lt;"&amp;DATE(Einstellungen!$C$3,6,1)))</f>
        <v/>
      </c>
      <c r="H132" s="54">
        <f>IF($B132="","",SUMIFS(Erfassung!$E$6:$E$5005,Erfassung!$B$6:$B$5005,$A132,Erfassung!$A$6:$A$5005,"&gt;="&amp;DATE(Einstellungen!$C$3,6,1),Erfassung!$A$6:$A$5005,"&lt;"&amp;DATE(Einstellungen!$C$3,7,1)))</f>
        <v/>
      </c>
      <c r="I132" s="54">
        <f>IF($B132="","",SUMIFS(Erfassung!$E$6:$E$5005,Erfassung!$B$6:$B$5005,$A132,Erfassung!$A$6:$A$5005,"&gt;="&amp;DATE(Einstellungen!$C$3,7,1),Erfassung!$A$6:$A$5005,"&lt;"&amp;DATE(Einstellungen!$C$3,8,1)))</f>
        <v/>
      </c>
      <c r="J132" s="54">
        <f>IF($B132="","",SUMIFS(Erfassung!$E$6:$E$5005,Erfassung!$B$6:$B$5005,$A132,Erfassung!$A$6:$A$5005,"&gt;="&amp;DATE(Einstellungen!$C$3,8,1),Erfassung!$A$6:$A$5005,"&lt;"&amp;DATE(Einstellungen!$C$3,9,1)))</f>
        <v/>
      </c>
      <c r="K132" s="54">
        <f>IF($B132="","",SUMIFS(Erfassung!$E$6:$E$5005,Erfassung!$B$6:$B$5005,$A132,Erfassung!$A$6:$A$5005,"&gt;="&amp;DATE(Einstellungen!$C$3,9,1),Erfassung!$A$6:$A$5005,"&lt;"&amp;DATE(Einstellungen!$C$3,10,1)))</f>
        <v/>
      </c>
      <c r="L132" s="54">
        <f>IF($B132="","",SUMIFS(Erfassung!$E$6:$E$5005,Erfassung!$B$6:$B$5005,$A132,Erfassung!$A$6:$A$5005,"&gt;="&amp;DATE(Einstellungen!$C$3,10,1),Erfassung!$A$6:$A$5005,"&lt;"&amp;DATE(Einstellungen!$C$3,11,1)))</f>
        <v/>
      </c>
      <c r="M132" s="54">
        <f>IF($B132="","",SUMIFS(Erfassung!$E$6:$E$5005,Erfassung!$B$6:$B$5005,$A132,Erfassung!$A$6:$A$5005,"&gt;="&amp;DATE(Einstellungen!$C$3,11,1),Erfassung!$A$6:$A$5005,"&lt;"&amp;DATE(Einstellungen!$C$3,12,1)))</f>
        <v/>
      </c>
      <c r="N132" s="54">
        <f>IF($B132="","",SUMIFS(Erfassung!$E$6:$E$5005,Erfassung!$B$6:$B$5005,$A132,Erfassung!$A$6:$A$5005,"&gt;="&amp;DATE(Einstellungen!$C$3,12,1),Erfassung!$A$6:$A$5005,"&lt;"&amp;DATE(Einstellungen!$C$3,13,1)))</f>
        <v/>
      </c>
      <c r="O132" s="45">
        <f>IF($B132="","",SUM(C132:N132))</f>
        <v/>
      </c>
      <c r="P132" s="54">
        <f>IF($B132="","",SUMIFS(Erfassung!$G$6:$G$5005,Erfassung!$B$6:$B$5005,$A132,Erfassung!$A$6:$A$5005,"&gt;="&amp;DATE(Einstellungen!$C$3,1,1),Erfassung!$A$6:$A$5005,"&lt;"&amp;DATE(Einstellungen!$C$3,2,1)))</f>
        <v/>
      </c>
      <c r="Q132" s="54">
        <f>IF($B132="","",SUMIFS(Erfassung!$G$6:$G$5005,Erfassung!$B$6:$B$5005,$A132,Erfassung!$A$6:$A$5005,"&gt;="&amp;DATE(Einstellungen!$C$3,2,1),Erfassung!$A$6:$A$5005,"&lt;"&amp;DATE(Einstellungen!$C$3,3,1)))</f>
        <v/>
      </c>
      <c r="R132" s="54">
        <f>IF($B132="","",SUMIFS(Erfassung!$G$6:$G$5005,Erfassung!$B$6:$B$5005,$A132,Erfassung!$A$6:$A$5005,"&gt;="&amp;DATE(Einstellungen!$C$3,3,1),Erfassung!$A$6:$A$5005,"&lt;"&amp;DATE(Einstellungen!$C$3,4,1)))</f>
        <v/>
      </c>
      <c r="S132" s="54">
        <f>IF($B132="","",SUMIFS(Erfassung!$G$6:$G$5005,Erfassung!$B$6:$B$5005,$A132,Erfassung!$A$6:$A$5005,"&gt;="&amp;DATE(Einstellungen!$C$3,4,1),Erfassung!$A$6:$A$5005,"&lt;"&amp;DATE(Einstellungen!$C$3,5,1)))</f>
        <v/>
      </c>
      <c r="T132" s="54">
        <f>IF($B132="","",SUMIFS(Erfassung!$G$6:$G$5005,Erfassung!$B$6:$B$5005,$A132,Erfassung!$A$6:$A$5005,"&gt;="&amp;DATE(Einstellungen!$C$3,5,1),Erfassung!$A$6:$A$5005,"&lt;"&amp;DATE(Einstellungen!$C$3,6,1)))</f>
        <v/>
      </c>
      <c r="U132" s="54">
        <f>IF($B132="","",SUMIFS(Erfassung!$G$6:$G$5005,Erfassung!$B$6:$B$5005,$A132,Erfassung!$A$6:$A$5005,"&gt;="&amp;DATE(Einstellungen!$C$3,6,1),Erfassung!$A$6:$A$5005,"&lt;"&amp;DATE(Einstellungen!$C$3,7,1)))</f>
        <v/>
      </c>
      <c r="V132" s="54">
        <f>IF($B132="","",SUMIFS(Erfassung!$G$6:$G$5005,Erfassung!$B$6:$B$5005,$A132,Erfassung!$A$6:$A$5005,"&gt;="&amp;DATE(Einstellungen!$C$3,7,1),Erfassung!$A$6:$A$5005,"&lt;"&amp;DATE(Einstellungen!$C$3,8,1)))</f>
        <v/>
      </c>
      <c r="W132" s="54">
        <f>IF($B132="","",SUMIFS(Erfassung!$G$6:$G$5005,Erfassung!$B$6:$B$5005,$A132,Erfassung!$A$6:$A$5005,"&gt;="&amp;DATE(Einstellungen!$C$3,8,1),Erfassung!$A$6:$A$5005,"&lt;"&amp;DATE(Einstellungen!$C$3,9,1)))</f>
        <v/>
      </c>
      <c r="X132" s="54">
        <f>IF($B132="","",SUMIFS(Erfassung!$G$6:$G$5005,Erfassung!$B$6:$B$5005,$A132,Erfassung!$A$6:$A$5005,"&gt;="&amp;DATE(Einstellungen!$C$3,9,1),Erfassung!$A$6:$A$5005,"&lt;"&amp;DATE(Einstellungen!$C$3,10,1)))</f>
        <v/>
      </c>
      <c r="Y132" s="54">
        <f>IF($B132="","",SUMIFS(Erfassung!$G$6:$G$5005,Erfassung!$B$6:$B$5005,$A132,Erfassung!$A$6:$A$5005,"&gt;="&amp;DATE(Einstellungen!$C$3,10,1),Erfassung!$A$6:$A$5005,"&lt;"&amp;DATE(Einstellungen!$C$3,11,1)))</f>
        <v/>
      </c>
      <c r="Z132" s="54">
        <f>IF($B132="","",SUMIFS(Erfassung!$G$6:$G$5005,Erfassung!$B$6:$B$5005,$A132,Erfassung!$A$6:$A$5005,"&gt;="&amp;DATE(Einstellungen!$C$3,11,1),Erfassung!$A$6:$A$5005,"&lt;"&amp;DATE(Einstellungen!$C$3,12,1)))</f>
        <v/>
      </c>
      <c r="AA132" s="54">
        <f>IF($B132="","",SUMIFS(Erfassung!$G$6:$G$5005,Erfassung!$B$6:$B$5005,$A132,Erfassung!$A$6:$A$5005,"&gt;="&amp;DATE(Einstellungen!$C$3,12,1),Erfassung!$A$6:$A$5005,"&lt;"&amp;DATE(Einstellungen!$C$3,13,1)))</f>
        <v/>
      </c>
      <c r="AB132" s="45">
        <f>IF($B132="","",SUM(P132:AA132))</f>
        <v/>
      </c>
      <c r="AC132" s="38">
        <f>IF($B132="","",IF(O132+AB132&gt;0,AB132/(O132+AB132),""))</f>
        <v/>
      </c>
    </row>
    <row r="133">
      <c r="A133" s="56">
        <f>'KQuote Mitarbeiter'!A133</f>
        <v/>
      </c>
      <c r="B133" s="57">
        <f>'KQuote Mitarbeiter'!B133</f>
        <v/>
      </c>
      <c r="C133" s="54">
        <f>IF($B133="","",SUMIFS(Erfassung!$E$6:$E$5005,Erfassung!$B$6:$B$5005,$A133,Erfassung!$A$6:$A$5005,"&gt;="&amp;DATE(Einstellungen!$C$3,1,1),Erfassung!$A$6:$A$5005,"&lt;"&amp;DATE(Einstellungen!$C$3,2,1)))</f>
        <v/>
      </c>
      <c r="D133" s="54">
        <f>IF($B133="","",SUMIFS(Erfassung!$E$6:$E$5005,Erfassung!$B$6:$B$5005,$A133,Erfassung!$A$6:$A$5005,"&gt;="&amp;DATE(Einstellungen!$C$3,2,1),Erfassung!$A$6:$A$5005,"&lt;"&amp;DATE(Einstellungen!$C$3,3,1)))</f>
        <v/>
      </c>
      <c r="E133" s="54">
        <f>IF($B133="","",SUMIFS(Erfassung!$E$6:$E$5005,Erfassung!$B$6:$B$5005,$A133,Erfassung!$A$6:$A$5005,"&gt;="&amp;DATE(Einstellungen!$C$3,3,1),Erfassung!$A$6:$A$5005,"&lt;"&amp;DATE(Einstellungen!$C$3,4,1)))</f>
        <v/>
      </c>
      <c r="F133" s="54">
        <f>IF($B133="","",SUMIFS(Erfassung!$E$6:$E$5005,Erfassung!$B$6:$B$5005,$A133,Erfassung!$A$6:$A$5005,"&gt;="&amp;DATE(Einstellungen!$C$3,4,1),Erfassung!$A$6:$A$5005,"&lt;"&amp;DATE(Einstellungen!$C$3,5,1)))</f>
        <v/>
      </c>
      <c r="G133" s="54">
        <f>IF($B133="","",SUMIFS(Erfassung!$E$6:$E$5005,Erfassung!$B$6:$B$5005,$A133,Erfassung!$A$6:$A$5005,"&gt;="&amp;DATE(Einstellungen!$C$3,5,1),Erfassung!$A$6:$A$5005,"&lt;"&amp;DATE(Einstellungen!$C$3,6,1)))</f>
        <v/>
      </c>
      <c r="H133" s="54">
        <f>IF($B133="","",SUMIFS(Erfassung!$E$6:$E$5005,Erfassung!$B$6:$B$5005,$A133,Erfassung!$A$6:$A$5005,"&gt;="&amp;DATE(Einstellungen!$C$3,6,1),Erfassung!$A$6:$A$5005,"&lt;"&amp;DATE(Einstellungen!$C$3,7,1)))</f>
        <v/>
      </c>
      <c r="I133" s="54">
        <f>IF($B133="","",SUMIFS(Erfassung!$E$6:$E$5005,Erfassung!$B$6:$B$5005,$A133,Erfassung!$A$6:$A$5005,"&gt;="&amp;DATE(Einstellungen!$C$3,7,1),Erfassung!$A$6:$A$5005,"&lt;"&amp;DATE(Einstellungen!$C$3,8,1)))</f>
        <v/>
      </c>
      <c r="J133" s="54">
        <f>IF($B133="","",SUMIFS(Erfassung!$E$6:$E$5005,Erfassung!$B$6:$B$5005,$A133,Erfassung!$A$6:$A$5005,"&gt;="&amp;DATE(Einstellungen!$C$3,8,1),Erfassung!$A$6:$A$5005,"&lt;"&amp;DATE(Einstellungen!$C$3,9,1)))</f>
        <v/>
      </c>
      <c r="K133" s="54">
        <f>IF($B133="","",SUMIFS(Erfassung!$E$6:$E$5005,Erfassung!$B$6:$B$5005,$A133,Erfassung!$A$6:$A$5005,"&gt;="&amp;DATE(Einstellungen!$C$3,9,1),Erfassung!$A$6:$A$5005,"&lt;"&amp;DATE(Einstellungen!$C$3,10,1)))</f>
        <v/>
      </c>
      <c r="L133" s="54">
        <f>IF($B133="","",SUMIFS(Erfassung!$E$6:$E$5005,Erfassung!$B$6:$B$5005,$A133,Erfassung!$A$6:$A$5005,"&gt;="&amp;DATE(Einstellungen!$C$3,10,1),Erfassung!$A$6:$A$5005,"&lt;"&amp;DATE(Einstellungen!$C$3,11,1)))</f>
        <v/>
      </c>
      <c r="M133" s="54">
        <f>IF($B133="","",SUMIFS(Erfassung!$E$6:$E$5005,Erfassung!$B$6:$B$5005,$A133,Erfassung!$A$6:$A$5005,"&gt;="&amp;DATE(Einstellungen!$C$3,11,1),Erfassung!$A$6:$A$5005,"&lt;"&amp;DATE(Einstellungen!$C$3,12,1)))</f>
        <v/>
      </c>
      <c r="N133" s="54">
        <f>IF($B133="","",SUMIFS(Erfassung!$E$6:$E$5005,Erfassung!$B$6:$B$5005,$A133,Erfassung!$A$6:$A$5005,"&gt;="&amp;DATE(Einstellungen!$C$3,12,1),Erfassung!$A$6:$A$5005,"&lt;"&amp;DATE(Einstellungen!$C$3,13,1)))</f>
        <v/>
      </c>
      <c r="O133" s="45">
        <f>IF($B133="","",SUM(C133:N133))</f>
        <v/>
      </c>
      <c r="P133" s="54">
        <f>IF($B133="","",SUMIFS(Erfassung!$G$6:$G$5005,Erfassung!$B$6:$B$5005,$A133,Erfassung!$A$6:$A$5005,"&gt;="&amp;DATE(Einstellungen!$C$3,1,1),Erfassung!$A$6:$A$5005,"&lt;"&amp;DATE(Einstellungen!$C$3,2,1)))</f>
        <v/>
      </c>
      <c r="Q133" s="54">
        <f>IF($B133="","",SUMIFS(Erfassung!$G$6:$G$5005,Erfassung!$B$6:$B$5005,$A133,Erfassung!$A$6:$A$5005,"&gt;="&amp;DATE(Einstellungen!$C$3,2,1),Erfassung!$A$6:$A$5005,"&lt;"&amp;DATE(Einstellungen!$C$3,3,1)))</f>
        <v/>
      </c>
      <c r="R133" s="54">
        <f>IF($B133="","",SUMIFS(Erfassung!$G$6:$G$5005,Erfassung!$B$6:$B$5005,$A133,Erfassung!$A$6:$A$5005,"&gt;="&amp;DATE(Einstellungen!$C$3,3,1),Erfassung!$A$6:$A$5005,"&lt;"&amp;DATE(Einstellungen!$C$3,4,1)))</f>
        <v/>
      </c>
      <c r="S133" s="54">
        <f>IF($B133="","",SUMIFS(Erfassung!$G$6:$G$5005,Erfassung!$B$6:$B$5005,$A133,Erfassung!$A$6:$A$5005,"&gt;="&amp;DATE(Einstellungen!$C$3,4,1),Erfassung!$A$6:$A$5005,"&lt;"&amp;DATE(Einstellungen!$C$3,5,1)))</f>
        <v/>
      </c>
      <c r="T133" s="54">
        <f>IF($B133="","",SUMIFS(Erfassung!$G$6:$G$5005,Erfassung!$B$6:$B$5005,$A133,Erfassung!$A$6:$A$5005,"&gt;="&amp;DATE(Einstellungen!$C$3,5,1),Erfassung!$A$6:$A$5005,"&lt;"&amp;DATE(Einstellungen!$C$3,6,1)))</f>
        <v/>
      </c>
      <c r="U133" s="54">
        <f>IF($B133="","",SUMIFS(Erfassung!$G$6:$G$5005,Erfassung!$B$6:$B$5005,$A133,Erfassung!$A$6:$A$5005,"&gt;="&amp;DATE(Einstellungen!$C$3,6,1),Erfassung!$A$6:$A$5005,"&lt;"&amp;DATE(Einstellungen!$C$3,7,1)))</f>
        <v/>
      </c>
      <c r="V133" s="54">
        <f>IF($B133="","",SUMIFS(Erfassung!$G$6:$G$5005,Erfassung!$B$6:$B$5005,$A133,Erfassung!$A$6:$A$5005,"&gt;="&amp;DATE(Einstellungen!$C$3,7,1),Erfassung!$A$6:$A$5005,"&lt;"&amp;DATE(Einstellungen!$C$3,8,1)))</f>
        <v/>
      </c>
      <c r="W133" s="54">
        <f>IF($B133="","",SUMIFS(Erfassung!$G$6:$G$5005,Erfassung!$B$6:$B$5005,$A133,Erfassung!$A$6:$A$5005,"&gt;="&amp;DATE(Einstellungen!$C$3,8,1),Erfassung!$A$6:$A$5005,"&lt;"&amp;DATE(Einstellungen!$C$3,9,1)))</f>
        <v/>
      </c>
      <c r="X133" s="54">
        <f>IF($B133="","",SUMIFS(Erfassung!$G$6:$G$5005,Erfassung!$B$6:$B$5005,$A133,Erfassung!$A$6:$A$5005,"&gt;="&amp;DATE(Einstellungen!$C$3,9,1),Erfassung!$A$6:$A$5005,"&lt;"&amp;DATE(Einstellungen!$C$3,10,1)))</f>
        <v/>
      </c>
      <c r="Y133" s="54">
        <f>IF($B133="","",SUMIFS(Erfassung!$G$6:$G$5005,Erfassung!$B$6:$B$5005,$A133,Erfassung!$A$6:$A$5005,"&gt;="&amp;DATE(Einstellungen!$C$3,10,1),Erfassung!$A$6:$A$5005,"&lt;"&amp;DATE(Einstellungen!$C$3,11,1)))</f>
        <v/>
      </c>
      <c r="Z133" s="54">
        <f>IF($B133="","",SUMIFS(Erfassung!$G$6:$G$5005,Erfassung!$B$6:$B$5005,$A133,Erfassung!$A$6:$A$5005,"&gt;="&amp;DATE(Einstellungen!$C$3,11,1),Erfassung!$A$6:$A$5005,"&lt;"&amp;DATE(Einstellungen!$C$3,12,1)))</f>
        <v/>
      </c>
      <c r="AA133" s="54">
        <f>IF($B133="","",SUMIFS(Erfassung!$G$6:$G$5005,Erfassung!$B$6:$B$5005,$A133,Erfassung!$A$6:$A$5005,"&gt;="&amp;DATE(Einstellungen!$C$3,12,1),Erfassung!$A$6:$A$5005,"&lt;"&amp;DATE(Einstellungen!$C$3,13,1)))</f>
        <v/>
      </c>
      <c r="AB133" s="45">
        <f>IF($B133="","",SUM(P133:AA133))</f>
        <v/>
      </c>
      <c r="AC133" s="38">
        <f>IF($B133="","",IF(O133+AB133&gt;0,AB133/(O133+AB133),""))</f>
        <v/>
      </c>
    </row>
    <row r="134">
      <c r="A134" s="56">
        <f>'KQuote Mitarbeiter'!A134</f>
        <v/>
      </c>
      <c r="B134" s="57">
        <f>'KQuote Mitarbeiter'!B134</f>
        <v/>
      </c>
      <c r="C134" s="54">
        <f>IF($B134="","",SUMIFS(Erfassung!$E$6:$E$5005,Erfassung!$B$6:$B$5005,$A134,Erfassung!$A$6:$A$5005,"&gt;="&amp;DATE(Einstellungen!$C$3,1,1),Erfassung!$A$6:$A$5005,"&lt;"&amp;DATE(Einstellungen!$C$3,2,1)))</f>
        <v/>
      </c>
      <c r="D134" s="54">
        <f>IF($B134="","",SUMIFS(Erfassung!$E$6:$E$5005,Erfassung!$B$6:$B$5005,$A134,Erfassung!$A$6:$A$5005,"&gt;="&amp;DATE(Einstellungen!$C$3,2,1),Erfassung!$A$6:$A$5005,"&lt;"&amp;DATE(Einstellungen!$C$3,3,1)))</f>
        <v/>
      </c>
      <c r="E134" s="54">
        <f>IF($B134="","",SUMIFS(Erfassung!$E$6:$E$5005,Erfassung!$B$6:$B$5005,$A134,Erfassung!$A$6:$A$5005,"&gt;="&amp;DATE(Einstellungen!$C$3,3,1),Erfassung!$A$6:$A$5005,"&lt;"&amp;DATE(Einstellungen!$C$3,4,1)))</f>
        <v/>
      </c>
      <c r="F134" s="54">
        <f>IF($B134="","",SUMIFS(Erfassung!$E$6:$E$5005,Erfassung!$B$6:$B$5005,$A134,Erfassung!$A$6:$A$5005,"&gt;="&amp;DATE(Einstellungen!$C$3,4,1),Erfassung!$A$6:$A$5005,"&lt;"&amp;DATE(Einstellungen!$C$3,5,1)))</f>
        <v/>
      </c>
      <c r="G134" s="54">
        <f>IF($B134="","",SUMIFS(Erfassung!$E$6:$E$5005,Erfassung!$B$6:$B$5005,$A134,Erfassung!$A$6:$A$5005,"&gt;="&amp;DATE(Einstellungen!$C$3,5,1),Erfassung!$A$6:$A$5005,"&lt;"&amp;DATE(Einstellungen!$C$3,6,1)))</f>
        <v/>
      </c>
      <c r="H134" s="54">
        <f>IF($B134="","",SUMIFS(Erfassung!$E$6:$E$5005,Erfassung!$B$6:$B$5005,$A134,Erfassung!$A$6:$A$5005,"&gt;="&amp;DATE(Einstellungen!$C$3,6,1),Erfassung!$A$6:$A$5005,"&lt;"&amp;DATE(Einstellungen!$C$3,7,1)))</f>
        <v/>
      </c>
      <c r="I134" s="54">
        <f>IF($B134="","",SUMIFS(Erfassung!$E$6:$E$5005,Erfassung!$B$6:$B$5005,$A134,Erfassung!$A$6:$A$5005,"&gt;="&amp;DATE(Einstellungen!$C$3,7,1),Erfassung!$A$6:$A$5005,"&lt;"&amp;DATE(Einstellungen!$C$3,8,1)))</f>
        <v/>
      </c>
      <c r="J134" s="54">
        <f>IF($B134="","",SUMIFS(Erfassung!$E$6:$E$5005,Erfassung!$B$6:$B$5005,$A134,Erfassung!$A$6:$A$5005,"&gt;="&amp;DATE(Einstellungen!$C$3,8,1),Erfassung!$A$6:$A$5005,"&lt;"&amp;DATE(Einstellungen!$C$3,9,1)))</f>
        <v/>
      </c>
      <c r="K134" s="54">
        <f>IF($B134="","",SUMIFS(Erfassung!$E$6:$E$5005,Erfassung!$B$6:$B$5005,$A134,Erfassung!$A$6:$A$5005,"&gt;="&amp;DATE(Einstellungen!$C$3,9,1),Erfassung!$A$6:$A$5005,"&lt;"&amp;DATE(Einstellungen!$C$3,10,1)))</f>
        <v/>
      </c>
      <c r="L134" s="54">
        <f>IF($B134="","",SUMIFS(Erfassung!$E$6:$E$5005,Erfassung!$B$6:$B$5005,$A134,Erfassung!$A$6:$A$5005,"&gt;="&amp;DATE(Einstellungen!$C$3,10,1),Erfassung!$A$6:$A$5005,"&lt;"&amp;DATE(Einstellungen!$C$3,11,1)))</f>
        <v/>
      </c>
      <c r="M134" s="54">
        <f>IF($B134="","",SUMIFS(Erfassung!$E$6:$E$5005,Erfassung!$B$6:$B$5005,$A134,Erfassung!$A$6:$A$5005,"&gt;="&amp;DATE(Einstellungen!$C$3,11,1),Erfassung!$A$6:$A$5005,"&lt;"&amp;DATE(Einstellungen!$C$3,12,1)))</f>
        <v/>
      </c>
      <c r="N134" s="54">
        <f>IF($B134="","",SUMIFS(Erfassung!$E$6:$E$5005,Erfassung!$B$6:$B$5005,$A134,Erfassung!$A$6:$A$5005,"&gt;="&amp;DATE(Einstellungen!$C$3,12,1),Erfassung!$A$6:$A$5005,"&lt;"&amp;DATE(Einstellungen!$C$3,13,1)))</f>
        <v/>
      </c>
      <c r="O134" s="45">
        <f>IF($B134="","",SUM(C134:N134))</f>
        <v/>
      </c>
      <c r="P134" s="54">
        <f>IF($B134="","",SUMIFS(Erfassung!$G$6:$G$5005,Erfassung!$B$6:$B$5005,$A134,Erfassung!$A$6:$A$5005,"&gt;="&amp;DATE(Einstellungen!$C$3,1,1),Erfassung!$A$6:$A$5005,"&lt;"&amp;DATE(Einstellungen!$C$3,2,1)))</f>
        <v/>
      </c>
      <c r="Q134" s="54">
        <f>IF($B134="","",SUMIFS(Erfassung!$G$6:$G$5005,Erfassung!$B$6:$B$5005,$A134,Erfassung!$A$6:$A$5005,"&gt;="&amp;DATE(Einstellungen!$C$3,2,1),Erfassung!$A$6:$A$5005,"&lt;"&amp;DATE(Einstellungen!$C$3,3,1)))</f>
        <v/>
      </c>
      <c r="R134" s="54">
        <f>IF($B134="","",SUMIFS(Erfassung!$G$6:$G$5005,Erfassung!$B$6:$B$5005,$A134,Erfassung!$A$6:$A$5005,"&gt;="&amp;DATE(Einstellungen!$C$3,3,1),Erfassung!$A$6:$A$5005,"&lt;"&amp;DATE(Einstellungen!$C$3,4,1)))</f>
        <v/>
      </c>
      <c r="S134" s="54">
        <f>IF($B134="","",SUMIFS(Erfassung!$G$6:$G$5005,Erfassung!$B$6:$B$5005,$A134,Erfassung!$A$6:$A$5005,"&gt;="&amp;DATE(Einstellungen!$C$3,4,1),Erfassung!$A$6:$A$5005,"&lt;"&amp;DATE(Einstellungen!$C$3,5,1)))</f>
        <v/>
      </c>
      <c r="T134" s="54">
        <f>IF($B134="","",SUMIFS(Erfassung!$G$6:$G$5005,Erfassung!$B$6:$B$5005,$A134,Erfassung!$A$6:$A$5005,"&gt;="&amp;DATE(Einstellungen!$C$3,5,1),Erfassung!$A$6:$A$5005,"&lt;"&amp;DATE(Einstellungen!$C$3,6,1)))</f>
        <v/>
      </c>
      <c r="U134" s="54">
        <f>IF($B134="","",SUMIFS(Erfassung!$G$6:$G$5005,Erfassung!$B$6:$B$5005,$A134,Erfassung!$A$6:$A$5005,"&gt;="&amp;DATE(Einstellungen!$C$3,6,1),Erfassung!$A$6:$A$5005,"&lt;"&amp;DATE(Einstellungen!$C$3,7,1)))</f>
        <v/>
      </c>
      <c r="V134" s="54">
        <f>IF($B134="","",SUMIFS(Erfassung!$G$6:$G$5005,Erfassung!$B$6:$B$5005,$A134,Erfassung!$A$6:$A$5005,"&gt;="&amp;DATE(Einstellungen!$C$3,7,1),Erfassung!$A$6:$A$5005,"&lt;"&amp;DATE(Einstellungen!$C$3,8,1)))</f>
        <v/>
      </c>
      <c r="W134" s="54">
        <f>IF($B134="","",SUMIFS(Erfassung!$G$6:$G$5005,Erfassung!$B$6:$B$5005,$A134,Erfassung!$A$6:$A$5005,"&gt;="&amp;DATE(Einstellungen!$C$3,8,1),Erfassung!$A$6:$A$5005,"&lt;"&amp;DATE(Einstellungen!$C$3,9,1)))</f>
        <v/>
      </c>
      <c r="X134" s="54">
        <f>IF($B134="","",SUMIFS(Erfassung!$G$6:$G$5005,Erfassung!$B$6:$B$5005,$A134,Erfassung!$A$6:$A$5005,"&gt;="&amp;DATE(Einstellungen!$C$3,9,1),Erfassung!$A$6:$A$5005,"&lt;"&amp;DATE(Einstellungen!$C$3,10,1)))</f>
        <v/>
      </c>
      <c r="Y134" s="54">
        <f>IF($B134="","",SUMIFS(Erfassung!$G$6:$G$5005,Erfassung!$B$6:$B$5005,$A134,Erfassung!$A$6:$A$5005,"&gt;="&amp;DATE(Einstellungen!$C$3,10,1),Erfassung!$A$6:$A$5005,"&lt;"&amp;DATE(Einstellungen!$C$3,11,1)))</f>
        <v/>
      </c>
      <c r="Z134" s="54">
        <f>IF($B134="","",SUMIFS(Erfassung!$G$6:$G$5005,Erfassung!$B$6:$B$5005,$A134,Erfassung!$A$6:$A$5005,"&gt;="&amp;DATE(Einstellungen!$C$3,11,1),Erfassung!$A$6:$A$5005,"&lt;"&amp;DATE(Einstellungen!$C$3,12,1)))</f>
        <v/>
      </c>
      <c r="AA134" s="54">
        <f>IF($B134="","",SUMIFS(Erfassung!$G$6:$G$5005,Erfassung!$B$6:$B$5005,$A134,Erfassung!$A$6:$A$5005,"&gt;="&amp;DATE(Einstellungen!$C$3,12,1),Erfassung!$A$6:$A$5005,"&lt;"&amp;DATE(Einstellungen!$C$3,13,1)))</f>
        <v/>
      </c>
      <c r="AB134" s="45">
        <f>IF($B134="","",SUM(P134:AA134))</f>
        <v/>
      </c>
      <c r="AC134" s="38">
        <f>IF($B134="","",IF(O134+AB134&gt;0,AB134/(O134+AB134),""))</f>
        <v/>
      </c>
    </row>
    <row r="135">
      <c r="A135" s="56">
        <f>'KQuote Mitarbeiter'!A135</f>
        <v/>
      </c>
      <c r="B135" s="57">
        <f>'KQuote Mitarbeiter'!B135</f>
        <v/>
      </c>
      <c r="C135" s="54">
        <f>IF($B135="","",SUMIFS(Erfassung!$E$6:$E$5005,Erfassung!$B$6:$B$5005,$A135,Erfassung!$A$6:$A$5005,"&gt;="&amp;DATE(Einstellungen!$C$3,1,1),Erfassung!$A$6:$A$5005,"&lt;"&amp;DATE(Einstellungen!$C$3,2,1)))</f>
        <v/>
      </c>
      <c r="D135" s="54">
        <f>IF($B135="","",SUMIFS(Erfassung!$E$6:$E$5005,Erfassung!$B$6:$B$5005,$A135,Erfassung!$A$6:$A$5005,"&gt;="&amp;DATE(Einstellungen!$C$3,2,1),Erfassung!$A$6:$A$5005,"&lt;"&amp;DATE(Einstellungen!$C$3,3,1)))</f>
        <v/>
      </c>
      <c r="E135" s="54">
        <f>IF($B135="","",SUMIFS(Erfassung!$E$6:$E$5005,Erfassung!$B$6:$B$5005,$A135,Erfassung!$A$6:$A$5005,"&gt;="&amp;DATE(Einstellungen!$C$3,3,1),Erfassung!$A$6:$A$5005,"&lt;"&amp;DATE(Einstellungen!$C$3,4,1)))</f>
        <v/>
      </c>
      <c r="F135" s="54">
        <f>IF($B135="","",SUMIFS(Erfassung!$E$6:$E$5005,Erfassung!$B$6:$B$5005,$A135,Erfassung!$A$6:$A$5005,"&gt;="&amp;DATE(Einstellungen!$C$3,4,1),Erfassung!$A$6:$A$5005,"&lt;"&amp;DATE(Einstellungen!$C$3,5,1)))</f>
        <v/>
      </c>
      <c r="G135" s="54">
        <f>IF($B135="","",SUMIFS(Erfassung!$E$6:$E$5005,Erfassung!$B$6:$B$5005,$A135,Erfassung!$A$6:$A$5005,"&gt;="&amp;DATE(Einstellungen!$C$3,5,1),Erfassung!$A$6:$A$5005,"&lt;"&amp;DATE(Einstellungen!$C$3,6,1)))</f>
        <v/>
      </c>
      <c r="H135" s="54">
        <f>IF($B135="","",SUMIFS(Erfassung!$E$6:$E$5005,Erfassung!$B$6:$B$5005,$A135,Erfassung!$A$6:$A$5005,"&gt;="&amp;DATE(Einstellungen!$C$3,6,1),Erfassung!$A$6:$A$5005,"&lt;"&amp;DATE(Einstellungen!$C$3,7,1)))</f>
        <v/>
      </c>
      <c r="I135" s="54">
        <f>IF($B135="","",SUMIFS(Erfassung!$E$6:$E$5005,Erfassung!$B$6:$B$5005,$A135,Erfassung!$A$6:$A$5005,"&gt;="&amp;DATE(Einstellungen!$C$3,7,1),Erfassung!$A$6:$A$5005,"&lt;"&amp;DATE(Einstellungen!$C$3,8,1)))</f>
        <v/>
      </c>
      <c r="J135" s="54">
        <f>IF($B135="","",SUMIFS(Erfassung!$E$6:$E$5005,Erfassung!$B$6:$B$5005,$A135,Erfassung!$A$6:$A$5005,"&gt;="&amp;DATE(Einstellungen!$C$3,8,1),Erfassung!$A$6:$A$5005,"&lt;"&amp;DATE(Einstellungen!$C$3,9,1)))</f>
        <v/>
      </c>
      <c r="K135" s="54">
        <f>IF($B135="","",SUMIFS(Erfassung!$E$6:$E$5005,Erfassung!$B$6:$B$5005,$A135,Erfassung!$A$6:$A$5005,"&gt;="&amp;DATE(Einstellungen!$C$3,9,1),Erfassung!$A$6:$A$5005,"&lt;"&amp;DATE(Einstellungen!$C$3,10,1)))</f>
        <v/>
      </c>
      <c r="L135" s="54">
        <f>IF($B135="","",SUMIFS(Erfassung!$E$6:$E$5005,Erfassung!$B$6:$B$5005,$A135,Erfassung!$A$6:$A$5005,"&gt;="&amp;DATE(Einstellungen!$C$3,10,1),Erfassung!$A$6:$A$5005,"&lt;"&amp;DATE(Einstellungen!$C$3,11,1)))</f>
        <v/>
      </c>
      <c r="M135" s="54">
        <f>IF($B135="","",SUMIFS(Erfassung!$E$6:$E$5005,Erfassung!$B$6:$B$5005,$A135,Erfassung!$A$6:$A$5005,"&gt;="&amp;DATE(Einstellungen!$C$3,11,1),Erfassung!$A$6:$A$5005,"&lt;"&amp;DATE(Einstellungen!$C$3,12,1)))</f>
        <v/>
      </c>
      <c r="N135" s="54">
        <f>IF($B135="","",SUMIFS(Erfassung!$E$6:$E$5005,Erfassung!$B$6:$B$5005,$A135,Erfassung!$A$6:$A$5005,"&gt;="&amp;DATE(Einstellungen!$C$3,12,1),Erfassung!$A$6:$A$5005,"&lt;"&amp;DATE(Einstellungen!$C$3,13,1)))</f>
        <v/>
      </c>
      <c r="O135" s="45">
        <f>IF($B135="","",SUM(C135:N135))</f>
        <v/>
      </c>
      <c r="P135" s="54">
        <f>IF($B135="","",SUMIFS(Erfassung!$G$6:$G$5005,Erfassung!$B$6:$B$5005,$A135,Erfassung!$A$6:$A$5005,"&gt;="&amp;DATE(Einstellungen!$C$3,1,1),Erfassung!$A$6:$A$5005,"&lt;"&amp;DATE(Einstellungen!$C$3,2,1)))</f>
        <v/>
      </c>
      <c r="Q135" s="54">
        <f>IF($B135="","",SUMIFS(Erfassung!$G$6:$G$5005,Erfassung!$B$6:$B$5005,$A135,Erfassung!$A$6:$A$5005,"&gt;="&amp;DATE(Einstellungen!$C$3,2,1),Erfassung!$A$6:$A$5005,"&lt;"&amp;DATE(Einstellungen!$C$3,3,1)))</f>
        <v/>
      </c>
      <c r="R135" s="54">
        <f>IF($B135="","",SUMIFS(Erfassung!$G$6:$G$5005,Erfassung!$B$6:$B$5005,$A135,Erfassung!$A$6:$A$5005,"&gt;="&amp;DATE(Einstellungen!$C$3,3,1),Erfassung!$A$6:$A$5005,"&lt;"&amp;DATE(Einstellungen!$C$3,4,1)))</f>
        <v/>
      </c>
      <c r="S135" s="54">
        <f>IF($B135="","",SUMIFS(Erfassung!$G$6:$G$5005,Erfassung!$B$6:$B$5005,$A135,Erfassung!$A$6:$A$5005,"&gt;="&amp;DATE(Einstellungen!$C$3,4,1),Erfassung!$A$6:$A$5005,"&lt;"&amp;DATE(Einstellungen!$C$3,5,1)))</f>
        <v/>
      </c>
      <c r="T135" s="54">
        <f>IF($B135="","",SUMIFS(Erfassung!$G$6:$G$5005,Erfassung!$B$6:$B$5005,$A135,Erfassung!$A$6:$A$5005,"&gt;="&amp;DATE(Einstellungen!$C$3,5,1),Erfassung!$A$6:$A$5005,"&lt;"&amp;DATE(Einstellungen!$C$3,6,1)))</f>
        <v/>
      </c>
      <c r="U135" s="54">
        <f>IF($B135="","",SUMIFS(Erfassung!$G$6:$G$5005,Erfassung!$B$6:$B$5005,$A135,Erfassung!$A$6:$A$5005,"&gt;="&amp;DATE(Einstellungen!$C$3,6,1),Erfassung!$A$6:$A$5005,"&lt;"&amp;DATE(Einstellungen!$C$3,7,1)))</f>
        <v/>
      </c>
      <c r="V135" s="54">
        <f>IF($B135="","",SUMIFS(Erfassung!$G$6:$G$5005,Erfassung!$B$6:$B$5005,$A135,Erfassung!$A$6:$A$5005,"&gt;="&amp;DATE(Einstellungen!$C$3,7,1),Erfassung!$A$6:$A$5005,"&lt;"&amp;DATE(Einstellungen!$C$3,8,1)))</f>
        <v/>
      </c>
      <c r="W135" s="54">
        <f>IF($B135="","",SUMIFS(Erfassung!$G$6:$G$5005,Erfassung!$B$6:$B$5005,$A135,Erfassung!$A$6:$A$5005,"&gt;="&amp;DATE(Einstellungen!$C$3,8,1),Erfassung!$A$6:$A$5005,"&lt;"&amp;DATE(Einstellungen!$C$3,9,1)))</f>
        <v/>
      </c>
      <c r="X135" s="54">
        <f>IF($B135="","",SUMIFS(Erfassung!$G$6:$G$5005,Erfassung!$B$6:$B$5005,$A135,Erfassung!$A$6:$A$5005,"&gt;="&amp;DATE(Einstellungen!$C$3,9,1),Erfassung!$A$6:$A$5005,"&lt;"&amp;DATE(Einstellungen!$C$3,10,1)))</f>
        <v/>
      </c>
      <c r="Y135" s="54">
        <f>IF($B135="","",SUMIFS(Erfassung!$G$6:$G$5005,Erfassung!$B$6:$B$5005,$A135,Erfassung!$A$6:$A$5005,"&gt;="&amp;DATE(Einstellungen!$C$3,10,1),Erfassung!$A$6:$A$5005,"&lt;"&amp;DATE(Einstellungen!$C$3,11,1)))</f>
        <v/>
      </c>
      <c r="Z135" s="54">
        <f>IF($B135="","",SUMIFS(Erfassung!$G$6:$G$5005,Erfassung!$B$6:$B$5005,$A135,Erfassung!$A$6:$A$5005,"&gt;="&amp;DATE(Einstellungen!$C$3,11,1),Erfassung!$A$6:$A$5005,"&lt;"&amp;DATE(Einstellungen!$C$3,12,1)))</f>
        <v/>
      </c>
      <c r="AA135" s="54">
        <f>IF($B135="","",SUMIFS(Erfassung!$G$6:$G$5005,Erfassung!$B$6:$B$5005,$A135,Erfassung!$A$6:$A$5005,"&gt;="&amp;DATE(Einstellungen!$C$3,12,1),Erfassung!$A$6:$A$5005,"&lt;"&amp;DATE(Einstellungen!$C$3,13,1)))</f>
        <v/>
      </c>
      <c r="AB135" s="45">
        <f>IF($B135="","",SUM(P135:AA135))</f>
        <v/>
      </c>
      <c r="AC135" s="38">
        <f>IF($B135="","",IF(O135+AB135&gt;0,AB135/(O135+AB135),""))</f>
        <v/>
      </c>
    </row>
    <row r="136">
      <c r="A136" s="56">
        <f>'KQuote Mitarbeiter'!A136</f>
        <v/>
      </c>
      <c r="B136" s="57">
        <f>'KQuote Mitarbeiter'!B136</f>
        <v/>
      </c>
      <c r="C136" s="54">
        <f>IF($B136="","",SUMIFS(Erfassung!$E$6:$E$5005,Erfassung!$B$6:$B$5005,$A136,Erfassung!$A$6:$A$5005,"&gt;="&amp;DATE(Einstellungen!$C$3,1,1),Erfassung!$A$6:$A$5005,"&lt;"&amp;DATE(Einstellungen!$C$3,2,1)))</f>
        <v/>
      </c>
      <c r="D136" s="54">
        <f>IF($B136="","",SUMIFS(Erfassung!$E$6:$E$5005,Erfassung!$B$6:$B$5005,$A136,Erfassung!$A$6:$A$5005,"&gt;="&amp;DATE(Einstellungen!$C$3,2,1),Erfassung!$A$6:$A$5005,"&lt;"&amp;DATE(Einstellungen!$C$3,3,1)))</f>
        <v/>
      </c>
      <c r="E136" s="54">
        <f>IF($B136="","",SUMIFS(Erfassung!$E$6:$E$5005,Erfassung!$B$6:$B$5005,$A136,Erfassung!$A$6:$A$5005,"&gt;="&amp;DATE(Einstellungen!$C$3,3,1),Erfassung!$A$6:$A$5005,"&lt;"&amp;DATE(Einstellungen!$C$3,4,1)))</f>
        <v/>
      </c>
      <c r="F136" s="54">
        <f>IF($B136="","",SUMIFS(Erfassung!$E$6:$E$5005,Erfassung!$B$6:$B$5005,$A136,Erfassung!$A$6:$A$5005,"&gt;="&amp;DATE(Einstellungen!$C$3,4,1),Erfassung!$A$6:$A$5005,"&lt;"&amp;DATE(Einstellungen!$C$3,5,1)))</f>
        <v/>
      </c>
      <c r="G136" s="54">
        <f>IF($B136="","",SUMIFS(Erfassung!$E$6:$E$5005,Erfassung!$B$6:$B$5005,$A136,Erfassung!$A$6:$A$5005,"&gt;="&amp;DATE(Einstellungen!$C$3,5,1),Erfassung!$A$6:$A$5005,"&lt;"&amp;DATE(Einstellungen!$C$3,6,1)))</f>
        <v/>
      </c>
      <c r="H136" s="54">
        <f>IF($B136="","",SUMIFS(Erfassung!$E$6:$E$5005,Erfassung!$B$6:$B$5005,$A136,Erfassung!$A$6:$A$5005,"&gt;="&amp;DATE(Einstellungen!$C$3,6,1),Erfassung!$A$6:$A$5005,"&lt;"&amp;DATE(Einstellungen!$C$3,7,1)))</f>
        <v/>
      </c>
      <c r="I136" s="54">
        <f>IF($B136="","",SUMIFS(Erfassung!$E$6:$E$5005,Erfassung!$B$6:$B$5005,$A136,Erfassung!$A$6:$A$5005,"&gt;="&amp;DATE(Einstellungen!$C$3,7,1),Erfassung!$A$6:$A$5005,"&lt;"&amp;DATE(Einstellungen!$C$3,8,1)))</f>
        <v/>
      </c>
      <c r="J136" s="54">
        <f>IF($B136="","",SUMIFS(Erfassung!$E$6:$E$5005,Erfassung!$B$6:$B$5005,$A136,Erfassung!$A$6:$A$5005,"&gt;="&amp;DATE(Einstellungen!$C$3,8,1),Erfassung!$A$6:$A$5005,"&lt;"&amp;DATE(Einstellungen!$C$3,9,1)))</f>
        <v/>
      </c>
      <c r="K136" s="54">
        <f>IF($B136="","",SUMIFS(Erfassung!$E$6:$E$5005,Erfassung!$B$6:$B$5005,$A136,Erfassung!$A$6:$A$5005,"&gt;="&amp;DATE(Einstellungen!$C$3,9,1),Erfassung!$A$6:$A$5005,"&lt;"&amp;DATE(Einstellungen!$C$3,10,1)))</f>
        <v/>
      </c>
      <c r="L136" s="54">
        <f>IF($B136="","",SUMIFS(Erfassung!$E$6:$E$5005,Erfassung!$B$6:$B$5005,$A136,Erfassung!$A$6:$A$5005,"&gt;="&amp;DATE(Einstellungen!$C$3,10,1),Erfassung!$A$6:$A$5005,"&lt;"&amp;DATE(Einstellungen!$C$3,11,1)))</f>
        <v/>
      </c>
      <c r="M136" s="54">
        <f>IF($B136="","",SUMIFS(Erfassung!$E$6:$E$5005,Erfassung!$B$6:$B$5005,$A136,Erfassung!$A$6:$A$5005,"&gt;="&amp;DATE(Einstellungen!$C$3,11,1),Erfassung!$A$6:$A$5005,"&lt;"&amp;DATE(Einstellungen!$C$3,12,1)))</f>
        <v/>
      </c>
      <c r="N136" s="54">
        <f>IF($B136="","",SUMIFS(Erfassung!$E$6:$E$5005,Erfassung!$B$6:$B$5005,$A136,Erfassung!$A$6:$A$5005,"&gt;="&amp;DATE(Einstellungen!$C$3,12,1),Erfassung!$A$6:$A$5005,"&lt;"&amp;DATE(Einstellungen!$C$3,13,1)))</f>
        <v/>
      </c>
      <c r="O136" s="45">
        <f>IF($B136="","",SUM(C136:N136))</f>
        <v/>
      </c>
      <c r="P136" s="54">
        <f>IF($B136="","",SUMIFS(Erfassung!$G$6:$G$5005,Erfassung!$B$6:$B$5005,$A136,Erfassung!$A$6:$A$5005,"&gt;="&amp;DATE(Einstellungen!$C$3,1,1),Erfassung!$A$6:$A$5005,"&lt;"&amp;DATE(Einstellungen!$C$3,2,1)))</f>
        <v/>
      </c>
      <c r="Q136" s="54">
        <f>IF($B136="","",SUMIFS(Erfassung!$G$6:$G$5005,Erfassung!$B$6:$B$5005,$A136,Erfassung!$A$6:$A$5005,"&gt;="&amp;DATE(Einstellungen!$C$3,2,1),Erfassung!$A$6:$A$5005,"&lt;"&amp;DATE(Einstellungen!$C$3,3,1)))</f>
        <v/>
      </c>
      <c r="R136" s="54">
        <f>IF($B136="","",SUMIFS(Erfassung!$G$6:$G$5005,Erfassung!$B$6:$B$5005,$A136,Erfassung!$A$6:$A$5005,"&gt;="&amp;DATE(Einstellungen!$C$3,3,1),Erfassung!$A$6:$A$5005,"&lt;"&amp;DATE(Einstellungen!$C$3,4,1)))</f>
        <v/>
      </c>
      <c r="S136" s="54">
        <f>IF($B136="","",SUMIFS(Erfassung!$G$6:$G$5005,Erfassung!$B$6:$B$5005,$A136,Erfassung!$A$6:$A$5005,"&gt;="&amp;DATE(Einstellungen!$C$3,4,1),Erfassung!$A$6:$A$5005,"&lt;"&amp;DATE(Einstellungen!$C$3,5,1)))</f>
        <v/>
      </c>
      <c r="T136" s="54">
        <f>IF($B136="","",SUMIFS(Erfassung!$G$6:$G$5005,Erfassung!$B$6:$B$5005,$A136,Erfassung!$A$6:$A$5005,"&gt;="&amp;DATE(Einstellungen!$C$3,5,1),Erfassung!$A$6:$A$5005,"&lt;"&amp;DATE(Einstellungen!$C$3,6,1)))</f>
        <v/>
      </c>
      <c r="U136" s="54">
        <f>IF($B136="","",SUMIFS(Erfassung!$G$6:$G$5005,Erfassung!$B$6:$B$5005,$A136,Erfassung!$A$6:$A$5005,"&gt;="&amp;DATE(Einstellungen!$C$3,6,1),Erfassung!$A$6:$A$5005,"&lt;"&amp;DATE(Einstellungen!$C$3,7,1)))</f>
        <v/>
      </c>
      <c r="V136" s="54">
        <f>IF($B136="","",SUMIFS(Erfassung!$G$6:$G$5005,Erfassung!$B$6:$B$5005,$A136,Erfassung!$A$6:$A$5005,"&gt;="&amp;DATE(Einstellungen!$C$3,7,1),Erfassung!$A$6:$A$5005,"&lt;"&amp;DATE(Einstellungen!$C$3,8,1)))</f>
        <v/>
      </c>
      <c r="W136" s="54">
        <f>IF($B136="","",SUMIFS(Erfassung!$G$6:$G$5005,Erfassung!$B$6:$B$5005,$A136,Erfassung!$A$6:$A$5005,"&gt;="&amp;DATE(Einstellungen!$C$3,8,1),Erfassung!$A$6:$A$5005,"&lt;"&amp;DATE(Einstellungen!$C$3,9,1)))</f>
        <v/>
      </c>
      <c r="X136" s="54">
        <f>IF($B136="","",SUMIFS(Erfassung!$G$6:$G$5005,Erfassung!$B$6:$B$5005,$A136,Erfassung!$A$6:$A$5005,"&gt;="&amp;DATE(Einstellungen!$C$3,9,1),Erfassung!$A$6:$A$5005,"&lt;"&amp;DATE(Einstellungen!$C$3,10,1)))</f>
        <v/>
      </c>
      <c r="Y136" s="54">
        <f>IF($B136="","",SUMIFS(Erfassung!$G$6:$G$5005,Erfassung!$B$6:$B$5005,$A136,Erfassung!$A$6:$A$5005,"&gt;="&amp;DATE(Einstellungen!$C$3,10,1),Erfassung!$A$6:$A$5005,"&lt;"&amp;DATE(Einstellungen!$C$3,11,1)))</f>
        <v/>
      </c>
      <c r="Z136" s="54">
        <f>IF($B136="","",SUMIFS(Erfassung!$G$6:$G$5005,Erfassung!$B$6:$B$5005,$A136,Erfassung!$A$6:$A$5005,"&gt;="&amp;DATE(Einstellungen!$C$3,11,1),Erfassung!$A$6:$A$5005,"&lt;"&amp;DATE(Einstellungen!$C$3,12,1)))</f>
        <v/>
      </c>
      <c r="AA136" s="54">
        <f>IF($B136="","",SUMIFS(Erfassung!$G$6:$G$5005,Erfassung!$B$6:$B$5005,$A136,Erfassung!$A$6:$A$5005,"&gt;="&amp;DATE(Einstellungen!$C$3,12,1),Erfassung!$A$6:$A$5005,"&lt;"&amp;DATE(Einstellungen!$C$3,13,1)))</f>
        <v/>
      </c>
      <c r="AB136" s="45">
        <f>IF($B136="","",SUM(P136:AA136))</f>
        <v/>
      </c>
      <c r="AC136" s="38">
        <f>IF($B136="","",IF(O136+AB136&gt;0,AB136/(O136+AB136),""))</f>
        <v/>
      </c>
    </row>
    <row r="137">
      <c r="A137" s="56">
        <f>'KQuote Mitarbeiter'!A137</f>
        <v/>
      </c>
      <c r="B137" s="57">
        <f>'KQuote Mitarbeiter'!B137</f>
        <v/>
      </c>
      <c r="C137" s="54">
        <f>IF($B137="","",SUMIFS(Erfassung!$E$6:$E$5005,Erfassung!$B$6:$B$5005,$A137,Erfassung!$A$6:$A$5005,"&gt;="&amp;DATE(Einstellungen!$C$3,1,1),Erfassung!$A$6:$A$5005,"&lt;"&amp;DATE(Einstellungen!$C$3,2,1)))</f>
        <v/>
      </c>
      <c r="D137" s="54">
        <f>IF($B137="","",SUMIFS(Erfassung!$E$6:$E$5005,Erfassung!$B$6:$B$5005,$A137,Erfassung!$A$6:$A$5005,"&gt;="&amp;DATE(Einstellungen!$C$3,2,1),Erfassung!$A$6:$A$5005,"&lt;"&amp;DATE(Einstellungen!$C$3,3,1)))</f>
        <v/>
      </c>
      <c r="E137" s="54">
        <f>IF($B137="","",SUMIFS(Erfassung!$E$6:$E$5005,Erfassung!$B$6:$B$5005,$A137,Erfassung!$A$6:$A$5005,"&gt;="&amp;DATE(Einstellungen!$C$3,3,1),Erfassung!$A$6:$A$5005,"&lt;"&amp;DATE(Einstellungen!$C$3,4,1)))</f>
        <v/>
      </c>
      <c r="F137" s="54">
        <f>IF($B137="","",SUMIFS(Erfassung!$E$6:$E$5005,Erfassung!$B$6:$B$5005,$A137,Erfassung!$A$6:$A$5005,"&gt;="&amp;DATE(Einstellungen!$C$3,4,1),Erfassung!$A$6:$A$5005,"&lt;"&amp;DATE(Einstellungen!$C$3,5,1)))</f>
        <v/>
      </c>
      <c r="G137" s="54">
        <f>IF($B137="","",SUMIFS(Erfassung!$E$6:$E$5005,Erfassung!$B$6:$B$5005,$A137,Erfassung!$A$6:$A$5005,"&gt;="&amp;DATE(Einstellungen!$C$3,5,1),Erfassung!$A$6:$A$5005,"&lt;"&amp;DATE(Einstellungen!$C$3,6,1)))</f>
        <v/>
      </c>
      <c r="H137" s="54">
        <f>IF($B137="","",SUMIFS(Erfassung!$E$6:$E$5005,Erfassung!$B$6:$B$5005,$A137,Erfassung!$A$6:$A$5005,"&gt;="&amp;DATE(Einstellungen!$C$3,6,1),Erfassung!$A$6:$A$5005,"&lt;"&amp;DATE(Einstellungen!$C$3,7,1)))</f>
        <v/>
      </c>
      <c r="I137" s="54">
        <f>IF($B137="","",SUMIFS(Erfassung!$E$6:$E$5005,Erfassung!$B$6:$B$5005,$A137,Erfassung!$A$6:$A$5005,"&gt;="&amp;DATE(Einstellungen!$C$3,7,1),Erfassung!$A$6:$A$5005,"&lt;"&amp;DATE(Einstellungen!$C$3,8,1)))</f>
        <v/>
      </c>
      <c r="J137" s="54">
        <f>IF($B137="","",SUMIFS(Erfassung!$E$6:$E$5005,Erfassung!$B$6:$B$5005,$A137,Erfassung!$A$6:$A$5005,"&gt;="&amp;DATE(Einstellungen!$C$3,8,1),Erfassung!$A$6:$A$5005,"&lt;"&amp;DATE(Einstellungen!$C$3,9,1)))</f>
        <v/>
      </c>
      <c r="K137" s="54">
        <f>IF($B137="","",SUMIFS(Erfassung!$E$6:$E$5005,Erfassung!$B$6:$B$5005,$A137,Erfassung!$A$6:$A$5005,"&gt;="&amp;DATE(Einstellungen!$C$3,9,1),Erfassung!$A$6:$A$5005,"&lt;"&amp;DATE(Einstellungen!$C$3,10,1)))</f>
        <v/>
      </c>
      <c r="L137" s="54">
        <f>IF($B137="","",SUMIFS(Erfassung!$E$6:$E$5005,Erfassung!$B$6:$B$5005,$A137,Erfassung!$A$6:$A$5005,"&gt;="&amp;DATE(Einstellungen!$C$3,10,1),Erfassung!$A$6:$A$5005,"&lt;"&amp;DATE(Einstellungen!$C$3,11,1)))</f>
        <v/>
      </c>
      <c r="M137" s="54">
        <f>IF($B137="","",SUMIFS(Erfassung!$E$6:$E$5005,Erfassung!$B$6:$B$5005,$A137,Erfassung!$A$6:$A$5005,"&gt;="&amp;DATE(Einstellungen!$C$3,11,1),Erfassung!$A$6:$A$5005,"&lt;"&amp;DATE(Einstellungen!$C$3,12,1)))</f>
        <v/>
      </c>
      <c r="N137" s="54">
        <f>IF($B137="","",SUMIFS(Erfassung!$E$6:$E$5005,Erfassung!$B$6:$B$5005,$A137,Erfassung!$A$6:$A$5005,"&gt;="&amp;DATE(Einstellungen!$C$3,12,1),Erfassung!$A$6:$A$5005,"&lt;"&amp;DATE(Einstellungen!$C$3,13,1)))</f>
        <v/>
      </c>
      <c r="O137" s="45">
        <f>IF($B137="","",SUM(C137:N137))</f>
        <v/>
      </c>
      <c r="P137" s="54">
        <f>IF($B137="","",SUMIFS(Erfassung!$G$6:$G$5005,Erfassung!$B$6:$B$5005,$A137,Erfassung!$A$6:$A$5005,"&gt;="&amp;DATE(Einstellungen!$C$3,1,1),Erfassung!$A$6:$A$5005,"&lt;"&amp;DATE(Einstellungen!$C$3,2,1)))</f>
        <v/>
      </c>
      <c r="Q137" s="54">
        <f>IF($B137="","",SUMIFS(Erfassung!$G$6:$G$5005,Erfassung!$B$6:$B$5005,$A137,Erfassung!$A$6:$A$5005,"&gt;="&amp;DATE(Einstellungen!$C$3,2,1),Erfassung!$A$6:$A$5005,"&lt;"&amp;DATE(Einstellungen!$C$3,3,1)))</f>
        <v/>
      </c>
      <c r="R137" s="54">
        <f>IF($B137="","",SUMIFS(Erfassung!$G$6:$G$5005,Erfassung!$B$6:$B$5005,$A137,Erfassung!$A$6:$A$5005,"&gt;="&amp;DATE(Einstellungen!$C$3,3,1),Erfassung!$A$6:$A$5005,"&lt;"&amp;DATE(Einstellungen!$C$3,4,1)))</f>
        <v/>
      </c>
      <c r="S137" s="54">
        <f>IF($B137="","",SUMIFS(Erfassung!$G$6:$G$5005,Erfassung!$B$6:$B$5005,$A137,Erfassung!$A$6:$A$5005,"&gt;="&amp;DATE(Einstellungen!$C$3,4,1),Erfassung!$A$6:$A$5005,"&lt;"&amp;DATE(Einstellungen!$C$3,5,1)))</f>
        <v/>
      </c>
      <c r="T137" s="54">
        <f>IF($B137="","",SUMIFS(Erfassung!$G$6:$G$5005,Erfassung!$B$6:$B$5005,$A137,Erfassung!$A$6:$A$5005,"&gt;="&amp;DATE(Einstellungen!$C$3,5,1),Erfassung!$A$6:$A$5005,"&lt;"&amp;DATE(Einstellungen!$C$3,6,1)))</f>
        <v/>
      </c>
      <c r="U137" s="54">
        <f>IF($B137="","",SUMIFS(Erfassung!$G$6:$G$5005,Erfassung!$B$6:$B$5005,$A137,Erfassung!$A$6:$A$5005,"&gt;="&amp;DATE(Einstellungen!$C$3,6,1),Erfassung!$A$6:$A$5005,"&lt;"&amp;DATE(Einstellungen!$C$3,7,1)))</f>
        <v/>
      </c>
      <c r="V137" s="54">
        <f>IF($B137="","",SUMIFS(Erfassung!$G$6:$G$5005,Erfassung!$B$6:$B$5005,$A137,Erfassung!$A$6:$A$5005,"&gt;="&amp;DATE(Einstellungen!$C$3,7,1),Erfassung!$A$6:$A$5005,"&lt;"&amp;DATE(Einstellungen!$C$3,8,1)))</f>
        <v/>
      </c>
      <c r="W137" s="54">
        <f>IF($B137="","",SUMIFS(Erfassung!$G$6:$G$5005,Erfassung!$B$6:$B$5005,$A137,Erfassung!$A$6:$A$5005,"&gt;="&amp;DATE(Einstellungen!$C$3,8,1),Erfassung!$A$6:$A$5005,"&lt;"&amp;DATE(Einstellungen!$C$3,9,1)))</f>
        <v/>
      </c>
      <c r="X137" s="54">
        <f>IF($B137="","",SUMIFS(Erfassung!$G$6:$G$5005,Erfassung!$B$6:$B$5005,$A137,Erfassung!$A$6:$A$5005,"&gt;="&amp;DATE(Einstellungen!$C$3,9,1),Erfassung!$A$6:$A$5005,"&lt;"&amp;DATE(Einstellungen!$C$3,10,1)))</f>
        <v/>
      </c>
      <c r="Y137" s="54">
        <f>IF($B137="","",SUMIFS(Erfassung!$G$6:$G$5005,Erfassung!$B$6:$B$5005,$A137,Erfassung!$A$6:$A$5005,"&gt;="&amp;DATE(Einstellungen!$C$3,10,1),Erfassung!$A$6:$A$5005,"&lt;"&amp;DATE(Einstellungen!$C$3,11,1)))</f>
        <v/>
      </c>
      <c r="Z137" s="54">
        <f>IF($B137="","",SUMIFS(Erfassung!$G$6:$G$5005,Erfassung!$B$6:$B$5005,$A137,Erfassung!$A$6:$A$5005,"&gt;="&amp;DATE(Einstellungen!$C$3,11,1),Erfassung!$A$6:$A$5005,"&lt;"&amp;DATE(Einstellungen!$C$3,12,1)))</f>
        <v/>
      </c>
      <c r="AA137" s="54">
        <f>IF($B137="","",SUMIFS(Erfassung!$G$6:$G$5005,Erfassung!$B$6:$B$5005,$A137,Erfassung!$A$6:$A$5005,"&gt;="&amp;DATE(Einstellungen!$C$3,12,1),Erfassung!$A$6:$A$5005,"&lt;"&amp;DATE(Einstellungen!$C$3,13,1)))</f>
        <v/>
      </c>
      <c r="AB137" s="45">
        <f>IF($B137="","",SUM(P137:AA137))</f>
        <v/>
      </c>
      <c r="AC137" s="38">
        <f>IF($B137="","",IF(O137+AB137&gt;0,AB137/(O137+AB137),""))</f>
        <v/>
      </c>
    </row>
    <row r="138">
      <c r="A138" s="56">
        <f>'KQuote Mitarbeiter'!A138</f>
        <v/>
      </c>
      <c r="B138" s="57">
        <f>'KQuote Mitarbeiter'!B138</f>
        <v/>
      </c>
      <c r="C138" s="54">
        <f>IF($B138="","",SUMIFS(Erfassung!$E$6:$E$5005,Erfassung!$B$6:$B$5005,$A138,Erfassung!$A$6:$A$5005,"&gt;="&amp;DATE(Einstellungen!$C$3,1,1),Erfassung!$A$6:$A$5005,"&lt;"&amp;DATE(Einstellungen!$C$3,2,1)))</f>
        <v/>
      </c>
      <c r="D138" s="54">
        <f>IF($B138="","",SUMIFS(Erfassung!$E$6:$E$5005,Erfassung!$B$6:$B$5005,$A138,Erfassung!$A$6:$A$5005,"&gt;="&amp;DATE(Einstellungen!$C$3,2,1),Erfassung!$A$6:$A$5005,"&lt;"&amp;DATE(Einstellungen!$C$3,3,1)))</f>
        <v/>
      </c>
      <c r="E138" s="54">
        <f>IF($B138="","",SUMIFS(Erfassung!$E$6:$E$5005,Erfassung!$B$6:$B$5005,$A138,Erfassung!$A$6:$A$5005,"&gt;="&amp;DATE(Einstellungen!$C$3,3,1),Erfassung!$A$6:$A$5005,"&lt;"&amp;DATE(Einstellungen!$C$3,4,1)))</f>
        <v/>
      </c>
      <c r="F138" s="54">
        <f>IF($B138="","",SUMIFS(Erfassung!$E$6:$E$5005,Erfassung!$B$6:$B$5005,$A138,Erfassung!$A$6:$A$5005,"&gt;="&amp;DATE(Einstellungen!$C$3,4,1),Erfassung!$A$6:$A$5005,"&lt;"&amp;DATE(Einstellungen!$C$3,5,1)))</f>
        <v/>
      </c>
      <c r="G138" s="54">
        <f>IF($B138="","",SUMIFS(Erfassung!$E$6:$E$5005,Erfassung!$B$6:$B$5005,$A138,Erfassung!$A$6:$A$5005,"&gt;="&amp;DATE(Einstellungen!$C$3,5,1),Erfassung!$A$6:$A$5005,"&lt;"&amp;DATE(Einstellungen!$C$3,6,1)))</f>
        <v/>
      </c>
      <c r="H138" s="54">
        <f>IF($B138="","",SUMIFS(Erfassung!$E$6:$E$5005,Erfassung!$B$6:$B$5005,$A138,Erfassung!$A$6:$A$5005,"&gt;="&amp;DATE(Einstellungen!$C$3,6,1),Erfassung!$A$6:$A$5005,"&lt;"&amp;DATE(Einstellungen!$C$3,7,1)))</f>
        <v/>
      </c>
      <c r="I138" s="54">
        <f>IF($B138="","",SUMIFS(Erfassung!$E$6:$E$5005,Erfassung!$B$6:$B$5005,$A138,Erfassung!$A$6:$A$5005,"&gt;="&amp;DATE(Einstellungen!$C$3,7,1),Erfassung!$A$6:$A$5005,"&lt;"&amp;DATE(Einstellungen!$C$3,8,1)))</f>
        <v/>
      </c>
      <c r="J138" s="54">
        <f>IF($B138="","",SUMIFS(Erfassung!$E$6:$E$5005,Erfassung!$B$6:$B$5005,$A138,Erfassung!$A$6:$A$5005,"&gt;="&amp;DATE(Einstellungen!$C$3,8,1),Erfassung!$A$6:$A$5005,"&lt;"&amp;DATE(Einstellungen!$C$3,9,1)))</f>
        <v/>
      </c>
      <c r="K138" s="54">
        <f>IF($B138="","",SUMIFS(Erfassung!$E$6:$E$5005,Erfassung!$B$6:$B$5005,$A138,Erfassung!$A$6:$A$5005,"&gt;="&amp;DATE(Einstellungen!$C$3,9,1),Erfassung!$A$6:$A$5005,"&lt;"&amp;DATE(Einstellungen!$C$3,10,1)))</f>
        <v/>
      </c>
      <c r="L138" s="54">
        <f>IF($B138="","",SUMIFS(Erfassung!$E$6:$E$5005,Erfassung!$B$6:$B$5005,$A138,Erfassung!$A$6:$A$5005,"&gt;="&amp;DATE(Einstellungen!$C$3,10,1),Erfassung!$A$6:$A$5005,"&lt;"&amp;DATE(Einstellungen!$C$3,11,1)))</f>
        <v/>
      </c>
      <c r="M138" s="54">
        <f>IF($B138="","",SUMIFS(Erfassung!$E$6:$E$5005,Erfassung!$B$6:$B$5005,$A138,Erfassung!$A$6:$A$5005,"&gt;="&amp;DATE(Einstellungen!$C$3,11,1),Erfassung!$A$6:$A$5005,"&lt;"&amp;DATE(Einstellungen!$C$3,12,1)))</f>
        <v/>
      </c>
      <c r="N138" s="54">
        <f>IF($B138="","",SUMIFS(Erfassung!$E$6:$E$5005,Erfassung!$B$6:$B$5005,$A138,Erfassung!$A$6:$A$5005,"&gt;="&amp;DATE(Einstellungen!$C$3,12,1),Erfassung!$A$6:$A$5005,"&lt;"&amp;DATE(Einstellungen!$C$3,13,1)))</f>
        <v/>
      </c>
      <c r="O138" s="45">
        <f>IF($B138="","",SUM(C138:N138))</f>
        <v/>
      </c>
      <c r="P138" s="54">
        <f>IF($B138="","",SUMIFS(Erfassung!$G$6:$G$5005,Erfassung!$B$6:$B$5005,$A138,Erfassung!$A$6:$A$5005,"&gt;="&amp;DATE(Einstellungen!$C$3,1,1),Erfassung!$A$6:$A$5005,"&lt;"&amp;DATE(Einstellungen!$C$3,2,1)))</f>
        <v/>
      </c>
      <c r="Q138" s="54">
        <f>IF($B138="","",SUMIFS(Erfassung!$G$6:$G$5005,Erfassung!$B$6:$B$5005,$A138,Erfassung!$A$6:$A$5005,"&gt;="&amp;DATE(Einstellungen!$C$3,2,1),Erfassung!$A$6:$A$5005,"&lt;"&amp;DATE(Einstellungen!$C$3,3,1)))</f>
        <v/>
      </c>
      <c r="R138" s="54">
        <f>IF($B138="","",SUMIFS(Erfassung!$G$6:$G$5005,Erfassung!$B$6:$B$5005,$A138,Erfassung!$A$6:$A$5005,"&gt;="&amp;DATE(Einstellungen!$C$3,3,1),Erfassung!$A$6:$A$5005,"&lt;"&amp;DATE(Einstellungen!$C$3,4,1)))</f>
        <v/>
      </c>
      <c r="S138" s="54">
        <f>IF($B138="","",SUMIFS(Erfassung!$G$6:$G$5005,Erfassung!$B$6:$B$5005,$A138,Erfassung!$A$6:$A$5005,"&gt;="&amp;DATE(Einstellungen!$C$3,4,1),Erfassung!$A$6:$A$5005,"&lt;"&amp;DATE(Einstellungen!$C$3,5,1)))</f>
        <v/>
      </c>
      <c r="T138" s="54">
        <f>IF($B138="","",SUMIFS(Erfassung!$G$6:$G$5005,Erfassung!$B$6:$B$5005,$A138,Erfassung!$A$6:$A$5005,"&gt;="&amp;DATE(Einstellungen!$C$3,5,1),Erfassung!$A$6:$A$5005,"&lt;"&amp;DATE(Einstellungen!$C$3,6,1)))</f>
        <v/>
      </c>
      <c r="U138" s="54">
        <f>IF($B138="","",SUMIFS(Erfassung!$G$6:$G$5005,Erfassung!$B$6:$B$5005,$A138,Erfassung!$A$6:$A$5005,"&gt;="&amp;DATE(Einstellungen!$C$3,6,1),Erfassung!$A$6:$A$5005,"&lt;"&amp;DATE(Einstellungen!$C$3,7,1)))</f>
        <v/>
      </c>
      <c r="V138" s="54">
        <f>IF($B138="","",SUMIFS(Erfassung!$G$6:$G$5005,Erfassung!$B$6:$B$5005,$A138,Erfassung!$A$6:$A$5005,"&gt;="&amp;DATE(Einstellungen!$C$3,7,1),Erfassung!$A$6:$A$5005,"&lt;"&amp;DATE(Einstellungen!$C$3,8,1)))</f>
        <v/>
      </c>
      <c r="W138" s="54">
        <f>IF($B138="","",SUMIFS(Erfassung!$G$6:$G$5005,Erfassung!$B$6:$B$5005,$A138,Erfassung!$A$6:$A$5005,"&gt;="&amp;DATE(Einstellungen!$C$3,8,1),Erfassung!$A$6:$A$5005,"&lt;"&amp;DATE(Einstellungen!$C$3,9,1)))</f>
        <v/>
      </c>
      <c r="X138" s="54">
        <f>IF($B138="","",SUMIFS(Erfassung!$G$6:$G$5005,Erfassung!$B$6:$B$5005,$A138,Erfassung!$A$6:$A$5005,"&gt;="&amp;DATE(Einstellungen!$C$3,9,1),Erfassung!$A$6:$A$5005,"&lt;"&amp;DATE(Einstellungen!$C$3,10,1)))</f>
        <v/>
      </c>
      <c r="Y138" s="54">
        <f>IF($B138="","",SUMIFS(Erfassung!$G$6:$G$5005,Erfassung!$B$6:$B$5005,$A138,Erfassung!$A$6:$A$5005,"&gt;="&amp;DATE(Einstellungen!$C$3,10,1),Erfassung!$A$6:$A$5005,"&lt;"&amp;DATE(Einstellungen!$C$3,11,1)))</f>
        <v/>
      </c>
      <c r="Z138" s="54">
        <f>IF($B138="","",SUMIFS(Erfassung!$G$6:$G$5005,Erfassung!$B$6:$B$5005,$A138,Erfassung!$A$6:$A$5005,"&gt;="&amp;DATE(Einstellungen!$C$3,11,1),Erfassung!$A$6:$A$5005,"&lt;"&amp;DATE(Einstellungen!$C$3,12,1)))</f>
        <v/>
      </c>
      <c r="AA138" s="54">
        <f>IF($B138="","",SUMIFS(Erfassung!$G$6:$G$5005,Erfassung!$B$6:$B$5005,$A138,Erfassung!$A$6:$A$5005,"&gt;="&amp;DATE(Einstellungen!$C$3,12,1),Erfassung!$A$6:$A$5005,"&lt;"&amp;DATE(Einstellungen!$C$3,13,1)))</f>
        <v/>
      </c>
      <c r="AB138" s="45">
        <f>IF($B138="","",SUM(P138:AA138))</f>
        <v/>
      </c>
      <c r="AC138" s="38">
        <f>IF($B138="","",IF(O138+AB138&gt;0,AB138/(O138+AB138),""))</f>
        <v/>
      </c>
    </row>
    <row r="139">
      <c r="A139" s="56">
        <f>'KQuote Mitarbeiter'!A139</f>
        <v/>
      </c>
      <c r="B139" s="57">
        <f>'KQuote Mitarbeiter'!B139</f>
        <v/>
      </c>
      <c r="C139" s="54">
        <f>IF($B139="","",SUMIFS(Erfassung!$E$6:$E$5005,Erfassung!$B$6:$B$5005,$A139,Erfassung!$A$6:$A$5005,"&gt;="&amp;DATE(Einstellungen!$C$3,1,1),Erfassung!$A$6:$A$5005,"&lt;"&amp;DATE(Einstellungen!$C$3,2,1)))</f>
        <v/>
      </c>
      <c r="D139" s="54">
        <f>IF($B139="","",SUMIFS(Erfassung!$E$6:$E$5005,Erfassung!$B$6:$B$5005,$A139,Erfassung!$A$6:$A$5005,"&gt;="&amp;DATE(Einstellungen!$C$3,2,1),Erfassung!$A$6:$A$5005,"&lt;"&amp;DATE(Einstellungen!$C$3,3,1)))</f>
        <v/>
      </c>
      <c r="E139" s="54">
        <f>IF($B139="","",SUMIFS(Erfassung!$E$6:$E$5005,Erfassung!$B$6:$B$5005,$A139,Erfassung!$A$6:$A$5005,"&gt;="&amp;DATE(Einstellungen!$C$3,3,1),Erfassung!$A$6:$A$5005,"&lt;"&amp;DATE(Einstellungen!$C$3,4,1)))</f>
        <v/>
      </c>
      <c r="F139" s="54">
        <f>IF($B139="","",SUMIFS(Erfassung!$E$6:$E$5005,Erfassung!$B$6:$B$5005,$A139,Erfassung!$A$6:$A$5005,"&gt;="&amp;DATE(Einstellungen!$C$3,4,1),Erfassung!$A$6:$A$5005,"&lt;"&amp;DATE(Einstellungen!$C$3,5,1)))</f>
        <v/>
      </c>
      <c r="G139" s="54">
        <f>IF($B139="","",SUMIFS(Erfassung!$E$6:$E$5005,Erfassung!$B$6:$B$5005,$A139,Erfassung!$A$6:$A$5005,"&gt;="&amp;DATE(Einstellungen!$C$3,5,1),Erfassung!$A$6:$A$5005,"&lt;"&amp;DATE(Einstellungen!$C$3,6,1)))</f>
        <v/>
      </c>
      <c r="H139" s="54">
        <f>IF($B139="","",SUMIFS(Erfassung!$E$6:$E$5005,Erfassung!$B$6:$B$5005,$A139,Erfassung!$A$6:$A$5005,"&gt;="&amp;DATE(Einstellungen!$C$3,6,1),Erfassung!$A$6:$A$5005,"&lt;"&amp;DATE(Einstellungen!$C$3,7,1)))</f>
        <v/>
      </c>
      <c r="I139" s="54">
        <f>IF($B139="","",SUMIFS(Erfassung!$E$6:$E$5005,Erfassung!$B$6:$B$5005,$A139,Erfassung!$A$6:$A$5005,"&gt;="&amp;DATE(Einstellungen!$C$3,7,1),Erfassung!$A$6:$A$5005,"&lt;"&amp;DATE(Einstellungen!$C$3,8,1)))</f>
        <v/>
      </c>
      <c r="J139" s="54">
        <f>IF($B139="","",SUMIFS(Erfassung!$E$6:$E$5005,Erfassung!$B$6:$B$5005,$A139,Erfassung!$A$6:$A$5005,"&gt;="&amp;DATE(Einstellungen!$C$3,8,1),Erfassung!$A$6:$A$5005,"&lt;"&amp;DATE(Einstellungen!$C$3,9,1)))</f>
        <v/>
      </c>
      <c r="K139" s="54">
        <f>IF($B139="","",SUMIFS(Erfassung!$E$6:$E$5005,Erfassung!$B$6:$B$5005,$A139,Erfassung!$A$6:$A$5005,"&gt;="&amp;DATE(Einstellungen!$C$3,9,1),Erfassung!$A$6:$A$5005,"&lt;"&amp;DATE(Einstellungen!$C$3,10,1)))</f>
        <v/>
      </c>
      <c r="L139" s="54">
        <f>IF($B139="","",SUMIFS(Erfassung!$E$6:$E$5005,Erfassung!$B$6:$B$5005,$A139,Erfassung!$A$6:$A$5005,"&gt;="&amp;DATE(Einstellungen!$C$3,10,1),Erfassung!$A$6:$A$5005,"&lt;"&amp;DATE(Einstellungen!$C$3,11,1)))</f>
        <v/>
      </c>
      <c r="M139" s="54">
        <f>IF($B139="","",SUMIFS(Erfassung!$E$6:$E$5005,Erfassung!$B$6:$B$5005,$A139,Erfassung!$A$6:$A$5005,"&gt;="&amp;DATE(Einstellungen!$C$3,11,1),Erfassung!$A$6:$A$5005,"&lt;"&amp;DATE(Einstellungen!$C$3,12,1)))</f>
        <v/>
      </c>
      <c r="N139" s="54">
        <f>IF($B139="","",SUMIFS(Erfassung!$E$6:$E$5005,Erfassung!$B$6:$B$5005,$A139,Erfassung!$A$6:$A$5005,"&gt;="&amp;DATE(Einstellungen!$C$3,12,1),Erfassung!$A$6:$A$5005,"&lt;"&amp;DATE(Einstellungen!$C$3,13,1)))</f>
        <v/>
      </c>
      <c r="O139" s="45">
        <f>IF($B139="","",SUM(C139:N139))</f>
        <v/>
      </c>
      <c r="P139" s="54">
        <f>IF($B139="","",SUMIFS(Erfassung!$G$6:$G$5005,Erfassung!$B$6:$B$5005,$A139,Erfassung!$A$6:$A$5005,"&gt;="&amp;DATE(Einstellungen!$C$3,1,1),Erfassung!$A$6:$A$5005,"&lt;"&amp;DATE(Einstellungen!$C$3,2,1)))</f>
        <v/>
      </c>
      <c r="Q139" s="54">
        <f>IF($B139="","",SUMIFS(Erfassung!$G$6:$G$5005,Erfassung!$B$6:$B$5005,$A139,Erfassung!$A$6:$A$5005,"&gt;="&amp;DATE(Einstellungen!$C$3,2,1),Erfassung!$A$6:$A$5005,"&lt;"&amp;DATE(Einstellungen!$C$3,3,1)))</f>
        <v/>
      </c>
      <c r="R139" s="54">
        <f>IF($B139="","",SUMIFS(Erfassung!$G$6:$G$5005,Erfassung!$B$6:$B$5005,$A139,Erfassung!$A$6:$A$5005,"&gt;="&amp;DATE(Einstellungen!$C$3,3,1),Erfassung!$A$6:$A$5005,"&lt;"&amp;DATE(Einstellungen!$C$3,4,1)))</f>
        <v/>
      </c>
      <c r="S139" s="54">
        <f>IF($B139="","",SUMIFS(Erfassung!$G$6:$G$5005,Erfassung!$B$6:$B$5005,$A139,Erfassung!$A$6:$A$5005,"&gt;="&amp;DATE(Einstellungen!$C$3,4,1),Erfassung!$A$6:$A$5005,"&lt;"&amp;DATE(Einstellungen!$C$3,5,1)))</f>
        <v/>
      </c>
      <c r="T139" s="54">
        <f>IF($B139="","",SUMIFS(Erfassung!$G$6:$G$5005,Erfassung!$B$6:$B$5005,$A139,Erfassung!$A$6:$A$5005,"&gt;="&amp;DATE(Einstellungen!$C$3,5,1),Erfassung!$A$6:$A$5005,"&lt;"&amp;DATE(Einstellungen!$C$3,6,1)))</f>
        <v/>
      </c>
      <c r="U139" s="54">
        <f>IF($B139="","",SUMIFS(Erfassung!$G$6:$G$5005,Erfassung!$B$6:$B$5005,$A139,Erfassung!$A$6:$A$5005,"&gt;="&amp;DATE(Einstellungen!$C$3,6,1),Erfassung!$A$6:$A$5005,"&lt;"&amp;DATE(Einstellungen!$C$3,7,1)))</f>
        <v/>
      </c>
      <c r="V139" s="54">
        <f>IF($B139="","",SUMIFS(Erfassung!$G$6:$G$5005,Erfassung!$B$6:$B$5005,$A139,Erfassung!$A$6:$A$5005,"&gt;="&amp;DATE(Einstellungen!$C$3,7,1),Erfassung!$A$6:$A$5005,"&lt;"&amp;DATE(Einstellungen!$C$3,8,1)))</f>
        <v/>
      </c>
      <c r="W139" s="54">
        <f>IF($B139="","",SUMIFS(Erfassung!$G$6:$G$5005,Erfassung!$B$6:$B$5005,$A139,Erfassung!$A$6:$A$5005,"&gt;="&amp;DATE(Einstellungen!$C$3,8,1),Erfassung!$A$6:$A$5005,"&lt;"&amp;DATE(Einstellungen!$C$3,9,1)))</f>
        <v/>
      </c>
      <c r="X139" s="54">
        <f>IF($B139="","",SUMIFS(Erfassung!$G$6:$G$5005,Erfassung!$B$6:$B$5005,$A139,Erfassung!$A$6:$A$5005,"&gt;="&amp;DATE(Einstellungen!$C$3,9,1),Erfassung!$A$6:$A$5005,"&lt;"&amp;DATE(Einstellungen!$C$3,10,1)))</f>
        <v/>
      </c>
      <c r="Y139" s="54">
        <f>IF($B139="","",SUMIFS(Erfassung!$G$6:$G$5005,Erfassung!$B$6:$B$5005,$A139,Erfassung!$A$6:$A$5005,"&gt;="&amp;DATE(Einstellungen!$C$3,10,1),Erfassung!$A$6:$A$5005,"&lt;"&amp;DATE(Einstellungen!$C$3,11,1)))</f>
        <v/>
      </c>
      <c r="Z139" s="54">
        <f>IF($B139="","",SUMIFS(Erfassung!$G$6:$G$5005,Erfassung!$B$6:$B$5005,$A139,Erfassung!$A$6:$A$5005,"&gt;="&amp;DATE(Einstellungen!$C$3,11,1),Erfassung!$A$6:$A$5005,"&lt;"&amp;DATE(Einstellungen!$C$3,12,1)))</f>
        <v/>
      </c>
      <c r="AA139" s="54">
        <f>IF($B139="","",SUMIFS(Erfassung!$G$6:$G$5005,Erfassung!$B$6:$B$5005,$A139,Erfassung!$A$6:$A$5005,"&gt;="&amp;DATE(Einstellungen!$C$3,12,1),Erfassung!$A$6:$A$5005,"&lt;"&amp;DATE(Einstellungen!$C$3,13,1)))</f>
        <v/>
      </c>
      <c r="AB139" s="45">
        <f>IF($B139="","",SUM(P139:AA139))</f>
        <v/>
      </c>
      <c r="AC139" s="38">
        <f>IF($B139="","",IF(O139+AB139&gt;0,AB139/(O139+AB139),""))</f>
        <v/>
      </c>
    </row>
    <row r="140">
      <c r="A140" s="56">
        <f>'KQuote Mitarbeiter'!A140</f>
        <v/>
      </c>
      <c r="B140" s="57">
        <f>'KQuote Mitarbeiter'!B140</f>
        <v/>
      </c>
      <c r="C140" s="54">
        <f>IF($B140="","",SUMIFS(Erfassung!$E$6:$E$5005,Erfassung!$B$6:$B$5005,$A140,Erfassung!$A$6:$A$5005,"&gt;="&amp;DATE(Einstellungen!$C$3,1,1),Erfassung!$A$6:$A$5005,"&lt;"&amp;DATE(Einstellungen!$C$3,2,1)))</f>
        <v/>
      </c>
      <c r="D140" s="54">
        <f>IF($B140="","",SUMIFS(Erfassung!$E$6:$E$5005,Erfassung!$B$6:$B$5005,$A140,Erfassung!$A$6:$A$5005,"&gt;="&amp;DATE(Einstellungen!$C$3,2,1),Erfassung!$A$6:$A$5005,"&lt;"&amp;DATE(Einstellungen!$C$3,3,1)))</f>
        <v/>
      </c>
      <c r="E140" s="54">
        <f>IF($B140="","",SUMIFS(Erfassung!$E$6:$E$5005,Erfassung!$B$6:$B$5005,$A140,Erfassung!$A$6:$A$5005,"&gt;="&amp;DATE(Einstellungen!$C$3,3,1),Erfassung!$A$6:$A$5005,"&lt;"&amp;DATE(Einstellungen!$C$3,4,1)))</f>
        <v/>
      </c>
      <c r="F140" s="54">
        <f>IF($B140="","",SUMIFS(Erfassung!$E$6:$E$5005,Erfassung!$B$6:$B$5005,$A140,Erfassung!$A$6:$A$5005,"&gt;="&amp;DATE(Einstellungen!$C$3,4,1),Erfassung!$A$6:$A$5005,"&lt;"&amp;DATE(Einstellungen!$C$3,5,1)))</f>
        <v/>
      </c>
      <c r="G140" s="54">
        <f>IF($B140="","",SUMIFS(Erfassung!$E$6:$E$5005,Erfassung!$B$6:$B$5005,$A140,Erfassung!$A$6:$A$5005,"&gt;="&amp;DATE(Einstellungen!$C$3,5,1),Erfassung!$A$6:$A$5005,"&lt;"&amp;DATE(Einstellungen!$C$3,6,1)))</f>
        <v/>
      </c>
      <c r="H140" s="54">
        <f>IF($B140="","",SUMIFS(Erfassung!$E$6:$E$5005,Erfassung!$B$6:$B$5005,$A140,Erfassung!$A$6:$A$5005,"&gt;="&amp;DATE(Einstellungen!$C$3,6,1),Erfassung!$A$6:$A$5005,"&lt;"&amp;DATE(Einstellungen!$C$3,7,1)))</f>
        <v/>
      </c>
      <c r="I140" s="54">
        <f>IF($B140="","",SUMIFS(Erfassung!$E$6:$E$5005,Erfassung!$B$6:$B$5005,$A140,Erfassung!$A$6:$A$5005,"&gt;="&amp;DATE(Einstellungen!$C$3,7,1),Erfassung!$A$6:$A$5005,"&lt;"&amp;DATE(Einstellungen!$C$3,8,1)))</f>
        <v/>
      </c>
      <c r="J140" s="54">
        <f>IF($B140="","",SUMIFS(Erfassung!$E$6:$E$5005,Erfassung!$B$6:$B$5005,$A140,Erfassung!$A$6:$A$5005,"&gt;="&amp;DATE(Einstellungen!$C$3,8,1),Erfassung!$A$6:$A$5005,"&lt;"&amp;DATE(Einstellungen!$C$3,9,1)))</f>
        <v/>
      </c>
      <c r="K140" s="54">
        <f>IF($B140="","",SUMIFS(Erfassung!$E$6:$E$5005,Erfassung!$B$6:$B$5005,$A140,Erfassung!$A$6:$A$5005,"&gt;="&amp;DATE(Einstellungen!$C$3,9,1),Erfassung!$A$6:$A$5005,"&lt;"&amp;DATE(Einstellungen!$C$3,10,1)))</f>
        <v/>
      </c>
      <c r="L140" s="54">
        <f>IF($B140="","",SUMIFS(Erfassung!$E$6:$E$5005,Erfassung!$B$6:$B$5005,$A140,Erfassung!$A$6:$A$5005,"&gt;="&amp;DATE(Einstellungen!$C$3,10,1),Erfassung!$A$6:$A$5005,"&lt;"&amp;DATE(Einstellungen!$C$3,11,1)))</f>
        <v/>
      </c>
      <c r="M140" s="54">
        <f>IF($B140="","",SUMIFS(Erfassung!$E$6:$E$5005,Erfassung!$B$6:$B$5005,$A140,Erfassung!$A$6:$A$5005,"&gt;="&amp;DATE(Einstellungen!$C$3,11,1),Erfassung!$A$6:$A$5005,"&lt;"&amp;DATE(Einstellungen!$C$3,12,1)))</f>
        <v/>
      </c>
      <c r="N140" s="54">
        <f>IF($B140="","",SUMIFS(Erfassung!$E$6:$E$5005,Erfassung!$B$6:$B$5005,$A140,Erfassung!$A$6:$A$5005,"&gt;="&amp;DATE(Einstellungen!$C$3,12,1),Erfassung!$A$6:$A$5005,"&lt;"&amp;DATE(Einstellungen!$C$3,13,1)))</f>
        <v/>
      </c>
      <c r="O140" s="45">
        <f>IF($B140="","",SUM(C140:N140))</f>
        <v/>
      </c>
      <c r="P140" s="54">
        <f>IF($B140="","",SUMIFS(Erfassung!$G$6:$G$5005,Erfassung!$B$6:$B$5005,$A140,Erfassung!$A$6:$A$5005,"&gt;="&amp;DATE(Einstellungen!$C$3,1,1),Erfassung!$A$6:$A$5005,"&lt;"&amp;DATE(Einstellungen!$C$3,2,1)))</f>
        <v/>
      </c>
      <c r="Q140" s="54">
        <f>IF($B140="","",SUMIFS(Erfassung!$G$6:$G$5005,Erfassung!$B$6:$B$5005,$A140,Erfassung!$A$6:$A$5005,"&gt;="&amp;DATE(Einstellungen!$C$3,2,1),Erfassung!$A$6:$A$5005,"&lt;"&amp;DATE(Einstellungen!$C$3,3,1)))</f>
        <v/>
      </c>
      <c r="R140" s="54">
        <f>IF($B140="","",SUMIFS(Erfassung!$G$6:$G$5005,Erfassung!$B$6:$B$5005,$A140,Erfassung!$A$6:$A$5005,"&gt;="&amp;DATE(Einstellungen!$C$3,3,1),Erfassung!$A$6:$A$5005,"&lt;"&amp;DATE(Einstellungen!$C$3,4,1)))</f>
        <v/>
      </c>
      <c r="S140" s="54">
        <f>IF($B140="","",SUMIFS(Erfassung!$G$6:$G$5005,Erfassung!$B$6:$B$5005,$A140,Erfassung!$A$6:$A$5005,"&gt;="&amp;DATE(Einstellungen!$C$3,4,1),Erfassung!$A$6:$A$5005,"&lt;"&amp;DATE(Einstellungen!$C$3,5,1)))</f>
        <v/>
      </c>
      <c r="T140" s="54">
        <f>IF($B140="","",SUMIFS(Erfassung!$G$6:$G$5005,Erfassung!$B$6:$B$5005,$A140,Erfassung!$A$6:$A$5005,"&gt;="&amp;DATE(Einstellungen!$C$3,5,1),Erfassung!$A$6:$A$5005,"&lt;"&amp;DATE(Einstellungen!$C$3,6,1)))</f>
        <v/>
      </c>
      <c r="U140" s="54">
        <f>IF($B140="","",SUMIFS(Erfassung!$G$6:$G$5005,Erfassung!$B$6:$B$5005,$A140,Erfassung!$A$6:$A$5005,"&gt;="&amp;DATE(Einstellungen!$C$3,6,1),Erfassung!$A$6:$A$5005,"&lt;"&amp;DATE(Einstellungen!$C$3,7,1)))</f>
        <v/>
      </c>
      <c r="V140" s="54">
        <f>IF($B140="","",SUMIFS(Erfassung!$G$6:$G$5005,Erfassung!$B$6:$B$5005,$A140,Erfassung!$A$6:$A$5005,"&gt;="&amp;DATE(Einstellungen!$C$3,7,1),Erfassung!$A$6:$A$5005,"&lt;"&amp;DATE(Einstellungen!$C$3,8,1)))</f>
        <v/>
      </c>
      <c r="W140" s="54">
        <f>IF($B140="","",SUMIFS(Erfassung!$G$6:$G$5005,Erfassung!$B$6:$B$5005,$A140,Erfassung!$A$6:$A$5005,"&gt;="&amp;DATE(Einstellungen!$C$3,8,1),Erfassung!$A$6:$A$5005,"&lt;"&amp;DATE(Einstellungen!$C$3,9,1)))</f>
        <v/>
      </c>
      <c r="X140" s="54">
        <f>IF($B140="","",SUMIFS(Erfassung!$G$6:$G$5005,Erfassung!$B$6:$B$5005,$A140,Erfassung!$A$6:$A$5005,"&gt;="&amp;DATE(Einstellungen!$C$3,9,1),Erfassung!$A$6:$A$5005,"&lt;"&amp;DATE(Einstellungen!$C$3,10,1)))</f>
        <v/>
      </c>
      <c r="Y140" s="54">
        <f>IF($B140="","",SUMIFS(Erfassung!$G$6:$G$5005,Erfassung!$B$6:$B$5005,$A140,Erfassung!$A$6:$A$5005,"&gt;="&amp;DATE(Einstellungen!$C$3,10,1),Erfassung!$A$6:$A$5005,"&lt;"&amp;DATE(Einstellungen!$C$3,11,1)))</f>
        <v/>
      </c>
      <c r="Z140" s="54">
        <f>IF($B140="","",SUMIFS(Erfassung!$G$6:$G$5005,Erfassung!$B$6:$B$5005,$A140,Erfassung!$A$6:$A$5005,"&gt;="&amp;DATE(Einstellungen!$C$3,11,1),Erfassung!$A$6:$A$5005,"&lt;"&amp;DATE(Einstellungen!$C$3,12,1)))</f>
        <v/>
      </c>
      <c r="AA140" s="54">
        <f>IF($B140="","",SUMIFS(Erfassung!$G$6:$G$5005,Erfassung!$B$6:$B$5005,$A140,Erfassung!$A$6:$A$5005,"&gt;="&amp;DATE(Einstellungen!$C$3,12,1),Erfassung!$A$6:$A$5005,"&lt;"&amp;DATE(Einstellungen!$C$3,13,1)))</f>
        <v/>
      </c>
      <c r="AB140" s="45">
        <f>IF($B140="","",SUM(P140:AA140))</f>
        <v/>
      </c>
      <c r="AC140" s="38">
        <f>IF($B140="","",IF(O140+AB140&gt;0,AB140/(O140+AB140),""))</f>
        <v/>
      </c>
    </row>
    <row r="141">
      <c r="A141" s="56">
        <f>'KQuote Mitarbeiter'!A141</f>
        <v/>
      </c>
      <c r="B141" s="57">
        <f>'KQuote Mitarbeiter'!B141</f>
        <v/>
      </c>
      <c r="C141" s="54">
        <f>IF($B141="","",SUMIFS(Erfassung!$E$6:$E$5005,Erfassung!$B$6:$B$5005,$A141,Erfassung!$A$6:$A$5005,"&gt;="&amp;DATE(Einstellungen!$C$3,1,1),Erfassung!$A$6:$A$5005,"&lt;"&amp;DATE(Einstellungen!$C$3,2,1)))</f>
        <v/>
      </c>
      <c r="D141" s="54">
        <f>IF($B141="","",SUMIFS(Erfassung!$E$6:$E$5005,Erfassung!$B$6:$B$5005,$A141,Erfassung!$A$6:$A$5005,"&gt;="&amp;DATE(Einstellungen!$C$3,2,1),Erfassung!$A$6:$A$5005,"&lt;"&amp;DATE(Einstellungen!$C$3,3,1)))</f>
        <v/>
      </c>
      <c r="E141" s="54">
        <f>IF($B141="","",SUMIFS(Erfassung!$E$6:$E$5005,Erfassung!$B$6:$B$5005,$A141,Erfassung!$A$6:$A$5005,"&gt;="&amp;DATE(Einstellungen!$C$3,3,1),Erfassung!$A$6:$A$5005,"&lt;"&amp;DATE(Einstellungen!$C$3,4,1)))</f>
        <v/>
      </c>
      <c r="F141" s="54">
        <f>IF($B141="","",SUMIFS(Erfassung!$E$6:$E$5005,Erfassung!$B$6:$B$5005,$A141,Erfassung!$A$6:$A$5005,"&gt;="&amp;DATE(Einstellungen!$C$3,4,1),Erfassung!$A$6:$A$5005,"&lt;"&amp;DATE(Einstellungen!$C$3,5,1)))</f>
        <v/>
      </c>
      <c r="G141" s="54">
        <f>IF($B141="","",SUMIFS(Erfassung!$E$6:$E$5005,Erfassung!$B$6:$B$5005,$A141,Erfassung!$A$6:$A$5005,"&gt;="&amp;DATE(Einstellungen!$C$3,5,1),Erfassung!$A$6:$A$5005,"&lt;"&amp;DATE(Einstellungen!$C$3,6,1)))</f>
        <v/>
      </c>
      <c r="H141" s="54">
        <f>IF($B141="","",SUMIFS(Erfassung!$E$6:$E$5005,Erfassung!$B$6:$B$5005,$A141,Erfassung!$A$6:$A$5005,"&gt;="&amp;DATE(Einstellungen!$C$3,6,1),Erfassung!$A$6:$A$5005,"&lt;"&amp;DATE(Einstellungen!$C$3,7,1)))</f>
        <v/>
      </c>
      <c r="I141" s="54">
        <f>IF($B141="","",SUMIFS(Erfassung!$E$6:$E$5005,Erfassung!$B$6:$B$5005,$A141,Erfassung!$A$6:$A$5005,"&gt;="&amp;DATE(Einstellungen!$C$3,7,1),Erfassung!$A$6:$A$5005,"&lt;"&amp;DATE(Einstellungen!$C$3,8,1)))</f>
        <v/>
      </c>
      <c r="J141" s="54">
        <f>IF($B141="","",SUMIFS(Erfassung!$E$6:$E$5005,Erfassung!$B$6:$B$5005,$A141,Erfassung!$A$6:$A$5005,"&gt;="&amp;DATE(Einstellungen!$C$3,8,1),Erfassung!$A$6:$A$5005,"&lt;"&amp;DATE(Einstellungen!$C$3,9,1)))</f>
        <v/>
      </c>
      <c r="K141" s="54">
        <f>IF($B141="","",SUMIFS(Erfassung!$E$6:$E$5005,Erfassung!$B$6:$B$5005,$A141,Erfassung!$A$6:$A$5005,"&gt;="&amp;DATE(Einstellungen!$C$3,9,1),Erfassung!$A$6:$A$5005,"&lt;"&amp;DATE(Einstellungen!$C$3,10,1)))</f>
        <v/>
      </c>
      <c r="L141" s="54">
        <f>IF($B141="","",SUMIFS(Erfassung!$E$6:$E$5005,Erfassung!$B$6:$B$5005,$A141,Erfassung!$A$6:$A$5005,"&gt;="&amp;DATE(Einstellungen!$C$3,10,1),Erfassung!$A$6:$A$5005,"&lt;"&amp;DATE(Einstellungen!$C$3,11,1)))</f>
        <v/>
      </c>
      <c r="M141" s="54">
        <f>IF($B141="","",SUMIFS(Erfassung!$E$6:$E$5005,Erfassung!$B$6:$B$5005,$A141,Erfassung!$A$6:$A$5005,"&gt;="&amp;DATE(Einstellungen!$C$3,11,1),Erfassung!$A$6:$A$5005,"&lt;"&amp;DATE(Einstellungen!$C$3,12,1)))</f>
        <v/>
      </c>
      <c r="N141" s="54">
        <f>IF($B141="","",SUMIFS(Erfassung!$E$6:$E$5005,Erfassung!$B$6:$B$5005,$A141,Erfassung!$A$6:$A$5005,"&gt;="&amp;DATE(Einstellungen!$C$3,12,1),Erfassung!$A$6:$A$5005,"&lt;"&amp;DATE(Einstellungen!$C$3,13,1)))</f>
        <v/>
      </c>
      <c r="O141" s="45">
        <f>IF($B141="","",SUM(C141:N141))</f>
        <v/>
      </c>
      <c r="P141" s="54">
        <f>IF($B141="","",SUMIFS(Erfassung!$G$6:$G$5005,Erfassung!$B$6:$B$5005,$A141,Erfassung!$A$6:$A$5005,"&gt;="&amp;DATE(Einstellungen!$C$3,1,1),Erfassung!$A$6:$A$5005,"&lt;"&amp;DATE(Einstellungen!$C$3,2,1)))</f>
        <v/>
      </c>
      <c r="Q141" s="54">
        <f>IF($B141="","",SUMIFS(Erfassung!$G$6:$G$5005,Erfassung!$B$6:$B$5005,$A141,Erfassung!$A$6:$A$5005,"&gt;="&amp;DATE(Einstellungen!$C$3,2,1),Erfassung!$A$6:$A$5005,"&lt;"&amp;DATE(Einstellungen!$C$3,3,1)))</f>
        <v/>
      </c>
      <c r="R141" s="54">
        <f>IF($B141="","",SUMIFS(Erfassung!$G$6:$G$5005,Erfassung!$B$6:$B$5005,$A141,Erfassung!$A$6:$A$5005,"&gt;="&amp;DATE(Einstellungen!$C$3,3,1),Erfassung!$A$6:$A$5005,"&lt;"&amp;DATE(Einstellungen!$C$3,4,1)))</f>
        <v/>
      </c>
      <c r="S141" s="54">
        <f>IF($B141="","",SUMIFS(Erfassung!$G$6:$G$5005,Erfassung!$B$6:$B$5005,$A141,Erfassung!$A$6:$A$5005,"&gt;="&amp;DATE(Einstellungen!$C$3,4,1),Erfassung!$A$6:$A$5005,"&lt;"&amp;DATE(Einstellungen!$C$3,5,1)))</f>
        <v/>
      </c>
      <c r="T141" s="54">
        <f>IF($B141="","",SUMIFS(Erfassung!$G$6:$G$5005,Erfassung!$B$6:$B$5005,$A141,Erfassung!$A$6:$A$5005,"&gt;="&amp;DATE(Einstellungen!$C$3,5,1),Erfassung!$A$6:$A$5005,"&lt;"&amp;DATE(Einstellungen!$C$3,6,1)))</f>
        <v/>
      </c>
      <c r="U141" s="54">
        <f>IF($B141="","",SUMIFS(Erfassung!$G$6:$G$5005,Erfassung!$B$6:$B$5005,$A141,Erfassung!$A$6:$A$5005,"&gt;="&amp;DATE(Einstellungen!$C$3,6,1),Erfassung!$A$6:$A$5005,"&lt;"&amp;DATE(Einstellungen!$C$3,7,1)))</f>
        <v/>
      </c>
      <c r="V141" s="54">
        <f>IF($B141="","",SUMIFS(Erfassung!$G$6:$G$5005,Erfassung!$B$6:$B$5005,$A141,Erfassung!$A$6:$A$5005,"&gt;="&amp;DATE(Einstellungen!$C$3,7,1),Erfassung!$A$6:$A$5005,"&lt;"&amp;DATE(Einstellungen!$C$3,8,1)))</f>
        <v/>
      </c>
      <c r="W141" s="54">
        <f>IF($B141="","",SUMIFS(Erfassung!$G$6:$G$5005,Erfassung!$B$6:$B$5005,$A141,Erfassung!$A$6:$A$5005,"&gt;="&amp;DATE(Einstellungen!$C$3,8,1),Erfassung!$A$6:$A$5005,"&lt;"&amp;DATE(Einstellungen!$C$3,9,1)))</f>
        <v/>
      </c>
      <c r="X141" s="54">
        <f>IF($B141="","",SUMIFS(Erfassung!$G$6:$G$5005,Erfassung!$B$6:$B$5005,$A141,Erfassung!$A$6:$A$5005,"&gt;="&amp;DATE(Einstellungen!$C$3,9,1),Erfassung!$A$6:$A$5005,"&lt;"&amp;DATE(Einstellungen!$C$3,10,1)))</f>
        <v/>
      </c>
      <c r="Y141" s="54">
        <f>IF($B141="","",SUMIFS(Erfassung!$G$6:$G$5005,Erfassung!$B$6:$B$5005,$A141,Erfassung!$A$6:$A$5005,"&gt;="&amp;DATE(Einstellungen!$C$3,10,1),Erfassung!$A$6:$A$5005,"&lt;"&amp;DATE(Einstellungen!$C$3,11,1)))</f>
        <v/>
      </c>
      <c r="Z141" s="54">
        <f>IF($B141="","",SUMIFS(Erfassung!$G$6:$G$5005,Erfassung!$B$6:$B$5005,$A141,Erfassung!$A$6:$A$5005,"&gt;="&amp;DATE(Einstellungen!$C$3,11,1),Erfassung!$A$6:$A$5005,"&lt;"&amp;DATE(Einstellungen!$C$3,12,1)))</f>
        <v/>
      </c>
      <c r="AA141" s="54">
        <f>IF($B141="","",SUMIFS(Erfassung!$G$6:$G$5005,Erfassung!$B$6:$B$5005,$A141,Erfassung!$A$6:$A$5005,"&gt;="&amp;DATE(Einstellungen!$C$3,12,1),Erfassung!$A$6:$A$5005,"&lt;"&amp;DATE(Einstellungen!$C$3,13,1)))</f>
        <v/>
      </c>
      <c r="AB141" s="45">
        <f>IF($B141="","",SUM(P141:AA141))</f>
        <v/>
      </c>
      <c r="AC141" s="38">
        <f>IF($B141="","",IF(O141+AB141&gt;0,AB141/(O141+AB141),""))</f>
        <v/>
      </c>
    </row>
    <row r="142">
      <c r="A142" s="56">
        <f>'KQuote Mitarbeiter'!A142</f>
        <v/>
      </c>
      <c r="B142" s="57">
        <f>'KQuote Mitarbeiter'!B142</f>
        <v/>
      </c>
      <c r="C142" s="54">
        <f>IF($B142="","",SUMIFS(Erfassung!$E$6:$E$5005,Erfassung!$B$6:$B$5005,$A142,Erfassung!$A$6:$A$5005,"&gt;="&amp;DATE(Einstellungen!$C$3,1,1),Erfassung!$A$6:$A$5005,"&lt;"&amp;DATE(Einstellungen!$C$3,2,1)))</f>
        <v/>
      </c>
      <c r="D142" s="54">
        <f>IF($B142="","",SUMIFS(Erfassung!$E$6:$E$5005,Erfassung!$B$6:$B$5005,$A142,Erfassung!$A$6:$A$5005,"&gt;="&amp;DATE(Einstellungen!$C$3,2,1),Erfassung!$A$6:$A$5005,"&lt;"&amp;DATE(Einstellungen!$C$3,3,1)))</f>
        <v/>
      </c>
      <c r="E142" s="54">
        <f>IF($B142="","",SUMIFS(Erfassung!$E$6:$E$5005,Erfassung!$B$6:$B$5005,$A142,Erfassung!$A$6:$A$5005,"&gt;="&amp;DATE(Einstellungen!$C$3,3,1),Erfassung!$A$6:$A$5005,"&lt;"&amp;DATE(Einstellungen!$C$3,4,1)))</f>
        <v/>
      </c>
      <c r="F142" s="54">
        <f>IF($B142="","",SUMIFS(Erfassung!$E$6:$E$5005,Erfassung!$B$6:$B$5005,$A142,Erfassung!$A$6:$A$5005,"&gt;="&amp;DATE(Einstellungen!$C$3,4,1),Erfassung!$A$6:$A$5005,"&lt;"&amp;DATE(Einstellungen!$C$3,5,1)))</f>
        <v/>
      </c>
      <c r="G142" s="54">
        <f>IF($B142="","",SUMIFS(Erfassung!$E$6:$E$5005,Erfassung!$B$6:$B$5005,$A142,Erfassung!$A$6:$A$5005,"&gt;="&amp;DATE(Einstellungen!$C$3,5,1),Erfassung!$A$6:$A$5005,"&lt;"&amp;DATE(Einstellungen!$C$3,6,1)))</f>
        <v/>
      </c>
      <c r="H142" s="54">
        <f>IF($B142="","",SUMIFS(Erfassung!$E$6:$E$5005,Erfassung!$B$6:$B$5005,$A142,Erfassung!$A$6:$A$5005,"&gt;="&amp;DATE(Einstellungen!$C$3,6,1),Erfassung!$A$6:$A$5005,"&lt;"&amp;DATE(Einstellungen!$C$3,7,1)))</f>
        <v/>
      </c>
      <c r="I142" s="54">
        <f>IF($B142="","",SUMIFS(Erfassung!$E$6:$E$5005,Erfassung!$B$6:$B$5005,$A142,Erfassung!$A$6:$A$5005,"&gt;="&amp;DATE(Einstellungen!$C$3,7,1),Erfassung!$A$6:$A$5005,"&lt;"&amp;DATE(Einstellungen!$C$3,8,1)))</f>
        <v/>
      </c>
      <c r="J142" s="54">
        <f>IF($B142="","",SUMIFS(Erfassung!$E$6:$E$5005,Erfassung!$B$6:$B$5005,$A142,Erfassung!$A$6:$A$5005,"&gt;="&amp;DATE(Einstellungen!$C$3,8,1),Erfassung!$A$6:$A$5005,"&lt;"&amp;DATE(Einstellungen!$C$3,9,1)))</f>
        <v/>
      </c>
      <c r="K142" s="54">
        <f>IF($B142="","",SUMIFS(Erfassung!$E$6:$E$5005,Erfassung!$B$6:$B$5005,$A142,Erfassung!$A$6:$A$5005,"&gt;="&amp;DATE(Einstellungen!$C$3,9,1),Erfassung!$A$6:$A$5005,"&lt;"&amp;DATE(Einstellungen!$C$3,10,1)))</f>
        <v/>
      </c>
      <c r="L142" s="54">
        <f>IF($B142="","",SUMIFS(Erfassung!$E$6:$E$5005,Erfassung!$B$6:$B$5005,$A142,Erfassung!$A$6:$A$5005,"&gt;="&amp;DATE(Einstellungen!$C$3,10,1),Erfassung!$A$6:$A$5005,"&lt;"&amp;DATE(Einstellungen!$C$3,11,1)))</f>
        <v/>
      </c>
      <c r="M142" s="54">
        <f>IF($B142="","",SUMIFS(Erfassung!$E$6:$E$5005,Erfassung!$B$6:$B$5005,$A142,Erfassung!$A$6:$A$5005,"&gt;="&amp;DATE(Einstellungen!$C$3,11,1),Erfassung!$A$6:$A$5005,"&lt;"&amp;DATE(Einstellungen!$C$3,12,1)))</f>
        <v/>
      </c>
      <c r="N142" s="54">
        <f>IF($B142="","",SUMIFS(Erfassung!$E$6:$E$5005,Erfassung!$B$6:$B$5005,$A142,Erfassung!$A$6:$A$5005,"&gt;="&amp;DATE(Einstellungen!$C$3,12,1),Erfassung!$A$6:$A$5005,"&lt;"&amp;DATE(Einstellungen!$C$3,13,1)))</f>
        <v/>
      </c>
      <c r="O142" s="45">
        <f>IF($B142="","",SUM(C142:N142))</f>
        <v/>
      </c>
      <c r="P142" s="54">
        <f>IF($B142="","",SUMIFS(Erfassung!$G$6:$G$5005,Erfassung!$B$6:$B$5005,$A142,Erfassung!$A$6:$A$5005,"&gt;="&amp;DATE(Einstellungen!$C$3,1,1),Erfassung!$A$6:$A$5005,"&lt;"&amp;DATE(Einstellungen!$C$3,2,1)))</f>
        <v/>
      </c>
      <c r="Q142" s="54">
        <f>IF($B142="","",SUMIFS(Erfassung!$G$6:$G$5005,Erfassung!$B$6:$B$5005,$A142,Erfassung!$A$6:$A$5005,"&gt;="&amp;DATE(Einstellungen!$C$3,2,1),Erfassung!$A$6:$A$5005,"&lt;"&amp;DATE(Einstellungen!$C$3,3,1)))</f>
        <v/>
      </c>
      <c r="R142" s="54">
        <f>IF($B142="","",SUMIFS(Erfassung!$G$6:$G$5005,Erfassung!$B$6:$B$5005,$A142,Erfassung!$A$6:$A$5005,"&gt;="&amp;DATE(Einstellungen!$C$3,3,1),Erfassung!$A$6:$A$5005,"&lt;"&amp;DATE(Einstellungen!$C$3,4,1)))</f>
        <v/>
      </c>
      <c r="S142" s="54">
        <f>IF($B142="","",SUMIFS(Erfassung!$G$6:$G$5005,Erfassung!$B$6:$B$5005,$A142,Erfassung!$A$6:$A$5005,"&gt;="&amp;DATE(Einstellungen!$C$3,4,1),Erfassung!$A$6:$A$5005,"&lt;"&amp;DATE(Einstellungen!$C$3,5,1)))</f>
        <v/>
      </c>
      <c r="T142" s="54">
        <f>IF($B142="","",SUMIFS(Erfassung!$G$6:$G$5005,Erfassung!$B$6:$B$5005,$A142,Erfassung!$A$6:$A$5005,"&gt;="&amp;DATE(Einstellungen!$C$3,5,1),Erfassung!$A$6:$A$5005,"&lt;"&amp;DATE(Einstellungen!$C$3,6,1)))</f>
        <v/>
      </c>
      <c r="U142" s="54">
        <f>IF($B142="","",SUMIFS(Erfassung!$G$6:$G$5005,Erfassung!$B$6:$B$5005,$A142,Erfassung!$A$6:$A$5005,"&gt;="&amp;DATE(Einstellungen!$C$3,6,1),Erfassung!$A$6:$A$5005,"&lt;"&amp;DATE(Einstellungen!$C$3,7,1)))</f>
        <v/>
      </c>
      <c r="V142" s="54">
        <f>IF($B142="","",SUMIFS(Erfassung!$G$6:$G$5005,Erfassung!$B$6:$B$5005,$A142,Erfassung!$A$6:$A$5005,"&gt;="&amp;DATE(Einstellungen!$C$3,7,1),Erfassung!$A$6:$A$5005,"&lt;"&amp;DATE(Einstellungen!$C$3,8,1)))</f>
        <v/>
      </c>
      <c r="W142" s="54">
        <f>IF($B142="","",SUMIFS(Erfassung!$G$6:$G$5005,Erfassung!$B$6:$B$5005,$A142,Erfassung!$A$6:$A$5005,"&gt;="&amp;DATE(Einstellungen!$C$3,8,1),Erfassung!$A$6:$A$5005,"&lt;"&amp;DATE(Einstellungen!$C$3,9,1)))</f>
        <v/>
      </c>
      <c r="X142" s="54">
        <f>IF($B142="","",SUMIFS(Erfassung!$G$6:$G$5005,Erfassung!$B$6:$B$5005,$A142,Erfassung!$A$6:$A$5005,"&gt;="&amp;DATE(Einstellungen!$C$3,9,1),Erfassung!$A$6:$A$5005,"&lt;"&amp;DATE(Einstellungen!$C$3,10,1)))</f>
        <v/>
      </c>
      <c r="Y142" s="54">
        <f>IF($B142="","",SUMIFS(Erfassung!$G$6:$G$5005,Erfassung!$B$6:$B$5005,$A142,Erfassung!$A$6:$A$5005,"&gt;="&amp;DATE(Einstellungen!$C$3,10,1),Erfassung!$A$6:$A$5005,"&lt;"&amp;DATE(Einstellungen!$C$3,11,1)))</f>
        <v/>
      </c>
      <c r="Z142" s="54">
        <f>IF($B142="","",SUMIFS(Erfassung!$G$6:$G$5005,Erfassung!$B$6:$B$5005,$A142,Erfassung!$A$6:$A$5005,"&gt;="&amp;DATE(Einstellungen!$C$3,11,1),Erfassung!$A$6:$A$5005,"&lt;"&amp;DATE(Einstellungen!$C$3,12,1)))</f>
        <v/>
      </c>
      <c r="AA142" s="54">
        <f>IF($B142="","",SUMIFS(Erfassung!$G$6:$G$5005,Erfassung!$B$6:$B$5005,$A142,Erfassung!$A$6:$A$5005,"&gt;="&amp;DATE(Einstellungen!$C$3,12,1),Erfassung!$A$6:$A$5005,"&lt;"&amp;DATE(Einstellungen!$C$3,13,1)))</f>
        <v/>
      </c>
      <c r="AB142" s="45">
        <f>IF($B142="","",SUM(P142:AA142))</f>
        <v/>
      </c>
      <c r="AC142" s="38">
        <f>IF($B142="","",IF(O142+AB142&gt;0,AB142/(O142+AB142),""))</f>
        <v/>
      </c>
    </row>
    <row r="143">
      <c r="A143" s="56">
        <f>'KQuote Mitarbeiter'!A143</f>
        <v/>
      </c>
      <c r="B143" s="57">
        <f>'KQuote Mitarbeiter'!B143</f>
        <v/>
      </c>
      <c r="C143" s="54">
        <f>IF($B143="","",SUMIFS(Erfassung!$E$6:$E$5005,Erfassung!$B$6:$B$5005,$A143,Erfassung!$A$6:$A$5005,"&gt;="&amp;DATE(Einstellungen!$C$3,1,1),Erfassung!$A$6:$A$5005,"&lt;"&amp;DATE(Einstellungen!$C$3,2,1)))</f>
        <v/>
      </c>
      <c r="D143" s="54">
        <f>IF($B143="","",SUMIFS(Erfassung!$E$6:$E$5005,Erfassung!$B$6:$B$5005,$A143,Erfassung!$A$6:$A$5005,"&gt;="&amp;DATE(Einstellungen!$C$3,2,1),Erfassung!$A$6:$A$5005,"&lt;"&amp;DATE(Einstellungen!$C$3,3,1)))</f>
        <v/>
      </c>
      <c r="E143" s="54">
        <f>IF($B143="","",SUMIFS(Erfassung!$E$6:$E$5005,Erfassung!$B$6:$B$5005,$A143,Erfassung!$A$6:$A$5005,"&gt;="&amp;DATE(Einstellungen!$C$3,3,1),Erfassung!$A$6:$A$5005,"&lt;"&amp;DATE(Einstellungen!$C$3,4,1)))</f>
        <v/>
      </c>
      <c r="F143" s="54">
        <f>IF($B143="","",SUMIFS(Erfassung!$E$6:$E$5005,Erfassung!$B$6:$B$5005,$A143,Erfassung!$A$6:$A$5005,"&gt;="&amp;DATE(Einstellungen!$C$3,4,1),Erfassung!$A$6:$A$5005,"&lt;"&amp;DATE(Einstellungen!$C$3,5,1)))</f>
        <v/>
      </c>
      <c r="G143" s="54">
        <f>IF($B143="","",SUMIFS(Erfassung!$E$6:$E$5005,Erfassung!$B$6:$B$5005,$A143,Erfassung!$A$6:$A$5005,"&gt;="&amp;DATE(Einstellungen!$C$3,5,1),Erfassung!$A$6:$A$5005,"&lt;"&amp;DATE(Einstellungen!$C$3,6,1)))</f>
        <v/>
      </c>
      <c r="H143" s="54">
        <f>IF($B143="","",SUMIFS(Erfassung!$E$6:$E$5005,Erfassung!$B$6:$B$5005,$A143,Erfassung!$A$6:$A$5005,"&gt;="&amp;DATE(Einstellungen!$C$3,6,1),Erfassung!$A$6:$A$5005,"&lt;"&amp;DATE(Einstellungen!$C$3,7,1)))</f>
        <v/>
      </c>
      <c r="I143" s="54">
        <f>IF($B143="","",SUMIFS(Erfassung!$E$6:$E$5005,Erfassung!$B$6:$B$5005,$A143,Erfassung!$A$6:$A$5005,"&gt;="&amp;DATE(Einstellungen!$C$3,7,1),Erfassung!$A$6:$A$5005,"&lt;"&amp;DATE(Einstellungen!$C$3,8,1)))</f>
        <v/>
      </c>
      <c r="J143" s="54">
        <f>IF($B143="","",SUMIFS(Erfassung!$E$6:$E$5005,Erfassung!$B$6:$B$5005,$A143,Erfassung!$A$6:$A$5005,"&gt;="&amp;DATE(Einstellungen!$C$3,8,1),Erfassung!$A$6:$A$5005,"&lt;"&amp;DATE(Einstellungen!$C$3,9,1)))</f>
        <v/>
      </c>
      <c r="K143" s="54">
        <f>IF($B143="","",SUMIFS(Erfassung!$E$6:$E$5005,Erfassung!$B$6:$B$5005,$A143,Erfassung!$A$6:$A$5005,"&gt;="&amp;DATE(Einstellungen!$C$3,9,1),Erfassung!$A$6:$A$5005,"&lt;"&amp;DATE(Einstellungen!$C$3,10,1)))</f>
        <v/>
      </c>
      <c r="L143" s="54">
        <f>IF($B143="","",SUMIFS(Erfassung!$E$6:$E$5005,Erfassung!$B$6:$B$5005,$A143,Erfassung!$A$6:$A$5005,"&gt;="&amp;DATE(Einstellungen!$C$3,10,1),Erfassung!$A$6:$A$5005,"&lt;"&amp;DATE(Einstellungen!$C$3,11,1)))</f>
        <v/>
      </c>
      <c r="M143" s="54">
        <f>IF($B143="","",SUMIFS(Erfassung!$E$6:$E$5005,Erfassung!$B$6:$B$5005,$A143,Erfassung!$A$6:$A$5005,"&gt;="&amp;DATE(Einstellungen!$C$3,11,1),Erfassung!$A$6:$A$5005,"&lt;"&amp;DATE(Einstellungen!$C$3,12,1)))</f>
        <v/>
      </c>
      <c r="N143" s="54">
        <f>IF($B143="","",SUMIFS(Erfassung!$E$6:$E$5005,Erfassung!$B$6:$B$5005,$A143,Erfassung!$A$6:$A$5005,"&gt;="&amp;DATE(Einstellungen!$C$3,12,1),Erfassung!$A$6:$A$5005,"&lt;"&amp;DATE(Einstellungen!$C$3,13,1)))</f>
        <v/>
      </c>
      <c r="O143" s="45">
        <f>IF($B143="","",SUM(C143:N143))</f>
        <v/>
      </c>
      <c r="P143" s="54">
        <f>IF($B143="","",SUMIFS(Erfassung!$G$6:$G$5005,Erfassung!$B$6:$B$5005,$A143,Erfassung!$A$6:$A$5005,"&gt;="&amp;DATE(Einstellungen!$C$3,1,1),Erfassung!$A$6:$A$5005,"&lt;"&amp;DATE(Einstellungen!$C$3,2,1)))</f>
        <v/>
      </c>
      <c r="Q143" s="54">
        <f>IF($B143="","",SUMIFS(Erfassung!$G$6:$G$5005,Erfassung!$B$6:$B$5005,$A143,Erfassung!$A$6:$A$5005,"&gt;="&amp;DATE(Einstellungen!$C$3,2,1),Erfassung!$A$6:$A$5005,"&lt;"&amp;DATE(Einstellungen!$C$3,3,1)))</f>
        <v/>
      </c>
      <c r="R143" s="54">
        <f>IF($B143="","",SUMIFS(Erfassung!$G$6:$G$5005,Erfassung!$B$6:$B$5005,$A143,Erfassung!$A$6:$A$5005,"&gt;="&amp;DATE(Einstellungen!$C$3,3,1),Erfassung!$A$6:$A$5005,"&lt;"&amp;DATE(Einstellungen!$C$3,4,1)))</f>
        <v/>
      </c>
      <c r="S143" s="54">
        <f>IF($B143="","",SUMIFS(Erfassung!$G$6:$G$5005,Erfassung!$B$6:$B$5005,$A143,Erfassung!$A$6:$A$5005,"&gt;="&amp;DATE(Einstellungen!$C$3,4,1),Erfassung!$A$6:$A$5005,"&lt;"&amp;DATE(Einstellungen!$C$3,5,1)))</f>
        <v/>
      </c>
      <c r="T143" s="54">
        <f>IF($B143="","",SUMIFS(Erfassung!$G$6:$G$5005,Erfassung!$B$6:$B$5005,$A143,Erfassung!$A$6:$A$5005,"&gt;="&amp;DATE(Einstellungen!$C$3,5,1),Erfassung!$A$6:$A$5005,"&lt;"&amp;DATE(Einstellungen!$C$3,6,1)))</f>
        <v/>
      </c>
      <c r="U143" s="54">
        <f>IF($B143="","",SUMIFS(Erfassung!$G$6:$G$5005,Erfassung!$B$6:$B$5005,$A143,Erfassung!$A$6:$A$5005,"&gt;="&amp;DATE(Einstellungen!$C$3,6,1),Erfassung!$A$6:$A$5005,"&lt;"&amp;DATE(Einstellungen!$C$3,7,1)))</f>
        <v/>
      </c>
      <c r="V143" s="54">
        <f>IF($B143="","",SUMIFS(Erfassung!$G$6:$G$5005,Erfassung!$B$6:$B$5005,$A143,Erfassung!$A$6:$A$5005,"&gt;="&amp;DATE(Einstellungen!$C$3,7,1),Erfassung!$A$6:$A$5005,"&lt;"&amp;DATE(Einstellungen!$C$3,8,1)))</f>
        <v/>
      </c>
      <c r="W143" s="54">
        <f>IF($B143="","",SUMIFS(Erfassung!$G$6:$G$5005,Erfassung!$B$6:$B$5005,$A143,Erfassung!$A$6:$A$5005,"&gt;="&amp;DATE(Einstellungen!$C$3,8,1),Erfassung!$A$6:$A$5005,"&lt;"&amp;DATE(Einstellungen!$C$3,9,1)))</f>
        <v/>
      </c>
      <c r="X143" s="54">
        <f>IF($B143="","",SUMIFS(Erfassung!$G$6:$G$5005,Erfassung!$B$6:$B$5005,$A143,Erfassung!$A$6:$A$5005,"&gt;="&amp;DATE(Einstellungen!$C$3,9,1),Erfassung!$A$6:$A$5005,"&lt;"&amp;DATE(Einstellungen!$C$3,10,1)))</f>
        <v/>
      </c>
      <c r="Y143" s="54">
        <f>IF($B143="","",SUMIFS(Erfassung!$G$6:$G$5005,Erfassung!$B$6:$B$5005,$A143,Erfassung!$A$6:$A$5005,"&gt;="&amp;DATE(Einstellungen!$C$3,10,1),Erfassung!$A$6:$A$5005,"&lt;"&amp;DATE(Einstellungen!$C$3,11,1)))</f>
        <v/>
      </c>
      <c r="Z143" s="54">
        <f>IF($B143="","",SUMIFS(Erfassung!$G$6:$G$5005,Erfassung!$B$6:$B$5005,$A143,Erfassung!$A$6:$A$5005,"&gt;="&amp;DATE(Einstellungen!$C$3,11,1),Erfassung!$A$6:$A$5005,"&lt;"&amp;DATE(Einstellungen!$C$3,12,1)))</f>
        <v/>
      </c>
      <c r="AA143" s="54">
        <f>IF($B143="","",SUMIFS(Erfassung!$G$6:$G$5005,Erfassung!$B$6:$B$5005,$A143,Erfassung!$A$6:$A$5005,"&gt;="&amp;DATE(Einstellungen!$C$3,12,1),Erfassung!$A$6:$A$5005,"&lt;"&amp;DATE(Einstellungen!$C$3,13,1)))</f>
        <v/>
      </c>
      <c r="AB143" s="45">
        <f>IF($B143="","",SUM(P143:AA143))</f>
        <v/>
      </c>
      <c r="AC143" s="38">
        <f>IF($B143="","",IF(O143+AB143&gt;0,AB143/(O143+AB143),""))</f>
        <v/>
      </c>
    </row>
    <row r="144">
      <c r="A144" s="56">
        <f>'KQuote Mitarbeiter'!A144</f>
        <v/>
      </c>
      <c r="B144" s="57">
        <f>'KQuote Mitarbeiter'!B144</f>
        <v/>
      </c>
      <c r="C144" s="54">
        <f>IF($B144="","",SUMIFS(Erfassung!$E$6:$E$5005,Erfassung!$B$6:$B$5005,$A144,Erfassung!$A$6:$A$5005,"&gt;="&amp;DATE(Einstellungen!$C$3,1,1),Erfassung!$A$6:$A$5005,"&lt;"&amp;DATE(Einstellungen!$C$3,2,1)))</f>
        <v/>
      </c>
      <c r="D144" s="54">
        <f>IF($B144="","",SUMIFS(Erfassung!$E$6:$E$5005,Erfassung!$B$6:$B$5005,$A144,Erfassung!$A$6:$A$5005,"&gt;="&amp;DATE(Einstellungen!$C$3,2,1),Erfassung!$A$6:$A$5005,"&lt;"&amp;DATE(Einstellungen!$C$3,3,1)))</f>
        <v/>
      </c>
      <c r="E144" s="54">
        <f>IF($B144="","",SUMIFS(Erfassung!$E$6:$E$5005,Erfassung!$B$6:$B$5005,$A144,Erfassung!$A$6:$A$5005,"&gt;="&amp;DATE(Einstellungen!$C$3,3,1),Erfassung!$A$6:$A$5005,"&lt;"&amp;DATE(Einstellungen!$C$3,4,1)))</f>
        <v/>
      </c>
      <c r="F144" s="54">
        <f>IF($B144="","",SUMIFS(Erfassung!$E$6:$E$5005,Erfassung!$B$6:$B$5005,$A144,Erfassung!$A$6:$A$5005,"&gt;="&amp;DATE(Einstellungen!$C$3,4,1),Erfassung!$A$6:$A$5005,"&lt;"&amp;DATE(Einstellungen!$C$3,5,1)))</f>
        <v/>
      </c>
      <c r="G144" s="54">
        <f>IF($B144="","",SUMIFS(Erfassung!$E$6:$E$5005,Erfassung!$B$6:$B$5005,$A144,Erfassung!$A$6:$A$5005,"&gt;="&amp;DATE(Einstellungen!$C$3,5,1),Erfassung!$A$6:$A$5005,"&lt;"&amp;DATE(Einstellungen!$C$3,6,1)))</f>
        <v/>
      </c>
      <c r="H144" s="54">
        <f>IF($B144="","",SUMIFS(Erfassung!$E$6:$E$5005,Erfassung!$B$6:$B$5005,$A144,Erfassung!$A$6:$A$5005,"&gt;="&amp;DATE(Einstellungen!$C$3,6,1),Erfassung!$A$6:$A$5005,"&lt;"&amp;DATE(Einstellungen!$C$3,7,1)))</f>
        <v/>
      </c>
      <c r="I144" s="54">
        <f>IF($B144="","",SUMIFS(Erfassung!$E$6:$E$5005,Erfassung!$B$6:$B$5005,$A144,Erfassung!$A$6:$A$5005,"&gt;="&amp;DATE(Einstellungen!$C$3,7,1),Erfassung!$A$6:$A$5005,"&lt;"&amp;DATE(Einstellungen!$C$3,8,1)))</f>
        <v/>
      </c>
      <c r="J144" s="54">
        <f>IF($B144="","",SUMIFS(Erfassung!$E$6:$E$5005,Erfassung!$B$6:$B$5005,$A144,Erfassung!$A$6:$A$5005,"&gt;="&amp;DATE(Einstellungen!$C$3,8,1),Erfassung!$A$6:$A$5005,"&lt;"&amp;DATE(Einstellungen!$C$3,9,1)))</f>
        <v/>
      </c>
      <c r="K144" s="54">
        <f>IF($B144="","",SUMIFS(Erfassung!$E$6:$E$5005,Erfassung!$B$6:$B$5005,$A144,Erfassung!$A$6:$A$5005,"&gt;="&amp;DATE(Einstellungen!$C$3,9,1),Erfassung!$A$6:$A$5005,"&lt;"&amp;DATE(Einstellungen!$C$3,10,1)))</f>
        <v/>
      </c>
      <c r="L144" s="54">
        <f>IF($B144="","",SUMIFS(Erfassung!$E$6:$E$5005,Erfassung!$B$6:$B$5005,$A144,Erfassung!$A$6:$A$5005,"&gt;="&amp;DATE(Einstellungen!$C$3,10,1),Erfassung!$A$6:$A$5005,"&lt;"&amp;DATE(Einstellungen!$C$3,11,1)))</f>
        <v/>
      </c>
      <c r="M144" s="54">
        <f>IF($B144="","",SUMIFS(Erfassung!$E$6:$E$5005,Erfassung!$B$6:$B$5005,$A144,Erfassung!$A$6:$A$5005,"&gt;="&amp;DATE(Einstellungen!$C$3,11,1),Erfassung!$A$6:$A$5005,"&lt;"&amp;DATE(Einstellungen!$C$3,12,1)))</f>
        <v/>
      </c>
      <c r="N144" s="54">
        <f>IF($B144="","",SUMIFS(Erfassung!$E$6:$E$5005,Erfassung!$B$6:$B$5005,$A144,Erfassung!$A$6:$A$5005,"&gt;="&amp;DATE(Einstellungen!$C$3,12,1),Erfassung!$A$6:$A$5005,"&lt;"&amp;DATE(Einstellungen!$C$3,13,1)))</f>
        <v/>
      </c>
      <c r="O144" s="45">
        <f>IF($B144="","",SUM(C144:N144))</f>
        <v/>
      </c>
      <c r="P144" s="54">
        <f>IF($B144="","",SUMIFS(Erfassung!$G$6:$G$5005,Erfassung!$B$6:$B$5005,$A144,Erfassung!$A$6:$A$5005,"&gt;="&amp;DATE(Einstellungen!$C$3,1,1),Erfassung!$A$6:$A$5005,"&lt;"&amp;DATE(Einstellungen!$C$3,2,1)))</f>
        <v/>
      </c>
      <c r="Q144" s="54">
        <f>IF($B144="","",SUMIFS(Erfassung!$G$6:$G$5005,Erfassung!$B$6:$B$5005,$A144,Erfassung!$A$6:$A$5005,"&gt;="&amp;DATE(Einstellungen!$C$3,2,1),Erfassung!$A$6:$A$5005,"&lt;"&amp;DATE(Einstellungen!$C$3,3,1)))</f>
        <v/>
      </c>
      <c r="R144" s="54">
        <f>IF($B144="","",SUMIFS(Erfassung!$G$6:$G$5005,Erfassung!$B$6:$B$5005,$A144,Erfassung!$A$6:$A$5005,"&gt;="&amp;DATE(Einstellungen!$C$3,3,1),Erfassung!$A$6:$A$5005,"&lt;"&amp;DATE(Einstellungen!$C$3,4,1)))</f>
        <v/>
      </c>
      <c r="S144" s="54">
        <f>IF($B144="","",SUMIFS(Erfassung!$G$6:$G$5005,Erfassung!$B$6:$B$5005,$A144,Erfassung!$A$6:$A$5005,"&gt;="&amp;DATE(Einstellungen!$C$3,4,1),Erfassung!$A$6:$A$5005,"&lt;"&amp;DATE(Einstellungen!$C$3,5,1)))</f>
        <v/>
      </c>
      <c r="T144" s="54">
        <f>IF($B144="","",SUMIFS(Erfassung!$G$6:$G$5005,Erfassung!$B$6:$B$5005,$A144,Erfassung!$A$6:$A$5005,"&gt;="&amp;DATE(Einstellungen!$C$3,5,1),Erfassung!$A$6:$A$5005,"&lt;"&amp;DATE(Einstellungen!$C$3,6,1)))</f>
        <v/>
      </c>
      <c r="U144" s="54">
        <f>IF($B144="","",SUMIFS(Erfassung!$G$6:$G$5005,Erfassung!$B$6:$B$5005,$A144,Erfassung!$A$6:$A$5005,"&gt;="&amp;DATE(Einstellungen!$C$3,6,1),Erfassung!$A$6:$A$5005,"&lt;"&amp;DATE(Einstellungen!$C$3,7,1)))</f>
        <v/>
      </c>
      <c r="V144" s="54">
        <f>IF($B144="","",SUMIFS(Erfassung!$G$6:$G$5005,Erfassung!$B$6:$B$5005,$A144,Erfassung!$A$6:$A$5005,"&gt;="&amp;DATE(Einstellungen!$C$3,7,1),Erfassung!$A$6:$A$5005,"&lt;"&amp;DATE(Einstellungen!$C$3,8,1)))</f>
        <v/>
      </c>
      <c r="W144" s="54">
        <f>IF($B144="","",SUMIFS(Erfassung!$G$6:$G$5005,Erfassung!$B$6:$B$5005,$A144,Erfassung!$A$6:$A$5005,"&gt;="&amp;DATE(Einstellungen!$C$3,8,1),Erfassung!$A$6:$A$5005,"&lt;"&amp;DATE(Einstellungen!$C$3,9,1)))</f>
        <v/>
      </c>
      <c r="X144" s="54">
        <f>IF($B144="","",SUMIFS(Erfassung!$G$6:$G$5005,Erfassung!$B$6:$B$5005,$A144,Erfassung!$A$6:$A$5005,"&gt;="&amp;DATE(Einstellungen!$C$3,9,1),Erfassung!$A$6:$A$5005,"&lt;"&amp;DATE(Einstellungen!$C$3,10,1)))</f>
        <v/>
      </c>
      <c r="Y144" s="54">
        <f>IF($B144="","",SUMIFS(Erfassung!$G$6:$G$5005,Erfassung!$B$6:$B$5005,$A144,Erfassung!$A$6:$A$5005,"&gt;="&amp;DATE(Einstellungen!$C$3,10,1),Erfassung!$A$6:$A$5005,"&lt;"&amp;DATE(Einstellungen!$C$3,11,1)))</f>
        <v/>
      </c>
      <c r="Z144" s="54">
        <f>IF($B144="","",SUMIFS(Erfassung!$G$6:$G$5005,Erfassung!$B$6:$B$5005,$A144,Erfassung!$A$6:$A$5005,"&gt;="&amp;DATE(Einstellungen!$C$3,11,1),Erfassung!$A$6:$A$5005,"&lt;"&amp;DATE(Einstellungen!$C$3,12,1)))</f>
        <v/>
      </c>
      <c r="AA144" s="54">
        <f>IF($B144="","",SUMIFS(Erfassung!$G$6:$G$5005,Erfassung!$B$6:$B$5005,$A144,Erfassung!$A$6:$A$5005,"&gt;="&amp;DATE(Einstellungen!$C$3,12,1),Erfassung!$A$6:$A$5005,"&lt;"&amp;DATE(Einstellungen!$C$3,13,1)))</f>
        <v/>
      </c>
      <c r="AB144" s="45">
        <f>IF($B144="","",SUM(P144:AA144))</f>
        <v/>
      </c>
      <c r="AC144" s="38">
        <f>IF($B144="","",IF(O144+AB144&gt;0,AB144/(O144+AB144),""))</f>
        <v/>
      </c>
    </row>
    <row r="145">
      <c r="A145" s="56">
        <f>'KQuote Mitarbeiter'!A145</f>
        <v/>
      </c>
      <c r="B145" s="57">
        <f>'KQuote Mitarbeiter'!B145</f>
        <v/>
      </c>
      <c r="C145" s="54">
        <f>IF($B145="","",SUMIFS(Erfassung!$E$6:$E$5005,Erfassung!$B$6:$B$5005,$A145,Erfassung!$A$6:$A$5005,"&gt;="&amp;DATE(Einstellungen!$C$3,1,1),Erfassung!$A$6:$A$5005,"&lt;"&amp;DATE(Einstellungen!$C$3,2,1)))</f>
        <v/>
      </c>
      <c r="D145" s="54">
        <f>IF($B145="","",SUMIFS(Erfassung!$E$6:$E$5005,Erfassung!$B$6:$B$5005,$A145,Erfassung!$A$6:$A$5005,"&gt;="&amp;DATE(Einstellungen!$C$3,2,1),Erfassung!$A$6:$A$5005,"&lt;"&amp;DATE(Einstellungen!$C$3,3,1)))</f>
        <v/>
      </c>
      <c r="E145" s="54">
        <f>IF($B145="","",SUMIFS(Erfassung!$E$6:$E$5005,Erfassung!$B$6:$B$5005,$A145,Erfassung!$A$6:$A$5005,"&gt;="&amp;DATE(Einstellungen!$C$3,3,1),Erfassung!$A$6:$A$5005,"&lt;"&amp;DATE(Einstellungen!$C$3,4,1)))</f>
        <v/>
      </c>
      <c r="F145" s="54">
        <f>IF($B145="","",SUMIFS(Erfassung!$E$6:$E$5005,Erfassung!$B$6:$B$5005,$A145,Erfassung!$A$6:$A$5005,"&gt;="&amp;DATE(Einstellungen!$C$3,4,1),Erfassung!$A$6:$A$5005,"&lt;"&amp;DATE(Einstellungen!$C$3,5,1)))</f>
        <v/>
      </c>
      <c r="G145" s="54">
        <f>IF($B145="","",SUMIFS(Erfassung!$E$6:$E$5005,Erfassung!$B$6:$B$5005,$A145,Erfassung!$A$6:$A$5005,"&gt;="&amp;DATE(Einstellungen!$C$3,5,1),Erfassung!$A$6:$A$5005,"&lt;"&amp;DATE(Einstellungen!$C$3,6,1)))</f>
        <v/>
      </c>
      <c r="H145" s="54">
        <f>IF($B145="","",SUMIFS(Erfassung!$E$6:$E$5005,Erfassung!$B$6:$B$5005,$A145,Erfassung!$A$6:$A$5005,"&gt;="&amp;DATE(Einstellungen!$C$3,6,1),Erfassung!$A$6:$A$5005,"&lt;"&amp;DATE(Einstellungen!$C$3,7,1)))</f>
        <v/>
      </c>
      <c r="I145" s="54">
        <f>IF($B145="","",SUMIFS(Erfassung!$E$6:$E$5005,Erfassung!$B$6:$B$5005,$A145,Erfassung!$A$6:$A$5005,"&gt;="&amp;DATE(Einstellungen!$C$3,7,1),Erfassung!$A$6:$A$5005,"&lt;"&amp;DATE(Einstellungen!$C$3,8,1)))</f>
        <v/>
      </c>
      <c r="J145" s="54">
        <f>IF($B145="","",SUMIFS(Erfassung!$E$6:$E$5005,Erfassung!$B$6:$B$5005,$A145,Erfassung!$A$6:$A$5005,"&gt;="&amp;DATE(Einstellungen!$C$3,8,1),Erfassung!$A$6:$A$5005,"&lt;"&amp;DATE(Einstellungen!$C$3,9,1)))</f>
        <v/>
      </c>
      <c r="K145" s="54">
        <f>IF($B145="","",SUMIFS(Erfassung!$E$6:$E$5005,Erfassung!$B$6:$B$5005,$A145,Erfassung!$A$6:$A$5005,"&gt;="&amp;DATE(Einstellungen!$C$3,9,1),Erfassung!$A$6:$A$5005,"&lt;"&amp;DATE(Einstellungen!$C$3,10,1)))</f>
        <v/>
      </c>
      <c r="L145" s="54">
        <f>IF($B145="","",SUMIFS(Erfassung!$E$6:$E$5005,Erfassung!$B$6:$B$5005,$A145,Erfassung!$A$6:$A$5005,"&gt;="&amp;DATE(Einstellungen!$C$3,10,1),Erfassung!$A$6:$A$5005,"&lt;"&amp;DATE(Einstellungen!$C$3,11,1)))</f>
        <v/>
      </c>
      <c r="M145" s="54">
        <f>IF($B145="","",SUMIFS(Erfassung!$E$6:$E$5005,Erfassung!$B$6:$B$5005,$A145,Erfassung!$A$6:$A$5005,"&gt;="&amp;DATE(Einstellungen!$C$3,11,1),Erfassung!$A$6:$A$5005,"&lt;"&amp;DATE(Einstellungen!$C$3,12,1)))</f>
        <v/>
      </c>
      <c r="N145" s="54">
        <f>IF($B145="","",SUMIFS(Erfassung!$E$6:$E$5005,Erfassung!$B$6:$B$5005,$A145,Erfassung!$A$6:$A$5005,"&gt;="&amp;DATE(Einstellungen!$C$3,12,1),Erfassung!$A$6:$A$5005,"&lt;"&amp;DATE(Einstellungen!$C$3,13,1)))</f>
        <v/>
      </c>
      <c r="O145" s="45">
        <f>IF($B145="","",SUM(C145:N145))</f>
        <v/>
      </c>
      <c r="P145" s="54">
        <f>IF($B145="","",SUMIFS(Erfassung!$G$6:$G$5005,Erfassung!$B$6:$B$5005,$A145,Erfassung!$A$6:$A$5005,"&gt;="&amp;DATE(Einstellungen!$C$3,1,1),Erfassung!$A$6:$A$5005,"&lt;"&amp;DATE(Einstellungen!$C$3,2,1)))</f>
        <v/>
      </c>
      <c r="Q145" s="54">
        <f>IF($B145="","",SUMIFS(Erfassung!$G$6:$G$5005,Erfassung!$B$6:$B$5005,$A145,Erfassung!$A$6:$A$5005,"&gt;="&amp;DATE(Einstellungen!$C$3,2,1),Erfassung!$A$6:$A$5005,"&lt;"&amp;DATE(Einstellungen!$C$3,3,1)))</f>
        <v/>
      </c>
      <c r="R145" s="54">
        <f>IF($B145="","",SUMIFS(Erfassung!$G$6:$G$5005,Erfassung!$B$6:$B$5005,$A145,Erfassung!$A$6:$A$5005,"&gt;="&amp;DATE(Einstellungen!$C$3,3,1),Erfassung!$A$6:$A$5005,"&lt;"&amp;DATE(Einstellungen!$C$3,4,1)))</f>
        <v/>
      </c>
      <c r="S145" s="54">
        <f>IF($B145="","",SUMIFS(Erfassung!$G$6:$G$5005,Erfassung!$B$6:$B$5005,$A145,Erfassung!$A$6:$A$5005,"&gt;="&amp;DATE(Einstellungen!$C$3,4,1),Erfassung!$A$6:$A$5005,"&lt;"&amp;DATE(Einstellungen!$C$3,5,1)))</f>
        <v/>
      </c>
      <c r="T145" s="54">
        <f>IF($B145="","",SUMIFS(Erfassung!$G$6:$G$5005,Erfassung!$B$6:$B$5005,$A145,Erfassung!$A$6:$A$5005,"&gt;="&amp;DATE(Einstellungen!$C$3,5,1),Erfassung!$A$6:$A$5005,"&lt;"&amp;DATE(Einstellungen!$C$3,6,1)))</f>
        <v/>
      </c>
      <c r="U145" s="54">
        <f>IF($B145="","",SUMIFS(Erfassung!$G$6:$G$5005,Erfassung!$B$6:$B$5005,$A145,Erfassung!$A$6:$A$5005,"&gt;="&amp;DATE(Einstellungen!$C$3,6,1),Erfassung!$A$6:$A$5005,"&lt;"&amp;DATE(Einstellungen!$C$3,7,1)))</f>
        <v/>
      </c>
      <c r="V145" s="54">
        <f>IF($B145="","",SUMIFS(Erfassung!$G$6:$G$5005,Erfassung!$B$6:$B$5005,$A145,Erfassung!$A$6:$A$5005,"&gt;="&amp;DATE(Einstellungen!$C$3,7,1),Erfassung!$A$6:$A$5005,"&lt;"&amp;DATE(Einstellungen!$C$3,8,1)))</f>
        <v/>
      </c>
      <c r="W145" s="54">
        <f>IF($B145="","",SUMIFS(Erfassung!$G$6:$G$5005,Erfassung!$B$6:$B$5005,$A145,Erfassung!$A$6:$A$5005,"&gt;="&amp;DATE(Einstellungen!$C$3,8,1),Erfassung!$A$6:$A$5005,"&lt;"&amp;DATE(Einstellungen!$C$3,9,1)))</f>
        <v/>
      </c>
      <c r="X145" s="54">
        <f>IF($B145="","",SUMIFS(Erfassung!$G$6:$G$5005,Erfassung!$B$6:$B$5005,$A145,Erfassung!$A$6:$A$5005,"&gt;="&amp;DATE(Einstellungen!$C$3,9,1),Erfassung!$A$6:$A$5005,"&lt;"&amp;DATE(Einstellungen!$C$3,10,1)))</f>
        <v/>
      </c>
      <c r="Y145" s="54">
        <f>IF($B145="","",SUMIFS(Erfassung!$G$6:$G$5005,Erfassung!$B$6:$B$5005,$A145,Erfassung!$A$6:$A$5005,"&gt;="&amp;DATE(Einstellungen!$C$3,10,1),Erfassung!$A$6:$A$5005,"&lt;"&amp;DATE(Einstellungen!$C$3,11,1)))</f>
        <v/>
      </c>
      <c r="Z145" s="54">
        <f>IF($B145="","",SUMIFS(Erfassung!$G$6:$G$5005,Erfassung!$B$6:$B$5005,$A145,Erfassung!$A$6:$A$5005,"&gt;="&amp;DATE(Einstellungen!$C$3,11,1),Erfassung!$A$6:$A$5005,"&lt;"&amp;DATE(Einstellungen!$C$3,12,1)))</f>
        <v/>
      </c>
      <c r="AA145" s="54">
        <f>IF($B145="","",SUMIFS(Erfassung!$G$6:$G$5005,Erfassung!$B$6:$B$5005,$A145,Erfassung!$A$6:$A$5005,"&gt;="&amp;DATE(Einstellungen!$C$3,12,1),Erfassung!$A$6:$A$5005,"&lt;"&amp;DATE(Einstellungen!$C$3,13,1)))</f>
        <v/>
      </c>
      <c r="AB145" s="45">
        <f>IF($B145="","",SUM(P145:AA145))</f>
        <v/>
      </c>
      <c r="AC145" s="38">
        <f>IF($B145="","",IF(O145+AB145&gt;0,AB145/(O145+AB145),""))</f>
        <v/>
      </c>
    </row>
    <row r="146">
      <c r="A146" s="56">
        <f>'KQuote Mitarbeiter'!A146</f>
        <v/>
      </c>
      <c r="B146" s="57">
        <f>'KQuote Mitarbeiter'!B146</f>
        <v/>
      </c>
      <c r="C146" s="54">
        <f>IF($B146="","",SUMIFS(Erfassung!$E$6:$E$5005,Erfassung!$B$6:$B$5005,$A146,Erfassung!$A$6:$A$5005,"&gt;="&amp;DATE(Einstellungen!$C$3,1,1),Erfassung!$A$6:$A$5005,"&lt;"&amp;DATE(Einstellungen!$C$3,2,1)))</f>
        <v/>
      </c>
      <c r="D146" s="54">
        <f>IF($B146="","",SUMIFS(Erfassung!$E$6:$E$5005,Erfassung!$B$6:$B$5005,$A146,Erfassung!$A$6:$A$5005,"&gt;="&amp;DATE(Einstellungen!$C$3,2,1),Erfassung!$A$6:$A$5005,"&lt;"&amp;DATE(Einstellungen!$C$3,3,1)))</f>
        <v/>
      </c>
      <c r="E146" s="54">
        <f>IF($B146="","",SUMIFS(Erfassung!$E$6:$E$5005,Erfassung!$B$6:$B$5005,$A146,Erfassung!$A$6:$A$5005,"&gt;="&amp;DATE(Einstellungen!$C$3,3,1),Erfassung!$A$6:$A$5005,"&lt;"&amp;DATE(Einstellungen!$C$3,4,1)))</f>
        <v/>
      </c>
      <c r="F146" s="54">
        <f>IF($B146="","",SUMIFS(Erfassung!$E$6:$E$5005,Erfassung!$B$6:$B$5005,$A146,Erfassung!$A$6:$A$5005,"&gt;="&amp;DATE(Einstellungen!$C$3,4,1),Erfassung!$A$6:$A$5005,"&lt;"&amp;DATE(Einstellungen!$C$3,5,1)))</f>
        <v/>
      </c>
      <c r="G146" s="54">
        <f>IF($B146="","",SUMIFS(Erfassung!$E$6:$E$5005,Erfassung!$B$6:$B$5005,$A146,Erfassung!$A$6:$A$5005,"&gt;="&amp;DATE(Einstellungen!$C$3,5,1),Erfassung!$A$6:$A$5005,"&lt;"&amp;DATE(Einstellungen!$C$3,6,1)))</f>
        <v/>
      </c>
      <c r="H146" s="54">
        <f>IF($B146="","",SUMIFS(Erfassung!$E$6:$E$5005,Erfassung!$B$6:$B$5005,$A146,Erfassung!$A$6:$A$5005,"&gt;="&amp;DATE(Einstellungen!$C$3,6,1),Erfassung!$A$6:$A$5005,"&lt;"&amp;DATE(Einstellungen!$C$3,7,1)))</f>
        <v/>
      </c>
      <c r="I146" s="54">
        <f>IF($B146="","",SUMIFS(Erfassung!$E$6:$E$5005,Erfassung!$B$6:$B$5005,$A146,Erfassung!$A$6:$A$5005,"&gt;="&amp;DATE(Einstellungen!$C$3,7,1),Erfassung!$A$6:$A$5005,"&lt;"&amp;DATE(Einstellungen!$C$3,8,1)))</f>
        <v/>
      </c>
      <c r="J146" s="54">
        <f>IF($B146="","",SUMIFS(Erfassung!$E$6:$E$5005,Erfassung!$B$6:$B$5005,$A146,Erfassung!$A$6:$A$5005,"&gt;="&amp;DATE(Einstellungen!$C$3,8,1),Erfassung!$A$6:$A$5005,"&lt;"&amp;DATE(Einstellungen!$C$3,9,1)))</f>
        <v/>
      </c>
      <c r="K146" s="54">
        <f>IF($B146="","",SUMIFS(Erfassung!$E$6:$E$5005,Erfassung!$B$6:$B$5005,$A146,Erfassung!$A$6:$A$5005,"&gt;="&amp;DATE(Einstellungen!$C$3,9,1),Erfassung!$A$6:$A$5005,"&lt;"&amp;DATE(Einstellungen!$C$3,10,1)))</f>
        <v/>
      </c>
      <c r="L146" s="54">
        <f>IF($B146="","",SUMIFS(Erfassung!$E$6:$E$5005,Erfassung!$B$6:$B$5005,$A146,Erfassung!$A$6:$A$5005,"&gt;="&amp;DATE(Einstellungen!$C$3,10,1),Erfassung!$A$6:$A$5005,"&lt;"&amp;DATE(Einstellungen!$C$3,11,1)))</f>
        <v/>
      </c>
      <c r="M146" s="54">
        <f>IF($B146="","",SUMIFS(Erfassung!$E$6:$E$5005,Erfassung!$B$6:$B$5005,$A146,Erfassung!$A$6:$A$5005,"&gt;="&amp;DATE(Einstellungen!$C$3,11,1),Erfassung!$A$6:$A$5005,"&lt;"&amp;DATE(Einstellungen!$C$3,12,1)))</f>
        <v/>
      </c>
      <c r="N146" s="54">
        <f>IF($B146="","",SUMIFS(Erfassung!$E$6:$E$5005,Erfassung!$B$6:$B$5005,$A146,Erfassung!$A$6:$A$5005,"&gt;="&amp;DATE(Einstellungen!$C$3,12,1),Erfassung!$A$6:$A$5005,"&lt;"&amp;DATE(Einstellungen!$C$3,13,1)))</f>
        <v/>
      </c>
      <c r="O146" s="45">
        <f>IF($B146="","",SUM(C146:N146))</f>
        <v/>
      </c>
      <c r="P146" s="54">
        <f>IF($B146="","",SUMIFS(Erfassung!$G$6:$G$5005,Erfassung!$B$6:$B$5005,$A146,Erfassung!$A$6:$A$5005,"&gt;="&amp;DATE(Einstellungen!$C$3,1,1),Erfassung!$A$6:$A$5005,"&lt;"&amp;DATE(Einstellungen!$C$3,2,1)))</f>
        <v/>
      </c>
      <c r="Q146" s="54">
        <f>IF($B146="","",SUMIFS(Erfassung!$G$6:$G$5005,Erfassung!$B$6:$B$5005,$A146,Erfassung!$A$6:$A$5005,"&gt;="&amp;DATE(Einstellungen!$C$3,2,1),Erfassung!$A$6:$A$5005,"&lt;"&amp;DATE(Einstellungen!$C$3,3,1)))</f>
        <v/>
      </c>
      <c r="R146" s="54">
        <f>IF($B146="","",SUMIFS(Erfassung!$G$6:$G$5005,Erfassung!$B$6:$B$5005,$A146,Erfassung!$A$6:$A$5005,"&gt;="&amp;DATE(Einstellungen!$C$3,3,1),Erfassung!$A$6:$A$5005,"&lt;"&amp;DATE(Einstellungen!$C$3,4,1)))</f>
        <v/>
      </c>
      <c r="S146" s="54">
        <f>IF($B146="","",SUMIFS(Erfassung!$G$6:$G$5005,Erfassung!$B$6:$B$5005,$A146,Erfassung!$A$6:$A$5005,"&gt;="&amp;DATE(Einstellungen!$C$3,4,1),Erfassung!$A$6:$A$5005,"&lt;"&amp;DATE(Einstellungen!$C$3,5,1)))</f>
        <v/>
      </c>
      <c r="T146" s="54">
        <f>IF($B146="","",SUMIFS(Erfassung!$G$6:$G$5005,Erfassung!$B$6:$B$5005,$A146,Erfassung!$A$6:$A$5005,"&gt;="&amp;DATE(Einstellungen!$C$3,5,1),Erfassung!$A$6:$A$5005,"&lt;"&amp;DATE(Einstellungen!$C$3,6,1)))</f>
        <v/>
      </c>
      <c r="U146" s="54">
        <f>IF($B146="","",SUMIFS(Erfassung!$G$6:$G$5005,Erfassung!$B$6:$B$5005,$A146,Erfassung!$A$6:$A$5005,"&gt;="&amp;DATE(Einstellungen!$C$3,6,1),Erfassung!$A$6:$A$5005,"&lt;"&amp;DATE(Einstellungen!$C$3,7,1)))</f>
        <v/>
      </c>
      <c r="V146" s="54">
        <f>IF($B146="","",SUMIFS(Erfassung!$G$6:$G$5005,Erfassung!$B$6:$B$5005,$A146,Erfassung!$A$6:$A$5005,"&gt;="&amp;DATE(Einstellungen!$C$3,7,1),Erfassung!$A$6:$A$5005,"&lt;"&amp;DATE(Einstellungen!$C$3,8,1)))</f>
        <v/>
      </c>
      <c r="W146" s="54">
        <f>IF($B146="","",SUMIFS(Erfassung!$G$6:$G$5005,Erfassung!$B$6:$B$5005,$A146,Erfassung!$A$6:$A$5005,"&gt;="&amp;DATE(Einstellungen!$C$3,8,1),Erfassung!$A$6:$A$5005,"&lt;"&amp;DATE(Einstellungen!$C$3,9,1)))</f>
        <v/>
      </c>
      <c r="X146" s="54">
        <f>IF($B146="","",SUMIFS(Erfassung!$G$6:$G$5005,Erfassung!$B$6:$B$5005,$A146,Erfassung!$A$6:$A$5005,"&gt;="&amp;DATE(Einstellungen!$C$3,9,1),Erfassung!$A$6:$A$5005,"&lt;"&amp;DATE(Einstellungen!$C$3,10,1)))</f>
        <v/>
      </c>
      <c r="Y146" s="54">
        <f>IF($B146="","",SUMIFS(Erfassung!$G$6:$G$5005,Erfassung!$B$6:$B$5005,$A146,Erfassung!$A$6:$A$5005,"&gt;="&amp;DATE(Einstellungen!$C$3,10,1),Erfassung!$A$6:$A$5005,"&lt;"&amp;DATE(Einstellungen!$C$3,11,1)))</f>
        <v/>
      </c>
      <c r="Z146" s="54">
        <f>IF($B146="","",SUMIFS(Erfassung!$G$6:$G$5005,Erfassung!$B$6:$B$5005,$A146,Erfassung!$A$6:$A$5005,"&gt;="&amp;DATE(Einstellungen!$C$3,11,1),Erfassung!$A$6:$A$5005,"&lt;"&amp;DATE(Einstellungen!$C$3,12,1)))</f>
        <v/>
      </c>
      <c r="AA146" s="54">
        <f>IF($B146="","",SUMIFS(Erfassung!$G$6:$G$5005,Erfassung!$B$6:$B$5005,$A146,Erfassung!$A$6:$A$5005,"&gt;="&amp;DATE(Einstellungen!$C$3,12,1),Erfassung!$A$6:$A$5005,"&lt;"&amp;DATE(Einstellungen!$C$3,13,1)))</f>
        <v/>
      </c>
      <c r="AB146" s="45">
        <f>IF($B146="","",SUM(P146:AA146))</f>
        <v/>
      </c>
      <c r="AC146" s="38">
        <f>IF($B146="","",IF(O146+AB146&gt;0,AB146/(O146+AB146),""))</f>
        <v/>
      </c>
    </row>
    <row r="147">
      <c r="A147" s="56">
        <f>'KQuote Mitarbeiter'!A147</f>
        <v/>
      </c>
      <c r="B147" s="57">
        <f>'KQuote Mitarbeiter'!B147</f>
        <v/>
      </c>
      <c r="C147" s="54">
        <f>IF($B147="","",SUMIFS(Erfassung!$E$6:$E$5005,Erfassung!$B$6:$B$5005,$A147,Erfassung!$A$6:$A$5005,"&gt;="&amp;DATE(Einstellungen!$C$3,1,1),Erfassung!$A$6:$A$5005,"&lt;"&amp;DATE(Einstellungen!$C$3,2,1)))</f>
        <v/>
      </c>
      <c r="D147" s="54">
        <f>IF($B147="","",SUMIFS(Erfassung!$E$6:$E$5005,Erfassung!$B$6:$B$5005,$A147,Erfassung!$A$6:$A$5005,"&gt;="&amp;DATE(Einstellungen!$C$3,2,1),Erfassung!$A$6:$A$5005,"&lt;"&amp;DATE(Einstellungen!$C$3,3,1)))</f>
        <v/>
      </c>
      <c r="E147" s="54">
        <f>IF($B147="","",SUMIFS(Erfassung!$E$6:$E$5005,Erfassung!$B$6:$B$5005,$A147,Erfassung!$A$6:$A$5005,"&gt;="&amp;DATE(Einstellungen!$C$3,3,1),Erfassung!$A$6:$A$5005,"&lt;"&amp;DATE(Einstellungen!$C$3,4,1)))</f>
        <v/>
      </c>
      <c r="F147" s="54">
        <f>IF($B147="","",SUMIFS(Erfassung!$E$6:$E$5005,Erfassung!$B$6:$B$5005,$A147,Erfassung!$A$6:$A$5005,"&gt;="&amp;DATE(Einstellungen!$C$3,4,1),Erfassung!$A$6:$A$5005,"&lt;"&amp;DATE(Einstellungen!$C$3,5,1)))</f>
        <v/>
      </c>
      <c r="G147" s="54">
        <f>IF($B147="","",SUMIFS(Erfassung!$E$6:$E$5005,Erfassung!$B$6:$B$5005,$A147,Erfassung!$A$6:$A$5005,"&gt;="&amp;DATE(Einstellungen!$C$3,5,1),Erfassung!$A$6:$A$5005,"&lt;"&amp;DATE(Einstellungen!$C$3,6,1)))</f>
        <v/>
      </c>
      <c r="H147" s="54">
        <f>IF($B147="","",SUMIFS(Erfassung!$E$6:$E$5005,Erfassung!$B$6:$B$5005,$A147,Erfassung!$A$6:$A$5005,"&gt;="&amp;DATE(Einstellungen!$C$3,6,1),Erfassung!$A$6:$A$5005,"&lt;"&amp;DATE(Einstellungen!$C$3,7,1)))</f>
        <v/>
      </c>
      <c r="I147" s="54">
        <f>IF($B147="","",SUMIFS(Erfassung!$E$6:$E$5005,Erfassung!$B$6:$B$5005,$A147,Erfassung!$A$6:$A$5005,"&gt;="&amp;DATE(Einstellungen!$C$3,7,1),Erfassung!$A$6:$A$5005,"&lt;"&amp;DATE(Einstellungen!$C$3,8,1)))</f>
        <v/>
      </c>
      <c r="J147" s="54">
        <f>IF($B147="","",SUMIFS(Erfassung!$E$6:$E$5005,Erfassung!$B$6:$B$5005,$A147,Erfassung!$A$6:$A$5005,"&gt;="&amp;DATE(Einstellungen!$C$3,8,1),Erfassung!$A$6:$A$5005,"&lt;"&amp;DATE(Einstellungen!$C$3,9,1)))</f>
        <v/>
      </c>
      <c r="K147" s="54">
        <f>IF($B147="","",SUMIFS(Erfassung!$E$6:$E$5005,Erfassung!$B$6:$B$5005,$A147,Erfassung!$A$6:$A$5005,"&gt;="&amp;DATE(Einstellungen!$C$3,9,1),Erfassung!$A$6:$A$5005,"&lt;"&amp;DATE(Einstellungen!$C$3,10,1)))</f>
        <v/>
      </c>
      <c r="L147" s="54">
        <f>IF($B147="","",SUMIFS(Erfassung!$E$6:$E$5005,Erfassung!$B$6:$B$5005,$A147,Erfassung!$A$6:$A$5005,"&gt;="&amp;DATE(Einstellungen!$C$3,10,1),Erfassung!$A$6:$A$5005,"&lt;"&amp;DATE(Einstellungen!$C$3,11,1)))</f>
        <v/>
      </c>
      <c r="M147" s="54">
        <f>IF($B147="","",SUMIFS(Erfassung!$E$6:$E$5005,Erfassung!$B$6:$B$5005,$A147,Erfassung!$A$6:$A$5005,"&gt;="&amp;DATE(Einstellungen!$C$3,11,1),Erfassung!$A$6:$A$5005,"&lt;"&amp;DATE(Einstellungen!$C$3,12,1)))</f>
        <v/>
      </c>
      <c r="N147" s="54">
        <f>IF($B147="","",SUMIFS(Erfassung!$E$6:$E$5005,Erfassung!$B$6:$B$5005,$A147,Erfassung!$A$6:$A$5005,"&gt;="&amp;DATE(Einstellungen!$C$3,12,1),Erfassung!$A$6:$A$5005,"&lt;"&amp;DATE(Einstellungen!$C$3,13,1)))</f>
        <v/>
      </c>
      <c r="O147" s="45">
        <f>IF($B147="","",SUM(C147:N147))</f>
        <v/>
      </c>
      <c r="P147" s="54">
        <f>IF($B147="","",SUMIFS(Erfassung!$G$6:$G$5005,Erfassung!$B$6:$B$5005,$A147,Erfassung!$A$6:$A$5005,"&gt;="&amp;DATE(Einstellungen!$C$3,1,1),Erfassung!$A$6:$A$5005,"&lt;"&amp;DATE(Einstellungen!$C$3,2,1)))</f>
        <v/>
      </c>
      <c r="Q147" s="54">
        <f>IF($B147="","",SUMIFS(Erfassung!$G$6:$G$5005,Erfassung!$B$6:$B$5005,$A147,Erfassung!$A$6:$A$5005,"&gt;="&amp;DATE(Einstellungen!$C$3,2,1),Erfassung!$A$6:$A$5005,"&lt;"&amp;DATE(Einstellungen!$C$3,3,1)))</f>
        <v/>
      </c>
      <c r="R147" s="54">
        <f>IF($B147="","",SUMIFS(Erfassung!$G$6:$G$5005,Erfassung!$B$6:$B$5005,$A147,Erfassung!$A$6:$A$5005,"&gt;="&amp;DATE(Einstellungen!$C$3,3,1),Erfassung!$A$6:$A$5005,"&lt;"&amp;DATE(Einstellungen!$C$3,4,1)))</f>
        <v/>
      </c>
      <c r="S147" s="54">
        <f>IF($B147="","",SUMIFS(Erfassung!$G$6:$G$5005,Erfassung!$B$6:$B$5005,$A147,Erfassung!$A$6:$A$5005,"&gt;="&amp;DATE(Einstellungen!$C$3,4,1),Erfassung!$A$6:$A$5005,"&lt;"&amp;DATE(Einstellungen!$C$3,5,1)))</f>
        <v/>
      </c>
      <c r="T147" s="54">
        <f>IF($B147="","",SUMIFS(Erfassung!$G$6:$G$5005,Erfassung!$B$6:$B$5005,$A147,Erfassung!$A$6:$A$5005,"&gt;="&amp;DATE(Einstellungen!$C$3,5,1),Erfassung!$A$6:$A$5005,"&lt;"&amp;DATE(Einstellungen!$C$3,6,1)))</f>
        <v/>
      </c>
      <c r="U147" s="54">
        <f>IF($B147="","",SUMIFS(Erfassung!$G$6:$G$5005,Erfassung!$B$6:$B$5005,$A147,Erfassung!$A$6:$A$5005,"&gt;="&amp;DATE(Einstellungen!$C$3,6,1),Erfassung!$A$6:$A$5005,"&lt;"&amp;DATE(Einstellungen!$C$3,7,1)))</f>
        <v/>
      </c>
      <c r="V147" s="54">
        <f>IF($B147="","",SUMIFS(Erfassung!$G$6:$G$5005,Erfassung!$B$6:$B$5005,$A147,Erfassung!$A$6:$A$5005,"&gt;="&amp;DATE(Einstellungen!$C$3,7,1),Erfassung!$A$6:$A$5005,"&lt;"&amp;DATE(Einstellungen!$C$3,8,1)))</f>
        <v/>
      </c>
      <c r="W147" s="54">
        <f>IF($B147="","",SUMIFS(Erfassung!$G$6:$G$5005,Erfassung!$B$6:$B$5005,$A147,Erfassung!$A$6:$A$5005,"&gt;="&amp;DATE(Einstellungen!$C$3,8,1),Erfassung!$A$6:$A$5005,"&lt;"&amp;DATE(Einstellungen!$C$3,9,1)))</f>
        <v/>
      </c>
      <c r="X147" s="54">
        <f>IF($B147="","",SUMIFS(Erfassung!$G$6:$G$5005,Erfassung!$B$6:$B$5005,$A147,Erfassung!$A$6:$A$5005,"&gt;="&amp;DATE(Einstellungen!$C$3,9,1),Erfassung!$A$6:$A$5005,"&lt;"&amp;DATE(Einstellungen!$C$3,10,1)))</f>
        <v/>
      </c>
      <c r="Y147" s="54">
        <f>IF($B147="","",SUMIFS(Erfassung!$G$6:$G$5005,Erfassung!$B$6:$B$5005,$A147,Erfassung!$A$6:$A$5005,"&gt;="&amp;DATE(Einstellungen!$C$3,10,1),Erfassung!$A$6:$A$5005,"&lt;"&amp;DATE(Einstellungen!$C$3,11,1)))</f>
        <v/>
      </c>
      <c r="Z147" s="54">
        <f>IF($B147="","",SUMIFS(Erfassung!$G$6:$G$5005,Erfassung!$B$6:$B$5005,$A147,Erfassung!$A$6:$A$5005,"&gt;="&amp;DATE(Einstellungen!$C$3,11,1),Erfassung!$A$6:$A$5005,"&lt;"&amp;DATE(Einstellungen!$C$3,12,1)))</f>
        <v/>
      </c>
      <c r="AA147" s="54">
        <f>IF($B147="","",SUMIFS(Erfassung!$G$6:$G$5005,Erfassung!$B$6:$B$5005,$A147,Erfassung!$A$6:$A$5005,"&gt;="&amp;DATE(Einstellungen!$C$3,12,1),Erfassung!$A$6:$A$5005,"&lt;"&amp;DATE(Einstellungen!$C$3,13,1)))</f>
        <v/>
      </c>
      <c r="AB147" s="45">
        <f>IF($B147="","",SUM(P147:AA147))</f>
        <v/>
      </c>
      <c r="AC147" s="38">
        <f>IF($B147="","",IF(O147+AB147&gt;0,AB147/(O147+AB147),""))</f>
        <v/>
      </c>
    </row>
    <row r="148">
      <c r="A148" s="56">
        <f>'KQuote Mitarbeiter'!A148</f>
        <v/>
      </c>
      <c r="B148" s="57">
        <f>'KQuote Mitarbeiter'!B148</f>
        <v/>
      </c>
      <c r="C148" s="54">
        <f>IF($B148="","",SUMIFS(Erfassung!$E$6:$E$5005,Erfassung!$B$6:$B$5005,$A148,Erfassung!$A$6:$A$5005,"&gt;="&amp;DATE(Einstellungen!$C$3,1,1),Erfassung!$A$6:$A$5005,"&lt;"&amp;DATE(Einstellungen!$C$3,2,1)))</f>
        <v/>
      </c>
      <c r="D148" s="54">
        <f>IF($B148="","",SUMIFS(Erfassung!$E$6:$E$5005,Erfassung!$B$6:$B$5005,$A148,Erfassung!$A$6:$A$5005,"&gt;="&amp;DATE(Einstellungen!$C$3,2,1),Erfassung!$A$6:$A$5005,"&lt;"&amp;DATE(Einstellungen!$C$3,3,1)))</f>
        <v/>
      </c>
      <c r="E148" s="54">
        <f>IF($B148="","",SUMIFS(Erfassung!$E$6:$E$5005,Erfassung!$B$6:$B$5005,$A148,Erfassung!$A$6:$A$5005,"&gt;="&amp;DATE(Einstellungen!$C$3,3,1),Erfassung!$A$6:$A$5005,"&lt;"&amp;DATE(Einstellungen!$C$3,4,1)))</f>
        <v/>
      </c>
      <c r="F148" s="54">
        <f>IF($B148="","",SUMIFS(Erfassung!$E$6:$E$5005,Erfassung!$B$6:$B$5005,$A148,Erfassung!$A$6:$A$5005,"&gt;="&amp;DATE(Einstellungen!$C$3,4,1),Erfassung!$A$6:$A$5005,"&lt;"&amp;DATE(Einstellungen!$C$3,5,1)))</f>
        <v/>
      </c>
      <c r="G148" s="54">
        <f>IF($B148="","",SUMIFS(Erfassung!$E$6:$E$5005,Erfassung!$B$6:$B$5005,$A148,Erfassung!$A$6:$A$5005,"&gt;="&amp;DATE(Einstellungen!$C$3,5,1),Erfassung!$A$6:$A$5005,"&lt;"&amp;DATE(Einstellungen!$C$3,6,1)))</f>
        <v/>
      </c>
      <c r="H148" s="54">
        <f>IF($B148="","",SUMIFS(Erfassung!$E$6:$E$5005,Erfassung!$B$6:$B$5005,$A148,Erfassung!$A$6:$A$5005,"&gt;="&amp;DATE(Einstellungen!$C$3,6,1),Erfassung!$A$6:$A$5005,"&lt;"&amp;DATE(Einstellungen!$C$3,7,1)))</f>
        <v/>
      </c>
      <c r="I148" s="54">
        <f>IF($B148="","",SUMIFS(Erfassung!$E$6:$E$5005,Erfassung!$B$6:$B$5005,$A148,Erfassung!$A$6:$A$5005,"&gt;="&amp;DATE(Einstellungen!$C$3,7,1),Erfassung!$A$6:$A$5005,"&lt;"&amp;DATE(Einstellungen!$C$3,8,1)))</f>
        <v/>
      </c>
      <c r="J148" s="54">
        <f>IF($B148="","",SUMIFS(Erfassung!$E$6:$E$5005,Erfassung!$B$6:$B$5005,$A148,Erfassung!$A$6:$A$5005,"&gt;="&amp;DATE(Einstellungen!$C$3,8,1),Erfassung!$A$6:$A$5005,"&lt;"&amp;DATE(Einstellungen!$C$3,9,1)))</f>
        <v/>
      </c>
      <c r="K148" s="54">
        <f>IF($B148="","",SUMIFS(Erfassung!$E$6:$E$5005,Erfassung!$B$6:$B$5005,$A148,Erfassung!$A$6:$A$5005,"&gt;="&amp;DATE(Einstellungen!$C$3,9,1),Erfassung!$A$6:$A$5005,"&lt;"&amp;DATE(Einstellungen!$C$3,10,1)))</f>
        <v/>
      </c>
      <c r="L148" s="54">
        <f>IF($B148="","",SUMIFS(Erfassung!$E$6:$E$5005,Erfassung!$B$6:$B$5005,$A148,Erfassung!$A$6:$A$5005,"&gt;="&amp;DATE(Einstellungen!$C$3,10,1),Erfassung!$A$6:$A$5005,"&lt;"&amp;DATE(Einstellungen!$C$3,11,1)))</f>
        <v/>
      </c>
      <c r="M148" s="54">
        <f>IF($B148="","",SUMIFS(Erfassung!$E$6:$E$5005,Erfassung!$B$6:$B$5005,$A148,Erfassung!$A$6:$A$5005,"&gt;="&amp;DATE(Einstellungen!$C$3,11,1),Erfassung!$A$6:$A$5005,"&lt;"&amp;DATE(Einstellungen!$C$3,12,1)))</f>
        <v/>
      </c>
      <c r="N148" s="54">
        <f>IF($B148="","",SUMIFS(Erfassung!$E$6:$E$5005,Erfassung!$B$6:$B$5005,$A148,Erfassung!$A$6:$A$5005,"&gt;="&amp;DATE(Einstellungen!$C$3,12,1),Erfassung!$A$6:$A$5005,"&lt;"&amp;DATE(Einstellungen!$C$3,13,1)))</f>
        <v/>
      </c>
      <c r="O148" s="45">
        <f>IF($B148="","",SUM(C148:N148))</f>
        <v/>
      </c>
      <c r="P148" s="54">
        <f>IF($B148="","",SUMIFS(Erfassung!$G$6:$G$5005,Erfassung!$B$6:$B$5005,$A148,Erfassung!$A$6:$A$5005,"&gt;="&amp;DATE(Einstellungen!$C$3,1,1),Erfassung!$A$6:$A$5005,"&lt;"&amp;DATE(Einstellungen!$C$3,2,1)))</f>
        <v/>
      </c>
      <c r="Q148" s="54">
        <f>IF($B148="","",SUMIFS(Erfassung!$G$6:$G$5005,Erfassung!$B$6:$B$5005,$A148,Erfassung!$A$6:$A$5005,"&gt;="&amp;DATE(Einstellungen!$C$3,2,1),Erfassung!$A$6:$A$5005,"&lt;"&amp;DATE(Einstellungen!$C$3,3,1)))</f>
        <v/>
      </c>
      <c r="R148" s="54">
        <f>IF($B148="","",SUMIFS(Erfassung!$G$6:$G$5005,Erfassung!$B$6:$B$5005,$A148,Erfassung!$A$6:$A$5005,"&gt;="&amp;DATE(Einstellungen!$C$3,3,1),Erfassung!$A$6:$A$5005,"&lt;"&amp;DATE(Einstellungen!$C$3,4,1)))</f>
        <v/>
      </c>
      <c r="S148" s="54">
        <f>IF($B148="","",SUMIFS(Erfassung!$G$6:$G$5005,Erfassung!$B$6:$B$5005,$A148,Erfassung!$A$6:$A$5005,"&gt;="&amp;DATE(Einstellungen!$C$3,4,1),Erfassung!$A$6:$A$5005,"&lt;"&amp;DATE(Einstellungen!$C$3,5,1)))</f>
        <v/>
      </c>
      <c r="T148" s="54">
        <f>IF($B148="","",SUMIFS(Erfassung!$G$6:$G$5005,Erfassung!$B$6:$B$5005,$A148,Erfassung!$A$6:$A$5005,"&gt;="&amp;DATE(Einstellungen!$C$3,5,1),Erfassung!$A$6:$A$5005,"&lt;"&amp;DATE(Einstellungen!$C$3,6,1)))</f>
        <v/>
      </c>
      <c r="U148" s="54">
        <f>IF($B148="","",SUMIFS(Erfassung!$G$6:$G$5005,Erfassung!$B$6:$B$5005,$A148,Erfassung!$A$6:$A$5005,"&gt;="&amp;DATE(Einstellungen!$C$3,6,1),Erfassung!$A$6:$A$5005,"&lt;"&amp;DATE(Einstellungen!$C$3,7,1)))</f>
        <v/>
      </c>
      <c r="V148" s="54">
        <f>IF($B148="","",SUMIFS(Erfassung!$G$6:$G$5005,Erfassung!$B$6:$B$5005,$A148,Erfassung!$A$6:$A$5005,"&gt;="&amp;DATE(Einstellungen!$C$3,7,1),Erfassung!$A$6:$A$5005,"&lt;"&amp;DATE(Einstellungen!$C$3,8,1)))</f>
        <v/>
      </c>
      <c r="W148" s="54">
        <f>IF($B148="","",SUMIFS(Erfassung!$G$6:$G$5005,Erfassung!$B$6:$B$5005,$A148,Erfassung!$A$6:$A$5005,"&gt;="&amp;DATE(Einstellungen!$C$3,8,1),Erfassung!$A$6:$A$5005,"&lt;"&amp;DATE(Einstellungen!$C$3,9,1)))</f>
        <v/>
      </c>
      <c r="X148" s="54">
        <f>IF($B148="","",SUMIFS(Erfassung!$G$6:$G$5005,Erfassung!$B$6:$B$5005,$A148,Erfassung!$A$6:$A$5005,"&gt;="&amp;DATE(Einstellungen!$C$3,9,1),Erfassung!$A$6:$A$5005,"&lt;"&amp;DATE(Einstellungen!$C$3,10,1)))</f>
        <v/>
      </c>
      <c r="Y148" s="54">
        <f>IF($B148="","",SUMIFS(Erfassung!$G$6:$G$5005,Erfassung!$B$6:$B$5005,$A148,Erfassung!$A$6:$A$5005,"&gt;="&amp;DATE(Einstellungen!$C$3,10,1),Erfassung!$A$6:$A$5005,"&lt;"&amp;DATE(Einstellungen!$C$3,11,1)))</f>
        <v/>
      </c>
      <c r="Z148" s="54">
        <f>IF($B148="","",SUMIFS(Erfassung!$G$6:$G$5005,Erfassung!$B$6:$B$5005,$A148,Erfassung!$A$6:$A$5005,"&gt;="&amp;DATE(Einstellungen!$C$3,11,1),Erfassung!$A$6:$A$5005,"&lt;"&amp;DATE(Einstellungen!$C$3,12,1)))</f>
        <v/>
      </c>
      <c r="AA148" s="54">
        <f>IF($B148="","",SUMIFS(Erfassung!$G$6:$G$5005,Erfassung!$B$6:$B$5005,$A148,Erfassung!$A$6:$A$5005,"&gt;="&amp;DATE(Einstellungen!$C$3,12,1),Erfassung!$A$6:$A$5005,"&lt;"&amp;DATE(Einstellungen!$C$3,13,1)))</f>
        <v/>
      </c>
      <c r="AB148" s="45">
        <f>IF($B148="","",SUM(P148:AA148))</f>
        <v/>
      </c>
      <c r="AC148" s="38">
        <f>IF($B148="","",IF(O148+AB148&gt;0,AB148/(O148+AB148),""))</f>
        <v/>
      </c>
    </row>
    <row r="149">
      <c r="A149" s="56">
        <f>'KQuote Mitarbeiter'!A149</f>
        <v/>
      </c>
      <c r="B149" s="57">
        <f>'KQuote Mitarbeiter'!B149</f>
        <v/>
      </c>
      <c r="C149" s="54">
        <f>IF($B149="","",SUMIFS(Erfassung!$E$6:$E$5005,Erfassung!$B$6:$B$5005,$A149,Erfassung!$A$6:$A$5005,"&gt;="&amp;DATE(Einstellungen!$C$3,1,1),Erfassung!$A$6:$A$5005,"&lt;"&amp;DATE(Einstellungen!$C$3,2,1)))</f>
        <v/>
      </c>
      <c r="D149" s="54">
        <f>IF($B149="","",SUMIFS(Erfassung!$E$6:$E$5005,Erfassung!$B$6:$B$5005,$A149,Erfassung!$A$6:$A$5005,"&gt;="&amp;DATE(Einstellungen!$C$3,2,1),Erfassung!$A$6:$A$5005,"&lt;"&amp;DATE(Einstellungen!$C$3,3,1)))</f>
        <v/>
      </c>
      <c r="E149" s="54">
        <f>IF($B149="","",SUMIFS(Erfassung!$E$6:$E$5005,Erfassung!$B$6:$B$5005,$A149,Erfassung!$A$6:$A$5005,"&gt;="&amp;DATE(Einstellungen!$C$3,3,1),Erfassung!$A$6:$A$5005,"&lt;"&amp;DATE(Einstellungen!$C$3,4,1)))</f>
        <v/>
      </c>
      <c r="F149" s="54">
        <f>IF($B149="","",SUMIFS(Erfassung!$E$6:$E$5005,Erfassung!$B$6:$B$5005,$A149,Erfassung!$A$6:$A$5005,"&gt;="&amp;DATE(Einstellungen!$C$3,4,1),Erfassung!$A$6:$A$5005,"&lt;"&amp;DATE(Einstellungen!$C$3,5,1)))</f>
        <v/>
      </c>
      <c r="G149" s="54">
        <f>IF($B149="","",SUMIFS(Erfassung!$E$6:$E$5005,Erfassung!$B$6:$B$5005,$A149,Erfassung!$A$6:$A$5005,"&gt;="&amp;DATE(Einstellungen!$C$3,5,1),Erfassung!$A$6:$A$5005,"&lt;"&amp;DATE(Einstellungen!$C$3,6,1)))</f>
        <v/>
      </c>
      <c r="H149" s="54">
        <f>IF($B149="","",SUMIFS(Erfassung!$E$6:$E$5005,Erfassung!$B$6:$B$5005,$A149,Erfassung!$A$6:$A$5005,"&gt;="&amp;DATE(Einstellungen!$C$3,6,1),Erfassung!$A$6:$A$5005,"&lt;"&amp;DATE(Einstellungen!$C$3,7,1)))</f>
        <v/>
      </c>
      <c r="I149" s="54">
        <f>IF($B149="","",SUMIFS(Erfassung!$E$6:$E$5005,Erfassung!$B$6:$B$5005,$A149,Erfassung!$A$6:$A$5005,"&gt;="&amp;DATE(Einstellungen!$C$3,7,1),Erfassung!$A$6:$A$5005,"&lt;"&amp;DATE(Einstellungen!$C$3,8,1)))</f>
        <v/>
      </c>
      <c r="J149" s="54">
        <f>IF($B149="","",SUMIFS(Erfassung!$E$6:$E$5005,Erfassung!$B$6:$B$5005,$A149,Erfassung!$A$6:$A$5005,"&gt;="&amp;DATE(Einstellungen!$C$3,8,1),Erfassung!$A$6:$A$5005,"&lt;"&amp;DATE(Einstellungen!$C$3,9,1)))</f>
        <v/>
      </c>
      <c r="K149" s="54">
        <f>IF($B149="","",SUMIFS(Erfassung!$E$6:$E$5005,Erfassung!$B$6:$B$5005,$A149,Erfassung!$A$6:$A$5005,"&gt;="&amp;DATE(Einstellungen!$C$3,9,1),Erfassung!$A$6:$A$5005,"&lt;"&amp;DATE(Einstellungen!$C$3,10,1)))</f>
        <v/>
      </c>
      <c r="L149" s="54">
        <f>IF($B149="","",SUMIFS(Erfassung!$E$6:$E$5005,Erfassung!$B$6:$B$5005,$A149,Erfassung!$A$6:$A$5005,"&gt;="&amp;DATE(Einstellungen!$C$3,10,1),Erfassung!$A$6:$A$5005,"&lt;"&amp;DATE(Einstellungen!$C$3,11,1)))</f>
        <v/>
      </c>
      <c r="M149" s="54">
        <f>IF($B149="","",SUMIFS(Erfassung!$E$6:$E$5005,Erfassung!$B$6:$B$5005,$A149,Erfassung!$A$6:$A$5005,"&gt;="&amp;DATE(Einstellungen!$C$3,11,1),Erfassung!$A$6:$A$5005,"&lt;"&amp;DATE(Einstellungen!$C$3,12,1)))</f>
        <v/>
      </c>
      <c r="N149" s="54">
        <f>IF($B149="","",SUMIFS(Erfassung!$E$6:$E$5005,Erfassung!$B$6:$B$5005,$A149,Erfassung!$A$6:$A$5005,"&gt;="&amp;DATE(Einstellungen!$C$3,12,1),Erfassung!$A$6:$A$5005,"&lt;"&amp;DATE(Einstellungen!$C$3,13,1)))</f>
        <v/>
      </c>
      <c r="O149" s="45">
        <f>IF($B149="","",SUM(C149:N149))</f>
        <v/>
      </c>
      <c r="P149" s="54">
        <f>IF($B149="","",SUMIFS(Erfassung!$G$6:$G$5005,Erfassung!$B$6:$B$5005,$A149,Erfassung!$A$6:$A$5005,"&gt;="&amp;DATE(Einstellungen!$C$3,1,1),Erfassung!$A$6:$A$5005,"&lt;"&amp;DATE(Einstellungen!$C$3,2,1)))</f>
        <v/>
      </c>
      <c r="Q149" s="54">
        <f>IF($B149="","",SUMIFS(Erfassung!$G$6:$G$5005,Erfassung!$B$6:$B$5005,$A149,Erfassung!$A$6:$A$5005,"&gt;="&amp;DATE(Einstellungen!$C$3,2,1),Erfassung!$A$6:$A$5005,"&lt;"&amp;DATE(Einstellungen!$C$3,3,1)))</f>
        <v/>
      </c>
      <c r="R149" s="54">
        <f>IF($B149="","",SUMIFS(Erfassung!$G$6:$G$5005,Erfassung!$B$6:$B$5005,$A149,Erfassung!$A$6:$A$5005,"&gt;="&amp;DATE(Einstellungen!$C$3,3,1),Erfassung!$A$6:$A$5005,"&lt;"&amp;DATE(Einstellungen!$C$3,4,1)))</f>
        <v/>
      </c>
      <c r="S149" s="54">
        <f>IF($B149="","",SUMIFS(Erfassung!$G$6:$G$5005,Erfassung!$B$6:$B$5005,$A149,Erfassung!$A$6:$A$5005,"&gt;="&amp;DATE(Einstellungen!$C$3,4,1),Erfassung!$A$6:$A$5005,"&lt;"&amp;DATE(Einstellungen!$C$3,5,1)))</f>
        <v/>
      </c>
      <c r="T149" s="54">
        <f>IF($B149="","",SUMIFS(Erfassung!$G$6:$G$5005,Erfassung!$B$6:$B$5005,$A149,Erfassung!$A$6:$A$5005,"&gt;="&amp;DATE(Einstellungen!$C$3,5,1),Erfassung!$A$6:$A$5005,"&lt;"&amp;DATE(Einstellungen!$C$3,6,1)))</f>
        <v/>
      </c>
      <c r="U149" s="54">
        <f>IF($B149="","",SUMIFS(Erfassung!$G$6:$G$5005,Erfassung!$B$6:$B$5005,$A149,Erfassung!$A$6:$A$5005,"&gt;="&amp;DATE(Einstellungen!$C$3,6,1),Erfassung!$A$6:$A$5005,"&lt;"&amp;DATE(Einstellungen!$C$3,7,1)))</f>
        <v/>
      </c>
      <c r="V149" s="54">
        <f>IF($B149="","",SUMIFS(Erfassung!$G$6:$G$5005,Erfassung!$B$6:$B$5005,$A149,Erfassung!$A$6:$A$5005,"&gt;="&amp;DATE(Einstellungen!$C$3,7,1),Erfassung!$A$6:$A$5005,"&lt;"&amp;DATE(Einstellungen!$C$3,8,1)))</f>
        <v/>
      </c>
      <c r="W149" s="54">
        <f>IF($B149="","",SUMIFS(Erfassung!$G$6:$G$5005,Erfassung!$B$6:$B$5005,$A149,Erfassung!$A$6:$A$5005,"&gt;="&amp;DATE(Einstellungen!$C$3,8,1),Erfassung!$A$6:$A$5005,"&lt;"&amp;DATE(Einstellungen!$C$3,9,1)))</f>
        <v/>
      </c>
      <c r="X149" s="54">
        <f>IF($B149="","",SUMIFS(Erfassung!$G$6:$G$5005,Erfassung!$B$6:$B$5005,$A149,Erfassung!$A$6:$A$5005,"&gt;="&amp;DATE(Einstellungen!$C$3,9,1),Erfassung!$A$6:$A$5005,"&lt;"&amp;DATE(Einstellungen!$C$3,10,1)))</f>
        <v/>
      </c>
      <c r="Y149" s="54">
        <f>IF($B149="","",SUMIFS(Erfassung!$G$6:$G$5005,Erfassung!$B$6:$B$5005,$A149,Erfassung!$A$6:$A$5005,"&gt;="&amp;DATE(Einstellungen!$C$3,10,1),Erfassung!$A$6:$A$5005,"&lt;"&amp;DATE(Einstellungen!$C$3,11,1)))</f>
        <v/>
      </c>
      <c r="Z149" s="54">
        <f>IF($B149="","",SUMIFS(Erfassung!$G$6:$G$5005,Erfassung!$B$6:$B$5005,$A149,Erfassung!$A$6:$A$5005,"&gt;="&amp;DATE(Einstellungen!$C$3,11,1),Erfassung!$A$6:$A$5005,"&lt;"&amp;DATE(Einstellungen!$C$3,12,1)))</f>
        <v/>
      </c>
      <c r="AA149" s="54">
        <f>IF($B149="","",SUMIFS(Erfassung!$G$6:$G$5005,Erfassung!$B$6:$B$5005,$A149,Erfassung!$A$6:$A$5005,"&gt;="&amp;DATE(Einstellungen!$C$3,12,1),Erfassung!$A$6:$A$5005,"&lt;"&amp;DATE(Einstellungen!$C$3,13,1)))</f>
        <v/>
      </c>
      <c r="AB149" s="45">
        <f>IF($B149="","",SUM(P149:AA149))</f>
        <v/>
      </c>
      <c r="AC149" s="38">
        <f>IF($B149="","",IF(O149+AB149&gt;0,AB149/(O149+AB149),""))</f>
        <v/>
      </c>
    </row>
    <row r="150">
      <c r="A150" s="56">
        <f>'KQuote Mitarbeiter'!A150</f>
        <v/>
      </c>
      <c r="B150" s="57">
        <f>'KQuote Mitarbeiter'!B150</f>
        <v/>
      </c>
      <c r="C150" s="54">
        <f>IF($B150="","",SUMIFS(Erfassung!$E$6:$E$5005,Erfassung!$B$6:$B$5005,$A150,Erfassung!$A$6:$A$5005,"&gt;="&amp;DATE(Einstellungen!$C$3,1,1),Erfassung!$A$6:$A$5005,"&lt;"&amp;DATE(Einstellungen!$C$3,2,1)))</f>
        <v/>
      </c>
      <c r="D150" s="54">
        <f>IF($B150="","",SUMIFS(Erfassung!$E$6:$E$5005,Erfassung!$B$6:$B$5005,$A150,Erfassung!$A$6:$A$5005,"&gt;="&amp;DATE(Einstellungen!$C$3,2,1),Erfassung!$A$6:$A$5005,"&lt;"&amp;DATE(Einstellungen!$C$3,3,1)))</f>
        <v/>
      </c>
      <c r="E150" s="54">
        <f>IF($B150="","",SUMIFS(Erfassung!$E$6:$E$5005,Erfassung!$B$6:$B$5005,$A150,Erfassung!$A$6:$A$5005,"&gt;="&amp;DATE(Einstellungen!$C$3,3,1),Erfassung!$A$6:$A$5005,"&lt;"&amp;DATE(Einstellungen!$C$3,4,1)))</f>
        <v/>
      </c>
      <c r="F150" s="54">
        <f>IF($B150="","",SUMIFS(Erfassung!$E$6:$E$5005,Erfassung!$B$6:$B$5005,$A150,Erfassung!$A$6:$A$5005,"&gt;="&amp;DATE(Einstellungen!$C$3,4,1),Erfassung!$A$6:$A$5005,"&lt;"&amp;DATE(Einstellungen!$C$3,5,1)))</f>
        <v/>
      </c>
      <c r="G150" s="54">
        <f>IF($B150="","",SUMIFS(Erfassung!$E$6:$E$5005,Erfassung!$B$6:$B$5005,$A150,Erfassung!$A$6:$A$5005,"&gt;="&amp;DATE(Einstellungen!$C$3,5,1),Erfassung!$A$6:$A$5005,"&lt;"&amp;DATE(Einstellungen!$C$3,6,1)))</f>
        <v/>
      </c>
      <c r="H150" s="54">
        <f>IF($B150="","",SUMIFS(Erfassung!$E$6:$E$5005,Erfassung!$B$6:$B$5005,$A150,Erfassung!$A$6:$A$5005,"&gt;="&amp;DATE(Einstellungen!$C$3,6,1),Erfassung!$A$6:$A$5005,"&lt;"&amp;DATE(Einstellungen!$C$3,7,1)))</f>
        <v/>
      </c>
      <c r="I150" s="54">
        <f>IF($B150="","",SUMIFS(Erfassung!$E$6:$E$5005,Erfassung!$B$6:$B$5005,$A150,Erfassung!$A$6:$A$5005,"&gt;="&amp;DATE(Einstellungen!$C$3,7,1),Erfassung!$A$6:$A$5005,"&lt;"&amp;DATE(Einstellungen!$C$3,8,1)))</f>
        <v/>
      </c>
      <c r="J150" s="54">
        <f>IF($B150="","",SUMIFS(Erfassung!$E$6:$E$5005,Erfassung!$B$6:$B$5005,$A150,Erfassung!$A$6:$A$5005,"&gt;="&amp;DATE(Einstellungen!$C$3,8,1),Erfassung!$A$6:$A$5005,"&lt;"&amp;DATE(Einstellungen!$C$3,9,1)))</f>
        <v/>
      </c>
      <c r="K150" s="54">
        <f>IF($B150="","",SUMIFS(Erfassung!$E$6:$E$5005,Erfassung!$B$6:$B$5005,$A150,Erfassung!$A$6:$A$5005,"&gt;="&amp;DATE(Einstellungen!$C$3,9,1),Erfassung!$A$6:$A$5005,"&lt;"&amp;DATE(Einstellungen!$C$3,10,1)))</f>
        <v/>
      </c>
      <c r="L150" s="54">
        <f>IF($B150="","",SUMIFS(Erfassung!$E$6:$E$5005,Erfassung!$B$6:$B$5005,$A150,Erfassung!$A$6:$A$5005,"&gt;="&amp;DATE(Einstellungen!$C$3,10,1),Erfassung!$A$6:$A$5005,"&lt;"&amp;DATE(Einstellungen!$C$3,11,1)))</f>
        <v/>
      </c>
      <c r="M150" s="54">
        <f>IF($B150="","",SUMIFS(Erfassung!$E$6:$E$5005,Erfassung!$B$6:$B$5005,$A150,Erfassung!$A$6:$A$5005,"&gt;="&amp;DATE(Einstellungen!$C$3,11,1),Erfassung!$A$6:$A$5005,"&lt;"&amp;DATE(Einstellungen!$C$3,12,1)))</f>
        <v/>
      </c>
      <c r="N150" s="54">
        <f>IF($B150="","",SUMIFS(Erfassung!$E$6:$E$5005,Erfassung!$B$6:$B$5005,$A150,Erfassung!$A$6:$A$5005,"&gt;="&amp;DATE(Einstellungen!$C$3,12,1),Erfassung!$A$6:$A$5005,"&lt;"&amp;DATE(Einstellungen!$C$3,13,1)))</f>
        <v/>
      </c>
      <c r="O150" s="45">
        <f>IF($B150="","",SUM(C150:N150))</f>
        <v/>
      </c>
      <c r="P150" s="54">
        <f>IF($B150="","",SUMIFS(Erfassung!$G$6:$G$5005,Erfassung!$B$6:$B$5005,$A150,Erfassung!$A$6:$A$5005,"&gt;="&amp;DATE(Einstellungen!$C$3,1,1),Erfassung!$A$6:$A$5005,"&lt;"&amp;DATE(Einstellungen!$C$3,2,1)))</f>
        <v/>
      </c>
      <c r="Q150" s="54">
        <f>IF($B150="","",SUMIFS(Erfassung!$G$6:$G$5005,Erfassung!$B$6:$B$5005,$A150,Erfassung!$A$6:$A$5005,"&gt;="&amp;DATE(Einstellungen!$C$3,2,1),Erfassung!$A$6:$A$5005,"&lt;"&amp;DATE(Einstellungen!$C$3,3,1)))</f>
        <v/>
      </c>
      <c r="R150" s="54">
        <f>IF($B150="","",SUMIFS(Erfassung!$G$6:$G$5005,Erfassung!$B$6:$B$5005,$A150,Erfassung!$A$6:$A$5005,"&gt;="&amp;DATE(Einstellungen!$C$3,3,1),Erfassung!$A$6:$A$5005,"&lt;"&amp;DATE(Einstellungen!$C$3,4,1)))</f>
        <v/>
      </c>
      <c r="S150" s="54">
        <f>IF($B150="","",SUMIFS(Erfassung!$G$6:$G$5005,Erfassung!$B$6:$B$5005,$A150,Erfassung!$A$6:$A$5005,"&gt;="&amp;DATE(Einstellungen!$C$3,4,1),Erfassung!$A$6:$A$5005,"&lt;"&amp;DATE(Einstellungen!$C$3,5,1)))</f>
        <v/>
      </c>
      <c r="T150" s="54">
        <f>IF($B150="","",SUMIFS(Erfassung!$G$6:$G$5005,Erfassung!$B$6:$B$5005,$A150,Erfassung!$A$6:$A$5005,"&gt;="&amp;DATE(Einstellungen!$C$3,5,1),Erfassung!$A$6:$A$5005,"&lt;"&amp;DATE(Einstellungen!$C$3,6,1)))</f>
        <v/>
      </c>
      <c r="U150" s="54">
        <f>IF($B150="","",SUMIFS(Erfassung!$G$6:$G$5005,Erfassung!$B$6:$B$5005,$A150,Erfassung!$A$6:$A$5005,"&gt;="&amp;DATE(Einstellungen!$C$3,6,1),Erfassung!$A$6:$A$5005,"&lt;"&amp;DATE(Einstellungen!$C$3,7,1)))</f>
        <v/>
      </c>
      <c r="V150" s="54">
        <f>IF($B150="","",SUMIFS(Erfassung!$G$6:$G$5005,Erfassung!$B$6:$B$5005,$A150,Erfassung!$A$6:$A$5005,"&gt;="&amp;DATE(Einstellungen!$C$3,7,1),Erfassung!$A$6:$A$5005,"&lt;"&amp;DATE(Einstellungen!$C$3,8,1)))</f>
        <v/>
      </c>
      <c r="W150" s="54">
        <f>IF($B150="","",SUMIFS(Erfassung!$G$6:$G$5005,Erfassung!$B$6:$B$5005,$A150,Erfassung!$A$6:$A$5005,"&gt;="&amp;DATE(Einstellungen!$C$3,8,1),Erfassung!$A$6:$A$5005,"&lt;"&amp;DATE(Einstellungen!$C$3,9,1)))</f>
        <v/>
      </c>
      <c r="X150" s="54">
        <f>IF($B150="","",SUMIFS(Erfassung!$G$6:$G$5005,Erfassung!$B$6:$B$5005,$A150,Erfassung!$A$6:$A$5005,"&gt;="&amp;DATE(Einstellungen!$C$3,9,1),Erfassung!$A$6:$A$5005,"&lt;"&amp;DATE(Einstellungen!$C$3,10,1)))</f>
        <v/>
      </c>
      <c r="Y150" s="54">
        <f>IF($B150="","",SUMIFS(Erfassung!$G$6:$G$5005,Erfassung!$B$6:$B$5005,$A150,Erfassung!$A$6:$A$5005,"&gt;="&amp;DATE(Einstellungen!$C$3,10,1),Erfassung!$A$6:$A$5005,"&lt;"&amp;DATE(Einstellungen!$C$3,11,1)))</f>
        <v/>
      </c>
      <c r="Z150" s="54">
        <f>IF($B150="","",SUMIFS(Erfassung!$G$6:$G$5005,Erfassung!$B$6:$B$5005,$A150,Erfassung!$A$6:$A$5005,"&gt;="&amp;DATE(Einstellungen!$C$3,11,1),Erfassung!$A$6:$A$5005,"&lt;"&amp;DATE(Einstellungen!$C$3,12,1)))</f>
        <v/>
      </c>
      <c r="AA150" s="54">
        <f>IF($B150="","",SUMIFS(Erfassung!$G$6:$G$5005,Erfassung!$B$6:$B$5005,$A150,Erfassung!$A$6:$A$5005,"&gt;="&amp;DATE(Einstellungen!$C$3,12,1),Erfassung!$A$6:$A$5005,"&lt;"&amp;DATE(Einstellungen!$C$3,13,1)))</f>
        <v/>
      </c>
      <c r="AB150" s="45">
        <f>IF($B150="","",SUM(P150:AA150))</f>
        <v/>
      </c>
      <c r="AC150" s="38">
        <f>IF($B150="","",IF(O150+AB150&gt;0,AB150/(O150+AB150),""))</f>
        <v/>
      </c>
    </row>
    <row r="151">
      <c r="A151" s="56">
        <f>'KQuote Mitarbeiter'!A151</f>
        <v/>
      </c>
      <c r="B151" s="57">
        <f>'KQuote Mitarbeiter'!B151</f>
        <v/>
      </c>
      <c r="C151" s="54">
        <f>IF($B151="","",SUMIFS(Erfassung!$E$6:$E$5005,Erfassung!$B$6:$B$5005,$A151,Erfassung!$A$6:$A$5005,"&gt;="&amp;DATE(Einstellungen!$C$3,1,1),Erfassung!$A$6:$A$5005,"&lt;"&amp;DATE(Einstellungen!$C$3,2,1)))</f>
        <v/>
      </c>
      <c r="D151" s="54">
        <f>IF($B151="","",SUMIFS(Erfassung!$E$6:$E$5005,Erfassung!$B$6:$B$5005,$A151,Erfassung!$A$6:$A$5005,"&gt;="&amp;DATE(Einstellungen!$C$3,2,1),Erfassung!$A$6:$A$5005,"&lt;"&amp;DATE(Einstellungen!$C$3,3,1)))</f>
        <v/>
      </c>
      <c r="E151" s="54">
        <f>IF($B151="","",SUMIFS(Erfassung!$E$6:$E$5005,Erfassung!$B$6:$B$5005,$A151,Erfassung!$A$6:$A$5005,"&gt;="&amp;DATE(Einstellungen!$C$3,3,1),Erfassung!$A$6:$A$5005,"&lt;"&amp;DATE(Einstellungen!$C$3,4,1)))</f>
        <v/>
      </c>
      <c r="F151" s="54">
        <f>IF($B151="","",SUMIFS(Erfassung!$E$6:$E$5005,Erfassung!$B$6:$B$5005,$A151,Erfassung!$A$6:$A$5005,"&gt;="&amp;DATE(Einstellungen!$C$3,4,1),Erfassung!$A$6:$A$5005,"&lt;"&amp;DATE(Einstellungen!$C$3,5,1)))</f>
        <v/>
      </c>
      <c r="G151" s="54">
        <f>IF($B151="","",SUMIFS(Erfassung!$E$6:$E$5005,Erfassung!$B$6:$B$5005,$A151,Erfassung!$A$6:$A$5005,"&gt;="&amp;DATE(Einstellungen!$C$3,5,1),Erfassung!$A$6:$A$5005,"&lt;"&amp;DATE(Einstellungen!$C$3,6,1)))</f>
        <v/>
      </c>
      <c r="H151" s="54">
        <f>IF($B151="","",SUMIFS(Erfassung!$E$6:$E$5005,Erfassung!$B$6:$B$5005,$A151,Erfassung!$A$6:$A$5005,"&gt;="&amp;DATE(Einstellungen!$C$3,6,1),Erfassung!$A$6:$A$5005,"&lt;"&amp;DATE(Einstellungen!$C$3,7,1)))</f>
        <v/>
      </c>
      <c r="I151" s="54">
        <f>IF($B151="","",SUMIFS(Erfassung!$E$6:$E$5005,Erfassung!$B$6:$B$5005,$A151,Erfassung!$A$6:$A$5005,"&gt;="&amp;DATE(Einstellungen!$C$3,7,1),Erfassung!$A$6:$A$5005,"&lt;"&amp;DATE(Einstellungen!$C$3,8,1)))</f>
        <v/>
      </c>
      <c r="J151" s="54">
        <f>IF($B151="","",SUMIFS(Erfassung!$E$6:$E$5005,Erfassung!$B$6:$B$5005,$A151,Erfassung!$A$6:$A$5005,"&gt;="&amp;DATE(Einstellungen!$C$3,8,1),Erfassung!$A$6:$A$5005,"&lt;"&amp;DATE(Einstellungen!$C$3,9,1)))</f>
        <v/>
      </c>
      <c r="K151" s="54">
        <f>IF($B151="","",SUMIFS(Erfassung!$E$6:$E$5005,Erfassung!$B$6:$B$5005,$A151,Erfassung!$A$6:$A$5005,"&gt;="&amp;DATE(Einstellungen!$C$3,9,1),Erfassung!$A$6:$A$5005,"&lt;"&amp;DATE(Einstellungen!$C$3,10,1)))</f>
        <v/>
      </c>
      <c r="L151" s="54">
        <f>IF($B151="","",SUMIFS(Erfassung!$E$6:$E$5005,Erfassung!$B$6:$B$5005,$A151,Erfassung!$A$6:$A$5005,"&gt;="&amp;DATE(Einstellungen!$C$3,10,1),Erfassung!$A$6:$A$5005,"&lt;"&amp;DATE(Einstellungen!$C$3,11,1)))</f>
        <v/>
      </c>
      <c r="M151" s="54">
        <f>IF($B151="","",SUMIFS(Erfassung!$E$6:$E$5005,Erfassung!$B$6:$B$5005,$A151,Erfassung!$A$6:$A$5005,"&gt;="&amp;DATE(Einstellungen!$C$3,11,1),Erfassung!$A$6:$A$5005,"&lt;"&amp;DATE(Einstellungen!$C$3,12,1)))</f>
        <v/>
      </c>
      <c r="N151" s="54">
        <f>IF($B151="","",SUMIFS(Erfassung!$E$6:$E$5005,Erfassung!$B$6:$B$5005,$A151,Erfassung!$A$6:$A$5005,"&gt;="&amp;DATE(Einstellungen!$C$3,12,1),Erfassung!$A$6:$A$5005,"&lt;"&amp;DATE(Einstellungen!$C$3,13,1)))</f>
        <v/>
      </c>
      <c r="O151" s="45">
        <f>IF($B151="","",SUM(C151:N151))</f>
        <v/>
      </c>
      <c r="P151" s="54">
        <f>IF($B151="","",SUMIFS(Erfassung!$G$6:$G$5005,Erfassung!$B$6:$B$5005,$A151,Erfassung!$A$6:$A$5005,"&gt;="&amp;DATE(Einstellungen!$C$3,1,1),Erfassung!$A$6:$A$5005,"&lt;"&amp;DATE(Einstellungen!$C$3,2,1)))</f>
        <v/>
      </c>
      <c r="Q151" s="54">
        <f>IF($B151="","",SUMIFS(Erfassung!$G$6:$G$5005,Erfassung!$B$6:$B$5005,$A151,Erfassung!$A$6:$A$5005,"&gt;="&amp;DATE(Einstellungen!$C$3,2,1),Erfassung!$A$6:$A$5005,"&lt;"&amp;DATE(Einstellungen!$C$3,3,1)))</f>
        <v/>
      </c>
      <c r="R151" s="54">
        <f>IF($B151="","",SUMIFS(Erfassung!$G$6:$G$5005,Erfassung!$B$6:$B$5005,$A151,Erfassung!$A$6:$A$5005,"&gt;="&amp;DATE(Einstellungen!$C$3,3,1),Erfassung!$A$6:$A$5005,"&lt;"&amp;DATE(Einstellungen!$C$3,4,1)))</f>
        <v/>
      </c>
      <c r="S151" s="54">
        <f>IF($B151="","",SUMIFS(Erfassung!$G$6:$G$5005,Erfassung!$B$6:$B$5005,$A151,Erfassung!$A$6:$A$5005,"&gt;="&amp;DATE(Einstellungen!$C$3,4,1),Erfassung!$A$6:$A$5005,"&lt;"&amp;DATE(Einstellungen!$C$3,5,1)))</f>
        <v/>
      </c>
      <c r="T151" s="54">
        <f>IF($B151="","",SUMIFS(Erfassung!$G$6:$G$5005,Erfassung!$B$6:$B$5005,$A151,Erfassung!$A$6:$A$5005,"&gt;="&amp;DATE(Einstellungen!$C$3,5,1),Erfassung!$A$6:$A$5005,"&lt;"&amp;DATE(Einstellungen!$C$3,6,1)))</f>
        <v/>
      </c>
      <c r="U151" s="54">
        <f>IF($B151="","",SUMIFS(Erfassung!$G$6:$G$5005,Erfassung!$B$6:$B$5005,$A151,Erfassung!$A$6:$A$5005,"&gt;="&amp;DATE(Einstellungen!$C$3,6,1),Erfassung!$A$6:$A$5005,"&lt;"&amp;DATE(Einstellungen!$C$3,7,1)))</f>
        <v/>
      </c>
      <c r="V151" s="54">
        <f>IF($B151="","",SUMIFS(Erfassung!$G$6:$G$5005,Erfassung!$B$6:$B$5005,$A151,Erfassung!$A$6:$A$5005,"&gt;="&amp;DATE(Einstellungen!$C$3,7,1),Erfassung!$A$6:$A$5005,"&lt;"&amp;DATE(Einstellungen!$C$3,8,1)))</f>
        <v/>
      </c>
      <c r="W151" s="54">
        <f>IF($B151="","",SUMIFS(Erfassung!$G$6:$G$5005,Erfassung!$B$6:$B$5005,$A151,Erfassung!$A$6:$A$5005,"&gt;="&amp;DATE(Einstellungen!$C$3,8,1),Erfassung!$A$6:$A$5005,"&lt;"&amp;DATE(Einstellungen!$C$3,9,1)))</f>
        <v/>
      </c>
      <c r="X151" s="54">
        <f>IF($B151="","",SUMIFS(Erfassung!$G$6:$G$5005,Erfassung!$B$6:$B$5005,$A151,Erfassung!$A$6:$A$5005,"&gt;="&amp;DATE(Einstellungen!$C$3,9,1),Erfassung!$A$6:$A$5005,"&lt;"&amp;DATE(Einstellungen!$C$3,10,1)))</f>
        <v/>
      </c>
      <c r="Y151" s="54">
        <f>IF($B151="","",SUMIFS(Erfassung!$G$6:$G$5005,Erfassung!$B$6:$B$5005,$A151,Erfassung!$A$6:$A$5005,"&gt;="&amp;DATE(Einstellungen!$C$3,10,1),Erfassung!$A$6:$A$5005,"&lt;"&amp;DATE(Einstellungen!$C$3,11,1)))</f>
        <v/>
      </c>
      <c r="Z151" s="54">
        <f>IF($B151="","",SUMIFS(Erfassung!$G$6:$G$5005,Erfassung!$B$6:$B$5005,$A151,Erfassung!$A$6:$A$5005,"&gt;="&amp;DATE(Einstellungen!$C$3,11,1),Erfassung!$A$6:$A$5005,"&lt;"&amp;DATE(Einstellungen!$C$3,12,1)))</f>
        <v/>
      </c>
      <c r="AA151" s="54">
        <f>IF($B151="","",SUMIFS(Erfassung!$G$6:$G$5005,Erfassung!$B$6:$B$5005,$A151,Erfassung!$A$6:$A$5005,"&gt;="&amp;DATE(Einstellungen!$C$3,12,1),Erfassung!$A$6:$A$5005,"&lt;"&amp;DATE(Einstellungen!$C$3,13,1)))</f>
        <v/>
      </c>
      <c r="AB151" s="45">
        <f>IF($B151="","",SUM(P151:AA151))</f>
        <v/>
      </c>
      <c r="AC151" s="38">
        <f>IF($B151="","",IF(O151+AB151&gt;0,AB151/(O151+AB151),""))</f>
        <v/>
      </c>
    </row>
    <row r="152">
      <c r="A152" s="56">
        <f>'KQuote Mitarbeiter'!A152</f>
        <v/>
      </c>
      <c r="B152" s="57">
        <f>'KQuote Mitarbeiter'!B152</f>
        <v/>
      </c>
      <c r="C152" s="54">
        <f>IF($B152="","",SUMIFS(Erfassung!$E$6:$E$5005,Erfassung!$B$6:$B$5005,$A152,Erfassung!$A$6:$A$5005,"&gt;="&amp;DATE(Einstellungen!$C$3,1,1),Erfassung!$A$6:$A$5005,"&lt;"&amp;DATE(Einstellungen!$C$3,2,1)))</f>
        <v/>
      </c>
      <c r="D152" s="54">
        <f>IF($B152="","",SUMIFS(Erfassung!$E$6:$E$5005,Erfassung!$B$6:$B$5005,$A152,Erfassung!$A$6:$A$5005,"&gt;="&amp;DATE(Einstellungen!$C$3,2,1),Erfassung!$A$6:$A$5005,"&lt;"&amp;DATE(Einstellungen!$C$3,3,1)))</f>
        <v/>
      </c>
      <c r="E152" s="54">
        <f>IF($B152="","",SUMIFS(Erfassung!$E$6:$E$5005,Erfassung!$B$6:$B$5005,$A152,Erfassung!$A$6:$A$5005,"&gt;="&amp;DATE(Einstellungen!$C$3,3,1),Erfassung!$A$6:$A$5005,"&lt;"&amp;DATE(Einstellungen!$C$3,4,1)))</f>
        <v/>
      </c>
      <c r="F152" s="54">
        <f>IF($B152="","",SUMIFS(Erfassung!$E$6:$E$5005,Erfassung!$B$6:$B$5005,$A152,Erfassung!$A$6:$A$5005,"&gt;="&amp;DATE(Einstellungen!$C$3,4,1),Erfassung!$A$6:$A$5005,"&lt;"&amp;DATE(Einstellungen!$C$3,5,1)))</f>
        <v/>
      </c>
      <c r="G152" s="54">
        <f>IF($B152="","",SUMIFS(Erfassung!$E$6:$E$5005,Erfassung!$B$6:$B$5005,$A152,Erfassung!$A$6:$A$5005,"&gt;="&amp;DATE(Einstellungen!$C$3,5,1),Erfassung!$A$6:$A$5005,"&lt;"&amp;DATE(Einstellungen!$C$3,6,1)))</f>
        <v/>
      </c>
      <c r="H152" s="54">
        <f>IF($B152="","",SUMIFS(Erfassung!$E$6:$E$5005,Erfassung!$B$6:$B$5005,$A152,Erfassung!$A$6:$A$5005,"&gt;="&amp;DATE(Einstellungen!$C$3,6,1),Erfassung!$A$6:$A$5005,"&lt;"&amp;DATE(Einstellungen!$C$3,7,1)))</f>
        <v/>
      </c>
      <c r="I152" s="54">
        <f>IF($B152="","",SUMIFS(Erfassung!$E$6:$E$5005,Erfassung!$B$6:$B$5005,$A152,Erfassung!$A$6:$A$5005,"&gt;="&amp;DATE(Einstellungen!$C$3,7,1),Erfassung!$A$6:$A$5005,"&lt;"&amp;DATE(Einstellungen!$C$3,8,1)))</f>
        <v/>
      </c>
      <c r="J152" s="54">
        <f>IF($B152="","",SUMIFS(Erfassung!$E$6:$E$5005,Erfassung!$B$6:$B$5005,$A152,Erfassung!$A$6:$A$5005,"&gt;="&amp;DATE(Einstellungen!$C$3,8,1),Erfassung!$A$6:$A$5005,"&lt;"&amp;DATE(Einstellungen!$C$3,9,1)))</f>
        <v/>
      </c>
      <c r="K152" s="54">
        <f>IF($B152="","",SUMIFS(Erfassung!$E$6:$E$5005,Erfassung!$B$6:$B$5005,$A152,Erfassung!$A$6:$A$5005,"&gt;="&amp;DATE(Einstellungen!$C$3,9,1),Erfassung!$A$6:$A$5005,"&lt;"&amp;DATE(Einstellungen!$C$3,10,1)))</f>
        <v/>
      </c>
      <c r="L152" s="54">
        <f>IF($B152="","",SUMIFS(Erfassung!$E$6:$E$5005,Erfassung!$B$6:$B$5005,$A152,Erfassung!$A$6:$A$5005,"&gt;="&amp;DATE(Einstellungen!$C$3,10,1),Erfassung!$A$6:$A$5005,"&lt;"&amp;DATE(Einstellungen!$C$3,11,1)))</f>
        <v/>
      </c>
      <c r="M152" s="54">
        <f>IF($B152="","",SUMIFS(Erfassung!$E$6:$E$5005,Erfassung!$B$6:$B$5005,$A152,Erfassung!$A$6:$A$5005,"&gt;="&amp;DATE(Einstellungen!$C$3,11,1),Erfassung!$A$6:$A$5005,"&lt;"&amp;DATE(Einstellungen!$C$3,12,1)))</f>
        <v/>
      </c>
      <c r="N152" s="54">
        <f>IF($B152="","",SUMIFS(Erfassung!$E$6:$E$5005,Erfassung!$B$6:$B$5005,$A152,Erfassung!$A$6:$A$5005,"&gt;="&amp;DATE(Einstellungen!$C$3,12,1),Erfassung!$A$6:$A$5005,"&lt;"&amp;DATE(Einstellungen!$C$3,13,1)))</f>
        <v/>
      </c>
      <c r="O152" s="45">
        <f>IF($B152="","",SUM(C152:N152))</f>
        <v/>
      </c>
      <c r="P152" s="54">
        <f>IF($B152="","",SUMIFS(Erfassung!$G$6:$G$5005,Erfassung!$B$6:$B$5005,$A152,Erfassung!$A$6:$A$5005,"&gt;="&amp;DATE(Einstellungen!$C$3,1,1),Erfassung!$A$6:$A$5005,"&lt;"&amp;DATE(Einstellungen!$C$3,2,1)))</f>
        <v/>
      </c>
      <c r="Q152" s="54">
        <f>IF($B152="","",SUMIFS(Erfassung!$G$6:$G$5005,Erfassung!$B$6:$B$5005,$A152,Erfassung!$A$6:$A$5005,"&gt;="&amp;DATE(Einstellungen!$C$3,2,1),Erfassung!$A$6:$A$5005,"&lt;"&amp;DATE(Einstellungen!$C$3,3,1)))</f>
        <v/>
      </c>
      <c r="R152" s="54">
        <f>IF($B152="","",SUMIFS(Erfassung!$G$6:$G$5005,Erfassung!$B$6:$B$5005,$A152,Erfassung!$A$6:$A$5005,"&gt;="&amp;DATE(Einstellungen!$C$3,3,1),Erfassung!$A$6:$A$5005,"&lt;"&amp;DATE(Einstellungen!$C$3,4,1)))</f>
        <v/>
      </c>
      <c r="S152" s="54">
        <f>IF($B152="","",SUMIFS(Erfassung!$G$6:$G$5005,Erfassung!$B$6:$B$5005,$A152,Erfassung!$A$6:$A$5005,"&gt;="&amp;DATE(Einstellungen!$C$3,4,1),Erfassung!$A$6:$A$5005,"&lt;"&amp;DATE(Einstellungen!$C$3,5,1)))</f>
        <v/>
      </c>
      <c r="T152" s="54">
        <f>IF($B152="","",SUMIFS(Erfassung!$G$6:$G$5005,Erfassung!$B$6:$B$5005,$A152,Erfassung!$A$6:$A$5005,"&gt;="&amp;DATE(Einstellungen!$C$3,5,1),Erfassung!$A$6:$A$5005,"&lt;"&amp;DATE(Einstellungen!$C$3,6,1)))</f>
        <v/>
      </c>
      <c r="U152" s="54">
        <f>IF($B152="","",SUMIFS(Erfassung!$G$6:$G$5005,Erfassung!$B$6:$B$5005,$A152,Erfassung!$A$6:$A$5005,"&gt;="&amp;DATE(Einstellungen!$C$3,6,1),Erfassung!$A$6:$A$5005,"&lt;"&amp;DATE(Einstellungen!$C$3,7,1)))</f>
        <v/>
      </c>
      <c r="V152" s="54">
        <f>IF($B152="","",SUMIFS(Erfassung!$G$6:$G$5005,Erfassung!$B$6:$B$5005,$A152,Erfassung!$A$6:$A$5005,"&gt;="&amp;DATE(Einstellungen!$C$3,7,1),Erfassung!$A$6:$A$5005,"&lt;"&amp;DATE(Einstellungen!$C$3,8,1)))</f>
        <v/>
      </c>
      <c r="W152" s="54">
        <f>IF($B152="","",SUMIFS(Erfassung!$G$6:$G$5005,Erfassung!$B$6:$B$5005,$A152,Erfassung!$A$6:$A$5005,"&gt;="&amp;DATE(Einstellungen!$C$3,8,1),Erfassung!$A$6:$A$5005,"&lt;"&amp;DATE(Einstellungen!$C$3,9,1)))</f>
        <v/>
      </c>
      <c r="X152" s="54">
        <f>IF($B152="","",SUMIFS(Erfassung!$G$6:$G$5005,Erfassung!$B$6:$B$5005,$A152,Erfassung!$A$6:$A$5005,"&gt;="&amp;DATE(Einstellungen!$C$3,9,1),Erfassung!$A$6:$A$5005,"&lt;"&amp;DATE(Einstellungen!$C$3,10,1)))</f>
        <v/>
      </c>
      <c r="Y152" s="54">
        <f>IF($B152="","",SUMIFS(Erfassung!$G$6:$G$5005,Erfassung!$B$6:$B$5005,$A152,Erfassung!$A$6:$A$5005,"&gt;="&amp;DATE(Einstellungen!$C$3,10,1),Erfassung!$A$6:$A$5005,"&lt;"&amp;DATE(Einstellungen!$C$3,11,1)))</f>
        <v/>
      </c>
      <c r="Z152" s="54">
        <f>IF($B152="","",SUMIFS(Erfassung!$G$6:$G$5005,Erfassung!$B$6:$B$5005,$A152,Erfassung!$A$6:$A$5005,"&gt;="&amp;DATE(Einstellungen!$C$3,11,1),Erfassung!$A$6:$A$5005,"&lt;"&amp;DATE(Einstellungen!$C$3,12,1)))</f>
        <v/>
      </c>
      <c r="AA152" s="54">
        <f>IF($B152="","",SUMIFS(Erfassung!$G$6:$G$5005,Erfassung!$B$6:$B$5005,$A152,Erfassung!$A$6:$A$5005,"&gt;="&amp;DATE(Einstellungen!$C$3,12,1),Erfassung!$A$6:$A$5005,"&lt;"&amp;DATE(Einstellungen!$C$3,13,1)))</f>
        <v/>
      </c>
      <c r="AB152" s="45">
        <f>IF($B152="","",SUM(P152:AA152))</f>
        <v/>
      </c>
      <c r="AC152" s="38">
        <f>IF($B152="","",IF(O152+AB152&gt;0,AB152/(O152+AB152),""))</f>
        <v/>
      </c>
    </row>
    <row r="153">
      <c r="A153" s="56">
        <f>'KQuote Mitarbeiter'!A153</f>
        <v/>
      </c>
      <c r="B153" s="57">
        <f>'KQuote Mitarbeiter'!B153</f>
        <v/>
      </c>
      <c r="C153" s="54">
        <f>IF($B153="","",SUMIFS(Erfassung!$E$6:$E$5005,Erfassung!$B$6:$B$5005,$A153,Erfassung!$A$6:$A$5005,"&gt;="&amp;DATE(Einstellungen!$C$3,1,1),Erfassung!$A$6:$A$5005,"&lt;"&amp;DATE(Einstellungen!$C$3,2,1)))</f>
        <v/>
      </c>
      <c r="D153" s="54">
        <f>IF($B153="","",SUMIFS(Erfassung!$E$6:$E$5005,Erfassung!$B$6:$B$5005,$A153,Erfassung!$A$6:$A$5005,"&gt;="&amp;DATE(Einstellungen!$C$3,2,1),Erfassung!$A$6:$A$5005,"&lt;"&amp;DATE(Einstellungen!$C$3,3,1)))</f>
        <v/>
      </c>
      <c r="E153" s="54">
        <f>IF($B153="","",SUMIFS(Erfassung!$E$6:$E$5005,Erfassung!$B$6:$B$5005,$A153,Erfassung!$A$6:$A$5005,"&gt;="&amp;DATE(Einstellungen!$C$3,3,1),Erfassung!$A$6:$A$5005,"&lt;"&amp;DATE(Einstellungen!$C$3,4,1)))</f>
        <v/>
      </c>
      <c r="F153" s="54">
        <f>IF($B153="","",SUMIFS(Erfassung!$E$6:$E$5005,Erfassung!$B$6:$B$5005,$A153,Erfassung!$A$6:$A$5005,"&gt;="&amp;DATE(Einstellungen!$C$3,4,1),Erfassung!$A$6:$A$5005,"&lt;"&amp;DATE(Einstellungen!$C$3,5,1)))</f>
        <v/>
      </c>
      <c r="G153" s="54">
        <f>IF($B153="","",SUMIFS(Erfassung!$E$6:$E$5005,Erfassung!$B$6:$B$5005,$A153,Erfassung!$A$6:$A$5005,"&gt;="&amp;DATE(Einstellungen!$C$3,5,1),Erfassung!$A$6:$A$5005,"&lt;"&amp;DATE(Einstellungen!$C$3,6,1)))</f>
        <v/>
      </c>
      <c r="H153" s="54">
        <f>IF($B153="","",SUMIFS(Erfassung!$E$6:$E$5005,Erfassung!$B$6:$B$5005,$A153,Erfassung!$A$6:$A$5005,"&gt;="&amp;DATE(Einstellungen!$C$3,6,1),Erfassung!$A$6:$A$5005,"&lt;"&amp;DATE(Einstellungen!$C$3,7,1)))</f>
        <v/>
      </c>
      <c r="I153" s="54">
        <f>IF($B153="","",SUMIFS(Erfassung!$E$6:$E$5005,Erfassung!$B$6:$B$5005,$A153,Erfassung!$A$6:$A$5005,"&gt;="&amp;DATE(Einstellungen!$C$3,7,1),Erfassung!$A$6:$A$5005,"&lt;"&amp;DATE(Einstellungen!$C$3,8,1)))</f>
        <v/>
      </c>
      <c r="J153" s="54">
        <f>IF($B153="","",SUMIFS(Erfassung!$E$6:$E$5005,Erfassung!$B$6:$B$5005,$A153,Erfassung!$A$6:$A$5005,"&gt;="&amp;DATE(Einstellungen!$C$3,8,1),Erfassung!$A$6:$A$5005,"&lt;"&amp;DATE(Einstellungen!$C$3,9,1)))</f>
        <v/>
      </c>
      <c r="K153" s="54">
        <f>IF($B153="","",SUMIFS(Erfassung!$E$6:$E$5005,Erfassung!$B$6:$B$5005,$A153,Erfassung!$A$6:$A$5005,"&gt;="&amp;DATE(Einstellungen!$C$3,9,1),Erfassung!$A$6:$A$5005,"&lt;"&amp;DATE(Einstellungen!$C$3,10,1)))</f>
        <v/>
      </c>
      <c r="L153" s="54">
        <f>IF($B153="","",SUMIFS(Erfassung!$E$6:$E$5005,Erfassung!$B$6:$B$5005,$A153,Erfassung!$A$6:$A$5005,"&gt;="&amp;DATE(Einstellungen!$C$3,10,1),Erfassung!$A$6:$A$5005,"&lt;"&amp;DATE(Einstellungen!$C$3,11,1)))</f>
        <v/>
      </c>
      <c r="M153" s="54">
        <f>IF($B153="","",SUMIFS(Erfassung!$E$6:$E$5005,Erfassung!$B$6:$B$5005,$A153,Erfassung!$A$6:$A$5005,"&gt;="&amp;DATE(Einstellungen!$C$3,11,1),Erfassung!$A$6:$A$5005,"&lt;"&amp;DATE(Einstellungen!$C$3,12,1)))</f>
        <v/>
      </c>
      <c r="N153" s="54">
        <f>IF($B153="","",SUMIFS(Erfassung!$E$6:$E$5005,Erfassung!$B$6:$B$5005,$A153,Erfassung!$A$6:$A$5005,"&gt;="&amp;DATE(Einstellungen!$C$3,12,1),Erfassung!$A$6:$A$5005,"&lt;"&amp;DATE(Einstellungen!$C$3,13,1)))</f>
        <v/>
      </c>
      <c r="O153" s="45">
        <f>IF($B153="","",SUM(C153:N153))</f>
        <v/>
      </c>
      <c r="P153" s="54">
        <f>IF($B153="","",SUMIFS(Erfassung!$G$6:$G$5005,Erfassung!$B$6:$B$5005,$A153,Erfassung!$A$6:$A$5005,"&gt;="&amp;DATE(Einstellungen!$C$3,1,1),Erfassung!$A$6:$A$5005,"&lt;"&amp;DATE(Einstellungen!$C$3,2,1)))</f>
        <v/>
      </c>
      <c r="Q153" s="54">
        <f>IF($B153="","",SUMIFS(Erfassung!$G$6:$G$5005,Erfassung!$B$6:$B$5005,$A153,Erfassung!$A$6:$A$5005,"&gt;="&amp;DATE(Einstellungen!$C$3,2,1),Erfassung!$A$6:$A$5005,"&lt;"&amp;DATE(Einstellungen!$C$3,3,1)))</f>
        <v/>
      </c>
      <c r="R153" s="54">
        <f>IF($B153="","",SUMIFS(Erfassung!$G$6:$G$5005,Erfassung!$B$6:$B$5005,$A153,Erfassung!$A$6:$A$5005,"&gt;="&amp;DATE(Einstellungen!$C$3,3,1),Erfassung!$A$6:$A$5005,"&lt;"&amp;DATE(Einstellungen!$C$3,4,1)))</f>
        <v/>
      </c>
      <c r="S153" s="54">
        <f>IF($B153="","",SUMIFS(Erfassung!$G$6:$G$5005,Erfassung!$B$6:$B$5005,$A153,Erfassung!$A$6:$A$5005,"&gt;="&amp;DATE(Einstellungen!$C$3,4,1),Erfassung!$A$6:$A$5005,"&lt;"&amp;DATE(Einstellungen!$C$3,5,1)))</f>
        <v/>
      </c>
      <c r="T153" s="54">
        <f>IF($B153="","",SUMIFS(Erfassung!$G$6:$G$5005,Erfassung!$B$6:$B$5005,$A153,Erfassung!$A$6:$A$5005,"&gt;="&amp;DATE(Einstellungen!$C$3,5,1),Erfassung!$A$6:$A$5005,"&lt;"&amp;DATE(Einstellungen!$C$3,6,1)))</f>
        <v/>
      </c>
      <c r="U153" s="54">
        <f>IF($B153="","",SUMIFS(Erfassung!$G$6:$G$5005,Erfassung!$B$6:$B$5005,$A153,Erfassung!$A$6:$A$5005,"&gt;="&amp;DATE(Einstellungen!$C$3,6,1),Erfassung!$A$6:$A$5005,"&lt;"&amp;DATE(Einstellungen!$C$3,7,1)))</f>
        <v/>
      </c>
      <c r="V153" s="54">
        <f>IF($B153="","",SUMIFS(Erfassung!$G$6:$G$5005,Erfassung!$B$6:$B$5005,$A153,Erfassung!$A$6:$A$5005,"&gt;="&amp;DATE(Einstellungen!$C$3,7,1),Erfassung!$A$6:$A$5005,"&lt;"&amp;DATE(Einstellungen!$C$3,8,1)))</f>
        <v/>
      </c>
      <c r="W153" s="54">
        <f>IF($B153="","",SUMIFS(Erfassung!$G$6:$G$5005,Erfassung!$B$6:$B$5005,$A153,Erfassung!$A$6:$A$5005,"&gt;="&amp;DATE(Einstellungen!$C$3,8,1),Erfassung!$A$6:$A$5005,"&lt;"&amp;DATE(Einstellungen!$C$3,9,1)))</f>
        <v/>
      </c>
      <c r="X153" s="54">
        <f>IF($B153="","",SUMIFS(Erfassung!$G$6:$G$5005,Erfassung!$B$6:$B$5005,$A153,Erfassung!$A$6:$A$5005,"&gt;="&amp;DATE(Einstellungen!$C$3,9,1),Erfassung!$A$6:$A$5005,"&lt;"&amp;DATE(Einstellungen!$C$3,10,1)))</f>
        <v/>
      </c>
      <c r="Y153" s="54">
        <f>IF($B153="","",SUMIFS(Erfassung!$G$6:$G$5005,Erfassung!$B$6:$B$5005,$A153,Erfassung!$A$6:$A$5005,"&gt;="&amp;DATE(Einstellungen!$C$3,10,1),Erfassung!$A$6:$A$5005,"&lt;"&amp;DATE(Einstellungen!$C$3,11,1)))</f>
        <v/>
      </c>
      <c r="Z153" s="54">
        <f>IF($B153="","",SUMIFS(Erfassung!$G$6:$G$5005,Erfassung!$B$6:$B$5005,$A153,Erfassung!$A$6:$A$5005,"&gt;="&amp;DATE(Einstellungen!$C$3,11,1),Erfassung!$A$6:$A$5005,"&lt;"&amp;DATE(Einstellungen!$C$3,12,1)))</f>
        <v/>
      </c>
      <c r="AA153" s="54">
        <f>IF($B153="","",SUMIFS(Erfassung!$G$6:$G$5005,Erfassung!$B$6:$B$5005,$A153,Erfassung!$A$6:$A$5005,"&gt;="&amp;DATE(Einstellungen!$C$3,12,1),Erfassung!$A$6:$A$5005,"&lt;"&amp;DATE(Einstellungen!$C$3,13,1)))</f>
        <v/>
      </c>
      <c r="AB153" s="45">
        <f>IF($B153="","",SUM(P153:AA153))</f>
        <v/>
      </c>
      <c r="AC153" s="38">
        <f>IF($B153="","",IF(O153+AB153&gt;0,AB153/(O153+AB153),""))</f>
        <v/>
      </c>
    </row>
    <row r="154">
      <c r="A154" s="56">
        <f>'KQuote Mitarbeiter'!A154</f>
        <v/>
      </c>
      <c r="B154" s="57">
        <f>'KQuote Mitarbeiter'!B154</f>
        <v/>
      </c>
      <c r="C154" s="54">
        <f>IF($B154="","",SUMIFS(Erfassung!$E$6:$E$5005,Erfassung!$B$6:$B$5005,$A154,Erfassung!$A$6:$A$5005,"&gt;="&amp;DATE(Einstellungen!$C$3,1,1),Erfassung!$A$6:$A$5005,"&lt;"&amp;DATE(Einstellungen!$C$3,2,1)))</f>
        <v/>
      </c>
      <c r="D154" s="54">
        <f>IF($B154="","",SUMIFS(Erfassung!$E$6:$E$5005,Erfassung!$B$6:$B$5005,$A154,Erfassung!$A$6:$A$5005,"&gt;="&amp;DATE(Einstellungen!$C$3,2,1),Erfassung!$A$6:$A$5005,"&lt;"&amp;DATE(Einstellungen!$C$3,3,1)))</f>
        <v/>
      </c>
      <c r="E154" s="54">
        <f>IF($B154="","",SUMIFS(Erfassung!$E$6:$E$5005,Erfassung!$B$6:$B$5005,$A154,Erfassung!$A$6:$A$5005,"&gt;="&amp;DATE(Einstellungen!$C$3,3,1),Erfassung!$A$6:$A$5005,"&lt;"&amp;DATE(Einstellungen!$C$3,4,1)))</f>
        <v/>
      </c>
      <c r="F154" s="54">
        <f>IF($B154="","",SUMIFS(Erfassung!$E$6:$E$5005,Erfassung!$B$6:$B$5005,$A154,Erfassung!$A$6:$A$5005,"&gt;="&amp;DATE(Einstellungen!$C$3,4,1),Erfassung!$A$6:$A$5005,"&lt;"&amp;DATE(Einstellungen!$C$3,5,1)))</f>
        <v/>
      </c>
      <c r="G154" s="54">
        <f>IF($B154="","",SUMIFS(Erfassung!$E$6:$E$5005,Erfassung!$B$6:$B$5005,$A154,Erfassung!$A$6:$A$5005,"&gt;="&amp;DATE(Einstellungen!$C$3,5,1),Erfassung!$A$6:$A$5005,"&lt;"&amp;DATE(Einstellungen!$C$3,6,1)))</f>
        <v/>
      </c>
      <c r="H154" s="54">
        <f>IF($B154="","",SUMIFS(Erfassung!$E$6:$E$5005,Erfassung!$B$6:$B$5005,$A154,Erfassung!$A$6:$A$5005,"&gt;="&amp;DATE(Einstellungen!$C$3,6,1),Erfassung!$A$6:$A$5005,"&lt;"&amp;DATE(Einstellungen!$C$3,7,1)))</f>
        <v/>
      </c>
      <c r="I154" s="54">
        <f>IF($B154="","",SUMIFS(Erfassung!$E$6:$E$5005,Erfassung!$B$6:$B$5005,$A154,Erfassung!$A$6:$A$5005,"&gt;="&amp;DATE(Einstellungen!$C$3,7,1),Erfassung!$A$6:$A$5005,"&lt;"&amp;DATE(Einstellungen!$C$3,8,1)))</f>
        <v/>
      </c>
      <c r="J154" s="54">
        <f>IF($B154="","",SUMIFS(Erfassung!$E$6:$E$5005,Erfassung!$B$6:$B$5005,$A154,Erfassung!$A$6:$A$5005,"&gt;="&amp;DATE(Einstellungen!$C$3,8,1),Erfassung!$A$6:$A$5005,"&lt;"&amp;DATE(Einstellungen!$C$3,9,1)))</f>
        <v/>
      </c>
      <c r="K154" s="54">
        <f>IF($B154="","",SUMIFS(Erfassung!$E$6:$E$5005,Erfassung!$B$6:$B$5005,$A154,Erfassung!$A$6:$A$5005,"&gt;="&amp;DATE(Einstellungen!$C$3,9,1),Erfassung!$A$6:$A$5005,"&lt;"&amp;DATE(Einstellungen!$C$3,10,1)))</f>
        <v/>
      </c>
      <c r="L154" s="54">
        <f>IF($B154="","",SUMIFS(Erfassung!$E$6:$E$5005,Erfassung!$B$6:$B$5005,$A154,Erfassung!$A$6:$A$5005,"&gt;="&amp;DATE(Einstellungen!$C$3,10,1),Erfassung!$A$6:$A$5005,"&lt;"&amp;DATE(Einstellungen!$C$3,11,1)))</f>
        <v/>
      </c>
      <c r="M154" s="54">
        <f>IF($B154="","",SUMIFS(Erfassung!$E$6:$E$5005,Erfassung!$B$6:$B$5005,$A154,Erfassung!$A$6:$A$5005,"&gt;="&amp;DATE(Einstellungen!$C$3,11,1),Erfassung!$A$6:$A$5005,"&lt;"&amp;DATE(Einstellungen!$C$3,12,1)))</f>
        <v/>
      </c>
      <c r="N154" s="54">
        <f>IF($B154="","",SUMIFS(Erfassung!$E$6:$E$5005,Erfassung!$B$6:$B$5005,$A154,Erfassung!$A$6:$A$5005,"&gt;="&amp;DATE(Einstellungen!$C$3,12,1),Erfassung!$A$6:$A$5005,"&lt;"&amp;DATE(Einstellungen!$C$3,13,1)))</f>
        <v/>
      </c>
      <c r="O154" s="45">
        <f>IF($B154="","",SUM(C154:N154))</f>
        <v/>
      </c>
      <c r="P154" s="54">
        <f>IF($B154="","",SUMIFS(Erfassung!$G$6:$G$5005,Erfassung!$B$6:$B$5005,$A154,Erfassung!$A$6:$A$5005,"&gt;="&amp;DATE(Einstellungen!$C$3,1,1),Erfassung!$A$6:$A$5005,"&lt;"&amp;DATE(Einstellungen!$C$3,2,1)))</f>
        <v/>
      </c>
      <c r="Q154" s="54">
        <f>IF($B154="","",SUMIFS(Erfassung!$G$6:$G$5005,Erfassung!$B$6:$B$5005,$A154,Erfassung!$A$6:$A$5005,"&gt;="&amp;DATE(Einstellungen!$C$3,2,1),Erfassung!$A$6:$A$5005,"&lt;"&amp;DATE(Einstellungen!$C$3,3,1)))</f>
        <v/>
      </c>
      <c r="R154" s="54">
        <f>IF($B154="","",SUMIFS(Erfassung!$G$6:$G$5005,Erfassung!$B$6:$B$5005,$A154,Erfassung!$A$6:$A$5005,"&gt;="&amp;DATE(Einstellungen!$C$3,3,1),Erfassung!$A$6:$A$5005,"&lt;"&amp;DATE(Einstellungen!$C$3,4,1)))</f>
        <v/>
      </c>
      <c r="S154" s="54">
        <f>IF($B154="","",SUMIFS(Erfassung!$G$6:$G$5005,Erfassung!$B$6:$B$5005,$A154,Erfassung!$A$6:$A$5005,"&gt;="&amp;DATE(Einstellungen!$C$3,4,1),Erfassung!$A$6:$A$5005,"&lt;"&amp;DATE(Einstellungen!$C$3,5,1)))</f>
        <v/>
      </c>
      <c r="T154" s="54">
        <f>IF($B154="","",SUMIFS(Erfassung!$G$6:$G$5005,Erfassung!$B$6:$B$5005,$A154,Erfassung!$A$6:$A$5005,"&gt;="&amp;DATE(Einstellungen!$C$3,5,1),Erfassung!$A$6:$A$5005,"&lt;"&amp;DATE(Einstellungen!$C$3,6,1)))</f>
        <v/>
      </c>
      <c r="U154" s="54">
        <f>IF($B154="","",SUMIFS(Erfassung!$G$6:$G$5005,Erfassung!$B$6:$B$5005,$A154,Erfassung!$A$6:$A$5005,"&gt;="&amp;DATE(Einstellungen!$C$3,6,1),Erfassung!$A$6:$A$5005,"&lt;"&amp;DATE(Einstellungen!$C$3,7,1)))</f>
        <v/>
      </c>
      <c r="V154" s="54">
        <f>IF($B154="","",SUMIFS(Erfassung!$G$6:$G$5005,Erfassung!$B$6:$B$5005,$A154,Erfassung!$A$6:$A$5005,"&gt;="&amp;DATE(Einstellungen!$C$3,7,1),Erfassung!$A$6:$A$5005,"&lt;"&amp;DATE(Einstellungen!$C$3,8,1)))</f>
        <v/>
      </c>
      <c r="W154" s="54">
        <f>IF($B154="","",SUMIFS(Erfassung!$G$6:$G$5005,Erfassung!$B$6:$B$5005,$A154,Erfassung!$A$6:$A$5005,"&gt;="&amp;DATE(Einstellungen!$C$3,8,1),Erfassung!$A$6:$A$5005,"&lt;"&amp;DATE(Einstellungen!$C$3,9,1)))</f>
        <v/>
      </c>
      <c r="X154" s="54">
        <f>IF($B154="","",SUMIFS(Erfassung!$G$6:$G$5005,Erfassung!$B$6:$B$5005,$A154,Erfassung!$A$6:$A$5005,"&gt;="&amp;DATE(Einstellungen!$C$3,9,1),Erfassung!$A$6:$A$5005,"&lt;"&amp;DATE(Einstellungen!$C$3,10,1)))</f>
        <v/>
      </c>
      <c r="Y154" s="54">
        <f>IF($B154="","",SUMIFS(Erfassung!$G$6:$G$5005,Erfassung!$B$6:$B$5005,$A154,Erfassung!$A$6:$A$5005,"&gt;="&amp;DATE(Einstellungen!$C$3,10,1),Erfassung!$A$6:$A$5005,"&lt;"&amp;DATE(Einstellungen!$C$3,11,1)))</f>
        <v/>
      </c>
      <c r="Z154" s="54">
        <f>IF($B154="","",SUMIFS(Erfassung!$G$6:$G$5005,Erfassung!$B$6:$B$5005,$A154,Erfassung!$A$6:$A$5005,"&gt;="&amp;DATE(Einstellungen!$C$3,11,1),Erfassung!$A$6:$A$5005,"&lt;"&amp;DATE(Einstellungen!$C$3,12,1)))</f>
        <v/>
      </c>
      <c r="AA154" s="54">
        <f>IF($B154="","",SUMIFS(Erfassung!$G$6:$G$5005,Erfassung!$B$6:$B$5005,$A154,Erfassung!$A$6:$A$5005,"&gt;="&amp;DATE(Einstellungen!$C$3,12,1),Erfassung!$A$6:$A$5005,"&lt;"&amp;DATE(Einstellungen!$C$3,13,1)))</f>
        <v/>
      </c>
      <c r="AB154" s="45">
        <f>IF($B154="","",SUM(P154:AA154))</f>
        <v/>
      </c>
      <c r="AC154" s="38">
        <f>IF($B154="","",IF(O154+AB154&gt;0,AB154/(O154+AB154),""))</f>
        <v/>
      </c>
    </row>
    <row r="155">
      <c r="A155" s="56">
        <f>'KQuote Mitarbeiter'!A155</f>
        <v/>
      </c>
      <c r="B155" s="57">
        <f>'KQuote Mitarbeiter'!B155</f>
        <v/>
      </c>
      <c r="C155" s="54">
        <f>IF($B155="","",SUMIFS(Erfassung!$E$6:$E$5005,Erfassung!$B$6:$B$5005,$A155,Erfassung!$A$6:$A$5005,"&gt;="&amp;DATE(Einstellungen!$C$3,1,1),Erfassung!$A$6:$A$5005,"&lt;"&amp;DATE(Einstellungen!$C$3,2,1)))</f>
        <v/>
      </c>
      <c r="D155" s="54">
        <f>IF($B155="","",SUMIFS(Erfassung!$E$6:$E$5005,Erfassung!$B$6:$B$5005,$A155,Erfassung!$A$6:$A$5005,"&gt;="&amp;DATE(Einstellungen!$C$3,2,1),Erfassung!$A$6:$A$5005,"&lt;"&amp;DATE(Einstellungen!$C$3,3,1)))</f>
        <v/>
      </c>
      <c r="E155" s="54">
        <f>IF($B155="","",SUMIFS(Erfassung!$E$6:$E$5005,Erfassung!$B$6:$B$5005,$A155,Erfassung!$A$6:$A$5005,"&gt;="&amp;DATE(Einstellungen!$C$3,3,1),Erfassung!$A$6:$A$5005,"&lt;"&amp;DATE(Einstellungen!$C$3,4,1)))</f>
        <v/>
      </c>
      <c r="F155" s="54">
        <f>IF($B155="","",SUMIFS(Erfassung!$E$6:$E$5005,Erfassung!$B$6:$B$5005,$A155,Erfassung!$A$6:$A$5005,"&gt;="&amp;DATE(Einstellungen!$C$3,4,1),Erfassung!$A$6:$A$5005,"&lt;"&amp;DATE(Einstellungen!$C$3,5,1)))</f>
        <v/>
      </c>
      <c r="G155" s="54">
        <f>IF($B155="","",SUMIFS(Erfassung!$E$6:$E$5005,Erfassung!$B$6:$B$5005,$A155,Erfassung!$A$6:$A$5005,"&gt;="&amp;DATE(Einstellungen!$C$3,5,1),Erfassung!$A$6:$A$5005,"&lt;"&amp;DATE(Einstellungen!$C$3,6,1)))</f>
        <v/>
      </c>
      <c r="H155" s="54">
        <f>IF($B155="","",SUMIFS(Erfassung!$E$6:$E$5005,Erfassung!$B$6:$B$5005,$A155,Erfassung!$A$6:$A$5005,"&gt;="&amp;DATE(Einstellungen!$C$3,6,1),Erfassung!$A$6:$A$5005,"&lt;"&amp;DATE(Einstellungen!$C$3,7,1)))</f>
        <v/>
      </c>
      <c r="I155" s="54">
        <f>IF($B155="","",SUMIFS(Erfassung!$E$6:$E$5005,Erfassung!$B$6:$B$5005,$A155,Erfassung!$A$6:$A$5005,"&gt;="&amp;DATE(Einstellungen!$C$3,7,1),Erfassung!$A$6:$A$5005,"&lt;"&amp;DATE(Einstellungen!$C$3,8,1)))</f>
        <v/>
      </c>
      <c r="J155" s="54">
        <f>IF($B155="","",SUMIFS(Erfassung!$E$6:$E$5005,Erfassung!$B$6:$B$5005,$A155,Erfassung!$A$6:$A$5005,"&gt;="&amp;DATE(Einstellungen!$C$3,8,1),Erfassung!$A$6:$A$5005,"&lt;"&amp;DATE(Einstellungen!$C$3,9,1)))</f>
        <v/>
      </c>
      <c r="K155" s="54">
        <f>IF($B155="","",SUMIFS(Erfassung!$E$6:$E$5005,Erfassung!$B$6:$B$5005,$A155,Erfassung!$A$6:$A$5005,"&gt;="&amp;DATE(Einstellungen!$C$3,9,1),Erfassung!$A$6:$A$5005,"&lt;"&amp;DATE(Einstellungen!$C$3,10,1)))</f>
        <v/>
      </c>
      <c r="L155" s="54">
        <f>IF($B155="","",SUMIFS(Erfassung!$E$6:$E$5005,Erfassung!$B$6:$B$5005,$A155,Erfassung!$A$6:$A$5005,"&gt;="&amp;DATE(Einstellungen!$C$3,10,1),Erfassung!$A$6:$A$5005,"&lt;"&amp;DATE(Einstellungen!$C$3,11,1)))</f>
        <v/>
      </c>
      <c r="M155" s="54">
        <f>IF($B155="","",SUMIFS(Erfassung!$E$6:$E$5005,Erfassung!$B$6:$B$5005,$A155,Erfassung!$A$6:$A$5005,"&gt;="&amp;DATE(Einstellungen!$C$3,11,1),Erfassung!$A$6:$A$5005,"&lt;"&amp;DATE(Einstellungen!$C$3,12,1)))</f>
        <v/>
      </c>
      <c r="N155" s="54">
        <f>IF($B155="","",SUMIFS(Erfassung!$E$6:$E$5005,Erfassung!$B$6:$B$5005,$A155,Erfassung!$A$6:$A$5005,"&gt;="&amp;DATE(Einstellungen!$C$3,12,1),Erfassung!$A$6:$A$5005,"&lt;"&amp;DATE(Einstellungen!$C$3,13,1)))</f>
        <v/>
      </c>
      <c r="O155" s="45">
        <f>IF($B155="","",SUM(C155:N155))</f>
        <v/>
      </c>
      <c r="P155" s="54">
        <f>IF($B155="","",SUMIFS(Erfassung!$G$6:$G$5005,Erfassung!$B$6:$B$5005,$A155,Erfassung!$A$6:$A$5005,"&gt;="&amp;DATE(Einstellungen!$C$3,1,1),Erfassung!$A$6:$A$5005,"&lt;"&amp;DATE(Einstellungen!$C$3,2,1)))</f>
        <v/>
      </c>
      <c r="Q155" s="54">
        <f>IF($B155="","",SUMIFS(Erfassung!$G$6:$G$5005,Erfassung!$B$6:$B$5005,$A155,Erfassung!$A$6:$A$5005,"&gt;="&amp;DATE(Einstellungen!$C$3,2,1),Erfassung!$A$6:$A$5005,"&lt;"&amp;DATE(Einstellungen!$C$3,3,1)))</f>
        <v/>
      </c>
      <c r="R155" s="54">
        <f>IF($B155="","",SUMIFS(Erfassung!$G$6:$G$5005,Erfassung!$B$6:$B$5005,$A155,Erfassung!$A$6:$A$5005,"&gt;="&amp;DATE(Einstellungen!$C$3,3,1),Erfassung!$A$6:$A$5005,"&lt;"&amp;DATE(Einstellungen!$C$3,4,1)))</f>
        <v/>
      </c>
      <c r="S155" s="54">
        <f>IF($B155="","",SUMIFS(Erfassung!$G$6:$G$5005,Erfassung!$B$6:$B$5005,$A155,Erfassung!$A$6:$A$5005,"&gt;="&amp;DATE(Einstellungen!$C$3,4,1),Erfassung!$A$6:$A$5005,"&lt;"&amp;DATE(Einstellungen!$C$3,5,1)))</f>
        <v/>
      </c>
      <c r="T155" s="54">
        <f>IF($B155="","",SUMIFS(Erfassung!$G$6:$G$5005,Erfassung!$B$6:$B$5005,$A155,Erfassung!$A$6:$A$5005,"&gt;="&amp;DATE(Einstellungen!$C$3,5,1),Erfassung!$A$6:$A$5005,"&lt;"&amp;DATE(Einstellungen!$C$3,6,1)))</f>
        <v/>
      </c>
      <c r="U155" s="54">
        <f>IF($B155="","",SUMIFS(Erfassung!$G$6:$G$5005,Erfassung!$B$6:$B$5005,$A155,Erfassung!$A$6:$A$5005,"&gt;="&amp;DATE(Einstellungen!$C$3,6,1),Erfassung!$A$6:$A$5005,"&lt;"&amp;DATE(Einstellungen!$C$3,7,1)))</f>
        <v/>
      </c>
      <c r="V155" s="54">
        <f>IF($B155="","",SUMIFS(Erfassung!$G$6:$G$5005,Erfassung!$B$6:$B$5005,$A155,Erfassung!$A$6:$A$5005,"&gt;="&amp;DATE(Einstellungen!$C$3,7,1),Erfassung!$A$6:$A$5005,"&lt;"&amp;DATE(Einstellungen!$C$3,8,1)))</f>
        <v/>
      </c>
      <c r="W155" s="54">
        <f>IF($B155="","",SUMIFS(Erfassung!$G$6:$G$5005,Erfassung!$B$6:$B$5005,$A155,Erfassung!$A$6:$A$5005,"&gt;="&amp;DATE(Einstellungen!$C$3,8,1),Erfassung!$A$6:$A$5005,"&lt;"&amp;DATE(Einstellungen!$C$3,9,1)))</f>
        <v/>
      </c>
      <c r="X155" s="54">
        <f>IF($B155="","",SUMIFS(Erfassung!$G$6:$G$5005,Erfassung!$B$6:$B$5005,$A155,Erfassung!$A$6:$A$5005,"&gt;="&amp;DATE(Einstellungen!$C$3,9,1),Erfassung!$A$6:$A$5005,"&lt;"&amp;DATE(Einstellungen!$C$3,10,1)))</f>
        <v/>
      </c>
      <c r="Y155" s="54">
        <f>IF($B155="","",SUMIFS(Erfassung!$G$6:$G$5005,Erfassung!$B$6:$B$5005,$A155,Erfassung!$A$6:$A$5005,"&gt;="&amp;DATE(Einstellungen!$C$3,10,1),Erfassung!$A$6:$A$5005,"&lt;"&amp;DATE(Einstellungen!$C$3,11,1)))</f>
        <v/>
      </c>
      <c r="Z155" s="54">
        <f>IF($B155="","",SUMIFS(Erfassung!$G$6:$G$5005,Erfassung!$B$6:$B$5005,$A155,Erfassung!$A$6:$A$5005,"&gt;="&amp;DATE(Einstellungen!$C$3,11,1),Erfassung!$A$6:$A$5005,"&lt;"&amp;DATE(Einstellungen!$C$3,12,1)))</f>
        <v/>
      </c>
      <c r="AA155" s="54">
        <f>IF($B155="","",SUMIFS(Erfassung!$G$6:$G$5005,Erfassung!$B$6:$B$5005,$A155,Erfassung!$A$6:$A$5005,"&gt;="&amp;DATE(Einstellungen!$C$3,12,1),Erfassung!$A$6:$A$5005,"&lt;"&amp;DATE(Einstellungen!$C$3,13,1)))</f>
        <v/>
      </c>
      <c r="AB155" s="45">
        <f>IF($B155="","",SUM(P155:AA155))</f>
        <v/>
      </c>
      <c r="AC155" s="38">
        <f>IF($B155="","",IF(O155+AB155&gt;0,AB155/(O155+AB155),""))</f>
        <v/>
      </c>
    </row>
    <row r="156">
      <c r="A156" s="56">
        <f>'KQuote Mitarbeiter'!A156</f>
        <v/>
      </c>
      <c r="B156" s="57">
        <f>'KQuote Mitarbeiter'!B156</f>
        <v/>
      </c>
      <c r="C156" s="54">
        <f>IF($B156="","",SUMIFS(Erfassung!$E$6:$E$5005,Erfassung!$B$6:$B$5005,$A156,Erfassung!$A$6:$A$5005,"&gt;="&amp;DATE(Einstellungen!$C$3,1,1),Erfassung!$A$6:$A$5005,"&lt;"&amp;DATE(Einstellungen!$C$3,2,1)))</f>
        <v/>
      </c>
      <c r="D156" s="54">
        <f>IF($B156="","",SUMIFS(Erfassung!$E$6:$E$5005,Erfassung!$B$6:$B$5005,$A156,Erfassung!$A$6:$A$5005,"&gt;="&amp;DATE(Einstellungen!$C$3,2,1),Erfassung!$A$6:$A$5005,"&lt;"&amp;DATE(Einstellungen!$C$3,3,1)))</f>
        <v/>
      </c>
      <c r="E156" s="54">
        <f>IF($B156="","",SUMIFS(Erfassung!$E$6:$E$5005,Erfassung!$B$6:$B$5005,$A156,Erfassung!$A$6:$A$5005,"&gt;="&amp;DATE(Einstellungen!$C$3,3,1),Erfassung!$A$6:$A$5005,"&lt;"&amp;DATE(Einstellungen!$C$3,4,1)))</f>
        <v/>
      </c>
      <c r="F156" s="54">
        <f>IF($B156="","",SUMIFS(Erfassung!$E$6:$E$5005,Erfassung!$B$6:$B$5005,$A156,Erfassung!$A$6:$A$5005,"&gt;="&amp;DATE(Einstellungen!$C$3,4,1),Erfassung!$A$6:$A$5005,"&lt;"&amp;DATE(Einstellungen!$C$3,5,1)))</f>
        <v/>
      </c>
      <c r="G156" s="54">
        <f>IF($B156="","",SUMIFS(Erfassung!$E$6:$E$5005,Erfassung!$B$6:$B$5005,$A156,Erfassung!$A$6:$A$5005,"&gt;="&amp;DATE(Einstellungen!$C$3,5,1),Erfassung!$A$6:$A$5005,"&lt;"&amp;DATE(Einstellungen!$C$3,6,1)))</f>
        <v/>
      </c>
      <c r="H156" s="54">
        <f>IF($B156="","",SUMIFS(Erfassung!$E$6:$E$5005,Erfassung!$B$6:$B$5005,$A156,Erfassung!$A$6:$A$5005,"&gt;="&amp;DATE(Einstellungen!$C$3,6,1),Erfassung!$A$6:$A$5005,"&lt;"&amp;DATE(Einstellungen!$C$3,7,1)))</f>
        <v/>
      </c>
      <c r="I156" s="54">
        <f>IF($B156="","",SUMIFS(Erfassung!$E$6:$E$5005,Erfassung!$B$6:$B$5005,$A156,Erfassung!$A$6:$A$5005,"&gt;="&amp;DATE(Einstellungen!$C$3,7,1),Erfassung!$A$6:$A$5005,"&lt;"&amp;DATE(Einstellungen!$C$3,8,1)))</f>
        <v/>
      </c>
      <c r="J156" s="54">
        <f>IF($B156="","",SUMIFS(Erfassung!$E$6:$E$5005,Erfassung!$B$6:$B$5005,$A156,Erfassung!$A$6:$A$5005,"&gt;="&amp;DATE(Einstellungen!$C$3,8,1),Erfassung!$A$6:$A$5005,"&lt;"&amp;DATE(Einstellungen!$C$3,9,1)))</f>
        <v/>
      </c>
      <c r="K156" s="54">
        <f>IF($B156="","",SUMIFS(Erfassung!$E$6:$E$5005,Erfassung!$B$6:$B$5005,$A156,Erfassung!$A$6:$A$5005,"&gt;="&amp;DATE(Einstellungen!$C$3,9,1),Erfassung!$A$6:$A$5005,"&lt;"&amp;DATE(Einstellungen!$C$3,10,1)))</f>
        <v/>
      </c>
      <c r="L156" s="54">
        <f>IF($B156="","",SUMIFS(Erfassung!$E$6:$E$5005,Erfassung!$B$6:$B$5005,$A156,Erfassung!$A$6:$A$5005,"&gt;="&amp;DATE(Einstellungen!$C$3,10,1),Erfassung!$A$6:$A$5005,"&lt;"&amp;DATE(Einstellungen!$C$3,11,1)))</f>
        <v/>
      </c>
      <c r="M156" s="54">
        <f>IF($B156="","",SUMIFS(Erfassung!$E$6:$E$5005,Erfassung!$B$6:$B$5005,$A156,Erfassung!$A$6:$A$5005,"&gt;="&amp;DATE(Einstellungen!$C$3,11,1),Erfassung!$A$6:$A$5005,"&lt;"&amp;DATE(Einstellungen!$C$3,12,1)))</f>
        <v/>
      </c>
      <c r="N156" s="54">
        <f>IF($B156="","",SUMIFS(Erfassung!$E$6:$E$5005,Erfassung!$B$6:$B$5005,$A156,Erfassung!$A$6:$A$5005,"&gt;="&amp;DATE(Einstellungen!$C$3,12,1),Erfassung!$A$6:$A$5005,"&lt;"&amp;DATE(Einstellungen!$C$3,13,1)))</f>
        <v/>
      </c>
      <c r="O156" s="45">
        <f>IF($B156="","",SUM(C156:N156))</f>
        <v/>
      </c>
      <c r="P156" s="54">
        <f>IF($B156="","",SUMIFS(Erfassung!$G$6:$G$5005,Erfassung!$B$6:$B$5005,$A156,Erfassung!$A$6:$A$5005,"&gt;="&amp;DATE(Einstellungen!$C$3,1,1),Erfassung!$A$6:$A$5005,"&lt;"&amp;DATE(Einstellungen!$C$3,2,1)))</f>
        <v/>
      </c>
      <c r="Q156" s="54">
        <f>IF($B156="","",SUMIFS(Erfassung!$G$6:$G$5005,Erfassung!$B$6:$B$5005,$A156,Erfassung!$A$6:$A$5005,"&gt;="&amp;DATE(Einstellungen!$C$3,2,1),Erfassung!$A$6:$A$5005,"&lt;"&amp;DATE(Einstellungen!$C$3,3,1)))</f>
        <v/>
      </c>
      <c r="R156" s="54">
        <f>IF($B156="","",SUMIFS(Erfassung!$G$6:$G$5005,Erfassung!$B$6:$B$5005,$A156,Erfassung!$A$6:$A$5005,"&gt;="&amp;DATE(Einstellungen!$C$3,3,1),Erfassung!$A$6:$A$5005,"&lt;"&amp;DATE(Einstellungen!$C$3,4,1)))</f>
        <v/>
      </c>
      <c r="S156" s="54">
        <f>IF($B156="","",SUMIFS(Erfassung!$G$6:$G$5005,Erfassung!$B$6:$B$5005,$A156,Erfassung!$A$6:$A$5005,"&gt;="&amp;DATE(Einstellungen!$C$3,4,1),Erfassung!$A$6:$A$5005,"&lt;"&amp;DATE(Einstellungen!$C$3,5,1)))</f>
        <v/>
      </c>
      <c r="T156" s="54">
        <f>IF($B156="","",SUMIFS(Erfassung!$G$6:$G$5005,Erfassung!$B$6:$B$5005,$A156,Erfassung!$A$6:$A$5005,"&gt;="&amp;DATE(Einstellungen!$C$3,5,1),Erfassung!$A$6:$A$5005,"&lt;"&amp;DATE(Einstellungen!$C$3,6,1)))</f>
        <v/>
      </c>
      <c r="U156" s="54">
        <f>IF($B156="","",SUMIFS(Erfassung!$G$6:$G$5005,Erfassung!$B$6:$B$5005,$A156,Erfassung!$A$6:$A$5005,"&gt;="&amp;DATE(Einstellungen!$C$3,6,1),Erfassung!$A$6:$A$5005,"&lt;"&amp;DATE(Einstellungen!$C$3,7,1)))</f>
        <v/>
      </c>
      <c r="V156" s="54">
        <f>IF($B156="","",SUMIFS(Erfassung!$G$6:$G$5005,Erfassung!$B$6:$B$5005,$A156,Erfassung!$A$6:$A$5005,"&gt;="&amp;DATE(Einstellungen!$C$3,7,1),Erfassung!$A$6:$A$5005,"&lt;"&amp;DATE(Einstellungen!$C$3,8,1)))</f>
        <v/>
      </c>
      <c r="W156" s="54">
        <f>IF($B156="","",SUMIFS(Erfassung!$G$6:$G$5005,Erfassung!$B$6:$B$5005,$A156,Erfassung!$A$6:$A$5005,"&gt;="&amp;DATE(Einstellungen!$C$3,8,1),Erfassung!$A$6:$A$5005,"&lt;"&amp;DATE(Einstellungen!$C$3,9,1)))</f>
        <v/>
      </c>
      <c r="X156" s="54">
        <f>IF($B156="","",SUMIFS(Erfassung!$G$6:$G$5005,Erfassung!$B$6:$B$5005,$A156,Erfassung!$A$6:$A$5005,"&gt;="&amp;DATE(Einstellungen!$C$3,9,1),Erfassung!$A$6:$A$5005,"&lt;"&amp;DATE(Einstellungen!$C$3,10,1)))</f>
        <v/>
      </c>
      <c r="Y156" s="54">
        <f>IF($B156="","",SUMIFS(Erfassung!$G$6:$G$5005,Erfassung!$B$6:$B$5005,$A156,Erfassung!$A$6:$A$5005,"&gt;="&amp;DATE(Einstellungen!$C$3,10,1),Erfassung!$A$6:$A$5005,"&lt;"&amp;DATE(Einstellungen!$C$3,11,1)))</f>
        <v/>
      </c>
      <c r="Z156" s="54">
        <f>IF($B156="","",SUMIFS(Erfassung!$G$6:$G$5005,Erfassung!$B$6:$B$5005,$A156,Erfassung!$A$6:$A$5005,"&gt;="&amp;DATE(Einstellungen!$C$3,11,1),Erfassung!$A$6:$A$5005,"&lt;"&amp;DATE(Einstellungen!$C$3,12,1)))</f>
        <v/>
      </c>
      <c r="AA156" s="54">
        <f>IF($B156="","",SUMIFS(Erfassung!$G$6:$G$5005,Erfassung!$B$6:$B$5005,$A156,Erfassung!$A$6:$A$5005,"&gt;="&amp;DATE(Einstellungen!$C$3,12,1),Erfassung!$A$6:$A$5005,"&lt;"&amp;DATE(Einstellungen!$C$3,13,1)))</f>
        <v/>
      </c>
      <c r="AB156" s="45">
        <f>IF($B156="","",SUM(P156:AA156))</f>
        <v/>
      </c>
      <c r="AC156" s="38">
        <f>IF($B156="","",IF(O156+AB156&gt;0,AB156/(O156+AB156),""))</f>
        <v/>
      </c>
    </row>
    <row r="157">
      <c r="A157" s="56">
        <f>'KQuote Mitarbeiter'!A157</f>
        <v/>
      </c>
      <c r="B157" s="57">
        <f>'KQuote Mitarbeiter'!B157</f>
        <v/>
      </c>
      <c r="C157" s="54">
        <f>IF($B157="","",SUMIFS(Erfassung!$E$6:$E$5005,Erfassung!$B$6:$B$5005,$A157,Erfassung!$A$6:$A$5005,"&gt;="&amp;DATE(Einstellungen!$C$3,1,1),Erfassung!$A$6:$A$5005,"&lt;"&amp;DATE(Einstellungen!$C$3,2,1)))</f>
        <v/>
      </c>
      <c r="D157" s="54">
        <f>IF($B157="","",SUMIFS(Erfassung!$E$6:$E$5005,Erfassung!$B$6:$B$5005,$A157,Erfassung!$A$6:$A$5005,"&gt;="&amp;DATE(Einstellungen!$C$3,2,1),Erfassung!$A$6:$A$5005,"&lt;"&amp;DATE(Einstellungen!$C$3,3,1)))</f>
        <v/>
      </c>
      <c r="E157" s="54">
        <f>IF($B157="","",SUMIFS(Erfassung!$E$6:$E$5005,Erfassung!$B$6:$B$5005,$A157,Erfassung!$A$6:$A$5005,"&gt;="&amp;DATE(Einstellungen!$C$3,3,1),Erfassung!$A$6:$A$5005,"&lt;"&amp;DATE(Einstellungen!$C$3,4,1)))</f>
        <v/>
      </c>
      <c r="F157" s="54">
        <f>IF($B157="","",SUMIFS(Erfassung!$E$6:$E$5005,Erfassung!$B$6:$B$5005,$A157,Erfassung!$A$6:$A$5005,"&gt;="&amp;DATE(Einstellungen!$C$3,4,1),Erfassung!$A$6:$A$5005,"&lt;"&amp;DATE(Einstellungen!$C$3,5,1)))</f>
        <v/>
      </c>
      <c r="G157" s="54">
        <f>IF($B157="","",SUMIFS(Erfassung!$E$6:$E$5005,Erfassung!$B$6:$B$5005,$A157,Erfassung!$A$6:$A$5005,"&gt;="&amp;DATE(Einstellungen!$C$3,5,1),Erfassung!$A$6:$A$5005,"&lt;"&amp;DATE(Einstellungen!$C$3,6,1)))</f>
        <v/>
      </c>
      <c r="H157" s="54">
        <f>IF($B157="","",SUMIFS(Erfassung!$E$6:$E$5005,Erfassung!$B$6:$B$5005,$A157,Erfassung!$A$6:$A$5005,"&gt;="&amp;DATE(Einstellungen!$C$3,6,1),Erfassung!$A$6:$A$5005,"&lt;"&amp;DATE(Einstellungen!$C$3,7,1)))</f>
        <v/>
      </c>
      <c r="I157" s="54">
        <f>IF($B157="","",SUMIFS(Erfassung!$E$6:$E$5005,Erfassung!$B$6:$B$5005,$A157,Erfassung!$A$6:$A$5005,"&gt;="&amp;DATE(Einstellungen!$C$3,7,1),Erfassung!$A$6:$A$5005,"&lt;"&amp;DATE(Einstellungen!$C$3,8,1)))</f>
        <v/>
      </c>
      <c r="J157" s="54">
        <f>IF($B157="","",SUMIFS(Erfassung!$E$6:$E$5005,Erfassung!$B$6:$B$5005,$A157,Erfassung!$A$6:$A$5005,"&gt;="&amp;DATE(Einstellungen!$C$3,8,1),Erfassung!$A$6:$A$5005,"&lt;"&amp;DATE(Einstellungen!$C$3,9,1)))</f>
        <v/>
      </c>
      <c r="K157" s="54">
        <f>IF($B157="","",SUMIFS(Erfassung!$E$6:$E$5005,Erfassung!$B$6:$B$5005,$A157,Erfassung!$A$6:$A$5005,"&gt;="&amp;DATE(Einstellungen!$C$3,9,1),Erfassung!$A$6:$A$5005,"&lt;"&amp;DATE(Einstellungen!$C$3,10,1)))</f>
        <v/>
      </c>
      <c r="L157" s="54">
        <f>IF($B157="","",SUMIFS(Erfassung!$E$6:$E$5005,Erfassung!$B$6:$B$5005,$A157,Erfassung!$A$6:$A$5005,"&gt;="&amp;DATE(Einstellungen!$C$3,10,1),Erfassung!$A$6:$A$5005,"&lt;"&amp;DATE(Einstellungen!$C$3,11,1)))</f>
        <v/>
      </c>
      <c r="M157" s="54">
        <f>IF($B157="","",SUMIFS(Erfassung!$E$6:$E$5005,Erfassung!$B$6:$B$5005,$A157,Erfassung!$A$6:$A$5005,"&gt;="&amp;DATE(Einstellungen!$C$3,11,1),Erfassung!$A$6:$A$5005,"&lt;"&amp;DATE(Einstellungen!$C$3,12,1)))</f>
        <v/>
      </c>
      <c r="N157" s="54">
        <f>IF($B157="","",SUMIFS(Erfassung!$E$6:$E$5005,Erfassung!$B$6:$B$5005,$A157,Erfassung!$A$6:$A$5005,"&gt;="&amp;DATE(Einstellungen!$C$3,12,1),Erfassung!$A$6:$A$5005,"&lt;"&amp;DATE(Einstellungen!$C$3,13,1)))</f>
        <v/>
      </c>
      <c r="O157" s="45">
        <f>IF($B157="","",SUM(C157:N157))</f>
        <v/>
      </c>
      <c r="P157" s="54">
        <f>IF($B157="","",SUMIFS(Erfassung!$G$6:$G$5005,Erfassung!$B$6:$B$5005,$A157,Erfassung!$A$6:$A$5005,"&gt;="&amp;DATE(Einstellungen!$C$3,1,1),Erfassung!$A$6:$A$5005,"&lt;"&amp;DATE(Einstellungen!$C$3,2,1)))</f>
        <v/>
      </c>
      <c r="Q157" s="54">
        <f>IF($B157="","",SUMIFS(Erfassung!$G$6:$G$5005,Erfassung!$B$6:$B$5005,$A157,Erfassung!$A$6:$A$5005,"&gt;="&amp;DATE(Einstellungen!$C$3,2,1),Erfassung!$A$6:$A$5005,"&lt;"&amp;DATE(Einstellungen!$C$3,3,1)))</f>
        <v/>
      </c>
      <c r="R157" s="54">
        <f>IF($B157="","",SUMIFS(Erfassung!$G$6:$G$5005,Erfassung!$B$6:$B$5005,$A157,Erfassung!$A$6:$A$5005,"&gt;="&amp;DATE(Einstellungen!$C$3,3,1),Erfassung!$A$6:$A$5005,"&lt;"&amp;DATE(Einstellungen!$C$3,4,1)))</f>
        <v/>
      </c>
      <c r="S157" s="54">
        <f>IF($B157="","",SUMIFS(Erfassung!$G$6:$G$5005,Erfassung!$B$6:$B$5005,$A157,Erfassung!$A$6:$A$5005,"&gt;="&amp;DATE(Einstellungen!$C$3,4,1),Erfassung!$A$6:$A$5005,"&lt;"&amp;DATE(Einstellungen!$C$3,5,1)))</f>
        <v/>
      </c>
      <c r="T157" s="54">
        <f>IF($B157="","",SUMIFS(Erfassung!$G$6:$G$5005,Erfassung!$B$6:$B$5005,$A157,Erfassung!$A$6:$A$5005,"&gt;="&amp;DATE(Einstellungen!$C$3,5,1),Erfassung!$A$6:$A$5005,"&lt;"&amp;DATE(Einstellungen!$C$3,6,1)))</f>
        <v/>
      </c>
      <c r="U157" s="54">
        <f>IF($B157="","",SUMIFS(Erfassung!$G$6:$G$5005,Erfassung!$B$6:$B$5005,$A157,Erfassung!$A$6:$A$5005,"&gt;="&amp;DATE(Einstellungen!$C$3,6,1),Erfassung!$A$6:$A$5005,"&lt;"&amp;DATE(Einstellungen!$C$3,7,1)))</f>
        <v/>
      </c>
      <c r="V157" s="54">
        <f>IF($B157="","",SUMIFS(Erfassung!$G$6:$G$5005,Erfassung!$B$6:$B$5005,$A157,Erfassung!$A$6:$A$5005,"&gt;="&amp;DATE(Einstellungen!$C$3,7,1),Erfassung!$A$6:$A$5005,"&lt;"&amp;DATE(Einstellungen!$C$3,8,1)))</f>
        <v/>
      </c>
      <c r="W157" s="54">
        <f>IF($B157="","",SUMIFS(Erfassung!$G$6:$G$5005,Erfassung!$B$6:$B$5005,$A157,Erfassung!$A$6:$A$5005,"&gt;="&amp;DATE(Einstellungen!$C$3,8,1),Erfassung!$A$6:$A$5005,"&lt;"&amp;DATE(Einstellungen!$C$3,9,1)))</f>
        <v/>
      </c>
      <c r="X157" s="54">
        <f>IF($B157="","",SUMIFS(Erfassung!$G$6:$G$5005,Erfassung!$B$6:$B$5005,$A157,Erfassung!$A$6:$A$5005,"&gt;="&amp;DATE(Einstellungen!$C$3,9,1),Erfassung!$A$6:$A$5005,"&lt;"&amp;DATE(Einstellungen!$C$3,10,1)))</f>
        <v/>
      </c>
      <c r="Y157" s="54">
        <f>IF($B157="","",SUMIFS(Erfassung!$G$6:$G$5005,Erfassung!$B$6:$B$5005,$A157,Erfassung!$A$6:$A$5005,"&gt;="&amp;DATE(Einstellungen!$C$3,10,1),Erfassung!$A$6:$A$5005,"&lt;"&amp;DATE(Einstellungen!$C$3,11,1)))</f>
        <v/>
      </c>
      <c r="Z157" s="54">
        <f>IF($B157="","",SUMIFS(Erfassung!$G$6:$G$5005,Erfassung!$B$6:$B$5005,$A157,Erfassung!$A$6:$A$5005,"&gt;="&amp;DATE(Einstellungen!$C$3,11,1),Erfassung!$A$6:$A$5005,"&lt;"&amp;DATE(Einstellungen!$C$3,12,1)))</f>
        <v/>
      </c>
      <c r="AA157" s="54">
        <f>IF($B157="","",SUMIFS(Erfassung!$G$6:$G$5005,Erfassung!$B$6:$B$5005,$A157,Erfassung!$A$6:$A$5005,"&gt;="&amp;DATE(Einstellungen!$C$3,12,1),Erfassung!$A$6:$A$5005,"&lt;"&amp;DATE(Einstellungen!$C$3,13,1)))</f>
        <v/>
      </c>
      <c r="AB157" s="45">
        <f>IF($B157="","",SUM(P157:AA157))</f>
        <v/>
      </c>
      <c r="AC157" s="38">
        <f>IF($B157="","",IF(O157+AB157&gt;0,AB157/(O157+AB157),""))</f>
        <v/>
      </c>
    </row>
    <row r="158">
      <c r="A158" s="56">
        <f>'KQuote Mitarbeiter'!A158</f>
        <v/>
      </c>
      <c r="B158" s="57">
        <f>'KQuote Mitarbeiter'!B158</f>
        <v/>
      </c>
      <c r="C158" s="54">
        <f>IF($B158="","",SUMIFS(Erfassung!$E$6:$E$5005,Erfassung!$B$6:$B$5005,$A158,Erfassung!$A$6:$A$5005,"&gt;="&amp;DATE(Einstellungen!$C$3,1,1),Erfassung!$A$6:$A$5005,"&lt;"&amp;DATE(Einstellungen!$C$3,2,1)))</f>
        <v/>
      </c>
      <c r="D158" s="54">
        <f>IF($B158="","",SUMIFS(Erfassung!$E$6:$E$5005,Erfassung!$B$6:$B$5005,$A158,Erfassung!$A$6:$A$5005,"&gt;="&amp;DATE(Einstellungen!$C$3,2,1),Erfassung!$A$6:$A$5005,"&lt;"&amp;DATE(Einstellungen!$C$3,3,1)))</f>
        <v/>
      </c>
      <c r="E158" s="54">
        <f>IF($B158="","",SUMIFS(Erfassung!$E$6:$E$5005,Erfassung!$B$6:$B$5005,$A158,Erfassung!$A$6:$A$5005,"&gt;="&amp;DATE(Einstellungen!$C$3,3,1),Erfassung!$A$6:$A$5005,"&lt;"&amp;DATE(Einstellungen!$C$3,4,1)))</f>
        <v/>
      </c>
      <c r="F158" s="54">
        <f>IF($B158="","",SUMIFS(Erfassung!$E$6:$E$5005,Erfassung!$B$6:$B$5005,$A158,Erfassung!$A$6:$A$5005,"&gt;="&amp;DATE(Einstellungen!$C$3,4,1),Erfassung!$A$6:$A$5005,"&lt;"&amp;DATE(Einstellungen!$C$3,5,1)))</f>
        <v/>
      </c>
      <c r="G158" s="54">
        <f>IF($B158="","",SUMIFS(Erfassung!$E$6:$E$5005,Erfassung!$B$6:$B$5005,$A158,Erfassung!$A$6:$A$5005,"&gt;="&amp;DATE(Einstellungen!$C$3,5,1),Erfassung!$A$6:$A$5005,"&lt;"&amp;DATE(Einstellungen!$C$3,6,1)))</f>
        <v/>
      </c>
      <c r="H158" s="54">
        <f>IF($B158="","",SUMIFS(Erfassung!$E$6:$E$5005,Erfassung!$B$6:$B$5005,$A158,Erfassung!$A$6:$A$5005,"&gt;="&amp;DATE(Einstellungen!$C$3,6,1),Erfassung!$A$6:$A$5005,"&lt;"&amp;DATE(Einstellungen!$C$3,7,1)))</f>
        <v/>
      </c>
      <c r="I158" s="54">
        <f>IF($B158="","",SUMIFS(Erfassung!$E$6:$E$5005,Erfassung!$B$6:$B$5005,$A158,Erfassung!$A$6:$A$5005,"&gt;="&amp;DATE(Einstellungen!$C$3,7,1),Erfassung!$A$6:$A$5005,"&lt;"&amp;DATE(Einstellungen!$C$3,8,1)))</f>
        <v/>
      </c>
      <c r="J158" s="54">
        <f>IF($B158="","",SUMIFS(Erfassung!$E$6:$E$5005,Erfassung!$B$6:$B$5005,$A158,Erfassung!$A$6:$A$5005,"&gt;="&amp;DATE(Einstellungen!$C$3,8,1),Erfassung!$A$6:$A$5005,"&lt;"&amp;DATE(Einstellungen!$C$3,9,1)))</f>
        <v/>
      </c>
      <c r="K158" s="54">
        <f>IF($B158="","",SUMIFS(Erfassung!$E$6:$E$5005,Erfassung!$B$6:$B$5005,$A158,Erfassung!$A$6:$A$5005,"&gt;="&amp;DATE(Einstellungen!$C$3,9,1),Erfassung!$A$6:$A$5005,"&lt;"&amp;DATE(Einstellungen!$C$3,10,1)))</f>
        <v/>
      </c>
      <c r="L158" s="54">
        <f>IF($B158="","",SUMIFS(Erfassung!$E$6:$E$5005,Erfassung!$B$6:$B$5005,$A158,Erfassung!$A$6:$A$5005,"&gt;="&amp;DATE(Einstellungen!$C$3,10,1),Erfassung!$A$6:$A$5005,"&lt;"&amp;DATE(Einstellungen!$C$3,11,1)))</f>
        <v/>
      </c>
      <c r="M158" s="54">
        <f>IF($B158="","",SUMIFS(Erfassung!$E$6:$E$5005,Erfassung!$B$6:$B$5005,$A158,Erfassung!$A$6:$A$5005,"&gt;="&amp;DATE(Einstellungen!$C$3,11,1),Erfassung!$A$6:$A$5005,"&lt;"&amp;DATE(Einstellungen!$C$3,12,1)))</f>
        <v/>
      </c>
      <c r="N158" s="54">
        <f>IF($B158="","",SUMIFS(Erfassung!$E$6:$E$5005,Erfassung!$B$6:$B$5005,$A158,Erfassung!$A$6:$A$5005,"&gt;="&amp;DATE(Einstellungen!$C$3,12,1),Erfassung!$A$6:$A$5005,"&lt;"&amp;DATE(Einstellungen!$C$3,13,1)))</f>
        <v/>
      </c>
      <c r="O158" s="45">
        <f>IF($B158="","",SUM(C158:N158))</f>
        <v/>
      </c>
      <c r="P158" s="54">
        <f>IF($B158="","",SUMIFS(Erfassung!$G$6:$G$5005,Erfassung!$B$6:$B$5005,$A158,Erfassung!$A$6:$A$5005,"&gt;="&amp;DATE(Einstellungen!$C$3,1,1),Erfassung!$A$6:$A$5005,"&lt;"&amp;DATE(Einstellungen!$C$3,2,1)))</f>
        <v/>
      </c>
      <c r="Q158" s="54">
        <f>IF($B158="","",SUMIFS(Erfassung!$G$6:$G$5005,Erfassung!$B$6:$B$5005,$A158,Erfassung!$A$6:$A$5005,"&gt;="&amp;DATE(Einstellungen!$C$3,2,1),Erfassung!$A$6:$A$5005,"&lt;"&amp;DATE(Einstellungen!$C$3,3,1)))</f>
        <v/>
      </c>
      <c r="R158" s="54">
        <f>IF($B158="","",SUMIFS(Erfassung!$G$6:$G$5005,Erfassung!$B$6:$B$5005,$A158,Erfassung!$A$6:$A$5005,"&gt;="&amp;DATE(Einstellungen!$C$3,3,1),Erfassung!$A$6:$A$5005,"&lt;"&amp;DATE(Einstellungen!$C$3,4,1)))</f>
        <v/>
      </c>
      <c r="S158" s="54">
        <f>IF($B158="","",SUMIFS(Erfassung!$G$6:$G$5005,Erfassung!$B$6:$B$5005,$A158,Erfassung!$A$6:$A$5005,"&gt;="&amp;DATE(Einstellungen!$C$3,4,1),Erfassung!$A$6:$A$5005,"&lt;"&amp;DATE(Einstellungen!$C$3,5,1)))</f>
        <v/>
      </c>
      <c r="T158" s="54">
        <f>IF($B158="","",SUMIFS(Erfassung!$G$6:$G$5005,Erfassung!$B$6:$B$5005,$A158,Erfassung!$A$6:$A$5005,"&gt;="&amp;DATE(Einstellungen!$C$3,5,1),Erfassung!$A$6:$A$5005,"&lt;"&amp;DATE(Einstellungen!$C$3,6,1)))</f>
        <v/>
      </c>
      <c r="U158" s="54">
        <f>IF($B158="","",SUMIFS(Erfassung!$G$6:$G$5005,Erfassung!$B$6:$B$5005,$A158,Erfassung!$A$6:$A$5005,"&gt;="&amp;DATE(Einstellungen!$C$3,6,1),Erfassung!$A$6:$A$5005,"&lt;"&amp;DATE(Einstellungen!$C$3,7,1)))</f>
        <v/>
      </c>
      <c r="V158" s="54">
        <f>IF($B158="","",SUMIFS(Erfassung!$G$6:$G$5005,Erfassung!$B$6:$B$5005,$A158,Erfassung!$A$6:$A$5005,"&gt;="&amp;DATE(Einstellungen!$C$3,7,1),Erfassung!$A$6:$A$5005,"&lt;"&amp;DATE(Einstellungen!$C$3,8,1)))</f>
        <v/>
      </c>
      <c r="W158" s="54">
        <f>IF($B158="","",SUMIFS(Erfassung!$G$6:$G$5005,Erfassung!$B$6:$B$5005,$A158,Erfassung!$A$6:$A$5005,"&gt;="&amp;DATE(Einstellungen!$C$3,8,1),Erfassung!$A$6:$A$5005,"&lt;"&amp;DATE(Einstellungen!$C$3,9,1)))</f>
        <v/>
      </c>
      <c r="X158" s="54">
        <f>IF($B158="","",SUMIFS(Erfassung!$G$6:$G$5005,Erfassung!$B$6:$B$5005,$A158,Erfassung!$A$6:$A$5005,"&gt;="&amp;DATE(Einstellungen!$C$3,9,1),Erfassung!$A$6:$A$5005,"&lt;"&amp;DATE(Einstellungen!$C$3,10,1)))</f>
        <v/>
      </c>
      <c r="Y158" s="54">
        <f>IF($B158="","",SUMIFS(Erfassung!$G$6:$G$5005,Erfassung!$B$6:$B$5005,$A158,Erfassung!$A$6:$A$5005,"&gt;="&amp;DATE(Einstellungen!$C$3,10,1),Erfassung!$A$6:$A$5005,"&lt;"&amp;DATE(Einstellungen!$C$3,11,1)))</f>
        <v/>
      </c>
      <c r="Z158" s="54">
        <f>IF($B158="","",SUMIFS(Erfassung!$G$6:$G$5005,Erfassung!$B$6:$B$5005,$A158,Erfassung!$A$6:$A$5005,"&gt;="&amp;DATE(Einstellungen!$C$3,11,1),Erfassung!$A$6:$A$5005,"&lt;"&amp;DATE(Einstellungen!$C$3,12,1)))</f>
        <v/>
      </c>
      <c r="AA158" s="54">
        <f>IF($B158="","",SUMIFS(Erfassung!$G$6:$G$5005,Erfassung!$B$6:$B$5005,$A158,Erfassung!$A$6:$A$5005,"&gt;="&amp;DATE(Einstellungen!$C$3,12,1),Erfassung!$A$6:$A$5005,"&lt;"&amp;DATE(Einstellungen!$C$3,13,1)))</f>
        <v/>
      </c>
      <c r="AB158" s="45">
        <f>IF($B158="","",SUM(P158:AA158))</f>
        <v/>
      </c>
      <c r="AC158" s="38">
        <f>IF($B158="","",IF(O158+AB158&gt;0,AB158/(O158+AB158),""))</f>
        <v/>
      </c>
    </row>
    <row r="159">
      <c r="A159" s="56">
        <f>'KQuote Mitarbeiter'!A159</f>
        <v/>
      </c>
      <c r="B159" s="57">
        <f>'KQuote Mitarbeiter'!B159</f>
        <v/>
      </c>
      <c r="C159" s="54">
        <f>IF($B159="","",SUMIFS(Erfassung!$E$6:$E$5005,Erfassung!$B$6:$B$5005,$A159,Erfassung!$A$6:$A$5005,"&gt;="&amp;DATE(Einstellungen!$C$3,1,1),Erfassung!$A$6:$A$5005,"&lt;"&amp;DATE(Einstellungen!$C$3,2,1)))</f>
        <v/>
      </c>
      <c r="D159" s="54">
        <f>IF($B159="","",SUMIFS(Erfassung!$E$6:$E$5005,Erfassung!$B$6:$B$5005,$A159,Erfassung!$A$6:$A$5005,"&gt;="&amp;DATE(Einstellungen!$C$3,2,1),Erfassung!$A$6:$A$5005,"&lt;"&amp;DATE(Einstellungen!$C$3,3,1)))</f>
        <v/>
      </c>
      <c r="E159" s="54">
        <f>IF($B159="","",SUMIFS(Erfassung!$E$6:$E$5005,Erfassung!$B$6:$B$5005,$A159,Erfassung!$A$6:$A$5005,"&gt;="&amp;DATE(Einstellungen!$C$3,3,1),Erfassung!$A$6:$A$5005,"&lt;"&amp;DATE(Einstellungen!$C$3,4,1)))</f>
        <v/>
      </c>
      <c r="F159" s="54">
        <f>IF($B159="","",SUMIFS(Erfassung!$E$6:$E$5005,Erfassung!$B$6:$B$5005,$A159,Erfassung!$A$6:$A$5005,"&gt;="&amp;DATE(Einstellungen!$C$3,4,1),Erfassung!$A$6:$A$5005,"&lt;"&amp;DATE(Einstellungen!$C$3,5,1)))</f>
        <v/>
      </c>
      <c r="G159" s="54">
        <f>IF($B159="","",SUMIFS(Erfassung!$E$6:$E$5005,Erfassung!$B$6:$B$5005,$A159,Erfassung!$A$6:$A$5005,"&gt;="&amp;DATE(Einstellungen!$C$3,5,1),Erfassung!$A$6:$A$5005,"&lt;"&amp;DATE(Einstellungen!$C$3,6,1)))</f>
        <v/>
      </c>
      <c r="H159" s="54">
        <f>IF($B159="","",SUMIFS(Erfassung!$E$6:$E$5005,Erfassung!$B$6:$B$5005,$A159,Erfassung!$A$6:$A$5005,"&gt;="&amp;DATE(Einstellungen!$C$3,6,1),Erfassung!$A$6:$A$5005,"&lt;"&amp;DATE(Einstellungen!$C$3,7,1)))</f>
        <v/>
      </c>
      <c r="I159" s="54">
        <f>IF($B159="","",SUMIFS(Erfassung!$E$6:$E$5005,Erfassung!$B$6:$B$5005,$A159,Erfassung!$A$6:$A$5005,"&gt;="&amp;DATE(Einstellungen!$C$3,7,1),Erfassung!$A$6:$A$5005,"&lt;"&amp;DATE(Einstellungen!$C$3,8,1)))</f>
        <v/>
      </c>
      <c r="J159" s="54">
        <f>IF($B159="","",SUMIFS(Erfassung!$E$6:$E$5005,Erfassung!$B$6:$B$5005,$A159,Erfassung!$A$6:$A$5005,"&gt;="&amp;DATE(Einstellungen!$C$3,8,1),Erfassung!$A$6:$A$5005,"&lt;"&amp;DATE(Einstellungen!$C$3,9,1)))</f>
        <v/>
      </c>
      <c r="K159" s="54">
        <f>IF($B159="","",SUMIFS(Erfassung!$E$6:$E$5005,Erfassung!$B$6:$B$5005,$A159,Erfassung!$A$6:$A$5005,"&gt;="&amp;DATE(Einstellungen!$C$3,9,1),Erfassung!$A$6:$A$5005,"&lt;"&amp;DATE(Einstellungen!$C$3,10,1)))</f>
        <v/>
      </c>
      <c r="L159" s="54">
        <f>IF($B159="","",SUMIFS(Erfassung!$E$6:$E$5005,Erfassung!$B$6:$B$5005,$A159,Erfassung!$A$6:$A$5005,"&gt;="&amp;DATE(Einstellungen!$C$3,10,1),Erfassung!$A$6:$A$5005,"&lt;"&amp;DATE(Einstellungen!$C$3,11,1)))</f>
        <v/>
      </c>
      <c r="M159" s="54">
        <f>IF($B159="","",SUMIFS(Erfassung!$E$6:$E$5005,Erfassung!$B$6:$B$5005,$A159,Erfassung!$A$6:$A$5005,"&gt;="&amp;DATE(Einstellungen!$C$3,11,1),Erfassung!$A$6:$A$5005,"&lt;"&amp;DATE(Einstellungen!$C$3,12,1)))</f>
        <v/>
      </c>
      <c r="N159" s="54">
        <f>IF($B159="","",SUMIFS(Erfassung!$E$6:$E$5005,Erfassung!$B$6:$B$5005,$A159,Erfassung!$A$6:$A$5005,"&gt;="&amp;DATE(Einstellungen!$C$3,12,1),Erfassung!$A$6:$A$5005,"&lt;"&amp;DATE(Einstellungen!$C$3,13,1)))</f>
        <v/>
      </c>
      <c r="O159" s="45">
        <f>IF($B159="","",SUM(C159:N159))</f>
        <v/>
      </c>
      <c r="P159" s="54">
        <f>IF($B159="","",SUMIFS(Erfassung!$G$6:$G$5005,Erfassung!$B$6:$B$5005,$A159,Erfassung!$A$6:$A$5005,"&gt;="&amp;DATE(Einstellungen!$C$3,1,1),Erfassung!$A$6:$A$5005,"&lt;"&amp;DATE(Einstellungen!$C$3,2,1)))</f>
        <v/>
      </c>
      <c r="Q159" s="54">
        <f>IF($B159="","",SUMIFS(Erfassung!$G$6:$G$5005,Erfassung!$B$6:$B$5005,$A159,Erfassung!$A$6:$A$5005,"&gt;="&amp;DATE(Einstellungen!$C$3,2,1),Erfassung!$A$6:$A$5005,"&lt;"&amp;DATE(Einstellungen!$C$3,3,1)))</f>
        <v/>
      </c>
      <c r="R159" s="54">
        <f>IF($B159="","",SUMIFS(Erfassung!$G$6:$G$5005,Erfassung!$B$6:$B$5005,$A159,Erfassung!$A$6:$A$5005,"&gt;="&amp;DATE(Einstellungen!$C$3,3,1),Erfassung!$A$6:$A$5005,"&lt;"&amp;DATE(Einstellungen!$C$3,4,1)))</f>
        <v/>
      </c>
      <c r="S159" s="54">
        <f>IF($B159="","",SUMIFS(Erfassung!$G$6:$G$5005,Erfassung!$B$6:$B$5005,$A159,Erfassung!$A$6:$A$5005,"&gt;="&amp;DATE(Einstellungen!$C$3,4,1),Erfassung!$A$6:$A$5005,"&lt;"&amp;DATE(Einstellungen!$C$3,5,1)))</f>
        <v/>
      </c>
      <c r="T159" s="54">
        <f>IF($B159="","",SUMIFS(Erfassung!$G$6:$G$5005,Erfassung!$B$6:$B$5005,$A159,Erfassung!$A$6:$A$5005,"&gt;="&amp;DATE(Einstellungen!$C$3,5,1),Erfassung!$A$6:$A$5005,"&lt;"&amp;DATE(Einstellungen!$C$3,6,1)))</f>
        <v/>
      </c>
      <c r="U159" s="54">
        <f>IF($B159="","",SUMIFS(Erfassung!$G$6:$G$5005,Erfassung!$B$6:$B$5005,$A159,Erfassung!$A$6:$A$5005,"&gt;="&amp;DATE(Einstellungen!$C$3,6,1),Erfassung!$A$6:$A$5005,"&lt;"&amp;DATE(Einstellungen!$C$3,7,1)))</f>
        <v/>
      </c>
      <c r="V159" s="54">
        <f>IF($B159="","",SUMIFS(Erfassung!$G$6:$G$5005,Erfassung!$B$6:$B$5005,$A159,Erfassung!$A$6:$A$5005,"&gt;="&amp;DATE(Einstellungen!$C$3,7,1),Erfassung!$A$6:$A$5005,"&lt;"&amp;DATE(Einstellungen!$C$3,8,1)))</f>
        <v/>
      </c>
      <c r="W159" s="54">
        <f>IF($B159="","",SUMIFS(Erfassung!$G$6:$G$5005,Erfassung!$B$6:$B$5005,$A159,Erfassung!$A$6:$A$5005,"&gt;="&amp;DATE(Einstellungen!$C$3,8,1),Erfassung!$A$6:$A$5005,"&lt;"&amp;DATE(Einstellungen!$C$3,9,1)))</f>
        <v/>
      </c>
      <c r="X159" s="54">
        <f>IF($B159="","",SUMIFS(Erfassung!$G$6:$G$5005,Erfassung!$B$6:$B$5005,$A159,Erfassung!$A$6:$A$5005,"&gt;="&amp;DATE(Einstellungen!$C$3,9,1),Erfassung!$A$6:$A$5005,"&lt;"&amp;DATE(Einstellungen!$C$3,10,1)))</f>
        <v/>
      </c>
      <c r="Y159" s="54">
        <f>IF($B159="","",SUMIFS(Erfassung!$G$6:$G$5005,Erfassung!$B$6:$B$5005,$A159,Erfassung!$A$6:$A$5005,"&gt;="&amp;DATE(Einstellungen!$C$3,10,1),Erfassung!$A$6:$A$5005,"&lt;"&amp;DATE(Einstellungen!$C$3,11,1)))</f>
        <v/>
      </c>
      <c r="Z159" s="54">
        <f>IF($B159="","",SUMIFS(Erfassung!$G$6:$G$5005,Erfassung!$B$6:$B$5005,$A159,Erfassung!$A$6:$A$5005,"&gt;="&amp;DATE(Einstellungen!$C$3,11,1),Erfassung!$A$6:$A$5005,"&lt;"&amp;DATE(Einstellungen!$C$3,12,1)))</f>
        <v/>
      </c>
      <c r="AA159" s="54">
        <f>IF($B159="","",SUMIFS(Erfassung!$G$6:$G$5005,Erfassung!$B$6:$B$5005,$A159,Erfassung!$A$6:$A$5005,"&gt;="&amp;DATE(Einstellungen!$C$3,12,1),Erfassung!$A$6:$A$5005,"&lt;"&amp;DATE(Einstellungen!$C$3,13,1)))</f>
        <v/>
      </c>
      <c r="AB159" s="45">
        <f>IF($B159="","",SUM(P159:AA159))</f>
        <v/>
      </c>
      <c r="AC159" s="38">
        <f>IF($B159="","",IF(O159+AB159&gt;0,AB159/(O159+AB159),""))</f>
        <v/>
      </c>
    </row>
    <row r="160">
      <c r="A160" s="56">
        <f>'KQuote Mitarbeiter'!A160</f>
        <v/>
      </c>
      <c r="B160" s="57">
        <f>'KQuote Mitarbeiter'!B160</f>
        <v/>
      </c>
      <c r="C160" s="54">
        <f>IF($B160="","",SUMIFS(Erfassung!$E$6:$E$5005,Erfassung!$B$6:$B$5005,$A160,Erfassung!$A$6:$A$5005,"&gt;="&amp;DATE(Einstellungen!$C$3,1,1),Erfassung!$A$6:$A$5005,"&lt;"&amp;DATE(Einstellungen!$C$3,2,1)))</f>
        <v/>
      </c>
      <c r="D160" s="54">
        <f>IF($B160="","",SUMIFS(Erfassung!$E$6:$E$5005,Erfassung!$B$6:$B$5005,$A160,Erfassung!$A$6:$A$5005,"&gt;="&amp;DATE(Einstellungen!$C$3,2,1),Erfassung!$A$6:$A$5005,"&lt;"&amp;DATE(Einstellungen!$C$3,3,1)))</f>
        <v/>
      </c>
      <c r="E160" s="54">
        <f>IF($B160="","",SUMIFS(Erfassung!$E$6:$E$5005,Erfassung!$B$6:$B$5005,$A160,Erfassung!$A$6:$A$5005,"&gt;="&amp;DATE(Einstellungen!$C$3,3,1),Erfassung!$A$6:$A$5005,"&lt;"&amp;DATE(Einstellungen!$C$3,4,1)))</f>
        <v/>
      </c>
      <c r="F160" s="54">
        <f>IF($B160="","",SUMIFS(Erfassung!$E$6:$E$5005,Erfassung!$B$6:$B$5005,$A160,Erfassung!$A$6:$A$5005,"&gt;="&amp;DATE(Einstellungen!$C$3,4,1),Erfassung!$A$6:$A$5005,"&lt;"&amp;DATE(Einstellungen!$C$3,5,1)))</f>
        <v/>
      </c>
      <c r="G160" s="54">
        <f>IF($B160="","",SUMIFS(Erfassung!$E$6:$E$5005,Erfassung!$B$6:$B$5005,$A160,Erfassung!$A$6:$A$5005,"&gt;="&amp;DATE(Einstellungen!$C$3,5,1),Erfassung!$A$6:$A$5005,"&lt;"&amp;DATE(Einstellungen!$C$3,6,1)))</f>
        <v/>
      </c>
      <c r="H160" s="54">
        <f>IF($B160="","",SUMIFS(Erfassung!$E$6:$E$5005,Erfassung!$B$6:$B$5005,$A160,Erfassung!$A$6:$A$5005,"&gt;="&amp;DATE(Einstellungen!$C$3,6,1),Erfassung!$A$6:$A$5005,"&lt;"&amp;DATE(Einstellungen!$C$3,7,1)))</f>
        <v/>
      </c>
      <c r="I160" s="54">
        <f>IF($B160="","",SUMIFS(Erfassung!$E$6:$E$5005,Erfassung!$B$6:$B$5005,$A160,Erfassung!$A$6:$A$5005,"&gt;="&amp;DATE(Einstellungen!$C$3,7,1),Erfassung!$A$6:$A$5005,"&lt;"&amp;DATE(Einstellungen!$C$3,8,1)))</f>
        <v/>
      </c>
      <c r="J160" s="54">
        <f>IF($B160="","",SUMIFS(Erfassung!$E$6:$E$5005,Erfassung!$B$6:$B$5005,$A160,Erfassung!$A$6:$A$5005,"&gt;="&amp;DATE(Einstellungen!$C$3,8,1),Erfassung!$A$6:$A$5005,"&lt;"&amp;DATE(Einstellungen!$C$3,9,1)))</f>
        <v/>
      </c>
      <c r="K160" s="54">
        <f>IF($B160="","",SUMIFS(Erfassung!$E$6:$E$5005,Erfassung!$B$6:$B$5005,$A160,Erfassung!$A$6:$A$5005,"&gt;="&amp;DATE(Einstellungen!$C$3,9,1),Erfassung!$A$6:$A$5005,"&lt;"&amp;DATE(Einstellungen!$C$3,10,1)))</f>
        <v/>
      </c>
      <c r="L160" s="54">
        <f>IF($B160="","",SUMIFS(Erfassung!$E$6:$E$5005,Erfassung!$B$6:$B$5005,$A160,Erfassung!$A$6:$A$5005,"&gt;="&amp;DATE(Einstellungen!$C$3,10,1),Erfassung!$A$6:$A$5005,"&lt;"&amp;DATE(Einstellungen!$C$3,11,1)))</f>
        <v/>
      </c>
      <c r="M160" s="54">
        <f>IF($B160="","",SUMIFS(Erfassung!$E$6:$E$5005,Erfassung!$B$6:$B$5005,$A160,Erfassung!$A$6:$A$5005,"&gt;="&amp;DATE(Einstellungen!$C$3,11,1),Erfassung!$A$6:$A$5005,"&lt;"&amp;DATE(Einstellungen!$C$3,12,1)))</f>
        <v/>
      </c>
      <c r="N160" s="54">
        <f>IF($B160="","",SUMIFS(Erfassung!$E$6:$E$5005,Erfassung!$B$6:$B$5005,$A160,Erfassung!$A$6:$A$5005,"&gt;="&amp;DATE(Einstellungen!$C$3,12,1),Erfassung!$A$6:$A$5005,"&lt;"&amp;DATE(Einstellungen!$C$3,13,1)))</f>
        <v/>
      </c>
      <c r="O160" s="45">
        <f>IF($B160="","",SUM(C160:N160))</f>
        <v/>
      </c>
      <c r="P160" s="54">
        <f>IF($B160="","",SUMIFS(Erfassung!$G$6:$G$5005,Erfassung!$B$6:$B$5005,$A160,Erfassung!$A$6:$A$5005,"&gt;="&amp;DATE(Einstellungen!$C$3,1,1),Erfassung!$A$6:$A$5005,"&lt;"&amp;DATE(Einstellungen!$C$3,2,1)))</f>
        <v/>
      </c>
      <c r="Q160" s="54">
        <f>IF($B160="","",SUMIFS(Erfassung!$G$6:$G$5005,Erfassung!$B$6:$B$5005,$A160,Erfassung!$A$6:$A$5005,"&gt;="&amp;DATE(Einstellungen!$C$3,2,1),Erfassung!$A$6:$A$5005,"&lt;"&amp;DATE(Einstellungen!$C$3,3,1)))</f>
        <v/>
      </c>
      <c r="R160" s="54">
        <f>IF($B160="","",SUMIFS(Erfassung!$G$6:$G$5005,Erfassung!$B$6:$B$5005,$A160,Erfassung!$A$6:$A$5005,"&gt;="&amp;DATE(Einstellungen!$C$3,3,1),Erfassung!$A$6:$A$5005,"&lt;"&amp;DATE(Einstellungen!$C$3,4,1)))</f>
        <v/>
      </c>
      <c r="S160" s="54">
        <f>IF($B160="","",SUMIFS(Erfassung!$G$6:$G$5005,Erfassung!$B$6:$B$5005,$A160,Erfassung!$A$6:$A$5005,"&gt;="&amp;DATE(Einstellungen!$C$3,4,1),Erfassung!$A$6:$A$5005,"&lt;"&amp;DATE(Einstellungen!$C$3,5,1)))</f>
        <v/>
      </c>
      <c r="T160" s="54">
        <f>IF($B160="","",SUMIFS(Erfassung!$G$6:$G$5005,Erfassung!$B$6:$B$5005,$A160,Erfassung!$A$6:$A$5005,"&gt;="&amp;DATE(Einstellungen!$C$3,5,1),Erfassung!$A$6:$A$5005,"&lt;"&amp;DATE(Einstellungen!$C$3,6,1)))</f>
        <v/>
      </c>
      <c r="U160" s="54">
        <f>IF($B160="","",SUMIFS(Erfassung!$G$6:$G$5005,Erfassung!$B$6:$B$5005,$A160,Erfassung!$A$6:$A$5005,"&gt;="&amp;DATE(Einstellungen!$C$3,6,1),Erfassung!$A$6:$A$5005,"&lt;"&amp;DATE(Einstellungen!$C$3,7,1)))</f>
        <v/>
      </c>
      <c r="V160" s="54">
        <f>IF($B160="","",SUMIFS(Erfassung!$G$6:$G$5005,Erfassung!$B$6:$B$5005,$A160,Erfassung!$A$6:$A$5005,"&gt;="&amp;DATE(Einstellungen!$C$3,7,1),Erfassung!$A$6:$A$5005,"&lt;"&amp;DATE(Einstellungen!$C$3,8,1)))</f>
        <v/>
      </c>
      <c r="W160" s="54">
        <f>IF($B160="","",SUMIFS(Erfassung!$G$6:$G$5005,Erfassung!$B$6:$B$5005,$A160,Erfassung!$A$6:$A$5005,"&gt;="&amp;DATE(Einstellungen!$C$3,8,1),Erfassung!$A$6:$A$5005,"&lt;"&amp;DATE(Einstellungen!$C$3,9,1)))</f>
        <v/>
      </c>
      <c r="X160" s="54">
        <f>IF($B160="","",SUMIFS(Erfassung!$G$6:$G$5005,Erfassung!$B$6:$B$5005,$A160,Erfassung!$A$6:$A$5005,"&gt;="&amp;DATE(Einstellungen!$C$3,9,1),Erfassung!$A$6:$A$5005,"&lt;"&amp;DATE(Einstellungen!$C$3,10,1)))</f>
        <v/>
      </c>
      <c r="Y160" s="54">
        <f>IF($B160="","",SUMIFS(Erfassung!$G$6:$G$5005,Erfassung!$B$6:$B$5005,$A160,Erfassung!$A$6:$A$5005,"&gt;="&amp;DATE(Einstellungen!$C$3,10,1),Erfassung!$A$6:$A$5005,"&lt;"&amp;DATE(Einstellungen!$C$3,11,1)))</f>
        <v/>
      </c>
      <c r="Z160" s="54">
        <f>IF($B160="","",SUMIFS(Erfassung!$G$6:$G$5005,Erfassung!$B$6:$B$5005,$A160,Erfassung!$A$6:$A$5005,"&gt;="&amp;DATE(Einstellungen!$C$3,11,1),Erfassung!$A$6:$A$5005,"&lt;"&amp;DATE(Einstellungen!$C$3,12,1)))</f>
        <v/>
      </c>
      <c r="AA160" s="54">
        <f>IF($B160="","",SUMIFS(Erfassung!$G$6:$G$5005,Erfassung!$B$6:$B$5005,$A160,Erfassung!$A$6:$A$5005,"&gt;="&amp;DATE(Einstellungen!$C$3,12,1),Erfassung!$A$6:$A$5005,"&lt;"&amp;DATE(Einstellungen!$C$3,13,1)))</f>
        <v/>
      </c>
      <c r="AB160" s="45">
        <f>IF($B160="","",SUM(P160:AA160))</f>
        <v/>
      </c>
      <c r="AC160" s="38">
        <f>IF($B160="","",IF(O160+AB160&gt;0,AB160/(O160+AB160),""))</f>
        <v/>
      </c>
    </row>
    <row r="161">
      <c r="A161" s="56">
        <f>'KQuote Mitarbeiter'!A161</f>
        <v/>
      </c>
      <c r="B161" s="57">
        <f>'KQuote Mitarbeiter'!B161</f>
        <v/>
      </c>
      <c r="C161" s="54">
        <f>IF($B161="","",SUMIFS(Erfassung!$E$6:$E$5005,Erfassung!$B$6:$B$5005,$A161,Erfassung!$A$6:$A$5005,"&gt;="&amp;DATE(Einstellungen!$C$3,1,1),Erfassung!$A$6:$A$5005,"&lt;"&amp;DATE(Einstellungen!$C$3,2,1)))</f>
        <v/>
      </c>
      <c r="D161" s="54">
        <f>IF($B161="","",SUMIFS(Erfassung!$E$6:$E$5005,Erfassung!$B$6:$B$5005,$A161,Erfassung!$A$6:$A$5005,"&gt;="&amp;DATE(Einstellungen!$C$3,2,1),Erfassung!$A$6:$A$5005,"&lt;"&amp;DATE(Einstellungen!$C$3,3,1)))</f>
        <v/>
      </c>
      <c r="E161" s="54">
        <f>IF($B161="","",SUMIFS(Erfassung!$E$6:$E$5005,Erfassung!$B$6:$B$5005,$A161,Erfassung!$A$6:$A$5005,"&gt;="&amp;DATE(Einstellungen!$C$3,3,1),Erfassung!$A$6:$A$5005,"&lt;"&amp;DATE(Einstellungen!$C$3,4,1)))</f>
        <v/>
      </c>
      <c r="F161" s="54">
        <f>IF($B161="","",SUMIFS(Erfassung!$E$6:$E$5005,Erfassung!$B$6:$B$5005,$A161,Erfassung!$A$6:$A$5005,"&gt;="&amp;DATE(Einstellungen!$C$3,4,1),Erfassung!$A$6:$A$5005,"&lt;"&amp;DATE(Einstellungen!$C$3,5,1)))</f>
        <v/>
      </c>
      <c r="G161" s="54">
        <f>IF($B161="","",SUMIFS(Erfassung!$E$6:$E$5005,Erfassung!$B$6:$B$5005,$A161,Erfassung!$A$6:$A$5005,"&gt;="&amp;DATE(Einstellungen!$C$3,5,1),Erfassung!$A$6:$A$5005,"&lt;"&amp;DATE(Einstellungen!$C$3,6,1)))</f>
        <v/>
      </c>
      <c r="H161" s="54">
        <f>IF($B161="","",SUMIFS(Erfassung!$E$6:$E$5005,Erfassung!$B$6:$B$5005,$A161,Erfassung!$A$6:$A$5005,"&gt;="&amp;DATE(Einstellungen!$C$3,6,1),Erfassung!$A$6:$A$5005,"&lt;"&amp;DATE(Einstellungen!$C$3,7,1)))</f>
        <v/>
      </c>
      <c r="I161" s="54">
        <f>IF($B161="","",SUMIFS(Erfassung!$E$6:$E$5005,Erfassung!$B$6:$B$5005,$A161,Erfassung!$A$6:$A$5005,"&gt;="&amp;DATE(Einstellungen!$C$3,7,1),Erfassung!$A$6:$A$5005,"&lt;"&amp;DATE(Einstellungen!$C$3,8,1)))</f>
        <v/>
      </c>
      <c r="J161" s="54">
        <f>IF($B161="","",SUMIFS(Erfassung!$E$6:$E$5005,Erfassung!$B$6:$B$5005,$A161,Erfassung!$A$6:$A$5005,"&gt;="&amp;DATE(Einstellungen!$C$3,8,1),Erfassung!$A$6:$A$5005,"&lt;"&amp;DATE(Einstellungen!$C$3,9,1)))</f>
        <v/>
      </c>
      <c r="K161" s="54">
        <f>IF($B161="","",SUMIFS(Erfassung!$E$6:$E$5005,Erfassung!$B$6:$B$5005,$A161,Erfassung!$A$6:$A$5005,"&gt;="&amp;DATE(Einstellungen!$C$3,9,1),Erfassung!$A$6:$A$5005,"&lt;"&amp;DATE(Einstellungen!$C$3,10,1)))</f>
        <v/>
      </c>
      <c r="L161" s="54">
        <f>IF($B161="","",SUMIFS(Erfassung!$E$6:$E$5005,Erfassung!$B$6:$B$5005,$A161,Erfassung!$A$6:$A$5005,"&gt;="&amp;DATE(Einstellungen!$C$3,10,1),Erfassung!$A$6:$A$5005,"&lt;"&amp;DATE(Einstellungen!$C$3,11,1)))</f>
        <v/>
      </c>
      <c r="M161" s="54">
        <f>IF($B161="","",SUMIFS(Erfassung!$E$6:$E$5005,Erfassung!$B$6:$B$5005,$A161,Erfassung!$A$6:$A$5005,"&gt;="&amp;DATE(Einstellungen!$C$3,11,1),Erfassung!$A$6:$A$5005,"&lt;"&amp;DATE(Einstellungen!$C$3,12,1)))</f>
        <v/>
      </c>
      <c r="N161" s="54">
        <f>IF($B161="","",SUMIFS(Erfassung!$E$6:$E$5005,Erfassung!$B$6:$B$5005,$A161,Erfassung!$A$6:$A$5005,"&gt;="&amp;DATE(Einstellungen!$C$3,12,1),Erfassung!$A$6:$A$5005,"&lt;"&amp;DATE(Einstellungen!$C$3,13,1)))</f>
        <v/>
      </c>
      <c r="O161" s="45">
        <f>IF($B161="","",SUM(C161:N161))</f>
        <v/>
      </c>
      <c r="P161" s="54">
        <f>IF($B161="","",SUMIFS(Erfassung!$G$6:$G$5005,Erfassung!$B$6:$B$5005,$A161,Erfassung!$A$6:$A$5005,"&gt;="&amp;DATE(Einstellungen!$C$3,1,1),Erfassung!$A$6:$A$5005,"&lt;"&amp;DATE(Einstellungen!$C$3,2,1)))</f>
        <v/>
      </c>
      <c r="Q161" s="54">
        <f>IF($B161="","",SUMIFS(Erfassung!$G$6:$G$5005,Erfassung!$B$6:$B$5005,$A161,Erfassung!$A$6:$A$5005,"&gt;="&amp;DATE(Einstellungen!$C$3,2,1),Erfassung!$A$6:$A$5005,"&lt;"&amp;DATE(Einstellungen!$C$3,3,1)))</f>
        <v/>
      </c>
      <c r="R161" s="54">
        <f>IF($B161="","",SUMIFS(Erfassung!$G$6:$G$5005,Erfassung!$B$6:$B$5005,$A161,Erfassung!$A$6:$A$5005,"&gt;="&amp;DATE(Einstellungen!$C$3,3,1),Erfassung!$A$6:$A$5005,"&lt;"&amp;DATE(Einstellungen!$C$3,4,1)))</f>
        <v/>
      </c>
      <c r="S161" s="54">
        <f>IF($B161="","",SUMIFS(Erfassung!$G$6:$G$5005,Erfassung!$B$6:$B$5005,$A161,Erfassung!$A$6:$A$5005,"&gt;="&amp;DATE(Einstellungen!$C$3,4,1),Erfassung!$A$6:$A$5005,"&lt;"&amp;DATE(Einstellungen!$C$3,5,1)))</f>
        <v/>
      </c>
      <c r="T161" s="54">
        <f>IF($B161="","",SUMIFS(Erfassung!$G$6:$G$5005,Erfassung!$B$6:$B$5005,$A161,Erfassung!$A$6:$A$5005,"&gt;="&amp;DATE(Einstellungen!$C$3,5,1),Erfassung!$A$6:$A$5005,"&lt;"&amp;DATE(Einstellungen!$C$3,6,1)))</f>
        <v/>
      </c>
      <c r="U161" s="54">
        <f>IF($B161="","",SUMIFS(Erfassung!$G$6:$G$5005,Erfassung!$B$6:$B$5005,$A161,Erfassung!$A$6:$A$5005,"&gt;="&amp;DATE(Einstellungen!$C$3,6,1),Erfassung!$A$6:$A$5005,"&lt;"&amp;DATE(Einstellungen!$C$3,7,1)))</f>
        <v/>
      </c>
      <c r="V161" s="54">
        <f>IF($B161="","",SUMIFS(Erfassung!$G$6:$G$5005,Erfassung!$B$6:$B$5005,$A161,Erfassung!$A$6:$A$5005,"&gt;="&amp;DATE(Einstellungen!$C$3,7,1),Erfassung!$A$6:$A$5005,"&lt;"&amp;DATE(Einstellungen!$C$3,8,1)))</f>
        <v/>
      </c>
      <c r="W161" s="54">
        <f>IF($B161="","",SUMIFS(Erfassung!$G$6:$G$5005,Erfassung!$B$6:$B$5005,$A161,Erfassung!$A$6:$A$5005,"&gt;="&amp;DATE(Einstellungen!$C$3,8,1),Erfassung!$A$6:$A$5005,"&lt;"&amp;DATE(Einstellungen!$C$3,9,1)))</f>
        <v/>
      </c>
      <c r="X161" s="54">
        <f>IF($B161="","",SUMIFS(Erfassung!$G$6:$G$5005,Erfassung!$B$6:$B$5005,$A161,Erfassung!$A$6:$A$5005,"&gt;="&amp;DATE(Einstellungen!$C$3,9,1),Erfassung!$A$6:$A$5005,"&lt;"&amp;DATE(Einstellungen!$C$3,10,1)))</f>
        <v/>
      </c>
      <c r="Y161" s="54">
        <f>IF($B161="","",SUMIFS(Erfassung!$G$6:$G$5005,Erfassung!$B$6:$B$5005,$A161,Erfassung!$A$6:$A$5005,"&gt;="&amp;DATE(Einstellungen!$C$3,10,1),Erfassung!$A$6:$A$5005,"&lt;"&amp;DATE(Einstellungen!$C$3,11,1)))</f>
        <v/>
      </c>
      <c r="Z161" s="54">
        <f>IF($B161="","",SUMIFS(Erfassung!$G$6:$G$5005,Erfassung!$B$6:$B$5005,$A161,Erfassung!$A$6:$A$5005,"&gt;="&amp;DATE(Einstellungen!$C$3,11,1),Erfassung!$A$6:$A$5005,"&lt;"&amp;DATE(Einstellungen!$C$3,12,1)))</f>
        <v/>
      </c>
      <c r="AA161" s="54">
        <f>IF($B161="","",SUMIFS(Erfassung!$G$6:$G$5005,Erfassung!$B$6:$B$5005,$A161,Erfassung!$A$6:$A$5005,"&gt;="&amp;DATE(Einstellungen!$C$3,12,1),Erfassung!$A$6:$A$5005,"&lt;"&amp;DATE(Einstellungen!$C$3,13,1)))</f>
        <v/>
      </c>
      <c r="AB161" s="45">
        <f>IF($B161="","",SUM(P161:AA161))</f>
        <v/>
      </c>
      <c r="AC161" s="38">
        <f>IF($B161="","",IF(O161+AB161&gt;0,AB161/(O161+AB161),""))</f>
        <v/>
      </c>
    </row>
    <row r="162">
      <c r="A162" s="56">
        <f>'KQuote Mitarbeiter'!A162</f>
        <v/>
      </c>
      <c r="B162" s="57">
        <f>'KQuote Mitarbeiter'!B162</f>
        <v/>
      </c>
      <c r="C162" s="54">
        <f>IF($B162="","",SUMIFS(Erfassung!$E$6:$E$5005,Erfassung!$B$6:$B$5005,$A162,Erfassung!$A$6:$A$5005,"&gt;="&amp;DATE(Einstellungen!$C$3,1,1),Erfassung!$A$6:$A$5005,"&lt;"&amp;DATE(Einstellungen!$C$3,2,1)))</f>
        <v/>
      </c>
      <c r="D162" s="54">
        <f>IF($B162="","",SUMIFS(Erfassung!$E$6:$E$5005,Erfassung!$B$6:$B$5005,$A162,Erfassung!$A$6:$A$5005,"&gt;="&amp;DATE(Einstellungen!$C$3,2,1),Erfassung!$A$6:$A$5005,"&lt;"&amp;DATE(Einstellungen!$C$3,3,1)))</f>
        <v/>
      </c>
      <c r="E162" s="54">
        <f>IF($B162="","",SUMIFS(Erfassung!$E$6:$E$5005,Erfassung!$B$6:$B$5005,$A162,Erfassung!$A$6:$A$5005,"&gt;="&amp;DATE(Einstellungen!$C$3,3,1),Erfassung!$A$6:$A$5005,"&lt;"&amp;DATE(Einstellungen!$C$3,4,1)))</f>
        <v/>
      </c>
      <c r="F162" s="54">
        <f>IF($B162="","",SUMIFS(Erfassung!$E$6:$E$5005,Erfassung!$B$6:$B$5005,$A162,Erfassung!$A$6:$A$5005,"&gt;="&amp;DATE(Einstellungen!$C$3,4,1),Erfassung!$A$6:$A$5005,"&lt;"&amp;DATE(Einstellungen!$C$3,5,1)))</f>
        <v/>
      </c>
      <c r="G162" s="54">
        <f>IF($B162="","",SUMIFS(Erfassung!$E$6:$E$5005,Erfassung!$B$6:$B$5005,$A162,Erfassung!$A$6:$A$5005,"&gt;="&amp;DATE(Einstellungen!$C$3,5,1),Erfassung!$A$6:$A$5005,"&lt;"&amp;DATE(Einstellungen!$C$3,6,1)))</f>
        <v/>
      </c>
      <c r="H162" s="54">
        <f>IF($B162="","",SUMIFS(Erfassung!$E$6:$E$5005,Erfassung!$B$6:$B$5005,$A162,Erfassung!$A$6:$A$5005,"&gt;="&amp;DATE(Einstellungen!$C$3,6,1),Erfassung!$A$6:$A$5005,"&lt;"&amp;DATE(Einstellungen!$C$3,7,1)))</f>
        <v/>
      </c>
      <c r="I162" s="54">
        <f>IF($B162="","",SUMIFS(Erfassung!$E$6:$E$5005,Erfassung!$B$6:$B$5005,$A162,Erfassung!$A$6:$A$5005,"&gt;="&amp;DATE(Einstellungen!$C$3,7,1),Erfassung!$A$6:$A$5005,"&lt;"&amp;DATE(Einstellungen!$C$3,8,1)))</f>
        <v/>
      </c>
      <c r="J162" s="54">
        <f>IF($B162="","",SUMIFS(Erfassung!$E$6:$E$5005,Erfassung!$B$6:$B$5005,$A162,Erfassung!$A$6:$A$5005,"&gt;="&amp;DATE(Einstellungen!$C$3,8,1),Erfassung!$A$6:$A$5005,"&lt;"&amp;DATE(Einstellungen!$C$3,9,1)))</f>
        <v/>
      </c>
      <c r="K162" s="54">
        <f>IF($B162="","",SUMIFS(Erfassung!$E$6:$E$5005,Erfassung!$B$6:$B$5005,$A162,Erfassung!$A$6:$A$5005,"&gt;="&amp;DATE(Einstellungen!$C$3,9,1),Erfassung!$A$6:$A$5005,"&lt;"&amp;DATE(Einstellungen!$C$3,10,1)))</f>
        <v/>
      </c>
      <c r="L162" s="54">
        <f>IF($B162="","",SUMIFS(Erfassung!$E$6:$E$5005,Erfassung!$B$6:$B$5005,$A162,Erfassung!$A$6:$A$5005,"&gt;="&amp;DATE(Einstellungen!$C$3,10,1),Erfassung!$A$6:$A$5005,"&lt;"&amp;DATE(Einstellungen!$C$3,11,1)))</f>
        <v/>
      </c>
      <c r="M162" s="54">
        <f>IF($B162="","",SUMIFS(Erfassung!$E$6:$E$5005,Erfassung!$B$6:$B$5005,$A162,Erfassung!$A$6:$A$5005,"&gt;="&amp;DATE(Einstellungen!$C$3,11,1),Erfassung!$A$6:$A$5005,"&lt;"&amp;DATE(Einstellungen!$C$3,12,1)))</f>
        <v/>
      </c>
      <c r="N162" s="54">
        <f>IF($B162="","",SUMIFS(Erfassung!$E$6:$E$5005,Erfassung!$B$6:$B$5005,$A162,Erfassung!$A$6:$A$5005,"&gt;="&amp;DATE(Einstellungen!$C$3,12,1),Erfassung!$A$6:$A$5005,"&lt;"&amp;DATE(Einstellungen!$C$3,13,1)))</f>
        <v/>
      </c>
      <c r="O162" s="45">
        <f>IF($B162="","",SUM(C162:N162))</f>
        <v/>
      </c>
      <c r="P162" s="54">
        <f>IF($B162="","",SUMIFS(Erfassung!$G$6:$G$5005,Erfassung!$B$6:$B$5005,$A162,Erfassung!$A$6:$A$5005,"&gt;="&amp;DATE(Einstellungen!$C$3,1,1),Erfassung!$A$6:$A$5005,"&lt;"&amp;DATE(Einstellungen!$C$3,2,1)))</f>
        <v/>
      </c>
      <c r="Q162" s="54">
        <f>IF($B162="","",SUMIFS(Erfassung!$G$6:$G$5005,Erfassung!$B$6:$B$5005,$A162,Erfassung!$A$6:$A$5005,"&gt;="&amp;DATE(Einstellungen!$C$3,2,1),Erfassung!$A$6:$A$5005,"&lt;"&amp;DATE(Einstellungen!$C$3,3,1)))</f>
        <v/>
      </c>
      <c r="R162" s="54">
        <f>IF($B162="","",SUMIFS(Erfassung!$G$6:$G$5005,Erfassung!$B$6:$B$5005,$A162,Erfassung!$A$6:$A$5005,"&gt;="&amp;DATE(Einstellungen!$C$3,3,1),Erfassung!$A$6:$A$5005,"&lt;"&amp;DATE(Einstellungen!$C$3,4,1)))</f>
        <v/>
      </c>
      <c r="S162" s="54">
        <f>IF($B162="","",SUMIFS(Erfassung!$G$6:$G$5005,Erfassung!$B$6:$B$5005,$A162,Erfassung!$A$6:$A$5005,"&gt;="&amp;DATE(Einstellungen!$C$3,4,1),Erfassung!$A$6:$A$5005,"&lt;"&amp;DATE(Einstellungen!$C$3,5,1)))</f>
        <v/>
      </c>
      <c r="T162" s="54">
        <f>IF($B162="","",SUMIFS(Erfassung!$G$6:$G$5005,Erfassung!$B$6:$B$5005,$A162,Erfassung!$A$6:$A$5005,"&gt;="&amp;DATE(Einstellungen!$C$3,5,1),Erfassung!$A$6:$A$5005,"&lt;"&amp;DATE(Einstellungen!$C$3,6,1)))</f>
        <v/>
      </c>
      <c r="U162" s="54">
        <f>IF($B162="","",SUMIFS(Erfassung!$G$6:$G$5005,Erfassung!$B$6:$B$5005,$A162,Erfassung!$A$6:$A$5005,"&gt;="&amp;DATE(Einstellungen!$C$3,6,1),Erfassung!$A$6:$A$5005,"&lt;"&amp;DATE(Einstellungen!$C$3,7,1)))</f>
        <v/>
      </c>
      <c r="V162" s="54">
        <f>IF($B162="","",SUMIFS(Erfassung!$G$6:$G$5005,Erfassung!$B$6:$B$5005,$A162,Erfassung!$A$6:$A$5005,"&gt;="&amp;DATE(Einstellungen!$C$3,7,1),Erfassung!$A$6:$A$5005,"&lt;"&amp;DATE(Einstellungen!$C$3,8,1)))</f>
        <v/>
      </c>
      <c r="W162" s="54">
        <f>IF($B162="","",SUMIFS(Erfassung!$G$6:$G$5005,Erfassung!$B$6:$B$5005,$A162,Erfassung!$A$6:$A$5005,"&gt;="&amp;DATE(Einstellungen!$C$3,8,1),Erfassung!$A$6:$A$5005,"&lt;"&amp;DATE(Einstellungen!$C$3,9,1)))</f>
        <v/>
      </c>
      <c r="X162" s="54">
        <f>IF($B162="","",SUMIFS(Erfassung!$G$6:$G$5005,Erfassung!$B$6:$B$5005,$A162,Erfassung!$A$6:$A$5005,"&gt;="&amp;DATE(Einstellungen!$C$3,9,1),Erfassung!$A$6:$A$5005,"&lt;"&amp;DATE(Einstellungen!$C$3,10,1)))</f>
        <v/>
      </c>
      <c r="Y162" s="54">
        <f>IF($B162="","",SUMIFS(Erfassung!$G$6:$G$5005,Erfassung!$B$6:$B$5005,$A162,Erfassung!$A$6:$A$5005,"&gt;="&amp;DATE(Einstellungen!$C$3,10,1),Erfassung!$A$6:$A$5005,"&lt;"&amp;DATE(Einstellungen!$C$3,11,1)))</f>
        <v/>
      </c>
      <c r="Z162" s="54">
        <f>IF($B162="","",SUMIFS(Erfassung!$G$6:$G$5005,Erfassung!$B$6:$B$5005,$A162,Erfassung!$A$6:$A$5005,"&gt;="&amp;DATE(Einstellungen!$C$3,11,1),Erfassung!$A$6:$A$5005,"&lt;"&amp;DATE(Einstellungen!$C$3,12,1)))</f>
        <v/>
      </c>
      <c r="AA162" s="54">
        <f>IF($B162="","",SUMIFS(Erfassung!$G$6:$G$5005,Erfassung!$B$6:$B$5005,$A162,Erfassung!$A$6:$A$5005,"&gt;="&amp;DATE(Einstellungen!$C$3,12,1),Erfassung!$A$6:$A$5005,"&lt;"&amp;DATE(Einstellungen!$C$3,13,1)))</f>
        <v/>
      </c>
      <c r="AB162" s="45">
        <f>IF($B162="","",SUM(P162:AA162))</f>
        <v/>
      </c>
      <c r="AC162" s="38">
        <f>IF($B162="","",IF(O162+AB162&gt;0,AB162/(O162+AB162),""))</f>
        <v/>
      </c>
    </row>
    <row r="163">
      <c r="A163" s="56">
        <f>'KQuote Mitarbeiter'!A163</f>
        <v/>
      </c>
      <c r="B163" s="57">
        <f>'KQuote Mitarbeiter'!B163</f>
        <v/>
      </c>
      <c r="C163" s="54">
        <f>IF($B163="","",SUMIFS(Erfassung!$E$6:$E$5005,Erfassung!$B$6:$B$5005,$A163,Erfassung!$A$6:$A$5005,"&gt;="&amp;DATE(Einstellungen!$C$3,1,1),Erfassung!$A$6:$A$5005,"&lt;"&amp;DATE(Einstellungen!$C$3,2,1)))</f>
        <v/>
      </c>
      <c r="D163" s="54">
        <f>IF($B163="","",SUMIFS(Erfassung!$E$6:$E$5005,Erfassung!$B$6:$B$5005,$A163,Erfassung!$A$6:$A$5005,"&gt;="&amp;DATE(Einstellungen!$C$3,2,1),Erfassung!$A$6:$A$5005,"&lt;"&amp;DATE(Einstellungen!$C$3,3,1)))</f>
        <v/>
      </c>
      <c r="E163" s="54">
        <f>IF($B163="","",SUMIFS(Erfassung!$E$6:$E$5005,Erfassung!$B$6:$B$5005,$A163,Erfassung!$A$6:$A$5005,"&gt;="&amp;DATE(Einstellungen!$C$3,3,1),Erfassung!$A$6:$A$5005,"&lt;"&amp;DATE(Einstellungen!$C$3,4,1)))</f>
        <v/>
      </c>
      <c r="F163" s="54">
        <f>IF($B163="","",SUMIFS(Erfassung!$E$6:$E$5005,Erfassung!$B$6:$B$5005,$A163,Erfassung!$A$6:$A$5005,"&gt;="&amp;DATE(Einstellungen!$C$3,4,1),Erfassung!$A$6:$A$5005,"&lt;"&amp;DATE(Einstellungen!$C$3,5,1)))</f>
        <v/>
      </c>
      <c r="G163" s="54">
        <f>IF($B163="","",SUMIFS(Erfassung!$E$6:$E$5005,Erfassung!$B$6:$B$5005,$A163,Erfassung!$A$6:$A$5005,"&gt;="&amp;DATE(Einstellungen!$C$3,5,1),Erfassung!$A$6:$A$5005,"&lt;"&amp;DATE(Einstellungen!$C$3,6,1)))</f>
        <v/>
      </c>
      <c r="H163" s="54">
        <f>IF($B163="","",SUMIFS(Erfassung!$E$6:$E$5005,Erfassung!$B$6:$B$5005,$A163,Erfassung!$A$6:$A$5005,"&gt;="&amp;DATE(Einstellungen!$C$3,6,1),Erfassung!$A$6:$A$5005,"&lt;"&amp;DATE(Einstellungen!$C$3,7,1)))</f>
        <v/>
      </c>
      <c r="I163" s="54">
        <f>IF($B163="","",SUMIFS(Erfassung!$E$6:$E$5005,Erfassung!$B$6:$B$5005,$A163,Erfassung!$A$6:$A$5005,"&gt;="&amp;DATE(Einstellungen!$C$3,7,1),Erfassung!$A$6:$A$5005,"&lt;"&amp;DATE(Einstellungen!$C$3,8,1)))</f>
        <v/>
      </c>
      <c r="J163" s="54">
        <f>IF($B163="","",SUMIFS(Erfassung!$E$6:$E$5005,Erfassung!$B$6:$B$5005,$A163,Erfassung!$A$6:$A$5005,"&gt;="&amp;DATE(Einstellungen!$C$3,8,1),Erfassung!$A$6:$A$5005,"&lt;"&amp;DATE(Einstellungen!$C$3,9,1)))</f>
        <v/>
      </c>
      <c r="K163" s="54">
        <f>IF($B163="","",SUMIFS(Erfassung!$E$6:$E$5005,Erfassung!$B$6:$B$5005,$A163,Erfassung!$A$6:$A$5005,"&gt;="&amp;DATE(Einstellungen!$C$3,9,1),Erfassung!$A$6:$A$5005,"&lt;"&amp;DATE(Einstellungen!$C$3,10,1)))</f>
        <v/>
      </c>
      <c r="L163" s="54">
        <f>IF($B163="","",SUMIFS(Erfassung!$E$6:$E$5005,Erfassung!$B$6:$B$5005,$A163,Erfassung!$A$6:$A$5005,"&gt;="&amp;DATE(Einstellungen!$C$3,10,1),Erfassung!$A$6:$A$5005,"&lt;"&amp;DATE(Einstellungen!$C$3,11,1)))</f>
        <v/>
      </c>
      <c r="M163" s="54">
        <f>IF($B163="","",SUMIFS(Erfassung!$E$6:$E$5005,Erfassung!$B$6:$B$5005,$A163,Erfassung!$A$6:$A$5005,"&gt;="&amp;DATE(Einstellungen!$C$3,11,1),Erfassung!$A$6:$A$5005,"&lt;"&amp;DATE(Einstellungen!$C$3,12,1)))</f>
        <v/>
      </c>
      <c r="N163" s="54">
        <f>IF($B163="","",SUMIFS(Erfassung!$E$6:$E$5005,Erfassung!$B$6:$B$5005,$A163,Erfassung!$A$6:$A$5005,"&gt;="&amp;DATE(Einstellungen!$C$3,12,1),Erfassung!$A$6:$A$5005,"&lt;"&amp;DATE(Einstellungen!$C$3,13,1)))</f>
        <v/>
      </c>
      <c r="O163" s="45">
        <f>IF($B163="","",SUM(C163:N163))</f>
        <v/>
      </c>
      <c r="P163" s="54">
        <f>IF($B163="","",SUMIFS(Erfassung!$G$6:$G$5005,Erfassung!$B$6:$B$5005,$A163,Erfassung!$A$6:$A$5005,"&gt;="&amp;DATE(Einstellungen!$C$3,1,1),Erfassung!$A$6:$A$5005,"&lt;"&amp;DATE(Einstellungen!$C$3,2,1)))</f>
        <v/>
      </c>
      <c r="Q163" s="54">
        <f>IF($B163="","",SUMIFS(Erfassung!$G$6:$G$5005,Erfassung!$B$6:$B$5005,$A163,Erfassung!$A$6:$A$5005,"&gt;="&amp;DATE(Einstellungen!$C$3,2,1),Erfassung!$A$6:$A$5005,"&lt;"&amp;DATE(Einstellungen!$C$3,3,1)))</f>
        <v/>
      </c>
      <c r="R163" s="54">
        <f>IF($B163="","",SUMIFS(Erfassung!$G$6:$G$5005,Erfassung!$B$6:$B$5005,$A163,Erfassung!$A$6:$A$5005,"&gt;="&amp;DATE(Einstellungen!$C$3,3,1),Erfassung!$A$6:$A$5005,"&lt;"&amp;DATE(Einstellungen!$C$3,4,1)))</f>
        <v/>
      </c>
      <c r="S163" s="54">
        <f>IF($B163="","",SUMIFS(Erfassung!$G$6:$G$5005,Erfassung!$B$6:$B$5005,$A163,Erfassung!$A$6:$A$5005,"&gt;="&amp;DATE(Einstellungen!$C$3,4,1),Erfassung!$A$6:$A$5005,"&lt;"&amp;DATE(Einstellungen!$C$3,5,1)))</f>
        <v/>
      </c>
      <c r="T163" s="54">
        <f>IF($B163="","",SUMIFS(Erfassung!$G$6:$G$5005,Erfassung!$B$6:$B$5005,$A163,Erfassung!$A$6:$A$5005,"&gt;="&amp;DATE(Einstellungen!$C$3,5,1),Erfassung!$A$6:$A$5005,"&lt;"&amp;DATE(Einstellungen!$C$3,6,1)))</f>
        <v/>
      </c>
      <c r="U163" s="54">
        <f>IF($B163="","",SUMIFS(Erfassung!$G$6:$G$5005,Erfassung!$B$6:$B$5005,$A163,Erfassung!$A$6:$A$5005,"&gt;="&amp;DATE(Einstellungen!$C$3,6,1),Erfassung!$A$6:$A$5005,"&lt;"&amp;DATE(Einstellungen!$C$3,7,1)))</f>
        <v/>
      </c>
      <c r="V163" s="54">
        <f>IF($B163="","",SUMIFS(Erfassung!$G$6:$G$5005,Erfassung!$B$6:$B$5005,$A163,Erfassung!$A$6:$A$5005,"&gt;="&amp;DATE(Einstellungen!$C$3,7,1),Erfassung!$A$6:$A$5005,"&lt;"&amp;DATE(Einstellungen!$C$3,8,1)))</f>
        <v/>
      </c>
      <c r="W163" s="54">
        <f>IF($B163="","",SUMIFS(Erfassung!$G$6:$G$5005,Erfassung!$B$6:$B$5005,$A163,Erfassung!$A$6:$A$5005,"&gt;="&amp;DATE(Einstellungen!$C$3,8,1),Erfassung!$A$6:$A$5005,"&lt;"&amp;DATE(Einstellungen!$C$3,9,1)))</f>
        <v/>
      </c>
      <c r="X163" s="54">
        <f>IF($B163="","",SUMIFS(Erfassung!$G$6:$G$5005,Erfassung!$B$6:$B$5005,$A163,Erfassung!$A$6:$A$5005,"&gt;="&amp;DATE(Einstellungen!$C$3,9,1),Erfassung!$A$6:$A$5005,"&lt;"&amp;DATE(Einstellungen!$C$3,10,1)))</f>
        <v/>
      </c>
      <c r="Y163" s="54">
        <f>IF($B163="","",SUMIFS(Erfassung!$G$6:$G$5005,Erfassung!$B$6:$B$5005,$A163,Erfassung!$A$6:$A$5005,"&gt;="&amp;DATE(Einstellungen!$C$3,10,1),Erfassung!$A$6:$A$5005,"&lt;"&amp;DATE(Einstellungen!$C$3,11,1)))</f>
        <v/>
      </c>
      <c r="Z163" s="54">
        <f>IF($B163="","",SUMIFS(Erfassung!$G$6:$G$5005,Erfassung!$B$6:$B$5005,$A163,Erfassung!$A$6:$A$5005,"&gt;="&amp;DATE(Einstellungen!$C$3,11,1),Erfassung!$A$6:$A$5005,"&lt;"&amp;DATE(Einstellungen!$C$3,12,1)))</f>
        <v/>
      </c>
      <c r="AA163" s="54">
        <f>IF($B163="","",SUMIFS(Erfassung!$G$6:$G$5005,Erfassung!$B$6:$B$5005,$A163,Erfassung!$A$6:$A$5005,"&gt;="&amp;DATE(Einstellungen!$C$3,12,1),Erfassung!$A$6:$A$5005,"&lt;"&amp;DATE(Einstellungen!$C$3,13,1)))</f>
        <v/>
      </c>
      <c r="AB163" s="45">
        <f>IF($B163="","",SUM(P163:AA163))</f>
        <v/>
      </c>
      <c r="AC163" s="38">
        <f>IF($B163="","",IF(O163+AB163&gt;0,AB163/(O163+AB163),""))</f>
        <v/>
      </c>
    </row>
    <row r="164">
      <c r="A164" s="56">
        <f>'KQuote Mitarbeiter'!A164</f>
        <v/>
      </c>
      <c r="B164" s="57">
        <f>'KQuote Mitarbeiter'!B164</f>
        <v/>
      </c>
      <c r="C164" s="54">
        <f>IF($B164="","",SUMIFS(Erfassung!$E$6:$E$5005,Erfassung!$B$6:$B$5005,$A164,Erfassung!$A$6:$A$5005,"&gt;="&amp;DATE(Einstellungen!$C$3,1,1),Erfassung!$A$6:$A$5005,"&lt;"&amp;DATE(Einstellungen!$C$3,2,1)))</f>
        <v/>
      </c>
      <c r="D164" s="54">
        <f>IF($B164="","",SUMIFS(Erfassung!$E$6:$E$5005,Erfassung!$B$6:$B$5005,$A164,Erfassung!$A$6:$A$5005,"&gt;="&amp;DATE(Einstellungen!$C$3,2,1),Erfassung!$A$6:$A$5005,"&lt;"&amp;DATE(Einstellungen!$C$3,3,1)))</f>
        <v/>
      </c>
      <c r="E164" s="54">
        <f>IF($B164="","",SUMIFS(Erfassung!$E$6:$E$5005,Erfassung!$B$6:$B$5005,$A164,Erfassung!$A$6:$A$5005,"&gt;="&amp;DATE(Einstellungen!$C$3,3,1),Erfassung!$A$6:$A$5005,"&lt;"&amp;DATE(Einstellungen!$C$3,4,1)))</f>
        <v/>
      </c>
      <c r="F164" s="54">
        <f>IF($B164="","",SUMIFS(Erfassung!$E$6:$E$5005,Erfassung!$B$6:$B$5005,$A164,Erfassung!$A$6:$A$5005,"&gt;="&amp;DATE(Einstellungen!$C$3,4,1),Erfassung!$A$6:$A$5005,"&lt;"&amp;DATE(Einstellungen!$C$3,5,1)))</f>
        <v/>
      </c>
      <c r="G164" s="54">
        <f>IF($B164="","",SUMIFS(Erfassung!$E$6:$E$5005,Erfassung!$B$6:$B$5005,$A164,Erfassung!$A$6:$A$5005,"&gt;="&amp;DATE(Einstellungen!$C$3,5,1),Erfassung!$A$6:$A$5005,"&lt;"&amp;DATE(Einstellungen!$C$3,6,1)))</f>
        <v/>
      </c>
      <c r="H164" s="54">
        <f>IF($B164="","",SUMIFS(Erfassung!$E$6:$E$5005,Erfassung!$B$6:$B$5005,$A164,Erfassung!$A$6:$A$5005,"&gt;="&amp;DATE(Einstellungen!$C$3,6,1),Erfassung!$A$6:$A$5005,"&lt;"&amp;DATE(Einstellungen!$C$3,7,1)))</f>
        <v/>
      </c>
      <c r="I164" s="54">
        <f>IF($B164="","",SUMIFS(Erfassung!$E$6:$E$5005,Erfassung!$B$6:$B$5005,$A164,Erfassung!$A$6:$A$5005,"&gt;="&amp;DATE(Einstellungen!$C$3,7,1),Erfassung!$A$6:$A$5005,"&lt;"&amp;DATE(Einstellungen!$C$3,8,1)))</f>
        <v/>
      </c>
      <c r="J164" s="54">
        <f>IF($B164="","",SUMIFS(Erfassung!$E$6:$E$5005,Erfassung!$B$6:$B$5005,$A164,Erfassung!$A$6:$A$5005,"&gt;="&amp;DATE(Einstellungen!$C$3,8,1),Erfassung!$A$6:$A$5005,"&lt;"&amp;DATE(Einstellungen!$C$3,9,1)))</f>
        <v/>
      </c>
      <c r="K164" s="54">
        <f>IF($B164="","",SUMIFS(Erfassung!$E$6:$E$5005,Erfassung!$B$6:$B$5005,$A164,Erfassung!$A$6:$A$5005,"&gt;="&amp;DATE(Einstellungen!$C$3,9,1),Erfassung!$A$6:$A$5005,"&lt;"&amp;DATE(Einstellungen!$C$3,10,1)))</f>
        <v/>
      </c>
      <c r="L164" s="54">
        <f>IF($B164="","",SUMIFS(Erfassung!$E$6:$E$5005,Erfassung!$B$6:$B$5005,$A164,Erfassung!$A$6:$A$5005,"&gt;="&amp;DATE(Einstellungen!$C$3,10,1),Erfassung!$A$6:$A$5005,"&lt;"&amp;DATE(Einstellungen!$C$3,11,1)))</f>
        <v/>
      </c>
      <c r="M164" s="54">
        <f>IF($B164="","",SUMIFS(Erfassung!$E$6:$E$5005,Erfassung!$B$6:$B$5005,$A164,Erfassung!$A$6:$A$5005,"&gt;="&amp;DATE(Einstellungen!$C$3,11,1),Erfassung!$A$6:$A$5005,"&lt;"&amp;DATE(Einstellungen!$C$3,12,1)))</f>
        <v/>
      </c>
      <c r="N164" s="54">
        <f>IF($B164="","",SUMIFS(Erfassung!$E$6:$E$5005,Erfassung!$B$6:$B$5005,$A164,Erfassung!$A$6:$A$5005,"&gt;="&amp;DATE(Einstellungen!$C$3,12,1),Erfassung!$A$6:$A$5005,"&lt;"&amp;DATE(Einstellungen!$C$3,13,1)))</f>
        <v/>
      </c>
      <c r="O164" s="45">
        <f>IF($B164="","",SUM(C164:N164))</f>
        <v/>
      </c>
      <c r="P164" s="54">
        <f>IF($B164="","",SUMIFS(Erfassung!$G$6:$G$5005,Erfassung!$B$6:$B$5005,$A164,Erfassung!$A$6:$A$5005,"&gt;="&amp;DATE(Einstellungen!$C$3,1,1),Erfassung!$A$6:$A$5005,"&lt;"&amp;DATE(Einstellungen!$C$3,2,1)))</f>
        <v/>
      </c>
      <c r="Q164" s="54">
        <f>IF($B164="","",SUMIFS(Erfassung!$G$6:$G$5005,Erfassung!$B$6:$B$5005,$A164,Erfassung!$A$6:$A$5005,"&gt;="&amp;DATE(Einstellungen!$C$3,2,1),Erfassung!$A$6:$A$5005,"&lt;"&amp;DATE(Einstellungen!$C$3,3,1)))</f>
        <v/>
      </c>
      <c r="R164" s="54">
        <f>IF($B164="","",SUMIFS(Erfassung!$G$6:$G$5005,Erfassung!$B$6:$B$5005,$A164,Erfassung!$A$6:$A$5005,"&gt;="&amp;DATE(Einstellungen!$C$3,3,1),Erfassung!$A$6:$A$5005,"&lt;"&amp;DATE(Einstellungen!$C$3,4,1)))</f>
        <v/>
      </c>
      <c r="S164" s="54">
        <f>IF($B164="","",SUMIFS(Erfassung!$G$6:$G$5005,Erfassung!$B$6:$B$5005,$A164,Erfassung!$A$6:$A$5005,"&gt;="&amp;DATE(Einstellungen!$C$3,4,1),Erfassung!$A$6:$A$5005,"&lt;"&amp;DATE(Einstellungen!$C$3,5,1)))</f>
        <v/>
      </c>
      <c r="T164" s="54">
        <f>IF($B164="","",SUMIFS(Erfassung!$G$6:$G$5005,Erfassung!$B$6:$B$5005,$A164,Erfassung!$A$6:$A$5005,"&gt;="&amp;DATE(Einstellungen!$C$3,5,1),Erfassung!$A$6:$A$5005,"&lt;"&amp;DATE(Einstellungen!$C$3,6,1)))</f>
        <v/>
      </c>
      <c r="U164" s="54">
        <f>IF($B164="","",SUMIFS(Erfassung!$G$6:$G$5005,Erfassung!$B$6:$B$5005,$A164,Erfassung!$A$6:$A$5005,"&gt;="&amp;DATE(Einstellungen!$C$3,6,1),Erfassung!$A$6:$A$5005,"&lt;"&amp;DATE(Einstellungen!$C$3,7,1)))</f>
        <v/>
      </c>
      <c r="V164" s="54">
        <f>IF($B164="","",SUMIFS(Erfassung!$G$6:$G$5005,Erfassung!$B$6:$B$5005,$A164,Erfassung!$A$6:$A$5005,"&gt;="&amp;DATE(Einstellungen!$C$3,7,1),Erfassung!$A$6:$A$5005,"&lt;"&amp;DATE(Einstellungen!$C$3,8,1)))</f>
        <v/>
      </c>
      <c r="W164" s="54">
        <f>IF($B164="","",SUMIFS(Erfassung!$G$6:$G$5005,Erfassung!$B$6:$B$5005,$A164,Erfassung!$A$6:$A$5005,"&gt;="&amp;DATE(Einstellungen!$C$3,8,1),Erfassung!$A$6:$A$5005,"&lt;"&amp;DATE(Einstellungen!$C$3,9,1)))</f>
        <v/>
      </c>
      <c r="X164" s="54">
        <f>IF($B164="","",SUMIFS(Erfassung!$G$6:$G$5005,Erfassung!$B$6:$B$5005,$A164,Erfassung!$A$6:$A$5005,"&gt;="&amp;DATE(Einstellungen!$C$3,9,1),Erfassung!$A$6:$A$5005,"&lt;"&amp;DATE(Einstellungen!$C$3,10,1)))</f>
        <v/>
      </c>
      <c r="Y164" s="54">
        <f>IF($B164="","",SUMIFS(Erfassung!$G$6:$G$5005,Erfassung!$B$6:$B$5005,$A164,Erfassung!$A$6:$A$5005,"&gt;="&amp;DATE(Einstellungen!$C$3,10,1),Erfassung!$A$6:$A$5005,"&lt;"&amp;DATE(Einstellungen!$C$3,11,1)))</f>
        <v/>
      </c>
      <c r="Z164" s="54">
        <f>IF($B164="","",SUMIFS(Erfassung!$G$6:$G$5005,Erfassung!$B$6:$B$5005,$A164,Erfassung!$A$6:$A$5005,"&gt;="&amp;DATE(Einstellungen!$C$3,11,1),Erfassung!$A$6:$A$5005,"&lt;"&amp;DATE(Einstellungen!$C$3,12,1)))</f>
        <v/>
      </c>
      <c r="AA164" s="54">
        <f>IF($B164="","",SUMIFS(Erfassung!$G$6:$G$5005,Erfassung!$B$6:$B$5005,$A164,Erfassung!$A$6:$A$5005,"&gt;="&amp;DATE(Einstellungen!$C$3,12,1),Erfassung!$A$6:$A$5005,"&lt;"&amp;DATE(Einstellungen!$C$3,13,1)))</f>
        <v/>
      </c>
      <c r="AB164" s="45">
        <f>IF($B164="","",SUM(P164:AA164))</f>
        <v/>
      </c>
      <c r="AC164" s="38">
        <f>IF($B164="","",IF(O164+AB164&gt;0,AB164/(O164+AB164),""))</f>
        <v/>
      </c>
    </row>
    <row r="165">
      <c r="A165" s="56">
        <f>'KQuote Mitarbeiter'!A165</f>
        <v/>
      </c>
      <c r="B165" s="57">
        <f>'KQuote Mitarbeiter'!B165</f>
        <v/>
      </c>
      <c r="C165" s="54">
        <f>IF($B165="","",SUMIFS(Erfassung!$E$6:$E$5005,Erfassung!$B$6:$B$5005,$A165,Erfassung!$A$6:$A$5005,"&gt;="&amp;DATE(Einstellungen!$C$3,1,1),Erfassung!$A$6:$A$5005,"&lt;"&amp;DATE(Einstellungen!$C$3,2,1)))</f>
        <v/>
      </c>
      <c r="D165" s="54">
        <f>IF($B165="","",SUMIFS(Erfassung!$E$6:$E$5005,Erfassung!$B$6:$B$5005,$A165,Erfassung!$A$6:$A$5005,"&gt;="&amp;DATE(Einstellungen!$C$3,2,1),Erfassung!$A$6:$A$5005,"&lt;"&amp;DATE(Einstellungen!$C$3,3,1)))</f>
        <v/>
      </c>
      <c r="E165" s="54">
        <f>IF($B165="","",SUMIFS(Erfassung!$E$6:$E$5005,Erfassung!$B$6:$B$5005,$A165,Erfassung!$A$6:$A$5005,"&gt;="&amp;DATE(Einstellungen!$C$3,3,1),Erfassung!$A$6:$A$5005,"&lt;"&amp;DATE(Einstellungen!$C$3,4,1)))</f>
        <v/>
      </c>
      <c r="F165" s="54">
        <f>IF($B165="","",SUMIFS(Erfassung!$E$6:$E$5005,Erfassung!$B$6:$B$5005,$A165,Erfassung!$A$6:$A$5005,"&gt;="&amp;DATE(Einstellungen!$C$3,4,1),Erfassung!$A$6:$A$5005,"&lt;"&amp;DATE(Einstellungen!$C$3,5,1)))</f>
        <v/>
      </c>
      <c r="G165" s="54">
        <f>IF($B165="","",SUMIFS(Erfassung!$E$6:$E$5005,Erfassung!$B$6:$B$5005,$A165,Erfassung!$A$6:$A$5005,"&gt;="&amp;DATE(Einstellungen!$C$3,5,1),Erfassung!$A$6:$A$5005,"&lt;"&amp;DATE(Einstellungen!$C$3,6,1)))</f>
        <v/>
      </c>
      <c r="H165" s="54">
        <f>IF($B165="","",SUMIFS(Erfassung!$E$6:$E$5005,Erfassung!$B$6:$B$5005,$A165,Erfassung!$A$6:$A$5005,"&gt;="&amp;DATE(Einstellungen!$C$3,6,1),Erfassung!$A$6:$A$5005,"&lt;"&amp;DATE(Einstellungen!$C$3,7,1)))</f>
        <v/>
      </c>
      <c r="I165" s="54">
        <f>IF($B165="","",SUMIFS(Erfassung!$E$6:$E$5005,Erfassung!$B$6:$B$5005,$A165,Erfassung!$A$6:$A$5005,"&gt;="&amp;DATE(Einstellungen!$C$3,7,1),Erfassung!$A$6:$A$5005,"&lt;"&amp;DATE(Einstellungen!$C$3,8,1)))</f>
        <v/>
      </c>
      <c r="J165" s="54">
        <f>IF($B165="","",SUMIFS(Erfassung!$E$6:$E$5005,Erfassung!$B$6:$B$5005,$A165,Erfassung!$A$6:$A$5005,"&gt;="&amp;DATE(Einstellungen!$C$3,8,1),Erfassung!$A$6:$A$5005,"&lt;"&amp;DATE(Einstellungen!$C$3,9,1)))</f>
        <v/>
      </c>
      <c r="K165" s="54">
        <f>IF($B165="","",SUMIFS(Erfassung!$E$6:$E$5005,Erfassung!$B$6:$B$5005,$A165,Erfassung!$A$6:$A$5005,"&gt;="&amp;DATE(Einstellungen!$C$3,9,1),Erfassung!$A$6:$A$5005,"&lt;"&amp;DATE(Einstellungen!$C$3,10,1)))</f>
        <v/>
      </c>
      <c r="L165" s="54">
        <f>IF($B165="","",SUMIFS(Erfassung!$E$6:$E$5005,Erfassung!$B$6:$B$5005,$A165,Erfassung!$A$6:$A$5005,"&gt;="&amp;DATE(Einstellungen!$C$3,10,1),Erfassung!$A$6:$A$5005,"&lt;"&amp;DATE(Einstellungen!$C$3,11,1)))</f>
        <v/>
      </c>
      <c r="M165" s="54">
        <f>IF($B165="","",SUMIFS(Erfassung!$E$6:$E$5005,Erfassung!$B$6:$B$5005,$A165,Erfassung!$A$6:$A$5005,"&gt;="&amp;DATE(Einstellungen!$C$3,11,1),Erfassung!$A$6:$A$5005,"&lt;"&amp;DATE(Einstellungen!$C$3,12,1)))</f>
        <v/>
      </c>
      <c r="N165" s="54">
        <f>IF($B165="","",SUMIFS(Erfassung!$E$6:$E$5005,Erfassung!$B$6:$B$5005,$A165,Erfassung!$A$6:$A$5005,"&gt;="&amp;DATE(Einstellungen!$C$3,12,1),Erfassung!$A$6:$A$5005,"&lt;"&amp;DATE(Einstellungen!$C$3,13,1)))</f>
        <v/>
      </c>
      <c r="O165" s="45">
        <f>IF($B165="","",SUM(C165:N165))</f>
        <v/>
      </c>
      <c r="P165" s="54">
        <f>IF($B165="","",SUMIFS(Erfassung!$G$6:$G$5005,Erfassung!$B$6:$B$5005,$A165,Erfassung!$A$6:$A$5005,"&gt;="&amp;DATE(Einstellungen!$C$3,1,1),Erfassung!$A$6:$A$5005,"&lt;"&amp;DATE(Einstellungen!$C$3,2,1)))</f>
        <v/>
      </c>
      <c r="Q165" s="54">
        <f>IF($B165="","",SUMIFS(Erfassung!$G$6:$G$5005,Erfassung!$B$6:$B$5005,$A165,Erfassung!$A$6:$A$5005,"&gt;="&amp;DATE(Einstellungen!$C$3,2,1),Erfassung!$A$6:$A$5005,"&lt;"&amp;DATE(Einstellungen!$C$3,3,1)))</f>
        <v/>
      </c>
      <c r="R165" s="54">
        <f>IF($B165="","",SUMIFS(Erfassung!$G$6:$G$5005,Erfassung!$B$6:$B$5005,$A165,Erfassung!$A$6:$A$5005,"&gt;="&amp;DATE(Einstellungen!$C$3,3,1),Erfassung!$A$6:$A$5005,"&lt;"&amp;DATE(Einstellungen!$C$3,4,1)))</f>
        <v/>
      </c>
      <c r="S165" s="54">
        <f>IF($B165="","",SUMIFS(Erfassung!$G$6:$G$5005,Erfassung!$B$6:$B$5005,$A165,Erfassung!$A$6:$A$5005,"&gt;="&amp;DATE(Einstellungen!$C$3,4,1),Erfassung!$A$6:$A$5005,"&lt;"&amp;DATE(Einstellungen!$C$3,5,1)))</f>
        <v/>
      </c>
      <c r="T165" s="54">
        <f>IF($B165="","",SUMIFS(Erfassung!$G$6:$G$5005,Erfassung!$B$6:$B$5005,$A165,Erfassung!$A$6:$A$5005,"&gt;="&amp;DATE(Einstellungen!$C$3,5,1),Erfassung!$A$6:$A$5005,"&lt;"&amp;DATE(Einstellungen!$C$3,6,1)))</f>
        <v/>
      </c>
      <c r="U165" s="54">
        <f>IF($B165="","",SUMIFS(Erfassung!$G$6:$G$5005,Erfassung!$B$6:$B$5005,$A165,Erfassung!$A$6:$A$5005,"&gt;="&amp;DATE(Einstellungen!$C$3,6,1),Erfassung!$A$6:$A$5005,"&lt;"&amp;DATE(Einstellungen!$C$3,7,1)))</f>
        <v/>
      </c>
      <c r="V165" s="54">
        <f>IF($B165="","",SUMIFS(Erfassung!$G$6:$G$5005,Erfassung!$B$6:$B$5005,$A165,Erfassung!$A$6:$A$5005,"&gt;="&amp;DATE(Einstellungen!$C$3,7,1),Erfassung!$A$6:$A$5005,"&lt;"&amp;DATE(Einstellungen!$C$3,8,1)))</f>
        <v/>
      </c>
      <c r="W165" s="54">
        <f>IF($B165="","",SUMIFS(Erfassung!$G$6:$G$5005,Erfassung!$B$6:$B$5005,$A165,Erfassung!$A$6:$A$5005,"&gt;="&amp;DATE(Einstellungen!$C$3,8,1),Erfassung!$A$6:$A$5005,"&lt;"&amp;DATE(Einstellungen!$C$3,9,1)))</f>
        <v/>
      </c>
      <c r="X165" s="54">
        <f>IF($B165="","",SUMIFS(Erfassung!$G$6:$G$5005,Erfassung!$B$6:$B$5005,$A165,Erfassung!$A$6:$A$5005,"&gt;="&amp;DATE(Einstellungen!$C$3,9,1),Erfassung!$A$6:$A$5005,"&lt;"&amp;DATE(Einstellungen!$C$3,10,1)))</f>
        <v/>
      </c>
      <c r="Y165" s="54">
        <f>IF($B165="","",SUMIFS(Erfassung!$G$6:$G$5005,Erfassung!$B$6:$B$5005,$A165,Erfassung!$A$6:$A$5005,"&gt;="&amp;DATE(Einstellungen!$C$3,10,1),Erfassung!$A$6:$A$5005,"&lt;"&amp;DATE(Einstellungen!$C$3,11,1)))</f>
        <v/>
      </c>
      <c r="Z165" s="54">
        <f>IF($B165="","",SUMIFS(Erfassung!$G$6:$G$5005,Erfassung!$B$6:$B$5005,$A165,Erfassung!$A$6:$A$5005,"&gt;="&amp;DATE(Einstellungen!$C$3,11,1),Erfassung!$A$6:$A$5005,"&lt;"&amp;DATE(Einstellungen!$C$3,12,1)))</f>
        <v/>
      </c>
      <c r="AA165" s="54">
        <f>IF($B165="","",SUMIFS(Erfassung!$G$6:$G$5005,Erfassung!$B$6:$B$5005,$A165,Erfassung!$A$6:$A$5005,"&gt;="&amp;DATE(Einstellungen!$C$3,12,1),Erfassung!$A$6:$A$5005,"&lt;"&amp;DATE(Einstellungen!$C$3,13,1)))</f>
        <v/>
      </c>
      <c r="AB165" s="45">
        <f>IF($B165="","",SUM(P165:AA165))</f>
        <v/>
      </c>
      <c r="AC165" s="38">
        <f>IF($B165="","",IF(O165+AB165&gt;0,AB165/(O165+AB165),""))</f>
        <v/>
      </c>
    </row>
    <row r="166">
      <c r="A166" s="56">
        <f>'KQuote Mitarbeiter'!A166</f>
        <v/>
      </c>
      <c r="B166" s="57">
        <f>'KQuote Mitarbeiter'!B166</f>
        <v/>
      </c>
      <c r="C166" s="54">
        <f>IF($B166="","",SUMIFS(Erfassung!$E$6:$E$5005,Erfassung!$B$6:$B$5005,$A166,Erfassung!$A$6:$A$5005,"&gt;="&amp;DATE(Einstellungen!$C$3,1,1),Erfassung!$A$6:$A$5005,"&lt;"&amp;DATE(Einstellungen!$C$3,2,1)))</f>
        <v/>
      </c>
      <c r="D166" s="54">
        <f>IF($B166="","",SUMIFS(Erfassung!$E$6:$E$5005,Erfassung!$B$6:$B$5005,$A166,Erfassung!$A$6:$A$5005,"&gt;="&amp;DATE(Einstellungen!$C$3,2,1),Erfassung!$A$6:$A$5005,"&lt;"&amp;DATE(Einstellungen!$C$3,3,1)))</f>
        <v/>
      </c>
      <c r="E166" s="54">
        <f>IF($B166="","",SUMIFS(Erfassung!$E$6:$E$5005,Erfassung!$B$6:$B$5005,$A166,Erfassung!$A$6:$A$5005,"&gt;="&amp;DATE(Einstellungen!$C$3,3,1),Erfassung!$A$6:$A$5005,"&lt;"&amp;DATE(Einstellungen!$C$3,4,1)))</f>
        <v/>
      </c>
      <c r="F166" s="54">
        <f>IF($B166="","",SUMIFS(Erfassung!$E$6:$E$5005,Erfassung!$B$6:$B$5005,$A166,Erfassung!$A$6:$A$5005,"&gt;="&amp;DATE(Einstellungen!$C$3,4,1),Erfassung!$A$6:$A$5005,"&lt;"&amp;DATE(Einstellungen!$C$3,5,1)))</f>
        <v/>
      </c>
      <c r="G166" s="54">
        <f>IF($B166="","",SUMIFS(Erfassung!$E$6:$E$5005,Erfassung!$B$6:$B$5005,$A166,Erfassung!$A$6:$A$5005,"&gt;="&amp;DATE(Einstellungen!$C$3,5,1),Erfassung!$A$6:$A$5005,"&lt;"&amp;DATE(Einstellungen!$C$3,6,1)))</f>
        <v/>
      </c>
      <c r="H166" s="54">
        <f>IF($B166="","",SUMIFS(Erfassung!$E$6:$E$5005,Erfassung!$B$6:$B$5005,$A166,Erfassung!$A$6:$A$5005,"&gt;="&amp;DATE(Einstellungen!$C$3,6,1),Erfassung!$A$6:$A$5005,"&lt;"&amp;DATE(Einstellungen!$C$3,7,1)))</f>
        <v/>
      </c>
      <c r="I166" s="54">
        <f>IF($B166="","",SUMIFS(Erfassung!$E$6:$E$5005,Erfassung!$B$6:$B$5005,$A166,Erfassung!$A$6:$A$5005,"&gt;="&amp;DATE(Einstellungen!$C$3,7,1),Erfassung!$A$6:$A$5005,"&lt;"&amp;DATE(Einstellungen!$C$3,8,1)))</f>
        <v/>
      </c>
      <c r="J166" s="54">
        <f>IF($B166="","",SUMIFS(Erfassung!$E$6:$E$5005,Erfassung!$B$6:$B$5005,$A166,Erfassung!$A$6:$A$5005,"&gt;="&amp;DATE(Einstellungen!$C$3,8,1),Erfassung!$A$6:$A$5005,"&lt;"&amp;DATE(Einstellungen!$C$3,9,1)))</f>
        <v/>
      </c>
      <c r="K166" s="54">
        <f>IF($B166="","",SUMIFS(Erfassung!$E$6:$E$5005,Erfassung!$B$6:$B$5005,$A166,Erfassung!$A$6:$A$5005,"&gt;="&amp;DATE(Einstellungen!$C$3,9,1),Erfassung!$A$6:$A$5005,"&lt;"&amp;DATE(Einstellungen!$C$3,10,1)))</f>
        <v/>
      </c>
      <c r="L166" s="54">
        <f>IF($B166="","",SUMIFS(Erfassung!$E$6:$E$5005,Erfassung!$B$6:$B$5005,$A166,Erfassung!$A$6:$A$5005,"&gt;="&amp;DATE(Einstellungen!$C$3,10,1),Erfassung!$A$6:$A$5005,"&lt;"&amp;DATE(Einstellungen!$C$3,11,1)))</f>
        <v/>
      </c>
      <c r="M166" s="54">
        <f>IF($B166="","",SUMIFS(Erfassung!$E$6:$E$5005,Erfassung!$B$6:$B$5005,$A166,Erfassung!$A$6:$A$5005,"&gt;="&amp;DATE(Einstellungen!$C$3,11,1),Erfassung!$A$6:$A$5005,"&lt;"&amp;DATE(Einstellungen!$C$3,12,1)))</f>
        <v/>
      </c>
      <c r="N166" s="54">
        <f>IF($B166="","",SUMIFS(Erfassung!$E$6:$E$5005,Erfassung!$B$6:$B$5005,$A166,Erfassung!$A$6:$A$5005,"&gt;="&amp;DATE(Einstellungen!$C$3,12,1),Erfassung!$A$6:$A$5005,"&lt;"&amp;DATE(Einstellungen!$C$3,13,1)))</f>
        <v/>
      </c>
      <c r="O166" s="45">
        <f>IF($B166="","",SUM(C166:N166))</f>
        <v/>
      </c>
      <c r="P166" s="54">
        <f>IF($B166="","",SUMIFS(Erfassung!$G$6:$G$5005,Erfassung!$B$6:$B$5005,$A166,Erfassung!$A$6:$A$5005,"&gt;="&amp;DATE(Einstellungen!$C$3,1,1),Erfassung!$A$6:$A$5005,"&lt;"&amp;DATE(Einstellungen!$C$3,2,1)))</f>
        <v/>
      </c>
      <c r="Q166" s="54">
        <f>IF($B166="","",SUMIFS(Erfassung!$G$6:$G$5005,Erfassung!$B$6:$B$5005,$A166,Erfassung!$A$6:$A$5005,"&gt;="&amp;DATE(Einstellungen!$C$3,2,1),Erfassung!$A$6:$A$5005,"&lt;"&amp;DATE(Einstellungen!$C$3,3,1)))</f>
        <v/>
      </c>
      <c r="R166" s="54">
        <f>IF($B166="","",SUMIFS(Erfassung!$G$6:$G$5005,Erfassung!$B$6:$B$5005,$A166,Erfassung!$A$6:$A$5005,"&gt;="&amp;DATE(Einstellungen!$C$3,3,1),Erfassung!$A$6:$A$5005,"&lt;"&amp;DATE(Einstellungen!$C$3,4,1)))</f>
        <v/>
      </c>
      <c r="S166" s="54">
        <f>IF($B166="","",SUMIFS(Erfassung!$G$6:$G$5005,Erfassung!$B$6:$B$5005,$A166,Erfassung!$A$6:$A$5005,"&gt;="&amp;DATE(Einstellungen!$C$3,4,1),Erfassung!$A$6:$A$5005,"&lt;"&amp;DATE(Einstellungen!$C$3,5,1)))</f>
        <v/>
      </c>
      <c r="T166" s="54">
        <f>IF($B166="","",SUMIFS(Erfassung!$G$6:$G$5005,Erfassung!$B$6:$B$5005,$A166,Erfassung!$A$6:$A$5005,"&gt;="&amp;DATE(Einstellungen!$C$3,5,1),Erfassung!$A$6:$A$5005,"&lt;"&amp;DATE(Einstellungen!$C$3,6,1)))</f>
        <v/>
      </c>
      <c r="U166" s="54">
        <f>IF($B166="","",SUMIFS(Erfassung!$G$6:$G$5005,Erfassung!$B$6:$B$5005,$A166,Erfassung!$A$6:$A$5005,"&gt;="&amp;DATE(Einstellungen!$C$3,6,1),Erfassung!$A$6:$A$5005,"&lt;"&amp;DATE(Einstellungen!$C$3,7,1)))</f>
        <v/>
      </c>
      <c r="V166" s="54">
        <f>IF($B166="","",SUMIFS(Erfassung!$G$6:$G$5005,Erfassung!$B$6:$B$5005,$A166,Erfassung!$A$6:$A$5005,"&gt;="&amp;DATE(Einstellungen!$C$3,7,1),Erfassung!$A$6:$A$5005,"&lt;"&amp;DATE(Einstellungen!$C$3,8,1)))</f>
        <v/>
      </c>
      <c r="W166" s="54">
        <f>IF($B166="","",SUMIFS(Erfassung!$G$6:$G$5005,Erfassung!$B$6:$B$5005,$A166,Erfassung!$A$6:$A$5005,"&gt;="&amp;DATE(Einstellungen!$C$3,8,1),Erfassung!$A$6:$A$5005,"&lt;"&amp;DATE(Einstellungen!$C$3,9,1)))</f>
        <v/>
      </c>
      <c r="X166" s="54">
        <f>IF($B166="","",SUMIFS(Erfassung!$G$6:$G$5005,Erfassung!$B$6:$B$5005,$A166,Erfassung!$A$6:$A$5005,"&gt;="&amp;DATE(Einstellungen!$C$3,9,1),Erfassung!$A$6:$A$5005,"&lt;"&amp;DATE(Einstellungen!$C$3,10,1)))</f>
        <v/>
      </c>
      <c r="Y166" s="54">
        <f>IF($B166="","",SUMIFS(Erfassung!$G$6:$G$5005,Erfassung!$B$6:$B$5005,$A166,Erfassung!$A$6:$A$5005,"&gt;="&amp;DATE(Einstellungen!$C$3,10,1),Erfassung!$A$6:$A$5005,"&lt;"&amp;DATE(Einstellungen!$C$3,11,1)))</f>
        <v/>
      </c>
      <c r="Z166" s="54">
        <f>IF($B166="","",SUMIFS(Erfassung!$G$6:$G$5005,Erfassung!$B$6:$B$5005,$A166,Erfassung!$A$6:$A$5005,"&gt;="&amp;DATE(Einstellungen!$C$3,11,1),Erfassung!$A$6:$A$5005,"&lt;"&amp;DATE(Einstellungen!$C$3,12,1)))</f>
        <v/>
      </c>
      <c r="AA166" s="54">
        <f>IF($B166="","",SUMIFS(Erfassung!$G$6:$G$5005,Erfassung!$B$6:$B$5005,$A166,Erfassung!$A$6:$A$5005,"&gt;="&amp;DATE(Einstellungen!$C$3,12,1),Erfassung!$A$6:$A$5005,"&lt;"&amp;DATE(Einstellungen!$C$3,13,1)))</f>
        <v/>
      </c>
      <c r="AB166" s="45">
        <f>IF($B166="","",SUM(P166:AA166))</f>
        <v/>
      </c>
      <c r="AC166" s="38">
        <f>IF($B166="","",IF(O166+AB166&gt;0,AB166/(O166+AB166),""))</f>
        <v/>
      </c>
    </row>
    <row r="167">
      <c r="A167" s="56">
        <f>'KQuote Mitarbeiter'!A167</f>
        <v/>
      </c>
      <c r="B167" s="57">
        <f>'KQuote Mitarbeiter'!B167</f>
        <v/>
      </c>
      <c r="C167" s="54">
        <f>IF($B167="","",SUMIFS(Erfassung!$E$6:$E$5005,Erfassung!$B$6:$B$5005,$A167,Erfassung!$A$6:$A$5005,"&gt;="&amp;DATE(Einstellungen!$C$3,1,1),Erfassung!$A$6:$A$5005,"&lt;"&amp;DATE(Einstellungen!$C$3,2,1)))</f>
        <v/>
      </c>
      <c r="D167" s="54">
        <f>IF($B167="","",SUMIFS(Erfassung!$E$6:$E$5005,Erfassung!$B$6:$B$5005,$A167,Erfassung!$A$6:$A$5005,"&gt;="&amp;DATE(Einstellungen!$C$3,2,1),Erfassung!$A$6:$A$5005,"&lt;"&amp;DATE(Einstellungen!$C$3,3,1)))</f>
        <v/>
      </c>
      <c r="E167" s="54">
        <f>IF($B167="","",SUMIFS(Erfassung!$E$6:$E$5005,Erfassung!$B$6:$B$5005,$A167,Erfassung!$A$6:$A$5005,"&gt;="&amp;DATE(Einstellungen!$C$3,3,1),Erfassung!$A$6:$A$5005,"&lt;"&amp;DATE(Einstellungen!$C$3,4,1)))</f>
        <v/>
      </c>
      <c r="F167" s="54">
        <f>IF($B167="","",SUMIFS(Erfassung!$E$6:$E$5005,Erfassung!$B$6:$B$5005,$A167,Erfassung!$A$6:$A$5005,"&gt;="&amp;DATE(Einstellungen!$C$3,4,1),Erfassung!$A$6:$A$5005,"&lt;"&amp;DATE(Einstellungen!$C$3,5,1)))</f>
        <v/>
      </c>
      <c r="G167" s="54">
        <f>IF($B167="","",SUMIFS(Erfassung!$E$6:$E$5005,Erfassung!$B$6:$B$5005,$A167,Erfassung!$A$6:$A$5005,"&gt;="&amp;DATE(Einstellungen!$C$3,5,1),Erfassung!$A$6:$A$5005,"&lt;"&amp;DATE(Einstellungen!$C$3,6,1)))</f>
        <v/>
      </c>
      <c r="H167" s="54">
        <f>IF($B167="","",SUMIFS(Erfassung!$E$6:$E$5005,Erfassung!$B$6:$B$5005,$A167,Erfassung!$A$6:$A$5005,"&gt;="&amp;DATE(Einstellungen!$C$3,6,1),Erfassung!$A$6:$A$5005,"&lt;"&amp;DATE(Einstellungen!$C$3,7,1)))</f>
        <v/>
      </c>
      <c r="I167" s="54">
        <f>IF($B167="","",SUMIFS(Erfassung!$E$6:$E$5005,Erfassung!$B$6:$B$5005,$A167,Erfassung!$A$6:$A$5005,"&gt;="&amp;DATE(Einstellungen!$C$3,7,1),Erfassung!$A$6:$A$5005,"&lt;"&amp;DATE(Einstellungen!$C$3,8,1)))</f>
        <v/>
      </c>
      <c r="J167" s="54">
        <f>IF($B167="","",SUMIFS(Erfassung!$E$6:$E$5005,Erfassung!$B$6:$B$5005,$A167,Erfassung!$A$6:$A$5005,"&gt;="&amp;DATE(Einstellungen!$C$3,8,1),Erfassung!$A$6:$A$5005,"&lt;"&amp;DATE(Einstellungen!$C$3,9,1)))</f>
        <v/>
      </c>
      <c r="K167" s="54">
        <f>IF($B167="","",SUMIFS(Erfassung!$E$6:$E$5005,Erfassung!$B$6:$B$5005,$A167,Erfassung!$A$6:$A$5005,"&gt;="&amp;DATE(Einstellungen!$C$3,9,1),Erfassung!$A$6:$A$5005,"&lt;"&amp;DATE(Einstellungen!$C$3,10,1)))</f>
        <v/>
      </c>
      <c r="L167" s="54">
        <f>IF($B167="","",SUMIFS(Erfassung!$E$6:$E$5005,Erfassung!$B$6:$B$5005,$A167,Erfassung!$A$6:$A$5005,"&gt;="&amp;DATE(Einstellungen!$C$3,10,1),Erfassung!$A$6:$A$5005,"&lt;"&amp;DATE(Einstellungen!$C$3,11,1)))</f>
        <v/>
      </c>
      <c r="M167" s="54">
        <f>IF($B167="","",SUMIFS(Erfassung!$E$6:$E$5005,Erfassung!$B$6:$B$5005,$A167,Erfassung!$A$6:$A$5005,"&gt;="&amp;DATE(Einstellungen!$C$3,11,1),Erfassung!$A$6:$A$5005,"&lt;"&amp;DATE(Einstellungen!$C$3,12,1)))</f>
        <v/>
      </c>
      <c r="N167" s="54">
        <f>IF($B167="","",SUMIFS(Erfassung!$E$6:$E$5005,Erfassung!$B$6:$B$5005,$A167,Erfassung!$A$6:$A$5005,"&gt;="&amp;DATE(Einstellungen!$C$3,12,1),Erfassung!$A$6:$A$5005,"&lt;"&amp;DATE(Einstellungen!$C$3,13,1)))</f>
        <v/>
      </c>
      <c r="O167" s="45">
        <f>IF($B167="","",SUM(C167:N167))</f>
        <v/>
      </c>
      <c r="P167" s="54">
        <f>IF($B167="","",SUMIFS(Erfassung!$G$6:$G$5005,Erfassung!$B$6:$B$5005,$A167,Erfassung!$A$6:$A$5005,"&gt;="&amp;DATE(Einstellungen!$C$3,1,1),Erfassung!$A$6:$A$5005,"&lt;"&amp;DATE(Einstellungen!$C$3,2,1)))</f>
        <v/>
      </c>
      <c r="Q167" s="54">
        <f>IF($B167="","",SUMIFS(Erfassung!$G$6:$G$5005,Erfassung!$B$6:$B$5005,$A167,Erfassung!$A$6:$A$5005,"&gt;="&amp;DATE(Einstellungen!$C$3,2,1),Erfassung!$A$6:$A$5005,"&lt;"&amp;DATE(Einstellungen!$C$3,3,1)))</f>
        <v/>
      </c>
      <c r="R167" s="54">
        <f>IF($B167="","",SUMIFS(Erfassung!$G$6:$G$5005,Erfassung!$B$6:$B$5005,$A167,Erfassung!$A$6:$A$5005,"&gt;="&amp;DATE(Einstellungen!$C$3,3,1),Erfassung!$A$6:$A$5005,"&lt;"&amp;DATE(Einstellungen!$C$3,4,1)))</f>
        <v/>
      </c>
      <c r="S167" s="54">
        <f>IF($B167="","",SUMIFS(Erfassung!$G$6:$G$5005,Erfassung!$B$6:$B$5005,$A167,Erfassung!$A$6:$A$5005,"&gt;="&amp;DATE(Einstellungen!$C$3,4,1),Erfassung!$A$6:$A$5005,"&lt;"&amp;DATE(Einstellungen!$C$3,5,1)))</f>
        <v/>
      </c>
      <c r="T167" s="54">
        <f>IF($B167="","",SUMIFS(Erfassung!$G$6:$G$5005,Erfassung!$B$6:$B$5005,$A167,Erfassung!$A$6:$A$5005,"&gt;="&amp;DATE(Einstellungen!$C$3,5,1),Erfassung!$A$6:$A$5005,"&lt;"&amp;DATE(Einstellungen!$C$3,6,1)))</f>
        <v/>
      </c>
      <c r="U167" s="54">
        <f>IF($B167="","",SUMIFS(Erfassung!$G$6:$G$5005,Erfassung!$B$6:$B$5005,$A167,Erfassung!$A$6:$A$5005,"&gt;="&amp;DATE(Einstellungen!$C$3,6,1),Erfassung!$A$6:$A$5005,"&lt;"&amp;DATE(Einstellungen!$C$3,7,1)))</f>
        <v/>
      </c>
      <c r="V167" s="54">
        <f>IF($B167="","",SUMIFS(Erfassung!$G$6:$G$5005,Erfassung!$B$6:$B$5005,$A167,Erfassung!$A$6:$A$5005,"&gt;="&amp;DATE(Einstellungen!$C$3,7,1),Erfassung!$A$6:$A$5005,"&lt;"&amp;DATE(Einstellungen!$C$3,8,1)))</f>
        <v/>
      </c>
      <c r="W167" s="54">
        <f>IF($B167="","",SUMIFS(Erfassung!$G$6:$G$5005,Erfassung!$B$6:$B$5005,$A167,Erfassung!$A$6:$A$5005,"&gt;="&amp;DATE(Einstellungen!$C$3,8,1),Erfassung!$A$6:$A$5005,"&lt;"&amp;DATE(Einstellungen!$C$3,9,1)))</f>
        <v/>
      </c>
      <c r="X167" s="54">
        <f>IF($B167="","",SUMIFS(Erfassung!$G$6:$G$5005,Erfassung!$B$6:$B$5005,$A167,Erfassung!$A$6:$A$5005,"&gt;="&amp;DATE(Einstellungen!$C$3,9,1),Erfassung!$A$6:$A$5005,"&lt;"&amp;DATE(Einstellungen!$C$3,10,1)))</f>
        <v/>
      </c>
      <c r="Y167" s="54">
        <f>IF($B167="","",SUMIFS(Erfassung!$G$6:$G$5005,Erfassung!$B$6:$B$5005,$A167,Erfassung!$A$6:$A$5005,"&gt;="&amp;DATE(Einstellungen!$C$3,10,1),Erfassung!$A$6:$A$5005,"&lt;"&amp;DATE(Einstellungen!$C$3,11,1)))</f>
        <v/>
      </c>
      <c r="Z167" s="54">
        <f>IF($B167="","",SUMIFS(Erfassung!$G$6:$G$5005,Erfassung!$B$6:$B$5005,$A167,Erfassung!$A$6:$A$5005,"&gt;="&amp;DATE(Einstellungen!$C$3,11,1),Erfassung!$A$6:$A$5005,"&lt;"&amp;DATE(Einstellungen!$C$3,12,1)))</f>
        <v/>
      </c>
      <c r="AA167" s="54">
        <f>IF($B167="","",SUMIFS(Erfassung!$G$6:$G$5005,Erfassung!$B$6:$B$5005,$A167,Erfassung!$A$6:$A$5005,"&gt;="&amp;DATE(Einstellungen!$C$3,12,1),Erfassung!$A$6:$A$5005,"&lt;"&amp;DATE(Einstellungen!$C$3,13,1)))</f>
        <v/>
      </c>
      <c r="AB167" s="45">
        <f>IF($B167="","",SUM(P167:AA167))</f>
        <v/>
      </c>
      <c r="AC167" s="38">
        <f>IF($B167="","",IF(O167+AB167&gt;0,AB167/(O167+AB167),""))</f>
        <v/>
      </c>
    </row>
    <row r="168">
      <c r="A168" s="56">
        <f>'KQuote Mitarbeiter'!A168</f>
        <v/>
      </c>
      <c r="B168" s="57">
        <f>'KQuote Mitarbeiter'!B168</f>
        <v/>
      </c>
      <c r="C168" s="54">
        <f>IF($B168="","",SUMIFS(Erfassung!$E$6:$E$5005,Erfassung!$B$6:$B$5005,$A168,Erfassung!$A$6:$A$5005,"&gt;="&amp;DATE(Einstellungen!$C$3,1,1),Erfassung!$A$6:$A$5005,"&lt;"&amp;DATE(Einstellungen!$C$3,2,1)))</f>
        <v/>
      </c>
      <c r="D168" s="54">
        <f>IF($B168="","",SUMIFS(Erfassung!$E$6:$E$5005,Erfassung!$B$6:$B$5005,$A168,Erfassung!$A$6:$A$5005,"&gt;="&amp;DATE(Einstellungen!$C$3,2,1),Erfassung!$A$6:$A$5005,"&lt;"&amp;DATE(Einstellungen!$C$3,3,1)))</f>
        <v/>
      </c>
      <c r="E168" s="54">
        <f>IF($B168="","",SUMIFS(Erfassung!$E$6:$E$5005,Erfassung!$B$6:$B$5005,$A168,Erfassung!$A$6:$A$5005,"&gt;="&amp;DATE(Einstellungen!$C$3,3,1),Erfassung!$A$6:$A$5005,"&lt;"&amp;DATE(Einstellungen!$C$3,4,1)))</f>
        <v/>
      </c>
      <c r="F168" s="54">
        <f>IF($B168="","",SUMIFS(Erfassung!$E$6:$E$5005,Erfassung!$B$6:$B$5005,$A168,Erfassung!$A$6:$A$5005,"&gt;="&amp;DATE(Einstellungen!$C$3,4,1),Erfassung!$A$6:$A$5005,"&lt;"&amp;DATE(Einstellungen!$C$3,5,1)))</f>
        <v/>
      </c>
      <c r="G168" s="54">
        <f>IF($B168="","",SUMIFS(Erfassung!$E$6:$E$5005,Erfassung!$B$6:$B$5005,$A168,Erfassung!$A$6:$A$5005,"&gt;="&amp;DATE(Einstellungen!$C$3,5,1),Erfassung!$A$6:$A$5005,"&lt;"&amp;DATE(Einstellungen!$C$3,6,1)))</f>
        <v/>
      </c>
      <c r="H168" s="54">
        <f>IF($B168="","",SUMIFS(Erfassung!$E$6:$E$5005,Erfassung!$B$6:$B$5005,$A168,Erfassung!$A$6:$A$5005,"&gt;="&amp;DATE(Einstellungen!$C$3,6,1),Erfassung!$A$6:$A$5005,"&lt;"&amp;DATE(Einstellungen!$C$3,7,1)))</f>
        <v/>
      </c>
      <c r="I168" s="54">
        <f>IF($B168="","",SUMIFS(Erfassung!$E$6:$E$5005,Erfassung!$B$6:$B$5005,$A168,Erfassung!$A$6:$A$5005,"&gt;="&amp;DATE(Einstellungen!$C$3,7,1),Erfassung!$A$6:$A$5005,"&lt;"&amp;DATE(Einstellungen!$C$3,8,1)))</f>
        <v/>
      </c>
      <c r="J168" s="54">
        <f>IF($B168="","",SUMIFS(Erfassung!$E$6:$E$5005,Erfassung!$B$6:$B$5005,$A168,Erfassung!$A$6:$A$5005,"&gt;="&amp;DATE(Einstellungen!$C$3,8,1),Erfassung!$A$6:$A$5005,"&lt;"&amp;DATE(Einstellungen!$C$3,9,1)))</f>
        <v/>
      </c>
      <c r="K168" s="54">
        <f>IF($B168="","",SUMIFS(Erfassung!$E$6:$E$5005,Erfassung!$B$6:$B$5005,$A168,Erfassung!$A$6:$A$5005,"&gt;="&amp;DATE(Einstellungen!$C$3,9,1),Erfassung!$A$6:$A$5005,"&lt;"&amp;DATE(Einstellungen!$C$3,10,1)))</f>
        <v/>
      </c>
      <c r="L168" s="54">
        <f>IF($B168="","",SUMIFS(Erfassung!$E$6:$E$5005,Erfassung!$B$6:$B$5005,$A168,Erfassung!$A$6:$A$5005,"&gt;="&amp;DATE(Einstellungen!$C$3,10,1),Erfassung!$A$6:$A$5005,"&lt;"&amp;DATE(Einstellungen!$C$3,11,1)))</f>
        <v/>
      </c>
      <c r="M168" s="54">
        <f>IF($B168="","",SUMIFS(Erfassung!$E$6:$E$5005,Erfassung!$B$6:$B$5005,$A168,Erfassung!$A$6:$A$5005,"&gt;="&amp;DATE(Einstellungen!$C$3,11,1),Erfassung!$A$6:$A$5005,"&lt;"&amp;DATE(Einstellungen!$C$3,12,1)))</f>
        <v/>
      </c>
      <c r="N168" s="54">
        <f>IF($B168="","",SUMIFS(Erfassung!$E$6:$E$5005,Erfassung!$B$6:$B$5005,$A168,Erfassung!$A$6:$A$5005,"&gt;="&amp;DATE(Einstellungen!$C$3,12,1),Erfassung!$A$6:$A$5005,"&lt;"&amp;DATE(Einstellungen!$C$3,13,1)))</f>
        <v/>
      </c>
      <c r="O168" s="45">
        <f>IF($B168="","",SUM(C168:N168))</f>
        <v/>
      </c>
      <c r="P168" s="54">
        <f>IF($B168="","",SUMIFS(Erfassung!$G$6:$G$5005,Erfassung!$B$6:$B$5005,$A168,Erfassung!$A$6:$A$5005,"&gt;="&amp;DATE(Einstellungen!$C$3,1,1),Erfassung!$A$6:$A$5005,"&lt;"&amp;DATE(Einstellungen!$C$3,2,1)))</f>
        <v/>
      </c>
      <c r="Q168" s="54">
        <f>IF($B168="","",SUMIFS(Erfassung!$G$6:$G$5005,Erfassung!$B$6:$B$5005,$A168,Erfassung!$A$6:$A$5005,"&gt;="&amp;DATE(Einstellungen!$C$3,2,1),Erfassung!$A$6:$A$5005,"&lt;"&amp;DATE(Einstellungen!$C$3,3,1)))</f>
        <v/>
      </c>
      <c r="R168" s="54">
        <f>IF($B168="","",SUMIFS(Erfassung!$G$6:$G$5005,Erfassung!$B$6:$B$5005,$A168,Erfassung!$A$6:$A$5005,"&gt;="&amp;DATE(Einstellungen!$C$3,3,1),Erfassung!$A$6:$A$5005,"&lt;"&amp;DATE(Einstellungen!$C$3,4,1)))</f>
        <v/>
      </c>
      <c r="S168" s="54">
        <f>IF($B168="","",SUMIFS(Erfassung!$G$6:$G$5005,Erfassung!$B$6:$B$5005,$A168,Erfassung!$A$6:$A$5005,"&gt;="&amp;DATE(Einstellungen!$C$3,4,1),Erfassung!$A$6:$A$5005,"&lt;"&amp;DATE(Einstellungen!$C$3,5,1)))</f>
        <v/>
      </c>
      <c r="T168" s="54">
        <f>IF($B168="","",SUMIFS(Erfassung!$G$6:$G$5005,Erfassung!$B$6:$B$5005,$A168,Erfassung!$A$6:$A$5005,"&gt;="&amp;DATE(Einstellungen!$C$3,5,1),Erfassung!$A$6:$A$5005,"&lt;"&amp;DATE(Einstellungen!$C$3,6,1)))</f>
        <v/>
      </c>
      <c r="U168" s="54">
        <f>IF($B168="","",SUMIFS(Erfassung!$G$6:$G$5005,Erfassung!$B$6:$B$5005,$A168,Erfassung!$A$6:$A$5005,"&gt;="&amp;DATE(Einstellungen!$C$3,6,1),Erfassung!$A$6:$A$5005,"&lt;"&amp;DATE(Einstellungen!$C$3,7,1)))</f>
        <v/>
      </c>
      <c r="V168" s="54">
        <f>IF($B168="","",SUMIFS(Erfassung!$G$6:$G$5005,Erfassung!$B$6:$B$5005,$A168,Erfassung!$A$6:$A$5005,"&gt;="&amp;DATE(Einstellungen!$C$3,7,1),Erfassung!$A$6:$A$5005,"&lt;"&amp;DATE(Einstellungen!$C$3,8,1)))</f>
        <v/>
      </c>
      <c r="W168" s="54">
        <f>IF($B168="","",SUMIFS(Erfassung!$G$6:$G$5005,Erfassung!$B$6:$B$5005,$A168,Erfassung!$A$6:$A$5005,"&gt;="&amp;DATE(Einstellungen!$C$3,8,1),Erfassung!$A$6:$A$5005,"&lt;"&amp;DATE(Einstellungen!$C$3,9,1)))</f>
        <v/>
      </c>
      <c r="X168" s="54">
        <f>IF($B168="","",SUMIFS(Erfassung!$G$6:$G$5005,Erfassung!$B$6:$B$5005,$A168,Erfassung!$A$6:$A$5005,"&gt;="&amp;DATE(Einstellungen!$C$3,9,1),Erfassung!$A$6:$A$5005,"&lt;"&amp;DATE(Einstellungen!$C$3,10,1)))</f>
        <v/>
      </c>
      <c r="Y168" s="54">
        <f>IF($B168="","",SUMIFS(Erfassung!$G$6:$G$5005,Erfassung!$B$6:$B$5005,$A168,Erfassung!$A$6:$A$5005,"&gt;="&amp;DATE(Einstellungen!$C$3,10,1),Erfassung!$A$6:$A$5005,"&lt;"&amp;DATE(Einstellungen!$C$3,11,1)))</f>
        <v/>
      </c>
      <c r="Z168" s="54">
        <f>IF($B168="","",SUMIFS(Erfassung!$G$6:$G$5005,Erfassung!$B$6:$B$5005,$A168,Erfassung!$A$6:$A$5005,"&gt;="&amp;DATE(Einstellungen!$C$3,11,1),Erfassung!$A$6:$A$5005,"&lt;"&amp;DATE(Einstellungen!$C$3,12,1)))</f>
        <v/>
      </c>
      <c r="AA168" s="54">
        <f>IF($B168="","",SUMIFS(Erfassung!$G$6:$G$5005,Erfassung!$B$6:$B$5005,$A168,Erfassung!$A$6:$A$5005,"&gt;="&amp;DATE(Einstellungen!$C$3,12,1),Erfassung!$A$6:$A$5005,"&lt;"&amp;DATE(Einstellungen!$C$3,13,1)))</f>
        <v/>
      </c>
      <c r="AB168" s="45">
        <f>IF($B168="","",SUM(P168:AA168))</f>
        <v/>
      </c>
      <c r="AC168" s="38">
        <f>IF($B168="","",IF(O168+AB168&gt;0,AB168/(O168+AB168),""))</f>
        <v/>
      </c>
    </row>
    <row r="169">
      <c r="A169" s="56">
        <f>'KQuote Mitarbeiter'!A169</f>
        <v/>
      </c>
      <c r="B169" s="57">
        <f>'KQuote Mitarbeiter'!B169</f>
        <v/>
      </c>
      <c r="C169" s="54">
        <f>IF($B169="","",SUMIFS(Erfassung!$E$6:$E$5005,Erfassung!$B$6:$B$5005,$A169,Erfassung!$A$6:$A$5005,"&gt;="&amp;DATE(Einstellungen!$C$3,1,1),Erfassung!$A$6:$A$5005,"&lt;"&amp;DATE(Einstellungen!$C$3,2,1)))</f>
        <v/>
      </c>
      <c r="D169" s="54">
        <f>IF($B169="","",SUMIFS(Erfassung!$E$6:$E$5005,Erfassung!$B$6:$B$5005,$A169,Erfassung!$A$6:$A$5005,"&gt;="&amp;DATE(Einstellungen!$C$3,2,1),Erfassung!$A$6:$A$5005,"&lt;"&amp;DATE(Einstellungen!$C$3,3,1)))</f>
        <v/>
      </c>
      <c r="E169" s="54">
        <f>IF($B169="","",SUMIFS(Erfassung!$E$6:$E$5005,Erfassung!$B$6:$B$5005,$A169,Erfassung!$A$6:$A$5005,"&gt;="&amp;DATE(Einstellungen!$C$3,3,1),Erfassung!$A$6:$A$5005,"&lt;"&amp;DATE(Einstellungen!$C$3,4,1)))</f>
        <v/>
      </c>
      <c r="F169" s="54">
        <f>IF($B169="","",SUMIFS(Erfassung!$E$6:$E$5005,Erfassung!$B$6:$B$5005,$A169,Erfassung!$A$6:$A$5005,"&gt;="&amp;DATE(Einstellungen!$C$3,4,1),Erfassung!$A$6:$A$5005,"&lt;"&amp;DATE(Einstellungen!$C$3,5,1)))</f>
        <v/>
      </c>
      <c r="G169" s="54">
        <f>IF($B169="","",SUMIFS(Erfassung!$E$6:$E$5005,Erfassung!$B$6:$B$5005,$A169,Erfassung!$A$6:$A$5005,"&gt;="&amp;DATE(Einstellungen!$C$3,5,1),Erfassung!$A$6:$A$5005,"&lt;"&amp;DATE(Einstellungen!$C$3,6,1)))</f>
        <v/>
      </c>
      <c r="H169" s="54">
        <f>IF($B169="","",SUMIFS(Erfassung!$E$6:$E$5005,Erfassung!$B$6:$B$5005,$A169,Erfassung!$A$6:$A$5005,"&gt;="&amp;DATE(Einstellungen!$C$3,6,1),Erfassung!$A$6:$A$5005,"&lt;"&amp;DATE(Einstellungen!$C$3,7,1)))</f>
        <v/>
      </c>
      <c r="I169" s="54">
        <f>IF($B169="","",SUMIFS(Erfassung!$E$6:$E$5005,Erfassung!$B$6:$B$5005,$A169,Erfassung!$A$6:$A$5005,"&gt;="&amp;DATE(Einstellungen!$C$3,7,1),Erfassung!$A$6:$A$5005,"&lt;"&amp;DATE(Einstellungen!$C$3,8,1)))</f>
        <v/>
      </c>
      <c r="J169" s="54">
        <f>IF($B169="","",SUMIFS(Erfassung!$E$6:$E$5005,Erfassung!$B$6:$B$5005,$A169,Erfassung!$A$6:$A$5005,"&gt;="&amp;DATE(Einstellungen!$C$3,8,1),Erfassung!$A$6:$A$5005,"&lt;"&amp;DATE(Einstellungen!$C$3,9,1)))</f>
        <v/>
      </c>
      <c r="K169" s="54">
        <f>IF($B169="","",SUMIFS(Erfassung!$E$6:$E$5005,Erfassung!$B$6:$B$5005,$A169,Erfassung!$A$6:$A$5005,"&gt;="&amp;DATE(Einstellungen!$C$3,9,1),Erfassung!$A$6:$A$5005,"&lt;"&amp;DATE(Einstellungen!$C$3,10,1)))</f>
        <v/>
      </c>
      <c r="L169" s="54">
        <f>IF($B169="","",SUMIFS(Erfassung!$E$6:$E$5005,Erfassung!$B$6:$B$5005,$A169,Erfassung!$A$6:$A$5005,"&gt;="&amp;DATE(Einstellungen!$C$3,10,1),Erfassung!$A$6:$A$5005,"&lt;"&amp;DATE(Einstellungen!$C$3,11,1)))</f>
        <v/>
      </c>
      <c r="M169" s="54">
        <f>IF($B169="","",SUMIFS(Erfassung!$E$6:$E$5005,Erfassung!$B$6:$B$5005,$A169,Erfassung!$A$6:$A$5005,"&gt;="&amp;DATE(Einstellungen!$C$3,11,1),Erfassung!$A$6:$A$5005,"&lt;"&amp;DATE(Einstellungen!$C$3,12,1)))</f>
        <v/>
      </c>
      <c r="N169" s="54">
        <f>IF($B169="","",SUMIFS(Erfassung!$E$6:$E$5005,Erfassung!$B$6:$B$5005,$A169,Erfassung!$A$6:$A$5005,"&gt;="&amp;DATE(Einstellungen!$C$3,12,1),Erfassung!$A$6:$A$5005,"&lt;"&amp;DATE(Einstellungen!$C$3,13,1)))</f>
        <v/>
      </c>
      <c r="O169" s="45">
        <f>IF($B169="","",SUM(C169:N169))</f>
        <v/>
      </c>
      <c r="P169" s="54">
        <f>IF($B169="","",SUMIFS(Erfassung!$G$6:$G$5005,Erfassung!$B$6:$B$5005,$A169,Erfassung!$A$6:$A$5005,"&gt;="&amp;DATE(Einstellungen!$C$3,1,1),Erfassung!$A$6:$A$5005,"&lt;"&amp;DATE(Einstellungen!$C$3,2,1)))</f>
        <v/>
      </c>
      <c r="Q169" s="54">
        <f>IF($B169="","",SUMIFS(Erfassung!$G$6:$G$5005,Erfassung!$B$6:$B$5005,$A169,Erfassung!$A$6:$A$5005,"&gt;="&amp;DATE(Einstellungen!$C$3,2,1),Erfassung!$A$6:$A$5005,"&lt;"&amp;DATE(Einstellungen!$C$3,3,1)))</f>
        <v/>
      </c>
      <c r="R169" s="54">
        <f>IF($B169="","",SUMIFS(Erfassung!$G$6:$G$5005,Erfassung!$B$6:$B$5005,$A169,Erfassung!$A$6:$A$5005,"&gt;="&amp;DATE(Einstellungen!$C$3,3,1),Erfassung!$A$6:$A$5005,"&lt;"&amp;DATE(Einstellungen!$C$3,4,1)))</f>
        <v/>
      </c>
      <c r="S169" s="54">
        <f>IF($B169="","",SUMIFS(Erfassung!$G$6:$G$5005,Erfassung!$B$6:$B$5005,$A169,Erfassung!$A$6:$A$5005,"&gt;="&amp;DATE(Einstellungen!$C$3,4,1),Erfassung!$A$6:$A$5005,"&lt;"&amp;DATE(Einstellungen!$C$3,5,1)))</f>
        <v/>
      </c>
      <c r="T169" s="54">
        <f>IF($B169="","",SUMIFS(Erfassung!$G$6:$G$5005,Erfassung!$B$6:$B$5005,$A169,Erfassung!$A$6:$A$5005,"&gt;="&amp;DATE(Einstellungen!$C$3,5,1),Erfassung!$A$6:$A$5005,"&lt;"&amp;DATE(Einstellungen!$C$3,6,1)))</f>
        <v/>
      </c>
      <c r="U169" s="54">
        <f>IF($B169="","",SUMIFS(Erfassung!$G$6:$G$5005,Erfassung!$B$6:$B$5005,$A169,Erfassung!$A$6:$A$5005,"&gt;="&amp;DATE(Einstellungen!$C$3,6,1),Erfassung!$A$6:$A$5005,"&lt;"&amp;DATE(Einstellungen!$C$3,7,1)))</f>
        <v/>
      </c>
      <c r="V169" s="54">
        <f>IF($B169="","",SUMIFS(Erfassung!$G$6:$G$5005,Erfassung!$B$6:$B$5005,$A169,Erfassung!$A$6:$A$5005,"&gt;="&amp;DATE(Einstellungen!$C$3,7,1),Erfassung!$A$6:$A$5005,"&lt;"&amp;DATE(Einstellungen!$C$3,8,1)))</f>
        <v/>
      </c>
      <c r="W169" s="54">
        <f>IF($B169="","",SUMIFS(Erfassung!$G$6:$G$5005,Erfassung!$B$6:$B$5005,$A169,Erfassung!$A$6:$A$5005,"&gt;="&amp;DATE(Einstellungen!$C$3,8,1),Erfassung!$A$6:$A$5005,"&lt;"&amp;DATE(Einstellungen!$C$3,9,1)))</f>
        <v/>
      </c>
      <c r="X169" s="54">
        <f>IF($B169="","",SUMIFS(Erfassung!$G$6:$G$5005,Erfassung!$B$6:$B$5005,$A169,Erfassung!$A$6:$A$5005,"&gt;="&amp;DATE(Einstellungen!$C$3,9,1),Erfassung!$A$6:$A$5005,"&lt;"&amp;DATE(Einstellungen!$C$3,10,1)))</f>
        <v/>
      </c>
      <c r="Y169" s="54">
        <f>IF($B169="","",SUMIFS(Erfassung!$G$6:$G$5005,Erfassung!$B$6:$B$5005,$A169,Erfassung!$A$6:$A$5005,"&gt;="&amp;DATE(Einstellungen!$C$3,10,1),Erfassung!$A$6:$A$5005,"&lt;"&amp;DATE(Einstellungen!$C$3,11,1)))</f>
        <v/>
      </c>
      <c r="Z169" s="54">
        <f>IF($B169="","",SUMIFS(Erfassung!$G$6:$G$5005,Erfassung!$B$6:$B$5005,$A169,Erfassung!$A$6:$A$5005,"&gt;="&amp;DATE(Einstellungen!$C$3,11,1),Erfassung!$A$6:$A$5005,"&lt;"&amp;DATE(Einstellungen!$C$3,12,1)))</f>
        <v/>
      </c>
      <c r="AA169" s="54">
        <f>IF($B169="","",SUMIFS(Erfassung!$G$6:$G$5005,Erfassung!$B$6:$B$5005,$A169,Erfassung!$A$6:$A$5005,"&gt;="&amp;DATE(Einstellungen!$C$3,12,1),Erfassung!$A$6:$A$5005,"&lt;"&amp;DATE(Einstellungen!$C$3,13,1)))</f>
        <v/>
      </c>
      <c r="AB169" s="45">
        <f>IF($B169="","",SUM(P169:AA169))</f>
        <v/>
      </c>
      <c r="AC169" s="38">
        <f>IF($B169="","",IF(O169+AB169&gt;0,AB169/(O169+AB169),""))</f>
        <v/>
      </c>
    </row>
    <row r="170">
      <c r="A170" s="56">
        <f>'KQuote Mitarbeiter'!A170</f>
        <v/>
      </c>
      <c r="B170" s="57">
        <f>'KQuote Mitarbeiter'!B170</f>
        <v/>
      </c>
      <c r="C170" s="54">
        <f>IF($B170="","",SUMIFS(Erfassung!$E$6:$E$5005,Erfassung!$B$6:$B$5005,$A170,Erfassung!$A$6:$A$5005,"&gt;="&amp;DATE(Einstellungen!$C$3,1,1),Erfassung!$A$6:$A$5005,"&lt;"&amp;DATE(Einstellungen!$C$3,2,1)))</f>
        <v/>
      </c>
      <c r="D170" s="54">
        <f>IF($B170="","",SUMIFS(Erfassung!$E$6:$E$5005,Erfassung!$B$6:$B$5005,$A170,Erfassung!$A$6:$A$5005,"&gt;="&amp;DATE(Einstellungen!$C$3,2,1),Erfassung!$A$6:$A$5005,"&lt;"&amp;DATE(Einstellungen!$C$3,3,1)))</f>
        <v/>
      </c>
      <c r="E170" s="54">
        <f>IF($B170="","",SUMIFS(Erfassung!$E$6:$E$5005,Erfassung!$B$6:$B$5005,$A170,Erfassung!$A$6:$A$5005,"&gt;="&amp;DATE(Einstellungen!$C$3,3,1),Erfassung!$A$6:$A$5005,"&lt;"&amp;DATE(Einstellungen!$C$3,4,1)))</f>
        <v/>
      </c>
      <c r="F170" s="54">
        <f>IF($B170="","",SUMIFS(Erfassung!$E$6:$E$5005,Erfassung!$B$6:$B$5005,$A170,Erfassung!$A$6:$A$5005,"&gt;="&amp;DATE(Einstellungen!$C$3,4,1),Erfassung!$A$6:$A$5005,"&lt;"&amp;DATE(Einstellungen!$C$3,5,1)))</f>
        <v/>
      </c>
      <c r="G170" s="54">
        <f>IF($B170="","",SUMIFS(Erfassung!$E$6:$E$5005,Erfassung!$B$6:$B$5005,$A170,Erfassung!$A$6:$A$5005,"&gt;="&amp;DATE(Einstellungen!$C$3,5,1),Erfassung!$A$6:$A$5005,"&lt;"&amp;DATE(Einstellungen!$C$3,6,1)))</f>
        <v/>
      </c>
      <c r="H170" s="54">
        <f>IF($B170="","",SUMIFS(Erfassung!$E$6:$E$5005,Erfassung!$B$6:$B$5005,$A170,Erfassung!$A$6:$A$5005,"&gt;="&amp;DATE(Einstellungen!$C$3,6,1),Erfassung!$A$6:$A$5005,"&lt;"&amp;DATE(Einstellungen!$C$3,7,1)))</f>
        <v/>
      </c>
      <c r="I170" s="54">
        <f>IF($B170="","",SUMIFS(Erfassung!$E$6:$E$5005,Erfassung!$B$6:$B$5005,$A170,Erfassung!$A$6:$A$5005,"&gt;="&amp;DATE(Einstellungen!$C$3,7,1),Erfassung!$A$6:$A$5005,"&lt;"&amp;DATE(Einstellungen!$C$3,8,1)))</f>
        <v/>
      </c>
      <c r="J170" s="54">
        <f>IF($B170="","",SUMIFS(Erfassung!$E$6:$E$5005,Erfassung!$B$6:$B$5005,$A170,Erfassung!$A$6:$A$5005,"&gt;="&amp;DATE(Einstellungen!$C$3,8,1),Erfassung!$A$6:$A$5005,"&lt;"&amp;DATE(Einstellungen!$C$3,9,1)))</f>
        <v/>
      </c>
      <c r="K170" s="54">
        <f>IF($B170="","",SUMIFS(Erfassung!$E$6:$E$5005,Erfassung!$B$6:$B$5005,$A170,Erfassung!$A$6:$A$5005,"&gt;="&amp;DATE(Einstellungen!$C$3,9,1),Erfassung!$A$6:$A$5005,"&lt;"&amp;DATE(Einstellungen!$C$3,10,1)))</f>
        <v/>
      </c>
      <c r="L170" s="54">
        <f>IF($B170="","",SUMIFS(Erfassung!$E$6:$E$5005,Erfassung!$B$6:$B$5005,$A170,Erfassung!$A$6:$A$5005,"&gt;="&amp;DATE(Einstellungen!$C$3,10,1),Erfassung!$A$6:$A$5005,"&lt;"&amp;DATE(Einstellungen!$C$3,11,1)))</f>
        <v/>
      </c>
      <c r="M170" s="54">
        <f>IF($B170="","",SUMIFS(Erfassung!$E$6:$E$5005,Erfassung!$B$6:$B$5005,$A170,Erfassung!$A$6:$A$5005,"&gt;="&amp;DATE(Einstellungen!$C$3,11,1),Erfassung!$A$6:$A$5005,"&lt;"&amp;DATE(Einstellungen!$C$3,12,1)))</f>
        <v/>
      </c>
      <c r="N170" s="54">
        <f>IF($B170="","",SUMIFS(Erfassung!$E$6:$E$5005,Erfassung!$B$6:$B$5005,$A170,Erfassung!$A$6:$A$5005,"&gt;="&amp;DATE(Einstellungen!$C$3,12,1),Erfassung!$A$6:$A$5005,"&lt;"&amp;DATE(Einstellungen!$C$3,13,1)))</f>
        <v/>
      </c>
      <c r="O170" s="45">
        <f>IF($B170="","",SUM(C170:N170))</f>
        <v/>
      </c>
      <c r="P170" s="54">
        <f>IF($B170="","",SUMIFS(Erfassung!$G$6:$G$5005,Erfassung!$B$6:$B$5005,$A170,Erfassung!$A$6:$A$5005,"&gt;="&amp;DATE(Einstellungen!$C$3,1,1),Erfassung!$A$6:$A$5005,"&lt;"&amp;DATE(Einstellungen!$C$3,2,1)))</f>
        <v/>
      </c>
      <c r="Q170" s="54">
        <f>IF($B170="","",SUMIFS(Erfassung!$G$6:$G$5005,Erfassung!$B$6:$B$5005,$A170,Erfassung!$A$6:$A$5005,"&gt;="&amp;DATE(Einstellungen!$C$3,2,1),Erfassung!$A$6:$A$5005,"&lt;"&amp;DATE(Einstellungen!$C$3,3,1)))</f>
        <v/>
      </c>
      <c r="R170" s="54">
        <f>IF($B170="","",SUMIFS(Erfassung!$G$6:$G$5005,Erfassung!$B$6:$B$5005,$A170,Erfassung!$A$6:$A$5005,"&gt;="&amp;DATE(Einstellungen!$C$3,3,1),Erfassung!$A$6:$A$5005,"&lt;"&amp;DATE(Einstellungen!$C$3,4,1)))</f>
        <v/>
      </c>
      <c r="S170" s="54">
        <f>IF($B170="","",SUMIFS(Erfassung!$G$6:$G$5005,Erfassung!$B$6:$B$5005,$A170,Erfassung!$A$6:$A$5005,"&gt;="&amp;DATE(Einstellungen!$C$3,4,1),Erfassung!$A$6:$A$5005,"&lt;"&amp;DATE(Einstellungen!$C$3,5,1)))</f>
        <v/>
      </c>
      <c r="T170" s="54">
        <f>IF($B170="","",SUMIFS(Erfassung!$G$6:$G$5005,Erfassung!$B$6:$B$5005,$A170,Erfassung!$A$6:$A$5005,"&gt;="&amp;DATE(Einstellungen!$C$3,5,1),Erfassung!$A$6:$A$5005,"&lt;"&amp;DATE(Einstellungen!$C$3,6,1)))</f>
        <v/>
      </c>
      <c r="U170" s="54">
        <f>IF($B170="","",SUMIFS(Erfassung!$G$6:$G$5005,Erfassung!$B$6:$B$5005,$A170,Erfassung!$A$6:$A$5005,"&gt;="&amp;DATE(Einstellungen!$C$3,6,1),Erfassung!$A$6:$A$5005,"&lt;"&amp;DATE(Einstellungen!$C$3,7,1)))</f>
        <v/>
      </c>
      <c r="V170" s="54">
        <f>IF($B170="","",SUMIFS(Erfassung!$G$6:$G$5005,Erfassung!$B$6:$B$5005,$A170,Erfassung!$A$6:$A$5005,"&gt;="&amp;DATE(Einstellungen!$C$3,7,1),Erfassung!$A$6:$A$5005,"&lt;"&amp;DATE(Einstellungen!$C$3,8,1)))</f>
        <v/>
      </c>
      <c r="W170" s="54">
        <f>IF($B170="","",SUMIFS(Erfassung!$G$6:$G$5005,Erfassung!$B$6:$B$5005,$A170,Erfassung!$A$6:$A$5005,"&gt;="&amp;DATE(Einstellungen!$C$3,8,1),Erfassung!$A$6:$A$5005,"&lt;"&amp;DATE(Einstellungen!$C$3,9,1)))</f>
        <v/>
      </c>
      <c r="X170" s="54">
        <f>IF($B170="","",SUMIFS(Erfassung!$G$6:$G$5005,Erfassung!$B$6:$B$5005,$A170,Erfassung!$A$6:$A$5005,"&gt;="&amp;DATE(Einstellungen!$C$3,9,1),Erfassung!$A$6:$A$5005,"&lt;"&amp;DATE(Einstellungen!$C$3,10,1)))</f>
        <v/>
      </c>
      <c r="Y170" s="54">
        <f>IF($B170="","",SUMIFS(Erfassung!$G$6:$G$5005,Erfassung!$B$6:$B$5005,$A170,Erfassung!$A$6:$A$5005,"&gt;="&amp;DATE(Einstellungen!$C$3,10,1),Erfassung!$A$6:$A$5005,"&lt;"&amp;DATE(Einstellungen!$C$3,11,1)))</f>
        <v/>
      </c>
      <c r="Z170" s="54">
        <f>IF($B170="","",SUMIFS(Erfassung!$G$6:$G$5005,Erfassung!$B$6:$B$5005,$A170,Erfassung!$A$6:$A$5005,"&gt;="&amp;DATE(Einstellungen!$C$3,11,1),Erfassung!$A$6:$A$5005,"&lt;"&amp;DATE(Einstellungen!$C$3,12,1)))</f>
        <v/>
      </c>
      <c r="AA170" s="54">
        <f>IF($B170="","",SUMIFS(Erfassung!$G$6:$G$5005,Erfassung!$B$6:$B$5005,$A170,Erfassung!$A$6:$A$5005,"&gt;="&amp;DATE(Einstellungen!$C$3,12,1),Erfassung!$A$6:$A$5005,"&lt;"&amp;DATE(Einstellungen!$C$3,13,1)))</f>
        <v/>
      </c>
      <c r="AB170" s="45">
        <f>IF($B170="","",SUM(P170:AA170))</f>
        <v/>
      </c>
      <c r="AC170" s="38">
        <f>IF($B170="","",IF(O170+AB170&gt;0,AB170/(O170+AB170),""))</f>
        <v/>
      </c>
    </row>
    <row r="171">
      <c r="A171" s="56">
        <f>'KQuote Mitarbeiter'!A171</f>
        <v/>
      </c>
      <c r="B171" s="57">
        <f>'KQuote Mitarbeiter'!B171</f>
        <v/>
      </c>
      <c r="C171" s="54">
        <f>IF($B171="","",SUMIFS(Erfassung!$E$6:$E$5005,Erfassung!$B$6:$B$5005,$A171,Erfassung!$A$6:$A$5005,"&gt;="&amp;DATE(Einstellungen!$C$3,1,1),Erfassung!$A$6:$A$5005,"&lt;"&amp;DATE(Einstellungen!$C$3,2,1)))</f>
        <v/>
      </c>
      <c r="D171" s="54">
        <f>IF($B171="","",SUMIFS(Erfassung!$E$6:$E$5005,Erfassung!$B$6:$B$5005,$A171,Erfassung!$A$6:$A$5005,"&gt;="&amp;DATE(Einstellungen!$C$3,2,1),Erfassung!$A$6:$A$5005,"&lt;"&amp;DATE(Einstellungen!$C$3,3,1)))</f>
        <v/>
      </c>
      <c r="E171" s="54">
        <f>IF($B171="","",SUMIFS(Erfassung!$E$6:$E$5005,Erfassung!$B$6:$B$5005,$A171,Erfassung!$A$6:$A$5005,"&gt;="&amp;DATE(Einstellungen!$C$3,3,1),Erfassung!$A$6:$A$5005,"&lt;"&amp;DATE(Einstellungen!$C$3,4,1)))</f>
        <v/>
      </c>
      <c r="F171" s="54">
        <f>IF($B171="","",SUMIFS(Erfassung!$E$6:$E$5005,Erfassung!$B$6:$B$5005,$A171,Erfassung!$A$6:$A$5005,"&gt;="&amp;DATE(Einstellungen!$C$3,4,1),Erfassung!$A$6:$A$5005,"&lt;"&amp;DATE(Einstellungen!$C$3,5,1)))</f>
        <v/>
      </c>
      <c r="G171" s="54">
        <f>IF($B171="","",SUMIFS(Erfassung!$E$6:$E$5005,Erfassung!$B$6:$B$5005,$A171,Erfassung!$A$6:$A$5005,"&gt;="&amp;DATE(Einstellungen!$C$3,5,1),Erfassung!$A$6:$A$5005,"&lt;"&amp;DATE(Einstellungen!$C$3,6,1)))</f>
        <v/>
      </c>
      <c r="H171" s="54">
        <f>IF($B171="","",SUMIFS(Erfassung!$E$6:$E$5005,Erfassung!$B$6:$B$5005,$A171,Erfassung!$A$6:$A$5005,"&gt;="&amp;DATE(Einstellungen!$C$3,6,1),Erfassung!$A$6:$A$5005,"&lt;"&amp;DATE(Einstellungen!$C$3,7,1)))</f>
        <v/>
      </c>
      <c r="I171" s="54">
        <f>IF($B171="","",SUMIFS(Erfassung!$E$6:$E$5005,Erfassung!$B$6:$B$5005,$A171,Erfassung!$A$6:$A$5005,"&gt;="&amp;DATE(Einstellungen!$C$3,7,1),Erfassung!$A$6:$A$5005,"&lt;"&amp;DATE(Einstellungen!$C$3,8,1)))</f>
        <v/>
      </c>
      <c r="J171" s="54">
        <f>IF($B171="","",SUMIFS(Erfassung!$E$6:$E$5005,Erfassung!$B$6:$B$5005,$A171,Erfassung!$A$6:$A$5005,"&gt;="&amp;DATE(Einstellungen!$C$3,8,1),Erfassung!$A$6:$A$5005,"&lt;"&amp;DATE(Einstellungen!$C$3,9,1)))</f>
        <v/>
      </c>
      <c r="K171" s="54">
        <f>IF($B171="","",SUMIFS(Erfassung!$E$6:$E$5005,Erfassung!$B$6:$B$5005,$A171,Erfassung!$A$6:$A$5005,"&gt;="&amp;DATE(Einstellungen!$C$3,9,1),Erfassung!$A$6:$A$5005,"&lt;"&amp;DATE(Einstellungen!$C$3,10,1)))</f>
        <v/>
      </c>
      <c r="L171" s="54">
        <f>IF($B171="","",SUMIFS(Erfassung!$E$6:$E$5005,Erfassung!$B$6:$B$5005,$A171,Erfassung!$A$6:$A$5005,"&gt;="&amp;DATE(Einstellungen!$C$3,10,1),Erfassung!$A$6:$A$5005,"&lt;"&amp;DATE(Einstellungen!$C$3,11,1)))</f>
        <v/>
      </c>
      <c r="M171" s="54">
        <f>IF($B171="","",SUMIFS(Erfassung!$E$6:$E$5005,Erfassung!$B$6:$B$5005,$A171,Erfassung!$A$6:$A$5005,"&gt;="&amp;DATE(Einstellungen!$C$3,11,1),Erfassung!$A$6:$A$5005,"&lt;"&amp;DATE(Einstellungen!$C$3,12,1)))</f>
        <v/>
      </c>
      <c r="N171" s="54">
        <f>IF($B171="","",SUMIFS(Erfassung!$E$6:$E$5005,Erfassung!$B$6:$B$5005,$A171,Erfassung!$A$6:$A$5005,"&gt;="&amp;DATE(Einstellungen!$C$3,12,1),Erfassung!$A$6:$A$5005,"&lt;"&amp;DATE(Einstellungen!$C$3,13,1)))</f>
        <v/>
      </c>
      <c r="O171" s="45">
        <f>IF($B171="","",SUM(C171:N171))</f>
        <v/>
      </c>
      <c r="P171" s="54">
        <f>IF($B171="","",SUMIFS(Erfassung!$G$6:$G$5005,Erfassung!$B$6:$B$5005,$A171,Erfassung!$A$6:$A$5005,"&gt;="&amp;DATE(Einstellungen!$C$3,1,1),Erfassung!$A$6:$A$5005,"&lt;"&amp;DATE(Einstellungen!$C$3,2,1)))</f>
        <v/>
      </c>
      <c r="Q171" s="54">
        <f>IF($B171="","",SUMIFS(Erfassung!$G$6:$G$5005,Erfassung!$B$6:$B$5005,$A171,Erfassung!$A$6:$A$5005,"&gt;="&amp;DATE(Einstellungen!$C$3,2,1),Erfassung!$A$6:$A$5005,"&lt;"&amp;DATE(Einstellungen!$C$3,3,1)))</f>
        <v/>
      </c>
      <c r="R171" s="54">
        <f>IF($B171="","",SUMIFS(Erfassung!$G$6:$G$5005,Erfassung!$B$6:$B$5005,$A171,Erfassung!$A$6:$A$5005,"&gt;="&amp;DATE(Einstellungen!$C$3,3,1),Erfassung!$A$6:$A$5005,"&lt;"&amp;DATE(Einstellungen!$C$3,4,1)))</f>
        <v/>
      </c>
      <c r="S171" s="54">
        <f>IF($B171="","",SUMIFS(Erfassung!$G$6:$G$5005,Erfassung!$B$6:$B$5005,$A171,Erfassung!$A$6:$A$5005,"&gt;="&amp;DATE(Einstellungen!$C$3,4,1),Erfassung!$A$6:$A$5005,"&lt;"&amp;DATE(Einstellungen!$C$3,5,1)))</f>
        <v/>
      </c>
      <c r="T171" s="54">
        <f>IF($B171="","",SUMIFS(Erfassung!$G$6:$G$5005,Erfassung!$B$6:$B$5005,$A171,Erfassung!$A$6:$A$5005,"&gt;="&amp;DATE(Einstellungen!$C$3,5,1),Erfassung!$A$6:$A$5005,"&lt;"&amp;DATE(Einstellungen!$C$3,6,1)))</f>
        <v/>
      </c>
      <c r="U171" s="54">
        <f>IF($B171="","",SUMIFS(Erfassung!$G$6:$G$5005,Erfassung!$B$6:$B$5005,$A171,Erfassung!$A$6:$A$5005,"&gt;="&amp;DATE(Einstellungen!$C$3,6,1),Erfassung!$A$6:$A$5005,"&lt;"&amp;DATE(Einstellungen!$C$3,7,1)))</f>
        <v/>
      </c>
      <c r="V171" s="54">
        <f>IF($B171="","",SUMIFS(Erfassung!$G$6:$G$5005,Erfassung!$B$6:$B$5005,$A171,Erfassung!$A$6:$A$5005,"&gt;="&amp;DATE(Einstellungen!$C$3,7,1),Erfassung!$A$6:$A$5005,"&lt;"&amp;DATE(Einstellungen!$C$3,8,1)))</f>
        <v/>
      </c>
      <c r="W171" s="54">
        <f>IF($B171="","",SUMIFS(Erfassung!$G$6:$G$5005,Erfassung!$B$6:$B$5005,$A171,Erfassung!$A$6:$A$5005,"&gt;="&amp;DATE(Einstellungen!$C$3,8,1),Erfassung!$A$6:$A$5005,"&lt;"&amp;DATE(Einstellungen!$C$3,9,1)))</f>
        <v/>
      </c>
      <c r="X171" s="54">
        <f>IF($B171="","",SUMIFS(Erfassung!$G$6:$G$5005,Erfassung!$B$6:$B$5005,$A171,Erfassung!$A$6:$A$5005,"&gt;="&amp;DATE(Einstellungen!$C$3,9,1),Erfassung!$A$6:$A$5005,"&lt;"&amp;DATE(Einstellungen!$C$3,10,1)))</f>
        <v/>
      </c>
      <c r="Y171" s="54">
        <f>IF($B171="","",SUMIFS(Erfassung!$G$6:$G$5005,Erfassung!$B$6:$B$5005,$A171,Erfassung!$A$6:$A$5005,"&gt;="&amp;DATE(Einstellungen!$C$3,10,1),Erfassung!$A$6:$A$5005,"&lt;"&amp;DATE(Einstellungen!$C$3,11,1)))</f>
        <v/>
      </c>
      <c r="Z171" s="54">
        <f>IF($B171="","",SUMIFS(Erfassung!$G$6:$G$5005,Erfassung!$B$6:$B$5005,$A171,Erfassung!$A$6:$A$5005,"&gt;="&amp;DATE(Einstellungen!$C$3,11,1),Erfassung!$A$6:$A$5005,"&lt;"&amp;DATE(Einstellungen!$C$3,12,1)))</f>
        <v/>
      </c>
      <c r="AA171" s="54">
        <f>IF($B171="","",SUMIFS(Erfassung!$G$6:$G$5005,Erfassung!$B$6:$B$5005,$A171,Erfassung!$A$6:$A$5005,"&gt;="&amp;DATE(Einstellungen!$C$3,12,1),Erfassung!$A$6:$A$5005,"&lt;"&amp;DATE(Einstellungen!$C$3,13,1)))</f>
        <v/>
      </c>
      <c r="AB171" s="45">
        <f>IF($B171="","",SUM(P171:AA171))</f>
        <v/>
      </c>
      <c r="AC171" s="38">
        <f>IF($B171="","",IF(O171+AB171&gt;0,AB171/(O171+AB171),""))</f>
        <v/>
      </c>
    </row>
    <row r="172">
      <c r="A172" s="56">
        <f>'KQuote Mitarbeiter'!A172</f>
        <v/>
      </c>
      <c r="B172" s="57">
        <f>'KQuote Mitarbeiter'!B172</f>
        <v/>
      </c>
      <c r="C172" s="54">
        <f>IF($B172="","",SUMIFS(Erfassung!$E$6:$E$5005,Erfassung!$B$6:$B$5005,$A172,Erfassung!$A$6:$A$5005,"&gt;="&amp;DATE(Einstellungen!$C$3,1,1),Erfassung!$A$6:$A$5005,"&lt;"&amp;DATE(Einstellungen!$C$3,2,1)))</f>
        <v/>
      </c>
      <c r="D172" s="54">
        <f>IF($B172="","",SUMIFS(Erfassung!$E$6:$E$5005,Erfassung!$B$6:$B$5005,$A172,Erfassung!$A$6:$A$5005,"&gt;="&amp;DATE(Einstellungen!$C$3,2,1),Erfassung!$A$6:$A$5005,"&lt;"&amp;DATE(Einstellungen!$C$3,3,1)))</f>
        <v/>
      </c>
      <c r="E172" s="54">
        <f>IF($B172="","",SUMIFS(Erfassung!$E$6:$E$5005,Erfassung!$B$6:$B$5005,$A172,Erfassung!$A$6:$A$5005,"&gt;="&amp;DATE(Einstellungen!$C$3,3,1),Erfassung!$A$6:$A$5005,"&lt;"&amp;DATE(Einstellungen!$C$3,4,1)))</f>
        <v/>
      </c>
      <c r="F172" s="54">
        <f>IF($B172="","",SUMIFS(Erfassung!$E$6:$E$5005,Erfassung!$B$6:$B$5005,$A172,Erfassung!$A$6:$A$5005,"&gt;="&amp;DATE(Einstellungen!$C$3,4,1),Erfassung!$A$6:$A$5005,"&lt;"&amp;DATE(Einstellungen!$C$3,5,1)))</f>
        <v/>
      </c>
      <c r="G172" s="54">
        <f>IF($B172="","",SUMIFS(Erfassung!$E$6:$E$5005,Erfassung!$B$6:$B$5005,$A172,Erfassung!$A$6:$A$5005,"&gt;="&amp;DATE(Einstellungen!$C$3,5,1),Erfassung!$A$6:$A$5005,"&lt;"&amp;DATE(Einstellungen!$C$3,6,1)))</f>
        <v/>
      </c>
      <c r="H172" s="54">
        <f>IF($B172="","",SUMIFS(Erfassung!$E$6:$E$5005,Erfassung!$B$6:$B$5005,$A172,Erfassung!$A$6:$A$5005,"&gt;="&amp;DATE(Einstellungen!$C$3,6,1),Erfassung!$A$6:$A$5005,"&lt;"&amp;DATE(Einstellungen!$C$3,7,1)))</f>
        <v/>
      </c>
      <c r="I172" s="54">
        <f>IF($B172="","",SUMIFS(Erfassung!$E$6:$E$5005,Erfassung!$B$6:$B$5005,$A172,Erfassung!$A$6:$A$5005,"&gt;="&amp;DATE(Einstellungen!$C$3,7,1),Erfassung!$A$6:$A$5005,"&lt;"&amp;DATE(Einstellungen!$C$3,8,1)))</f>
        <v/>
      </c>
      <c r="J172" s="54">
        <f>IF($B172="","",SUMIFS(Erfassung!$E$6:$E$5005,Erfassung!$B$6:$B$5005,$A172,Erfassung!$A$6:$A$5005,"&gt;="&amp;DATE(Einstellungen!$C$3,8,1),Erfassung!$A$6:$A$5005,"&lt;"&amp;DATE(Einstellungen!$C$3,9,1)))</f>
        <v/>
      </c>
      <c r="K172" s="54">
        <f>IF($B172="","",SUMIFS(Erfassung!$E$6:$E$5005,Erfassung!$B$6:$B$5005,$A172,Erfassung!$A$6:$A$5005,"&gt;="&amp;DATE(Einstellungen!$C$3,9,1),Erfassung!$A$6:$A$5005,"&lt;"&amp;DATE(Einstellungen!$C$3,10,1)))</f>
        <v/>
      </c>
      <c r="L172" s="54">
        <f>IF($B172="","",SUMIFS(Erfassung!$E$6:$E$5005,Erfassung!$B$6:$B$5005,$A172,Erfassung!$A$6:$A$5005,"&gt;="&amp;DATE(Einstellungen!$C$3,10,1),Erfassung!$A$6:$A$5005,"&lt;"&amp;DATE(Einstellungen!$C$3,11,1)))</f>
        <v/>
      </c>
      <c r="M172" s="54">
        <f>IF($B172="","",SUMIFS(Erfassung!$E$6:$E$5005,Erfassung!$B$6:$B$5005,$A172,Erfassung!$A$6:$A$5005,"&gt;="&amp;DATE(Einstellungen!$C$3,11,1),Erfassung!$A$6:$A$5005,"&lt;"&amp;DATE(Einstellungen!$C$3,12,1)))</f>
        <v/>
      </c>
      <c r="N172" s="54">
        <f>IF($B172="","",SUMIFS(Erfassung!$E$6:$E$5005,Erfassung!$B$6:$B$5005,$A172,Erfassung!$A$6:$A$5005,"&gt;="&amp;DATE(Einstellungen!$C$3,12,1),Erfassung!$A$6:$A$5005,"&lt;"&amp;DATE(Einstellungen!$C$3,13,1)))</f>
        <v/>
      </c>
      <c r="O172" s="45">
        <f>IF($B172="","",SUM(C172:N172))</f>
        <v/>
      </c>
      <c r="P172" s="54">
        <f>IF($B172="","",SUMIFS(Erfassung!$G$6:$G$5005,Erfassung!$B$6:$B$5005,$A172,Erfassung!$A$6:$A$5005,"&gt;="&amp;DATE(Einstellungen!$C$3,1,1),Erfassung!$A$6:$A$5005,"&lt;"&amp;DATE(Einstellungen!$C$3,2,1)))</f>
        <v/>
      </c>
      <c r="Q172" s="54">
        <f>IF($B172="","",SUMIFS(Erfassung!$G$6:$G$5005,Erfassung!$B$6:$B$5005,$A172,Erfassung!$A$6:$A$5005,"&gt;="&amp;DATE(Einstellungen!$C$3,2,1),Erfassung!$A$6:$A$5005,"&lt;"&amp;DATE(Einstellungen!$C$3,3,1)))</f>
        <v/>
      </c>
      <c r="R172" s="54">
        <f>IF($B172="","",SUMIFS(Erfassung!$G$6:$G$5005,Erfassung!$B$6:$B$5005,$A172,Erfassung!$A$6:$A$5005,"&gt;="&amp;DATE(Einstellungen!$C$3,3,1),Erfassung!$A$6:$A$5005,"&lt;"&amp;DATE(Einstellungen!$C$3,4,1)))</f>
        <v/>
      </c>
      <c r="S172" s="54">
        <f>IF($B172="","",SUMIFS(Erfassung!$G$6:$G$5005,Erfassung!$B$6:$B$5005,$A172,Erfassung!$A$6:$A$5005,"&gt;="&amp;DATE(Einstellungen!$C$3,4,1),Erfassung!$A$6:$A$5005,"&lt;"&amp;DATE(Einstellungen!$C$3,5,1)))</f>
        <v/>
      </c>
      <c r="T172" s="54">
        <f>IF($B172="","",SUMIFS(Erfassung!$G$6:$G$5005,Erfassung!$B$6:$B$5005,$A172,Erfassung!$A$6:$A$5005,"&gt;="&amp;DATE(Einstellungen!$C$3,5,1),Erfassung!$A$6:$A$5005,"&lt;"&amp;DATE(Einstellungen!$C$3,6,1)))</f>
        <v/>
      </c>
      <c r="U172" s="54">
        <f>IF($B172="","",SUMIFS(Erfassung!$G$6:$G$5005,Erfassung!$B$6:$B$5005,$A172,Erfassung!$A$6:$A$5005,"&gt;="&amp;DATE(Einstellungen!$C$3,6,1),Erfassung!$A$6:$A$5005,"&lt;"&amp;DATE(Einstellungen!$C$3,7,1)))</f>
        <v/>
      </c>
      <c r="V172" s="54">
        <f>IF($B172="","",SUMIFS(Erfassung!$G$6:$G$5005,Erfassung!$B$6:$B$5005,$A172,Erfassung!$A$6:$A$5005,"&gt;="&amp;DATE(Einstellungen!$C$3,7,1),Erfassung!$A$6:$A$5005,"&lt;"&amp;DATE(Einstellungen!$C$3,8,1)))</f>
        <v/>
      </c>
      <c r="W172" s="54">
        <f>IF($B172="","",SUMIFS(Erfassung!$G$6:$G$5005,Erfassung!$B$6:$B$5005,$A172,Erfassung!$A$6:$A$5005,"&gt;="&amp;DATE(Einstellungen!$C$3,8,1),Erfassung!$A$6:$A$5005,"&lt;"&amp;DATE(Einstellungen!$C$3,9,1)))</f>
        <v/>
      </c>
      <c r="X172" s="54">
        <f>IF($B172="","",SUMIFS(Erfassung!$G$6:$G$5005,Erfassung!$B$6:$B$5005,$A172,Erfassung!$A$6:$A$5005,"&gt;="&amp;DATE(Einstellungen!$C$3,9,1),Erfassung!$A$6:$A$5005,"&lt;"&amp;DATE(Einstellungen!$C$3,10,1)))</f>
        <v/>
      </c>
      <c r="Y172" s="54">
        <f>IF($B172="","",SUMIFS(Erfassung!$G$6:$G$5005,Erfassung!$B$6:$B$5005,$A172,Erfassung!$A$6:$A$5005,"&gt;="&amp;DATE(Einstellungen!$C$3,10,1),Erfassung!$A$6:$A$5005,"&lt;"&amp;DATE(Einstellungen!$C$3,11,1)))</f>
        <v/>
      </c>
      <c r="Z172" s="54">
        <f>IF($B172="","",SUMIFS(Erfassung!$G$6:$G$5005,Erfassung!$B$6:$B$5005,$A172,Erfassung!$A$6:$A$5005,"&gt;="&amp;DATE(Einstellungen!$C$3,11,1),Erfassung!$A$6:$A$5005,"&lt;"&amp;DATE(Einstellungen!$C$3,12,1)))</f>
        <v/>
      </c>
      <c r="AA172" s="54">
        <f>IF($B172="","",SUMIFS(Erfassung!$G$6:$G$5005,Erfassung!$B$6:$B$5005,$A172,Erfassung!$A$6:$A$5005,"&gt;="&amp;DATE(Einstellungen!$C$3,12,1),Erfassung!$A$6:$A$5005,"&lt;"&amp;DATE(Einstellungen!$C$3,13,1)))</f>
        <v/>
      </c>
      <c r="AB172" s="45">
        <f>IF($B172="","",SUM(P172:AA172))</f>
        <v/>
      </c>
      <c r="AC172" s="38">
        <f>IF($B172="","",IF(O172+AB172&gt;0,AB172/(O172+AB172),""))</f>
        <v/>
      </c>
    </row>
    <row r="173">
      <c r="A173" s="56">
        <f>'KQuote Mitarbeiter'!A173</f>
        <v/>
      </c>
      <c r="B173" s="57">
        <f>'KQuote Mitarbeiter'!B173</f>
        <v/>
      </c>
      <c r="C173" s="54">
        <f>IF($B173="","",SUMIFS(Erfassung!$E$6:$E$5005,Erfassung!$B$6:$B$5005,$A173,Erfassung!$A$6:$A$5005,"&gt;="&amp;DATE(Einstellungen!$C$3,1,1),Erfassung!$A$6:$A$5005,"&lt;"&amp;DATE(Einstellungen!$C$3,2,1)))</f>
        <v/>
      </c>
      <c r="D173" s="54">
        <f>IF($B173="","",SUMIFS(Erfassung!$E$6:$E$5005,Erfassung!$B$6:$B$5005,$A173,Erfassung!$A$6:$A$5005,"&gt;="&amp;DATE(Einstellungen!$C$3,2,1),Erfassung!$A$6:$A$5005,"&lt;"&amp;DATE(Einstellungen!$C$3,3,1)))</f>
        <v/>
      </c>
      <c r="E173" s="54">
        <f>IF($B173="","",SUMIFS(Erfassung!$E$6:$E$5005,Erfassung!$B$6:$B$5005,$A173,Erfassung!$A$6:$A$5005,"&gt;="&amp;DATE(Einstellungen!$C$3,3,1),Erfassung!$A$6:$A$5005,"&lt;"&amp;DATE(Einstellungen!$C$3,4,1)))</f>
        <v/>
      </c>
      <c r="F173" s="54">
        <f>IF($B173="","",SUMIFS(Erfassung!$E$6:$E$5005,Erfassung!$B$6:$B$5005,$A173,Erfassung!$A$6:$A$5005,"&gt;="&amp;DATE(Einstellungen!$C$3,4,1),Erfassung!$A$6:$A$5005,"&lt;"&amp;DATE(Einstellungen!$C$3,5,1)))</f>
        <v/>
      </c>
      <c r="G173" s="54">
        <f>IF($B173="","",SUMIFS(Erfassung!$E$6:$E$5005,Erfassung!$B$6:$B$5005,$A173,Erfassung!$A$6:$A$5005,"&gt;="&amp;DATE(Einstellungen!$C$3,5,1),Erfassung!$A$6:$A$5005,"&lt;"&amp;DATE(Einstellungen!$C$3,6,1)))</f>
        <v/>
      </c>
      <c r="H173" s="54">
        <f>IF($B173="","",SUMIFS(Erfassung!$E$6:$E$5005,Erfassung!$B$6:$B$5005,$A173,Erfassung!$A$6:$A$5005,"&gt;="&amp;DATE(Einstellungen!$C$3,6,1),Erfassung!$A$6:$A$5005,"&lt;"&amp;DATE(Einstellungen!$C$3,7,1)))</f>
        <v/>
      </c>
      <c r="I173" s="54">
        <f>IF($B173="","",SUMIFS(Erfassung!$E$6:$E$5005,Erfassung!$B$6:$B$5005,$A173,Erfassung!$A$6:$A$5005,"&gt;="&amp;DATE(Einstellungen!$C$3,7,1),Erfassung!$A$6:$A$5005,"&lt;"&amp;DATE(Einstellungen!$C$3,8,1)))</f>
        <v/>
      </c>
      <c r="J173" s="54">
        <f>IF($B173="","",SUMIFS(Erfassung!$E$6:$E$5005,Erfassung!$B$6:$B$5005,$A173,Erfassung!$A$6:$A$5005,"&gt;="&amp;DATE(Einstellungen!$C$3,8,1),Erfassung!$A$6:$A$5005,"&lt;"&amp;DATE(Einstellungen!$C$3,9,1)))</f>
        <v/>
      </c>
      <c r="K173" s="54">
        <f>IF($B173="","",SUMIFS(Erfassung!$E$6:$E$5005,Erfassung!$B$6:$B$5005,$A173,Erfassung!$A$6:$A$5005,"&gt;="&amp;DATE(Einstellungen!$C$3,9,1),Erfassung!$A$6:$A$5005,"&lt;"&amp;DATE(Einstellungen!$C$3,10,1)))</f>
        <v/>
      </c>
      <c r="L173" s="54">
        <f>IF($B173="","",SUMIFS(Erfassung!$E$6:$E$5005,Erfassung!$B$6:$B$5005,$A173,Erfassung!$A$6:$A$5005,"&gt;="&amp;DATE(Einstellungen!$C$3,10,1),Erfassung!$A$6:$A$5005,"&lt;"&amp;DATE(Einstellungen!$C$3,11,1)))</f>
        <v/>
      </c>
      <c r="M173" s="54">
        <f>IF($B173="","",SUMIFS(Erfassung!$E$6:$E$5005,Erfassung!$B$6:$B$5005,$A173,Erfassung!$A$6:$A$5005,"&gt;="&amp;DATE(Einstellungen!$C$3,11,1),Erfassung!$A$6:$A$5005,"&lt;"&amp;DATE(Einstellungen!$C$3,12,1)))</f>
        <v/>
      </c>
      <c r="N173" s="54">
        <f>IF($B173="","",SUMIFS(Erfassung!$E$6:$E$5005,Erfassung!$B$6:$B$5005,$A173,Erfassung!$A$6:$A$5005,"&gt;="&amp;DATE(Einstellungen!$C$3,12,1),Erfassung!$A$6:$A$5005,"&lt;"&amp;DATE(Einstellungen!$C$3,13,1)))</f>
        <v/>
      </c>
      <c r="O173" s="45">
        <f>IF($B173="","",SUM(C173:N173))</f>
        <v/>
      </c>
      <c r="P173" s="54">
        <f>IF($B173="","",SUMIFS(Erfassung!$G$6:$G$5005,Erfassung!$B$6:$B$5005,$A173,Erfassung!$A$6:$A$5005,"&gt;="&amp;DATE(Einstellungen!$C$3,1,1),Erfassung!$A$6:$A$5005,"&lt;"&amp;DATE(Einstellungen!$C$3,2,1)))</f>
        <v/>
      </c>
      <c r="Q173" s="54">
        <f>IF($B173="","",SUMIFS(Erfassung!$G$6:$G$5005,Erfassung!$B$6:$B$5005,$A173,Erfassung!$A$6:$A$5005,"&gt;="&amp;DATE(Einstellungen!$C$3,2,1),Erfassung!$A$6:$A$5005,"&lt;"&amp;DATE(Einstellungen!$C$3,3,1)))</f>
        <v/>
      </c>
      <c r="R173" s="54">
        <f>IF($B173="","",SUMIFS(Erfassung!$G$6:$G$5005,Erfassung!$B$6:$B$5005,$A173,Erfassung!$A$6:$A$5005,"&gt;="&amp;DATE(Einstellungen!$C$3,3,1),Erfassung!$A$6:$A$5005,"&lt;"&amp;DATE(Einstellungen!$C$3,4,1)))</f>
        <v/>
      </c>
      <c r="S173" s="54">
        <f>IF($B173="","",SUMIFS(Erfassung!$G$6:$G$5005,Erfassung!$B$6:$B$5005,$A173,Erfassung!$A$6:$A$5005,"&gt;="&amp;DATE(Einstellungen!$C$3,4,1),Erfassung!$A$6:$A$5005,"&lt;"&amp;DATE(Einstellungen!$C$3,5,1)))</f>
        <v/>
      </c>
      <c r="T173" s="54">
        <f>IF($B173="","",SUMIFS(Erfassung!$G$6:$G$5005,Erfassung!$B$6:$B$5005,$A173,Erfassung!$A$6:$A$5005,"&gt;="&amp;DATE(Einstellungen!$C$3,5,1),Erfassung!$A$6:$A$5005,"&lt;"&amp;DATE(Einstellungen!$C$3,6,1)))</f>
        <v/>
      </c>
      <c r="U173" s="54">
        <f>IF($B173="","",SUMIFS(Erfassung!$G$6:$G$5005,Erfassung!$B$6:$B$5005,$A173,Erfassung!$A$6:$A$5005,"&gt;="&amp;DATE(Einstellungen!$C$3,6,1),Erfassung!$A$6:$A$5005,"&lt;"&amp;DATE(Einstellungen!$C$3,7,1)))</f>
        <v/>
      </c>
      <c r="V173" s="54">
        <f>IF($B173="","",SUMIFS(Erfassung!$G$6:$G$5005,Erfassung!$B$6:$B$5005,$A173,Erfassung!$A$6:$A$5005,"&gt;="&amp;DATE(Einstellungen!$C$3,7,1),Erfassung!$A$6:$A$5005,"&lt;"&amp;DATE(Einstellungen!$C$3,8,1)))</f>
        <v/>
      </c>
      <c r="W173" s="54">
        <f>IF($B173="","",SUMIFS(Erfassung!$G$6:$G$5005,Erfassung!$B$6:$B$5005,$A173,Erfassung!$A$6:$A$5005,"&gt;="&amp;DATE(Einstellungen!$C$3,8,1),Erfassung!$A$6:$A$5005,"&lt;"&amp;DATE(Einstellungen!$C$3,9,1)))</f>
        <v/>
      </c>
      <c r="X173" s="54">
        <f>IF($B173="","",SUMIFS(Erfassung!$G$6:$G$5005,Erfassung!$B$6:$B$5005,$A173,Erfassung!$A$6:$A$5005,"&gt;="&amp;DATE(Einstellungen!$C$3,9,1),Erfassung!$A$6:$A$5005,"&lt;"&amp;DATE(Einstellungen!$C$3,10,1)))</f>
        <v/>
      </c>
      <c r="Y173" s="54">
        <f>IF($B173="","",SUMIFS(Erfassung!$G$6:$G$5005,Erfassung!$B$6:$B$5005,$A173,Erfassung!$A$6:$A$5005,"&gt;="&amp;DATE(Einstellungen!$C$3,10,1),Erfassung!$A$6:$A$5005,"&lt;"&amp;DATE(Einstellungen!$C$3,11,1)))</f>
        <v/>
      </c>
      <c r="Z173" s="54">
        <f>IF($B173="","",SUMIFS(Erfassung!$G$6:$G$5005,Erfassung!$B$6:$B$5005,$A173,Erfassung!$A$6:$A$5005,"&gt;="&amp;DATE(Einstellungen!$C$3,11,1),Erfassung!$A$6:$A$5005,"&lt;"&amp;DATE(Einstellungen!$C$3,12,1)))</f>
        <v/>
      </c>
      <c r="AA173" s="54">
        <f>IF($B173="","",SUMIFS(Erfassung!$G$6:$G$5005,Erfassung!$B$6:$B$5005,$A173,Erfassung!$A$6:$A$5005,"&gt;="&amp;DATE(Einstellungen!$C$3,12,1),Erfassung!$A$6:$A$5005,"&lt;"&amp;DATE(Einstellungen!$C$3,13,1)))</f>
        <v/>
      </c>
      <c r="AB173" s="45">
        <f>IF($B173="","",SUM(P173:AA173))</f>
        <v/>
      </c>
      <c r="AC173" s="38">
        <f>IF($B173="","",IF(O173+AB173&gt;0,AB173/(O173+AB173),""))</f>
        <v/>
      </c>
    </row>
    <row r="174">
      <c r="A174" s="56">
        <f>'KQuote Mitarbeiter'!A174</f>
        <v/>
      </c>
      <c r="B174" s="57">
        <f>'KQuote Mitarbeiter'!B174</f>
        <v/>
      </c>
      <c r="C174" s="54">
        <f>IF($B174="","",SUMIFS(Erfassung!$E$6:$E$5005,Erfassung!$B$6:$B$5005,$A174,Erfassung!$A$6:$A$5005,"&gt;="&amp;DATE(Einstellungen!$C$3,1,1),Erfassung!$A$6:$A$5005,"&lt;"&amp;DATE(Einstellungen!$C$3,2,1)))</f>
        <v/>
      </c>
      <c r="D174" s="54">
        <f>IF($B174="","",SUMIFS(Erfassung!$E$6:$E$5005,Erfassung!$B$6:$B$5005,$A174,Erfassung!$A$6:$A$5005,"&gt;="&amp;DATE(Einstellungen!$C$3,2,1),Erfassung!$A$6:$A$5005,"&lt;"&amp;DATE(Einstellungen!$C$3,3,1)))</f>
        <v/>
      </c>
      <c r="E174" s="54">
        <f>IF($B174="","",SUMIFS(Erfassung!$E$6:$E$5005,Erfassung!$B$6:$B$5005,$A174,Erfassung!$A$6:$A$5005,"&gt;="&amp;DATE(Einstellungen!$C$3,3,1),Erfassung!$A$6:$A$5005,"&lt;"&amp;DATE(Einstellungen!$C$3,4,1)))</f>
        <v/>
      </c>
      <c r="F174" s="54">
        <f>IF($B174="","",SUMIFS(Erfassung!$E$6:$E$5005,Erfassung!$B$6:$B$5005,$A174,Erfassung!$A$6:$A$5005,"&gt;="&amp;DATE(Einstellungen!$C$3,4,1),Erfassung!$A$6:$A$5005,"&lt;"&amp;DATE(Einstellungen!$C$3,5,1)))</f>
        <v/>
      </c>
      <c r="G174" s="54">
        <f>IF($B174="","",SUMIFS(Erfassung!$E$6:$E$5005,Erfassung!$B$6:$B$5005,$A174,Erfassung!$A$6:$A$5005,"&gt;="&amp;DATE(Einstellungen!$C$3,5,1),Erfassung!$A$6:$A$5005,"&lt;"&amp;DATE(Einstellungen!$C$3,6,1)))</f>
        <v/>
      </c>
      <c r="H174" s="54">
        <f>IF($B174="","",SUMIFS(Erfassung!$E$6:$E$5005,Erfassung!$B$6:$B$5005,$A174,Erfassung!$A$6:$A$5005,"&gt;="&amp;DATE(Einstellungen!$C$3,6,1),Erfassung!$A$6:$A$5005,"&lt;"&amp;DATE(Einstellungen!$C$3,7,1)))</f>
        <v/>
      </c>
      <c r="I174" s="54">
        <f>IF($B174="","",SUMIFS(Erfassung!$E$6:$E$5005,Erfassung!$B$6:$B$5005,$A174,Erfassung!$A$6:$A$5005,"&gt;="&amp;DATE(Einstellungen!$C$3,7,1),Erfassung!$A$6:$A$5005,"&lt;"&amp;DATE(Einstellungen!$C$3,8,1)))</f>
        <v/>
      </c>
      <c r="J174" s="54">
        <f>IF($B174="","",SUMIFS(Erfassung!$E$6:$E$5005,Erfassung!$B$6:$B$5005,$A174,Erfassung!$A$6:$A$5005,"&gt;="&amp;DATE(Einstellungen!$C$3,8,1),Erfassung!$A$6:$A$5005,"&lt;"&amp;DATE(Einstellungen!$C$3,9,1)))</f>
        <v/>
      </c>
      <c r="K174" s="54">
        <f>IF($B174="","",SUMIFS(Erfassung!$E$6:$E$5005,Erfassung!$B$6:$B$5005,$A174,Erfassung!$A$6:$A$5005,"&gt;="&amp;DATE(Einstellungen!$C$3,9,1),Erfassung!$A$6:$A$5005,"&lt;"&amp;DATE(Einstellungen!$C$3,10,1)))</f>
        <v/>
      </c>
      <c r="L174" s="54">
        <f>IF($B174="","",SUMIFS(Erfassung!$E$6:$E$5005,Erfassung!$B$6:$B$5005,$A174,Erfassung!$A$6:$A$5005,"&gt;="&amp;DATE(Einstellungen!$C$3,10,1),Erfassung!$A$6:$A$5005,"&lt;"&amp;DATE(Einstellungen!$C$3,11,1)))</f>
        <v/>
      </c>
      <c r="M174" s="54">
        <f>IF($B174="","",SUMIFS(Erfassung!$E$6:$E$5005,Erfassung!$B$6:$B$5005,$A174,Erfassung!$A$6:$A$5005,"&gt;="&amp;DATE(Einstellungen!$C$3,11,1),Erfassung!$A$6:$A$5005,"&lt;"&amp;DATE(Einstellungen!$C$3,12,1)))</f>
        <v/>
      </c>
      <c r="N174" s="54">
        <f>IF($B174="","",SUMIFS(Erfassung!$E$6:$E$5005,Erfassung!$B$6:$B$5005,$A174,Erfassung!$A$6:$A$5005,"&gt;="&amp;DATE(Einstellungen!$C$3,12,1),Erfassung!$A$6:$A$5005,"&lt;"&amp;DATE(Einstellungen!$C$3,13,1)))</f>
        <v/>
      </c>
      <c r="O174" s="45">
        <f>IF($B174="","",SUM(C174:N174))</f>
        <v/>
      </c>
      <c r="P174" s="54">
        <f>IF($B174="","",SUMIFS(Erfassung!$G$6:$G$5005,Erfassung!$B$6:$B$5005,$A174,Erfassung!$A$6:$A$5005,"&gt;="&amp;DATE(Einstellungen!$C$3,1,1),Erfassung!$A$6:$A$5005,"&lt;"&amp;DATE(Einstellungen!$C$3,2,1)))</f>
        <v/>
      </c>
      <c r="Q174" s="54">
        <f>IF($B174="","",SUMIFS(Erfassung!$G$6:$G$5005,Erfassung!$B$6:$B$5005,$A174,Erfassung!$A$6:$A$5005,"&gt;="&amp;DATE(Einstellungen!$C$3,2,1),Erfassung!$A$6:$A$5005,"&lt;"&amp;DATE(Einstellungen!$C$3,3,1)))</f>
        <v/>
      </c>
      <c r="R174" s="54">
        <f>IF($B174="","",SUMIFS(Erfassung!$G$6:$G$5005,Erfassung!$B$6:$B$5005,$A174,Erfassung!$A$6:$A$5005,"&gt;="&amp;DATE(Einstellungen!$C$3,3,1),Erfassung!$A$6:$A$5005,"&lt;"&amp;DATE(Einstellungen!$C$3,4,1)))</f>
        <v/>
      </c>
      <c r="S174" s="54">
        <f>IF($B174="","",SUMIFS(Erfassung!$G$6:$G$5005,Erfassung!$B$6:$B$5005,$A174,Erfassung!$A$6:$A$5005,"&gt;="&amp;DATE(Einstellungen!$C$3,4,1),Erfassung!$A$6:$A$5005,"&lt;"&amp;DATE(Einstellungen!$C$3,5,1)))</f>
        <v/>
      </c>
      <c r="T174" s="54">
        <f>IF($B174="","",SUMIFS(Erfassung!$G$6:$G$5005,Erfassung!$B$6:$B$5005,$A174,Erfassung!$A$6:$A$5005,"&gt;="&amp;DATE(Einstellungen!$C$3,5,1),Erfassung!$A$6:$A$5005,"&lt;"&amp;DATE(Einstellungen!$C$3,6,1)))</f>
        <v/>
      </c>
      <c r="U174" s="54">
        <f>IF($B174="","",SUMIFS(Erfassung!$G$6:$G$5005,Erfassung!$B$6:$B$5005,$A174,Erfassung!$A$6:$A$5005,"&gt;="&amp;DATE(Einstellungen!$C$3,6,1),Erfassung!$A$6:$A$5005,"&lt;"&amp;DATE(Einstellungen!$C$3,7,1)))</f>
        <v/>
      </c>
      <c r="V174" s="54">
        <f>IF($B174="","",SUMIFS(Erfassung!$G$6:$G$5005,Erfassung!$B$6:$B$5005,$A174,Erfassung!$A$6:$A$5005,"&gt;="&amp;DATE(Einstellungen!$C$3,7,1),Erfassung!$A$6:$A$5005,"&lt;"&amp;DATE(Einstellungen!$C$3,8,1)))</f>
        <v/>
      </c>
      <c r="W174" s="54">
        <f>IF($B174="","",SUMIFS(Erfassung!$G$6:$G$5005,Erfassung!$B$6:$B$5005,$A174,Erfassung!$A$6:$A$5005,"&gt;="&amp;DATE(Einstellungen!$C$3,8,1),Erfassung!$A$6:$A$5005,"&lt;"&amp;DATE(Einstellungen!$C$3,9,1)))</f>
        <v/>
      </c>
      <c r="X174" s="54">
        <f>IF($B174="","",SUMIFS(Erfassung!$G$6:$G$5005,Erfassung!$B$6:$B$5005,$A174,Erfassung!$A$6:$A$5005,"&gt;="&amp;DATE(Einstellungen!$C$3,9,1),Erfassung!$A$6:$A$5005,"&lt;"&amp;DATE(Einstellungen!$C$3,10,1)))</f>
        <v/>
      </c>
      <c r="Y174" s="54">
        <f>IF($B174="","",SUMIFS(Erfassung!$G$6:$G$5005,Erfassung!$B$6:$B$5005,$A174,Erfassung!$A$6:$A$5005,"&gt;="&amp;DATE(Einstellungen!$C$3,10,1),Erfassung!$A$6:$A$5005,"&lt;"&amp;DATE(Einstellungen!$C$3,11,1)))</f>
        <v/>
      </c>
      <c r="Z174" s="54">
        <f>IF($B174="","",SUMIFS(Erfassung!$G$6:$G$5005,Erfassung!$B$6:$B$5005,$A174,Erfassung!$A$6:$A$5005,"&gt;="&amp;DATE(Einstellungen!$C$3,11,1),Erfassung!$A$6:$A$5005,"&lt;"&amp;DATE(Einstellungen!$C$3,12,1)))</f>
        <v/>
      </c>
      <c r="AA174" s="54">
        <f>IF($B174="","",SUMIFS(Erfassung!$G$6:$G$5005,Erfassung!$B$6:$B$5005,$A174,Erfassung!$A$6:$A$5005,"&gt;="&amp;DATE(Einstellungen!$C$3,12,1),Erfassung!$A$6:$A$5005,"&lt;"&amp;DATE(Einstellungen!$C$3,13,1)))</f>
        <v/>
      </c>
      <c r="AB174" s="45">
        <f>IF($B174="","",SUM(P174:AA174))</f>
        <v/>
      </c>
      <c r="AC174" s="38">
        <f>IF($B174="","",IF(O174+AB174&gt;0,AB174/(O174+AB174),""))</f>
        <v/>
      </c>
    </row>
    <row r="175">
      <c r="A175" s="56">
        <f>'KQuote Mitarbeiter'!A175</f>
        <v/>
      </c>
      <c r="B175" s="57">
        <f>'KQuote Mitarbeiter'!B175</f>
        <v/>
      </c>
      <c r="C175" s="54">
        <f>IF($B175="","",SUMIFS(Erfassung!$E$6:$E$5005,Erfassung!$B$6:$B$5005,$A175,Erfassung!$A$6:$A$5005,"&gt;="&amp;DATE(Einstellungen!$C$3,1,1),Erfassung!$A$6:$A$5005,"&lt;"&amp;DATE(Einstellungen!$C$3,2,1)))</f>
        <v/>
      </c>
      <c r="D175" s="54">
        <f>IF($B175="","",SUMIFS(Erfassung!$E$6:$E$5005,Erfassung!$B$6:$B$5005,$A175,Erfassung!$A$6:$A$5005,"&gt;="&amp;DATE(Einstellungen!$C$3,2,1),Erfassung!$A$6:$A$5005,"&lt;"&amp;DATE(Einstellungen!$C$3,3,1)))</f>
        <v/>
      </c>
      <c r="E175" s="54">
        <f>IF($B175="","",SUMIFS(Erfassung!$E$6:$E$5005,Erfassung!$B$6:$B$5005,$A175,Erfassung!$A$6:$A$5005,"&gt;="&amp;DATE(Einstellungen!$C$3,3,1),Erfassung!$A$6:$A$5005,"&lt;"&amp;DATE(Einstellungen!$C$3,4,1)))</f>
        <v/>
      </c>
      <c r="F175" s="54">
        <f>IF($B175="","",SUMIFS(Erfassung!$E$6:$E$5005,Erfassung!$B$6:$B$5005,$A175,Erfassung!$A$6:$A$5005,"&gt;="&amp;DATE(Einstellungen!$C$3,4,1),Erfassung!$A$6:$A$5005,"&lt;"&amp;DATE(Einstellungen!$C$3,5,1)))</f>
        <v/>
      </c>
      <c r="G175" s="54">
        <f>IF($B175="","",SUMIFS(Erfassung!$E$6:$E$5005,Erfassung!$B$6:$B$5005,$A175,Erfassung!$A$6:$A$5005,"&gt;="&amp;DATE(Einstellungen!$C$3,5,1),Erfassung!$A$6:$A$5005,"&lt;"&amp;DATE(Einstellungen!$C$3,6,1)))</f>
        <v/>
      </c>
      <c r="H175" s="54">
        <f>IF($B175="","",SUMIFS(Erfassung!$E$6:$E$5005,Erfassung!$B$6:$B$5005,$A175,Erfassung!$A$6:$A$5005,"&gt;="&amp;DATE(Einstellungen!$C$3,6,1),Erfassung!$A$6:$A$5005,"&lt;"&amp;DATE(Einstellungen!$C$3,7,1)))</f>
        <v/>
      </c>
      <c r="I175" s="54">
        <f>IF($B175="","",SUMIFS(Erfassung!$E$6:$E$5005,Erfassung!$B$6:$B$5005,$A175,Erfassung!$A$6:$A$5005,"&gt;="&amp;DATE(Einstellungen!$C$3,7,1),Erfassung!$A$6:$A$5005,"&lt;"&amp;DATE(Einstellungen!$C$3,8,1)))</f>
        <v/>
      </c>
      <c r="J175" s="54">
        <f>IF($B175="","",SUMIFS(Erfassung!$E$6:$E$5005,Erfassung!$B$6:$B$5005,$A175,Erfassung!$A$6:$A$5005,"&gt;="&amp;DATE(Einstellungen!$C$3,8,1),Erfassung!$A$6:$A$5005,"&lt;"&amp;DATE(Einstellungen!$C$3,9,1)))</f>
        <v/>
      </c>
      <c r="K175" s="54">
        <f>IF($B175="","",SUMIFS(Erfassung!$E$6:$E$5005,Erfassung!$B$6:$B$5005,$A175,Erfassung!$A$6:$A$5005,"&gt;="&amp;DATE(Einstellungen!$C$3,9,1),Erfassung!$A$6:$A$5005,"&lt;"&amp;DATE(Einstellungen!$C$3,10,1)))</f>
        <v/>
      </c>
      <c r="L175" s="54">
        <f>IF($B175="","",SUMIFS(Erfassung!$E$6:$E$5005,Erfassung!$B$6:$B$5005,$A175,Erfassung!$A$6:$A$5005,"&gt;="&amp;DATE(Einstellungen!$C$3,10,1),Erfassung!$A$6:$A$5005,"&lt;"&amp;DATE(Einstellungen!$C$3,11,1)))</f>
        <v/>
      </c>
      <c r="M175" s="54">
        <f>IF($B175="","",SUMIFS(Erfassung!$E$6:$E$5005,Erfassung!$B$6:$B$5005,$A175,Erfassung!$A$6:$A$5005,"&gt;="&amp;DATE(Einstellungen!$C$3,11,1),Erfassung!$A$6:$A$5005,"&lt;"&amp;DATE(Einstellungen!$C$3,12,1)))</f>
        <v/>
      </c>
      <c r="N175" s="54">
        <f>IF($B175="","",SUMIFS(Erfassung!$E$6:$E$5005,Erfassung!$B$6:$B$5005,$A175,Erfassung!$A$6:$A$5005,"&gt;="&amp;DATE(Einstellungen!$C$3,12,1),Erfassung!$A$6:$A$5005,"&lt;"&amp;DATE(Einstellungen!$C$3,13,1)))</f>
        <v/>
      </c>
      <c r="O175" s="45">
        <f>IF($B175="","",SUM(C175:N175))</f>
        <v/>
      </c>
      <c r="P175" s="54">
        <f>IF($B175="","",SUMIFS(Erfassung!$G$6:$G$5005,Erfassung!$B$6:$B$5005,$A175,Erfassung!$A$6:$A$5005,"&gt;="&amp;DATE(Einstellungen!$C$3,1,1),Erfassung!$A$6:$A$5005,"&lt;"&amp;DATE(Einstellungen!$C$3,2,1)))</f>
        <v/>
      </c>
      <c r="Q175" s="54">
        <f>IF($B175="","",SUMIFS(Erfassung!$G$6:$G$5005,Erfassung!$B$6:$B$5005,$A175,Erfassung!$A$6:$A$5005,"&gt;="&amp;DATE(Einstellungen!$C$3,2,1),Erfassung!$A$6:$A$5005,"&lt;"&amp;DATE(Einstellungen!$C$3,3,1)))</f>
        <v/>
      </c>
      <c r="R175" s="54">
        <f>IF($B175="","",SUMIFS(Erfassung!$G$6:$G$5005,Erfassung!$B$6:$B$5005,$A175,Erfassung!$A$6:$A$5005,"&gt;="&amp;DATE(Einstellungen!$C$3,3,1),Erfassung!$A$6:$A$5005,"&lt;"&amp;DATE(Einstellungen!$C$3,4,1)))</f>
        <v/>
      </c>
      <c r="S175" s="54">
        <f>IF($B175="","",SUMIFS(Erfassung!$G$6:$G$5005,Erfassung!$B$6:$B$5005,$A175,Erfassung!$A$6:$A$5005,"&gt;="&amp;DATE(Einstellungen!$C$3,4,1),Erfassung!$A$6:$A$5005,"&lt;"&amp;DATE(Einstellungen!$C$3,5,1)))</f>
        <v/>
      </c>
      <c r="T175" s="54">
        <f>IF($B175="","",SUMIFS(Erfassung!$G$6:$G$5005,Erfassung!$B$6:$B$5005,$A175,Erfassung!$A$6:$A$5005,"&gt;="&amp;DATE(Einstellungen!$C$3,5,1),Erfassung!$A$6:$A$5005,"&lt;"&amp;DATE(Einstellungen!$C$3,6,1)))</f>
        <v/>
      </c>
      <c r="U175" s="54">
        <f>IF($B175="","",SUMIFS(Erfassung!$G$6:$G$5005,Erfassung!$B$6:$B$5005,$A175,Erfassung!$A$6:$A$5005,"&gt;="&amp;DATE(Einstellungen!$C$3,6,1),Erfassung!$A$6:$A$5005,"&lt;"&amp;DATE(Einstellungen!$C$3,7,1)))</f>
        <v/>
      </c>
      <c r="V175" s="54">
        <f>IF($B175="","",SUMIFS(Erfassung!$G$6:$G$5005,Erfassung!$B$6:$B$5005,$A175,Erfassung!$A$6:$A$5005,"&gt;="&amp;DATE(Einstellungen!$C$3,7,1),Erfassung!$A$6:$A$5005,"&lt;"&amp;DATE(Einstellungen!$C$3,8,1)))</f>
        <v/>
      </c>
      <c r="W175" s="54">
        <f>IF($B175="","",SUMIFS(Erfassung!$G$6:$G$5005,Erfassung!$B$6:$B$5005,$A175,Erfassung!$A$6:$A$5005,"&gt;="&amp;DATE(Einstellungen!$C$3,8,1),Erfassung!$A$6:$A$5005,"&lt;"&amp;DATE(Einstellungen!$C$3,9,1)))</f>
        <v/>
      </c>
      <c r="X175" s="54">
        <f>IF($B175="","",SUMIFS(Erfassung!$G$6:$G$5005,Erfassung!$B$6:$B$5005,$A175,Erfassung!$A$6:$A$5005,"&gt;="&amp;DATE(Einstellungen!$C$3,9,1),Erfassung!$A$6:$A$5005,"&lt;"&amp;DATE(Einstellungen!$C$3,10,1)))</f>
        <v/>
      </c>
      <c r="Y175" s="54">
        <f>IF($B175="","",SUMIFS(Erfassung!$G$6:$G$5005,Erfassung!$B$6:$B$5005,$A175,Erfassung!$A$6:$A$5005,"&gt;="&amp;DATE(Einstellungen!$C$3,10,1),Erfassung!$A$6:$A$5005,"&lt;"&amp;DATE(Einstellungen!$C$3,11,1)))</f>
        <v/>
      </c>
      <c r="Z175" s="54">
        <f>IF($B175="","",SUMIFS(Erfassung!$G$6:$G$5005,Erfassung!$B$6:$B$5005,$A175,Erfassung!$A$6:$A$5005,"&gt;="&amp;DATE(Einstellungen!$C$3,11,1),Erfassung!$A$6:$A$5005,"&lt;"&amp;DATE(Einstellungen!$C$3,12,1)))</f>
        <v/>
      </c>
      <c r="AA175" s="54">
        <f>IF($B175="","",SUMIFS(Erfassung!$G$6:$G$5005,Erfassung!$B$6:$B$5005,$A175,Erfassung!$A$6:$A$5005,"&gt;="&amp;DATE(Einstellungen!$C$3,12,1),Erfassung!$A$6:$A$5005,"&lt;"&amp;DATE(Einstellungen!$C$3,13,1)))</f>
        <v/>
      </c>
      <c r="AB175" s="45">
        <f>IF($B175="","",SUM(P175:AA175))</f>
        <v/>
      </c>
      <c r="AC175" s="38">
        <f>IF($B175="","",IF(O175+AB175&gt;0,AB175/(O175+AB175),""))</f>
        <v/>
      </c>
    </row>
    <row r="176">
      <c r="A176" s="56">
        <f>'KQuote Mitarbeiter'!A176</f>
        <v/>
      </c>
      <c r="B176" s="57">
        <f>'KQuote Mitarbeiter'!B176</f>
        <v/>
      </c>
      <c r="C176" s="54">
        <f>IF($B176="","",SUMIFS(Erfassung!$E$6:$E$5005,Erfassung!$B$6:$B$5005,$A176,Erfassung!$A$6:$A$5005,"&gt;="&amp;DATE(Einstellungen!$C$3,1,1),Erfassung!$A$6:$A$5005,"&lt;"&amp;DATE(Einstellungen!$C$3,2,1)))</f>
        <v/>
      </c>
      <c r="D176" s="54">
        <f>IF($B176="","",SUMIFS(Erfassung!$E$6:$E$5005,Erfassung!$B$6:$B$5005,$A176,Erfassung!$A$6:$A$5005,"&gt;="&amp;DATE(Einstellungen!$C$3,2,1),Erfassung!$A$6:$A$5005,"&lt;"&amp;DATE(Einstellungen!$C$3,3,1)))</f>
        <v/>
      </c>
      <c r="E176" s="54">
        <f>IF($B176="","",SUMIFS(Erfassung!$E$6:$E$5005,Erfassung!$B$6:$B$5005,$A176,Erfassung!$A$6:$A$5005,"&gt;="&amp;DATE(Einstellungen!$C$3,3,1),Erfassung!$A$6:$A$5005,"&lt;"&amp;DATE(Einstellungen!$C$3,4,1)))</f>
        <v/>
      </c>
      <c r="F176" s="54">
        <f>IF($B176="","",SUMIFS(Erfassung!$E$6:$E$5005,Erfassung!$B$6:$B$5005,$A176,Erfassung!$A$6:$A$5005,"&gt;="&amp;DATE(Einstellungen!$C$3,4,1),Erfassung!$A$6:$A$5005,"&lt;"&amp;DATE(Einstellungen!$C$3,5,1)))</f>
        <v/>
      </c>
      <c r="G176" s="54">
        <f>IF($B176="","",SUMIFS(Erfassung!$E$6:$E$5005,Erfassung!$B$6:$B$5005,$A176,Erfassung!$A$6:$A$5005,"&gt;="&amp;DATE(Einstellungen!$C$3,5,1),Erfassung!$A$6:$A$5005,"&lt;"&amp;DATE(Einstellungen!$C$3,6,1)))</f>
        <v/>
      </c>
      <c r="H176" s="54">
        <f>IF($B176="","",SUMIFS(Erfassung!$E$6:$E$5005,Erfassung!$B$6:$B$5005,$A176,Erfassung!$A$6:$A$5005,"&gt;="&amp;DATE(Einstellungen!$C$3,6,1),Erfassung!$A$6:$A$5005,"&lt;"&amp;DATE(Einstellungen!$C$3,7,1)))</f>
        <v/>
      </c>
      <c r="I176" s="54">
        <f>IF($B176="","",SUMIFS(Erfassung!$E$6:$E$5005,Erfassung!$B$6:$B$5005,$A176,Erfassung!$A$6:$A$5005,"&gt;="&amp;DATE(Einstellungen!$C$3,7,1),Erfassung!$A$6:$A$5005,"&lt;"&amp;DATE(Einstellungen!$C$3,8,1)))</f>
        <v/>
      </c>
      <c r="J176" s="54">
        <f>IF($B176="","",SUMIFS(Erfassung!$E$6:$E$5005,Erfassung!$B$6:$B$5005,$A176,Erfassung!$A$6:$A$5005,"&gt;="&amp;DATE(Einstellungen!$C$3,8,1),Erfassung!$A$6:$A$5005,"&lt;"&amp;DATE(Einstellungen!$C$3,9,1)))</f>
        <v/>
      </c>
      <c r="K176" s="54">
        <f>IF($B176="","",SUMIFS(Erfassung!$E$6:$E$5005,Erfassung!$B$6:$B$5005,$A176,Erfassung!$A$6:$A$5005,"&gt;="&amp;DATE(Einstellungen!$C$3,9,1),Erfassung!$A$6:$A$5005,"&lt;"&amp;DATE(Einstellungen!$C$3,10,1)))</f>
        <v/>
      </c>
      <c r="L176" s="54">
        <f>IF($B176="","",SUMIFS(Erfassung!$E$6:$E$5005,Erfassung!$B$6:$B$5005,$A176,Erfassung!$A$6:$A$5005,"&gt;="&amp;DATE(Einstellungen!$C$3,10,1),Erfassung!$A$6:$A$5005,"&lt;"&amp;DATE(Einstellungen!$C$3,11,1)))</f>
        <v/>
      </c>
      <c r="M176" s="54">
        <f>IF($B176="","",SUMIFS(Erfassung!$E$6:$E$5005,Erfassung!$B$6:$B$5005,$A176,Erfassung!$A$6:$A$5005,"&gt;="&amp;DATE(Einstellungen!$C$3,11,1),Erfassung!$A$6:$A$5005,"&lt;"&amp;DATE(Einstellungen!$C$3,12,1)))</f>
        <v/>
      </c>
      <c r="N176" s="54">
        <f>IF($B176="","",SUMIFS(Erfassung!$E$6:$E$5005,Erfassung!$B$6:$B$5005,$A176,Erfassung!$A$6:$A$5005,"&gt;="&amp;DATE(Einstellungen!$C$3,12,1),Erfassung!$A$6:$A$5005,"&lt;"&amp;DATE(Einstellungen!$C$3,13,1)))</f>
        <v/>
      </c>
      <c r="O176" s="45">
        <f>IF($B176="","",SUM(C176:N176))</f>
        <v/>
      </c>
      <c r="P176" s="54">
        <f>IF($B176="","",SUMIFS(Erfassung!$G$6:$G$5005,Erfassung!$B$6:$B$5005,$A176,Erfassung!$A$6:$A$5005,"&gt;="&amp;DATE(Einstellungen!$C$3,1,1),Erfassung!$A$6:$A$5005,"&lt;"&amp;DATE(Einstellungen!$C$3,2,1)))</f>
        <v/>
      </c>
      <c r="Q176" s="54">
        <f>IF($B176="","",SUMIFS(Erfassung!$G$6:$G$5005,Erfassung!$B$6:$B$5005,$A176,Erfassung!$A$6:$A$5005,"&gt;="&amp;DATE(Einstellungen!$C$3,2,1),Erfassung!$A$6:$A$5005,"&lt;"&amp;DATE(Einstellungen!$C$3,3,1)))</f>
        <v/>
      </c>
      <c r="R176" s="54">
        <f>IF($B176="","",SUMIFS(Erfassung!$G$6:$G$5005,Erfassung!$B$6:$B$5005,$A176,Erfassung!$A$6:$A$5005,"&gt;="&amp;DATE(Einstellungen!$C$3,3,1),Erfassung!$A$6:$A$5005,"&lt;"&amp;DATE(Einstellungen!$C$3,4,1)))</f>
        <v/>
      </c>
      <c r="S176" s="54">
        <f>IF($B176="","",SUMIFS(Erfassung!$G$6:$G$5005,Erfassung!$B$6:$B$5005,$A176,Erfassung!$A$6:$A$5005,"&gt;="&amp;DATE(Einstellungen!$C$3,4,1),Erfassung!$A$6:$A$5005,"&lt;"&amp;DATE(Einstellungen!$C$3,5,1)))</f>
        <v/>
      </c>
      <c r="T176" s="54">
        <f>IF($B176="","",SUMIFS(Erfassung!$G$6:$G$5005,Erfassung!$B$6:$B$5005,$A176,Erfassung!$A$6:$A$5005,"&gt;="&amp;DATE(Einstellungen!$C$3,5,1),Erfassung!$A$6:$A$5005,"&lt;"&amp;DATE(Einstellungen!$C$3,6,1)))</f>
        <v/>
      </c>
      <c r="U176" s="54">
        <f>IF($B176="","",SUMIFS(Erfassung!$G$6:$G$5005,Erfassung!$B$6:$B$5005,$A176,Erfassung!$A$6:$A$5005,"&gt;="&amp;DATE(Einstellungen!$C$3,6,1),Erfassung!$A$6:$A$5005,"&lt;"&amp;DATE(Einstellungen!$C$3,7,1)))</f>
        <v/>
      </c>
      <c r="V176" s="54">
        <f>IF($B176="","",SUMIFS(Erfassung!$G$6:$G$5005,Erfassung!$B$6:$B$5005,$A176,Erfassung!$A$6:$A$5005,"&gt;="&amp;DATE(Einstellungen!$C$3,7,1),Erfassung!$A$6:$A$5005,"&lt;"&amp;DATE(Einstellungen!$C$3,8,1)))</f>
        <v/>
      </c>
      <c r="W176" s="54">
        <f>IF($B176="","",SUMIFS(Erfassung!$G$6:$G$5005,Erfassung!$B$6:$B$5005,$A176,Erfassung!$A$6:$A$5005,"&gt;="&amp;DATE(Einstellungen!$C$3,8,1),Erfassung!$A$6:$A$5005,"&lt;"&amp;DATE(Einstellungen!$C$3,9,1)))</f>
        <v/>
      </c>
      <c r="X176" s="54">
        <f>IF($B176="","",SUMIFS(Erfassung!$G$6:$G$5005,Erfassung!$B$6:$B$5005,$A176,Erfassung!$A$6:$A$5005,"&gt;="&amp;DATE(Einstellungen!$C$3,9,1),Erfassung!$A$6:$A$5005,"&lt;"&amp;DATE(Einstellungen!$C$3,10,1)))</f>
        <v/>
      </c>
      <c r="Y176" s="54">
        <f>IF($B176="","",SUMIFS(Erfassung!$G$6:$G$5005,Erfassung!$B$6:$B$5005,$A176,Erfassung!$A$6:$A$5005,"&gt;="&amp;DATE(Einstellungen!$C$3,10,1),Erfassung!$A$6:$A$5005,"&lt;"&amp;DATE(Einstellungen!$C$3,11,1)))</f>
        <v/>
      </c>
      <c r="Z176" s="54">
        <f>IF($B176="","",SUMIFS(Erfassung!$G$6:$G$5005,Erfassung!$B$6:$B$5005,$A176,Erfassung!$A$6:$A$5005,"&gt;="&amp;DATE(Einstellungen!$C$3,11,1),Erfassung!$A$6:$A$5005,"&lt;"&amp;DATE(Einstellungen!$C$3,12,1)))</f>
        <v/>
      </c>
      <c r="AA176" s="54">
        <f>IF($B176="","",SUMIFS(Erfassung!$G$6:$G$5005,Erfassung!$B$6:$B$5005,$A176,Erfassung!$A$6:$A$5005,"&gt;="&amp;DATE(Einstellungen!$C$3,12,1),Erfassung!$A$6:$A$5005,"&lt;"&amp;DATE(Einstellungen!$C$3,13,1)))</f>
        <v/>
      </c>
      <c r="AB176" s="45">
        <f>IF($B176="","",SUM(P176:AA176))</f>
        <v/>
      </c>
      <c r="AC176" s="38">
        <f>IF($B176="","",IF(O176+AB176&gt;0,AB176/(O176+AB176),""))</f>
        <v/>
      </c>
    </row>
    <row r="177">
      <c r="A177" s="56">
        <f>'KQuote Mitarbeiter'!A177</f>
        <v/>
      </c>
      <c r="B177" s="57">
        <f>'KQuote Mitarbeiter'!B177</f>
        <v/>
      </c>
      <c r="C177" s="54">
        <f>IF($B177="","",SUMIFS(Erfassung!$E$6:$E$5005,Erfassung!$B$6:$B$5005,$A177,Erfassung!$A$6:$A$5005,"&gt;="&amp;DATE(Einstellungen!$C$3,1,1),Erfassung!$A$6:$A$5005,"&lt;"&amp;DATE(Einstellungen!$C$3,2,1)))</f>
        <v/>
      </c>
      <c r="D177" s="54">
        <f>IF($B177="","",SUMIFS(Erfassung!$E$6:$E$5005,Erfassung!$B$6:$B$5005,$A177,Erfassung!$A$6:$A$5005,"&gt;="&amp;DATE(Einstellungen!$C$3,2,1),Erfassung!$A$6:$A$5005,"&lt;"&amp;DATE(Einstellungen!$C$3,3,1)))</f>
        <v/>
      </c>
      <c r="E177" s="54">
        <f>IF($B177="","",SUMIFS(Erfassung!$E$6:$E$5005,Erfassung!$B$6:$B$5005,$A177,Erfassung!$A$6:$A$5005,"&gt;="&amp;DATE(Einstellungen!$C$3,3,1),Erfassung!$A$6:$A$5005,"&lt;"&amp;DATE(Einstellungen!$C$3,4,1)))</f>
        <v/>
      </c>
      <c r="F177" s="54">
        <f>IF($B177="","",SUMIFS(Erfassung!$E$6:$E$5005,Erfassung!$B$6:$B$5005,$A177,Erfassung!$A$6:$A$5005,"&gt;="&amp;DATE(Einstellungen!$C$3,4,1),Erfassung!$A$6:$A$5005,"&lt;"&amp;DATE(Einstellungen!$C$3,5,1)))</f>
        <v/>
      </c>
      <c r="G177" s="54">
        <f>IF($B177="","",SUMIFS(Erfassung!$E$6:$E$5005,Erfassung!$B$6:$B$5005,$A177,Erfassung!$A$6:$A$5005,"&gt;="&amp;DATE(Einstellungen!$C$3,5,1),Erfassung!$A$6:$A$5005,"&lt;"&amp;DATE(Einstellungen!$C$3,6,1)))</f>
        <v/>
      </c>
      <c r="H177" s="54">
        <f>IF($B177="","",SUMIFS(Erfassung!$E$6:$E$5005,Erfassung!$B$6:$B$5005,$A177,Erfassung!$A$6:$A$5005,"&gt;="&amp;DATE(Einstellungen!$C$3,6,1),Erfassung!$A$6:$A$5005,"&lt;"&amp;DATE(Einstellungen!$C$3,7,1)))</f>
        <v/>
      </c>
      <c r="I177" s="54">
        <f>IF($B177="","",SUMIFS(Erfassung!$E$6:$E$5005,Erfassung!$B$6:$B$5005,$A177,Erfassung!$A$6:$A$5005,"&gt;="&amp;DATE(Einstellungen!$C$3,7,1),Erfassung!$A$6:$A$5005,"&lt;"&amp;DATE(Einstellungen!$C$3,8,1)))</f>
        <v/>
      </c>
      <c r="J177" s="54">
        <f>IF($B177="","",SUMIFS(Erfassung!$E$6:$E$5005,Erfassung!$B$6:$B$5005,$A177,Erfassung!$A$6:$A$5005,"&gt;="&amp;DATE(Einstellungen!$C$3,8,1),Erfassung!$A$6:$A$5005,"&lt;"&amp;DATE(Einstellungen!$C$3,9,1)))</f>
        <v/>
      </c>
      <c r="K177" s="54">
        <f>IF($B177="","",SUMIFS(Erfassung!$E$6:$E$5005,Erfassung!$B$6:$B$5005,$A177,Erfassung!$A$6:$A$5005,"&gt;="&amp;DATE(Einstellungen!$C$3,9,1),Erfassung!$A$6:$A$5005,"&lt;"&amp;DATE(Einstellungen!$C$3,10,1)))</f>
        <v/>
      </c>
      <c r="L177" s="54">
        <f>IF($B177="","",SUMIFS(Erfassung!$E$6:$E$5005,Erfassung!$B$6:$B$5005,$A177,Erfassung!$A$6:$A$5005,"&gt;="&amp;DATE(Einstellungen!$C$3,10,1),Erfassung!$A$6:$A$5005,"&lt;"&amp;DATE(Einstellungen!$C$3,11,1)))</f>
        <v/>
      </c>
      <c r="M177" s="54">
        <f>IF($B177="","",SUMIFS(Erfassung!$E$6:$E$5005,Erfassung!$B$6:$B$5005,$A177,Erfassung!$A$6:$A$5005,"&gt;="&amp;DATE(Einstellungen!$C$3,11,1),Erfassung!$A$6:$A$5005,"&lt;"&amp;DATE(Einstellungen!$C$3,12,1)))</f>
        <v/>
      </c>
      <c r="N177" s="54">
        <f>IF($B177="","",SUMIFS(Erfassung!$E$6:$E$5005,Erfassung!$B$6:$B$5005,$A177,Erfassung!$A$6:$A$5005,"&gt;="&amp;DATE(Einstellungen!$C$3,12,1),Erfassung!$A$6:$A$5005,"&lt;"&amp;DATE(Einstellungen!$C$3,13,1)))</f>
        <v/>
      </c>
      <c r="O177" s="45">
        <f>IF($B177="","",SUM(C177:N177))</f>
        <v/>
      </c>
      <c r="P177" s="54">
        <f>IF($B177="","",SUMIFS(Erfassung!$G$6:$G$5005,Erfassung!$B$6:$B$5005,$A177,Erfassung!$A$6:$A$5005,"&gt;="&amp;DATE(Einstellungen!$C$3,1,1),Erfassung!$A$6:$A$5005,"&lt;"&amp;DATE(Einstellungen!$C$3,2,1)))</f>
        <v/>
      </c>
      <c r="Q177" s="54">
        <f>IF($B177="","",SUMIFS(Erfassung!$G$6:$G$5005,Erfassung!$B$6:$B$5005,$A177,Erfassung!$A$6:$A$5005,"&gt;="&amp;DATE(Einstellungen!$C$3,2,1),Erfassung!$A$6:$A$5005,"&lt;"&amp;DATE(Einstellungen!$C$3,3,1)))</f>
        <v/>
      </c>
      <c r="R177" s="54">
        <f>IF($B177="","",SUMIFS(Erfassung!$G$6:$G$5005,Erfassung!$B$6:$B$5005,$A177,Erfassung!$A$6:$A$5005,"&gt;="&amp;DATE(Einstellungen!$C$3,3,1),Erfassung!$A$6:$A$5005,"&lt;"&amp;DATE(Einstellungen!$C$3,4,1)))</f>
        <v/>
      </c>
      <c r="S177" s="54">
        <f>IF($B177="","",SUMIFS(Erfassung!$G$6:$G$5005,Erfassung!$B$6:$B$5005,$A177,Erfassung!$A$6:$A$5005,"&gt;="&amp;DATE(Einstellungen!$C$3,4,1),Erfassung!$A$6:$A$5005,"&lt;"&amp;DATE(Einstellungen!$C$3,5,1)))</f>
        <v/>
      </c>
      <c r="T177" s="54">
        <f>IF($B177="","",SUMIFS(Erfassung!$G$6:$G$5005,Erfassung!$B$6:$B$5005,$A177,Erfassung!$A$6:$A$5005,"&gt;="&amp;DATE(Einstellungen!$C$3,5,1),Erfassung!$A$6:$A$5005,"&lt;"&amp;DATE(Einstellungen!$C$3,6,1)))</f>
        <v/>
      </c>
      <c r="U177" s="54">
        <f>IF($B177="","",SUMIFS(Erfassung!$G$6:$G$5005,Erfassung!$B$6:$B$5005,$A177,Erfassung!$A$6:$A$5005,"&gt;="&amp;DATE(Einstellungen!$C$3,6,1),Erfassung!$A$6:$A$5005,"&lt;"&amp;DATE(Einstellungen!$C$3,7,1)))</f>
        <v/>
      </c>
      <c r="V177" s="54">
        <f>IF($B177="","",SUMIFS(Erfassung!$G$6:$G$5005,Erfassung!$B$6:$B$5005,$A177,Erfassung!$A$6:$A$5005,"&gt;="&amp;DATE(Einstellungen!$C$3,7,1),Erfassung!$A$6:$A$5005,"&lt;"&amp;DATE(Einstellungen!$C$3,8,1)))</f>
        <v/>
      </c>
      <c r="W177" s="54">
        <f>IF($B177="","",SUMIFS(Erfassung!$G$6:$G$5005,Erfassung!$B$6:$B$5005,$A177,Erfassung!$A$6:$A$5005,"&gt;="&amp;DATE(Einstellungen!$C$3,8,1),Erfassung!$A$6:$A$5005,"&lt;"&amp;DATE(Einstellungen!$C$3,9,1)))</f>
        <v/>
      </c>
      <c r="X177" s="54">
        <f>IF($B177="","",SUMIFS(Erfassung!$G$6:$G$5005,Erfassung!$B$6:$B$5005,$A177,Erfassung!$A$6:$A$5005,"&gt;="&amp;DATE(Einstellungen!$C$3,9,1),Erfassung!$A$6:$A$5005,"&lt;"&amp;DATE(Einstellungen!$C$3,10,1)))</f>
        <v/>
      </c>
      <c r="Y177" s="54">
        <f>IF($B177="","",SUMIFS(Erfassung!$G$6:$G$5005,Erfassung!$B$6:$B$5005,$A177,Erfassung!$A$6:$A$5005,"&gt;="&amp;DATE(Einstellungen!$C$3,10,1),Erfassung!$A$6:$A$5005,"&lt;"&amp;DATE(Einstellungen!$C$3,11,1)))</f>
        <v/>
      </c>
      <c r="Z177" s="54">
        <f>IF($B177="","",SUMIFS(Erfassung!$G$6:$G$5005,Erfassung!$B$6:$B$5005,$A177,Erfassung!$A$6:$A$5005,"&gt;="&amp;DATE(Einstellungen!$C$3,11,1),Erfassung!$A$6:$A$5005,"&lt;"&amp;DATE(Einstellungen!$C$3,12,1)))</f>
        <v/>
      </c>
      <c r="AA177" s="54">
        <f>IF($B177="","",SUMIFS(Erfassung!$G$6:$G$5005,Erfassung!$B$6:$B$5005,$A177,Erfassung!$A$6:$A$5005,"&gt;="&amp;DATE(Einstellungen!$C$3,12,1),Erfassung!$A$6:$A$5005,"&lt;"&amp;DATE(Einstellungen!$C$3,13,1)))</f>
        <v/>
      </c>
      <c r="AB177" s="45">
        <f>IF($B177="","",SUM(P177:AA177))</f>
        <v/>
      </c>
      <c r="AC177" s="38">
        <f>IF($B177="","",IF(O177+AB177&gt;0,AB177/(O177+AB177),""))</f>
        <v/>
      </c>
    </row>
    <row r="178">
      <c r="A178" s="56">
        <f>'KQuote Mitarbeiter'!A178</f>
        <v/>
      </c>
      <c r="B178" s="57">
        <f>'KQuote Mitarbeiter'!B178</f>
        <v/>
      </c>
      <c r="C178" s="54">
        <f>IF($B178="","",SUMIFS(Erfassung!$E$6:$E$5005,Erfassung!$B$6:$B$5005,$A178,Erfassung!$A$6:$A$5005,"&gt;="&amp;DATE(Einstellungen!$C$3,1,1),Erfassung!$A$6:$A$5005,"&lt;"&amp;DATE(Einstellungen!$C$3,2,1)))</f>
        <v/>
      </c>
      <c r="D178" s="54">
        <f>IF($B178="","",SUMIFS(Erfassung!$E$6:$E$5005,Erfassung!$B$6:$B$5005,$A178,Erfassung!$A$6:$A$5005,"&gt;="&amp;DATE(Einstellungen!$C$3,2,1),Erfassung!$A$6:$A$5005,"&lt;"&amp;DATE(Einstellungen!$C$3,3,1)))</f>
        <v/>
      </c>
      <c r="E178" s="54">
        <f>IF($B178="","",SUMIFS(Erfassung!$E$6:$E$5005,Erfassung!$B$6:$B$5005,$A178,Erfassung!$A$6:$A$5005,"&gt;="&amp;DATE(Einstellungen!$C$3,3,1),Erfassung!$A$6:$A$5005,"&lt;"&amp;DATE(Einstellungen!$C$3,4,1)))</f>
        <v/>
      </c>
      <c r="F178" s="54">
        <f>IF($B178="","",SUMIFS(Erfassung!$E$6:$E$5005,Erfassung!$B$6:$B$5005,$A178,Erfassung!$A$6:$A$5005,"&gt;="&amp;DATE(Einstellungen!$C$3,4,1),Erfassung!$A$6:$A$5005,"&lt;"&amp;DATE(Einstellungen!$C$3,5,1)))</f>
        <v/>
      </c>
      <c r="G178" s="54">
        <f>IF($B178="","",SUMIFS(Erfassung!$E$6:$E$5005,Erfassung!$B$6:$B$5005,$A178,Erfassung!$A$6:$A$5005,"&gt;="&amp;DATE(Einstellungen!$C$3,5,1),Erfassung!$A$6:$A$5005,"&lt;"&amp;DATE(Einstellungen!$C$3,6,1)))</f>
        <v/>
      </c>
      <c r="H178" s="54">
        <f>IF($B178="","",SUMIFS(Erfassung!$E$6:$E$5005,Erfassung!$B$6:$B$5005,$A178,Erfassung!$A$6:$A$5005,"&gt;="&amp;DATE(Einstellungen!$C$3,6,1),Erfassung!$A$6:$A$5005,"&lt;"&amp;DATE(Einstellungen!$C$3,7,1)))</f>
        <v/>
      </c>
      <c r="I178" s="54">
        <f>IF($B178="","",SUMIFS(Erfassung!$E$6:$E$5005,Erfassung!$B$6:$B$5005,$A178,Erfassung!$A$6:$A$5005,"&gt;="&amp;DATE(Einstellungen!$C$3,7,1),Erfassung!$A$6:$A$5005,"&lt;"&amp;DATE(Einstellungen!$C$3,8,1)))</f>
        <v/>
      </c>
      <c r="J178" s="54">
        <f>IF($B178="","",SUMIFS(Erfassung!$E$6:$E$5005,Erfassung!$B$6:$B$5005,$A178,Erfassung!$A$6:$A$5005,"&gt;="&amp;DATE(Einstellungen!$C$3,8,1),Erfassung!$A$6:$A$5005,"&lt;"&amp;DATE(Einstellungen!$C$3,9,1)))</f>
        <v/>
      </c>
      <c r="K178" s="54">
        <f>IF($B178="","",SUMIFS(Erfassung!$E$6:$E$5005,Erfassung!$B$6:$B$5005,$A178,Erfassung!$A$6:$A$5005,"&gt;="&amp;DATE(Einstellungen!$C$3,9,1),Erfassung!$A$6:$A$5005,"&lt;"&amp;DATE(Einstellungen!$C$3,10,1)))</f>
        <v/>
      </c>
      <c r="L178" s="54">
        <f>IF($B178="","",SUMIFS(Erfassung!$E$6:$E$5005,Erfassung!$B$6:$B$5005,$A178,Erfassung!$A$6:$A$5005,"&gt;="&amp;DATE(Einstellungen!$C$3,10,1),Erfassung!$A$6:$A$5005,"&lt;"&amp;DATE(Einstellungen!$C$3,11,1)))</f>
        <v/>
      </c>
      <c r="M178" s="54">
        <f>IF($B178="","",SUMIFS(Erfassung!$E$6:$E$5005,Erfassung!$B$6:$B$5005,$A178,Erfassung!$A$6:$A$5005,"&gt;="&amp;DATE(Einstellungen!$C$3,11,1),Erfassung!$A$6:$A$5005,"&lt;"&amp;DATE(Einstellungen!$C$3,12,1)))</f>
        <v/>
      </c>
      <c r="N178" s="54">
        <f>IF($B178="","",SUMIFS(Erfassung!$E$6:$E$5005,Erfassung!$B$6:$B$5005,$A178,Erfassung!$A$6:$A$5005,"&gt;="&amp;DATE(Einstellungen!$C$3,12,1),Erfassung!$A$6:$A$5005,"&lt;"&amp;DATE(Einstellungen!$C$3,13,1)))</f>
        <v/>
      </c>
      <c r="O178" s="45">
        <f>IF($B178="","",SUM(C178:N178))</f>
        <v/>
      </c>
      <c r="P178" s="54">
        <f>IF($B178="","",SUMIFS(Erfassung!$G$6:$G$5005,Erfassung!$B$6:$B$5005,$A178,Erfassung!$A$6:$A$5005,"&gt;="&amp;DATE(Einstellungen!$C$3,1,1),Erfassung!$A$6:$A$5005,"&lt;"&amp;DATE(Einstellungen!$C$3,2,1)))</f>
        <v/>
      </c>
      <c r="Q178" s="54">
        <f>IF($B178="","",SUMIFS(Erfassung!$G$6:$G$5005,Erfassung!$B$6:$B$5005,$A178,Erfassung!$A$6:$A$5005,"&gt;="&amp;DATE(Einstellungen!$C$3,2,1),Erfassung!$A$6:$A$5005,"&lt;"&amp;DATE(Einstellungen!$C$3,3,1)))</f>
        <v/>
      </c>
      <c r="R178" s="54">
        <f>IF($B178="","",SUMIFS(Erfassung!$G$6:$G$5005,Erfassung!$B$6:$B$5005,$A178,Erfassung!$A$6:$A$5005,"&gt;="&amp;DATE(Einstellungen!$C$3,3,1),Erfassung!$A$6:$A$5005,"&lt;"&amp;DATE(Einstellungen!$C$3,4,1)))</f>
        <v/>
      </c>
      <c r="S178" s="54">
        <f>IF($B178="","",SUMIFS(Erfassung!$G$6:$G$5005,Erfassung!$B$6:$B$5005,$A178,Erfassung!$A$6:$A$5005,"&gt;="&amp;DATE(Einstellungen!$C$3,4,1),Erfassung!$A$6:$A$5005,"&lt;"&amp;DATE(Einstellungen!$C$3,5,1)))</f>
        <v/>
      </c>
      <c r="T178" s="54">
        <f>IF($B178="","",SUMIFS(Erfassung!$G$6:$G$5005,Erfassung!$B$6:$B$5005,$A178,Erfassung!$A$6:$A$5005,"&gt;="&amp;DATE(Einstellungen!$C$3,5,1),Erfassung!$A$6:$A$5005,"&lt;"&amp;DATE(Einstellungen!$C$3,6,1)))</f>
        <v/>
      </c>
      <c r="U178" s="54">
        <f>IF($B178="","",SUMIFS(Erfassung!$G$6:$G$5005,Erfassung!$B$6:$B$5005,$A178,Erfassung!$A$6:$A$5005,"&gt;="&amp;DATE(Einstellungen!$C$3,6,1),Erfassung!$A$6:$A$5005,"&lt;"&amp;DATE(Einstellungen!$C$3,7,1)))</f>
        <v/>
      </c>
      <c r="V178" s="54">
        <f>IF($B178="","",SUMIFS(Erfassung!$G$6:$G$5005,Erfassung!$B$6:$B$5005,$A178,Erfassung!$A$6:$A$5005,"&gt;="&amp;DATE(Einstellungen!$C$3,7,1),Erfassung!$A$6:$A$5005,"&lt;"&amp;DATE(Einstellungen!$C$3,8,1)))</f>
        <v/>
      </c>
      <c r="W178" s="54">
        <f>IF($B178="","",SUMIFS(Erfassung!$G$6:$G$5005,Erfassung!$B$6:$B$5005,$A178,Erfassung!$A$6:$A$5005,"&gt;="&amp;DATE(Einstellungen!$C$3,8,1),Erfassung!$A$6:$A$5005,"&lt;"&amp;DATE(Einstellungen!$C$3,9,1)))</f>
        <v/>
      </c>
      <c r="X178" s="54">
        <f>IF($B178="","",SUMIFS(Erfassung!$G$6:$G$5005,Erfassung!$B$6:$B$5005,$A178,Erfassung!$A$6:$A$5005,"&gt;="&amp;DATE(Einstellungen!$C$3,9,1),Erfassung!$A$6:$A$5005,"&lt;"&amp;DATE(Einstellungen!$C$3,10,1)))</f>
        <v/>
      </c>
      <c r="Y178" s="54">
        <f>IF($B178="","",SUMIFS(Erfassung!$G$6:$G$5005,Erfassung!$B$6:$B$5005,$A178,Erfassung!$A$6:$A$5005,"&gt;="&amp;DATE(Einstellungen!$C$3,10,1),Erfassung!$A$6:$A$5005,"&lt;"&amp;DATE(Einstellungen!$C$3,11,1)))</f>
        <v/>
      </c>
      <c r="Z178" s="54">
        <f>IF($B178="","",SUMIFS(Erfassung!$G$6:$G$5005,Erfassung!$B$6:$B$5005,$A178,Erfassung!$A$6:$A$5005,"&gt;="&amp;DATE(Einstellungen!$C$3,11,1),Erfassung!$A$6:$A$5005,"&lt;"&amp;DATE(Einstellungen!$C$3,12,1)))</f>
        <v/>
      </c>
      <c r="AA178" s="54">
        <f>IF($B178="","",SUMIFS(Erfassung!$G$6:$G$5005,Erfassung!$B$6:$B$5005,$A178,Erfassung!$A$6:$A$5005,"&gt;="&amp;DATE(Einstellungen!$C$3,12,1),Erfassung!$A$6:$A$5005,"&lt;"&amp;DATE(Einstellungen!$C$3,13,1)))</f>
        <v/>
      </c>
      <c r="AB178" s="45">
        <f>IF($B178="","",SUM(P178:AA178))</f>
        <v/>
      </c>
      <c r="AC178" s="38">
        <f>IF($B178="","",IF(O178+AB178&gt;0,AB178/(O178+AB178),""))</f>
        <v/>
      </c>
    </row>
    <row r="179">
      <c r="A179" s="56">
        <f>'KQuote Mitarbeiter'!A179</f>
        <v/>
      </c>
      <c r="B179" s="57">
        <f>'KQuote Mitarbeiter'!B179</f>
        <v/>
      </c>
      <c r="C179" s="54">
        <f>IF($B179="","",SUMIFS(Erfassung!$E$6:$E$5005,Erfassung!$B$6:$B$5005,$A179,Erfassung!$A$6:$A$5005,"&gt;="&amp;DATE(Einstellungen!$C$3,1,1),Erfassung!$A$6:$A$5005,"&lt;"&amp;DATE(Einstellungen!$C$3,2,1)))</f>
        <v/>
      </c>
      <c r="D179" s="54">
        <f>IF($B179="","",SUMIFS(Erfassung!$E$6:$E$5005,Erfassung!$B$6:$B$5005,$A179,Erfassung!$A$6:$A$5005,"&gt;="&amp;DATE(Einstellungen!$C$3,2,1),Erfassung!$A$6:$A$5005,"&lt;"&amp;DATE(Einstellungen!$C$3,3,1)))</f>
        <v/>
      </c>
      <c r="E179" s="54">
        <f>IF($B179="","",SUMIFS(Erfassung!$E$6:$E$5005,Erfassung!$B$6:$B$5005,$A179,Erfassung!$A$6:$A$5005,"&gt;="&amp;DATE(Einstellungen!$C$3,3,1),Erfassung!$A$6:$A$5005,"&lt;"&amp;DATE(Einstellungen!$C$3,4,1)))</f>
        <v/>
      </c>
      <c r="F179" s="54">
        <f>IF($B179="","",SUMIFS(Erfassung!$E$6:$E$5005,Erfassung!$B$6:$B$5005,$A179,Erfassung!$A$6:$A$5005,"&gt;="&amp;DATE(Einstellungen!$C$3,4,1),Erfassung!$A$6:$A$5005,"&lt;"&amp;DATE(Einstellungen!$C$3,5,1)))</f>
        <v/>
      </c>
      <c r="G179" s="54">
        <f>IF($B179="","",SUMIFS(Erfassung!$E$6:$E$5005,Erfassung!$B$6:$B$5005,$A179,Erfassung!$A$6:$A$5005,"&gt;="&amp;DATE(Einstellungen!$C$3,5,1),Erfassung!$A$6:$A$5005,"&lt;"&amp;DATE(Einstellungen!$C$3,6,1)))</f>
        <v/>
      </c>
      <c r="H179" s="54">
        <f>IF($B179="","",SUMIFS(Erfassung!$E$6:$E$5005,Erfassung!$B$6:$B$5005,$A179,Erfassung!$A$6:$A$5005,"&gt;="&amp;DATE(Einstellungen!$C$3,6,1),Erfassung!$A$6:$A$5005,"&lt;"&amp;DATE(Einstellungen!$C$3,7,1)))</f>
        <v/>
      </c>
      <c r="I179" s="54">
        <f>IF($B179="","",SUMIFS(Erfassung!$E$6:$E$5005,Erfassung!$B$6:$B$5005,$A179,Erfassung!$A$6:$A$5005,"&gt;="&amp;DATE(Einstellungen!$C$3,7,1),Erfassung!$A$6:$A$5005,"&lt;"&amp;DATE(Einstellungen!$C$3,8,1)))</f>
        <v/>
      </c>
      <c r="J179" s="54">
        <f>IF($B179="","",SUMIFS(Erfassung!$E$6:$E$5005,Erfassung!$B$6:$B$5005,$A179,Erfassung!$A$6:$A$5005,"&gt;="&amp;DATE(Einstellungen!$C$3,8,1),Erfassung!$A$6:$A$5005,"&lt;"&amp;DATE(Einstellungen!$C$3,9,1)))</f>
        <v/>
      </c>
      <c r="K179" s="54">
        <f>IF($B179="","",SUMIFS(Erfassung!$E$6:$E$5005,Erfassung!$B$6:$B$5005,$A179,Erfassung!$A$6:$A$5005,"&gt;="&amp;DATE(Einstellungen!$C$3,9,1),Erfassung!$A$6:$A$5005,"&lt;"&amp;DATE(Einstellungen!$C$3,10,1)))</f>
        <v/>
      </c>
      <c r="L179" s="54">
        <f>IF($B179="","",SUMIFS(Erfassung!$E$6:$E$5005,Erfassung!$B$6:$B$5005,$A179,Erfassung!$A$6:$A$5005,"&gt;="&amp;DATE(Einstellungen!$C$3,10,1),Erfassung!$A$6:$A$5005,"&lt;"&amp;DATE(Einstellungen!$C$3,11,1)))</f>
        <v/>
      </c>
      <c r="M179" s="54">
        <f>IF($B179="","",SUMIFS(Erfassung!$E$6:$E$5005,Erfassung!$B$6:$B$5005,$A179,Erfassung!$A$6:$A$5005,"&gt;="&amp;DATE(Einstellungen!$C$3,11,1),Erfassung!$A$6:$A$5005,"&lt;"&amp;DATE(Einstellungen!$C$3,12,1)))</f>
        <v/>
      </c>
      <c r="N179" s="54">
        <f>IF($B179="","",SUMIFS(Erfassung!$E$6:$E$5005,Erfassung!$B$6:$B$5005,$A179,Erfassung!$A$6:$A$5005,"&gt;="&amp;DATE(Einstellungen!$C$3,12,1),Erfassung!$A$6:$A$5005,"&lt;"&amp;DATE(Einstellungen!$C$3,13,1)))</f>
        <v/>
      </c>
      <c r="O179" s="45">
        <f>IF($B179="","",SUM(C179:N179))</f>
        <v/>
      </c>
      <c r="P179" s="54">
        <f>IF($B179="","",SUMIFS(Erfassung!$G$6:$G$5005,Erfassung!$B$6:$B$5005,$A179,Erfassung!$A$6:$A$5005,"&gt;="&amp;DATE(Einstellungen!$C$3,1,1),Erfassung!$A$6:$A$5005,"&lt;"&amp;DATE(Einstellungen!$C$3,2,1)))</f>
        <v/>
      </c>
      <c r="Q179" s="54">
        <f>IF($B179="","",SUMIFS(Erfassung!$G$6:$G$5005,Erfassung!$B$6:$B$5005,$A179,Erfassung!$A$6:$A$5005,"&gt;="&amp;DATE(Einstellungen!$C$3,2,1),Erfassung!$A$6:$A$5005,"&lt;"&amp;DATE(Einstellungen!$C$3,3,1)))</f>
        <v/>
      </c>
      <c r="R179" s="54">
        <f>IF($B179="","",SUMIFS(Erfassung!$G$6:$G$5005,Erfassung!$B$6:$B$5005,$A179,Erfassung!$A$6:$A$5005,"&gt;="&amp;DATE(Einstellungen!$C$3,3,1),Erfassung!$A$6:$A$5005,"&lt;"&amp;DATE(Einstellungen!$C$3,4,1)))</f>
        <v/>
      </c>
      <c r="S179" s="54">
        <f>IF($B179="","",SUMIFS(Erfassung!$G$6:$G$5005,Erfassung!$B$6:$B$5005,$A179,Erfassung!$A$6:$A$5005,"&gt;="&amp;DATE(Einstellungen!$C$3,4,1),Erfassung!$A$6:$A$5005,"&lt;"&amp;DATE(Einstellungen!$C$3,5,1)))</f>
        <v/>
      </c>
      <c r="T179" s="54">
        <f>IF($B179="","",SUMIFS(Erfassung!$G$6:$G$5005,Erfassung!$B$6:$B$5005,$A179,Erfassung!$A$6:$A$5005,"&gt;="&amp;DATE(Einstellungen!$C$3,5,1),Erfassung!$A$6:$A$5005,"&lt;"&amp;DATE(Einstellungen!$C$3,6,1)))</f>
        <v/>
      </c>
      <c r="U179" s="54">
        <f>IF($B179="","",SUMIFS(Erfassung!$G$6:$G$5005,Erfassung!$B$6:$B$5005,$A179,Erfassung!$A$6:$A$5005,"&gt;="&amp;DATE(Einstellungen!$C$3,6,1),Erfassung!$A$6:$A$5005,"&lt;"&amp;DATE(Einstellungen!$C$3,7,1)))</f>
        <v/>
      </c>
      <c r="V179" s="54">
        <f>IF($B179="","",SUMIFS(Erfassung!$G$6:$G$5005,Erfassung!$B$6:$B$5005,$A179,Erfassung!$A$6:$A$5005,"&gt;="&amp;DATE(Einstellungen!$C$3,7,1),Erfassung!$A$6:$A$5005,"&lt;"&amp;DATE(Einstellungen!$C$3,8,1)))</f>
        <v/>
      </c>
      <c r="W179" s="54">
        <f>IF($B179="","",SUMIFS(Erfassung!$G$6:$G$5005,Erfassung!$B$6:$B$5005,$A179,Erfassung!$A$6:$A$5005,"&gt;="&amp;DATE(Einstellungen!$C$3,8,1),Erfassung!$A$6:$A$5005,"&lt;"&amp;DATE(Einstellungen!$C$3,9,1)))</f>
        <v/>
      </c>
      <c r="X179" s="54">
        <f>IF($B179="","",SUMIFS(Erfassung!$G$6:$G$5005,Erfassung!$B$6:$B$5005,$A179,Erfassung!$A$6:$A$5005,"&gt;="&amp;DATE(Einstellungen!$C$3,9,1),Erfassung!$A$6:$A$5005,"&lt;"&amp;DATE(Einstellungen!$C$3,10,1)))</f>
        <v/>
      </c>
      <c r="Y179" s="54">
        <f>IF($B179="","",SUMIFS(Erfassung!$G$6:$G$5005,Erfassung!$B$6:$B$5005,$A179,Erfassung!$A$6:$A$5005,"&gt;="&amp;DATE(Einstellungen!$C$3,10,1),Erfassung!$A$6:$A$5005,"&lt;"&amp;DATE(Einstellungen!$C$3,11,1)))</f>
        <v/>
      </c>
      <c r="Z179" s="54">
        <f>IF($B179="","",SUMIFS(Erfassung!$G$6:$G$5005,Erfassung!$B$6:$B$5005,$A179,Erfassung!$A$6:$A$5005,"&gt;="&amp;DATE(Einstellungen!$C$3,11,1),Erfassung!$A$6:$A$5005,"&lt;"&amp;DATE(Einstellungen!$C$3,12,1)))</f>
        <v/>
      </c>
      <c r="AA179" s="54">
        <f>IF($B179="","",SUMIFS(Erfassung!$G$6:$G$5005,Erfassung!$B$6:$B$5005,$A179,Erfassung!$A$6:$A$5005,"&gt;="&amp;DATE(Einstellungen!$C$3,12,1),Erfassung!$A$6:$A$5005,"&lt;"&amp;DATE(Einstellungen!$C$3,13,1)))</f>
        <v/>
      </c>
      <c r="AB179" s="45">
        <f>IF($B179="","",SUM(P179:AA179))</f>
        <v/>
      </c>
      <c r="AC179" s="38">
        <f>IF($B179="","",IF(O179+AB179&gt;0,AB179/(O179+AB179),""))</f>
        <v/>
      </c>
    </row>
    <row r="180">
      <c r="A180" s="56">
        <f>'KQuote Mitarbeiter'!A180</f>
        <v/>
      </c>
      <c r="B180" s="57">
        <f>'KQuote Mitarbeiter'!B180</f>
        <v/>
      </c>
      <c r="C180" s="54">
        <f>IF($B180="","",SUMIFS(Erfassung!$E$6:$E$5005,Erfassung!$B$6:$B$5005,$A180,Erfassung!$A$6:$A$5005,"&gt;="&amp;DATE(Einstellungen!$C$3,1,1),Erfassung!$A$6:$A$5005,"&lt;"&amp;DATE(Einstellungen!$C$3,2,1)))</f>
        <v/>
      </c>
      <c r="D180" s="54">
        <f>IF($B180="","",SUMIFS(Erfassung!$E$6:$E$5005,Erfassung!$B$6:$B$5005,$A180,Erfassung!$A$6:$A$5005,"&gt;="&amp;DATE(Einstellungen!$C$3,2,1),Erfassung!$A$6:$A$5005,"&lt;"&amp;DATE(Einstellungen!$C$3,3,1)))</f>
        <v/>
      </c>
      <c r="E180" s="54">
        <f>IF($B180="","",SUMIFS(Erfassung!$E$6:$E$5005,Erfassung!$B$6:$B$5005,$A180,Erfassung!$A$6:$A$5005,"&gt;="&amp;DATE(Einstellungen!$C$3,3,1),Erfassung!$A$6:$A$5005,"&lt;"&amp;DATE(Einstellungen!$C$3,4,1)))</f>
        <v/>
      </c>
      <c r="F180" s="54">
        <f>IF($B180="","",SUMIFS(Erfassung!$E$6:$E$5005,Erfassung!$B$6:$B$5005,$A180,Erfassung!$A$6:$A$5005,"&gt;="&amp;DATE(Einstellungen!$C$3,4,1),Erfassung!$A$6:$A$5005,"&lt;"&amp;DATE(Einstellungen!$C$3,5,1)))</f>
        <v/>
      </c>
      <c r="G180" s="54">
        <f>IF($B180="","",SUMIFS(Erfassung!$E$6:$E$5005,Erfassung!$B$6:$B$5005,$A180,Erfassung!$A$6:$A$5005,"&gt;="&amp;DATE(Einstellungen!$C$3,5,1),Erfassung!$A$6:$A$5005,"&lt;"&amp;DATE(Einstellungen!$C$3,6,1)))</f>
        <v/>
      </c>
      <c r="H180" s="54">
        <f>IF($B180="","",SUMIFS(Erfassung!$E$6:$E$5005,Erfassung!$B$6:$B$5005,$A180,Erfassung!$A$6:$A$5005,"&gt;="&amp;DATE(Einstellungen!$C$3,6,1),Erfassung!$A$6:$A$5005,"&lt;"&amp;DATE(Einstellungen!$C$3,7,1)))</f>
        <v/>
      </c>
      <c r="I180" s="54">
        <f>IF($B180="","",SUMIFS(Erfassung!$E$6:$E$5005,Erfassung!$B$6:$B$5005,$A180,Erfassung!$A$6:$A$5005,"&gt;="&amp;DATE(Einstellungen!$C$3,7,1),Erfassung!$A$6:$A$5005,"&lt;"&amp;DATE(Einstellungen!$C$3,8,1)))</f>
        <v/>
      </c>
      <c r="J180" s="54">
        <f>IF($B180="","",SUMIFS(Erfassung!$E$6:$E$5005,Erfassung!$B$6:$B$5005,$A180,Erfassung!$A$6:$A$5005,"&gt;="&amp;DATE(Einstellungen!$C$3,8,1),Erfassung!$A$6:$A$5005,"&lt;"&amp;DATE(Einstellungen!$C$3,9,1)))</f>
        <v/>
      </c>
      <c r="K180" s="54">
        <f>IF($B180="","",SUMIFS(Erfassung!$E$6:$E$5005,Erfassung!$B$6:$B$5005,$A180,Erfassung!$A$6:$A$5005,"&gt;="&amp;DATE(Einstellungen!$C$3,9,1),Erfassung!$A$6:$A$5005,"&lt;"&amp;DATE(Einstellungen!$C$3,10,1)))</f>
        <v/>
      </c>
      <c r="L180" s="54">
        <f>IF($B180="","",SUMIFS(Erfassung!$E$6:$E$5005,Erfassung!$B$6:$B$5005,$A180,Erfassung!$A$6:$A$5005,"&gt;="&amp;DATE(Einstellungen!$C$3,10,1),Erfassung!$A$6:$A$5005,"&lt;"&amp;DATE(Einstellungen!$C$3,11,1)))</f>
        <v/>
      </c>
      <c r="M180" s="54">
        <f>IF($B180="","",SUMIFS(Erfassung!$E$6:$E$5005,Erfassung!$B$6:$B$5005,$A180,Erfassung!$A$6:$A$5005,"&gt;="&amp;DATE(Einstellungen!$C$3,11,1),Erfassung!$A$6:$A$5005,"&lt;"&amp;DATE(Einstellungen!$C$3,12,1)))</f>
        <v/>
      </c>
      <c r="N180" s="54">
        <f>IF($B180="","",SUMIFS(Erfassung!$E$6:$E$5005,Erfassung!$B$6:$B$5005,$A180,Erfassung!$A$6:$A$5005,"&gt;="&amp;DATE(Einstellungen!$C$3,12,1),Erfassung!$A$6:$A$5005,"&lt;"&amp;DATE(Einstellungen!$C$3,13,1)))</f>
        <v/>
      </c>
      <c r="O180" s="45">
        <f>IF($B180="","",SUM(C180:N180))</f>
        <v/>
      </c>
      <c r="P180" s="54">
        <f>IF($B180="","",SUMIFS(Erfassung!$G$6:$G$5005,Erfassung!$B$6:$B$5005,$A180,Erfassung!$A$6:$A$5005,"&gt;="&amp;DATE(Einstellungen!$C$3,1,1),Erfassung!$A$6:$A$5005,"&lt;"&amp;DATE(Einstellungen!$C$3,2,1)))</f>
        <v/>
      </c>
      <c r="Q180" s="54">
        <f>IF($B180="","",SUMIFS(Erfassung!$G$6:$G$5005,Erfassung!$B$6:$B$5005,$A180,Erfassung!$A$6:$A$5005,"&gt;="&amp;DATE(Einstellungen!$C$3,2,1),Erfassung!$A$6:$A$5005,"&lt;"&amp;DATE(Einstellungen!$C$3,3,1)))</f>
        <v/>
      </c>
      <c r="R180" s="54">
        <f>IF($B180="","",SUMIFS(Erfassung!$G$6:$G$5005,Erfassung!$B$6:$B$5005,$A180,Erfassung!$A$6:$A$5005,"&gt;="&amp;DATE(Einstellungen!$C$3,3,1),Erfassung!$A$6:$A$5005,"&lt;"&amp;DATE(Einstellungen!$C$3,4,1)))</f>
        <v/>
      </c>
      <c r="S180" s="54">
        <f>IF($B180="","",SUMIFS(Erfassung!$G$6:$G$5005,Erfassung!$B$6:$B$5005,$A180,Erfassung!$A$6:$A$5005,"&gt;="&amp;DATE(Einstellungen!$C$3,4,1),Erfassung!$A$6:$A$5005,"&lt;"&amp;DATE(Einstellungen!$C$3,5,1)))</f>
        <v/>
      </c>
      <c r="T180" s="54">
        <f>IF($B180="","",SUMIFS(Erfassung!$G$6:$G$5005,Erfassung!$B$6:$B$5005,$A180,Erfassung!$A$6:$A$5005,"&gt;="&amp;DATE(Einstellungen!$C$3,5,1),Erfassung!$A$6:$A$5005,"&lt;"&amp;DATE(Einstellungen!$C$3,6,1)))</f>
        <v/>
      </c>
      <c r="U180" s="54">
        <f>IF($B180="","",SUMIFS(Erfassung!$G$6:$G$5005,Erfassung!$B$6:$B$5005,$A180,Erfassung!$A$6:$A$5005,"&gt;="&amp;DATE(Einstellungen!$C$3,6,1),Erfassung!$A$6:$A$5005,"&lt;"&amp;DATE(Einstellungen!$C$3,7,1)))</f>
        <v/>
      </c>
      <c r="V180" s="54">
        <f>IF($B180="","",SUMIFS(Erfassung!$G$6:$G$5005,Erfassung!$B$6:$B$5005,$A180,Erfassung!$A$6:$A$5005,"&gt;="&amp;DATE(Einstellungen!$C$3,7,1),Erfassung!$A$6:$A$5005,"&lt;"&amp;DATE(Einstellungen!$C$3,8,1)))</f>
        <v/>
      </c>
      <c r="W180" s="54">
        <f>IF($B180="","",SUMIFS(Erfassung!$G$6:$G$5005,Erfassung!$B$6:$B$5005,$A180,Erfassung!$A$6:$A$5005,"&gt;="&amp;DATE(Einstellungen!$C$3,8,1),Erfassung!$A$6:$A$5005,"&lt;"&amp;DATE(Einstellungen!$C$3,9,1)))</f>
        <v/>
      </c>
      <c r="X180" s="54">
        <f>IF($B180="","",SUMIFS(Erfassung!$G$6:$G$5005,Erfassung!$B$6:$B$5005,$A180,Erfassung!$A$6:$A$5005,"&gt;="&amp;DATE(Einstellungen!$C$3,9,1),Erfassung!$A$6:$A$5005,"&lt;"&amp;DATE(Einstellungen!$C$3,10,1)))</f>
        <v/>
      </c>
      <c r="Y180" s="54">
        <f>IF($B180="","",SUMIFS(Erfassung!$G$6:$G$5005,Erfassung!$B$6:$B$5005,$A180,Erfassung!$A$6:$A$5005,"&gt;="&amp;DATE(Einstellungen!$C$3,10,1),Erfassung!$A$6:$A$5005,"&lt;"&amp;DATE(Einstellungen!$C$3,11,1)))</f>
        <v/>
      </c>
      <c r="Z180" s="54">
        <f>IF($B180="","",SUMIFS(Erfassung!$G$6:$G$5005,Erfassung!$B$6:$B$5005,$A180,Erfassung!$A$6:$A$5005,"&gt;="&amp;DATE(Einstellungen!$C$3,11,1),Erfassung!$A$6:$A$5005,"&lt;"&amp;DATE(Einstellungen!$C$3,12,1)))</f>
        <v/>
      </c>
      <c r="AA180" s="54">
        <f>IF($B180="","",SUMIFS(Erfassung!$G$6:$G$5005,Erfassung!$B$6:$B$5005,$A180,Erfassung!$A$6:$A$5005,"&gt;="&amp;DATE(Einstellungen!$C$3,12,1),Erfassung!$A$6:$A$5005,"&lt;"&amp;DATE(Einstellungen!$C$3,13,1)))</f>
        <v/>
      </c>
      <c r="AB180" s="45">
        <f>IF($B180="","",SUM(P180:AA180))</f>
        <v/>
      </c>
      <c r="AC180" s="38">
        <f>IF($B180="","",IF(O180+AB180&gt;0,AB180/(O180+AB180),""))</f>
        <v/>
      </c>
    </row>
    <row r="181">
      <c r="A181" s="56">
        <f>'KQuote Mitarbeiter'!A181</f>
        <v/>
      </c>
      <c r="B181" s="57">
        <f>'KQuote Mitarbeiter'!B181</f>
        <v/>
      </c>
      <c r="C181" s="54">
        <f>IF($B181="","",SUMIFS(Erfassung!$E$6:$E$5005,Erfassung!$B$6:$B$5005,$A181,Erfassung!$A$6:$A$5005,"&gt;="&amp;DATE(Einstellungen!$C$3,1,1),Erfassung!$A$6:$A$5005,"&lt;"&amp;DATE(Einstellungen!$C$3,2,1)))</f>
        <v/>
      </c>
      <c r="D181" s="54">
        <f>IF($B181="","",SUMIFS(Erfassung!$E$6:$E$5005,Erfassung!$B$6:$B$5005,$A181,Erfassung!$A$6:$A$5005,"&gt;="&amp;DATE(Einstellungen!$C$3,2,1),Erfassung!$A$6:$A$5005,"&lt;"&amp;DATE(Einstellungen!$C$3,3,1)))</f>
        <v/>
      </c>
      <c r="E181" s="54">
        <f>IF($B181="","",SUMIFS(Erfassung!$E$6:$E$5005,Erfassung!$B$6:$B$5005,$A181,Erfassung!$A$6:$A$5005,"&gt;="&amp;DATE(Einstellungen!$C$3,3,1),Erfassung!$A$6:$A$5005,"&lt;"&amp;DATE(Einstellungen!$C$3,4,1)))</f>
        <v/>
      </c>
      <c r="F181" s="54">
        <f>IF($B181="","",SUMIFS(Erfassung!$E$6:$E$5005,Erfassung!$B$6:$B$5005,$A181,Erfassung!$A$6:$A$5005,"&gt;="&amp;DATE(Einstellungen!$C$3,4,1),Erfassung!$A$6:$A$5005,"&lt;"&amp;DATE(Einstellungen!$C$3,5,1)))</f>
        <v/>
      </c>
      <c r="G181" s="54">
        <f>IF($B181="","",SUMIFS(Erfassung!$E$6:$E$5005,Erfassung!$B$6:$B$5005,$A181,Erfassung!$A$6:$A$5005,"&gt;="&amp;DATE(Einstellungen!$C$3,5,1),Erfassung!$A$6:$A$5005,"&lt;"&amp;DATE(Einstellungen!$C$3,6,1)))</f>
        <v/>
      </c>
      <c r="H181" s="54">
        <f>IF($B181="","",SUMIFS(Erfassung!$E$6:$E$5005,Erfassung!$B$6:$B$5005,$A181,Erfassung!$A$6:$A$5005,"&gt;="&amp;DATE(Einstellungen!$C$3,6,1),Erfassung!$A$6:$A$5005,"&lt;"&amp;DATE(Einstellungen!$C$3,7,1)))</f>
        <v/>
      </c>
      <c r="I181" s="54">
        <f>IF($B181="","",SUMIFS(Erfassung!$E$6:$E$5005,Erfassung!$B$6:$B$5005,$A181,Erfassung!$A$6:$A$5005,"&gt;="&amp;DATE(Einstellungen!$C$3,7,1),Erfassung!$A$6:$A$5005,"&lt;"&amp;DATE(Einstellungen!$C$3,8,1)))</f>
        <v/>
      </c>
      <c r="J181" s="54">
        <f>IF($B181="","",SUMIFS(Erfassung!$E$6:$E$5005,Erfassung!$B$6:$B$5005,$A181,Erfassung!$A$6:$A$5005,"&gt;="&amp;DATE(Einstellungen!$C$3,8,1),Erfassung!$A$6:$A$5005,"&lt;"&amp;DATE(Einstellungen!$C$3,9,1)))</f>
        <v/>
      </c>
      <c r="K181" s="54">
        <f>IF($B181="","",SUMIFS(Erfassung!$E$6:$E$5005,Erfassung!$B$6:$B$5005,$A181,Erfassung!$A$6:$A$5005,"&gt;="&amp;DATE(Einstellungen!$C$3,9,1),Erfassung!$A$6:$A$5005,"&lt;"&amp;DATE(Einstellungen!$C$3,10,1)))</f>
        <v/>
      </c>
      <c r="L181" s="54">
        <f>IF($B181="","",SUMIFS(Erfassung!$E$6:$E$5005,Erfassung!$B$6:$B$5005,$A181,Erfassung!$A$6:$A$5005,"&gt;="&amp;DATE(Einstellungen!$C$3,10,1),Erfassung!$A$6:$A$5005,"&lt;"&amp;DATE(Einstellungen!$C$3,11,1)))</f>
        <v/>
      </c>
      <c r="M181" s="54">
        <f>IF($B181="","",SUMIFS(Erfassung!$E$6:$E$5005,Erfassung!$B$6:$B$5005,$A181,Erfassung!$A$6:$A$5005,"&gt;="&amp;DATE(Einstellungen!$C$3,11,1),Erfassung!$A$6:$A$5005,"&lt;"&amp;DATE(Einstellungen!$C$3,12,1)))</f>
        <v/>
      </c>
      <c r="N181" s="54">
        <f>IF($B181="","",SUMIFS(Erfassung!$E$6:$E$5005,Erfassung!$B$6:$B$5005,$A181,Erfassung!$A$6:$A$5005,"&gt;="&amp;DATE(Einstellungen!$C$3,12,1),Erfassung!$A$6:$A$5005,"&lt;"&amp;DATE(Einstellungen!$C$3,13,1)))</f>
        <v/>
      </c>
      <c r="O181" s="45">
        <f>IF($B181="","",SUM(C181:N181))</f>
        <v/>
      </c>
      <c r="P181" s="54">
        <f>IF($B181="","",SUMIFS(Erfassung!$G$6:$G$5005,Erfassung!$B$6:$B$5005,$A181,Erfassung!$A$6:$A$5005,"&gt;="&amp;DATE(Einstellungen!$C$3,1,1),Erfassung!$A$6:$A$5005,"&lt;"&amp;DATE(Einstellungen!$C$3,2,1)))</f>
        <v/>
      </c>
      <c r="Q181" s="54">
        <f>IF($B181="","",SUMIFS(Erfassung!$G$6:$G$5005,Erfassung!$B$6:$B$5005,$A181,Erfassung!$A$6:$A$5005,"&gt;="&amp;DATE(Einstellungen!$C$3,2,1),Erfassung!$A$6:$A$5005,"&lt;"&amp;DATE(Einstellungen!$C$3,3,1)))</f>
        <v/>
      </c>
      <c r="R181" s="54">
        <f>IF($B181="","",SUMIFS(Erfassung!$G$6:$G$5005,Erfassung!$B$6:$B$5005,$A181,Erfassung!$A$6:$A$5005,"&gt;="&amp;DATE(Einstellungen!$C$3,3,1),Erfassung!$A$6:$A$5005,"&lt;"&amp;DATE(Einstellungen!$C$3,4,1)))</f>
        <v/>
      </c>
      <c r="S181" s="54">
        <f>IF($B181="","",SUMIFS(Erfassung!$G$6:$G$5005,Erfassung!$B$6:$B$5005,$A181,Erfassung!$A$6:$A$5005,"&gt;="&amp;DATE(Einstellungen!$C$3,4,1),Erfassung!$A$6:$A$5005,"&lt;"&amp;DATE(Einstellungen!$C$3,5,1)))</f>
        <v/>
      </c>
      <c r="T181" s="54">
        <f>IF($B181="","",SUMIFS(Erfassung!$G$6:$G$5005,Erfassung!$B$6:$B$5005,$A181,Erfassung!$A$6:$A$5005,"&gt;="&amp;DATE(Einstellungen!$C$3,5,1),Erfassung!$A$6:$A$5005,"&lt;"&amp;DATE(Einstellungen!$C$3,6,1)))</f>
        <v/>
      </c>
      <c r="U181" s="54">
        <f>IF($B181="","",SUMIFS(Erfassung!$G$6:$G$5005,Erfassung!$B$6:$B$5005,$A181,Erfassung!$A$6:$A$5005,"&gt;="&amp;DATE(Einstellungen!$C$3,6,1),Erfassung!$A$6:$A$5005,"&lt;"&amp;DATE(Einstellungen!$C$3,7,1)))</f>
        <v/>
      </c>
      <c r="V181" s="54">
        <f>IF($B181="","",SUMIFS(Erfassung!$G$6:$G$5005,Erfassung!$B$6:$B$5005,$A181,Erfassung!$A$6:$A$5005,"&gt;="&amp;DATE(Einstellungen!$C$3,7,1),Erfassung!$A$6:$A$5005,"&lt;"&amp;DATE(Einstellungen!$C$3,8,1)))</f>
        <v/>
      </c>
      <c r="W181" s="54">
        <f>IF($B181="","",SUMIFS(Erfassung!$G$6:$G$5005,Erfassung!$B$6:$B$5005,$A181,Erfassung!$A$6:$A$5005,"&gt;="&amp;DATE(Einstellungen!$C$3,8,1),Erfassung!$A$6:$A$5005,"&lt;"&amp;DATE(Einstellungen!$C$3,9,1)))</f>
        <v/>
      </c>
      <c r="X181" s="54">
        <f>IF($B181="","",SUMIFS(Erfassung!$G$6:$G$5005,Erfassung!$B$6:$B$5005,$A181,Erfassung!$A$6:$A$5005,"&gt;="&amp;DATE(Einstellungen!$C$3,9,1),Erfassung!$A$6:$A$5005,"&lt;"&amp;DATE(Einstellungen!$C$3,10,1)))</f>
        <v/>
      </c>
      <c r="Y181" s="54">
        <f>IF($B181="","",SUMIFS(Erfassung!$G$6:$G$5005,Erfassung!$B$6:$B$5005,$A181,Erfassung!$A$6:$A$5005,"&gt;="&amp;DATE(Einstellungen!$C$3,10,1),Erfassung!$A$6:$A$5005,"&lt;"&amp;DATE(Einstellungen!$C$3,11,1)))</f>
        <v/>
      </c>
      <c r="Z181" s="54">
        <f>IF($B181="","",SUMIFS(Erfassung!$G$6:$G$5005,Erfassung!$B$6:$B$5005,$A181,Erfassung!$A$6:$A$5005,"&gt;="&amp;DATE(Einstellungen!$C$3,11,1),Erfassung!$A$6:$A$5005,"&lt;"&amp;DATE(Einstellungen!$C$3,12,1)))</f>
        <v/>
      </c>
      <c r="AA181" s="54">
        <f>IF($B181="","",SUMIFS(Erfassung!$G$6:$G$5005,Erfassung!$B$6:$B$5005,$A181,Erfassung!$A$6:$A$5005,"&gt;="&amp;DATE(Einstellungen!$C$3,12,1),Erfassung!$A$6:$A$5005,"&lt;"&amp;DATE(Einstellungen!$C$3,13,1)))</f>
        <v/>
      </c>
      <c r="AB181" s="45">
        <f>IF($B181="","",SUM(P181:AA181))</f>
        <v/>
      </c>
      <c r="AC181" s="38">
        <f>IF($B181="","",IF(O181+AB181&gt;0,AB181/(O181+AB181),""))</f>
        <v/>
      </c>
    </row>
    <row r="182">
      <c r="A182" s="56">
        <f>'KQuote Mitarbeiter'!A182</f>
        <v/>
      </c>
      <c r="B182" s="57">
        <f>'KQuote Mitarbeiter'!B182</f>
        <v/>
      </c>
      <c r="C182" s="54">
        <f>IF($B182="","",SUMIFS(Erfassung!$E$6:$E$5005,Erfassung!$B$6:$B$5005,$A182,Erfassung!$A$6:$A$5005,"&gt;="&amp;DATE(Einstellungen!$C$3,1,1),Erfassung!$A$6:$A$5005,"&lt;"&amp;DATE(Einstellungen!$C$3,2,1)))</f>
        <v/>
      </c>
      <c r="D182" s="54">
        <f>IF($B182="","",SUMIFS(Erfassung!$E$6:$E$5005,Erfassung!$B$6:$B$5005,$A182,Erfassung!$A$6:$A$5005,"&gt;="&amp;DATE(Einstellungen!$C$3,2,1),Erfassung!$A$6:$A$5005,"&lt;"&amp;DATE(Einstellungen!$C$3,3,1)))</f>
        <v/>
      </c>
      <c r="E182" s="54">
        <f>IF($B182="","",SUMIFS(Erfassung!$E$6:$E$5005,Erfassung!$B$6:$B$5005,$A182,Erfassung!$A$6:$A$5005,"&gt;="&amp;DATE(Einstellungen!$C$3,3,1),Erfassung!$A$6:$A$5005,"&lt;"&amp;DATE(Einstellungen!$C$3,4,1)))</f>
        <v/>
      </c>
      <c r="F182" s="54">
        <f>IF($B182="","",SUMIFS(Erfassung!$E$6:$E$5005,Erfassung!$B$6:$B$5005,$A182,Erfassung!$A$6:$A$5005,"&gt;="&amp;DATE(Einstellungen!$C$3,4,1),Erfassung!$A$6:$A$5005,"&lt;"&amp;DATE(Einstellungen!$C$3,5,1)))</f>
        <v/>
      </c>
      <c r="G182" s="54">
        <f>IF($B182="","",SUMIFS(Erfassung!$E$6:$E$5005,Erfassung!$B$6:$B$5005,$A182,Erfassung!$A$6:$A$5005,"&gt;="&amp;DATE(Einstellungen!$C$3,5,1),Erfassung!$A$6:$A$5005,"&lt;"&amp;DATE(Einstellungen!$C$3,6,1)))</f>
        <v/>
      </c>
      <c r="H182" s="54">
        <f>IF($B182="","",SUMIFS(Erfassung!$E$6:$E$5005,Erfassung!$B$6:$B$5005,$A182,Erfassung!$A$6:$A$5005,"&gt;="&amp;DATE(Einstellungen!$C$3,6,1),Erfassung!$A$6:$A$5005,"&lt;"&amp;DATE(Einstellungen!$C$3,7,1)))</f>
        <v/>
      </c>
      <c r="I182" s="54">
        <f>IF($B182="","",SUMIFS(Erfassung!$E$6:$E$5005,Erfassung!$B$6:$B$5005,$A182,Erfassung!$A$6:$A$5005,"&gt;="&amp;DATE(Einstellungen!$C$3,7,1),Erfassung!$A$6:$A$5005,"&lt;"&amp;DATE(Einstellungen!$C$3,8,1)))</f>
        <v/>
      </c>
      <c r="J182" s="54">
        <f>IF($B182="","",SUMIFS(Erfassung!$E$6:$E$5005,Erfassung!$B$6:$B$5005,$A182,Erfassung!$A$6:$A$5005,"&gt;="&amp;DATE(Einstellungen!$C$3,8,1),Erfassung!$A$6:$A$5005,"&lt;"&amp;DATE(Einstellungen!$C$3,9,1)))</f>
        <v/>
      </c>
      <c r="K182" s="54">
        <f>IF($B182="","",SUMIFS(Erfassung!$E$6:$E$5005,Erfassung!$B$6:$B$5005,$A182,Erfassung!$A$6:$A$5005,"&gt;="&amp;DATE(Einstellungen!$C$3,9,1),Erfassung!$A$6:$A$5005,"&lt;"&amp;DATE(Einstellungen!$C$3,10,1)))</f>
        <v/>
      </c>
      <c r="L182" s="54">
        <f>IF($B182="","",SUMIFS(Erfassung!$E$6:$E$5005,Erfassung!$B$6:$B$5005,$A182,Erfassung!$A$6:$A$5005,"&gt;="&amp;DATE(Einstellungen!$C$3,10,1),Erfassung!$A$6:$A$5005,"&lt;"&amp;DATE(Einstellungen!$C$3,11,1)))</f>
        <v/>
      </c>
      <c r="M182" s="54">
        <f>IF($B182="","",SUMIFS(Erfassung!$E$6:$E$5005,Erfassung!$B$6:$B$5005,$A182,Erfassung!$A$6:$A$5005,"&gt;="&amp;DATE(Einstellungen!$C$3,11,1),Erfassung!$A$6:$A$5005,"&lt;"&amp;DATE(Einstellungen!$C$3,12,1)))</f>
        <v/>
      </c>
      <c r="N182" s="54">
        <f>IF($B182="","",SUMIFS(Erfassung!$E$6:$E$5005,Erfassung!$B$6:$B$5005,$A182,Erfassung!$A$6:$A$5005,"&gt;="&amp;DATE(Einstellungen!$C$3,12,1),Erfassung!$A$6:$A$5005,"&lt;"&amp;DATE(Einstellungen!$C$3,13,1)))</f>
        <v/>
      </c>
      <c r="O182" s="45">
        <f>IF($B182="","",SUM(C182:N182))</f>
        <v/>
      </c>
      <c r="P182" s="54">
        <f>IF($B182="","",SUMIFS(Erfassung!$G$6:$G$5005,Erfassung!$B$6:$B$5005,$A182,Erfassung!$A$6:$A$5005,"&gt;="&amp;DATE(Einstellungen!$C$3,1,1),Erfassung!$A$6:$A$5005,"&lt;"&amp;DATE(Einstellungen!$C$3,2,1)))</f>
        <v/>
      </c>
      <c r="Q182" s="54">
        <f>IF($B182="","",SUMIFS(Erfassung!$G$6:$G$5005,Erfassung!$B$6:$B$5005,$A182,Erfassung!$A$6:$A$5005,"&gt;="&amp;DATE(Einstellungen!$C$3,2,1),Erfassung!$A$6:$A$5005,"&lt;"&amp;DATE(Einstellungen!$C$3,3,1)))</f>
        <v/>
      </c>
      <c r="R182" s="54">
        <f>IF($B182="","",SUMIFS(Erfassung!$G$6:$G$5005,Erfassung!$B$6:$B$5005,$A182,Erfassung!$A$6:$A$5005,"&gt;="&amp;DATE(Einstellungen!$C$3,3,1),Erfassung!$A$6:$A$5005,"&lt;"&amp;DATE(Einstellungen!$C$3,4,1)))</f>
        <v/>
      </c>
      <c r="S182" s="54">
        <f>IF($B182="","",SUMIFS(Erfassung!$G$6:$G$5005,Erfassung!$B$6:$B$5005,$A182,Erfassung!$A$6:$A$5005,"&gt;="&amp;DATE(Einstellungen!$C$3,4,1),Erfassung!$A$6:$A$5005,"&lt;"&amp;DATE(Einstellungen!$C$3,5,1)))</f>
        <v/>
      </c>
      <c r="T182" s="54">
        <f>IF($B182="","",SUMIFS(Erfassung!$G$6:$G$5005,Erfassung!$B$6:$B$5005,$A182,Erfassung!$A$6:$A$5005,"&gt;="&amp;DATE(Einstellungen!$C$3,5,1),Erfassung!$A$6:$A$5005,"&lt;"&amp;DATE(Einstellungen!$C$3,6,1)))</f>
        <v/>
      </c>
      <c r="U182" s="54">
        <f>IF($B182="","",SUMIFS(Erfassung!$G$6:$G$5005,Erfassung!$B$6:$B$5005,$A182,Erfassung!$A$6:$A$5005,"&gt;="&amp;DATE(Einstellungen!$C$3,6,1),Erfassung!$A$6:$A$5005,"&lt;"&amp;DATE(Einstellungen!$C$3,7,1)))</f>
        <v/>
      </c>
      <c r="V182" s="54">
        <f>IF($B182="","",SUMIFS(Erfassung!$G$6:$G$5005,Erfassung!$B$6:$B$5005,$A182,Erfassung!$A$6:$A$5005,"&gt;="&amp;DATE(Einstellungen!$C$3,7,1),Erfassung!$A$6:$A$5005,"&lt;"&amp;DATE(Einstellungen!$C$3,8,1)))</f>
        <v/>
      </c>
      <c r="W182" s="54">
        <f>IF($B182="","",SUMIFS(Erfassung!$G$6:$G$5005,Erfassung!$B$6:$B$5005,$A182,Erfassung!$A$6:$A$5005,"&gt;="&amp;DATE(Einstellungen!$C$3,8,1),Erfassung!$A$6:$A$5005,"&lt;"&amp;DATE(Einstellungen!$C$3,9,1)))</f>
        <v/>
      </c>
      <c r="X182" s="54">
        <f>IF($B182="","",SUMIFS(Erfassung!$G$6:$G$5005,Erfassung!$B$6:$B$5005,$A182,Erfassung!$A$6:$A$5005,"&gt;="&amp;DATE(Einstellungen!$C$3,9,1),Erfassung!$A$6:$A$5005,"&lt;"&amp;DATE(Einstellungen!$C$3,10,1)))</f>
        <v/>
      </c>
      <c r="Y182" s="54">
        <f>IF($B182="","",SUMIFS(Erfassung!$G$6:$G$5005,Erfassung!$B$6:$B$5005,$A182,Erfassung!$A$6:$A$5005,"&gt;="&amp;DATE(Einstellungen!$C$3,10,1),Erfassung!$A$6:$A$5005,"&lt;"&amp;DATE(Einstellungen!$C$3,11,1)))</f>
        <v/>
      </c>
      <c r="Z182" s="54">
        <f>IF($B182="","",SUMIFS(Erfassung!$G$6:$G$5005,Erfassung!$B$6:$B$5005,$A182,Erfassung!$A$6:$A$5005,"&gt;="&amp;DATE(Einstellungen!$C$3,11,1),Erfassung!$A$6:$A$5005,"&lt;"&amp;DATE(Einstellungen!$C$3,12,1)))</f>
        <v/>
      </c>
      <c r="AA182" s="54">
        <f>IF($B182="","",SUMIFS(Erfassung!$G$6:$G$5005,Erfassung!$B$6:$B$5005,$A182,Erfassung!$A$6:$A$5005,"&gt;="&amp;DATE(Einstellungen!$C$3,12,1),Erfassung!$A$6:$A$5005,"&lt;"&amp;DATE(Einstellungen!$C$3,13,1)))</f>
        <v/>
      </c>
      <c r="AB182" s="45">
        <f>IF($B182="","",SUM(P182:AA182))</f>
        <v/>
      </c>
      <c r="AC182" s="38">
        <f>IF($B182="","",IF(O182+AB182&gt;0,AB182/(O182+AB182),""))</f>
        <v/>
      </c>
    </row>
    <row r="183">
      <c r="A183" s="56">
        <f>'KQuote Mitarbeiter'!A183</f>
        <v/>
      </c>
      <c r="B183" s="57">
        <f>'KQuote Mitarbeiter'!B183</f>
        <v/>
      </c>
      <c r="C183" s="54">
        <f>IF($B183="","",SUMIFS(Erfassung!$E$6:$E$5005,Erfassung!$B$6:$B$5005,$A183,Erfassung!$A$6:$A$5005,"&gt;="&amp;DATE(Einstellungen!$C$3,1,1),Erfassung!$A$6:$A$5005,"&lt;"&amp;DATE(Einstellungen!$C$3,2,1)))</f>
        <v/>
      </c>
      <c r="D183" s="54">
        <f>IF($B183="","",SUMIFS(Erfassung!$E$6:$E$5005,Erfassung!$B$6:$B$5005,$A183,Erfassung!$A$6:$A$5005,"&gt;="&amp;DATE(Einstellungen!$C$3,2,1),Erfassung!$A$6:$A$5005,"&lt;"&amp;DATE(Einstellungen!$C$3,3,1)))</f>
        <v/>
      </c>
      <c r="E183" s="54">
        <f>IF($B183="","",SUMIFS(Erfassung!$E$6:$E$5005,Erfassung!$B$6:$B$5005,$A183,Erfassung!$A$6:$A$5005,"&gt;="&amp;DATE(Einstellungen!$C$3,3,1),Erfassung!$A$6:$A$5005,"&lt;"&amp;DATE(Einstellungen!$C$3,4,1)))</f>
        <v/>
      </c>
      <c r="F183" s="54">
        <f>IF($B183="","",SUMIFS(Erfassung!$E$6:$E$5005,Erfassung!$B$6:$B$5005,$A183,Erfassung!$A$6:$A$5005,"&gt;="&amp;DATE(Einstellungen!$C$3,4,1),Erfassung!$A$6:$A$5005,"&lt;"&amp;DATE(Einstellungen!$C$3,5,1)))</f>
        <v/>
      </c>
      <c r="G183" s="54">
        <f>IF($B183="","",SUMIFS(Erfassung!$E$6:$E$5005,Erfassung!$B$6:$B$5005,$A183,Erfassung!$A$6:$A$5005,"&gt;="&amp;DATE(Einstellungen!$C$3,5,1),Erfassung!$A$6:$A$5005,"&lt;"&amp;DATE(Einstellungen!$C$3,6,1)))</f>
        <v/>
      </c>
      <c r="H183" s="54">
        <f>IF($B183="","",SUMIFS(Erfassung!$E$6:$E$5005,Erfassung!$B$6:$B$5005,$A183,Erfassung!$A$6:$A$5005,"&gt;="&amp;DATE(Einstellungen!$C$3,6,1),Erfassung!$A$6:$A$5005,"&lt;"&amp;DATE(Einstellungen!$C$3,7,1)))</f>
        <v/>
      </c>
      <c r="I183" s="54">
        <f>IF($B183="","",SUMIFS(Erfassung!$E$6:$E$5005,Erfassung!$B$6:$B$5005,$A183,Erfassung!$A$6:$A$5005,"&gt;="&amp;DATE(Einstellungen!$C$3,7,1),Erfassung!$A$6:$A$5005,"&lt;"&amp;DATE(Einstellungen!$C$3,8,1)))</f>
        <v/>
      </c>
      <c r="J183" s="54">
        <f>IF($B183="","",SUMIFS(Erfassung!$E$6:$E$5005,Erfassung!$B$6:$B$5005,$A183,Erfassung!$A$6:$A$5005,"&gt;="&amp;DATE(Einstellungen!$C$3,8,1),Erfassung!$A$6:$A$5005,"&lt;"&amp;DATE(Einstellungen!$C$3,9,1)))</f>
        <v/>
      </c>
      <c r="K183" s="54">
        <f>IF($B183="","",SUMIFS(Erfassung!$E$6:$E$5005,Erfassung!$B$6:$B$5005,$A183,Erfassung!$A$6:$A$5005,"&gt;="&amp;DATE(Einstellungen!$C$3,9,1),Erfassung!$A$6:$A$5005,"&lt;"&amp;DATE(Einstellungen!$C$3,10,1)))</f>
        <v/>
      </c>
      <c r="L183" s="54">
        <f>IF($B183="","",SUMIFS(Erfassung!$E$6:$E$5005,Erfassung!$B$6:$B$5005,$A183,Erfassung!$A$6:$A$5005,"&gt;="&amp;DATE(Einstellungen!$C$3,10,1),Erfassung!$A$6:$A$5005,"&lt;"&amp;DATE(Einstellungen!$C$3,11,1)))</f>
        <v/>
      </c>
      <c r="M183" s="54">
        <f>IF($B183="","",SUMIFS(Erfassung!$E$6:$E$5005,Erfassung!$B$6:$B$5005,$A183,Erfassung!$A$6:$A$5005,"&gt;="&amp;DATE(Einstellungen!$C$3,11,1),Erfassung!$A$6:$A$5005,"&lt;"&amp;DATE(Einstellungen!$C$3,12,1)))</f>
        <v/>
      </c>
      <c r="N183" s="54">
        <f>IF($B183="","",SUMIFS(Erfassung!$E$6:$E$5005,Erfassung!$B$6:$B$5005,$A183,Erfassung!$A$6:$A$5005,"&gt;="&amp;DATE(Einstellungen!$C$3,12,1),Erfassung!$A$6:$A$5005,"&lt;"&amp;DATE(Einstellungen!$C$3,13,1)))</f>
        <v/>
      </c>
      <c r="O183" s="45">
        <f>IF($B183="","",SUM(C183:N183))</f>
        <v/>
      </c>
      <c r="P183" s="54">
        <f>IF($B183="","",SUMIFS(Erfassung!$G$6:$G$5005,Erfassung!$B$6:$B$5005,$A183,Erfassung!$A$6:$A$5005,"&gt;="&amp;DATE(Einstellungen!$C$3,1,1),Erfassung!$A$6:$A$5005,"&lt;"&amp;DATE(Einstellungen!$C$3,2,1)))</f>
        <v/>
      </c>
      <c r="Q183" s="54">
        <f>IF($B183="","",SUMIFS(Erfassung!$G$6:$G$5005,Erfassung!$B$6:$B$5005,$A183,Erfassung!$A$6:$A$5005,"&gt;="&amp;DATE(Einstellungen!$C$3,2,1),Erfassung!$A$6:$A$5005,"&lt;"&amp;DATE(Einstellungen!$C$3,3,1)))</f>
        <v/>
      </c>
      <c r="R183" s="54">
        <f>IF($B183="","",SUMIFS(Erfassung!$G$6:$G$5005,Erfassung!$B$6:$B$5005,$A183,Erfassung!$A$6:$A$5005,"&gt;="&amp;DATE(Einstellungen!$C$3,3,1),Erfassung!$A$6:$A$5005,"&lt;"&amp;DATE(Einstellungen!$C$3,4,1)))</f>
        <v/>
      </c>
      <c r="S183" s="54">
        <f>IF($B183="","",SUMIFS(Erfassung!$G$6:$G$5005,Erfassung!$B$6:$B$5005,$A183,Erfassung!$A$6:$A$5005,"&gt;="&amp;DATE(Einstellungen!$C$3,4,1),Erfassung!$A$6:$A$5005,"&lt;"&amp;DATE(Einstellungen!$C$3,5,1)))</f>
        <v/>
      </c>
      <c r="T183" s="54">
        <f>IF($B183="","",SUMIFS(Erfassung!$G$6:$G$5005,Erfassung!$B$6:$B$5005,$A183,Erfassung!$A$6:$A$5005,"&gt;="&amp;DATE(Einstellungen!$C$3,5,1),Erfassung!$A$6:$A$5005,"&lt;"&amp;DATE(Einstellungen!$C$3,6,1)))</f>
        <v/>
      </c>
      <c r="U183" s="54">
        <f>IF($B183="","",SUMIFS(Erfassung!$G$6:$G$5005,Erfassung!$B$6:$B$5005,$A183,Erfassung!$A$6:$A$5005,"&gt;="&amp;DATE(Einstellungen!$C$3,6,1),Erfassung!$A$6:$A$5005,"&lt;"&amp;DATE(Einstellungen!$C$3,7,1)))</f>
        <v/>
      </c>
      <c r="V183" s="54">
        <f>IF($B183="","",SUMIFS(Erfassung!$G$6:$G$5005,Erfassung!$B$6:$B$5005,$A183,Erfassung!$A$6:$A$5005,"&gt;="&amp;DATE(Einstellungen!$C$3,7,1),Erfassung!$A$6:$A$5005,"&lt;"&amp;DATE(Einstellungen!$C$3,8,1)))</f>
        <v/>
      </c>
      <c r="W183" s="54">
        <f>IF($B183="","",SUMIFS(Erfassung!$G$6:$G$5005,Erfassung!$B$6:$B$5005,$A183,Erfassung!$A$6:$A$5005,"&gt;="&amp;DATE(Einstellungen!$C$3,8,1),Erfassung!$A$6:$A$5005,"&lt;"&amp;DATE(Einstellungen!$C$3,9,1)))</f>
        <v/>
      </c>
      <c r="X183" s="54">
        <f>IF($B183="","",SUMIFS(Erfassung!$G$6:$G$5005,Erfassung!$B$6:$B$5005,$A183,Erfassung!$A$6:$A$5005,"&gt;="&amp;DATE(Einstellungen!$C$3,9,1),Erfassung!$A$6:$A$5005,"&lt;"&amp;DATE(Einstellungen!$C$3,10,1)))</f>
        <v/>
      </c>
      <c r="Y183" s="54">
        <f>IF($B183="","",SUMIFS(Erfassung!$G$6:$G$5005,Erfassung!$B$6:$B$5005,$A183,Erfassung!$A$6:$A$5005,"&gt;="&amp;DATE(Einstellungen!$C$3,10,1),Erfassung!$A$6:$A$5005,"&lt;"&amp;DATE(Einstellungen!$C$3,11,1)))</f>
        <v/>
      </c>
      <c r="Z183" s="54">
        <f>IF($B183="","",SUMIFS(Erfassung!$G$6:$G$5005,Erfassung!$B$6:$B$5005,$A183,Erfassung!$A$6:$A$5005,"&gt;="&amp;DATE(Einstellungen!$C$3,11,1),Erfassung!$A$6:$A$5005,"&lt;"&amp;DATE(Einstellungen!$C$3,12,1)))</f>
        <v/>
      </c>
      <c r="AA183" s="54">
        <f>IF($B183="","",SUMIFS(Erfassung!$G$6:$G$5005,Erfassung!$B$6:$B$5005,$A183,Erfassung!$A$6:$A$5005,"&gt;="&amp;DATE(Einstellungen!$C$3,12,1),Erfassung!$A$6:$A$5005,"&lt;"&amp;DATE(Einstellungen!$C$3,13,1)))</f>
        <v/>
      </c>
      <c r="AB183" s="45">
        <f>IF($B183="","",SUM(P183:AA183))</f>
        <v/>
      </c>
      <c r="AC183" s="38">
        <f>IF($B183="","",IF(O183+AB183&gt;0,AB183/(O183+AB183),""))</f>
        <v/>
      </c>
    </row>
    <row r="184">
      <c r="A184" s="56">
        <f>'KQuote Mitarbeiter'!A184</f>
        <v/>
      </c>
      <c r="B184" s="57">
        <f>'KQuote Mitarbeiter'!B184</f>
        <v/>
      </c>
      <c r="C184" s="54">
        <f>IF($B184="","",SUMIFS(Erfassung!$E$6:$E$5005,Erfassung!$B$6:$B$5005,$A184,Erfassung!$A$6:$A$5005,"&gt;="&amp;DATE(Einstellungen!$C$3,1,1),Erfassung!$A$6:$A$5005,"&lt;"&amp;DATE(Einstellungen!$C$3,2,1)))</f>
        <v/>
      </c>
      <c r="D184" s="54">
        <f>IF($B184="","",SUMIFS(Erfassung!$E$6:$E$5005,Erfassung!$B$6:$B$5005,$A184,Erfassung!$A$6:$A$5005,"&gt;="&amp;DATE(Einstellungen!$C$3,2,1),Erfassung!$A$6:$A$5005,"&lt;"&amp;DATE(Einstellungen!$C$3,3,1)))</f>
        <v/>
      </c>
      <c r="E184" s="54">
        <f>IF($B184="","",SUMIFS(Erfassung!$E$6:$E$5005,Erfassung!$B$6:$B$5005,$A184,Erfassung!$A$6:$A$5005,"&gt;="&amp;DATE(Einstellungen!$C$3,3,1),Erfassung!$A$6:$A$5005,"&lt;"&amp;DATE(Einstellungen!$C$3,4,1)))</f>
        <v/>
      </c>
      <c r="F184" s="54">
        <f>IF($B184="","",SUMIFS(Erfassung!$E$6:$E$5005,Erfassung!$B$6:$B$5005,$A184,Erfassung!$A$6:$A$5005,"&gt;="&amp;DATE(Einstellungen!$C$3,4,1),Erfassung!$A$6:$A$5005,"&lt;"&amp;DATE(Einstellungen!$C$3,5,1)))</f>
        <v/>
      </c>
      <c r="G184" s="54">
        <f>IF($B184="","",SUMIFS(Erfassung!$E$6:$E$5005,Erfassung!$B$6:$B$5005,$A184,Erfassung!$A$6:$A$5005,"&gt;="&amp;DATE(Einstellungen!$C$3,5,1),Erfassung!$A$6:$A$5005,"&lt;"&amp;DATE(Einstellungen!$C$3,6,1)))</f>
        <v/>
      </c>
      <c r="H184" s="54">
        <f>IF($B184="","",SUMIFS(Erfassung!$E$6:$E$5005,Erfassung!$B$6:$B$5005,$A184,Erfassung!$A$6:$A$5005,"&gt;="&amp;DATE(Einstellungen!$C$3,6,1),Erfassung!$A$6:$A$5005,"&lt;"&amp;DATE(Einstellungen!$C$3,7,1)))</f>
        <v/>
      </c>
      <c r="I184" s="54">
        <f>IF($B184="","",SUMIFS(Erfassung!$E$6:$E$5005,Erfassung!$B$6:$B$5005,$A184,Erfassung!$A$6:$A$5005,"&gt;="&amp;DATE(Einstellungen!$C$3,7,1),Erfassung!$A$6:$A$5005,"&lt;"&amp;DATE(Einstellungen!$C$3,8,1)))</f>
        <v/>
      </c>
      <c r="J184" s="54">
        <f>IF($B184="","",SUMIFS(Erfassung!$E$6:$E$5005,Erfassung!$B$6:$B$5005,$A184,Erfassung!$A$6:$A$5005,"&gt;="&amp;DATE(Einstellungen!$C$3,8,1),Erfassung!$A$6:$A$5005,"&lt;"&amp;DATE(Einstellungen!$C$3,9,1)))</f>
        <v/>
      </c>
      <c r="K184" s="54">
        <f>IF($B184="","",SUMIFS(Erfassung!$E$6:$E$5005,Erfassung!$B$6:$B$5005,$A184,Erfassung!$A$6:$A$5005,"&gt;="&amp;DATE(Einstellungen!$C$3,9,1),Erfassung!$A$6:$A$5005,"&lt;"&amp;DATE(Einstellungen!$C$3,10,1)))</f>
        <v/>
      </c>
      <c r="L184" s="54">
        <f>IF($B184="","",SUMIFS(Erfassung!$E$6:$E$5005,Erfassung!$B$6:$B$5005,$A184,Erfassung!$A$6:$A$5005,"&gt;="&amp;DATE(Einstellungen!$C$3,10,1),Erfassung!$A$6:$A$5005,"&lt;"&amp;DATE(Einstellungen!$C$3,11,1)))</f>
        <v/>
      </c>
      <c r="M184" s="54">
        <f>IF($B184="","",SUMIFS(Erfassung!$E$6:$E$5005,Erfassung!$B$6:$B$5005,$A184,Erfassung!$A$6:$A$5005,"&gt;="&amp;DATE(Einstellungen!$C$3,11,1),Erfassung!$A$6:$A$5005,"&lt;"&amp;DATE(Einstellungen!$C$3,12,1)))</f>
        <v/>
      </c>
      <c r="N184" s="54">
        <f>IF($B184="","",SUMIFS(Erfassung!$E$6:$E$5005,Erfassung!$B$6:$B$5005,$A184,Erfassung!$A$6:$A$5005,"&gt;="&amp;DATE(Einstellungen!$C$3,12,1),Erfassung!$A$6:$A$5005,"&lt;"&amp;DATE(Einstellungen!$C$3,13,1)))</f>
        <v/>
      </c>
      <c r="O184" s="45">
        <f>IF($B184="","",SUM(C184:N184))</f>
        <v/>
      </c>
      <c r="P184" s="54">
        <f>IF($B184="","",SUMIFS(Erfassung!$G$6:$G$5005,Erfassung!$B$6:$B$5005,$A184,Erfassung!$A$6:$A$5005,"&gt;="&amp;DATE(Einstellungen!$C$3,1,1),Erfassung!$A$6:$A$5005,"&lt;"&amp;DATE(Einstellungen!$C$3,2,1)))</f>
        <v/>
      </c>
      <c r="Q184" s="54">
        <f>IF($B184="","",SUMIFS(Erfassung!$G$6:$G$5005,Erfassung!$B$6:$B$5005,$A184,Erfassung!$A$6:$A$5005,"&gt;="&amp;DATE(Einstellungen!$C$3,2,1),Erfassung!$A$6:$A$5005,"&lt;"&amp;DATE(Einstellungen!$C$3,3,1)))</f>
        <v/>
      </c>
      <c r="R184" s="54">
        <f>IF($B184="","",SUMIFS(Erfassung!$G$6:$G$5005,Erfassung!$B$6:$B$5005,$A184,Erfassung!$A$6:$A$5005,"&gt;="&amp;DATE(Einstellungen!$C$3,3,1),Erfassung!$A$6:$A$5005,"&lt;"&amp;DATE(Einstellungen!$C$3,4,1)))</f>
        <v/>
      </c>
      <c r="S184" s="54">
        <f>IF($B184="","",SUMIFS(Erfassung!$G$6:$G$5005,Erfassung!$B$6:$B$5005,$A184,Erfassung!$A$6:$A$5005,"&gt;="&amp;DATE(Einstellungen!$C$3,4,1),Erfassung!$A$6:$A$5005,"&lt;"&amp;DATE(Einstellungen!$C$3,5,1)))</f>
        <v/>
      </c>
      <c r="T184" s="54">
        <f>IF($B184="","",SUMIFS(Erfassung!$G$6:$G$5005,Erfassung!$B$6:$B$5005,$A184,Erfassung!$A$6:$A$5005,"&gt;="&amp;DATE(Einstellungen!$C$3,5,1),Erfassung!$A$6:$A$5005,"&lt;"&amp;DATE(Einstellungen!$C$3,6,1)))</f>
        <v/>
      </c>
      <c r="U184" s="54">
        <f>IF($B184="","",SUMIFS(Erfassung!$G$6:$G$5005,Erfassung!$B$6:$B$5005,$A184,Erfassung!$A$6:$A$5005,"&gt;="&amp;DATE(Einstellungen!$C$3,6,1),Erfassung!$A$6:$A$5005,"&lt;"&amp;DATE(Einstellungen!$C$3,7,1)))</f>
        <v/>
      </c>
      <c r="V184" s="54">
        <f>IF($B184="","",SUMIFS(Erfassung!$G$6:$G$5005,Erfassung!$B$6:$B$5005,$A184,Erfassung!$A$6:$A$5005,"&gt;="&amp;DATE(Einstellungen!$C$3,7,1),Erfassung!$A$6:$A$5005,"&lt;"&amp;DATE(Einstellungen!$C$3,8,1)))</f>
        <v/>
      </c>
      <c r="W184" s="54">
        <f>IF($B184="","",SUMIFS(Erfassung!$G$6:$G$5005,Erfassung!$B$6:$B$5005,$A184,Erfassung!$A$6:$A$5005,"&gt;="&amp;DATE(Einstellungen!$C$3,8,1),Erfassung!$A$6:$A$5005,"&lt;"&amp;DATE(Einstellungen!$C$3,9,1)))</f>
        <v/>
      </c>
      <c r="X184" s="54">
        <f>IF($B184="","",SUMIFS(Erfassung!$G$6:$G$5005,Erfassung!$B$6:$B$5005,$A184,Erfassung!$A$6:$A$5005,"&gt;="&amp;DATE(Einstellungen!$C$3,9,1),Erfassung!$A$6:$A$5005,"&lt;"&amp;DATE(Einstellungen!$C$3,10,1)))</f>
        <v/>
      </c>
      <c r="Y184" s="54">
        <f>IF($B184="","",SUMIFS(Erfassung!$G$6:$G$5005,Erfassung!$B$6:$B$5005,$A184,Erfassung!$A$6:$A$5005,"&gt;="&amp;DATE(Einstellungen!$C$3,10,1),Erfassung!$A$6:$A$5005,"&lt;"&amp;DATE(Einstellungen!$C$3,11,1)))</f>
        <v/>
      </c>
      <c r="Z184" s="54">
        <f>IF($B184="","",SUMIFS(Erfassung!$G$6:$G$5005,Erfassung!$B$6:$B$5005,$A184,Erfassung!$A$6:$A$5005,"&gt;="&amp;DATE(Einstellungen!$C$3,11,1),Erfassung!$A$6:$A$5005,"&lt;"&amp;DATE(Einstellungen!$C$3,12,1)))</f>
        <v/>
      </c>
      <c r="AA184" s="54">
        <f>IF($B184="","",SUMIFS(Erfassung!$G$6:$G$5005,Erfassung!$B$6:$B$5005,$A184,Erfassung!$A$6:$A$5005,"&gt;="&amp;DATE(Einstellungen!$C$3,12,1),Erfassung!$A$6:$A$5005,"&lt;"&amp;DATE(Einstellungen!$C$3,13,1)))</f>
        <v/>
      </c>
      <c r="AB184" s="45">
        <f>IF($B184="","",SUM(P184:AA184))</f>
        <v/>
      </c>
      <c r="AC184" s="38">
        <f>IF($B184="","",IF(O184+AB184&gt;0,AB184/(O184+AB184),""))</f>
        <v/>
      </c>
    </row>
    <row r="185">
      <c r="A185" s="56">
        <f>'KQuote Mitarbeiter'!A185</f>
        <v/>
      </c>
      <c r="B185" s="57">
        <f>'KQuote Mitarbeiter'!B185</f>
        <v/>
      </c>
      <c r="C185" s="54">
        <f>IF($B185="","",SUMIFS(Erfassung!$E$6:$E$5005,Erfassung!$B$6:$B$5005,$A185,Erfassung!$A$6:$A$5005,"&gt;="&amp;DATE(Einstellungen!$C$3,1,1),Erfassung!$A$6:$A$5005,"&lt;"&amp;DATE(Einstellungen!$C$3,2,1)))</f>
        <v/>
      </c>
      <c r="D185" s="54">
        <f>IF($B185="","",SUMIFS(Erfassung!$E$6:$E$5005,Erfassung!$B$6:$B$5005,$A185,Erfassung!$A$6:$A$5005,"&gt;="&amp;DATE(Einstellungen!$C$3,2,1),Erfassung!$A$6:$A$5005,"&lt;"&amp;DATE(Einstellungen!$C$3,3,1)))</f>
        <v/>
      </c>
      <c r="E185" s="54">
        <f>IF($B185="","",SUMIFS(Erfassung!$E$6:$E$5005,Erfassung!$B$6:$B$5005,$A185,Erfassung!$A$6:$A$5005,"&gt;="&amp;DATE(Einstellungen!$C$3,3,1),Erfassung!$A$6:$A$5005,"&lt;"&amp;DATE(Einstellungen!$C$3,4,1)))</f>
        <v/>
      </c>
      <c r="F185" s="54">
        <f>IF($B185="","",SUMIFS(Erfassung!$E$6:$E$5005,Erfassung!$B$6:$B$5005,$A185,Erfassung!$A$6:$A$5005,"&gt;="&amp;DATE(Einstellungen!$C$3,4,1),Erfassung!$A$6:$A$5005,"&lt;"&amp;DATE(Einstellungen!$C$3,5,1)))</f>
        <v/>
      </c>
      <c r="G185" s="54">
        <f>IF($B185="","",SUMIFS(Erfassung!$E$6:$E$5005,Erfassung!$B$6:$B$5005,$A185,Erfassung!$A$6:$A$5005,"&gt;="&amp;DATE(Einstellungen!$C$3,5,1),Erfassung!$A$6:$A$5005,"&lt;"&amp;DATE(Einstellungen!$C$3,6,1)))</f>
        <v/>
      </c>
      <c r="H185" s="54">
        <f>IF($B185="","",SUMIFS(Erfassung!$E$6:$E$5005,Erfassung!$B$6:$B$5005,$A185,Erfassung!$A$6:$A$5005,"&gt;="&amp;DATE(Einstellungen!$C$3,6,1),Erfassung!$A$6:$A$5005,"&lt;"&amp;DATE(Einstellungen!$C$3,7,1)))</f>
        <v/>
      </c>
      <c r="I185" s="54">
        <f>IF($B185="","",SUMIFS(Erfassung!$E$6:$E$5005,Erfassung!$B$6:$B$5005,$A185,Erfassung!$A$6:$A$5005,"&gt;="&amp;DATE(Einstellungen!$C$3,7,1),Erfassung!$A$6:$A$5005,"&lt;"&amp;DATE(Einstellungen!$C$3,8,1)))</f>
        <v/>
      </c>
      <c r="J185" s="54">
        <f>IF($B185="","",SUMIFS(Erfassung!$E$6:$E$5005,Erfassung!$B$6:$B$5005,$A185,Erfassung!$A$6:$A$5005,"&gt;="&amp;DATE(Einstellungen!$C$3,8,1),Erfassung!$A$6:$A$5005,"&lt;"&amp;DATE(Einstellungen!$C$3,9,1)))</f>
        <v/>
      </c>
      <c r="K185" s="54">
        <f>IF($B185="","",SUMIFS(Erfassung!$E$6:$E$5005,Erfassung!$B$6:$B$5005,$A185,Erfassung!$A$6:$A$5005,"&gt;="&amp;DATE(Einstellungen!$C$3,9,1),Erfassung!$A$6:$A$5005,"&lt;"&amp;DATE(Einstellungen!$C$3,10,1)))</f>
        <v/>
      </c>
      <c r="L185" s="54">
        <f>IF($B185="","",SUMIFS(Erfassung!$E$6:$E$5005,Erfassung!$B$6:$B$5005,$A185,Erfassung!$A$6:$A$5005,"&gt;="&amp;DATE(Einstellungen!$C$3,10,1),Erfassung!$A$6:$A$5005,"&lt;"&amp;DATE(Einstellungen!$C$3,11,1)))</f>
        <v/>
      </c>
      <c r="M185" s="54">
        <f>IF($B185="","",SUMIFS(Erfassung!$E$6:$E$5005,Erfassung!$B$6:$B$5005,$A185,Erfassung!$A$6:$A$5005,"&gt;="&amp;DATE(Einstellungen!$C$3,11,1),Erfassung!$A$6:$A$5005,"&lt;"&amp;DATE(Einstellungen!$C$3,12,1)))</f>
        <v/>
      </c>
      <c r="N185" s="54">
        <f>IF($B185="","",SUMIFS(Erfassung!$E$6:$E$5005,Erfassung!$B$6:$B$5005,$A185,Erfassung!$A$6:$A$5005,"&gt;="&amp;DATE(Einstellungen!$C$3,12,1),Erfassung!$A$6:$A$5005,"&lt;"&amp;DATE(Einstellungen!$C$3,13,1)))</f>
        <v/>
      </c>
      <c r="O185" s="45">
        <f>IF($B185="","",SUM(C185:N185))</f>
        <v/>
      </c>
      <c r="P185" s="54">
        <f>IF($B185="","",SUMIFS(Erfassung!$G$6:$G$5005,Erfassung!$B$6:$B$5005,$A185,Erfassung!$A$6:$A$5005,"&gt;="&amp;DATE(Einstellungen!$C$3,1,1),Erfassung!$A$6:$A$5005,"&lt;"&amp;DATE(Einstellungen!$C$3,2,1)))</f>
        <v/>
      </c>
      <c r="Q185" s="54">
        <f>IF($B185="","",SUMIFS(Erfassung!$G$6:$G$5005,Erfassung!$B$6:$B$5005,$A185,Erfassung!$A$6:$A$5005,"&gt;="&amp;DATE(Einstellungen!$C$3,2,1),Erfassung!$A$6:$A$5005,"&lt;"&amp;DATE(Einstellungen!$C$3,3,1)))</f>
        <v/>
      </c>
      <c r="R185" s="54">
        <f>IF($B185="","",SUMIFS(Erfassung!$G$6:$G$5005,Erfassung!$B$6:$B$5005,$A185,Erfassung!$A$6:$A$5005,"&gt;="&amp;DATE(Einstellungen!$C$3,3,1),Erfassung!$A$6:$A$5005,"&lt;"&amp;DATE(Einstellungen!$C$3,4,1)))</f>
        <v/>
      </c>
      <c r="S185" s="54">
        <f>IF($B185="","",SUMIFS(Erfassung!$G$6:$G$5005,Erfassung!$B$6:$B$5005,$A185,Erfassung!$A$6:$A$5005,"&gt;="&amp;DATE(Einstellungen!$C$3,4,1),Erfassung!$A$6:$A$5005,"&lt;"&amp;DATE(Einstellungen!$C$3,5,1)))</f>
        <v/>
      </c>
      <c r="T185" s="54">
        <f>IF($B185="","",SUMIFS(Erfassung!$G$6:$G$5005,Erfassung!$B$6:$B$5005,$A185,Erfassung!$A$6:$A$5005,"&gt;="&amp;DATE(Einstellungen!$C$3,5,1),Erfassung!$A$6:$A$5005,"&lt;"&amp;DATE(Einstellungen!$C$3,6,1)))</f>
        <v/>
      </c>
      <c r="U185" s="54">
        <f>IF($B185="","",SUMIFS(Erfassung!$G$6:$G$5005,Erfassung!$B$6:$B$5005,$A185,Erfassung!$A$6:$A$5005,"&gt;="&amp;DATE(Einstellungen!$C$3,6,1),Erfassung!$A$6:$A$5005,"&lt;"&amp;DATE(Einstellungen!$C$3,7,1)))</f>
        <v/>
      </c>
      <c r="V185" s="54">
        <f>IF($B185="","",SUMIFS(Erfassung!$G$6:$G$5005,Erfassung!$B$6:$B$5005,$A185,Erfassung!$A$6:$A$5005,"&gt;="&amp;DATE(Einstellungen!$C$3,7,1),Erfassung!$A$6:$A$5005,"&lt;"&amp;DATE(Einstellungen!$C$3,8,1)))</f>
        <v/>
      </c>
      <c r="W185" s="54">
        <f>IF($B185="","",SUMIFS(Erfassung!$G$6:$G$5005,Erfassung!$B$6:$B$5005,$A185,Erfassung!$A$6:$A$5005,"&gt;="&amp;DATE(Einstellungen!$C$3,8,1),Erfassung!$A$6:$A$5005,"&lt;"&amp;DATE(Einstellungen!$C$3,9,1)))</f>
        <v/>
      </c>
      <c r="X185" s="54">
        <f>IF($B185="","",SUMIFS(Erfassung!$G$6:$G$5005,Erfassung!$B$6:$B$5005,$A185,Erfassung!$A$6:$A$5005,"&gt;="&amp;DATE(Einstellungen!$C$3,9,1),Erfassung!$A$6:$A$5005,"&lt;"&amp;DATE(Einstellungen!$C$3,10,1)))</f>
        <v/>
      </c>
      <c r="Y185" s="54">
        <f>IF($B185="","",SUMIFS(Erfassung!$G$6:$G$5005,Erfassung!$B$6:$B$5005,$A185,Erfassung!$A$6:$A$5005,"&gt;="&amp;DATE(Einstellungen!$C$3,10,1),Erfassung!$A$6:$A$5005,"&lt;"&amp;DATE(Einstellungen!$C$3,11,1)))</f>
        <v/>
      </c>
      <c r="Z185" s="54">
        <f>IF($B185="","",SUMIFS(Erfassung!$G$6:$G$5005,Erfassung!$B$6:$B$5005,$A185,Erfassung!$A$6:$A$5005,"&gt;="&amp;DATE(Einstellungen!$C$3,11,1),Erfassung!$A$6:$A$5005,"&lt;"&amp;DATE(Einstellungen!$C$3,12,1)))</f>
        <v/>
      </c>
      <c r="AA185" s="54">
        <f>IF($B185="","",SUMIFS(Erfassung!$G$6:$G$5005,Erfassung!$B$6:$B$5005,$A185,Erfassung!$A$6:$A$5005,"&gt;="&amp;DATE(Einstellungen!$C$3,12,1),Erfassung!$A$6:$A$5005,"&lt;"&amp;DATE(Einstellungen!$C$3,13,1)))</f>
        <v/>
      </c>
      <c r="AB185" s="45">
        <f>IF($B185="","",SUM(P185:AA185))</f>
        <v/>
      </c>
      <c r="AC185" s="38">
        <f>IF($B185="","",IF(O185+AB185&gt;0,AB185/(O185+AB185),""))</f>
        <v/>
      </c>
    </row>
    <row r="186">
      <c r="A186" s="56">
        <f>'KQuote Mitarbeiter'!A186</f>
        <v/>
      </c>
      <c r="B186" s="57">
        <f>'KQuote Mitarbeiter'!B186</f>
        <v/>
      </c>
      <c r="C186" s="54">
        <f>IF($B186="","",SUMIFS(Erfassung!$E$6:$E$5005,Erfassung!$B$6:$B$5005,$A186,Erfassung!$A$6:$A$5005,"&gt;="&amp;DATE(Einstellungen!$C$3,1,1),Erfassung!$A$6:$A$5005,"&lt;"&amp;DATE(Einstellungen!$C$3,2,1)))</f>
        <v/>
      </c>
      <c r="D186" s="54">
        <f>IF($B186="","",SUMIFS(Erfassung!$E$6:$E$5005,Erfassung!$B$6:$B$5005,$A186,Erfassung!$A$6:$A$5005,"&gt;="&amp;DATE(Einstellungen!$C$3,2,1),Erfassung!$A$6:$A$5005,"&lt;"&amp;DATE(Einstellungen!$C$3,3,1)))</f>
        <v/>
      </c>
      <c r="E186" s="54">
        <f>IF($B186="","",SUMIFS(Erfassung!$E$6:$E$5005,Erfassung!$B$6:$B$5005,$A186,Erfassung!$A$6:$A$5005,"&gt;="&amp;DATE(Einstellungen!$C$3,3,1),Erfassung!$A$6:$A$5005,"&lt;"&amp;DATE(Einstellungen!$C$3,4,1)))</f>
        <v/>
      </c>
      <c r="F186" s="54">
        <f>IF($B186="","",SUMIFS(Erfassung!$E$6:$E$5005,Erfassung!$B$6:$B$5005,$A186,Erfassung!$A$6:$A$5005,"&gt;="&amp;DATE(Einstellungen!$C$3,4,1),Erfassung!$A$6:$A$5005,"&lt;"&amp;DATE(Einstellungen!$C$3,5,1)))</f>
        <v/>
      </c>
      <c r="G186" s="54">
        <f>IF($B186="","",SUMIFS(Erfassung!$E$6:$E$5005,Erfassung!$B$6:$B$5005,$A186,Erfassung!$A$6:$A$5005,"&gt;="&amp;DATE(Einstellungen!$C$3,5,1),Erfassung!$A$6:$A$5005,"&lt;"&amp;DATE(Einstellungen!$C$3,6,1)))</f>
        <v/>
      </c>
      <c r="H186" s="54">
        <f>IF($B186="","",SUMIFS(Erfassung!$E$6:$E$5005,Erfassung!$B$6:$B$5005,$A186,Erfassung!$A$6:$A$5005,"&gt;="&amp;DATE(Einstellungen!$C$3,6,1),Erfassung!$A$6:$A$5005,"&lt;"&amp;DATE(Einstellungen!$C$3,7,1)))</f>
        <v/>
      </c>
      <c r="I186" s="54">
        <f>IF($B186="","",SUMIFS(Erfassung!$E$6:$E$5005,Erfassung!$B$6:$B$5005,$A186,Erfassung!$A$6:$A$5005,"&gt;="&amp;DATE(Einstellungen!$C$3,7,1),Erfassung!$A$6:$A$5005,"&lt;"&amp;DATE(Einstellungen!$C$3,8,1)))</f>
        <v/>
      </c>
      <c r="J186" s="54">
        <f>IF($B186="","",SUMIFS(Erfassung!$E$6:$E$5005,Erfassung!$B$6:$B$5005,$A186,Erfassung!$A$6:$A$5005,"&gt;="&amp;DATE(Einstellungen!$C$3,8,1),Erfassung!$A$6:$A$5005,"&lt;"&amp;DATE(Einstellungen!$C$3,9,1)))</f>
        <v/>
      </c>
      <c r="K186" s="54">
        <f>IF($B186="","",SUMIFS(Erfassung!$E$6:$E$5005,Erfassung!$B$6:$B$5005,$A186,Erfassung!$A$6:$A$5005,"&gt;="&amp;DATE(Einstellungen!$C$3,9,1),Erfassung!$A$6:$A$5005,"&lt;"&amp;DATE(Einstellungen!$C$3,10,1)))</f>
        <v/>
      </c>
      <c r="L186" s="54">
        <f>IF($B186="","",SUMIFS(Erfassung!$E$6:$E$5005,Erfassung!$B$6:$B$5005,$A186,Erfassung!$A$6:$A$5005,"&gt;="&amp;DATE(Einstellungen!$C$3,10,1),Erfassung!$A$6:$A$5005,"&lt;"&amp;DATE(Einstellungen!$C$3,11,1)))</f>
        <v/>
      </c>
      <c r="M186" s="54">
        <f>IF($B186="","",SUMIFS(Erfassung!$E$6:$E$5005,Erfassung!$B$6:$B$5005,$A186,Erfassung!$A$6:$A$5005,"&gt;="&amp;DATE(Einstellungen!$C$3,11,1),Erfassung!$A$6:$A$5005,"&lt;"&amp;DATE(Einstellungen!$C$3,12,1)))</f>
        <v/>
      </c>
      <c r="N186" s="54">
        <f>IF($B186="","",SUMIFS(Erfassung!$E$6:$E$5005,Erfassung!$B$6:$B$5005,$A186,Erfassung!$A$6:$A$5005,"&gt;="&amp;DATE(Einstellungen!$C$3,12,1),Erfassung!$A$6:$A$5005,"&lt;"&amp;DATE(Einstellungen!$C$3,13,1)))</f>
        <v/>
      </c>
      <c r="O186" s="45">
        <f>IF($B186="","",SUM(C186:N186))</f>
        <v/>
      </c>
      <c r="P186" s="54">
        <f>IF($B186="","",SUMIFS(Erfassung!$G$6:$G$5005,Erfassung!$B$6:$B$5005,$A186,Erfassung!$A$6:$A$5005,"&gt;="&amp;DATE(Einstellungen!$C$3,1,1),Erfassung!$A$6:$A$5005,"&lt;"&amp;DATE(Einstellungen!$C$3,2,1)))</f>
        <v/>
      </c>
      <c r="Q186" s="54">
        <f>IF($B186="","",SUMIFS(Erfassung!$G$6:$G$5005,Erfassung!$B$6:$B$5005,$A186,Erfassung!$A$6:$A$5005,"&gt;="&amp;DATE(Einstellungen!$C$3,2,1),Erfassung!$A$6:$A$5005,"&lt;"&amp;DATE(Einstellungen!$C$3,3,1)))</f>
        <v/>
      </c>
      <c r="R186" s="54">
        <f>IF($B186="","",SUMIFS(Erfassung!$G$6:$G$5005,Erfassung!$B$6:$B$5005,$A186,Erfassung!$A$6:$A$5005,"&gt;="&amp;DATE(Einstellungen!$C$3,3,1),Erfassung!$A$6:$A$5005,"&lt;"&amp;DATE(Einstellungen!$C$3,4,1)))</f>
        <v/>
      </c>
      <c r="S186" s="54">
        <f>IF($B186="","",SUMIFS(Erfassung!$G$6:$G$5005,Erfassung!$B$6:$B$5005,$A186,Erfassung!$A$6:$A$5005,"&gt;="&amp;DATE(Einstellungen!$C$3,4,1),Erfassung!$A$6:$A$5005,"&lt;"&amp;DATE(Einstellungen!$C$3,5,1)))</f>
        <v/>
      </c>
      <c r="T186" s="54">
        <f>IF($B186="","",SUMIFS(Erfassung!$G$6:$G$5005,Erfassung!$B$6:$B$5005,$A186,Erfassung!$A$6:$A$5005,"&gt;="&amp;DATE(Einstellungen!$C$3,5,1),Erfassung!$A$6:$A$5005,"&lt;"&amp;DATE(Einstellungen!$C$3,6,1)))</f>
        <v/>
      </c>
      <c r="U186" s="54">
        <f>IF($B186="","",SUMIFS(Erfassung!$G$6:$G$5005,Erfassung!$B$6:$B$5005,$A186,Erfassung!$A$6:$A$5005,"&gt;="&amp;DATE(Einstellungen!$C$3,6,1),Erfassung!$A$6:$A$5005,"&lt;"&amp;DATE(Einstellungen!$C$3,7,1)))</f>
        <v/>
      </c>
      <c r="V186" s="54">
        <f>IF($B186="","",SUMIFS(Erfassung!$G$6:$G$5005,Erfassung!$B$6:$B$5005,$A186,Erfassung!$A$6:$A$5005,"&gt;="&amp;DATE(Einstellungen!$C$3,7,1),Erfassung!$A$6:$A$5005,"&lt;"&amp;DATE(Einstellungen!$C$3,8,1)))</f>
        <v/>
      </c>
      <c r="W186" s="54">
        <f>IF($B186="","",SUMIFS(Erfassung!$G$6:$G$5005,Erfassung!$B$6:$B$5005,$A186,Erfassung!$A$6:$A$5005,"&gt;="&amp;DATE(Einstellungen!$C$3,8,1),Erfassung!$A$6:$A$5005,"&lt;"&amp;DATE(Einstellungen!$C$3,9,1)))</f>
        <v/>
      </c>
      <c r="X186" s="54">
        <f>IF($B186="","",SUMIFS(Erfassung!$G$6:$G$5005,Erfassung!$B$6:$B$5005,$A186,Erfassung!$A$6:$A$5005,"&gt;="&amp;DATE(Einstellungen!$C$3,9,1),Erfassung!$A$6:$A$5005,"&lt;"&amp;DATE(Einstellungen!$C$3,10,1)))</f>
        <v/>
      </c>
      <c r="Y186" s="54">
        <f>IF($B186="","",SUMIFS(Erfassung!$G$6:$G$5005,Erfassung!$B$6:$B$5005,$A186,Erfassung!$A$6:$A$5005,"&gt;="&amp;DATE(Einstellungen!$C$3,10,1),Erfassung!$A$6:$A$5005,"&lt;"&amp;DATE(Einstellungen!$C$3,11,1)))</f>
        <v/>
      </c>
      <c r="Z186" s="54">
        <f>IF($B186="","",SUMIFS(Erfassung!$G$6:$G$5005,Erfassung!$B$6:$B$5005,$A186,Erfassung!$A$6:$A$5005,"&gt;="&amp;DATE(Einstellungen!$C$3,11,1),Erfassung!$A$6:$A$5005,"&lt;"&amp;DATE(Einstellungen!$C$3,12,1)))</f>
        <v/>
      </c>
      <c r="AA186" s="54">
        <f>IF($B186="","",SUMIFS(Erfassung!$G$6:$G$5005,Erfassung!$B$6:$B$5005,$A186,Erfassung!$A$6:$A$5005,"&gt;="&amp;DATE(Einstellungen!$C$3,12,1),Erfassung!$A$6:$A$5005,"&lt;"&amp;DATE(Einstellungen!$C$3,13,1)))</f>
        <v/>
      </c>
      <c r="AB186" s="45">
        <f>IF($B186="","",SUM(P186:AA186))</f>
        <v/>
      </c>
      <c r="AC186" s="38">
        <f>IF($B186="","",IF(O186+AB186&gt;0,AB186/(O186+AB186),""))</f>
        <v/>
      </c>
    </row>
    <row r="187">
      <c r="A187" s="56">
        <f>'KQuote Mitarbeiter'!A187</f>
        <v/>
      </c>
      <c r="B187" s="57">
        <f>'KQuote Mitarbeiter'!B187</f>
        <v/>
      </c>
      <c r="C187" s="54">
        <f>IF($B187="","",SUMIFS(Erfassung!$E$6:$E$5005,Erfassung!$B$6:$B$5005,$A187,Erfassung!$A$6:$A$5005,"&gt;="&amp;DATE(Einstellungen!$C$3,1,1),Erfassung!$A$6:$A$5005,"&lt;"&amp;DATE(Einstellungen!$C$3,2,1)))</f>
        <v/>
      </c>
      <c r="D187" s="54">
        <f>IF($B187="","",SUMIFS(Erfassung!$E$6:$E$5005,Erfassung!$B$6:$B$5005,$A187,Erfassung!$A$6:$A$5005,"&gt;="&amp;DATE(Einstellungen!$C$3,2,1),Erfassung!$A$6:$A$5005,"&lt;"&amp;DATE(Einstellungen!$C$3,3,1)))</f>
        <v/>
      </c>
      <c r="E187" s="54">
        <f>IF($B187="","",SUMIFS(Erfassung!$E$6:$E$5005,Erfassung!$B$6:$B$5005,$A187,Erfassung!$A$6:$A$5005,"&gt;="&amp;DATE(Einstellungen!$C$3,3,1),Erfassung!$A$6:$A$5005,"&lt;"&amp;DATE(Einstellungen!$C$3,4,1)))</f>
        <v/>
      </c>
      <c r="F187" s="54">
        <f>IF($B187="","",SUMIFS(Erfassung!$E$6:$E$5005,Erfassung!$B$6:$B$5005,$A187,Erfassung!$A$6:$A$5005,"&gt;="&amp;DATE(Einstellungen!$C$3,4,1),Erfassung!$A$6:$A$5005,"&lt;"&amp;DATE(Einstellungen!$C$3,5,1)))</f>
        <v/>
      </c>
      <c r="G187" s="54">
        <f>IF($B187="","",SUMIFS(Erfassung!$E$6:$E$5005,Erfassung!$B$6:$B$5005,$A187,Erfassung!$A$6:$A$5005,"&gt;="&amp;DATE(Einstellungen!$C$3,5,1),Erfassung!$A$6:$A$5005,"&lt;"&amp;DATE(Einstellungen!$C$3,6,1)))</f>
        <v/>
      </c>
      <c r="H187" s="54">
        <f>IF($B187="","",SUMIFS(Erfassung!$E$6:$E$5005,Erfassung!$B$6:$B$5005,$A187,Erfassung!$A$6:$A$5005,"&gt;="&amp;DATE(Einstellungen!$C$3,6,1),Erfassung!$A$6:$A$5005,"&lt;"&amp;DATE(Einstellungen!$C$3,7,1)))</f>
        <v/>
      </c>
      <c r="I187" s="54">
        <f>IF($B187="","",SUMIFS(Erfassung!$E$6:$E$5005,Erfassung!$B$6:$B$5005,$A187,Erfassung!$A$6:$A$5005,"&gt;="&amp;DATE(Einstellungen!$C$3,7,1),Erfassung!$A$6:$A$5005,"&lt;"&amp;DATE(Einstellungen!$C$3,8,1)))</f>
        <v/>
      </c>
      <c r="J187" s="54">
        <f>IF($B187="","",SUMIFS(Erfassung!$E$6:$E$5005,Erfassung!$B$6:$B$5005,$A187,Erfassung!$A$6:$A$5005,"&gt;="&amp;DATE(Einstellungen!$C$3,8,1),Erfassung!$A$6:$A$5005,"&lt;"&amp;DATE(Einstellungen!$C$3,9,1)))</f>
        <v/>
      </c>
      <c r="K187" s="54">
        <f>IF($B187="","",SUMIFS(Erfassung!$E$6:$E$5005,Erfassung!$B$6:$B$5005,$A187,Erfassung!$A$6:$A$5005,"&gt;="&amp;DATE(Einstellungen!$C$3,9,1),Erfassung!$A$6:$A$5005,"&lt;"&amp;DATE(Einstellungen!$C$3,10,1)))</f>
        <v/>
      </c>
      <c r="L187" s="54">
        <f>IF($B187="","",SUMIFS(Erfassung!$E$6:$E$5005,Erfassung!$B$6:$B$5005,$A187,Erfassung!$A$6:$A$5005,"&gt;="&amp;DATE(Einstellungen!$C$3,10,1),Erfassung!$A$6:$A$5005,"&lt;"&amp;DATE(Einstellungen!$C$3,11,1)))</f>
        <v/>
      </c>
      <c r="M187" s="54">
        <f>IF($B187="","",SUMIFS(Erfassung!$E$6:$E$5005,Erfassung!$B$6:$B$5005,$A187,Erfassung!$A$6:$A$5005,"&gt;="&amp;DATE(Einstellungen!$C$3,11,1),Erfassung!$A$6:$A$5005,"&lt;"&amp;DATE(Einstellungen!$C$3,12,1)))</f>
        <v/>
      </c>
      <c r="N187" s="54">
        <f>IF($B187="","",SUMIFS(Erfassung!$E$6:$E$5005,Erfassung!$B$6:$B$5005,$A187,Erfassung!$A$6:$A$5005,"&gt;="&amp;DATE(Einstellungen!$C$3,12,1),Erfassung!$A$6:$A$5005,"&lt;"&amp;DATE(Einstellungen!$C$3,13,1)))</f>
        <v/>
      </c>
      <c r="O187" s="45">
        <f>IF($B187="","",SUM(C187:N187))</f>
        <v/>
      </c>
      <c r="P187" s="54">
        <f>IF($B187="","",SUMIFS(Erfassung!$G$6:$G$5005,Erfassung!$B$6:$B$5005,$A187,Erfassung!$A$6:$A$5005,"&gt;="&amp;DATE(Einstellungen!$C$3,1,1),Erfassung!$A$6:$A$5005,"&lt;"&amp;DATE(Einstellungen!$C$3,2,1)))</f>
        <v/>
      </c>
      <c r="Q187" s="54">
        <f>IF($B187="","",SUMIFS(Erfassung!$G$6:$G$5005,Erfassung!$B$6:$B$5005,$A187,Erfassung!$A$6:$A$5005,"&gt;="&amp;DATE(Einstellungen!$C$3,2,1),Erfassung!$A$6:$A$5005,"&lt;"&amp;DATE(Einstellungen!$C$3,3,1)))</f>
        <v/>
      </c>
      <c r="R187" s="54">
        <f>IF($B187="","",SUMIFS(Erfassung!$G$6:$G$5005,Erfassung!$B$6:$B$5005,$A187,Erfassung!$A$6:$A$5005,"&gt;="&amp;DATE(Einstellungen!$C$3,3,1),Erfassung!$A$6:$A$5005,"&lt;"&amp;DATE(Einstellungen!$C$3,4,1)))</f>
        <v/>
      </c>
      <c r="S187" s="54">
        <f>IF($B187="","",SUMIFS(Erfassung!$G$6:$G$5005,Erfassung!$B$6:$B$5005,$A187,Erfassung!$A$6:$A$5005,"&gt;="&amp;DATE(Einstellungen!$C$3,4,1),Erfassung!$A$6:$A$5005,"&lt;"&amp;DATE(Einstellungen!$C$3,5,1)))</f>
        <v/>
      </c>
      <c r="T187" s="54">
        <f>IF($B187="","",SUMIFS(Erfassung!$G$6:$G$5005,Erfassung!$B$6:$B$5005,$A187,Erfassung!$A$6:$A$5005,"&gt;="&amp;DATE(Einstellungen!$C$3,5,1),Erfassung!$A$6:$A$5005,"&lt;"&amp;DATE(Einstellungen!$C$3,6,1)))</f>
        <v/>
      </c>
      <c r="U187" s="54">
        <f>IF($B187="","",SUMIFS(Erfassung!$G$6:$G$5005,Erfassung!$B$6:$B$5005,$A187,Erfassung!$A$6:$A$5005,"&gt;="&amp;DATE(Einstellungen!$C$3,6,1),Erfassung!$A$6:$A$5005,"&lt;"&amp;DATE(Einstellungen!$C$3,7,1)))</f>
        <v/>
      </c>
      <c r="V187" s="54">
        <f>IF($B187="","",SUMIFS(Erfassung!$G$6:$G$5005,Erfassung!$B$6:$B$5005,$A187,Erfassung!$A$6:$A$5005,"&gt;="&amp;DATE(Einstellungen!$C$3,7,1),Erfassung!$A$6:$A$5005,"&lt;"&amp;DATE(Einstellungen!$C$3,8,1)))</f>
        <v/>
      </c>
      <c r="W187" s="54">
        <f>IF($B187="","",SUMIFS(Erfassung!$G$6:$G$5005,Erfassung!$B$6:$B$5005,$A187,Erfassung!$A$6:$A$5005,"&gt;="&amp;DATE(Einstellungen!$C$3,8,1),Erfassung!$A$6:$A$5005,"&lt;"&amp;DATE(Einstellungen!$C$3,9,1)))</f>
        <v/>
      </c>
      <c r="X187" s="54">
        <f>IF($B187="","",SUMIFS(Erfassung!$G$6:$G$5005,Erfassung!$B$6:$B$5005,$A187,Erfassung!$A$6:$A$5005,"&gt;="&amp;DATE(Einstellungen!$C$3,9,1),Erfassung!$A$6:$A$5005,"&lt;"&amp;DATE(Einstellungen!$C$3,10,1)))</f>
        <v/>
      </c>
      <c r="Y187" s="54">
        <f>IF($B187="","",SUMIFS(Erfassung!$G$6:$G$5005,Erfassung!$B$6:$B$5005,$A187,Erfassung!$A$6:$A$5005,"&gt;="&amp;DATE(Einstellungen!$C$3,10,1),Erfassung!$A$6:$A$5005,"&lt;"&amp;DATE(Einstellungen!$C$3,11,1)))</f>
        <v/>
      </c>
      <c r="Z187" s="54">
        <f>IF($B187="","",SUMIFS(Erfassung!$G$6:$G$5005,Erfassung!$B$6:$B$5005,$A187,Erfassung!$A$6:$A$5005,"&gt;="&amp;DATE(Einstellungen!$C$3,11,1),Erfassung!$A$6:$A$5005,"&lt;"&amp;DATE(Einstellungen!$C$3,12,1)))</f>
        <v/>
      </c>
      <c r="AA187" s="54">
        <f>IF($B187="","",SUMIFS(Erfassung!$G$6:$G$5005,Erfassung!$B$6:$B$5005,$A187,Erfassung!$A$6:$A$5005,"&gt;="&amp;DATE(Einstellungen!$C$3,12,1),Erfassung!$A$6:$A$5005,"&lt;"&amp;DATE(Einstellungen!$C$3,13,1)))</f>
        <v/>
      </c>
      <c r="AB187" s="45">
        <f>IF($B187="","",SUM(P187:AA187))</f>
        <v/>
      </c>
      <c r="AC187" s="38">
        <f>IF($B187="","",IF(O187+AB187&gt;0,AB187/(O187+AB187),""))</f>
        <v/>
      </c>
    </row>
    <row r="188">
      <c r="A188" s="56">
        <f>'KQuote Mitarbeiter'!A188</f>
        <v/>
      </c>
      <c r="B188" s="57">
        <f>'KQuote Mitarbeiter'!B188</f>
        <v/>
      </c>
      <c r="C188" s="54">
        <f>IF($B188="","",SUMIFS(Erfassung!$E$6:$E$5005,Erfassung!$B$6:$B$5005,$A188,Erfassung!$A$6:$A$5005,"&gt;="&amp;DATE(Einstellungen!$C$3,1,1),Erfassung!$A$6:$A$5005,"&lt;"&amp;DATE(Einstellungen!$C$3,2,1)))</f>
        <v/>
      </c>
      <c r="D188" s="54">
        <f>IF($B188="","",SUMIFS(Erfassung!$E$6:$E$5005,Erfassung!$B$6:$B$5005,$A188,Erfassung!$A$6:$A$5005,"&gt;="&amp;DATE(Einstellungen!$C$3,2,1),Erfassung!$A$6:$A$5005,"&lt;"&amp;DATE(Einstellungen!$C$3,3,1)))</f>
        <v/>
      </c>
      <c r="E188" s="54">
        <f>IF($B188="","",SUMIFS(Erfassung!$E$6:$E$5005,Erfassung!$B$6:$B$5005,$A188,Erfassung!$A$6:$A$5005,"&gt;="&amp;DATE(Einstellungen!$C$3,3,1),Erfassung!$A$6:$A$5005,"&lt;"&amp;DATE(Einstellungen!$C$3,4,1)))</f>
        <v/>
      </c>
      <c r="F188" s="54">
        <f>IF($B188="","",SUMIFS(Erfassung!$E$6:$E$5005,Erfassung!$B$6:$B$5005,$A188,Erfassung!$A$6:$A$5005,"&gt;="&amp;DATE(Einstellungen!$C$3,4,1),Erfassung!$A$6:$A$5005,"&lt;"&amp;DATE(Einstellungen!$C$3,5,1)))</f>
        <v/>
      </c>
      <c r="G188" s="54">
        <f>IF($B188="","",SUMIFS(Erfassung!$E$6:$E$5005,Erfassung!$B$6:$B$5005,$A188,Erfassung!$A$6:$A$5005,"&gt;="&amp;DATE(Einstellungen!$C$3,5,1),Erfassung!$A$6:$A$5005,"&lt;"&amp;DATE(Einstellungen!$C$3,6,1)))</f>
        <v/>
      </c>
      <c r="H188" s="54">
        <f>IF($B188="","",SUMIFS(Erfassung!$E$6:$E$5005,Erfassung!$B$6:$B$5005,$A188,Erfassung!$A$6:$A$5005,"&gt;="&amp;DATE(Einstellungen!$C$3,6,1),Erfassung!$A$6:$A$5005,"&lt;"&amp;DATE(Einstellungen!$C$3,7,1)))</f>
        <v/>
      </c>
      <c r="I188" s="54">
        <f>IF($B188="","",SUMIFS(Erfassung!$E$6:$E$5005,Erfassung!$B$6:$B$5005,$A188,Erfassung!$A$6:$A$5005,"&gt;="&amp;DATE(Einstellungen!$C$3,7,1),Erfassung!$A$6:$A$5005,"&lt;"&amp;DATE(Einstellungen!$C$3,8,1)))</f>
        <v/>
      </c>
      <c r="J188" s="54">
        <f>IF($B188="","",SUMIFS(Erfassung!$E$6:$E$5005,Erfassung!$B$6:$B$5005,$A188,Erfassung!$A$6:$A$5005,"&gt;="&amp;DATE(Einstellungen!$C$3,8,1),Erfassung!$A$6:$A$5005,"&lt;"&amp;DATE(Einstellungen!$C$3,9,1)))</f>
        <v/>
      </c>
      <c r="K188" s="54">
        <f>IF($B188="","",SUMIFS(Erfassung!$E$6:$E$5005,Erfassung!$B$6:$B$5005,$A188,Erfassung!$A$6:$A$5005,"&gt;="&amp;DATE(Einstellungen!$C$3,9,1),Erfassung!$A$6:$A$5005,"&lt;"&amp;DATE(Einstellungen!$C$3,10,1)))</f>
        <v/>
      </c>
      <c r="L188" s="54">
        <f>IF($B188="","",SUMIFS(Erfassung!$E$6:$E$5005,Erfassung!$B$6:$B$5005,$A188,Erfassung!$A$6:$A$5005,"&gt;="&amp;DATE(Einstellungen!$C$3,10,1),Erfassung!$A$6:$A$5005,"&lt;"&amp;DATE(Einstellungen!$C$3,11,1)))</f>
        <v/>
      </c>
      <c r="M188" s="54">
        <f>IF($B188="","",SUMIFS(Erfassung!$E$6:$E$5005,Erfassung!$B$6:$B$5005,$A188,Erfassung!$A$6:$A$5005,"&gt;="&amp;DATE(Einstellungen!$C$3,11,1),Erfassung!$A$6:$A$5005,"&lt;"&amp;DATE(Einstellungen!$C$3,12,1)))</f>
        <v/>
      </c>
      <c r="N188" s="54">
        <f>IF($B188="","",SUMIFS(Erfassung!$E$6:$E$5005,Erfassung!$B$6:$B$5005,$A188,Erfassung!$A$6:$A$5005,"&gt;="&amp;DATE(Einstellungen!$C$3,12,1),Erfassung!$A$6:$A$5005,"&lt;"&amp;DATE(Einstellungen!$C$3,13,1)))</f>
        <v/>
      </c>
      <c r="O188" s="45">
        <f>IF($B188="","",SUM(C188:N188))</f>
        <v/>
      </c>
      <c r="P188" s="54">
        <f>IF($B188="","",SUMIFS(Erfassung!$G$6:$G$5005,Erfassung!$B$6:$B$5005,$A188,Erfassung!$A$6:$A$5005,"&gt;="&amp;DATE(Einstellungen!$C$3,1,1),Erfassung!$A$6:$A$5005,"&lt;"&amp;DATE(Einstellungen!$C$3,2,1)))</f>
        <v/>
      </c>
      <c r="Q188" s="54">
        <f>IF($B188="","",SUMIFS(Erfassung!$G$6:$G$5005,Erfassung!$B$6:$B$5005,$A188,Erfassung!$A$6:$A$5005,"&gt;="&amp;DATE(Einstellungen!$C$3,2,1),Erfassung!$A$6:$A$5005,"&lt;"&amp;DATE(Einstellungen!$C$3,3,1)))</f>
        <v/>
      </c>
      <c r="R188" s="54">
        <f>IF($B188="","",SUMIFS(Erfassung!$G$6:$G$5005,Erfassung!$B$6:$B$5005,$A188,Erfassung!$A$6:$A$5005,"&gt;="&amp;DATE(Einstellungen!$C$3,3,1),Erfassung!$A$6:$A$5005,"&lt;"&amp;DATE(Einstellungen!$C$3,4,1)))</f>
        <v/>
      </c>
      <c r="S188" s="54">
        <f>IF($B188="","",SUMIFS(Erfassung!$G$6:$G$5005,Erfassung!$B$6:$B$5005,$A188,Erfassung!$A$6:$A$5005,"&gt;="&amp;DATE(Einstellungen!$C$3,4,1),Erfassung!$A$6:$A$5005,"&lt;"&amp;DATE(Einstellungen!$C$3,5,1)))</f>
        <v/>
      </c>
      <c r="T188" s="54">
        <f>IF($B188="","",SUMIFS(Erfassung!$G$6:$G$5005,Erfassung!$B$6:$B$5005,$A188,Erfassung!$A$6:$A$5005,"&gt;="&amp;DATE(Einstellungen!$C$3,5,1),Erfassung!$A$6:$A$5005,"&lt;"&amp;DATE(Einstellungen!$C$3,6,1)))</f>
        <v/>
      </c>
      <c r="U188" s="54">
        <f>IF($B188="","",SUMIFS(Erfassung!$G$6:$G$5005,Erfassung!$B$6:$B$5005,$A188,Erfassung!$A$6:$A$5005,"&gt;="&amp;DATE(Einstellungen!$C$3,6,1),Erfassung!$A$6:$A$5005,"&lt;"&amp;DATE(Einstellungen!$C$3,7,1)))</f>
        <v/>
      </c>
      <c r="V188" s="54">
        <f>IF($B188="","",SUMIFS(Erfassung!$G$6:$G$5005,Erfassung!$B$6:$B$5005,$A188,Erfassung!$A$6:$A$5005,"&gt;="&amp;DATE(Einstellungen!$C$3,7,1),Erfassung!$A$6:$A$5005,"&lt;"&amp;DATE(Einstellungen!$C$3,8,1)))</f>
        <v/>
      </c>
      <c r="W188" s="54">
        <f>IF($B188="","",SUMIFS(Erfassung!$G$6:$G$5005,Erfassung!$B$6:$B$5005,$A188,Erfassung!$A$6:$A$5005,"&gt;="&amp;DATE(Einstellungen!$C$3,8,1),Erfassung!$A$6:$A$5005,"&lt;"&amp;DATE(Einstellungen!$C$3,9,1)))</f>
        <v/>
      </c>
      <c r="X188" s="54">
        <f>IF($B188="","",SUMIFS(Erfassung!$G$6:$G$5005,Erfassung!$B$6:$B$5005,$A188,Erfassung!$A$6:$A$5005,"&gt;="&amp;DATE(Einstellungen!$C$3,9,1),Erfassung!$A$6:$A$5005,"&lt;"&amp;DATE(Einstellungen!$C$3,10,1)))</f>
        <v/>
      </c>
      <c r="Y188" s="54">
        <f>IF($B188="","",SUMIFS(Erfassung!$G$6:$G$5005,Erfassung!$B$6:$B$5005,$A188,Erfassung!$A$6:$A$5005,"&gt;="&amp;DATE(Einstellungen!$C$3,10,1),Erfassung!$A$6:$A$5005,"&lt;"&amp;DATE(Einstellungen!$C$3,11,1)))</f>
        <v/>
      </c>
      <c r="Z188" s="54">
        <f>IF($B188="","",SUMIFS(Erfassung!$G$6:$G$5005,Erfassung!$B$6:$B$5005,$A188,Erfassung!$A$6:$A$5005,"&gt;="&amp;DATE(Einstellungen!$C$3,11,1),Erfassung!$A$6:$A$5005,"&lt;"&amp;DATE(Einstellungen!$C$3,12,1)))</f>
        <v/>
      </c>
      <c r="AA188" s="54">
        <f>IF($B188="","",SUMIFS(Erfassung!$G$6:$G$5005,Erfassung!$B$6:$B$5005,$A188,Erfassung!$A$6:$A$5005,"&gt;="&amp;DATE(Einstellungen!$C$3,12,1),Erfassung!$A$6:$A$5005,"&lt;"&amp;DATE(Einstellungen!$C$3,13,1)))</f>
        <v/>
      </c>
      <c r="AB188" s="45">
        <f>IF($B188="","",SUM(P188:AA188))</f>
        <v/>
      </c>
      <c r="AC188" s="38">
        <f>IF($B188="","",IF(O188+AB188&gt;0,AB188/(O188+AB188),""))</f>
        <v/>
      </c>
    </row>
    <row r="189">
      <c r="A189" s="56">
        <f>'KQuote Mitarbeiter'!A189</f>
        <v/>
      </c>
      <c r="B189" s="57">
        <f>'KQuote Mitarbeiter'!B189</f>
        <v/>
      </c>
      <c r="C189" s="54">
        <f>IF($B189="","",SUMIFS(Erfassung!$E$6:$E$5005,Erfassung!$B$6:$B$5005,$A189,Erfassung!$A$6:$A$5005,"&gt;="&amp;DATE(Einstellungen!$C$3,1,1),Erfassung!$A$6:$A$5005,"&lt;"&amp;DATE(Einstellungen!$C$3,2,1)))</f>
        <v/>
      </c>
      <c r="D189" s="54">
        <f>IF($B189="","",SUMIFS(Erfassung!$E$6:$E$5005,Erfassung!$B$6:$B$5005,$A189,Erfassung!$A$6:$A$5005,"&gt;="&amp;DATE(Einstellungen!$C$3,2,1),Erfassung!$A$6:$A$5005,"&lt;"&amp;DATE(Einstellungen!$C$3,3,1)))</f>
        <v/>
      </c>
      <c r="E189" s="54">
        <f>IF($B189="","",SUMIFS(Erfassung!$E$6:$E$5005,Erfassung!$B$6:$B$5005,$A189,Erfassung!$A$6:$A$5005,"&gt;="&amp;DATE(Einstellungen!$C$3,3,1),Erfassung!$A$6:$A$5005,"&lt;"&amp;DATE(Einstellungen!$C$3,4,1)))</f>
        <v/>
      </c>
      <c r="F189" s="54">
        <f>IF($B189="","",SUMIFS(Erfassung!$E$6:$E$5005,Erfassung!$B$6:$B$5005,$A189,Erfassung!$A$6:$A$5005,"&gt;="&amp;DATE(Einstellungen!$C$3,4,1),Erfassung!$A$6:$A$5005,"&lt;"&amp;DATE(Einstellungen!$C$3,5,1)))</f>
        <v/>
      </c>
      <c r="G189" s="54">
        <f>IF($B189="","",SUMIFS(Erfassung!$E$6:$E$5005,Erfassung!$B$6:$B$5005,$A189,Erfassung!$A$6:$A$5005,"&gt;="&amp;DATE(Einstellungen!$C$3,5,1),Erfassung!$A$6:$A$5005,"&lt;"&amp;DATE(Einstellungen!$C$3,6,1)))</f>
        <v/>
      </c>
      <c r="H189" s="54">
        <f>IF($B189="","",SUMIFS(Erfassung!$E$6:$E$5005,Erfassung!$B$6:$B$5005,$A189,Erfassung!$A$6:$A$5005,"&gt;="&amp;DATE(Einstellungen!$C$3,6,1),Erfassung!$A$6:$A$5005,"&lt;"&amp;DATE(Einstellungen!$C$3,7,1)))</f>
        <v/>
      </c>
      <c r="I189" s="54">
        <f>IF($B189="","",SUMIFS(Erfassung!$E$6:$E$5005,Erfassung!$B$6:$B$5005,$A189,Erfassung!$A$6:$A$5005,"&gt;="&amp;DATE(Einstellungen!$C$3,7,1),Erfassung!$A$6:$A$5005,"&lt;"&amp;DATE(Einstellungen!$C$3,8,1)))</f>
        <v/>
      </c>
      <c r="J189" s="54">
        <f>IF($B189="","",SUMIFS(Erfassung!$E$6:$E$5005,Erfassung!$B$6:$B$5005,$A189,Erfassung!$A$6:$A$5005,"&gt;="&amp;DATE(Einstellungen!$C$3,8,1),Erfassung!$A$6:$A$5005,"&lt;"&amp;DATE(Einstellungen!$C$3,9,1)))</f>
        <v/>
      </c>
      <c r="K189" s="54">
        <f>IF($B189="","",SUMIFS(Erfassung!$E$6:$E$5005,Erfassung!$B$6:$B$5005,$A189,Erfassung!$A$6:$A$5005,"&gt;="&amp;DATE(Einstellungen!$C$3,9,1),Erfassung!$A$6:$A$5005,"&lt;"&amp;DATE(Einstellungen!$C$3,10,1)))</f>
        <v/>
      </c>
      <c r="L189" s="54">
        <f>IF($B189="","",SUMIFS(Erfassung!$E$6:$E$5005,Erfassung!$B$6:$B$5005,$A189,Erfassung!$A$6:$A$5005,"&gt;="&amp;DATE(Einstellungen!$C$3,10,1),Erfassung!$A$6:$A$5005,"&lt;"&amp;DATE(Einstellungen!$C$3,11,1)))</f>
        <v/>
      </c>
      <c r="M189" s="54">
        <f>IF($B189="","",SUMIFS(Erfassung!$E$6:$E$5005,Erfassung!$B$6:$B$5005,$A189,Erfassung!$A$6:$A$5005,"&gt;="&amp;DATE(Einstellungen!$C$3,11,1),Erfassung!$A$6:$A$5005,"&lt;"&amp;DATE(Einstellungen!$C$3,12,1)))</f>
        <v/>
      </c>
      <c r="N189" s="54">
        <f>IF($B189="","",SUMIFS(Erfassung!$E$6:$E$5005,Erfassung!$B$6:$B$5005,$A189,Erfassung!$A$6:$A$5005,"&gt;="&amp;DATE(Einstellungen!$C$3,12,1),Erfassung!$A$6:$A$5005,"&lt;"&amp;DATE(Einstellungen!$C$3,13,1)))</f>
        <v/>
      </c>
      <c r="O189" s="45">
        <f>IF($B189="","",SUM(C189:N189))</f>
        <v/>
      </c>
      <c r="P189" s="54">
        <f>IF($B189="","",SUMIFS(Erfassung!$G$6:$G$5005,Erfassung!$B$6:$B$5005,$A189,Erfassung!$A$6:$A$5005,"&gt;="&amp;DATE(Einstellungen!$C$3,1,1),Erfassung!$A$6:$A$5005,"&lt;"&amp;DATE(Einstellungen!$C$3,2,1)))</f>
        <v/>
      </c>
      <c r="Q189" s="54">
        <f>IF($B189="","",SUMIFS(Erfassung!$G$6:$G$5005,Erfassung!$B$6:$B$5005,$A189,Erfassung!$A$6:$A$5005,"&gt;="&amp;DATE(Einstellungen!$C$3,2,1),Erfassung!$A$6:$A$5005,"&lt;"&amp;DATE(Einstellungen!$C$3,3,1)))</f>
        <v/>
      </c>
      <c r="R189" s="54">
        <f>IF($B189="","",SUMIFS(Erfassung!$G$6:$G$5005,Erfassung!$B$6:$B$5005,$A189,Erfassung!$A$6:$A$5005,"&gt;="&amp;DATE(Einstellungen!$C$3,3,1),Erfassung!$A$6:$A$5005,"&lt;"&amp;DATE(Einstellungen!$C$3,4,1)))</f>
        <v/>
      </c>
      <c r="S189" s="54">
        <f>IF($B189="","",SUMIFS(Erfassung!$G$6:$G$5005,Erfassung!$B$6:$B$5005,$A189,Erfassung!$A$6:$A$5005,"&gt;="&amp;DATE(Einstellungen!$C$3,4,1),Erfassung!$A$6:$A$5005,"&lt;"&amp;DATE(Einstellungen!$C$3,5,1)))</f>
        <v/>
      </c>
      <c r="T189" s="54">
        <f>IF($B189="","",SUMIFS(Erfassung!$G$6:$G$5005,Erfassung!$B$6:$B$5005,$A189,Erfassung!$A$6:$A$5005,"&gt;="&amp;DATE(Einstellungen!$C$3,5,1),Erfassung!$A$6:$A$5005,"&lt;"&amp;DATE(Einstellungen!$C$3,6,1)))</f>
        <v/>
      </c>
      <c r="U189" s="54">
        <f>IF($B189="","",SUMIFS(Erfassung!$G$6:$G$5005,Erfassung!$B$6:$B$5005,$A189,Erfassung!$A$6:$A$5005,"&gt;="&amp;DATE(Einstellungen!$C$3,6,1),Erfassung!$A$6:$A$5005,"&lt;"&amp;DATE(Einstellungen!$C$3,7,1)))</f>
        <v/>
      </c>
      <c r="V189" s="54">
        <f>IF($B189="","",SUMIFS(Erfassung!$G$6:$G$5005,Erfassung!$B$6:$B$5005,$A189,Erfassung!$A$6:$A$5005,"&gt;="&amp;DATE(Einstellungen!$C$3,7,1),Erfassung!$A$6:$A$5005,"&lt;"&amp;DATE(Einstellungen!$C$3,8,1)))</f>
        <v/>
      </c>
      <c r="W189" s="54">
        <f>IF($B189="","",SUMIFS(Erfassung!$G$6:$G$5005,Erfassung!$B$6:$B$5005,$A189,Erfassung!$A$6:$A$5005,"&gt;="&amp;DATE(Einstellungen!$C$3,8,1),Erfassung!$A$6:$A$5005,"&lt;"&amp;DATE(Einstellungen!$C$3,9,1)))</f>
        <v/>
      </c>
      <c r="X189" s="54">
        <f>IF($B189="","",SUMIFS(Erfassung!$G$6:$G$5005,Erfassung!$B$6:$B$5005,$A189,Erfassung!$A$6:$A$5005,"&gt;="&amp;DATE(Einstellungen!$C$3,9,1),Erfassung!$A$6:$A$5005,"&lt;"&amp;DATE(Einstellungen!$C$3,10,1)))</f>
        <v/>
      </c>
      <c r="Y189" s="54">
        <f>IF($B189="","",SUMIFS(Erfassung!$G$6:$G$5005,Erfassung!$B$6:$B$5005,$A189,Erfassung!$A$6:$A$5005,"&gt;="&amp;DATE(Einstellungen!$C$3,10,1),Erfassung!$A$6:$A$5005,"&lt;"&amp;DATE(Einstellungen!$C$3,11,1)))</f>
        <v/>
      </c>
      <c r="Z189" s="54">
        <f>IF($B189="","",SUMIFS(Erfassung!$G$6:$G$5005,Erfassung!$B$6:$B$5005,$A189,Erfassung!$A$6:$A$5005,"&gt;="&amp;DATE(Einstellungen!$C$3,11,1),Erfassung!$A$6:$A$5005,"&lt;"&amp;DATE(Einstellungen!$C$3,12,1)))</f>
        <v/>
      </c>
      <c r="AA189" s="54">
        <f>IF($B189="","",SUMIFS(Erfassung!$G$6:$G$5005,Erfassung!$B$6:$B$5005,$A189,Erfassung!$A$6:$A$5005,"&gt;="&amp;DATE(Einstellungen!$C$3,12,1),Erfassung!$A$6:$A$5005,"&lt;"&amp;DATE(Einstellungen!$C$3,13,1)))</f>
        <v/>
      </c>
      <c r="AB189" s="45">
        <f>IF($B189="","",SUM(P189:AA189))</f>
        <v/>
      </c>
      <c r="AC189" s="38">
        <f>IF($B189="","",IF(O189+AB189&gt;0,AB189/(O189+AB189),""))</f>
        <v/>
      </c>
    </row>
    <row r="190">
      <c r="A190" s="56">
        <f>'KQuote Mitarbeiter'!A190</f>
        <v/>
      </c>
      <c r="B190" s="57">
        <f>'KQuote Mitarbeiter'!B190</f>
        <v/>
      </c>
      <c r="C190" s="54">
        <f>IF($B190="","",SUMIFS(Erfassung!$E$6:$E$5005,Erfassung!$B$6:$B$5005,$A190,Erfassung!$A$6:$A$5005,"&gt;="&amp;DATE(Einstellungen!$C$3,1,1),Erfassung!$A$6:$A$5005,"&lt;"&amp;DATE(Einstellungen!$C$3,2,1)))</f>
        <v/>
      </c>
      <c r="D190" s="54">
        <f>IF($B190="","",SUMIFS(Erfassung!$E$6:$E$5005,Erfassung!$B$6:$B$5005,$A190,Erfassung!$A$6:$A$5005,"&gt;="&amp;DATE(Einstellungen!$C$3,2,1),Erfassung!$A$6:$A$5005,"&lt;"&amp;DATE(Einstellungen!$C$3,3,1)))</f>
        <v/>
      </c>
      <c r="E190" s="54">
        <f>IF($B190="","",SUMIFS(Erfassung!$E$6:$E$5005,Erfassung!$B$6:$B$5005,$A190,Erfassung!$A$6:$A$5005,"&gt;="&amp;DATE(Einstellungen!$C$3,3,1),Erfassung!$A$6:$A$5005,"&lt;"&amp;DATE(Einstellungen!$C$3,4,1)))</f>
        <v/>
      </c>
      <c r="F190" s="54">
        <f>IF($B190="","",SUMIFS(Erfassung!$E$6:$E$5005,Erfassung!$B$6:$B$5005,$A190,Erfassung!$A$6:$A$5005,"&gt;="&amp;DATE(Einstellungen!$C$3,4,1),Erfassung!$A$6:$A$5005,"&lt;"&amp;DATE(Einstellungen!$C$3,5,1)))</f>
        <v/>
      </c>
      <c r="G190" s="54">
        <f>IF($B190="","",SUMIFS(Erfassung!$E$6:$E$5005,Erfassung!$B$6:$B$5005,$A190,Erfassung!$A$6:$A$5005,"&gt;="&amp;DATE(Einstellungen!$C$3,5,1),Erfassung!$A$6:$A$5005,"&lt;"&amp;DATE(Einstellungen!$C$3,6,1)))</f>
        <v/>
      </c>
      <c r="H190" s="54">
        <f>IF($B190="","",SUMIFS(Erfassung!$E$6:$E$5005,Erfassung!$B$6:$B$5005,$A190,Erfassung!$A$6:$A$5005,"&gt;="&amp;DATE(Einstellungen!$C$3,6,1),Erfassung!$A$6:$A$5005,"&lt;"&amp;DATE(Einstellungen!$C$3,7,1)))</f>
        <v/>
      </c>
      <c r="I190" s="54">
        <f>IF($B190="","",SUMIFS(Erfassung!$E$6:$E$5005,Erfassung!$B$6:$B$5005,$A190,Erfassung!$A$6:$A$5005,"&gt;="&amp;DATE(Einstellungen!$C$3,7,1),Erfassung!$A$6:$A$5005,"&lt;"&amp;DATE(Einstellungen!$C$3,8,1)))</f>
        <v/>
      </c>
      <c r="J190" s="54">
        <f>IF($B190="","",SUMIFS(Erfassung!$E$6:$E$5005,Erfassung!$B$6:$B$5005,$A190,Erfassung!$A$6:$A$5005,"&gt;="&amp;DATE(Einstellungen!$C$3,8,1),Erfassung!$A$6:$A$5005,"&lt;"&amp;DATE(Einstellungen!$C$3,9,1)))</f>
        <v/>
      </c>
      <c r="K190" s="54">
        <f>IF($B190="","",SUMIFS(Erfassung!$E$6:$E$5005,Erfassung!$B$6:$B$5005,$A190,Erfassung!$A$6:$A$5005,"&gt;="&amp;DATE(Einstellungen!$C$3,9,1),Erfassung!$A$6:$A$5005,"&lt;"&amp;DATE(Einstellungen!$C$3,10,1)))</f>
        <v/>
      </c>
      <c r="L190" s="54">
        <f>IF($B190="","",SUMIFS(Erfassung!$E$6:$E$5005,Erfassung!$B$6:$B$5005,$A190,Erfassung!$A$6:$A$5005,"&gt;="&amp;DATE(Einstellungen!$C$3,10,1),Erfassung!$A$6:$A$5005,"&lt;"&amp;DATE(Einstellungen!$C$3,11,1)))</f>
        <v/>
      </c>
      <c r="M190" s="54">
        <f>IF($B190="","",SUMIFS(Erfassung!$E$6:$E$5005,Erfassung!$B$6:$B$5005,$A190,Erfassung!$A$6:$A$5005,"&gt;="&amp;DATE(Einstellungen!$C$3,11,1),Erfassung!$A$6:$A$5005,"&lt;"&amp;DATE(Einstellungen!$C$3,12,1)))</f>
        <v/>
      </c>
      <c r="N190" s="54">
        <f>IF($B190="","",SUMIFS(Erfassung!$E$6:$E$5005,Erfassung!$B$6:$B$5005,$A190,Erfassung!$A$6:$A$5005,"&gt;="&amp;DATE(Einstellungen!$C$3,12,1),Erfassung!$A$6:$A$5005,"&lt;"&amp;DATE(Einstellungen!$C$3,13,1)))</f>
        <v/>
      </c>
      <c r="O190" s="45">
        <f>IF($B190="","",SUM(C190:N190))</f>
        <v/>
      </c>
      <c r="P190" s="54">
        <f>IF($B190="","",SUMIFS(Erfassung!$G$6:$G$5005,Erfassung!$B$6:$B$5005,$A190,Erfassung!$A$6:$A$5005,"&gt;="&amp;DATE(Einstellungen!$C$3,1,1),Erfassung!$A$6:$A$5005,"&lt;"&amp;DATE(Einstellungen!$C$3,2,1)))</f>
        <v/>
      </c>
      <c r="Q190" s="54">
        <f>IF($B190="","",SUMIFS(Erfassung!$G$6:$G$5005,Erfassung!$B$6:$B$5005,$A190,Erfassung!$A$6:$A$5005,"&gt;="&amp;DATE(Einstellungen!$C$3,2,1),Erfassung!$A$6:$A$5005,"&lt;"&amp;DATE(Einstellungen!$C$3,3,1)))</f>
        <v/>
      </c>
      <c r="R190" s="54">
        <f>IF($B190="","",SUMIFS(Erfassung!$G$6:$G$5005,Erfassung!$B$6:$B$5005,$A190,Erfassung!$A$6:$A$5005,"&gt;="&amp;DATE(Einstellungen!$C$3,3,1),Erfassung!$A$6:$A$5005,"&lt;"&amp;DATE(Einstellungen!$C$3,4,1)))</f>
        <v/>
      </c>
      <c r="S190" s="54">
        <f>IF($B190="","",SUMIFS(Erfassung!$G$6:$G$5005,Erfassung!$B$6:$B$5005,$A190,Erfassung!$A$6:$A$5005,"&gt;="&amp;DATE(Einstellungen!$C$3,4,1),Erfassung!$A$6:$A$5005,"&lt;"&amp;DATE(Einstellungen!$C$3,5,1)))</f>
        <v/>
      </c>
      <c r="T190" s="54">
        <f>IF($B190="","",SUMIFS(Erfassung!$G$6:$G$5005,Erfassung!$B$6:$B$5005,$A190,Erfassung!$A$6:$A$5005,"&gt;="&amp;DATE(Einstellungen!$C$3,5,1),Erfassung!$A$6:$A$5005,"&lt;"&amp;DATE(Einstellungen!$C$3,6,1)))</f>
        <v/>
      </c>
      <c r="U190" s="54">
        <f>IF($B190="","",SUMIFS(Erfassung!$G$6:$G$5005,Erfassung!$B$6:$B$5005,$A190,Erfassung!$A$6:$A$5005,"&gt;="&amp;DATE(Einstellungen!$C$3,6,1),Erfassung!$A$6:$A$5005,"&lt;"&amp;DATE(Einstellungen!$C$3,7,1)))</f>
        <v/>
      </c>
      <c r="V190" s="54">
        <f>IF($B190="","",SUMIFS(Erfassung!$G$6:$G$5005,Erfassung!$B$6:$B$5005,$A190,Erfassung!$A$6:$A$5005,"&gt;="&amp;DATE(Einstellungen!$C$3,7,1),Erfassung!$A$6:$A$5005,"&lt;"&amp;DATE(Einstellungen!$C$3,8,1)))</f>
        <v/>
      </c>
      <c r="W190" s="54">
        <f>IF($B190="","",SUMIFS(Erfassung!$G$6:$G$5005,Erfassung!$B$6:$B$5005,$A190,Erfassung!$A$6:$A$5005,"&gt;="&amp;DATE(Einstellungen!$C$3,8,1),Erfassung!$A$6:$A$5005,"&lt;"&amp;DATE(Einstellungen!$C$3,9,1)))</f>
        <v/>
      </c>
      <c r="X190" s="54">
        <f>IF($B190="","",SUMIFS(Erfassung!$G$6:$G$5005,Erfassung!$B$6:$B$5005,$A190,Erfassung!$A$6:$A$5005,"&gt;="&amp;DATE(Einstellungen!$C$3,9,1),Erfassung!$A$6:$A$5005,"&lt;"&amp;DATE(Einstellungen!$C$3,10,1)))</f>
        <v/>
      </c>
      <c r="Y190" s="54">
        <f>IF($B190="","",SUMIFS(Erfassung!$G$6:$G$5005,Erfassung!$B$6:$B$5005,$A190,Erfassung!$A$6:$A$5005,"&gt;="&amp;DATE(Einstellungen!$C$3,10,1),Erfassung!$A$6:$A$5005,"&lt;"&amp;DATE(Einstellungen!$C$3,11,1)))</f>
        <v/>
      </c>
      <c r="Z190" s="54">
        <f>IF($B190="","",SUMIFS(Erfassung!$G$6:$G$5005,Erfassung!$B$6:$B$5005,$A190,Erfassung!$A$6:$A$5005,"&gt;="&amp;DATE(Einstellungen!$C$3,11,1),Erfassung!$A$6:$A$5005,"&lt;"&amp;DATE(Einstellungen!$C$3,12,1)))</f>
        <v/>
      </c>
      <c r="AA190" s="54">
        <f>IF($B190="","",SUMIFS(Erfassung!$G$6:$G$5005,Erfassung!$B$6:$B$5005,$A190,Erfassung!$A$6:$A$5005,"&gt;="&amp;DATE(Einstellungen!$C$3,12,1),Erfassung!$A$6:$A$5005,"&lt;"&amp;DATE(Einstellungen!$C$3,13,1)))</f>
        <v/>
      </c>
      <c r="AB190" s="45">
        <f>IF($B190="","",SUM(P190:AA190))</f>
        <v/>
      </c>
      <c r="AC190" s="38">
        <f>IF($B190="","",IF(O190+AB190&gt;0,AB190/(O190+AB190),""))</f>
        <v/>
      </c>
    </row>
    <row r="191">
      <c r="A191" s="56">
        <f>'KQuote Mitarbeiter'!A191</f>
        <v/>
      </c>
      <c r="B191" s="57">
        <f>'KQuote Mitarbeiter'!B191</f>
        <v/>
      </c>
      <c r="C191" s="54">
        <f>IF($B191="","",SUMIFS(Erfassung!$E$6:$E$5005,Erfassung!$B$6:$B$5005,$A191,Erfassung!$A$6:$A$5005,"&gt;="&amp;DATE(Einstellungen!$C$3,1,1),Erfassung!$A$6:$A$5005,"&lt;"&amp;DATE(Einstellungen!$C$3,2,1)))</f>
        <v/>
      </c>
      <c r="D191" s="54">
        <f>IF($B191="","",SUMIFS(Erfassung!$E$6:$E$5005,Erfassung!$B$6:$B$5005,$A191,Erfassung!$A$6:$A$5005,"&gt;="&amp;DATE(Einstellungen!$C$3,2,1),Erfassung!$A$6:$A$5005,"&lt;"&amp;DATE(Einstellungen!$C$3,3,1)))</f>
        <v/>
      </c>
      <c r="E191" s="54">
        <f>IF($B191="","",SUMIFS(Erfassung!$E$6:$E$5005,Erfassung!$B$6:$B$5005,$A191,Erfassung!$A$6:$A$5005,"&gt;="&amp;DATE(Einstellungen!$C$3,3,1),Erfassung!$A$6:$A$5005,"&lt;"&amp;DATE(Einstellungen!$C$3,4,1)))</f>
        <v/>
      </c>
      <c r="F191" s="54">
        <f>IF($B191="","",SUMIFS(Erfassung!$E$6:$E$5005,Erfassung!$B$6:$B$5005,$A191,Erfassung!$A$6:$A$5005,"&gt;="&amp;DATE(Einstellungen!$C$3,4,1),Erfassung!$A$6:$A$5005,"&lt;"&amp;DATE(Einstellungen!$C$3,5,1)))</f>
        <v/>
      </c>
      <c r="G191" s="54">
        <f>IF($B191="","",SUMIFS(Erfassung!$E$6:$E$5005,Erfassung!$B$6:$B$5005,$A191,Erfassung!$A$6:$A$5005,"&gt;="&amp;DATE(Einstellungen!$C$3,5,1),Erfassung!$A$6:$A$5005,"&lt;"&amp;DATE(Einstellungen!$C$3,6,1)))</f>
        <v/>
      </c>
      <c r="H191" s="54">
        <f>IF($B191="","",SUMIFS(Erfassung!$E$6:$E$5005,Erfassung!$B$6:$B$5005,$A191,Erfassung!$A$6:$A$5005,"&gt;="&amp;DATE(Einstellungen!$C$3,6,1),Erfassung!$A$6:$A$5005,"&lt;"&amp;DATE(Einstellungen!$C$3,7,1)))</f>
        <v/>
      </c>
      <c r="I191" s="54">
        <f>IF($B191="","",SUMIFS(Erfassung!$E$6:$E$5005,Erfassung!$B$6:$B$5005,$A191,Erfassung!$A$6:$A$5005,"&gt;="&amp;DATE(Einstellungen!$C$3,7,1),Erfassung!$A$6:$A$5005,"&lt;"&amp;DATE(Einstellungen!$C$3,8,1)))</f>
        <v/>
      </c>
      <c r="J191" s="54">
        <f>IF($B191="","",SUMIFS(Erfassung!$E$6:$E$5005,Erfassung!$B$6:$B$5005,$A191,Erfassung!$A$6:$A$5005,"&gt;="&amp;DATE(Einstellungen!$C$3,8,1),Erfassung!$A$6:$A$5005,"&lt;"&amp;DATE(Einstellungen!$C$3,9,1)))</f>
        <v/>
      </c>
      <c r="K191" s="54">
        <f>IF($B191="","",SUMIFS(Erfassung!$E$6:$E$5005,Erfassung!$B$6:$B$5005,$A191,Erfassung!$A$6:$A$5005,"&gt;="&amp;DATE(Einstellungen!$C$3,9,1),Erfassung!$A$6:$A$5005,"&lt;"&amp;DATE(Einstellungen!$C$3,10,1)))</f>
        <v/>
      </c>
      <c r="L191" s="54">
        <f>IF($B191="","",SUMIFS(Erfassung!$E$6:$E$5005,Erfassung!$B$6:$B$5005,$A191,Erfassung!$A$6:$A$5005,"&gt;="&amp;DATE(Einstellungen!$C$3,10,1),Erfassung!$A$6:$A$5005,"&lt;"&amp;DATE(Einstellungen!$C$3,11,1)))</f>
        <v/>
      </c>
      <c r="M191" s="54">
        <f>IF($B191="","",SUMIFS(Erfassung!$E$6:$E$5005,Erfassung!$B$6:$B$5005,$A191,Erfassung!$A$6:$A$5005,"&gt;="&amp;DATE(Einstellungen!$C$3,11,1),Erfassung!$A$6:$A$5005,"&lt;"&amp;DATE(Einstellungen!$C$3,12,1)))</f>
        <v/>
      </c>
      <c r="N191" s="54">
        <f>IF($B191="","",SUMIFS(Erfassung!$E$6:$E$5005,Erfassung!$B$6:$B$5005,$A191,Erfassung!$A$6:$A$5005,"&gt;="&amp;DATE(Einstellungen!$C$3,12,1),Erfassung!$A$6:$A$5005,"&lt;"&amp;DATE(Einstellungen!$C$3,13,1)))</f>
        <v/>
      </c>
      <c r="O191" s="45">
        <f>IF($B191="","",SUM(C191:N191))</f>
        <v/>
      </c>
      <c r="P191" s="54">
        <f>IF($B191="","",SUMIFS(Erfassung!$G$6:$G$5005,Erfassung!$B$6:$B$5005,$A191,Erfassung!$A$6:$A$5005,"&gt;="&amp;DATE(Einstellungen!$C$3,1,1),Erfassung!$A$6:$A$5005,"&lt;"&amp;DATE(Einstellungen!$C$3,2,1)))</f>
        <v/>
      </c>
      <c r="Q191" s="54">
        <f>IF($B191="","",SUMIFS(Erfassung!$G$6:$G$5005,Erfassung!$B$6:$B$5005,$A191,Erfassung!$A$6:$A$5005,"&gt;="&amp;DATE(Einstellungen!$C$3,2,1),Erfassung!$A$6:$A$5005,"&lt;"&amp;DATE(Einstellungen!$C$3,3,1)))</f>
        <v/>
      </c>
      <c r="R191" s="54">
        <f>IF($B191="","",SUMIFS(Erfassung!$G$6:$G$5005,Erfassung!$B$6:$B$5005,$A191,Erfassung!$A$6:$A$5005,"&gt;="&amp;DATE(Einstellungen!$C$3,3,1),Erfassung!$A$6:$A$5005,"&lt;"&amp;DATE(Einstellungen!$C$3,4,1)))</f>
        <v/>
      </c>
      <c r="S191" s="54">
        <f>IF($B191="","",SUMIFS(Erfassung!$G$6:$G$5005,Erfassung!$B$6:$B$5005,$A191,Erfassung!$A$6:$A$5005,"&gt;="&amp;DATE(Einstellungen!$C$3,4,1),Erfassung!$A$6:$A$5005,"&lt;"&amp;DATE(Einstellungen!$C$3,5,1)))</f>
        <v/>
      </c>
      <c r="T191" s="54">
        <f>IF($B191="","",SUMIFS(Erfassung!$G$6:$G$5005,Erfassung!$B$6:$B$5005,$A191,Erfassung!$A$6:$A$5005,"&gt;="&amp;DATE(Einstellungen!$C$3,5,1),Erfassung!$A$6:$A$5005,"&lt;"&amp;DATE(Einstellungen!$C$3,6,1)))</f>
        <v/>
      </c>
      <c r="U191" s="54">
        <f>IF($B191="","",SUMIFS(Erfassung!$G$6:$G$5005,Erfassung!$B$6:$B$5005,$A191,Erfassung!$A$6:$A$5005,"&gt;="&amp;DATE(Einstellungen!$C$3,6,1),Erfassung!$A$6:$A$5005,"&lt;"&amp;DATE(Einstellungen!$C$3,7,1)))</f>
        <v/>
      </c>
      <c r="V191" s="54">
        <f>IF($B191="","",SUMIFS(Erfassung!$G$6:$G$5005,Erfassung!$B$6:$B$5005,$A191,Erfassung!$A$6:$A$5005,"&gt;="&amp;DATE(Einstellungen!$C$3,7,1),Erfassung!$A$6:$A$5005,"&lt;"&amp;DATE(Einstellungen!$C$3,8,1)))</f>
        <v/>
      </c>
      <c r="W191" s="54">
        <f>IF($B191="","",SUMIFS(Erfassung!$G$6:$G$5005,Erfassung!$B$6:$B$5005,$A191,Erfassung!$A$6:$A$5005,"&gt;="&amp;DATE(Einstellungen!$C$3,8,1),Erfassung!$A$6:$A$5005,"&lt;"&amp;DATE(Einstellungen!$C$3,9,1)))</f>
        <v/>
      </c>
      <c r="X191" s="54">
        <f>IF($B191="","",SUMIFS(Erfassung!$G$6:$G$5005,Erfassung!$B$6:$B$5005,$A191,Erfassung!$A$6:$A$5005,"&gt;="&amp;DATE(Einstellungen!$C$3,9,1),Erfassung!$A$6:$A$5005,"&lt;"&amp;DATE(Einstellungen!$C$3,10,1)))</f>
        <v/>
      </c>
      <c r="Y191" s="54">
        <f>IF($B191="","",SUMIFS(Erfassung!$G$6:$G$5005,Erfassung!$B$6:$B$5005,$A191,Erfassung!$A$6:$A$5005,"&gt;="&amp;DATE(Einstellungen!$C$3,10,1),Erfassung!$A$6:$A$5005,"&lt;"&amp;DATE(Einstellungen!$C$3,11,1)))</f>
        <v/>
      </c>
      <c r="Z191" s="54">
        <f>IF($B191="","",SUMIFS(Erfassung!$G$6:$G$5005,Erfassung!$B$6:$B$5005,$A191,Erfassung!$A$6:$A$5005,"&gt;="&amp;DATE(Einstellungen!$C$3,11,1),Erfassung!$A$6:$A$5005,"&lt;"&amp;DATE(Einstellungen!$C$3,12,1)))</f>
        <v/>
      </c>
      <c r="AA191" s="54">
        <f>IF($B191="","",SUMIFS(Erfassung!$G$6:$G$5005,Erfassung!$B$6:$B$5005,$A191,Erfassung!$A$6:$A$5005,"&gt;="&amp;DATE(Einstellungen!$C$3,12,1),Erfassung!$A$6:$A$5005,"&lt;"&amp;DATE(Einstellungen!$C$3,13,1)))</f>
        <v/>
      </c>
      <c r="AB191" s="45">
        <f>IF($B191="","",SUM(P191:AA191))</f>
        <v/>
      </c>
      <c r="AC191" s="38">
        <f>IF($B191="","",IF(O191+AB191&gt;0,AB191/(O191+AB191),""))</f>
        <v/>
      </c>
    </row>
    <row r="192">
      <c r="A192" s="56">
        <f>'KQuote Mitarbeiter'!A192</f>
        <v/>
      </c>
      <c r="B192" s="57">
        <f>'KQuote Mitarbeiter'!B192</f>
        <v/>
      </c>
      <c r="C192" s="54">
        <f>IF($B192="","",SUMIFS(Erfassung!$E$6:$E$5005,Erfassung!$B$6:$B$5005,$A192,Erfassung!$A$6:$A$5005,"&gt;="&amp;DATE(Einstellungen!$C$3,1,1),Erfassung!$A$6:$A$5005,"&lt;"&amp;DATE(Einstellungen!$C$3,2,1)))</f>
        <v/>
      </c>
      <c r="D192" s="54">
        <f>IF($B192="","",SUMIFS(Erfassung!$E$6:$E$5005,Erfassung!$B$6:$B$5005,$A192,Erfassung!$A$6:$A$5005,"&gt;="&amp;DATE(Einstellungen!$C$3,2,1),Erfassung!$A$6:$A$5005,"&lt;"&amp;DATE(Einstellungen!$C$3,3,1)))</f>
        <v/>
      </c>
      <c r="E192" s="54">
        <f>IF($B192="","",SUMIFS(Erfassung!$E$6:$E$5005,Erfassung!$B$6:$B$5005,$A192,Erfassung!$A$6:$A$5005,"&gt;="&amp;DATE(Einstellungen!$C$3,3,1),Erfassung!$A$6:$A$5005,"&lt;"&amp;DATE(Einstellungen!$C$3,4,1)))</f>
        <v/>
      </c>
      <c r="F192" s="54">
        <f>IF($B192="","",SUMIFS(Erfassung!$E$6:$E$5005,Erfassung!$B$6:$B$5005,$A192,Erfassung!$A$6:$A$5005,"&gt;="&amp;DATE(Einstellungen!$C$3,4,1),Erfassung!$A$6:$A$5005,"&lt;"&amp;DATE(Einstellungen!$C$3,5,1)))</f>
        <v/>
      </c>
      <c r="G192" s="54">
        <f>IF($B192="","",SUMIFS(Erfassung!$E$6:$E$5005,Erfassung!$B$6:$B$5005,$A192,Erfassung!$A$6:$A$5005,"&gt;="&amp;DATE(Einstellungen!$C$3,5,1),Erfassung!$A$6:$A$5005,"&lt;"&amp;DATE(Einstellungen!$C$3,6,1)))</f>
        <v/>
      </c>
      <c r="H192" s="54">
        <f>IF($B192="","",SUMIFS(Erfassung!$E$6:$E$5005,Erfassung!$B$6:$B$5005,$A192,Erfassung!$A$6:$A$5005,"&gt;="&amp;DATE(Einstellungen!$C$3,6,1),Erfassung!$A$6:$A$5005,"&lt;"&amp;DATE(Einstellungen!$C$3,7,1)))</f>
        <v/>
      </c>
      <c r="I192" s="54">
        <f>IF($B192="","",SUMIFS(Erfassung!$E$6:$E$5005,Erfassung!$B$6:$B$5005,$A192,Erfassung!$A$6:$A$5005,"&gt;="&amp;DATE(Einstellungen!$C$3,7,1),Erfassung!$A$6:$A$5005,"&lt;"&amp;DATE(Einstellungen!$C$3,8,1)))</f>
        <v/>
      </c>
      <c r="J192" s="54">
        <f>IF($B192="","",SUMIFS(Erfassung!$E$6:$E$5005,Erfassung!$B$6:$B$5005,$A192,Erfassung!$A$6:$A$5005,"&gt;="&amp;DATE(Einstellungen!$C$3,8,1),Erfassung!$A$6:$A$5005,"&lt;"&amp;DATE(Einstellungen!$C$3,9,1)))</f>
        <v/>
      </c>
      <c r="K192" s="54">
        <f>IF($B192="","",SUMIFS(Erfassung!$E$6:$E$5005,Erfassung!$B$6:$B$5005,$A192,Erfassung!$A$6:$A$5005,"&gt;="&amp;DATE(Einstellungen!$C$3,9,1),Erfassung!$A$6:$A$5005,"&lt;"&amp;DATE(Einstellungen!$C$3,10,1)))</f>
        <v/>
      </c>
      <c r="L192" s="54">
        <f>IF($B192="","",SUMIFS(Erfassung!$E$6:$E$5005,Erfassung!$B$6:$B$5005,$A192,Erfassung!$A$6:$A$5005,"&gt;="&amp;DATE(Einstellungen!$C$3,10,1),Erfassung!$A$6:$A$5005,"&lt;"&amp;DATE(Einstellungen!$C$3,11,1)))</f>
        <v/>
      </c>
      <c r="M192" s="54">
        <f>IF($B192="","",SUMIFS(Erfassung!$E$6:$E$5005,Erfassung!$B$6:$B$5005,$A192,Erfassung!$A$6:$A$5005,"&gt;="&amp;DATE(Einstellungen!$C$3,11,1),Erfassung!$A$6:$A$5005,"&lt;"&amp;DATE(Einstellungen!$C$3,12,1)))</f>
        <v/>
      </c>
      <c r="N192" s="54">
        <f>IF($B192="","",SUMIFS(Erfassung!$E$6:$E$5005,Erfassung!$B$6:$B$5005,$A192,Erfassung!$A$6:$A$5005,"&gt;="&amp;DATE(Einstellungen!$C$3,12,1),Erfassung!$A$6:$A$5005,"&lt;"&amp;DATE(Einstellungen!$C$3,13,1)))</f>
        <v/>
      </c>
      <c r="O192" s="45">
        <f>IF($B192="","",SUM(C192:N192))</f>
        <v/>
      </c>
      <c r="P192" s="54">
        <f>IF($B192="","",SUMIFS(Erfassung!$G$6:$G$5005,Erfassung!$B$6:$B$5005,$A192,Erfassung!$A$6:$A$5005,"&gt;="&amp;DATE(Einstellungen!$C$3,1,1),Erfassung!$A$6:$A$5005,"&lt;"&amp;DATE(Einstellungen!$C$3,2,1)))</f>
        <v/>
      </c>
      <c r="Q192" s="54">
        <f>IF($B192="","",SUMIFS(Erfassung!$G$6:$G$5005,Erfassung!$B$6:$B$5005,$A192,Erfassung!$A$6:$A$5005,"&gt;="&amp;DATE(Einstellungen!$C$3,2,1),Erfassung!$A$6:$A$5005,"&lt;"&amp;DATE(Einstellungen!$C$3,3,1)))</f>
        <v/>
      </c>
      <c r="R192" s="54">
        <f>IF($B192="","",SUMIFS(Erfassung!$G$6:$G$5005,Erfassung!$B$6:$B$5005,$A192,Erfassung!$A$6:$A$5005,"&gt;="&amp;DATE(Einstellungen!$C$3,3,1),Erfassung!$A$6:$A$5005,"&lt;"&amp;DATE(Einstellungen!$C$3,4,1)))</f>
        <v/>
      </c>
      <c r="S192" s="54">
        <f>IF($B192="","",SUMIFS(Erfassung!$G$6:$G$5005,Erfassung!$B$6:$B$5005,$A192,Erfassung!$A$6:$A$5005,"&gt;="&amp;DATE(Einstellungen!$C$3,4,1),Erfassung!$A$6:$A$5005,"&lt;"&amp;DATE(Einstellungen!$C$3,5,1)))</f>
        <v/>
      </c>
      <c r="T192" s="54">
        <f>IF($B192="","",SUMIFS(Erfassung!$G$6:$G$5005,Erfassung!$B$6:$B$5005,$A192,Erfassung!$A$6:$A$5005,"&gt;="&amp;DATE(Einstellungen!$C$3,5,1),Erfassung!$A$6:$A$5005,"&lt;"&amp;DATE(Einstellungen!$C$3,6,1)))</f>
        <v/>
      </c>
      <c r="U192" s="54">
        <f>IF($B192="","",SUMIFS(Erfassung!$G$6:$G$5005,Erfassung!$B$6:$B$5005,$A192,Erfassung!$A$6:$A$5005,"&gt;="&amp;DATE(Einstellungen!$C$3,6,1),Erfassung!$A$6:$A$5005,"&lt;"&amp;DATE(Einstellungen!$C$3,7,1)))</f>
        <v/>
      </c>
      <c r="V192" s="54">
        <f>IF($B192="","",SUMIFS(Erfassung!$G$6:$G$5005,Erfassung!$B$6:$B$5005,$A192,Erfassung!$A$6:$A$5005,"&gt;="&amp;DATE(Einstellungen!$C$3,7,1),Erfassung!$A$6:$A$5005,"&lt;"&amp;DATE(Einstellungen!$C$3,8,1)))</f>
        <v/>
      </c>
      <c r="W192" s="54">
        <f>IF($B192="","",SUMIFS(Erfassung!$G$6:$G$5005,Erfassung!$B$6:$B$5005,$A192,Erfassung!$A$6:$A$5005,"&gt;="&amp;DATE(Einstellungen!$C$3,8,1),Erfassung!$A$6:$A$5005,"&lt;"&amp;DATE(Einstellungen!$C$3,9,1)))</f>
        <v/>
      </c>
      <c r="X192" s="54">
        <f>IF($B192="","",SUMIFS(Erfassung!$G$6:$G$5005,Erfassung!$B$6:$B$5005,$A192,Erfassung!$A$6:$A$5005,"&gt;="&amp;DATE(Einstellungen!$C$3,9,1),Erfassung!$A$6:$A$5005,"&lt;"&amp;DATE(Einstellungen!$C$3,10,1)))</f>
        <v/>
      </c>
      <c r="Y192" s="54">
        <f>IF($B192="","",SUMIFS(Erfassung!$G$6:$G$5005,Erfassung!$B$6:$B$5005,$A192,Erfassung!$A$6:$A$5005,"&gt;="&amp;DATE(Einstellungen!$C$3,10,1),Erfassung!$A$6:$A$5005,"&lt;"&amp;DATE(Einstellungen!$C$3,11,1)))</f>
        <v/>
      </c>
      <c r="Z192" s="54">
        <f>IF($B192="","",SUMIFS(Erfassung!$G$6:$G$5005,Erfassung!$B$6:$B$5005,$A192,Erfassung!$A$6:$A$5005,"&gt;="&amp;DATE(Einstellungen!$C$3,11,1),Erfassung!$A$6:$A$5005,"&lt;"&amp;DATE(Einstellungen!$C$3,12,1)))</f>
        <v/>
      </c>
      <c r="AA192" s="54">
        <f>IF($B192="","",SUMIFS(Erfassung!$G$6:$G$5005,Erfassung!$B$6:$B$5005,$A192,Erfassung!$A$6:$A$5005,"&gt;="&amp;DATE(Einstellungen!$C$3,12,1),Erfassung!$A$6:$A$5005,"&lt;"&amp;DATE(Einstellungen!$C$3,13,1)))</f>
        <v/>
      </c>
      <c r="AB192" s="45">
        <f>IF($B192="","",SUM(P192:AA192))</f>
        <v/>
      </c>
      <c r="AC192" s="38">
        <f>IF($B192="","",IF(O192+AB192&gt;0,AB192/(O192+AB192),""))</f>
        <v/>
      </c>
    </row>
    <row r="193">
      <c r="A193" s="56">
        <f>'KQuote Mitarbeiter'!A193</f>
        <v/>
      </c>
      <c r="B193" s="57">
        <f>'KQuote Mitarbeiter'!B193</f>
        <v/>
      </c>
      <c r="C193" s="54">
        <f>IF($B193="","",SUMIFS(Erfassung!$E$6:$E$5005,Erfassung!$B$6:$B$5005,$A193,Erfassung!$A$6:$A$5005,"&gt;="&amp;DATE(Einstellungen!$C$3,1,1),Erfassung!$A$6:$A$5005,"&lt;"&amp;DATE(Einstellungen!$C$3,2,1)))</f>
        <v/>
      </c>
      <c r="D193" s="54">
        <f>IF($B193="","",SUMIFS(Erfassung!$E$6:$E$5005,Erfassung!$B$6:$B$5005,$A193,Erfassung!$A$6:$A$5005,"&gt;="&amp;DATE(Einstellungen!$C$3,2,1),Erfassung!$A$6:$A$5005,"&lt;"&amp;DATE(Einstellungen!$C$3,3,1)))</f>
        <v/>
      </c>
      <c r="E193" s="54">
        <f>IF($B193="","",SUMIFS(Erfassung!$E$6:$E$5005,Erfassung!$B$6:$B$5005,$A193,Erfassung!$A$6:$A$5005,"&gt;="&amp;DATE(Einstellungen!$C$3,3,1),Erfassung!$A$6:$A$5005,"&lt;"&amp;DATE(Einstellungen!$C$3,4,1)))</f>
        <v/>
      </c>
      <c r="F193" s="54">
        <f>IF($B193="","",SUMIFS(Erfassung!$E$6:$E$5005,Erfassung!$B$6:$B$5005,$A193,Erfassung!$A$6:$A$5005,"&gt;="&amp;DATE(Einstellungen!$C$3,4,1),Erfassung!$A$6:$A$5005,"&lt;"&amp;DATE(Einstellungen!$C$3,5,1)))</f>
        <v/>
      </c>
      <c r="G193" s="54">
        <f>IF($B193="","",SUMIFS(Erfassung!$E$6:$E$5005,Erfassung!$B$6:$B$5005,$A193,Erfassung!$A$6:$A$5005,"&gt;="&amp;DATE(Einstellungen!$C$3,5,1),Erfassung!$A$6:$A$5005,"&lt;"&amp;DATE(Einstellungen!$C$3,6,1)))</f>
        <v/>
      </c>
      <c r="H193" s="54">
        <f>IF($B193="","",SUMIFS(Erfassung!$E$6:$E$5005,Erfassung!$B$6:$B$5005,$A193,Erfassung!$A$6:$A$5005,"&gt;="&amp;DATE(Einstellungen!$C$3,6,1),Erfassung!$A$6:$A$5005,"&lt;"&amp;DATE(Einstellungen!$C$3,7,1)))</f>
        <v/>
      </c>
      <c r="I193" s="54">
        <f>IF($B193="","",SUMIFS(Erfassung!$E$6:$E$5005,Erfassung!$B$6:$B$5005,$A193,Erfassung!$A$6:$A$5005,"&gt;="&amp;DATE(Einstellungen!$C$3,7,1),Erfassung!$A$6:$A$5005,"&lt;"&amp;DATE(Einstellungen!$C$3,8,1)))</f>
        <v/>
      </c>
      <c r="J193" s="54">
        <f>IF($B193="","",SUMIFS(Erfassung!$E$6:$E$5005,Erfassung!$B$6:$B$5005,$A193,Erfassung!$A$6:$A$5005,"&gt;="&amp;DATE(Einstellungen!$C$3,8,1),Erfassung!$A$6:$A$5005,"&lt;"&amp;DATE(Einstellungen!$C$3,9,1)))</f>
        <v/>
      </c>
      <c r="K193" s="54">
        <f>IF($B193="","",SUMIFS(Erfassung!$E$6:$E$5005,Erfassung!$B$6:$B$5005,$A193,Erfassung!$A$6:$A$5005,"&gt;="&amp;DATE(Einstellungen!$C$3,9,1),Erfassung!$A$6:$A$5005,"&lt;"&amp;DATE(Einstellungen!$C$3,10,1)))</f>
        <v/>
      </c>
      <c r="L193" s="54">
        <f>IF($B193="","",SUMIFS(Erfassung!$E$6:$E$5005,Erfassung!$B$6:$B$5005,$A193,Erfassung!$A$6:$A$5005,"&gt;="&amp;DATE(Einstellungen!$C$3,10,1),Erfassung!$A$6:$A$5005,"&lt;"&amp;DATE(Einstellungen!$C$3,11,1)))</f>
        <v/>
      </c>
      <c r="M193" s="54">
        <f>IF($B193="","",SUMIFS(Erfassung!$E$6:$E$5005,Erfassung!$B$6:$B$5005,$A193,Erfassung!$A$6:$A$5005,"&gt;="&amp;DATE(Einstellungen!$C$3,11,1),Erfassung!$A$6:$A$5005,"&lt;"&amp;DATE(Einstellungen!$C$3,12,1)))</f>
        <v/>
      </c>
      <c r="N193" s="54">
        <f>IF($B193="","",SUMIFS(Erfassung!$E$6:$E$5005,Erfassung!$B$6:$B$5005,$A193,Erfassung!$A$6:$A$5005,"&gt;="&amp;DATE(Einstellungen!$C$3,12,1),Erfassung!$A$6:$A$5005,"&lt;"&amp;DATE(Einstellungen!$C$3,13,1)))</f>
        <v/>
      </c>
      <c r="O193" s="45">
        <f>IF($B193="","",SUM(C193:N193))</f>
        <v/>
      </c>
      <c r="P193" s="54">
        <f>IF($B193="","",SUMIFS(Erfassung!$G$6:$G$5005,Erfassung!$B$6:$B$5005,$A193,Erfassung!$A$6:$A$5005,"&gt;="&amp;DATE(Einstellungen!$C$3,1,1),Erfassung!$A$6:$A$5005,"&lt;"&amp;DATE(Einstellungen!$C$3,2,1)))</f>
        <v/>
      </c>
      <c r="Q193" s="54">
        <f>IF($B193="","",SUMIFS(Erfassung!$G$6:$G$5005,Erfassung!$B$6:$B$5005,$A193,Erfassung!$A$6:$A$5005,"&gt;="&amp;DATE(Einstellungen!$C$3,2,1),Erfassung!$A$6:$A$5005,"&lt;"&amp;DATE(Einstellungen!$C$3,3,1)))</f>
        <v/>
      </c>
      <c r="R193" s="54">
        <f>IF($B193="","",SUMIFS(Erfassung!$G$6:$G$5005,Erfassung!$B$6:$B$5005,$A193,Erfassung!$A$6:$A$5005,"&gt;="&amp;DATE(Einstellungen!$C$3,3,1),Erfassung!$A$6:$A$5005,"&lt;"&amp;DATE(Einstellungen!$C$3,4,1)))</f>
        <v/>
      </c>
      <c r="S193" s="54">
        <f>IF($B193="","",SUMIFS(Erfassung!$G$6:$G$5005,Erfassung!$B$6:$B$5005,$A193,Erfassung!$A$6:$A$5005,"&gt;="&amp;DATE(Einstellungen!$C$3,4,1),Erfassung!$A$6:$A$5005,"&lt;"&amp;DATE(Einstellungen!$C$3,5,1)))</f>
        <v/>
      </c>
      <c r="T193" s="54">
        <f>IF($B193="","",SUMIFS(Erfassung!$G$6:$G$5005,Erfassung!$B$6:$B$5005,$A193,Erfassung!$A$6:$A$5005,"&gt;="&amp;DATE(Einstellungen!$C$3,5,1),Erfassung!$A$6:$A$5005,"&lt;"&amp;DATE(Einstellungen!$C$3,6,1)))</f>
        <v/>
      </c>
      <c r="U193" s="54">
        <f>IF($B193="","",SUMIFS(Erfassung!$G$6:$G$5005,Erfassung!$B$6:$B$5005,$A193,Erfassung!$A$6:$A$5005,"&gt;="&amp;DATE(Einstellungen!$C$3,6,1),Erfassung!$A$6:$A$5005,"&lt;"&amp;DATE(Einstellungen!$C$3,7,1)))</f>
        <v/>
      </c>
      <c r="V193" s="54">
        <f>IF($B193="","",SUMIFS(Erfassung!$G$6:$G$5005,Erfassung!$B$6:$B$5005,$A193,Erfassung!$A$6:$A$5005,"&gt;="&amp;DATE(Einstellungen!$C$3,7,1),Erfassung!$A$6:$A$5005,"&lt;"&amp;DATE(Einstellungen!$C$3,8,1)))</f>
        <v/>
      </c>
      <c r="W193" s="54">
        <f>IF($B193="","",SUMIFS(Erfassung!$G$6:$G$5005,Erfassung!$B$6:$B$5005,$A193,Erfassung!$A$6:$A$5005,"&gt;="&amp;DATE(Einstellungen!$C$3,8,1),Erfassung!$A$6:$A$5005,"&lt;"&amp;DATE(Einstellungen!$C$3,9,1)))</f>
        <v/>
      </c>
      <c r="X193" s="54">
        <f>IF($B193="","",SUMIFS(Erfassung!$G$6:$G$5005,Erfassung!$B$6:$B$5005,$A193,Erfassung!$A$6:$A$5005,"&gt;="&amp;DATE(Einstellungen!$C$3,9,1),Erfassung!$A$6:$A$5005,"&lt;"&amp;DATE(Einstellungen!$C$3,10,1)))</f>
        <v/>
      </c>
      <c r="Y193" s="54">
        <f>IF($B193="","",SUMIFS(Erfassung!$G$6:$G$5005,Erfassung!$B$6:$B$5005,$A193,Erfassung!$A$6:$A$5005,"&gt;="&amp;DATE(Einstellungen!$C$3,10,1),Erfassung!$A$6:$A$5005,"&lt;"&amp;DATE(Einstellungen!$C$3,11,1)))</f>
        <v/>
      </c>
      <c r="Z193" s="54">
        <f>IF($B193="","",SUMIFS(Erfassung!$G$6:$G$5005,Erfassung!$B$6:$B$5005,$A193,Erfassung!$A$6:$A$5005,"&gt;="&amp;DATE(Einstellungen!$C$3,11,1),Erfassung!$A$6:$A$5005,"&lt;"&amp;DATE(Einstellungen!$C$3,12,1)))</f>
        <v/>
      </c>
      <c r="AA193" s="54">
        <f>IF($B193="","",SUMIFS(Erfassung!$G$6:$G$5005,Erfassung!$B$6:$B$5005,$A193,Erfassung!$A$6:$A$5005,"&gt;="&amp;DATE(Einstellungen!$C$3,12,1),Erfassung!$A$6:$A$5005,"&lt;"&amp;DATE(Einstellungen!$C$3,13,1)))</f>
        <v/>
      </c>
      <c r="AB193" s="45">
        <f>IF($B193="","",SUM(P193:AA193))</f>
        <v/>
      </c>
      <c r="AC193" s="38">
        <f>IF($B193="","",IF(O193+AB193&gt;0,AB193/(O193+AB193),""))</f>
        <v/>
      </c>
    </row>
    <row r="194">
      <c r="A194" s="56">
        <f>'KQuote Mitarbeiter'!A194</f>
        <v/>
      </c>
      <c r="B194" s="57">
        <f>'KQuote Mitarbeiter'!B194</f>
        <v/>
      </c>
      <c r="C194" s="54">
        <f>IF($B194="","",SUMIFS(Erfassung!$E$6:$E$5005,Erfassung!$B$6:$B$5005,$A194,Erfassung!$A$6:$A$5005,"&gt;="&amp;DATE(Einstellungen!$C$3,1,1),Erfassung!$A$6:$A$5005,"&lt;"&amp;DATE(Einstellungen!$C$3,2,1)))</f>
        <v/>
      </c>
      <c r="D194" s="54">
        <f>IF($B194="","",SUMIFS(Erfassung!$E$6:$E$5005,Erfassung!$B$6:$B$5005,$A194,Erfassung!$A$6:$A$5005,"&gt;="&amp;DATE(Einstellungen!$C$3,2,1),Erfassung!$A$6:$A$5005,"&lt;"&amp;DATE(Einstellungen!$C$3,3,1)))</f>
        <v/>
      </c>
      <c r="E194" s="54">
        <f>IF($B194="","",SUMIFS(Erfassung!$E$6:$E$5005,Erfassung!$B$6:$B$5005,$A194,Erfassung!$A$6:$A$5005,"&gt;="&amp;DATE(Einstellungen!$C$3,3,1),Erfassung!$A$6:$A$5005,"&lt;"&amp;DATE(Einstellungen!$C$3,4,1)))</f>
        <v/>
      </c>
      <c r="F194" s="54">
        <f>IF($B194="","",SUMIFS(Erfassung!$E$6:$E$5005,Erfassung!$B$6:$B$5005,$A194,Erfassung!$A$6:$A$5005,"&gt;="&amp;DATE(Einstellungen!$C$3,4,1),Erfassung!$A$6:$A$5005,"&lt;"&amp;DATE(Einstellungen!$C$3,5,1)))</f>
        <v/>
      </c>
      <c r="G194" s="54">
        <f>IF($B194="","",SUMIFS(Erfassung!$E$6:$E$5005,Erfassung!$B$6:$B$5005,$A194,Erfassung!$A$6:$A$5005,"&gt;="&amp;DATE(Einstellungen!$C$3,5,1),Erfassung!$A$6:$A$5005,"&lt;"&amp;DATE(Einstellungen!$C$3,6,1)))</f>
        <v/>
      </c>
      <c r="H194" s="54">
        <f>IF($B194="","",SUMIFS(Erfassung!$E$6:$E$5005,Erfassung!$B$6:$B$5005,$A194,Erfassung!$A$6:$A$5005,"&gt;="&amp;DATE(Einstellungen!$C$3,6,1),Erfassung!$A$6:$A$5005,"&lt;"&amp;DATE(Einstellungen!$C$3,7,1)))</f>
        <v/>
      </c>
      <c r="I194" s="54">
        <f>IF($B194="","",SUMIFS(Erfassung!$E$6:$E$5005,Erfassung!$B$6:$B$5005,$A194,Erfassung!$A$6:$A$5005,"&gt;="&amp;DATE(Einstellungen!$C$3,7,1),Erfassung!$A$6:$A$5005,"&lt;"&amp;DATE(Einstellungen!$C$3,8,1)))</f>
        <v/>
      </c>
      <c r="J194" s="54">
        <f>IF($B194="","",SUMIFS(Erfassung!$E$6:$E$5005,Erfassung!$B$6:$B$5005,$A194,Erfassung!$A$6:$A$5005,"&gt;="&amp;DATE(Einstellungen!$C$3,8,1),Erfassung!$A$6:$A$5005,"&lt;"&amp;DATE(Einstellungen!$C$3,9,1)))</f>
        <v/>
      </c>
      <c r="K194" s="54">
        <f>IF($B194="","",SUMIFS(Erfassung!$E$6:$E$5005,Erfassung!$B$6:$B$5005,$A194,Erfassung!$A$6:$A$5005,"&gt;="&amp;DATE(Einstellungen!$C$3,9,1),Erfassung!$A$6:$A$5005,"&lt;"&amp;DATE(Einstellungen!$C$3,10,1)))</f>
        <v/>
      </c>
      <c r="L194" s="54">
        <f>IF($B194="","",SUMIFS(Erfassung!$E$6:$E$5005,Erfassung!$B$6:$B$5005,$A194,Erfassung!$A$6:$A$5005,"&gt;="&amp;DATE(Einstellungen!$C$3,10,1),Erfassung!$A$6:$A$5005,"&lt;"&amp;DATE(Einstellungen!$C$3,11,1)))</f>
        <v/>
      </c>
      <c r="M194" s="54">
        <f>IF($B194="","",SUMIFS(Erfassung!$E$6:$E$5005,Erfassung!$B$6:$B$5005,$A194,Erfassung!$A$6:$A$5005,"&gt;="&amp;DATE(Einstellungen!$C$3,11,1),Erfassung!$A$6:$A$5005,"&lt;"&amp;DATE(Einstellungen!$C$3,12,1)))</f>
        <v/>
      </c>
      <c r="N194" s="54">
        <f>IF($B194="","",SUMIFS(Erfassung!$E$6:$E$5005,Erfassung!$B$6:$B$5005,$A194,Erfassung!$A$6:$A$5005,"&gt;="&amp;DATE(Einstellungen!$C$3,12,1),Erfassung!$A$6:$A$5005,"&lt;"&amp;DATE(Einstellungen!$C$3,13,1)))</f>
        <v/>
      </c>
      <c r="O194" s="45">
        <f>IF($B194="","",SUM(C194:N194))</f>
        <v/>
      </c>
      <c r="P194" s="54">
        <f>IF($B194="","",SUMIFS(Erfassung!$G$6:$G$5005,Erfassung!$B$6:$B$5005,$A194,Erfassung!$A$6:$A$5005,"&gt;="&amp;DATE(Einstellungen!$C$3,1,1),Erfassung!$A$6:$A$5005,"&lt;"&amp;DATE(Einstellungen!$C$3,2,1)))</f>
        <v/>
      </c>
      <c r="Q194" s="54">
        <f>IF($B194="","",SUMIFS(Erfassung!$G$6:$G$5005,Erfassung!$B$6:$B$5005,$A194,Erfassung!$A$6:$A$5005,"&gt;="&amp;DATE(Einstellungen!$C$3,2,1),Erfassung!$A$6:$A$5005,"&lt;"&amp;DATE(Einstellungen!$C$3,3,1)))</f>
        <v/>
      </c>
      <c r="R194" s="54">
        <f>IF($B194="","",SUMIFS(Erfassung!$G$6:$G$5005,Erfassung!$B$6:$B$5005,$A194,Erfassung!$A$6:$A$5005,"&gt;="&amp;DATE(Einstellungen!$C$3,3,1),Erfassung!$A$6:$A$5005,"&lt;"&amp;DATE(Einstellungen!$C$3,4,1)))</f>
        <v/>
      </c>
      <c r="S194" s="54">
        <f>IF($B194="","",SUMIFS(Erfassung!$G$6:$G$5005,Erfassung!$B$6:$B$5005,$A194,Erfassung!$A$6:$A$5005,"&gt;="&amp;DATE(Einstellungen!$C$3,4,1),Erfassung!$A$6:$A$5005,"&lt;"&amp;DATE(Einstellungen!$C$3,5,1)))</f>
        <v/>
      </c>
      <c r="T194" s="54">
        <f>IF($B194="","",SUMIFS(Erfassung!$G$6:$G$5005,Erfassung!$B$6:$B$5005,$A194,Erfassung!$A$6:$A$5005,"&gt;="&amp;DATE(Einstellungen!$C$3,5,1),Erfassung!$A$6:$A$5005,"&lt;"&amp;DATE(Einstellungen!$C$3,6,1)))</f>
        <v/>
      </c>
      <c r="U194" s="54">
        <f>IF($B194="","",SUMIFS(Erfassung!$G$6:$G$5005,Erfassung!$B$6:$B$5005,$A194,Erfassung!$A$6:$A$5005,"&gt;="&amp;DATE(Einstellungen!$C$3,6,1),Erfassung!$A$6:$A$5005,"&lt;"&amp;DATE(Einstellungen!$C$3,7,1)))</f>
        <v/>
      </c>
      <c r="V194" s="54">
        <f>IF($B194="","",SUMIFS(Erfassung!$G$6:$G$5005,Erfassung!$B$6:$B$5005,$A194,Erfassung!$A$6:$A$5005,"&gt;="&amp;DATE(Einstellungen!$C$3,7,1),Erfassung!$A$6:$A$5005,"&lt;"&amp;DATE(Einstellungen!$C$3,8,1)))</f>
        <v/>
      </c>
      <c r="W194" s="54">
        <f>IF($B194="","",SUMIFS(Erfassung!$G$6:$G$5005,Erfassung!$B$6:$B$5005,$A194,Erfassung!$A$6:$A$5005,"&gt;="&amp;DATE(Einstellungen!$C$3,8,1),Erfassung!$A$6:$A$5005,"&lt;"&amp;DATE(Einstellungen!$C$3,9,1)))</f>
        <v/>
      </c>
      <c r="X194" s="54">
        <f>IF($B194="","",SUMIFS(Erfassung!$G$6:$G$5005,Erfassung!$B$6:$B$5005,$A194,Erfassung!$A$6:$A$5005,"&gt;="&amp;DATE(Einstellungen!$C$3,9,1),Erfassung!$A$6:$A$5005,"&lt;"&amp;DATE(Einstellungen!$C$3,10,1)))</f>
        <v/>
      </c>
      <c r="Y194" s="54">
        <f>IF($B194="","",SUMIFS(Erfassung!$G$6:$G$5005,Erfassung!$B$6:$B$5005,$A194,Erfassung!$A$6:$A$5005,"&gt;="&amp;DATE(Einstellungen!$C$3,10,1),Erfassung!$A$6:$A$5005,"&lt;"&amp;DATE(Einstellungen!$C$3,11,1)))</f>
        <v/>
      </c>
      <c r="Z194" s="54">
        <f>IF($B194="","",SUMIFS(Erfassung!$G$6:$G$5005,Erfassung!$B$6:$B$5005,$A194,Erfassung!$A$6:$A$5005,"&gt;="&amp;DATE(Einstellungen!$C$3,11,1),Erfassung!$A$6:$A$5005,"&lt;"&amp;DATE(Einstellungen!$C$3,12,1)))</f>
        <v/>
      </c>
      <c r="AA194" s="54">
        <f>IF($B194="","",SUMIFS(Erfassung!$G$6:$G$5005,Erfassung!$B$6:$B$5005,$A194,Erfassung!$A$6:$A$5005,"&gt;="&amp;DATE(Einstellungen!$C$3,12,1),Erfassung!$A$6:$A$5005,"&lt;"&amp;DATE(Einstellungen!$C$3,13,1)))</f>
        <v/>
      </c>
      <c r="AB194" s="45">
        <f>IF($B194="","",SUM(P194:AA194))</f>
        <v/>
      </c>
      <c r="AC194" s="38">
        <f>IF($B194="","",IF(O194+AB194&gt;0,AB194/(O194+AB194),""))</f>
        <v/>
      </c>
    </row>
    <row r="195">
      <c r="A195" s="56">
        <f>'KQuote Mitarbeiter'!A195</f>
        <v/>
      </c>
      <c r="B195" s="57">
        <f>'KQuote Mitarbeiter'!B195</f>
        <v/>
      </c>
      <c r="C195" s="54">
        <f>IF($B195="","",SUMIFS(Erfassung!$E$6:$E$5005,Erfassung!$B$6:$B$5005,$A195,Erfassung!$A$6:$A$5005,"&gt;="&amp;DATE(Einstellungen!$C$3,1,1),Erfassung!$A$6:$A$5005,"&lt;"&amp;DATE(Einstellungen!$C$3,2,1)))</f>
        <v/>
      </c>
      <c r="D195" s="54">
        <f>IF($B195="","",SUMIFS(Erfassung!$E$6:$E$5005,Erfassung!$B$6:$B$5005,$A195,Erfassung!$A$6:$A$5005,"&gt;="&amp;DATE(Einstellungen!$C$3,2,1),Erfassung!$A$6:$A$5005,"&lt;"&amp;DATE(Einstellungen!$C$3,3,1)))</f>
        <v/>
      </c>
      <c r="E195" s="54">
        <f>IF($B195="","",SUMIFS(Erfassung!$E$6:$E$5005,Erfassung!$B$6:$B$5005,$A195,Erfassung!$A$6:$A$5005,"&gt;="&amp;DATE(Einstellungen!$C$3,3,1),Erfassung!$A$6:$A$5005,"&lt;"&amp;DATE(Einstellungen!$C$3,4,1)))</f>
        <v/>
      </c>
      <c r="F195" s="54">
        <f>IF($B195="","",SUMIFS(Erfassung!$E$6:$E$5005,Erfassung!$B$6:$B$5005,$A195,Erfassung!$A$6:$A$5005,"&gt;="&amp;DATE(Einstellungen!$C$3,4,1),Erfassung!$A$6:$A$5005,"&lt;"&amp;DATE(Einstellungen!$C$3,5,1)))</f>
        <v/>
      </c>
      <c r="G195" s="54">
        <f>IF($B195="","",SUMIFS(Erfassung!$E$6:$E$5005,Erfassung!$B$6:$B$5005,$A195,Erfassung!$A$6:$A$5005,"&gt;="&amp;DATE(Einstellungen!$C$3,5,1),Erfassung!$A$6:$A$5005,"&lt;"&amp;DATE(Einstellungen!$C$3,6,1)))</f>
        <v/>
      </c>
      <c r="H195" s="54">
        <f>IF($B195="","",SUMIFS(Erfassung!$E$6:$E$5005,Erfassung!$B$6:$B$5005,$A195,Erfassung!$A$6:$A$5005,"&gt;="&amp;DATE(Einstellungen!$C$3,6,1),Erfassung!$A$6:$A$5005,"&lt;"&amp;DATE(Einstellungen!$C$3,7,1)))</f>
        <v/>
      </c>
      <c r="I195" s="54">
        <f>IF($B195="","",SUMIFS(Erfassung!$E$6:$E$5005,Erfassung!$B$6:$B$5005,$A195,Erfassung!$A$6:$A$5005,"&gt;="&amp;DATE(Einstellungen!$C$3,7,1),Erfassung!$A$6:$A$5005,"&lt;"&amp;DATE(Einstellungen!$C$3,8,1)))</f>
        <v/>
      </c>
      <c r="J195" s="54">
        <f>IF($B195="","",SUMIFS(Erfassung!$E$6:$E$5005,Erfassung!$B$6:$B$5005,$A195,Erfassung!$A$6:$A$5005,"&gt;="&amp;DATE(Einstellungen!$C$3,8,1),Erfassung!$A$6:$A$5005,"&lt;"&amp;DATE(Einstellungen!$C$3,9,1)))</f>
        <v/>
      </c>
      <c r="K195" s="54">
        <f>IF($B195="","",SUMIFS(Erfassung!$E$6:$E$5005,Erfassung!$B$6:$B$5005,$A195,Erfassung!$A$6:$A$5005,"&gt;="&amp;DATE(Einstellungen!$C$3,9,1),Erfassung!$A$6:$A$5005,"&lt;"&amp;DATE(Einstellungen!$C$3,10,1)))</f>
        <v/>
      </c>
      <c r="L195" s="54">
        <f>IF($B195="","",SUMIFS(Erfassung!$E$6:$E$5005,Erfassung!$B$6:$B$5005,$A195,Erfassung!$A$6:$A$5005,"&gt;="&amp;DATE(Einstellungen!$C$3,10,1),Erfassung!$A$6:$A$5005,"&lt;"&amp;DATE(Einstellungen!$C$3,11,1)))</f>
        <v/>
      </c>
      <c r="M195" s="54">
        <f>IF($B195="","",SUMIFS(Erfassung!$E$6:$E$5005,Erfassung!$B$6:$B$5005,$A195,Erfassung!$A$6:$A$5005,"&gt;="&amp;DATE(Einstellungen!$C$3,11,1),Erfassung!$A$6:$A$5005,"&lt;"&amp;DATE(Einstellungen!$C$3,12,1)))</f>
        <v/>
      </c>
      <c r="N195" s="54">
        <f>IF($B195="","",SUMIFS(Erfassung!$E$6:$E$5005,Erfassung!$B$6:$B$5005,$A195,Erfassung!$A$6:$A$5005,"&gt;="&amp;DATE(Einstellungen!$C$3,12,1),Erfassung!$A$6:$A$5005,"&lt;"&amp;DATE(Einstellungen!$C$3,13,1)))</f>
        <v/>
      </c>
      <c r="O195" s="45">
        <f>IF($B195="","",SUM(C195:N195))</f>
        <v/>
      </c>
      <c r="P195" s="54">
        <f>IF($B195="","",SUMIFS(Erfassung!$G$6:$G$5005,Erfassung!$B$6:$B$5005,$A195,Erfassung!$A$6:$A$5005,"&gt;="&amp;DATE(Einstellungen!$C$3,1,1),Erfassung!$A$6:$A$5005,"&lt;"&amp;DATE(Einstellungen!$C$3,2,1)))</f>
        <v/>
      </c>
      <c r="Q195" s="54">
        <f>IF($B195="","",SUMIFS(Erfassung!$G$6:$G$5005,Erfassung!$B$6:$B$5005,$A195,Erfassung!$A$6:$A$5005,"&gt;="&amp;DATE(Einstellungen!$C$3,2,1),Erfassung!$A$6:$A$5005,"&lt;"&amp;DATE(Einstellungen!$C$3,3,1)))</f>
        <v/>
      </c>
      <c r="R195" s="54">
        <f>IF($B195="","",SUMIFS(Erfassung!$G$6:$G$5005,Erfassung!$B$6:$B$5005,$A195,Erfassung!$A$6:$A$5005,"&gt;="&amp;DATE(Einstellungen!$C$3,3,1),Erfassung!$A$6:$A$5005,"&lt;"&amp;DATE(Einstellungen!$C$3,4,1)))</f>
        <v/>
      </c>
      <c r="S195" s="54">
        <f>IF($B195="","",SUMIFS(Erfassung!$G$6:$G$5005,Erfassung!$B$6:$B$5005,$A195,Erfassung!$A$6:$A$5005,"&gt;="&amp;DATE(Einstellungen!$C$3,4,1),Erfassung!$A$6:$A$5005,"&lt;"&amp;DATE(Einstellungen!$C$3,5,1)))</f>
        <v/>
      </c>
      <c r="T195" s="54">
        <f>IF($B195="","",SUMIFS(Erfassung!$G$6:$G$5005,Erfassung!$B$6:$B$5005,$A195,Erfassung!$A$6:$A$5005,"&gt;="&amp;DATE(Einstellungen!$C$3,5,1),Erfassung!$A$6:$A$5005,"&lt;"&amp;DATE(Einstellungen!$C$3,6,1)))</f>
        <v/>
      </c>
      <c r="U195" s="54">
        <f>IF($B195="","",SUMIFS(Erfassung!$G$6:$G$5005,Erfassung!$B$6:$B$5005,$A195,Erfassung!$A$6:$A$5005,"&gt;="&amp;DATE(Einstellungen!$C$3,6,1),Erfassung!$A$6:$A$5005,"&lt;"&amp;DATE(Einstellungen!$C$3,7,1)))</f>
        <v/>
      </c>
      <c r="V195" s="54">
        <f>IF($B195="","",SUMIFS(Erfassung!$G$6:$G$5005,Erfassung!$B$6:$B$5005,$A195,Erfassung!$A$6:$A$5005,"&gt;="&amp;DATE(Einstellungen!$C$3,7,1),Erfassung!$A$6:$A$5005,"&lt;"&amp;DATE(Einstellungen!$C$3,8,1)))</f>
        <v/>
      </c>
      <c r="W195" s="54">
        <f>IF($B195="","",SUMIFS(Erfassung!$G$6:$G$5005,Erfassung!$B$6:$B$5005,$A195,Erfassung!$A$6:$A$5005,"&gt;="&amp;DATE(Einstellungen!$C$3,8,1),Erfassung!$A$6:$A$5005,"&lt;"&amp;DATE(Einstellungen!$C$3,9,1)))</f>
        <v/>
      </c>
      <c r="X195" s="54">
        <f>IF($B195="","",SUMIFS(Erfassung!$G$6:$G$5005,Erfassung!$B$6:$B$5005,$A195,Erfassung!$A$6:$A$5005,"&gt;="&amp;DATE(Einstellungen!$C$3,9,1),Erfassung!$A$6:$A$5005,"&lt;"&amp;DATE(Einstellungen!$C$3,10,1)))</f>
        <v/>
      </c>
      <c r="Y195" s="54">
        <f>IF($B195="","",SUMIFS(Erfassung!$G$6:$G$5005,Erfassung!$B$6:$B$5005,$A195,Erfassung!$A$6:$A$5005,"&gt;="&amp;DATE(Einstellungen!$C$3,10,1),Erfassung!$A$6:$A$5005,"&lt;"&amp;DATE(Einstellungen!$C$3,11,1)))</f>
        <v/>
      </c>
      <c r="Z195" s="54">
        <f>IF($B195="","",SUMIFS(Erfassung!$G$6:$G$5005,Erfassung!$B$6:$B$5005,$A195,Erfassung!$A$6:$A$5005,"&gt;="&amp;DATE(Einstellungen!$C$3,11,1),Erfassung!$A$6:$A$5005,"&lt;"&amp;DATE(Einstellungen!$C$3,12,1)))</f>
        <v/>
      </c>
      <c r="AA195" s="54">
        <f>IF($B195="","",SUMIFS(Erfassung!$G$6:$G$5005,Erfassung!$B$6:$B$5005,$A195,Erfassung!$A$6:$A$5005,"&gt;="&amp;DATE(Einstellungen!$C$3,12,1),Erfassung!$A$6:$A$5005,"&lt;"&amp;DATE(Einstellungen!$C$3,13,1)))</f>
        <v/>
      </c>
      <c r="AB195" s="45">
        <f>IF($B195="","",SUM(P195:AA195))</f>
        <v/>
      </c>
      <c r="AC195" s="38">
        <f>IF($B195="","",IF(O195+AB195&gt;0,AB195/(O195+AB195),""))</f>
        <v/>
      </c>
    </row>
    <row r="196">
      <c r="A196" s="56">
        <f>'KQuote Mitarbeiter'!A196</f>
        <v/>
      </c>
      <c r="B196" s="57">
        <f>'KQuote Mitarbeiter'!B196</f>
        <v/>
      </c>
      <c r="C196" s="54">
        <f>IF($B196="","",SUMIFS(Erfassung!$E$6:$E$5005,Erfassung!$B$6:$B$5005,$A196,Erfassung!$A$6:$A$5005,"&gt;="&amp;DATE(Einstellungen!$C$3,1,1),Erfassung!$A$6:$A$5005,"&lt;"&amp;DATE(Einstellungen!$C$3,2,1)))</f>
        <v/>
      </c>
      <c r="D196" s="54">
        <f>IF($B196="","",SUMIFS(Erfassung!$E$6:$E$5005,Erfassung!$B$6:$B$5005,$A196,Erfassung!$A$6:$A$5005,"&gt;="&amp;DATE(Einstellungen!$C$3,2,1),Erfassung!$A$6:$A$5005,"&lt;"&amp;DATE(Einstellungen!$C$3,3,1)))</f>
        <v/>
      </c>
      <c r="E196" s="54">
        <f>IF($B196="","",SUMIFS(Erfassung!$E$6:$E$5005,Erfassung!$B$6:$B$5005,$A196,Erfassung!$A$6:$A$5005,"&gt;="&amp;DATE(Einstellungen!$C$3,3,1),Erfassung!$A$6:$A$5005,"&lt;"&amp;DATE(Einstellungen!$C$3,4,1)))</f>
        <v/>
      </c>
      <c r="F196" s="54">
        <f>IF($B196="","",SUMIFS(Erfassung!$E$6:$E$5005,Erfassung!$B$6:$B$5005,$A196,Erfassung!$A$6:$A$5005,"&gt;="&amp;DATE(Einstellungen!$C$3,4,1),Erfassung!$A$6:$A$5005,"&lt;"&amp;DATE(Einstellungen!$C$3,5,1)))</f>
        <v/>
      </c>
      <c r="G196" s="54">
        <f>IF($B196="","",SUMIFS(Erfassung!$E$6:$E$5005,Erfassung!$B$6:$B$5005,$A196,Erfassung!$A$6:$A$5005,"&gt;="&amp;DATE(Einstellungen!$C$3,5,1),Erfassung!$A$6:$A$5005,"&lt;"&amp;DATE(Einstellungen!$C$3,6,1)))</f>
        <v/>
      </c>
      <c r="H196" s="54">
        <f>IF($B196="","",SUMIFS(Erfassung!$E$6:$E$5005,Erfassung!$B$6:$B$5005,$A196,Erfassung!$A$6:$A$5005,"&gt;="&amp;DATE(Einstellungen!$C$3,6,1),Erfassung!$A$6:$A$5005,"&lt;"&amp;DATE(Einstellungen!$C$3,7,1)))</f>
        <v/>
      </c>
      <c r="I196" s="54">
        <f>IF($B196="","",SUMIFS(Erfassung!$E$6:$E$5005,Erfassung!$B$6:$B$5005,$A196,Erfassung!$A$6:$A$5005,"&gt;="&amp;DATE(Einstellungen!$C$3,7,1),Erfassung!$A$6:$A$5005,"&lt;"&amp;DATE(Einstellungen!$C$3,8,1)))</f>
        <v/>
      </c>
      <c r="J196" s="54">
        <f>IF($B196="","",SUMIFS(Erfassung!$E$6:$E$5005,Erfassung!$B$6:$B$5005,$A196,Erfassung!$A$6:$A$5005,"&gt;="&amp;DATE(Einstellungen!$C$3,8,1),Erfassung!$A$6:$A$5005,"&lt;"&amp;DATE(Einstellungen!$C$3,9,1)))</f>
        <v/>
      </c>
      <c r="K196" s="54">
        <f>IF($B196="","",SUMIFS(Erfassung!$E$6:$E$5005,Erfassung!$B$6:$B$5005,$A196,Erfassung!$A$6:$A$5005,"&gt;="&amp;DATE(Einstellungen!$C$3,9,1),Erfassung!$A$6:$A$5005,"&lt;"&amp;DATE(Einstellungen!$C$3,10,1)))</f>
        <v/>
      </c>
      <c r="L196" s="54">
        <f>IF($B196="","",SUMIFS(Erfassung!$E$6:$E$5005,Erfassung!$B$6:$B$5005,$A196,Erfassung!$A$6:$A$5005,"&gt;="&amp;DATE(Einstellungen!$C$3,10,1),Erfassung!$A$6:$A$5005,"&lt;"&amp;DATE(Einstellungen!$C$3,11,1)))</f>
        <v/>
      </c>
      <c r="M196" s="54">
        <f>IF($B196="","",SUMIFS(Erfassung!$E$6:$E$5005,Erfassung!$B$6:$B$5005,$A196,Erfassung!$A$6:$A$5005,"&gt;="&amp;DATE(Einstellungen!$C$3,11,1),Erfassung!$A$6:$A$5005,"&lt;"&amp;DATE(Einstellungen!$C$3,12,1)))</f>
        <v/>
      </c>
      <c r="N196" s="54">
        <f>IF($B196="","",SUMIFS(Erfassung!$E$6:$E$5005,Erfassung!$B$6:$B$5005,$A196,Erfassung!$A$6:$A$5005,"&gt;="&amp;DATE(Einstellungen!$C$3,12,1),Erfassung!$A$6:$A$5005,"&lt;"&amp;DATE(Einstellungen!$C$3,13,1)))</f>
        <v/>
      </c>
      <c r="O196" s="45">
        <f>IF($B196="","",SUM(C196:N196))</f>
        <v/>
      </c>
      <c r="P196" s="54">
        <f>IF($B196="","",SUMIFS(Erfassung!$G$6:$G$5005,Erfassung!$B$6:$B$5005,$A196,Erfassung!$A$6:$A$5005,"&gt;="&amp;DATE(Einstellungen!$C$3,1,1),Erfassung!$A$6:$A$5005,"&lt;"&amp;DATE(Einstellungen!$C$3,2,1)))</f>
        <v/>
      </c>
      <c r="Q196" s="54">
        <f>IF($B196="","",SUMIFS(Erfassung!$G$6:$G$5005,Erfassung!$B$6:$B$5005,$A196,Erfassung!$A$6:$A$5005,"&gt;="&amp;DATE(Einstellungen!$C$3,2,1),Erfassung!$A$6:$A$5005,"&lt;"&amp;DATE(Einstellungen!$C$3,3,1)))</f>
        <v/>
      </c>
      <c r="R196" s="54">
        <f>IF($B196="","",SUMIFS(Erfassung!$G$6:$G$5005,Erfassung!$B$6:$B$5005,$A196,Erfassung!$A$6:$A$5005,"&gt;="&amp;DATE(Einstellungen!$C$3,3,1),Erfassung!$A$6:$A$5005,"&lt;"&amp;DATE(Einstellungen!$C$3,4,1)))</f>
        <v/>
      </c>
      <c r="S196" s="54">
        <f>IF($B196="","",SUMIFS(Erfassung!$G$6:$G$5005,Erfassung!$B$6:$B$5005,$A196,Erfassung!$A$6:$A$5005,"&gt;="&amp;DATE(Einstellungen!$C$3,4,1),Erfassung!$A$6:$A$5005,"&lt;"&amp;DATE(Einstellungen!$C$3,5,1)))</f>
        <v/>
      </c>
      <c r="T196" s="54">
        <f>IF($B196="","",SUMIFS(Erfassung!$G$6:$G$5005,Erfassung!$B$6:$B$5005,$A196,Erfassung!$A$6:$A$5005,"&gt;="&amp;DATE(Einstellungen!$C$3,5,1),Erfassung!$A$6:$A$5005,"&lt;"&amp;DATE(Einstellungen!$C$3,6,1)))</f>
        <v/>
      </c>
      <c r="U196" s="54">
        <f>IF($B196="","",SUMIFS(Erfassung!$G$6:$G$5005,Erfassung!$B$6:$B$5005,$A196,Erfassung!$A$6:$A$5005,"&gt;="&amp;DATE(Einstellungen!$C$3,6,1),Erfassung!$A$6:$A$5005,"&lt;"&amp;DATE(Einstellungen!$C$3,7,1)))</f>
        <v/>
      </c>
      <c r="V196" s="54">
        <f>IF($B196="","",SUMIFS(Erfassung!$G$6:$G$5005,Erfassung!$B$6:$B$5005,$A196,Erfassung!$A$6:$A$5005,"&gt;="&amp;DATE(Einstellungen!$C$3,7,1),Erfassung!$A$6:$A$5005,"&lt;"&amp;DATE(Einstellungen!$C$3,8,1)))</f>
        <v/>
      </c>
      <c r="W196" s="54">
        <f>IF($B196="","",SUMIFS(Erfassung!$G$6:$G$5005,Erfassung!$B$6:$B$5005,$A196,Erfassung!$A$6:$A$5005,"&gt;="&amp;DATE(Einstellungen!$C$3,8,1),Erfassung!$A$6:$A$5005,"&lt;"&amp;DATE(Einstellungen!$C$3,9,1)))</f>
        <v/>
      </c>
      <c r="X196" s="54">
        <f>IF($B196="","",SUMIFS(Erfassung!$G$6:$G$5005,Erfassung!$B$6:$B$5005,$A196,Erfassung!$A$6:$A$5005,"&gt;="&amp;DATE(Einstellungen!$C$3,9,1),Erfassung!$A$6:$A$5005,"&lt;"&amp;DATE(Einstellungen!$C$3,10,1)))</f>
        <v/>
      </c>
      <c r="Y196" s="54">
        <f>IF($B196="","",SUMIFS(Erfassung!$G$6:$G$5005,Erfassung!$B$6:$B$5005,$A196,Erfassung!$A$6:$A$5005,"&gt;="&amp;DATE(Einstellungen!$C$3,10,1),Erfassung!$A$6:$A$5005,"&lt;"&amp;DATE(Einstellungen!$C$3,11,1)))</f>
        <v/>
      </c>
      <c r="Z196" s="54">
        <f>IF($B196="","",SUMIFS(Erfassung!$G$6:$G$5005,Erfassung!$B$6:$B$5005,$A196,Erfassung!$A$6:$A$5005,"&gt;="&amp;DATE(Einstellungen!$C$3,11,1),Erfassung!$A$6:$A$5005,"&lt;"&amp;DATE(Einstellungen!$C$3,12,1)))</f>
        <v/>
      </c>
      <c r="AA196" s="54">
        <f>IF($B196="","",SUMIFS(Erfassung!$G$6:$G$5005,Erfassung!$B$6:$B$5005,$A196,Erfassung!$A$6:$A$5005,"&gt;="&amp;DATE(Einstellungen!$C$3,12,1),Erfassung!$A$6:$A$5005,"&lt;"&amp;DATE(Einstellungen!$C$3,13,1)))</f>
        <v/>
      </c>
      <c r="AB196" s="45">
        <f>IF($B196="","",SUM(P196:AA196))</f>
        <v/>
      </c>
      <c r="AC196" s="38">
        <f>IF($B196="","",IF(O196+AB196&gt;0,AB196/(O196+AB196),""))</f>
        <v/>
      </c>
    </row>
    <row r="197">
      <c r="A197" s="56">
        <f>'KQuote Mitarbeiter'!A197</f>
        <v/>
      </c>
      <c r="B197" s="57">
        <f>'KQuote Mitarbeiter'!B197</f>
        <v/>
      </c>
      <c r="C197" s="54">
        <f>IF($B197="","",SUMIFS(Erfassung!$E$6:$E$5005,Erfassung!$B$6:$B$5005,$A197,Erfassung!$A$6:$A$5005,"&gt;="&amp;DATE(Einstellungen!$C$3,1,1),Erfassung!$A$6:$A$5005,"&lt;"&amp;DATE(Einstellungen!$C$3,2,1)))</f>
        <v/>
      </c>
      <c r="D197" s="54">
        <f>IF($B197="","",SUMIFS(Erfassung!$E$6:$E$5005,Erfassung!$B$6:$B$5005,$A197,Erfassung!$A$6:$A$5005,"&gt;="&amp;DATE(Einstellungen!$C$3,2,1),Erfassung!$A$6:$A$5005,"&lt;"&amp;DATE(Einstellungen!$C$3,3,1)))</f>
        <v/>
      </c>
      <c r="E197" s="54">
        <f>IF($B197="","",SUMIFS(Erfassung!$E$6:$E$5005,Erfassung!$B$6:$B$5005,$A197,Erfassung!$A$6:$A$5005,"&gt;="&amp;DATE(Einstellungen!$C$3,3,1),Erfassung!$A$6:$A$5005,"&lt;"&amp;DATE(Einstellungen!$C$3,4,1)))</f>
        <v/>
      </c>
      <c r="F197" s="54">
        <f>IF($B197="","",SUMIFS(Erfassung!$E$6:$E$5005,Erfassung!$B$6:$B$5005,$A197,Erfassung!$A$6:$A$5005,"&gt;="&amp;DATE(Einstellungen!$C$3,4,1),Erfassung!$A$6:$A$5005,"&lt;"&amp;DATE(Einstellungen!$C$3,5,1)))</f>
        <v/>
      </c>
      <c r="G197" s="54">
        <f>IF($B197="","",SUMIFS(Erfassung!$E$6:$E$5005,Erfassung!$B$6:$B$5005,$A197,Erfassung!$A$6:$A$5005,"&gt;="&amp;DATE(Einstellungen!$C$3,5,1),Erfassung!$A$6:$A$5005,"&lt;"&amp;DATE(Einstellungen!$C$3,6,1)))</f>
        <v/>
      </c>
      <c r="H197" s="54">
        <f>IF($B197="","",SUMIFS(Erfassung!$E$6:$E$5005,Erfassung!$B$6:$B$5005,$A197,Erfassung!$A$6:$A$5005,"&gt;="&amp;DATE(Einstellungen!$C$3,6,1),Erfassung!$A$6:$A$5005,"&lt;"&amp;DATE(Einstellungen!$C$3,7,1)))</f>
        <v/>
      </c>
      <c r="I197" s="54">
        <f>IF($B197="","",SUMIFS(Erfassung!$E$6:$E$5005,Erfassung!$B$6:$B$5005,$A197,Erfassung!$A$6:$A$5005,"&gt;="&amp;DATE(Einstellungen!$C$3,7,1),Erfassung!$A$6:$A$5005,"&lt;"&amp;DATE(Einstellungen!$C$3,8,1)))</f>
        <v/>
      </c>
      <c r="J197" s="54">
        <f>IF($B197="","",SUMIFS(Erfassung!$E$6:$E$5005,Erfassung!$B$6:$B$5005,$A197,Erfassung!$A$6:$A$5005,"&gt;="&amp;DATE(Einstellungen!$C$3,8,1),Erfassung!$A$6:$A$5005,"&lt;"&amp;DATE(Einstellungen!$C$3,9,1)))</f>
        <v/>
      </c>
      <c r="K197" s="54">
        <f>IF($B197="","",SUMIFS(Erfassung!$E$6:$E$5005,Erfassung!$B$6:$B$5005,$A197,Erfassung!$A$6:$A$5005,"&gt;="&amp;DATE(Einstellungen!$C$3,9,1),Erfassung!$A$6:$A$5005,"&lt;"&amp;DATE(Einstellungen!$C$3,10,1)))</f>
        <v/>
      </c>
      <c r="L197" s="54">
        <f>IF($B197="","",SUMIFS(Erfassung!$E$6:$E$5005,Erfassung!$B$6:$B$5005,$A197,Erfassung!$A$6:$A$5005,"&gt;="&amp;DATE(Einstellungen!$C$3,10,1),Erfassung!$A$6:$A$5005,"&lt;"&amp;DATE(Einstellungen!$C$3,11,1)))</f>
        <v/>
      </c>
      <c r="M197" s="54">
        <f>IF($B197="","",SUMIFS(Erfassung!$E$6:$E$5005,Erfassung!$B$6:$B$5005,$A197,Erfassung!$A$6:$A$5005,"&gt;="&amp;DATE(Einstellungen!$C$3,11,1),Erfassung!$A$6:$A$5005,"&lt;"&amp;DATE(Einstellungen!$C$3,12,1)))</f>
        <v/>
      </c>
      <c r="N197" s="54">
        <f>IF($B197="","",SUMIFS(Erfassung!$E$6:$E$5005,Erfassung!$B$6:$B$5005,$A197,Erfassung!$A$6:$A$5005,"&gt;="&amp;DATE(Einstellungen!$C$3,12,1),Erfassung!$A$6:$A$5005,"&lt;"&amp;DATE(Einstellungen!$C$3,13,1)))</f>
        <v/>
      </c>
      <c r="O197" s="45">
        <f>IF($B197="","",SUM(C197:N197))</f>
        <v/>
      </c>
      <c r="P197" s="54">
        <f>IF($B197="","",SUMIFS(Erfassung!$G$6:$G$5005,Erfassung!$B$6:$B$5005,$A197,Erfassung!$A$6:$A$5005,"&gt;="&amp;DATE(Einstellungen!$C$3,1,1),Erfassung!$A$6:$A$5005,"&lt;"&amp;DATE(Einstellungen!$C$3,2,1)))</f>
        <v/>
      </c>
      <c r="Q197" s="54">
        <f>IF($B197="","",SUMIFS(Erfassung!$G$6:$G$5005,Erfassung!$B$6:$B$5005,$A197,Erfassung!$A$6:$A$5005,"&gt;="&amp;DATE(Einstellungen!$C$3,2,1),Erfassung!$A$6:$A$5005,"&lt;"&amp;DATE(Einstellungen!$C$3,3,1)))</f>
        <v/>
      </c>
      <c r="R197" s="54">
        <f>IF($B197="","",SUMIFS(Erfassung!$G$6:$G$5005,Erfassung!$B$6:$B$5005,$A197,Erfassung!$A$6:$A$5005,"&gt;="&amp;DATE(Einstellungen!$C$3,3,1),Erfassung!$A$6:$A$5005,"&lt;"&amp;DATE(Einstellungen!$C$3,4,1)))</f>
        <v/>
      </c>
      <c r="S197" s="54">
        <f>IF($B197="","",SUMIFS(Erfassung!$G$6:$G$5005,Erfassung!$B$6:$B$5005,$A197,Erfassung!$A$6:$A$5005,"&gt;="&amp;DATE(Einstellungen!$C$3,4,1),Erfassung!$A$6:$A$5005,"&lt;"&amp;DATE(Einstellungen!$C$3,5,1)))</f>
        <v/>
      </c>
      <c r="T197" s="54">
        <f>IF($B197="","",SUMIFS(Erfassung!$G$6:$G$5005,Erfassung!$B$6:$B$5005,$A197,Erfassung!$A$6:$A$5005,"&gt;="&amp;DATE(Einstellungen!$C$3,5,1),Erfassung!$A$6:$A$5005,"&lt;"&amp;DATE(Einstellungen!$C$3,6,1)))</f>
        <v/>
      </c>
      <c r="U197" s="54">
        <f>IF($B197="","",SUMIFS(Erfassung!$G$6:$G$5005,Erfassung!$B$6:$B$5005,$A197,Erfassung!$A$6:$A$5005,"&gt;="&amp;DATE(Einstellungen!$C$3,6,1),Erfassung!$A$6:$A$5005,"&lt;"&amp;DATE(Einstellungen!$C$3,7,1)))</f>
        <v/>
      </c>
      <c r="V197" s="54">
        <f>IF($B197="","",SUMIFS(Erfassung!$G$6:$G$5005,Erfassung!$B$6:$B$5005,$A197,Erfassung!$A$6:$A$5005,"&gt;="&amp;DATE(Einstellungen!$C$3,7,1),Erfassung!$A$6:$A$5005,"&lt;"&amp;DATE(Einstellungen!$C$3,8,1)))</f>
        <v/>
      </c>
      <c r="W197" s="54">
        <f>IF($B197="","",SUMIFS(Erfassung!$G$6:$G$5005,Erfassung!$B$6:$B$5005,$A197,Erfassung!$A$6:$A$5005,"&gt;="&amp;DATE(Einstellungen!$C$3,8,1),Erfassung!$A$6:$A$5005,"&lt;"&amp;DATE(Einstellungen!$C$3,9,1)))</f>
        <v/>
      </c>
      <c r="X197" s="54">
        <f>IF($B197="","",SUMIFS(Erfassung!$G$6:$G$5005,Erfassung!$B$6:$B$5005,$A197,Erfassung!$A$6:$A$5005,"&gt;="&amp;DATE(Einstellungen!$C$3,9,1),Erfassung!$A$6:$A$5005,"&lt;"&amp;DATE(Einstellungen!$C$3,10,1)))</f>
        <v/>
      </c>
      <c r="Y197" s="54">
        <f>IF($B197="","",SUMIFS(Erfassung!$G$6:$G$5005,Erfassung!$B$6:$B$5005,$A197,Erfassung!$A$6:$A$5005,"&gt;="&amp;DATE(Einstellungen!$C$3,10,1),Erfassung!$A$6:$A$5005,"&lt;"&amp;DATE(Einstellungen!$C$3,11,1)))</f>
        <v/>
      </c>
      <c r="Z197" s="54">
        <f>IF($B197="","",SUMIFS(Erfassung!$G$6:$G$5005,Erfassung!$B$6:$B$5005,$A197,Erfassung!$A$6:$A$5005,"&gt;="&amp;DATE(Einstellungen!$C$3,11,1),Erfassung!$A$6:$A$5005,"&lt;"&amp;DATE(Einstellungen!$C$3,12,1)))</f>
        <v/>
      </c>
      <c r="AA197" s="54">
        <f>IF($B197="","",SUMIFS(Erfassung!$G$6:$G$5005,Erfassung!$B$6:$B$5005,$A197,Erfassung!$A$6:$A$5005,"&gt;="&amp;DATE(Einstellungen!$C$3,12,1),Erfassung!$A$6:$A$5005,"&lt;"&amp;DATE(Einstellungen!$C$3,13,1)))</f>
        <v/>
      </c>
      <c r="AB197" s="45">
        <f>IF($B197="","",SUM(P197:AA197))</f>
        <v/>
      </c>
      <c r="AC197" s="38">
        <f>IF($B197="","",IF(O197+AB197&gt;0,AB197/(O197+AB197),""))</f>
        <v/>
      </c>
    </row>
    <row r="198">
      <c r="A198" s="56">
        <f>'KQuote Mitarbeiter'!A198</f>
        <v/>
      </c>
      <c r="B198" s="57">
        <f>'KQuote Mitarbeiter'!B198</f>
        <v/>
      </c>
      <c r="C198" s="54">
        <f>IF($B198="","",SUMIFS(Erfassung!$E$6:$E$5005,Erfassung!$B$6:$B$5005,$A198,Erfassung!$A$6:$A$5005,"&gt;="&amp;DATE(Einstellungen!$C$3,1,1),Erfassung!$A$6:$A$5005,"&lt;"&amp;DATE(Einstellungen!$C$3,2,1)))</f>
        <v/>
      </c>
      <c r="D198" s="54">
        <f>IF($B198="","",SUMIFS(Erfassung!$E$6:$E$5005,Erfassung!$B$6:$B$5005,$A198,Erfassung!$A$6:$A$5005,"&gt;="&amp;DATE(Einstellungen!$C$3,2,1),Erfassung!$A$6:$A$5005,"&lt;"&amp;DATE(Einstellungen!$C$3,3,1)))</f>
        <v/>
      </c>
      <c r="E198" s="54">
        <f>IF($B198="","",SUMIFS(Erfassung!$E$6:$E$5005,Erfassung!$B$6:$B$5005,$A198,Erfassung!$A$6:$A$5005,"&gt;="&amp;DATE(Einstellungen!$C$3,3,1),Erfassung!$A$6:$A$5005,"&lt;"&amp;DATE(Einstellungen!$C$3,4,1)))</f>
        <v/>
      </c>
      <c r="F198" s="54">
        <f>IF($B198="","",SUMIFS(Erfassung!$E$6:$E$5005,Erfassung!$B$6:$B$5005,$A198,Erfassung!$A$6:$A$5005,"&gt;="&amp;DATE(Einstellungen!$C$3,4,1),Erfassung!$A$6:$A$5005,"&lt;"&amp;DATE(Einstellungen!$C$3,5,1)))</f>
        <v/>
      </c>
      <c r="G198" s="54">
        <f>IF($B198="","",SUMIFS(Erfassung!$E$6:$E$5005,Erfassung!$B$6:$B$5005,$A198,Erfassung!$A$6:$A$5005,"&gt;="&amp;DATE(Einstellungen!$C$3,5,1),Erfassung!$A$6:$A$5005,"&lt;"&amp;DATE(Einstellungen!$C$3,6,1)))</f>
        <v/>
      </c>
      <c r="H198" s="54">
        <f>IF($B198="","",SUMIFS(Erfassung!$E$6:$E$5005,Erfassung!$B$6:$B$5005,$A198,Erfassung!$A$6:$A$5005,"&gt;="&amp;DATE(Einstellungen!$C$3,6,1),Erfassung!$A$6:$A$5005,"&lt;"&amp;DATE(Einstellungen!$C$3,7,1)))</f>
        <v/>
      </c>
      <c r="I198" s="54">
        <f>IF($B198="","",SUMIFS(Erfassung!$E$6:$E$5005,Erfassung!$B$6:$B$5005,$A198,Erfassung!$A$6:$A$5005,"&gt;="&amp;DATE(Einstellungen!$C$3,7,1),Erfassung!$A$6:$A$5005,"&lt;"&amp;DATE(Einstellungen!$C$3,8,1)))</f>
        <v/>
      </c>
      <c r="J198" s="54">
        <f>IF($B198="","",SUMIFS(Erfassung!$E$6:$E$5005,Erfassung!$B$6:$B$5005,$A198,Erfassung!$A$6:$A$5005,"&gt;="&amp;DATE(Einstellungen!$C$3,8,1),Erfassung!$A$6:$A$5005,"&lt;"&amp;DATE(Einstellungen!$C$3,9,1)))</f>
        <v/>
      </c>
      <c r="K198" s="54">
        <f>IF($B198="","",SUMIFS(Erfassung!$E$6:$E$5005,Erfassung!$B$6:$B$5005,$A198,Erfassung!$A$6:$A$5005,"&gt;="&amp;DATE(Einstellungen!$C$3,9,1),Erfassung!$A$6:$A$5005,"&lt;"&amp;DATE(Einstellungen!$C$3,10,1)))</f>
        <v/>
      </c>
      <c r="L198" s="54">
        <f>IF($B198="","",SUMIFS(Erfassung!$E$6:$E$5005,Erfassung!$B$6:$B$5005,$A198,Erfassung!$A$6:$A$5005,"&gt;="&amp;DATE(Einstellungen!$C$3,10,1),Erfassung!$A$6:$A$5005,"&lt;"&amp;DATE(Einstellungen!$C$3,11,1)))</f>
        <v/>
      </c>
      <c r="M198" s="54">
        <f>IF($B198="","",SUMIFS(Erfassung!$E$6:$E$5005,Erfassung!$B$6:$B$5005,$A198,Erfassung!$A$6:$A$5005,"&gt;="&amp;DATE(Einstellungen!$C$3,11,1),Erfassung!$A$6:$A$5005,"&lt;"&amp;DATE(Einstellungen!$C$3,12,1)))</f>
        <v/>
      </c>
      <c r="N198" s="54">
        <f>IF($B198="","",SUMIFS(Erfassung!$E$6:$E$5005,Erfassung!$B$6:$B$5005,$A198,Erfassung!$A$6:$A$5005,"&gt;="&amp;DATE(Einstellungen!$C$3,12,1),Erfassung!$A$6:$A$5005,"&lt;"&amp;DATE(Einstellungen!$C$3,13,1)))</f>
        <v/>
      </c>
      <c r="O198" s="45">
        <f>IF($B198="","",SUM(C198:N198))</f>
        <v/>
      </c>
      <c r="P198" s="54">
        <f>IF($B198="","",SUMIFS(Erfassung!$G$6:$G$5005,Erfassung!$B$6:$B$5005,$A198,Erfassung!$A$6:$A$5005,"&gt;="&amp;DATE(Einstellungen!$C$3,1,1),Erfassung!$A$6:$A$5005,"&lt;"&amp;DATE(Einstellungen!$C$3,2,1)))</f>
        <v/>
      </c>
      <c r="Q198" s="54">
        <f>IF($B198="","",SUMIFS(Erfassung!$G$6:$G$5005,Erfassung!$B$6:$B$5005,$A198,Erfassung!$A$6:$A$5005,"&gt;="&amp;DATE(Einstellungen!$C$3,2,1),Erfassung!$A$6:$A$5005,"&lt;"&amp;DATE(Einstellungen!$C$3,3,1)))</f>
        <v/>
      </c>
      <c r="R198" s="54">
        <f>IF($B198="","",SUMIFS(Erfassung!$G$6:$G$5005,Erfassung!$B$6:$B$5005,$A198,Erfassung!$A$6:$A$5005,"&gt;="&amp;DATE(Einstellungen!$C$3,3,1),Erfassung!$A$6:$A$5005,"&lt;"&amp;DATE(Einstellungen!$C$3,4,1)))</f>
        <v/>
      </c>
      <c r="S198" s="54">
        <f>IF($B198="","",SUMIFS(Erfassung!$G$6:$G$5005,Erfassung!$B$6:$B$5005,$A198,Erfassung!$A$6:$A$5005,"&gt;="&amp;DATE(Einstellungen!$C$3,4,1),Erfassung!$A$6:$A$5005,"&lt;"&amp;DATE(Einstellungen!$C$3,5,1)))</f>
        <v/>
      </c>
      <c r="T198" s="54">
        <f>IF($B198="","",SUMIFS(Erfassung!$G$6:$G$5005,Erfassung!$B$6:$B$5005,$A198,Erfassung!$A$6:$A$5005,"&gt;="&amp;DATE(Einstellungen!$C$3,5,1),Erfassung!$A$6:$A$5005,"&lt;"&amp;DATE(Einstellungen!$C$3,6,1)))</f>
        <v/>
      </c>
      <c r="U198" s="54">
        <f>IF($B198="","",SUMIFS(Erfassung!$G$6:$G$5005,Erfassung!$B$6:$B$5005,$A198,Erfassung!$A$6:$A$5005,"&gt;="&amp;DATE(Einstellungen!$C$3,6,1),Erfassung!$A$6:$A$5005,"&lt;"&amp;DATE(Einstellungen!$C$3,7,1)))</f>
        <v/>
      </c>
      <c r="V198" s="54">
        <f>IF($B198="","",SUMIFS(Erfassung!$G$6:$G$5005,Erfassung!$B$6:$B$5005,$A198,Erfassung!$A$6:$A$5005,"&gt;="&amp;DATE(Einstellungen!$C$3,7,1),Erfassung!$A$6:$A$5005,"&lt;"&amp;DATE(Einstellungen!$C$3,8,1)))</f>
        <v/>
      </c>
      <c r="W198" s="54">
        <f>IF($B198="","",SUMIFS(Erfassung!$G$6:$G$5005,Erfassung!$B$6:$B$5005,$A198,Erfassung!$A$6:$A$5005,"&gt;="&amp;DATE(Einstellungen!$C$3,8,1),Erfassung!$A$6:$A$5005,"&lt;"&amp;DATE(Einstellungen!$C$3,9,1)))</f>
        <v/>
      </c>
      <c r="X198" s="54">
        <f>IF($B198="","",SUMIFS(Erfassung!$G$6:$G$5005,Erfassung!$B$6:$B$5005,$A198,Erfassung!$A$6:$A$5005,"&gt;="&amp;DATE(Einstellungen!$C$3,9,1),Erfassung!$A$6:$A$5005,"&lt;"&amp;DATE(Einstellungen!$C$3,10,1)))</f>
        <v/>
      </c>
      <c r="Y198" s="54">
        <f>IF($B198="","",SUMIFS(Erfassung!$G$6:$G$5005,Erfassung!$B$6:$B$5005,$A198,Erfassung!$A$6:$A$5005,"&gt;="&amp;DATE(Einstellungen!$C$3,10,1),Erfassung!$A$6:$A$5005,"&lt;"&amp;DATE(Einstellungen!$C$3,11,1)))</f>
        <v/>
      </c>
      <c r="Z198" s="54">
        <f>IF($B198="","",SUMIFS(Erfassung!$G$6:$G$5005,Erfassung!$B$6:$B$5005,$A198,Erfassung!$A$6:$A$5005,"&gt;="&amp;DATE(Einstellungen!$C$3,11,1),Erfassung!$A$6:$A$5005,"&lt;"&amp;DATE(Einstellungen!$C$3,12,1)))</f>
        <v/>
      </c>
      <c r="AA198" s="54">
        <f>IF($B198="","",SUMIFS(Erfassung!$G$6:$G$5005,Erfassung!$B$6:$B$5005,$A198,Erfassung!$A$6:$A$5005,"&gt;="&amp;DATE(Einstellungen!$C$3,12,1),Erfassung!$A$6:$A$5005,"&lt;"&amp;DATE(Einstellungen!$C$3,13,1)))</f>
        <v/>
      </c>
      <c r="AB198" s="45">
        <f>IF($B198="","",SUM(P198:AA198))</f>
        <v/>
      </c>
      <c r="AC198" s="38">
        <f>IF($B198="","",IF(O198+AB198&gt;0,AB198/(O198+AB198),""))</f>
        <v/>
      </c>
    </row>
    <row r="199">
      <c r="A199" s="56">
        <f>'KQuote Mitarbeiter'!A199</f>
        <v/>
      </c>
      <c r="B199" s="57">
        <f>'KQuote Mitarbeiter'!B199</f>
        <v/>
      </c>
      <c r="C199" s="54">
        <f>IF($B199="","",SUMIFS(Erfassung!$E$6:$E$5005,Erfassung!$B$6:$B$5005,$A199,Erfassung!$A$6:$A$5005,"&gt;="&amp;DATE(Einstellungen!$C$3,1,1),Erfassung!$A$6:$A$5005,"&lt;"&amp;DATE(Einstellungen!$C$3,2,1)))</f>
        <v/>
      </c>
      <c r="D199" s="54">
        <f>IF($B199="","",SUMIFS(Erfassung!$E$6:$E$5005,Erfassung!$B$6:$B$5005,$A199,Erfassung!$A$6:$A$5005,"&gt;="&amp;DATE(Einstellungen!$C$3,2,1),Erfassung!$A$6:$A$5005,"&lt;"&amp;DATE(Einstellungen!$C$3,3,1)))</f>
        <v/>
      </c>
      <c r="E199" s="54">
        <f>IF($B199="","",SUMIFS(Erfassung!$E$6:$E$5005,Erfassung!$B$6:$B$5005,$A199,Erfassung!$A$6:$A$5005,"&gt;="&amp;DATE(Einstellungen!$C$3,3,1),Erfassung!$A$6:$A$5005,"&lt;"&amp;DATE(Einstellungen!$C$3,4,1)))</f>
        <v/>
      </c>
      <c r="F199" s="54">
        <f>IF($B199="","",SUMIFS(Erfassung!$E$6:$E$5005,Erfassung!$B$6:$B$5005,$A199,Erfassung!$A$6:$A$5005,"&gt;="&amp;DATE(Einstellungen!$C$3,4,1),Erfassung!$A$6:$A$5005,"&lt;"&amp;DATE(Einstellungen!$C$3,5,1)))</f>
        <v/>
      </c>
      <c r="G199" s="54">
        <f>IF($B199="","",SUMIFS(Erfassung!$E$6:$E$5005,Erfassung!$B$6:$B$5005,$A199,Erfassung!$A$6:$A$5005,"&gt;="&amp;DATE(Einstellungen!$C$3,5,1),Erfassung!$A$6:$A$5005,"&lt;"&amp;DATE(Einstellungen!$C$3,6,1)))</f>
        <v/>
      </c>
      <c r="H199" s="54">
        <f>IF($B199="","",SUMIFS(Erfassung!$E$6:$E$5005,Erfassung!$B$6:$B$5005,$A199,Erfassung!$A$6:$A$5005,"&gt;="&amp;DATE(Einstellungen!$C$3,6,1),Erfassung!$A$6:$A$5005,"&lt;"&amp;DATE(Einstellungen!$C$3,7,1)))</f>
        <v/>
      </c>
      <c r="I199" s="54">
        <f>IF($B199="","",SUMIFS(Erfassung!$E$6:$E$5005,Erfassung!$B$6:$B$5005,$A199,Erfassung!$A$6:$A$5005,"&gt;="&amp;DATE(Einstellungen!$C$3,7,1),Erfassung!$A$6:$A$5005,"&lt;"&amp;DATE(Einstellungen!$C$3,8,1)))</f>
        <v/>
      </c>
      <c r="J199" s="54">
        <f>IF($B199="","",SUMIFS(Erfassung!$E$6:$E$5005,Erfassung!$B$6:$B$5005,$A199,Erfassung!$A$6:$A$5005,"&gt;="&amp;DATE(Einstellungen!$C$3,8,1),Erfassung!$A$6:$A$5005,"&lt;"&amp;DATE(Einstellungen!$C$3,9,1)))</f>
        <v/>
      </c>
      <c r="K199" s="54">
        <f>IF($B199="","",SUMIFS(Erfassung!$E$6:$E$5005,Erfassung!$B$6:$B$5005,$A199,Erfassung!$A$6:$A$5005,"&gt;="&amp;DATE(Einstellungen!$C$3,9,1),Erfassung!$A$6:$A$5005,"&lt;"&amp;DATE(Einstellungen!$C$3,10,1)))</f>
        <v/>
      </c>
      <c r="L199" s="54">
        <f>IF($B199="","",SUMIFS(Erfassung!$E$6:$E$5005,Erfassung!$B$6:$B$5005,$A199,Erfassung!$A$6:$A$5005,"&gt;="&amp;DATE(Einstellungen!$C$3,10,1),Erfassung!$A$6:$A$5005,"&lt;"&amp;DATE(Einstellungen!$C$3,11,1)))</f>
        <v/>
      </c>
      <c r="M199" s="54">
        <f>IF($B199="","",SUMIFS(Erfassung!$E$6:$E$5005,Erfassung!$B$6:$B$5005,$A199,Erfassung!$A$6:$A$5005,"&gt;="&amp;DATE(Einstellungen!$C$3,11,1),Erfassung!$A$6:$A$5005,"&lt;"&amp;DATE(Einstellungen!$C$3,12,1)))</f>
        <v/>
      </c>
      <c r="N199" s="54">
        <f>IF($B199="","",SUMIFS(Erfassung!$E$6:$E$5005,Erfassung!$B$6:$B$5005,$A199,Erfassung!$A$6:$A$5005,"&gt;="&amp;DATE(Einstellungen!$C$3,12,1),Erfassung!$A$6:$A$5005,"&lt;"&amp;DATE(Einstellungen!$C$3,13,1)))</f>
        <v/>
      </c>
      <c r="O199" s="45">
        <f>IF($B199="","",SUM(C199:N199))</f>
        <v/>
      </c>
      <c r="P199" s="54">
        <f>IF($B199="","",SUMIFS(Erfassung!$G$6:$G$5005,Erfassung!$B$6:$B$5005,$A199,Erfassung!$A$6:$A$5005,"&gt;="&amp;DATE(Einstellungen!$C$3,1,1),Erfassung!$A$6:$A$5005,"&lt;"&amp;DATE(Einstellungen!$C$3,2,1)))</f>
        <v/>
      </c>
      <c r="Q199" s="54">
        <f>IF($B199="","",SUMIFS(Erfassung!$G$6:$G$5005,Erfassung!$B$6:$B$5005,$A199,Erfassung!$A$6:$A$5005,"&gt;="&amp;DATE(Einstellungen!$C$3,2,1),Erfassung!$A$6:$A$5005,"&lt;"&amp;DATE(Einstellungen!$C$3,3,1)))</f>
        <v/>
      </c>
      <c r="R199" s="54">
        <f>IF($B199="","",SUMIFS(Erfassung!$G$6:$G$5005,Erfassung!$B$6:$B$5005,$A199,Erfassung!$A$6:$A$5005,"&gt;="&amp;DATE(Einstellungen!$C$3,3,1),Erfassung!$A$6:$A$5005,"&lt;"&amp;DATE(Einstellungen!$C$3,4,1)))</f>
        <v/>
      </c>
      <c r="S199" s="54">
        <f>IF($B199="","",SUMIFS(Erfassung!$G$6:$G$5005,Erfassung!$B$6:$B$5005,$A199,Erfassung!$A$6:$A$5005,"&gt;="&amp;DATE(Einstellungen!$C$3,4,1),Erfassung!$A$6:$A$5005,"&lt;"&amp;DATE(Einstellungen!$C$3,5,1)))</f>
        <v/>
      </c>
      <c r="T199" s="54">
        <f>IF($B199="","",SUMIFS(Erfassung!$G$6:$G$5005,Erfassung!$B$6:$B$5005,$A199,Erfassung!$A$6:$A$5005,"&gt;="&amp;DATE(Einstellungen!$C$3,5,1),Erfassung!$A$6:$A$5005,"&lt;"&amp;DATE(Einstellungen!$C$3,6,1)))</f>
        <v/>
      </c>
      <c r="U199" s="54">
        <f>IF($B199="","",SUMIFS(Erfassung!$G$6:$G$5005,Erfassung!$B$6:$B$5005,$A199,Erfassung!$A$6:$A$5005,"&gt;="&amp;DATE(Einstellungen!$C$3,6,1),Erfassung!$A$6:$A$5005,"&lt;"&amp;DATE(Einstellungen!$C$3,7,1)))</f>
        <v/>
      </c>
      <c r="V199" s="54">
        <f>IF($B199="","",SUMIFS(Erfassung!$G$6:$G$5005,Erfassung!$B$6:$B$5005,$A199,Erfassung!$A$6:$A$5005,"&gt;="&amp;DATE(Einstellungen!$C$3,7,1),Erfassung!$A$6:$A$5005,"&lt;"&amp;DATE(Einstellungen!$C$3,8,1)))</f>
        <v/>
      </c>
      <c r="W199" s="54">
        <f>IF($B199="","",SUMIFS(Erfassung!$G$6:$G$5005,Erfassung!$B$6:$B$5005,$A199,Erfassung!$A$6:$A$5005,"&gt;="&amp;DATE(Einstellungen!$C$3,8,1),Erfassung!$A$6:$A$5005,"&lt;"&amp;DATE(Einstellungen!$C$3,9,1)))</f>
        <v/>
      </c>
      <c r="X199" s="54">
        <f>IF($B199="","",SUMIFS(Erfassung!$G$6:$G$5005,Erfassung!$B$6:$B$5005,$A199,Erfassung!$A$6:$A$5005,"&gt;="&amp;DATE(Einstellungen!$C$3,9,1),Erfassung!$A$6:$A$5005,"&lt;"&amp;DATE(Einstellungen!$C$3,10,1)))</f>
        <v/>
      </c>
      <c r="Y199" s="54">
        <f>IF($B199="","",SUMIFS(Erfassung!$G$6:$G$5005,Erfassung!$B$6:$B$5005,$A199,Erfassung!$A$6:$A$5005,"&gt;="&amp;DATE(Einstellungen!$C$3,10,1),Erfassung!$A$6:$A$5005,"&lt;"&amp;DATE(Einstellungen!$C$3,11,1)))</f>
        <v/>
      </c>
      <c r="Z199" s="54">
        <f>IF($B199="","",SUMIFS(Erfassung!$G$6:$G$5005,Erfassung!$B$6:$B$5005,$A199,Erfassung!$A$6:$A$5005,"&gt;="&amp;DATE(Einstellungen!$C$3,11,1),Erfassung!$A$6:$A$5005,"&lt;"&amp;DATE(Einstellungen!$C$3,12,1)))</f>
        <v/>
      </c>
      <c r="AA199" s="54">
        <f>IF($B199="","",SUMIFS(Erfassung!$G$6:$G$5005,Erfassung!$B$6:$B$5005,$A199,Erfassung!$A$6:$A$5005,"&gt;="&amp;DATE(Einstellungen!$C$3,12,1),Erfassung!$A$6:$A$5005,"&lt;"&amp;DATE(Einstellungen!$C$3,13,1)))</f>
        <v/>
      </c>
      <c r="AB199" s="45">
        <f>IF($B199="","",SUM(P199:AA199))</f>
        <v/>
      </c>
      <c r="AC199" s="38">
        <f>IF($B199="","",IF(O199+AB199&gt;0,AB199/(O199+AB199),""))</f>
        <v/>
      </c>
    </row>
    <row r="200">
      <c r="A200" s="56">
        <f>'KQuote Mitarbeiter'!A200</f>
        <v/>
      </c>
      <c r="B200" s="57">
        <f>'KQuote Mitarbeiter'!B200</f>
        <v/>
      </c>
      <c r="C200" s="54">
        <f>IF($B200="","",SUMIFS(Erfassung!$E$6:$E$5005,Erfassung!$B$6:$B$5005,$A200,Erfassung!$A$6:$A$5005,"&gt;="&amp;DATE(Einstellungen!$C$3,1,1),Erfassung!$A$6:$A$5005,"&lt;"&amp;DATE(Einstellungen!$C$3,2,1)))</f>
        <v/>
      </c>
      <c r="D200" s="54">
        <f>IF($B200="","",SUMIFS(Erfassung!$E$6:$E$5005,Erfassung!$B$6:$B$5005,$A200,Erfassung!$A$6:$A$5005,"&gt;="&amp;DATE(Einstellungen!$C$3,2,1),Erfassung!$A$6:$A$5005,"&lt;"&amp;DATE(Einstellungen!$C$3,3,1)))</f>
        <v/>
      </c>
      <c r="E200" s="54">
        <f>IF($B200="","",SUMIFS(Erfassung!$E$6:$E$5005,Erfassung!$B$6:$B$5005,$A200,Erfassung!$A$6:$A$5005,"&gt;="&amp;DATE(Einstellungen!$C$3,3,1),Erfassung!$A$6:$A$5005,"&lt;"&amp;DATE(Einstellungen!$C$3,4,1)))</f>
        <v/>
      </c>
      <c r="F200" s="54">
        <f>IF($B200="","",SUMIFS(Erfassung!$E$6:$E$5005,Erfassung!$B$6:$B$5005,$A200,Erfassung!$A$6:$A$5005,"&gt;="&amp;DATE(Einstellungen!$C$3,4,1),Erfassung!$A$6:$A$5005,"&lt;"&amp;DATE(Einstellungen!$C$3,5,1)))</f>
        <v/>
      </c>
      <c r="G200" s="54">
        <f>IF($B200="","",SUMIFS(Erfassung!$E$6:$E$5005,Erfassung!$B$6:$B$5005,$A200,Erfassung!$A$6:$A$5005,"&gt;="&amp;DATE(Einstellungen!$C$3,5,1),Erfassung!$A$6:$A$5005,"&lt;"&amp;DATE(Einstellungen!$C$3,6,1)))</f>
        <v/>
      </c>
      <c r="H200" s="54">
        <f>IF($B200="","",SUMIFS(Erfassung!$E$6:$E$5005,Erfassung!$B$6:$B$5005,$A200,Erfassung!$A$6:$A$5005,"&gt;="&amp;DATE(Einstellungen!$C$3,6,1),Erfassung!$A$6:$A$5005,"&lt;"&amp;DATE(Einstellungen!$C$3,7,1)))</f>
        <v/>
      </c>
      <c r="I200" s="54">
        <f>IF($B200="","",SUMIFS(Erfassung!$E$6:$E$5005,Erfassung!$B$6:$B$5005,$A200,Erfassung!$A$6:$A$5005,"&gt;="&amp;DATE(Einstellungen!$C$3,7,1),Erfassung!$A$6:$A$5005,"&lt;"&amp;DATE(Einstellungen!$C$3,8,1)))</f>
        <v/>
      </c>
      <c r="J200" s="54">
        <f>IF($B200="","",SUMIFS(Erfassung!$E$6:$E$5005,Erfassung!$B$6:$B$5005,$A200,Erfassung!$A$6:$A$5005,"&gt;="&amp;DATE(Einstellungen!$C$3,8,1),Erfassung!$A$6:$A$5005,"&lt;"&amp;DATE(Einstellungen!$C$3,9,1)))</f>
        <v/>
      </c>
      <c r="K200" s="54">
        <f>IF($B200="","",SUMIFS(Erfassung!$E$6:$E$5005,Erfassung!$B$6:$B$5005,$A200,Erfassung!$A$6:$A$5005,"&gt;="&amp;DATE(Einstellungen!$C$3,9,1),Erfassung!$A$6:$A$5005,"&lt;"&amp;DATE(Einstellungen!$C$3,10,1)))</f>
        <v/>
      </c>
      <c r="L200" s="54">
        <f>IF($B200="","",SUMIFS(Erfassung!$E$6:$E$5005,Erfassung!$B$6:$B$5005,$A200,Erfassung!$A$6:$A$5005,"&gt;="&amp;DATE(Einstellungen!$C$3,10,1),Erfassung!$A$6:$A$5005,"&lt;"&amp;DATE(Einstellungen!$C$3,11,1)))</f>
        <v/>
      </c>
      <c r="M200" s="54">
        <f>IF($B200="","",SUMIFS(Erfassung!$E$6:$E$5005,Erfassung!$B$6:$B$5005,$A200,Erfassung!$A$6:$A$5005,"&gt;="&amp;DATE(Einstellungen!$C$3,11,1),Erfassung!$A$6:$A$5005,"&lt;"&amp;DATE(Einstellungen!$C$3,12,1)))</f>
        <v/>
      </c>
      <c r="N200" s="54">
        <f>IF($B200="","",SUMIFS(Erfassung!$E$6:$E$5005,Erfassung!$B$6:$B$5005,$A200,Erfassung!$A$6:$A$5005,"&gt;="&amp;DATE(Einstellungen!$C$3,12,1),Erfassung!$A$6:$A$5005,"&lt;"&amp;DATE(Einstellungen!$C$3,13,1)))</f>
        <v/>
      </c>
      <c r="O200" s="45">
        <f>IF($B200="","",SUM(C200:N200))</f>
        <v/>
      </c>
      <c r="P200" s="54">
        <f>IF($B200="","",SUMIFS(Erfassung!$G$6:$G$5005,Erfassung!$B$6:$B$5005,$A200,Erfassung!$A$6:$A$5005,"&gt;="&amp;DATE(Einstellungen!$C$3,1,1),Erfassung!$A$6:$A$5005,"&lt;"&amp;DATE(Einstellungen!$C$3,2,1)))</f>
        <v/>
      </c>
      <c r="Q200" s="54">
        <f>IF($B200="","",SUMIFS(Erfassung!$G$6:$G$5005,Erfassung!$B$6:$B$5005,$A200,Erfassung!$A$6:$A$5005,"&gt;="&amp;DATE(Einstellungen!$C$3,2,1),Erfassung!$A$6:$A$5005,"&lt;"&amp;DATE(Einstellungen!$C$3,3,1)))</f>
        <v/>
      </c>
      <c r="R200" s="54">
        <f>IF($B200="","",SUMIFS(Erfassung!$G$6:$G$5005,Erfassung!$B$6:$B$5005,$A200,Erfassung!$A$6:$A$5005,"&gt;="&amp;DATE(Einstellungen!$C$3,3,1),Erfassung!$A$6:$A$5005,"&lt;"&amp;DATE(Einstellungen!$C$3,4,1)))</f>
        <v/>
      </c>
      <c r="S200" s="54">
        <f>IF($B200="","",SUMIFS(Erfassung!$G$6:$G$5005,Erfassung!$B$6:$B$5005,$A200,Erfassung!$A$6:$A$5005,"&gt;="&amp;DATE(Einstellungen!$C$3,4,1),Erfassung!$A$6:$A$5005,"&lt;"&amp;DATE(Einstellungen!$C$3,5,1)))</f>
        <v/>
      </c>
      <c r="T200" s="54">
        <f>IF($B200="","",SUMIFS(Erfassung!$G$6:$G$5005,Erfassung!$B$6:$B$5005,$A200,Erfassung!$A$6:$A$5005,"&gt;="&amp;DATE(Einstellungen!$C$3,5,1),Erfassung!$A$6:$A$5005,"&lt;"&amp;DATE(Einstellungen!$C$3,6,1)))</f>
        <v/>
      </c>
      <c r="U200" s="54">
        <f>IF($B200="","",SUMIFS(Erfassung!$G$6:$G$5005,Erfassung!$B$6:$B$5005,$A200,Erfassung!$A$6:$A$5005,"&gt;="&amp;DATE(Einstellungen!$C$3,6,1),Erfassung!$A$6:$A$5005,"&lt;"&amp;DATE(Einstellungen!$C$3,7,1)))</f>
        <v/>
      </c>
      <c r="V200" s="54">
        <f>IF($B200="","",SUMIFS(Erfassung!$G$6:$G$5005,Erfassung!$B$6:$B$5005,$A200,Erfassung!$A$6:$A$5005,"&gt;="&amp;DATE(Einstellungen!$C$3,7,1),Erfassung!$A$6:$A$5005,"&lt;"&amp;DATE(Einstellungen!$C$3,8,1)))</f>
        <v/>
      </c>
      <c r="W200" s="54">
        <f>IF($B200="","",SUMIFS(Erfassung!$G$6:$G$5005,Erfassung!$B$6:$B$5005,$A200,Erfassung!$A$6:$A$5005,"&gt;="&amp;DATE(Einstellungen!$C$3,8,1),Erfassung!$A$6:$A$5005,"&lt;"&amp;DATE(Einstellungen!$C$3,9,1)))</f>
        <v/>
      </c>
      <c r="X200" s="54">
        <f>IF($B200="","",SUMIFS(Erfassung!$G$6:$G$5005,Erfassung!$B$6:$B$5005,$A200,Erfassung!$A$6:$A$5005,"&gt;="&amp;DATE(Einstellungen!$C$3,9,1),Erfassung!$A$6:$A$5005,"&lt;"&amp;DATE(Einstellungen!$C$3,10,1)))</f>
        <v/>
      </c>
      <c r="Y200" s="54">
        <f>IF($B200="","",SUMIFS(Erfassung!$G$6:$G$5005,Erfassung!$B$6:$B$5005,$A200,Erfassung!$A$6:$A$5005,"&gt;="&amp;DATE(Einstellungen!$C$3,10,1),Erfassung!$A$6:$A$5005,"&lt;"&amp;DATE(Einstellungen!$C$3,11,1)))</f>
        <v/>
      </c>
      <c r="Z200" s="54">
        <f>IF($B200="","",SUMIFS(Erfassung!$G$6:$G$5005,Erfassung!$B$6:$B$5005,$A200,Erfassung!$A$6:$A$5005,"&gt;="&amp;DATE(Einstellungen!$C$3,11,1),Erfassung!$A$6:$A$5005,"&lt;"&amp;DATE(Einstellungen!$C$3,12,1)))</f>
        <v/>
      </c>
      <c r="AA200" s="54">
        <f>IF($B200="","",SUMIFS(Erfassung!$G$6:$G$5005,Erfassung!$B$6:$B$5005,$A200,Erfassung!$A$6:$A$5005,"&gt;="&amp;DATE(Einstellungen!$C$3,12,1),Erfassung!$A$6:$A$5005,"&lt;"&amp;DATE(Einstellungen!$C$3,13,1)))</f>
        <v/>
      </c>
      <c r="AB200" s="45">
        <f>IF($B200="","",SUM(P200:AA200))</f>
        <v/>
      </c>
      <c r="AC200" s="38">
        <f>IF($B200="","",IF(O200+AB200&gt;0,AB200/(O200+AB200),""))</f>
        <v/>
      </c>
    </row>
    <row r="201">
      <c r="A201" s="56">
        <f>'KQuote Mitarbeiter'!A201</f>
        <v/>
      </c>
      <c r="B201" s="57">
        <f>'KQuote Mitarbeiter'!B201</f>
        <v/>
      </c>
      <c r="C201" s="54">
        <f>IF($B201="","",SUMIFS(Erfassung!$E$6:$E$5005,Erfassung!$B$6:$B$5005,$A201,Erfassung!$A$6:$A$5005,"&gt;="&amp;DATE(Einstellungen!$C$3,1,1),Erfassung!$A$6:$A$5005,"&lt;"&amp;DATE(Einstellungen!$C$3,2,1)))</f>
        <v/>
      </c>
      <c r="D201" s="54">
        <f>IF($B201="","",SUMIFS(Erfassung!$E$6:$E$5005,Erfassung!$B$6:$B$5005,$A201,Erfassung!$A$6:$A$5005,"&gt;="&amp;DATE(Einstellungen!$C$3,2,1),Erfassung!$A$6:$A$5005,"&lt;"&amp;DATE(Einstellungen!$C$3,3,1)))</f>
        <v/>
      </c>
      <c r="E201" s="54">
        <f>IF($B201="","",SUMIFS(Erfassung!$E$6:$E$5005,Erfassung!$B$6:$B$5005,$A201,Erfassung!$A$6:$A$5005,"&gt;="&amp;DATE(Einstellungen!$C$3,3,1),Erfassung!$A$6:$A$5005,"&lt;"&amp;DATE(Einstellungen!$C$3,4,1)))</f>
        <v/>
      </c>
      <c r="F201" s="54">
        <f>IF($B201="","",SUMIFS(Erfassung!$E$6:$E$5005,Erfassung!$B$6:$B$5005,$A201,Erfassung!$A$6:$A$5005,"&gt;="&amp;DATE(Einstellungen!$C$3,4,1),Erfassung!$A$6:$A$5005,"&lt;"&amp;DATE(Einstellungen!$C$3,5,1)))</f>
        <v/>
      </c>
      <c r="G201" s="54">
        <f>IF($B201="","",SUMIFS(Erfassung!$E$6:$E$5005,Erfassung!$B$6:$B$5005,$A201,Erfassung!$A$6:$A$5005,"&gt;="&amp;DATE(Einstellungen!$C$3,5,1),Erfassung!$A$6:$A$5005,"&lt;"&amp;DATE(Einstellungen!$C$3,6,1)))</f>
        <v/>
      </c>
      <c r="H201" s="54">
        <f>IF($B201="","",SUMIFS(Erfassung!$E$6:$E$5005,Erfassung!$B$6:$B$5005,$A201,Erfassung!$A$6:$A$5005,"&gt;="&amp;DATE(Einstellungen!$C$3,6,1),Erfassung!$A$6:$A$5005,"&lt;"&amp;DATE(Einstellungen!$C$3,7,1)))</f>
        <v/>
      </c>
      <c r="I201" s="54">
        <f>IF($B201="","",SUMIFS(Erfassung!$E$6:$E$5005,Erfassung!$B$6:$B$5005,$A201,Erfassung!$A$6:$A$5005,"&gt;="&amp;DATE(Einstellungen!$C$3,7,1),Erfassung!$A$6:$A$5005,"&lt;"&amp;DATE(Einstellungen!$C$3,8,1)))</f>
        <v/>
      </c>
      <c r="J201" s="54">
        <f>IF($B201="","",SUMIFS(Erfassung!$E$6:$E$5005,Erfassung!$B$6:$B$5005,$A201,Erfassung!$A$6:$A$5005,"&gt;="&amp;DATE(Einstellungen!$C$3,8,1),Erfassung!$A$6:$A$5005,"&lt;"&amp;DATE(Einstellungen!$C$3,9,1)))</f>
        <v/>
      </c>
      <c r="K201" s="54">
        <f>IF($B201="","",SUMIFS(Erfassung!$E$6:$E$5005,Erfassung!$B$6:$B$5005,$A201,Erfassung!$A$6:$A$5005,"&gt;="&amp;DATE(Einstellungen!$C$3,9,1),Erfassung!$A$6:$A$5005,"&lt;"&amp;DATE(Einstellungen!$C$3,10,1)))</f>
        <v/>
      </c>
      <c r="L201" s="54">
        <f>IF($B201="","",SUMIFS(Erfassung!$E$6:$E$5005,Erfassung!$B$6:$B$5005,$A201,Erfassung!$A$6:$A$5005,"&gt;="&amp;DATE(Einstellungen!$C$3,10,1),Erfassung!$A$6:$A$5005,"&lt;"&amp;DATE(Einstellungen!$C$3,11,1)))</f>
        <v/>
      </c>
      <c r="M201" s="54">
        <f>IF($B201="","",SUMIFS(Erfassung!$E$6:$E$5005,Erfassung!$B$6:$B$5005,$A201,Erfassung!$A$6:$A$5005,"&gt;="&amp;DATE(Einstellungen!$C$3,11,1),Erfassung!$A$6:$A$5005,"&lt;"&amp;DATE(Einstellungen!$C$3,12,1)))</f>
        <v/>
      </c>
      <c r="N201" s="54">
        <f>IF($B201="","",SUMIFS(Erfassung!$E$6:$E$5005,Erfassung!$B$6:$B$5005,$A201,Erfassung!$A$6:$A$5005,"&gt;="&amp;DATE(Einstellungen!$C$3,12,1),Erfassung!$A$6:$A$5005,"&lt;"&amp;DATE(Einstellungen!$C$3,13,1)))</f>
        <v/>
      </c>
      <c r="O201" s="45">
        <f>IF($B201="","",SUM(C201:N201))</f>
        <v/>
      </c>
      <c r="P201" s="54">
        <f>IF($B201="","",SUMIFS(Erfassung!$G$6:$G$5005,Erfassung!$B$6:$B$5005,$A201,Erfassung!$A$6:$A$5005,"&gt;="&amp;DATE(Einstellungen!$C$3,1,1),Erfassung!$A$6:$A$5005,"&lt;"&amp;DATE(Einstellungen!$C$3,2,1)))</f>
        <v/>
      </c>
      <c r="Q201" s="54">
        <f>IF($B201="","",SUMIFS(Erfassung!$G$6:$G$5005,Erfassung!$B$6:$B$5005,$A201,Erfassung!$A$6:$A$5005,"&gt;="&amp;DATE(Einstellungen!$C$3,2,1),Erfassung!$A$6:$A$5005,"&lt;"&amp;DATE(Einstellungen!$C$3,3,1)))</f>
        <v/>
      </c>
      <c r="R201" s="54">
        <f>IF($B201="","",SUMIFS(Erfassung!$G$6:$G$5005,Erfassung!$B$6:$B$5005,$A201,Erfassung!$A$6:$A$5005,"&gt;="&amp;DATE(Einstellungen!$C$3,3,1),Erfassung!$A$6:$A$5005,"&lt;"&amp;DATE(Einstellungen!$C$3,4,1)))</f>
        <v/>
      </c>
      <c r="S201" s="54">
        <f>IF($B201="","",SUMIFS(Erfassung!$G$6:$G$5005,Erfassung!$B$6:$B$5005,$A201,Erfassung!$A$6:$A$5005,"&gt;="&amp;DATE(Einstellungen!$C$3,4,1),Erfassung!$A$6:$A$5005,"&lt;"&amp;DATE(Einstellungen!$C$3,5,1)))</f>
        <v/>
      </c>
      <c r="T201" s="54">
        <f>IF($B201="","",SUMIFS(Erfassung!$G$6:$G$5005,Erfassung!$B$6:$B$5005,$A201,Erfassung!$A$6:$A$5005,"&gt;="&amp;DATE(Einstellungen!$C$3,5,1),Erfassung!$A$6:$A$5005,"&lt;"&amp;DATE(Einstellungen!$C$3,6,1)))</f>
        <v/>
      </c>
      <c r="U201" s="54">
        <f>IF($B201="","",SUMIFS(Erfassung!$G$6:$G$5005,Erfassung!$B$6:$B$5005,$A201,Erfassung!$A$6:$A$5005,"&gt;="&amp;DATE(Einstellungen!$C$3,6,1),Erfassung!$A$6:$A$5005,"&lt;"&amp;DATE(Einstellungen!$C$3,7,1)))</f>
        <v/>
      </c>
      <c r="V201" s="54">
        <f>IF($B201="","",SUMIFS(Erfassung!$G$6:$G$5005,Erfassung!$B$6:$B$5005,$A201,Erfassung!$A$6:$A$5005,"&gt;="&amp;DATE(Einstellungen!$C$3,7,1),Erfassung!$A$6:$A$5005,"&lt;"&amp;DATE(Einstellungen!$C$3,8,1)))</f>
        <v/>
      </c>
      <c r="W201" s="54">
        <f>IF($B201="","",SUMIFS(Erfassung!$G$6:$G$5005,Erfassung!$B$6:$B$5005,$A201,Erfassung!$A$6:$A$5005,"&gt;="&amp;DATE(Einstellungen!$C$3,8,1),Erfassung!$A$6:$A$5005,"&lt;"&amp;DATE(Einstellungen!$C$3,9,1)))</f>
        <v/>
      </c>
      <c r="X201" s="54">
        <f>IF($B201="","",SUMIFS(Erfassung!$G$6:$G$5005,Erfassung!$B$6:$B$5005,$A201,Erfassung!$A$6:$A$5005,"&gt;="&amp;DATE(Einstellungen!$C$3,9,1),Erfassung!$A$6:$A$5005,"&lt;"&amp;DATE(Einstellungen!$C$3,10,1)))</f>
        <v/>
      </c>
      <c r="Y201" s="54">
        <f>IF($B201="","",SUMIFS(Erfassung!$G$6:$G$5005,Erfassung!$B$6:$B$5005,$A201,Erfassung!$A$6:$A$5005,"&gt;="&amp;DATE(Einstellungen!$C$3,10,1),Erfassung!$A$6:$A$5005,"&lt;"&amp;DATE(Einstellungen!$C$3,11,1)))</f>
        <v/>
      </c>
      <c r="Z201" s="54">
        <f>IF($B201="","",SUMIFS(Erfassung!$G$6:$G$5005,Erfassung!$B$6:$B$5005,$A201,Erfassung!$A$6:$A$5005,"&gt;="&amp;DATE(Einstellungen!$C$3,11,1),Erfassung!$A$6:$A$5005,"&lt;"&amp;DATE(Einstellungen!$C$3,12,1)))</f>
        <v/>
      </c>
      <c r="AA201" s="54">
        <f>IF($B201="","",SUMIFS(Erfassung!$G$6:$G$5005,Erfassung!$B$6:$B$5005,$A201,Erfassung!$A$6:$A$5005,"&gt;="&amp;DATE(Einstellungen!$C$3,12,1),Erfassung!$A$6:$A$5005,"&lt;"&amp;DATE(Einstellungen!$C$3,13,1)))</f>
        <v/>
      </c>
      <c r="AB201" s="45">
        <f>IF($B201="","",SUM(P201:AA201))</f>
        <v/>
      </c>
      <c r="AC201" s="38">
        <f>IF($B201="","",IF(O201+AB201&gt;0,AB201/(O201+AB201),""))</f>
        <v/>
      </c>
    </row>
    <row r="202">
      <c r="A202" s="56">
        <f>'KQuote Mitarbeiter'!A202</f>
        <v/>
      </c>
      <c r="B202" s="57">
        <f>'KQuote Mitarbeiter'!B202</f>
        <v/>
      </c>
      <c r="C202" s="54">
        <f>IF($B202="","",SUMIFS(Erfassung!$E$6:$E$5005,Erfassung!$B$6:$B$5005,$A202,Erfassung!$A$6:$A$5005,"&gt;="&amp;DATE(Einstellungen!$C$3,1,1),Erfassung!$A$6:$A$5005,"&lt;"&amp;DATE(Einstellungen!$C$3,2,1)))</f>
        <v/>
      </c>
      <c r="D202" s="54">
        <f>IF($B202="","",SUMIFS(Erfassung!$E$6:$E$5005,Erfassung!$B$6:$B$5005,$A202,Erfassung!$A$6:$A$5005,"&gt;="&amp;DATE(Einstellungen!$C$3,2,1),Erfassung!$A$6:$A$5005,"&lt;"&amp;DATE(Einstellungen!$C$3,3,1)))</f>
        <v/>
      </c>
      <c r="E202" s="54">
        <f>IF($B202="","",SUMIFS(Erfassung!$E$6:$E$5005,Erfassung!$B$6:$B$5005,$A202,Erfassung!$A$6:$A$5005,"&gt;="&amp;DATE(Einstellungen!$C$3,3,1),Erfassung!$A$6:$A$5005,"&lt;"&amp;DATE(Einstellungen!$C$3,4,1)))</f>
        <v/>
      </c>
      <c r="F202" s="54">
        <f>IF($B202="","",SUMIFS(Erfassung!$E$6:$E$5005,Erfassung!$B$6:$B$5005,$A202,Erfassung!$A$6:$A$5005,"&gt;="&amp;DATE(Einstellungen!$C$3,4,1),Erfassung!$A$6:$A$5005,"&lt;"&amp;DATE(Einstellungen!$C$3,5,1)))</f>
        <v/>
      </c>
      <c r="G202" s="54">
        <f>IF($B202="","",SUMIFS(Erfassung!$E$6:$E$5005,Erfassung!$B$6:$B$5005,$A202,Erfassung!$A$6:$A$5005,"&gt;="&amp;DATE(Einstellungen!$C$3,5,1),Erfassung!$A$6:$A$5005,"&lt;"&amp;DATE(Einstellungen!$C$3,6,1)))</f>
        <v/>
      </c>
      <c r="H202" s="54">
        <f>IF($B202="","",SUMIFS(Erfassung!$E$6:$E$5005,Erfassung!$B$6:$B$5005,$A202,Erfassung!$A$6:$A$5005,"&gt;="&amp;DATE(Einstellungen!$C$3,6,1),Erfassung!$A$6:$A$5005,"&lt;"&amp;DATE(Einstellungen!$C$3,7,1)))</f>
        <v/>
      </c>
      <c r="I202" s="54">
        <f>IF($B202="","",SUMIFS(Erfassung!$E$6:$E$5005,Erfassung!$B$6:$B$5005,$A202,Erfassung!$A$6:$A$5005,"&gt;="&amp;DATE(Einstellungen!$C$3,7,1),Erfassung!$A$6:$A$5005,"&lt;"&amp;DATE(Einstellungen!$C$3,8,1)))</f>
        <v/>
      </c>
      <c r="J202" s="54">
        <f>IF($B202="","",SUMIFS(Erfassung!$E$6:$E$5005,Erfassung!$B$6:$B$5005,$A202,Erfassung!$A$6:$A$5005,"&gt;="&amp;DATE(Einstellungen!$C$3,8,1),Erfassung!$A$6:$A$5005,"&lt;"&amp;DATE(Einstellungen!$C$3,9,1)))</f>
        <v/>
      </c>
      <c r="K202" s="54">
        <f>IF($B202="","",SUMIFS(Erfassung!$E$6:$E$5005,Erfassung!$B$6:$B$5005,$A202,Erfassung!$A$6:$A$5005,"&gt;="&amp;DATE(Einstellungen!$C$3,9,1),Erfassung!$A$6:$A$5005,"&lt;"&amp;DATE(Einstellungen!$C$3,10,1)))</f>
        <v/>
      </c>
      <c r="L202" s="54">
        <f>IF($B202="","",SUMIFS(Erfassung!$E$6:$E$5005,Erfassung!$B$6:$B$5005,$A202,Erfassung!$A$6:$A$5005,"&gt;="&amp;DATE(Einstellungen!$C$3,10,1),Erfassung!$A$6:$A$5005,"&lt;"&amp;DATE(Einstellungen!$C$3,11,1)))</f>
        <v/>
      </c>
      <c r="M202" s="54">
        <f>IF($B202="","",SUMIFS(Erfassung!$E$6:$E$5005,Erfassung!$B$6:$B$5005,$A202,Erfassung!$A$6:$A$5005,"&gt;="&amp;DATE(Einstellungen!$C$3,11,1),Erfassung!$A$6:$A$5005,"&lt;"&amp;DATE(Einstellungen!$C$3,12,1)))</f>
        <v/>
      </c>
      <c r="N202" s="54">
        <f>IF($B202="","",SUMIFS(Erfassung!$E$6:$E$5005,Erfassung!$B$6:$B$5005,$A202,Erfassung!$A$6:$A$5005,"&gt;="&amp;DATE(Einstellungen!$C$3,12,1),Erfassung!$A$6:$A$5005,"&lt;"&amp;DATE(Einstellungen!$C$3,13,1)))</f>
        <v/>
      </c>
      <c r="O202" s="45">
        <f>IF($B202="","",SUM(C202:N202))</f>
        <v/>
      </c>
      <c r="P202" s="54">
        <f>IF($B202="","",SUMIFS(Erfassung!$G$6:$G$5005,Erfassung!$B$6:$B$5005,$A202,Erfassung!$A$6:$A$5005,"&gt;="&amp;DATE(Einstellungen!$C$3,1,1),Erfassung!$A$6:$A$5005,"&lt;"&amp;DATE(Einstellungen!$C$3,2,1)))</f>
        <v/>
      </c>
      <c r="Q202" s="54">
        <f>IF($B202="","",SUMIFS(Erfassung!$G$6:$G$5005,Erfassung!$B$6:$B$5005,$A202,Erfassung!$A$6:$A$5005,"&gt;="&amp;DATE(Einstellungen!$C$3,2,1),Erfassung!$A$6:$A$5005,"&lt;"&amp;DATE(Einstellungen!$C$3,3,1)))</f>
        <v/>
      </c>
      <c r="R202" s="54">
        <f>IF($B202="","",SUMIFS(Erfassung!$G$6:$G$5005,Erfassung!$B$6:$B$5005,$A202,Erfassung!$A$6:$A$5005,"&gt;="&amp;DATE(Einstellungen!$C$3,3,1),Erfassung!$A$6:$A$5005,"&lt;"&amp;DATE(Einstellungen!$C$3,4,1)))</f>
        <v/>
      </c>
      <c r="S202" s="54">
        <f>IF($B202="","",SUMIFS(Erfassung!$G$6:$G$5005,Erfassung!$B$6:$B$5005,$A202,Erfassung!$A$6:$A$5005,"&gt;="&amp;DATE(Einstellungen!$C$3,4,1),Erfassung!$A$6:$A$5005,"&lt;"&amp;DATE(Einstellungen!$C$3,5,1)))</f>
        <v/>
      </c>
      <c r="T202" s="54">
        <f>IF($B202="","",SUMIFS(Erfassung!$G$6:$G$5005,Erfassung!$B$6:$B$5005,$A202,Erfassung!$A$6:$A$5005,"&gt;="&amp;DATE(Einstellungen!$C$3,5,1),Erfassung!$A$6:$A$5005,"&lt;"&amp;DATE(Einstellungen!$C$3,6,1)))</f>
        <v/>
      </c>
      <c r="U202" s="54">
        <f>IF($B202="","",SUMIFS(Erfassung!$G$6:$G$5005,Erfassung!$B$6:$B$5005,$A202,Erfassung!$A$6:$A$5005,"&gt;="&amp;DATE(Einstellungen!$C$3,6,1),Erfassung!$A$6:$A$5005,"&lt;"&amp;DATE(Einstellungen!$C$3,7,1)))</f>
        <v/>
      </c>
      <c r="V202" s="54">
        <f>IF($B202="","",SUMIFS(Erfassung!$G$6:$G$5005,Erfassung!$B$6:$B$5005,$A202,Erfassung!$A$6:$A$5005,"&gt;="&amp;DATE(Einstellungen!$C$3,7,1),Erfassung!$A$6:$A$5005,"&lt;"&amp;DATE(Einstellungen!$C$3,8,1)))</f>
        <v/>
      </c>
      <c r="W202" s="54">
        <f>IF($B202="","",SUMIFS(Erfassung!$G$6:$G$5005,Erfassung!$B$6:$B$5005,$A202,Erfassung!$A$6:$A$5005,"&gt;="&amp;DATE(Einstellungen!$C$3,8,1),Erfassung!$A$6:$A$5005,"&lt;"&amp;DATE(Einstellungen!$C$3,9,1)))</f>
        <v/>
      </c>
      <c r="X202" s="54">
        <f>IF($B202="","",SUMIFS(Erfassung!$G$6:$G$5005,Erfassung!$B$6:$B$5005,$A202,Erfassung!$A$6:$A$5005,"&gt;="&amp;DATE(Einstellungen!$C$3,9,1),Erfassung!$A$6:$A$5005,"&lt;"&amp;DATE(Einstellungen!$C$3,10,1)))</f>
        <v/>
      </c>
      <c r="Y202" s="54">
        <f>IF($B202="","",SUMIFS(Erfassung!$G$6:$G$5005,Erfassung!$B$6:$B$5005,$A202,Erfassung!$A$6:$A$5005,"&gt;="&amp;DATE(Einstellungen!$C$3,10,1),Erfassung!$A$6:$A$5005,"&lt;"&amp;DATE(Einstellungen!$C$3,11,1)))</f>
        <v/>
      </c>
      <c r="Z202" s="54">
        <f>IF($B202="","",SUMIFS(Erfassung!$G$6:$G$5005,Erfassung!$B$6:$B$5005,$A202,Erfassung!$A$6:$A$5005,"&gt;="&amp;DATE(Einstellungen!$C$3,11,1),Erfassung!$A$6:$A$5005,"&lt;"&amp;DATE(Einstellungen!$C$3,12,1)))</f>
        <v/>
      </c>
      <c r="AA202" s="54">
        <f>IF($B202="","",SUMIFS(Erfassung!$G$6:$G$5005,Erfassung!$B$6:$B$5005,$A202,Erfassung!$A$6:$A$5005,"&gt;="&amp;DATE(Einstellungen!$C$3,12,1),Erfassung!$A$6:$A$5005,"&lt;"&amp;DATE(Einstellungen!$C$3,13,1)))</f>
        <v/>
      </c>
      <c r="AB202" s="45">
        <f>IF($B202="","",SUM(P202:AA202))</f>
        <v/>
      </c>
      <c r="AC202" s="38">
        <f>IF($B202="","",IF(O202+AB202&gt;0,AB202/(O202+AB202),""))</f>
        <v/>
      </c>
    </row>
    <row r="203">
      <c r="A203" s="56">
        <f>'KQuote Mitarbeiter'!A203</f>
        <v/>
      </c>
      <c r="B203" s="57">
        <f>'KQuote Mitarbeiter'!B203</f>
        <v/>
      </c>
      <c r="C203" s="54">
        <f>IF($B203="","",SUMIFS(Erfassung!$E$6:$E$5005,Erfassung!$B$6:$B$5005,$A203,Erfassung!$A$6:$A$5005,"&gt;="&amp;DATE(Einstellungen!$C$3,1,1),Erfassung!$A$6:$A$5005,"&lt;"&amp;DATE(Einstellungen!$C$3,2,1)))</f>
        <v/>
      </c>
      <c r="D203" s="54">
        <f>IF($B203="","",SUMIFS(Erfassung!$E$6:$E$5005,Erfassung!$B$6:$B$5005,$A203,Erfassung!$A$6:$A$5005,"&gt;="&amp;DATE(Einstellungen!$C$3,2,1),Erfassung!$A$6:$A$5005,"&lt;"&amp;DATE(Einstellungen!$C$3,3,1)))</f>
        <v/>
      </c>
      <c r="E203" s="54">
        <f>IF($B203="","",SUMIFS(Erfassung!$E$6:$E$5005,Erfassung!$B$6:$B$5005,$A203,Erfassung!$A$6:$A$5005,"&gt;="&amp;DATE(Einstellungen!$C$3,3,1),Erfassung!$A$6:$A$5005,"&lt;"&amp;DATE(Einstellungen!$C$3,4,1)))</f>
        <v/>
      </c>
      <c r="F203" s="54">
        <f>IF($B203="","",SUMIFS(Erfassung!$E$6:$E$5005,Erfassung!$B$6:$B$5005,$A203,Erfassung!$A$6:$A$5005,"&gt;="&amp;DATE(Einstellungen!$C$3,4,1),Erfassung!$A$6:$A$5005,"&lt;"&amp;DATE(Einstellungen!$C$3,5,1)))</f>
        <v/>
      </c>
      <c r="G203" s="54">
        <f>IF($B203="","",SUMIFS(Erfassung!$E$6:$E$5005,Erfassung!$B$6:$B$5005,$A203,Erfassung!$A$6:$A$5005,"&gt;="&amp;DATE(Einstellungen!$C$3,5,1),Erfassung!$A$6:$A$5005,"&lt;"&amp;DATE(Einstellungen!$C$3,6,1)))</f>
        <v/>
      </c>
      <c r="H203" s="54">
        <f>IF($B203="","",SUMIFS(Erfassung!$E$6:$E$5005,Erfassung!$B$6:$B$5005,$A203,Erfassung!$A$6:$A$5005,"&gt;="&amp;DATE(Einstellungen!$C$3,6,1),Erfassung!$A$6:$A$5005,"&lt;"&amp;DATE(Einstellungen!$C$3,7,1)))</f>
        <v/>
      </c>
      <c r="I203" s="54">
        <f>IF($B203="","",SUMIFS(Erfassung!$E$6:$E$5005,Erfassung!$B$6:$B$5005,$A203,Erfassung!$A$6:$A$5005,"&gt;="&amp;DATE(Einstellungen!$C$3,7,1),Erfassung!$A$6:$A$5005,"&lt;"&amp;DATE(Einstellungen!$C$3,8,1)))</f>
        <v/>
      </c>
      <c r="J203" s="54">
        <f>IF($B203="","",SUMIFS(Erfassung!$E$6:$E$5005,Erfassung!$B$6:$B$5005,$A203,Erfassung!$A$6:$A$5005,"&gt;="&amp;DATE(Einstellungen!$C$3,8,1),Erfassung!$A$6:$A$5005,"&lt;"&amp;DATE(Einstellungen!$C$3,9,1)))</f>
        <v/>
      </c>
      <c r="K203" s="54">
        <f>IF($B203="","",SUMIFS(Erfassung!$E$6:$E$5005,Erfassung!$B$6:$B$5005,$A203,Erfassung!$A$6:$A$5005,"&gt;="&amp;DATE(Einstellungen!$C$3,9,1),Erfassung!$A$6:$A$5005,"&lt;"&amp;DATE(Einstellungen!$C$3,10,1)))</f>
        <v/>
      </c>
      <c r="L203" s="54">
        <f>IF($B203="","",SUMIFS(Erfassung!$E$6:$E$5005,Erfassung!$B$6:$B$5005,$A203,Erfassung!$A$6:$A$5005,"&gt;="&amp;DATE(Einstellungen!$C$3,10,1),Erfassung!$A$6:$A$5005,"&lt;"&amp;DATE(Einstellungen!$C$3,11,1)))</f>
        <v/>
      </c>
      <c r="M203" s="54">
        <f>IF($B203="","",SUMIFS(Erfassung!$E$6:$E$5005,Erfassung!$B$6:$B$5005,$A203,Erfassung!$A$6:$A$5005,"&gt;="&amp;DATE(Einstellungen!$C$3,11,1),Erfassung!$A$6:$A$5005,"&lt;"&amp;DATE(Einstellungen!$C$3,12,1)))</f>
        <v/>
      </c>
      <c r="N203" s="54">
        <f>IF($B203="","",SUMIFS(Erfassung!$E$6:$E$5005,Erfassung!$B$6:$B$5005,$A203,Erfassung!$A$6:$A$5005,"&gt;="&amp;DATE(Einstellungen!$C$3,12,1),Erfassung!$A$6:$A$5005,"&lt;"&amp;DATE(Einstellungen!$C$3,13,1)))</f>
        <v/>
      </c>
      <c r="O203" s="45">
        <f>IF($B203="","",SUM(C203:N203))</f>
        <v/>
      </c>
      <c r="P203" s="54">
        <f>IF($B203="","",SUMIFS(Erfassung!$G$6:$G$5005,Erfassung!$B$6:$B$5005,$A203,Erfassung!$A$6:$A$5005,"&gt;="&amp;DATE(Einstellungen!$C$3,1,1),Erfassung!$A$6:$A$5005,"&lt;"&amp;DATE(Einstellungen!$C$3,2,1)))</f>
        <v/>
      </c>
      <c r="Q203" s="54">
        <f>IF($B203="","",SUMIFS(Erfassung!$G$6:$G$5005,Erfassung!$B$6:$B$5005,$A203,Erfassung!$A$6:$A$5005,"&gt;="&amp;DATE(Einstellungen!$C$3,2,1),Erfassung!$A$6:$A$5005,"&lt;"&amp;DATE(Einstellungen!$C$3,3,1)))</f>
        <v/>
      </c>
      <c r="R203" s="54">
        <f>IF($B203="","",SUMIFS(Erfassung!$G$6:$G$5005,Erfassung!$B$6:$B$5005,$A203,Erfassung!$A$6:$A$5005,"&gt;="&amp;DATE(Einstellungen!$C$3,3,1),Erfassung!$A$6:$A$5005,"&lt;"&amp;DATE(Einstellungen!$C$3,4,1)))</f>
        <v/>
      </c>
      <c r="S203" s="54">
        <f>IF($B203="","",SUMIFS(Erfassung!$G$6:$G$5005,Erfassung!$B$6:$B$5005,$A203,Erfassung!$A$6:$A$5005,"&gt;="&amp;DATE(Einstellungen!$C$3,4,1),Erfassung!$A$6:$A$5005,"&lt;"&amp;DATE(Einstellungen!$C$3,5,1)))</f>
        <v/>
      </c>
      <c r="T203" s="54">
        <f>IF($B203="","",SUMIFS(Erfassung!$G$6:$G$5005,Erfassung!$B$6:$B$5005,$A203,Erfassung!$A$6:$A$5005,"&gt;="&amp;DATE(Einstellungen!$C$3,5,1),Erfassung!$A$6:$A$5005,"&lt;"&amp;DATE(Einstellungen!$C$3,6,1)))</f>
        <v/>
      </c>
      <c r="U203" s="54">
        <f>IF($B203="","",SUMIFS(Erfassung!$G$6:$G$5005,Erfassung!$B$6:$B$5005,$A203,Erfassung!$A$6:$A$5005,"&gt;="&amp;DATE(Einstellungen!$C$3,6,1),Erfassung!$A$6:$A$5005,"&lt;"&amp;DATE(Einstellungen!$C$3,7,1)))</f>
        <v/>
      </c>
      <c r="V203" s="54">
        <f>IF($B203="","",SUMIFS(Erfassung!$G$6:$G$5005,Erfassung!$B$6:$B$5005,$A203,Erfassung!$A$6:$A$5005,"&gt;="&amp;DATE(Einstellungen!$C$3,7,1),Erfassung!$A$6:$A$5005,"&lt;"&amp;DATE(Einstellungen!$C$3,8,1)))</f>
        <v/>
      </c>
      <c r="W203" s="54">
        <f>IF($B203="","",SUMIFS(Erfassung!$G$6:$G$5005,Erfassung!$B$6:$B$5005,$A203,Erfassung!$A$6:$A$5005,"&gt;="&amp;DATE(Einstellungen!$C$3,8,1),Erfassung!$A$6:$A$5005,"&lt;"&amp;DATE(Einstellungen!$C$3,9,1)))</f>
        <v/>
      </c>
      <c r="X203" s="54">
        <f>IF($B203="","",SUMIFS(Erfassung!$G$6:$G$5005,Erfassung!$B$6:$B$5005,$A203,Erfassung!$A$6:$A$5005,"&gt;="&amp;DATE(Einstellungen!$C$3,9,1),Erfassung!$A$6:$A$5005,"&lt;"&amp;DATE(Einstellungen!$C$3,10,1)))</f>
        <v/>
      </c>
      <c r="Y203" s="54">
        <f>IF($B203="","",SUMIFS(Erfassung!$G$6:$G$5005,Erfassung!$B$6:$B$5005,$A203,Erfassung!$A$6:$A$5005,"&gt;="&amp;DATE(Einstellungen!$C$3,10,1),Erfassung!$A$6:$A$5005,"&lt;"&amp;DATE(Einstellungen!$C$3,11,1)))</f>
        <v/>
      </c>
      <c r="Z203" s="54">
        <f>IF($B203="","",SUMIFS(Erfassung!$G$6:$G$5005,Erfassung!$B$6:$B$5005,$A203,Erfassung!$A$6:$A$5005,"&gt;="&amp;DATE(Einstellungen!$C$3,11,1),Erfassung!$A$6:$A$5005,"&lt;"&amp;DATE(Einstellungen!$C$3,12,1)))</f>
        <v/>
      </c>
      <c r="AA203" s="54">
        <f>IF($B203="","",SUMIFS(Erfassung!$G$6:$G$5005,Erfassung!$B$6:$B$5005,$A203,Erfassung!$A$6:$A$5005,"&gt;="&amp;DATE(Einstellungen!$C$3,12,1),Erfassung!$A$6:$A$5005,"&lt;"&amp;DATE(Einstellungen!$C$3,13,1)))</f>
        <v/>
      </c>
      <c r="AB203" s="45">
        <f>IF($B203="","",SUM(P203:AA203))</f>
        <v/>
      </c>
      <c r="AC203" s="38">
        <f>IF($B203="","",IF(O203+AB203&gt;0,AB203/(O203+AB203),""))</f>
        <v/>
      </c>
    </row>
    <row r="204">
      <c r="A204" s="56">
        <f>'KQuote Mitarbeiter'!A204</f>
        <v/>
      </c>
      <c r="B204" s="57">
        <f>'KQuote Mitarbeiter'!B204</f>
        <v/>
      </c>
      <c r="C204" s="54">
        <f>IF($B204="","",SUMIFS(Erfassung!$E$6:$E$5005,Erfassung!$B$6:$B$5005,$A204,Erfassung!$A$6:$A$5005,"&gt;="&amp;DATE(Einstellungen!$C$3,1,1),Erfassung!$A$6:$A$5005,"&lt;"&amp;DATE(Einstellungen!$C$3,2,1)))</f>
        <v/>
      </c>
      <c r="D204" s="54">
        <f>IF($B204="","",SUMIFS(Erfassung!$E$6:$E$5005,Erfassung!$B$6:$B$5005,$A204,Erfassung!$A$6:$A$5005,"&gt;="&amp;DATE(Einstellungen!$C$3,2,1),Erfassung!$A$6:$A$5005,"&lt;"&amp;DATE(Einstellungen!$C$3,3,1)))</f>
        <v/>
      </c>
      <c r="E204" s="54">
        <f>IF($B204="","",SUMIFS(Erfassung!$E$6:$E$5005,Erfassung!$B$6:$B$5005,$A204,Erfassung!$A$6:$A$5005,"&gt;="&amp;DATE(Einstellungen!$C$3,3,1),Erfassung!$A$6:$A$5005,"&lt;"&amp;DATE(Einstellungen!$C$3,4,1)))</f>
        <v/>
      </c>
      <c r="F204" s="54">
        <f>IF($B204="","",SUMIFS(Erfassung!$E$6:$E$5005,Erfassung!$B$6:$B$5005,$A204,Erfassung!$A$6:$A$5005,"&gt;="&amp;DATE(Einstellungen!$C$3,4,1),Erfassung!$A$6:$A$5005,"&lt;"&amp;DATE(Einstellungen!$C$3,5,1)))</f>
        <v/>
      </c>
      <c r="G204" s="54">
        <f>IF($B204="","",SUMIFS(Erfassung!$E$6:$E$5005,Erfassung!$B$6:$B$5005,$A204,Erfassung!$A$6:$A$5005,"&gt;="&amp;DATE(Einstellungen!$C$3,5,1),Erfassung!$A$6:$A$5005,"&lt;"&amp;DATE(Einstellungen!$C$3,6,1)))</f>
        <v/>
      </c>
      <c r="H204" s="54">
        <f>IF($B204="","",SUMIFS(Erfassung!$E$6:$E$5005,Erfassung!$B$6:$B$5005,$A204,Erfassung!$A$6:$A$5005,"&gt;="&amp;DATE(Einstellungen!$C$3,6,1),Erfassung!$A$6:$A$5005,"&lt;"&amp;DATE(Einstellungen!$C$3,7,1)))</f>
        <v/>
      </c>
      <c r="I204" s="54">
        <f>IF($B204="","",SUMIFS(Erfassung!$E$6:$E$5005,Erfassung!$B$6:$B$5005,$A204,Erfassung!$A$6:$A$5005,"&gt;="&amp;DATE(Einstellungen!$C$3,7,1),Erfassung!$A$6:$A$5005,"&lt;"&amp;DATE(Einstellungen!$C$3,8,1)))</f>
        <v/>
      </c>
      <c r="J204" s="54">
        <f>IF($B204="","",SUMIFS(Erfassung!$E$6:$E$5005,Erfassung!$B$6:$B$5005,$A204,Erfassung!$A$6:$A$5005,"&gt;="&amp;DATE(Einstellungen!$C$3,8,1),Erfassung!$A$6:$A$5005,"&lt;"&amp;DATE(Einstellungen!$C$3,9,1)))</f>
        <v/>
      </c>
      <c r="K204" s="54">
        <f>IF($B204="","",SUMIFS(Erfassung!$E$6:$E$5005,Erfassung!$B$6:$B$5005,$A204,Erfassung!$A$6:$A$5005,"&gt;="&amp;DATE(Einstellungen!$C$3,9,1),Erfassung!$A$6:$A$5005,"&lt;"&amp;DATE(Einstellungen!$C$3,10,1)))</f>
        <v/>
      </c>
      <c r="L204" s="54">
        <f>IF($B204="","",SUMIFS(Erfassung!$E$6:$E$5005,Erfassung!$B$6:$B$5005,$A204,Erfassung!$A$6:$A$5005,"&gt;="&amp;DATE(Einstellungen!$C$3,10,1),Erfassung!$A$6:$A$5005,"&lt;"&amp;DATE(Einstellungen!$C$3,11,1)))</f>
        <v/>
      </c>
      <c r="M204" s="54">
        <f>IF($B204="","",SUMIFS(Erfassung!$E$6:$E$5005,Erfassung!$B$6:$B$5005,$A204,Erfassung!$A$6:$A$5005,"&gt;="&amp;DATE(Einstellungen!$C$3,11,1),Erfassung!$A$6:$A$5005,"&lt;"&amp;DATE(Einstellungen!$C$3,12,1)))</f>
        <v/>
      </c>
      <c r="N204" s="54">
        <f>IF($B204="","",SUMIFS(Erfassung!$E$6:$E$5005,Erfassung!$B$6:$B$5005,$A204,Erfassung!$A$6:$A$5005,"&gt;="&amp;DATE(Einstellungen!$C$3,12,1),Erfassung!$A$6:$A$5005,"&lt;"&amp;DATE(Einstellungen!$C$3,13,1)))</f>
        <v/>
      </c>
      <c r="O204" s="45">
        <f>IF($B204="","",SUM(C204:N204))</f>
        <v/>
      </c>
      <c r="P204" s="54">
        <f>IF($B204="","",SUMIFS(Erfassung!$G$6:$G$5005,Erfassung!$B$6:$B$5005,$A204,Erfassung!$A$6:$A$5005,"&gt;="&amp;DATE(Einstellungen!$C$3,1,1),Erfassung!$A$6:$A$5005,"&lt;"&amp;DATE(Einstellungen!$C$3,2,1)))</f>
        <v/>
      </c>
      <c r="Q204" s="54">
        <f>IF($B204="","",SUMIFS(Erfassung!$G$6:$G$5005,Erfassung!$B$6:$B$5005,$A204,Erfassung!$A$6:$A$5005,"&gt;="&amp;DATE(Einstellungen!$C$3,2,1),Erfassung!$A$6:$A$5005,"&lt;"&amp;DATE(Einstellungen!$C$3,3,1)))</f>
        <v/>
      </c>
      <c r="R204" s="54">
        <f>IF($B204="","",SUMIFS(Erfassung!$G$6:$G$5005,Erfassung!$B$6:$B$5005,$A204,Erfassung!$A$6:$A$5005,"&gt;="&amp;DATE(Einstellungen!$C$3,3,1),Erfassung!$A$6:$A$5005,"&lt;"&amp;DATE(Einstellungen!$C$3,4,1)))</f>
        <v/>
      </c>
      <c r="S204" s="54">
        <f>IF($B204="","",SUMIFS(Erfassung!$G$6:$G$5005,Erfassung!$B$6:$B$5005,$A204,Erfassung!$A$6:$A$5005,"&gt;="&amp;DATE(Einstellungen!$C$3,4,1),Erfassung!$A$6:$A$5005,"&lt;"&amp;DATE(Einstellungen!$C$3,5,1)))</f>
        <v/>
      </c>
      <c r="T204" s="54">
        <f>IF($B204="","",SUMIFS(Erfassung!$G$6:$G$5005,Erfassung!$B$6:$B$5005,$A204,Erfassung!$A$6:$A$5005,"&gt;="&amp;DATE(Einstellungen!$C$3,5,1),Erfassung!$A$6:$A$5005,"&lt;"&amp;DATE(Einstellungen!$C$3,6,1)))</f>
        <v/>
      </c>
      <c r="U204" s="54">
        <f>IF($B204="","",SUMIFS(Erfassung!$G$6:$G$5005,Erfassung!$B$6:$B$5005,$A204,Erfassung!$A$6:$A$5005,"&gt;="&amp;DATE(Einstellungen!$C$3,6,1),Erfassung!$A$6:$A$5005,"&lt;"&amp;DATE(Einstellungen!$C$3,7,1)))</f>
        <v/>
      </c>
      <c r="V204" s="54">
        <f>IF($B204="","",SUMIFS(Erfassung!$G$6:$G$5005,Erfassung!$B$6:$B$5005,$A204,Erfassung!$A$6:$A$5005,"&gt;="&amp;DATE(Einstellungen!$C$3,7,1),Erfassung!$A$6:$A$5005,"&lt;"&amp;DATE(Einstellungen!$C$3,8,1)))</f>
        <v/>
      </c>
      <c r="W204" s="54">
        <f>IF($B204="","",SUMIFS(Erfassung!$G$6:$G$5005,Erfassung!$B$6:$B$5005,$A204,Erfassung!$A$6:$A$5005,"&gt;="&amp;DATE(Einstellungen!$C$3,8,1),Erfassung!$A$6:$A$5005,"&lt;"&amp;DATE(Einstellungen!$C$3,9,1)))</f>
        <v/>
      </c>
      <c r="X204" s="54">
        <f>IF($B204="","",SUMIFS(Erfassung!$G$6:$G$5005,Erfassung!$B$6:$B$5005,$A204,Erfassung!$A$6:$A$5005,"&gt;="&amp;DATE(Einstellungen!$C$3,9,1),Erfassung!$A$6:$A$5005,"&lt;"&amp;DATE(Einstellungen!$C$3,10,1)))</f>
        <v/>
      </c>
      <c r="Y204" s="54">
        <f>IF($B204="","",SUMIFS(Erfassung!$G$6:$G$5005,Erfassung!$B$6:$B$5005,$A204,Erfassung!$A$6:$A$5005,"&gt;="&amp;DATE(Einstellungen!$C$3,10,1),Erfassung!$A$6:$A$5005,"&lt;"&amp;DATE(Einstellungen!$C$3,11,1)))</f>
        <v/>
      </c>
      <c r="Z204" s="54">
        <f>IF($B204="","",SUMIFS(Erfassung!$G$6:$G$5005,Erfassung!$B$6:$B$5005,$A204,Erfassung!$A$6:$A$5005,"&gt;="&amp;DATE(Einstellungen!$C$3,11,1),Erfassung!$A$6:$A$5005,"&lt;"&amp;DATE(Einstellungen!$C$3,12,1)))</f>
        <v/>
      </c>
      <c r="AA204" s="54">
        <f>IF($B204="","",SUMIFS(Erfassung!$G$6:$G$5005,Erfassung!$B$6:$B$5005,$A204,Erfassung!$A$6:$A$5005,"&gt;="&amp;DATE(Einstellungen!$C$3,12,1),Erfassung!$A$6:$A$5005,"&lt;"&amp;DATE(Einstellungen!$C$3,13,1)))</f>
        <v/>
      </c>
      <c r="AB204" s="45">
        <f>IF($B204="","",SUM(P204:AA204))</f>
        <v/>
      </c>
      <c r="AC204" s="38">
        <f>IF($B204="","",IF(O204+AB204&gt;0,AB204/(O204+AB204),""))</f>
        <v/>
      </c>
    </row>
    <row r="205">
      <c r="A205" s="56">
        <f>'KQuote Mitarbeiter'!A205</f>
        <v/>
      </c>
      <c r="B205" s="57">
        <f>'KQuote Mitarbeiter'!B205</f>
        <v/>
      </c>
      <c r="C205" s="54">
        <f>IF($B205="","",SUMIFS(Erfassung!$E$6:$E$5005,Erfassung!$B$6:$B$5005,$A205,Erfassung!$A$6:$A$5005,"&gt;="&amp;DATE(Einstellungen!$C$3,1,1),Erfassung!$A$6:$A$5005,"&lt;"&amp;DATE(Einstellungen!$C$3,2,1)))</f>
        <v/>
      </c>
      <c r="D205" s="54">
        <f>IF($B205="","",SUMIFS(Erfassung!$E$6:$E$5005,Erfassung!$B$6:$B$5005,$A205,Erfassung!$A$6:$A$5005,"&gt;="&amp;DATE(Einstellungen!$C$3,2,1),Erfassung!$A$6:$A$5005,"&lt;"&amp;DATE(Einstellungen!$C$3,3,1)))</f>
        <v/>
      </c>
      <c r="E205" s="54">
        <f>IF($B205="","",SUMIFS(Erfassung!$E$6:$E$5005,Erfassung!$B$6:$B$5005,$A205,Erfassung!$A$6:$A$5005,"&gt;="&amp;DATE(Einstellungen!$C$3,3,1),Erfassung!$A$6:$A$5005,"&lt;"&amp;DATE(Einstellungen!$C$3,4,1)))</f>
        <v/>
      </c>
      <c r="F205" s="54">
        <f>IF($B205="","",SUMIFS(Erfassung!$E$6:$E$5005,Erfassung!$B$6:$B$5005,$A205,Erfassung!$A$6:$A$5005,"&gt;="&amp;DATE(Einstellungen!$C$3,4,1),Erfassung!$A$6:$A$5005,"&lt;"&amp;DATE(Einstellungen!$C$3,5,1)))</f>
        <v/>
      </c>
      <c r="G205" s="54">
        <f>IF($B205="","",SUMIFS(Erfassung!$E$6:$E$5005,Erfassung!$B$6:$B$5005,$A205,Erfassung!$A$6:$A$5005,"&gt;="&amp;DATE(Einstellungen!$C$3,5,1),Erfassung!$A$6:$A$5005,"&lt;"&amp;DATE(Einstellungen!$C$3,6,1)))</f>
        <v/>
      </c>
      <c r="H205" s="54">
        <f>IF($B205="","",SUMIFS(Erfassung!$E$6:$E$5005,Erfassung!$B$6:$B$5005,$A205,Erfassung!$A$6:$A$5005,"&gt;="&amp;DATE(Einstellungen!$C$3,6,1),Erfassung!$A$6:$A$5005,"&lt;"&amp;DATE(Einstellungen!$C$3,7,1)))</f>
        <v/>
      </c>
      <c r="I205" s="54">
        <f>IF($B205="","",SUMIFS(Erfassung!$E$6:$E$5005,Erfassung!$B$6:$B$5005,$A205,Erfassung!$A$6:$A$5005,"&gt;="&amp;DATE(Einstellungen!$C$3,7,1),Erfassung!$A$6:$A$5005,"&lt;"&amp;DATE(Einstellungen!$C$3,8,1)))</f>
        <v/>
      </c>
      <c r="J205" s="54">
        <f>IF($B205="","",SUMIFS(Erfassung!$E$6:$E$5005,Erfassung!$B$6:$B$5005,$A205,Erfassung!$A$6:$A$5005,"&gt;="&amp;DATE(Einstellungen!$C$3,8,1),Erfassung!$A$6:$A$5005,"&lt;"&amp;DATE(Einstellungen!$C$3,9,1)))</f>
        <v/>
      </c>
      <c r="K205" s="54">
        <f>IF($B205="","",SUMIFS(Erfassung!$E$6:$E$5005,Erfassung!$B$6:$B$5005,$A205,Erfassung!$A$6:$A$5005,"&gt;="&amp;DATE(Einstellungen!$C$3,9,1),Erfassung!$A$6:$A$5005,"&lt;"&amp;DATE(Einstellungen!$C$3,10,1)))</f>
        <v/>
      </c>
      <c r="L205" s="54">
        <f>IF($B205="","",SUMIFS(Erfassung!$E$6:$E$5005,Erfassung!$B$6:$B$5005,$A205,Erfassung!$A$6:$A$5005,"&gt;="&amp;DATE(Einstellungen!$C$3,10,1),Erfassung!$A$6:$A$5005,"&lt;"&amp;DATE(Einstellungen!$C$3,11,1)))</f>
        <v/>
      </c>
      <c r="M205" s="54">
        <f>IF($B205="","",SUMIFS(Erfassung!$E$6:$E$5005,Erfassung!$B$6:$B$5005,$A205,Erfassung!$A$6:$A$5005,"&gt;="&amp;DATE(Einstellungen!$C$3,11,1),Erfassung!$A$6:$A$5005,"&lt;"&amp;DATE(Einstellungen!$C$3,12,1)))</f>
        <v/>
      </c>
      <c r="N205" s="54">
        <f>IF($B205="","",SUMIFS(Erfassung!$E$6:$E$5005,Erfassung!$B$6:$B$5005,$A205,Erfassung!$A$6:$A$5005,"&gt;="&amp;DATE(Einstellungen!$C$3,12,1),Erfassung!$A$6:$A$5005,"&lt;"&amp;DATE(Einstellungen!$C$3,13,1)))</f>
        <v/>
      </c>
      <c r="O205" s="45">
        <f>IF($B205="","",SUM(C205:N205))</f>
        <v/>
      </c>
      <c r="P205" s="54">
        <f>IF($B205="","",SUMIFS(Erfassung!$G$6:$G$5005,Erfassung!$B$6:$B$5005,$A205,Erfassung!$A$6:$A$5005,"&gt;="&amp;DATE(Einstellungen!$C$3,1,1),Erfassung!$A$6:$A$5005,"&lt;"&amp;DATE(Einstellungen!$C$3,2,1)))</f>
        <v/>
      </c>
      <c r="Q205" s="54">
        <f>IF($B205="","",SUMIFS(Erfassung!$G$6:$G$5005,Erfassung!$B$6:$B$5005,$A205,Erfassung!$A$6:$A$5005,"&gt;="&amp;DATE(Einstellungen!$C$3,2,1),Erfassung!$A$6:$A$5005,"&lt;"&amp;DATE(Einstellungen!$C$3,3,1)))</f>
        <v/>
      </c>
      <c r="R205" s="54">
        <f>IF($B205="","",SUMIFS(Erfassung!$G$6:$G$5005,Erfassung!$B$6:$B$5005,$A205,Erfassung!$A$6:$A$5005,"&gt;="&amp;DATE(Einstellungen!$C$3,3,1),Erfassung!$A$6:$A$5005,"&lt;"&amp;DATE(Einstellungen!$C$3,4,1)))</f>
        <v/>
      </c>
      <c r="S205" s="54">
        <f>IF($B205="","",SUMIFS(Erfassung!$G$6:$G$5005,Erfassung!$B$6:$B$5005,$A205,Erfassung!$A$6:$A$5005,"&gt;="&amp;DATE(Einstellungen!$C$3,4,1),Erfassung!$A$6:$A$5005,"&lt;"&amp;DATE(Einstellungen!$C$3,5,1)))</f>
        <v/>
      </c>
      <c r="T205" s="54">
        <f>IF($B205="","",SUMIFS(Erfassung!$G$6:$G$5005,Erfassung!$B$6:$B$5005,$A205,Erfassung!$A$6:$A$5005,"&gt;="&amp;DATE(Einstellungen!$C$3,5,1),Erfassung!$A$6:$A$5005,"&lt;"&amp;DATE(Einstellungen!$C$3,6,1)))</f>
        <v/>
      </c>
      <c r="U205" s="54">
        <f>IF($B205="","",SUMIFS(Erfassung!$G$6:$G$5005,Erfassung!$B$6:$B$5005,$A205,Erfassung!$A$6:$A$5005,"&gt;="&amp;DATE(Einstellungen!$C$3,6,1),Erfassung!$A$6:$A$5005,"&lt;"&amp;DATE(Einstellungen!$C$3,7,1)))</f>
        <v/>
      </c>
      <c r="V205" s="54">
        <f>IF($B205="","",SUMIFS(Erfassung!$G$6:$G$5005,Erfassung!$B$6:$B$5005,$A205,Erfassung!$A$6:$A$5005,"&gt;="&amp;DATE(Einstellungen!$C$3,7,1),Erfassung!$A$6:$A$5005,"&lt;"&amp;DATE(Einstellungen!$C$3,8,1)))</f>
        <v/>
      </c>
      <c r="W205" s="54">
        <f>IF($B205="","",SUMIFS(Erfassung!$G$6:$G$5005,Erfassung!$B$6:$B$5005,$A205,Erfassung!$A$6:$A$5005,"&gt;="&amp;DATE(Einstellungen!$C$3,8,1),Erfassung!$A$6:$A$5005,"&lt;"&amp;DATE(Einstellungen!$C$3,9,1)))</f>
        <v/>
      </c>
      <c r="X205" s="54">
        <f>IF($B205="","",SUMIFS(Erfassung!$G$6:$G$5005,Erfassung!$B$6:$B$5005,$A205,Erfassung!$A$6:$A$5005,"&gt;="&amp;DATE(Einstellungen!$C$3,9,1),Erfassung!$A$6:$A$5005,"&lt;"&amp;DATE(Einstellungen!$C$3,10,1)))</f>
        <v/>
      </c>
      <c r="Y205" s="54">
        <f>IF($B205="","",SUMIFS(Erfassung!$G$6:$G$5005,Erfassung!$B$6:$B$5005,$A205,Erfassung!$A$6:$A$5005,"&gt;="&amp;DATE(Einstellungen!$C$3,10,1),Erfassung!$A$6:$A$5005,"&lt;"&amp;DATE(Einstellungen!$C$3,11,1)))</f>
        <v/>
      </c>
      <c r="Z205" s="54">
        <f>IF($B205="","",SUMIFS(Erfassung!$G$6:$G$5005,Erfassung!$B$6:$B$5005,$A205,Erfassung!$A$6:$A$5005,"&gt;="&amp;DATE(Einstellungen!$C$3,11,1),Erfassung!$A$6:$A$5005,"&lt;"&amp;DATE(Einstellungen!$C$3,12,1)))</f>
        <v/>
      </c>
      <c r="AA205" s="54">
        <f>IF($B205="","",SUMIFS(Erfassung!$G$6:$G$5005,Erfassung!$B$6:$B$5005,$A205,Erfassung!$A$6:$A$5005,"&gt;="&amp;DATE(Einstellungen!$C$3,12,1),Erfassung!$A$6:$A$5005,"&lt;"&amp;DATE(Einstellungen!$C$3,13,1)))</f>
        <v/>
      </c>
      <c r="AB205" s="45">
        <f>IF($B205="","",SUM(P205:AA205))</f>
        <v/>
      </c>
      <c r="AC205" s="38">
        <f>IF($B205="","",IF(O205+AB205&gt;0,AB205/(O205+AB205),""))</f>
        <v/>
      </c>
    </row>
    <row r="206">
      <c r="A206" s="46" t="n"/>
      <c r="B206" s="46" t="inlineStr">
        <is>
          <t>Summe</t>
        </is>
      </c>
      <c r="C206" s="66">
        <f>SUM(C6:C205)</f>
        <v/>
      </c>
      <c r="D206" s="66">
        <f>SUM(D6:D205)</f>
        <v/>
      </c>
      <c r="E206" s="66">
        <f>SUM(E6:E205)</f>
        <v/>
      </c>
      <c r="F206" s="66">
        <f>SUM(F6:F205)</f>
        <v/>
      </c>
      <c r="G206" s="66">
        <f>SUM(G6:G205)</f>
        <v/>
      </c>
      <c r="H206" s="66">
        <f>SUM(H6:H205)</f>
        <v/>
      </c>
      <c r="I206" s="66">
        <f>SUM(I6:I205)</f>
        <v/>
      </c>
      <c r="J206" s="66">
        <f>SUM(J6:J205)</f>
        <v/>
      </c>
      <c r="K206" s="66">
        <f>SUM(K6:K205)</f>
        <v/>
      </c>
      <c r="L206" s="66">
        <f>SUM(L6:L205)</f>
        <v/>
      </c>
      <c r="M206" s="66">
        <f>SUM(M6:M205)</f>
        <v/>
      </c>
      <c r="N206" s="66">
        <f>SUM(N6:N205)</f>
        <v/>
      </c>
      <c r="O206" s="66">
        <f>SUM(O6:O205)</f>
        <v/>
      </c>
      <c r="P206" s="66">
        <f>SUM(P6:P205)</f>
        <v/>
      </c>
      <c r="Q206" s="66">
        <f>SUM(Q6:Q205)</f>
        <v/>
      </c>
      <c r="R206" s="66">
        <f>SUM(R6:R205)</f>
        <v/>
      </c>
      <c r="S206" s="66">
        <f>SUM(S6:S205)</f>
        <v/>
      </c>
      <c r="T206" s="66">
        <f>SUM(T6:T205)</f>
        <v/>
      </c>
      <c r="U206" s="66">
        <f>SUM(U6:U205)</f>
        <v/>
      </c>
      <c r="V206" s="66">
        <f>SUM(V6:V205)</f>
        <v/>
      </c>
      <c r="W206" s="66">
        <f>SUM(W6:W205)</f>
        <v/>
      </c>
      <c r="X206" s="66">
        <f>SUM(X6:X205)</f>
        <v/>
      </c>
      <c r="Y206" s="66">
        <f>SUM(Y6:Y205)</f>
        <v/>
      </c>
      <c r="Z206" s="66">
        <f>SUM(Z6:Z205)</f>
        <v/>
      </c>
      <c r="AA206" s="66">
        <f>SUM(AA6:AA205)</f>
        <v/>
      </c>
      <c r="AB206" s="66">
        <f>SUM(AB6:AB205)</f>
        <v/>
      </c>
      <c r="AC206" s="65">
        <f>IF(O206+AB206&gt;0,AB206/(O206+AB206),0)</f>
        <v/>
      </c>
    </row>
  </sheetData>
  <mergeCells count="3">
    <mergeCell ref="P4:AB4"/>
    <mergeCell ref="A2:AD2"/>
    <mergeCell ref="C4:O4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2026-10-03T09:06:13Z</dcterms:created>
  <dcterms:modified xsi:type="dcterms:W3CDTF">2026-10-03T09:06:14Z</dcterms:modified>
</cp:coreProperties>
</file>